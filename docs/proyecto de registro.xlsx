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Proyectos\WHS_VisitLog\docs\"/>
    </mc:Choice>
  </mc:AlternateContent>
  <xr:revisionPtr revIDLastSave="0" documentId="13_ncr:1_{C5058255-275B-47A8-A8BF-1B3B2350F467}" xr6:coauthVersionLast="47" xr6:coauthVersionMax="47" xr10:uidLastSave="{00000000-0000-0000-0000-000000000000}"/>
  <bookViews>
    <workbookView xWindow="-28920" yWindow="-120" windowWidth="29040" windowHeight="15720" activeTab="1" xr2:uid="{38AA785B-0066-4219-99D9-239FC3243177}"/>
  </bookViews>
  <sheets>
    <sheet name="LISTAS" sheetId="20" r:id="rId1"/>
    <sheet name="HC" sheetId="12" r:id="rId2"/>
    <sheet name="WHS HOURS" sheetId="10" r:id="rId3"/>
  </sheets>
  <definedNames>
    <definedName name="_xlnm._FilterDatabase" localSheetId="1" hidden="1">HC!$A$1:$D$335</definedName>
    <definedName name="_xlnm._FilterDatabase" localSheetId="2" hidden="1">'WHS HOURS'!$A$1:$U$4612</definedName>
    <definedName name="RECUPERACIONFISICA">OTICO[RECUPERACION FISICA]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73" i="10" l="1"/>
  <c r="O4574" i="10"/>
  <c r="O4575" i="10"/>
  <c r="O4576" i="10"/>
  <c r="O4577" i="10"/>
  <c r="O4578" i="10"/>
  <c r="O4579" i="10"/>
  <c r="O4580" i="10"/>
  <c r="O4581" i="10"/>
  <c r="O4582" i="10"/>
  <c r="O4583" i="10"/>
  <c r="O4584" i="10"/>
  <c r="O4585" i="10"/>
  <c r="O4586" i="10"/>
  <c r="O4587" i="10"/>
  <c r="O4588" i="10"/>
  <c r="O4589" i="10"/>
  <c r="O4590" i="10"/>
  <c r="O4591" i="10"/>
  <c r="O4592" i="10"/>
  <c r="O4593" i="10"/>
  <c r="O4594" i="10"/>
  <c r="O4595" i="10"/>
  <c r="O4596" i="10"/>
  <c r="O4597" i="10"/>
  <c r="O4598" i="10"/>
  <c r="O4599" i="10"/>
  <c r="O4600" i="10"/>
  <c r="O4601" i="10"/>
  <c r="O4602" i="10"/>
  <c r="O4603" i="10"/>
  <c r="O4604" i="10"/>
  <c r="O4605" i="10"/>
  <c r="O4606" i="10"/>
  <c r="O4607" i="10"/>
  <c r="O4608" i="10"/>
  <c r="O4609" i="10"/>
  <c r="O4610" i="10"/>
  <c r="O4611" i="10"/>
  <c r="O4612" i="10"/>
  <c r="N4573" i="10"/>
  <c r="N4574" i="10"/>
  <c r="N4575" i="10"/>
  <c r="N4576" i="10"/>
  <c r="N4577" i="10"/>
  <c r="N4578" i="10"/>
  <c r="N4579" i="10"/>
  <c r="N4580" i="10"/>
  <c r="N4581" i="10"/>
  <c r="N4582" i="10"/>
  <c r="N4583" i="10"/>
  <c r="N4584" i="10"/>
  <c r="N4585" i="10"/>
  <c r="N4586" i="10"/>
  <c r="N4587" i="10"/>
  <c r="N4588" i="10"/>
  <c r="N4589" i="10"/>
  <c r="N4590" i="10"/>
  <c r="N4591" i="10"/>
  <c r="N4592" i="10"/>
  <c r="N4593" i="10"/>
  <c r="N4594" i="10"/>
  <c r="N4595" i="10"/>
  <c r="N4596" i="10"/>
  <c r="N4597" i="10"/>
  <c r="N4598" i="10"/>
  <c r="N4599" i="10"/>
  <c r="N4600" i="10"/>
  <c r="N4601" i="10"/>
  <c r="N4602" i="10"/>
  <c r="N4603" i="10"/>
  <c r="N4604" i="10"/>
  <c r="N4605" i="10"/>
  <c r="N4606" i="10"/>
  <c r="N4607" i="10"/>
  <c r="N4608" i="10"/>
  <c r="N4609" i="10"/>
  <c r="N4610" i="10"/>
  <c r="N4611" i="10"/>
  <c r="N4612" i="10"/>
  <c r="O4534" i="10" l="1"/>
  <c r="O4535" i="10"/>
  <c r="O4536" i="10"/>
  <c r="O4537" i="10"/>
  <c r="O4538" i="10"/>
  <c r="O4539" i="10"/>
  <c r="O4540" i="10"/>
  <c r="O4541" i="10"/>
  <c r="O4542" i="10"/>
  <c r="O4543" i="10"/>
  <c r="O4544" i="10"/>
  <c r="O4545" i="10"/>
  <c r="O4546" i="10"/>
  <c r="O4547" i="10"/>
  <c r="O4548" i="10"/>
  <c r="O4549" i="10"/>
  <c r="O4550" i="10"/>
  <c r="O4551" i="10"/>
  <c r="O4552" i="10"/>
  <c r="O4553" i="10"/>
  <c r="O4554" i="10"/>
  <c r="O4555" i="10"/>
  <c r="O4556" i="10"/>
  <c r="O4557" i="10"/>
  <c r="O4558" i="10"/>
  <c r="O4559" i="10"/>
  <c r="O4560" i="10"/>
  <c r="O4561" i="10"/>
  <c r="O4562" i="10"/>
  <c r="O4563" i="10"/>
  <c r="O4564" i="10"/>
  <c r="O4565" i="10"/>
  <c r="O4566" i="10"/>
  <c r="O4567" i="10"/>
  <c r="O4568" i="10"/>
  <c r="O4569" i="10"/>
  <c r="O4570" i="10"/>
  <c r="O4571" i="10"/>
  <c r="O4572" i="10"/>
  <c r="N4534" i="10"/>
  <c r="N4535" i="10"/>
  <c r="N4536" i="10"/>
  <c r="N4537" i="10"/>
  <c r="N4538" i="10"/>
  <c r="N4539" i="10"/>
  <c r="N4540" i="10"/>
  <c r="N4541" i="10"/>
  <c r="N4542" i="10"/>
  <c r="N4543" i="10"/>
  <c r="N4544" i="10"/>
  <c r="N4545" i="10"/>
  <c r="N4546" i="10"/>
  <c r="N4547" i="10"/>
  <c r="N4548" i="10"/>
  <c r="N4549" i="10"/>
  <c r="N4550" i="10"/>
  <c r="N4551" i="10"/>
  <c r="N4552" i="10"/>
  <c r="N4553" i="10"/>
  <c r="N4554" i="10"/>
  <c r="N4555" i="10"/>
  <c r="N4556" i="10"/>
  <c r="N4557" i="10"/>
  <c r="N4558" i="10"/>
  <c r="N4559" i="10"/>
  <c r="N4560" i="10"/>
  <c r="N4561" i="10"/>
  <c r="N4562" i="10"/>
  <c r="N4563" i="10"/>
  <c r="N4564" i="10"/>
  <c r="N4565" i="10"/>
  <c r="N4566" i="10"/>
  <c r="N4567" i="10"/>
  <c r="N4568" i="10"/>
  <c r="N4569" i="10"/>
  <c r="N4570" i="10"/>
  <c r="N4571" i="10"/>
  <c r="N4572" i="10"/>
  <c r="O4493" i="10" l="1"/>
  <c r="O4494" i="10"/>
  <c r="O4495" i="10"/>
  <c r="O4496" i="10"/>
  <c r="O4497" i="10"/>
  <c r="O4498" i="10"/>
  <c r="O4499" i="10"/>
  <c r="O4500" i="10"/>
  <c r="O4501" i="10"/>
  <c r="O4502" i="10"/>
  <c r="O4503" i="10"/>
  <c r="O4504" i="10"/>
  <c r="O4505" i="10"/>
  <c r="O4506" i="10"/>
  <c r="O4507" i="10"/>
  <c r="O4508" i="10"/>
  <c r="O4509" i="10"/>
  <c r="O4510" i="10"/>
  <c r="O4511" i="10"/>
  <c r="O4512" i="10"/>
  <c r="O4513" i="10"/>
  <c r="O4514" i="10"/>
  <c r="O4515" i="10"/>
  <c r="O4516" i="10"/>
  <c r="O4517" i="10"/>
  <c r="O4518" i="10"/>
  <c r="O4519" i="10"/>
  <c r="O4520" i="10"/>
  <c r="O4521" i="10"/>
  <c r="O4522" i="10"/>
  <c r="O4523" i="10"/>
  <c r="O4524" i="10"/>
  <c r="O4525" i="10"/>
  <c r="O4526" i="10"/>
  <c r="O4527" i="10"/>
  <c r="O4528" i="10"/>
  <c r="O4529" i="10"/>
  <c r="O4530" i="10"/>
  <c r="O4531" i="10"/>
  <c r="O4532" i="10"/>
  <c r="O4533" i="10"/>
  <c r="N4493" i="10"/>
  <c r="N4494" i="10"/>
  <c r="N4495" i="10"/>
  <c r="N4496" i="10"/>
  <c r="N4497" i="10"/>
  <c r="N4498" i="10"/>
  <c r="N4499" i="10"/>
  <c r="N4500" i="10"/>
  <c r="N4501" i="10"/>
  <c r="N4502" i="10"/>
  <c r="N4503" i="10"/>
  <c r="N4504" i="10"/>
  <c r="N4505" i="10"/>
  <c r="N4506" i="10"/>
  <c r="N4507" i="10"/>
  <c r="N4508" i="10"/>
  <c r="N4509" i="10"/>
  <c r="N4510" i="10"/>
  <c r="N4511" i="10"/>
  <c r="N4512" i="10"/>
  <c r="N4513" i="10"/>
  <c r="N4514" i="10"/>
  <c r="N4515" i="10"/>
  <c r="N4516" i="10"/>
  <c r="N4517" i="10"/>
  <c r="N4518" i="10"/>
  <c r="N4519" i="10"/>
  <c r="N4520" i="10"/>
  <c r="N4521" i="10"/>
  <c r="N4522" i="10"/>
  <c r="N4523" i="10"/>
  <c r="N4524" i="10"/>
  <c r="N4525" i="10"/>
  <c r="N4526" i="10"/>
  <c r="N4527" i="10"/>
  <c r="N4528" i="10"/>
  <c r="N4529" i="10"/>
  <c r="N4530" i="10"/>
  <c r="N4531" i="10"/>
  <c r="N4532" i="10"/>
  <c r="N4533" i="10"/>
  <c r="O4460" i="10" l="1"/>
  <c r="O4461" i="10"/>
  <c r="O4462" i="10"/>
  <c r="O4463" i="10"/>
  <c r="O4464" i="10"/>
  <c r="O4465" i="10"/>
  <c r="O4466" i="10"/>
  <c r="O4467" i="10"/>
  <c r="O4468" i="10"/>
  <c r="O4469" i="10"/>
  <c r="O4470" i="10"/>
  <c r="O4471" i="10"/>
  <c r="O4472" i="10"/>
  <c r="O4473" i="10"/>
  <c r="O4474" i="10"/>
  <c r="O4475" i="10"/>
  <c r="O4476" i="10"/>
  <c r="O4477" i="10"/>
  <c r="O4478" i="10"/>
  <c r="O4479" i="10"/>
  <c r="O4480" i="10"/>
  <c r="O4481" i="10"/>
  <c r="O4482" i="10"/>
  <c r="O4483" i="10"/>
  <c r="O4484" i="10"/>
  <c r="O4485" i="10"/>
  <c r="O4486" i="10"/>
  <c r="O4487" i="10"/>
  <c r="O4488" i="10"/>
  <c r="O4489" i="10"/>
  <c r="O4490" i="10"/>
  <c r="O4491" i="10"/>
  <c r="O4492" i="10"/>
  <c r="N4460" i="10"/>
  <c r="N4461" i="10"/>
  <c r="N4462" i="10"/>
  <c r="N4463" i="10"/>
  <c r="N4464" i="10"/>
  <c r="N4465" i="10"/>
  <c r="N4466" i="10"/>
  <c r="N4467" i="10"/>
  <c r="N4468" i="10"/>
  <c r="N4469" i="10"/>
  <c r="N4470" i="10"/>
  <c r="N4471" i="10"/>
  <c r="N4472" i="10"/>
  <c r="N4473" i="10"/>
  <c r="N4474" i="10"/>
  <c r="N4475" i="10"/>
  <c r="N4476" i="10"/>
  <c r="N4477" i="10"/>
  <c r="N4478" i="10"/>
  <c r="N4479" i="10"/>
  <c r="N4480" i="10"/>
  <c r="N4481" i="10"/>
  <c r="N4482" i="10"/>
  <c r="N4483" i="10"/>
  <c r="N4484" i="10"/>
  <c r="N4485" i="10"/>
  <c r="N4486" i="10"/>
  <c r="N4487" i="10"/>
  <c r="N4488" i="10"/>
  <c r="N4489" i="10"/>
  <c r="N4490" i="10"/>
  <c r="N4491" i="10"/>
  <c r="N4492" i="10"/>
  <c r="O4419" i="10" l="1"/>
  <c r="O4420" i="10"/>
  <c r="O4421" i="10"/>
  <c r="O4422" i="10"/>
  <c r="O4423" i="10"/>
  <c r="O4424" i="10"/>
  <c r="O4425" i="10"/>
  <c r="O4426" i="10"/>
  <c r="O4427" i="10"/>
  <c r="O4428" i="10"/>
  <c r="O4429" i="10"/>
  <c r="O4430" i="10"/>
  <c r="O4431" i="10"/>
  <c r="O4432" i="10"/>
  <c r="O4433" i="10"/>
  <c r="O4434" i="10"/>
  <c r="O4435" i="10"/>
  <c r="O4436" i="10"/>
  <c r="O4437" i="10"/>
  <c r="O4438" i="10"/>
  <c r="O4439" i="10"/>
  <c r="O4440" i="10"/>
  <c r="O4441" i="10"/>
  <c r="O4442" i="10"/>
  <c r="O4443" i="10"/>
  <c r="O4444" i="10"/>
  <c r="O4445" i="10"/>
  <c r="O4446" i="10"/>
  <c r="O4447" i="10"/>
  <c r="O4448" i="10"/>
  <c r="O4449" i="10"/>
  <c r="O4450" i="10"/>
  <c r="O4451" i="10"/>
  <c r="O4452" i="10"/>
  <c r="O4453" i="10"/>
  <c r="O4454" i="10"/>
  <c r="O4455" i="10"/>
  <c r="O4456" i="10"/>
  <c r="O4457" i="10"/>
  <c r="O4458" i="10"/>
  <c r="O4459" i="10"/>
  <c r="N4422" i="10"/>
  <c r="N4423" i="10"/>
  <c r="N4424" i="10"/>
  <c r="N4425" i="10"/>
  <c r="N4426" i="10"/>
  <c r="N4427" i="10"/>
  <c r="N4428" i="10"/>
  <c r="N4429" i="10"/>
  <c r="N4430" i="10"/>
  <c r="N4431" i="10"/>
  <c r="N4432" i="10"/>
  <c r="N4433" i="10"/>
  <c r="N4434" i="10"/>
  <c r="N4435" i="10"/>
  <c r="N4436" i="10"/>
  <c r="N4437" i="10"/>
  <c r="N4438" i="10"/>
  <c r="N4439" i="10"/>
  <c r="N4440" i="10"/>
  <c r="N4441" i="10"/>
  <c r="N4442" i="10"/>
  <c r="N4443" i="10"/>
  <c r="N4444" i="10"/>
  <c r="N4445" i="10"/>
  <c r="N4446" i="10"/>
  <c r="N4447" i="10"/>
  <c r="N4448" i="10"/>
  <c r="N4449" i="10"/>
  <c r="N4450" i="10"/>
  <c r="N4451" i="10"/>
  <c r="N4452" i="10"/>
  <c r="N4453" i="10"/>
  <c r="N4454" i="10"/>
  <c r="N4455" i="10"/>
  <c r="N4456" i="10"/>
  <c r="N4457" i="10"/>
  <c r="N4458" i="10"/>
  <c r="N4459" i="10"/>
  <c r="O4381" i="10"/>
  <c r="O4382" i="10"/>
  <c r="O4383" i="10"/>
  <c r="O4384" i="10"/>
  <c r="O4385" i="10"/>
  <c r="O4386" i="10"/>
  <c r="O4387" i="10"/>
  <c r="O4388" i="10"/>
  <c r="O4389" i="10"/>
  <c r="O4390" i="10"/>
  <c r="O4391" i="10"/>
  <c r="O4392" i="10"/>
  <c r="O4393" i="10"/>
  <c r="O4394" i="10"/>
  <c r="O4395" i="10"/>
  <c r="O4396" i="10"/>
  <c r="O4397" i="10"/>
  <c r="O4398" i="10"/>
  <c r="O4399" i="10"/>
  <c r="O4400" i="10"/>
  <c r="O4401" i="10"/>
  <c r="O4402" i="10"/>
  <c r="O4403" i="10"/>
  <c r="O4404" i="10"/>
  <c r="O4405" i="10"/>
  <c r="O4406" i="10"/>
  <c r="O4407" i="10"/>
  <c r="O4408" i="10"/>
  <c r="O4409" i="10"/>
  <c r="O4410" i="10"/>
  <c r="O4411" i="10"/>
  <c r="O4412" i="10"/>
  <c r="O4413" i="10"/>
  <c r="O4414" i="10"/>
  <c r="O4415" i="10"/>
  <c r="O4416" i="10"/>
  <c r="O4417" i="10"/>
  <c r="O4418" i="10"/>
  <c r="N4386" i="10"/>
  <c r="N4387" i="10"/>
  <c r="N4388" i="10"/>
  <c r="N4389" i="10"/>
  <c r="N4390" i="10"/>
  <c r="N4391" i="10"/>
  <c r="N4392" i="10"/>
  <c r="N4393" i="10"/>
  <c r="N4394" i="10"/>
  <c r="N4395" i="10"/>
  <c r="N4396" i="10"/>
  <c r="N4397" i="10"/>
  <c r="N4398" i="10"/>
  <c r="N4399" i="10"/>
  <c r="N4400" i="10"/>
  <c r="N4401" i="10"/>
  <c r="N4402" i="10"/>
  <c r="N4403" i="10"/>
  <c r="N4404" i="10"/>
  <c r="N4405" i="10"/>
  <c r="N4406" i="10"/>
  <c r="N4407" i="10"/>
  <c r="N4408" i="10"/>
  <c r="N4409" i="10"/>
  <c r="N4410" i="10"/>
  <c r="N4411" i="10"/>
  <c r="N4412" i="10"/>
  <c r="N4413" i="10"/>
  <c r="N4414" i="10"/>
  <c r="N4415" i="10"/>
  <c r="N4416" i="10"/>
  <c r="N4417" i="10"/>
  <c r="N4418" i="10"/>
  <c r="N4419" i="10"/>
  <c r="N4420" i="10"/>
  <c r="N4421" i="10"/>
  <c r="O4338" i="10"/>
  <c r="O4339" i="10"/>
  <c r="O4340" i="10"/>
  <c r="O4341" i="10"/>
  <c r="O4342" i="10"/>
  <c r="O4343" i="10"/>
  <c r="O4344" i="10"/>
  <c r="O4345" i="10"/>
  <c r="O4346" i="10"/>
  <c r="O4347" i="10"/>
  <c r="O4348" i="10"/>
  <c r="O4349" i="10"/>
  <c r="O4350" i="10"/>
  <c r="O4351" i="10"/>
  <c r="O4352" i="10"/>
  <c r="O4353" i="10"/>
  <c r="O4354" i="10"/>
  <c r="O4355" i="10"/>
  <c r="O4356" i="10"/>
  <c r="O4357" i="10"/>
  <c r="O4358" i="10"/>
  <c r="O4359" i="10"/>
  <c r="O4360" i="10"/>
  <c r="O4361" i="10"/>
  <c r="O4362" i="10"/>
  <c r="O4363" i="10"/>
  <c r="O4364" i="10"/>
  <c r="O4365" i="10"/>
  <c r="O4366" i="10"/>
  <c r="O4367" i="10"/>
  <c r="O4368" i="10"/>
  <c r="O4369" i="10"/>
  <c r="O4370" i="10"/>
  <c r="O4371" i="10"/>
  <c r="O4372" i="10"/>
  <c r="O4373" i="10"/>
  <c r="O4374" i="10"/>
  <c r="O4375" i="10"/>
  <c r="O4376" i="10"/>
  <c r="O4377" i="10"/>
  <c r="O4378" i="10"/>
  <c r="O4379" i="10"/>
  <c r="O4380" i="10"/>
  <c r="N4310" i="10"/>
  <c r="N4311" i="10"/>
  <c r="N4312" i="10"/>
  <c r="N4313" i="10"/>
  <c r="N4314" i="10"/>
  <c r="N4315" i="10"/>
  <c r="N4316" i="10"/>
  <c r="N4317" i="10"/>
  <c r="N4318" i="10"/>
  <c r="N4319" i="10"/>
  <c r="N4320" i="10"/>
  <c r="N4321" i="10"/>
  <c r="N4322" i="10"/>
  <c r="N4323" i="10"/>
  <c r="N4324" i="10"/>
  <c r="N4325" i="10"/>
  <c r="N4326" i="10"/>
  <c r="N4327" i="10"/>
  <c r="N4328" i="10"/>
  <c r="N4329" i="10"/>
  <c r="N4330" i="10"/>
  <c r="N4331" i="10"/>
  <c r="N4332" i="10"/>
  <c r="N4333" i="10"/>
  <c r="N4334" i="10"/>
  <c r="N4335" i="10"/>
  <c r="N4336" i="10"/>
  <c r="N4337" i="10"/>
  <c r="N4338" i="10"/>
  <c r="N4339" i="10"/>
  <c r="N4340" i="10"/>
  <c r="N4341" i="10"/>
  <c r="N4342" i="10"/>
  <c r="N4343" i="10"/>
  <c r="N4344" i="10"/>
  <c r="N4345" i="10"/>
  <c r="N4346" i="10"/>
  <c r="N4347" i="10"/>
  <c r="N4348" i="10"/>
  <c r="N4349" i="10"/>
  <c r="N4350" i="10"/>
  <c r="N4351" i="10"/>
  <c r="N4352" i="10"/>
  <c r="N4353" i="10"/>
  <c r="N4354" i="10"/>
  <c r="N4355" i="10"/>
  <c r="N4356" i="10"/>
  <c r="N4357" i="10"/>
  <c r="N4358" i="10"/>
  <c r="N4359" i="10"/>
  <c r="N4360" i="10"/>
  <c r="N4361" i="10"/>
  <c r="N4362" i="10"/>
  <c r="N4363" i="10"/>
  <c r="N4364" i="10"/>
  <c r="N4365" i="10"/>
  <c r="N4366" i="10"/>
  <c r="N4367" i="10"/>
  <c r="N4368" i="10"/>
  <c r="N4369" i="10"/>
  <c r="N4370" i="10"/>
  <c r="N4371" i="10"/>
  <c r="N4372" i="10"/>
  <c r="N4373" i="10"/>
  <c r="N4374" i="10"/>
  <c r="N4375" i="10"/>
  <c r="N4376" i="10"/>
  <c r="N4377" i="10"/>
  <c r="N4378" i="10"/>
  <c r="N4379" i="10"/>
  <c r="N4380" i="10"/>
  <c r="N4381" i="10"/>
  <c r="N4382" i="10"/>
  <c r="N4383" i="10"/>
  <c r="N4384" i="10"/>
  <c r="N4385" i="10"/>
  <c r="O4276" i="10"/>
  <c r="O4277" i="10"/>
  <c r="O4278" i="10"/>
  <c r="O4279" i="10"/>
  <c r="O4280" i="10"/>
  <c r="O4281" i="10"/>
  <c r="O4282" i="10"/>
  <c r="O4283" i="10"/>
  <c r="O4284" i="10"/>
  <c r="O4285" i="10"/>
  <c r="O4286" i="10"/>
  <c r="O4287" i="10"/>
  <c r="O4288" i="10"/>
  <c r="O4289" i="10"/>
  <c r="O4290" i="10"/>
  <c r="O4291" i="10"/>
  <c r="O4292" i="10"/>
  <c r="O4293" i="10"/>
  <c r="O4294" i="10"/>
  <c r="O4295" i="10"/>
  <c r="O4296" i="10"/>
  <c r="O4297" i="10"/>
  <c r="O4298" i="10"/>
  <c r="O4299" i="10"/>
  <c r="O4300" i="10"/>
  <c r="O4301" i="10"/>
  <c r="O4302" i="10"/>
  <c r="O4303" i="10"/>
  <c r="O4304" i="10"/>
  <c r="O4305" i="10"/>
  <c r="O4306" i="10"/>
  <c r="O4307" i="10"/>
  <c r="O4308" i="10"/>
  <c r="O4309" i="10"/>
  <c r="O4310" i="10"/>
  <c r="O4311" i="10"/>
  <c r="O4312" i="10"/>
  <c r="O4313" i="10"/>
  <c r="O4314" i="10"/>
  <c r="O4315" i="10"/>
  <c r="O4316" i="10"/>
  <c r="O4317" i="10"/>
  <c r="O4318" i="10"/>
  <c r="O4319" i="10"/>
  <c r="O4320" i="10"/>
  <c r="O4321" i="10"/>
  <c r="O4322" i="10"/>
  <c r="O4323" i="10"/>
  <c r="O4324" i="10"/>
  <c r="O4325" i="10"/>
  <c r="O4326" i="10"/>
  <c r="O4327" i="10"/>
  <c r="O4328" i="10"/>
  <c r="O4329" i="10"/>
  <c r="O4330" i="10"/>
  <c r="O4331" i="10"/>
  <c r="O4332" i="10"/>
  <c r="O4333" i="10"/>
  <c r="O4334" i="10"/>
  <c r="O4335" i="10"/>
  <c r="O4336" i="10"/>
  <c r="O4337" i="10"/>
  <c r="N4276" i="10"/>
  <c r="N4277" i="10"/>
  <c r="N4278" i="10"/>
  <c r="N4279" i="10"/>
  <c r="N4280" i="10"/>
  <c r="N4281" i="10"/>
  <c r="N4282" i="10"/>
  <c r="N4283" i="10"/>
  <c r="N4284" i="10"/>
  <c r="N4285" i="10"/>
  <c r="N4286" i="10"/>
  <c r="N4287" i="10"/>
  <c r="N4288" i="10"/>
  <c r="N4289" i="10"/>
  <c r="N4290" i="10"/>
  <c r="N4291" i="10"/>
  <c r="N4292" i="10"/>
  <c r="N4293" i="10"/>
  <c r="N4294" i="10"/>
  <c r="N4295" i="10"/>
  <c r="N4296" i="10"/>
  <c r="N4297" i="10"/>
  <c r="N4298" i="10"/>
  <c r="N4299" i="10"/>
  <c r="N4300" i="10"/>
  <c r="N4301" i="10"/>
  <c r="N4302" i="10"/>
  <c r="N4303" i="10"/>
  <c r="N4304" i="10"/>
  <c r="N4305" i="10"/>
  <c r="N4306" i="10"/>
  <c r="N4307" i="10"/>
  <c r="N4308" i="10"/>
  <c r="N4309" i="10"/>
  <c r="O4221" i="10" l="1"/>
  <c r="O4222" i="10"/>
  <c r="O4223" i="10"/>
  <c r="O4224" i="10"/>
  <c r="O4225" i="10"/>
  <c r="O4226" i="10"/>
  <c r="O4227" i="10"/>
  <c r="O4228" i="10"/>
  <c r="O4229" i="10"/>
  <c r="O4230" i="10"/>
  <c r="O4231" i="10"/>
  <c r="O4232" i="10"/>
  <c r="O4233" i="10"/>
  <c r="O4234" i="10"/>
  <c r="O4235" i="10"/>
  <c r="O4236" i="10"/>
  <c r="O4237" i="10"/>
  <c r="O4238" i="10"/>
  <c r="O4239" i="10"/>
  <c r="O4240" i="10"/>
  <c r="O4241" i="10"/>
  <c r="O4242" i="10"/>
  <c r="O4243" i="10"/>
  <c r="O4244" i="10"/>
  <c r="O4245" i="10"/>
  <c r="O4246" i="10"/>
  <c r="O4247" i="10"/>
  <c r="O4248" i="10"/>
  <c r="O4249" i="10"/>
  <c r="O4250" i="10"/>
  <c r="O4251" i="10"/>
  <c r="O4252" i="10"/>
  <c r="O4253" i="10"/>
  <c r="O4254" i="10"/>
  <c r="O4255" i="10"/>
  <c r="O4256" i="10"/>
  <c r="O4257" i="10"/>
  <c r="O4258" i="10"/>
  <c r="O4259" i="10"/>
  <c r="O4260" i="10"/>
  <c r="O4261" i="10"/>
  <c r="O4262" i="10"/>
  <c r="O4263" i="10"/>
  <c r="O4264" i="10"/>
  <c r="O4265" i="10"/>
  <c r="O4266" i="10"/>
  <c r="O4267" i="10"/>
  <c r="O4268" i="10"/>
  <c r="O4269" i="10"/>
  <c r="O4270" i="10"/>
  <c r="O4271" i="10"/>
  <c r="O4272" i="10"/>
  <c r="O4273" i="10"/>
  <c r="O4274" i="10"/>
  <c r="O4275" i="10"/>
  <c r="N4221" i="10"/>
  <c r="N4222" i="10"/>
  <c r="N4223" i="10"/>
  <c r="N4224" i="10"/>
  <c r="N4225" i="10"/>
  <c r="N4226" i="10"/>
  <c r="N4227" i="10"/>
  <c r="N4228" i="10"/>
  <c r="N4229" i="10"/>
  <c r="N4230" i="10"/>
  <c r="N4231" i="10"/>
  <c r="N4232" i="10"/>
  <c r="N4233" i="10"/>
  <c r="N4234" i="10"/>
  <c r="N4235" i="10"/>
  <c r="N4236" i="10"/>
  <c r="N4237" i="10"/>
  <c r="N4238" i="10"/>
  <c r="N4239" i="10"/>
  <c r="N4240" i="10"/>
  <c r="N4241" i="10"/>
  <c r="N4242" i="10"/>
  <c r="N4243" i="10"/>
  <c r="N4244" i="10"/>
  <c r="N4245" i="10"/>
  <c r="N4246" i="10"/>
  <c r="N4247" i="10"/>
  <c r="N4248" i="10"/>
  <c r="N4249" i="10"/>
  <c r="N4250" i="10"/>
  <c r="N4251" i="10"/>
  <c r="N4252" i="10"/>
  <c r="N4253" i="10"/>
  <c r="N4254" i="10"/>
  <c r="N4255" i="10"/>
  <c r="N4256" i="10"/>
  <c r="N4257" i="10"/>
  <c r="N4258" i="10"/>
  <c r="N4259" i="10"/>
  <c r="N4260" i="10"/>
  <c r="N4261" i="10"/>
  <c r="N4262" i="10"/>
  <c r="N4263" i="10"/>
  <c r="N4264" i="10"/>
  <c r="N4265" i="10"/>
  <c r="N4266" i="10"/>
  <c r="N4267" i="10"/>
  <c r="N4268" i="10"/>
  <c r="N4269" i="10"/>
  <c r="N4270" i="10"/>
  <c r="N4271" i="10"/>
  <c r="N4272" i="10"/>
  <c r="N4273" i="10"/>
  <c r="N4274" i="10"/>
  <c r="N4275" i="10"/>
  <c r="O4193" i="10" l="1"/>
  <c r="O4194" i="10"/>
  <c r="O4195" i="10"/>
  <c r="O4196" i="10"/>
  <c r="O4197" i="10"/>
  <c r="O4198" i="10"/>
  <c r="O4199" i="10"/>
  <c r="O4200" i="10"/>
  <c r="O4201" i="10"/>
  <c r="O4202" i="10"/>
  <c r="O4203" i="10"/>
  <c r="O4204" i="10"/>
  <c r="O4205" i="10"/>
  <c r="O4206" i="10"/>
  <c r="O4207" i="10"/>
  <c r="O4208" i="10"/>
  <c r="O4209" i="10"/>
  <c r="O4210" i="10"/>
  <c r="O4211" i="10"/>
  <c r="O4212" i="10"/>
  <c r="O4213" i="10"/>
  <c r="O4214" i="10"/>
  <c r="O4215" i="10"/>
  <c r="O4216" i="10"/>
  <c r="O4217" i="10"/>
  <c r="O4218" i="10"/>
  <c r="O4219" i="10"/>
  <c r="O4220" i="10"/>
  <c r="N4192" i="10"/>
  <c r="N4193" i="10"/>
  <c r="N4194" i="10"/>
  <c r="N4195" i="10"/>
  <c r="N4196" i="10"/>
  <c r="N4197" i="10"/>
  <c r="N4198" i="10"/>
  <c r="N4199" i="10"/>
  <c r="N4200" i="10"/>
  <c r="N4201" i="10"/>
  <c r="N4202" i="10"/>
  <c r="N4203" i="10"/>
  <c r="N4204" i="10"/>
  <c r="N4205" i="10"/>
  <c r="N4206" i="10"/>
  <c r="N4207" i="10"/>
  <c r="N4208" i="10"/>
  <c r="N4209" i="10"/>
  <c r="N4210" i="10"/>
  <c r="N4211" i="10"/>
  <c r="N4212" i="10"/>
  <c r="N4213" i="10"/>
  <c r="N4214" i="10"/>
  <c r="N4215" i="10"/>
  <c r="N4216" i="10"/>
  <c r="N4217" i="10"/>
  <c r="N4218" i="10"/>
  <c r="N4219" i="10"/>
  <c r="N4220" i="10"/>
  <c r="O4155" i="10" l="1"/>
  <c r="O4156" i="10"/>
  <c r="O4157" i="10"/>
  <c r="O4158" i="10"/>
  <c r="O4159" i="10"/>
  <c r="O4160" i="10"/>
  <c r="O4161" i="10"/>
  <c r="O4162" i="10"/>
  <c r="O4163" i="10"/>
  <c r="O4164" i="10"/>
  <c r="O4165" i="10"/>
  <c r="O4166" i="10"/>
  <c r="O4167" i="10"/>
  <c r="O4168" i="10"/>
  <c r="O4169" i="10"/>
  <c r="O4170" i="10"/>
  <c r="O4171" i="10"/>
  <c r="O4172" i="10"/>
  <c r="O4173" i="10"/>
  <c r="O4174" i="10"/>
  <c r="O4175" i="10"/>
  <c r="O4176" i="10"/>
  <c r="O4177" i="10"/>
  <c r="O4178" i="10"/>
  <c r="O4179" i="10"/>
  <c r="O4180" i="10"/>
  <c r="O4181" i="10"/>
  <c r="O4182" i="10"/>
  <c r="O4183" i="10"/>
  <c r="O4184" i="10"/>
  <c r="O4185" i="10"/>
  <c r="O4186" i="10"/>
  <c r="O4187" i="10"/>
  <c r="O4188" i="10"/>
  <c r="O4189" i="10"/>
  <c r="O4190" i="10"/>
  <c r="O4191" i="10"/>
  <c r="O4192" i="10"/>
  <c r="N4160" i="10"/>
  <c r="N4161" i="10"/>
  <c r="N4162" i="10"/>
  <c r="N4163" i="10"/>
  <c r="N4164" i="10"/>
  <c r="N4165" i="10"/>
  <c r="N4166" i="10"/>
  <c r="N4167" i="10"/>
  <c r="N4168" i="10"/>
  <c r="N4169" i="10"/>
  <c r="N4170" i="10"/>
  <c r="N4171" i="10"/>
  <c r="N4172" i="10"/>
  <c r="N4173" i="10"/>
  <c r="N4174" i="10"/>
  <c r="N4175" i="10"/>
  <c r="N4176" i="10"/>
  <c r="N4177" i="10"/>
  <c r="N4178" i="10"/>
  <c r="N4179" i="10"/>
  <c r="N4180" i="10"/>
  <c r="N4181" i="10"/>
  <c r="N4182" i="10"/>
  <c r="N4183" i="10"/>
  <c r="N4184" i="10"/>
  <c r="N4185" i="10"/>
  <c r="N4186" i="10"/>
  <c r="N4187" i="10"/>
  <c r="N4188" i="10"/>
  <c r="N4189" i="10"/>
  <c r="N4190" i="10"/>
  <c r="N4191" i="10"/>
  <c r="N4130" i="10" l="1"/>
  <c r="O4130" i="10"/>
  <c r="N4131" i="10"/>
  <c r="O4131" i="10"/>
  <c r="N4132" i="10"/>
  <c r="O4132" i="10"/>
  <c r="N4133" i="10"/>
  <c r="O4133" i="10"/>
  <c r="N4134" i="10"/>
  <c r="O4134" i="10"/>
  <c r="N4135" i="10"/>
  <c r="O4135" i="10"/>
  <c r="N4136" i="10"/>
  <c r="O4136" i="10"/>
  <c r="N4137" i="10"/>
  <c r="O4137" i="10"/>
  <c r="N4138" i="10"/>
  <c r="O4138" i="10"/>
  <c r="N4139" i="10"/>
  <c r="O4139" i="10"/>
  <c r="N4140" i="10"/>
  <c r="O4140" i="10"/>
  <c r="N4141" i="10"/>
  <c r="O4141" i="10"/>
  <c r="N4142" i="10"/>
  <c r="O4142" i="10"/>
  <c r="N4143" i="10"/>
  <c r="O4143" i="10"/>
  <c r="N4144" i="10"/>
  <c r="O4144" i="10"/>
  <c r="N4145" i="10"/>
  <c r="O4145" i="10"/>
  <c r="N4146" i="10"/>
  <c r="O4146" i="10"/>
  <c r="N4147" i="10"/>
  <c r="O4147" i="10"/>
  <c r="N4148" i="10"/>
  <c r="O4148" i="10"/>
  <c r="N4149" i="10"/>
  <c r="O4149" i="10"/>
  <c r="N4150" i="10"/>
  <c r="O4150" i="10"/>
  <c r="N4151" i="10"/>
  <c r="O4151" i="10"/>
  <c r="N4152" i="10"/>
  <c r="O4152" i="10"/>
  <c r="N4153" i="10"/>
  <c r="O4153" i="10"/>
  <c r="N4154" i="10"/>
  <c r="O4154" i="10"/>
  <c r="N4155" i="10"/>
  <c r="N4156" i="10"/>
  <c r="N4157" i="10"/>
  <c r="N4158" i="10"/>
  <c r="N4159" i="10"/>
  <c r="O17" i="10"/>
  <c r="N17" i="10"/>
  <c r="N4" i="10"/>
  <c r="N2" i="10"/>
  <c r="N3" i="10"/>
  <c r="O3" i="10"/>
  <c r="O4" i="10"/>
  <c r="N5" i="10"/>
  <c r="O5" i="10"/>
  <c r="N6" i="10"/>
  <c r="O6" i="10"/>
  <c r="N7" i="10"/>
  <c r="O7" i="10"/>
  <c r="N8" i="10"/>
  <c r="O8" i="10"/>
  <c r="N9" i="10"/>
  <c r="O9" i="10"/>
  <c r="N10" i="10"/>
  <c r="O10" i="10"/>
  <c r="N11" i="10"/>
  <c r="O11" i="10"/>
  <c r="N12" i="10"/>
  <c r="O12" i="10"/>
  <c r="N13" i="10"/>
  <c r="O13" i="10"/>
  <c r="N14" i="10"/>
  <c r="O14" i="10"/>
  <c r="N15" i="10"/>
  <c r="O15" i="10"/>
  <c r="N16" i="10"/>
  <c r="O16" i="10"/>
  <c r="N18" i="10"/>
  <c r="O18" i="10"/>
  <c r="N19" i="10"/>
  <c r="O19" i="10"/>
  <c r="N20" i="10"/>
  <c r="O20" i="10"/>
  <c r="N21" i="10"/>
  <c r="O21" i="10"/>
  <c r="N22" i="10"/>
  <c r="O22" i="10"/>
  <c r="N23" i="10"/>
  <c r="O23" i="10"/>
  <c r="N24" i="10"/>
  <c r="O24" i="10"/>
  <c r="N25" i="10"/>
  <c r="O25" i="10"/>
  <c r="N26" i="10"/>
  <c r="O26" i="10"/>
  <c r="N27" i="10"/>
  <c r="O27" i="10"/>
  <c r="N28" i="10"/>
  <c r="O28" i="10"/>
  <c r="N29" i="10"/>
  <c r="O29" i="10"/>
  <c r="N30" i="10"/>
  <c r="O30" i="10"/>
  <c r="N31" i="10"/>
  <c r="O31" i="10"/>
  <c r="N32" i="10"/>
  <c r="O32" i="10"/>
  <c r="N33" i="10"/>
  <c r="O33" i="10"/>
  <c r="N34" i="10"/>
  <c r="O34" i="10"/>
  <c r="N35" i="10"/>
  <c r="O35" i="10"/>
  <c r="N36" i="10"/>
  <c r="O36" i="10"/>
  <c r="N37" i="10"/>
  <c r="O37" i="10"/>
  <c r="N38" i="10"/>
  <c r="O38" i="10"/>
  <c r="N39" i="10"/>
  <c r="O39" i="10"/>
  <c r="N40" i="10"/>
  <c r="O40" i="10"/>
  <c r="N41" i="10"/>
  <c r="O41" i="10"/>
  <c r="N42" i="10"/>
  <c r="O42" i="10"/>
  <c r="N43" i="10"/>
  <c r="O43" i="10"/>
  <c r="N44" i="10"/>
  <c r="O44" i="10"/>
  <c r="N45" i="10"/>
  <c r="O45" i="10"/>
  <c r="N46" i="10"/>
  <c r="O46" i="10"/>
  <c r="N47" i="10"/>
  <c r="O47" i="10"/>
  <c r="N48" i="10"/>
  <c r="O48" i="10"/>
  <c r="N49" i="10"/>
  <c r="O49" i="10"/>
  <c r="N50" i="10"/>
  <c r="O50" i="10"/>
  <c r="N51" i="10"/>
  <c r="O51" i="10"/>
  <c r="N52" i="10"/>
  <c r="O52" i="10"/>
  <c r="N53" i="10"/>
  <c r="O53" i="10"/>
  <c r="N54" i="10"/>
  <c r="O54" i="10"/>
  <c r="N55" i="10"/>
  <c r="O55" i="10"/>
  <c r="N56" i="10"/>
  <c r="O56" i="10"/>
  <c r="N57" i="10"/>
  <c r="O57" i="10"/>
  <c r="N58" i="10"/>
  <c r="O58" i="10"/>
  <c r="N59" i="10"/>
  <c r="O59" i="10"/>
  <c r="N60" i="10"/>
  <c r="O60" i="10"/>
  <c r="N61" i="10"/>
  <c r="O61" i="10"/>
  <c r="N62" i="10"/>
  <c r="O62" i="10"/>
  <c r="N63" i="10"/>
  <c r="O63" i="10"/>
  <c r="N64" i="10"/>
  <c r="O64" i="10"/>
  <c r="N65" i="10"/>
  <c r="O65" i="10"/>
  <c r="N66" i="10"/>
  <c r="O66" i="10"/>
  <c r="N67" i="10"/>
  <c r="O67" i="10"/>
  <c r="N68" i="10"/>
  <c r="O68" i="10"/>
  <c r="N69" i="10"/>
  <c r="O69" i="10"/>
  <c r="N70" i="10"/>
  <c r="O70" i="10"/>
  <c r="N71" i="10"/>
  <c r="O71" i="10"/>
  <c r="N72" i="10"/>
  <c r="O72" i="10"/>
  <c r="N73" i="10"/>
  <c r="O73" i="10"/>
  <c r="N74" i="10"/>
  <c r="O74" i="10"/>
  <c r="N75" i="10"/>
  <c r="O75" i="10"/>
  <c r="N76" i="10"/>
  <c r="O76" i="10"/>
  <c r="N77" i="10"/>
  <c r="O77" i="10"/>
  <c r="N78" i="10"/>
  <c r="O78" i="10"/>
  <c r="N79" i="10"/>
  <c r="O79" i="10"/>
  <c r="N80" i="10"/>
  <c r="O80" i="10"/>
  <c r="N81" i="10"/>
  <c r="O81" i="10"/>
  <c r="N82" i="10"/>
  <c r="O82" i="10"/>
  <c r="N83" i="10"/>
  <c r="O83" i="10"/>
  <c r="N84" i="10"/>
  <c r="O84" i="10"/>
  <c r="N85" i="10"/>
  <c r="O85" i="10"/>
  <c r="N86" i="10"/>
  <c r="O86" i="10"/>
  <c r="N87" i="10"/>
  <c r="O87" i="10"/>
  <c r="N88" i="10"/>
  <c r="O88" i="10"/>
  <c r="N89" i="10"/>
  <c r="O89" i="10"/>
  <c r="N90" i="10"/>
  <c r="O90" i="10"/>
  <c r="N91" i="10"/>
  <c r="O91" i="10"/>
  <c r="N92" i="10"/>
  <c r="O92" i="10"/>
  <c r="N93" i="10"/>
  <c r="O93" i="10"/>
  <c r="N94" i="10"/>
  <c r="O94" i="10"/>
  <c r="N95" i="10"/>
  <c r="O95" i="10"/>
  <c r="N96" i="10"/>
  <c r="O96" i="10"/>
  <c r="N97" i="10"/>
  <c r="O97" i="10"/>
  <c r="N98" i="10"/>
  <c r="O98" i="10"/>
  <c r="N99" i="10"/>
  <c r="O99" i="10"/>
  <c r="N100" i="10"/>
  <c r="O100" i="10"/>
  <c r="N101" i="10"/>
  <c r="O101" i="10"/>
  <c r="N102" i="10"/>
  <c r="O102" i="10"/>
  <c r="N103" i="10"/>
  <c r="O103" i="10"/>
  <c r="N104" i="10"/>
  <c r="O104" i="10"/>
  <c r="N105" i="10"/>
  <c r="O105" i="10"/>
  <c r="N106" i="10"/>
  <c r="O106" i="10"/>
  <c r="N107" i="10"/>
  <c r="O107" i="10"/>
  <c r="N108" i="10"/>
  <c r="O108" i="10"/>
  <c r="N109" i="10"/>
  <c r="O109" i="10"/>
  <c r="N110" i="10"/>
  <c r="O110" i="10"/>
  <c r="N111" i="10"/>
  <c r="O111" i="10"/>
  <c r="N112" i="10"/>
  <c r="O112" i="10"/>
  <c r="N113" i="10"/>
  <c r="O113" i="10"/>
  <c r="N114" i="10"/>
  <c r="O114" i="10"/>
  <c r="N115" i="10"/>
  <c r="O115" i="10"/>
  <c r="N116" i="10"/>
  <c r="O116" i="10"/>
  <c r="N117" i="10"/>
  <c r="O117" i="10"/>
  <c r="N118" i="10"/>
  <c r="O118" i="10"/>
  <c r="N119" i="10"/>
  <c r="O119" i="10"/>
  <c r="N120" i="10"/>
  <c r="O120" i="10"/>
  <c r="N121" i="10"/>
  <c r="O121" i="10"/>
  <c r="N122" i="10"/>
  <c r="O122" i="10"/>
  <c r="N123" i="10"/>
  <c r="O123" i="10"/>
  <c r="N124" i="10"/>
  <c r="O124" i="10"/>
  <c r="N125" i="10"/>
  <c r="O125" i="10"/>
  <c r="N126" i="10"/>
  <c r="O126" i="10"/>
  <c r="N127" i="10"/>
  <c r="O127" i="10"/>
  <c r="N128" i="10"/>
  <c r="O128" i="10"/>
  <c r="N129" i="10"/>
  <c r="O129" i="10"/>
  <c r="N130" i="10"/>
  <c r="O130" i="10"/>
  <c r="N131" i="10"/>
  <c r="O131" i="10"/>
  <c r="N132" i="10"/>
  <c r="O132" i="10"/>
  <c r="N133" i="10"/>
  <c r="O133" i="10"/>
  <c r="N134" i="10"/>
  <c r="O134" i="10"/>
  <c r="N135" i="10"/>
  <c r="O135" i="10"/>
  <c r="N136" i="10"/>
  <c r="O136" i="10"/>
  <c r="N137" i="10"/>
  <c r="O137" i="10"/>
  <c r="N138" i="10"/>
  <c r="O138" i="10"/>
  <c r="N139" i="10"/>
  <c r="O139" i="10"/>
  <c r="N140" i="10"/>
  <c r="O140" i="10"/>
  <c r="N141" i="10"/>
  <c r="O141" i="10"/>
  <c r="N142" i="10"/>
  <c r="O142" i="10"/>
  <c r="N143" i="10"/>
  <c r="O143" i="10"/>
  <c r="N144" i="10"/>
  <c r="O144" i="10"/>
  <c r="N145" i="10"/>
  <c r="O145" i="10"/>
  <c r="N146" i="10"/>
  <c r="O146" i="10"/>
  <c r="N147" i="10"/>
  <c r="O147" i="10"/>
  <c r="N148" i="10"/>
  <c r="O148" i="10"/>
  <c r="N149" i="10"/>
  <c r="O149" i="10"/>
  <c r="N150" i="10"/>
  <c r="O150" i="10"/>
  <c r="N151" i="10"/>
  <c r="O151" i="10"/>
  <c r="N152" i="10"/>
  <c r="O152" i="10"/>
  <c r="N153" i="10"/>
  <c r="O153" i="10"/>
  <c r="N154" i="10"/>
  <c r="O154" i="10"/>
  <c r="N155" i="10"/>
  <c r="O155" i="10"/>
  <c r="N156" i="10"/>
  <c r="O156" i="10"/>
  <c r="N157" i="10"/>
  <c r="O157" i="10"/>
  <c r="N158" i="10"/>
  <c r="O158" i="10"/>
  <c r="N159" i="10"/>
  <c r="O159" i="10"/>
  <c r="N160" i="10"/>
  <c r="O160" i="10"/>
  <c r="N161" i="10"/>
  <c r="O161" i="10"/>
  <c r="N162" i="10"/>
  <c r="O162" i="10"/>
  <c r="N163" i="10"/>
  <c r="O163" i="10"/>
  <c r="N164" i="10"/>
  <c r="O164" i="10"/>
  <c r="N165" i="10"/>
  <c r="O165" i="10"/>
  <c r="N166" i="10"/>
  <c r="O166" i="10"/>
  <c r="N167" i="10"/>
  <c r="O167" i="10"/>
  <c r="N168" i="10"/>
  <c r="O168" i="10"/>
  <c r="N169" i="10"/>
  <c r="O169" i="10"/>
  <c r="N170" i="10"/>
  <c r="O170" i="10"/>
  <c r="N171" i="10"/>
  <c r="O171" i="10"/>
  <c r="N172" i="10"/>
  <c r="O172" i="10"/>
  <c r="N173" i="10"/>
  <c r="O173" i="10"/>
  <c r="N174" i="10"/>
  <c r="O174" i="10"/>
  <c r="N175" i="10"/>
  <c r="O175" i="10"/>
  <c r="N176" i="10"/>
  <c r="O176" i="10"/>
  <c r="N177" i="10"/>
  <c r="O177" i="10"/>
  <c r="N178" i="10"/>
  <c r="O178" i="10"/>
  <c r="N179" i="10"/>
  <c r="O179" i="10"/>
  <c r="N180" i="10"/>
  <c r="O180" i="10"/>
  <c r="N181" i="10"/>
  <c r="O181" i="10"/>
  <c r="N182" i="10"/>
  <c r="O182" i="10"/>
  <c r="N183" i="10"/>
  <c r="O183" i="10"/>
  <c r="N184" i="10"/>
  <c r="O184" i="10"/>
  <c r="N185" i="10"/>
  <c r="O185" i="10"/>
  <c r="N186" i="10"/>
  <c r="O186" i="10"/>
  <c r="N187" i="10"/>
  <c r="O187" i="10"/>
  <c r="N188" i="10"/>
  <c r="O188" i="10"/>
  <c r="N189" i="10"/>
  <c r="O189" i="10"/>
  <c r="N190" i="10"/>
  <c r="O190" i="10"/>
  <c r="N191" i="10"/>
  <c r="O191" i="10"/>
  <c r="N192" i="10"/>
  <c r="O192" i="10"/>
  <c r="N193" i="10"/>
  <c r="O193" i="10"/>
  <c r="N194" i="10"/>
  <c r="O194" i="10"/>
  <c r="N195" i="10"/>
  <c r="O195" i="10"/>
  <c r="N196" i="10"/>
  <c r="O196" i="10"/>
  <c r="N197" i="10"/>
  <c r="O197" i="10"/>
  <c r="N198" i="10"/>
  <c r="O198" i="10"/>
  <c r="N199" i="10"/>
  <c r="O199" i="10"/>
  <c r="N200" i="10"/>
  <c r="O200" i="10"/>
  <c r="N201" i="10"/>
  <c r="O201" i="10"/>
  <c r="N202" i="10"/>
  <c r="O202" i="10"/>
  <c r="N203" i="10"/>
  <c r="O203" i="10"/>
  <c r="N204" i="10"/>
  <c r="O204" i="10"/>
  <c r="N205" i="10"/>
  <c r="O205" i="10"/>
  <c r="N206" i="10"/>
  <c r="O206" i="10"/>
  <c r="N207" i="10"/>
  <c r="O207" i="10"/>
  <c r="N208" i="10"/>
  <c r="O208" i="10"/>
  <c r="N209" i="10"/>
  <c r="O209" i="10"/>
  <c r="N210" i="10"/>
  <c r="O210" i="10"/>
  <c r="N211" i="10"/>
  <c r="O211" i="10"/>
  <c r="N212" i="10"/>
  <c r="O212" i="10"/>
  <c r="N213" i="10"/>
  <c r="O213" i="10"/>
  <c r="N214" i="10"/>
  <c r="O214" i="10"/>
  <c r="N215" i="10"/>
  <c r="O215" i="10"/>
  <c r="N216" i="10"/>
  <c r="O216" i="10"/>
  <c r="N217" i="10"/>
  <c r="O217" i="10"/>
  <c r="N218" i="10"/>
  <c r="O218" i="10"/>
  <c r="N219" i="10"/>
  <c r="O219" i="10"/>
  <c r="N220" i="10"/>
  <c r="O220" i="10"/>
  <c r="N221" i="10"/>
  <c r="O221" i="10"/>
  <c r="N222" i="10"/>
  <c r="O222" i="10"/>
  <c r="N223" i="10"/>
  <c r="O223" i="10"/>
  <c r="N224" i="10"/>
  <c r="O224" i="10"/>
  <c r="N225" i="10"/>
  <c r="O225" i="10"/>
  <c r="N226" i="10"/>
  <c r="O226" i="10"/>
  <c r="N227" i="10"/>
  <c r="O227" i="10"/>
  <c r="N228" i="10"/>
  <c r="O228" i="10"/>
  <c r="N229" i="10"/>
  <c r="O229" i="10"/>
  <c r="N230" i="10"/>
  <c r="O230" i="10"/>
  <c r="N231" i="10"/>
  <c r="O231" i="10"/>
  <c r="N232" i="10"/>
  <c r="O232" i="10"/>
  <c r="N233" i="10"/>
  <c r="O233" i="10"/>
  <c r="N234" i="10"/>
  <c r="O234" i="10"/>
  <c r="N235" i="10"/>
  <c r="O235" i="10"/>
  <c r="N236" i="10"/>
  <c r="O236" i="10"/>
  <c r="N237" i="10"/>
  <c r="O237" i="10"/>
  <c r="N238" i="10"/>
  <c r="O238" i="10"/>
  <c r="N239" i="10"/>
  <c r="O239" i="10"/>
  <c r="N240" i="10"/>
  <c r="O240" i="10"/>
  <c r="N241" i="10"/>
  <c r="O241" i="10"/>
  <c r="N242" i="10"/>
  <c r="O242" i="10"/>
  <c r="N243" i="10"/>
  <c r="O243" i="10"/>
  <c r="N244" i="10"/>
  <c r="O244" i="10"/>
  <c r="N245" i="10"/>
  <c r="O245" i="10"/>
  <c r="N246" i="10"/>
  <c r="O246" i="10"/>
  <c r="N247" i="10"/>
  <c r="O247" i="10"/>
  <c r="N248" i="10"/>
  <c r="O248" i="10"/>
  <c r="N249" i="10"/>
  <c r="O249" i="10"/>
  <c r="N250" i="10"/>
  <c r="O250" i="10"/>
  <c r="N251" i="10"/>
  <c r="O251" i="10"/>
  <c r="N252" i="10"/>
  <c r="O252" i="10"/>
  <c r="N253" i="10"/>
  <c r="O253" i="10"/>
  <c r="N254" i="10"/>
  <c r="O254" i="10"/>
  <c r="N255" i="10"/>
  <c r="O255" i="10"/>
  <c r="N256" i="10"/>
  <c r="O256" i="10"/>
  <c r="N257" i="10"/>
  <c r="O257" i="10"/>
  <c r="N258" i="10"/>
  <c r="O258" i="10"/>
  <c r="N259" i="10"/>
  <c r="O259" i="10"/>
  <c r="N260" i="10"/>
  <c r="O260" i="10"/>
  <c r="N261" i="10"/>
  <c r="O261" i="10"/>
  <c r="N262" i="10"/>
  <c r="O262" i="10"/>
  <c r="N263" i="10"/>
  <c r="O263" i="10"/>
  <c r="N264" i="10"/>
  <c r="O264" i="10"/>
  <c r="N265" i="10"/>
  <c r="O265" i="10"/>
  <c r="N266" i="10"/>
  <c r="O266" i="10"/>
  <c r="N267" i="10"/>
  <c r="O267" i="10"/>
  <c r="N268" i="10"/>
  <c r="O268" i="10"/>
  <c r="N269" i="10"/>
  <c r="O269" i="10"/>
  <c r="N270" i="10"/>
  <c r="O270" i="10"/>
  <c r="N271" i="10"/>
  <c r="O271" i="10"/>
  <c r="N272" i="10"/>
  <c r="O272" i="10"/>
  <c r="N273" i="10"/>
  <c r="O273" i="10"/>
  <c r="N274" i="10"/>
  <c r="O274" i="10"/>
  <c r="N275" i="10"/>
  <c r="O275" i="10"/>
  <c r="N276" i="10"/>
  <c r="O276" i="10"/>
  <c r="N277" i="10"/>
  <c r="O277" i="10"/>
  <c r="N278" i="10"/>
  <c r="O278" i="10"/>
  <c r="N279" i="10"/>
  <c r="O279" i="10"/>
  <c r="N280" i="10"/>
  <c r="O280" i="10"/>
  <c r="N281" i="10"/>
  <c r="O281" i="10"/>
  <c r="N282" i="10"/>
  <c r="O282" i="10"/>
  <c r="N283" i="10"/>
  <c r="O283" i="10"/>
  <c r="N284" i="10"/>
  <c r="O284" i="10"/>
  <c r="N285" i="10"/>
  <c r="O285" i="10"/>
  <c r="N286" i="10"/>
  <c r="O286" i="10"/>
  <c r="N287" i="10"/>
  <c r="O287" i="10"/>
  <c r="N288" i="10"/>
  <c r="O288" i="10"/>
  <c r="N289" i="10"/>
  <c r="O289" i="10"/>
  <c r="N290" i="10"/>
  <c r="O290" i="10"/>
  <c r="N291" i="10"/>
  <c r="O291" i="10"/>
  <c r="N292" i="10"/>
  <c r="O292" i="10"/>
  <c r="N293" i="10"/>
  <c r="O293" i="10"/>
  <c r="N294" i="10"/>
  <c r="O294" i="10"/>
  <c r="N295" i="10"/>
  <c r="O295" i="10"/>
  <c r="N296" i="10"/>
  <c r="O296" i="10"/>
  <c r="N297" i="10"/>
  <c r="O297" i="10"/>
  <c r="N298" i="10"/>
  <c r="O298" i="10"/>
  <c r="N299" i="10"/>
  <c r="O299" i="10"/>
  <c r="N300" i="10"/>
  <c r="O300" i="10"/>
  <c r="N301" i="10"/>
  <c r="O301" i="10"/>
  <c r="N302" i="10"/>
  <c r="O302" i="10"/>
  <c r="N303" i="10"/>
  <c r="O303" i="10"/>
  <c r="N304" i="10"/>
  <c r="O304" i="10"/>
  <c r="N305" i="10"/>
  <c r="O305" i="10"/>
  <c r="N306" i="10"/>
  <c r="O306" i="10"/>
  <c r="N307" i="10"/>
  <c r="O307" i="10"/>
  <c r="N308" i="10"/>
  <c r="O308" i="10"/>
  <c r="N309" i="10"/>
  <c r="O309" i="10"/>
  <c r="N310" i="10"/>
  <c r="O310" i="10"/>
  <c r="N311" i="10"/>
  <c r="O311" i="10"/>
  <c r="N312" i="10"/>
  <c r="O312" i="10"/>
  <c r="N313" i="10"/>
  <c r="O313" i="10"/>
  <c r="N314" i="10"/>
  <c r="O314" i="10"/>
  <c r="N315" i="10"/>
  <c r="O315" i="10"/>
  <c r="N316" i="10"/>
  <c r="O316" i="10"/>
  <c r="N317" i="10"/>
  <c r="O317" i="10"/>
  <c r="N318" i="10"/>
  <c r="O318" i="10"/>
  <c r="N319" i="10"/>
  <c r="O319" i="10"/>
  <c r="N320" i="10"/>
  <c r="O320" i="10"/>
  <c r="N321" i="10"/>
  <c r="O321" i="10"/>
  <c r="N322" i="10"/>
  <c r="O322" i="10"/>
  <c r="N323" i="10"/>
  <c r="O323" i="10"/>
  <c r="N324" i="10"/>
  <c r="O324" i="10"/>
  <c r="N325" i="10"/>
  <c r="O325" i="10"/>
  <c r="N326" i="10"/>
  <c r="O326" i="10"/>
  <c r="N327" i="10"/>
  <c r="O327" i="10"/>
  <c r="N328" i="10"/>
  <c r="O328" i="10"/>
  <c r="N329" i="10"/>
  <c r="O329" i="10"/>
  <c r="N330" i="10"/>
  <c r="O330" i="10"/>
  <c r="N331" i="10"/>
  <c r="O331" i="10"/>
  <c r="N332" i="10"/>
  <c r="O332" i="10"/>
  <c r="N333" i="10"/>
  <c r="O333" i="10"/>
  <c r="N334" i="10"/>
  <c r="O334" i="10"/>
  <c r="N335" i="10"/>
  <c r="O335" i="10"/>
  <c r="N336" i="10"/>
  <c r="O336" i="10"/>
  <c r="N337" i="10"/>
  <c r="O337" i="10"/>
  <c r="N338" i="10"/>
  <c r="O338" i="10"/>
  <c r="N339" i="10"/>
  <c r="O339" i="10"/>
  <c r="N340" i="10"/>
  <c r="O340" i="10"/>
  <c r="N341" i="10"/>
  <c r="O341" i="10"/>
  <c r="N342" i="10"/>
  <c r="O342" i="10"/>
  <c r="N343" i="10"/>
  <c r="O343" i="10"/>
  <c r="N344" i="10"/>
  <c r="O344" i="10"/>
  <c r="N345" i="10"/>
  <c r="O345" i="10"/>
  <c r="N346" i="10"/>
  <c r="O346" i="10"/>
  <c r="N347" i="10"/>
  <c r="O347" i="10"/>
  <c r="N348" i="10"/>
  <c r="O348" i="10"/>
  <c r="N349" i="10"/>
  <c r="O349" i="10"/>
  <c r="N350" i="10"/>
  <c r="O350" i="10"/>
  <c r="N351" i="10"/>
  <c r="O351" i="10"/>
  <c r="N352" i="10"/>
  <c r="O352" i="10"/>
  <c r="N353" i="10"/>
  <c r="O353" i="10"/>
  <c r="N354" i="10"/>
  <c r="O354" i="10"/>
  <c r="N355" i="10"/>
  <c r="O355" i="10"/>
  <c r="N356" i="10"/>
  <c r="O356" i="10"/>
  <c r="N357" i="10"/>
  <c r="O357" i="10"/>
  <c r="N358" i="10"/>
  <c r="O358" i="10"/>
  <c r="N359" i="10"/>
  <c r="O359" i="10"/>
  <c r="N360" i="10"/>
  <c r="O360" i="10"/>
  <c r="N361" i="10"/>
  <c r="O361" i="10"/>
  <c r="N362" i="10"/>
  <c r="O362" i="10"/>
  <c r="N363" i="10"/>
  <c r="O363" i="10"/>
  <c r="N364" i="10"/>
  <c r="O364" i="10"/>
  <c r="N365" i="10"/>
  <c r="O365" i="10"/>
  <c r="N366" i="10"/>
  <c r="O366" i="10"/>
  <c r="N367" i="10"/>
  <c r="O367" i="10"/>
  <c r="N368" i="10"/>
  <c r="O368" i="10"/>
  <c r="N369" i="10"/>
  <c r="O369" i="10"/>
  <c r="N370" i="10"/>
  <c r="O370" i="10"/>
  <c r="N371" i="10"/>
  <c r="O371" i="10"/>
  <c r="N372" i="10"/>
  <c r="O372" i="10"/>
  <c r="N373" i="10"/>
  <c r="O373" i="10"/>
  <c r="N374" i="10"/>
  <c r="O374" i="10"/>
  <c r="N375" i="10"/>
  <c r="O375" i="10"/>
  <c r="N376" i="10"/>
  <c r="O376" i="10"/>
  <c r="N377" i="10"/>
  <c r="O377" i="10"/>
  <c r="N378" i="10"/>
  <c r="O378" i="10"/>
  <c r="N379" i="10"/>
  <c r="O379" i="10"/>
  <c r="N380" i="10"/>
  <c r="O380" i="10"/>
  <c r="N381" i="10"/>
  <c r="O381" i="10"/>
  <c r="N382" i="10"/>
  <c r="O382" i="10"/>
  <c r="N383" i="10"/>
  <c r="O383" i="10"/>
  <c r="N384" i="10"/>
  <c r="O384" i="10"/>
  <c r="N385" i="10"/>
  <c r="O385" i="10"/>
  <c r="N386" i="10"/>
  <c r="O386" i="10"/>
  <c r="N387" i="10"/>
  <c r="O387" i="10"/>
  <c r="N388" i="10"/>
  <c r="O388" i="10"/>
  <c r="N389" i="10"/>
  <c r="O389" i="10"/>
  <c r="N390" i="10"/>
  <c r="O390" i="10"/>
  <c r="N391" i="10"/>
  <c r="O391" i="10"/>
  <c r="N392" i="10"/>
  <c r="O392" i="10"/>
  <c r="N393" i="10"/>
  <c r="O393" i="10"/>
  <c r="N394" i="10"/>
  <c r="O394" i="10"/>
  <c r="N395" i="10"/>
  <c r="O395" i="10"/>
  <c r="N396" i="10"/>
  <c r="O396" i="10"/>
  <c r="N397" i="10"/>
  <c r="O397" i="10"/>
  <c r="N398" i="10"/>
  <c r="O398" i="10"/>
  <c r="N399" i="10"/>
  <c r="O399" i="10"/>
  <c r="N400" i="10"/>
  <c r="O400" i="10"/>
  <c r="N401" i="10"/>
  <c r="O401" i="10"/>
  <c r="N402" i="10"/>
  <c r="O402" i="10"/>
  <c r="N403" i="10"/>
  <c r="O403" i="10"/>
  <c r="N404" i="10"/>
  <c r="O404" i="10"/>
  <c r="N405" i="10"/>
  <c r="O405" i="10"/>
  <c r="N406" i="10"/>
  <c r="O406" i="10"/>
  <c r="N407" i="10"/>
  <c r="O407" i="10"/>
  <c r="N408" i="10"/>
  <c r="O408" i="10"/>
  <c r="N409" i="10"/>
  <c r="O409" i="10"/>
  <c r="N410" i="10"/>
  <c r="O410" i="10"/>
  <c r="N411" i="10"/>
  <c r="O411" i="10"/>
  <c r="N412" i="10"/>
  <c r="O412" i="10"/>
  <c r="N413" i="10"/>
  <c r="O413" i="10"/>
  <c r="N414" i="10"/>
  <c r="O414" i="10"/>
  <c r="N415" i="10"/>
  <c r="O415" i="10"/>
  <c r="N416" i="10"/>
  <c r="O416" i="10"/>
  <c r="N417" i="10"/>
  <c r="O417" i="10"/>
  <c r="N418" i="10"/>
  <c r="O418" i="10"/>
  <c r="N419" i="10"/>
  <c r="O419" i="10"/>
  <c r="N420" i="10"/>
  <c r="O420" i="10"/>
  <c r="N421" i="10"/>
  <c r="O421" i="10"/>
  <c r="N422" i="10"/>
  <c r="O422" i="10"/>
  <c r="N423" i="10"/>
  <c r="O423" i="10"/>
  <c r="N424" i="10"/>
  <c r="O424" i="10"/>
  <c r="N425" i="10"/>
  <c r="O425" i="10"/>
  <c r="N426" i="10"/>
  <c r="O426" i="10"/>
  <c r="N427" i="10"/>
  <c r="O427" i="10"/>
  <c r="N428" i="10"/>
  <c r="O428" i="10"/>
  <c r="N429" i="10"/>
  <c r="O429" i="10"/>
  <c r="N430" i="10"/>
  <c r="O430" i="10"/>
  <c r="N431" i="10"/>
  <c r="O431" i="10"/>
  <c r="N432" i="10"/>
  <c r="O432" i="10"/>
  <c r="N433" i="10"/>
  <c r="O433" i="10"/>
  <c r="N434" i="10"/>
  <c r="O434" i="10"/>
  <c r="N435" i="10"/>
  <c r="O435" i="10"/>
  <c r="N436" i="10"/>
  <c r="O436" i="10"/>
  <c r="N437" i="10"/>
  <c r="O437" i="10"/>
  <c r="N438" i="10"/>
  <c r="O438" i="10"/>
  <c r="N439" i="10"/>
  <c r="O439" i="10"/>
  <c r="N440" i="10"/>
  <c r="O440" i="10"/>
  <c r="N441" i="10"/>
  <c r="O441" i="10"/>
  <c r="N442" i="10"/>
  <c r="O442" i="10"/>
  <c r="N443" i="10"/>
  <c r="O443" i="10"/>
  <c r="N444" i="10"/>
  <c r="O444" i="10"/>
  <c r="N445" i="10"/>
  <c r="O445" i="10"/>
  <c r="N446" i="10"/>
  <c r="O446" i="10"/>
  <c r="N447" i="10"/>
  <c r="O447" i="10"/>
  <c r="N448" i="10"/>
  <c r="O448" i="10"/>
  <c r="N449" i="10"/>
  <c r="O449" i="10"/>
  <c r="N450" i="10"/>
  <c r="O450" i="10"/>
  <c r="N451" i="10"/>
  <c r="O451" i="10"/>
  <c r="N452" i="10"/>
  <c r="O452" i="10"/>
  <c r="N453" i="10"/>
  <c r="O453" i="10"/>
  <c r="N454" i="10"/>
  <c r="O454" i="10"/>
  <c r="N455" i="10"/>
  <c r="O455" i="10"/>
  <c r="N456" i="10"/>
  <c r="O456" i="10"/>
  <c r="N457" i="10"/>
  <c r="O457" i="10"/>
  <c r="N458" i="10"/>
  <c r="O458" i="10"/>
  <c r="N459" i="10"/>
  <c r="O459" i="10"/>
  <c r="N460" i="10"/>
  <c r="O460" i="10"/>
  <c r="N461" i="10"/>
  <c r="O461" i="10"/>
  <c r="N462" i="10"/>
  <c r="O462" i="10"/>
  <c r="N463" i="10"/>
  <c r="O463" i="10"/>
  <c r="N464" i="10"/>
  <c r="O464" i="10"/>
  <c r="N465" i="10"/>
  <c r="O465" i="10"/>
  <c r="N466" i="10"/>
  <c r="O466" i="10"/>
  <c r="N467" i="10"/>
  <c r="O467" i="10"/>
  <c r="N468" i="10"/>
  <c r="O468" i="10"/>
  <c r="N469" i="10"/>
  <c r="O469" i="10"/>
  <c r="N470" i="10"/>
  <c r="O470" i="10"/>
  <c r="N471" i="10"/>
  <c r="O471" i="10"/>
  <c r="N472" i="10"/>
  <c r="O472" i="10"/>
  <c r="N473" i="10"/>
  <c r="O473" i="10"/>
  <c r="N474" i="10"/>
  <c r="O474" i="10"/>
  <c r="N475" i="10"/>
  <c r="O475" i="10"/>
  <c r="N476" i="10"/>
  <c r="O476" i="10"/>
  <c r="N477" i="10"/>
  <c r="O477" i="10"/>
  <c r="N478" i="10"/>
  <c r="O478" i="10"/>
  <c r="N479" i="10"/>
  <c r="O479" i="10"/>
  <c r="N480" i="10"/>
  <c r="O480" i="10"/>
  <c r="N481" i="10"/>
  <c r="O481" i="10"/>
  <c r="N482" i="10"/>
  <c r="O482" i="10"/>
  <c r="N483" i="10"/>
  <c r="O483" i="10"/>
  <c r="N484" i="10"/>
  <c r="O484" i="10"/>
  <c r="N485" i="10"/>
  <c r="O485" i="10"/>
  <c r="N486" i="10"/>
  <c r="O486" i="10"/>
  <c r="N487" i="10"/>
  <c r="O487" i="10"/>
  <c r="N488" i="10"/>
  <c r="O488" i="10"/>
  <c r="N489" i="10"/>
  <c r="O489" i="10"/>
  <c r="N490" i="10"/>
  <c r="O490" i="10"/>
  <c r="N491" i="10"/>
  <c r="O491" i="10"/>
  <c r="N492" i="10"/>
  <c r="O492" i="10"/>
  <c r="N493" i="10"/>
  <c r="O493" i="10"/>
  <c r="N494" i="10"/>
  <c r="O494" i="10"/>
  <c r="N495" i="10"/>
  <c r="O495" i="10"/>
  <c r="N496" i="10"/>
  <c r="O496" i="10"/>
  <c r="N497" i="10"/>
  <c r="O497" i="10"/>
  <c r="N498" i="10"/>
  <c r="O498" i="10"/>
  <c r="N499" i="10"/>
  <c r="O499" i="10"/>
  <c r="N500" i="10"/>
  <c r="O500" i="10"/>
  <c r="N501" i="10"/>
  <c r="O501" i="10"/>
  <c r="N502" i="10"/>
  <c r="O502" i="10"/>
  <c r="N503" i="10"/>
  <c r="O503" i="10"/>
  <c r="N504" i="10"/>
  <c r="O504" i="10"/>
  <c r="N505" i="10"/>
  <c r="O505" i="10"/>
  <c r="N506" i="10"/>
  <c r="O506" i="10"/>
  <c r="N507" i="10"/>
  <c r="O507" i="10"/>
  <c r="N508" i="10"/>
  <c r="O508" i="10"/>
  <c r="N509" i="10"/>
  <c r="O509" i="10"/>
  <c r="N510" i="10"/>
  <c r="O510" i="10"/>
  <c r="N511" i="10"/>
  <c r="O511" i="10"/>
  <c r="N512" i="10"/>
  <c r="O512" i="10"/>
  <c r="N513" i="10"/>
  <c r="O513" i="10"/>
  <c r="N514" i="10"/>
  <c r="O514" i="10"/>
  <c r="N515" i="10"/>
  <c r="O515" i="10"/>
  <c r="N516" i="10"/>
  <c r="O516" i="10"/>
  <c r="N517" i="10"/>
  <c r="O517" i="10"/>
  <c r="N518" i="10"/>
  <c r="O518" i="10"/>
  <c r="N519" i="10"/>
  <c r="O519" i="10"/>
  <c r="N520" i="10"/>
  <c r="O520" i="10"/>
  <c r="N521" i="10"/>
  <c r="O521" i="10"/>
  <c r="N522" i="10"/>
  <c r="O522" i="10"/>
  <c r="N523" i="10"/>
  <c r="O523" i="10"/>
  <c r="N524" i="10"/>
  <c r="O524" i="10"/>
  <c r="N525" i="10"/>
  <c r="O525" i="10"/>
  <c r="N526" i="10"/>
  <c r="O526" i="10"/>
  <c r="N527" i="10"/>
  <c r="O527" i="10"/>
  <c r="N528" i="10"/>
  <c r="O528" i="10"/>
  <c r="N529" i="10"/>
  <c r="O529" i="10"/>
  <c r="N530" i="10"/>
  <c r="O530" i="10"/>
  <c r="N531" i="10"/>
  <c r="O531" i="10"/>
  <c r="N532" i="10"/>
  <c r="O532" i="10"/>
  <c r="N533" i="10"/>
  <c r="O533" i="10"/>
  <c r="N534" i="10"/>
  <c r="O534" i="10"/>
  <c r="N535" i="10"/>
  <c r="O535" i="10"/>
  <c r="N536" i="10"/>
  <c r="O536" i="10"/>
  <c r="N537" i="10"/>
  <c r="O537" i="10"/>
  <c r="N538" i="10"/>
  <c r="O538" i="10"/>
  <c r="N539" i="10"/>
  <c r="O539" i="10"/>
  <c r="N540" i="10"/>
  <c r="O540" i="10"/>
  <c r="N541" i="10"/>
  <c r="O541" i="10"/>
  <c r="N542" i="10"/>
  <c r="O542" i="10"/>
  <c r="N543" i="10"/>
  <c r="O543" i="10"/>
  <c r="N544" i="10"/>
  <c r="O544" i="10"/>
  <c r="N545" i="10"/>
  <c r="O545" i="10"/>
  <c r="N546" i="10"/>
  <c r="O546" i="10"/>
  <c r="N547" i="10"/>
  <c r="O547" i="10"/>
  <c r="N548" i="10"/>
  <c r="O548" i="10"/>
  <c r="N549" i="10"/>
  <c r="O549" i="10"/>
  <c r="N550" i="10"/>
  <c r="O550" i="10"/>
  <c r="N551" i="10"/>
  <c r="O551" i="10"/>
  <c r="N552" i="10"/>
  <c r="O552" i="10"/>
  <c r="N553" i="10"/>
  <c r="O553" i="10"/>
  <c r="N554" i="10"/>
  <c r="O554" i="10"/>
  <c r="N555" i="10"/>
  <c r="O555" i="10"/>
  <c r="N556" i="10"/>
  <c r="O556" i="10"/>
  <c r="N557" i="10"/>
  <c r="O557" i="10"/>
  <c r="N558" i="10"/>
  <c r="O558" i="10"/>
  <c r="N559" i="10"/>
  <c r="O559" i="10"/>
  <c r="N560" i="10"/>
  <c r="O560" i="10"/>
  <c r="N561" i="10"/>
  <c r="O561" i="10"/>
  <c r="N562" i="10"/>
  <c r="O562" i="10"/>
  <c r="N563" i="10"/>
  <c r="O563" i="10"/>
  <c r="N564" i="10"/>
  <c r="O564" i="10"/>
  <c r="N565" i="10"/>
  <c r="O565" i="10"/>
  <c r="N566" i="10"/>
  <c r="O566" i="10"/>
  <c r="N567" i="10"/>
  <c r="O567" i="10"/>
  <c r="N568" i="10"/>
  <c r="O568" i="10"/>
  <c r="N569" i="10"/>
  <c r="O569" i="10"/>
  <c r="N570" i="10"/>
  <c r="O570" i="10"/>
  <c r="N571" i="10"/>
  <c r="O571" i="10"/>
  <c r="N572" i="10"/>
  <c r="O572" i="10"/>
  <c r="N573" i="10"/>
  <c r="O573" i="10"/>
  <c r="N574" i="10"/>
  <c r="O574" i="10"/>
  <c r="N575" i="10"/>
  <c r="O575" i="10"/>
  <c r="N576" i="10"/>
  <c r="O576" i="10"/>
  <c r="N577" i="10"/>
  <c r="O577" i="10"/>
  <c r="N578" i="10"/>
  <c r="O578" i="10"/>
  <c r="N579" i="10"/>
  <c r="O579" i="10"/>
  <c r="N580" i="10"/>
  <c r="O580" i="10"/>
  <c r="N581" i="10"/>
  <c r="O581" i="10"/>
  <c r="N582" i="10"/>
  <c r="O582" i="10"/>
  <c r="N583" i="10"/>
  <c r="O583" i="10"/>
  <c r="N584" i="10"/>
  <c r="O584" i="10"/>
  <c r="N585" i="10"/>
  <c r="O585" i="10"/>
  <c r="N586" i="10"/>
  <c r="O586" i="10"/>
  <c r="N587" i="10"/>
  <c r="O587" i="10"/>
  <c r="N588" i="10"/>
  <c r="O588" i="10"/>
  <c r="N589" i="10"/>
  <c r="O589" i="10"/>
  <c r="N590" i="10"/>
  <c r="O590" i="10"/>
  <c r="N591" i="10"/>
  <c r="O591" i="10"/>
  <c r="N592" i="10"/>
  <c r="O592" i="10"/>
  <c r="N593" i="10"/>
  <c r="O593" i="10"/>
  <c r="N594" i="10"/>
  <c r="O594" i="10"/>
  <c r="N595" i="10"/>
  <c r="O595" i="10"/>
  <c r="N596" i="10"/>
  <c r="O596" i="10"/>
  <c r="N597" i="10"/>
  <c r="O597" i="10"/>
  <c r="N598" i="10"/>
  <c r="O598" i="10"/>
  <c r="N599" i="10"/>
  <c r="O599" i="10"/>
  <c r="N600" i="10"/>
  <c r="O600" i="10"/>
  <c r="N601" i="10"/>
  <c r="O601" i="10"/>
  <c r="N602" i="10"/>
  <c r="O602" i="10"/>
  <c r="N603" i="10"/>
  <c r="O603" i="10"/>
  <c r="N604" i="10"/>
  <c r="O604" i="10"/>
  <c r="N605" i="10"/>
  <c r="O605" i="10"/>
  <c r="N606" i="10"/>
  <c r="O606" i="10"/>
  <c r="N607" i="10"/>
  <c r="O607" i="10"/>
  <c r="N608" i="10"/>
  <c r="O608" i="10"/>
  <c r="N609" i="10"/>
  <c r="O609" i="10"/>
  <c r="N610" i="10"/>
  <c r="O610" i="10"/>
  <c r="N611" i="10"/>
  <c r="O611" i="10"/>
  <c r="N612" i="10"/>
  <c r="O612" i="10"/>
  <c r="N613" i="10"/>
  <c r="O613" i="10"/>
  <c r="N614" i="10"/>
  <c r="O614" i="10"/>
  <c r="N615" i="10"/>
  <c r="O615" i="10"/>
  <c r="N616" i="10"/>
  <c r="O616" i="10"/>
  <c r="N617" i="10"/>
  <c r="O617" i="10"/>
  <c r="N618" i="10"/>
  <c r="O618" i="10"/>
  <c r="N619" i="10"/>
  <c r="O619" i="10"/>
  <c r="N620" i="10"/>
  <c r="O620" i="10"/>
  <c r="N621" i="10"/>
  <c r="O621" i="10"/>
  <c r="N622" i="10"/>
  <c r="O622" i="10"/>
  <c r="N623" i="10"/>
  <c r="O623" i="10"/>
  <c r="N624" i="10"/>
  <c r="O624" i="10"/>
  <c r="N625" i="10"/>
  <c r="O625" i="10"/>
  <c r="N626" i="10"/>
  <c r="O626" i="10"/>
  <c r="N627" i="10"/>
  <c r="O627" i="10"/>
  <c r="N628" i="10"/>
  <c r="O628" i="10"/>
  <c r="N629" i="10"/>
  <c r="O629" i="10"/>
  <c r="N630" i="10"/>
  <c r="O630" i="10"/>
  <c r="N631" i="10"/>
  <c r="O631" i="10"/>
  <c r="N632" i="10"/>
  <c r="O632" i="10"/>
  <c r="N633" i="10"/>
  <c r="O633" i="10"/>
  <c r="N634" i="10"/>
  <c r="O634" i="10"/>
  <c r="N635" i="10"/>
  <c r="O635" i="10"/>
  <c r="N636" i="10"/>
  <c r="O636" i="10"/>
  <c r="N637" i="10"/>
  <c r="O637" i="10"/>
  <c r="N638" i="10"/>
  <c r="O638" i="10"/>
  <c r="N639" i="10"/>
  <c r="O639" i="10"/>
  <c r="N640" i="10"/>
  <c r="O640" i="10"/>
  <c r="N641" i="10"/>
  <c r="O641" i="10"/>
  <c r="N642" i="10"/>
  <c r="O642" i="10"/>
  <c r="N643" i="10"/>
  <c r="O643" i="10"/>
  <c r="N644" i="10"/>
  <c r="O644" i="10"/>
  <c r="N645" i="10"/>
  <c r="O645" i="10"/>
  <c r="N646" i="10"/>
  <c r="O646" i="10"/>
  <c r="N647" i="10"/>
  <c r="O647" i="10"/>
  <c r="N648" i="10"/>
  <c r="O648" i="10"/>
  <c r="N649" i="10"/>
  <c r="O649" i="10"/>
  <c r="N650" i="10"/>
  <c r="O650" i="10"/>
  <c r="N651" i="10"/>
  <c r="O651" i="10"/>
  <c r="N652" i="10"/>
  <c r="O652" i="10"/>
  <c r="N653" i="10"/>
  <c r="O653" i="10"/>
  <c r="N654" i="10"/>
  <c r="O654" i="10"/>
  <c r="N655" i="10"/>
  <c r="O655" i="10"/>
  <c r="N656" i="10"/>
  <c r="O656" i="10"/>
  <c r="N657" i="10"/>
  <c r="O657" i="10"/>
  <c r="N658" i="10"/>
  <c r="O658" i="10"/>
  <c r="N659" i="10"/>
  <c r="O659" i="10"/>
  <c r="N660" i="10"/>
  <c r="O660" i="10"/>
  <c r="N661" i="10"/>
  <c r="O661" i="10"/>
  <c r="N662" i="10"/>
  <c r="O662" i="10"/>
  <c r="N663" i="10"/>
  <c r="O663" i="10"/>
  <c r="N664" i="10"/>
  <c r="O664" i="10"/>
  <c r="N665" i="10"/>
  <c r="O665" i="10"/>
  <c r="N666" i="10"/>
  <c r="O666" i="10"/>
  <c r="N667" i="10"/>
  <c r="O667" i="10"/>
  <c r="N668" i="10"/>
  <c r="O668" i="10"/>
  <c r="N669" i="10"/>
  <c r="O669" i="10"/>
  <c r="N670" i="10"/>
  <c r="O670" i="10"/>
  <c r="N671" i="10"/>
  <c r="O671" i="10"/>
  <c r="N672" i="10"/>
  <c r="O672" i="10"/>
  <c r="N673" i="10"/>
  <c r="O673" i="10"/>
  <c r="N674" i="10"/>
  <c r="O674" i="10"/>
  <c r="N675" i="10"/>
  <c r="O675" i="10"/>
  <c r="N676" i="10"/>
  <c r="O676" i="10"/>
  <c r="N677" i="10"/>
  <c r="O677" i="10"/>
  <c r="N678" i="10"/>
  <c r="O678" i="10"/>
  <c r="N679" i="10"/>
  <c r="O679" i="10"/>
  <c r="N680" i="10"/>
  <c r="O680" i="10"/>
  <c r="N681" i="10"/>
  <c r="O681" i="10"/>
  <c r="N682" i="10"/>
  <c r="O682" i="10"/>
  <c r="N683" i="10"/>
  <c r="O683" i="10"/>
  <c r="N684" i="10"/>
  <c r="O684" i="10"/>
  <c r="N685" i="10"/>
  <c r="O685" i="10"/>
  <c r="N686" i="10"/>
  <c r="O686" i="10"/>
  <c r="N687" i="10"/>
  <c r="O687" i="10"/>
  <c r="N688" i="10"/>
  <c r="O688" i="10"/>
  <c r="N689" i="10"/>
  <c r="O689" i="10"/>
  <c r="N690" i="10"/>
  <c r="O690" i="10"/>
  <c r="N691" i="10"/>
  <c r="O691" i="10"/>
  <c r="N692" i="10"/>
  <c r="O692" i="10"/>
  <c r="N693" i="10"/>
  <c r="O693" i="10"/>
  <c r="N694" i="10"/>
  <c r="O694" i="10"/>
  <c r="N695" i="10"/>
  <c r="O695" i="10"/>
  <c r="N696" i="10"/>
  <c r="O696" i="10"/>
  <c r="N697" i="10"/>
  <c r="O697" i="10"/>
  <c r="N698" i="10"/>
  <c r="O698" i="10"/>
  <c r="N699" i="10"/>
  <c r="O699" i="10"/>
  <c r="N700" i="10"/>
  <c r="O700" i="10"/>
  <c r="N701" i="10"/>
  <c r="O701" i="10"/>
  <c r="N702" i="10"/>
  <c r="O702" i="10"/>
  <c r="N703" i="10"/>
  <c r="O703" i="10"/>
  <c r="N704" i="10"/>
  <c r="O704" i="10"/>
  <c r="N705" i="10"/>
  <c r="O705" i="10"/>
  <c r="N706" i="10"/>
  <c r="O706" i="10"/>
  <c r="N707" i="10"/>
  <c r="O707" i="10"/>
  <c r="N708" i="10"/>
  <c r="O708" i="10"/>
  <c r="N709" i="10"/>
  <c r="O709" i="10"/>
  <c r="N710" i="10"/>
  <c r="O710" i="10"/>
  <c r="N711" i="10"/>
  <c r="O711" i="10"/>
  <c r="N712" i="10"/>
  <c r="O712" i="10"/>
  <c r="N713" i="10"/>
  <c r="O713" i="10"/>
  <c r="N714" i="10"/>
  <c r="O714" i="10"/>
  <c r="N715" i="10"/>
  <c r="O715" i="10"/>
  <c r="N716" i="10"/>
  <c r="O716" i="10"/>
  <c r="N717" i="10"/>
  <c r="O717" i="10"/>
  <c r="N718" i="10"/>
  <c r="O718" i="10"/>
  <c r="N719" i="10"/>
  <c r="O719" i="10"/>
  <c r="N720" i="10"/>
  <c r="O720" i="10"/>
  <c r="N721" i="10"/>
  <c r="O721" i="10"/>
  <c r="N722" i="10"/>
  <c r="O722" i="10"/>
  <c r="N723" i="10"/>
  <c r="O723" i="10"/>
  <c r="N724" i="10"/>
  <c r="O724" i="10"/>
  <c r="N725" i="10"/>
  <c r="O725" i="10"/>
  <c r="N726" i="10"/>
  <c r="O726" i="10"/>
  <c r="N727" i="10"/>
  <c r="O727" i="10"/>
  <c r="N728" i="10"/>
  <c r="O728" i="10"/>
  <c r="N729" i="10"/>
  <c r="O729" i="10"/>
  <c r="N730" i="10"/>
  <c r="O730" i="10"/>
  <c r="N731" i="10"/>
  <c r="O731" i="10"/>
  <c r="N732" i="10"/>
  <c r="O732" i="10"/>
  <c r="N733" i="10"/>
  <c r="O733" i="10"/>
  <c r="N734" i="10"/>
  <c r="O734" i="10"/>
  <c r="N735" i="10"/>
  <c r="O735" i="10"/>
  <c r="N736" i="10"/>
  <c r="O736" i="10"/>
  <c r="N737" i="10"/>
  <c r="O737" i="10"/>
  <c r="N738" i="10"/>
  <c r="O738" i="10"/>
  <c r="N739" i="10"/>
  <c r="O739" i="10"/>
  <c r="N740" i="10"/>
  <c r="O740" i="10"/>
  <c r="N741" i="10"/>
  <c r="O741" i="10"/>
  <c r="N742" i="10"/>
  <c r="O742" i="10"/>
  <c r="N743" i="10"/>
  <c r="O743" i="10"/>
  <c r="N744" i="10"/>
  <c r="O744" i="10"/>
  <c r="N745" i="10"/>
  <c r="O745" i="10"/>
  <c r="N746" i="10"/>
  <c r="O746" i="10"/>
  <c r="N747" i="10"/>
  <c r="O747" i="10"/>
  <c r="N748" i="10"/>
  <c r="O748" i="10"/>
  <c r="N749" i="10"/>
  <c r="O749" i="10"/>
  <c r="N750" i="10"/>
  <c r="O750" i="10"/>
  <c r="N751" i="10"/>
  <c r="O751" i="10"/>
  <c r="N752" i="10"/>
  <c r="O752" i="10"/>
  <c r="N753" i="10"/>
  <c r="O753" i="10"/>
  <c r="N754" i="10"/>
  <c r="O754" i="10"/>
  <c r="N755" i="10"/>
  <c r="O755" i="10"/>
  <c r="N756" i="10"/>
  <c r="O756" i="10"/>
  <c r="N757" i="10"/>
  <c r="O757" i="10"/>
  <c r="N758" i="10"/>
  <c r="O758" i="10"/>
  <c r="N759" i="10"/>
  <c r="O759" i="10"/>
  <c r="N760" i="10"/>
  <c r="O760" i="10"/>
  <c r="N761" i="10"/>
  <c r="O761" i="10"/>
  <c r="N762" i="10"/>
  <c r="O762" i="10"/>
  <c r="N763" i="10"/>
  <c r="O763" i="10"/>
  <c r="N764" i="10"/>
  <c r="O764" i="10"/>
  <c r="N765" i="10"/>
  <c r="O765" i="10"/>
  <c r="N766" i="10"/>
  <c r="O766" i="10"/>
  <c r="N767" i="10"/>
  <c r="O767" i="10"/>
  <c r="N768" i="10"/>
  <c r="O768" i="10"/>
  <c r="N769" i="10"/>
  <c r="O769" i="10"/>
  <c r="N770" i="10"/>
  <c r="O770" i="10"/>
  <c r="N771" i="10"/>
  <c r="O771" i="10"/>
  <c r="N772" i="10"/>
  <c r="O772" i="10"/>
  <c r="N773" i="10"/>
  <c r="O773" i="10"/>
  <c r="N774" i="10"/>
  <c r="O774" i="10"/>
  <c r="N775" i="10"/>
  <c r="O775" i="10"/>
  <c r="N776" i="10"/>
  <c r="O776" i="10"/>
  <c r="N777" i="10"/>
  <c r="O777" i="10"/>
  <c r="N778" i="10"/>
  <c r="O778" i="10"/>
  <c r="N779" i="10"/>
  <c r="O779" i="10"/>
  <c r="N780" i="10"/>
  <c r="O780" i="10"/>
  <c r="N781" i="10"/>
  <c r="O781" i="10"/>
  <c r="N782" i="10"/>
  <c r="O782" i="10"/>
  <c r="N783" i="10"/>
  <c r="O783" i="10"/>
  <c r="N784" i="10"/>
  <c r="O784" i="10"/>
  <c r="N785" i="10"/>
  <c r="O785" i="10"/>
  <c r="N786" i="10"/>
  <c r="O786" i="10"/>
  <c r="N787" i="10"/>
  <c r="O787" i="10"/>
  <c r="N788" i="10"/>
  <c r="O788" i="10"/>
  <c r="N789" i="10"/>
  <c r="O789" i="10"/>
  <c r="N790" i="10"/>
  <c r="O790" i="10"/>
  <c r="N791" i="10"/>
  <c r="O791" i="10"/>
  <c r="N792" i="10"/>
  <c r="O792" i="10"/>
  <c r="N793" i="10"/>
  <c r="O793" i="10"/>
  <c r="N794" i="10"/>
  <c r="O794" i="10"/>
  <c r="N795" i="10"/>
  <c r="O795" i="10"/>
  <c r="N796" i="10"/>
  <c r="O796" i="10"/>
  <c r="N797" i="10"/>
  <c r="O797" i="10"/>
  <c r="N798" i="10"/>
  <c r="O798" i="10"/>
  <c r="N799" i="10"/>
  <c r="O799" i="10"/>
  <c r="N800" i="10"/>
  <c r="O800" i="10"/>
  <c r="N801" i="10"/>
  <c r="O801" i="10"/>
  <c r="N802" i="10"/>
  <c r="O802" i="10"/>
  <c r="N803" i="10"/>
  <c r="O803" i="10"/>
  <c r="N804" i="10"/>
  <c r="O804" i="10"/>
  <c r="N805" i="10"/>
  <c r="O805" i="10"/>
  <c r="N806" i="10"/>
  <c r="O806" i="10"/>
  <c r="N807" i="10"/>
  <c r="O807" i="10"/>
  <c r="N808" i="10"/>
  <c r="O808" i="10"/>
  <c r="N809" i="10"/>
  <c r="O809" i="10"/>
  <c r="N810" i="10"/>
  <c r="O810" i="10"/>
  <c r="N811" i="10"/>
  <c r="O811" i="10"/>
  <c r="N812" i="10"/>
  <c r="O812" i="10"/>
  <c r="N813" i="10"/>
  <c r="O813" i="10"/>
  <c r="N814" i="10"/>
  <c r="O814" i="10"/>
  <c r="N815" i="10"/>
  <c r="O815" i="10"/>
  <c r="N816" i="10"/>
  <c r="O816" i="10"/>
  <c r="N817" i="10"/>
  <c r="O817" i="10"/>
  <c r="N818" i="10"/>
  <c r="O818" i="10"/>
  <c r="N819" i="10"/>
  <c r="O819" i="10"/>
  <c r="N820" i="10"/>
  <c r="O820" i="10"/>
  <c r="N821" i="10"/>
  <c r="O821" i="10"/>
  <c r="N822" i="10"/>
  <c r="O822" i="10"/>
  <c r="N823" i="10"/>
  <c r="O823" i="10"/>
  <c r="N824" i="10"/>
  <c r="O824" i="10"/>
  <c r="N825" i="10"/>
  <c r="O825" i="10"/>
  <c r="N826" i="10"/>
  <c r="O826" i="10"/>
  <c r="N827" i="10"/>
  <c r="O827" i="10"/>
  <c r="N828" i="10"/>
  <c r="O828" i="10"/>
  <c r="N829" i="10"/>
  <c r="O829" i="10"/>
  <c r="N830" i="10"/>
  <c r="O830" i="10"/>
  <c r="N831" i="10"/>
  <c r="O831" i="10"/>
  <c r="N832" i="10"/>
  <c r="O832" i="10"/>
  <c r="N833" i="10"/>
  <c r="O833" i="10"/>
  <c r="N834" i="10"/>
  <c r="O834" i="10"/>
  <c r="N835" i="10"/>
  <c r="O835" i="10"/>
  <c r="N836" i="10"/>
  <c r="O836" i="10"/>
  <c r="N837" i="10"/>
  <c r="O837" i="10"/>
  <c r="N838" i="10"/>
  <c r="O838" i="10"/>
  <c r="N839" i="10"/>
  <c r="O839" i="10"/>
  <c r="N840" i="10"/>
  <c r="O840" i="10"/>
  <c r="N841" i="10"/>
  <c r="O841" i="10"/>
  <c r="N842" i="10"/>
  <c r="O842" i="10"/>
  <c r="N843" i="10"/>
  <c r="O843" i="10"/>
  <c r="N844" i="10"/>
  <c r="O844" i="10"/>
  <c r="N845" i="10"/>
  <c r="O845" i="10"/>
  <c r="N846" i="10"/>
  <c r="O846" i="10"/>
  <c r="N847" i="10"/>
  <c r="O847" i="10"/>
  <c r="N848" i="10"/>
  <c r="O848" i="10"/>
  <c r="N849" i="10"/>
  <c r="O849" i="10"/>
  <c r="N850" i="10"/>
  <c r="O850" i="10"/>
  <c r="N851" i="10"/>
  <c r="O851" i="10"/>
  <c r="N852" i="10"/>
  <c r="O852" i="10"/>
  <c r="N853" i="10"/>
  <c r="O853" i="10"/>
  <c r="N854" i="10"/>
  <c r="O854" i="10"/>
  <c r="N855" i="10"/>
  <c r="O855" i="10"/>
  <c r="N856" i="10"/>
  <c r="O856" i="10"/>
  <c r="N857" i="10"/>
  <c r="O857" i="10"/>
  <c r="N858" i="10"/>
  <c r="O858" i="10"/>
  <c r="N859" i="10"/>
  <c r="O859" i="10"/>
  <c r="N860" i="10"/>
  <c r="O860" i="10"/>
  <c r="N861" i="10"/>
  <c r="O861" i="10"/>
  <c r="N862" i="10"/>
  <c r="O862" i="10"/>
  <c r="N863" i="10"/>
  <c r="O863" i="10"/>
  <c r="N864" i="10"/>
  <c r="O864" i="10"/>
  <c r="N865" i="10"/>
  <c r="O865" i="10"/>
  <c r="N866" i="10"/>
  <c r="O866" i="10"/>
  <c r="N867" i="10"/>
  <c r="O867" i="10"/>
  <c r="N868" i="10"/>
  <c r="O868" i="10"/>
  <c r="N869" i="10"/>
  <c r="O869" i="10"/>
  <c r="N870" i="10"/>
  <c r="O870" i="10"/>
  <c r="N871" i="10"/>
  <c r="O871" i="10"/>
  <c r="N872" i="10"/>
  <c r="O872" i="10"/>
  <c r="N873" i="10"/>
  <c r="O873" i="10"/>
  <c r="N874" i="10"/>
  <c r="O874" i="10"/>
  <c r="N875" i="10"/>
  <c r="O875" i="10"/>
  <c r="N876" i="10"/>
  <c r="O876" i="10"/>
  <c r="N877" i="10"/>
  <c r="O877" i="10"/>
  <c r="N878" i="10"/>
  <c r="O878" i="10"/>
  <c r="N879" i="10"/>
  <c r="O879" i="10"/>
  <c r="N880" i="10"/>
  <c r="O880" i="10"/>
  <c r="N881" i="10"/>
  <c r="O881" i="10"/>
  <c r="N882" i="10"/>
  <c r="O882" i="10"/>
  <c r="N883" i="10"/>
  <c r="O883" i="10"/>
  <c r="N884" i="10"/>
  <c r="O884" i="10"/>
  <c r="N885" i="10"/>
  <c r="O885" i="10"/>
  <c r="N886" i="10"/>
  <c r="O886" i="10"/>
  <c r="N887" i="10"/>
  <c r="O887" i="10"/>
  <c r="N888" i="10"/>
  <c r="O888" i="10"/>
  <c r="N889" i="10"/>
  <c r="O889" i="10"/>
  <c r="N890" i="10"/>
  <c r="O890" i="10"/>
  <c r="N891" i="10"/>
  <c r="O891" i="10"/>
  <c r="N892" i="10"/>
  <c r="O892" i="10"/>
  <c r="N893" i="10"/>
  <c r="O893" i="10"/>
  <c r="N894" i="10"/>
  <c r="O894" i="10"/>
  <c r="N895" i="10"/>
  <c r="O895" i="10"/>
  <c r="N896" i="10"/>
  <c r="O896" i="10"/>
  <c r="N897" i="10"/>
  <c r="O897" i="10"/>
  <c r="N898" i="10"/>
  <c r="O898" i="10"/>
  <c r="N899" i="10"/>
  <c r="O899" i="10"/>
  <c r="N900" i="10"/>
  <c r="O900" i="10"/>
  <c r="N901" i="10"/>
  <c r="O901" i="10"/>
  <c r="N902" i="10"/>
  <c r="O902" i="10"/>
  <c r="N903" i="10"/>
  <c r="O903" i="10"/>
  <c r="N904" i="10"/>
  <c r="O904" i="10"/>
  <c r="N905" i="10"/>
  <c r="O905" i="10"/>
  <c r="N906" i="10"/>
  <c r="O906" i="10"/>
  <c r="N907" i="10"/>
  <c r="O907" i="10"/>
  <c r="N908" i="10"/>
  <c r="O908" i="10"/>
  <c r="N909" i="10"/>
  <c r="O909" i="10"/>
  <c r="N910" i="10"/>
  <c r="O910" i="10"/>
  <c r="N911" i="10"/>
  <c r="O911" i="10"/>
  <c r="N912" i="10"/>
  <c r="O912" i="10"/>
  <c r="N913" i="10"/>
  <c r="O913" i="10"/>
  <c r="N914" i="10"/>
  <c r="O914" i="10"/>
  <c r="N915" i="10"/>
  <c r="O915" i="10"/>
  <c r="N916" i="10"/>
  <c r="O916" i="10"/>
  <c r="N917" i="10"/>
  <c r="O917" i="10"/>
  <c r="N918" i="10"/>
  <c r="O918" i="10"/>
  <c r="N919" i="10"/>
  <c r="O919" i="10"/>
  <c r="N920" i="10"/>
  <c r="O920" i="10"/>
  <c r="N921" i="10"/>
  <c r="O921" i="10"/>
  <c r="N922" i="10"/>
  <c r="O922" i="10"/>
  <c r="N923" i="10"/>
  <c r="O923" i="10"/>
  <c r="N924" i="10"/>
  <c r="O924" i="10"/>
  <c r="N925" i="10"/>
  <c r="O925" i="10"/>
  <c r="N926" i="10"/>
  <c r="O926" i="10"/>
  <c r="N927" i="10"/>
  <c r="O927" i="10"/>
  <c r="N928" i="10"/>
  <c r="O928" i="10"/>
  <c r="N929" i="10"/>
  <c r="O929" i="10"/>
  <c r="N930" i="10"/>
  <c r="O930" i="10"/>
  <c r="N931" i="10"/>
  <c r="O931" i="10"/>
  <c r="N932" i="10"/>
  <c r="O932" i="10"/>
  <c r="N933" i="10"/>
  <c r="O933" i="10"/>
  <c r="N934" i="10"/>
  <c r="O934" i="10"/>
  <c r="N935" i="10"/>
  <c r="O935" i="10"/>
  <c r="N936" i="10"/>
  <c r="O936" i="10"/>
  <c r="N937" i="10"/>
  <c r="O937" i="10"/>
  <c r="N938" i="10"/>
  <c r="O938" i="10"/>
  <c r="N939" i="10"/>
  <c r="O939" i="10"/>
  <c r="N940" i="10"/>
  <c r="O940" i="10"/>
  <c r="N941" i="10"/>
  <c r="O941" i="10"/>
  <c r="N942" i="10"/>
  <c r="O942" i="10"/>
  <c r="N943" i="10"/>
  <c r="O943" i="10"/>
  <c r="N944" i="10"/>
  <c r="O944" i="10"/>
  <c r="N945" i="10"/>
  <c r="O945" i="10"/>
  <c r="N946" i="10"/>
  <c r="O946" i="10"/>
  <c r="N947" i="10"/>
  <c r="O947" i="10"/>
  <c r="N948" i="10"/>
  <c r="O948" i="10"/>
  <c r="N949" i="10"/>
  <c r="O949" i="10"/>
  <c r="N950" i="10"/>
  <c r="O950" i="10"/>
  <c r="N951" i="10"/>
  <c r="O951" i="10"/>
  <c r="N952" i="10"/>
  <c r="O952" i="10"/>
  <c r="N953" i="10"/>
  <c r="O953" i="10"/>
  <c r="N954" i="10"/>
  <c r="O954" i="10"/>
  <c r="N955" i="10"/>
  <c r="O955" i="10"/>
  <c r="N956" i="10"/>
  <c r="O956" i="10"/>
  <c r="N957" i="10"/>
  <c r="O957" i="10"/>
  <c r="N958" i="10"/>
  <c r="O958" i="10"/>
  <c r="N959" i="10"/>
  <c r="O959" i="10"/>
  <c r="N960" i="10"/>
  <c r="O960" i="10"/>
  <c r="N961" i="10"/>
  <c r="O961" i="10"/>
  <c r="N962" i="10"/>
  <c r="O962" i="10"/>
  <c r="N963" i="10"/>
  <c r="O963" i="10"/>
  <c r="N964" i="10"/>
  <c r="O964" i="10"/>
  <c r="N965" i="10"/>
  <c r="O965" i="10"/>
  <c r="N966" i="10"/>
  <c r="O966" i="10"/>
  <c r="N967" i="10"/>
  <c r="O967" i="10"/>
  <c r="N968" i="10"/>
  <c r="O968" i="10"/>
  <c r="N969" i="10"/>
  <c r="O969" i="10"/>
  <c r="N970" i="10"/>
  <c r="O970" i="10"/>
  <c r="N971" i="10"/>
  <c r="O971" i="10"/>
  <c r="N972" i="10"/>
  <c r="O972" i="10"/>
  <c r="N973" i="10"/>
  <c r="O973" i="10"/>
  <c r="N974" i="10"/>
  <c r="O974" i="10"/>
  <c r="N975" i="10"/>
  <c r="O975" i="10"/>
  <c r="N976" i="10"/>
  <c r="O976" i="10"/>
  <c r="N977" i="10"/>
  <c r="O977" i="10"/>
  <c r="N978" i="10"/>
  <c r="O978" i="10"/>
  <c r="N979" i="10"/>
  <c r="O979" i="10"/>
  <c r="N980" i="10"/>
  <c r="O980" i="10"/>
  <c r="N981" i="10"/>
  <c r="O981" i="10"/>
  <c r="N982" i="10"/>
  <c r="O982" i="10"/>
  <c r="N983" i="10"/>
  <c r="O983" i="10"/>
  <c r="N984" i="10"/>
  <c r="O984" i="10"/>
  <c r="N985" i="10"/>
  <c r="O985" i="10"/>
  <c r="N986" i="10"/>
  <c r="O986" i="10"/>
  <c r="N987" i="10"/>
  <c r="O987" i="10"/>
  <c r="N988" i="10"/>
  <c r="O988" i="10"/>
  <c r="N989" i="10"/>
  <c r="O989" i="10"/>
  <c r="N990" i="10"/>
  <c r="O990" i="10"/>
  <c r="N991" i="10"/>
  <c r="O991" i="10"/>
  <c r="N992" i="10"/>
  <c r="O992" i="10"/>
  <c r="N993" i="10"/>
  <c r="O993" i="10"/>
  <c r="N994" i="10"/>
  <c r="O994" i="10"/>
  <c r="N995" i="10"/>
  <c r="O995" i="10"/>
  <c r="N996" i="10"/>
  <c r="O996" i="10"/>
  <c r="N997" i="10"/>
  <c r="O997" i="10"/>
  <c r="N998" i="10"/>
  <c r="O998" i="10"/>
  <c r="N999" i="10"/>
  <c r="O999" i="10"/>
  <c r="N1000" i="10"/>
  <c r="O1000" i="10"/>
  <c r="N1001" i="10"/>
  <c r="O1001" i="10"/>
  <c r="N1002" i="10"/>
  <c r="O1002" i="10"/>
  <c r="N1003" i="10"/>
  <c r="O1003" i="10"/>
  <c r="N1004" i="10"/>
  <c r="O1004" i="10"/>
  <c r="N1005" i="10"/>
  <c r="O1005" i="10"/>
  <c r="N1006" i="10"/>
  <c r="O1006" i="10"/>
  <c r="N1007" i="10"/>
  <c r="O1007" i="10"/>
  <c r="N1008" i="10"/>
  <c r="O1008" i="10"/>
  <c r="N1009" i="10"/>
  <c r="O1009" i="10"/>
  <c r="N1010" i="10"/>
  <c r="O1010" i="10"/>
  <c r="N1011" i="10"/>
  <c r="O1011" i="10"/>
  <c r="N1012" i="10"/>
  <c r="O1012" i="10"/>
  <c r="N1013" i="10"/>
  <c r="O1013" i="10"/>
  <c r="N1014" i="10"/>
  <c r="O1014" i="10"/>
  <c r="N1015" i="10"/>
  <c r="O1015" i="10"/>
  <c r="N1016" i="10"/>
  <c r="O1016" i="10"/>
  <c r="N1017" i="10"/>
  <c r="O1017" i="10"/>
  <c r="N1018" i="10"/>
  <c r="O1018" i="10"/>
  <c r="N1019" i="10"/>
  <c r="O1019" i="10"/>
  <c r="N1020" i="10"/>
  <c r="O1020" i="10"/>
  <c r="N1021" i="10"/>
  <c r="O1021" i="10"/>
  <c r="N1022" i="10"/>
  <c r="O1022" i="10"/>
  <c r="N1023" i="10"/>
  <c r="O1023" i="10"/>
  <c r="N1024" i="10"/>
  <c r="O1024" i="10"/>
  <c r="N1025" i="10"/>
  <c r="O1025" i="10"/>
  <c r="N1026" i="10"/>
  <c r="O1026" i="10"/>
  <c r="N1027" i="10"/>
  <c r="O1027" i="10"/>
  <c r="N1028" i="10"/>
  <c r="O1028" i="10"/>
  <c r="N1029" i="10"/>
  <c r="O1029" i="10"/>
  <c r="N1030" i="10"/>
  <c r="O1030" i="10"/>
  <c r="N1031" i="10"/>
  <c r="O1031" i="10"/>
  <c r="N1032" i="10"/>
  <c r="O1032" i="10"/>
  <c r="N1033" i="10"/>
  <c r="O1033" i="10"/>
  <c r="N1034" i="10"/>
  <c r="O1034" i="10"/>
  <c r="N1035" i="10"/>
  <c r="O1035" i="10"/>
  <c r="N1036" i="10"/>
  <c r="O1036" i="10"/>
  <c r="N1037" i="10"/>
  <c r="O1037" i="10"/>
  <c r="N1038" i="10"/>
  <c r="O1038" i="10"/>
  <c r="N1039" i="10"/>
  <c r="O1039" i="10"/>
  <c r="N1040" i="10"/>
  <c r="O1040" i="10"/>
  <c r="N1041" i="10"/>
  <c r="O1041" i="10"/>
  <c r="N1042" i="10"/>
  <c r="O1042" i="10"/>
  <c r="N1043" i="10"/>
  <c r="O1043" i="10"/>
  <c r="N1044" i="10"/>
  <c r="O1044" i="10"/>
  <c r="N1045" i="10"/>
  <c r="O1045" i="10"/>
  <c r="N1046" i="10"/>
  <c r="O1046" i="10"/>
  <c r="N1047" i="10"/>
  <c r="O1047" i="10"/>
  <c r="N1048" i="10"/>
  <c r="O1048" i="10"/>
  <c r="N1049" i="10"/>
  <c r="O1049" i="10"/>
  <c r="N1050" i="10"/>
  <c r="O1050" i="10"/>
  <c r="N1051" i="10"/>
  <c r="O1051" i="10"/>
  <c r="N1052" i="10"/>
  <c r="O1052" i="10"/>
  <c r="N1053" i="10"/>
  <c r="O1053" i="10"/>
  <c r="N1054" i="10"/>
  <c r="O1054" i="10"/>
  <c r="N1055" i="10"/>
  <c r="O1055" i="10"/>
  <c r="N1056" i="10"/>
  <c r="O1056" i="10"/>
  <c r="N1057" i="10"/>
  <c r="O1057" i="10"/>
  <c r="N1058" i="10"/>
  <c r="O1058" i="10"/>
  <c r="N1059" i="10"/>
  <c r="O1059" i="10"/>
  <c r="N1060" i="10"/>
  <c r="O1060" i="10"/>
  <c r="N1061" i="10"/>
  <c r="O1061" i="10"/>
  <c r="N1062" i="10"/>
  <c r="O1062" i="10"/>
  <c r="N1063" i="10"/>
  <c r="O1063" i="10"/>
  <c r="N1064" i="10"/>
  <c r="O1064" i="10"/>
  <c r="N1065" i="10"/>
  <c r="O1065" i="10"/>
  <c r="N1066" i="10"/>
  <c r="O1066" i="10"/>
  <c r="N1067" i="10"/>
  <c r="O1067" i="10"/>
  <c r="N1068" i="10"/>
  <c r="O1068" i="10"/>
  <c r="N1069" i="10"/>
  <c r="O1069" i="10"/>
  <c r="N1070" i="10"/>
  <c r="O1070" i="10"/>
  <c r="N1071" i="10"/>
  <c r="O1071" i="10"/>
  <c r="N1072" i="10"/>
  <c r="O1072" i="10"/>
  <c r="N1073" i="10"/>
  <c r="O1073" i="10"/>
  <c r="N1074" i="10"/>
  <c r="O1074" i="10"/>
  <c r="N1075" i="10"/>
  <c r="O1075" i="10"/>
  <c r="N1076" i="10"/>
  <c r="O1076" i="10"/>
  <c r="N1077" i="10"/>
  <c r="O1077" i="10"/>
  <c r="N1078" i="10"/>
  <c r="O1078" i="10"/>
  <c r="N1079" i="10"/>
  <c r="O1079" i="10"/>
  <c r="N1080" i="10"/>
  <c r="O1080" i="10"/>
  <c r="N1081" i="10"/>
  <c r="O1081" i="10"/>
  <c r="N1082" i="10"/>
  <c r="O1082" i="10"/>
  <c r="N1083" i="10"/>
  <c r="O1083" i="10"/>
  <c r="N1084" i="10"/>
  <c r="O1084" i="10"/>
  <c r="N1085" i="10"/>
  <c r="O1085" i="10"/>
  <c r="N1086" i="10"/>
  <c r="O1086" i="10"/>
  <c r="N1087" i="10"/>
  <c r="O1087" i="10"/>
  <c r="N1088" i="10"/>
  <c r="O1088" i="10"/>
  <c r="N1089" i="10"/>
  <c r="O1089" i="10"/>
  <c r="N1090" i="10"/>
  <c r="O1090" i="10"/>
  <c r="N1091" i="10"/>
  <c r="O1091" i="10"/>
  <c r="N1092" i="10"/>
  <c r="O1092" i="10"/>
  <c r="N1093" i="10"/>
  <c r="O1093" i="10"/>
  <c r="N1094" i="10"/>
  <c r="O1094" i="10"/>
  <c r="N1095" i="10"/>
  <c r="O1095" i="10"/>
  <c r="N1096" i="10"/>
  <c r="O1096" i="10"/>
  <c r="N1097" i="10"/>
  <c r="O1097" i="10"/>
  <c r="N1098" i="10"/>
  <c r="O1098" i="10"/>
  <c r="N1099" i="10"/>
  <c r="O1099" i="10"/>
  <c r="N1100" i="10"/>
  <c r="O1100" i="10"/>
  <c r="N1101" i="10"/>
  <c r="O1101" i="10"/>
  <c r="N1102" i="10"/>
  <c r="O1102" i="10"/>
  <c r="N1103" i="10"/>
  <c r="O1103" i="10"/>
  <c r="N1104" i="10"/>
  <c r="O1104" i="10"/>
  <c r="N1105" i="10"/>
  <c r="O1105" i="10"/>
  <c r="N1106" i="10"/>
  <c r="O1106" i="10"/>
  <c r="N1107" i="10"/>
  <c r="O1107" i="10"/>
  <c r="N1108" i="10"/>
  <c r="O1108" i="10"/>
  <c r="N1109" i="10"/>
  <c r="O1109" i="10"/>
  <c r="N1110" i="10"/>
  <c r="O1110" i="10"/>
  <c r="N1111" i="10"/>
  <c r="O1111" i="10"/>
  <c r="N1112" i="10"/>
  <c r="O1112" i="10"/>
  <c r="N1113" i="10"/>
  <c r="O1113" i="10"/>
  <c r="N1114" i="10"/>
  <c r="O1114" i="10"/>
  <c r="N1115" i="10"/>
  <c r="O1115" i="10"/>
  <c r="N1116" i="10"/>
  <c r="O1116" i="10"/>
  <c r="N1117" i="10"/>
  <c r="O1117" i="10"/>
  <c r="N1118" i="10"/>
  <c r="O1118" i="10"/>
  <c r="N1119" i="10"/>
  <c r="O1119" i="10"/>
  <c r="N1120" i="10"/>
  <c r="O1120" i="10"/>
  <c r="N1121" i="10"/>
  <c r="O1121" i="10"/>
  <c r="N1122" i="10"/>
  <c r="O1122" i="10"/>
  <c r="N1123" i="10"/>
  <c r="O1123" i="10"/>
  <c r="N1124" i="10"/>
  <c r="O1124" i="10"/>
  <c r="N1125" i="10"/>
  <c r="O1125" i="10"/>
  <c r="N1126" i="10"/>
  <c r="O1126" i="10"/>
  <c r="N1127" i="10"/>
  <c r="O1127" i="10"/>
  <c r="N1128" i="10"/>
  <c r="O1128" i="10"/>
  <c r="N1129" i="10"/>
  <c r="O1129" i="10"/>
  <c r="N1130" i="10"/>
  <c r="O1130" i="10"/>
  <c r="N1131" i="10"/>
  <c r="O1131" i="10"/>
  <c r="N1132" i="10"/>
  <c r="O1132" i="10"/>
  <c r="N1133" i="10"/>
  <c r="O1133" i="10"/>
  <c r="N1134" i="10"/>
  <c r="O1134" i="10"/>
  <c r="N1135" i="10"/>
  <c r="O1135" i="10"/>
  <c r="N1136" i="10"/>
  <c r="O1136" i="10"/>
  <c r="N1137" i="10"/>
  <c r="O1137" i="10"/>
  <c r="N1138" i="10"/>
  <c r="O1138" i="10"/>
  <c r="N1139" i="10"/>
  <c r="O1139" i="10"/>
  <c r="N1140" i="10"/>
  <c r="O1140" i="10"/>
  <c r="N1141" i="10"/>
  <c r="O1141" i="10"/>
  <c r="N1142" i="10"/>
  <c r="O1142" i="10"/>
  <c r="N1143" i="10"/>
  <c r="O1143" i="10"/>
  <c r="N1144" i="10"/>
  <c r="O1144" i="10"/>
  <c r="N1145" i="10"/>
  <c r="O1145" i="10"/>
  <c r="N1146" i="10"/>
  <c r="O1146" i="10"/>
  <c r="N1147" i="10"/>
  <c r="O1147" i="10"/>
  <c r="N1148" i="10"/>
  <c r="O1148" i="10"/>
  <c r="N1149" i="10"/>
  <c r="O1149" i="10"/>
  <c r="N1150" i="10"/>
  <c r="O1150" i="10"/>
  <c r="N1151" i="10"/>
  <c r="O1151" i="10"/>
  <c r="N1152" i="10"/>
  <c r="O1152" i="10"/>
  <c r="N1153" i="10"/>
  <c r="O1153" i="10"/>
  <c r="N1154" i="10"/>
  <c r="O1154" i="10"/>
  <c r="N1155" i="10"/>
  <c r="O1155" i="10"/>
  <c r="N1156" i="10"/>
  <c r="O1156" i="10"/>
  <c r="N1157" i="10"/>
  <c r="O1157" i="10"/>
  <c r="N1158" i="10"/>
  <c r="O1158" i="10"/>
  <c r="N1159" i="10"/>
  <c r="O1159" i="10"/>
  <c r="N1160" i="10"/>
  <c r="O1160" i="10"/>
  <c r="N1161" i="10"/>
  <c r="O1161" i="10"/>
  <c r="N1162" i="10"/>
  <c r="O1162" i="10"/>
  <c r="N1163" i="10"/>
  <c r="O1163" i="10"/>
  <c r="N1164" i="10"/>
  <c r="O1164" i="10"/>
  <c r="N1165" i="10"/>
  <c r="O1165" i="10"/>
  <c r="N1166" i="10"/>
  <c r="O1166" i="10"/>
  <c r="N1167" i="10"/>
  <c r="O1167" i="10"/>
  <c r="N1168" i="10"/>
  <c r="O1168" i="10"/>
  <c r="N1169" i="10"/>
  <c r="O1169" i="10"/>
  <c r="N1170" i="10"/>
  <c r="O1170" i="10"/>
  <c r="N1171" i="10"/>
  <c r="O1171" i="10"/>
  <c r="N1172" i="10"/>
  <c r="O1172" i="10"/>
  <c r="N1173" i="10"/>
  <c r="O1173" i="10"/>
  <c r="N1174" i="10"/>
  <c r="O1174" i="10"/>
  <c r="N1175" i="10"/>
  <c r="O1175" i="10"/>
  <c r="N1176" i="10"/>
  <c r="O1176" i="10"/>
  <c r="N1177" i="10"/>
  <c r="O1177" i="10"/>
  <c r="N1178" i="10"/>
  <c r="O1178" i="10"/>
  <c r="N1179" i="10"/>
  <c r="O1179" i="10"/>
  <c r="N1180" i="10"/>
  <c r="O1180" i="10"/>
  <c r="N1181" i="10"/>
  <c r="O1181" i="10"/>
  <c r="N1182" i="10"/>
  <c r="O1182" i="10"/>
  <c r="N1183" i="10"/>
  <c r="O1183" i="10"/>
  <c r="N1184" i="10"/>
  <c r="O1184" i="10"/>
  <c r="N1185" i="10"/>
  <c r="O1185" i="10"/>
  <c r="N1186" i="10"/>
  <c r="O1186" i="10"/>
  <c r="N1187" i="10"/>
  <c r="O1187" i="10"/>
  <c r="N1188" i="10"/>
  <c r="O1188" i="10"/>
  <c r="N1189" i="10"/>
  <c r="O1189" i="10"/>
  <c r="N1190" i="10"/>
  <c r="O1190" i="10"/>
  <c r="N1191" i="10"/>
  <c r="O1191" i="10"/>
  <c r="N1192" i="10"/>
  <c r="O1192" i="10"/>
  <c r="N1193" i="10"/>
  <c r="O1193" i="10"/>
  <c r="N1194" i="10"/>
  <c r="O1194" i="10"/>
  <c r="N1195" i="10"/>
  <c r="O1195" i="10"/>
  <c r="N1196" i="10"/>
  <c r="O1196" i="10"/>
  <c r="N1197" i="10"/>
  <c r="O1197" i="10"/>
  <c r="N1198" i="10"/>
  <c r="O1198" i="10"/>
  <c r="N1199" i="10"/>
  <c r="O1199" i="10"/>
  <c r="N1200" i="10"/>
  <c r="O1200" i="10"/>
  <c r="N1201" i="10"/>
  <c r="O1201" i="10"/>
  <c r="N1202" i="10"/>
  <c r="O1202" i="10"/>
  <c r="N1203" i="10"/>
  <c r="O1203" i="10"/>
  <c r="N1204" i="10"/>
  <c r="O1204" i="10"/>
  <c r="N1205" i="10"/>
  <c r="O1205" i="10"/>
  <c r="N1206" i="10"/>
  <c r="O1206" i="10"/>
  <c r="N1207" i="10"/>
  <c r="O1207" i="10"/>
  <c r="N1208" i="10"/>
  <c r="O1208" i="10"/>
  <c r="N1209" i="10"/>
  <c r="O1209" i="10"/>
  <c r="N1210" i="10"/>
  <c r="O1210" i="10"/>
  <c r="N1211" i="10"/>
  <c r="O1211" i="10"/>
  <c r="N1212" i="10"/>
  <c r="O1212" i="10"/>
  <c r="N1213" i="10"/>
  <c r="O1213" i="10"/>
  <c r="N1214" i="10"/>
  <c r="O1214" i="10"/>
  <c r="N1215" i="10"/>
  <c r="O1215" i="10"/>
  <c r="N1216" i="10"/>
  <c r="O1216" i="10"/>
  <c r="N1217" i="10"/>
  <c r="O1217" i="10"/>
  <c r="N1218" i="10"/>
  <c r="O1218" i="10"/>
  <c r="N1219" i="10"/>
  <c r="O1219" i="10"/>
  <c r="N1220" i="10"/>
  <c r="O1220" i="10"/>
  <c r="N1221" i="10"/>
  <c r="O1221" i="10"/>
  <c r="N1222" i="10"/>
  <c r="O1222" i="10"/>
  <c r="N1223" i="10"/>
  <c r="O1223" i="10"/>
  <c r="N1224" i="10"/>
  <c r="O1224" i="10"/>
  <c r="N1225" i="10"/>
  <c r="O1225" i="10"/>
  <c r="N1226" i="10"/>
  <c r="O1226" i="10"/>
  <c r="N1227" i="10"/>
  <c r="O1227" i="10"/>
  <c r="N1228" i="10"/>
  <c r="O1228" i="10"/>
  <c r="N1229" i="10"/>
  <c r="O1229" i="10"/>
  <c r="N1230" i="10"/>
  <c r="O1230" i="10"/>
  <c r="N1231" i="10"/>
  <c r="O1231" i="10"/>
  <c r="N1232" i="10"/>
  <c r="O1232" i="10"/>
  <c r="N1233" i="10"/>
  <c r="O1233" i="10"/>
  <c r="N1234" i="10"/>
  <c r="O1234" i="10"/>
  <c r="N1235" i="10"/>
  <c r="O1235" i="10"/>
  <c r="N1236" i="10"/>
  <c r="O1236" i="10"/>
  <c r="N1237" i="10"/>
  <c r="O1237" i="10"/>
  <c r="N1238" i="10"/>
  <c r="O1238" i="10"/>
  <c r="N1239" i="10"/>
  <c r="O1239" i="10"/>
  <c r="N1240" i="10"/>
  <c r="O1240" i="10"/>
  <c r="N1241" i="10"/>
  <c r="O1241" i="10"/>
  <c r="N1242" i="10"/>
  <c r="O1242" i="10"/>
  <c r="N1243" i="10"/>
  <c r="O1243" i="10"/>
  <c r="N1244" i="10"/>
  <c r="O1244" i="10"/>
  <c r="N1245" i="10"/>
  <c r="O1245" i="10"/>
  <c r="N1246" i="10"/>
  <c r="O1246" i="10"/>
  <c r="N1247" i="10"/>
  <c r="O1247" i="10"/>
  <c r="N1248" i="10"/>
  <c r="O1248" i="10"/>
  <c r="N1249" i="10"/>
  <c r="O1249" i="10"/>
  <c r="N1250" i="10"/>
  <c r="O1250" i="10"/>
  <c r="N1251" i="10"/>
  <c r="O1251" i="10"/>
  <c r="N1252" i="10"/>
  <c r="O1252" i="10"/>
  <c r="N1253" i="10"/>
  <c r="O1253" i="10"/>
  <c r="N1254" i="10"/>
  <c r="O1254" i="10"/>
  <c r="N1255" i="10"/>
  <c r="O1255" i="10"/>
  <c r="N1256" i="10"/>
  <c r="O1256" i="10"/>
  <c r="N1257" i="10"/>
  <c r="O1257" i="10"/>
  <c r="N1258" i="10"/>
  <c r="O1258" i="10"/>
  <c r="N1259" i="10"/>
  <c r="O1259" i="10"/>
  <c r="N1260" i="10"/>
  <c r="O1260" i="10"/>
  <c r="N1261" i="10"/>
  <c r="O1261" i="10"/>
  <c r="N1262" i="10"/>
  <c r="O1262" i="10"/>
  <c r="N1263" i="10"/>
  <c r="O1263" i="10"/>
  <c r="N1264" i="10"/>
  <c r="O1264" i="10"/>
  <c r="N1265" i="10"/>
  <c r="O1265" i="10"/>
  <c r="N1266" i="10"/>
  <c r="O1266" i="10"/>
  <c r="N1267" i="10"/>
  <c r="O1267" i="10"/>
  <c r="N1268" i="10"/>
  <c r="O1268" i="10"/>
  <c r="N1269" i="10"/>
  <c r="O1269" i="10"/>
  <c r="N1270" i="10"/>
  <c r="O1270" i="10"/>
  <c r="N1271" i="10"/>
  <c r="O1271" i="10"/>
  <c r="N1272" i="10"/>
  <c r="O1272" i="10"/>
  <c r="N1273" i="10"/>
  <c r="O1273" i="10"/>
  <c r="N1274" i="10"/>
  <c r="O1274" i="10"/>
  <c r="N1275" i="10"/>
  <c r="O1275" i="10"/>
  <c r="N1276" i="10"/>
  <c r="O1276" i="10"/>
  <c r="N1277" i="10"/>
  <c r="O1277" i="10"/>
  <c r="N1278" i="10"/>
  <c r="O1278" i="10"/>
  <c r="N1279" i="10"/>
  <c r="O1279" i="10"/>
  <c r="N1280" i="10"/>
  <c r="O1280" i="10"/>
  <c r="N1281" i="10"/>
  <c r="O1281" i="10"/>
  <c r="N1282" i="10"/>
  <c r="O1282" i="10"/>
  <c r="N1283" i="10"/>
  <c r="O1283" i="10"/>
  <c r="N1284" i="10"/>
  <c r="O1284" i="10"/>
  <c r="N1285" i="10"/>
  <c r="O1285" i="10"/>
  <c r="N1286" i="10"/>
  <c r="O1286" i="10"/>
  <c r="N1287" i="10"/>
  <c r="O1287" i="10"/>
  <c r="N1288" i="10"/>
  <c r="O1288" i="10"/>
  <c r="N1289" i="10"/>
  <c r="O1289" i="10"/>
  <c r="N1290" i="10"/>
  <c r="O1290" i="10"/>
  <c r="N1291" i="10"/>
  <c r="O1291" i="10"/>
  <c r="N1292" i="10"/>
  <c r="O1292" i="10"/>
  <c r="N1293" i="10"/>
  <c r="O1293" i="10"/>
  <c r="N1294" i="10"/>
  <c r="O1294" i="10"/>
  <c r="N1295" i="10"/>
  <c r="O1295" i="10"/>
  <c r="N1296" i="10"/>
  <c r="O1296" i="10"/>
  <c r="N1297" i="10"/>
  <c r="O1297" i="10"/>
  <c r="N1298" i="10"/>
  <c r="O1298" i="10"/>
  <c r="N1299" i="10"/>
  <c r="O1299" i="10"/>
  <c r="N1300" i="10"/>
  <c r="O1300" i="10"/>
  <c r="N1301" i="10"/>
  <c r="O1301" i="10"/>
  <c r="N1302" i="10"/>
  <c r="O1302" i="10"/>
  <c r="N1303" i="10"/>
  <c r="O1303" i="10"/>
  <c r="N1304" i="10"/>
  <c r="O1304" i="10"/>
  <c r="N1305" i="10"/>
  <c r="O1305" i="10"/>
  <c r="N1306" i="10"/>
  <c r="O1306" i="10"/>
  <c r="N1307" i="10"/>
  <c r="O1307" i="10"/>
  <c r="N1308" i="10"/>
  <c r="O1308" i="10"/>
  <c r="N1309" i="10"/>
  <c r="O1309" i="10"/>
  <c r="N1310" i="10"/>
  <c r="O1310" i="10"/>
  <c r="N1311" i="10"/>
  <c r="O1311" i="10"/>
  <c r="N1312" i="10"/>
  <c r="O1312" i="10"/>
  <c r="N1313" i="10"/>
  <c r="O1313" i="10"/>
  <c r="N1314" i="10"/>
  <c r="O1314" i="10"/>
  <c r="N1315" i="10"/>
  <c r="O1315" i="10"/>
  <c r="N1316" i="10"/>
  <c r="O1316" i="10"/>
  <c r="N1317" i="10"/>
  <c r="O1317" i="10"/>
  <c r="N1318" i="10"/>
  <c r="O1318" i="10"/>
  <c r="N1319" i="10"/>
  <c r="O1319" i="10"/>
  <c r="N1320" i="10"/>
  <c r="O1320" i="10"/>
  <c r="N1321" i="10"/>
  <c r="O1321" i="10"/>
  <c r="N1322" i="10"/>
  <c r="O1322" i="10"/>
  <c r="N1323" i="10"/>
  <c r="O1323" i="10"/>
  <c r="N1324" i="10"/>
  <c r="O1324" i="10"/>
  <c r="N1325" i="10"/>
  <c r="O1325" i="10"/>
  <c r="N1326" i="10"/>
  <c r="O1326" i="10"/>
  <c r="N1327" i="10"/>
  <c r="O1327" i="10"/>
  <c r="N1328" i="10"/>
  <c r="O1328" i="10"/>
  <c r="N1329" i="10"/>
  <c r="O1329" i="10"/>
  <c r="N1330" i="10"/>
  <c r="O1330" i="10"/>
  <c r="N1331" i="10"/>
  <c r="O1331" i="10"/>
  <c r="N1332" i="10"/>
  <c r="O1332" i="10"/>
  <c r="N1333" i="10"/>
  <c r="O1333" i="10"/>
  <c r="N1334" i="10"/>
  <c r="O1334" i="10"/>
  <c r="N1335" i="10"/>
  <c r="O1335" i="10"/>
  <c r="N1336" i="10"/>
  <c r="O1336" i="10"/>
  <c r="N1337" i="10"/>
  <c r="O1337" i="10"/>
  <c r="N1338" i="10"/>
  <c r="O1338" i="10"/>
  <c r="N1339" i="10"/>
  <c r="O1339" i="10"/>
  <c r="N1340" i="10"/>
  <c r="O1340" i="10"/>
  <c r="N1341" i="10"/>
  <c r="O1341" i="10"/>
  <c r="N1342" i="10"/>
  <c r="O1342" i="10"/>
  <c r="N1343" i="10"/>
  <c r="O1343" i="10"/>
  <c r="N1344" i="10"/>
  <c r="O1344" i="10"/>
  <c r="N1345" i="10"/>
  <c r="O1345" i="10"/>
  <c r="N1346" i="10"/>
  <c r="O1346" i="10"/>
  <c r="N1347" i="10"/>
  <c r="O1347" i="10"/>
  <c r="N1348" i="10"/>
  <c r="O1348" i="10"/>
  <c r="N1349" i="10"/>
  <c r="O1349" i="10"/>
  <c r="N1350" i="10"/>
  <c r="O1350" i="10"/>
  <c r="N1351" i="10"/>
  <c r="O1351" i="10"/>
  <c r="N1352" i="10"/>
  <c r="O1352" i="10"/>
  <c r="N1353" i="10"/>
  <c r="O1353" i="10"/>
  <c r="N1354" i="10"/>
  <c r="O1354" i="10"/>
  <c r="N1355" i="10"/>
  <c r="O1355" i="10"/>
  <c r="N1356" i="10"/>
  <c r="O1356" i="10"/>
  <c r="N1357" i="10"/>
  <c r="O1357" i="10"/>
  <c r="N1358" i="10"/>
  <c r="O1358" i="10"/>
  <c r="N1359" i="10"/>
  <c r="O1359" i="10"/>
  <c r="N1360" i="10"/>
  <c r="O1360" i="10"/>
  <c r="N1361" i="10"/>
  <c r="O1361" i="10"/>
  <c r="N1362" i="10"/>
  <c r="O1362" i="10"/>
  <c r="N1363" i="10"/>
  <c r="O1363" i="10"/>
  <c r="N1364" i="10"/>
  <c r="O1364" i="10"/>
  <c r="N1365" i="10"/>
  <c r="O1365" i="10"/>
  <c r="N1366" i="10"/>
  <c r="O1366" i="10"/>
  <c r="N1367" i="10"/>
  <c r="O1367" i="10"/>
  <c r="N1368" i="10"/>
  <c r="O1368" i="10"/>
  <c r="N1369" i="10"/>
  <c r="O1369" i="10"/>
  <c r="N1370" i="10"/>
  <c r="O1370" i="10"/>
  <c r="N1371" i="10"/>
  <c r="O1371" i="10"/>
  <c r="N1372" i="10"/>
  <c r="O1372" i="10"/>
  <c r="N1373" i="10"/>
  <c r="O1373" i="10"/>
  <c r="N1374" i="10"/>
  <c r="O1374" i="10"/>
  <c r="N1375" i="10"/>
  <c r="O1375" i="10"/>
  <c r="N1376" i="10"/>
  <c r="O1376" i="10"/>
  <c r="N1377" i="10"/>
  <c r="O1377" i="10"/>
  <c r="N1378" i="10"/>
  <c r="O1378" i="10"/>
  <c r="N1379" i="10"/>
  <c r="O1379" i="10"/>
  <c r="N1380" i="10"/>
  <c r="O1380" i="10"/>
  <c r="N1381" i="10"/>
  <c r="O1381" i="10"/>
  <c r="N1382" i="10"/>
  <c r="O1382" i="10"/>
  <c r="N1383" i="10"/>
  <c r="O1383" i="10"/>
  <c r="N1384" i="10"/>
  <c r="O1384" i="10"/>
  <c r="N1385" i="10"/>
  <c r="O1385" i="10"/>
  <c r="N1386" i="10"/>
  <c r="O1386" i="10"/>
  <c r="N1387" i="10"/>
  <c r="O1387" i="10"/>
  <c r="N1388" i="10"/>
  <c r="O1388" i="10"/>
  <c r="N1389" i="10"/>
  <c r="O1389" i="10"/>
  <c r="N1390" i="10"/>
  <c r="O1390" i="10"/>
  <c r="N1391" i="10"/>
  <c r="O1391" i="10"/>
  <c r="N1392" i="10"/>
  <c r="O1392" i="10"/>
  <c r="N1393" i="10"/>
  <c r="O1393" i="10"/>
  <c r="N1394" i="10"/>
  <c r="O1394" i="10"/>
  <c r="N1395" i="10"/>
  <c r="O1395" i="10"/>
  <c r="N1396" i="10"/>
  <c r="O1396" i="10"/>
  <c r="N1397" i="10"/>
  <c r="O1397" i="10"/>
  <c r="N1398" i="10"/>
  <c r="O1398" i="10"/>
  <c r="N1399" i="10"/>
  <c r="O1399" i="10"/>
  <c r="N1400" i="10"/>
  <c r="O1400" i="10"/>
  <c r="N1401" i="10"/>
  <c r="O1401" i="10"/>
  <c r="N1402" i="10"/>
  <c r="O1402" i="10"/>
  <c r="N1403" i="10"/>
  <c r="O1403" i="10"/>
  <c r="N1404" i="10"/>
  <c r="O1404" i="10"/>
  <c r="N1405" i="10"/>
  <c r="O1405" i="10"/>
  <c r="N1406" i="10"/>
  <c r="O1406" i="10"/>
  <c r="N1407" i="10"/>
  <c r="O1407" i="10"/>
  <c r="N1408" i="10"/>
  <c r="O1408" i="10"/>
  <c r="N1409" i="10"/>
  <c r="O1409" i="10"/>
  <c r="N1410" i="10"/>
  <c r="O1410" i="10"/>
  <c r="N1411" i="10"/>
  <c r="O1411" i="10"/>
  <c r="N1412" i="10"/>
  <c r="O1412" i="10"/>
  <c r="N1413" i="10"/>
  <c r="O1413" i="10"/>
  <c r="N1414" i="10"/>
  <c r="O1414" i="10"/>
  <c r="N1415" i="10"/>
  <c r="O1415" i="10"/>
  <c r="N1416" i="10"/>
  <c r="O1416" i="10"/>
  <c r="N1417" i="10"/>
  <c r="O1417" i="10"/>
  <c r="N1418" i="10"/>
  <c r="O1418" i="10"/>
  <c r="N1419" i="10"/>
  <c r="O1419" i="10"/>
  <c r="N1420" i="10"/>
  <c r="O1420" i="10"/>
  <c r="N1421" i="10"/>
  <c r="O1421" i="10"/>
  <c r="N1422" i="10"/>
  <c r="O1422" i="10"/>
  <c r="N1423" i="10"/>
  <c r="O1423" i="10"/>
  <c r="N1424" i="10"/>
  <c r="O1424" i="10"/>
  <c r="N1425" i="10"/>
  <c r="O1425" i="10"/>
  <c r="N1426" i="10"/>
  <c r="O1426" i="10"/>
  <c r="N1427" i="10"/>
  <c r="O1427" i="10"/>
  <c r="N1428" i="10"/>
  <c r="O1428" i="10"/>
  <c r="N1429" i="10"/>
  <c r="O1429" i="10"/>
  <c r="N1430" i="10"/>
  <c r="O1430" i="10"/>
  <c r="N1431" i="10"/>
  <c r="O1431" i="10"/>
  <c r="N1432" i="10"/>
  <c r="O1432" i="10"/>
  <c r="N1433" i="10"/>
  <c r="O1433" i="10"/>
  <c r="N1434" i="10"/>
  <c r="O1434" i="10"/>
  <c r="N1435" i="10"/>
  <c r="O1435" i="10"/>
  <c r="N1436" i="10"/>
  <c r="O1436" i="10"/>
  <c r="N1437" i="10"/>
  <c r="O1437" i="10"/>
  <c r="N1438" i="10"/>
  <c r="O1438" i="10"/>
  <c r="N1439" i="10"/>
  <c r="O1439" i="10"/>
  <c r="N1440" i="10"/>
  <c r="O1440" i="10"/>
  <c r="N1441" i="10"/>
  <c r="O1441" i="10"/>
  <c r="N1442" i="10"/>
  <c r="O1442" i="10"/>
  <c r="N1443" i="10"/>
  <c r="O1443" i="10"/>
  <c r="N1444" i="10"/>
  <c r="O1444" i="10"/>
  <c r="N1445" i="10"/>
  <c r="O1445" i="10"/>
  <c r="N1446" i="10"/>
  <c r="O1446" i="10"/>
  <c r="N1447" i="10"/>
  <c r="O1447" i="10"/>
  <c r="N1448" i="10"/>
  <c r="O1448" i="10"/>
  <c r="N1449" i="10"/>
  <c r="O1449" i="10"/>
  <c r="N1450" i="10"/>
  <c r="O1450" i="10"/>
  <c r="N1451" i="10"/>
  <c r="O1451" i="10"/>
  <c r="N1452" i="10"/>
  <c r="O1452" i="10"/>
  <c r="N1453" i="10"/>
  <c r="O1453" i="10"/>
  <c r="N1454" i="10"/>
  <c r="O1454" i="10"/>
  <c r="N1455" i="10"/>
  <c r="O1455" i="10"/>
  <c r="N1456" i="10"/>
  <c r="O1456" i="10"/>
  <c r="N1457" i="10"/>
  <c r="O1457" i="10"/>
  <c r="N1458" i="10"/>
  <c r="O1458" i="10"/>
  <c r="N1459" i="10"/>
  <c r="O1459" i="10"/>
  <c r="N1460" i="10"/>
  <c r="O1460" i="10"/>
  <c r="N1461" i="10"/>
  <c r="O1461" i="10"/>
  <c r="N1462" i="10"/>
  <c r="O1462" i="10"/>
  <c r="N1463" i="10"/>
  <c r="O1463" i="10"/>
  <c r="N1464" i="10"/>
  <c r="O1464" i="10"/>
  <c r="N1465" i="10"/>
  <c r="O1465" i="10"/>
  <c r="N1466" i="10"/>
  <c r="O1466" i="10"/>
  <c r="N1467" i="10"/>
  <c r="O1467" i="10"/>
  <c r="N1468" i="10"/>
  <c r="O1468" i="10"/>
  <c r="N1469" i="10"/>
  <c r="O1469" i="10"/>
  <c r="N1470" i="10"/>
  <c r="O1470" i="10"/>
  <c r="N1471" i="10"/>
  <c r="O1471" i="10"/>
  <c r="N1472" i="10"/>
  <c r="O1472" i="10"/>
  <c r="N1473" i="10"/>
  <c r="O1473" i="10"/>
  <c r="N1474" i="10"/>
  <c r="O1474" i="10"/>
  <c r="N1475" i="10"/>
  <c r="O1475" i="10"/>
  <c r="N1476" i="10"/>
  <c r="O1476" i="10"/>
  <c r="N1477" i="10"/>
  <c r="O1477" i="10"/>
  <c r="N1478" i="10"/>
  <c r="O1478" i="10"/>
  <c r="N1479" i="10"/>
  <c r="O1479" i="10"/>
  <c r="N1480" i="10"/>
  <c r="O1480" i="10"/>
  <c r="N1481" i="10"/>
  <c r="O1481" i="10"/>
  <c r="N1482" i="10"/>
  <c r="O1482" i="10"/>
  <c r="N1483" i="10"/>
  <c r="O1483" i="10"/>
  <c r="N1484" i="10"/>
  <c r="O1484" i="10"/>
  <c r="N1485" i="10"/>
  <c r="O1485" i="10"/>
  <c r="N1486" i="10"/>
  <c r="O1486" i="10"/>
  <c r="N1487" i="10"/>
  <c r="O1487" i="10"/>
  <c r="N1488" i="10"/>
  <c r="O1488" i="10"/>
  <c r="N1489" i="10"/>
  <c r="O1489" i="10"/>
  <c r="N1490" i="10"/>
  <c r="O1490" i="10"/>
  <c r="N1491" i="10"/>
  <c r="O1491" i="10"/>
  <c r="N1492" i="10"/>
  <c r="O1492" i="10"/>
  <c r="N1493" i="10"/>
  <c r="O1493" i="10"/>
  <c r="N1494" i="10"/>
  <c r="O1494" i="10"/>
  <c r="N1495" i="10"/>
  <c r="O1495" i="10"/>
  <c r="N1496" i="10"/>
  <c r="O1496" i="10"/>
  <c r="N1497" i="10"/>
  <c r="O1497" i="10"/>
  <c r="N1498" i="10"/>
  <c r="O1498" i="10"/>
  <c r="N1499" i="10"/>
  <c r="O1499" i="10"/>
  <c r="N1500" i="10"/>
  <c r="O1500" i="10"/>
  <c r="N1501" i="10"/>
  <c r="O1501" i="10"/>
  <c r="N1502" i="10"/>
  <c r="O1502" i="10"/>
  <c r="N1503" i="10"/>
  <c r="O1503" i="10"/>
  <c r="N1504" i="10"/>
  <c r="O1504" i="10"/>
  <c r="N1505" i="10"/>
  <c r="O1505" i="10"/>
  <c r="N1506" i="10"/>
  <c r="O1506" i="10"/>
  <c r="N1507" i="10"/>
  <c r="O1507" i="10"/>
  <c r="N1508" i="10"/>
  <c r="O1508" i="10"/>
  <c r="N1509" i="10"/>
  <c r="O1509" i="10"/>
  <c r="N1510" i="10"/>
  <c r="O1510" i="10"/>
  <c r="N1511" i="10"/>
  <c r="O1511" i="10"/>
  <c r="N1512" i="10"/>
  <c r="O1512" i="10"/>
  <c r="N1513" i="10"/>
  <c r="O1513" i="10"/>
  <c r="N1514" i="10"/>
  <c r="O1514" i="10"/>
  <c r="N1515" i="10"/>
  <c r="O1515" i="10"/>
  <c r="N1516" i="10"/>
  <c r="O1516" i="10"/>
  <c r="N1517" i="10"/>
  <c r="O1517" i="10"/>
  <c r="N1518" i="10"/>
  <c r="O1518" i="10"/>
  <c r="N1519" i="10"/>
  <c r="O1519" i="10"/>
  <c r="N1520" i="10"/>
  <c r="O1520" i="10"/>
  <c r="N1521" i="10"/>
  <c r="O1521" i="10"/>
  <c r="N1522" i="10"/>
  <c r="O1522" i="10"/>
  <c r="N1523" i="10"/>
  <c r="O1523" i="10"/>
  <c r="N1524" i="10"/>
  <c r="O1524" i="10"/>
  <c r="N1525" i="10"/>
  <c r="O1525" i="10"/>
  <c r="N1526" i="10"/>
  <c r="O1526" i="10"/>
  <c r="N1527" i="10"/>
  <c r="O1527" i="10"/>
  <c r="N1528" i="10"/>
  <c r="O1528" i="10"/>
  <c r="N1529" i="10"/>
  <c r="O1529" i="10"/>
  <c r="N1530" i="10"/>
  <c r="O1530" i="10"/>
  <c r="N1531" i="10"/>
  <c r="O1531" i="10"/>
  <c r="N1532" i="10"/>
  <c r="O1532" i="10"/>
  <c r="N1533" i="10"/>
  <c r="O1533" i="10"/>
  <c r="N1534" i="10"/>
  <c r="O1534" i="10"/>
  <c r="N1535" i="10"/>
  <c r="O1535" i="10"/>
  <c r="N1536" i="10"/>
  <c r="O1536" i="10"/>
  <c r="N1537" i="10"/>
  <c r="O1537" i="10"/>
  <c r="N1538" i="10"/>
  <c r="O1538" i="10"/>
  <c r="N1539" i="10"/>
  <c r="O1539" i="10"/>
  <c r="N1540" i="10"/>
  <c r="O1540" i="10"/>
  <c r="N1541" i="10"/>
  <c r="O1541" i="10"/>
  <c r="N1542" i="10"/>
  <c r="O1542" i="10"/>
  <c r="N1543" i="10"/>
  <c r="O1543" i="10"/>
  <c r="N1544" i="10"/>
  <c r="O1544" i="10"/>
  <c r="N1545" i="10"/>
  <c r="O1545" i="10"/>
  <c r="N1546" i="10"/>
  <c r="O1546" i="10"/>
  <c r="N1547" i="10"/>
  <c r="O1547" i="10"/>
  <c r="N1548" i="10"/>
  <c r="O1548" i="10"/>
  <c r="N1549" i="10"/>
  <c r="O1549" i="10"/>
  <c r="N1550" i="10"/>
  <c r="O1550" i="10"/>
  <c r="N1551" i="10"/>
  <c r="O1551" i="10"/>
  <c r="N1552" i="10"/>
  <c r="O1552" i="10"/>
  <c r="N1553" i="10"/>
  <c r="O1553" i="10"/>
  <c r="N1554" i="10"/>
  <c r="O1554" i="10"/>
  <c r="N1555" i="10"/>
  <c r="O1555" i="10"/>
  <c r="N1556" i="10"/>
  <c r="O1556" i="10"/>
  <c r="N1557" i="10"/>
  <c r="O1557" i="10"/>
  <c r="N1558" i="10"/>
  <c r="O1558" i="10"/>
  <c r="N1559" i="10"/>
  <c r="O1559" i="10"/>
  <c r="N1560" i="10"/>
  <c r="O1560" i="10"/>
  <c r="N1561" i="10"/>
  <c r="O1561" i="10"/>
  <c r="N1562" i="10"/>
  <c r="O1562" i="10"/>
  <c r="N1563" i="10"/>
  <c r="O1563" i="10"/>
  <c r="N1564" i="10"/>
  <c r="O1564" i="10"/>
  <c r="N1565" i="10"/>
  <c r="O1565" i="10"/>
  <c r="N1566" i="10"/>
  <c r="O1566" i="10"/>
  <c r="N1567" i="10"/>
  <c r="O1567" i="10"/>
  <c r="N1568" i="10"/>
  <c r="O1568" i="10"/>
  <c r="N1569" i="10"/>
  <c r="O1569" i="10"/>
  <c r="N1570" i="10"/>
  <c r="O1570" i="10"/>
  <c r="N1571" i="10"/>
  <c r="O1571" i="10"/>
  <c r="N1572" i="10"/>
  <c r="O1572" i="10"/>
  <c r="N1573" i="10"/>
  <c r="O1573" i="10"/>
  <c r="N1574" i="10"/>
  <c r="O1574" i="10"/>
  <c r="N1575" i="10"/>
  <c r="O1575" i="10"/>
  <c r="N1576" i="10"/>
  <c r="O1576" i="10"/>
  <c r="N1577" i="10"/>
  <c r="O1577" i="10"/>
  <c r="N1578" i="10"/>
  <c r="O1578" i="10"/>
  <c r="N1579" i="10"/>
  <c r="O1579" i="10"/>
  <c r="N1580" i="10"/>
  <c r="O1580" i="10"/>
  <c r="N1581" i="10"/>
  <c r="O1581" i="10"/>
  <c r="N1582" i="10"/>
  <c r="O1582" i="10"/>
  <c r="N1583" i="10"/>
  <c r="O1583" i="10"/>
  <c r="N1584" i="10"/>
  <c r="O1584" i="10"/>
  <c r="N1585" i="10"/>
  <c r="O1585" i="10"/>
  <c r="N1586" i="10"/>
  <c r="O1586" i="10"/>
  <c r="N1587" i="10"/>
  <c r="O1587" i="10"/>
  <c r="N1588" i="10"/>
  <c r="O1588" i="10"/>
  <c r="N1589" i="10"/>
  <c r="O1589" i="10"/>
  <c r="N1590" i="10"/>
  <c r="O1590" i="10"/>
  <c r="N1591" i="10"/>
  <c r="O1591" i="10"/>
  <c r="N1592" i="10"/>
  <c r="O1592" i="10"/>
  <c r="N1593" i="10"/>
  <c r="O1593" i="10"/>
  <c r="N1594" i="10"/>
  <c r="O1594" i="10"/>
  <c r="N1595" i="10"/>
  <c r="O1595" i="10"/>
  <c r="N1596" i="10"/>
  <c r="O1596" i="10"/>
  <c r="N1597" i="10"/>
  <c r="O1597" i="10"/>
  <c r="N1598" i="10"/>
  <c r="O1598" i="10"/>
  <c r="N1599" i="10"/>
  <c r="O1599" i="10"/>
  <c r="N1600" i="10"/>
  <c r="O1600" i="10"/>
  <c r="N1601" i="10"/>
  <c r="O1601" i="10"/>
  <c r="N1602" i="10"/>
  <c r="O1602" i="10"/>
  <c r="N1603" i="10"/>
  <c r="O1603" i="10"/>
  <c r="N1604" i="10"/>
  <c r="O1604" i="10"/>
  <c r="N1605" i="10"/>
  <c r="O1605" i="10"/>
  <c r="N1606" i="10"/>
  <c r="O1606" i="10"/>
  <c r="N1607" i="10"/>
  <c r="O1607" i="10"/>
  <c r="N1608" i="10"/>
  <c r="O1608" i="10"/>
  <c r="N1609" i="10"/>
  <c r="O1609" i="10"/>
  <c r="N1610" i="10"/>
  <c r="O1610" i="10"/>
  <c r="N1611" i="10"/>
  <c r="O1611" i="10"/>
  <c r="N1612" i="10"/>
  <c r="O1612" i="10"/>
  <c r="N1613" i="10"/>
  <c r="O1613" i="10"/>
  <c r="N1614" i="10"/>
  <c r="O1614" i="10"/>
  <c r="N1615" i="10"/>
  <c r="O1615" i="10"/>
  <c r="N1616" i="10"/>
  <c r="O1616" i="10"/>
  <c r="N1617" i="10"/>
  <c r="O1617" i="10"/>
  <c r="N1618" i="10"/>
  <c r="O1618" i="10"/>
  <c r="N1619" i="10"/>
  <c r="O1619" i="10"/>
  <c r="N1620" i="10"/>
  <c r="O1620" i="10"/>
  <c r="N1621" i="10"/>
  <c r="O1621" i="10"/>
  <c r="N1622" i="10"/>
  <c r="O1622" i="10"/>
  <c r="N1623" i="10"/>
  <c r="O1623" i="10"/>
  <c r="N1624" i="10"/>
  <c r="O1624" i="10"/>
  <c r="N1625" i="10"/>
  <c r="O1625" i="10"/>
  <c r="N1626" i="10"/>
  <c r="O1626" i="10"/>
  <c r="N1627" i="10"/>
  <c r="O1627" i="10"/>
  <c r="N1628" i="10"/>
  <c r="O1628" i="10"/>
  <c r="N1629" i="10"/>
  <c r="O1629" i="10"/>
  <c r="N1630" i="10"/>
  <c r="O1630" i="10"/>
  <c r="N1631" i="10"/>
  <c r="O1631" i="10"/>
  <c r="N1632" i="10"/>
  <c r="O1632" i="10"/>
  <c r="N1633" i="10"/>
  <c r="O1633" i="10"/>
  <c r="N1634" i="10"/>
  <c r="O1634" i="10"/>
  <c r="N1635" i="10"/>
  <c r="O1635" i="10"/>
  <c r="N1636" i="10"/>
  <c r="O1636" i="10"/>
  <c r="N1637" i="10"/>
  <c r="O1637" i="10"/>
  <c r="N1638" i="10"/>
  <c r="O1638" i="10"/>
  <c r="N1639" i="10"/>
  <c r="O1639" i="10"/>
  <c r="N1640" i="10"/>
  <c r="O1640" i="10"/>
  <c r="N1641" i="10"/>
  <c r="O1641" i="10"/>
  <c r="N1642" i="10"/>
  <c r="O1642" i="10"/>
  <c r="N1643" i="10"/>
  <c r="O1643" i="10"/>
  <c r="N1644" i="10"/>
  <c r="O1644" i="10"/>
  <c r="N1645" i="10"/>
  <c r="O1645" i="10"/>
  <c r="N1646" i="10"/>
  <c r="O1646" i="10"/>
  <c r="N1647" i="10"/>
  <c r="O1647" i="10"/>
  <c r="N1648" i="10"/>
  <c r="O1648" i="10"/>
  <c r="N1649" i="10"/>
  <c r="O1649" i="10"/>
  <c r="N1650" i="10"/>
  <c r="O1650" i="10"/>
  <c r="N1651" i="10"/>
  <c r="O1651" i="10"/>
  <c r="N1652" i="10"/>
  <c r="O1652" i="10"/>
  <c r="N1653" i="10"/>
  <c r="O1653" i="10"/>
  <c r="N1654" i="10"/>
  <c r="O1654" i="10"/>
  <c r="N1655" i="10"/>
  <c r="O1655" i="10"/>
  <c r="N1656" i="10"/>
  <c r="O1656" i="10"/>
  <c r="N1657" i="10"/>
  <c r="O1657" i="10"/>
  <c r="N1658" i="10"/>
  <c r="O1658" i="10"/>
  <c r="N1659" i="10"/>
  <c r="O1659" i="10"/>
  <c r="N1660" i="10"/>
  <c r="O1660" i="10"/>
  <c r="N1661" i="10"/>
  <c r="O1661" i="10"/>
  <c r="N1662" i="10"/>
  <c r="O1662" i="10"/>
  <c r="N1663" i="10"/>
  <c r="O1663" i="10"/>
  <c r="N1664" i="10"/>
  <c r="O1664" i="10"/>
  <c r="N1665" i="10"/>
  <c r="O1665" i="10"/>
  <c r="N1666" i="10"/>
  <c r="O1666" i="10"/>
  <c r="N1667" i="10"/>
  <c r="O1667" i="10"/>
  <c r="N1668" i="10"/>
  <c r="O1668" i="10"/>
  <c r="N1669" i="10"/>
  <c r="O1669" i="10"/>
  <c r="N1670" i="10"/>
  <c r="O1670" i="10"/>
  <c r="N1671" i="10"/>
  <c r="O1671" i="10"/>
  <c r="N1672" i="10"/>
  <c r="O1672" i="10"/>
  <c r="N1673" i="10"/>
  <c r="O1673" i="10"/>
  <c r="N1674" i="10"/>
  <c r="O1674" i="10"/>
  <c r="N1675" i="10"/>
  <c r="O1675" i="10"/>
  <c r="N1676" i="10"/>
  <c r="O1676" i="10"/>
  <c r="N1677" i="10"/>
  <c r="O1677" i="10"/>
  <c r="N1678" i="10"/>
  <c r="O1678" i="10"/>
  <c r="N1679" i="10"/>
  <c r="O1679" i="10"/>
  <c r="N1680" i="10"/>
  <c r="O1680" i="10"/>
  <c r="N1681" i="10"/>
  <c r="O1681" i="10"/>
  <c r="N1682" i="10"/>
  <c r="O1682" i="10"/>
  <c r="N1683" i="10"/>
  <c r="O1683" i="10"/>
  <c r="N1684" i="10"/>
  <c r="O1684" i="10"/>
  <c r="N1685" i="10"/>
  <c r="O1685" i="10"/>
  <c r="N1686" i="10"/>
  <c r="O1686" i="10"/>
  <c r="N1687" i="10"/>
  <c r="O1687" i="10"/>
  <c r="N1688" i="10"/>
  <c r="O1688" i="10"/>
  <c r="N1689" i="10"/>
  <c r="O1689" i="10"/>
  <c r="N1690" i="10"/>
  <c r="O1690" i="10"/>
  <c r="N1691" i="10"/>
  <c r="O1691" i="10"/>
  <c r="N1692" i="10"/>
  <c r="O1692" i="10"/>
  <c r="N1693" i="10"/>
  <c r="O1693" i="10"/>
  <c r="N1694" i="10"/>
  <c r="O1694" i="10"/>
  <c r="N1695" i="10"/>
  <c r="O1695" i="10"/>
  <c r="N1696" i="10"/>
  <c r="O1696" i="10"/>
  <c r="N1697" i="10"/>
  <c r="O1697" i="10"/>
  <c r="N1698" i="10"/>
  <c r="O1698" i="10"/>
  <c r="N1699" i="10"/>
  <c r="O1699" i="10"/>
  <c r="N1700" i="10"/>
  <c r="O1700" i="10"/>
  <c r="N1701" i="10"/>
  <c r="O1701" i="10"/>
  <c r="N1702" i="10"/>
  <c r="O1702" i="10"/>
  <c r="N1703" i="10"/>
  <c r="O1703" i="10"/>
  <c r="N1704" i="10"/>
  <c r="O1704" i="10"/>
  <c r="N1705" i="10"/>
  <c r="O1705" i="10"/>
  <c r="N1706" i="10"/>
  <c r="O1706" i="10"/>
  <c r="N1707" i="10"/>
  <c r="O1707" i="10"/>
  <c r="N1708" i="10"/>
  <c r="O1708" i="10"/>
  <c r="N1709" i="10"/>
  <c r="O1709" i="10"/>
  <c r="N1710" i="10"/>
  <c r="O1710" i="10"/>
  <c r="N1711" i="10"/>
  <c r="O1711" i="10"/>
  <c r="N1712" i="10"/>
  <c r="O1712" i="10"/>
  <c r="N1713" i="10"/>
  <c r="O1713" i="10"/>
  <c r="N1714" i="10"/>
  <c r="O1714" i="10"/>
  <c r="N1715" i="10"/>
  <c r="O1715" i="10"/>
  <c r="N1716" i="10"/>
  <c r="O1716" i="10"/>
  <c r="N1717" i="10"/>
  <c r="O1717" i="10"/>
  <c r="N1718" i="10"/>
  <c r="O1718" i="10"/>
  <c r="N1719" i="10"/>
  <c r="O1719" i="10"/>
  <c r="N1720" i="10"/>
  <c r="O1720" i="10"/>
  <c r="N1721" i="10"/>
  <c r="O1721" i="10"/>
  <c r="N1722" i="10"/>
  <c r="O1722" i="10"/>
  <c r="N1723" i="10"/>
  <c r="O1723" i="10"/>
  <c r="N1724" i="10"/>
  <c r="O1724" i="10"/>
  <c r="N1725" i="10"/>
  <c r="O1725" i="10"/>
  <c r="N1726" i="10"/>
  <c r="O1726" i="10"/>
  <c r="N1727" i="10"/>
  <c r="O1727" i="10"/>
  <c r="N1728" i="10"/>
  <c r="O1728" i="10"/>
  <c r="N1729" i="10"/>
  <c r="O1729" i="10"/>
  <c r="N1730" i="10"/>
  <c r="O1730" i="10"/>
  <c r="N1731" i="10"/>
  <c r="O1731" i="10"/>
  <c r="N1732" i="10"/>
  <c r="O1732" i="10"/>
  <c r="N1733" i="10"/>
  <c r="O1733" i="10"/>
  <c r="N1734" i="10"/>
  <c r="O1734" i="10"/>
  <c r="N1735" i="10"/>
  <c r="O1735" i="10"/>
  <c r="N1736" i="10"/>
  <c r="O1736" i="10"/>
  <c r="N1737" i="10"/>
  <c r="O1737" i="10"/>
  <c r="N1738" i="10"/>
  <c r="O1738" i="10"/>
  <c r="N1739" i="10"/>
  <c r="O1739" i="10"/>
  <c r="N1740" i="10"/>
  <c r="O1740" i="10"/>
  <c r="N1741" i="10"/>
  <c r="O1741" i="10"/>
  <c r="N1742" i="10"/>
  <c r="O1742" i="10"/>
  <c r="N1743" i="10"/>
  <c r="O1743" i="10"/>
  <c r="N1744" i="10"/>
  <c r="O1744" i="10"/>
  <c r="N1745" i="10"/>
  <c r="O1745" i="10"/>
  <c r="N1746" i="10"/>
  <c r="O1746" i="10"/>
  <c r="N1747" i="10"/>
  <c r="O1747" i="10"/>
  <c r="N1748" i="10"/>
  <c r="O1748" i="10"/>
  <c r="N1749" i="10"/>
  <c r="O1749" i="10"/>
  <c r="N1750" i="10"/>
  <c r="O1750" i="10"/>
  <c r="N1751" i="10"/>
  <c r="O1751" i="10"/>
  <c r="N1752" i="10"/>
  <c r="O1752" i="10"/>
  <c r="N1753" i="10"/>
  <c r="O1753" i="10"/>
  <c r="N1754" i="10"/>
  <c r="O1754" i="10"/>
  <c r="N1755" i="10"/>
  <c r="O1755" i="10"/>
  <c r="N1756" i="10"/>
  <c r="O1756" i="10"/>
  <c r="N1757" i="10"/>
  <c r="O1757" i="10"/>
  <c r="N1758" i="10"/>
  <c r="O1758" i="10"/>
  <c r="N1759" i="10"/>
  <c r="O1759" i="10"/>
  <c r="N1760" i="10"/>
  <c r="O1760" i="10"/>
  <c r="N1761" i="10"/>
  <c r="O1761" i="10"/>
  <c r="N1762" i="10"/>
  <c r="O1762" i="10"/>
  <c r="N1763" i="10"/>
  <c r="O1763" i="10"/>
  <c r="N1764" i="10"/>
  <c r="O1764" i="10"/>
  <c r="N1765" i="10"/>
  <c r="O1765" i="10"/>
  <c r="N1766" i="10"/>
  <c r="O1766" i="10"/>
  <c r="N1767" i="10"/>
  <c r="O1767" i="10"/>
  <c r="N1768" i="10"/>
  <c r="O1768" i="10"/>
  <c r="N1769" i="10"/>
  <c r="O1769" i="10"/>
  <c r="N1770" i="10"/>
  <c r="O1770" i="10"/>
  <c r="N1771" i="10"/>
  <c r="O1771" i="10"/>
  <c r="N1772" i="10"/>
  <c r="O1772" i="10"/>
  <c r="N1773" i="10"/>
  <c r="O1773" i="10"/>
  <c r="N1774" i="10"/>
  <c r="O1774" i="10"/>
  <c r="N1775" i="10"/>
  <c r="O1775" i="10"/>
  <c r="N1776" i="10"/>
  <c r="O1776" i="10"/>
  <c r="N1777" i="10"/>
  <c r="O1777" i="10"/>
  <c r="N1778" i="10"/>
  <c r="O1778" i="10"/>
  <c r="N1779" i="10"/>
  <c r="O1779" i="10"/>
  <c r="N1780" i="10"/>
  <c r="O1780" i="10"/>
  <c r="N1781" i="10"/>
  <c r="O1781" i="10"/>
  <c r="N1782" i="10"/>
  <c r="O1782" i="10"/>
  <c r="N1783" i="10"/>
  <c r="O1783" i="10"/>
  <c r="N1784" i="10"/>
  <c r="O1784" i="10"/>
  <c r="N1785" i="10"/>
  <c r="O1785" i="10"/>
  <c r="N1786" i="10"/>
  <c r="O1786" i="10"/>
  <c r="N1787" i="10"/>
  <c r="O1787" i="10"/>
  <c r="N1788" i="10"/>
  <c r="O1788" i="10"/>
  <c r="N1789" i="10"/>
  <c r="O1789" i="10"/>
  <c r="N1790" i="10"/>
  <c r="O1790" i="10"/>
  <c r="N1791" i="10"/>
  <c r="O1791" i="10"/>
  <c r="N1792" i="10"/>
  <c r="O1792" i="10"/>
  <c r="N1793" i="10"/>
  <c r="O1793" i="10"/>
  <c r="N1794" i="10"/>
  <c r="O1794" i="10"/>
  <c r="N1795" i="10"/>
  <c r="O1795" i="10"/>
  <c r="N1796" i="10"/>
  <c r="O1796" i="10"/>
  <c r="N1797" i="10"/>
  <c r="O1797" i="10"/>
  <c r="N1798" i="10"/>
  <c r="O1798" i="10"/>
  <c r="N1799" i="10"/>
  <c r="O1799" i="10"/>
  <c r="N1800" i="10"/>
  <c r="O1800" i="10"/>
  <c r="N1801" i="10"/>
  <c r="O1801" i="10"/>
  <c r="N1802" i="10"/>
  <c r="O1802" i="10"/>
  <c r="N1803" i="10"/>
  <c r="O1803" i="10"/>
  <c r="N1804" i="10"/>
  <c r="O1804" i="10"/>
  <c r="N1805" i="10"/>
  <c r="O1805" i="10"/>
  <c r="N1806" i="10"/>
  <c r="O1806" i="10"/>
  <c r="N1807" i="10"/>
  <c r="O1807" i="10"/>
  <c r="N1808" i="10"/>
  <c r="O1808" i="10"/>
  <c r="N1809" i="10"/>
  <c r="O1809" i="10"/>
  <c r="N1810" i="10"/>
  <c r="O1810" i="10"/>
  <c r="N1811" i="10"/>
  <c r="O1811" i="10"/>
  <c r="N1812" i="10"/>
  <c r="O1812" i="10"/>
  <c r="N1813" i="10"/>
  <c r="O1813" i="10"/>
  <c r="N1814" i="10"/>
  <c r="O1814" i="10"/>
  <c r="N1815" i="10"/>
  <c r="O1815" i="10"/>
  <c r="N1816" i="10"/>
  <c r="O1816" i="10"/>
  <c r="N1817" i="10"/>
  <c r="O1817" i="10"/>
  <c r="N1818" i="10"/>
  <c r="O1818" i="10"/>
  <c r="N1819" i="10"/>
  <c r="O1819" i="10"/>
  <c r="N1820" i="10"/>
  <c r="O1820" i="10"/>
  <c r="N1821" i="10"/>
  <c r="O1821" i="10"/>
  <c r="N1822" i="10"/>
  <c r="O1822" i="10"/>
  <c r="N1823" i="10"/>
  <c r="O1823" i="10"/>
  <c r="N1824" i="10"/>
  <c r="O1824" i="10"/>
  <c r="N1825" i="10"/>
  <c r="O1825" i="10"/>
  <c r="N1826" i="10"/>
  <c r="O1826" i="10"/>
  <c r="N1827" i="10"/>
  <c r="O1827" i="10"/>
  <c r="N1828" i="10"/>
  <c r="O1828" i="10"/>
  <c r="N1829" i="10"/>
  <c r="O1829" i="10"/>
  <c r="N1830" i="10"/>
  <c r="O1830" i="10"/>
  <c r="N1831" i="10"/>
  <c r="O1831" i="10"/>
  <c r="N1832" i="10"/>
  <c r="O1832" i="10"/>
  <c r="N1833" i="10"/>
  <c r="O1833" i="10"/>
  <c r="N1834" i="10"/>
  <c r="O1834" i="10"/>
  <c r="N1835" i="10"/>
  <c r="O1835" i="10"/>
  <c r="N1836" i="10"/>
  <c r="O1836" i="10"/>
  <c r="N1837" i="10"/>
  <c r="O1837" i="10"/>
  <c r="N1838" i="10"/>
  <c r="O1838" i="10"/>
  <c r="N1839" i="10"/>
  <c r="O1839" i="10"/>
  <c r="N1840" i="10"/>
  <c r="O1840" i="10"/>
  <c r="N1841" i="10"/>
  <c r="O1841" i="10"/>
  <c r="N1842" i="10"/>
  <c r="O1842" i="10"/>
  <c r="N1843" i="10"/>
  <c r="O1843" i="10"/>
  <c r="N1844" i="10"/>
  <c r="O1844" i="10"/>
  <c r="N1845" i="10"/>
  <c r="O1845" i="10"/>
  <c r="N1846" i="10"/>
  <c r="O1846" i="10"/>
  <c r="N1847" i="10"/>
  <c r="O1847" i="10"/>
  <c r="N1848" i="10"/>
  <c r="O1848" i="10"/>
  <c r="N1849" i="10"/>
  <c r="O1849" i="10"/>
  <c r="N1850" i="10"/>
  <c r="O1850" i="10"/>
  <c r="N1851" i="10"/>
  <c r="O1851" i="10"/>
  <c r="N1852" i="10"/>
  <c r="O1852" i="10"/>
  <c r="N1853" i="10"/>
  <c r="O1853" i="10"/>
  <c r="N1854" i="10"/>
  <c r="O1854" i="10"/>
  <c r="N1855" i="10"/>
  <c r="O1855" i="10"/>
  <c r="N1856" i="10"/>
  <c r="O1856" i="10"/>
  <c r="N1857" i="10"/>
  <c r="O1857" i="10"/>
  <c r="N1858" i="10"/>
  <c r="O1858" i="10"/>
  <c r="N1859" i="10"/>
  <c r="O1859" i="10"/>
  <c r="N1860" i="10"/>
  <c r="O1860" i="10"/>
  <c r="N1861" i="10"/>
  <c r="O1861" i="10"/>
  <c r="N1862" i="10"/>
  <c r="O1862" i="10"/>
  <c r="N1863" i="10"/>
  <c r="O1863" i="10"/>
  <c r="N1864" i="10"/>
  <c r="O1864" i="10"/>
  <c r="N1865" i="10"/>
  <c r="O1865" i="10"/>
  <c r="N1866" i="10"/>
  <c r="O1866" i="10"/>
  <c r="N1867" i="10"/>
  <c r="O1867" i="10"/>
  <c r="N1868" i="10"/>
  <c r="O1868" i="10"/>
  <c r="N1869" i="10"/>
  <c r="O1869" i="10"/>
  <c r="N1870" i="10"/>
  <c r="O1870" i="10"/>
  <c r="N1871" i="10"/>
  <c r="O1871" i="10"/>
  <c r="N1872" i="10"/>
  <c r="O1872" i="10"/>
  <c r="N1873" i="10"/>
  <c r="O1873" i="10"/>
  <c r="N1874" i="10"/>
  <c r="O1874" i="10"/>
  <c r="N1875" i="10"/>
  <c r="O1875" i="10"/>
  <c r="N1876" i="10"/>
  <c r="O1876" i="10"/>
  <c r="N1877" i="10"/>
  <c r="O1877" i="10"/>
  <c r="N1878" i="10"/>
  <c r="O1878" i="10"/>
  <c r="N1879" i="10"/>
  <c r="O1879" i="10"/>
  <c r="N1880" i="10"/>
  <c r="O1880" i="10"/>
  <c r="N1881" i="10"/>
  <c r="O1881" i="10"/>
  <c r="N1882" i="10"/>
  <c r="O1882" i="10"/>
  <c r="N1883" i="10"/>
  <c r="O1883" i="10"/>
  <c r="N1884" i="10"/>
  <c r="O1884" i="10"/>
  <c r="N1885" i="10"/>
  <c r="O1885" i="10"/>
  <c r="N1886" i="10"/>
  <c r="O1886" i="10"/>
  <c r="N1887" i="10"/>
  <c r="O1887" i="10"/>
  <c r="N1888" i="10"/>
  <c r="O1888" i="10"/>
  <c r="N1889" i="10"/>
  <c r="O1889" i="10"/>
  <c r="N1890" i="10"/>
  <c r="O1890" i="10"/>
  <c r="N1891" i="10"/>
  <c r="O1891" i="10"/>
  <c r="N1892" i="10"/>
  <c r="O1892" i="10"/>
  <c r="N1893" i="10"/>
  <c r="O1893" i="10"/>
  <c r="N1894" i="10"/>
  <c r="O1894" i="10"/>
  <c r="N1895" i="10"/>
  <c r="O1895" i="10"/>
  <c r="N1896" i="10"/>
  <c r="O1896" i="10"/>
  <c r="N1897" i="10"/>
  <c r="O1897" i="10"/>
  <c r="N1898" i="10"/>
  <c r="O1898" i="10"/>
  <c r="N1899" i="10"/>
  <c r="O1899" i="10"/>
  <c r="N1900" i="10"/>
  <c r="O1900" i="10"/>
  <c r="N1901" i="10"/>
  <c r="O1901" i="10"/>
  <c r="N1902" i="10"/>
  <c r="O1902" i="10"/>
  <c r="N1903" i="10"/>
  <c r="O1903" i="10"/>
  <c r="N1904" i="10"/>
  <c r="O1904" i="10"/>
  <c r="N1905" i="10"/>
  <c r="O1905" i="10"/>
  <c r="N1906" i="10"/>
  <c r="O1906" i="10"/>
  <c r="N1907" i="10"/>
  <c r="O1907" i="10"/>
  <c r="N1908" i="10"/>
  <c r="O1908" i="10"/>
  <c r="N1909" i="10"/>
  <c r="O1909" i="10"/>
  <c r="N1910" i="10"/>
  <c r="O1910" i="10"/>
  <c r="N1911" i="10"/>
  <c r="O1911" i="10"/>
  <c r="N1912" i="10"/>
  <c r="O1912" i="10"/>
  <c r="N1913" i="10"/>
  <c r="O1913" i="10"/>
  <c r="N1914" i="10"/>
  <c r="O1914" i="10"/>
  <c r="N1915" i="10"/>
  <c r="O1915" i="10"/>
  <c r="N1916" i="10"/>
  <c r="O1916" i="10"/>
  <c r="N1917" i="10"/>
  <c r="O1917" i="10"/>
  <c r="N1918" i="10"/>
  <c r="O1918" i="10"/>
  <c r="N1919" i="10"/>
  <c r="O1919" i="10"/>
  <c r="N1920" i="10"/>
  <c r="O1920" i="10"/>
  <c r="N1921" i="10"/>
  <c r="O1921" i="10"/>
  <c r="N1922" i="10"/>
  <c r="O1922" i="10"/>
  <c r="N1923" i="10"/>
  <c r="O1923" i="10"/>
  <c r="N1924" i="10"/>
  <c r="O1924" i="10"/>
  <c r="N1925" i="10"/>
  <c r="O1925" i="10"/>
  <c r="N1926" i="10"/>
  <c r="O1926" i="10"/>
  <c r="N1927" i="10"/>
  <c r="O1927" i="10"/>
  <c r="N1928" i="10"/>
  <c r="O1928" i="10"/>
  <c r="N1929" i="10"/>
  <c r="O1929" i="10"/>
  <c r="N1930" i="10"/>
  <c r="O1930" i="10"/>
  <c r="N1931" i="10"/>
  <c r="O1931" i="10"/>
  <c r="N1932" i="10"/>
  <c r="O1932" i="10"/>
  <c r="N1933" i="10"/>
  <c r="O1933" i="10"/>
  <c r="N1934" i="10"/>
  <c r="O1934" i="10"/>
  <c r="N1935" i="10"/>
  <c r="O1935" i="10"/>
  <c r="N1936" i="10"/>
  <c r="O1936" i="10"/>
  <c r="N1937" i="10"/>
  <c r="O1937" i="10"/>
  <c r="N1938" i="10"/>
  <c r="O1938" i="10"/>
  <c r="N1939" i="10"/>
  <c r="O1939" i="10"/>
  <c r="N1940" i="10"/>
  <c r="O1940" i="10"/>
  <c r="N1941" i="10"/>
  <c r="O1941" i="10"/>
  <c r="N1942" i="10"/>
  <c r="O1942" i="10"/>
  <c r="N1943" i="10"/>
  <c r="O1943" i="10"/>
  <c r="N1944" i="10"/>
  <c r="O1944" i="10"/>
  <c r="N1945" i="10"/>
  <c r="O1945" i="10"/>
  <c r="N1946" i="10"/>
  <c r="O1946" i="10"/>
  <c r="N1947" i="10"/>
  <c r="O1947" i="10"/>
  <c r="N1948" i="10"/>
  <c r="O1948" i="10"/>
  <c r="N1949" i="10"/>
  <c r="O1949" i="10"/>
  <c r="N1950" i="10"/>
  <c r="O1950" i="10"/>
  <c r="N1951" i="10"/>
  <c r="O1951" i="10"/>
  <c r="N1952" i="10"/>
  <c r="O1952" i="10"/>
  <c r="N1953" i="10"/>
  <c r="O1953" i="10"/>
  <c r="N1954" i="10"/>
  <c r="O1954" i="10"/>
  <c r="N1955" i="10"/>
  <c r="O1955" i="10"/>
  <c r="N1956" i="10"/>
  <c r="O1956" i="10"/>
  <c r="N1957" i="10"/>
  <c r="O1957" i="10"/>
  <c r="N1958" i="10"/>
  <c r="O1958" i="10"/>
  <c r="N1959" i="10"/>
  <c r="O1959" i="10"/>
  <c r="N1960" i="10"/>
  <c r="O1960" i="10"/>
  <c r="N1961" i="10"/>
  <c r="O1961" i="10"/>
  <c r="N1962" i="10"/>
  <c r="O1962" i="10"/>
  <c r="N1963" i="10"/>
  <c r="O1963" i="10"/>
  <c r="N1964" i="10"/>
  <c r="O1964" i="10"/>
  <c r="N1965" i="10"/>
  <c r="O1965" i="10"/>
  <c r="N1966" i="10"/>
  <c r="O1966" i="10"/>
  <c r="N1967" i="10"/>
  <c r="O1967" i="10"/>
  <c r="N1968" i="10"/>
  <c r="O1968" i="10"/>
  <c r="N1969" i="10"/>
  <c r="O1969" i="10"/>
  <c r="N1970" i="10"/>
  <c r="O1970" i="10"/>
  <c r="N1971" i="10"/>
  <c r="O1971" i="10"/>
  <c r="N1972" i="10"/>
  <c r="O1972" i="10"/>
  <c r="N1973" i="10"/>
  <c r="O1973" i="10"/>
  <c r="N1974" i="10"/>
  <c r="O1974" i="10"/>
  <c r="N1975" i="10"/>
  <c r="O1975" i="10"/>
  <c r="N1976" i="10"/>
  <c r="O1976" i="10"/>
  <c r="N1977" i="10"/>
  <c r="O1977" i="10"/>
  <c r="N1978" i="10"/>
  <c r="O1978" i="10"/>
  <c r="N1979" i="10"/>
  <c r="O1979" i="10"/>
  <c r="N1980" i="10"/>
  <c r="O1980" i="10"/>
  <c r="N1981" i="10"/>
  <c r="O1981" i="10"/>
  <c r="N1982" i="10"/>
  <c r="O1982" i="10"/>
  <c r="N1983" i="10"/>
  <c r="O1983" i="10"/>
  <c r="N1984" i="10"/>
  <c r="O1984" i="10"/>
  <c r="N1985" i="10"/>
  <c r="O1985" i="10"/>
  <c r="N1986" i="10"/>
  <c r="O1986" i="10"/>
  <c r="N1987" i="10"/>
  <c r="O1987" i="10"/>
  <c r="N1988" i="10"/>
  <c r="O1988" i="10"/>
  <c r="N1989" i="10"/>
  <c r="O1989" i="10"/>
  <c r="N1990" i="10"/>
  <c r="O1990" i="10"/>
  <c r="N1991" i="10"/>
  <c r="O1991" i="10"/>
  <c r="N1992" i="10"/>
  <c r="O1992" i="10"/>
  <c r="N1993" i="10"/>
  <c r="O1993" i="10"/>
  <c r="N1994" i="10"/>
  <c r="O1994" i="10"/>
  <c r="N1995" i="10"/>
  <c r="O1995" i="10"/>
  <c r="N1996" i="10"/>
  <c r="O1996" i="10"/>
  <c r="N1997" i="10"/>
  <c r="O1997" i="10"/>
  <c r="N1998" i="10"/>
  <c r="O1998" i="10"/>
  <c r="N1999" i="10"/>
  <c r="O1999" i="10"/>
  <c r="N2000" i="10"/>
  <c r="O2000" i="10"/>
  <c r="N2001" i="10"/>
  <c r="O2001" i="10"/>
  <c r="N2002" i="10"/>
  <c r="O2002" i="10"/>
  <c r="N2003" i="10"/>
  <c r="O2003" i="10"/>
  <c r="N2004" i="10"/>
  <c r="O2004" i="10"/>
  <c r="N2005" i="10"/>
  <c r="O2005" i="10"/>
  <c r="N2006" i="10"/>
  <c r="O2006" i="10"/>
  <c r="N2007" i="10"/>
  <c r="O2007" i="10"/>
  <c r="N2008" i="10"/>
  <c r="O2008" i="10"/>
  <c r="N2009" i="10"/>
  <c r="O2009" i="10"/>
  <c r="N2010" i="10"/>
  <c r="O2010" i="10"/>
  <c r="N2011" i="10"/>
  <c r="O2011" i="10"/>
  <c r="N2012" i="10"/>
  <c r="O2012" i="10"/>
  <c r="N2013" i="10"/>
  <c r="O2013" i="10"/>
  <c r="N2014" i="10"/>
  <c r="O2014" i="10"/>
  <c r="N2015" i="10"/>
  <c r="O2015" i="10"/>
  <c r="N2016" i="10"/>
  <c r="O2016" i="10"/>
  <c r="N2017" i="10"/>
  <c r="O2017" i="10"/>
  <c r="N2018" i="10"/>
  <c r="O2018" i="10"/>
  <c r="N2019" i="10"/>
  <c r="O2019" i="10"/>
  <c r="N2020" i="10"/>
  <c r="O2020" i="10"/>
  <c r="N2021" i="10"/>
  <c r="O2021" i="10"/>
  <c r="N2022" i="10"/>
  <c r="O2022" i="10"/>
  <c r="N2023" i="10"/>
  <c r="O2023" i="10"/>
  <c r="N2024" i="10"/>
  <c r="O2024" i="10"/>
  <c r="N2025" i="10"/>
  <c r="O2025" i="10"/>
  <c r="N2026" i="10"/>
  <c r="O2026" i="10"/>
  <c r="N2027" i="10"/>
  <c r="O2027" i="10"/>
  <c r="N2028" i="10"/>
  <c r="O2028" i="10"/>
  <c r="N2029" i="10"/>
  <c r="O2029" i="10"/>
  <c r="N2030" i="10"/>
  <c r="O2030" i="10"/>
  <c r="N2031" i="10"/>
  <c r="O2031" i="10"/>
  <c r="N2032" i="10"/>
  <c r="O2032" i="10"/>
  <c r="N2033" i="10"/>
  <c r="O2033" i="10"/>
  <c r="N2034" i="10"/>
  <c r="O2034" i="10"/>
  <c r="N2035" i="10"/>
  <c r="O2035" i="10"/>
  <c r="N2036" i="10"/>
  <c r="O2036" i="10"/>
  <c r="N2037" i="10"/>
  <c r="O2037" i="10"/>
  <c r="N2038" i="10"/>
  <c r="O2038" i="10"/>
  <c r="N2039" i="10"/>
  <c r="O2039" i="10"/>
  <c r="N2040" i="10"/>
  <c r="O2040" i="10"/>
  <c r="N2041" i="10"/>
  <c r="O2041" i="10"/>
  <c r="N2042" i="10"/>
  <c r="O2042" i="10"/>
  <c r="N2043" i="10"/>
  <c r="O2043" i="10"/>
  <c r="N2044" i="10"/>
  <c r="O2044" i="10"/>
  <c r="N2045" i="10"/>
  <c r="O2045" i="10"/>
  <c r="N2046" i="10"/>
  <c r="O2046" i="10"/>
  <c r="N2047" i="10"/>
  <c r="O2047" i="10"/>
  <c r="N2048" i="10"/>
  <c r="O2048" i="10"/>
  <c r="N2049" i="10"/>
  <c r="O2049" i="10"/>
  <c r="N2050" i="10"/>
  <c r="O2050" i="10"/>
  <c r="N2051" i="10"/>
  <c r="O2051" i="10"/>
  <c r="N2052" i="10"/>
  <c r="O2052" i="10"/>
  <c r="N2053" i="10"/>
  <c r="O2053" i="10"/>
  <c r="N2054" i="10"/>
  <c r="O2054" i="10"/>
  <c r="N2055" i="10"/>
  <c r="O2055" i="10"/>
  <c r="N2056" i="10"/>
  <c r="O2056" i="10"/>
  <c r="N2057" i="10"/>
  <c r="O2057" i="10"/>
  <c r="N2058" i="10"/>
  <c r="O2058" i="10"/>
  <c r="N2059" i="10"/>
  <c r="O2059" i="10"/>
  <c r="N2060" i="10"/>
  <c r="O2060" i="10"/>
  <c r="N2061" i="10"/>
  <c r="O2061" i="10"/>
  <c r="N2062" i="10"/>
  <c r="O2062" i="10"/>
  <c r="N2063" i="10"/>
  <c r="O2063" i="10"/>
  <c r="N2064" i="10"/>
  <c r="O2064" i="10"/>
  <c r="N2065" i="10"/>
  <c r="O2065" i="10"/>
  <c r="N2066" i="10"/>
  <c r="O2066" i="10"/>
  <c r="N2067" i="10"/>
  <c r="O2067" i="10"/>
  <c r="N2068" i="10"/>
  <c r="O2068" i="10"/>
  <c r="N2069" i="10"/>
  <c r="O2069" i="10"/>
  <c r="N2070" i="10"/>
  <c r="O2070" i="10"/>
  <c r="N2071" i="10"/>
  <c r="O2071" i="10"/>
  <c r="N2072" i="10"/>
  <c r="O2072" i="10"/>
  <c r="N2073" i="10"/>
  <c r="O2073" i="10"/>
  <c r="N2074" i="10"/>
  <c r="O2074" i="10"/>
  <c r="N2075" i="10"/>
  <c r="O2075" i="10"/>
  <c r="N2076" i="10"/>
  <c r="O2076" i="10"/>
  <c r="N2077" i="10"/>
  <c r="O2077" i="10"/>
  <c r="N2078" i="10"/>
  <c r="O2078" i="10"/>
  <c r="N2079" i="10"/>
  <c r="O2079" i="10"/>
  <c r="N2080" i="10"/>
  <c r="O2080" i="10"/>
  <c r="N2081" i="10"/>
  <c r="O2081" i="10"/>
  <c r="N2082" i="10"/>
  <c r="O2082" i="10"/>
  <c r="N2083" i="10"/>
  <c r="O2083" i="10"/>
  <c r="N2084" i="10"/>
  <c r="O2084" i="10"/>
  <c r="N2085" i="10"/>
  <c r="O2085" i="10"/>
  <c r="N2086" i="10"/>
  <c r="O2086" i="10"/>
  <c r="N2087" i="10"/>
  <c r="O2087" i="10"/>
  <c r="N2088" i="10"/>
  <c r="O2088" i="10"/>
  <c r="N2089" i="10"/>
  <c r="O2089" i="10"/>
  <c r="N2090" i="10"/>
  <c r="O2090" i="10"/>
  <c r="N2091" i="10"/>
  <c r="O2091" i="10"/>
  <c r="N2092" i="10"/>
  <c r="O2092" i="10"/>
  <c r="N2093" i="10"/>
  <c r="O2093" i="10"/>
  <c r="N2094" i="10"/>
  <c r="O2094" i="10"/>
  <c r="N2095" i="10"/>
  <c r="O2095" i="10"/>
  <c r="N2096" i="10"/>
  <c r="O2096" i="10"/>
  <c r="N2097" i="10"/>
  <c r="O2097" i="10"/>
  <c r="N2098" i="10"/>
  <c r="O2098" i="10"/>
  <c r="N2099" i="10"/>
  <c r="O2099" i="10"/>
  <c r="N2100" i="10"/>
  <c r="O2100" i="10"/>
  <c r="N2101" i="10"/>
  <c r="O2101" i="10"/>
  <c r="N2102" i="10"/>
  <c r="O2102" i="10"/>
  <c r="N2103" i="10"/>
  <c r="O2103" i="10"/>
  <c r="N2104" i="10"/>
  <c r="O2104" i="10"/>
  <c r="N2105" i="10"/>
  <c r="O2105" i="10"/>
  <c r="N2106" i="10"/>
  <c r="O2106" i="10"/>
  <c r="N2107" i="10"/>
  <c r="O2107" i="10"/>
  <c r="N2108" i="10"/>
  <c r="O2108" i="10"/>
  <c r="N2109" i="10"/>
  <c r="O2109" i="10"/>
  <c r="N2110" i="10"/>
  <c r="O2110" i="10"/>
  <c r="N2111" i="10"/>
  <c r="O2111" i="10"/>
  <c r="N2112" i="10"/>
  <c r="O2112" i="10"/>
  <c r="N2113" i="10"/>
  <c r="O2113" i="10"/>
  <c r="N2114" i="10"/>
  <c r="O2114" i="10"/>
  <c r="N2115" i="10"/>
  <c r="O2115" i="10"/>
  <c r="N2116" i="10"/>
  <c r="O2116" i="10"/>
  <c r="N2117" i="10"/>
  <c r="O2117" i="10"/>
  <c r="N2118" i="10"/>
  <c r="O2118" i="10"/>
  <c r="N2119" i="10"/>
  <c r="O2119" i="10"/>
  <c r="N2120" i="10"/>
  <c r="O2120" i="10"/>
  <c r="N2121" i="10"/>
  <c r="O2121" i="10"/>
  <c r="N2122" i="10"/>
  <c r="O2122" i="10"/>
  <c r="N2123" i="10"/>
  <c r="O2123" i="10"/>
  <c r="N2124" i="10"/>
  <c r="O2124" i="10"/>
  <c r="N2125" i="10"/>
  <c r="O2125" i="10"/>
  <c r="N2126" i="10"/>
  <c r="O2126" i="10"/>
  <c r="N2127" i="10"/>
  <c r="O2127" i="10"/>
  <c r="N2128" i="10"/>
  <c r="O2128" i="10"/>
  <c r="N2129" i="10"/>
  <c r="O2129" i="10"/>
  <c r="N2130" i="10"/>
  <c r="O2130" i="10"/>
  <c r="N2131" i="10"/>
  <c r="O2131" i="10"/>
  <c r="N2132" i="10"/>
  <c r="O2132" i="10"/>
  <c r="N2133" i="10"/>
  <c r="O2133" i="10"/>
  <c r="N2134" i="10"/>
  <c r="O2134" i="10"/>
  <c r="N2135" i="10"/>
  <c r="O2135" i="10"/>
  <c r="N2136" i="10"/>
  <c r="O2136" i="10"/>
  <c r="N2137" i="10"/>
  <c r="O2137" i="10"/>
  <c r="N2138" i="10"/>
  <c r="O2138" i="10"/>
  <c r="N2139" i="10"/>
  <c r="O2139" i="10"/>
  <c r="N2140" i="10"/>
  <c r="O2140" i="10"/>
  <c r="N2141" i="10"/>
  <c r="O2141" i="10"/>
  <c r="N2142" i="10"/>
  <c r="O2142" i="10"/>
  <c r="N2143" i="10"/>
  <c r="O2143" i="10"/>
  <c r="N2144" i="10"/>
  <c r="O2144" i="10"/>
  <c r="N2145" i="10"/>
  <c r="O2145" i="10"/>
  <c r="N2146" i="10"/>
  <c r="O2146" i="10"/>
  <c r="N2147" i="10"/>
  <c r="O2147" i="10"/>
  <c r="N2148" i="10"/>
  <c r="O2148" i="10"/>
  <c r="N2149" i="10"/>
  <c r="O2149" i="10"/>
  <c r="N2150" i="10"/>
  <c r="O2150" i="10"/>
  <c r="N2151" i="10"/>
  <c r="O2151" i="10"/>
  <c r="N2152" i="10"/>
  <c r="O2152" i="10"/>
  <c r="N2153" i="10"/>
  <c r="O2153" i="10"/>
  <c r="N2154" i="10"/>
  <c r="O2154" i="10"/>
  <c r="N2155" i="10"/>
  <c r="O2155" i="10"/>
  <c r="N2156" i="10"/>
  <c r="O2156" i="10"/>
  <c r="N2157" i="10"/>
  <c r="O2157" i="10"/>
  <c r="N2158" i="10"/>
  <c r="O2158" i="10"/>
  <c r="N2159" i="10"/>
  <c r="O2159" i="10"/>
  <c r="N2160" i="10"/>
  <c r="O2160" i="10"/>
  <c r="N2161" i="10"/>
  <c r="O2161" i="10"/>
  <c r="N2162" i="10"/>
  <c r="O2162" i="10"/>
  <c r="N2163" i="10"/>
  <c r="O2163" i="10"/>
  <c r="N2164" i="10"/>
  <c r="O2164" i="10"/>
  <c r="N2165" i="10"/>
  <c r="O2165" i="10"/>
  <c r="N2166" i="10"/>
  <c r="O2166" i="10"/>
  <c r="N2167" i="10"/>
  <c r="O2167" i="10"/>
  <c r="N2168" i="10"/>
  <c r="O2168" i="10"/>
  <c r="N2169" i="10"/>
  <c r="O2169" i="10"/>
  <c r="N2170" i="10"/>
  <c r="O2170" i="10"/>
  <c r="N2171" i="10"/>
  <c r="O2171" i="10"/>
  <c r="N2172" i="10"/>
  <c r="O2172" i="10"/>
  <c r="N2173" i="10"/>
  <c r="O2173" i="10"/>
  <c r="N2174" i="10"/>
  <c r="O2174" i="10"/>
  <c r="N2175" i="10"/>
  <c r="O2175" i="10"/>
  <c r="N2176" i="10"/>
  <c r="O2176" i="10"/>
  <c r="N2177" i="10"/>
  <c r="O2177" i="10"/>
  <c r="N2178" i="10"/>
  <c r="O2178" i="10"/>
  <c r="N2179" i="10"/>
  <c r="O2179" i="10"/>
  <c r="N2180" i="10"/>
  <c r="O2180" i="10"/>
  <c r="N2181" i="10"/>
  <c r="O2181" i="10"/>
  <c r="N2182" i="10"/>
  <c r="O2182" i="10"/>
  <c r="N2183" i="10"/>
  <c r="O2183" i="10"/>
  <c r="N2184" i="10"/>
  <c r="O2184" i="10"/>
  <c r="N2185" i="10"/>
  <c r="O2185" i="10"/>
  <c r="N2186" i="10"/>
  <c r="O2186" i="10"/>
  <c r="N2187" i="10"/>
  <c r="O2187" i="10"/>
  <c r="N2188" i="10"/>
  <c r="O2188" i="10"/>
  <c r="N2189" i="10"/>
  <c r="O2189" i="10"/>
  <c r="N2190" i="10"/>
  <c r="O2190" i="10"/>
  <c r="N2191" i="10"/>
  <c r="O2191" i="10"/>
  <c r="N2192" i="10"/>
  <c r="O2192" i="10"/>
  <c r="N2193" i="10"/>
  <c r="O2193" i="10"/>
  <c r="N2194" i="10"/>
  <c r="O2194" i="10"/>
  <c r="N2195" i="10"/>
  <c r="O2195" i="10"/>
  <c r="N2196" i="10"/>
  <c r="O2196" i="10"/>
  <c r="N2197" i="10"/>
  <c r="O2197" i="10"/>
  <c r="N2198" i="10"/>
  <c r="O2198" i="10"/>
  <c r="N2199" i="10"/>
  <c r="O2199" i="10"/>
  <c r="N2200" i="10"/>
  <c r="O2200" i="10"/>
  <c r="N2201" i="10"/>
  <c r="O2201" i="10"/>
  <c r="N2202" i="10"/>
  <c r="O2202" i="10"/>
  <c r="N2203" i="10"/>
  <c r="O2203" i="10"/>
  <c r="N2204" i="10"/>
  <c r="O2204" i="10"/>
  <c r="N2205" i="10"/>
  <c r="O2205" i="10"/>
  <c r="N2206" i="10"/>
  <c r="O2206" i="10"/>
  <c r="N2207" i="10"/>
  <c r="O2207" i="10"/>
  <c r="N2208" i="10"/>
  <c r="O2208" i="10"/>
  <c r="N2209" i="10"/>
  <c r="O2209" i="10"/>
  <c r="N2210" i="10"/>
  <c r="O2210" i="10"/>
  <c r="N2211" i="10"/>
  <c r="O2211" i="10"/>
  <c r="N2212" i="10"/>
  <c r="O2212" i="10"/>
  <c r="N2213" i="10"/>
  <c r="O2213" i="10"/>
  <c r="N2214" i="10"/>
  <c r="O2214" i="10"/>
  <c r="N2215" i="10"/>
  <c r="O2215" i="10"/>
  <c r="N2216" i="10"/>
  <c r="O2216" i="10"/>
  <c r="N2217" i="10"/>
  <c r="O2217" i="10"/>
  <c r="N2218" i="10"/>
  <c r="O2218" i="10"/>
  <c r="N2219" i="10"/>
  <c r="O2219" i="10"/>
  <c r="N2220" i="10"/>
  <c r="O2220" i="10"/>
  <c r="N2221" i="10"/>
  <c r="O2221" i="10"/>
  <c r="N2222" i="10"/>
  <c r="O2222" i="10"/>
  <c r="N2223" i="10"/>
  <c r="O2223" i="10"/>
  <c r="N2224" i="10"/>
  <c r="O2224" i="10"/>
  <c r="N2225" i="10"/>
  <c r="O2225" i="10"/>
  <c r="N2226" i="10"/>
  <c r="O2226" i="10"/>
  <c r="N2227" i="10"/>
  <c r="O2227" i="10"/>
  <c r="N2228" i="10"/>
  <c r="O2228" i="10"/>
  <c r="N2229" i="10"/>
  <c r="O2229" i="10"/>
  <c r="N2230" i="10"/>
  <c r="O2230" i="10"/>
  <c r="N2231" i="10"/>
  <c r="O2231" i="10"/>
  <c r="N2232" i="10"/>
  <c r="O2232" i="10"/>
  <c r="N2233" i="10"/>
  <c r="O2233" i="10"/>
  <c r="N2234" i="10"/>
  <c r="O2234" i="10"/>
  <c r="N2235" i="10"/>
  <c r="O2235" i="10"/>
  <c r="N2236" i="10"/>
  <c r="O2236" i="10"/>
  <c r="N2237" i="10"/>
  <c r="O2237" i="10"/>
  <c r="N2238" i="10"/>
  <c r="O2238" i="10"/>
  <c r="N2239" i="10"/>
  <c r="O2239" i="10"/>
  <c r="N2240" i="10"/>
  <c r="O2240" i="10"/>
  <c r="N2241" i="10"/>
  <c r="O2241" i="10"/>
  <c r="N2242" i="10"/>
  <c r="O2242" i="10"/>
  <c r="N2243" i="10"/>
  <c r="O2243" i="10"/>
  <c r="N2244" i="10"/>
  <c r="O2244" i="10"/>
  <c r="N2245" i="10"/>
  <c r="O2245" i="10"/>
  <c r="N2246" i="10"/>
  <c r="O2246" i="10"/>
  <c r="N2247" i="10"/>
  <c r="O2247" i="10"/>
  <c r="N2248" i="10"/>
  <c r="O2248" i="10"/>
  <c r="N2249" i="10"/>
  <c r="O2249" i="10"/>
  <c r="N2250" i="10"/>
  <c r="O2250" i="10"/>
  <c r="N2251" i="10"/>
  <c r="O2251" i="10"/>
  <c r="N2252" i="10"/>
  <c r="O2252" i="10"/>
  <c r="N2253" i="10"/>
  <c r="O2253" i="10"/>
  <c r="N2254" i="10"/>
  <c r="O2254" i="10"/>
  <c r="N2255" i="10"/>
  <c r="O2255" i="10"/>
  <c r="N2256" i="10"/>
  <c r="O2256" i="10"/>
  <c r="N2257" i="10"/>
  <c r="O2257" i="10"/>
  <c r="N2258" i="10"/>
  <c r="O2258" i="10"/>
  <c r="N2259" i="10"/>
  <c r="O2259" i="10"/>
  <c r="N2260" i="10"/>
  <c r="O2260" i="10"/>
  <c r="N2261" i="10"/>
  <c r="O2261" i="10"/>
  <c r="N2262" i="10"/>
  <c r="O2262" i="10"/>
  <c r="N2263" i="10"/>
  <c r="O2263" i="10"/>
  <c r="N2264" i="10"/>
  <c r="O2264" i="10"/>
  <c r="N2265" i="10"/>
  <c r="O2265" i="10"/>
  <c r="N2266" i="10"/>
  <c r="O2266" i="10"/>
  <c r="N2267" i="10"/>
  <c r="O2267" i="10"/>
  <c r="N2268" i="10"/>
  <c r="O2268" i="10"/>
  <c r="N2269" i="10"/>
  <c r="O2269" i="10"/>
  <c r="N2270" i="10"/>
  <c r="O2270" i="10"/>
  <c r="N2271" i="10"/>
  <c r="O2271" i="10"/>
  <c r="N2272" i="10"/>
  <c r="O2272" i="10"/>
  <c r="N2273" i="10"/>
  <c r="O2273" i="10"/>
  <c r="N2274" i="10"/>
  <c r="O2274" i="10"/>
  <c r="N2275" i="10"/>
  <c r="O2275" i="10"/>
  <c r="N2276" i="10"/>
  <c r="O2276" i="10"/>
  <c r="N2277" i="10"/>
  <c r="O2277" i="10"/>
  <c r="N2278" i="10"/>
  <c r="O2278" i="10"/>
  <c r="N2279" i="10"/>
  <c r="O2279" i="10"/>
  <c r="N2280" i="10"/>
  <c r="O2280" i="10"/>
  <c r="N2281" i="10"/>
  <c r="O2281" i="10"/>
  <c r="N2282" i="10"/>
  <c r="O2282" i="10"/>
  <c r="N2283" i="10"/>
  <c r="O2283" i="10"/>
  <c r="N2284" i="10"/>
  <c r="O2284" i="10"/>
  <c r="N2285" i="10"/>
  <c r="O2285" i="10"/>
  <c r="N2286" i="10"/>
  <c r="O2286" i="10"/>
  <c r="N2287" i="10"/>
  <c r="O2287" i="10"/>
  <c r="N2288" i="10"/>
  <c r="O2288" i="10"/>
  <c r="N2289" i="10"/>
  <c r="O2289" i="10"/>
  <c r="N2290" i="10"/>
  <c r="O2290" i="10"/>
  <c r="N2291" i="10"/>
  <c r="O2291" i="10"/>
  <c r="N2292" i="10"/>
  <c r="O2292" i="10"/>
  <c r="N2293" i="10"/>
  <c r="O2293" i="10"/>
  <c r="N2294" i="10"/>
  <c r="O2294" i="10"/>
  <c r="N2295" i="10"/>
  <c r="O2295" i="10"/>
  <c r="N2296" i="10"/>
  <c r="O2296" i="10"/>
  <c r="N2297" i="10"/>
  <c r="O2297" i="10"/>
  <c r="N2298" i="10"/>
  <c r="O2298" i="10"/>
  <c r="N2299" i="10"/>
  <c r="O2299" i="10"/>
  <c r="N2300" i="10"/>
  <c r="O2300" i="10"/>
  <c r="N2301" i="10"/>
  <c r="O2301" i="10"/>
  <c r="N2302" i="10"/>
  <c r="O2302" i="10"/>
  <c r="N2303" i="10"/>
  <c r="O2303" i="10"/>
  <c r="N2304" i="10"/>
  <c r="O2304" i="10"/>
  <c r="N2305" i="10"/>
  <c r="O2305" i="10"/>
  <c r="N2306" i="10"/>
  <c r="O2306" i="10"/>
  <c r="N2307" i="10"/>
  <c r="O2307" i="10"/>
  <c r="N2308" i="10"/>
  <c r="O2308" i="10"/>
  <c r="N2309" i="10"/>
  <c r="O2309" i="10"/>
  <c r="N2310" i="10"/>
  <c r="O2310" i="10"/>
  <c r="N2311" i="10"/>
  <c r="O2311" i="10"/>
  <c r="N2312" i="10"/>
  <c r="O2312" i="10"/>
  <c r="N2313" i="10"/>
  <c r="O2313" i="10"/>
  <c r="N2314" i="10"/>
  <c r="O2314" i="10"/>
  <c r="N2315" i="10"/>
  <c r="O2315" i="10"/>
  <c r="N2316" i="10"/>
  <c r="O2316" i="10"/>
  <c r="N2317" i="10"/>
  <c r="O2317" i="10"/>
  <c r="N2318" i="10"/>
  <c r="O2318" i="10"/>
  <c r="N2319" i="10"/>
  <c r="O2319" i="10"/>
  <c r="N2320" i="10"/>
  <c r="O2320" i="10"/>
  <c r="N2321" i="10"/>
  <c r="O2321" i="10"/>
  <c r="N2322" i="10"/>
  <c r="O2322" i="10"/>
  <c r="N2323" i="10"/>
  <c r="O2323" i="10"/>
  <c r="N2324" i="10"/>
  <c r="O2324" i="10"/>
  <c r="N2325" i="10"/>
  <c r="O2325" i="10"/>
  <c r="N2326" i="10"/>
  <c r="O2326" i="10"/>
  <c r="N2327" i="10"/>
  <c r="O2327" i="10"/>
  <c r="N2328" i="10"/>
  <c r="O2328" i="10"/>
  <c r="N2329" i="10"/>
  <c r="O2329" i="10"/>
  <c r="N2330" i="10"/>
  <c r="O2330" i="10"/>
  <c r="N2331" i="10"/>
  <c r="O2331" i="10"/>
  <c r="N2332" i="10"/>
  <c r="O2332" i="10"/>
  <c r="N2333" i="10"/>
  <c r="O2333" i="10"/>
  <c r="N2334" i="10"/>
  <c r="O2334" i="10"/>
  <c r="N2335" i="10"/>
  <c r="O2335" i="10"/>
  <c r="N2336" i="10"/>
  <c r="O2336" i="10"/>
  <c r="N2337" i="10"/>
  <c r="O2337" i="10"/>
  <c r="N2338" i="10"/>
  <c r="O2338" i="10"/>
  <c r="N2339" i="10"/>
  <c r="O2339" i="10"/>
  <c r="N2340" i="10"/>
  <c r="O2340" i="10"/>
  <c r="N2341" i="10"/>
  <c r="O2341" i="10"/>
  <c r="N2342" i="10"/>
  <c r="O2342" i="10"/>
  <c r="N2343" i="10"/>
  <c r="O2343" i="10"/>
  <c r="N2344" i="10"/>
  <c r="O2344" i="10"/>
  <c r="N2345" i="10"/>
  <c r="O2345" i="10"/>
  <c r="N2346" i="10"/>
  <c r="O2346" i="10"/>
  <c r="N2347" i="10"/>
  <c r="O2347" i="10"/>
  <c r="N2348" i="10"/>
  <c r="O2348" i="10"/>
  <c r="N2349" i="10"/>
  <c r="O2349" i="10"/>
  <c r="N2350" i="10"/>
  <c r="O2350" i="10"/>
  <c r="N2351" i="10"/>
  <c r="O2351" i="10"/>
  <c r="N2352" i="10"/>
  <c r="O2352" i="10"/>
  <c r="N2353" i="10"/>
  <c r="O2353" i="10"/>
  <c r="N2354" i="10"/>
  <c r="O2354" i="10"/>
  <c r="N2355" i="10"/>
  <c r="O2355" i="10"/>
  <c r="N2356" i="10"/>
  <c r="O2356" i="10"/>
  <c r="N2357" i="10"/>
  <c r="O2357" i="10"/>
  <c r="N2358" i="10"/>
  <c r="O2358" i="10"/>
  <c r="N2359" i="10"/>
  <c r="O2359" i="10"/>
  <c r="N2360" i="10"/>
  <c r="O2360" i="10"/>
  <c r="N2361" i="10"/>
  <c r="O2361" i="10"/>
  <c r="N2362" i="10"/>
  <c r="O2362" i="10"/>
  <c r="N2363" i="10"/>
  <c r="O2363" i="10"/>
  <c r="N2364" i="10"/>
  <c r="O2364" i="10"/>
  <c r="N2365" i="10"/>
  <c r="O2365" i="10"/>
  <c r="N2366" i="10"/>
  <c r="O2366" i="10"/>
  <c r="N2367" i="10"/>
  <c r="O2367" i="10"/>
  <c r="N2368" i="10"/>
  <c r="O2368" i="10"/>
  <c r="N2369" i="10"/>
  <c r="O2369" i="10"/>
  <c r="N2370" i="10"/>
  <c r="O2370" i="10"/>
  <c r="N2371" i="10"/>
  <c r="O2371" i="10"/>
  <c r="N2372" i="10"/>
  <c r="O2372" i="10"/>
  <c r="N2373" i="10"/>
  <c r="O2373" i="10"/>
  <c r="N2374" i="10"/>
  <c r="O2374" i="10"/>
  <c r="N2375" i="10"/>
  <c r="O2375" i="10"/>
  <c r="N2376" i="10"/>
  <c r="O2376" i="10"/>
  <c r="N2377" i="10"/>
  <c r="O2377" i="10"/>
  <c r="N2378" i="10"/>
  <c r="O2378" i="10"/>
  <c r="N2379" i="10"/>
  <c r="O2379" i="10"/>
  <c r="N2380" i="10"/>
  <c r="O2380" i="10"/>
  <c r="N2381" i="10"/>
  <c r="O2381" i="10"/>
  <c r="N2382" i="10"/>
  <c r="O2382" i="10"/>
  <c r="N2383" i="10"/>
  <c r="O2383" i="10"/>
  <c r="N2384" i="10"/>
  <c r="O2384" i="10"/>
  <c r="N2385" i="10"/>
  <c r="O2385" i="10"/>
  <c r="N2386" i="10"/>
  <c r="O2386" i="10"/>
  <c r="N2387" i="10"/>
  <c r="O2387" i="10"/>
  <c r="N2388" i="10"/>
  <c r="O2388" i="10"/>
  <c r="N2389" i="10"/>
  <c r="O2389" i="10"/>
  <c r="N2390" i="10"/>
  <c r="O2390" i="10"/>
  <c r="N2391" i="10"/>
  <c r="O2391" i="10"/>
  <c r="N2392" i="10"/>
  <c r="O2392" i="10"/>
  <c r="N2393" i="10"/>
  <c r="O2393" i="10"/>
  <c r="N2394" i="10"/>
  <c r="O2394" i="10"/>
  <c r="N2395" i="10"/>
  <c r="O2395" i="10"/>
  <c r="N2396" i="10"/>
  <c r="O2396" i="10"/>
  <c r="N2397" i="10"/>
  <c r="O2397" i="10"/>
  <c r="N2398" i="10"/>
  <c r="O2398" i="10"/>
  <c r="N2399" i="10"/>
  <c r="O2399" i="10"/>
  <c r="N2400" i="10"/>
  <c r="O2400" i="10"/>
  <c r="N2401" i="10"/>
  <c r="O2401" i="10"/>
  <c r="N2402" i="10"/>
  <c r="O2402" i="10"/>
  <c r="N2403" i="10"/>
  <c r="O2403" i="10"/>
  <c r="N2404" i="10"/>
  <c r="O2404" i="10"/>
  <c r="N2405" i="10"/>
  <c r="O2405" i="10"/>
  <c r="N2406" i="10"/>
  <c r="O2406" i="10"/>
  <c r="N2407" i="10"/>
  <c r="O2407" i="10"/>
  <c r="N2408" i="10"/>
  <c r="O2408" i="10"/>
  <c r="N2409" i="10"/>
  <c r="O2409" i="10"/>
  <c r="N2410" i="10"/>
  <c r="O2410" i="10"/>
  <c r="N2411" i="10"/>
  <c r="O2411" i="10"/>
  <c r="N2412" i="10"/>
  <c r="O2412" i="10"/>
  <c r="N2413" i="10"/>
  <c r="O2413" i="10"/>
  <c r="N2414" i="10"/>
  <c r="O2414" i="10"/>
  <c r="N2415" i="10"/>
  <c r="O2415" i="10"/>
  <c r="N2416" i="10"/>
  <c r="O2416" i="10"/>
  <c r="N2417" i="10"/>
  <c r="O2417" i="10"/>
  <c r="N2418" i="10"/>
  <c r="O2418" i="10"/>
  <c r="N2419" i="10"/>
  <c r="O2419" i="10"/>
  <c r="N2420" i="10"/>
  <c r="O2420" i="10"/>
  <c r="N2421" i="10"/>
  <c r="O2421" i="10"/>
  <c r="N2422" i="10"/>
  <c r="O2422" i="10"/>
  <c r="N2423" i="10"/>
  <c r="O2423" i="10"/>
  <c r="N2424" i="10"/>
  <c r="O2424" i="10"/>
  <c r="N2425" i="10"/>
  <c r="O2425" i="10"/>
  <c r="N2426" i="10"/>
  <c r="O2426" i="10"/>
  <c r="N2427" i="10"/>
  <c r="O2427" i="10"/>
  <c r="N2428" i="10"/>
  <c r="O2428" i="10"/>
  <c r="N2429" i="10"/>
  <c r="O2429" i="10"/>
  <c r="N2430" i="10"/>
  <c r="O2430" i="10"/>
  <c r="N2431" i="10"/>
  <c r="O2431" i="10"/>
  <c r="N2432" i="10"/>
  <c r="O2432" i="10"/>
  <c r="N2433" i="10"/>
  <c r="O2433" i="10"/>
  <c r="N2434" i="10"/>
  <c r="O2434" i="10"/>
  <c r="N2435" i="10"/>
  <c r="O2435" i="10"/>
  <c r="N2436" i="10"/>
  <c r="O2436" i="10"/>
  <c r="N2437" i="10"/>
  <c r="O2437" i="10"/>
  <c r="N2438" i="10"/>
  <c r="O2438" i="10"/>
  <c r="N2439" i="10"/>
  <c r="O2439" i="10"/>
  <c r="N2440" i="10"/>
  <c r="O2440" i="10"/>
  <c r="N2441" i="10"/>
  <c r="O2441" i="10"/>
  <c r="N2442" i="10"/>
  <c r="O2442" i="10"/>
  <c r="N2443" i="10"/>
  <c r="O2443" i="10"/>
  <c r="N2444" i="10"/>
  <c r="O2444" i="10"/>
  <c r="N2445" i="10"/>
  <c r="O2445" i="10"/>
  <c r="N2446" i="10"/>
  <c r="O2446" i="10"/>
  <c r="N2447" i="10"/>
  <c r="O2447" i="10"/>
  <c r="N2448" i="10"/>
  <c r="O2448" i="10"/>
  <c r="N2449" i="10"/>
  <c r="O2449" i="10"/>
  <c r="N2450" i="10"/>
  <c r="O2450" i="10"/>
  <c r="N2451" i="10"/>
  <c r="O2451" i="10"/>
  <c r="N2452" i="10"/>
  <c r="O2452" i="10"/>
  <c r="N2453" i="10"/>
  <c r="O2453" i="10"/>
  <c r="N2454" i="10"/>
  <c r="O2454" i="10"/>
  <c r="N2455" i="10"/>
  <c r="O2455" i="10"/>
  <c r="N2456" i="10"/>
  <c r="O2456" i="10"/>
  <c r="N2457" i="10"/>
  <c r="O2457" i="10"/>
  <c r="N2458" i="10"/>
  <c r="O2458" i="10"/>
  <c r="N2459" i="10"/>
  <c r="O2459" i="10"/>
  <c r="N2460" i="10"/>
  <c r="O2460" i="10"/>
  <c r="N2461" i="10"/>
  <c r="O2461" i="10"/>
  <c r="N2462" i="10"/>
  <c r="O2462" i="10"/>
  <c r="N2463" i="10"/>
  <c r="O2463" i="10"/>
  <c r="N2464" i="10"/>
  <c r="O2464" i="10"/>
  <c r="N2465" i="10"/>
  <c r="O2465" i="10"/>
  <c r="N2466" i="10"/>
  <c r="O2466" i="10"/>
  <c r="N2467" i="10"/>
  <c r="O2467" i="10"/>
  <c r="N2468" i="10"/>
  <c r="O2468" i="10"/>
  <c r="N2469" i="10"/>
  <c r="O2469" i="10"/>
  <c r="N2470" i="10"/>
  <c r="O2470" i="10"/>
  <c r="N2471" i="10"/>
  <c r="O2471" i="10"/>
  <c r="N2472" i="10"/>
  <c r="O2472" i="10"/>
  <c r="N2473" i="10"/>
  <c r="O2473" i="10"/>
  <c r="N2474" i="10"/>
  <c r="O2474" i="10"/>
  <c r="N2475" i="10"/>
  <c r="O2475" i="10"/>
  <c r="N2476" i="10"/>
  <c r="O2476" i="10"/>
  <c r="N2477" i="10"/>
  <c r="O2477" i="10"/>
  <c r="N2478" i="10"/>
  <c r="O2478" i="10"/>
  <c r="N2479" i="10"/>
  <c r="O2479" i="10"/>
  <c r="N2480" i="10"/>
  <c r="O2480" i="10"/>
  <c r="N2481" i="10"/>
  <c r="O2481" i="10"/>
  <c r="N2482" i="10"/>
  <c r="O2482" i="10"/>
  <c r="N2483" i="10"/>
  <c r="O2483" i="10"/>
  <c r="N2484" i="10"/>
  <c r="O2484" i="10"/>
  <c r="N2485" i="10"/>
  <c r="O2485" i="10"/>
  <c r="N2486" i="10"/>
  <c r="O2486" i="10"/>
  <c r="N2487" i="10"/>
  <c r="O2487" i="10"/>
  <c r="N2488" i="10"/>
  <c r="O2488" i="10"/>
  <c r="N2489" i="10"/>
  <c r="O2489" i="10"/>
  <c r="N2490" i="10"/>
  <c r="O2490" i="10"/>
  <c r="N2491" i="10"/>
  <c r="O2491" i="10"/>
  <c r="N2492" i="10"/>
  <c r="O2492" i="10"/>
  <c r="N2493" i="10"/>
  <c r="O2493" i="10"/>
  <c r="N2494" i="10"/>
  <c r="O2494" i="10"/>
  <c r="N2495" i="10"/>
  <c r="O2495" i="10"/>
  <c r="N2496" i="10"/>
  <c r="O2496" i="10"/>
  <c r="N2497" i="10"/>
  <c r="O2497" i="10"/>
  <c r="N2498" i="10"/>
  <c r="O2498" i="10"/>
  <c r="N2499" i="10"/>
  <c r="O2499" i="10"/>
  <c r="N2500" i="10"/>
  <c r="O2500" i="10"/>
  <c r="N2501" i="10"/>
  <c r="O2501" i="10"/>
  <c r="N2502" i="10"/>
  <c r="O2502" i="10"/>
  <c r="N2503" i="10"/>
  <c r="O2503" i="10"/>
  <c r="N2504" i="10"/>
  <c r="O2504" i="10"/>
  <c r="N2505" i="10"/>
  <c r="O2505" i="10"/>
  <c r="N2506" i="10"/>
  <c r="O2506" i="10"/>
  <c r="N2507" i="10"/>
  <c r="O2507" i="10"/>
  <c r="N2508" i="10"/>
  <c r="O2508" i="10"/>
  <c r="N2509" i="10"/>
  <c r="O2509" i="10"/>
  <c r="N2510" i="10"/>
  <c r="O2510" i="10"/>
  <c r="N2511" i="10"/>
  <c r="O2511" i="10"/>
  <c r="N2512" i="10"/>
  <c r="O2512" i="10"/>
  <c r="N2513" i="10"/>
  <c r="O2513" i="10"/>
  <c r="N2514" i="10"/>
  <c r="O2514" i="10"/>
  <c r="N2515" i="10"/>
  <c r="O2515" i="10"/>
  <c r="N2516" i="10"/>
  <c r="O2516" i="10"/>
  <c r="N2517" i="10"/>
  <c r="O2517" i="10"/>
  <c r="N2518" i="10"/>
  <c r="O2518" i="10"/>
  <c r="N2519" i="10"/>
  <c r="O2519" i="10"/>
  <c r="N2520" i="10"/>
  <c r="O2520" i="10"/>
  <c r="N2521" i="10"/>
  <c r="O2521" i="10"/>
  <c r="N2522" i="10"/>
  <c r="O2522" i="10"/>
  <c r="N2523" i="10"/>
  <c r="O2523" i="10"/>
  <c r="N2524" i="10"/>
  <c r="O2524" i="10"/>
  <c r="N2525" i="10"/>
  <c r="O2525" i="10"/>
  <c r="N2526" i="10"/>
  <c r="O2526" i="10"/>
  <c r="N2527" i="10"/>
  <c r="O2527" i="10"/>
  <c r="N2528" i="10"/>
  <c r="O2528" i="10"/>
  <c r="N2529" i="10"/>
  <c r="O2529" i="10"/>
  <c r="N2530" i="10"/>
  <c r="O2530" i="10"/>
  <c r="N2531" i="10"/>
  <c r="O2531" i="10"/>
  <c r="N2532" i="10"/>
  <c r="O2532" i="10"/>
  <c r="N2533" i="10"/>
  <c r="O2533" i="10"/>
  <c r="N2534" i="10"/>
  <c r="O2534" i="10"/>
  <c r="N2535" i="10"/>
  <c r="O2535" i="10"/>
  <c r="N2536" i="10"/>
  <c r="O2536" i="10"/>
  <c r="N2537" i="10"/>
  <c r="O2537" i="10"/>
  <c r="N2538" i="10"/>
  <c r="O2538" i="10"/>
  <c r="N2539" i="10"/>
  <c r="O2539" i="10"/>
  <c r="N2540" i="10"/>
  <c r="O2540" i="10"/>
  <c r="N2541" i="10"/>
  <c r="O2541" i="10"/>
  <c r="N2542" i="10"/>
  <c r="O2542" i="10"/>
  <c r="N2543" i="10"/>
  <c r="O2543" i="10"/>
  <c r="N2544" i="10"/>
  <c r="O2544" i="10"/>
  <c r="N2545" i="10"/>
  <c r="O2545" i="10"/>
  <c r="N2546" i="10"/>
  <c r="O2546" i="10"/>
  <c r="N2547" i="10"/>
  <c r="O2547" i="10"/>
  <c r="N2548" i="10"/>
  <c r="O2548" i="10"/>
  <c r="N2549" i="10"/>
  <c r="O2549" i="10"/>
  <c r="N2550" i="10"/>
  <c r="O2550" i="10"/>
  <c r="N2551" i="10"/>
  <c r="O2551" i="10"/>
  <c r="N2552" i="10"/>
  <c r="O2552" i="10"/>
  <c r="N2553" i="10"/>
  <c r="O2553" i="10"/>
  <c r="N2554" i="10"/>
  <c r="O2554" i="10"/>
  <c r="N2555" i="10"/>
  <c r="O2555" i="10"/>
  <c r="N2556" i="10"/>
  <c r="O2556" i="10"/>
  <c r="N2557" i="10"/>
  <c r="O2557" i="10"/>
  <c r="N2558" i="10"/>
  <c r="O2558" i="10"/>
  <c r="N2559" i="10"/>
  <c r="O2559" i="10"/>
  <c r="N2560" i="10"/>
  <c r="O2560" i="10"/>
  <c r="N2561" i="10"/>
  <c r="O2561" i="10"/>
  <c r="N2562" i="10"/>
  <c r="O2562" i="10"/>
  <c r="N2563" i="10"/>
  <c r="O2563" i="10"/>
  <c r="N2564" i="10"/>
  <c r="O2564" i="10"/>
  <c r="N2565" i="10"/>
  <c r="O2565" i="10"/>
  <c r="N2566" i="10"/>
  <c r="O2566" i="10"/>
  <c r="N2567" i="10"/>
  <c r="O2567" i="10"/>
  <c r="N2568" i="10"/>
  <c r="O2568" i="10"/>
  <c r="N2569" i="10"/>
  <c r="O2569" i="10"/>
  <c r="N2570" i="10"/>
  <c r="O2570" i="10"/>
  <c r="N2571" i="10"/>
  <c r="O2571" i="10"/>
  <c r="N2572" i="10"/>
  <c r="O2572" i="10"/>
  <c r="N2573" i="10"/>
  <c r="O2573" i="10"/>
  <c r="N2574" i="10"/>
  <c r="O2574" i="10"/>
  <c r="N2575" i="10"/>
  <c r="O2575" i="10"/>
  <c r="N2576" i="10"/>
  <c r="O2576" i="10"/>
  <c r="N2577" i="10"/>
  <c r="O2577" i="10"/>
  <c r="N2578" i="10"/>
  <c r="O2578" i="10"/>
  <c r="N2579" i="10"/>
  <c r="O2579" i="10"/>
  <c r="N2580" i="10"/>
  <c r="O2580" i="10"/>
  <c r="N2581" i="10"/>
  <c r="O2581" i="10"/>
  <c r="N2582" i="10"/>
  <c r="O2582" i="10"/>
  <c r="N2583" i="10"/>
  <c r="O2583" i="10"/>
  <c r="N2584" i="10"/>
  <c r="O2584" i="10"/>
  <c r="N2585" i="10"/>
  <c r="O2585" i="10"/>
  <c r="N2586" i="10"/>
  <c r="O2586" i="10"/>
  <c r="N2587" i="10"/>
  <c r="O2587" i="10"/>
  <c r="N2588" i="10"/>
  <c r="O2588" i="10"/>
  <c r="N2589" i="10"/>
  <c r="O2589" i="10"/>
  <c r="N2590" i="10"/>
  <c r="O2590" i="10"/>
  <c r="N2591" i="10"/>
  <c r="O2591" i="10"/>
  <c r="N2592" i="10"/>
  <c r="O2592" i="10"/>
  <c r="N2593" i="10"/>
  <c r="O2593" i="10"/>
  <c r="N2594" i="10"/>
  <c r="O2594" i="10"/>
  <c r="N2595" i="10"/>
  <c r="O2595" i="10"/>
  <c r="N2596" i="10"/>
  <c r="O2596" i="10"/>
  <c r="N2597" i="10"/>
  <c r="O2597" i="10"/>
  <c r="N2598" i="10"/>
  <c r="O2598" i="10"/>
  <c r="N2599" i="10"/>
  <c r="O2599" i="10"/>
  <c r="N2600" i="10"/>
  <c r="O2600" i="10"/>
  <c r="N2601" i="10"/>
  <c r="O2601" i="10"/>
  <c r="N2602" i="10"/>
  <c r="O2602" i="10"/>
  <c r="N2603" i="10"/>
  <c r="O2603" i="10"/>
  <c r="N2604" i="10"/>
  <c r="O2604" i="10"/>
  <c r="N2605" i="10"/>
  <c r="O2605" i="10"/>
  <c r="N2606" i="10"/>
  <c r="O2606" i="10"/>
  <c r="N2607" i="10"/>
  <c r="O2607" i="10"/>
  <c r="N2608" i="10"/>
  <c r="O2608" i="10"/>
  <c r="N2609" i="10"/>
  <c r="O2609" i="10"/>
  <c r="N2610" i="10"/>
  <c r="O2610" i="10"/>
  <c r="N2611" i="10"/>
  <c r="O2611" i="10"/>
  <c r="N2612" i="10"/>
  <c r="O2612" i="10"/>
  <c r="N2613" i="10"/>
  <c r="O2613" i="10"/>
  <c r="N2614" i="10"/>
  <c r="O2614" i="10"/>
  <c r="N2615" i="10"/>
  <c r="O2615" i="10"/>
  <c r="N2616" i="10"/>
  <c r="O2616" i="10"/>
  <c r="N2617" i="10"/>
  <c r="O2617" i="10"/>
  <c r="N2618" i="10"/>
  <c r="O2618" i="10"/>
  <c r="N2619" i="10"/>
  <c r="O2619" i="10"/>
  <c r="N2620" i="10"/>
  <c r="O2620" i="10"/>
  <c r="N2621" i="10"/>
  <c r="O2621" i="10"/>
  <c r="N2622" i="10"/>
  <c r="O2622" i="10"/>
  <c r="N2623" i="10"/>
  <c r="O2623" i="10"/>
  <c r="N2624" i="10"/>
  <c r="O2624" i="10"/>
  <c r="N2625" i="10"/>
  <c r="O2625" i="10"/>
  <c r="N2626" i="10"/>
  <c r="O2626" i="10"/>
  <c r="N2627" i="10"/>
  <c r="O2627" i="10"/>
  <c r="N2628" i="10"/>
  <c r="O2628" i="10"/>
  <c r="N2629" i="10"/>
  <c r="O2629" i="10"/>
  <c r="N2630" i="10"/>
  <c r="O2630" i="10"/>
  <c r="N2631" i="10"/>
  <c r="O2631" i="10"/>
  <c r="N2632" i="10"/>
  <c r="O2632" i="10"/>
  <c r="N2633" i="10"/>
  <c r="O2633" i="10"/>
  <c r="N2634" i="10"/>
  <c r="O2634" i="10"/>
  <c r="N2635" i="10"/>
  <c r="O2635" i="10"/>
  <c r="N2636" i="10"/>
  <c r="O2636" i="10"/>
  <c r="N2637" i="10"/>
  <c r="O2637" i="10"/>
  <c r="N2638" i="10"/>
  <c r="O2638" i="10"/>
  <c r="N2639" i="10"/>
  <c r="O2639" i="10"/>
  <c r="N2640" i="10"/>
  <c r="O2640" i="10"/>
  <c r="N2641" i="10"/>
  <c r="O2641" i="10"/>
  <c r="N2642" i="10"/>
  <c r="O2642" i="10"/>
  <c r="N2643" i="10"/>
  <c r="O2643" i="10"/>
  <c r="N2644" i="10"/>
  <c r="O2644" i="10"/>
  <c r="N2645" i="10"/>
  <c r="O2645" i="10"/>
  <c r="N2646" i="10"/>
  <c r="O2646" i="10"/>
  <c r="N2647" i="10"/>
  <c r="O2647" i="10"/>
  <c r="N2648" i="10"/>
  <c r="O2648" i="10"/>
  <c r="N2649" i="10"/>
  <c r="O2649" i="10"/>
  <c r="N2650" i="10"/>
  <c r="O2650" i="10"/>
  <c r="N2651" i="10"/>
  <c r="O2651" i="10"/>
  <c r="N2652" i="10"/>
  <c r="O2652" i="10"/>
  <c r="N2653" i="10"/>
  <c r="O2653" i="10"/>
  <c r="N2654" i="10"/>
  <c r="O2654" i="10"/>
  <c r="N2655" i="10"/>
  <c r="O2655" i="10"/>
  <c r="N2656" i="10"/>
  <c r="O2656" i="10"/>
  <c r="N2657" i="10"/>
  <c r="O2657" i="10"/>
  <c r="N2658" i="10"/>
  <c r="O2658" i="10"/>
  <c r="N2659" i="10"/>
  <c r="O2659" i="10"/>
  <c r="N2660" i="10"/>
  <c r="O2660" i="10"/>
  <c r="N2661" i="10"/>
  <c r="O2661" i="10"/>
  <c r="N2662" i="10"/>
  <c r="O2662" i="10"/>
  <c r="N2663" i="10"/>
  <c r="O2663" i="10"/>
  <c r="N2664" i="10"/>
  <c r="O2664" i="10"/>
  <c r="N2665" i="10"/>
  <c r="O2665" i="10"/>
  <c r="N2666" i="10"/>
  <c r="O2666" i="10"/>
  <c r="N2667" i="10"/>
  <c r="O2667" i="10"/>
  <c r="N2668" i="10"/>
  <c r="O2668" i="10"/>
  <c r="N2669" i="10"/>
  <c r="O2669" i="10"/>
  <c r="N2670" i="10"/>
  <c r="O2670" i="10"/>
  <c r="N2671" i="10"/>
  <c r="O2671" i="10"/>
  <c r="N2672" i="10"/>
  <c r="O2672" i="10"/>
  <c r="N2673" i="10"/>
  <c r="O2673" i="10"/>
  <c r="N2674" i="10"/>
  <c r="O2674" i="10"/>
  <c r="N2675" i="10"/>
  <c r="O2675" i="10"/>
  <c r="N2676" i="10"/>
  <c r="O2676" i="10"/>
  <c r="N2677" i="10"/>
  <c r="O2677" i="10"/>
  <c r="N2678" i="10"/>
  <c r="O2678" i="10"/>
  <c r="N2679" i="10"/>
  <c r="O2679" i="10"/>
  <c r="N2680" i="10"/>
  <c r="O2680" i="10"/>
  <c r="N2681" i="10"/>
  <c r="O2681" i="10"/>
  <c r="N2682" i="10"/>
  <c r="O2682" i="10"/>
  <c r="N2683" i="10"/>
  <c r="O2683" i="10"/>
  <c r="N2684" i="10"/>
  <c r="O2684" i="10"/>
  <c r="N2685" i="10"/>
  <c r="O2685" i="10"/>
  <c r="N2686" i="10"/>
  <c r="O2686" i="10"/>
  <c r="N2687" i="10"/>
  <c r="O2687" i="10"/>
  <c r="N2688" i="10"/>
  <c r="O2688" i="10"/>
  <c r="N2689" i="10"/>
  <c r="O2689" i="10"/>
  <c r="N2690" i="10"/>
  <c r="O2690" i="10"/>
  <c r="N2691" i="10"/>
  <c r="O2691" i="10"/>
  <c r="N2692" i="10"/>
  <c r="O2692" i="10"/>
  <c r="N2693" i="10"/>
  <c r="O2693" i="10"/>
  <c r="N2694" i="10"/>
  <c r="O2694" i="10"/>
  <c r="N2695" i="10"/>
  <c r="O2695" i="10"/>
  <c r="N2696" i="10"/>
  <c r="O2696" i="10"/>
  <c r="N2697" i="10"/>
  <c r="O2697" i="10"/>
  <c r="N2698" i="10"/>
  <c r="O2698" i="10"/>
  <c r="N2699" i="10"/>
  <c r="O2699" i="10"/>
  <c r="N2700" i="10"/>
  <c r="O2700" i="10"/>
  <c r="N2701" i="10"/>
  <c r="O2701" i="10"/>
  <c r="N2702" i="10"/>
  <c r="O2702" i="10"/>
  <c r="N2703" i="10"/>
  <c r="O2703" i="10"/>
  <c r="N2704" i="10"/>
  <c r="O2704" i="10"/>
  <c r="N2705" i="10"/>
  <c r="O2705" i="10"/>
  <c r="N2706" i="10"/>
  <c r="O2706" i="10"/>
  <c r="N2707" i="10"/>
  <c r="O2707" i="10"/>
  <c r="N2708" i="10"/>
  <c r="O2708" i="10"/>
  <c r="N2709" i="10"/>
  <c r="O2709" i="10"/>
  <c r="N2710" i="10"/>
  <c r="O2710" i="10"/>
  <c r="N2711" i="10"/>
  <c r="O2711" i="10"/>
  <c r="N2712" i="10"/>
  <c r="O2712" i="10"/>
  <c r="N2713" i="10"/>
  <c r="O2713" i="10"/>
  <c r="N2714" i="10"/>
  <c r="O2714" i="10"/>
  <c r="N2715" i="10"/>
  <c r="O2715" i="10"/>
  <c r="N2716" i="10"/>
  <c r="O2716" i="10"/>
  <c r="N2717" i="10"/>
  <c r="O2717" i="10"/>
  <c r="N2718" i="10"/>
  <c r="O2718" i="10"/>
  <c r="N2719" i="10"/>
  <c r="O2719" i="10"/>
  <c r="N2720" i="10"/>
  <c r="O2720" i="10"/>
  <c r="N2721" i="10"/>
  <c r="O2721" i="10"/>
  <c r="N2722" i="10"/>
  <c r="O2722" i="10"/>
  <c r="N2723" i="10"/>
  <c r="O2723" i="10"/>
  <c r="N2724" i="10"/>
  <c r="O2724" i="10"/>
  <c r="N2725" i="10"/>
  <c r="O2725" i="10"/>
  <c r="N2726" i="10"/>
  <c r="O2726" i="10"/>
  <c r="N2727" i="10"/>
  <c r="O2727" i="10"/>
  <c r="N2728" i="10"/>
  <c r="O2728" i="10"/>
  <c r="N2729" i="10"/>
  <c r="O2729" i="10"/>
  <c r="N2730" i="10"/>
  <c r="O2730" i="10"/>
  <c r="N2731" i="10"/>
  <c r="O2731" i="10"/>
  <c r="N2732" i="10"/>
  <c r="O2732" i="10"/>
  <c r="N2733" i="10"/>
  <c r="O2733" i="10"/>
  <c r="N2734" i="10"/>
  <c r="O2734" i="10"/>
  <c r="N2735" i="10"/>
  <c r="O2735" i="10"/>
  <c r="N2736" i="10"/>
  <c r="O2736" i="10"/>
  <c r="N2737" i="10"/>
  <c r="O2737" i="10"/>
  <c r="N2738" i="10"/>
  <c r="O2738" i="10"/>
  <c r="N2739" i="10"/>
  <c r="O2739" i="10"/>
  <c r="N2740" i="10"/>
  <c r="O2740" i="10"/>
  <c r="N2741" i="10"/>
  <c r="O2741" i="10"/>
  <c r="N2742" i="10"/>
  <c r="O2742" i="10"/>
  <c r="N2743" i="10"/>
  <c r="O2743" i="10"/>
  <c r="N2744" i="10"/>
  <c r="O2744" i="10"/>
  <c r="N2745" i="10"/>
  <c r="O2745" i="10"/>
  <c r="N2746" i="10"/>
  <c r="O2746" i="10"/>
  <c r="N2747" i="10"/>
  <c r="O2747" i="10"/>
  <c r="N2748" i="10"/>
  <c r="O2748" i="10"/>
  <c r="N2749" i="10"/>
  <c r="O2749" i="10"/>
  <c r="N2750" i="10"/>
  <c r="O2750" i="10"/>
  <c r="N2751" i="10"/>
  <c r="O2751" i="10"/>
  <c r="N2752" i="10"/>
  <c r="O2752" i="10"/>
  <c r="N2753" i="10"/>
  <c r="O2753" i="10"/>
  <c r="N2754" i="10"/>
  <c r="O2754" i="10"/>
  <c r="N2755" i="10"/>
  <c r="O2755" i="10"/>
  <c r="N2756" i="10"/>
  <c r="O2756" i="10"/>
  <c r="N2757" i="10"/>
  <c r="O2757" i="10"/>
  <c r="N2758" i="10"/>
  <c r="O2758" i="10"/>
  <c r="N2759" i="10"/>
  <c r="O2759" i="10"/>
  <c r="N2760" i="10"/>
  <c r="O2760" i="10"/>
  <c r="N2761" i="10"/>
  <c r="O2761" i="10"/>
  <c r="N2762" i="10"/>
  <c r="O2762" i="10"/>
  <c r="N2763" i="10"/>
  <c r="O2763" i="10"/>
  <c r="N2764" i="10"/>
  <c r="O2764" i="10"/>
  <c r="N2765" i="10"/>
  <c r="O2765" i="10"/>
  <c r="N2766" i="10"/>
  <c r="O2766" i="10"/>
  <c r="N2767" i="10"/>
  <c r="O2767" i="10"/>
  <c r="N2768" i="10"/>
  <c r="O2768" i="10"/>
  <c r="N2769" i="10"/>
  <c r="O2769" i="10"/>
  <c r="N2770" i="10"/>
  <c r="O2770" i="10"/>
  <c r="N2771" i="10"/>
  <c r="O2771" i="10"/>
  <c r="N2772" i="10"/>
  <c r="O2772" i="10"/>
  <c r="N2773" i="10"/>
  <c r="O2773" i="10"/>
  <c r="N2774" i="10"/>
  <c r="O2774" i="10"/>
  <c r="N2775" i="10"/>
  <c r="O2775" i="10"/>
  <c r="N2776" i="10"/>
  <c r="O2776" i="10"/>
  <c r="N2777" i="10"/>
  <c r="O2777" i="10"/>
  <c r="N2778" i="10"/>
  <c r="O2778" i="10"/>
  <c r="N2779" i="10"/>
  <c r="O2779" i="10"/>
  <c r="N2780" i="10"/>
  <c r="O2780" i="10"/>
  <c r="N2781" i="10"/>
  <c r="O2781" i="10"/>
  <c r="N2782" i="10"/>
  <c r="O2782" i="10"/>
  <c r="N2783" i="10"/>
  <c r="O2783" i="10"/>
  <c r="N2784" i="10"/>
  <c r="O2784" i="10"/>
  <c r="N2785" i="10"/>
  <c r="O2785" i="10"/>
  <c r="N2786" i="10"/>
  <c r="O2786" i="10"/>
  <c r="N2787" i="10"/>
  <c r="O2787" i="10"/>
  <c r="N2788" i="10"/>
  <c r="O2788" i="10"/>
  <c r="N2789" i="10"/>
  <c r="O2789" i="10"/>
  <c r="N2790" i="10"/>
  <c r="O2790" i="10"/>
  <c r="N2791" i="10"/>
  <c r="O2791" i="10"/>
  <c r="N2792" i="10"/>
  <c r="O2792" i="10"/>
  <c r="N2793" i="10"/>
  <c r="O2793" i="10"/>
  <c r="N2794" i="10"/>
  <c r="O2794" i="10"/>
  <c r="N2795" i="10"/>
  <c r="O2795" i="10"/>
  <c r="N2796" i="10"/>
  <c r="O2796" i="10"/>
  <c r="N2797" i="10"/>
  <c r="O2797" i="10"/>
  <c r="N2798" i="10"/>
  <c r="O2798" i="10"/>
  <c r="N2799" i="10"/>
  <c r="O2799" i="10"/>
  <c r="N2800" i="10"/>
  <c r="O2800" i="10"/>
  <c r="N2801" i="10"/>
  <c r="O2801" i="10"/>
  <c r="N2802" i="10"/>
  <c r="O2802" i="10"/>
  <c r="N2803" i="10"/>
  <c r="O2803" i="10"/>
  <c r="N2804" i="10"/>
  <c r="O2804" i="10"/>
  <c r="N2805" i="10"/>
  <c r="O2805" i="10"/>
  <c r="N2806" i="10"/>
  <c r="O2806" i="10"/>
  <c r="N2807" i="10"/>
  <c r="O2807" i="10"/>
  <c r="N2808" i="10"/>
  <c r="O2808" i="10"/>
  <c r="N2809" i="10"/>
  <c r="O2809" i="10"/>
  <c r="N2810" i="10"/>
  <c r="O2810" i="10"/>
  <c r="N2811" i="10"/>
  <c r="O2811" i="10"/>
  <c r="N2812" i="10"/>
  <c r="O2812" i="10"/>
  <c r="N2813" i="10"/>
  <c r="O2813" i="10"/>
  <c r="N2814" i="10"/>
  <c r="O2814" i="10"/>
  <c r="N2815" i="10"/>
  <c r="O2815" i="10"/>
  <c r="N2816" i="10"/>
  <c r="O2816" i="10"/>
  <c r="N2817" i="10"/>
  <c r="O2817" i="10"/>
  <c r="N2818" i="10"/>
  <c r="O2818" i="10"/>
  <c r="N2819" i="10"/>
  <c r="O2819" i="10"/>
  <c r="N2820" i="10"/>
  <c r="O2820" i="10"/>
  <c r="N2821" i="10"/>
  <c r="O2821" i="10"/>
  <c r="N2822" i="10"/>
  <c r="O2822" i="10"/>
  <c r="N2823" i="10"/>
  <c r="O2823" i="10"/>
  <c r="N2824" i="10"/>
  <c r="O2824" i="10"/>
  <c r="N2825" i="10"/>
  <c r="O2825" i="10"/>
  <c r="N2826" i="10"/>
  <c r="O2826" i="10"/>
  <c r="N2827" i="10"/>
  <c r="O2827" i="10"/>
  <c r="N2828" i="10"/>
  <c r="O2828" i="10"/>
  <c r="N2829" i="10"/>
  <c r="O2829" i="10"/>
  <c r="N2830" i="10"/>
  <c r="O2830" i="10"/>
  <c r="N2831" i="10"/>
  <c r="O2831" i="10"/>
  <c r="N2832" i="10"/>
  <c r="O2832" i="10"/>
  <c r="N2833" i="10"/>
  <c r="O2833" i="10"/>
  <c r="N2834" i="10"/>
  <c r="O2834" i="10"/>
  <c r="N2835" i="10"/>
  <c r="O2835" i="10"/>
  <c r="N2836" i="10"/>
  <c r="O2836" i="10"/>
  <c r="N2837" i="10"/>
  <c r="O2837" i="10"/>
  <c r="N2838" i="10"/>
  <c r="O2838" i="10"/>
  <c r="N2839" i="10"/>
  <c r="O2839" i="10"/>
  <c r="N2840" i="10"/>
  <c r="O2840" i="10"/>
  <c r="N2841" i="10"/>
  <c r="O2841" i="10"/>
  <c r="N2842" i="10"/>
  <c r="O2842" i="10"/>
  <c r="N2843" i="10"/>
  <c r="O2843" i="10"/>
  <c r="N2844" i="10"/>
  <c r="O2844" i="10"/>
  <c r="N2845" i="10"/>
  <c r="O2845" i="10"/>
  <c r="N2846" i="10"/>
  <c r="O2846" i="10"/>
  <c r="N2847" i="10"/>
  <c r="O2847" i="10"/>
  <c r="N2848" i="10"/>
  <c r="O2848" i="10"/>
  <c r="N2849" i="10"/>
  <c r="O2849" i="10"/>
  <c r="N2850" i="10"/>
  <c r="O2850" i="10"/>
  <c r="N2851" i="10"/>
  <c r="O2851" i="10"/>
  <c r="N2852" i="10"/>
  <c r="O2852" i="10"/>
  <c r="N2853" i="10"/>
  <c r="O2853" i="10"/>
  <c r="N2854" i="10"/>
  <c r="O2854" i="10"/>
  <c r="N2855" i="10"/>
  <c r="O2855" i="10"/>
  <c r="N2856" i="10"/>
  <c r="O2856" i="10"/>
  <c r="N2857" i="10"/>
  <c r="O2857" i="10"/>
  <c r="N2858" i="10"/>
  <c r="O2858" i="10"/>
  <c r="N2859" i="10"/>
  <c r="O2859" i="10"/>
  <c r="N2860" i="10"/>
  <c r="O2860" i="10"/>
  <c r="N2861" i="10"/>
  <c r="O2861" i="10"/>
  <c r="N2862" i="10"/>
  <c r="O2862" i="10"/>
  <c r="N2863" i="10"/>
  <c r="O2863" i="10"/>
  <c r="N2864" i="10"/>
  <c r="O2864" i="10"/>
  <c r="N2865" i="10"/>
  <c r="O2865" i="10"/>
  <c r="N2866" i="10"/>
  <c r="O2866" i="10"/>
  <c r="N2867" i="10"/>
  <c r="O2867" i="10"/>
  <c r="N2868" i="10"/>
  <c r="O2868" i="10"/>
  <c r="N2869" i="10"/>
  <c r="O2869" i="10"/>
  <c r="N2870" i="10"/>
  <c r="O2870" i="10"/>
  <c r="N2871" i="10"/>
  <c r="O2871" i="10"/>
  <c r="N2872" i="10"/>
  <c r="O2872" i="10"/>
  <c r="N2873" i="10"/>
  <c r="O2873" i="10"/>
  <c r="N2874" i="10"/>
  <c r="O2874" i="10"/>
  <c r="N2875" i="10"/>
  <c r="O2875" i="10"/>
  <c r="N2876" i="10"/>
  <c r="O2876" i="10"/>
  <c r="N2877" i="10"/>
  <c r="O2877" i="10"/>
  <c r="N2878" i="10"/>
  <c r="O2878" i="10"/>
  <c r="N2879" i="10"/>
  <c r="O2879" i="10"/>
  <c r="N2880" i="10"/>
  <c r="O2880" i="10"/>
  <c r="N2881" i="10"/>
  <c r="O2881" i="10"/>
  <c r="N2882" i="10"/>
  <c r="O2882" i="10"/>
  <c r="N2883" i="10"/>
  <c r="O2883" i="10"/>
  <c r="N2884" i="10"/>
  <c r="O2884" i="10"/>
  <c r="N2885" i="10"/>
  <c r="O2885" i="10"/>
  <c r="N2886" i="10"/>
  <c r="O2886" i="10"/>
  <c r="N2887" i="10"/>
  <c r="O2887" i="10"/>
  <c r="N2888" i="10"/>
  <c r="O2888" i="10"/>
  <c r="N2889" i="10"/>
  <c r="O2889" i="10"/>
  <c r="N2890" i="10"/>
  <c r="O2890" i="10"/>
  <c r="N2891" i="10"/>
  <c r="O2891" i="10"/>
  <c r="N2892" i="10"/>
  <c r="O2892" i="10"/>
  <c r="N2893" i="10"/>
  <c r="O2893" i="10"/>
  <c r="N2894" i="10"/>
  <c r="O2894" i="10"/>
  <c r="N2895" i="10"/>
  <c r="O2895" i="10"/>
  <c r="N2896" i="10"/>
  <c r="O2896" i="10"/>
  <c r="N2897" i="10"/>
  <c r="O2897" i="10"/>
  <c r="N2898" i="10"/>
  <c r="O2898" i="10"/>
  <c r="N2899" i="10"/>
  <c r="O2899" i="10"/>
  <c r="N2900" i="10"/>
  <c r="O2900" i="10"/>
  <c r="N2901" i="10"/>
  <c r="O2901" i="10"/>
  <c r="N2902" i="10"/>
  <c r="O2902" i="10"/>
  <c r="N2903" i="10"/>
  <c r="O2903" i="10"/>
  <c r="N2904" i="10"/>
  <c r="O2904" i="10"/>
  <c r="N2905" i="10"/>
  <c r="O2905" i="10"/>
  <c r="N2906" i="10"/>
  <c r="O2906" i="10"/>
  <c r="N2907" i="10"/>
  <c r="O2907" i="10"/>
  <c r="N2908" i="10"/>
  <c r="O2908" i="10"/>
  <c r="N2909" i="10"/>
  <c r="O2909" i="10"/>
  <c r="N2910" i="10"/>
  <c r="O2910" i="10"/>
  <c r="N2911" i="10"/>
  <c r="O2911" i="10"/>
  <c r="N2912" i="10"/>
  <c r="O2912" i="10"/>
  <c r="N2913" i="10"/>
  <c r="O2913" i="10"/>
  <c r="N2914" i="10"/>
  <c r="O2914" i="10"/>
  <c r="N2915" i="10"/>
  <c r="O2915" i="10"/>
  <c r="N2916" i="10"/>
  <c r="O2916" i="10"/>
  <c r="N2917" i="10"/>
  <c r="O2917" i="10"/>
  <c r="N2918" i="10"/>
  <c r="O2918" i="10"/>
  <c r="N2919" i="10"/>
  <c r="O2919" i="10"/>
  <c r="N2920" i="10"/>
  <c r="O2920" i="10"/>
  <c r="N2921" i="10"/>
  <c r="O2921" i="10"/>
  <c r="N2922" i="10"/>
  <c r="O2922" i="10"/>
  <c r="N2923" i="10"/>
  <c r="O2923" i="10"/>
  <c r="N2924" i="10"/>
  <c r="O2924" i="10"/>
  <c r="N2925" i="10"/>
  <c r="O2925" i="10"/>
  <c r="N2926" i="10"/>
  <c r="O2926" i="10"/>
  <c r="N2927" i="10"/>
  <c r="O2927" i="10"/>
  <c r="N2928" i="10"/>
  <c r="O2928" i="10"/>
  <c r="N2929" i="10"/>
  <c r="O2929" i="10"/>
  <c r="N2930" i="10"/>
  <c r="O2930" i="10"/>
  <c r="N2931" i="10"/>
  <c r="O2931" i="10"/>
  <c r="N2932" i="10"/>
  <c r="O2932" i="10"/>
  <c r="N2933" i="10"/>
  <c r="O2933" i="10"/>
  <c r="N2934" i="10"/>
  <c r="O2934" i="10"/>
  <c r="N2935" i="10"/>
  <c r="O2935" i="10"/>
  <c r="N2936" i="10"/>
  <c r="O2936" i="10"/>
  <c r="N2937" i="10"/>
  <c r="O2937" i="10"/>
  <c r="N2938" i="10"/>
  <c r="O2938" i="10"/>
  <c r="N2939" i="10"/>
  <c r="O2939" i="10"/>
  <c r="N2940" i="10"/>
  <c r="O2940" i="10"/>
  <c r="N2941" i="10"/>
  <c r="O2941" i="10"/>
  <c r="N2942" i="10"/>
  <c r="O2942" i="10"/>
  <c r="N2943" i="10"/>
  <c r="O2943" i="10"/>
  <c r="N2944" i="10"/>
  <c r="O2944" i="10"/>
  <c r="N2945" i="10"/>
  <c r="O2945" i="10"/>
  <c r="N2946" i="10"/>
  <c r="O2946" i="10"/>
  <c r="N2947" i="10"/>
  <c r="O2947" i="10"/>
  <c r="N2948" i="10"/>
  <c r="O2948" i="10"/>
  <c r="N2949" i="10"/>
  <c r="O2949" i="10"/>
  <c r="N2950" i="10"/>
  <c r="O2950" i="10"/>
  <c r="N2951" i="10"/>
  <c r="O2951" i="10"/>
  <c r="N2952" i="10"/>
  <c r="O2952" i="10"/>
  <c r="N2953" i="10"/>
  <c r="O2953" i="10"/>
  <c r="N2954" i="10"/>
  <c r="O2954" i="10"/>
  <c r="N2955" i="10"/>
  <c r="O2955" i="10"/>
  <c r="N2956" i="10"/>
  <c r="O2956" i="10"/>
  <c r="N2957" i="10"/>
  <c r="O2957" i="10"/>
  <c r="N2958" i="10"/>
  <c r="O2958" i="10"/>
  <c r="N2959" i="10"/>
  <c r="O2959" i="10"/>
  <c r="N2960" i="10"/>
  <c r="O2960" i="10"/>
  <c r="N2961" i="10"/>
  <c r="O2961" i="10"/>
  <c r="N2962" i="10"/>
  <c r="O2962" i="10"/>
  <c r="N2963" i="10"/>
  <c r="O2963" i="10"/>
  <c r="N2964" i="10"/>
  <c r="O2964" i="10"/>
  <c r="N2965" i="10"/>
  <c r="O2965" i="10"/>
  <c r="N2966" i="10"/>
  <c r="O2966" i="10"/>
  <c r="N2967" i="10"/>
  <c r="O2967" i="10"/>
  <c r="N2968" i="10"/>
  <c r="O2968" i="10"/>
  <c r="N2969" i="10"/>
  <c r="O2969" i="10"/>
  <c r="N2970" i="10"/>
  <c r="O2970" i="10"/>
  <c r="N2971" i="10"/>
  <c r="O2971" i="10"/>
  <c r="N2972" i="10"/>
  <c r="O2972" i="10"/>
  <c r="N2973" i="10"/>
  <c r="O2973" i="10"/>
  <c r="N2974" i="10"/>
  <c r="O2974" i="10"/>
  <c r="N2975" i="10"/>
  <c r="O2975" i="10"/>
  <c r="N2976" i="10"/>
  <c r="O2976" i="10"/>
  <c r="N2977" i="10"/>
  <c r="O2977" i="10"/>
  <c r="N2978" i="10"/>
  <c r="O2978" i="10"/>
  <c r="N2979" i="10"/>
  <c r="O2979" i="10"/>
  <c r="N2980" i="10"/>
  <c r="O2980" i="10"/>
  <c r="N2981" i="10"/>
  <c r="O2981" i="10"/>
  <c r="N2982" i="10"/>
  <c r="O2982" i="10"/>
  <c r="N2983" i="10"/>
  <c r="O2983" i="10"/>
  <c r="N2984" i="10"/>
  <c r="O2984" i="10"/>
  <c r="N2985" i="10"/>
  <c r="O2985" i="10"/>
  <c r="N2986" i="10"/>
  <c r="O2986" i="10"/>
  <c r="N2987" i="10"/>
  <c r="O2987" i="10"/>
  <c r="N2988" i="10"/>
  <c r="O2988" i="10"/>
  <c r="N2989" i="10"/>
  <c r="O2989" i="10"/>
  <c r="N2990" i="10"/>
  <c r="O2990" i="10"/>
  <c r="N2991" i="10"/>
  <c r="O2991" i="10"/>
  <c r="N2992" i="10"/>
  <c r="O2992" i="10"/>
  <c r="N2993" i="10"/>
  <c r="O2993" i="10"/>
  <c r="N2994" i="10"/>
  <c r="O2994" i="10"/>
  <c r="N2995" i="10"/>
  <c r="O2995" i="10"/>
  <c r="N2996" i="10"/>
  <c r="O2996" i="10"/>
  <c r="N2997" i="10"/>
  <c r="O2997" i="10"/>
  <c r="N2998" i="10"/>
  <c r="O2998" i="10"/>
  <c r="N2999" i="10"/>
  <c r="O2999" i="10"/>
  <c r="N3000" i="10"/>
  <c r="O3000" i="10"/>
  <c r="N3001" i="10"/>
  <c r="O3001" i="10"/>
  <c r="N3002" i="10"/>
  <c r="O3002" i="10"/>
  <c r="N3003" i="10"/>
  <c r="O3003" i="10"/>
  <c r="N3004" i="10"/>
  <c r="O3004" i="10"/>
  <c r="N3005" i="10"/>
  <c r="O3005" i="10"/>
  <c r="N3006" i="10"/>
  <c r="O3006" i="10"/>
  <c r="N3007" i="10"/>
  <c r="O3007" i="10"/>
  <c r="N3008" i="10"/>
  <c r="O3008" i="10"/>
  <c r="N3009" i="10"/>
  <c r="O3009" i="10"/>
  <c r="N3010" i="10"/>
  <c r="O3010" i="10"/>
  <c r="N3011" i="10"/>
  <c r="O3011" i="10"/>
  <c r="N3012" i="10"/>
  <c r="O3012" i="10"/>
  <c r="N3013" i="10"/>
  <c r="O3013" i="10"/>
  <c r="N3014" i="10"/>
  <c r="O3014" i="10"/>
  <c r="N3015" i="10"/>
  <c r="O3015" i="10"/>
  <c r="N3016" i="10"/>
  <c r="O3016" i="10"/>
  <c r="N3017" i="10"/>
  <c r="O3017" i="10"/>
  <c r="N3018" i="10"/>
  <c r="O3018" i="10"/>
  <c r="N3019" i="10"/>
  <c r="O3019" i="10"/>
  <c r="N3020" i="10"/>
  <c r="O3020" i="10"/>
  <c r="N3021" i="10"/>
  <c r="O3021" i="10"/>
  <c r="N3022" i="10"/>
  <c r="O3022" i="10"/>
  <c r="N3023" i="10"/>
  <c r="O3023" i="10"/>
  <c r="N3024" i="10"/>
  <c r="O3024" i="10"/>
  <c r="N3025" i="10"/>
  <c r="O3025" i="10"/>
  <c r="N3026" i="10"/>
  <c r="O3026" i="10"/>
  <c r="N3027" i="10"/>
  <c r="O3027" i="10"/>
  <c r="N3028" i="10"/>
  <c r="O3028" i="10"/>
  <c r="N3029" i="10"/>
  <c r="O3029" i="10"/>
  <c r="N3030" i="10"/>
  <c r="O3030" i="10"/>
  <c r="N3031" i="10"/>
  <c r="O3031" i="10"/>
  <c r="N3032" i="10"/>
  <c r="O3032" i="10"/>
  <c r="N3033" i="10"/>
  <c r="O3033" i="10"/>
  <c r="N3034" i="10"/>
  <c r="O3034" i="10"/>
  <c r="N3035" i="10"/>
  <c r="O3035" i="10"/>
  <c r="N3036" i="10"/>
  <c r="O3036" i="10"/>
  <c r="N3037" i="10"/>
  <c r="O3037" i="10"/>
  <c r="N3038" i="10"/>
  <c r="O3038" i="10"/>
  <c r="N3039" i="10"/>
  <c r="O3039" i="10"/>
  <c r="N3040" i="10"/>
  <c r="O3040" i="10"/>
  <c r="N3041" i="10"/>
  <c r="O3041" i="10"/>
  <c r="N3042" i="10"/>
  <c r="O3042" i="10"/>
  <c r="N3043" i="10"/>
  <c r="O3043" i="10"/>
  <c r="N3044" i="10"/>
  <c r="O3044" i="10"/>
  <c r="N3045" i="10"/>
  <c r="O3045" i="10"/>
  <c r="N3046" i="10"/>
  <c r="O3046" i="10"/>
  <c r="N3047" i="10"/>
  <c r="O3047" i="10"/>
  <c r="N3048" i="10"/>
  <c r="O3048" i="10"/>
  <c r="N3049" i="10"/>
  <c r="O3049" i="10"/>
  <c r="N3050" i="10"/>
  <c r="O3050" i="10"/>
  <c r="N3051" i="10"/>
  <c r="O3051" i="10"/>
  <c r="N3052" i="10"/>
  <c r="O3052" i="10"/>
  <c r="N3053" i="10"/>
  <c r="O3053" i="10"/>
  <c r="N3054" i="10"/>
  <c r="O3054" i="10"/>
  <c r="N3055" i="10"/>
  <c r="O3055" i="10"/>
  <c r="N3056" i="10"/>
  <c r="O3056" i="10"/>
  <c r="N3057" i="10"/>
  <c r="O3057" i="10"/>
  <c r="N3058" i="10"/>
  <c r="O3058" i="10"/>
  <c r="N3059" i="10"/>
  <c r="O3059" i="10"/>
  <c r="N3060" i="10"/>
  <c r="O3060" i="10"/>
  <c r="N3061" i="10"/>
  <c r="O3061" i="10"/>
  <c r="N3062" i="10"/>
  <c r="O3062" i="10"/>
  <c r="N3063" i="10"/>
  <c r="O3063" i="10"/>
  <c r="N3064" i="10"/>
  <c r="O3064" i="10"/>
  <c r="N3065" i="10"/>
  <c r="O3065" i="10"/>
  <c r="N3066" i="10"/>
  <c r="O3066" i="10"/>
  <c r="N3067" i="10"/>
  <c r="O3067" i="10"/>
  <c r="N3068" i="10"/>
  <c r="O3068" i="10"/>
  <c r="N3069" i="10"/>
  <c r="O3069" i="10"/>
  <c r="N3070" i="10"/>
  <c r="O3070" i="10"/>
  <c r="N3071" i="10"/>
  <c r="O3071" i="10"/>
  <c r="N3072" i="10"/>
  <c r="O3072" i="10"/>
  <c r="N3073" i="10"/>
  <c r="O3073" i="10"/>
  <c r="N3074" i="10"/>
  <c r="O3074" i="10"/>
  <c r="N3075" i="10"/>
  <c r="O3075" i="10"/>
  <c r="N3076" i="10"/>
  <c r="O3076" i="10"/>
  <c r="N3077" i="10"/>
  <c r="O3077" i="10"/>
  <c r="N3078" i="10"/>
  <c r="O3078" i="10"/>
  <c r="N3079" i="10"/>
  <c r="O3079" i="10"/>
  <c r="N3080" i="10"/>
  <c r="O3080" i="10"/>
  <c r="N3081" i="10"/>
  <c r="O3081" i="10"/>
  <c r="N3082" i="10"/>
  <c r="O3082" i="10"/>
  <c r="N3083" i="10"/>
  <c r="O3083" i="10"/>
  <c r="N3084" i="10"/>
  <c r="O3084" i="10"/>
  <c r="N3085" i="10"/>
  <c r="O3085" i="10"/>
  <c r="N3086" i="10"/>
  <c r="O3086" i="10"/>
  <c r="N3087" i="10"/>
  <c r="O3087" i="10"/>
  <c r="N3088" i="10"/>
  <c r="O3088" i="10"/>
  <c r="N3089" i="10"/>
  <c r="O3089" i="10"/>
  <c r="N3090" i="10"/>
  <c r="O3090" i="10"/>
  <c r="N3091" i="10"/>
  <c r="O3091" i="10"/>
  <c r="N3092" i="10"/>
  <c r="O3092" i="10"/>
  <c r="N3093" i="10"/>
  <c r="O3093" i="10"/>
  <c r="N3094" i="10"/>
  <c r="O3094" i="10"/>
  <c r="N3095" i="10"/>
  <c r="O3095" i="10"/>
  <c r="N3096" i="10"/>
  <c r="O3096" i="10"/>
  <c r="N3097" i="10"/>
  <c r="O3097" i="10"/>
  <c r="N3098" i="10"/>
  <c r="O3098" i="10"/>
  <c r="N3099" i="10"/>
  <c r="O3099" i="10"/>
  <c r="N3100" i="10"/>
  <c r="O3100" i="10"/>
  <c r="N3101" i="10"/>
  <c r="O3101" i="10"/>
  <c r="N3102" i="10"/>
  <c r="O3102" i="10"/>
  <c r="N3103" i="10"/>
  <c r="O3103" i="10"/>
  <c r="N3104" i="10"/>
  <c r="O3104" i="10"/>
  <c r="N3105" i="10"/>
  <c r="O3105" i="10"/>
  <c r="N3106" i="10"/>
  <c r="O3106" i="10"/>
  <c r="N3107" i="10"/>
  <c r="O3107" i="10"/>
  <c r="N3108" i="10"/>
  <c r="O3108" i="10"/>
  <c r="N3109" i="10"/>
  <c r="O3109" i="10"/>
  <c r="N3110" i="10"/>
  <c r="O3110" i="10"/>
  <c r="N3111" i="10"/>
  <c r="O3111" i="10"/>
  <c r="N3112" i="10"/>
  <c r="O3112" i="10"/>
  <c r="N3113" i="10"/>
  <c r="O3113" i="10"/>
  <c r="N3114" i="10"/>
  <c r="O3114" i="10"/>
  <c r="N3115" i="10"/>
  <c r="O3115" i="10"/>
  <c r="N3116" i="10"/>
  <c r="O3116" i="10"/>
  <c r="N3117" i="10"/>
  <c r="O3117" i="10"/>
  <c r="N3118" i="10"/>
  <c r="O3118" i="10"/>
  <c r="N3119" i="10"/>
  <c r="O3119" i="10"/>
  <c r="N3120" i="10"/>
  <c r="O3120" i="10"/>
  <c r="N3121" i="10"/>
  <c r="O3121" i="10"/>
  <c r="N3122" i="10"/>
  <c r="O3122" i="10"/>
  <c r="N3123" i="10"/>
  <c r="O3123" i="10"/>
  <c r="N3124" i="10"/>
  <c r="O3124" i="10"/>
  <c r="N3125" i="10"/>
  <c r="O3125" i="10"/>
  <c r="N3126" i="10"/>
  <c r="O3126" i="10"/>
  <c r="N3127" i="10"/>
  <c r="O3127" i="10"/>
  <c r="N3128" i="10"/>
  <c r="O3128" i="10"/>
  <c r="N3129" i="10"/>
  <c r="O3129" i="10"/>
  <c r="N3130" i="10"/>
  <c r="O3130" i="10"/>
  <c r="N3131" i="10"/>
  <c r="O3131" i="10"/>
  <c r="N3132" i="10"/>
  <c r="O3132" i="10"/>
  <c r="N3133" i="10"/>
  <c r="O3133" i="10"/>
  <c r="N3134" i="10"/>
  <c r="O3134" i="10"/>
  <c r="N3135" i="10"/>
  <c r="O3135" i="10"/>
  <c r="N3136" i="10"/>
  <c r="O3136" i="10"/>
  <c r="N3137" i="10"/>
  <c r="O3137" i="10"/>
  <c r="N3138" i="10"/>
  <c r="O3138" i="10"/>
  <c r="N3139" i="10"/>
  <c r="O3139" i="10"/>
  <c r="N3140" i="10"/>
  <c r="O3140" i="10"/>
  <c r="N3141" i="10"/>
  <c r="O3141" i="10"/>
  <c r="N3142" i="10"/>
  <c r="O3142" i="10"/>
  <c r="N3143" i="10"/>
  <c r="O3143" i="10"/>
  <c r="N3144" i="10"/>
  <c r="O3144" i="10"/>
  <c r="N3145" i="10"/>
  <c r="O3145" i="10"/>
  <c r="N3146" i="10"/>
  <c r="O3146" i="10"/>
  <c r="N3147" i="10"/>
  <c r="O3147" i="10"/>
  <c r="N3148" i="10"/>
  <c r="O3148" i="10"/>
  <c r="N3149" i="10"/>
  <c r="O3149" i="10"/>
  <c r="N3150" i="10"/>
  <c r="O3150" i="10"/>
  <c r="N3151" i="10"/>
  <c r="O3151" i="10"/>
  <c r="N3152" i="10"/>
  <c r="O3152" i="10"/>
  <c r="N3153" i="10"/>
  <c r="O3153" i="10"/>
  <c r="N3154" i="10"/>
  <c r="O3154" i="10"/>
  <c r="N3155" i="10"/>
  <c r="O3155" i="10"/>
  <c r="N3156" i="10"/>
  <c r="O3156" i="10"/>
  <c r="N3157" i="10"/>
  <c r="O3157" i="10"/>
  <c r="N3158" i="10"/>
  <c r="O3158" i="10"/>
  <c r="N3159" i="10"/>
  <c r="O3159" i="10"/>
  <c r="N3160" i="10"/>
  <c r="O3160" i="10"/>
  <c r="N3161" i="10"/>
  <c r="O3161" i="10"/>
  <c r="N3162" i="10"/>
  <c r="O3162" i="10"/>
  <c r="N3163" i="10"/>
  <c r="O3163" i="10"/>
  <c r="N3164" i="10"/>
  <c r="O3164" i="10"/>
  <c r="N3165" i="10"/>
  <c r="O3165" i="10"/>
  <c r="N3166" i="10"/>
  <c r="O3166" i="10"/>
  <c r="N3167" i="10"/>
  <c r="O3167" i="10"/>
  <c r="N3168" i="10"/>
  <c r="O3168" i="10"/>
  <c r="N3169" i="10"/>
  <c r="O3169" i="10"/>
  <c r="N3170" i="10"/>
  <c r="O3170" i="10"/>
  <c r="N3171" i="10"/>
  <c r="O3171" i="10"/>
  <c r="N3172" i="10"/>
  <c r="O3172" i="10"/>
  <c r="N3173" i="10"/>
  <c r="O3173" i="10"/>
  <c r="N3174" i="10"/>
  <c r="O3174" i="10"/>
  <c r="N3175" i="10"/>
  <c r="O3175" i="10"/>
  <c r="N3176" i="10"/>
  <c r="O3176" i="10"/>
  <c r="N3177" i="10"/>
  <c r="O3177" i="10"/>
  <c r="N3178" i="10"/>
  <c r="O3178" i="10"/>
  <c r="N3179" i="10"/>
  <c r="O3179" i="10"/>
  <c r="N3180" i="10"/>
  <c r="O3180" i="10"/>
  <c r="N3181" i="10"/>
  <c r="O3181" i="10"/>
  <c r="N3182" i="10"/>
  <c r="O3182" i="10"/>
  <c r="N3183" i="10"/>
  <c r="O3183" i="10"/>
  <c r="N3184" i="10"/>
  <c r="O3184" i="10"/>
  <c r="N3185" i="10"/>
  <c r="O3185" i="10"/>
  <c r="N3186" i="10"/>
  <c r="O3186" i="10"/>
  <c r="N3187" i="10"/>
  <c r="O3187" i="10"/>
  <c r="N3188" i="10"/>
  <c r="O3188" i="10"/>
  <c r="N3189" i="10"/>
  <c r="O3189" i="10"/>
  <c r="N3190" i="10"/>
  <c r="O3190" i="10"/>
  <c r="N3191" i="10"/>
  <c r="O3191" i="10"/>
  <c r="N3192" i="10"/>
  <c r="O3192" i="10"/>
  <c r="N3193" i="10"/>
  <c r="O3193" i="10"/>
  <c r="N3194" i="10"/>
  <c r="O3194" i="10"/>
  <c r="N3195" i="10"/>
  <c r="O3195" i="10"/>
  <c r="N3196" i="10"/>
  <c r="O3196" i="10"/>
  <c r="N3197" i="10"/>
  <c r="O3197" i="10"/>
  <c r="N3198" i="10"/>
  <c r="O3198" i="10"/>
  <c r="N3199" i="10"/>
  <c r="O3199" i="10"/>
  <c r="N3200" i="10"/>
  <c r="O3200" i="10"/>
  <c r="N3201" i="10"/>
  <c r="O3201" i="10"/>
  <c r="N3202" i="10"/>
  <c r="O3202" i="10"/>
  <c r="N3203" i="10"/>
  <c r="O3203" i="10"/>
  <c r="N3204" i="10"/>
  <c r="O3204" i="10"/>
  <c r="N3205" i="10"/>
  <c r="O3205" i="10"/>
  <c r="N3206" i="10"/>
  <c r="O3206" i="10"/>
  <c r="N3207" i="10"/>
  <c r="O3207" i="10"/>
  <c r="N3208" i="10"/>
  <c r="O3208" i="10"/>
  <c r="N3209" i="10"/>
  <c r="O3209" i="10"/>
  <c r="N3210" i="10"/>
  <c r="O3210" i="10"/>
  <c r="N3211" i="10"/>
  <c r="O3211" i="10"/>
  <c r="N3212" i="10"/>
  <c r="O3212" i="10"/>
  <c r="N3213" i="10"/>
  <c r="O3213" i="10"/>
  <c r="N3214" i="10"/>
  <c r="O3214" i="10"/>
  <c r="N3215" i="10"/>
  <c r="O3215" i="10"/>
  <c r="N3216" i="10"/>
  <c r="O3216" i="10"/>
  <c r="N3217" i="10"/>
  <c r="O3217" i="10"/>
  <c r="N3218" i="10"/>
  <c r="O3218" i="10"/>
  <c r="N3219" i="10"/>
  <c r="O3219" i="10"/>
  <c r="N3220" i="10"/>
  <c r="O3220" i="10"/>
  <c r="N3221" i="10"/>
  <c r="O3221" i="10"/>
  <c r="N3222" i="10"/>
  <c r="O3222" i="10"/>
  <c r="N3223" i="10"/>
  <c r="O3223" i="10"/>
  <c r="N3224" i="10"/>
  <c r="O3224" i="10"/>
  <c r="N3225" i="10"/>
  <c r="O3225" i="10"/>
  <c r="N3226" i="10"/>
  <c r="O3226" i="10"/>
  <c r="N3227" i="10"/>
  <c r="O3227" i="10"/>
  <c r="N3228" i="10"/>
  <c r="O3228" i="10"/>
  <c r="N3229" i="10"/>
  <c r="O3229" i="10"/>
  <c r="N3230" i="10"/>
  <c r="O3230" i="10"/>
  <c r="N3231" i="10"/>
  <c r="O3231" i="10"/>
  <c r="N3232" i="10"/>
  <c r="O3232" i="10"/>
  <c r="N3233" i="10"/>
  <c r="O3233" i="10"/>
  <c r="N3234" i="10"/>
  <c r="O3234" i="10"/>
  <c r="N3235" i="10"/>
  <c r="O3235" i="10"/>
  <c r="N3236" i="10"/>
  <c r="O3236" i="10"/>
  <c r="N3237" i="10"/>
  <c r="O3237" i="10"/>
  <c r="N3238" i="10"/>
  <c r="O3238" i="10"/>
  <c r="N3239" i="10"/>
  <c r="O3239" i="10"/>
  <c r="N3240" i="10"/>
  <c r="O3240" i="10"/>
  <c r="N3241" i="10"/>
  <c r="O3241" i="10"/>
  <c r="N3242" i="10"/>
  <c r="O3242" i="10"/>
  <c r="N3243" i="10"/>
  <c r="O3243" i="10"/>
  <c r="N3244" i="10"/>
  <c r="O3244" i="10"/>
  <c r="N3245" i="10"/>
  <c r="O3245" i="10"/>
  <c r="N3246" i="10"/>
  <c r="O3246" i="10"/>
  <c r="N3247" i="10"/>
  <c r="O3247" i="10"/>
  <c r="N3248" i="10"/>
  <c r="O3248" i="10"/>
  <c r="N3249" i="10"/>
  <c r="O3249" i="10"/>
  <c r="N3250" i="10"/>
  <c r="O3250" i="10"/>
  <c r="N3251" i="10"/>
  <c r="O3251" i="10"/>
  <c r="N3252" i="10"/>
  <c r="O3252" i="10"/>
  <c r="N3253" i="10"/>
  <c r="O3253" i="10"/>
  <c r="N3254" i="10"/>
  <c r="O3254" i="10"/>
  <c r="N3255" i="10"/>
  <c r="O3255" i="10"/>
  <c r="N3256" i="10"/>
  <c r="O3256" i="10"/>
  <c r="N3257" i="10"/>
  <c r="O3257" i="10"/>
  <c r="N3258" i="10"/>
  <c r="O3258" i="10"/>
  <c r="N3259" i="10"/>
  <c r="O3259" i="10"/>
  <c r="N3260" i="10"/>
  <c r="O3260" i="10"/>
  <c r="N3261" i="10"/>
  <c r="O3261" i="10"/>
  <c r="N3262" i="10"/>
  <c r="O3262" i="10"/>
  <c r="N3263" i="10"/>
  <c r="O3263" i="10"/>
  <c r="N3264" i="10"/>
  <c r="O3264" i="10"/>
  <c r="N3265" i="10"/>
  <c r="O3265" i="10"/>
  <c r="N3266" i="10"/>
  <c r="O3266" i="10"/>
  <c r="N3267" i="10"/>
  <c r="O3267" i="10"/>
  <c r="N3268" i="10"/>
  <c r="O3268" i="10"/>
  <c r="N3269" i="10"/>
  <c r="O3269" i="10"/>
  <c r="N3270" i="10"/>
  <c r="O3270" i="10"/>
  <c r="N3271" i="10"/>
  <c r="O3271" i="10"/>
  <c r="N3272" i="10"/>
  <c r="O3272" i="10"/>
  <c r="N3273" i="10"/>
  <c r="O3273" i="10"/>
  <c r="N3274" i="10"/>
  <c r="O3274" i="10"/>
  <c r="N3275" i="10"/>
  <c r="O3275" i="10"/>
  <c r="N3276" i="10"/>
  <c r="O3276" i="10"/>
  <c r="N3277" i="10"/>
  <c r="O3277" i="10"/>
  <c r="N3278" i="10"/>
  <c r="O3278" i="10"/>
  <c r="N3279" i="10"/>
  <c r="O3279" i="10"/>
  <c r="N3280" i="10"/>
  <c r="O3280" i="10"/>
  <c r="N3281" i="10"/>
  <c r="O3281" i="10"/>
  <c r="N3282" i="10"/>
  <c r="O3282" i="10"/>
  <c r="N3283" i="10"/>
  <c r="O3283" i="10"/>
  <c r="N3284" i="10"/>
  <c r="O3284" i="10"/>
  <c r="N3285" i="10"/>
  <c r="O3285" i="10"/>
  <c r="N3286" i="10"/>
  <c r="O3286" i="10"/>
  <c r="N3287" i="10"/>
  <c r="O3287" i="10"/>
  <c r="N3288" i="10"/>
  <c r="O3288" i="10"/>
  <c r="N3289" i="10"/>
  <c r="O3289" i="10"/>
  <c r="N3290" i="10"/>
  <c r="O3290" i="10"/>
  <c r="N3291" i="10"/>
  <c r="O3291" i="10"/>
  <c r="N3292" i="10"/>
  <c r="O3292" i="10"/>
  <c r="N3293" i="10"/>
  <c r="O3293" i="10"/>
  <c r="N3294" i="10"/>
  <c r="O3294" i="10"/>
  <c r="N3295" i="10"/>
  <c r="O3295" i="10"/>
  <c r="N3296" i="10"/>
  <c r="O3296" i="10"/>
  <c r="N3297" i="10"/>
  <c r="O3297" i="10"/>
  <c r="N3298" i="10"/>
  <c r="O3298" i="10"/>
  <c r="N3299" i="10"/>
  <c r="O3299" i="10"/>
  <c r="N3300" i="10"/>
  <c r="O3300" i="10"/>
  <c r="N3301" i="10"/>
  <c r="O3301" i="10"/>
  <c r="N3302" i="10"/>
  <c r="O3302" i="10"/>
  <c r="N3303" i="10"/>
  <c r="O3303" i="10"/>
  <c r="N3304" i="10"/>
  <c r="O3304" i="10"/>
  <c r="N3305" i="10"/>
  <c r="O3305" i="10"/>
  <c r="N3306" i="10"/>
  <c r="O3306" i="10"/>
  <c r="N3307" i="10"/>
  <c r="O3307" i="10"/>
  <c r="N3308" i="10"/>
  <c r="O3308" i="10"/>
  <c r="N3309" i="10"/>
  <c r="O3309" i="10"/>
  <c r="N3310" i="10"/>
  <c r="O3310" i="10"/>
  <c r="N3311" i="10"/>
  <c r="O3311" i="10"/>
  <c r="N3312" i="10"/>
  <c r="O3312" i="10"/>
  <c r="N3313" i="10"/>
  <c r="O3313" i="10"/>
  <c r="N3314" i="10"/>
  <c r="O3314" i="10"/>
  <c r="N3315" i="10"/>
  <c r="O3315" i="10"/>
  <c r="N3316" i="10"/>
  <c r="O3316" i="10"/>
  <c r="N3317" i="10"/>
  <c r="O3317" i="10"/>
  <c r="N3318" i="10"/>
  <c r="O3318" i="10"/>
  <c r="N3319" i="10"/>
  <c r="O3319" i="10"/>
  <c r="N3320" i="10"/>
  <c r="O3320" i="10"/>
  <c r="N3321" i="10"/>
  <c r="O3321" i="10"/>
  <c r="N3322" i="10"/>
  <c r="O3322" i="10"/>
  <c r="N3323" i="10"/>
  <c r="O3323" i="10"/>
  <c r="N3324" i="10"/>
  <c r="O3324" i="10"/>
  <c r="N3325" i="10"/>
  <c r="O3325" i="10"/>
  <c r="N3326" i="10"/>
  <c r="O3326" i="10"/>
  <c r="N3327" i="10"/>
  <c r="O3327" i="10"/>
  <c r="N3328" i="10"/>
  <c r="O3328" i="10"/>
  <c r="N3329" i="10"/>
  <c r="O3329" i="10"/>
  <c r="N3330" i="10"/>
  <c r="O3330" i="10"/>
  <c r="N3331" i="10"/>
  <c r="O3331" i="10"/>
  <c r="N3332" i="10"/>
  <c r="O3332" i="10"/>
  <c r="N3333" i="10"/>
  <c r="O3333" i="10"/>
  <c r="N3334" i="10"/>
  <c r="O3334" i="10"/>
  <c r="N3335" i="10"/>
  <c r="O3335" i="10"/>
  <c r="N3336" i="10"/>
  <c r="O3336" i="10"/>
  <c r="N3337" i="10"/>
  <c r="O3337" i="10"/>
  <c r="N3338" i="10"/>
  <c r="O3338" i="10"/>
  <c r="N3339" i="10"/>
  <c r="O3339" i="10"/>
  <c r="N3340" i="10"/>
  <c r="O3340" i="10"/>
  <c r="N3341" i="10"/>
  <c r="O3341" i="10"/>
  <c r="N3342" i="10"/>
  <c r="O3342" i="10"/>
  <c r="N3343" i="10"/>
  <c r="O3343" i="10"/>
  <c r="N3344" i="10"/>
  <c r="O3344" i="10"/>
  <c r="N3345" i="10"/>
  <c r="O3345" i="10"/>
  <c r="N3346" i="10"/>
  <c r="O3346" i="10"/>
  <c r="N3347" i="10"/>
  <c r="O3347" i="10"/>
  <c r="N3348" i="10"/>
  <c r="O3348" i="10"/>
  <c r="N3349" i="10"/>
  <c r="O3349" i="10"/>
  <c r="N3350" i="10"/>
  <c r="O3350" i="10"/>
  <c r="N3351" i="10"/>
  <c r="O3351" i="10"/>
  <c r="N3352" i="10"/>
  <c r="O3352" i="10"/>
  <c r="N3353" i="10"/>
  <c r="O3353" i="10"/>
  <c r="N3354" i="10"/>
  <c r="O3354" i="10"/>
  <c r="N3355" i="10"/>
  <c r="O3355" i="10"/>
  <c r="N3356" i="10"/>
  <c r="O3356" i="10"/>
  <c r="N3357" i="10"/>
  <c r="O3357" i="10"/>
  <c r="N3358" i="10"/>
  <c r="O3358" i="10"/>
  <c r="N3359" i="10"/>
  <c r="O3359" i="10"/>
  <c r="N3360" i="10"/>
  <c r="O3360" i="10"/>
  <c r="N3361" i="10"/>
  <c r="O3361" i="10"/>
  <c r="N3362" i="10"/>
  <c r="O3362" i="10"/>
  <c r="N3363" i="10"/>
  <c r="O3363" i="10"/>
  <c r="N3364" i="10"/>
  <c r="O3364" i="10"/>
  <c r="N3365" i="10"/>
  <c r="O3365" i="10"/>
  <c r="N3366" i="10"/>
  <c r="O3366" i="10"/>
  <c r="N3367" i="10"/>
  <c r="O3367" i="10"/>
  <c r="N3368" i="10"/>
  <c r="O3368" i="10"/>
  <c r="N3369" i="10"/>
  <c r="O3369" i="10"/>
  <c r="N3370" i="10"/>
  <c r="O3370" i="10"/>
  <c r="N3371" i="10"/>
  <c r="O3371" i="10"/>
  <c r="N3372" i="10"/>
  <c r="O3372" i="10"/>
  <c r="N3373" i="10"/>
  <c r="O3373" i="10"/>
  <c r="N3374" i="10"/>
  <c r="O3374" i="10"/>
  <c r="N3375" i="10"/>
  <c r="O3375" i="10"/>
  <c r="N3376" i="10"/>
  <c r="O3376" i="10"/>
  <c r="N3377" i="10"/>
  <c r="O3377" i="10"/>
  <c r="N3378" i="10"/>
  <c r="O3378" i="10"/>
  <c r="N3379" i="10"/>
  <c r="O3379" i="10"/>
  <c r="N3380" i="10"/>
  <c r="O3380" i="10"/>
  <c r="N3381" i="10"/>
  <c r="O3381" i="10"/>
  <c r="N3382" i="10"/>
  <c r="O3382" i="10"/>
  <c r="N3383" i="10"/>
  <c r="O3383" i="10"/>
  <c r="N3384" i="10"/>
  <c r="O3384" i="10"/>
  <c r="N3385" i="10"/>
  <c r="O3385" i="10"/>
  <c r="N3386" i="10"/>
  <c r="O3386" i="10"/>
  <c r="N3387" i="10"/>
  <c r="O3387" i="10"/>
  <c r="N3388" i="10"/>
  <c r="O3388" i="10"/>
  <c r="N3389" i="10"/>
  <c r="O3389" i="10"/>
  <c r="N3390" i="10"/>
  <c r="O3390" i="10"/>
  <c r="N3391" i="10"/>
  <c r="O3391" i="10"/>
  <c r="N3392" i="10"/>
  <c r="O3392" i="10"/>
  <c r="N3393" i="10"/>
  <c r="O3393" i="10"/>
  <c r="N3394" i="10"/>
  <c r="O3394" i="10"/>
  <c r="N3395" i="10"/>
  <c r="O3395" i="10"/>
  <c r="N3396" i="10"/>
  <c r="O3396" i="10"/>
  <c r="N3397" i="10"/>
  <c r="O3397" i="10"/>
  <c r="N3398" i="10"/>
  <c r="O3398" i="10"/>
  <c r="N3399" i="10"/>
  <c r="O3399" i="10"/>
  <c r="N3400" i="10"/>
  <c r="O3400" i="10"/>
  <c r="N3401" i="10"/>
  <c r="O3401" i="10"/>
  <c r="N3402" i="10"/>
  <c r="O3402" i="10"/>
  <c r="N3403" i="10"/>
  <c r="O3403" i="10"/>
  <c r="N3404" i="10"/>
  <c r="O3404" i="10"/>
  <c r="N3405" i="10"/>
  <c r="O3405" i="10"/>
  <c r="N3406" i="10"/>
  <c r="O3406" i="10"/>
  <c r="N3407" i="10"/>
  <c r="O3407" i="10"/>
  <c r="N3408" i="10"/>
  <c r="O3408" i="10"/>
  <c r="N3409" i="10"/>
  <c r="O3409" i="10"/>
  <c r="N3410" i="10"/>
  <c r="O3410" i="10"/>
  <c r="N3411" i="10"/>
  <c r="O3411" i="10"/>
  <c r="N3412" i="10"/>
  <c r="O3412" i="10"/>
  <c r="N3413" i="10"/>
  <c r="O3413" i="10"/>
  <c r="N3414" i="10"/>
  <c r="O3414" i="10"/>
  <c r="N3415" i="10"/>
  <c r="O3415" i="10"/>
  <c r="N3416" i="10"/>
  <c r="O3416" i="10"/>
  <c r="N3417" i="10"/>
  <c r="O3417" i="10"/>
  <c r="N3418" i="10"/>
  <c r="O3418" i="10"/>
  <c r="N3419" i="10"/>
  <c r="O3419" i="10"/>
  <c r="N3420" i="10"/>
  <c r="O3420" i="10"/>
  <c r="N3421" i="10"/>
  <c r="O3421" i="10"/>
  <c r="N3422" i="10"/>
  <c r="O3422" i="10"/>
  <c r="N3423" i="10"/>
  <c r="O3423" i="10"/>
  <c r="N3424" i="10"/>
  <c r="O3424" i="10"/>
  <c r="N3425" i="10"/>
  <c r="O3425" i="10"/>
  <c r="N3426" i="10"/>
  <c r="O3426" i="10"/>
  <c r="N3427" i="10"/>
  <c r="O3427" i="10"/>
  <c r="N3428" i="10"/>
  <c r="O3428" i="10"/>
  <c r="N3429" i="10"/>
  <c r="O3429" i="10"/>
  <c r="N3430" i="10"/>
  <c r="O3430" i="10"/>
  <c r="N3431" i="10"/>
  <c r="O3431" i="10"/>
  <c r="N3432" i="10"/>
  <c r="O3432" i="10"/>
  <c r="N3433" i="10"/>
  <c r="O3433" i="10"/>
  <c r="N3434" i="10"/>
  <c r="O3434" i="10"/>
  <c r="N3435" i="10"/>
  <c r="O3435" i="10"/>
  <c r="N3436" i="10"/>
  <c r="O3436" i="10"/>
  <c r="N3437" i="10"/>
  <c r="O3437" i="10"/>
  <c r="N3438" i="10"/>
  <c r="O3438" i="10"/>
  <c r="N3439" i="10"/>
  <c r="O3439" i="10"/>
  <c r="N3440" i="10"/>
  <c r="O3440" i="10"/>
  <c r="N3441" i="10"/>
  <c r="O3441" i="10"/>
  <c r="N3442" i="10"/>
  <c r="O3442" i="10"/>
  <c r="N3443" i="10"/>
  <c r="O3443" i="10"/>
  <c r="N3444" i="10"/>
  <c r="O3444" i="10"/>
  <c r="N3445" i="10"/>
  <c r="O3445" i="10"/>
  <c r="N3446" i="10"/>
  <c r="O3446" i="10"/>
  <c r="N3447" i="10"/>
  <c r="O3447" i="10"/>
  <c r="N3448" i="10"/>
  <c r="O3448" i="10"/>
  <c r="N3449" i="10"/>
  <c r="O3449" i="10"/>
  <c r="N3450" i="10"/>
  <c r="O3450" i="10"/>
  <c r="N3451" i="10"/>
  <c r="O3451" i="10"/>
  <c r="N3452" i="10"/>
  <c r="O3452" i="10"/>
  <c r="N3453" i="10"/>
  <c r="O3453" i="10"/>
  <c r="N3454" i="10"/>
  <c r="O3454" i="10"/>
  <c r="N3455" i="10"/>
  <c r="O3455" i="10"/>
  <c r="N3456" i="10"/>
  <c r="O3456" i="10"/>
  <c r="N3457" i="10"/>
  <c r="O3457" i="10"/>
  <c r="N3458" i="10"/>
  <c r="O3458" i="10"/>
  <c r="N3459" i="10"/>
  <c r="O3459" i="10"/>
  <c r="N3460" i="10"/>
  <c r="O3460" i="10"/>
  <c r="N3461" i="10"/>
  <c r="O3461" i="10"/>
  <c r="N3462" i="10"/>
  <c r="O3462" i="10"/>
  <c r="N3463" i="10"/>
  <c r="O3463" i="10"/>
  <c r="N3464" i="10"/>
  <c r="O3464" i="10"/>
  <c r="N3465" i="10"/>
  <c r="O3465" i="10"/>
  <c r="N3466" i="10"/>
  <c r="O3466" i="10"/>
  <c r="N3467" i="10"/>
  <c r="O3467" i="10"/>
  <c r="N3468" i="10"/>
  <c r="O3468" i="10"/>
  <c r="N3469" i="10"/>
  <c r="O3469" i="10"/>
  <c r="N3470" i="10"/>
  <c r="O3470" i="10"/>
  <c r="N3471" i="10"/>
  <c r="O3471" i="10"/>
  <c r="N3472" i="10"/>
  <c r="O3472" i="10"/>
  <c r="N3473" i="10"/>
  <c r="O3473" i="10"/>
  <c r="N3474" i="10"/>
  <c r="O3474" i="10"/>
  <c r="N3475" i="10"/>
  <c r="O3475" i="10"/>
  <c r="N3476" i="10"/>
  <c r="O3476" i="10"/>
  <c r="N3477" i="10"/>
  <c r="O3477" i="10"/>
  <c r="N3478" i="10"/>
  <c r="O3478" i="10"/>
  <c r="N3479" i="10"/>
  <c r="O3479" i="10"/>
  <c r="N3480" i="10"/>
  <c r="O3480" i="10"/>
  <c r="N3481" i="10"/>
  <c r="O3481" i="10"/>
  <c r="N3482" i="10"/>
  <c r="O3482" i="10"/>
  <c r="N3483" i="10"/>
  <c r="O3483" i="10"/>
  <c r="N3484" i="10"/>
  <c r="O3484" i="10"/>
  <c r="N3485" i="10"/>
  <c r="O3485" i="10"/>
  <c r="N3486" i="10"/>
  <c r="O3486" i="10"/>
  <c r="N3487" i="10"/>
  <c r="O3487" i="10"/>
  <c r="N3488" i="10"/>
  <c r="O3488" i="10"/>
  <c r="N3489" i="10"/>
  <c r="O3489" i="10"/>
  <c r="N3490" i="10"/>
  <c r="O3490" i="10"/>
  <c r="N3491" i="10"/>
  <c r="O3491" i="10"/>
  <c r="N3492" i="10"/>
  <c r="O3492" i="10"/>
  <c r="N3493" i="10"/>
  <c r="O3493" i="10"/>
  <c r="N3494" i="10"/>
  <c r="O3494" i="10"/>
  <c r="N3495" i="10"/>
  <c r="O3495" i="10"/>
  <c r="N3496" i="10"/>
  <c r="O3496" i="10"/>
  <c r="N3497" i="10"/>
  <c r="O3497" i="10"/>
  <c r="N3498" i="10"/>
  <c r="O3498" i="10"/>
  <c r="N3499" i="10"/>
  <c r="O3499" i="10"/>
  <c r="N3500" i="10"/>
  <c r="O3500" i="10"/>
  <c r="N3501" i="10"/>
  <c r="O3501" i="10"/>
  <c r="N3502" i="10"/>
  <c r="O3502" i="10"/>
  <c r="N3503" i="10"/>
  <c r="O3503" i="10"/>
  <c r="N3504" i="10"/>
  <c r="O3504" i="10"/>
  <c r="N3505" i="10"/>
  <c r="O3505" i="10"/>
  <c r="N3506" i="10"/>
  <c r="O3506" i="10"/>
  <c r="N3507" i="10"/>
  <c r="O3507" i="10"/>
  <c r="N3508" i="10"/>
  <c r="O3508" i="10"/>
  <c r="N3509" i="10"/>
  <c r="O3509" i="10"/>
  <c r="N3510" i="10"/>
  <c r="O3510" i="10"/>
  <c r="N3511" i="10"/>
  <c r="O3511" i="10"/>
  <c r="N3512" i="10"/>
  <c r="O3512" i="10"/>
  <c r="N3513" i="10"/>
  <c r="O3513" i="10"/>
  <c r="N3514" i="10"/>
  <c r="O3514" i="10"/>
  <c r="N3515" i="10"/>
  <c r="O3515" i="10"/>
  <c r="N3516" i="10"/>
  <c r="O3516" i="10"/>
  <c r="N3517" i="10"/>
  <c r="O3517" i="10"/>
  <c r="N3518" i="10"/>
  <c r="O3518" i="10"/>
  <c r="N3519" i="10"/>
  <c r="O3519" i="10"/>
  <c r="N3520" i="10"/>
  <c r="O3520" i="10"/>
  <c r="N3521" i="10"/>
  <c r="O3521" i="10"/>
  <c r="N3522" i="10"/>
  <c r="O3522" i="10"/>
  <c r="N3523" i="10"/>
  <c r="O3523" i="10"/>
  <c r="N3524" i="10"/>
  <c r="O3524" i="10"/>
  <c r="N3525" i="10"/>
  <c r="O3525" i="10"/>
  <c r="N3526" i="10"/>
  <c r="O3526" i="10"/>
  <c r="N3527" i="10"/>
  <c r="O3527" i="10"/>
  <c r="N3528" i="10"/>
  <c r="O3528" i="10"/>
  <c r="N3529" i="10"/>
  <c r="O3529" i="10"/>
  <c r="N3530" i="10"/>
  <c r="O3530" i="10"/>
  <c r="N3531" i="10"/>
  <c r="O3531" i="10"/>
  <c r="N3532" i="10"/>
  <c r="O3532" i="10"/>
  <c r="N3533" i="10"/>
  <c r="O3533" i="10"/>
  <c r="N3534" i="10"/>
  <c r="O3534" i="10"/>
  <c r="N3535" i="10"/>
  <c r="O3535" i="10"/>
  <c r="N3536" i="10"/>
  <c r="O3536" i="10"/>
  <c r="N3537" i="10"/>
  <c r="O3537" i="10"/>
  <c r="N3538" i="10"/>
  <c r="O3538" i="10"/>
  <c r="N3539" i="10"/>
  <c r="O3539" i="10"/>
  <c r="N3540" i="10"/>
  <c r="O3540" i="10"/>
  <c r="N3541" i="10"/>
  <c r="O3541" i="10"/>
  <c r="N3542" i="10"/>
  <c r="O3542" i="10"/>
  <c r="N3543" i="10"/>
  <c r="O3543" i="10"/>
  <c r="N3544" i="10"/>
  <c r="O3544" i="10"/>
  <c r="N3545" i="10"/>
  <c r="O3545" i="10"/>
  <c r="N3546" i="10"/>
  <c r="O3546" i="10"/>
  <c r="N3547" i="10"/>
  <c r="O3547" i="10"/>
  <c r="N3548" i="10"/>
  <c r="O3548" i="10"/>
  <c r="N3549" i="10"/>
  <c r="O3549" i="10"/>
  <c r="N3550" i="10"/>
  <c r="O3550" i="10"/>
  <c r="N3551" i="10"/>
  <c r="O3551" i="10"/>
  <c r="N3552" i="10"/>
  <c r="O3552" i="10"/>
  <c r="N3553" i="10"/>
  <c r="O3553" i="10"/>
  <c r="N3554" i="10"/>
  <c r="O3554" i="10"/>
  <c r="N3555" i="10"/>
  <c r="O3555" i="10"/>
  <c r="N3556" i="10"/>
  <c r="O3556" i="10"/>
  <c r="N3557" i="10"/>
  <c r="O3557" i="10"/>
  <c r="N3558" i="10"/>
  <c r="O3558" i="10"/>
  <c r="N3559" i="10"/>
  <c r="O3559" i="10"/>
  <c r="N3560" i="10"/>
  <c r="O3560" i="10"/>
  <c r="N3561" i="10"/>
  <c r="O3561" i="10"/>
  <c r="N3562" i="10"/>
  <c r="O3562" i="10"/>
  <c r="N3563" i="10"/>
  <c r="O3563" i="10"/>
  <c r="N3564" i="10"/>
  <c r="O3564" i="10"/>
  <c r="N3565" i="10"/>
  <c r="O3565" i="10"/>
  <c r="N3566" i="10"/>
  <c r="O3566" i="10"/>
  <c r="N3567" i="10"/>
  <c r="O3567" i="10"/>
  <c r="N3568" i="10"/>
  <c r="O3568" i="10"/>
  <c r="N3569" i="10"/>
  <c r="O3569" i="10"/>
  <c r="N3570" i="10"/>
  <c r="O3570" i="10"/>
  <c r="N3571" i="10"/>
  <c r="O3571" i="10"/>
  <c r="N3572" i="10"/>
  <c r="O3572" i="10"/>
  <c r="N3573" i="10"/>
  <c r="O3573" i="10"/>
  <c r="N3574" i="10"/>
  <c r="O3574" i="10"/>
  <c r="N3575" i="10"/>
  <c r="O3575" i="10"/>
  <c r="N3576" i="10"/>
  <c r="O3576" i="10"/>
  <c r="N3577" i="10"/>
  <c r="O3577" i="10"/>
  <c r="N3578" i="10"/>
  <c r="O3578" i="10"/>
  <c r="N3579" i="10"/>
  <c r="O3579" i="10"/>
  <c r="N3580" i="10"/>
  <c r="O3580" i="10"/>
  <c r="N3581" i="10"/>
  <c r="O3581" i="10"/>
  <c r="N3582" i="10"/>
  <c r="O3582" i="10"/>
  <c r="N3583" i="10"/>
  <c r="O3583" i="10"/>
  <c r="N3584" i="10"/>
  <c r="O3584" i="10"/>
  <c r="N3585" i="10"/>
  <c r="O3585" i="10"/>
  <c r="N3586" i="10"/>
  <c r="O3586" i="10"/>
  <c r="N3587" i="10"/>
  <c r="O3587" i="10"/>
  <c r="N3588" i="10"/>
  <c r="O3588" i="10"/>
  <c r="N3589" i="10"/>
  <c r="O3589" i="10"/>
  <c r="N3590" i="10"/>
  <c r="O3590" i="10"/>
  <c r="N3591" i="10"/>
  <c r="O3591" i="10"/>
  <c r="N3592" i="10"/>
  <c r="O3592" i="10"/>
  <c r="N3593" i="10"/>
  <c r="O3593" i="10"/>
  <c r="N3594" i="10"/>
  <c r="O3594" i="10"/>
  <c r="N3595" i="10"/>
  <c r="O3595" i="10"/>
  <c r="N3596" i="10"/>
  <c r="O3596" i="10"/>
  <c r="N3597" i="10"/>
  <c r="O3597" i="10"/>
  <c r="N3598" i="10"/>
  <c r="O3598" i="10"/>
  <c r="N3599" i="10"/>
  <c r="O3599" i="10"/>
  <c r="N3600" i="10"/>
  <c r="O3600" i="10"/>
  <c r="N3601" i="10"/>
  <c r="O3601" i="10"/>
  <c r="N3602" i="10"/>
  <c r="O3602" i="10"/>
  <c r="N3603" i="10"/>
  <c r="O3603" i="10"/>
  <c r="N3604" i="10"/>
  <c r="O3604" i="10"/>
  <c r="N3605" i="10"/>
  <c r="O3605" i="10"/>
  <c r="N3606" i="10"/>
  <c r="O3606" i="10"/>
  <c r="N3607" i="10"/>
  <c r="O3607" i="10"/>
  <c r="N3608" i="10"/>
  <c r="O3608" i="10"/>
  <c r="N3609" i="10"/>
  <c r="O3609" i="10"/>
  <c r="N3610" i="10"/>
  <c r="O3610" i="10"/>
  <c r="N3611" i="10"/>
  <c r="O3611" i="10"/>
  <c r="N3612" i="10"/>
  <c r="O3612" i="10"/>
  <c r="N3613" i="10"/>
  <c r="O3613" i="10"/>
  <c r="N3614" i="10"/>
  <c r="O3614" i="10"/>
  <c r="N3615" i="10"/>
  <c r="O3615" i="10"/>
  <c r="N3616" i="10"/>
  <c r="O3616" i="10"/>
  <c r="N3617" i="10"/>
  <c r="O3617" i="10"/>
  <c r="N3618" i="10"/>
  <c r="O3618" i="10"/>
  <c r="N3619" i="10"/>
  <c r="O3619" i="10"/>
  <c r="N3620" i="10"/>
  <c r="O3620" i="10"/>
  <c r="N3621" i="10"/>
  <c r="O3621" i="10"/>
  <c r="N3622" i="10"/>
  <c r="O3622" i="10"/>
  <c r="N3623" i="10"/>
  <c r="O3623" i="10"/>
  <c r="N3624" i="10"/>
  <c r="O3624" i="10"/>
  <c r="N3625" i="10"/>
  <c r="O3625" i="10"/>
  <c r="N3626" i="10"/>
  <c r="O3626" i="10"/>
  <c r="N3627" i="10"/>
  <c r="O3627" i="10"/>
  <c r="N3628" i="10"/>
  <c r="O3628" i="10"/>
  <c r="N3629" i="10"/>
  <c r="O3629" i="10"/>
  <c r="N3630" i="10"/>
  <c r="O3630" i="10"/>
  <c r="N3631" i="10"/>
  <c r="O3631" i="10"/>
  <c r="N3632" i="10"/>
  <c r="O3632" i="10"/>
  <c r="N3633" i="10"/>
  <c r="O3633" i="10"/>
  <c r="N3634" i="10"/>
  <c r="O3634" i="10"/>
  <c r="N3635" i="10"/>
  <c r="O3635" i="10"/>
  <c r="N3636" i="10"/>
  <c r="O3636" i="10"/>
  <c r="N3637" i="10"/>
  <c r="O3637" i="10"/>
  <c r="N3638" i="10"/>
  <c r="O3638" i="10"/>
  <c r="N3639" i="10"/>
  <c r="O3639" i="10"/>
  <c r="N3640" i="10"/>
  <c r="O3640" i="10"/>
  <c r="N3641" i="10"/>
  <c r="O3641" i="10"/>
  <c r="N3642" i="10"/>
  <c r="O3642" i="10"/>
  <c r="N3643" i="10"/>
  <c r="O3643" i="10"/>
  <c r="N3644" i="10"/>
  <c r="O3644" i="10"/>
  <c r="N3645" i="10"/>
  <c r="O3645" i="10"/>
  <c r="N3646" i="10"/>
  <c r="O3646" i="10"/>
  <c r="N3647" i="10"/>
  <c r="O3647" i="10"/>
  <c r="N3648" i="10"/>
  <c r="O3648" i="10"/>
  <c r="N3649" i="10"/>
  <c r="O3649" i="10"/>
  <c r="N3650" i="10"/>
  <c r="O3650" i="10"/>
  <c r="N3651" i="10"/>
  <c r="O3651" i="10"/>
  <c r="N3652" i="10"/>
  <c r="O3652" i="10"/>
  <c r="N3653" i="10"/>
  <c r="O3653" i="10"/>
  <c r="N3654" i="10"/>
  <c r="O3654" i="10"/>
  <c r="N3655" i="10"/>
  <c r="O3655" i="10"/>
  <c r="N3656" i="10"/>
  <c r="O3656" i="10"/>
  <c r="N3657" i="10"/>
  <c r="O3657" i="10"/>
  <c r="N3658" i="10"/>
  <c r="O3658" i="10"/>
  <c r="N3659" i="10"/>
  <c r="O3659" i="10"/>
  <c r="N3660" i="10"/>
  <c r="O3660" i="10"/>
  <c r="N3661" i="10"/>
  <c r="O3661" i="10"/>
  <c r="N3662" i="10"/>
  <c r="O3662" i="10"/>
  <c r="N3663" i="10"/>
  <c r="O3663" i="10"/>
  <c r="N3664" i="10"/>
  <c r="O3664" i="10"/>
  <c r="N3665" i="10"/>
  <c r="O3665" i="10"/>
  <c r="N3666" i="10"/>
  <c r="O3666" i="10"/>
  <c r="N3667" i="10"/>
  <c r="O3667" i="10"/>
  <c r="N3668" i="10"/>
  <c r="O3668" i="10"/>
  <c r="N3669" i="10"/>
  <c r="O3669" i="10"/>
  <c r="N3670" i="10"/>
  <c r="O3670" i="10"/>
  <c r="N3671" i="10"/>
  <c r="O3671" i="10"/>
  <c r="N3672" i="10"/>
  <c r="O3672" i="10"/>
  <c r="N3673" i="10"/>
  <c r="O3673" i="10"/>
  <c r="N3674" i="10"/>
  <c r="O3674" i="10"/>
  <c r="N3675" i="10"/>
  <c r="O3675" i="10"/>
  <c r="N3676" i="10"/>
  <c r="O3676" i="10"/>
  <c r="N3677" i="10"/>
  <c r="O3677" i="10"/>
  <c r="N3678" i="10"/>
  <c r="O3678" i="10"/>
  <c r="N3679" i="10"/>
  <c r="O3679" i="10"/>
  <c r="N3680" i="10"/>
  <c r="O3680" i="10"/>
  <c r="N3681" i="10"/>
  <c r="O3681" i="10"/>
  <c r="N3682" i="10"/>
  <c r="O3682" i="10"/>
  <c r="N3683" i="10"/>
  <c r="O3683" i="10"/>
  <c r="N3684" i="10"/>
  <c r="O3684" i="10"/>
  <c r="N3685" i="10"/>
  <c r="O3685" i="10"/>
  <c r="N3686" i="10"/>
  <c r="O3686" i="10"/>
  <c r="N3687" i="10"/>
  <c r="O3687" i="10"/>
  <c r="N3688" i="10"/>
  <c r="O3688" i="10"/>
  <c r="N3689" i="10"/>
  <c r="O3689" i="10"/>
  <c r="N3690" i="10"/>
  <c r="O3690" i="10"/>
  <c r="N3691" i="10"/>
  <c r="O3691" i="10"/>
  <c r="N3692" i="10"/>
  <c r="O3692" i="10"/>
  <c r="N3693" i="10"/>
  <c r="O3693" i="10"/>
  <c r="N3694" i="10"/>
  <c r="O3694" i="10"/>
  <c r="N3695" i="10"/>
  <c r="O3695" i="10"/>
  <c r="N3696" i="10"/>
  <c r="O3696" i="10"/>
  <c r="N3697" i="10"/>
  <c r="O3697" i="10"/>
  <c r="N3698" i="10"/>
  <c r="O3698" i="10"/>
  <c r="N3699" i="10"/>
  <c r="O3699" i="10"/>
  <c r="N3700" i="10"/>
  <c r="O3700" i="10"/>
  <c r="N3701" i="10"/>
  <c r="O3701" i="10"/>
  <c r="N3702" i="10"/>
  <c r="O3702" i="10"/>
  <c r="N3703" i="10"/>
  <c r="O3703" i="10"/>
  <c r="N3704" i="10"/>
  <c r="O3704" i="10"/>
  <c r="N3705" i="10"/>
  <c r="O3705" i="10"/>
  <c r="N3706" i="10"/>
  <c r="O3706" i="10"/>
  <c r="N3707" i="10"/>
  <c r="O3707" i="10"/>
  <c r="N3708" i="10"/>
  <c r="O3708" i="10"/>
  <c r="N3709" i="10"/>
  <c r="O3709" i="10"/>
  <c r="N3710" i="10"/>
  <c r="O3710" i="10"/>
  <c r="N3711" i="10"/>
  <c r="O3711" i="10"/>
  <c r="N3712" i="10"/>
  <c r="O3712" i="10"/>
  <c r="N3713" i="10"/>
  <c r="O3713" i="10"/>
  <c r="N3714" i="10"/>
  <c r="O3714" i="10"/>
  <c r="N3715" i="10"/>
  <c r="O3715" i="10"/>
  <c r="N3716" i="10"/>
  <c r="O3716" i="10"/>
  <c r="N3717" i="10"/>
  <c r="O3717" i="10"/>
  <c r="N3718" i="10"/>
  <c r="O3718" i="10"/>
  <c r="N3719" i="10"/>
  <c r="O3719" i="10"/>
  <c r="N3720" i="10"/>
  <c r="O3720" i="10"/>
  <c r="N3721" i="10"/>
  <c r="O3721" i="10"/>
  <c r="N3722" i="10"/>
  <c r="O3722" i="10"/>
  <c r="N3723" i="10"/>
  <c r="O3723" i="10"/>
  <c r="N3724" i="10"/>
  <c r="O3724" i="10"/>
  <c r="N3725" i="10"/>
  <c r="O3725" i="10"/>
  <c r="N3726" i="10"/>
  <c r="O3726" i="10"/>
  <c r="N3727" i="10"/>
  <c r="O3727" i="10"/>
  <c r="N3728" i="10"/>
  <c r="O3728" i="10"/>
  <c r="N3729" i="10"/>
  <c r="O3729" i="10"/>
  <c r="N3730" i="10"/>
  <c r="O3730" i="10"/>
  <c r="N3731" i="10"/>
  <c r="O3731" i="10"/>
  <c r="N3732" i="10"/>
  <c r="O3732" i="10"/>
  <c r="N3733" i="10"/>
  <c r="O3733" i="10"/>
  <c r="N3734" i="10"/>
  <c r="O3734" i="10"/>
  <c r="N3735" i="10"/>
  <c r="O3735" i="10"/>
  <c r="N3736" i="10"/>
  <c r="O3736" i="10"/>
  <c r="N3737" i="10"/>
  <c r="O3737" i="10"/>
  <c r="N3738" i="10"/>
  <c r="O3738" i="10"/>
  <c r="N3739" i="10"/>
  <c r="O3739" i="10"/>
  <c r="N3740" i="10"/>
  <c r="O3740" i="10"/>
  <c r="N3741" i="10"/>
  <c r="O3741" i="10"/>
  <c r="N3742" i="10"/>
  <c r="O3742" i="10"/>
  <c r="N3743" i="10"/>
  <c r="O3743" i="10"/>
  <c r="N3744" i="10"/>
  <c r="O3744" i="10"/>
  <c r="N3745" i="10"/>
  <c r="O3745" i="10"/>
  <c r="N3746" i="10"/>
  <c r="O3746" i="10"/>
  <c r="N3747" i="10"/>
  <c r="O3747" i="10"/>
  <c r="N3748" i="10"/>
  <c r="O3748" i="10"/>
  <c r="N3749" i="10"/>
  <c r="O3749" i="10"/>
  <c r="N3750" i="10"/>
  <c r="O3750" i="10"/>
  <c r="N3751" i="10"/>
  <c r="O3751" i="10"/>
  <c r="N3752" i="10"/>
  <c r="O3752" i="10"/>
  <c r="N3753" i="10"/>
  <c r="O3753" i="10"/>
  <c r="N3754" i="10"/>
  <c r="O3754" i="10"/>
  <c r="N3755" i="10"/>
  <c r="O3755" i="10"/>
  <c r="N3756" i="10"/>
  <c r="O3756" i="10"/>
  <c r="N3757" i="10"/>
  <c r="O3757" i="10"/>
  <c r="N3758" i="10"/>
  <c r="O3758" i="10"/>
  <c r="N3759" i="10"/>
  <c r="O3759" i="10"/>
  <c r="N3760" i="10"/>
  <c r="O3760" i="10"/>
  <c r="N3761" i="10"/>
  <c r="O3761" i="10"/>
  <c r="N3762" i="10"/>
  <c r="O3762" i="10"/>
  <c r="N3763" i="10"/>
  <c r="O3763" i="10"/>
  <c r="N3764" i="10"/>
  <c r="O3764" i="10"/>
  <c r="N3765" i="10"/>
  <c r="O3765" i="10"/>
  <c r="N3766" i="10"/>
  <c r="O3766" i="10"/>
  <c r="N3767" i="10"/>
  <c r="O3767" i="10"/>
  <c r="N3768" i="10"/>
  <c r="O3768" i="10"/>
  <c r="N3769" i="10"/>
  <c r="O3769" i="10"/>
  <c r="N3770" i="10"/>
  <c r="O3770" i="10"/>
  <c r="N3771" i="10"/>
  <c r="O3771" i="10"/>
  <c r="N3772" i="10"/>
  <c r="O3772" i="10"/>
  <c r="N3773" i="10"/>
  <c r="O3773" i="10"/>
  <c r="N3774" i="10"/>
  <c r="O3774" i="10"/>
  <c r="N3775" i="10"/>
  <c r="O3775" i="10"/>
  <c r="N3776" i="10"/>
  <c r="O3776" i="10"/>
  <c r="N3777" i="10"/>
  <c r="O3777" i="10"/>
  <c r="N3778" i="10"/>
  <c r="O3778" i="10"/>
  <c r="N3779" i="10"/>
  <c r="O3779" i="10"/>
  <c r="N3780" i="10"/>
  <c r="O3780" i="10"/>
  <c r="N3781" i="10"/>
  <c r="O3781" i="10"/>
  <c r="N3782" i="10"/>
  <c r="O3782" i="10"/>
  <c r="N3783" i="10"/>
  <c r="O3783" i="10"/>
  <c r="N3784" i="10"/>
  <c r="O3784" i="10"/>
  <c r="N3785" i="10"/>
  <c r="O3785" i="10"/>
  <c r="N3786" i="10"/>
  <c r="O3786" i="10"/>
  <c r="N3787" i="10"/>
  <c r="O3787" i="10"/>
  <c r="N3788" i="10"/>
  <c r="O3788" i="10"/>
  <c r="N3789" i="10"/>
  <c r="O3789" i="10"/>
  <c r="N3790" i="10"/>
  <c r="O3790" i="10"/>
  <c r="N3791" i="10"/>
  <c r="O3791" i="10"/>
  <c r="N3792" i="10"/>
  <c r="O3792" i="10"/>
  <c r="N3793" i="10"/>
  <c r="O3793" i="10"/>
  <c r="N3794" i="10"/>
  <c r="O3794" i="10"/>
  <c r="N3795" i="10"/>
  <c r="O3795" i="10"/>
  <c r="N3796" i="10"/>
  <c r="O3796" i="10"/>
  <c r="N3797" i="10"/>
  <c r="O3797" i="10"/>
  <c r="N3798" i="10"/>
  <c r="O3798" i="10"/>
  <c r="N3799" i="10"/>
  <c r="O3799" i="10"/>
  <c r="N3800" i="10"/>
  <c r="O3800" i="10"/>
  <c r="N3801" i="10"/>
  <c r="O3801" i="10"/>
  <c r="N3802" i="10"/>
  <c r="O3802" i="10"/>
  <c r="N3803" i="10"/>
  <c r="O3803" i="10"/>
  <c r="N3804" i="10"/>
  <c r="O3804" i="10"/>
  <c r="N3805" i="10"/>
  <c r="O3805" i="10"/>
  <c r="N3806" i="10"/>
  <c r="O3806" i="10"/>
  <c r="N3807" i="10"/>
  <c r="O3807" i="10"/>
  <c r="N3808" i="10"/>
  <c r="O3808" i="10"/>
  <c r="N3809" i="10"/>
  <c r="O3809" i="10"/>
  <c r="N3810" i="10"/>
  <c r="O3810" i="10"/>
  <c r="N3811" i="10"/>
  <c r="O3811" i="10"/>
  <c r="N3812" i="10"/>
  <c r="O3812" i="10"/>
  <c r="N3813" i="10"/>
  <c r="O3813" i="10"/>
  <c r="N3814" i="10"/>
  <c r="O3814" i="10"/>
  <c r="N3815" i="10"/>
  <c r="O3815" i="10"/>
  <c r="N3816" i="10"/>
  <c r="O3816" i="10"/>
  <c r="N3817" i="10"/>
  <c r="O3817" i="10"/>
  <c r="N3818" i="10"/>
  <c r="O3818" i="10"/>
  <c r="N3819" i="10"/>
  <c r="O3819" i="10"/>
  <c r="N3820" i="10"/>
  <c r="O3820" i="10"/>
  <c r="N3821" i="10"/>
  <c r="O3821" i="10"/>
  <c r="N3822" i="10"/>
  <c r="O3822" i="10"/>
  <c r="N3823" i="10"/>
  <c r="O3823" i="10"/>
  <c r="N3824" i="10"/>
  <c r="O3824" i="10"/>
  <c r="N3825" i="10"/>
  <c r="O3825" i="10"/>
  <c r="N3826" i="10"/>
  <c r="O3826" i="10"/>
  <c r="N3827" i="10"/>
  <c r="O3827" i="10"/>
  <c r="N3828" i="10"/>
  <c r="O3828" i="10"/>
  <c r="N3829" i="10"/>
  <c r="O3829" i="10"/>
  <c r="N3830" i="10"/>
  <c r="O3830" i="10"/>
  <c r="N3831" i="10"/>
  <c r="O3831" i="10"/>
  <c r="N3832" i="10"/>
  <c r="O3832" i="10"/>
  <c r="N3833" i="10"/>
  <c r="O3833" i="10"/>
  <c r="N3834" i="10"/>
  <c r="O3834" i="10"/>
  <c r="N3835" i="10"/>
  <c r="O3835" i="10"/>
  <c r="N3836" i="10"/>
  <c r="O3836" i="10"/>
  <c r="N3837" i="10"/>
  <c r="O3837" i="10"/>
  <c r="N3838" i="10"/>
  <c r="O3838" i="10"/>
  <c r="N3839" i="10"/>
  <c r="O3839" i="10"/>
  <c r="N3840" i="10"/>
  <c r="O3840" i="10"/>
  <c r="N3841" i="10"/>
  <c r="O3841" i="10"/>
  <c r="N3842" i="10"/>
  <c r="O3842" i="10"/>
  <c r="N3843" i="10"/>
  <c r="O3843" i="10"/>
  <c r="N3844" i="10"/>
  <c r="O3844" i="10"/>
  <c r="N3845" i="10"/>
  <c r="O3845" i="10"/>
  <c r="N3846" i="10"/>
  <c r="O3846" i="10"/>
  <c r="N3847" i="10"/>
  <c r="O3847" i="10"/>
  <c r="N3848" i="10"/>
  <c r="O3848" i="10"/>
  <c r="N3849" i="10"/>
  <c r="O3849" i="10"/>
  <c r="N3850" i="10"/>
  <c r="O3850" i="10"/>
  <c r="N3851" i="10"/>
  <c r="O3851" i="10"/>
  <c r="N3852" i="10"/>
  <c r="O3852" i="10"/>
  <c r="N3853" i="10"/>
  <c r="O3853" i="10"/>
  <c r="N3854" i="10"/>
  <c r="O3854" i="10"/>
  <c r="N3855" i="10"/>
  <c r="O3855" i="10"/>
  <c r="N3856" i="10"/>
  <c r="O3856" i="10"/>
  <c r="N3857" i="10"/>
  <c r="O3857" i="10"/>
  <c r="N3858" i="10"/>
  <c r="O3858" i="10"/>
  <c r="N3859" i="10"/>
  <c r="O3859" i="10"/>
  <c r="N3860" i="10"/>
  <c r="O3860" i="10"/>
  <c r="N3861" i="10"/>
  <c r="O3861" i="10"/>
  <c r="N3862" i="10"/>
  <c r="O3862" i="10"/>
  <c r="N3863" i="10"/>
  <c r="O3863" i="10"/>
  <c r="N3864" i="10"/>
  <c r="O3864" i="10"/>
  <c r="N3865" i="10"/>
  <c r="O3865" i="10"/>
  <c r="N3866" i="10"/>
  <c r="O3866" i="10"/>
  <c r="N3867" i="10"/>
  <c r="O3867" i="10"/>
  <c r="N3868" i="10"/>
  <c r="O3868" i="10"/>
  <c r="N3869" i="10"/>
  <c r="O3869" i="10"/>
  <c r="N3870" i="10"/>
  <c r="O3870" i="10"/>
  <c r="N3871" i="10"/>
  <c r="O3871" i="10"/>
  <c r="N3872" i="10"/>
  <c r="O3872" i="10"/>
  <c r="N3873" i="10"/>
  <c r="O3873" i="10"/>
  <c r="N3874" i="10"/>
  <c r="O3874" i="10"/>
  <c r="N3875" i="10"/>
  <c r="O3875" i="10"/>
  <c r="N3876" i="10"/>
  <c r="O3876" i="10"/>
  <c r="N3877" i="10"/>
  <c r="O3877" i="10"/>
  <c r="N3878" i="10"/>
  <c r="O3878" i="10"/>
  <c r="N3879" i="10"/>
  <c r="O3879" i="10"/>
  <c r="N3880" i="10"/>
  <c r="O3880" i="10"/>
  <c r="N3881" i="10"/>
  <c r="O3881" i="10"/>
  <c r="N3882" i="10"/>
  <c r="O3882" i="10"/>
  <c r="N3883" i="10"/>
  <c r="O3883" i="10"/>
  <c r="N3884" i="10"/>
  <c r="O3884" i="10"/>
  <c r="N3885" i="10"/>
  <c r="O3885" i="10"/>
  <c r="N3886" i="10"/>
  <c r="O3886" i="10"/>
  <c r="N3887" i="10"/>
  <c r="O3887" i="10"/>
  <c r="N3888" i="10"/>
  <c r="O3888" i="10"/>
  <c r="N3889" i="10"/>
  <c r="O3889" i="10"/>
  <c r="N3890" i="10"/>
  <c r="O3890" i="10"/>
  <c r="N3891" i="10"/>
  <c r="O3891" i="10"/>
  <c r="N3892" i="10"/>
  <c r="O3892" i="10"/>
  <c r="N3893" i="10"/>
  <c r="O3893" i="10"/>
  <c r="N3894" i="10"/>
  <c r="O3894" i="10"/>
  <c r="N3895" i="10"/>
  <c r="O3895" i="10"/>
  <c r="N3896" i="10"/>
  <c r="O3896" i="10"/>
  <c r="N3897" i="10"/>
  <c r="O3897" i="10"/>
  <c r="N3898" i="10"/>
  <c r="O3898" i="10"/>
  <c r="N3899" i="10"/>
  <c r="O3899" i="10"/>
  <c r="N3900" i="10"/>
  <c r="O3900" i="10"/>
  <c r="N3901" i="10"/>
  <c r="O3901" i="10"/>
  <c r="N3902" i="10"/>
  <c r="O3902" i="10"/>
  <c r="N3903" i="10"/>
  <c r="O3903" i="10"/>
  <c r="N3904" i="10"/>
  <c r="O3904" i="10"/>
  <c r="N3905" i="10"/>
  <c r="O3905" i="10"/>
  <c r="N3906" i="10"/>
  <c r="O3906" i="10"/>
  <c r="N3907" i="10"/>
  <c r="O3907" i="10"/>
  <c r="N3908" i="10"/>
  <c r="O3908" i="10"/>
  <c r="N3909" i="10"/>
  <c r="O3909" i="10"/>
  <c r="N3910" i="10"/>
  <c r="O3910" i="10"/>
  <c r="N3911" i="10"/>
  <c r="O3911" i="10"/>
  <c r="N3912" i="10"/>
  <c r="O3912" i="10"/>
  <c r="N3913" i="10"/>
  <c r="O3913" i="10"/>
  <c r="N3914" i="10"/>
  <c r="O3914" i="10"/>
  <c r="N3915" i="10"/>
  <c r="O3915" i="10"/>
  <c r="N3916" i="10"/>
  <c r="O3916" i="10"/>
  <c r="N3917" i="10"/>
  <c r="O3917" i="10"/>
  <c r="N3918" i="10"/>
  <c r="O3918" i="10"/>
  <c r="N3919" i="10"/>
  <c r="O3919" i="10"/>
  <c r="N3920" i="10"/>
  <c r="O3920" i="10"/>
  <c r="N3921" i="10"/>
  <c r="O3921" i="10"/>
  <c r="N3922" i="10"/>
  <c r="O3922" i="10"/>
  <c r="N3923" i="10"/>
  <c r="O3923" i="10"/>
  <c r="N3924" i="10"/>
  <c r="O3924" i="10"/>
  <c r="N3925" i="10"/>
  <c r="O3925" i="10"/>
  <c r="N3926" i="10"/>
  <c r="O3926" i="10"/>
  <c r="N3927" i="10"/>
  <c r="O3927" i="10"/>
  <c r="N3928" i="10"/>
  <c r="O3928" i="10"/>
  <c r="N3929" i="10"/>
  <c r="O3929" i="10"/>
  <c r="N3930" i="10"/>
  <c r="O3930" i="10"/>
  <c r="N3931" i="10"/>
  <c r="O3931" i="10"/>
  <c r="N3932" i="10"/>
  <c r="O3932" i="10"/>
  <c r="N3933" i="10"/>
  <c r="O3933" i="10"/>
  <c r="N3934" i="10"/>
  <c r="O3934" i="10"/>
  <c r="N3935" i="10"/>
  <c r="O3935" i="10"/>
  <c r="N3936" i="10"/>
  <c r="O3936" i="10"/>
  <c r="N3937" i="10"/>
  <c r="O3937" i="10"/>
  <c r="N3938" i="10"/>
  <c r="O3938" i="10"/>
  <c r="N3939" i="10"/>
  <c r="O3939" i="10"/>
  <c r="N3940" i="10"/>
  <c r="O3940" i="10"/>
  <c r="N3941" i="10"/>
  <c r="O3941" i="10"/>
  <c r="N3942" i="10"/>
  <c r="O3942" i="10"/>
  <c r="N3943" i="10"/>
  <c r="O3943" i="10"/>
  <c r="N3944" i="10"/>
  <c r="O3944" i="10"/>
  <c r="N3945" i="10"/>
  <c r="O3945" i="10"/>
  <c r="N3946" i="10"/>
  <c r="O3946" i="10"/>
  <c r="N3947" i="10"/>
  <c r="O3947" i="10"/>
  <c r="N3948" i="10"/>
  <c r="O3948" i="10"/>
  <c r="N3949" i="10"/>
  <c r="O3949" i="10"/>
  <c r="N3950" i="10"/>
  <c r="O3950" i="10"/>
  <c r="N3951" i="10"/>
  <c r="O3951" i="10"/>
  <c r="N3952" i="10"/>
  <c r="O3952" i="10"/>
  <c r="N3953" i="10"/>
  <c r="O3953" i="10"/>
  <c r="N3954" i="10"/>
  <c r="O3954" i="10"/>
  <c r="N3955" i="10"/>
  <c r="O3955" i="10"/>
  <c r="N3956" i="10"/>
  <c r="O3956" i="10"/>
  <c r="N3957" i="10"/>
  <c r="O3957" i="10"/>
  <c r="N3958" i="10"/>
  <c r="O3958" i="10"/>
  <c r="N3959" i="10"/>
  <c r="O3959" i="10"/>
  <c r="N3960" i="10"/>
  <c r="O3960" i="10"/>
  <c r="N3961" i="10"/>
  <c r="O3961" i="10"/>
  <c r="N3962" i="10"/>
  <c r="O3962" i="10"/>
  <c r="N3963" i="10"/>
  <c r="O3963" i="10"/>
  <c r="N3964" i="10"/>
  <c r="O3964" i="10"/>
  <c r="N3965" i="10"/>
  <c r="O3965" i="10"/>
  <c r="N3966" i="10"/>
  <c r="O3966" i="10"/>
  <c r="N3967" i="10"/>
  <c r="O3967" i="10"/>
  <c r="N3968" i="10"/>
  <c r="O3968" i="10"/>
  <c r="N3969" i="10"/>
  <c r="O3969" i="10"/>
  <c r="N3970" i="10"/>
  <c r="O3970" i="10"/>
  <c r="N3971" i="10"/>
  <c r="O3971" i="10"/>
  <c r="N3972" i="10"/>
  <c r="O3972" i="10"/>
  <c r="N3973" i="10"/>
  <c r="O3973" i="10"/>
  <c r="N3974" i="10"/>
  <c r="O3974" i="10"/>
  <c r="N3975" i="10"/>
  <c r="O3975" i="10"/>
  <c r="N3976" i="10"/>
  <c r="O3976" i="10"/>
  <c r="N3977" i="10"/>
  <c r="O3977" i="10"/>
  <c r="N3978" i="10"/>
  <c r="O3978" i="10"/>
  <c r="N3979" i="10"/>
  <c r="O3979" i="10"/>
  <c r="N3980" i="10"/>
  <c r="O3980" i="10"/>
  <c r="N3981" i="10"/>
  <c r="O3981" i="10"/>
  <c r="N3982" i="10"/>
  <c r="O3982" i="10"/>
  <c r="N3983" i="10"/>
  <c r="O3983" i="10"/>
  <c r="N3984" i="10"/>
  <c r="O3984" i="10"/>
  <c r="N3985" i="10"/>
  <c r="O3985" i="10"/>
  <c r="N3986" i="10"/>
  <c r="O3986" i="10"/>
  <c r="N3987" i="10"/>
  <c r="O3987" i="10"/>
  <c r="N3988" i="10"/>
  <c r="O3988" i="10"/>
  <c r="N3989" i="10"/>
  <c r="O3989" i="10"/>
  <c r="N3990" i="10"/>
  <c r="O3990" i="10"/>
  <c r="N3991" i="10"/>
  <c r="O3991" i="10"/>
  <c r="N3992" i="10"/>
  <c r="O3992" i="10"/>
  <c r="N3993" i="10"/>
  <c r="O3993" i="10"/>
  <c r="N3994" i="10"/>
  <c r="O3994" i="10"/>
  <c r="N3995" i="10"/>
  <c r="O3995" i="10"/>
  <c r="N3996" i="10"/>
  <c r="O3996" i="10"/>
  <c r="N3997" i="10"/>
  <c r="O3997" i="10"/>
  <c r="N3998" i="10"/>
  <c r="O3998" i="10"/>
  <c r="N3999" i="10"/>
  <c r="O3999" i="10"/>
  <c r="N4000" i="10"/>
  <c r="O4000" i="10"/>
  <c r="N4001" i="10"/>
  <c r="O4001" i="10"/>
  <c r="N4002" i="10"/>
  <c r="O4002" i="10"/>
  <c r="N4003" i="10"/>
  <c r="O4003" i="10"/>
  <c r="N4004" i="10"/>
  <c r="O4004" i="10"/>
  <c r="N4005" i="10"/>
  <c r="O4005" i="10"/>
  <c r="N4006" i="10"/>
  <c r="O4006" i="10"/>
  <c r="N4007" i="10"/>
  <c r="O4007" i="10"/>
  <c r="N4008" i="10"/>
  <c r="O4008" i="10"/>
  <c r="N4009" i="10"/>
  <c r="O4009" i="10"/>
  <c r="N4010" i="10"/>
  <c r="O4010" i="10"/>
  <c r="N4011" i="10"/>
  <c r="O4011" i="10"/>
  <c r="N4012" i="10"/>
  <c r="O4012" i="10"/>
  <c r="N4013" i="10"/>
  <c r="O4013" i="10"/>
  <c r="N4014" i="10"/>
  <c r="O4014" i="10"/>
  <c r="N4015" i="10"/>
  <c r="O4015" i="10"/>
  <c r="N4016" i="10"/>
  <c r="O4016" i="10"/>
  <c r="N4017" i="10"/>
  <c r="O4017" i="10"/>
  <c r="N4018" i="10"/>
  <c r="O4018" i="10"/>
  <c r="N4019" i="10"/>
  <c r="O4019" i="10"/>
  <c r="N4020" i="10"/>
  <c r="O4020" i="10"/>
  <c r="N4021" i="10"/>
  <c r="O4021" i="10"/>
  <c r="N4022" i="10"/>
  <c r="O4022" i="10"/>
  <c r="N4023" i="10"/>
  <c r="O4023" i="10"/>
  <c r="N4024" i="10"/>
  <c r="O4024" i="10"/>
  <c r="N4025" i="10"/>
  <c r="O4025" i="10"/>
  <c r="N4026" i="10"/>
  <c r="O4026" i="10"/>
  <c r="N4027" i="10"/>
  <c r="O4027" i="10"/>
  <c r="N4028" i="10"/>
  <c r="O4028" i="10"/>
  <c r="N4029" i="10"/>
  <c r="O4029" i="10"/>
  <c r="N4030" i="10"/>
  <c r="O4030" i="10"/>
  <c r="N4031" i="10"/>
  <c r="O4031" i="10"/>
  <c r="N4032" i="10"/>
  <c r="O4032" i="10"/>
  <c r="N4033" i="10"/>
  <c r="O4033" i="10"/>
  <c r="N4034" i="10"/>
  <c r="O4034" i="10"/>
  <c r="N4035" i="10"/>
  <c r="O4035" i="10"/>
  <c r="N4036" i="10"/>
  <c r="O4036" i="10"/>
  <c r="N4037" i="10"/>
  <c r="O4037" i="10"/>
  <c r="N4038" i="10"/>
  <c r="O4038" i="10"/>
  <c r="N4039" i="10"/>
  <c r="O4039" i="10"/>
  <c r="N4040" i="10"/>
  <c r="O4040" i="10"/>
  <c r="N4041" i="10"/>
  <c r="O4041" i="10"/>
  <c r="N4042" i="10"/>
  <c r="O4042" i="10"/>
  <c r="N4043" i="10"/>
  <c r="O4043" i="10"/>
  <c r="N4044" i="10"/>
  <c r="O4044" i="10"/>
  <c r="N4045" i="10"/>
  <c r="O4045" i="10"/>
  <c r="N4046" i="10"/>
  <c r="O4046" i="10"/>
  <c r="N4047" i="10"/>
  <c r="O4047" i="10"/>
  <c r="N4048" i="10"/>
  <c r="O4048" i="10"/>
  <c r="N4049" i="10"/>
  <c r="O4049" i="10"/>
  <c r="N4050" i="10"/>
  <c r="O4050" i="10"/>
  <c r="N4051" i="10"/>
  <c r="O4051" i="10"/>
  <c r="N4052" i="10"/>
  <c r="O4052" i="10"/>
  <c r="N4053" i="10"/>
  <c r="O4053" i="10"/>
  <c r="N4054" i="10"/>
  <c r="O4054" i="10"/>
  <c r="N4055" i="10"/>
  <c r="O4055" i="10"/>
  <c r="N4056" i="10"/>
  <c r="O4056" i="10"/>
  <c r="N4057" i="10"/>
  <c r="O4057" i="10"/>
  <c r="N4058" i="10"/>
  <c r="O4058" i="10"/>
  <c r="N4059" i="10"/>
  <c r="O4059" i="10"/>
  <c r="N4060" i="10"/>
  <c r="O4060" i="10"/>
  <c r="N4061" i="10"/>
  <c r="O4061" i="10"/>
  <c r="N4062" i="10"/>
  <c r="O4062" i="10"/>
  <c r="N4063" i="10"/>
  <c r="O4063" i="10"/>
  <c r="N4064" i="10"/>
  <c r="O4064" i="10"/>
  <c r="N4065" i="10"/>
  <c r="O4065" i="10"/>
  <c r="N4066" i="10"/>
  <c r="O4066" i="10"/>
  <c r="N4067" i="10"/>
  <c r="O4067" i="10"/>
  <c r="N4068" i="10"/>
  <c r="O4068" i="10"/>
  <c r="N4069" i="10"/>
  <c r="O4069" i="10"/>
  <c r="N4070" i="10"/>
  <c r="O4070" i="10"/>
  <c r="N4071" i="10"/>
  <c r="O4071" i="10"/>
  <c r="N4072" i="10"/>
  <c r="O4072" i="10"/>
  <c r="N4073" i="10"/>
  <c r="O4073" i="10"/>
  <c r="N4074" i="10"/>
  <c r="O4074" i="10"/>
  <c r="N4075" i="10"/>
  <c r="O4075" i="10"/>
  <c r="N4076" i="10"/>
  <c r="O4076" i="10"/>
  <c r="N4077" i="10"/>
  <c r="O4077" i="10"/>
  <c r="N4078" i="10"/>
  <c r="O4078" i="10"/>
  <c r="N4079" i="10"/>
  <c r="O4079" i="10"/>
  <c r="N4080" i="10"/>
  <c r="O4080" i="10"/>
  <c r="N4081" i="10"/>
  <c r="O4081" i="10"/>
  <c r="N4082" i="10"/>
  <c r="O4082" i="10"/>
  <c r="N4083" i="10"/>
  <c r="O4083" i="10"/>
  <c r="N4084" i="10"/>
  <c r="O4084" i="10"/>
  <c r="N4085" i="10"/>
  <c r="O4085" i="10"/>
  <c r="N4086" i="10"/>
  <c r="O4086" i="10"/>
  <c r="N4087" i="10"/>
  <c r="O4087" i="10"/>
  <c r="N4088" i="10"/>
  <c r="O4088" i="10"/>
  <c r="N4089" i="10"/>
  <c r="O4089" i="10"/>
  <c r="N4090" i="10"/>
  <c r="O4090" i="10"/>
  <c r="N4091" i="10"/>
  <c r="O4091" i="10"/>
  <c r="N4092" i="10"/>
  <c r="O4092" i="10"/>
  <c r="N4093" i="10"/>
  <c r="O4093" i="10"/>
  <c r="N4094" i="10"/>
  <c r="O4094" i="10"/>
  <c r="N4095" i="10"/>
  <c r="O4095" i="10"/>
  <c r="N4096" i="10"/>
  <c r="O4096" i="10"/>
  <c r="N4097" i="10"/>
  <c r="O4097" i="10"/>
  <c r="N4098" i="10"/>
  <c r="O4098" i="10"/>
  <c r="N4099" i="10"/>
  <c r="O4099" i="10"/>
  <c r="N4100" i="10"/>
  <c r="O4100" i="10"/>
  <c r="N4101" i="10"/>
  <c r="O4101" i="10"/>
  <c r="N4102" i="10"/>
  <c r="O4102" i="10"/>
  <c r="N4103" i="10"/>
  <c r="O4103" i="10"/>
  <c r="N4104" i="10"/>
  <c r="O4104" i="10"/>
  <c r="N4105" i="10"/>
  <c r="O4105" i="10"/>
  <c r="N4106" i="10"/>
  <c r="O4106" i="10"/>
  <c r="N4107" i="10"/>
  <c r="O4107" i="10"/>
  <c r="N4108" i="10"/>
  <c r="O4108" i="10"/>
  <c r="N4109" i="10"/>
  <c r="O4109" i="10"/>
  <c r="N4110" i="10"/>
  <c r="O4110" i="10"/>
  <c r="N4111" i="10"/>
  <c r="O4111" i="10"/>
  <c r="N4112" i="10"/>
  <c r="O4112" i="10"/>
  <c r="N4113" i="10"/>
  <c r="O4113" i="10"/>
  <c r="N4114" i="10"/>
  <c r="O4114" i="10"/>
  <c r="N4115" i="10"/>
  <c r="O4115" i="10"/>
  <c r="N4116" i="10"/>
  <c r="O4116" i="10"/>
  <c r="N4117" i="10"/>
  <c r="O4117" i="10"/>
  <c r="N4118" i="10"/>
  <c r="O4118" i="10"/>
  <c r="N4119" i="10"/>
  <c r="O4119" i="10"/>
  <c r="N4120" i="10"/>
  <c r="O4120" i="10"/>
  <c r="N4121" i="10"/>
  <c r="O4121" i="10"/>
  <c r="N4122" i="10"/>
  <c r="O4122" i="10"/>
  <c r="N4123" i="10"/>
  <c r="O4123" i="10"/>
  <c r="N4124" i="10"/>
  <c r="O4124" i="10"/>
  <c r="N4125" i="10"/>
  <c r="O4125" i="10"/>
  <c r="N4126" i="10"/>
  <c r="O4126" i="10"/>
  <c r="N4127" i="10"/>
  <c r="O4127" i="10"/>
  <c r="N4128" i="10"/>
  <c r="O4128" i="10"/>
  <c r="N4129" i="10"/>
  <c r="O4129" i="10"/>
  <c r="O2" i="10"/>
  <c r="U4166" i="10" l="1"/>
  <c r="U4176" i="10"/>
  <c r="U4186" i="10"/>
  <c r="U4188" i="10"/>
  <c r="U4167" i="10"/>
  <c r="U4178" i="10"/>
  <c r="U4163" i="10"/>
  <c r="U4180" i="10"/>
  <c r="U4175" i="10"/>
  <c r="U4168" i="10"/>
  <c r="U4192" i="10"/>
  <c r="U4187" i="10"/>
  <c r="U4181" i="10"/>
  <c r="U4173" i="10"/>
  <c r="U4164" i="10"/>
  <c r="U4171" i="10"/>
  <c r="U4179" i="10"/>
  <c r="U4184" i="10"/>
  <c r="U4165" i="10"/>
  <c r="U4191" i="10"/>
  <c r="U4174" i="10"/>
  <c r="U4177" i="10"/>
  <c r="U4169" i="10"/>
  <c r="U4159" i="10"/>
  <c r="U4182" i="10"/>
  <c r="U4170" i="10"/>
  <c r="U4185" i="10"/>
  <c r="U4160" i="10"/>
  <c r="U4190" i="10"/>
  <c r="U4161" i="10"/>
  <c r="U4183" i="10"/>
  <c r="U4189" i="10"/>
  <c r="U4172" i="10"/>
  <c r="U4162" i="10"/>
  <c r="U4134" i="10"/>
  <c r="U4148" i="10"/>
  <c r="U4132" i="10"/>
  <c r="U4157" i="10"/>
  <c r="U4153" i="10"/>
  <c r="U4149" i="10"/>
  <c r="U4145" i="10"/>
  <c r="U4141" i="10"/>
  <c r="U4137" i="10"/>
  <c r="U4133" i="10"/>
  <c r="U4144" i="10"/>
  <c r="U4140" i="10"/>
  <c r="U4136" i="10"/>
  <c r="U4155" i="10"/>
  <c r="U4147" i="10"/>
  <c r="U4139" i="10"/>
  <c r="U4131" i="10"/>
  <c r="U4156" i="10"/>
  <c r="U4152" i="10"/>
  <c r="U4154" i="10"/>
  <c r="U4146" i="10"/>
  <c r="U4138" i="10"/>
  <c r="U4151" i="10"/>
  <c r="U4143" i="10"/>
  <c r="U4135" i="10"/>
  <c r="U4158" i="10"/>
  <c r="U4150" i="10"/>
  <c r="U4142" i="10"/>
  <c r="U4126" i="10"/>
  <c r="U4122" i="10"/>
  <c r="U4118" i="10"/>
  <c r="U4114" i="10"/>
  <c r="U4106" i="10"/>
  <c r="U4058" i="10"/>
  <c r="U3774" i="10"/>
  <c r="U4102" i="10"/>
  <c r="U3786" i="10"/>
  <c r="U4038" i="10"/>
  <c r="U4018" i="10"/>
  <c r="U3994" i="10"/>
  <c r="U3974" i="10"/>
  <c r="U3890" i="10"/>
  <c r="U3870" i="10"/>
  <c r="U3850" i="10"/>
  <c r="U3826" i="10"/>
  <c r="U3802" i="10"/>
  <c r="U4110" i="10"/>
  <c r="U4094" i="10"/>
  <c r="U4078" i="10"/>
  <c r="U4014" i="10"/>
  <c r="U3998" i="10"/>
  <c r="U3982" i="10"/>
  <c r="U3970" i="10"/>
  <c r="U3950" i="10"/>
  <c r="U3934" i="10"/>
  <c r="U3914" i="10"/>
  <c r="U3902" i="10"/>
  <c r="U3882" i="10"/>
  <c r="U3866" i="10"/>
  <c r="U3846" i="10"/>
  <c r="U3778" i="10"/>
  <c r="U4090" i="10"/>
  <c r="U4070" i="10"/>
  <c r="U4050" i="10"/>
  <c r="U4030" i="10"/>
  <c r="U3954" i="10"/>
  <c r="U3930" i="10"/>
  <c r="U3910" i="10"/>
  <c r="U3830" i="10"/>
  <c r="U3814" i="10"/>
  <c r="U3790" i="10"/>
  <c r="U4086" i="10"/>
  <c r="U4066" i="10"/>
  <c r="U4046" i="10"/>
  <c r="U4022" i="10"/>
  <c r="U4002" i="10"/>
  <c r="U3978" i="10"/>
  <c r="U3958" i="10"/>
  <c r="U3938" i="10"/>
  <c r="U3918" i="10"/>
  <c r="U3894" i="10"/>
  <c r="U3874" i="10"/>
  <c r="U3854" i="10"/>
  <c r="U3834" i="10"/>
  <c r="U3810" i="10"/>
  <c r="U3794" i="10"/>
  <c r="U4098" i="10"/>
  <c r="U4074" i="10"/>
  <c r="U4054" i="10"/>
  <c r="U4034" i="10"/>
  <c r="U4010" i="10"/>
  <c r="U3990" i="10"/>
  <c r="U3962" i="10"/>
  <c r="U3942" i="10"/>
  <c r="U3922" i="10"/>
  <c r="U3898" i="10"/>
  <c r="U3878" i="10"/>
  <c r="U3858" i="10"/>
  <c r="U3838" i="10"/>
  <c r="U3818" i="10"/>
  <c r="U3782" i="10"/>
  <c r="U4082" i="10"/>
  <c r="U4062" i="10"/>
  <c r="U4042" i="10"/>
  <c r="U4026" i="10"/>
  <c r="U4006" i="10"/>
  <c r="U3986" i="10"/>
  <c r="U3966" i="10"/>
  <c r="U3946" i="10"/>
  <c r="U3926" i="10"/>
  <c r="U3906" i="10"/>
  <c r="U3886" i="10"/>
  <c r="U3862" i="10"/>
  <c r="U3842" i="10"/>
  <c r="U3822" i="10"/>
  <c r="U3806" i="10"/>
  <c r="U3798" i="10"/>
  <c r="U3746" i="10"/>
  <c r="U3718" i="10"/>
  <c r="U3694" i="10"/>
  <c r="U3602" i="10"/>
  <c r="U3578" i="10"/>
  <c r="U3554" i="10"/>
  <c r="U3526" i="10"/>
  <c r="U3498" i="10"/>
  <c r="U3474" i="10"/>
  <c r="U3450" i="10"/>
  <c r="U3418" i="10"/>
  <c r="U3410" i="10"/>
  <c r="U3374" i="10"/>
  <c r="U3362" i="10"/>
  <c r="U3350" i="10"/>
  <c r="U3342" i="10"/>
  <c r="U3334" i="10"/>
  <c r="U3322" i="10"/>
  <c r="U3310" i="10"/>
  <c r="U3298" i="10"/>
  <c r="U3286" i="10"/>
  <c r="U3274" i="10"/>
  <c r="U3262" i="10"/>
  <c r="U3246" i="10"/>
  <c r="U3242" i="10"/>
  <c r="U3234" i="10"/>
  <c r="U3222" i="10"/>
  <c r="U3206" i="10"/>
  <c r="U3182" i="10"/>
  <c r="U3174" i="10"/>
  <c r="U3166" i="10"/>
  <c r="U3154" i="10"/>
  <c r="U3138" i="10"/>
  <c r="U3126" i="10"/>
  <c r="U3098" i="10"/>
  <c r="U3086" i="10"/>
  <c r="U3058" i="10"/>
  <c r="U3050" i="10"/>
  <c r="U3042" i="10"/>
  <c r="U3038" i="10"/>
  <c r="U3034" i="10"/>
  <c r="U3030" i="10"/>
  <c r="U3026" i="10"/>
  <c r="U3022" i="10"/>
  <c r="U3018" i="10"/>
  <c r="U3014" i="10"/>
  <c r="U3010" i="10"/>
  <c r="U3006" i="10"/>
  <c r="U3002" i="10"/>
  <c r="U2998" i="10"/>
  <c r="U2994" i="10"/>
  <c r="U2990" i="10"/>
  <c r="U2986" i="10"/>
  <c r="U2982" i="10"/>
  <c r="U2978" i="10"/>
  <c r="U2974" i="10"/>
  <c r="U2970" i="10"/>
  <c r="U2966" i="10"/>
  <c r="U2962" i="10"/>
  <c r="U2958" i="10"/>
  <c r="U2954" i="10"/>
  <c r="U2950" i="10"/>
  <c r="U2946" i="10"/>
  <c r="U2942" i="10"/>
  <c r="U2938" i="10"/>
  <c r="U2934" i="10"/>
  <c r="U2930" i="10"/>
  <c r="U2926" i="10"/>
  <c r="U2922" i="10"/>
  <c r="U2918" i="10"/>
  <c r="U2914" i="10"/>
  <c r="U2910" i="10"/>
  <c r="U2906" i="10"/>
  <c r="U2902" i="10"/>
  <c r="U2898" i="10"/>
  <c r="U2894" i="10"/>
  <c r="U2890" i="10"/>
  <c r="U2886" i="10"/>
  <c r="U2882" i="10"/>
  <c r="U2878" i="10"/>
  <c r="U2874" i="10"/>
  <c r="U2870" i="10"/>
  <c r="U2866" i="10"/>
  <c r="U2862" i="10"/>
  <c r="U2854" i="10"/>
  <c r="U3758" i="10"/>
  <c r="U3734" i="10"/>
  <c r="U3706" i="10"/>
  <c r="U3682" i="10"/>
  <c r="U3654" i="10"/>
  <c r="U3630" i="10"/>
  <c r="U3606" i="10"/>
  <c r="U3582" i="10"/>
  <c r="U3494" i="10"/>
  <c r="U3470" i="10"/>
  <c r="U3438" i="10"/>
  <c r="U3414" i="10"/>
  <c r="U3406" i="10"/>
  <c r="U3398" i="10"/>
  <c r="U3386" i="10"/>
  <c r="U3378" i="10"/>
  <c r="U3370" i="10"/>
  <c r="U3358" i="10"/>
  <c r="U3326" i="10"/>
  <c r="U3314" i="10"/>
  <c r="U3302" i="10"/>
  <c r="U3290" i="10"/>
  <c r="U3278" i="10"/>
  <c r="U3266" i="10"/>
  <c r="U3258" i="10"/>
  <c r="U3250" i="10"/>
  <c r="U3238" i="10"/>
  <c r="U3230" i="10"/>
  <c r="U3218" i="10"/>
  <c r="U3210" i="10"/>
  <c r="U3198" i="10"/>
  <c r="U3190" i="10"/>
  <c r="U3162" i="10"/>
  <c r="U3150" i="10"/>
  <c r="U3142" i="10"/>
  <c r="U3130" i="10"/>
  <c r="U3122" i="10"/>
  <c r="U3114" i="10"/>
  <c r="U3106" i="10"/>
  <c r="U3094" i="10"/>
  <c r="U3082" i="10"/>
  <c r="U3074" i="10"/>
  <c r="U3066" i="10"/>
  <c r="U4129" i="10"/>
  <c r="U4121" i="10"/>
  <c r="U4113" i="10"/>
  <c r="U4105" i="10"/>
  <c r="U4097" i="10"/>
  <c r="U4089" i="10"/>
  <c r="U4081" i="10"/>
  <c r="U4073" i="10"/>
  <c r="U4065" i="10"/>
  <c r="U4057" i="10"/>
  <c r="U4045" i="10"/>
  <c r="U4041" i="10"/>
  <c r="U4033" i="10"/>
  <c r="U4021" i="10"/>
  <c r="U4017" i="10"/>
  <c r="U4009" i="10"/>
  <c r="U4001" i="10"/>
  <c r="U3993" i="10"/>
  <c r="U3985" i="10"/>
  <c r="U3977" i="10"/>
  <c r="U3969" i="10"/>
  <c r="U3961" i="10"/>
  <c r="U3953" i="10"/>
  <c r="U3945" i="10"/>
  <c r="U3937" i="10"/>
  <c r="U3929" i="10"/>
  <c r="U3921" i="10"/>
  <c r="U3913" i="10"/>
  <c r="U3905" i="10"/>
  <c r="U3897" i="10"/>
  <c r="U3889" i="10"/>
  <c r="U3881" i="10"/>
  <c r="U3873" i="10"/>
  <c r="U3865" i="10"/>
  <c r="U3857" i="10"/>
  <c r="U3849" i="10"/>
  <c r="U3841" i="10"/>
  <c r="U3833" i="10"/>
  <c r="U3825" i="10"/>
  <c r="U3817" i="10"/>
  <c r="U3813" i="10"/>
  <c r="U3801" i="10"/>
  <c r="U3793" i="10"/>
  <c r="U3785" i="10"/>
  <c r="U3777" i="10"/>
  <c r="U3769" i="10"/>
  <c r="U3761" i="10"/>
  <c r="U3757" i="10"/>
  <c r="U3745" i="10"/>
  <c r="U3741" i="10"/>
  <c r="U3729" i="10"/>
  <c r="U3742" i="10"/>
  <c r="U3722" i="10"/>
  <c r="U3702" i="10"/>
  <c r="U3670" i="10"/>
  <c r="U3650" i="10"/>
  <c r="U3614" i="10"/>
  <c r="U3594" i="10"/>
  <c r="U3570" i="10"/>
  <c r="U3542" i="10"/>
  <c r="U3530" i="10"/>
  <c r="U3502" i="10"/>
  <c r="U3478" i="10"/>
  <c r="U3454" i="10"/>
  <c r="U3426" i="10"/>
  <c r="U3402" i="10"/>
  <c r="U3394" i="10"/>
  <c r="U3390" i="10"/>
  <c r="U3382" i="10"/>
  <c r="U3366" i="10"/>
  <c r="U3354" i="10"/>
  <c r="U3346" i="10"/>
  <c r="U3338" i="10"/>
  <c r="U3330" i="10"/>
  <c r="U3318" i="10"/>
  <c r="U3306" i="10"/>
  <c r="U3294" i="10"/>
  <c r="U3282" i="10"/>
  <c r="U3270" i="10"/>
  <c r="U3254" i="10"/>
  <c r="U3226" i="10"/>
  <c r="U3214" i="10"/>
  <c r="U3202" i="10"/>
  <c r="U3194" i="10"/>
  <c r="U3186" i="10"/>
  <c r="U3178" i="10"/>
  <c r="U3170" i="10"/>
  <c r="U3158" i="10"/>
  <c r="U3146" i="10"/>
  <c r="U3134" i="10"/>
  <c r="U3118" i="10"/>
  <c r="U3110" i="10"/>
  <c r="U3102" i="10"/>
  <c r="U3090" i="10"/>
  <c r="U3078" i="10"/>
  <c r="U3070" i="10"/>
  <c r="U3062" i="10"/>
  <c r="U3054" i="10"/>
  <c r="U3046" i="10"/>
  <c r="U4125" i="10"/>
  <c r="U4117" i="10"/>
  <c r="U4109" i="10"/>
  <c r="U4101" i="10"/>
  <c r="U4093" i="10"/>
  <c r="U4085" i="10"/>
  <c r="U4077" i="10"/>
  <c r="U4069" i="10"/>
  <c r="U4061" i="10"/>
  <c r="U4053" i="10"/>
  <c r="U4049" i="10"/>
  <c r="U4037" i="10"/>
  <c r="U4029" i="10"/>
  <c r="U4025" i="10"/>
  <c r="U4013" i="10"/>
  <c r="U4005" i="10"/>
  <c r="U3997" i="10"/>
  <c r="U3989" i="10"/>
  <c r="U3981" i="10"/>
  <c r="U3973" i="10"/>
  <c r="U3965" i="10"/>
  <c r="U3957" i="10"/>
  <c r="U3949" i="10"/>
  <c r="U3941" i="10"/>
  <c r="U3933" i="10"/>
  <c r="U3925" i="10"/>
  <c r="U3917" i="10"/>
  <c r="U3909" i="10"/>
  <c r="U3901" i="10"/>
  <c r="U3893" i="10"/>
  <c r="U3885" i="10"/>
  <c r="U3877" i="10"/>
  <c r="U3869" i="10"/>
  <c r="U3861" i="10"/>
  <c r="U3853" i="10"/>
  <c r="U3845" i="10"/>
  <c r="U3837" i="10"/>
  <c r="U3829" i="10"/>
  <c r="U3821" i="10"/>
  <c r="U3809" i="10"/>
  <c r="U3805" i="10"/>
  <c r="U3797" i="10"/>
  <c r="U3789" i="10"/>
  <c r="U3781" i="10"/>
  <c r="U3773" i="10"/>
  <c r="U3765" i="10"/>
  <c r="U3753" i="10"/>
  <c r="U3749" i="10"/>
  <c r="U3737" i="10"/>
  <c r="U3733" i="10"/>
  <c r="U3754" i="10"/>
  <c r="U3726" i="10"/>
  <c r="U3698" i="10"/>
  <c r="U3674" i="10"/>
  <c r="U3646" i="10"/>
  <c r="U3622" i="10"/>
  <c r="U3598" i="10"/>
  <c r="U3574" i="10"/>
  <c r="U3550" i="10"/>
  <c r="U3522" i="10"/>
  <c r="U3430" i="10"/>
  <c r="U4124" i="10"/>
  <c r="U4108" i="10"/>
  <c r="U4092" i="10"/>
  <c r="U4076" i="10"/>
  <c r="U4060" i="10"/>
  <c r="U4048" i="10"/>
  <c r="U4028" i="10"/>
  <c r="U4012" i="10"/>
  <c r="U3968" i="10"/>
  <c r="U3952" i="10"/>
  <c r="U3940" i="10"/>
  <c r="U3928" i="10"/>
  <c r="U3912" i="10"/>
  <c r="U3896" i="10"/>
  <c r="U3880" i="10"/>
  <c r="U3860" i="10"/>
  <c r="U3848" i="10"/>
  <c r="U3832" i="10"/>
  <c r="U3812" i="10"/>
  <c r="U3796" i="10"/>
  <c r="U3780" i="10"/>
  <c r="U3736" i="10"/>
  <c r="U3724" i="10"/>
  <c r="U3708" i="10"/>
  <c r="U3688" i="10"/>
  <c r="U3676" i="10"/>
  <c r="U3664" i="10"/>
  <c r="U3644" i="10"/>
  <c r="U3628" i="10"/>
  <c r="U3612" i="10"/>
  <c r="U3592" i="10"/>
  <c r="U3576" i="10"/>
  <c r="U3556" i="10"/>
  <c r="U3540" i="10"/>
  <c r="U3524" i="10"/>
  <c r="U3504" i="10"/>
  <c r="U3488" i="10"/>
  <c r="U3468" i="10"/>
  <c r="U3452" i="10"/>
  <c r="U3428" i="10"/>
  <c r="U3416" i="10"/>
  <c r="U3400" i="10"/>
  <c r="U3380" i="10"/>
  <c r="U3364" i="10"/>
  <c r="U3344" i="10"/>
  <c r="U3328" i="10"/>
  <c r="U3312" i="10"/>
  <c r="U3292" i="10"/>
  <c r="U3268" i="10"/>
  <c r="U3256" i="10"/>
  <c r="U3244" i="10"/>
  <c r="U3224" i="10"/>
  <c r="U3200" i="10"/>
  <c r="U3184" i="10"/>
  <c r="U3164" i="10"/>
  <c r="U3144" i="10"/>
  <c r="U3128" i="10"/>
  <c r="U3112" i="10"/>
  <c r="U3092" i="10"/>
  <c r="U3076" i="10"/>
  <c r="U3056" i="10"/>
  <c r="U3036" i="10"/>
  <c r="U3016" i="10"/>
  <c r="U3000" i="10"/>
  <c r="U2984" i="10"/>
  <c r="U2960" i="10"/>
  <c r="U2944" i="10"/>
  <c r="U2932" i="10"/>
  <c r="U2916" i="10"/>
  <c r="U2900" i="10"/>
  <c r="U2880" i="10"/>
  <c r="U2860" i="10"/>
  <c r="U2840" i="10"/>
  <c r="U2828" i="10"/>
  <c r="U2808" i="10"/>
  <c r="U2788" i="10"/>
  <c r="U2772" i="10"/>
  <c r="U2756" i="10"/>
  <c r="U2728" i="10"/>
  <c r="U2712" i="10"/>
  <c r="U2700" i="10"/>
  <c r="U2684" i="10"/>
  <c r="U3762" i="10"/>
  <c r="U3738" i="10"/>
  <c r="U3714" i="10"/>
  <c r="U3686" i="10"/>
  <c r="U3662" i="10"/>
  <c r="U3642" i="10"/>
  <c r="U3610" i="10"/>
  <c r="U3590" i="10"/>
  <c r="U3566" i="10"/>
  <c r="U3538" i="10"/>
  <c r="U3510" i="10"/>
  <c r="U3486" i="10"/>
  <c r="U3458" i="10"/>
  <c r="U3446" i="10"/>
  <c r="U4128" i="10"/>
  <c r="U4116" i="10"/>
  <c r="U4100" i="10"/>
  <c r="U4080" i="10"/>
  <c r="U4068" i="10"/>
  <c r="U4056" i="10"/>
  <c r="U4040" i="10"/>
  <c r="U4024" i="10"/>
  <c r="U4008" i="10"/>
  <c r="U3992" i="10"/>
  <c r="U3980" i="10"/>
  <c r="U3936" i="10"/>
  <c r="U3924" i="10"/>
  <c r="U3908" i="10"/>
  <c r="U3892" i="10"/>
  <c r="U3876" i="10"/>
  <c r="U3836" i="10"/>
  <c r="U3816" i="10"/>
  <c r="U3800" i="10"/>
  <c r="U3784" i="10"/>
  <c r="U3764" i="10"/>
  <c r="U3752" i="10"/>
  <c r="U3740" i="10"/>
  <c r="U3728" i="10"/>
  <c r="U3712" i="10"/>
  <c r="U3696" i="10"/>
  <c r="U3652" i="10"/>
  <c r="U3632" i="10"/>
  <c r="U3620" i="10"/>
  <c r="U3600" i="10"/>
  <c r="U3584" i="10"/>
  <c r="U3572" i="10"/>
  <c r="U3548" i="10"/>
  <c r="U3536" i="10"/>
  <c r="U3512" i="10"/>
  <c r="U3500" i="10"/>
  <c r="U3480" i="10"/>
  <c r="U3464" i="10"/>
  <c r="U3444" i="10"/>
  <c r="U3424" i="10"/>
  <c r="U3408" i="10"/>
  <c r="U3392" i="10"/>
  <c r="U3372" i="10"/>
  <c r="U3360" i="10"/>
  <c r="U3336" i="10"/>
  <c r="U3316" i="10"/>
  <c r="U3308" i="10"/>
  <c r="U3288" i="10"/>
  <c r="U3276" i="10"/>
  <c r="U3252" i="10"/>
  <c r="U3236" i="10"/>
  <c r="U3228" i="10"/>
  <c r="U3212" i="10"/>
  <c r="U3188" i="10"/>
  <c r="U3172" i="10"/>
  <c r="U3152" i="10"/>
  <c r="U3136" i="10"/>
  <c r="U3120" i="10"/>
  <c r="U3104" i="10"/>
  <c r="U3088" i="10"/>
  <c r="U3068" i="10"/>
  <c r="U3052" i="10"/>
  <c r="U3044" i="10"/>
  <c r="U3024" i="10"/>
  <c r="U3008" i="10"/>
  <c r="U2992" i="10"/>
  <c r="U2972" i="10"/>
  <c r="U2964" i="10"/>
  <c r="U2948" i="10"/>
  <c r="U2924" i="10"/>
  <c r="U2912" i="10"/>
  <c r="U2896" i="10"/>
  <c r="U2876" i="10"/>
  <c r="U2864" i="10"/>
  <c r="U2848" i="10"/>
  <c r="U2824" i="10"/>
  <c r="U2820" i="10"/>
  <c r="U2800" i="10"/>
  <c r="U2784" i="10"/>
  <c r="U2764" i="10"/>
  <c r="U2748" i="10"/>
  <c r="U2732" i="10"/>
  <c r="U2716" i="10"/>
  <c r="U2704" i="10"/>
  <c r="U2692" i="10"/>
  <c r="U3766" i="10"/>
  <c r="U3666" i="10"/>
  <c r="U3638" i="10"/>
  <c r="U3618" i="10"/>
  <c r="U3586" i="10"/>
  <c r="U3562" i="10"/>
  <c r="U3546" i="10"/>
  <c r="U3518" i="10"/>
  <c r="U3490" i="10"/>
  <c r="U3466" i="10"/>
  <c r="U3434" i="10"/>
  <c r="U3422" i="10"/>
  <c r="U4120" i="10"/>
  <c r="U4104" i="10"/>
  <c r="U4088" i="10"/>
  <c r="U4036" i="10"/>
  <c r="U4020" i="10"/>
  <c r="U4000" i="10"/>
  <c r="U3988" i="10"/>
  <c r="U3976" i="10"/>
  <c r="U3960" i="10"/>
  <c r="U3948" i="10"/>
  <c r="U3904" i="10"/>
  <c r="U3884" i="10"/>
  <c r="U3868" i="10"/>
  <c r="U3856" i="10"/>
  <c r="U3840" i="10"/>
  <c r="U3824" i="10"/>
  <c r="U3808" i="10"/>
  <c r="U3788" i="10"/>
  <c r="U3772" i="10"/>
  <c r="U3760" i="10"/>
  <c r="U3744" i="10"/>
  <c r="U3732" i="10"/>
  <c r="U3720" i="10"/>
  <c r="U3700" i="10"/>
  <c r="U3684" i="10"/>
  <c r="U3672" i="10"/>
  <c r="U3656" i="10"/>
  <c r="U3640" i="10"/>
  <c r="U3624" i="10"/>
  <c r="U3604" i="10"/>
  <c r="U3588" i="10"/>
  <c r="U3564" i="10"/>
  <c r="U3552" i="10"/>
  <c r="U3532" i="10"/>
  <c r="U3516" i="10"/>
  <c r="U3496" i="10"/>
  <c r="U3476" i="10"/>
  <c r="U3460" i="10"/>
  <c r="U3448" i="10"/>
  <c r="U3432" i="10"/>
  <c r="U3412" i="10"/>
  <c r="U3388" i="10"/>
  <c r="U3376" i="10"/>
  <c r="U3352" i="10"/>
  <c r="U3340" i="10"/>
  <c r="U3324" i="10"/>
  <c r="U3300" i="10"/>
  <c r="U3284" i="10"/>
  <c r="U3272" i="10"/>
  <c r="U3260" i="10"/>
  <c r="U3240" i="10"/>
  <c r="U3220" i="10"/>
  <c r="U3204" i="10"/>
  <c r="U3192" i="10"/>
  <c r="U3176" i="10"/>
  <c r="U3160" i="10"/>
  <c r="U3148" i="10"/>
  <c r="U3132" i="10"/>
  <c r="U3108" i="10"/>
  <c r="U3096" i="10"/>
  <c r="U3072" i="10"/>
  <c r="U3060" i="10"/>
  <c r="U3040" i="10"/>
  <c r="U3028" i="10"/>
  <c r="U3012" i="10"/>
  <c r="U2996" i="10"/>
  <c r="U2980" i="10"/>
  <c r="U2956" i="10"/>
  <c r="U2940" i="10"/>
  <c r="U2928" i="10"/>
  <c r="U2908" i="10"/>
  <c r="U2888" i="10"/>
  <c r="U2872" i="10"/>
  <c r="U2852" i="10"/>
  <c r="U2836" i="10"/>
  <c r="U2812" i="10"/>
  <c r="U2796" i="10"/>
  <c r="U2780" i="10"/>
  <c r="U2768" i="10"/>
  <c r="U2752" i="10"/>
  <c r="U2736" i="10"/>
  <c r="U2720" i="10"/>
  <c r="U2708" i="10"/>
  <c r="U2688" i="10"/>
  <c r="U3770" i="10"/>
  <c r="U3750" i="10"/>
  <c r="U3730" i="10"/>
  <c r="U3710" i="10"/>
  <c r="U3690" i="10"/>
  <c r="U3678" i="10"/>
  <c r="U3658" i="10"/>
  <c r="U3634" i="10"/>
  <c r="U3626" i="10"/>
  <c r="U3558" i="10"/>
  <c r="U3534" i="10"/>
  <c r="U3514" i="10"/>
  <c r="U3506" i="10"/>
  <c r="U3482" i="10"/>
  <c r="U3462" i="10"/>
  <c r="U3442" i="10"/>
  <c r="U4112" i="10"/>
  <c r="U4096" i="10"/>
  <c r="U4084" i="10"/>
  <c r="U4072" i="10"/>
  <c r="U4064" i="10"/>
  <c r="U4052" i="10"/>
  <c r="U4044" i="10"/>
  <c r="U4032" i="10"/>
  <c r="U4016" i="10"/>
  <c r="U4004" i="10"/>
  <c r="U3996" i="10"/>
  <c r="U3984" i="10"/>
  <c r="U3972" i="10"/>
  <c r="U3964" i="10"/>
  <c r="U3956" i="10"/>
  <c r="U3944" i="10"/>
  <c r="U3932" i="10"/>
  <c r="U3920" i="10"/>
  <c r="U3916" i="10"/>
  <c r="U3900" i="10"/>
  <c r="U3888" i="10"/>
  <c r="U3872" i="10"/>
  <c r="U3864" i="10"/>
  <c r="U3852" i="10"/>
  <c r="U3844" i="10"/>
  <c r="U3828" i="10"/>
  <c r="U3820" i="10"/>
  <c r="U3804" i="10"/>
  <c r="U3792" i="10"/>
  <c r="U3776" i="10"/>
  <c r="U3768" i="10"/>
  <c r="U3756" i="10"/>
  <c r="U3748" i="10"/>
  <c r="U3716" i="10"/>
  <c r="U3704" i="10"/>
  <c r="U3692" i="10"/>
  <c r="U3680" i="10"/>
  <c r="U3668" i="10"/>
  <c r="U3660" i="10"/>
  <c r="U3648" i="10"/>
  <c r="U3636" i="10"/>
  <c r="U3616" i="10"/>
  <c r="U3608" i="10"/>
  <c r="U3596" i="10"/>
  <c r="U3580" i="10"/>
  <c r="U3568" i="10"/>
  <c r="U3560" i="10"/>
  <c r="U3544" i="10"/>
  <c r="U3528" i="10"/>
  <c r="U3520" i="10"/>
  <c r="U3508" i="10"/>
  <c r="U3492" i="10"/>
  <c r="U3484" i="10"/>
  <c r="U3472" i="10"/>
  <c r="U3456" i="10"/>
  <c r="U3440" i="10"/>
  <c r="U3436" i="10"/>
  <c r="U3420" i="10"/>
  <c r="U3404" i="10"/>
  <c r="U3396" i="10"/>
  <c r="U3384" i="10"/>
  <c r="U3368" i="10"/>
  <c r="U3356" i="10"/>
  <c r="U3348" i="10"/>
  <c r="U3332" i="10"/>
  <c r="U3320" i="10"/>
  <c r="U3304" i="10"/>
  <c r="U3296" i="10"/>
  <c r="U3280" i="10"/>
  <c r="U3264" i="10"/>
  <c r="U3248" i="10"/>
  <c r="U3232" i="10"/>
  <c r="U3216" i="10"/>
  <c r="U3208" i="10"/>
  <c r="U3196" i="10"/>
  <c r="U3180" i="10"/>
  <c r="U3168" i="10"/>
  <c r="U3156" i="10"/>
  <c r="U3140" i="10"/>
  <c r="U3124" i="10"/>
  <c r="U3116" i="10"/>
  <c r="U3100" i="10"/>
  <c r="U3084" i="10"/>
  <c r="U3080" i="10"/>
  <c r="U3064" i="10"/>
  <c r="U3048" i="10"/>
  <c r="U3032" i="10"/>
  <c r="U3020" i="10"/>
  <c r="U3004" i="10"/>
  <c r="U2988" i="10"/>
  <c r="U2976" i="10"/>
  <c r="U2968" i="10"/>
  <c r="U2952" i="10"/>
  <c r="U2936" i="10"/>
  <c r="U2920" i="10"/>
  <c r="U2904" i="10"/>
  <c r="U2892" i="10"/>
  <c r="U2884" i="10"/>
  <c r="U2868" i="10"/>
  <c r="U2856" i="10"/>
  <c r="U2844" i="10"/>
  <c r="U2832" i="10"/>
  <c r="U2816" i="10"/>
  <c r="U2804" i="10"/>
  <c r="U2792" i="10"/>
  <c r="U2776" i="10"/>
  <c r="U2760" i="10"/>
  <c r="U2744" i="10"/>
  <c r="U2740" i="10"/>
  <c r="U2724" i="10"/>
  <c r="U2696" i="10"/>
  <c r="U2680" i="10"/>
  <c r="U2858" i="10"/>
  <c r="U2850" i="10"/>
  <c r="U2846" i="10"/>
  <c r="U3721" i="10"/>
  <c r="U3713" i="10"/>
  <c r="U3705" i="10"/>
  <c r="U3701" i="10"/>
  <c r="U3693" i="10"/>
  <c r="U3685" i="10"/>
  <c r="U3677" i="10"/>
  <c r="U3673" i="10"/>
  <c r="U3665" i="10"/>
  <c r="U3657" i="10"/>
  <c r="U3649" i="10"/>
  <c r="U3641" i="10"/>
  <c r="U3633" i="10"/>
  <c r="U3625" i="10"/>
  <c r="U3617" i="10"/>
  <c r="U3613" i="10"/>
  <c r="U3605" i="10"/>
  <c r="U3597" i="10"/>
  <c r="U3589" i="10"/>
  <c r="U3581" i="10"/>
  <c r="U3577" i="10"/>
  <c r="U3569" i="10"/>
  <c r="U3565" i="10"/>
  <c r="U3557" i="10"/>
  <c r="U3545" i="10"/>
  <c r="U3537" i="10"/>
  <c r="U3529" i="10"/>
  <c r="U3525" i="10"/>
  <c r="U3517" i="10"/>
  <c r="U3509" i="10"/>
  <c r="U3501" i="10"/>
  <c r="U3493" i="10"/>
  <c r="U3485" i="10"/>
  <c r="U3481" i="10"/>
  <c r="U3473" i="10"/>
  <c r="U3465" i="10"/>
  <c r="U3457" i="10"/>
  <c r="U3449" i="10"/>
  <c r="U3441" i="10"/>
  <c r="U3437" i="10"/>
  <c r="U3429" i="10"/>
  <c r="U3421" i="10"/>
  <c r="U3413" i="10"/>
  <c r="U3409" i="10"/>
  <c r="U3397" i="10"/>
  <c r="U3389" i="10"/>
  <c r="U3381" i="10"/>
  <c r="U3373" i="10"/>
  <c r="U3365" i="10"/>
  <c r="U3361" i="10"/>
  <c r="U3353" i="10"/>
  <c r="U3345" i="10"/>
  <c r="U3341" i="10"/>
  <c r="U3333" i="10"/>
  <c r="U3325" i="10"/>
  <c r="U3321" i="10"/>
  <c r="U3313" i="10"/>
  <c r="U3305" i="10"/>
  <c r="U3297" i="10"/>
  <c r="U3293" i="10"/>
  <c r="U3277" i="10"/>
  <c r="U3273" i="10"/>
  <c r="U3265" i="10"/>
  <c r="U3253" i="10"/>
  <c r="U3249" i="10"/>
  <c r="U3241" i="10"/>
  <c r="U3233" i="10"/>
  <c r="U3225" i="10"/>
  <c r="U3217" i="10"/>
  <c r="U3209" i="10"/>
  <c r="U3201" i="10"/>
  <c r="U3193" i="10"/>
  <c r="U3185" i="10"/>
  <c r="U3177" i="10"/>
  <c r="U3173" i="10"/>
  <c r="U3165" i="10"/>
  <c r="U3161" i="10"/>
  <c r="U3153" i="10"/>
  <c r="U3145" i="10"/>
  <c r="U3137" i="10"/>
  <c r="U3133" i="10"/>
  <c r="U3125" i="10"/>
  <c r="U3117" i="10"/>
  <c r="U3109" i="10"/>
  <c r="U3101" i="10"/>
  <c r="U3093" i="10"/>
  <c r="U3085" i="10"/>
  <c r="U3081" i="10"/>
  <c r="U3073" i="10"/>
  <c r="U3065" i="10"/>
  <c r="U3057" i="10"/>
  <c r="U3053" i="10"/>
  <c r="U3045" i="10"/>
  <c r="U3037" i="10"/>
  <c r="U3025" i="10"/>
  <c r="U3017" i="10"/>
  <c r="U3005" i="10"/>
  <c r="U2997" i="10"/>
  <c r="U2989" i="10"/>
  <c r="U2985" i="10"/>
  <c r="U2977" i="10"/>
  <c r="U2969" i="10"/>
  <c r="U2961" i="10"/>
  <c r="U2953" i="10"/>
  <c r="U2945" i="10"/>
  <c r="U2937" i="10"/>
  <c r="U2929" i="10"/>
  <c r="U2921" i="10"/>
  <c r="U2913" i="10"/>
  <c r="U2905" i="10"/>
  <c r="U2897" i="10"/>
  <c r="U2893" i="10"/>
  <c r="U2885" i="10"/>
  <c r="U2877" i="10"/>
  <c r="U2869" i="10"/>
  <c r="U2861" i="10"/>
  <c r="U2853" i="10"/>
  <c r="U2845" i="10"/>
  <c r="U2837" i="10"/>
  <c r="U2833" i="10"/>
  <c r="U2825" i="10"/>
  <c r="U2817" i="10"/>
  <c r="U2809" i="10"/>
  <c r="U2805" i="10"/>
  <c r="U2797" i="10"/>
  <c r="U2789" i="10"/>
  <c r="U2781" i="10"/>
  <c r="U2773" i="10"/>
  <c r="U2765" i="10"/>
  <c r="U2757" i="10"/>
  <c r="U2749" i="10"/>
  <c r="U2745" i="10"/>
  <c r="U2737" i="10"/>
  <c r="U2729" i="10"/>
  <c r="U2721" i="10"/>
  <c r="U2717" i="10"/>
  <c r="U2709" i="10"/>
  <c r="U2701" i="10"/>
  <c r="U2693" i="10"/>
  <c r="U2689" i="10"/>
  <c r="U2677" i="10"/>
  <c r="U2673" i="10"/>
  <c r="U2661" i="10"/>
  <c r="U2653" i="10"/>
  <c r="U2645" i="10"/>
  <c r="U2641" i="10"/>
  <c r="U2633" i="10"/>
  <c r="U2625" i="10"/>
  <c r="U2621" i="10"/>
  <c r="U2609" i="10"/>
  <c r="U2605" i="10"/>
  <c r="U2597" i="10"/>
  <c r="U2589" i="10"/>
  <c r="U2581" i="10"/>
  <c r="U2577" i="10"/>
  <c r="U2569" i="10"/>
  <c r="U2561" i="10"/>
  <c r="U2557" i="10"/>
  <c r="U2549" i="10"/>
  <c r="U2541" i="10"/>
  <c r="U2537" i="10"/>
  <c r="U2529" i="10"/>
  <c r="U2521" i="10"/>
  <c r="U2513" i="10"/>
  <c r="U2505" i="10"/>
  <c r="U2497" i="10"/>
  <c r="U2485" i="10"/>
  <c r="U2477" i="10"/>
  <c r="U2465" i="10"/>
  <c r="U2457" i="10"/>
  <c r="U3725" i="10"/>
  <c r="U3717" i="10"/>
  <c r="U3709" i="10"/>
  <c r="U3697" i="10"/>
  <c r="U3689" i="10"/>
  <c r="U3681" i="10"/>
  <c r="U3669" i="10"/>
  <c r="U3661" i="10"/>
  <c r="U3653" i="10"/>
  <c r="U3645" i="10"/>
  <c r="U3637" i="10"/>
  <c r="U3629" i="10"/>
  <c r="U3621" i="10"/>
  <c r="U3609" i="10"/>
  <c r="U3601" i="10"/>
  <c r="U3593" i="10"/>
  <c r="U3585" i="10"/>
  <c r="U3573" i="10"/>
  <c r="U3561" i="10"/>
  <c r="U3553" i="10"/>
  <c r="U3549" i="10"/>
  <c r="U3541" i="10"/>
  <c r="U3533" i="10"/>
  <c r="U3521" i="10"/>
  <c r="U3513" i="10"/>
  <c r="U3505" i="10"/>
  <c r="U3497" i="10"/>
  <c r="U3489" i="10"/>
  <c r="U3477" i="10"/>
  <c r="U3469" i="10"/>
  <c r="U3461" i="10"/>
  <c r="U3453" i="10"/>
  <c r="U3445" i="10"/>
  <c r="U3433" i="10"/>
  <c r="U3425" i="10"/>
  <c r="U3417" i="10"/>
  <c r="U3405" i="10"/>
  <c r="U3401" i="10"/>
  <c r="U3393" i="10"/>
  <c r="U3385" i="10"/>
  <c r="U3377" i="10"/>
  <c r="U3369" i="10"/>
  <c r="U3357" i="10"/>
  <c r="U3349" i="10"/>
  <c r="U3337" i="10"/>
  <c r="U3329" i="10"/>
  <c r="U3317" i="10"/>
  <c r="U3309" i="10"/>
  <c r="U3301" i="10"/>
  <c r="U3289" i="10"/>
  <c r="U3285" i="10"/>
  <c r="U3281" i="10"/>
  <c r="U3269" i="10"/>
  <c r="U3261" i="10"/>
  <c r="U3257" i="10"/>
  <c r="U3245" i="10"/>
  <c r="U3237" i="10"/>
  <c r="U3229" i="10"/>
  <c r="U3221" i="10"/>
  <c r="U3213" i="10"/>
  <c r="U3205" i="10"/>
  <c r="U3197" i="10"/>
  <c r="U3189" i="10"/>
  <c r="U3181" i="10"/>
  <c r="U3169" i="10"/>
  <c r="U3157" i="10"/>
  <c r="U3149" i="10"/>
  <c r="U3141" i="10"/>
  <c r="U3129" i="10"/>
  <c r="U3121" i="10"/>
  <c r="U3113" i="10"/>
  <c r="U3105" i="10"/>
  <c r="U3097" i="10"/>
  <c r="U3089" i="10"/>
  <c r="U3077" i="10"/>
  <c r="U3069" i="10"/>
  <c r="U3061" i="10"/>
  <c r="U3049" i="10"/>
  <c r="U3041" i="10"/>
  <c r="U3033" i="10"/>
  <c r="U3029" i="10"/>
  <c r="U3021" i="10"/>
  <c r="U3013" i="10"/>
  <c r="U3009" i="10"/>
  <c r="U3001" i="10"/>
  <c r="U2993" i="10"/>
  <c r="U2981" i="10"/>
  <c r="U2973" i="10"/>
  <c r="U2965" i="10"/>
  <c r="U2957" i="10"/>
  <c r="U2949" i="10"/>
  <c r="U2941" i="10"/>
  <c r="U2933" i="10"/>
  <c r="U2925" i="10"/>
  <c r="U2917" i="10"/>
  <c r="U2909" i="10"/>
  <c r="U2901" i="10"/>
  <c r="U2889" i="10"/>
  <c r="U2881" i="10"/>
  <c r="U2873" i="10"/>
  <c r="U2865" i="10"/>
  <c r="U2857" i="10"/>
  <c r="U2849" i="10"/>
  <c r="U2841" i="10"/>
  <c r="U2829" i="10"/>
  <c r="U2821" i="10"/>
  <c r="U2813" i="10"/>
  <c r="U2801" i="10"/>
  <c r="U2793" i="10"/>
  <c r="U2785" i="10"/>
  <c r="U2777" i="10"/>
  <c r="U2769" i="10"/>
  <c r="U2761" i="10"/>
  <c r="U2753" i="10"/>
  <c r="U2741" i="10"/>
  <c r="U2733" i="10"/>
  <c r="U2725" i="10"/>
  <c r="U2713" i="10"/>
  <c r="U2705" i="10"/>
  <c r="U2697" i="10"/>
  <c r="U2685" i="10"/>
  <c r="U2681" i="10"/>
  <c r="U2669" i="10"/>
  <c r="U2665" i="10"/>
  <c r="U2657" i="10"/>
  <c r="U2649" i="10"/>
  <c r="U2637" i="10"/>
  <c r="U2629" i="10"/>
  <c r="U2617" i="10"/>
  <c r="U2613" i="10"/>
  <c r="U2601" i="10"/>
  <c r="U2593" i="10"/>
  <c r="U2585" i="10"/>
  <c r="U2573" i="10"/>
  <c r="U2565" i="10"/>
  <c r="U2553" i="10"/>
  <c r="U2545" i="10"/>
  <c r="U2533" i="10"/>
  <c r="U2525" i="10"/>
  <c r="U2517" i="10"/>
  <c r="U2509" i="10"/>
  <c r="U2501" i="10"/>
  <c r="U2493" i="10"/>
  <c r="U2489" i="10"/>
  <c r="U2481" i="10"/>
  <c r="U2473" i="10"/>
  <c r="U2469" i="10"/>
  <c r="U2461" i="10"/>
  <c r="U2672" i="10"/>
  <c r="U2652" i="10"/>
  <c r="U2636" i="10"/>
  <c r="U2620" i="10"/>
  <c r="U2604" i="10"/>
  <c r="U2588" i="10"/>
  <c r="U2576" i="10"/>
  <c r="U2556" i="10"/>
  <c r="U2540" i="10"/>
  <c r="U2528" i="10"/>
  <c r="U2508" i="10"/>
  <c r="U2492" i="10"/>
  <c r="U2480" i="10"/>
  <c r="U2468" i="10"/>
  <c r="U2452" i="10"/>
  <c r="U2436" i="10"/>
  <c r="U2424" i="10"/>
  <c r="U2412" i="10"/>
  <c r="U2388" i="10"/>
  <c r="U2380" i="10"/>
  <c r="U2364" i="10"/>
  <c r="U2348" i="10"/>
  <c r="U2332" i="10"/>
  <c r="U2312" i="10"/>
  <c r="U2300" i="10"/>
  <c r="U2116" i="10"/>
  <c r="U2108" i="10"/>
  <c r="U2100" i="10"/>
  <c r="U2088" i="10"/>
  <c r="U2080" i="10"/>
  <c r="U2076" i="10"/>
  <c r="U2068" i="10"/>
  <c r="U2060" i="10"/>
  <c r="U2052" i="10"/>
  <c r="U2044" i="10"/>
  <c r="U2036" i="10"/>
  <c r="U2032" i="10"/>
  <c r="U2020" i="10"/>
  <c r="U2012" i="10"/>
  <c r="U2004" i="10"/>
  <c r="U1996" i="10"/>
  <c r="U1988" i="10"/>
  <c r="U1980" i="10"/>
  <c r="U1972" i="10"/>
  <c r="U1968" i="10"/>
  <c r="U1956" i="10"/>
  <c r="U1948" i="10"/>
  <c r="U1936" i="10"/>
  <c r="U1928" i="10"/>
  <c r="U1916" i="10"/>
  <c r="U1908" i="10"/>
  <c r="U1900" i="10"/>
  <c r="U1896" i="10"/>
  <c r="U1888" i="10"/>
  <c r="U1876" i="10"/>
  <c r="U1852" i="10"/>
  <c r="U1844" i="10"/>
  <c r="U1832" i="10"/>
  <c r="U1824" i="10"/>
  <c r="U1820" i="10"/>
  <c r="U1808" i="10"/>
  <c r="U1800" i="10"/>
  <c r="U1792" i="10"/>
  <c r="U1780" i="10"/>
  <c r="U1772" i="10"/>
  <c r="U1764" i="10"/>
  <c r="U1756" i="10"/>
  <c r="U1744" i="10"/>
  <c r="U1736" i="10"/>
  <c r="U1728" i="10"/>
  <c r="U1720" i="10"/>
  <c r="U1716" i="10"/>
  <c r="U1708" i="10"/>
  <c r="U1700" i="10"/>
  <c r="U1692" i="10"/>
  <c r="U1684" i="10"/>
  <c r="U1676" i="10"/>
  <c r="U1664" i="10"/>
  <c r="U1656" i="10"/>
  <c r="U1648" i="10"/>
  <c r="U1644" i="10"/>
  <c r="U1636" i="10"/>
  <c r="U1624" i="10"/>
  <c r="U1616" i="10"/>
  <c r="U1608" i="10"/>
  <c r="U1604" i="10"/>
  <c r="U1596" i="10"/>
  <c r="U1588" i="10"/>
  <c r="U1580" i="10"/>
  <c r="U1576" i="10"/>
  <c r="U1564" i="10"/>
  <c r="U1552" i="10"/>
  <c r="U1544" i="10"/>
  <c r="U1532" i="10"/>
  <c r="U1524" i="10"/>
  <c r="U1516" i="10"/>
  <c r="U1508" i="10"/>
  <c r="U1500" i="10"/>
  <c r="U1496" i="10"/>
  <c r="U1484" i="10"/>
  <c r="U1476" i="10"/>
  <c r="U1468" i="10"/>
  <c r="U1460" i="10"/>
  <c r="U1448" i="10"/>
  <c r="U1436" i="10"/>
  <c r="U1428" i="10"/>
  <c r="U1420" i="10"/>
  <c r="U1412" i="10"/>
  <c r="U1408" i="10"/>
  <c r="U1404" i="10"/>
  <c r="U1400" i="10"/>
  <c r="U1396" i="10"/>
  <c r="U1392" i="10"/>
  <c r="U1388" i="10"/>
  <c r="U1384" i="10"/>
  <c r="U1380" i="10"/>
  <c r="U1376" i="10"/>
  <c r="U1372" i="10"/>
  <c r="U1368" i="10"/>
  <c r="U1364" i="10"/>
  <c r="U2676" i="10"/>
  <c r="U2660" i="10"/>
  <c r="U2648" i="10"/>
  <c r="U2624" i="10"/>
  <c r="U2616" i="10"/>
  <c r="U2596" i="10"/>
  <c r="U2580" i="10"/>
  <c r="U2564" i="10"/>
  <c r="U2552" i="10"/>
  <c r="U2536" i="10"/>
  <c r="U2524" i="10"/>
  <c r="U2504" i="10"/>
  <c r="U2496" i="10"/>
  <c r="U2484" i="10"/>
  <c r="U2460" i="10"/>
  <c r="U2444" i="10"/>
  <c r="U2440" i="10"/>
  <c r="U2416" i="10"/>
  <c r="U2396" i="10"/>
  <c r="U2376" i="10"/>
  <c r="U2368" i="10"/>
  <c r="U2352" i="10"/>
  <c r="U2336" i="10"/>
  <c r="U2328" i="10"/>
  <c r="U2304" i="10"/>
  <c r="U2292" i="10"/>
  <c r="U2284" i="10"/>
  <c r="U2268" i="10"/>
  <c r="U2256" i="10"/>
  <c r="U2248" i="10"/>
  <c r="U2232" i="10"/>
  <c r="U2224" i="10"/>
  <c r="U2216" i="10"/>
  <c r="U2212" i="10"/>
  <c r="U2208" i="10"/>
  <c r="U2204" i="10"/>
  <c r="U2200" i="10"/>
  <c r="U2196" i="10"/>
  <c r="U2192" i="10"/>
  <c r="U2188" i="10"/>
  <c r="U2184" i="10"/>
  <c r="U2180" i="10"/>
  <c r="U2176" i="10"/>
  <c r="U2172" i="10"/>
  <c r="U2168" i="10"/>
  <c r="U2164" i="10"/>
  <c r="U2160" i="10"/>
  <c r="U2156" i="10"/>
  <c r="U2152" i="10"/>
  <c r="U2148" i="10"/>
  <c r="U2144" i="10"/>
  <c r="U2140" i="10"/>
  <c r="U2136" i="10"/>
  <c r="U2132" i="10"/>
  <c r="U2128" i="10"/>
  <c r="U2124" i="10"/>
  <c r="U2120" i="10"/>
  <c r="U2112" i="10"/>
  <c r="U2104" i="10"/>
  <c r="U2096" i="10"/>
  <c r="U2092" i="10"/>
  <c r="U2084" i="10"/>
  <c r="U2072" i="10"/>
  <c r="U2064" i="10"/>
  <c r="U2056" i="10"/>
  <c r="U2048" i="10"/>
  <c r="U2040" i="10"/>
  <c r="U2028" i="10"/>
  <c r="U2024" i="10"/>
  <c r="U2016" i="10"/>
  <c r="U2008" i="10"/>
  <c r="U2000" i="10"/>
  <c r="U1992" i="10"/>
  <c r="U1984" i="10"/>
  <c r="U1976" i="10"/>
  <c r="U1964" i="10"/>
  <c r="U1960" i="10"/>
  <c r="U1952" i="10"/>
  <c r="U1944" i="10"/>
  <c r="U1940" i="10"/>
  <c r="U1932" i="10"/>
  <c r="U1924" i="10"/>
  <c r="U1920" i="10"/>
  <c r="U1912" i="10"/>
  <c r="U1904" i="10"/>
  <c r="U1892" i="10"/>
  <c r="U1884" i="10"/>
  <c r="U1880" i="10"/>
  <c r="U1872" i="10"/>
  <c r="U1868" i="10"/>
  <c r="U1864" i="10"/>
  <c r="U1860" i="10"/>
  <c r="U1856" i="10"/>
  <c r="U1848" i="10"/>
  <c r="U1840" i="10"/>
  <c r="U1836" i="10"/>
  <c r="U1828" i="10"/>
  <c r="U1816" i="10"/>
  <c r="U1812" i="10"/>
  <c r="U1804" i="10"/>
  <c r="U1796" i="10"/>
  <c r="U1788" i="10"/>
  <c r="U1784" i="10"/>
  <c r="U1776" i="10"/>
  <c r="U1768" i="10"/>
  <c r="U1760" i="10"/>
  <c r="U1752" i="10"/>
  <c r="U1748" i="10"/>
  <c r="U1740" i="10"/>
  <c r="U1732" i="10"/>
  <c r="U1724" i="10"/>
  <c r="U1712" i="10"/>
  <c r="U1704" i="10"/>
  <c r="U1696" i="10"/>
  <c r="U1688" i="10"/>
  <c r="U1680" i="10"/>
  <c r="U1672" i="10"/>
  <c r="U1668" i="10"/>
  <c r="U1660" i="10"/>
  <c r="U1652" i="10"/>
  <c r="U1640" i="10"/>
  <c r="U1632" i="10"/>
  <c r="U1628" i="10"/>
  <c r="U1620" i="10"/>
  <c r="U1612" i="10"/>
  <c r="U1600" i="10"/>
  <c r="U1592" i="10"/>
  <c r="U1584" i="10"/>
  <c r="U1572" i="10"/>
  <c r="U1568" i="10"/>
  <c r="U1560" i="10"/>
  <c r="U1556" i="10"/>
  <c r="U1548" i="10"/>
  <c r="U1540" i="10"/>
  <c r="U1536" i="10"/>
  <c r="U1528" i="10"/>
  <c r="U1520" i="10"/>
  <c r="U1512" i="10"/>
  <c r="U1504" i="10"/>
  <c r="U1492" i="10"/>
  <c r="U1488" i="10"/>
  <c r="U1480" i="10"/>
  <c r="U1472" i="10"/>
  <c r="U1464" i="10"/>
  <c r="U1456" i="10"/>
  <c r="U1452" i="10"/>
  <c r="U1444" i="10"/>
  <c r="U1440" i="10"/>
  <c r="U1432" i="10"/>
  <c r="U1424" i="10"/>
  <c r="U1416" i="10"/>
  <c r="U2668" i="10"/>
  <c r="U2656" i="10"/>
  <c r="U2644" i="10"/>
  <c r="U2632" i="10"/>
  <c r="U2612" i="10"/>
  <c r="U2600" i="10"/>
  <c r="U2584" i="10"/>
  <c r="U2568" i="10"/>
  <c r="U2548" i="10"/>
  <c r="U2532" i="10"/>
  <c r="U2516" i="10"/>
  <c r="U2500" i="10"/>
  <c r="U2476" i="10"/>
  <c r="U2464" i="10"/>
  <c r="U2448" i="10"/>
  <c r="U2428" i="10"/>
  <c r="U2408" i="10"/>
  <c r="U2392" i="10"/>
  <c r="U2372" i="10"/>
  <c r="U2356" i="10"/>
  <c r="U2340" i="10"/>
  <c r="U2320" i="10"/>
  <c r="U2308" i="10"/>
  <c r="U2288" i="10"/>
  <c r="U2276" i="10"/>
  <c r="U2264" i="10"/>
  <c r="U2244" i="10"/>
  <c r="U2236" i="10"/>
  <c r="U2220" i="10"/>
  <c r="U4123" i="10"/>
  <c r="U4115" i="10"/>
  <c r="U4111" i="10"/>
  <c r="U4099" i="10"/>
  <c r="U4095" i="10"/>
  <c r="U4083" i="10"/>
  <c r="U4075" i="10"/>
  <c r="U4067" i="10"/>
  <c r="U4059" i="10"/>
  <c r="U4051" i="10"/>
  <c r="U4043" i="10"/>
  <c r="U4035" i="10"/>
  <c r="U4027" i="10"/>
  <c r="U4019" i="10"/>
  <c r="U4011" i="10"/>
  <c r="U4003" i="10"/>
  <c r="U3995" i="10"/>
  <c r="U3991" i="10"/>
  <c r="U3983" i="10"/>
  <c r="U3971" i="10"/>
  <c r="U3963" i="10"/>
  <c r="U3955" i="10"/>
  <c r="U3947" i="10"/>
  <c r="U3943" i="10"/>
  <c r="U3931" i="10"/>
  <c r="U3923" i="10"/>
  <c r="U3915" i="10"/>
  <c r="U3907" i="10"/>
  <c r="U3899" i="10"/>
  <c r="U3891" i="10"/>
  <c r="U3879" i="10"/>
  <c r="U3871" i="10"/>
  <c r="U3863" i="10"/>
  <c r="U3855" i="10"/>
  <c r="U3847" i="10"/>
  <c r="U3839" i="10"/>
  <c r="U3827" i="10"/>
  <c r="U3819" i="10"/>
  <c r="U3811" i="10"/>
  <c r="U3803" i="10"/>
  <c r="U3795" i="10"/>
  <c r="U3787" i="10"/>
  <c r="U3779" i="10"/>
  <c r="U3771" i="10"/>
  <c r="U3763" i="10"/>
  <c r="U3755" i="10"/>
  <c r="U3747" i="10"/>
  <c r="U3739" i="10"/>
  <c r="U3731" i="10"/>
  <c r="U3723" i="10"/>
  <c r="U3715" i="10"/>
  <c r="U3707" i="10"/>
  <c r="U3459" i="10"/>
  <c r="U3219" i="10"/>
  <c r="U2664" i="10"/>
  <c r="U2640" i="10"/>
  <c r="U2628" i="10"/>
  <c r="U2608" i="10"/>
  <c r="U2592" i="10"/>
  <c r="U2572" i="10"/>
  <c r="U2560" i="10"/>
  <c r="U2544" i="10"/>
  <c r="U2520" i="10"/>
  <c r="U2512" i="10"/>
  <c r="U2488" i="10"/>
  <c r="U2472" i="10"/>
  <c r="U2456" i="10"/>
  <c r="U2432" i="10"/>
  <c r="U2420" i="10"/>
  <c r="U2404" i="10"/>
  <c r="U2400" i="10"/>
  <c r="U2384" i="10"/>
  <c r="U2360" i="10"/>
  <c r="U2344" i="10"/>
  <c r="U2324" i="10"/>
  <c r="U2316" i="10"/>
  <c r="U2296" i="10"/>
  <c r="U2280" i="10"/>
  <c r="U2272" i="10"/>
  <c r="U2260" i="10"/>
  <c r="U2252" i="10"/>
  <c r="U2240" i="10"/>
  <c r="U2228" i="10"/>
  <c r="U4127" i="10"/>
  <c r="U4119" i="10"/>
  <c r="U4107" i="10"/>
  <c r="U4103" i="10"/>
  <c r="U4091" i="10"/>
  <c r="U4087" i="10"/>
  <c r="U4079" i="10"/>
  <c r="U4071" i="10"/>
  <c r="U4063" i="10"/>
  <c r="U4055" i="10"/>
  <c r="U4047" i="10"/>
  <c r="U4039" i="10"/>
  <c r="U4031" i="10"/>
  <c r="U4023" i="10"/>
  <c r="U4015" i="10"/>
  <c r="U4007" i="10"/>
  <c r="U3999" i="10"/>
  <c r="U3987" i="10"/>
  <c r="U3979" i="10"/>
  <c r="U3975" i="10"/>
  <c r="U3967" i="10"/>
  <c r="U3959" i="10"/>
  <c r="U3951" i="10"/>
  <c r="U3939" i="10"/>
  <c r="U3935" i="10"/>
  <c r="U3927" i="10"/>
  <c r="U3919" i="10"/>
  <c r="U3911" i="10"/>
  <c r="U3903" i="10"/>
  <c r="U3895" i="10"/>
  <c r="U3887" i="10"/>
  <c r="U3883" i="10"/>
  <c r="U3875" i="10"/>
  <c r="U3867" i="10"/>
  <c r="U3859" i="10"/>
  <c r="U3851" i="10"/>
  <c r="U3843" i="10"/>
  <c r="U3835" i="10"/>
  <c r="U3831" i="10"/>
  <c r="U3823" i="10"/>
  <c r="U3815" i="10"/>
  <c r="U3807" i="10"/>
  <c r="U3799" i="10"/>
  <c r="U3791" i="10"/>
  <c r="U3783" i="10"/>
  <c r="U3775" i="10"/>
  <c r="U3767" i="10"/>
  <c r="U3759" i="10"/>
  <c r="U3751" i="10"/>
  <c r="U3743" i="10"/>
  <c r="U3735" i="10"/>
  <c r="U3727" i="10"/>
  <c r="U3719" i="10"/>
  <c r="U3711" i="10"/>
  <c r="U3703" i="10"/>
  <c r="U3699" i="10"/>
  <c r="U3695" i="10"/>
  <c r="U3691" i="10"/>
  <c r="U3687" i="10"/>
  <c r="U3683" i="10"/>
  <c r="U3679" i="10"/>
  <c r="U3675" i="10"/>
  <c r="U3671" i="10"/>
  <c r="U3667" i="10"/>
  <c r="U3663" i="10"/>
  <c r="U3659" i="10"/>
  <c r="U3655" i="10"/>
  <c r="U3651" i="10"/>
  <c r="U3647" i="10"/>
  <c r="U3643" i="10"/>
  <c r="U3639" i="10"/>
  <c r="U3635" i="10"/>
  <c r="U3631" i="10"/>
  <c r="U3627" i="10"/>
  <c r="U3623" i="10"/>
  <c r="U3619" i="10"/>
  <c r="U3615" i="10"/>
  <c r="U3611" i="10"/>
  <c r="U3607" i="10"/>
  <c r="U3603" i="10"/>
  <c r="U3599" i="10"/>
  <c r="U3595" i="10"/>
  <c r="U3591" i="10"/>
  <c r="U3587" i="10"/>
  <c r="U3583" i="10"/>
  <c r="U3579" i="10"/>
  <c r="U3575" i="10"/>
  <c r="U3571" i="10"/>
  <c r="U3567" i="10"/>
  <c r="U3563" i="10"/>
  <c r="U3559" i="10"/>
  <c r="U3555" i="10"/>
  <c r="U3551" i="10"/>
  <c r="U3547" i="10"/>
  <c r="U3543" i="10"/>
  <c r="U3539" i="10"/>
  <c r="U3535" i="10"/>
  <c r="U3531" i="10"/>
  <c r="U3527" i="10"/>
  <c r="U3523" i="10"/>
  <c r="U3519" i="10"/>
  <c r="U3515" i="10"/>
  <c r="U3511" i="10"/>
  <c r="U3507" i="10"/>
  <c r="U3503" i="10"/>
  <c r="U3499" i="10"/>
  <c r="U3495" i="10"/>
  <c r="U3491" i="10"/>
  <c r="U3487" i="10"/>
  <c r="U3483" i="10"/>
  <c r="U3479" i="10"/>
  <c r="U3475" i="10"/>
  <c r="U3471" i="10"/>
  <c r="U3467" i="10"/>
  <c r="U3463" i="10"/>
  <c r="U3455" i="10"/>
  <c r="U2842" i="10"/>
  <c r="U2838" i="10"/>
  <c r="U2834" i="10"/>
  <c r="U2830" i="10"/>
  <c r="U2826" i="10"/>
  <c r="U2822" i="10"/>
  <c r="U2818" i="10"/>
  <c r="U2814" i="10"/>
  <c r="U2810" i="10"/>
  <c r="U2806" i="10"/>
  <c r="U2802" i="10"/>
  <c r="U2798" i="10"/>
  <c r="U2794" i="10"/>
  <c r="U2790" i="10"/>
  <c r="U2786" i="10"/>
  <c r="U2782" i="10"/>
  <c r="U2778" i="10"/>
  <c r="U2774" i="10"/>
  <c r="U2770" i="10"/>
  <c r="U2766" i="10"/>
  <c r="U2762" i="10"/>
  <c r="U2758" i="10"/>
  <c r="U2754" i="10"/>
  <c r="U2750" i="10"/>
  <c r="U2746" i="10"/>
  <c r="U2742" i="10"/>
  <c r="U2738" i="10"/>
  <c r="U2734" i="10"/>
  <c r="U2730" i="10"/>
  <c r="U2726" i="10"/>
  <c r="U2722" i="10"/>
  <c r="U2718" i="10"/>
  <c r="U2714" i="10"/>
  <c r="U2710" i="10"/>
  <c r="U2706" i="10"/>
  <c r="U2702" i="10"/>
  <c r="U2698" i="10"/>
  <c r="U2694" i="10"/>
  <c r="U2690" i="10"/>
  <c r="U2686" i="10"/>
  <c r="U2682" i="10"/>
  <c r="U2678" i="10"/>
  <c r="U2674" i="10"/>
  <c r="U2670" i="10"/>
  <c r="U2666" i="10"/>
  <c r="U2662" i="10"/>
  <c r="U2658" i="10"/>
  <c r="U2654" i="10"/>
  <c r="U2650" i="10"/>
  <c r="U2646" i="10"/>
  <c r="U2642" i="10"/>
  <c r="U2638" i="10"/>
  <c r="U2634" i="10"/>
  <c r="U2630" i="10"/>
  <c r="U2626" i="10"/>
  <c r="U2622" i="10"/>
  <c r="U2618" i="10"/>
  <c r="U2614" i="10"/>
  <c r="U2610" i="10"/>
  <c r="U2606" i="10"/>
  <c r="U2602" i="10"/>
  <c r="U2598" i="10"/>
  <c r="U2594" i="10"/>
  <c r="U2590" i="10"/>
  <c r="U2586" i="10"/>
  <c r="U2582" i="10"/>
  <c r="U2578" i="10"/>
  <c r="U2574" i="10"/>
  <c r="U2570" i="10"/>
  <c r="U2566" i="10"/>
  <c r="U2562" i="10"/>
  <c r="U2558" i="10"/>
  <c r="U2554" i="10"/>
  <c r="U2550" i="10"/>
  <c r="U2546" i="10"/>
  <c r="U2542" i="10"/>
  <c r="U2538" i="10"/>
  <c r="U2534" i="10"/>
  <c r="U2530" i="10"/>
  <c r="U2526" i="10"/>
  <c r="U2522" i="10"/>
  <c r="U2518" i="10"/>
  <c r="U2514" i="10"/>
  <c r="U2510" i="10"/>
  <c r="U2506" i="10"/>
  <c r="U2502" i="10"/>
  <c r="U2498" i="10"/>
  <c r="U2494" i="10"/>
  <c r="U2490" i="10"/>
  <c r="U2486" i="10"/>
  <c r="U2482" i="10"/>
  <c r="U2478" i="10"/>
  <c r="U2474" i="10"/>
  <c r="U2470" i="10"/>
  <c r="U2466" i="10"/>
  <c r="U2462" i="10"/>
  <c r="U2458" i="10"/>
  <c r="U2454" i="10"/>
  <c r="U2450" i="10"/>
  <c r="U2446" i="10"/>
  <c r="U2442" i="10"/>
  <c r="U2438" i="10"/>
  <c r="U2434" i="10"/>
  <c r="U2430" i="10"/>
  <c r="U2426" i="10"/>
  <c r="U2422" i="10"/>
  <c r="U2418" i="10"/>
  <c r="U2414" i="10"/>
  <c r="U2410" i="10"/>
  <c r="U2406" i="10"/>
  <c r="U2402" i="10"/>
  <c r="U2398" i="10"/>
  <c r="U2394" i="10"/>
  <c r="U2390" i="10"/>
  <c r="U2386" i="10"/>
  <c r="U2382" i="10"/>
  <c r="U2378" i="10"/>
  <c r="U2374" i="10"/>
  <c r="U2370" i="10"/>
  <c r="U2366" i="10"/>
  <c r="U2362" i="10"/>
  <c r="U2358" i="10"/>
  <c r="U2354" i="10"/>
  <c r="U2350" i="10"/>
  <c r="U2346" i="10"/>
  <c r="U2342" i="10"/>
  <c r="U2338" i="10"/>
  <c r="U2334" i="10"/>
  <c r="U2330" i="10"/>
  <c r="U2326" i="10"/>
  <c r="U2322" i="10"/>
  <c r="U2318" i="10"/>
  <c r="U2314" i="10"/>
  <c r="U2310" i="10"/>
  <c r="U2306" i="10"/>
  <c r="U2302" i="10"/>
  <c r="U2298" i="10"/>
  <c r="U2294" i="10"/>
  <c r="U2290" i="10"/>
  <c r="U2286" i="10"/>
  <c r="U2282" i="10"/>
  <c r="U2278" i="10"/>
  <c r="U2274" i="10"/>
  <c r="U2270" i="10"/>
  <c r="U3447" i="10"/>
  <c r="U3439" i="10"/>
  <c r="U3431" i="10"/>
  <c r="U3423" i="10"/>
  <c r="U3415" i="10"/>
  <c r="U3407" i="10"/>
  <c r="U3399" i="10"/>
  <c r="U3391" i="10"/>
  <c r="U3383" i="10"/>
  <c r="U3375" i="10"/>
  <c r="U3367" i="10"/>
  <c r="U3355" i="10"/>
  <c r="U3347" i="10"/>
  <c r="U3339" i="10"/>
  <c r="U3331" i="10"/>
  <c r="U3323" i="10"/>
  <c r="U3311" i="10"/>
  <c r="U3307" i="10"/>
  <c r="U3299" i="10"/>
  <c r="U3291" i="10"/>
  <c r="U3283" i="10"/>
  <c r="U3271" i="10"/>
  <c r="U3267" i="10"/>
  <c r="U3259" i="10"/>
  <c r="U3251" i="10"/>
  <c r="U3243" i="10"/>
  <c r="U3235" i="10"/>
  <c r="U3227" i="10"/>
  <c r="U3215" i="10"/>
  <c r="U3203" i="10"/>
  <c r="U3195" i="10"/>
  <c r="U3187" i="10"/>
  <c r="U3179" i="10"/>
  <c r="U3171" i="10"/>
  <c r="U3163" i="10"/>
  <c r="U3159" i="10"/>
  <c r="U3151" i="10"/>
  <c r="U3143" i="10"/>
  <c r="U3131" i="10"/>
  <c r="U3127" i="10"/>
  <c r="U3119" i="10"/>
  <c r="U3111" i="10"/>
  <c r="U3103" i="10"/>
  <c r="U3095" i="10"/>
  <c r="U3087" i="10"/>
  <c r="U3079" i="10"/>
  <c r="U3071" i="10"/>
  <c r="U3043" i="10"/>
  <c r="U3039" i="10"/>
  <c r="U3035" i="10"/>
  <c r="U3031" i="10"/>
  <c r="U3027" i="10"/>
  <c r="U3019" i="10"/>
  <c r="U3011" i="10"/>
  <c r="U3003" i="10"/>
  <c r="U2995" i="10"/>
  <c r="U2991" i="10"/>
  <c r="U2987" i="10"/>
  <c r="U2983" i="10"/>
  <c r="U2979" i="10"/>
  <c r="U2975" i="10"/>
  <c r="U2971" i="10"/>
  <c r="U2967" i="10"/>
  <c r="U2959" i="10"/>
  <c r="U2951" i="10"/>
  <c r="U2943" i="10"/>
  <c r="U2935" i="10"/>
  <c r="U2927" i="10"/>
  <c r="U2919" i="10"/>
  <c r="U2911" i="10"/>
  <c r="U2903" i="10"/>
  <c r="U2899" i="10"/>
  <c r="U2895" i="10"/>
  <c r="U2891" i="10"/>
  <c r="U2887" i="10"/>
  <c r="U2883" i="10"/>
  <c r="U2875" i="10"/>
  <c r="U2867" i="10"/>
  <c r="U2859" i="10"/>
  <c r="U2851" i="10"/>
  <c r="U2839" i="10"/>
  <c r="U2835" i="10"/>
  <c r="U2831" i="10"/>
  <c r="U2827" i="10"/>
  <c r="U2823" i="10"/>
  <c r="U2819" i="10"/>
  <c r="U2815" i="10"/>
  <c r="U2811" i="10"/>
  <c r="U2803" i="10"/>
  <c r="U2795" i="10"/>
  <c r="U2787" i="10"/>
  <c r="U2775" i="10"/>
  <c r="U2767" i="10"/>
  <c r="U2759" i="10"/>
  <c r="U2751" i="10"/>
  <c r="U2743" i="10"/>
  <c r="U2735" i="10"/>
  <c r="U2727" i="10"/>
  <c r="U2719" i="10"/>
  <c r="U2687" i="10"/>
  <c r="U2683" i="10"/>
  <c r="U2679" i="10"/>
  <c r="U2675" i="10"/>
  <c r="U2671" i="10"/>
  <c r="U2667" i="10"/>
  <c r="U2659" i="10"/>
  <c r="U2651" i="10"/>
  <c r="U2643" i="10"/>
  <c r="U2631" i="10"/>
  <c r="U2623" i="10"/>
  <c r="U2615" i="10"/>
  <c r="U2607" i="10"/>
  <c r="U2579" i="10"/>
  <c r="U2571" i="10"/>
  <c r="U2567" i="10"/>
  <c r="U2555" i="10"/>
  <c r="U2323" i="10"/>
  <c r="U2319" i="10"/>
  <c r="U2315" i="10"/>
  <c r="U2311" i="10"/>
  <c r="U2307" i="10"/>
  <c r="U3451" i="10"/>
  <c r="U3443" i="10"/>
  <c r="U3435" i="10"/>
  <c r="U3427" i="10"/>
  <c r="U3419" i="10"/>
  <c r="U3411" i="10"/>
  <c r="U3403" i="10"/>
  <c r="U3395" i="10"/>
  <c r="U3387" i="10"/>
  <c r="U3379" i="10"/>
  <c r="U3371" i="10"/>
  <c r="U3363" i="10"/>
  <c r="U3359" i="10"/>
  <c r="U3351" i="10"/>
  <c r="U3343" i="10"/>
  <c r="U3335" i="10"/>
  <c r="U3327" i="10"/>
  <c r="U3319" i="10"/>
  <c r="U3315" i="10"/>
  <c r="U3303" i="10"/>
  <c r="U3295" i="10"/>
  <c r="U3287" i="10"/>
  <c r="U3279" i="10"/>
  <c r="U3275" i="10"/>
  <c r="U3263" i="10"/>
  <c r="U3255" i="10"/>
  <c r="U3247" i="10"/>
  <c r="U3239" i="10"/>
  <c r="U3231" i="10"/>
  <c r="U3223" i="10"/>
  <c r="U3211" i="10"/>
  <c r="U3207" i="10"/>
  <c r="U3199" i="10"/>
  <c r="U3191" i="10"/>
  <c r="U3183" i="10"/>
  <c r="U3175" i="10"/>
  <c r="U3167" i="10"/>
  <c r="U3155" i="10"/>
  <c r="U3147" i="10"/>
  <c r="U3139" i="10"/>
  <c r="U3135" i="10"/>
  <c r="U3123" i="10"/>
  <c r="U3115" i="10"/>
  <c r="U3107" i="10"/>
  <c r="U3099" i="10"/>
  <c r="U3091" i="10"/>
  <c r="U3083" i="10"/>
  <c r="U3075" i="10"/>
  <c r="U3067" i="10"/>
  <c r="U3063" i="10"/>
  <c r="U3059" i="10"/>
  <c r="U3055" i="10"/>
  <c r="U3051" i="10"/>
  <c r="U3047" i="10"/>
  <c r="U3023" i="10"/>
  <c r="U3015" i="10"/>
  <c r="U3007" i="10"/>
  <c r="U2999" i="10"/>
  <c r="U2963" i="10"/>
  <c r="U2955" i="10"/>
  <c r="U2947" i="10"/>
  <c r="U2939" i="10"/>
  <c r="U2931" i="10"/>
  <c r="U2923" i="10"/>
  <c r="U2915" i="10"/>
  <c r="U2907" i="10"/>
  <c r="U2879" i="10"/>
  <c r="U2871" i="10"/>
  <c r="U2863" i="10"/>
  <c r="U2855" i="10"/>
  <c r="U2847" i="10"/>
  <c r="U2843" i="10"/>
  <c r="U2807" i="10"/>
  <c r="U2799" i="10"/>
  <c r="U2791" i="10"/>
  <c r="U2783" i="10"/>
  <c r="U2779" i="10"/>
  <c r="U2771" i="10"/>
  <c r="U2763" i="10"/>
  <c r="U2755" i="10"/>
  <c r="U2747" i="10"/>
  <c r="U2739" i="10"/>
  <c r="U2731" i="10"/>
  <c r="U2723" i="10"/>
  <c r="U2715" i="10"/>
  <c r="U2711" i="10"/>
  <c r="U2707" i="10"/>
  <c r="U2703" i="10"/>
  <c r="U2699" i="10"/>
  <c r="U2695" i="10"/>
  <c r="U2691" i="10"/>
  <c r="U2663" i="10"/>
  <c r="U2655" i="10"/>
  <c r="U2647" i="10"/>
  <c r="U2639" i="10"/>
  <c r="U2635" i="10"/>
  <c r="U2627" i="10"/>
  <c r="U2619" i="10"/>
  <c r="U2611" i="10"/>
  <c r="U2603" i="10"/>
  <c r="U2599" i="10"/>
  <c r="U2595" i="10"/>
  <c r="U2591" i="10"/>
  <c r="U2587" i="10"/>
  <c r="U2583" i="10"/>
  <c r="U2575" i="10"/>
  <c r="U2563" i="10"/>
  <c r="U2559" i="10"/>
  <c r="U2551" i="10"/>
  <c r="U2547" i="10"/>
  <c r="U2543" i="10"/>
  <c r="U2539" i="10"/>
  <c r="U2535" i="10"/>
  <c r="U2531" i="10"/>
  <c r="U2527" i="10"/>
  <c r="U2523" i="10"/>
  <c r="U2519" i="10"/>
  <c r="U2515" i="10"/>
  <c r="U2511" i="10"/>
  <c r="U2507" i="10"/>
  <c r="U2503" i="10"/>
  <c r="U2499" i="10"/>
  <c r="U2495" i="10"/>
  <c r="U2491" i="10"/>
  <c r="U2487" i="10"/>
  <c r="U2483" i="10"/>
  <c r="U2479" i="10"/>
  <c r="U2475" i="10"/>
  <c r="U2471" i="10"/>
  <c r="U2467" i="10"/>
  <c r="U2463" i="10"/>
  <c r="U2459" i="10"/>
  <c r="U2455" i="10"/>
  <c r="U2451" i="10"/>
  <c r="U2447" i="10"/>
  <c r="U2443" i="10"/>
  <c r="U2439" i="10"/>
  <c r="U2435" i="10"/>
  <c r="U2431" i="10"/>
  <c r="U2427" i="10"/>
  <c r="U2423" i="10"/>
  <c r="U2419" i="10"/>
  <c r="U2415" i="10"/>
  <c r="U2411" i="10"/>
  <c r="U2407" i="10"/>
  <c r="U2403" i="10"/>
  <c r="U2399" i="10"/>
  <c r="U2395" i="10"/>
  <c r="U2391" i="10"/>
  <c r="U2387" i="10"/>
  <c r="U2383" i="10"/>
  <c r="U2379" i="10"/>
  <c r="U2375" i="10"/>
  <c r="U2371" i="10"/>
  <c r="U2367" i="10"/>
  <c r="U2363" i="10"/>
  <c r="U2359" i="10"/>
  <c r="U2355" i="10"/>
  <c r="U2351" i="10"/>
  <c r="U2347" i="10"/>
  <c r="U2343" i="10"/>
  <c r="U2339" i="10"/>
  <c r="U2335" i="10"/>
  <c r="U2331" i="10"/>
  <c r="U2327" i="10"/>
  <c r="U2266" i="10"/>
  <c r="U2254" i="10"/>
  <c r="U2250" i="10"/>
  <c r="U2242" i="10"/>
  <c r="U2238" i="10"/>
  <c r="U2230" i="10"/>
  <c r="U2226" i="10"/>
  <c r="U2218" i="10"/>
  <c r="U2214" i="10"/>
  <c r="U2210" i="10"/>
  <c r="U2206" i="10"/>
  <c r="U2198" i="10"/>
  <c r="U2190" i="10"/>
  <c r="U2182" i="10"/>
  <c r="U2170" i="10"/>
  <c r="U2162" i="10"/>
  <c r="U2158" i="10"/>
  <c r="U2150" i="10"/>
  <c r="U2142" i="10"/>
  <c r="U2134" i="10"/>
  <c r="U2130" i="10"/>
  <c r="U2118" i="10"/>
  <c r="U2114" i="10"/>
  <c r="U2102" i="10"/>
  <c r="U2098" i="10"/>
  <c r="U2090" i="10"/>
  <c r="U2086" i="10"/>
  <c r="U2078" i="10"/>
  <c r="U2066" i="10"/>
  <c r="U2062" i="10"/>
  <c r="U2054" i="10"/>
  <c r="U2050" i="10"/>
  <c r="U2042" i="10"/>
  <c r="U2034" i="10"/>
  <c r="U2030" i="10"/>
  <c r="U2026" i="10"/>
  <c r="U2022" i="10"/>
  <c r="U2018" i="10"/>
  <c r="U2014" i="10"/>
  <c r="U2010" i="10"/>
  <c r="U2006" i="10"/>
  <c r="U2002" i="10"/>
  <c r="U1998" i="10"/>
  <c r="U1994" i="10"/>
  <c r="U1990" i="10"/>
  <c r="U1986" i="10"/>
  <c r="U1982" i="10"/>
  <c r="U1978" i="10"/>
  <c r="U1974" i="10"/>
  <c r="U1970" i="10"/>
  <c r="U1966" i="10"/>
  <c r="U1962" i="10"/>
  <c r="U1958" i="10"/>
  <c r="U1954" i="10"/>
  <c r="U1950" i="10"/>
  <c r="U1946" i="10"/>
  <c r="U1942" i="10"/>
  <c r="U1938" i="10"/>
  <c r="U1934" i="10"/>
  <c r="U1930" i="10"/>
  <c r="U1926" i="10"/>
  <c r="U1922" i="10"/>
  <c r="U1918" i="10"/>
  <c r="U1914" i="10"/>
  <c r="U1910" i="10"/>
  <c r="U1906" i="10"/>
  <c r="U1902" i="10"/>
  <c r="U1898" i="10"/>
  <c r="U1894" i="10"/>
  <c r="U1890" i="10"/>
  <c r="U1886" i="10"/>
  <c r="U1882" i="10"/>
  <c r="U1878" i="10"/>
  <c r="U1874" i="10"/>
  <c r="U1870" i="10"/>
  <c r="U1866" i="10"/>
  <c r="U1862" i="10"/>
  <c r="U1858" i="10"/>
  <c r="U1854" i="10"/>
  <c r="U1850" i="10"/>
  <c r="U1846" i="10"/>
  <c r="U1842" i="10"/>
  <c r="U1838" i="10"/>
  <c r="U1834" i="10"/>
  <c r="U1830" i="10"/>
  <c r="U1826" i="10"/>
  <c r="U1822" i="10"/>
  <c r="U1818" i="10"/>
  <c r="U1814" i="10"/>
  <c r="U1810" i="10"/>
  <c r="U1806" i="10"/>
  <c r="U1802" i="10"/>
  <c r="U1798" i="10"/>
  <c r="U1794" i="10"/>
  <c r="U1790" i="10"/>
  <c r="U1786" i="10"/>
  <c r="U1782" i="10"/>
  <c r="U1778" i="10"/>
  <c r="U1774" i="10"/>
  <c r="U1770" i="10"/>
  <c r="U2262" i="10"/>
  <c r="U2258" i="10"/>
  <c r="U2246" i="10"/>
  <c r="U2234" i="10"/>
  <c r="U2222" i="10"/>
  <c r="U2202" i="10"/>
  <c r="U2194" i="10"/>
  <c r="U2186" i="10"/>
  <c r="U2178" i="10"/>
  <c r="U2174" i="10"/>
  <c r="U2166" i="10"/>
  <c r="U2154" i="10"/>
  <c r="U2146" i="10"/>
  <c r="U2138" i="10"/>
  <c r="U2126" i="10"/>
  <c r="U2122" i="10"/>
  <c r="U2110" i="10"/>
  <c r="U2106" i="10"/>
  <c r="U2094" i="10"/>
  <c r="U2082" i="10"/>
  <c r="U2074" i="10"/>
  <c r="U2070" i="10"/>
  <c r="U2058" i="10"/>
  <c r="U2046" i="10"/>
  <c r="U2038" i="10"/>
  <c r="U4130" i="10"/>
  <c r="U2" i="10"/>
  <c r="U2453" i="10"/>
  <c r="U2445" i="10"/>
  <c r="U2433" i="10"/>
  <c r="U2429" i="10"/>
  <c r="U2421" i="10"/>
  <c r="U2413" i="10"/>
  <c r="U2409" i="10"/>
  <c r="U2397" i="10"/>
  <c r="U2393" i="10"/>
  <c r="U2381" i="10"/>
  <c r="U2377" i="10"/>
  <c r="U2369" i="10"/>
  <c r="U2361" i="10"/>
  <c r="U2357" i="10"/>
  <c r="U2345" i="10"/>
  <c r="U2341" i="10"/>
  <c r="U2333" i="10"/>
  <c r="U2325" i="10"/>
  <c r="U2321" i="10"/>
  <c r="U2313" i="10"/>
  <c r="U2305" i="10"/>
  <c r="U2297" i="10"/>
  <c r="U2289" i="10"/>
  <c r="U2285" i="10"/>
  <c r="U2277" i="10"/>
  <c r="U2269" i="10"/>
  <c r="U2265" i="10"/>
  <c r="U2257" i="10"/>
  <c r="U2249" i="10"/>
  <c r="U2241" i="10"/>
  <c r="U2233" i="10"/>
  <c r="U2229" i="10"/>
  <c r="U2221" i="10"/>
  <c r="U2217" i="10"/>
  <c r="U2213" i="10"/>
  <c r="U2209" i="10"/>
  <c r="U2205" i="10"/>
  <c r="U2201" i="10"/>
  <c r="U2197" i="10"/>
  <c r="U2193" i="10"/>
  <c r="U2189" i="10"/>
  <c r="U2181" i="10"/>
  <c r="U2173" i="10"/>
  <c r="U2165" i="10"/>
  <c r="U2157" i="10"/>
  <c r="U2149" i="10"/>
  <c r="U2145" i="10"/>
  <c r="U2125" i="10"/>
  <c r="U2117" i="10"/>
  <c r="U2109" i="10"/>
  <c r="U2105" i="10"/>
  <c r="U2097" i="10"/>
  <c r="U2089" i="10"/>
  <c r="U2081" i="10"/>
  <c r="U2073" i="10"/>
  <c r="U2069" i="10"/>
  <c r="U2061" i="10"/>
  <c r="U2053" i="10"/>
  <c r="U2045" i="10"/>
  <c r="U2037" i="10"/>
  <c r="U2029" i="10"/>
  <c r="U2021" i="10"/>
  <c r="U2013" i="10"/>
  <c r="U2005" i="10"/>
  <c r="U1997" i="10"/>
  <c r="U1989" i="10"/>
  <c r="U1981" i="10"/>
  <c r="U1977" i="10"/>
  <c r="U1965" i="10"/>
  <c r="U1961" i="10"/>
  <c r="U1957" i="10"/>
  <c r="U1953" i="10"/>
  <c r="U1949" i="10"/>
  <c r="U1945" i="10"/>
  <c r="U1941" i="10"/>
  <c r="U1937" i="10"/>
  <c r="U1933" i="10"/>
  <c r="U1929" i="10"/>
  <c r="U1921" i="10"/>
  <c r="U1913" i="10"/>
  <c r="U1905" i="10"/>
  <c r="U1897" i="10"/>
  <c r="U1893" i="10"/>
  <c r="U1861" i="10"/>
  <c r="U1857" i="10"/>
  <c r="U1849" i="10"/>
  <c r="U1841" i="10"/>
  <c r="U1833" i="10"/>
  <c r="U1825" i="10"/>
  <c r="U1817" i="10"/>
  <c r="U1813" i="10"/>
  <c r="U1809" i="10"/>
  <c r="U1805" i="10"/>
  <c r="U1801" i="10"/>
  <c r="U1797" i="10"/>
  <c r="U1793" i="10"/>
  <c r="U1789" i="10"/>
  <c r="U1765" i="10"/>
  <c r="U1761" i="10"/>
  <c r="U1753" i="10"/>
  <c r="U1745" i="10"/>
  <c r="U1737" i="10"/>
  <c r="U1733" i="10"/>
  <c r="U1725" i="10"/>
  <c r="U1717" i="10"/>
  <c r="U1709" i="10"/>
  <c r="U1705" i="10"/>
  <c r="U1697" i="10"/>
  <c r="U1689" i="10"/>
  <c r="U1681" i="10"/>
  <c r="U1673" i="10"/>
  <c r="U1669" i="10"/>
  <c r="U1665" i="10"/>
  <c r="U1661" i="10"/>
  <c r="U1657" i="10"/>
  <c r="U1653" i="10"/>
  <c r="U1649" i="10"/>
  <c r="U1645" i="10"/>
  <c r="U1637" i="10"/>
  <c r="U1633" i="10"/>
  <c r="U1625" i="10"/>
  <c r="U1617" i="10"/>
  <c r="U1585" i="10"/>
  <c r="U1581" i="10"/>
  <c r="U1577" i="10"/>
  <c r="U1573" i="10"/>
  <c r="U1569" i="10"/>
  <c r="U1565" i="10"/>
  <c r="U1561" i="10"/>
  <c r="U1557" i="10"/>
  <c r="U1529" i="10"/>
  <c r="U1525" i="10"/>
  <c r="U1521" i="10"/>
  <c r="U1517" i="10"/>
  <c r="U1513" i="10"/>
  <c r="U1509" i="10"/>
  <c r="U1505" i="10"/>
  <c r="U1501" i="10"/>
  <c r="U1473" i="10"/>
  <c r="U1469" i="10"/>
  <c r="U1465" i="10"/>
  <c r="U1461" i="10"/>
  <c r="U1457" i="10"/>
  <c r="U1453" i="10"/>
  <c r="U1449" i="10"/>
  <c r="U1445" i="10"/>
  <c r="U1441" i="10"/>
  <c r="U1413" i="10"/>
  <c r="U1405" i="10"/>
  <c r="U1401" i="10"/>
  <c r="U1393" i="10"/>
  <c r="U1389" i="10"/>
  <c r="U1385" i="10"/>
  <c r="U1381" i="10"/>
  <c r="U1377" i="10"/>
  <c r="U1373" i="10"/>
  <c r="U1369" i="10"/>
  <c r="U1365" i="10"/>
  <c r="U1361" i="10"/>
  <c r="U1357" i="10"/>
  <c r="U1353" i="10"/>
  <c r="U1341" i="10"/>
  <c r="U1337" i="10"/>
  <c r="U1333" i="10"/>
  <c r="U1325" i="10"/>
  <c r="U1321" i="10"/>
  <c r="U1317" i="10"/>
  <c r="U1313" i="10"/>
  <c r="U1309" i="10"/>
  <c r="U1301" i="10"/>
  <c r="U2449" i="10"/>
  <c r="U2441" i="10"/>
  <c r="U2437" i="10"/>
  <c r="U2425" i="10"/>
  <c r="U2417" i="10"/>
  <c r="U2405" i="10"/>
  <c r="U2401" i="10"/>
  <c r="U2389" i="10"/>
  <c r="U2385" i="10"/>
  <c r="U2373" i="10"/>
  <c r="U2365" i="10"/>
  <c r="U2353" i="10"/>
  <c r="U2349" i="10"/>
  <c r="U2337" i="10"/>
  <c r="U2329" i="10"/>
  <c r="U2317" i="10"/>
  <c r="U2309" i="10"/>
  <c r="U2301" i="10"/>
  <c r="U2293" i="10"/>
  <c r="U2281" i="10"/>
  <c r="U2273" i="10"/>
  <c r="U2261" i="10"/>
  <c r="U2253" i="10"/>
  <c r="U2245" i="10"/>
  <c r="U2237" i="10"/>
  <c r="U2225" i="10"/>
  <c r="U2185" i="10"/>
  <c r="U2177" i="10"/>
  <c r="U2169" i="10"/>
  <c r="U2161" i="10"/>
  <c r="U2153" i="10"/>
  <c r="U2141" i="10"/>
  <c r="U2137" i="10"/>
  <c r="U2133" i="10"/>
  <c r="U2129" i="10"/>
  <c r="U2121" i="10"/>
  <c r="U2113" i="10"/>
  <c r="U2101" i="10"/>
  <c r="U2093" i="10"/>
  <c r="U2085" i="10"/>
  <c r="U2077" i="10"/>
  <c r="U2065" i="10"/>
  <c r="U2057" i="10"/>
  <c r="U2049" i="10"/>
  <c r="U2041" i="10"/>
  <c r="U2033" i="10"/>
  <c r="U2025" i="10"/>
  <c r="U2017" i="10"/>
  <c r="U2009" i="10"/>
  <c r="U2001" i="10"/>
  <c r="U1993" i="10"/>
  <c r="U1985" i="10"/>
  <c r="U1973" i="10"/>
  <c r="U1969" i="10"/>
  <c r="U1925" i="10"/>
  <c r="U1917" i="10"/>
  <c r="U1909" i="10"/>
  <c r="U1901" i="10"/>
  <c r="U1889" i="10"/>
  <c r="U1885" i="10"/>
  <c r="U1881" i="10"/>
  <c r="U1877" i="10"/>
  <c r="U1873" i="10"/>
  <c r="U1869" i="10"/>
  <c r="U1865" i="10"/>
  <c r="U1853" i="10"/>
  <c r="U1845" i="10"/>
  <c r="U1837" i="10"/>
  <c r="U1829" i="10"/>
  <c r="U1821" i="10"/>
  <c r="U1785" i="10"/>
  <c r="U1781" i="10"/>
  <c r="U1777" i="10"/>
  <c r="U1773" i="10"/>
  <c r="U1769" i="10"/>
  <c r="U1757" i="10"/>
  <c r="U1749" i="10"/>
  <c r="U1741" i="10"/>
  <c r="U1729" i="10"/>
  <c r="U1721" i="10"/>
  <c r="U1713" i="10"/>
  <c r="U1701" i="10"/>
  <c r="U1693" i="10"/>
  <c r="U1685" i="10"/>
  <c r="U1677" i="10"/>
  <c r="U1641" i="10"/>
  <c r="U1629" i="10"/>
  <c r="U1621" i="10"/>
  <c r="U1613" i="10"/>
  <c r="U1609" i="10"/>
  <c r="U1605" i="10"/>
  <c r="U1601" i="10"/>
  <c r="U1597" i="10"/>
  <c r="U1593" i="10"/>
  <c r="U1589" i="10"/>
  <c r="U1553" i="10"/>
  <c r="U1549" i="10"/>
  <c r="U1545" i="10"/>
  <c r="U1541" i="10"/>
  <c r="U1537" i="10"/>
  <c r="U1533" i="10"/>
  <c r="U1497" i="10"/>
  <c r="U1493" i="10"/>
  <c r="U1489" i="10"/>
  <c r="U1485" i="10"/>
  <c r="U1481" i="10"/>
  <c r="U1477" i="10"/>
  <c r="U1437" i="10"/>
  <c r="U1433" i="10"/>
  <c r="U1429" i="10"/>
  <c r="U1425" i="10"/>
  <c r="U1421" i="10"/>
  <c r="U1417" i="10"/>
  <c r="U1409" i="10"/>
  <c r="U1397" i="10"/>
  <c r="U1349" i="10"/>
  <c r="U1345" i="10"/>
  <c r="U1329" i="10"/>
  <c r="U1305" i="10"/>
  <c r="U1285" i="10"/>
  <c r="U1281" i="10"/>
  <c r="U1277" i="10"/>
  <c r="U1273" i="10"/>
  <c r="U1269" i="10"/>
  <c r="U1265" i="10"/>
  <c r="U1261" i="10"/>
  <c r="U1257" i="10"/>
  <c r="U1249" i="10"/>
  <c r="U1245" i="10"/>
  <c r="U1237" i="10"/>
  <c r="U1233" i="10"/>
  <c r="U1225" i="10"/>
  <c r="U1221" i="10"/>
  <c r="U1217" i="10"/>
  <c r="U1209" i="10"/>
  <c r="U1205" i="10"/>
  <c r="U1201" i="10"/>
  <c r="U1193" i="10"/>
  <c r="U1189" i="10"/>
  <c r="U1185" i="10"/>
  <c r="U1181" i="10"/>
  <c r="U1177" i="10"/>
  <c r="U1173" i="10"/>
  <c r="U1165" i="10"/>
  <c r="U1161" i="10"/>
  <c r="U1157" i="10"/>
  <c r="U1153" i="10"/>
  <c r="U1149" i="10"/>
  <c r="U1145" i="10"/>
  <c r="U1141" i="10"/>
  <c r="U1137" i="10"/>
  <c r="U1133" i="10"/>
  <c r="U1129" i="10"/>
  <c r="U1125" i="10"/>
  <c r="U1121" i="10"/>
  <c r="U1117" i="10"/>
  <c r="U1113" i="10"/>
  <c r="U1109" i="10"/>
  <c r="U1105" i="10"/>
  <c r="U1101" i="10"/>
  <c r="U1097" i="10"/>
  <c r="U1093" i="10"/>
  <c r="U1089" i="10"/>
  <c r="U1085" i="10"/>
  <c r="U1081" i="10"/>
  <c r="U1077" i="10"/>
  <c r="U1073" i="10"/>
  <c r="U1069" i="10"/>
  <c r="U1065" i="10"/>
  <c r="U1061" i="10"/>
  <c r="U1057" i="10"/>
  <c r="U1053" i="10"/>
  <c r="U1049" i="10"/>
  <c r="U1045" i="10"/>
  <c r="U1041" i="10"/>
  <c r="U1037" i="10"/>
  <c r="U1033" i="10"/>
  <c r="U1029" i="10"/>
  <c r="U1025" i="10"/>
  <c r="U1021" i="10"/>
  <c r="U1017" i="10"/>
  <c r="U1013" i="10"/>
  <c r="U1009" i="10"/>
  <c r="U1005" i="10"/>
  <c r="U1001" i="10"/>
  <c r="U997" i="10"/>
  <c r="U993" i="10"/>
  <c r="U989" i="10"/>
  <c r="U985" i="10"/>
  <c r="U981" i="10"/>
  <c r="U977" i="10"/>
  <c r="U973" i="10"/>
  <c r="U969" i="10"/>
  <c r="U965" i="10"/>
  <c r="U961" i="10"/>
  <c r="U957" i="10"/>
  <c r="U953" i="10"/>
  <c r="U949" i="10"/>
  <c r="U945" i="10"/>
  <c r="U941" i="10"/>
  <c r="U937" i="10"/>
  <c r="U933" i="10"/>
  <c r="U929" i="10"/>
  <c r="U925" i="10"/>
  <c r="U921" i="10"/>
  <c r="U917" i="10"/>
  <c r="U913" i="10"/>
  <c r="U909" i="10"/>
  <c r="U905" i="10"/>
  <c r="U901" i="10"/>
  <c r="U897" i="10"/>
  <c r="U893" i="10"/>
  <c r="U889" i="10"/>
  <c r="U885" i="10"/>
  <c r="U881" i="10"/>
  <c r="U877" i="10"/>
  <c r="U873" i="10"/>
  <c r="U869" i="10"/>
  <c r="U865" i="10"/>
  <c r="U861" i="10"/>
  <c r="U857" i="10"/>
  <c r="U853" i="10"/>
  <c r="U849" i="10"/>
  <c r="U845" i="10"/>
  <c r="U841" i="10"/>
  <c r="U837" i="10"/>
  <c r="U833" i="10"/>
  <c r="U829" i="10"/>
  <c r="U825" i="10"/>
  <c r="U821" i="10"/>
  <c r="U817" i="10"/>
  <c r="U813" i="10"/>
  <c r="U809" i="10"/>
  <c r="U805" i="10"/>
  <c r="U801" i="10"/>
  <c r="U797" i="10"/>
  <c r="U793" i="10"/>
  <c r="U789" i="10"/>
  <c r="U785" i="10"/>
  <c r="U781" i="10"/>
  <c r="U777" i="10"/>
  <c r="U773" i="10"/>
  <c r="U769" i="10"/>
  <c r="U765" i="10"/>
  <c r="U761" i="10"/>
  <c r="U757" i="10"/>
  <c r="U753" i="10"/>
  <c r="U749" i="10"/>
  <c r="U745" i="10"/>
  <c r="U741" i="10"/>
  <c r="U737" i="10"/>
  <c r="U733" i="10"/>
  <c r="U729" i="10"/>
  <c r="U725" i="10"/>
  <c r="U1297" i="10"/>
  <c r="U1293" i="10"/>
  <c r="U1289" i="10"/>
  <c r="U1253" i="10"/>
  <c r="U1241" i="10"/>
  <c r="U1229" i="10"/>
  <c r="U1213" i="10"/>
  <c r="U1197" i="10"/>
  <c r="U1169" i="10"/>
  <c r="U1360" i="10"/>
  <c r="U1356" i="10"/>
  <c r="U1352" i="10"/>
  <c r="U1348" i="10"/>
  <c r="U1344" i="10"/>
  <c r="U1340" i="10"/>
  <c r="U1336" i="10"/>
  <c r="U1332" i="10"/>
  <c r="U1328" i="10"/>
  <c r="U1324" i="10"/>
  <c r="U1320" i="10"/>
  <c r="U1316" i="10"/>
  <c r="U1312" i="10"/>
  <c r="U1308" i="10"/>
  <c r="U1304" i="10"/>
  <c r="U1300" i="10"/>
  <c r="U1296" i="10"/>
  <c r="U1292" i="10"/>
  <c r="U1288" i="10"/>
  <c r="U1284" i="10"/>
  <c r="U1280" i="10"/>
  <c r="U1276" i="10"/>
  <c r="U1272" i="10"/>
  <c r="U1268" i="10"/>
  <c r="U1264" i="10"/>
  <c r="U1260" i="10"/>
  <c r="U1256" i="10"/>
  <c r="U1252" i="10"/>
  <c r="U1248" i="10"/>
  <c r="U1244" i="10"/>
  <c r="U1240" i="10"/>
  <c r="U1236" i="10"/>
  <c r="U1232" i="10"/>
  <c r="U1228" i="10"/>
  <c r="U1224" i="10"/>
  <c r="U1220" i="10"/>
  <c r="U1216" i="10"/>
  <c r="U1212" i="10"/>
  <c r="U1208" i="10"/>
  <c r="U1204" i="10"/>
  <c r="U1200" i="10"/>
  <c r="U1196" i="10"/>
  <c r="U1192" i="10"/>
  <c r="U1188" i="10"/>
  <c r="U1184" i="10"/>
  <c r="U1180" i="10"/>
  <c r="U1176" i="10"/>
  <c r="U1172" i="10"/>
  <c r="U1168" i="10"/>
  <c r="U1164" i="10"/>
  <c r="U1160" i="10"/>
  <c r="U1156" i="10"/>
  <c r="U1152" i="10"/>
  <c r="U1148" i="10"/>
  <c r="U1144" i="10"/>
  <c r="U1140" i="10"/>
  <c r="U1136" i="10"/>
  <c r="U1132" i="10"/>
  <c r="U1128" i="10"/>
  <c r="U1124" i="10"/>
  <c r="U1120" i="10"/>
  <c r="U1116" i="10"/>
  <c r="U1112" i="10"/>
  <c r="U1108" i="10"/>
  <c r="U1104" i="10"/>
  <c r="U1100" i="10"/>
  <c r="U1096" i="10"/>
  <c r="U1092" i="10"/>
  <c r="U1088" i="10"/>
  <c r="U1084" i="10"/>
  <c r="U1080" i="10"/>
  <c r="U1076" i="10"/>
  <c r="U1072" i="10"/>
  <c r="U1068" i="10"/>
  <c r="U1064" i="10"/>
  <c r="U1060" i="10"/>
  <c r="U1056" i="10"/>
  <c r="U1052" i="10"/>
  <c r="U1048" i="10"/>
  <c r="U1044" i="10"/>
  <c r="U1040" i="10"/>
  <c r="U1036" i="10"/>
  <c r="U1032" i="10"/>
  <c r="U1028" i="10"/>
  <c r="U1024" i="10"/>
  <c r="U1020" i="10"/>
  <c r="U1016" i="10"/>
  <c r="U1012" i="10"/>
  <c r="U1008" i="10"/>
  <c r="U1004" i="10"/>
  <c r="U1000" i="10"/>
  <c r="U996" i="10"/>
  <c r="U992" i="10"/>
  <c r="U988" i="10"/>
  <c r="U984" i="10"/>
  <c r="U980" i="10"/>
  <c r="U976" i="10"/>
  <c r="U972" i="10"/>
  <c r="U968" i="10"/>
  <c r="U964" i="10"/>
  <c r="U960" i="10"/>
  <c r="U956" i="10"/>
  <c r="U952" i="10"/>
  <c r="U948" i="10"/>
  <c r="U944" i="10"/>
  <c r="U940" i="10"/>
  <c r="U936" i="10"/>
  <c r="U932" i="10"/>
  <c r="U928" i="10"/>
  <c r="U924" i="10"/>
  <c r="U920" i="10"/>
  <c r="U916" i="10"/>
  <c r="U912" i="10"/>
  <c r="U908" i="10"/>
  <c r="U904" i="10"/>
  <c r="U900" i="10"/>
  <c r="U896" i="10"/>
  <c r="U892" i="10"/>
  <c r="U888" i="10"/>
  <c r="U884" i="10"/>
  <c r="U880" i="10"/>
  <c r="U876" i="10"/>
  <c r="U872" i="10"/>
  <c r="U868" i="10"/>
  <c r="U864" i="10"/>
  <c r="U860" i="10"/>
  <c r="U856" i="10"/>
  <c r="U852" i="10"/>
  <c r="U848" i="10"/>
  <c r="U844" i="10"/>
  <c r="U840" i="10"/>
  <c r="U836" i="10"/>
  <c r="U832" i="10"/>
  <c r="U828" i="10"/>
  <c r="U824" i="10"/>
  <c r="U820" i="10"/>
  <c r="U816" i="10"/>
  <c r="U812" i="10"/>
  <c r="U808" i="10"/>
  <c r="U804" i="10"/>
  <c r="U800" i="10"/>
  <c r="U796" i="10"/>
  <c r="U792" i="10"/>
  <c r="U788" i="10"/>
  <c r="U784" i="10"/>
  <c r="U780" i="10"/>
  <c r="U776" i="10"/>
  <c r="U772" i="10"/>
  <c r="U768" i="10"/>
  <c r="U764" i="10"/>
  <c r="U760" i="10"/>
  <c r="U756" i="10"/>
  <c r="U752" i="10"/>
  <c r="U748" i="10"/>
  <c r="U744" i="10"/>
  <c r="U740" i="10"/>
  <c r="U736" i="10"/>
  <c r="U732" i="10"/>
  <c r="U728" i="10"/>
  <c r="U724" i="10"/>
  <c r="U720" i="10"/>
  <c r="U716" i="10"/>
  <c r="U712" i="10"/>
  <c r="U708" i="10"/>
  <c r="U704" i="10"/>
  <c r="U700" i="10"/>
  <c r="U696" i="10"/>
  <c r="U692" i="10"/>
  <c r="U688" i="10"/>
  <c r="U684" i="10"/>
  <c r="U680" i="10"/>
  <c r="U676" i="10"/>
  <c r="U672" i="10"/>
  <c r="U668" i="10"/>
  <c r="U664" i="10"/>
  <c r="U660" i="10"/>
  <c r="U656" i="10"/>
  <c r="U652" i="10"/>
  <c r="U648" i="10"/>
  <c r="U644" i="10"/>
  <c r="U640" i="10"/>
  <c r="U636" i="10"/>
  <c r="U632" i="10"/>
  <c r="U628" i="10"/>
  <c r="U624" i="10"/>
  <c r="U620" i="10"/>
  <c r="U616" i="10"/>
  <c r="U612" i="10"/>
  <c r="U608" i="10"/>
  <c r="U604" i="10"/>
  <c r="U600" i="10"/>
  <c r="U596" i="10"/>
  <c r="U592" i="10"/>
  <c r="U588" i="10"/>
  <c r="U584" i="10"/>
  <c r="U580" i="10"/>
  <c r="U576" i="10"/>
  <c r="U572" i="10"/>
  <c r="U568" i="10"/>
  <c r="U564" i="10"/>
  <c r="U560" i="10"/>
  <c r="U556" i="10"/>
  <c r="U552" i="10"/>
  <c r="U548" i="10"/>
  <c r="U544" i="10"/>
  <c r="U540" i="10"/>
  <c r="U536" i="10"/>
  <c r="U532" i="10"/>
  <c r="U528" i="10"/>
  <c r="U524" i="10"/>
  <c r="U520" i="10"/>
  <c r="U516" i="10"/>
  <c r="U512" i="10"/>
  <c r="U508" i="10"/>
  <c r="U504" i="10"/>
  <c r="U500" i="10"/>
  <c r="U496" i="10"/>
  <c r="U492" i="10"/>
  <c r="U488" i="10"/>
  <c r="U484" i="10"/>
  <c r="U480" i="10"/>
  <c r="U476" i="10"/>
  <c r="U472" i="10"/>
  <c r="U468" i="10"/>
  <c r="U464" i="10"/>
  <c r="U460" i="10"/>
  <c r="U456" i="10"/>
  <c r="U452" i="10"/>
  <c r="U448" i="10"/>
  <c r="U444" i="10"/>
  <c r="U2299" i="10"/>
  <c r="U2291" i="10"/>
  <c r="U2283" i="10"/>
  <c r="U2275" i="10"/>
  <c r="U2263" i="10"/>
  <c r="U2255" i="10"/>
  <c r="U2247" i="10"/>
  <c r="U2239" i="10"/>
  <c r="U2231" i="10"/>
  <c r="U2223" i="10"/>
  <c r="U2215" i="10"/>
  <c r="U2207" i="10"/>
  <c r="U2199" i="10"/>
  <c r="U2191" i="10"/>
  <c r="U2183" i="10"/>
  <c r="U2175" i="10"/>
  <c r="U2167" i="10"/>
  <c r="U2159" i="10"/>
  <c r="U2151" i="10"/>
  <c r="U2143" i="10"/>
  <c r="U2135" i="10"/>
  <c r="U2127" i="10"/>
  <c r="U2123" i="10"/>
  <c r="U2119" i="10"/>
  <c r="U2115" i="10"/>
  <c r="U2111" i="10"/>
  <c r="U2107" i="10"/>
  <c r="U2103" i="10"/>
  <c r="U2067" i="10"/>
  <c r="U2059" i="10"/>
  <c r="U2051" i="10"/>
  <c r="U2043" i="10"/>
  <c r="U2039" i="10"/>
  <c r="U2031" i="10"/>
  <c r="U2019" i="10"/>
  <c r="U2011" i="10"/>
  <c r="U2003" i="10"/>
  <c r="U1999" i="10"/>
  <c r="U1991" i="10"/>
  <c r="U1983" i="10"/>
  <c r="U1975" i="10"/>
  <c r="U1967" i="10"/>
  <c r="U1963" i="10"/>
  <c r="U1959" i="10"/>
  <c r="U1955" i="10"/>
  <c r="U1951" i="10"/>
  <c r="U1947" i="10"/>
  <c r="U1943" i="10"/>
  <c r="U1939" i="10"/>
  <c r="U1931" i="10"/>
  <c r="U1923" i="10"/>
  <c r="U1915" i="10"/>
  <c r="U1907" i="10"/>
  <c r="U1899" i="10"/>
  <c r="U1891" i="10"/>
  <c r="U1883" i="10"/>
  <c r="U1879" i="10"/>
  <c r="U1875" i="10"/>
  <c r="U1871" i="10"/>
  <c r="U1867" i="10"/>
  <c r="U1863" i="10"/>
  <c r="U1859" i="10"/>
  <c r="U1851" i="10"/>
  <c r="U1843" i="10"/>
  <c r="U1839" i="10"/>
  <c r="U1831" i="10"/>
  <c r="U1823" i="10"/>
  <c r="U1815" i="10"/>
  <c r="U1807" i="10"/>
  <c r="U1803" i="10"/>
  <c r="U1799" i="10"/>
  <c r="U1795" i="10"/>
  <c r="U1791" i="10"/>
  <c r="U1787" i="10"/>
  <c r="U1783" i="10"/>
  <c r="U1775" i="10"/>
  <c r="U1767" i="10"/>
  <c r="U1759" i="10"/>
  <c r="U1751" i="10"/>
  <c r="U1743" i="10"/>
  <c r="U1735" i="10"/>
  <c r="U1731" i="10"/>
  <c r="U1727" i="10"/>
  <c r="U1723" i="10"/>
  <c r="U1719" i="10"/>
  <c r="U1715" i="10"/>
  <c r="U1711" i="10"/>
  <c r="U1707" i="10"/>
  <c r="U1675" i="10"/>
  <c r="U1667" i="10"/>
  <c r="U1659" i="10"/>
  <c r="U1651" i="10"/>
  <c r="U1643" i="10"/>
  <c r="U1635" i="10"/>
  <c r="U1623" i="10"/>
  <c r="U1615" i="10"/>
  <c r="U1607" i="10"/>
  <c r="U1599" i="10"/>
  <c r="U1595" i="10"/>
  <c r="U1587" i="10"/>
  <c r="U1579" i="10"/>
  <c r="U1571" i="10"/>
  <c r="U1563" i="10"/>
  <c r="U1555" i="10"/>
  <c r="U1547" i="10"/>
  <c r="U1539" i="10"/>
  <c r="U1531" i="10"/>
  <c r="U1523" i="10"/>
  <c r="U1515" i="10"/>
  <c r="U1507" i="10"/>
  <c r="U1503" i="10"/>
  <c r="U1499" i="10"/>
  <c r="U1495" i="10"/>
  <c r="U1491" i="10"/>
  <c r="U1487" i="10"/>
  <c r="U1483" i="10"/>
  <c r="U1479" i="10"/>
  <c r="U1471" i="10"/>
  <c r="U1463" i="10"/>
  <c r="U1455" i="10"/>
  <c r="U1447" i="10"/>
  <c r="U1427" i="10"/>
  <c r="U1423" i="10"/>
  <c r="U1415" i="10"/>
  <c r="U1411" i="10"/>
  <c r="U1403" i="10"/>
  <c r="U1399" i="10"/>
  <c r="U1395" i="10"/>
  <c r="U1391" i="10"/>
  <c r="U1387" i="10"/>
  <c r="U1383" i="10"/>
  <c r="U1379" i="10"/>
  <c r="U1375" i="10"/>
  <c r="U1371" i="10"/>
  <c r="U1367" i="10"/>
  <c r="U1363" i="10"/>
  <c r="U1359" i="10"/>
  <c r="U1355" i="10"/>
  <c r="U1351" i="10"/>
  <c r="U1347" i="10"/>
  <c r="U1343" i="10"/>
  <c r="U1339" i="10"/>
  <c r="U1335" i="10"/>
  <c r="U1331" i="10"/>
  <c r="U1327" i="10"/>
  <c r="U1323" i="10"/>
  <c r="U1319" i="10"/>
  <c r="U1315" i="10"/>
  <c r="U1311" i="10"/>
  <c r="U1307" i="10"/>
  <c r="U1303" i="10"/>
  <c r="U1299" i="10"/>
  <c r="U1295" i="10"/>
  <c r="U1291" i="10"/>
  <c r="U1287" i="10"/>
  <c r="U1283" i="10"/>
  <c r="U1279" i="10"/>
  <c r="U1275" i="10"/>
  <c r="U1271" i="10"/>
  <c r="U1267" i="10"/>
  <c r="U1263" i="10"/>
  <c r="U1259" i="10"/>
  <c r="U1255" i="10"/>
  <c r="U1251" i="10"/>
  <c r="U1247" i="10"/>
  <c r="U1243" i="10"/>
  <c r="U1239" i="10"/>
  <c r="U1235" i="10"/>
  <c r="U1231" i="10"/>
  <c r="U1227" i="10"/>
  <c r="U1223" i="10"/>
  <c r="U1219" i="10"/>
  <c r="U1215" i="10"/>
  <c r="U1211" i="10"/>
  <c r="U1207" i="10"/>
  <c r="U1203" i="10"/>
  <c r="U1199" i="10"/>
  <c r="U1195" i="10"/>
  <c r="U1191" i="10"/>
  <c r="U1187" i="10"/>
  <c r="U1183" i="10"/>
  <c r="U1179" i="10"/>
  <c r="U1175" i="10"/>
  <c r="U1171" i="10"/>
  <c r="U1167" i="10"/>
  <c r="U1163" i="10"/>
  <c r="U1159" i="10"/>
  <c r="U1155" i="10"/>
  <c r="U1151" i="10"/>
  <c r="U1147" i="10"/>
  <c r="U1143" i="10"/>
  <c r="U1139" i="10"/>
  <c r="U1135" i="10"/>
  <c r="U1131" i="10"/>
  <c r="U1127" i="10"/>
  <c r="U1123" i="10"/>
  <c r="U1119" i="10"/>
  <c r="U1115" i="10"/>
  <c r="U1111" i="10"/>
  <c r="U1103" i="10"/>
  <c r="U1099" i="10"/>
  <c r="U1095" i="10"/>
  <c r="U1091" i="10"/>
  <c r="U1087" i="10"/>
  <c r="U1083" i="10"/>
  <c r="U1079" i="10"/>
  <c r="U1075" i="10"/>
  <c r="U1071" i="10"/>
  <c r="U1067" i="10"/>
  <c r="U1059" i="10"/>
  <c r="U1055" i="10"/>
  <c r="U1043" i="10"/>
  <c r="U1039" i="10"/>
  <c r="U1035" i="10"/>
  <c r="U1031" i="10"/>
  <c r="U1027" i="10"/>
  <c r="U1023" i="10"/>
  <c r="U1019" i="10"/>
  <c r="U1015" i="10"/>
  <c r="U1003" i="10"/>
  <c r="U999" i="10"/>
  <c r="U995" i="10"/>
  <c r="U991" i="10"/>
  <c r="U987" i="10"/>
  <c r="U979" i="10"/>
  <c r="U971" i="10"/>
  <c r="U967" i="10"/>
  <c r="U963" i="10"/>
  <c r="U955" i="10"/>
  <c r="U947" i="10"/>
  <c r="U943" i="10"/>
  <c r="U939" i="10"/>
  <c r="U935" i="10"/>
  <c r="U923" i="10"/>
  <c r="U919" i="10"/>
  <c r="U911" i="10"/>
  <c r="U907" i="10"/>
  <c r="U903" i="10"/>
  <c r="U899" i="10"/>
  <c r="U895" i="10"/>
  <c r="U887" i="10"/>
  <c r="U883" i="10"/>
  <c r="U879" i="10"/>
  <c r="U875" i="10"/>
  <c r="U871" i="10"/>
  <c r="U863" i="10"/>
  <c r="U859" i="10"/>
  <c r="U855" i="10"/>
  <c r="U851" i="10"/>
  <c r="U847" i="10"/>
  <c r="U843" i="10"/>
  <c r="U839" i="10"/>
  <c r="U835" i="10"/>
  <c r="U831" i="10"/>
  <c r="U827" i="10"/>
  <c r="U823" i="10"/>
  <c r="U819" i="10"/>
  <c r="U815" i="10"/>
  <c r="U811" i="10"/>
  <c r="U807" i="10"/>
  <c r="U803" i="10"/>
  <c r="U795" i="10"/>
  <c r="U791" i="10"/>
  <c r="U787" i="10"/>
  <c r="U783" i="10"/>
  <c r="U779" i="10"/>
  <c r="U775" i="10"/>
  <c r="U771" i="10"/>
  <c r="U767" i="10"/>
  <c r="U763" i="10"/>
  <c r="U759" i="10"/>
  <c r="U755" i="10"/>
  <c r="U751" i="10"/>
  <c r="U747" i="10"/>
  <c r="U743" i="10"/>
  <c r="U739" i="10"/>
  <c r="U735" i="10"/>
  <c r="U731" i="10"/>
  <c r="U727" i="10"/>
  <c r="U723" i="10"/>
  <c r="U719" i="10"/>
  <c r="U715" i="10"/>
  <c r="U711" i="10"/>
  <c r="U707" i="10"/>
  <c r="U703" i="10"/>
  <c r="U699" i="10"/>
  <c r="U695" i="10"/>
  <c r="U691" i="10"/>
  <c r="U687" i="10"/>
  <c r="U683" i="10"/>
  <c r="U679" i="10"/>
  <c r="U675" i="10"/>
  <c r="U671" i="10"/>
  <c r="U667" i="10"/>
  <c r="U663" i="10"/>
  <c r="U659" i="10"/>
  <c r="U655" i="10"/>
  <c r="U651" i="10"/>
  <c r="U647" i="10"/>
  <c r="U643" i="10"/>
  <c r="U639" i="10"/>
  <c r="U635" i="10"/>
  <c r="U631" i="10"/>
  <c r="U627" i="10"/>
  <c r="U623" i="10"/>
  <c r="U619" i="10"/>
  <c r="U615" i="10"/>
  <c r="U611" i="10"/>
  <c r="U607" i="10"/>
  <c r="U603" i="10"/>
  <c r="U599" i="10"/>
  <c r="U595" i="10"/>
  <c r="U591" i="10"/>
  <c r="U587" i="10"/>
  <c r="U583" i="10"/>
  <c r="U579" i="10"/>
  <c r="U575" i="10"/>
  <c r="U571" i="10"/>
  <c r="U567" i="10"/>
  <c r="U563" i="10"/>
  <c r="U559" i="10"/>
  <c r="U555" i="10"/>
  <c r="U551" i="10"/>
  <c r="U547" i="10"/>
  <c r="U543" i="10"/>
  <c r="U539" i="10"/>
  <c r="U535" i="10"/>
  <c r="U531" i="10"/>
  <c r="U527" i="10"/>
  <c r="U523" i="10"/>
  <c r="U519" i="10"/>
  <c r="U515" i="10"/>
  <c r="U511" i="10"/>
  <c r="U507" i="10"/>
  <c r="U503" i="10"/>
  <c r="U499" i="10"/>
  <c r="U495" i="10"/>
  <c r="U491" i="10"/>
  <c r="U2303" i="10"/>
  <c r="U2295" i="10"/>
  <c r="U2287" i="10"/>
  <c r="U2279" i="10"/>
  <c r="U2271" i="10"/>
  <c r="U2267" i="10"/>
  <c r="U2259" i="10"/>
  <c r="U2251" i="10"/>
  <c r="U2243" i="10"/>
  <c r="U2235" i="10"/>
  <c r="U2227" i="10"/>
  <c r="U2219" i="10"/>
  <c r="U2211" i="10"/>
  <c r="U2203" i="10"/>
  <c r="U2195" i="10"/>
  <c r="U2187" i="10"/>
  <c r="U2179" i="10"/>
  <c r="U2171" i="10"/>
  <c r="U2163" i="10"/>
  <c r="U2155" i="10"/>
  <c r="U2147" i="10"/>
  <c r="U2139" i="10"/>
  <c r="U2131" i="10"/>
  <c r="U2099" i="10"/>
  <c r="U2095" i="10"/>
  <c r="U2091" i="10"/>
  <c r="U2087" i="10"/>
  <c r="U2083" i="10"/>
  <c r="U2079" i="10"/>
  <c r="U2075" i="10"/>
  <c r="U2071" i="10"/>
  <c r="U2063" i="10"/>
  <c r="U2055" i="10"/>
  <c r="U2047" i="10"/>
  <c r="U2035" i="10"/>
  <c r="U2027" i="10"/>
  <c r="U2023" i="10"/>
  <c r="U2015" i="10"/>
  <c r="U2007" i="10"/>
  <c r="U1995" i="10"/>
  <c r="U1987" i="10"/>
  <c r="U1979" i="10"/>
  <c r="U1971" i="10"/>
  <c r="U1935" i="10"/>
  <c r="U1927" i="10"/>
  <c r="U1919" i="10"/>
  <c r="U1911" i="10"/>
  <c r="U1903" i="10"/>
  <c r="U1895" i="10"/>
  <c r="U1887" i="10"/>
  <c r="U1855" i="10"/>
  <c r="U1847" i="10"/>
  <c r="U1835" i="10"/>
  <c r="U1827" i="10"/>
  <c r="U1819" i="10"/>
  <c r="U1811" i="10"/>
  <c r="U1779" i="10"/>
  <c r="U1771" i="10"/>
  <c r="U1763" i="10"/>
  <c r="U1755" i="10"/>
  <c r="U1747" i="10"/>
  <c r="U1739" i="10"/>
  <c r="U1703" i="10"/>
  <c r="U1699" i="10"/>
  <c r="U1695" i="10"/>
  <c r="U1691" i="10"/>
  <c r="U1687" i="10"/>
  <c r="U1683" i="10"/>
  <c r="U1679" i="10"/>
  <c r="U1671" i="10"/>
  <c r="U1663" i="10"/>
  <c r="U1655" i="10"/>
  <c r="U1647" i="10"/>
  <c r="U1639" i="10"/>
  <c r="U1631" i="10"/>
  <c r="U1627" i="10"/>
  <c r="U1619" i="10"/>
  <c r="U1611" i="10"/>
  <c r="U1603" i="10"/>
  <c r="U1591" i="10"/>
  <c r="U1583" i="10"/>
  <c r="U1575" i="10"/>
  <c r="U1567" i="10"/>
  <c r="U1559" i="10"/>
  <c r="U1551" i="10"/>
  <c r="U1543" i="10"/>
  <c r="U1535" i="10"/>
  <c r="U1527" i="10"/>
  <c r="U1519" i="10"/>
  <c r="U1511" i="10"/>
  <c r="U1475" i="10"/>
  <c r="U1467" i="10"/>
  <c r="U1459" i="10"/>
  <c r="U1451" i="10"/>
  <c r="U1443" i="10"/>
  <c r="U1439" i="10"/>
  <c r="U1435" i="10"/>
  <c r="U1431" i="10"/>
  <c r="U1419" i="10"/>
  <c r="U1407" i="10"/>
  <c r="U1107" i="10"/>
  <c r="U1063" i="10"/>
  <c r="U1051" i="10"/>
  <c r="U1047" i="10"/>
  <c r="U1011" i="10"/>
  <c r="U1007" i="10"/>
  <c r="U983" i="10"/>
  <c r="U975" i="10"/>
  <c r="U959" i="10"/>
  <c r="U951" i="10"/>
  <c r="U931" i="10"/>
  <c r="U927" i="10"/>
  <c r="U915" i="10"/>
  <c r="U891" i="10"/>
  <c r="U867" i="10"/>
  <c r="U799" i="10"/>
  <c r="U1766" i="10"/>
  <c r="U1762" i="10"/>
  <c r="U1758" i="10"/>
  <c r="U1754" i="10"/>
  <c r="U1750" i="10"/>
  <c r="U1746" i="10"/>
  <c r="U1742" i="10"/>
  <c r="U1738" i="10"/>
  <c r="U1734" i="10"/>
  <c r="U1730" i="10"/>
  <c r="U1726" i="10"/>
  <c r="U1722" i="10"/>
  <c r="U1718" i="10"/>
  <c r="U1714" i="10"/>
  <c r="U1710" i="10"/>
  <c r="U1706" i="10"/>
  <c r="U1702" i="10"/>
  <c r="U1698" i="10"/>
  <c r="U1694" i="10"/>
  <c r="U1690" i="10"/>
  <c r="U1686" i="10"/>
  <c r="U1682" i="10"/>
  <c r="U1678" i="10"/>
  <c r="U1674" i="10"/>
  <c r="U1670" i="10"/>
  <c r="U1666" i="10"/>
  <c r="U1662" i="10"/>
  <c r="U1658" i="10"/>
  <c r="U1654" i="10"/>
  <c r="U1650" i="10"/>
  <c r="U1646" i="10"/>
  <c r="U1642" i="10"/>
  <c r="U1638" i="10"/>
  <c r="U1634" i="10"/>
  <c r="U1630" i="10"/>
  <c r="U1626" i="10"/>
  <c r="U1622" i="10"/>
  <c r="U1618" i="10"/>
  <c r="U1614" i="10"/>
  <c r="U1610" i="10"/>
  <c r="U1606" i="10"/>
  <c r="U1602" i="10"/>
  <c r="U1598" i="10"/>
  <c r="U1594" i="10"/>
  <c r="U1590" i="10"/>
  <c r="U1586" i="10"/>
  <c r="U1582" i="10"/>
  <c r="U1578" i="10"/>
  <c r="U1574" i="10"/>
  <c r="U1570" i="10"/>
  <c r="U1566" i="10"/>
  <c r="U1562" i="10"/>
  <c r="U1558" i="10"/>
  <c r="U1554" i="10"/>
  <c r="U1550" i="10"/>
  <c r="U1546" i="10"/>
  <c r="U1542" i="10"/>
  <c r="U1538" i="10"/>
  <c r="U1534" i="10"/>
  <c r="U1530" i="10"/>
  <c r="U1526" i="10"/>
  <c r="U1522" i="10"/>
  <c r="U1518" i="10"/>
  <c r="U1514" i="10"/>
  <c r="U1510" i="10"/>
  <c r="U1506" i="10"/>
  <c r="U1502" i="10"/>
  <c r="U1498" i="10"/>
  <c r="U1494" i="10"/>
  <c r="U1490" i="10"/>
  <c r="U1486" i="10"/>
  <c r="U1482" i="10"/>
  <c r="U1478" i="10"/>
  <c r="U1474" i="10"/>
  <c r="U1470" i="10"/>
  <c r="U1466" i="10"/>
  <c r="U1462" i="10"/>
  <c r="U1458" i="10"/>
  <c r="U1454" i="10"/>
  <c r="U1450" i="10"/>
  <c r="U1446" i="10"/>
  <c r="U1442" i="10"/>
  <c r="U1438" i="10"/>
  <c r="U1434" i="10"/>
  <c r="U1430" i="10"/>
  <c r="U1426" i="10"/>
  <c r="U1422" i="10"/>
  <c r="U1418" i="10"/>
  <c r="U1414" i="10"/>
  <c r="U1410" i="10"/>
  <c r="U1406" i="10"/>
  <c r="U1402" i="10"/>
  <c r="U1398" i="10"/>
  <c r="U1394" i="10"/>
  <c r="U1390" i="10"/>
  <c r="U1386" i="10"/>
  <c r="U1382" i="10"/>
  <c r="U1378" i="10"/>
  <c r="U1374" i="10"/>
  <c r="U1370" i="10"/>
  <c r="U1366" i="10"/>
  <c r="U1362" i="10"/>
  <c r="U1358" i="10"/>
  <c r="U1354" i="10"/>
  <c r="U1350" i="10"/>
  <c r="U1346" i="10"/>
  <c r="U1342" i="10"/>
  <c r="U1338" i="10"/>
  <c r="U1334" i="10"/>
  <c r="U1330" i="10"/>
  <c r="U1326" i="10"/>
  <c r="U1322" i="10"/>
  <c r="U1318" i="10"/>
  <c r="U1314" i="10"/>
  <c r="U1310" i="10"/>
  <c r="U1306" i="10"/>
  <c r="U1302" i="10"/>
  <c r="U1298" i="10"/>
  <c r="U1294" i="10"/>
  <c r="U1290" i="10"/>
  <c r="U1286" i="10"/>
  <c r="U1282" i="10"/>
  <c r="U1278" i="10"/>
  <c r="U1274" i="10"/>
  <c r="U1270" i="10"/>
  <c r="U1266" i="10"/>
  <c r="U1262" i="10"/>
  <c r="U1258" i="10"/>
  <c r="U1254" i="10"/>
  <c r="U1250" i="10"/>
  <c r="U1246" i="10"/>
  <c r="U1242" i="10"/>
  <c r="U1238" i="10"/>
  <c r="U1234" i="10"/>
  <c r="U1230" i="10"/>
  <c r="U1226" i="10"/>
  <c r="U1222" i="10"/>
  <c r="U1218" i="10"/>
  <c r="U1214" i="10"/>
  <c r="U1210" i="10"/>
  <c r="U1206" i="10"/>
  <c r="U1202" i="10"/>
  <c r="U1198" i="10"/>
  <c r="U1194" i="10"/>
  <c r="U1190" i="10"/>
  <c r="U1186" i="10"/>
  <c r="U1182" i="10"/>
  <c r="U1178" i="10"/>
  <c r="U1174" i="10"/>
  <c r="U1170" i="10"/>
  <c r="U1166" i="10"/>
  <c r="U1162" i="10"/>
  <c r="U1158" i="10"/>
  <c r="U1154" i="10"/>
  <c r="U1150" i="10"/>
  <c r="U1146" i="10"/>
  <c r="U1142" i="10"/>
  <c r="U1138" i="10"/>
  <c r="U1134" i="10"/>
  <c r="U1130" i="10"/>
  <c r="U1126" i="10"/>
  <c r="U1122" i="10"/>
  <c r="U1118" i="10"/>
  <c r="U1114" i="10"/>
  <c r="U1110" i="10"/>
  <c r="U1106" i="10"/>
  <c r="U1102" i="10"/>
  <c r="U1098" i="10"/>
  <c r="U1094" i="10"/>
  <c r="U1090" i="10"/>
  <c r="U1086" i="10"/>
  <c r="U1082" i="10"/>
  <c r="U1078" i="10"/>
  <c r="U1074" i="10"/>
  <c r="U1070" i="10"/>
  <c r="U1066" i="10"/>
  <c r="U1062" i="10"/>
  <c r="U1058" i="10"/>
  <c r="U1054" i="10"/>
  <c r="U1050" i="10"/>
  <c r="U1046" i="10"/>
  <c r="U1042" i="10"/>
  <c r="U1038" i="10"/>
  <c r="U1034" i="10"/>
  <c r="U1030" i="10"/>
  <c r="U1026" i="10"/>
  <c r="U1022" i="10"/>
  <c r="U1018" i="10"/>
  <c r="U1014" i="10"/>
  <c r="U1010" i="10"/>
  <c r="U1006" i="10"/>
  <c r="U1002" i="10"/>
  <c r="U998" i="10"/>
  <c r="U994" i="10"/>
  <c r="U990" i="10"/>
  <c r="U986" i="10"/>
  <c r="U982" i="10"/>
  <c r="U978" i="10"/>
  <c r="U974" i="10"/>
  <c r="U970" i="10"/>
  <c r="U966" i="10"/>
  <c r="U962" i="10"/>
  <c r="U958" i="10"/>
  <c r="U954" i="10"/>
  <c r="U950" i="10"/>
  <c r="U946" i="10"/>
  <c r="U942" i="10"/>
  <c r="U938" i="10"/>
  <c r="U934" i="10"/>
  <c r="U930" i="10"/>
  <c r="U926" i="10"/>
  <c r="U922" i="10"/>
  <c r="U918" i="10"/>
  <c r="U914" i="10"/>
  <c r="U910" i="10"/>
  <c r="U906" i="10"/>
  <c r="U902" i="10"/>
  <c r="U898" i="10"/>
  <c r="U894" i="10"/>
  <c r="U890" i="10"/>
  <c r="U886" i="10"/>
  <c r="U882" i="10"/>
  <c r="U878" i="10"/>
  <c r="U874" i="10"/>
  <c r="U870" i="10"/>
  <c r="U866" i="10"/>
  <c r="U862" i="10"/>
  <c r="U858" i="10"/>
  <c r="U854" i="10"/>
  <c r="U850" i="10"/>
  <c r="U846" i="10"/>
  <c r="U842" i="10"/>
  <c r="U838" i="10"/>
  <c r="U834" i="10"/>
  <c r="U830" i="10"/>
  <c r="U826" i="10"/>
  <c r="U822" i="10"/>
  <c r="U818" i="10"/>
  <c r="U814" i="10"/>
  <c r="U810" i="10"/>
  <c r="U806" i="10"/>
  <c r="U802" i="10"/>
  <c r="U798" i="10"/>
  <c r="U794" i="10"/>
  <c r="U790" i="10"/>
  <c r="U786" i="10"/>
  <c r="U782" i="10"/>
  <c r="U778" i="10"/>
  <c r="U774" i="10"/>
  <c r="U770" i="10"/>
  <c r="U766" i="10"/>
  <c r="U762" i="10"/>
  <c r="U758" i="10"/>
  <c r="U754" i="10"/>
  <c r="U750" i="10"/>
  <c r="U746" i="10"/>
  <c r="U742" i="10"/>
  <c r="U738" i="10"/>
  <c r="U734" i="10"/>
  <c r="U730" i="10"/>
  <c r="U726" i="10"/>
  <c r="U722" i="10"/>
  <c r="U718" i="10"/>
  <c r="U714" i="10"/>
  <c r="U710" i="10"/>
  <c r="U706" i="10"/>
  <c r="U702" i="10"/>
  <c r="U698" i="10"/>
  <c r="U694" i="10"/>
  <c r="U690" i="10"/>
  <c r="U686" i="10"/>
  <c r="U682" i="10"/>
  <c r="U678" i="10"/>
  <c r="U674" i="10"/>
  <c r="U670" i="10"/>
  <c r="U666" i="10"/>
  <c r="U662" i="10"/>
  <c r="U658" i="10"/>
  <c r="U654" i="10"/>
  <c r="U650" i="10"/>
  <c r="U646" i="10"/>
  <c r="U642" i="10"/>
  <c r="U638" i="10"/>
  <c r="U634" i="10"/>
  <c r="U630" i="10"/>
  <c r="U626" i="10"/>
  <c r="U622" i="10"/>
  <c r="U618" i="10"/>
  <c r="U614" i="10"/>
  <c r="U610" i="10"/>
  <c r="U606" i="10"/>
  <c r="U602" i="10"/>
  <c r="U598" i="10"/>
  <c r="U594" i="10"/>
  <c r="U590" i="10"/>
  <c r="U586" i="10"/>
  <c r="U582" i="10"/>
  <c r="U578" i="10"/>
  <c r="U574" i="10"/>
  <c r="U570" i="10"/>
  <c r="U566" i="10"/>
  <c r="U562" i="10"/>
  <c r="U558" i="10"/>
  <c r="U554" i="10"/>
  <c r="U550" i="10"/>
  <c r="U546" i="10"/>
  <c r="U542" i="10"/>
  <c r="U538" i="10"/>
  <c r="U534" i="10"/>
  <c r="U530" i="10"/>
  <c r="U526" i="10"/>
  <c r="U522" i="10"/>
  <c r="U518" i="10"/>
  <c r="U514" i="10"/>
  <c r="U440" i="10"/>
  <c r="U436" i="10"/>
  <c r="U432" i="10"/>
  <c r="U428" i="10"/>
  <c r="U424" i="10"/>
  <c r="U420" i="10"/>
  <c r="U416" i="10"/>
  <c r="U412" i="10"/>
  <c r="U408" i="10"/>
  <c r="U404" i="10"/>
  <c r="U400" i="10"/>
  <c r="U396" i="10"/>
  <c r="U392" i="10"/>
  <c r="U388" i="10"/>
  <c r="U384" i="10"/>
  <c r="U380" i="10"/>
  <c r="U376" i="10"/>
  <c r="U372" i="10"/>
  <c r="U368" i="10"/>
  <c r="U364" i="10"/>
  <c r="U360" i="10"/>
  <c r="U356" i="10"/>
  <c r="U352" i="10"/>
  <c r="U348" i="10"/>
  <c r="U344" i="10"/>
  <c r="U340" i="10"/>
  <c r="U336" i="10"/>
  <c r="U332" i="10"/>
  <c r="U328" i="10"/>
  <c r="U324" i="10"/>
  <c r="U320" i="10"/>
  <c r="U316" i="10"/>
  <c r="U312" i="10"/>
  <c r="U308" i="10"/>
  <c r="U304" i="10"/>
  <c r="U300" i="10"/>
  <c r="U296" i="10"/>
  <c r="U292" i="10"/>
  <c r="U288" i="10"/>
  <c r="U284" i="10"/>
  <c r="U280" i="10"/>
  <c r="U276" i="10"/>
  <c r="U272" i="10"/>
  <c r="U268" i="10"/>
  <c r="U264" i="10"/>
  <c r="U260" i="10"/>
  <c r="U256" i="10"/>
  <c r="U252" i="10"/>
  <c r="U248" i="10"/>
  <c r="U244" i="10"/>
  <c r="U240" i="10"/>
  <c r="U236" i="10"/>
  <c r="U232" i="10"/>
  <c r="U3" i="10"/>
  <c r="U487" i="10"/>
  <c r="U483" i="10"/>
  <c r="U479" i="10"/>
  <c r="U475" i="10"/>
  <c r="U471" i="10"/>
  <c r="U467" i="10"/>
  <c r="U463" i="10"/>
  <c r="U459" i="10"/>
  <c r="U455" i="10"/>
  <c r="U451" i="10"/>
  <c r="U447" i="10"/>
  <c r="U443" i="10"/>
  <c r="U439" i="10"/>
  <c r="U435" i="10"/>
  <c r="U431" i="10"/>
  <c r="U427" i="10"/>
  <c r="U423" i="10"/>
  <c r="U419" i="10"/>
  <c r="U415" i="10"/>
  <c r="U411" i="10"/>
  <c r="U407" i="10"/>
  <c r="U403" i="10"/>
  <c r="U399" i="10"/>
  <c r="U395" i="10"/>
  <c r="U391" i="10"/>
  <c r="U387" i="10"/>
  <c r="U383" i="10"/>
  <c r="U379" i="10"/>
  <c r="U375" i="10"/>
  <c r="U371" i="10"/>
  <c r="U367" i="10"/>
  <c r="U363" i="10"/>
  <c r="U359" i="10"/>
  <c r="U355" i="10"/>
  <c r="U351" i="10"/>
  <c r="U347" i="10"/>
  <c r="U343" i="10"/>
  <c r="U339" i="10"/>
  <c r="U335" i="10"/>
  <c r="U331" i="10"/>
  <c r="U327" i="10"/>
  <c r="U323" i="10"/>
  <c r="U319" i="10"/>
  <c r="U315" i="10"/>
  <c r="U311" i="10"/>
  <c r="U307" i="10"/>
  <c r="U303" i="10"/>
  <c r="U299" i="10"/>
  <c r="U295" i="10"/>
  <c r="U291" i="10"/>
  <c r="U287" i="10"/>
  <c r="U283" i="10"/>
  <c r="U279" i="10"/>
  <c r="U275" i="10"/>
  <c r="U271" i="10"/>
  <c r="U267" i="10"/>
  <c r="U263" i="10"/>
  <c r="U259" i="10"/>
  <c r="U255" i="10"/>
  <c r="U251" i="10"/>
  <c r="U247" i="10"/>
  <c r="U243" i="10"/>
  <c r="U239" i="10"/>
  <c r="U235" i="10"/>
  <c r="U231" i="10"/>
  <c r="U227" i="10"/>
  <c r="U223" i="10"/>
  <c r="U219" i="10"/>
  <c r="U215" i="10"/>
  <c r="U211" i="10"/>
  <c r="U207" i="10"/>
  <c r="U203" i="10"/>
  <c r="U199" i="10"/>
  <c r="U195" i="10"/>
  <c r="U191" i="10"/>
  <c r="U187" i="10"/>
  <c r="U183" i="10"/>
  <c r="U179" i="10"/>
  <c r="U175" i="10"/>
  <c r="U171" i="10"/>
  <c r="U167" i="10"/>
  <c r="U163" i="10"/>
  <c r="U159" i="10"/>
  <c r="U155" i="10"/>
  <c r="U151" i="10"/>
  <c r="U147" i="10"/>
  <c r="U143" i="10"/>
  <c r="U139" i="10"/>
  <c r="U135" i="10"/>
  <c r="U131" i="10"/>
  <c r="U127" i="10"/>
  <c r="U123" i="10"/>
  <c r="U119" i="10"/>
  <c r="U115" i="10"/>
  <c r="U111" i="10"/>
  <c r="U107" i="10"/>
  <c r="U103" i="10"/>
  <c r="U99" i="10"/>
  <c r="U95" i="10"/>
  <c r="U91" i="10"/>
  <c r="U87" i="10"/>
  <c r="U83" i="10"/>
  <c r="U79" i="10"/>
  <c r="U75" i="10"/>
  <c r="U71" i="10"/>
  <c r="U67" i="10"/>
  <c r="U63" i="10"/>
  <c r="U59" i="10"/>
  <c r="U55" i="10"/>
  <c r="U51" i="10"/>
  <c r="U47" i="10"/>
  <c r="U43" i="10"/>
  <c r="U39" i="10"/>
  <c r="U35" i="10"/>
  <c r="U31" i="10"/>
  <c r="U27" i="10"/>
  <c r="U23" i="10"/>
  <c r="U19" i="10"/>
  <c r="U15" i="10"/>
  <c r="U11" i="10"/>
  <c r="U7" i="10"/>
  <c r="U510" i="10"/>
  <c r="U506" i="10"/>
  <c r="U502" i="10"/>
  <c r="U498" i="10"/>
  <c r="U494" i="10"/>
  <c r="U490" i="10"/>
  <c r="U486" i="10"/>
  <c r="U482" i="10"/>
  <c r="U478" i="10"/>
  <c r="U474" i="10"/>
  <c r="U470" i="10"/>
  <c r="U466" i="10"/>
  <c r="U462" i="10"/>
  <c r="U458" i="10"/>
  <c r="U454" i="10"/>
  <c r="U450" i="10"/>
  <c r="U446" i="10"/>
  <c r="U442" i="10"/>
  <c r="U438" i="10"/>
  <c r="U434" i="10"/>
  <c r="U430" i="10"/>
  <c r="U426" i="10"/>
  <c r="U422" i="10"/>
  <c r="U418" i="10"/>
  <c r="U414" i="10"/>
  <c r="U410" i="10"/>
  <c r="U406" i="10"/>
  <c r="U402" i="10"/>
  <c r="U398" i="10"/>
  <c r="U394" i="10"/>
  <c r="U390" i="10"/>
  <c r="U386" i="10"/>
  <c r="U382" i="10"/>
  <c r="U378" i="10"/>
  <c r="U374" i="10"/>
  <c r="U370" i="10"/>
  <c r="U366" i="10"/>
  <c r="U362" i="10"/>
  <c r="U358" i="10"/>
  <c r="U354" i="10"/>
  <c r="U350" i="10"/>
  <c r="U346" i="10"/>
  <c r="U342" i="10"/>
  <c r="U338" i="10"/>
  <c r="U334" i="10"/>
  <c r="U330" i="10"/>
  <c r="U326" i="10"/>
  <c r="U322" i="10"/>
  <c r="U318" i="10"/>
  <c r="U314" i="10"/>
  <c r="U310" i="10"/>
  <c r="U306" i="10"/>
  <c r="U302" i="10"/>
  <c r="U298" i="10"/>
  <c r="U294" i="10"/>
  <c r="U721" i="10"/>
  <c r="U717" i="10"/>
  <c r="U713" i="10"/>
  <c r="U709" i="10"/>
  <c r="U705" i="10"/>
  <c r="U701" i="10"/>
  <c r="U697" i="10"/>
  <c r="U693" i="10"/>
  <c r="U689" i="10"/>
  <c r="U685" i="10"/>
  <c r="U681" i="10"/>
  <c r="U677" i="10"/>
  <c r="U673" i="10"/>
  <c r="U669" i="10"/>
  <c r="U665" i="10"/>
  <c r="U661" i="10"/>
  <c r="U657" i="10"/>
  <c r="U653" i="10"/>
  <c r="U649" i="10"/>
  <c r="U645" i="10"/>
  <c r="U641" i="10"/>
  <c r="U637" i="10"/>
  <c r="U633" i="10"/>
  <c r="U629" i="10"/>
  <c r="U625" i="10"/>
  <c r="U621" i="10"/>
  <c r="U617" i="10"/>
  <c r="U613" i="10"/>
  <c r="U609" i="10"/>
  <c r="U605" i="10"/>
  <c r="U601" i="10"/>
  <c r="U597" i="10"/>
  <c r="U593" i="10"/>
  <c r="U589" i="10"/>
  <c r="U585" i="10"/>
  <c r="U581" i="10"/>
  <c r="U577" i="10"/>
  <c r="U573" i="10"/>
  <c r="U569" i="10"/>
  <c r="U565" i="10"/>
  <c r="U561" i="10"/>
  <c r="U557" i="10"/>
  <c r="U553" i="10"/>
  <c r="U549" i="10"/>
  <c r="U545" i="10"/>
  <c r="U541" i="10"/>
  <c r="U537" i="10"/>
  <c r="U533" i="10"/>
  <c r="U529" i="10"/>
  <c r="U525" i="10"/>
  <c r="U521" i="10"/>
  <c r="U517" i="10"/>
  <c r="U513" i="10"/>
  <c r="U509" i="10"/>
  <c r="U505" i="10"/>
  <c r="U501" i="10"/>
  <c r="U497" i="10"/>
  <c r="U493" i="10"/>
  <c r="U489" i="10"/>
  <c r="U485" i="10"/>
  <c r="U481" i="10"/>
  <c r="U477" i="10"/>
  <c r="U473" i="10"/>
  <c r="U469" i="10"/>
  <c r="U465" i="10"/>
  <c r="U461" i="10"/>
  <c r="U457" i="10"/>
  <c r="U453" i="10"/>
  <c r="U449" i="10"/>
  <c r="U445" i="10"/>
  <c r="U441" i="10"/>
  <c r="U437" i="10"/>
  <c r="U433" i="10"/>
  <c r="U429" i="10"/>
  <c r="U425" i="10"/>
  <c r="U421" i="10"/>
  <c r="U417" i="10"/>
  <c r="U413" i="10"/>
  <c r="U409" i="10"/>
  <c r="U405" i="10"/>
  <c r="U401" i="10"/>
  <c r="U397" i="10"/>
  <c r="U393" i="10"/>
  <c r="U389" i="10"/>
  <c r="U385" i="10"/>
  <c r="U381" i="10"/>
  <c r="U377" i="10"/>
  <c r="U373" i="10"/>
  <c r="U369" i="10"/>
  <c r="U365" i="10"/>
  <c r="U361" i="10"/>
  <c r="U357" i="10"/>
  <c r="U353" i="10"/>
  <c r="U349" i="10"/>
  <c r="U345" i="10"/>
  <c r="U341" i="10"/>
  <c r="U337" i="10"/>
  <c r="U333" i="10"/>
  <c r="U329" i="10"/>
  <c r="U325" i="10"/>
  <c r="U321" i="10"/>
  <c r="U317" i="10"/>
  <c r="U313" i="10"/>
  <c r="U309" i="10"/>
  <c r="U305" i="10"/>
  <c r="U301" i="10"/>
  <c r="U297" i="10"/>
  <c r="U293" i="10"/>
  <c r="U289" i="10"/>
  <c r="U285" i="10"/>
  <c r="U281" i="10"/>
  <c r="U277" i="10"/>
  <c r="U273" i="10"/>
  <c r="U269" i="10"/>
  <c r="U265" i="10"/>
  <c r="U261" i="10"/>
  <c r="U257" i="10"/>
  <c r="U253" i="10"/>
  <c r="U249" i="10"/>
  <c r="U245" i="10"/>
  <c r="U241" i="10"/>
  <c r="U237" i="10"/>
  <c r="U233" i="10"/>
  <c r="U229" i="10"/>
  <c r="U225" i="10"/>
  <c r="U221" i="10"/>
  <c r="U217" i="10"/>
  <c r="U213" i="10"/>
  <c r="U209" i="10"/>
  <c r="U205" i="10"/>
  <c r="U201" i="10"/>
  <c r="U197" i="10"/>
  <c r="U193" i="10"/>
  <c r="U189" i="10"/>
  <c r="U185" i="10"/>
  <c r="U181" i="10"/>
  <c r="U177" i="10"/>
  <c r="U173" i="10"/>
  <c r="U169" i="10"/>
  <c r="U165" i="10"/>
  <c r="U161" i="10"/>
  <c r="U157" i="10"/>
  <c r="U153" i="10"/>
  <c r="U149" i="10"/>
  <c r="U145" i="10"/>
  <c r="U141" i="10"/>
  <c r="U290" i="10"/>
  <c r="U286" i="10"/>
  <c r="U282" i="10"/>
  <c r="U278" i="10"/>
  <c r="U274" i="10"/>
  <c r="U270" i="10"/>
  <c r="U266" i="10"/>
  <c r="U262" i="10"/>
  <c r="U258" i="10"/>
  <c r="U254" i="10"/>
  <c r="U250" i="10"/>
  <c r="U246" i="10"/>
  <c r="U242" i="10"/>
  <c r="U238" i="10"/>
  <c r="U234" i="10"/>
  <c r="U230" i="10"/>
  <c r="U226" i="10"/>
  <c r="U222" i="10"/>
  <c r="U218" i="10"/>
  <c r="U214" i="10"/>
  <c r="U210" i="10"/>
  <c r="U206" i="10"/>
  <c r="U202" i="10"/>
  <c r="U198" i="10"/>
  <c r="U194" i="10"/>
  <c r="U190" i="10"/>
  <c r="U186" i="10"/>
  <c r="U182" i="10"/>
  <c r="U178" i="10"/>
  <c r="U174" i="10"/>
  <c r="U170" i="10"/>
  <c r="U166" i="10"/>
  <c r="U162" i="10"/>
  <c r="U158" i="10"/>
  <c r="U154" i="10"/>
  <c r="U150" i="10"/>
  <c r="U146" i="10"/>
  <c r="U142" i="10"/>
  <c r="U138" i="10"/>
  <c r="U134" i="10"/>
  <c r="U130" i="10"/>
  <c r="U126" i="10"/>
  <c r="U122" i="10"/>
  <c r="U118" i="10"/>
  <c r="U114" i="10"/>
  <c r="U110" i="10"/>
  <c r="U106" i="10"/>
  <c r="U102" i="10"/>
  <c r="U98" i="10"/>
  <c r="U94" i="10"/>
  <c r="U90" i="10"/>
  <c r="U86" i="10"/>
  <c r="U82" i="10"/>
  <c r="U78" i="10"/>
  <c r="U74" i="10"/>
  <c r="U70" i="10"/>
  <c r="U66" i="10"/>
  <c r="U62" i="10"/>
  <c r="U58" i="10"/>
  <c r="U54" i="10"/>
  <c r="U50" i="10"/>
  <c r="U46" i="10"/>
  <c r="U42" i="10"/>
  <c r="U38" i="10"/>
  <c r="U34" i="10"/>
  <c r="U30" i="10"/>
  <c r="U26" i="10"/>
  <c r="U22" i="10"/>
  <c r="U18" i="10"/>
  <c r="U14" i="10"/>
  <c r="U10" i="10"/>
  <c r="U6" i="10"/>
  <c r="U137" i="10"/>
  <c r="U133" i="10"/>
  <c r="U129" i="10"/>
  <c r="U125" i="10"/>
  <c r="U121" i="10"/>
  <c r="U117" i="10"/>
  <c r="U113" i="10"/>
  <c r="U109" i="10"/>
  <c r="U105" i="10"/>
  <c r="U101" i="10"/>
  <c r="U97" i="10"/>
  <c r="U93" i="10"/>
  <c r="U89" i="10"/>
  <c r="U85" i="10"/>
  <c r="U81" i="10"/>
  <c r="U77" i="10"/>
  <c r="U73" i="10"/>
  <c r="U69" i="10"/>
  <c r="U65" i="10"/>
  <c r="U61" i="10"/>
  <c r="U57" i="10"/>
  <c r="U53" i="10"/>
  <c r="U49" i="10"/>
  <c r="U45" i="10"/>
  <c r="U41" i="10"/>
  <c r="U37" i="10"/>
  <c r="U33" i="10"/>
  <c r="U29" i="10"/>
  <c r="U25" i="10"/>
  <c r="U21" i="10"/>
  <c r="U17" i="10"/>
  <c r="U13" i="10"/>
  <c r="U9" i="10"/>
  <c r="U5" i="10"/>
  <c r="U228" i="10"/>
  <c r="U224" i="10"/>
  <c r="U220" i="10"/>
  <c r="U216" i="10"/>
  <c r="U212" i="10"/>
  <c r="U208" i="10"/>
  <c r="U204" i="10"/>
  <c r="U200" i="10"/>
  <c r="U196" i="10"/>
  <c r="U192" i="10"/>
  <c r="U188" i="10"/>
  <c r="U184" i="10"/>
  <c r="U180" i="10"/>
  <c r="U176" i="10"/>
  <c r="U172" i="10"/>
  <c r="U168" i="10"/>
  <c r="U164" i="10"/>
  <c r="U160" i="10"/>
  <c r="U156" i="10"/>
  <c r="U152" i="10"/>
  <c r="U148" i="10"/>
  <c r="U144" i="10"/>
  <c r="U140" i="10"/>
  <c r="U136" i="10"/>
  <c r="U132" i="10"/>
  <c r="U128" i="10"/>
  <c r="U124" i="10"/>
  <c r="U120" i="10"/>
  <c r="U116" i="10"/>
  <c r="U112" i="10"/>
  <c r="U108" i="10"/>
  <c r="U104" i="10"/>
  <c r="U100" i="10"/>
  <c r="U96" i="10"/>
  <c r="U92" i="10"/>
  <c r="U88" i="10"/>
  <c r="U84" i="10"/>
  <c r="U80" i="10"/>
  <c r="U76" i="10"/>
  <c r="U72" i="10"/>
  <c r="U68" i="10"/>
  <c r="U64" i="10"/>
  <c r="U60" i="10"/>
  <c r="U56" i="10"/>
  <c r="U52" i="10"/>
  <c r="U48" i="10"/>
  <c r="U44" i="10"/>
  <c r="U40" i="10"/>
  <c r="U36" i="10"/>
  <c r="U32" i="10"/>
  <c r="U28" i="10"/>
  <c r="U24" i="10"/>
  <c r="U20" i="10"/>
  <c r="U16" i="10"/>
  <c r="U12" i="10"/>
  <c r="U8" i="10"/>
  <c r="U4" i="10"/>
  <c r="AC11" i="10"/>
  <c r="AC10" i="10"/>
  <c r="AC9" i="10" l="1"/>
  <c r="AC7" i="10" l="1"/>
  <c r="AC8" i="10"/>
  <c r="AB8" i="10"/>
  <c r="AC6" i="10"/>
  <c r="Z146" i="10"/>
  <c r="AC5" i="10"/>
  <c r="AC4" i="10"/>
  <c r="AC3" i="10"/>
  <c r="AB10" i="10"/>
  <c r="AB6" i="10"/>
  <c r="AB4" i="10"/>
  <c r="AB5" i="10"/>
  <c r="AB7" i="10"/>
  <c r="AB9" i="10"/>
  <c r="AB11" i="10"/>
  <c r="AB12" i="10"/>
  <c r="AB13" i="10"/>
  <c r="AB14" i="10"/>
  <c r="AB3" i="10"/>
</calcChain>
</file>

<file path=xl/sharedStrings.xml><?xml version="1.0" encoding="utf-8"?>
<sst xmlns="http://schemas.openxmlformats.org/spreadsheetml/2006/main" count="33026" uniqueCount="2105">
  <si>
    <t>MINOR</t>
  </si>
  <si>
    <t>DAY</t>
  </si>
  <si>
    <t>IMSS</t>
  </si>
  <si>
    <t>Admin/HR/IT</t>
  </si>
  <si>
    <t>AMCARE NonOcc In</t>
  </si>
  <si>
    <t>AMZN</t>
  </si>
  <si>
    <t>Fuentes,Jacob</t>
  </si>
  <si>
    <t>Madrid Molina,Ramon</t>
  </si>
  <si>
    <t>Segura,Lucero</t>
  </si>
  <si>
    <t>Porcar Guri,Albert</t>
  </si>
  <si>
    <t>dolor de cabeza</t>
  </si>
  <si>
    <t>Serna,Denisse</t>
  </si>
  <si>
    <t>malestar odontologico</t>
  </si>
  <si>
    <t>Padilla,Samantha</t>
  </si>
  <si>
    <t>Hernandez,Nataly</t>
  </si>
  <si>
    <t>diarrea</t>
  </si>
  <si>
    <t>Ceja Sanchez,Jonathan</t>
  </si>
  <si>
    <t>Ledezma,Fer</t>
  </si>
  <si>
    <t>mareo/dolor de cabeza</t>
  </si>
  <si>
    <t>Gomez Gutierrez,Vero</t>
  </si>
  <si>
    <t>dolor de garganta</t>
  </si>
  <si>
    <t>TEMP</t>
  </si>
  <si>
    <t>Zuniga Saucedo,Estefania</t>
  </si>
  <si>
    <t>Garcia Infante,Sergio</t>
  </si>
  <si>
    <t>Olmos,Carmen</t>
  </si>
  <si>
    <t>dolor de estomago</t>
  </si>
  <si>
    <t>Day</t>
  </si>
  <si>
    <t>Process Name</t>
  </si>
  <si>
    <t>Function Name</t>
  </si>
  <si>
    <t>Employee Type</t>
  </si>
  <si>
    <t>Employee Id</t>
  </si>
  <si>
    <t>Name</t>
  </si>
  <si>
    <t>Manager</t>
  </si>
  <si>
    <t>Paid Hours-Small(function,employee)</t>
  </si>
  <si>
    <t>Paid Hours-Medium(function,employee)</t>
  </si>
  <si>
    <t>Paid Hours-Large(function,employee)</t>
  </si>
  <si>
    <t>Paid Hours-HeavyBulky(function,employee)</t>
  </si>
  <si>
    <t>Paid Hours-Total(function,employee)</t>
  </si>
  <si>
    <t>Status</t>
  </si>
  <si>
    <t>Login</t>
  </si>
  <si>
    <t>Comentarios</t>
  </si>
  <si>
    <t>Incidentes</t>
  </si>
  <si>
    <t>Retroalimentaciones</t>
  </si>
  <si>
    <t>Tecla,Alejandro</t>
  </si>
  <si>
    <t>Robledo Ugarte,Alejandro</t>
  </si>
  <si>
    <t>Robledo Barrientos,Logan</t>
  </si>
  <si>
    <t>Jaime Perez,Ana</t>
  </si>
  <si>
    <t>Gomez Aguado,Jorge</t>
  </si>
  <si>
    <t>Ramirez Munoz,Alfredo</t>
  </si>
  <si>
    <t>Corona Arriaga,Fernando</t>
  </si>
  <si>
    <t>Isaac,Geovanna</t>
  </si>
  <si>
    <t>Hurtado,Caty</t>
  </si>
  <si>
    <t>Llamas,Jonathan</t>
  </si>
  <si>
    <t>Torres Zuniga,Daniel</t>
  </si>
  <si>
    <t>Row Labels</t>
  </si>
  <si>
    <t>Grand Total</t>
  </si>
  <si>
    <t>Sum of Paid Hours-Total(function,employee)</t>
  </si>
  <si>
    <t>Conteo</t>
  </si>
  <si>
    <t>Employee id</t>
  </si>
  <si>
    <t>phrna</t>
  </si>
  <si>
    <t>angljua</t>
  </si>
  <si>
    <t>bocardo</t>
  </si>
  <si>
    <t>sergita</t>
  </si>
  <si>
    <t>caldmjos</t>
  </si>
  <si>
    <t>irvinala</t>
  </si>
  <si>
    <t>madiazzz</t>
  </si>
  <si>
    <t>ruzcvict</t>
  </si>
  <si>
    <t>jomotaco</t>
  </si>
  <si>
    <t>luisfegu</t>
  </si>
  <si>
    <t>ramonlco</t>
  </si>
  <si>
    <t>juanapam</t>
  </si>
  <si>
    <t>anacecor</t>
  </si>
  <si>
    <t>dianacec</t>
  </si>
  <si>
    <t>ravsofia</t>
  </si>
  <si>
    <t>zchvazqu</t>
  </si>
  <si>
    <t>shernadt</t>
  </si>
  <si>
    <t>oortizce</t>
  </si>
  <si>
    <t>privejor</t>
  </si>
  <si>
    <t>egortega</t>
  </si>
  <si>
    <t>omarleoa</t>
  </si>
  <si>
    <t>moralefs</t>
  </si>
  <si>
    <t>tjuandne</t>
  </si>
  <si>
    <t>luzblanc</t>
  </si>
  <si>
    <t>gakjessi</t>
  </si>
  <si>
    <t>hvcharli</t>
  </si>
  <si>
    <t>sergelor</t>
  </si>
  <si>
    <t>franmorb</t>
  </si>
  <si>
    <t>rociodro</t>
  </si>
  <si>
    <t>nalexgom</t>
  </si>
  <si>
    <t>valderle</t>
  </si>
  <si>
    <t>wrocirod</t>
  </si>
  <si>
    <t>ariggarc</t>
  </si>
  <si>
    <t>arevamau</t>
  </si>
  <si>
    <t>ljorgeto</t>
  </si>
  <si>
    <t>earelili</t>
  </si>
  <si>
    <t>antonitq</t>
  </si>
  <si>
    <t>aguirrnj</t>
  </si>
  <si>
    <t>qhojulie</t>
  </si>
  <si>
    <t>samualbg</t>
  </si>
  <si>
    <t>aguirrak</t>
  </si>
  <si>
    <t>jorochai</t>
  </si>
  <si>
    <t>ivanpsan</t>
  </si>
  <si>
    <t>cperezha</t>
  </si>
  <si>
    <t>facastip</t>
  </si>
  <si>
    <t>hildacec</t>
  </si>
  <si>
    <t>romariun</t>
  </si>
  <si>
    <t>afmendez</t>
  </si>
  <si>
    <t>sarojast</t>
  </si>
  <si>
    <t>genevmor</t>
  </si>
  <si>
    <t>oespiali</t>
  </si>
  <si>
    <t>hesdenis</t>
  </si>
  <si>
    <t>virimuni</t>
  </si>
  <si>
    <t>kaarsanc</t>
  </si>
  <si>
    <t>lurochae</t>
  </si>
  <si>
    <t>xedithsa</t>
  </si>
  <si>
    <t>riojoeli</t>
  </si>
  <si>
    <t>coloralu</t>
  </si>
  <si>
    <t>grkatery</t>
  </si>
  <si>
    <t>cueplalo</t>
  </si>
  <si>
    <t>simariaf</t>
  </si>
  <si>
    <t>anzpalom</t>
  </si>
  <si>
    <t>creyesal</t>
  </si>
  <si>
    <t>luriverr</t>
  </si>
  <si>
    <t>sotodelv</t>
  </si>
  <si>
    <t>cdanirom</t>
  </si>
  <si>
    <t>robrodrs</t>
  </si>
  <si>
    <t>fadtrejo</t>
  </si>
  <si>
    <t>cemilini</t>
  </si>
  <si>
    <t>joseulo</t>
  </si>
  <si>
    <t>velaangl</t>
  </si>
  <si>
    <t>garcyand</t>
  </si>
  <si>
    <t>cruzbana</t>
  </si>
  <si>
    <t>perezrro</t>
  </si>
  <si>
    <t>csantibl</t>
  </si>
  <si>
    <t>cortesjj</t>
  </si>
  <si>
    <t>aladriav</t>
  </si>
  <si>
    <t>fjoseero</t>
  </si>
  <si>
    <t>adonairk</t>
  </si>
  <si>
    <t>ugonzgui</t>
  </si>
  <si>
    <t>afatimae</t>
  </si>
  <si>
    <t>carhriva</t>
  </si>
  <si>
    <t>maryjacp</t>
  </si>
  <si>
    <t>lsisrael</t>
  </si>
  <si>
    <t>samajpad</t>
  </si>
  <si>
    <t>aravilac</t>
  </si>
  <si>
    <t>eserenca</t>
  </si>
  <si>
    <t>normaelo</t>
  </si>
  <si>
    <t>rpabloul</t>
  </si>
  <si>
    <t>mclaudol</t>
  </si>
  <si>
    <t>csandrak</t>
  </si>
  <si>
    <t>vandgome</t>
  </si>
  <si>
    <t>alysonza</t>
  </si>
  <si>
    <t>spercesa</t>
  </si>
  <si>
    <t>fabrhern</t>
  </si>
  <si>
    <t>nperezmc</t>
  </si>
  <si>
    <t>ppalmari</t>
  </si>
  <si>
    <t>barrgiof</t>
  </si>
  <si>
    <t>uargoten</t>
  </si>
  <si>
    <t>jcarlgas</t>
  </si>
  <si>
    <t>garamird</t>
  </si>
  <si>
    <t>partilum</t>
  </si>
  <si>
    <t>ronjosea</t>
  </si>
  <si>
    <t>rfcervan</t>
  </si>
  <si>
    <t>gperezrp</t>
  </si>
  <si>
    <t>lirareyj</t>
  </si>
  <si>
    <t>dnaldair</t>
  </si>
  <si>
    <t>fraugene</t>
  </si>
  <si>
    <t>dnmanuel</t>
  </si>
  <si>
    <t>rsanccri</t>
  </si>
  <si>
    <t>erikaadm</t>
  </si>
  <si>
    <t>umendoju</t>
  </si>
  <si>
    <t>wnoraria</t>
  </si>
  <si>
    <t>lupaguin</t>
  </si>
  <si>
    <t>zlopamer</t>
  </si>
  <si>
    <t>brepicaz</t>
  </si>
  <si>
    <t>dolozane</t>
  </si>
  <si>
    <t>vermauri</t>
  </si>
  <si>
    <t>raulopex</t>
  </si>
  <si>
    <t>sericrio</t>
  </si>
  <si>
    <t>myriamav</t>
  </si>
  <si>
    <t>polettpu</t>
  </si>
  <si>
    <t>diamartd</t>
  </si>
  <si>
    <t>admalago</t>
  </si>
  <si>
    <t>mavpauli</t>
  </si>
  <si>
    <t>hgerardr</t>
  </si>
  <si>
    <t>aldojasw</t>
  </si>
  <si>
    <t>urbistep</t>
  </si>
  <si>
    <t>nilaurab</t>
  </si>
  <si>
    <t>qisgeova</t>
  </si>
  <si>
    <t>delgadax</t>
  </si>
  <si>
    <t>kgutierc</t>
  </si>
  <si>
    <t>cescornh</t>
  </si>
  <si>
    <t>xcathurt</t>
  </si>
  <si>
    <t>rodrmacj</t>
  </si>
  <si>
    <t>ortfernj</t>
  </si>
  <si>
    <t>taldaher</t>
  </si>
  <si>
    <t>carchico</t>
  </si>
  <si>
    <t>josedmef</t>
  </si>
  <si>
    <t>caherras</t>
  </si>
  <si>
    <t>padillms</t>
  </si>
  <si>
    <t>juanpmun</t>
  </si>
  <si>
    <t>heryyola</t>
  </si>
  <si>
    <t>belmedua</t>
  </si>
  <si>
    <t>juandidu</t>
  </si>
  <si>
    <t>reyesmcw</t>
  </si>
  <si>
    <t>hejorgea</t>
  </si>
  <si>
    <t>ariaszee</t>
  </si>
  <si>
    <t>hmendobr</t>
  </si>
  <si>
    <t>srodcaro</t>
  </si>
  <si>
    <t>contrexj</t>
  </si>
  <si>
    <t>dulceami</t>
  </si>
  <si>
    <t>ldianade</t>
  </si>
  <si>
    <t>zjorgedi</t>
  </si>
  <si>
    <t>jwmaldon</t>
  </si>
  <si>
    <t>gascfdan</t>
  </si>
  <si>
    <t>dangongo</t>
  </si>
  <si>
    <t>olivlizb</t>
  </si>
  <si>
    <t>garmanum</t>
  </si>
  <si>
    <t>cetinocr</t>
  </si>
  <si>
    <t>veraferq</t>
  </si>
  <si>
    <t>gonmrco</t>
  </si>
  <si>
    <t>tcjosera</t>
  </si>
  <si>
    <t>edwartcj</t>
  </si>
  <si>
    <t>shift_pattern_code</t>
  </si>
  <si>
    <t>DB-X0700</t>
  </si>
  <si>
    <t>DA-X0700</t>
  </si>
  <si>
    <t>D5-X0700</t>
  </si>
  <si>
    <t>DX-X0700</t>
  </si>
  <si>
    <t>DC-X0700</t>
  </si>
  <si>
    <t>DJ-X0700</t>
  </si>
  <si>
    <t>DR-X0700</t>
  </si>
  <si>
    <t>DE-X0700</t>
  </si>
  <si>
    <t>Adinamia</t>
  </si>
  <si>
    <t>Lumbalgia</t>
  </si>
  <si>
    <t>cefalea</t>
  </si>
  <si>
    <t>Colación DM1</t>
  </si>
  <si>
    <t>odinofagia</t>
  </si>
  <si>
    <t>OP2 PLAN</t>
  </si>
  <si>
    <t>JAN</t>
  </si>
  <si>
    <t>FEB</t>
  </si>
  <si>
    <t>MAR</t>
  </si>
  <si>
    <t>APR</t>
  </si>
  <si>
    <t>MAY</t>
  </si>
  <si>
    <t>JUN</t>
  </si>
  <si>
    <t>JUL</t>
  </si>
  <si>
    <t>SEP</t>
  </si>
  <si>
    <t>OCT</t>
  </si>
  <si>
    <t>NOV</t>
  </si>
  <si>
    <t>DEC</t>
  </si>
  <si>
    <t>Espinosa,Consuelo</t>
  </si>
  <si>
    <t>Rosas Negrete,Sebastian</t>
  </si>
  <si>
    <t>Valderrama Gomez,Leslie</t>
  </si>
  <si>
    <t>Rocha,Jose</t>
  </si>
  <si>
    <t>Garcia Espejel,Brenda Victoria</t>
  </si>
  <si>
    <t>Rodriguez Ponce,Gaby</t>
  </si>
  <si>
    <t>Camacho Ramirez,Carlos</t>
  </si>
  <si>
    <t>Dolor Abdominal</t>
  </si>
  <si>
    <t>Mialgia pie</t>
  </si>
  <si>
    <t>Rinofaringitis</t>
  </si>
  <si>
    <t>Naúseas y vómito, Emb. 12 sdg.</t>
  </si>
  <si>
    <t>mialgia mano</t>
  </si>
  <si>
    <t>Rojas,Samuel</t>
  </si>
  <si>
    <t>Aguirre Palomino,Ana</t>
  </si>
  <si>
    <t>Lopez,Alexa</t>
  </si>
  <si>
    <t>Olguin,Claudia</t>
  </si>
  <si>
    <t>Aguilera,Yaremi</t>
  </si>
  <si>
    <t>Diaz Sandoval,Geovanni</t>
  </si>
  <si>
    <t>Frausto,Genesis</t>
  </si>
  <si>
    <t>Gomez,Abinadab</t>
  </si>
  <si>
    <t>Sanchez Villegas,Benjamin</t>
  </si>
  <si>
    <t>Olvera Munoz,Isabel</t>
  </si>
  <si>
    <t>Salazar Segura,Raul</t>
  </si>
  <si>
    <t>Guevara Ramirez,Zayra Lorena</t>
  </si>
  <si>
    <t>MARTNEZ,EMILIANO</t>
  </si>
  <si>
    <t>Delgado,Bryan</t>
  </si>
  <si>
    <t>Úlcera en pie</t>
  </si>
  <si>
    <t>Mareo</t>
  </si>
  <si>
    <t xml:space="preserve">Valoración </t>
  </si>
  <si>
    <t>Mialgia Pie</t>
  </si>
  <si>
    <t>otalgia</t>
  </si>
  <si>
    <t>Valoración de restricción</t>
  </si>
  <si>
    <t>Alanis Hernandez,Patricia</t>
  </si>
  <si>
    <t>Pizana,Diego</t>
  </si>
  <si>
    <t>Lopez Neri,Norma</t>
  </si>
  <si>
    <t>Garcia  Ramirez,Gabriel</t>
  </si>
  <si>
    <t>Piedra,Valentina</t>
  </si>
  <si>
    <t>Herrada,Carlos</t>
  </si>
  <si>
    <t>MONTH</t>
  </si>
  <si>
    <t>PER</t>
  </si>
  <si>
    <t>GOAL</t>
  </si>
  <si>
    <t>dolor en espalda</t>
  </si>
  <si>
    <t>dolor estomacal</t>
  </si>
  <si>
    <t>varices</t>
  </si>
  <si>
    <t>hipertension</t>
  </si>
  <si>
    <t>Murillo,Alejandro</t>
  </si>
  <si>
    <t>Gutierrez Portillo,Joceline</t>
  </si>
  <si>
    <t>Balderas Diaz,Issa</t>
  </si>
  <si>
    <t>Argote,Enrique</t>
  </si>
  <si>
    <t>Romero Sanchez,Gustavo Gabriel</t>
  </si>
  <si>
    <t>Reyes Andrade,Diego</t>
  </si>
  <si>
    <t>Gutierrez,Geisel</t>
  </si>
  <si>
    <t>Padilla Abrego,Angeles</t>
  </si>
  <si>
    <t>Sanchez Garcia,Adriana</t>
  </si>
  <si>
    <t>vertigo</t>
  </si>
  <si>
    <t>dolor en pierna</t>
  </si>
  <si>
    <t>fatiga</t>
  </si>
  <si>
    <t>IVU</t>
  </si>
  <si>
    <t xml:space="preserve">edema mano </t>
  </si>
  <si>
    <t>hiperglucmia</t>
  </si>
  <si>
    <t>dolor en garganta</t>
  </si>
  <si>
    <t>CH</t>
  </si>
  <si>
    <t>Rojas,Luis</t>
  </si>
  <si>
    <t>Santibanez Garcia,Luisa</t>
  </si>
  <si>
    <t>Jasso Sanchez,Montserrat</t>
  </si>
  <si>
    <t>Tavares Parra,Ely</t>
  </si>
  <si>
    <t>Garcia,Mauricio Antonio De la lama</t>
  </si>
  <si>
    <t>Zagal,Adrian</t>
  </si>
  <si>
    <t>Gutierrez,Hector</t>
  </si>
  <si>
    <t>gripa</t>
  </si>
  <si>
    <t>molestia en espalda</t>
  </si>
  <si>
    <t>dolor muscular</t>
  </si>
  <si>
    <t>Valtierra,Alejandra</t>
  </si>
  <si>
    <t>Cruz Hernandez,Cris</t>
  </si>
  <si>
    <t>RamÃ­rez,Miranda</t>
  </si>
  <si>
    <t>Jacobo,Mary</t>
  </si>
  <si>
    <t>molestia en pierna</t>
  </si>
  <si>
    <t>Alejandri Villagomez,Alejandra</t>
  </si>
  <si>
    <t>Hernandez,Andrea</t>
  </si>
  <si>
    <t>Gomez,Andrea</t>
  </si>
  <si>
    <t>Cervantes,Rose</t>
  </si>
  <si>
    <t>Puente Aguilar,Polette</t>
  </si>
  <si>
    <t>Gutierrez,Pame</t>
  </si>
  <si>
    <t>Camarena,Grecia</t>
  </si>
  <si>
    <t>Rivera Ramirez,Jorge</t>
  </si>
  <si>
    <t>Espinoza,Francisco</t>
  </si>
  <si>
    <t>Cabrera Sanchez,Eber</t>
  </si>
  <si>
    <t>Padilla,Jandy</t>
  </si>
  <si>
    <t>Ramirez Vallejo,Kateryne</t>
  </si>
  <si>
    <t>Reyes  Montes de oca,Alejandra</t>
  </si>
  <si>
    <t>Perez,Georgina</t>
  </si>
  <si>
    <t>Rivera Hernandez,Liliana</t>
  </si>
  <si>
    <t>Becerra Pardo,Arlet</t>
  </si>
  <si>
    <t>Pardo,Fabian Oswaldo</t>
  </si>
  <si>
    <t>Ciatalgia</t>
  </si>
  <si>
    <t>Hallux Valgus</t>
  </si>
  <si>
    <t>Hipertensión Arterial</t>
  </si>
  <si>
    <t>Baja</t>
  </si>
  <si>
    <t>Mialgia Pies</t>
  </si>
  <si>
    <t>Rinitis Alérgica</t>
  </si>
  <si>
    <t>Dolor Tobillo</t>
  </si>
  <si>
    <t>Mialgia</t>
  </si>
  <si>
    <t>Mialgia Rodilla</t>
  </si>
  <si>
    <t>Derrame ocular</t>
  </si>
  <si>
    <t>Gastrocolitis</t>
  </si>
  <si>
    <t>dolor en rodilla</t>
  </si>
  <si>
    <t xml:space="preserve">MINOR </t>
  </si>
  <si>
    <t>Ovalle Gomez,Mayte</t>
  </si>
  <si>
    <t>Rojas  Cuellar,Jacqueline</t>
  </si>
  <si>
    <t>Ortiz,Fernando</t>
  </si>
  <si>
    <t>sinusitis, mialgia pie</t>
  </si>
  <si>
    <t>mareo</t>
  </si>
  <si>
    <t>Minor incident</t>
  </si>
  <si>
    <t>Cansancio pies</t>
  </si>
  <si>
    <t>valoración Top offender</t>
  </si>
  <si>
    <t>Mialgia pierna</t>
  </si>
  <si>
    <t>Maldonado Hernandez,Miguel</t>
  </si>
  <si>
    <t>Sanchez,Diego Saldana</t>
  </si>
  <si>
    <t>Roldan Gutierrez,Pablo</t>
  </si>
  <si>
    <t>Lino,Luisa</t>
  </si>
  <si>
    <t>Angeles,Fernando</t>
  </si>
  <si>
    <t>Reyes Andrade,Oscar</t>
  </si>
  <si>
    <t>Flores,Alejandro</t>
  </si>
  <si>
    <t>Suchil Angel,Guillermo</t>
  </si>
  <si>
    <t>Arias Sanchez,Nora</t>
  </si>
  <si>
    <t>Aguilar Ibarra,Lupe</t>
  </si>
  <si>
    <t xml:space="preserve">Dermatitis </t>
  </si>
  <si>
    <t xml:space="preserve">IVU </t>
  </si>
  <si>
    <t>Aplicación gotas ojos</t>
  </si>
  <si>
    <t>Mialgia Talon</t>
  </si>
  <si>
    <t>Negrete Gallardo,Tony</t>
  </si>
  <si>
    <t>Martinez Becerra,Paulina</t>
  </si>
  <si>
    <t>Romero,Maria</t>
  </si>
  <si>
    <t>Rodriguez Gonzalez,Neidy</t>
  </si>
  <si>
    <t>Mialgia tobillo</t>
  </si>
  <si>
    <t>Dismenorrea</t>
  </si>
  <si>
    <t>Intoxicaxión</t>
  </si>
  <si>
    <t>Quemadura 1° grado</t>
  </si>
  <si>
    <t>Palomo,Lizbeth</t>
  </si>
  <si>
    <t>Alfaro Escobar,Angel</t>
  </si>
  <si>
    <t>Avila,Mary</t>
  </si>
  <si>
    <t>Hernandez Olvera,Gisela</t>
  </si>
  <si>
    <t xml:space="preserve">valoración </t>
  </si>
  <si>
    <t>odontalgia</t>
  </si>
  <si>
    <t>Gastroenteritis</t>
  </si>
  <si>
    <t>irritación ocular</t>
  </si>
  <si>
    <t>Ornelas,Karla</t>
  </si>
  <si>
    <t>Avila Cabrera,Ari</t>
  </si>
  <si>
    <t>Mendoza Estrada,Juan</t>
  </si>
  <si>
    <t>Cornejo,Cesar</t>
  </si>
  <si>
    <t>Duran Villegas,Juan Diego</t>
  </si>
  <si>
    <t>Martinez Alvarez,Arturo</t>
  </si>
  <si>
    <t>Safety</t>
  </si>
  <si>
    <t>Rocha,Luz</t>
  </si>
  <si>
    <t>Munoz,Jonan</t>
  </si>
  <si>
    <t>revision</t>
  </si>
  <si>
    <t>dolor de espalda</t>
  </si>
  <si>
    <t>dolor en pie</t>
  </si>
  <si>
    <t>Dolor de rodilla</t>
  </si>
  <si>
    <t>NON</t>
  </si>
  <si>
    <t>dolor</t>
  </si>
  <si>
    <t>dolor de pierna</t>
  </si>
  <si>
    <t>seguimiento</t>
  </si>
  <si>
    <t>dolor de tobillo</t>
  </si>
  <si>
    <t>colacion</t>
  </si>
  <si>
    <t>dolor en espinilla</t>
  </si>
  <si>
    <t>Padilla Abrego,Selene</t>
  </si>
  <si>
    <t>Blee,Fabian</t>
  </si>
  <si>
    <t>BaÃ±os Lopez,Mario</t>
  </si>
  <si>
    <t>nauseas</t>
  </si>
  <si>
    <t>lumbalgia</t>
  </si>
  <si>
    <t>mialgia</t>
  </si>
  <si>
    <t>mialgias</t>
  </si>
  <si>
    <t>molestia en tobillo</t>
  </si>
  <si>
    <t>hiperglucemia</t>
  </si>
  <si>
    <t>Tellez Nunez,Enrique</t>
  </si>
  <si>
    <t>Esparza Sanchez,Areli</t>
  </si>
  <si>
    <t>Tapia,Antonio Torres</t>
  </si>
  <si>
    <t>Cruz Martinez,Salvador</t>
  </si>
  <si>
    <t>Herrera,Aldair</t>
  </si>
  <si>
    <t>Becerra Pardo,Miguel</t>
  </si>
  <si>
    <t>Tavares,Alejandra</t>
  </si>
  <si>
    <t>Guevara,Irma Martinez</t>
  </si>
  <si>
    <t xml:space="preserve">mialgia en pierna </t>
  </si>
  <si>
    <t>mialgia en tobillo</t>
  </si>
  <si>
    <t xml:space="preserve">mialgia </t>
  </si>
  <si>
    <t>Espina Miranda,Estrella</t>
  </si>
  <si>
    <t>Mojica  Gallardo,Jonathan</t>
  </si>
  <si>
    <t>Reyes Muniz,Cristian</t>
  </si>
  <si>
    <t>AMCARE Occ In</t>
  </si>
  <si>
    <t>Larrazolo Pena,Ireri</t>
  </si>
  <si>
    <t>Barron,Abraham</t>
  </si>
  <si>
    <t>Gonzalez Gonzalez,Antonio</t>
  </si>
  <si>
    <t>Contreras,Marco</t>
  </si>
  <si>
    <t>resfriado comun</t>
  </si>
  <si>
    <t>Ibarra,Jose</t>
  </si>
  <si>
    <t>Romero,Daniel</t>
  </si>
  <si>
    <t>Tiempo editado</t>
  </si>
  <si>
    <t>Cortes Elias,Jessica</t>
  </si>
  <si>
    <t>Vela Angeles,Fernanda</t>
  </si>
  <si>
    <t>Garcia,Roberto</t>
  </si>
  <si>
    <t>Talco Torres,Cristian</t>
  </si>
  <si>
    <t>Mialgia pies</t>
  </si>
  <si>
    <t>mialgia pie</t>
  </si>
  <si>
    <t>artralgia</t>
  </si>
  <si>
    <t>Toma de presión</t>
  </si>
  <si>
    <t>Week</t>
  </si>
  <si>
    <t>Castillo Falcon,Sheyla</t>
  </si>
  <si>
    <t>Muniz,Viri</t>
  </si>
  <si>
    <t>Soto,Victoria</t>
  </si>
  <si>
    <t>Cortes,Alejandra</t>
  </si>
  <si>
    <t>Martinez  Trueba,Angel</t>
  </si>
  <si>
    <t>Cabrera Velazquez,Sandy</t>
  </si>
  <si>
    <t>Diaz,Manuel</t>
  </si>
  <si>
    <t>Mercado,Erika</t>
  </si>
  <si>
    <t>Lozano Hernandez,Donny</t>
  </si>
  <si>
    <t>Navarro,Miriam</t>
  </si>
  <si>
    <t>epistaxis</t>
  </si>
  <si>
    <t>migraña</t>
  </si>
  <si>
    <t>adinamia</t>
  </si>
  <si>
    <t>gastrocolitis</t>
  </si>
  <si>
    <t>Jasso Miranda,Aldo</t>
  </si>
  <si>
    <t>Minor Incident</t>
  </si>
  <si>
    <t>Loya Torres,Omar</t>
  </si>
  <si>
    <t>Hernandez Gutierrez,Lizeth</t>
  </si>
  <si>
    <t>Alba,Samuel</t>
  </si>
  <si>
    <t>Flores Lopez,Ricardo</t>
  </si>
  <si>
    <t>Contreras,Jony</t>
  </si>
  <si>
    <t>alergia</t>
  </si>
  <si>
    <t>Gomez Meza,Alex</t>
  </si>
  <si>
    <t>Ortega,Elizabeth</t>
  </si>
  <si>
    <t>Hernandez Oropeza,Gabriel</t>
  </si>
  <si>
    <t>Romero Escobar,Gerardo</t>
  </si>
  <si>
    <t>Nieves Mendez,Laura</t>
  </si>
  <si>
    <t>hipotension</t>
  </si>
  <si>
    <t>dolor en ingle</t>
  </si>
  <si>
    <t>dolor en piernas</t>
  </si>
  <si>
    <t>molestia en rodilla</t>
  </si>
  <si>
    <t>flictenas en planta de los pies</t>
  </si>
  <si>
    <t>Vazquez Rodriguez,Christian</t>
  </si>
  <si>
    <t>Neri Zuniga,Ricardo</t>
  </si>
  <si>
    <t>Palomino,Mariano</t>
  </si>
  <si>
    <t>Rivera,Mariana</t>
  </si>
  <si>
    <t>Santiago Ramirez,Six</t>
  </si>
  <si>
    <t>Villafranca,Tessa</t>
  </si>
  <si>
    <t>Martinez Gonzalez,Erik</t>
  </si>
  <si>
    <t>tos</t>
  </si>
  <si>
    <t>valoracion</t>
  </si>
  <si>
    <t>mareo y vomito</t>
  </si>
  <si>
    <t>dolor de pies</t>
  </si>
  <si>
    <t>colico menstrual</t>
  </si>
  <si>
    <t>Horta,Julieta</t>
  </si>
  <si>
    <t>Zavala,Diego</t>
  </si>
  <si>
    <t>Macias,Rodrigo</t>
  </si>
  <si>
    <t>dolor de dientes</t>
  </si>
  <si>
    <t>cuadro gripal</t>
  </si>
  <si>
    <t>dolor de rodilla, se envia al imss</t>
  </si>
  <si>
    <t>dolor de pie</t>
  </si>
  <si>
    <t xml:space="preserve">minor incident 20 enero </t>
  </si>
  <si>
    <t>Ibarra Amaro,Adriana</t>
  </si>
  <si>
    <t>Diaz de LeÃ³n,Paola</t>
  </si>
  <si>
    <t>Hernandez Romo,Sam</t>
  </si>
  <si>
    <t>Perez Vargas,Carlos</t>
  </si>
  <si>
    <t>HERNANDEZ,GERARDO</t>
  </si>
  <si>
    <t xml:space="preserve">fatiga muscular en piernas </t>
  </si>
  <si>
    <t>toma de TA</t>
  </si>
  <si>
    <t>reflujo</t>
  </si>
  <si>
    <t>non occupational</t>
  </si>
  <si>
    <t>Hipotensión</t>
  </si>
  <si>
    <t>Robledo Barrientos,Alondra</t>
  </si>
  <si>
    <t>Vazquez,Israel</t>
  </si>
  <si>
    <t>Mendoza Corona,Brianda</t>
  </si>
  <si>
    <t>Lopez Nieto,Denisse</t>
  </si>
  <si>
    <t xml:space="preserve">minor incident 22  enero </t>
  </si>
  <si>
    <t>Minos incident</t>
  </si>
  <si>
    <t>Reyes,Jose</t>
  </si>
  <si>
    <t>Embarazo 14 sdg</t>
  </si>
  <si>
    <t>Lopez Gutierrez,Jorge</t>
  </si>
  <si>
    <t>Ansiedad</t>
  </si>
  <si>
    <t>Maldonado,Jose</t>
  </si>
  <si>
    <t>abrasión pie</t>
  </si>
  <si>
    <t>Salida Imss</t>
  </si>
  <si>
    <t>Garcia Nicasio,Luis</t>
  </si>
  <si>
    <t>Ramirez,Andrea</t>
  </si>
  <si>
    <t>Valdespino,Kelly</t>
  </si>
  <si>
    <t>Munoz Macias,Juan Pablo</t>
  </si>
  <si>
    <t>somnolencia</t>
  </si>
  <si>
    <t>Osteocondritis</t>
  </si>
  <si>
    <t>vómito</t>
  </si>
  <si>
    <t>mialgia tobillo</t>
  </si>
  <si>
    <t>Gonzalez,Gustavo</t>
  </si>
  <si>
    <t>Camacho Delgado,Karina</t>
  </si>
  <si>
    <t>Aguilera Calderon,Jose Maria</t>
  </si>
  <si>
    <t>Partida,Luis</t>
  </si>
  <si>
    <t>Rangel,Aguirre</t>
  </si>
  <si>
    <t>gastritis</t>
  </si>
  <si>
    <t>deshidratacion</t>
  </si>
  <si>
    <t>DM1</t>
  </si>
  <si>
    <t>Hernandez Miranda,Reyna</t>
  </si>
  <si>
    <t>dolor de rodilla</t>
  </si>
  <si>
    <t>dolor molar</t>
  </si>
  <si>
    <t>resfrido comun</t>
  </si>
  <si>
    <t>Perez Rodriguez,Luis</t>
  </si>
  <si>
    <t>Sanchez,Cristina</t>
  </si>
  <si>
    <t>Urbina Avila,Stephany</t>
  </si>
  <si>
    <t xml:space="preserve">dolor lumbar por lesion anterior </t>
  </si>
  <si>
    <t xml:space="preserve">ardor en planta de los pies </t>
  </si>
  <si>
    <t>Vega,Bruno</t>
  </si>
  <si>
    <t xml:space="preserve">dolor de garganta </t>
  </si>
  <si>
    <t>RodrÃ­guez,RocÃ­o</t>
  </si>
  <si>
    <t>Morales Beristain,Sugeyt</t>
  </si>
  <si>
    <t>Sanchez,Esiquio</t>
  </si>
  <si>
    <t>dolor en rodilla izquierda</t>
  </si>
  <si>
    <t>minor incident 27/01</t>
  </si>
  <si>
    <t>fatiga muscular por cansancio</t>
  </si>
  <si>
    <t>fatiga musular</t>
  </si>
  <si>
    <t>fatiga muscularf</t>
  </si>
  <si>
    <t>crisis de ansiedad</t>
  </si>
  <si>
    <t>Nunez Lopez,Aldair</t>
  </si>
  <si>
    <t>Garcia Martinez,Alejandro</t>
  </si>
  <si>
    <t>Dorsalgia</t>
  </si>
  <si>
    <t>Mialgia hombro</t>
  </si>
  <si>
    <t>Herida sup. Pie.</t>
  </si>
  <si>
    <t>Zuniga Vazquez,Carlos</t>
  </si>
  <si>
    <t>Zanella Miranda,Alyson</t>
  </si>
  <si>
    <t>Artralia rodilla derecha</t>
  </si>
  <si>
    <t>onicólisis</t>
  </si>
  <si>
    <t>Torres,Axel</t>
  </si>
  <si>
    <t>mareo y debilidad</t>
  </si>
  <si>
    <t>mialgoa</t>
  </si>
  <si>
    <t>Mialgia piernas</t>
  </si>
  <si>
    <t>Espinosa Espitia,Ali</t>
  </si>
  <si>
    <t>Perez Ramirez,Cesar</t>
  </si>
  <si>
    <t xml:space="preserve">dolor en espalda </t>
  </si>
  <si>
    <t>minor 01/02/23</t>
  </si>
  <si>
    <t xml:space="preserve">fatiga muscular </t>
  </si>
  <si>
    <t>fatiga muscular adinamia</t>
  </si>
  <si>
    <t>dolor de muñeca</t>
  </si>
  <si>
    <t>dolor de cuerpo</t>
  </si>
  <si>
    <t>acidez</t>
  </si>
  <si>
    <t xml:space="preserve">dolor en el brazo </t>
  </si>
  <si>
    <t xml:space="preserve">vomito y mareo </t>
  </si>
  <si>
    <t xml:space="preserve">dolor de rodilla </t>
  </si>
  <si>
    <t xml:space="preserve">dolor musuclar </t>
  </si>
  <si>
    <t xml:space="preserve">contusion en dedo </t>
  </si>
  <si>
    <t xml:space="preserve">dolor de ingle </t>
  </si>
  <si>
    <t>Quiroga,Silvia</t>
  </si>
  <si>
    <t>Trejo Tarango,Stephannie Del Rocio</t>
  </si>
  <si>
    <t>Garcia,Rea</t>
  </si>
  <si>
    <t>Ornelas Valdes,Carlos</t>
  </si>
  <si>
    <t>Lopez Moreno,Americo</t>
  </si>
  <si>
    <t xml:space="preserve">seguimiento de minor </t>
  </si>
  <si>
    <t xml:space="preserve">pico hipertensivo </t>
  </si>
  <si>
    <t>reaccion alergica</t>
  </si>
  <si>
    <t>dolor de dedo</t>
  </si>
  <si>
    <t>sin registros</t>
  </si>
  <si>
    <t>Aguilar,Victor Manuel</t>
  </si>
  <si>
    <t>Martinez Ruiz,Diana</t>
  </si>
  <si>
    <t>Oliva,Lizbeth</t>
  </si>
  <si>
    <t>Ascencio Mendez,Israel Isaias</t>
  </si>
  <si>
    <t>rosadura de entrepierna</t>
  </si>
  <si>
    <t xml:space="preserve">abrasion </t>
  </si>
  <si>
    <t xml:space="preserve">dolor </t>
  </si>
  <si>
    <t>no se cuenta con registros</t>
  </si>
  <si>
    <t>minor incident 03/02</t>
  </si>
  <si>
    <t xml:space="preserve">dolor muscular </t>
  </si>
  <si>
    <t>mareo + dolor de cuerpo</t>
  </si>
  <si>
    <t>tos seca</t>
  </si>
  <si>
    <t>Galindo,Mirian</t>
  </si>
  <si>
    <t>Morales Gonzalez,Genesis</t>
  </si>
  <si>
    <t>Santos,Israel</t>
  </si>
  <si>
    <t>minor incident</t>
  </si>
  <si>
    <t>mialgia pierna</t>
  </si>
  <si>
    <t>milgia</t>
  </si>
  <si>
    <t>dolor de riñon</t>
  </si>
  <si>
    <t>Hernadez Serna,Said</t>
  </si>
  <si>
    <t>HDZ,DEMON</t>
  </si>
  <si>
    <t>Sanchez,Alan</t>
  </si>
  <si>
    <t>Hernandez Lara,Maggie</t>
  </si>
  <si>
    <t>Martinez,Leonardo</t>
  </si>
  <si>
    <t>Hernandez Cruz,Jorge</t>
  </si>
  <si>
    <t>Mireles,Dulce</t>
  </si>
  <si>
    <t>raspon en talon</t>
  </si>
  <si>
    <t>wellness</t>
  </si>
  <si>
    <t>dolor de talon</t>
  </si>
  <si>
    <t>dolor en tobillo</t>
  </si>
  <si>
    <t>ampollas en pies</t>
  </si>
  <si>
    <t>dolor en codo</t>
  </si>
  <si>
    <t>resfriado</t>
  </si>
  <si>
    <t>gripe</t>
  </si>
  <si>
    <t>Velazquez Bustamante,Alejandro</t>
  </si>
  <si>
    <t>Nauseas</t>
  </si>
  <si>
    <t>Mialgia torax</t>
  </si>
  <si>
    <t>Tinoco,Cesar</t>
  </si>
  <si>
    <t>abracion en rodillas</t>
  </si>
  <si>
    <t>toma de presion</t>
  </si>
  <si>
    <t>escurrimiento nasal</t>
  </si>
  <si>
    <t>dolor de cuello</t>
  </si>
  <si>
    <t>crisis de llanto/colacion</t>
  </si>
  <si>
    <t>curacion</t>
  </si>
  <si>
    <t>Serna Aguilar,Roberto</t>
  </si>
  <si>
    <t>Ascencio,Israel</t>
  </si>
  <si>
    <t>Mora Hernandez,Alya</t>
  </si>
  <si>
    <t>sin motivo de consulta</t>
  </si>
  <si>
    <t xml:space="preserve">cansansio mareo </t>
  </si>
  <si>
    <t>dolor de garganta y cabeza</t>
  </si>
  <si>
    <t>Gallegos Godinez,Eloy</t>
  </si>
  <si>
    <t>fatiga muscular</t>
  </si>
  <si>
    <t>dolor de pierma</t>
  </si>
  <si>
    <t>dolor cervical</t>
  </si>
  <si>
    <t>valoracion/tema respiratorio</t>
  </si>
  <si>
    <t>Aparato</t>
  </si>
  <si>
    <t>NEUROLOGICO</t>
  </si>
  <si>
    <t>DIGESTIVO</t>
  </si>
  <si>
    <t>RESPIRATORIO</t>
  </si>
  <si>
    <t>MUSCULOESQUELETICO</t>
  </si>
  <si>
    <t>GINECOLOGICO</t>
  </si>
  <si>
    <t>CARDIOVASCULAR</t>
  </si>
  <si>
    <t>UROLOGICO</t>
  </si>
  <si>
    <t>OFTALMOLOGICO</t>
  </si>
  <si>
    <t>ODONTOLOGICO</t>
  </si>
  <si>
    <t>DERMATOLOGICO</t>
  </si>
  <si>
    <t>Morales,Sarahi</t>
  </si>
  <si>
    <t>Perez Rodriguez,Gonzalo</t>
  </si>
  <si>
    <t>dolor de muela</t>
  </si>
  <si>
    <t>dolor de brazo</t>
  </si>
  <si>
    <t>RECUPERACION FISICA</t>
  </si>
  <si>
    <t>Mancilla Reynoso,Roberto</t>
  </si>
  <si>
    <t>Rivas,Carlos</t>
  </si>
  <si>
    <t>Meza,Landin</t>
  </si>
  <si>
    <t>Rodriguez,Carolina</t>
  </si>
  <si>
    <t>hipoglucemia</t>
  </si>
  <si>
    <t>CEFALEA</t>
  </si>
  <si>
    <t>EPILEPSIA</t>
  </si>
  <si>
    <t>ECV</t>
  </si>
  <si>
    <t>VERTIGO</t>
  </si>
  <si>
    <t>TDAH</t>
  </si>
  <si>
    <t>SINCOPE</t>
  </si>
  <si>
    <t>GASTRITIS</t>
  </si>
  <si>
    <t>COLITIS</t>
  </si>
  <si>
    <t>ESTRENIMIENTO</t>
  </si>
  <si>
    <t>ACIDEZ ESTOMACAL</t>
  </si>
  <si>
    <t>GASTROENTERITIS</t>
  </si>
  <si>
    <t>RINOFARINGITIS</t>
  </si>
  <si>
    <t>NEUMONIA</t>
  </si>
  <si>
    <t>SINUSITIS</t>
  </si>
  <si>
    <t>ODINOFAGIA</t>
  </si>
  <si>
    <t>Gatroenteritis</t>
  </si>
  <si>
    <t>Mialgia en hombro</t>
  </si>
  <si>
    <t>Mialgia Talón</t>
  </si>
  <si>
    <t>Mialgia brazos</t>
  </si>
  <si>
    <t>MIGRAÑA</t>
  </si>
  <si>
    <t>CRISIS DE ANSIEDAD</t>
  </si>
  <si>
    <t>REFLUJO GASTROESOFÁGICO</t>
  </si>
  <si>
    <t>ASMA</t>
  </si>
  <si>
    <t>RINITIS ALÉRGICA</t>
  </si>
  <si>
    <t>FARINGOAMIGDALITIS</t>
  </si>
  <si>
    <t>COVID</t>
  </si>
  <si>
    <t>AMIGDALITIS</t>
  </si>
  <si>
    <t xml:space="preserve">MIALGIA </t>
  </si>
  <si>
    <t>MIALGIA MANO</t>
  </si>
  <si>
    <t>MIALGIA PIE</t>
  </si>
  <si>
    <t xml:space="preserve">LUMBALGIA </t>
  </si>
  <si>
    <t>DORSALGIA</t>
  </si>
  <si>
    <t>CIATALGIA</t>
  </si>
  <si>
    <t xml:space="preserve">ESGUINCE </t>
  </si>
  <si>
    <t>CERVICALGIA</t>
  </si>
  <si>
    <t xml:space="preserve">GONALGIA </t>
  </si>
  <si>
    <t>ARTRALGIA</t>
  </si>
  <si>
    <t>dolor de uña</t>
  </si>
  <si>
    <t>dolor de mano</t>
  </si>
  <si>
    <t>SX DE TUNEL CARPIANO</t>
  </si>
  <si>
    <t>TENDINITIS</t>
  </si>
  <si>
    <t>DISMENORREA</t>
  </si>
  <si>
    <t xml:space="preserve">MIOMAS </t>
  </si>
  <si>
    <t>VARICES</t>
  </si>
  <si>
    <t>CISTITIS</t>
  </si>
  <si>
    <t>PIELONEFRITIS</t>
  </si>
  <si>
    <t>ASTIGMATISMO</t>
  </si>
  <si>
    <t>CATARATAS</t>
  </si>
  <si>
    <t>SX DE OJO SECO</t>
  </si>
  <si>
    <t>CONJUNTIVITIS</t>
  </si>
  <si>
    <t>BLEFAROESPASMO</t>
  </si>
  <si>
    <t>IRRITACION OCULAR</t>
  </si>
  <si>
    <t>ESTRES</t>
  </si>
  <si>
    <t>CARIES</t>
  </si>
  <si>
    <t>GINGIVITIS</t>
  </si>
  <si>
    <t>PERIODONTITIS</t>
  </si>
  <si>
    <t>AFTAS</t>
  </si>
  <si>
    <t>HERPES LABIAL</t>
  </si>
  <si>
    <t>ODONTALGIA</t>
  </si>
  <si>
    <t>PRURITO</t>
  </si>
  <si>
    <t>PSORIASIS</t>
  </si>
  <si>
    <t>SALPULLIDO</t>
  </si>
  <si>
    <t>ACNE</t>
  </si>
  <si>
    <t>PIE DE ATLETA</t>
  </si>
  <si>
    <t>VERRUGAS</t>
  </si>
  <si>
    <t>IRRITACION</t>
  </si>
  <si>
    <t>ROSACEA</t>
  </si>
  <si>
    <t>ABRACION</t>
  </si>
  <si>
    <t>FLICTENA</t>
  </si>
  <si>
    <t>BASTON PARA MASAJE</t>
  </si>
  <si>
    <t>RODILLO DE ESPUMA</t>
  </si>
  <si>
    <t>PELOTA DE MASAJE</t>
  </si>
  <si>
    <t>mialgia en pie</t>
  </si>
  <si>
    <t>Andrade,Emmanuel</t>
  </si>
  <si>
    <t>Lopez,Jason</t>
  </si>
  <si>
    <t>EMBARAZO</t>
  </si>
  <si>
    <t>GASTROCOLITIS</t>
  </si>
  <si>
    <t>INSOMNIO</t>
  </si>
  <si>
    <t>SOMNOLENCIA</t>
  </si>
  <si>
    <t>PARESTESIAS</t>
  </si>
  <si>
    <t>CONTRACTURA MUSCULAR</t>
  </si>
  <si>
    <t>CONTUSIÓN</t>
  </si>
  <si>
    <t>DERMATITIS ALERGIGA</t>
  </si>
  <si>
    <t xml:space="preserve">DERMATITIS </t>
  </si>
  <si>
    <t>CONVULSIÓN</t>
  </si>
  <si>
    <t>DIABETES MELLITUS TIPO 1</t>
  </si>
  <si>
    <t>DIABETES MELLITUS TIPO 2</t>
  </si>
  <si>
    <t>HIPERTENSIÓN ARTERIAL</t>
  </si>
  <si>
    <t>SINDROME PREMENSTRUAL</t>
  </si>
  <si>
    <t>MIALGIA TOBILLO</t>
  </si>
  <si>
    <t>MIALGIA HOMBRO</t>
  </si>
  <si>
    <t>LUXACIÓN</t>
  </si>
  <si>
    <t>LITIASIS RENAL</t>
  </si>
  <si>
    <t>HIPOTENSIÓN</t>
  </si>
  <si>
    <t>ADINAMIA</t>
  </si>
  <si>
    <t>Hipertenion</t>
  </si>
  <si>
    <t>CANSANCIO PIES</t>
  </si>
  <si>
    <t>Alvarez Olivares,Omar Leonardo</t>
  </si>
  <si>
    <t>Sanchez Banuelos,Edith</t>
  </si>
  <si>
    <t>REVALORACION</t>
  </si>
  <si>
    <t>Salida al Imss, la AA checa salida pero continua con  tiempo en Amcare.</t>
  </si>
  <si>
    <t>Morales Gonzalez,Francisco</t>
  </si>
  <si>
    <t>mialgia en cuello</t>
  </si>
  <si>
    <t>QUEMADURA</t>
  </si>
  <si>
    <t>COLACION</t>
  </si>
  <si>
    <t>quemadura con cloro</t>
  </si>
  <si>
    <t>Mendoza Jasso,Jesus</t>
  </si>
  <si>
    <t>en dedo del pie</t>
  </si>
  <si>
    <t>GENERALIZADO</t>
  </si>
  <si>
    <t>Rodriguez Alcaraz,ToÃ±o</t>
  </si>
  <si>
    <t>Rios Olmos,Isaac</t>
  </si>
  <si>
    <t>AGO</t>
  </si>
  <si>
    <t>Ayala,Mariela</t>
  </si>
  <si>
    <t>Berrones Ramirez,Fidel</t>
  </si>
  <si>
    <t>malestar en pie</t>
  </si>
  <si>
    <t>dolor en el pie</t>
  </si>
  <si>
    <t>dolor en rodillas</t>
  </si>
  <si>
    <t>presion baja</t>
  </si>
  <si>
    <t>malestar estomacal</t>
  </si>
  <si>
    <t>dolor en gluteo</t>
  </si>
  <si>
    <t>cortada</t>
  </si>
  <si>
    <t>Briones,Neto</t>
  </si>
  <si>
    <t>irritacion</t>
  </si>
  <si>
    <t>OTITIS</t>
  </si>
  <si>
    <t>UÑA ENTERRADA</t>
  </si>
  <si>
    <t>NÃºÃ±ez,Fernando</t>
  </si>
  <si>
    <t>en pie por roce de zapato</t>
  </si>
  <si>
    <t>CALAMBRE</t>
  </si>
  <si>
    <t xml:space="preserve">TOMO CLONAZEPAM </t>
  </si>
  <si>
    <t>RODILLAS</t>
  </si>
  <si>
    <t>RODILLA</t>
  </si>
  <si>
    <t>Reyes Romo,Eduardo</t>
  </si>
  <si>
    <t>calambre</t>
  </si>
  <si>
    <t>EPISTAXIS</t>
  </si>
  <si>
    <t>rodilla</t>
  </si>
  <si>
    <t>Oliva,Nancy</t>
  </si>
  <si>
    <t xml:space="preserve">  </t>
  </si>
  <si>
    <t xml:space="preserve">tos y cuerpo cortado </t>
  </si>
  <si>
    <t xml:space="preserve">infeccion en ojos </t>
  </si>
  <si>
    <t>mareos</t>
  </si>
  <si>
    <t xml:space="preserve">ardor en ojos </t>
  </si>
  <si>
    <t xml:space="preserve">dolor en manos </t>
  </si>
  <si>
    <t>ejercicio con pelota</t>
  </si>
  <si>
    <t xml:space="preserve">dolor en espalda baja </t>
  </si>
  <si>
    <t>dolor en muñeca</t>
  </si>
  <si>
    <t>estornudos y dolor de cabeza</t>
  </si>
  <si>
    <t>dolor en pies</t>
  </si>
  <si>
    <t>dolor en hombros</t>
  </si>
  <si>
    <t>sangrado de nariz</t>
  </si>
  <si>
    <t>cansancio</t>
  </si>
  <si>
    <t>dolor de rodillas</t>
  </si>
  <si>
    <t>vomito y dolor de cabeza</t>
  </si>
  <si>
    <t>dolor de piernas</t>
  </si>
  <si>
    <t>mareo y dolor de cabeza</t>
  </si>
  <si>
    <t>Rodriguez Zamora,Rocio</t>
  </si>
  <si>
    <t>Cano,Leilani</t>
  </si>
  <si>
    <t>Velazquez,Charlie</t>
  </si>
  <si>
    <t>Cabrera,Nancy</t>
  </si>
  <si>
    <t>dolor de hombro</t>
  </si>
  <si>
    <t xml:space="preserve">nauseas </t>
  </si>
  <si>
    <t>golpe en brazo</t>
  </si>
  <si>
    <t>episodio de llanto y ansiedad</t>
  </si>
  <si>
    <t>dolor intenso de cabeza</t>
  </si>
  <si>
    <t>Rocha,Ceci</t>
  </si>
  <si>
    <t>HernÃ¡ndez,Fausto</t>
  </si>
  <si>
    <t>Hernandez Padilla,Daniel</t>
  </si>
  <si>
    <t>resequedad</t>
  </si>
  <si>
    <t>Santos,AdriÃ¡n</t>
  </si>
  <si>
    <t>Espinoza Lopez,Magdal</t>
  </si>
  <si>
    <t>PIERNA</t>
  </si>
  <si>
    <t>Avila,priscila</t>
  </si>
  <si>
    <t>Ramos,Sofia</t>
  </si>
  <si>
    <t>Lopez  Lares,Christian</t>
  </si>
  <si>
    <t>Delgado,David</t>
  </si>
  <si>
    <t>Gasca Vazquez,Carlos</t>
  </si>
  <si>
    <t>Monzon,Berenice</t>
  </si>
  <si>
    <t>Mendoza,Yesenia</t>
  </si>
  <si>
    <t>Fernanda,Jareli</t>
  </si>
  <si>
    <t>Robledo,Alma</t>
  </si>
  <si>
    <t>Alcantar Mendez,Diego</t>
  </si>
  <si>
    <t>Gutierrez,Saulo</t>
  </si>
  <si>
    <t>Ruz,Misael</t>
  </si>
  <si>
    <t>Rodriguez,Ruben</t>
  </si>
  <si>
    <t>matzquij</t>
  </si>
  <si>
    <t>eliorten</t>
  </si>
  <si>
    <t>godariah</t>
  </si>
  <si>
    <t>monsarru</t>
  </si>
  <si>
    <t>isracoro</t>
  </si>
  <si>
    <t>alfrerok</t>
  </si>
  <si>
    <t>victonay</t>
  </si>
  <si>
    <t>mancolor</t>
  </si>
  <si>
    <t>puenkare</t>
  </si>
  <si>
    <t>lcabadan</t>
  </si>
  <si>
    <t>naguirro</t>
  </si>
  <si>
    <t>wguanajr</t>
  </si>
  <si>
    <t>cesarvae</t>
  </si>
  <si>
    <t>adrpcast</t>
  </si>
  <si>
    <t>sganoemi</t>
  </si>
  <si>
    <t>luisamin</t>
  </si>
  <si>
    <t>bemonzon</t>
  </si>
  <si>
    <t>jaalexav</t>
  </si>
  <si>
    <t>mojicemm</t>
  </si>
  <si>
    <t>duesteba</t>
  </si>
  <si>
    <t>bgajesus</t>
  </si>
  <si>
    <t>guzmadaa</t>
  </si>
  <si>
    <t>oomaagui</t>
  </si>
  <si>
    <t>vargajed</t>
  </si>
  <si>
    <t>crosanel</t>
  </si>
  <si>
    <t>luiscahf</t>
  </si>
  <si>
    <t>vanessdv</t>
  </si>
  <si>
    <t>marzsanc</t>
  </si>
  <si>
    <t>camardai</t>
  </si>
  <si>
    <t>rodriwos</t>
  </si>
  <si>
    <t>pelizeth</t>
  </si>
  <si>
    <t>garlulis</t>
  </si>
  <si>
    <t>espilizb</t>
  </si>
  <si>
    <t>DE-X0730</t>
  </si>
  <si>
    <t>Lugo Vigueras,Alberto</t>
  </si>
  <si>
    <t>Chico Ramirez,Carlos</t>
  </si>
  <si>
    <t>Ortiz Cedeno,Omar</t>
  </si>
  <si>
    <t>Sanchez Lira,Aaron</t>
  </si>
  <si>
    <t>Guerrero Hernandez,Silvia</t>
  </si>
  <si>
    <t>Puente,Karen</t>
  </si>
  <si>
    <t>Jasso,Alexa</t>
  </si>
  <si>
    <t>Mendoza,Omar</t>
  </si>
  <si>
    <t>olmos,Lucia</t>
  </si>
  <si>
    <t>desorientacion</t>
  </si>
  <si>
    <t>ASTILLA</t>
  </si>
  <si>
    <t>No se entiende</t>
  </si>
  <si>
    <t>SALIDA</t>
  </si>
  <si>
    <t>SALIDA A IMSS</t>
  </si>
  <si>
    <t>Vazquez,Vincent</t>
  </si>
  <si>
    <t>PÃ©rez MÃ©ndez,Cecy</t>
  </si>
  <si>
    <t>Morales,Oscar</t>
  </si>
  <si>
    <t>Puga,Enrique</t>
  </si>
  <si>
    <t>GarcÃ­a,jesus</t>
  </si>
  <si>
    <t>Gomez,Karla</t>
  </si>
  <si>
    <t>Torres,Alan</t>
  </si>
  <si>
    <t>Tavares,Jorge</t>
  </si>
  <si>
    <t>Maya,Fernando</t>
  </si>
  <si>
    <t>Rocio,Juan</t>
  </si>
  <si>
    <t>Ramirez,Elizabeth</t>
  </si>
  <si>
    <t>Martinez,Alicia</t>
  </si>
  <si>
    <t>Gamez,Mauricio</t>
  </si>
  <si>
    <t>Moreno Bermudez,Rogelio</t>
  </si>
  <si>
    <t>Posteriormente crisis de llanto</t>
  </si>
  <si>
    <t>accidente de trayecto</t>
  </si>
  <si>
    <t>Nieto,Emili</t>
  </si>
  <si>
    <t>Alvarado,Luis</t>
  </si>
  <si>
    <t>Barron,Giovanni</t>
  </si>
  <si>
    <t>Hernandez,Briana</t>
  </si>
  <si>
    <t>Gonzalez Olmos,Dariana</t>
  </si>
  <si>
    <t>Sanchiz,Cesarito</t>
  </si>
  <si>
    <t>DurÃ¡n Aranda,Luis</t>
  </si>
  <si>
    <t>Vazquez,Carmen</t>
  </si>
  <si>
    <t>Vargas,Jesse</t>
  </si>
  <si>
    <t>Mazy,RamsÃ©s</t>
  </si>
  <si>
    <t>Hernandez Soriano,Jazmin</t>
  </si>
  <si>
    <t>planta del pie</t>
  </si>
  <si>
    <t>paulinbp</t>
  </si>
  <si>
    <t>mendejoy</t>
  </si>
  <si>
    <t>ramsmazy</t>
  </si>
  <si>
    <t>cesarito</t>
  </si>
  <si>
    <t>jazmiwhe</t>
  </si>
  <si>
    <t>VALORACION</t>
  </si>
  <si>
    <t>Alvarado,Jose</t>
  </si>
  <si>
    <t>ingñe</t>
  </si>
  <si>
    <t>GamiÃ±o,Fany</t>
  </si>
  <si>
    <t>Arias,Elizabeth</t>
  </si>
  <si>
    <t>Ramirez Ramirez,Diana Cecilia</t>
  </si>
  <si>
    <t>Garcia,Janeth</t>
  </si>
  <si>
    <t>GonzÃ¡lez,Martin</t>
  </si>
  <si>
    <t>roce de zapatos</t>
  </si>
  <si>
    <t>REAL</t>
  </si>
  <si>
    <t xml:space="preserve">revision </t>
  </si>
  <si>
    <t>Aguirre,Omar</t>
  </si>
  <si>
    <t>Lopez,Lety</t>
  </si>
  <si>
    <t>Juarez,Angel</t>
  </si>
  <si>
    <t>WELLNESS</t>
  </si>
  <si>
    <t>TOM DE PRESION</t>
  </si>
  <si>
    <t>ALERGIA</t>
  </si>
  <si>
    <t>alerikat</t>
  </si>
  <si>
    <t>hernatle</t>
  </si>
  <si>
    <t>Olmos,Lucia</t>
  </si>
  <si>
    <t>HernÃ¡ndez,Isaura</t>
  </si>
  <si>
    <t>Espinosa,Ali</t>
  </si>
  <si>
    <t>Picazo,Brenda</t>
  </si>
  <si>
    <t>Ibarra,Jorge Orlando</t>
  </si>
  <si>
    <t>Se manda llamar para  saber estado de salud.</t>
  </si>
  <si>
    <t>Valdez,CÃ©sar</t>
  </si>
  <si>
    <t>Barba,AdriÃ¡n</t>
  </si>
  <si>
    <t>Becerra,America</t>
  </si>
  <si>
    <t>Rayas,Hilda</t>
  </si>
  <si>
    <t>Mojica,Emmanuel</t>
  </si>
  <si>
    <t>Montes Arango,Bibiana</t>
  </si>
  <si>
    <t>Rojas,Denessi</t>
  </si>
  <si>
    <t>#N/A</t>
  </si>
  <si>
    <t>Arevalo,Mauricio</t>
  </si>
  <si>
    <t>Morales Ramirez,Alma</t>
  </si>
  <si>
    <t>Padilla,Rafael</t>
  </si>
  <si>
    <t>Accidente de trayecto</t>
  </si>
  <si>
    <t>TOMA DE TA</t>
  </si>
  <si>
    <t>Cuevas,Lalo</t>
  </si>
  <si>
    <t>Cruz,Ana</t>
  </si>
  <si>
    <t>Alvarez,Erika</t>
  </si>
  <si>
    <t>Castellanos,Adriana</t>
  </si>
  <si>
    <t>Lopez,Mine</t>
  </si>
  <si>
    <t>Sanchez,Josue</t>
  </si>
  <si>
    <t>Rocha,Claudia</t>
  </si>
  <si>
    <t>Garcia,Noemi</t>
  </si>
  <si>
    <t>Rodriguez,Dani</t>
  </si>
  <si>
    <t>Ibarra,Miguel</t>
  </si>
  <si>
    <t>Pardo,Estafania</t>
  </si>
  <si>
    <t>Pena,Laura</t>
  </si>
  <si>
    <t>Velasco,Cristina</t>
  </si>
  <si>
    <t>Vargas Lopez,Hilda Cecilia</t>
  </si>
  <si>
    <t>Escamilla,Guillermo</t>
  </si>
  <si>
    <t>Caballero,Daniel</t>
  </si>
  <si>
    <t>Colchado Garcia,Eser</t>
  </si>
  <si>
    <t>Ramirez,Montserrat</t>
  </si>
  <si>
    <t>Martinez,Maria Jose</t>
  </si>
  <si>
    <t>Garcia,Andres</t>
  </si>
  <si>
    <t>Hernandez,Gael</t>
  </si>
  <si>
    <t>dmisaelp</t>
  </si>
  <si>
    <t>ivarayas</t>
  </si>
  <si>
    <t>espejell</t>
  </si>
  <si>
    <t>emmanvro</t>
  </si>
  <si>
    <t>hortluz</t>
  </si>
  <si>
    <t>mireljes</t>
  </si>
  <si>
    <t>maflorr</t>
  </si>
  <si>
    <t>adriauli</t>
  </si>
  <si>
    <t>raufjas</t>
  </si>
  <si>
    <t>ibalmigu</t>
  </si>
  <si>
    <t>eduarruc</t>
  </si>
  <si>
    <t>beceresm</t>
  </si>
  <si>
    <t>xzachana</t>
  </si>
  <si>
    <t>upacoros</t>
  </si>
  <si>
    <t>jonquija</t>
  </si>
  <si>
    <t>scastfer</t>
  </si>
  <si>
    <t>joshhev</t>
  </si>
  <si>
    <t>hreyeisa</t>
  </si>
  <si>
    <t>aramosmo</t>
  </si>
  <si>
    <t>lelvgarc</t>
  </si>
  <si>
    <t>javplasc</t>
  </si>
  <si>
    <t>mamlucia</t>
  </si>
  <si>
    <t>paeramon</t>
  </si>
  <si>
    <t>caitzaya</t>
  </si>
  <si>
    <t>zairamen</t>
  </si>
  <si>
    <t>hernghug</t>
  </si>
  <si>
    <t>alinejim</t>
  </si>
  <si>
    <t>riveoyae</t>
  </si>
  <si>
    <t>fwraziel</t>
  </si>
  <si>
    <t>omhperez</t>
  </si>
  <si>
    <t>tcontree</t>
  </si>
  <si>
    <t>casqfern</t>
  </si>
  <si>
    <t>furielbe</t>
  </si>
  <si>
    <t>nalcanch</t>
  </si>
  <si>
    <t>namorena</t>
  </si>
  <si>
    <t>karlpadr</t>
  </si>
  <si>
    <t>Bueno Mendoza,Susana</t>
  </si>
  <si>
    <t>Garcia  Caudillo,Jessica</t>
  </si>
  <si>
    <t>Montes,Bibiana</t>
  </si>
  <si>
    <t>HernÃ¡ndez,Eliza</t>
  </si>
  <si>
    <t>codo</t>
  </si>
  <si>
    <t>Gonzalez,Esther</t>
  </si>
  <si>
    <t>Meza,Fernando</t>
  </si>
  <si>
    <t>Rea,Carmen</t>
  </si>
  <si>
    <t xml:space="preserve">toma de TA </t>
  </si>
  <si>
    <t>Hernandez,Yamile</t>
  </si>
  <si>
    <t>Leon,Ana</t>
  </si>
  <si>
    <t>Martinez,Lucia</t>
  </si>
  <si>
    <t>Garcia,Karen</t>
  </si>
  <si>
    <t>Espinoza,Ale</t>
  </si>
  <si>
    <t>Valdovino,Jorge</t>
  </si>
  <si>
    <t>Mireles Diaz Lopez,Jessica Jazmin</t>
  </si>
  <si>
    <t>Ponce,Paulina</t>
  </si>
  <si>
    <t>Tovar,Mariana</t>
  </si>
  <si>
    <t>Admin Home Area</t>
  </si>
  <si>
    <t>Espinoza,Lizbeth</t>
  </si>
  <si>
    <t>Guzman,Janeth</t>
  </si>
  <si>
    <t>Mendoza Macias,Zaira Irais</t>
  </si>
  <si>
    <t>Hernandez,Hugo</t>
  </si>
  <si>
    <t>JimÃ©nez,Aline</t>
  </si>
  <si>
    <t>Navia,Victor</t>
  </si>
  <si>
    <t>pico hipertensivo</t>
  </si>
  <si>
    <t>salida</t>
  </si>
  <si>
    <t>sin registro</t>
  </si>
  <si>
    <t>Hernandez Velazquez,Yolis</t>
  </si>
  <si>
    <t>Padilla,Pablo</t>
  </si>
  <si>
    <t>Quijas,Jonathan</t>
  </si>
  <si>
    <t>Vargas Quezada,Gibran</t>
  </si>
  <si>
    <t>Frausto,Raziel</t>
  </si>
  <si>
    <t>malformacion</t>
  </si>
  <si>
    <t>ESPOLON</t>
  </si>
  <si>
    <t>DOLOR</t>
  </si>
  <si>
    <t>SIN REGISTRO</t>
  </si>
  <si>
    <t>Valoracion por soplo</t>
  </si>
  <si>
    <t>Hernandez,Estefania</t>
  </si>
  <si>
    <t>Quiroz,Fernanda</t>
  </si>
  <si>
    <t>Rodriguez Padilla,Brayan</t>
  </si>
  <si>
    <t>EspaÃ±a,Carolina</t>
  </si>
  <si>
    <t>MINOR INCIDENT</t>
  </si>
  <si>
    <t>Rosales,Paco</t>
  </si>
  <si>
    <t>Vazquez Espitia,Roberto</t>
  </si>
  <si>
    <t>Ortega,Argenis</t>
  </si>
  <si>
    <t>Rojas,Catherine</t>
  </si>
  <si>
    <t>HernÃ¡ndez,Anamylet</t>
  </si>
  <si>
    <t>Velez,Xochitl</t>
  </si>
  <si>
    <t>NAUSEAS</t>
  </si>
  <si>
    <t>Cabrera,Emmanuel</t>
  </si>
  <si>
    <t>Navarro Ortega,Pablo</t>
  </si>
  <si>
    <t>Pb fascitis plantar</t>
  </si>
  <si>
    <t>salida IMSS</t>
  </si>
  <si>
    <t>Gongora,Daniel</t>
  </si>
  <si>
    <t>Hernandez,Fabrizzio</t>
  </si>
  <si>
    <t>Aguirre,Octavio</t>
  </si>
  <si>
    <t>Mireles Diaz Lopez,Jazmin</t>
  </si>
  <si>
    <t>valoracion inicio de turno</t>
  </si>
  <si>
    <t>irritacion en ojos</t>
  </si>
  <si>
    <t>Mares,Tony</t>
  </si>
  <si>
    <t>Delgado Iracheta,Cesar Josue</t>
  </si>
  <si>
    <t>Zuniga,Eduardo</t>
  </si>
  <si>
    <t>pierna</t>
  </si>
  <si>
    <t>piquete de insecto</t>
  </si>
  <si>
    <t>Salgado,Ruben</t>
  </si>
  <si>
    <t>CUELLO</t>
  </si>
  <si>
    <t>TRAYECTO</t>
  </si>
  <si>
    <t>Salazar,Joana</t>
  </si>
  <si>
    <t>Tapia,Kevin</t>
  </si>
  <si>
    <t>Calderon,David</t>
  </si>
  <si>
    <t>Corona,Israel</t>
  </si>
  <si>
    <t>Rocha,Horacio</t>
  </si>
  <si>
    <t>Luna,Alberto</t>
  </si>
  <si>
    <t>Reyes,Juan</t>
  </si>
  <si>
    <t>valorafcion</t>
  </si>
  <si>
    <t xml:space="preserve">valoracion </t>
  </si>
  <si>
    <t>pecho</t>
  </si>
  <si>
    <t xml:space="preserve">salida IMSS </t>
  </si>
  <si>
    <t>Gasca,Daniel</t>
  </si>
  <si>
    <t>Rocha,Alfredo</t>
  </si>
  <si>
    <t>Duran,Esteban</t>
  </si>
  <si>
    <t>valoracion MINOR</t>
  </si>
  <si>
    <t xml:space="preserve">valoracion MINOR </t>
  </si>
  <si>
    <t>Lira,Adrian</t>
  </si>
  <si>
    <t>Lopez,Mari</t>
  </si>
  <si>
    <t>Glucosa baja</t>
  </si>
  <si>
    <t>Mota,Jorge</t>
  </si>
  <si>
    <t>Trejo,Adonai</t>
  </si>
  <si>
    <t>uña enterrada</t>
  </si>
  <si>
    <t>Ramos Montejo,Aida del Socorro</t>
  </si>
  <si>
    <t>Padron,Karla</t>
  </si>
  <si>
    <t>No  especifica Dx</t>
  </si>
  <si>
    <t>toalla</t>
  </si>
  <si>
    <t>accidente de trayecto el dia domingo 11 junio</t>
  </si>
  <si>
    <t>Martinez,Fernando</t>
  </si>
  <si>
    <t>Acue con su hija</t>
  </si>
  <si>
    <t>Gutierrez,Karla</t>
  </si>
  <si>
    <t>Aguilar Castaneda,Brian</t>
  </si>
  <si>
    <t>Lozornio Martinez,Antonio</t>
  </si>
  <si>
    <t>Guzman,Daniel</t>
  </si>
  <si>
    <t>Mendez,Joy</t>
  </si>
  <si>
    <t>Rivera,Yael</t>
  </si>
  <si>
    <t xml:space="preserve">vasectomia </t>
  </si>
  <si>
    <t>Hurtado,Mari</t>
  </si>
  <si>
    <t>piquete de alacran</t>
  </si>
  <si>
    <t>kdolor de cuello</t>
  </si>
  <si>
    <t>Gonzalez,Mayra</t>
  </si>
  <si>
    <t>Perez  Hernandez,Angel</t>
  </si>
  <si>
    <t>Perez,Ronny</t>
  </si>
  <si>
    <t>Espejel Lopez,Emmanuel</t>
  </si>
  <si>
    <t>VALORACION POR PICADURA DE ALACRAN</t>
  </si>
  <si>
    <t>Hernandez,Lesli</t>
  </si>
  <si>
    <t>MINOR CON CLORALEX SIN REACCIONES</t>
  </si>
  <si>
    <t>Arrona,Monserrat</t>
  </si>
  <si>
    <t>Elorza,Sergio</t>
  </si>
  <si>
    <t>.,</t>
  </si>
  <si>
    <t>RamÃ­rez,Mindy</t>
  </si>
  <si>
    <t>Flores,Mar</t>
  </si>
  <si>
    <t>Reyes,Daniel</t>
  </si>
  <si>
    <t>Moreno,Nayma</t>
  </si>
  <si>
    <t>Torres Lozano,Jorge</t>
  </si>
  <si>
    <t>Rivas,Ricardo</t>
  </si>
  <si>
    <t>Ãvila,Arturo</t>
  </si>
  <si>
    <t>Contreras,Evelyn</t>
  </si>
  <si>
    <t xml:space="preserve">TERAPIA </t>
  </si>
  <si>
    <t>Jaramillo,AdriÃ¡n</t>
  </si>
  <si>
    <t>Castillo,Janai</t>
  </si>
  <si>
    <t>Padilla,Ramon</t>
  </si>
  <si>
    <t>dolor de cadera</t>
  </si>
  <si>
    <t xml:space="preserve">  curacion post QX</t>
  </si>
  <si>
    <t>Canchola,Alejandro</t>
  </si>
  <si>
    <t>Aclaración de dudas Aa Xcarthurt</t>
  </si>
  <si>
    <t>Perez,Omar</t>
  </si>
  <si>
    <t>Tiempo editado/entrega de escrita</t>
  </si>
  <si>
    <t>Castillo,Itzayana</t>
  </si>
  <si>
    <t>Mendoza Macias,Zaira</t>
  </si>
  <si>
    <t>Reyes,Adriana</t>
  </si>
  <si>
    <t>Ropa Humeda</t>
  </si>
  <si>
    <t>Hernandez,Adriana</t>
  </si>
  <si>
    <t>Quijas,Matzayani</t>
  </si>
  <si>
    <t>Becerra,Esmeralda</t>
  </si>
  <si>
    <t>hernia</t>
  </si>
  <si>
    <t>Jasso,Raul</t>
  </si>
  <si>
    <t>Anguiano Castaneda,Gustavo</t>
  </si>
  <si>
    <t>fantmar</t>
  </si>
  <si>
    <t>agriandl</t>
  </si>
  <si>
    <t>ignachis</t>
  </si>
  <si>
    <t>tcruzvel</t>
  </si>
  <si>
    <t>floreivc</t>
  </si>
  <si>
    <t>itzsando</t>
  </si>
  <si>
    <t>baezdiaw</t>
  </si>
  <si>
    <t>villagno</t>
  </si>
  <si>
    <t>ricrivab</t>
  </si>
  <si>
    <t>vieyralk</t>
  </si>
  <si>
    <t>ldireyno</t>
  </si>
  <si>
    <t>castjanr</t>
  </si>
  <si>
    <t>semarioi</t>
  </si>
  <si>
    <t>valdojoe</t>
  </si>
  <si>
    <t>zhoracro</t>
  </si>
  <si>
    <t>zenriqhe</t>
  </si>
  <si>
    <t>alberlug</t>
  </si>
  <si>
    <t>coronosm</t>
  </si>
  <si>
    <t>ecymauri</t>
  </si>
  <si>
    <t>ruizhmic</t>
  </si>
  <si>
    <t>hurtcisi</t>
  </si>
  <si>
    <t>ramivchr</t>
  </si>
  <si>
    <t>gusangui</t>
  </si>
  <si>
    <t>ljackpac</t>
  </si>
  <si>
    <t>arrwpabl</t>
  </si>
  <si>
    <t>bmoremma</t>
  </si>
  <si>
    <t>juanulio</t>
  </si>
  <si>
    <t>DF-X0700</t>
  </si>
  <si>
    <t>minor</t>
  </si>
  <si>
    <t>Ruiz,Michelle</t>
  </si>
  <si>
    <t>EMESIS</t>
  </si>
  <si>
    <t>Gutierrez,Gabriela</t>
  </si>
  <si>
    <t>Perez,Misael</t>
  </si>
  <si>
    <t>HINOJOSA,IGNACIO</t>
  </si>
  <si>
    <t>VelÃ¡zquez,Alejandro</t>
  </si>
  <si>
    <t>Belmudez,joseph</t>
  </si>
  <si>
    <t>Rodriguez Mares,Rocio</t>
  </si>
  <si>
    <t>Rodriguez,Nat</t>
  </si>
  <si>
    <t>Solorzano,Harol</t>
  </si>
  <si>
    <t>AMCARE Out</t>
  </si>
  <si>
    <t>ORTIZ,CORPUS</t>
  </si>
  <si>
    <t>Olvera,Marilu</t>
  </si>
  <si>
    <t>HernÃ¡ndez,Janet</t>
  </si>
  <si>
    <t>MartÃ­nez,Jennifer</t>
  </si>
  <si>
    <t>MACIAS,IKER</t>
  </si>
  <si>
    <t>Martinez,Francisco</t>
  </si>
  <si>
    <t>Martinez,Antonio</t>
  </si>
  <si>
    <t>Acevedo,Juan</t>
  </si>
  <si>
    <t>Vera Hernandez,Mauricio</t>
  </si>
  <si>
    <t>(Multiple Items)</t>
  </si>
  <si>
    <t>Colorado Reyes,Alex</t>
  </si>
  <si>
    <t>Cruz Velazquez,Gabriela</t>
  </si>
  <si>
    <t>Villegas,Jesus</t>
  </si>
  <si>
    <t>Dominguez,Diana</t>
  </si>
  <si>
    <t>Oliva,Montserrat</t>
  </si>
  <si>
    <t>Horta,Luz</t>
  </si>
  <si>
    <t>Agripino,Andrea</t>
  </si>
  <si>
    <t>investigacion</t>
  </si>
  <si>
    <t>Reyes,Isabel</t>
  </si>
  <si>
    <t>Nava,Victor</t>
  </si>
  <si>
    <t>probable</t>
  </si>
  <si>
    <t>Gonzalez,Xiomara</t>
  </si>
  <si>
    <t>Aguirre,Noe</t>
  </si>
  <si>
    <t>Vallecillo,Jessy</t>
  </si>
  <si>
    <t>Chico,Carlos</t>
  </si>
  <si>
    <t>NÃºÃ±ez,Fabian</t>
  </si>
  <si>
    <t>Flores,Edwin</t>
  </si>
  <si>
    <t>Rios,Eric</t>
  </si>
  <si>
    <t>Reynoso Martinez,Diego</t>
  </si>
  <si>
    <t>INVESTIGACION</t>
  </si>
  <si>
    <t xml:space="preserve">alergia </t>
  </si>
  <si>
    <t>Bernal,Uriel</t>
  </si>
  <si>
    <t>LS</t>
  </si>
  <si>
    <t>Ortega,Gabriel</t>
  </si>
  <si>
    <t>Flores,Ivan</t>
  </si>
  <si>
    <t xml:space="preserve">FUEGO LABIAL </t>
  </si>
  <si>
    <t>NON OCCUPATIONL</t>
  </si>
  <si>
    <t>Quemada,Jesus</t>
  </si>
  <si>
    <t>Plascencia,Javier</t>
  </si>
  <si>
    <t>Barcenas,Alma</t>
  </si>
  <si>
    <t>Valtierra,Salvador</t>
  </si>
  <si>
    <t>GarcÃ­a,Alma</t>
  </si>
  <si>
    <t>DElgado,David</t>
  </si>
  <si>
    <t>Rayas,Ivan</t>
  </si>
  <si>
    <t>Baez Diaz,Ale</t>
  </si>
  <si>
    <t xml:space="preserve">ok </t>
  </si>
  <si>
    <t xml:space="preserve">vitamina c </t>
  </si>
  <si>
    <t>Vallejo,Jaciel Mario</t>
  </si>
  <si>
    <t>Martinez,Efren</t>
  </si>
  <si>
    <t>Contreras Palma,Ramon Levi</t>
  </si>
  <si>
    <t>GarcÃ­a,Ana</t>
  </si>
  <si>
    <t>Ojeda Sierra,Brenda</t>
  </si>
  <si>
    <t>Cervera,Israel</t>
  </si>
  <si>
    <t>Aguilar,Mauricio</t>
  </si>
  <si>
    <t>Estrada,Daniel</t>
  </si>
  <si>
    <t>Rada,Gabo</t>
  </si>
  <si>
    <t>DÃ­az,Huicho</t>
  </si>
  <si>
    <t>Castro,Fernando</t>
  </si>
  <si>
    <t>Macias,Salvador</t>
  </si>
  <si>
    <t>Morales,Ricardo</t>
  </si>
  <si>
    <t>Gonzalez,Karla</t>
  </si>
  <si>
    <t>Ponce,Jessi</t>
  </si>
  <si>
    <t>Rodriguez Posada,Emiliano</t>
  </si>
  <si>
    <t>Lira Reyes,Rafael</t>
  </si>
  <si>
    <t>Martinez,Lilian</t>
  </si>
  <si>
    <t>Hernandez,Alondra</t>
  </si>
  <si>
    <t>Bravo,Edgar</t>
  </si>
  <si>
    <t>luver</t>
  </si>
  <si>
    <t>brojedas</t>
  </si>
  <si>
    <t>valdkell</t>
  </si>
  <si>
    <t>goluisae</t>
  </si>
  <si>
    <t>dacaldey</t>
  </si>
  <si>
    <t>urroscae</t>
  </si>
  <si>
    <t>alwmar</t>
  </si>
  <si>
    <t>irasarab</t>
  </si>
  <si>
    <t>orticorp</t>
  </si>
  <si>
    <t>valtsalv</t>
  </si>
  <si>
    <t>vicxzuni</t>
  </si>
  <si>
    <t>marmolve</t>
  </si>
  <si>
    <t>ricaremi</t>
  </si>
  <si>
    <t>karlawsi</t>
  </si>
  <si>
    <t>velpalej</t>
  </si>
  <si>
    <t>sfloredw</t>
  </si>
  <si>
    <t>ndomindi</t>
  </si>
  <si>
    <t>almagarx</t>
  </si>
  <si>
    <t>haroetor</t>
  </si>
  <si>
    <t>ibrendba</t>
  </si>
  <si>
    <t>montoliy</t>
  </si>
  <si>
    <t>mqjennif</t>
  </si>
  <si>
    <t>cmartif</t>
  </si>
  <si>
    <t>jcastelx</t>
  </si>
  <si>
    <t>xlutrejo</t>
  </si>
  <si>
    <t>varmonts</t>
  </si>
  <si>
    <t>angarcz</t>
  </si>
  <si>
    <t>voctavij</t>
  </si>
  <si>
    <t>anlhern</t>
  </si>
  <si>
    <t>barrqnoe</t>
  </si>
  <si>
    <t>ismcpere</t>
  </si>
  <si>
    <t>casosaul</t>
  </si>
  <si>
    <t>patiguil</t>
  </si>
  <si>
    <t>pgabrent</t>
  </si>
  <si>
    <t>sangecor</t>
  </si>
  <si>
    <t>laujimex</t>
  </si>
  <si>
    <t>anperezk</t>
  </si>
  <si>
    <t>fdaniees</t>
  </si>
  <si>
    <t>jarsauce</t>
  </si>
  <si>
    <t>clcenteu</t>
  </si>
  <si>
    <t>rlimarti</t>
  </si>
  <si>
    <t>efrmartw</t>
  </si>
  <si>
    <t>brjherna</t>
  </si>
  <si>
    <t>ehejuan</t>
  </si>
  <si>
    <t>enecasti</t>
  </si>
  <si>
    <t>monttlui</t>
  </si>
  <si>
    <t>moralriv</t>
  </si>
  <si>
    <t>fbrfranc</t>
  </si>
  <si>
    <t>gaborada</t>
  </si>
  <si>
    <t>lunaferz</t>
  </si>
  <si>
    <t>ibarraqg</t>
  </si>
  <si>
    <t>abigmedy</t>
  </si>
  <si>
    <t>abiglopu</t>
  </si>
  <si>
    <t>ivantlar</t>
  </si>
  <si>
    <t>iscerver</t>
  </si>
  <si>
    <t>gamunoza</t>
  </si>
  <si>
    <t>romejhon</t>
  </si>
  <si>
    <t>ramarcok</t>
  </si>
  <si>
    <t>cordeluc</t>
  </si>
  <si>
    <t>jesponcu</t>
  </si>
  <si>
    <t>aaronlra</t>
  </si>
  <si>
    <t>guerialv</t>
  </si>
  <si>
    <t>mauaguid</t>
  </si>
  <si>
    <t>viczrami</t>
  </si>
  <si>
    <t>aghvirid</t>
  </si>
  <si>
    <t>bhejose</t>
  </si>
  <si>
    <t>yhernalo</t>
  </si>
  <si>
    <t>anchaveb</t>
  </si>
  <si>
    <t>herngang</t>
  </si>
  <si>
    <t>isafzuni</t>
  </si>
  <si>
    <t>dchrflor</t>
  </si>
  <si>
    <t>tanirang</t>
  </si>
  <si>
    <t>andfalca</t>
  </si>
  <si>
    <t>sdanieq</t>
  </si>
  <si>
    <t>gmauraju</t>
  </si>
  <si>
    <t>jbrensan</t>
  </si>
  <si>
    <t>ivanlfue</t>
  </si>
  <si>
    <t>doriacau</t>
  </si>
  <si>
    <t>caudicar</t>
  </si>
  <si>
    <t>xedgabra</t>
  </si>
  <si>
    <t>medbrenq</t>
  </si>
  <si>
    <t>danibbar</t>
  </si>
  <si>
    <t>toraylen</t>
  </si>
  <si>
    <t>neftalpa</t>
  </si>
  <si>
    <t>rodrlulu</t>
  </si>
  <si>
    <t>mirdamar</t>
  </si>
  <si>
    <t>hperandy</t>
  </si>
  <si>
    <t>aagripic</t>
  </si>
  <si>
    <t>maalmagn</t>
  </si>
  <si>
    <t>laoswaln</t>
  </si>
  <si>
    <t>ghernami</t>
  </si>
  <si>
    <t>franhjos</t>
  </si>
  <si>
    <t>norcguer</t>
  </si>
  <si>
    <t>giogberm</t>
  </si>
  <si>
    <t>marcqgon</t>
  </si>
  <si>
    <t>gonzmorw</t>
  </si>
  <si>
    <t>anacastf</t>
  </si>
  <si>
    <t>perlcobx</t>
  </si>
  <si>
    <t>abetocor</t>
  </si>
  <si>
    <t>galvali</t>
  </si>
  <si>
    <t>laucruzc</t>
  </si>
  <si>
    <t>canasalm</t>
  </si>
  <si>
    <t>Hernandez,Evelyn</t>
  </si>
  <si>
    <t>Lara,Carlos</t>
  </si>
  <si>
    <t>Sanchez,Angela</t>
  </si>
  <si>
    <t xml:space="preserve">MIALGIA EN MANO </t>
  </si>
  <si>
    <t xml:space="preserve">NO CUENTA CON FROMATO ST2 </t>
  </si>
  <si>
    <t>MIALGIA PIERNA</t>
  </si>
  <si>
    <t xml:space="preserve">TRAUMATISMO </t>
  </si>
  <si>
    <t>Trejo,Luis</t>
  </si>
  <si>
    <t>Luna,Fernanda</t>
  </si>
  <si>
    <t>JimÃ©nez,Anneth</t>
  </si>
  <si>
    <t>Galvan,Lia</t>
  </si>
  <si>
    <t>Montalvo,Luis antonio</t>
  </si>
  <si>
    <t>vomito</t>
  </si>
  <si>
    <t>Ramirez,Christian</t>
  </si>
  <si>
    <t>Urenda,Cristopher</t>
  </si>
  <si>
    <t>Arrona,Pablo</t>
  </si>
  <si>
    <t>HernÃ¡ndez,Juan</t>
  </si>
  <si>
    <t>Rocha,Malinali</t>
  </si>
  <si>
    <t>Gonzalez,Marco</t>
  </si>
  <si>
    <t>Rivera,Aidza</t>
  </si>
  <si>
    <t>MonzÃ³n,Rodrigo</t>
  </si>
  <si>
    <t>Hernandez Solano,Juan Pablo</t>
  </si>
  <si>
    <t>Zuniga,Victor</t>
  </si>
  <si>
    <t>Hernandez,Jose</t>
  </si>
  <si>
    <t>Mejia,Alvaro</t>
  </si>
  <si>
    <t>Saaavedra,Erick</t>
  </si>
  <si>
    <t>Palomares,Neftali</t>
  </si>
  <si>
    <t>Cruz,Lau</t>
  </si>
  <si>
    <t>Fuentes,Ivan</t>
  </si>
  <si>
    <t>Caudillo,Carlos</t>
  </si>
  <si>
    <t>VÃ¡zquez,Daniela</t>
  </si>
  <si>
    <t>Mireles,Karla</t>
  </si>
  <si>
    <t>PÃ©rez,Ismael</t>
  </si>
  <si>
    <t>Perez,Ana</t>
  </si>
  <si>
    <t>Castillo,Saul</t>
  </si>
  <si>
    <t>Zuniga,Isaac</t>
  </si>
  <si>
    <t>Bartolo,Daniel Angel</t>
  </si>
  <si>
    <t>Hernandez Paniagua,Enrique</t>
  </si>
  <si>
    <t>Garcia Castillo,Jose Miguel</t>
  </si>
  <si>
    <t>Pacheco,Jack</t>
  </si>
  <si>
    <t>Rangel,Tania</t>
  </si>
  <si>
    <t>Mares,Ana</t>
  </si>
  <si>
    <t>HernÃ¡ndez,Cinthia</t>
  </si>
  <si>
    <t>Honojoza,Adriana</t>
  </si>
  <si>
    <t>curita</t>
  </si>
  <si>
    <t>gastrocoolitis</t>
  </si>
  <si>
    <t>gastroenteritis</t>
  </si>
  <si>
    <t>neUROLOGICO</t>
  </si>
  <si>
    <t>Ramirez,Aaron</t>
  </si>
  <si>
    <t>Aguilar,Antonio</t>
  </si>
  <si>
    <t>VÃ¡zquez,AndrÃ©s</t>
  </si>
  <si>
    <t>Jimenez,Saul</t>
  </si>
  <si>
    <t>Cardenas,Carlos</t>
  </si>
  <si>
    <t>Funes,Michelle</t>
  </si>
  <si>
    <t>Gutierrez,Samuel</t>
  </si>
  <si>
    <t>cihernaf</t>
  </si>
  <si>
    <t>Medina,Angel</t>
  </si>
  <si>
    <t>Salmeron,Alexa</t>
  </si>
  <si>
    <t>Andrade,Gema</t>
  </si>
  <si>
    <t>tension emocional</t>
  </si>
  <si>
    <t>Guadian,Gaby</t>
  </si>
  <si>
    <t>Reynoso,Esmeralda</t>
  </si>
  <si>
    <t>Martinez,Mariana</t>
  </si>
  <si>
    <t>Zuniga,Sebastian</t>
  </si>
  <si>
    <t>Luna,Mario</t>
  </si>
  <si>
    <t>Segura,Antonio</t>
  </si>
  <si>
    <t>rash cutaneo</t>
  </si>
  <si>
    <t>Cienega,Fatima</t>
  </si>
  <si>
    <t>Torres Parga,Ma. Felicitas</t>
  </si>
  <si>
    <t>mialga</t>
  </si>
  <si>
    <t>flictena</t>
  </si>
  <si>
    <t>irritacion ocular</t>
  </si>
  <si>
    <t>Garcia,Elva</t>
  </si>
  <si>
    <t>Lara,Oswaldo</t>
  </si>
  <si>
    <t>Alcocer,Carlos</t>
  </si>
  <si>
    <t>Santillan,Mildred</t>
  </si>
  <si>
    <t>Alonso Soto,Omar</t>
  </si>
  <si>
    <t>Manzanares Navarro,Sandra</t>
  </si>
  <si>
    <t>Franco,Jose</t>
  </si>
  <si>
    <t>Reyes,Josue</t>
  </si>
  <si>
    <t>Luna,Barby</t>
  </si>
  <si>
    <t>Esqueda,Soledad</t>
  </si>
  <si>
    <t>Perea,Mauricio</t>
  </si>
  <si>
    <t>Medina,Jafet</t>
  </si>
  <si>
    <t>Duran,Lucy</t>
  </si>
  <si>
    <t>lesion en dedo</t>
  </si>
  <si>
    <t>golpe</t>
  </si>
  <si>
    <t>milagia</t>
  </si>
  <si>
    <t>sangrado rectal</t>
  </si>
  <si>
    <t>sanmild</t>
  </si>
  <si>
    <t>rodchrif</t>
  </si>
  <si>
    <t>angamanr</t>
  </si>
  <si>
    <t>ohergise</t>
  </si>
  <si>
    <t>zapatanl</t>
  </si>
  <si>
    <t>varacent</t>
  </si>
  <si>
    <t>marisozh</t>
  </si>
  <si>
    <t>eisabmor</t>
  </si>
  <si>
    <t>gjohanta</t>
  </si>
  <si>
    <t>corteax</t>
  </si>
  <si>
    <t>cjalcoce</t>
  </si>
  <si>
    <t>gifridae</t>
  </si>
  <si>
    <t>malvcarl</t>
  </si>
  <si>
    <t>yitzeare</t>
  </si>
  <si>
    <t>crurenda</t>
  </si>
  <si>
    <t>heenriqv</t>
  </si>
  <si>
    <t>gonzaoab</t>
  </si>
  <si>
    <t>isortizr</t>
  </si>
  <si>
    <t>veducast</t>
  </si>
  <si>
    <t>padiedgj</t>
  </si>
  <si>
    <t>jalejaja</t>
  </si>
  <si>
    <t>davazquq</t>
  </si>
  <si>
    <t>vaziandr</t>
  </si>
  <si>
    <t>kabrahlo</t>
  </si>
  <si>
    <t>agkarenw</t>
  </si>
  <si>
    <t>reacitla</t>
  </si>
  <si>
    <t>aidzariv</t>
  </si>
  <si>
    <t>sjimesau</t>
  </si>
  <si>
    <t>zusebast</t>
  </si>
  <si>
    <t>lgabrica</t>
  </si>
  <si>
    <t>pmarilun</t>
  </si>
  <si>
    <t>ggonzcar</t>
  </si>
  <si>
    <t>monzorod</t>
  </si>
  <si>
    <t>yjorggon</t>
  </si>
  <si>
    <t>mgarmigu</t>
  </si>
  <si>
    <t>bermisrq</t>
  </si>
  <si>
    <t>gajosemr</t>
  </si>
  <si>
    <t>qalvare</t>
  </si>
  <si>
    <t>huerblan</t>
  </si>
  <si>
    <t>ricobran</t>
  </si>
  <si>
    <t>hjuanpaq</t>
  </si>
  <si>
    <t>ariegary</t>
  </si>
  <si>
    <t>jhocarra</t>
  </si>
  <si>
    <t>jcuellka</t>
  </si>
  <si>
    <t>rmighern</t>
  </si>
  <si>
    <t>toledoev</t>
  </si>
  <si>
    <t>vargaul</t>
  </si>
  <si>
    <t>uveljose</t>
  </si>
  <si>
    <t>aratpine</t>
  </si>
  <si>
    <t>medhugol</t>
  </si>
  <si>
    <t>dmunozis</t>
  </si>
  <si>
    <t>narvaclu</t>
  </si>
  <si>
    <t>wangeloz</t>
  </si>
  <si>
    <t>eanespi</t>
  </si>
  <si>
    <t>ricaqcor</t>
  </si>
  <si>
    <t>icarolhe</t>
  </si>
  <si>
    <t>reymjosu</t>
  </si>
  <si>
    <t>jaureyiv</t>
  </si>
  <si>
    <t>clavvill</t>
  </si>
  <si>
    <t>barbywlu</t>
  </si>
  <si>
    <t>rayacale</t>
  </si>
  <si>
    <t>naymoren</t>
  </si>
  <si>
    <t>elenvjua</t>
  </si>
  <si>
    <t>pafherna</t>
  </si>
  <si>
    <t>tmontfra</t>
  </si>
  <si>
    <t>fpablmar</t>
  </si>
  <si>
    <t>caccarde</t>
  </si>
  <si>
    <t>victokba</t>
  </si>
  <si>
    <t>yazmddia</t>
  </si>
  <si>
    <t>lidreyew</t>
  </si>
  <si>
    <t>gusudiaz</t>
  </si>
  <si>
    <t>jairopon</t>
  </si>
  <si>
    <t>fatimci</t>
  </si>
  <si>
    <t>jgutierq</t>
  </si>
  <si>
    <t>meyville</t>
  </si>
  <si>
    <t>miafunes</t>
  </si>
  <si>
    <t>nunezgog</t>
  </si>
  <si>
    <t>abrahlma</t>
  </si>
  <si>
    <t>quiropat</t>
  </si>
  <si>
    <t>chicangj</t>
  </si>
  <si>
    <t>wdianapo</t>
  </si>
  <si>
    <t>madianap</t>
  </si>
  <si>
    <t>cangmedi</t>
  </si>
  <si>
    <t>manluisf</t>
  </si>
  <si>
    <t>brareyni</t>
  </si>
  <si>
    <t>garcrodv</t>
  </si>
  <si>
    <t>honojadm</t>
  </si>
  <si>
    <t>musantib</t>
  </si>
  <si>
    <t>valtinsa</t>
  </si>
  <si>
    <t>lopedaz</t>
  </si>
  <si>
    <t>samuhgut</t>
  </si>
  <si>
    <t>soledesq</t>
  </si>
  <si>
    <t>vazquegg</t>
  </si>
  <si>
    <t>gonjesun</t>
  </si>
  <si>
    <t>alanarmr</t>
  </si>
  <si>
    <t>rodrisga</t>
  </si>
  <si>
    <t>juargerm</t>
  </si>
  <si>
    <t>jromefra</t>
  </si>
  <si>
    <t>pasanchj</t>
  </si>
  <si>
    <t>aracvmat</t>
  </si>
  <si>
    <t>xmenjare</t>
  </si>
  <si>
    <t>jozfuent</t>
  </si>
  <si>
    <t>mmanumun</t>
  </si>
  <si>
    <t>isrwpadi</t>
  </si>
  <si>
    <t>alexbdom</t>
  </si>
  <si>
    <t>araizjpr</t>
  </si>
  <si>
    <t>nalesalm</t>
  </si>
  <si>
    <t>tadeovel</t>
  </si>
  <si>
    <t>falexahi</t>
  </si>
  <si>
    <t>fiorelor</t>
  </si>
  <si>
    <t>zavdaniu</t>
  </si>
  <si>
    <t>mauperea</t>
  </si>
  <si>
    <t>aloalonx</t>
  </si>
  <si>
    <t>goroberd</t>
  </si>
  <si>
    <t>misaeate</t>
  </si>
  <si>
    <t>fandradd</t>
  </si>
  <si>
    <t>gguadia</t>
  </si>
  <si>
    <t>collaedu</t>
  </si>
  <si>
    <t>cesmartd</t>
  </si>
  <si>
    <t>heljoana</t>
  </si>
  <si>
    <t>jafemedi</t>
  </si>
  <si>
    <t>adfvilla</t>
  </si>
  <si>
    <t>esmecrey</t>
  </si>
  <si>
    <t>kcorosva</t>
  </si>
  <si>
    <t>umacamac</t>
  </si>
  <si>
    <t>hernjesp</t>
  </si>
  <si>
    <t>oalcanti</t>
  </si>
  <si>
    <t>zrodrisa</t>
  </si>
  <si>
    <t>omuferna</t>
  </si>
  <si>
    <t>torrmafe</t>
  </si>
  <si>
    <t>noyolvan</t>
  </si>
  <si>
    <t>qtorrjan</t>
  </si>
  <si>
    <t>rodrnisa</t>
  </si>
  <si>
    <t>snvargas</t>
  </si>
  <si>
    <t>velazalr</t>
  </si>
  <si>
    <t>atchibli</t>
  </si>
  <si>
    <t>bsergioc</t>
  </si>
  <si>
    <t>eoaup</t>
  </si>
  <si>
    <t>cflorfer</t>
  </si>
  <si>
    <t>iangevaz</t>
  </si>
  <si>
    <t>antonhee</t>
  </si>
  <si>
    <t>gemandra</t>
  </si>
  <si>
    <t>ricblara</t>
  </si>
  <si>
    <t>legallek</t>
  </si>
  <si>
    <t>geroagui</t>
  </si>
  <si>
    <t>hiselara</t>
  </si>
  <si>
    <t>mlopecar</t>
  </si>
  <si>
    <t>rannange</t>
  </si>
  <si>
    <t>alvqfern</t>
  </si>
  <si>
    <t>osgodinq</t>
  </si>
  <si>
    <t>qperequi</t>
  </si>
  <si>
    <t>yaguicar</t>
  </si>
  <si>
    <t>fpaorami</t>
  </si>
  <si>
    <t>laajonat</t>
  </si>
  <si>
    <t>cabelgab</t>
  </si>
  <si>
    <t>edcastrs</t>
  </si>
  <si>
    <t>servelaj</t>
  </si>
  <si>
    <t>saiibarr</t>
  </si>
  <si>
    <t>fordyesh</t>
  </si>
  <si>
    <t>anaornev</t>
  </si>
  <si>
    <t>jmafelip</t>
  </si>
  <si>
    <t>earroyoh</t>
  </si>
  <si>
    <t>jaslilyz</t>
  </si>
  <si>
    <t>barajcla</t>
  </si>
  <si>
    <t>perbdavi</t>
  </si>
  <si>
    <t>jairhram</t>
  </si>
  <si>
    <t>falmaser</t>
  </si>
  <si>
    <t>peroberp</t>
  </si>
  <si>
    <t>nochalej</t>
  </si>
  <si>
    <t>aderikas</t>
  </si>
  <si>
    <t>wsaavdan</t>
  </si>
  <si>
    <t>ventuaom</t>
  </si>
  <si>
    <t>dantonse</t>
  </si>
  <si>
    <t>anhannab</t>
  </si>
  <si>
    <t>zaldaiol</t>
  </si>
  <si>
    <t>ogalerne</t>
  </si>
  <si>
    <t>hidposca</t>
  </si>
  <si>
    <t>chruram</t>
  </si>
  <si>
    <t>nicasism</t>
  </si>
  <si>
    <t>castilpw</t>
  </si>
  <si>
    <t>alhernk</t>
  </si>
  <si>
    <t>palacdir</t>
  </si>
  <si>
    <t>jubazald</t>
  </si>
  <si>
    <t>omedesan</t>
  </si>
  <si>
    <t>kgushern</t>
  </si>
  <si>
    <t>veraaled</t>
  </si>
  <si>
    <t>tkarlram</t>
  </si>
  <si>
    <t>rodrzsau</t>
  </si>
  <si>
    <t>maxicasi</t>
  </si>
  <si>
    <t>luzmmarq</t>
  </si>
  <si>
    <t>adriawgo</t>
  </si>
  <si>
    <t>eisaacgo</t>
  </si>
  <si>
    <t>villwkel</t>
  </si>
  <si>
    <t>uroramir</t>
  </si>
  <si>
    <t>sofiawlo</t>
  </si>
  <si>
    <t>gapjosel</t>
  </si>
  <si>
    <t>vazjorgb</t>
  </si>
  <si>
    <t>ricagarm</t>
  </si>
  <si>
    <t>jherhect</t>
  </si>
  <si>
    <t>tjulitor</t>
  </si>
  <si>
    <t>ylutruji</t>
  </si>
  <si>
    <t>lindinoe</t>
  </si>
  <si>
    <t>ecarkari</t>
  </si>
  <si>
    <t>veroargu</t>
  </si>
  <si>
    <t>alejamaq</t>
  </si>
  <si>
    <t>agugarni</t>
  </si>
  <si>
    <t>macatmor</t>
  </si>
  <si>
    <t>afabianx</t>
  </si>
  <si>
    <t>uarandar</t>
  </si>
  <si>
    <t>poncefbr</t>
  </si>
  <si>
    <t>vmemonic</t>
  </si>
  <si>
    <t>imontbar</t>
  </si>
  <si>
    <t>edithmel</t>
  </si>
  <si>
    <t>Rodriguez Vazquez,Cris</t>
  </si>
  <si>
    <t>Silva,Karla</t>
  </si>
  <si>
    <t>Vela,Jose</t>
  </si>
  <si>
    <t>Urrutia,Oscar</t>
  </si>
  <si>
    <t>Bermudez,Giovanni</t>
  </si>
  <si>
    <t>Ponc,Diana</t>
  </si>
  <si>
    <t>Lara,Ricardo</t>
  </si>
  <si>
    <t>Vela,Sergio</t>
  </si>
  <si>
    <t>Jasso,Lily</t>
  </si>
  <si>
    <t>Ramirez,Rocio</t>
  </si>
  <si>
    <t>Fabian,Ary</t>
  </si>
  <si>
    <t>HernÃ¡ndez,Gisela</t>
  </si>
  <si>
    <t>Olmos,Dari</t>
  </si>
  <si>
    <t>Sanchez,Daniel</t>
  </si>
  <si>
    <t>Mora,Isabel</t>
  </si>
  <si>
    <t>Castillo,Ana</t>
  </si>
  <si>
    <t>Vargas,Leo</t>
  </si>
  <si>
    <t>Mares,Pablo</t>
  </si>
  <si>
    <t>Aguilar,Carlos</t>
  </si>
  <si>
    <t>Ornelas,Ana</t>
  </si>
  <si>
    <t>Loera,Sofia</t>
  </si>
  <si>
    <t>Arechar Ortiz,Lindi Noemi</t>
  </si>
  <si>
    <t>Romero,Jhonatan</t>
  </si>
  <si>
    <t>Guerrero,Alvaro</t>
  </si>
  <si>
    <t>AlarcÃ³n,Irving</t>
  </si>
  <si>
    <t>Cortes,Ricardo</t>
  </si>
  <si>
    <t>Alvarez,Fernanda</t>
  </si>
  <si>
    <t>Medel,Sandra</t>
  </si>
  <si>
    <t>Ramos,Karla</t>
  </si>
  <si>
    <t>Ojeda,Edgar</t>
  </si>
  <si>
    <t>Valdes,Octavio</t>
  </si>
  <si>
    <t>Valtierra,Saul Angel</t>
  </si>
  <si>
    <t>Villalobos,Adrian</t>
  </si>
  <si>
    <t>Vazquez,Angelica</t>
  </si>
  <si>
    <t>Perez,Quique</t>
  </si>
  <si>
    <t>Castro,Edgar</t>
  </si>
  <si>
    <t>Hernandez Montiel,Angelica Teresa</t>
  </si>
  <si>
    <t>Moreno,Nayeli Naye</t>
  </si>
  <si>
    <t>Barajas,Victor</t>
  </si>
  <si>
    <t>Belmonte,Oscar Martin</t>
  </si>
  <si>
    <t>Marquez,Luz Maria</t>
  </si>
  <si>
    <t>Echeveste,Mauricio</t>
  </si>
  <si>
    <t>Bermejo,Israel</t>
  </si>
  <si>
    <t>Jauregui,IvÃ¡n</t>
  </si>
  <si>
    <t>Santibanez,Mariano</t>
  </si>
  <si>
    <t>Mendoza,Jared</t>
  </si>
  <si>
    <t>Gallegos,Leonardo</t>
  </si>
  <si>
    <t>Adona,Erika</t>
  </si>
  <si>
    <t>Hernandez,Gustavo</t>
  </si>
  <si>
    <t>Villalpando Hernandez,Kelvin</t>
  </si>
  <si>
    <t>Paz,Alhe</t>
  </si>
  <si>
    <t>Martinez,Vero</t>
  </si>
  <si>
    <t>Ramirez,Ceci</t>
  </si>
  <si>
    <t>Loredo Segura,Antonio</t>
  </si>
  <si>
    <t>Perez,Andy</t>
  </si>
  <si>
    <t>Arenas,Itzel</t>
  </si>
  <si>
    <t>VelÃ¡zquez,Alexis</t>
  </si>
  <si>
    <t>Hernandez,Alejandro</t>
  </si>
  <si>
    <t>Cordova,Edith</t>
  </si>
  <si>
    <t>LaO Blanco,Ivan</t>
  </si>
  <si>
    <t>Centeno,Ara</t>
  </si>
  <si>
    <t>Garcia,Rodrigo</t>
  </si>
  <si>
    <t>Rodriguez,Gaby</t>
  </si>
  <si>
    <t>Araujo,Hisela</t>
  </si>
  <si>
    <t>Vera,Alejandro</t>
  </si>
  <si>
    <t>Moreno,Gonzalo</t>
  </si>
  <si>
    <t>Trujillo,Luis</t>
  </si>
  <si>
    <t>Aranda,Reyna</t>
  </si>
  <si>
    <t>Mack,Jose</t>
  </si>
  <si>
    <t>Ramirez,Emiliano</t>
  </si>
  <si>
    <t>Hidalgo,Alexander</t>
  </si>
  <si>
    <t>Rocha,Apolo</t>
  </si>
  <si>
    <t>Gonzalez,Flor</t>
  </si>
  <si>
    <t>Aguilar,Mary</t>
  </si>
  <si>
    <t>teradeni</t>
  </si>
  <si>
    <t>Hurtado,Isis</t>
  </si>
  <si>
    <t>Morales,Emmanuel</t>
  </si>
  <si>
    <t>Toledo,Eva</t>
  </si>
  <si>
    <t>Villalpando,Cristopher</t>
  </si>
  <si>
    <t>Marquez,Diana</t>
  </si>
  <si>
    <t>Gonzalez,Andrea</t>
  </si>
  <si>
    <t>Campos,Susana</t>
  </si>
  <si>
    <t>MartÃ­nez,Jesus</t>
  </si>
  <si>
    <t>Jimenez Becerra,Juan Carlos</t>
  </si>
  <si>
    <t>martcjes</t>
  </si>
  <si>
    <t>revaloracion</t>
  </si>
  <si>
    <t xml:space="preserve">irritacion </t>
  </si>
  <si>
    <t xml:space="preserve">terapia fisica </t>
  </si>
  <si>
    <t>ingle</t>
  </si>
  <si>
    <t>pie</t>
  </si>
  <si>
    <t>taquicardia</t>
  </si>
  <si>
    <t>dolro de oido</t>
  </si>
  <si>
    <t>sala de meditacion</t>
  </si>
  <si>
    <t>mialgioa</t>
  </si>
  <si>
    <t>Cortes,Axel</t>
  </si>
  <si>
    <t>Gil Rico,Frida Ernestina</t>
  </si>
  <si>
    <t>Romero,Francisco</t>
  </si>
  <si>
    <t>Collazo,Yahir</t>
  </si>
  <si>
    <t>Arredondo,Grecia</t>
  </si>
  <si>
    <t>Silva,Carlos</t>
  </si>
  <si>
    <t>masusanw</t>
  </si>
  <si>
    <t>ortizdui</t>
  </si>
  <si>
    <t>amarioat</t>
  </si>
  <si>
    <t>jhlopezg</t>
  </si>
  <si>
    <t>gzavalam</t>
  </si>
  <si>
    <t>tessajvi</t>
  </si>
  <si>
    <t>eijonath</t>
  </si>
  <si>
    <t>lrochasa</t>
  </si>
  <si>
    <t>alejrava</t>
  </si>
  <si>
    <t>montebib</t>
  </si>
  <si>
    <t>iarandaj</t>
  </si>
  <si>
    <t>pfernagu</t>
  </si>
  <si>
    <t>dmarbelm</t>
  </si>
  <si>
    <t>josedeov</t>
  </si>
  <si>
    <t>zgutjoel</t>
  </si>
  <si>
    <t>guircris</t>
  </si>
  <si>
    <t>vallfmar</t>
  </si>
  <si>
    <t>hedualeo</t>
  </si>
  <si>
    <t>hefernas</t>
  </si>
  <si>
    <t>roapolot</t>
  </si>
  <si>
    <t>almeymar</t>
  </si>
  <si>
    <t>peralexn</t>
  </si>
  <si>
    <t>npenajas</t>
  </si>
  <si>
    <t>dcmaldon</t>
  </si>
  <si>
    <t>yahcollh</t>
  </si>
  <si>
    <t>cearandr</t>
  </si>
  <si>
    <t>cedenojv</t>
  </si>
  <si>
    <t>donvblan</t>
  </si>
  <si>
    <t>gasconab</t>
  </si>
  <si>
    <t>wantgalv</t>
  </si>
  <si>
    <t>wedgaoje</t>
  </si>
  <si>
    <t>lkayland</t>
  </si>
  <si>
    <t>ernsbrit</t>
  </si>
  <si>
    <t>sanchler</t>
  </si>
  <si>
    <t>serhmerc</t>
  </si>
  <si>
    <t>wjuamedi</t>
  </si>
  <si>
    <t>grizzvar</t>
  </si>
  <si>
    <t>solismom</t>
  </si>
  <si>
    <t>njosmack</t>
  </si>
  <si>
    <t>agvadria</t>
  </si>
  <si>
    <t>mlaranto</t>
  </si>
  <si>
    <t>lalbmora</t>
  </si>
  <si>
    <t>zclolita</t>
  </si>
  <si>
    <t>jesuswor</t>
  </si>
  <si>
    <t>kroszuni</t>
  </si>
  <si>
    <t>alhepaz</t>
  </si>
  <si>
    <t>xmanricr</t>
  </si>
  <si>
    <t>dulceanj</t>
  </si>
  <si>
    <t>lmartive</t>
  </si>
  <si>
    <t>cehramir</t>
  </si>
  <si>
    <t>carlsosn</t>
  </si>
  <si>
    <t>crbbarri</t>
  </si>
  <si>
    <t>erosvald</t>
  </si>
  <si>
    <t>rremilia</t>
  </si>
  <si>
    <t>carmoher</t>
  </si>
  <si>
    <t>jesukram</t>
  </si>
  <si>
    <t>varviane</t>
  </si>
  <si>
    <t>rherenri</t>
  </si>
  <si>
    <t>agoartur</t>
  </si>
  <si>
    <t>valezlop</t>
  </si>
  <si>
    <t>clchavej</t>
  </si>
  <si>
    <t>cordoedt</t>
  </si>
  <si>
    <t>jeqmende</t>
  </si>
  <si>
    <t>angdanii</t>
  </si>
  <si>
    <t>saldtorr</t>
  </si>
  <si>
    <t>neosvald</t>
  </si>
  <si>
    <t>rzayradi</t>
  </si>
  <si>
    <t>cortvian</t>
  </si>
  <si>
    <t>jazvaldi</t>
  </si>
  <si>
    <t>chejserg</t>
  </si>
  <si>
    <t>luwlinar</t>
  </si>
  <si>
    <t>ygustmar</t>
  </si>
  <si>
    <t>kdanloza</t>
  </si>
  <si>
    <t>ramsesua</t>
  </si>
  <si>
    <t>jobarrii</t>
  </si>
  <si>
    <t>rivarlet</t>
  </si>
  <si>
    <t>anilozor</t>
  </si>
  <si>
    <t>bfegonza</t>
  </si>
  <si>
    <t>fmarihe</t>
  </si>
  <si>
    <t>pebfaust</t>
  </si>
  <si>
    <t>cornatht</t>
  </si>
  <si>
    <t>xalatorr</t>
  </si>
  <si>
    <t>samarrlu</t>
  </si>
  <si>
    <t>ilaoblab</t>
  </si>
  <si>
    <t>ivansilw</t>
  </si>
  <si>
    <t>crisgvil</t>
  </si>
  <si>
    <t>geduardh</t>
  </si>
  <si>
    <t>ayocktan</t>
  </si>
  <si>
    <t>isaajher</t>
  </si>
  <si>
    <t>angror</t>
  </si>
  <si>
    <t>pizancrh</t>
  </si>
  <si>
    <t>valqsara</t>
  </si>
  <si>
    <t>molifabb</t>
  </si>
  <si>
    <t>ejoselan</t>
  </si>
  <si>
    <t>danortid</t>
  </si>
  <si>
    <t>gonantod</t>
  </si>
  <si>
    <t>lanavera</t>
  </si>
  <si>
    <t>jflogonz</t>
  </si>
  <si>
    <t>avesaulp</t>
  </si>
  <si>
    <t>loredose</t>
  </si>
  <si>
    <t>romelopc</t>
  </si>
  <si>
    <t>mecesard</t>
  </si>
  <si>
    <t>ngomezle</t>
  </si>
  <si>
    <t>odiegalf</t>
  </si>
  <si>
    <t>atboltor</t>
  </si>
  <si>
    <t>velaoswa</t>
  </si>
  <si>
    <t>qclaudhe</t>
  </si>
  <si>
    <t>idavvarg</t>
  </si>
  <si>
    <t>urikrive</t>
  </si>
  <si>
    <t>rangcrik</t>
  </si>
  <si>
    <t>montmedi</t>
  </si>
  <si>
    <t>hrodhenr</t>
  </si>
  <si>
    <t>torluzaf</t>
  </si>
  <si>
    <t>delhtorr</t>
  </si>
  <si>
    <t>jmadiana</t>
  </si>
  <si>
    <t>arredgre</t>
  </si>
  <si>
    <t>hcesarda</t>
  </si>
  <si>
    <t>estatere</t>
  </si>
  <si>
    <t>maykgarc</t>
  </si>
  <si>
    <t>uibarale</t>
  </si>
  <si>
    <t>lmarisil</t>
  </si>
  <si>
    <t>ljuananm</t>
  </si>
  <si>
    <t>silvcart</t>
  </si>
  <si>
    <t>rgonzand</t>
  </si>
  <si>
    <t>hazzames</t>
  </si>
  <si>
    <t>nisabeva</t>
  </si>
  <si>
    <t>camisusa</t>
  </si>
  <si>
    <t>bocmineq</t>
  </si>
  <si>
    <t>leopogra</t>
  </si>
  <si>
    <t>cuzarate</t>
  </si>
  <si>
    <t>gutnicov</t>
  </si>
  <si>
    <t>rocgomev</t>
  </si>
  <si>
    <t>muridanz</t>
  </si>
  <si>
    <t>dnaguila</t>
  </si>
  <si>
    <t>servlili</t>
  </si>
  <si>
    <t>editmunv</t>
  </si>
  <si>
    <t>valadfri</t>
  </si>
  <si>
    <t>albaleor</t>
  </si>
  <si>
    <t>elunamon</t>
  </si>
  <si>
    <t>saescale</t>
  </si>
  <si>
    <t>loflilia</t>
  </si>
  <si>
    <t>zalcaant</t>
  </si>
  <si>
    <t>orteitze</t>
  </si>
  <si>
    <t>garwkarl</t>
  </si>
  <si>
    <t>portugfa</t>
  </si>
  <si>
    <t>godipang</t>
  </si>
  <si>
    <t>ruiangeg</t>
  </si>
  <si>
    <t>fabioldm</t>
  </si>
  <si>
    <t>dleonper</t>
  </si>
  <si>
    <t>moralhed</t>
  </si>
  <si>
    <t>julispad</t>
  </si>
  <si>
    <t>cservije</t>
  </si>
  <si>
    <t>fcegonza</t>
  </si>
  <si>
    <t>jifjuanc</t>
  </si>
  <si>
    <t>monomore</t>
  </si>
  <si>
    <t>tjosalda</t>
  </si>
  <si>
    <t>alvsrica</t>
  </si>
  <si>
    <t>fabiodlu</t>
  </si>
  <si>
    <t>wcalixje</t>
  </si>
  <si>
    <t>kfonslau</t>
  </si>
  <si>
    <t>xvelazlu</t>
  </si>
  <si>
    <t>maryragu</t>
  </si>
  <si>
    <t>ngomezal</t>
  </si>
  <si>
    <t>edvargaq</t>
  </si>
  <si>
    <t>dmunojen</t>
  </si>
  <si>
    <t>nunehugk</t>
  </si>
  <si>
    <t>willmuri</t>
  </si>
  <si>
    <t>luirhurt</t>
  </si>
  <si>
    <t>jeurrutj</t>
  </si>
  <si>
    <t>sandceci</t>
  </si>
  <si>
    <t>patrarau</t>
  </si>
  <si>
    <t>tjuardie</t>
  </si>
  <si>
    <t>goedsony</t>
  </si>
  <si>
    <t>vlopeabi</t>
  </si>
  <si>
    <t>zunana</t>
  </si>
  <si>
    <t>quezayoh</t>
  </si>
  <si>
    <t>lozornio</t>
  </si>
  <si>
    <t>marcgvaz</t>
  </si>
  <si>
    <t>cachoqdi</t>
  </si>
  <si>
    <t>zcarloag</t>
  </si>
  <si>
    <t>tresendl</t>
  </si>
  <si>
    <t>cynduran</t>
  </si>
  <si>
    <t>NF-X1900</t>
  </si>
  <si>
    <t>DE-X1024</t>
  </si>
  <si>
    <t>supervisor_employee_login</t>
  </si>
  <si>
    <t>ecortesv</t>
  </si>
  <si>
    <t>ferncoar</t>
  </si>
  <si>
    <t>feledga</t>
  </si>
  <si>
    <t>sandmanz</t>
  </si>
  <si>
    <t>hntly</t>
  </si>
  <si>
    <t>camgreci</t>
  </si>
  <si>
    <t>gustbgab</t>
  </si>
  <si>
    <t>hjonan</t>
  </si>
  <si>
    <t>madridmr</t>
  </si>
  <si>
    <t>sebrosne</t>
  </si>
  <si>
    <t>valenpf</t>
  </si>
  <si>
    <t>degch</t>
  </si>
  <si>
    <t>vmarturo</t>
  </si>
  <si>
    <t>susanabm</t>
  </si>
  <si>
    <t>alexaxl</t>
  </si>
  <si>
    <t>aricantu</t>
  </si>
  <si>
    <t>evelynhg</t>
  </si>
  <si>
    <t>alexvb</t>
  </si>
  <si>
    <t>morgadoc</t>
  </si>
  <si>
    <t>anapenag</t>
  </si>
  <si>
    <t>betomar</t>
  </si>
  <si>
    <t>albertlu</t>
  </si>
  <si>
    <t>Gutierrez,Javier</t>
  </si>
  <si>
    <t>RodrÃ­guez,Isabel</t>
  </si>
  <si>
    <t>Chibli,Arturo</t>
  </si>
  <si>
    <t>Barbosa,Montserrat</t>
  </si>
  <si>
    <t>Sandoval,Cecilia</t>
  </si>
  <si>
    <t>Lozornio,Christopher</t>
  </si>
  <si>
    <t>Dx</t>
  </si>
  <si>
    <t>Cuellar,Karina</t>
  </si>
  <si>
    <t>Orozco Martinez,Fiorella Giovanna</t>
  </si>
  <si>
    <t>Carreras,Karina</t>
  </si>
  <si>
    <t>Osvaldo,Erik</t>
  </si>
  <si>
    <t>Hernandez,Carmen</t>
  </si>
  <si>
    <t>Valdivia,Jazmin</t>
  </si>
  <si>
    <t>Cortes,Beto</t>
  </si>
  <si>
    <t>Rico,Brandon</t>
  </si>
  <si>
    <t>chicangana,jaiver</t>
  </si>
  <si>
    <t>Velazquez,Tadeo</t>
  </si>
  <si>
    <t>Checo,Sergio</t>
  </si>
  <si>
    <t>Sanchez,Brenda</t>
  </si>
  <si>
    <t>Espinoza,Ana</t>
  </si>
  <si>
    <t>Flores,Fer</t>
  </si>
  <si>
    <t>Aranda,Cesar</t>
  </si>
  <si>
    <t>Zuniga,Rosario</t>
  </si>
  <si>
    <t>Manriquez,Cristina</t>
  </si>
  <si>
    <t>Hernandez,Enrique</t>
  </si>
  <si>
    <t>Ortiz,Isaac</t>
  </si>
  <si>
    <t>Castro,Eduardo</t>
  </si>
  <si>
    <t>Villegas,Meylli</t>
  </si>
  <si>
    <t>Perez,Roberto</t>
  </si>
  <si>
    <t>Garcia,Joselyn</t>
  </si>
  <si>
    <t>Hernandez Murillo,Cesar Daniel</t>
  </si>
  <si>
    <t>Cob,Perla</t>
  </si>
  <si>
    <t>Aguilar,Karen</t>
  </si>
  <si>
    <t>Armenta,Alan</t>
  </si>
  <si>
    <t>Teran,Denisse</t>
  </si>
  <si>
    <t>AviÃ±a,Ramses</t>
  </si>
  <si>
    <t>Ibarra,Alexa</t>
  </si>
  <si>
    <t>Araujo,Patricio</t>
  </si>
  <si>
    <t>Centeno,Claudio</t>
  </si>
  <si>
    <t>Gonzalez,Abraham</t>
  </si>
  <si>
    <t>Jaime,Alejandro</t>
  </si>
  <si>
    <t>Carpio,Gabriel</t>
  </si>
  <si>
    <t>Huerta,Blanca</t>
  </si>
  <si>
    <t>Marquez,Abraham</t>
  </si>
  <si>
    <t>Quiroz,Patricio</t>
  </si>
  <si>
    <t>Castillo,Pablo</t>
  </si>
  <si>
    <t>Brito,Ernesto</t>
  </si>
  <si>
    <t>Valadez,Frida</t>
  </si>
  <si>
    <t>Urrutia,JesÃºs</t>
  </si>
  <si>
    <t>BarrÃ³n,Noe</t>
  </si>
  <si>
    <t>PatiÃ±o,Max</t>
  </si>
  <si>
    <t>Aguilar Franco,Viridiana</t>
  </si>
  <si>
    <t>Gonzalez,Caro</t>
  </si>
  <si>
    <t>Hernandez,Antonio</t>
  </si>
  <si>
    <t>Gascon,Abraham</t>
  </si>
  <si>
    <t>LÃ³pez,Valeria</t>
  </si>
  <si>
    <t>Vera,Ana</t>
  </si>
  <si>
    <t>Medina,Montserrat</t>
  </si>
  <si>
    <t>Torres,Luza</t>
  </si>
  <si>
    <t>Torres,Delia</t>
  </si>
  <si>
    <t>sandoval,israel</t>
  </si>
  <si>
    <t>DÃ­az,Gus</t>
  </si>
  <si>
    <t>Nunez Gonzalez,Gabriela</t>
  </si>
  <si>
    <t>Aguirre,Gerardo</t>
  </si>
  <si>
    <t>Oliva,Aldair</t>
  </si>
  <si>
    <t>Morales Afanador,Alberto</t>
  </si>
  <si>
    <t>Araiza,Yocktan</t>
  </si>
  <si>
    <t>Almaguer,Mauricio</t>
  </si>
  <si>
    <t>Galvan,Antonio</t>
  </si>
  <si>
    <t>Morales,Eduardo</t>
  </si>
  <si>
    <t>Munoz,Gabriel</t>
  </si>
  <si>
    <t>Flores,Christian</t>
  </si>
  <si>
    <t>Torres Parga,Ma Felicitas</t>
  </si>
  <si>
    <t>Anguiano,Daniel</t>
  </si>
  <si>
    <t>Adm+C4345:M4432in/HR/IT</t>
  </si>
  <si>
    <t>Garcia,Manuel</t>
  </si>
  <si>
    <t>Hernandez,Joshua</t>
  </si>
  <si>
    <t>Medina,Abigail</t>
  </si>
  <si>
    <t>Ibarra,Sandra</t>
  </si>
  <si>
    <t>Samarron Prado,Luis Gerardo</t>
  </si>
  <si>
    <t>Vallejo,Sarahi</t>
  </si>
  <si>
    <t>Alvarez,Ricardo</t>
  </si>
  <si>
    <t>GÃ³mez,Alexis</t>
  </si>
  <si>
    <t>Mendoza,Delia</t>
  </si>
  <si>
    <t>Castillo,Fernando</t>
  </si>
  <si>
    <t>Castillo,Enedina</t>
  </si>
  <si>
    <t>Torres,Aylen Aylen</t>
  </si>
  <si>
    <t>Manzo GonzÃ¡lez,Luis Fernando</t>
  </si>
  <si>
    <t>Barajas,Claudia</t>
  </si>
  <si>
    <t>ALATORRE,ABRAHAM</t>
  </si>
  <si>
    <t>Alcantar,Andres</t>
  </si>
  <si>
    <t>Vargas,David</t>
  </si>
  <si>
    <t>Estrada,Tere</t>
  </si>
  <si>
    <t>Lopez Rodriguez,Juan Antonio</t>
  </si>
  <si>
    <t>Lira,Arath</t>
  </si>
  <si>
    <t>OTALGIA</t>
  </si>
  <si>
    <t>HIPERGLUCEMIA</t>
  </si>
  <si>
    <t>HIPOGLUCEMIA</t>
  </si>
  <si>
    <t>HIDRATACION</t>
  </si>
  <si>
    <t>Encuesta NOM 35</t>
  </si>
  <si>
    <t>Flictemas en pie</t>
  </si>
  <si>
    <t>Gastritis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</si>
</sst>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5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8AC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5" fontId="0" fillId="4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pivotButton="1"/>
    <xf numFmtId="15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Fill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NumberFormat="1" applyFill="1"/>
    <xf numFmtId="2" fontId="0" fillId="0" borderId="0" xfId="0" pivotButton="1" applyNumberFormat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15" fontId="0" fillId="8" borderId="0" xfId="0" applyNumberFormat="1" applyFill="1"/>
    <xf numFmtId="0" fontId="0" fillId="2" borderId="0" xfId="0" applyFill="1"/>
    <xf numFmtId="0" fontId="0" fillId="9" borderId="0" xfId="0" applyFill="1"/>
    <xf numFmtId="0" fontId="0" fillId="10" borderId="0" xfId="0" applyFill="1"/>
    <xf numFmtId="15" fontId="0" fillId="7" borderId="0" xfId="0" applyNumberFormat="1" applyFill="1"/>
    <xf numFmtId="15" fontId="0" fillId="6" borderId="0" xfId="0" applyNumberFormat="1" applyFill="1"/>
    <xf numFmtId="15" fontId="0" fillId="0" borderId="0" xfId="0" applyNumberFormat="1"/>
    <xf numFmtId="15" fontId="0" fillId="0" borderId="0" xfId="0" applyNumberFormat="1" applyAlignment="1"/>
    <xf numFmtId="15" fontId="0" fillId="5" borderId="0" xfId="0" applyNumberFormat="1" applyFill="1"/>
    <xf numFmtId="15" fontId="0" fillId="0" borderId="0" xfId="0" applyNumberFormat="1" applyAlignment="1">
      <alignment horizontal="right"/>
    </xf>
    <xf numFmtId="15" fontId="0" fillId="5" borderId="0" xfId="0" applyNumberFormat="1" applyFill="1" applyAlignment="1">
      <alignment wrapText="1"/>
    </xf>
    <xf numFmtId="15" fontId="0" fillId="11" borderId="0" xfId="0" applyNumberFormat="1" applyFill="1"/>
    <xf numFmtId="0" fontId="0" fillId="0" borderId="0" xfId="0" applyNumberFormat="1" applyAlignment="1">
      <alignment horizontal="right"/>
    </xf>
    <xf numFmtId="15" fontId="0" fillId="12" borderId="0" xfId="0" applyNumberFormat="1" applyFill="1"/>
    <xf numFmtId="15" fontId="0" fillId="13" borderId="0" xfId="0" applyNumberFormat="1" applyFill="1"/>
    <xf numFmtId="15" fontId="0" fillId="3" borderId="0" xfId="0" applyNumberFormat="1" applyFill="1"/>
    <xf numFmtId="15" fontId="1" fillId="14" borderId="0" xfId="0" applyNumberFormat="1" applyFont="1" applyFill="1"/>
    <xf numFmtId="15" fontId="0" fillId="14" borderId="0" xfId="0" applyNumberFormat="1" applyFill="1"/>
    <xf numFmtId="0" fontId="0" fillId="0" borderId="0" xfId="0" applyNumberFormat="1" applyAlignment="1">
      <alignment horizontal="left"/>
    </xf>
    <xf numFmtId="1" fontId="0" fillId="0" borderId="0" xfId="0" applyNumberFormat="1"/>
    <xf numFmtId="15" fontId="0" fillId="15" borderId="0" xfId="0" applyNumberFormat="1" applyFill="1"/>
    <xf numFmtId="15" fontId="0" fillId="16" borderId="0" xfId="0" applyNumberFormat="1" applyFill="1"/>
    <xf numFmtId="15" fontId="0" fillId="0" borderId="0" xfId="0" applyNumberFormat="1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33"/>
      <color rgb="FFDA8AC9"/>
      <color rgb="FF00FFFF"/>
      <color rgb="FF65FFFF"/>
      <color rgb="FFC26DF7"/>
      <color rgb="FF66FF33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Amcare</a:t>
            </a:r>
            <a:r>
              <a:rPr lang="en-US" baseline="0"/>
              <a:t> Hours January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HOURS'!$AG$2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HOURS'!$AF$3:$AF$32</c:f>
              <c:numCache>
                <c:formatCode>d\-mmm\-yy</c:formatCode>
                <c:ptCount val="3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</c:numCache>
            </c:numRef>
          </c:cat>
          <c:val>
            <c:numRef>
              <c:f>'WHS HOURS'!$AG$3:$AG$32</c:f>
              <c:numCache>
                <c:formatCode>General</c:formatCode>
                <c:ptCount val="30"/>
                <c:pt idx="0">
                  <c:v>3.18</c:v>
                </c:pt>
                <c:pt idx="1">
                  <c:v>6.2700000000000005</c:v>
                </c:pt>
                <c:pt idx="2">
                  <c:v>10.4</c:v>
                </c:pt>
                <c:pt idx="3">
                  <c:v>14</c:v>
                </c:pt>
                <c:pt idx="4">
                  <c:v>6.07</c:v>
                </c:pt>
                <c:pt idx="5">
                  <c:v>15.36</c:v>
                </c:pt>
                <c:pt idx="6">
                  <c:v>6.16</c:v>
                </c:pt>
                <c:pt idx="7">
                  <c:v>6.39</c:v>
                </c:pt>
                <c:pt idx="8">
                  <c:v>5.09</c:v>
                </c:pt>
                <c:pt idx="9">
                  <c:v>11.31</c:v>
                </c:pt>
                <c:pt idx="10">
                  <c:v>18.46</c:v>
                </c:pt>
                <c:pt idx="11">
                  <c:v>6.05</c:v>
                </c:pt>
                <c:pt idx="12">
                  <c:v>4.66</c:v>
                </c:pt>
                <c:pt idx="13">
                  <c:v>7.33</c:v>
                </c:pt>
                <c:pt idx="14">
                  <c:v>6.88</c:v>
                </c:pt>
                <c:pt idx="15">
                  <c:v>7.52</c:v>
                </c:pt>
                <c:pt idx="16">
                  <c:v>26.61</c:v>
                </c:pt>
                <c:pt idx="17">
                  <c:v>20.99</c:v>
                </c:pt>
                <c:pt idx="18">
                  <c:v>10.14</c:v>
                </c:pt>
                <c:pt idx="19">
                  <c:v>9.9</c:v>
                </c:pt>
                <c:pt idx="20">
                  <c:v>4.1500000000000004</c:v>
                </c:pt>
                <c:pt idx="21">
                  <c:v>7.9</c:v>
                </c:pt>
                <c:pt idx="22">
                  <c:v>9.3699999999999992</c:v>
                </c:pt>
                <c:pt idx="23">
                  <c:v>6.75</c:v>
                </c:pt>
                <c:pt idx="24">
                  <c:v>7.98</c:v>
                </c:pt>
                <c:pt idx="25">
                  <c:v>5.21</c:v>
                </c:pt>
                <c:pt idx="26">
                  <c:v>11.74</c:v>
                </c:pt>
                <c:pt idx="27">
                  <c:v>2.63</c:v>
                </c:pt>
                <c:pt idx="28">
                  <c:v>5.71</c:v>
                </c:pt>
                <c:pt idx="29">
                  <c:v>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3-414C-86F9-EEBA872AC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430432"/>
        <c:axId val="947331440"/>
      </c:barChart>
      <c:lineChart>
        <c:grouping val="standard"/>
        <c:varyColors val="0"/>
        <c:ser>
          <c:idx val="1"/>
          <c:order val="1"/>
          <c:tx>
            <c:strRef>
              <c:f>'WHS HOURS'!$AH$2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HOURS'!$AF$3:$AF$32</c:f>
              <c:numCache>
                <c:formatCode>d\-mmm\-yy</c:formatCode>
                <c:ptCount val="3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</c:numCache>
            </c:numRef>
          </c:cat>
          <c:val>
            <c:numRef>
              <c:f>'WHS HOURS'!$AH$3:$AH$32</c:f>
              <c:numCache>
                <c:formatCode>0.00</c:formatCode>
                <c:ptCount val="30"/>
                <c:pt idx="0">
                  <c:v>5.55</c:v>
                </c:pt>
                <c:pt idx="1">
                  <c:v>5.55</c:v>
                </c:pt>
                <c:pt idx="2">
                  <c:v>5.55</c:v>
                </c:pt>
                <c:pt idx="3">
                  <c:v>5.55</c:v>
                </c:pt>
                <c:pt idx="4">
                  <c:v>5.55</c:v>
                </c:pt>
                <c:pt idx="5">
                  <c:v>5.55</c:v>
                </c:pt>
                <c:pt idx="6">
                  <c:v>5.55</c:v>
                </c:pt>
                <c:pt idx="7">
                  <c:v>5.55</c:v>
                </c:pt>
                <c:pt idx="8">
                  <c:v>5.55</c:v>
                </c:pt>
                <c:pt idx="9">
                  <c:v>5.55</c:v>
                </c:pt>
                <c:pt idx="10">
                  <c:v>5.55</c:v>
                </c:pt>
                <c:pt idx="11">
                  <c:v>5.55</c:v>
                </c:pt>
                <c:pt idx="12">
                  <c:v>5.55</c:v>
                </c:pt>
                <c:pt idx="13">
                  <c:v>5.55</c:v>
                </c:pt>
                <c:pt idx="14">
                  <c:v>5.55</c:v>
                </c:pt>
                <c:pt idx="15">
                  <c:v>5.55</c:v>
                </c:pt>
                <c:pt idx="16">
                  <c:v>5.55</c:v>
                </c:pt>
                <c:pt idx="17">
                  <c:v>5.55</c:v>
                </c:pt>
                <c:pt idx="18">
                  <c:v>5.55</c:v>
                </c:pt>
                <c:pt idx="19">
                  <c:v>5.55</c:v>
                </c:pt>
                <c:pt idx="20">
                  <c:v>5.55</c:v>
                </c:pt>
                <c:pt idx="21">
                  <c:v>5.55</c:v>
                </c:pt>
                <c:pt idx="22">
                  <c:v>5.55</c:v>
                </c:pt>
                <c:pt idx="23">
                  <c:v>5.55</c:v>
                </c:pt>
                <c:pt idx="24">
                  <c:v>5.55</c:v>
                </c:pt>
                <c:pt idx="25">
                  <c:v>5.55</c:v>
                </c:pt>
                <c:pt idx="26">
                  <c:v>5.55</c:v>
                </c:pt>
                <c:pt idx="27">
                  <c:v>5.55</c:v>
                </c:pt>
                <c:pt idx="28">
                  <c:v>5.55</c:v>
                </c:pt>
                <c:pt idx="29">
                  <c:v>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3-414C-86F9-EEBA872AC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430432"/>
        <c:axId val="947331440"/>
      </c:lineChart>
      <c:dateAx>
        <c:axId val="113943043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31440"/>
        <c:crosses val="autoZero"/>
        <c:auto val="1"/>
        <c:lblOffset val="100"/>
        <c:baseTimeUnit val="days"/>
      </c:dateAx>
      <c:valAx>
        <c:axId val="9473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Amcare</a:t>
            </a:r>
            <a:r>
              <a:rPr lang="en-US" baseline="0"/>
              <a:t> Hours February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HOURS'!$AK$2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HOURS'!$AJ$3:$AJ$30</c:f>
              <c:numCache>
                <c:formatCode>d\-mmm\-yy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'WHS HOURS'!$AK$3:$AK$30</c:f>
              <c:numCache>
                <c:formatCode>General</c:formatCode>
                <c:ptCount val="28"/>
                <c:pt idx="0">
                  <c:v>10.74</c:v>
                </c:pt>
                <c:pt idx="1">
                  <c:v>26.559999999999995</c:v>
                </c:pt>
                <c:pt idx="2">
                  <c:v>14.230000000000002</c:v>
                </c:pt>
                <c:pt idx="3">
                  <c:v>2.46</c:v>
                </c:pt>
                <c:pt idx="4">
                  <c:v>3.28</c:v>
                </c:pt>
                <c:pt idx="5">
                  <c:v>8.15</c:v>
                </c:pt>
                <c:pt idx="6">
                  <c:v>7.99</c:v>
                </c:pt>
                <c:pt idx="7">
                  <c:v>7.7200000000000006</c:v>
                </c:pt>
                <c:pt idx="8">
                  <c:v>7.96</c:v>
                </c:pt>
                <c:pt idx="9">
                  <c:v>9.1999999999999993</c:v>
                </c:pt>
                <c:pt idx="10">
                  <c:v>4.34</c:v>
                </c:pt>
                <c:pt idx="11">
                  <c:v>4.42</c:v>
                </c:pt>
                <c:pt idx="12">
                  <c:v>8.4700000000000006</c:v>
                </c:pt>
                <c:pt idx="13">
                  <c:v>11.240000000000002</c:v>
                </c:pt>
                <c:pt idx="14">
                  <c:v>1.7499999999999998</c:v>
                </c:pt>
                <c:pt idx="15">
                  <c:v>6.4</c:v>
                </c:pt>
                <c:pt idx="16">
                  <c:v>5.93</c:v>
                </c:pt>
                <c:pt idx="17">
                  <c:v>5.15</c:v>
                </c:pt>
                <c:pt idx="18">
                  <c:v>18.489999999999998</c:v>
                </c:pt>
                <c:pt idx="19">
                  <c:v>13.040000000000003</c:v>
                </c:pt>
                <c:pt idx="20">
                  <c:v>13.069999999999999</c:v>
                </c:pt>
                <c:pt idx="21">
                  <c:v>6.0700000000000012</c:v>
                </c:pt>
                <c:pt idx="22">
                  <c:v>7.23</c:v>
                </c:pt>
                <c:pt idx="23">
                  <c:v>3.9199999999999995</c:v>
                </c:pt>
                <c:pt idx="24">
                  <c:v>2.6</c:v>
                </c:pt>
                <c:pt idx="25">
                  <c:v>3.82</c:v>
                </c:pt>
                <c:pt idx="26">
                  <c:v>3.54</c:v>
                </c:pt>
                <c:pt idx="27">
                  <c:v>8.2799999999999994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2-46DC-847B-471588709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963360"/>
        <c:axId val="512991312"/>
      </c:barChart>
      <c:lineChart>
        <c:grouping val="standard"/>
        <c:varyColors val="0"/>
        <c:ser>
          <c:idx val="1"/>
          <c:order val="1"/>
          <c:tx>
            <c:strRef>
              <c:f>'WHS HOURS'!$AL$2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HOURS'!$AJ$3:$AJ$30</c:f>
              <c:numCache>
                <c:formatCode>d\-mmm\-yy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'WHS HOURS'!$AL$3:$AL$30</c:f>
              <c:numCache>
                <c:formatCode>0.00</c:formatCode>
                <c:ptCount val="28"/>
                <c:pt idx="0">
                  <c:v>5.26</c:v>
                </c:pt>
                <c:pt idx="1">
                  <c:v>5.26</c:v>
                </c:pt>
                <c:pt idx="2">
                  <c:v>5.26</c:v>
                </c:pt>
                <c:pt idx="3">
                  <c:v>5.26</c:v>
                </c:pt>
                <c:pt idx="4">
                  <c:v>5.26</c:v>
                </c:pt>
                <c:pt idx="5">
                  <c:v>5.26</c:v>
                </c:pt>
                <c:pt idx="6">
                  <c:v>5.26</c:v>
                </c:pt>
                <c:pt idx="7">
                  <c:v>5.26</c:v>
                </c:pt>
                <c:pt idx="8">
                  <c:v>5.26</c:v>
                </c:pt>
                <c:pt idx="9">
                  <c:v>5.26</c:v>
                </c:pt>
                <c:pt idx="10">
                  <c:v>5.26</c:v>
                </c:pt>
                <c:pt idx="11">
                  <c:v>5.26</c:v>
                </c:pt>
                <c:pt idx="12">
                  <c:v>5.26</c:v>
                </c:pt>
                <c:pt idx="13">
                  <c:v>5.26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5.26</c:v>
                </c:pt>
                <c:pt idx="18">
                  <c:v>5.26</c:v>
                </c:pt>
                <c:pt idx="19">
                  <c:v>5.26</c:v>
                </c:pt>
                <c:pt idx="20">
                  <c:v>5.26</c:v>
                </c:pt>
                <c:pt idx="21">
                  <c:v>5.26</c:v>
                </c:pt>
                <c:pt idx="22">
                  <c:v>5.26</c:v>
                </c:pt>
                <c:pt idx="23">
                  <c:v>5.26</c:v>
                </c:pt>
                <c:pt idx="24">
                  <c:v>5.26</c:v>
                </c:pt>
                <c:pt idx="25">
                  <c:v>5.26</c:v>
                </c:pt>
                <c:pt idx="26">
                  <c:v>5.26</c:v>
                </c:pt>
                <c:pt idx="27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32-46DC-847B-471588709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963360"/>
        <c:axId val="512991312"/>
      </c:lineChart>
      <c:dateAx>
        <c:axId val="52096336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91312"/>
        <c:crosses val="autoZero"/>
        <c:auto val="1"/>
        <c:lblOffset val="100"/>
        <c:baseTimeUnit val="days"/>
      </c:dateAx>
      <c:valAx>
        <c:axId val="5129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6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AMCARE</a:t>
            </a:r>
            <a:r>
              <a:rPr lang="en-US" baseline="0"/>
              <a:t> HOURS MARCH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'WHS HOURS'!$AO$2</c:f>
              <c:strCache>
                <c:ptCount val="1"/>
                <c:pt idx="0">
                  <c:v>PER</c:v>
                </c:pt>
              </c:strCache>
            </c:strRef>
          </c:tx>
          <c:invertIfNegative val="0"/>
          <c:cat>
            <c:numRef>
              <c:f>'WHS HOURS'!$AN$3:$AN$33</c:f>
              <c:numCache>
                <c:formatCode>d\-mmm\-yy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'WHS HOURS'!$AO$3:$AO$33</c:f>
              <c:numCache>
                <c:formatCode>General</c:formatCode>
                <c:ptCount val="31"/>
                <c:pt idx="0">
                  <c:v>4.93</c:v>
                </c:pt>
                <c:pt idx="1">
                  <c:v>10.42</c:v>
                </c:pt>
                <c:pt idx="2">
                  <c:v>5.42</c:v>
                </c:pt>
                <c:pt idx="3">
                  <c:v>1.71</c:v>
                </c:pt>
                <c:pt idx="4">
                  <c:v>4.1100000000000003</c:v>
                </c:pt>
                <c:pt idx="5">
                  <c:v>4.9000000000000004</c:v>
                </c:pt>
                <c:pt idx="6">
                  <c:v>9.69</c:v>
                </c:pt>
                <c:pt idx="7">
                  <c:v>6.0600000000000005</c:v>
                </c:pt>
                <c:pt idx="8">
                  <c:v>4.7</c:v>
                </c:pt>
                <c:pt idx="9">
                  <c:v>4.91</c:v>
                </c:pt>
                <c:pt idx="10">
                  <c:v>6.75</c:v>
                </c:pt>
                <c:pt idx="11">
                  <c:v>7.65</c:v>
                </c:pt>
                <c:pt idx="12">
                  <c:v>23.7</c:v>
                </c:pt>
                <c:pt idx="13">
                  <c:v>13.64</c:v>
                </c:pt>
                <c:pt idx="14">
                  <c:v>13.36</c:v>
                </c:pt>
                <c:pt idx="15">
                  <c:v>7.62</c:v>
                </c:pt>
                <c:pt idx="16">
                  <c:v>7.9700000000000024</c:v>
                </c:pt>
                <c:pt idx="17">
                  <c:v>4.05</c:v>
                </c:pt>
                <c:pt idx="18">
                  <c:v>2.7</c:v>
                </c:pt>
                <c:pt idx="19">
                  <c:v>6.41</c:v>
                </c:pt>
                <c:pt idx="20">
                  <c:v>14.05</c:v>
                </c:pt>
                <c:pt idx="21">
                  <c:v>4.8099999999999996</c:v>
                </c:pt>
                <c:pt idx="22">
                  <c:v>8.36</c:v>
                </c:pt>
                <c:pt idx="23">
                  <c:v>1.9899999999999998</c:v>
                </c:pt>
                <c:pt idx="24">
                  <c:v>1.94</c:v>
                </c:pt>
                <c:pt idx="25">
                  <c:v>4.6099999999999994</c:v>
                </c:pt>
                <c:pt idx="26">
                  <c:v>6.29</c:v>
                </c:pt>
                <c:pt idx="27">
                  <c:v>11.54</c:v>
                </c:pt>
                <c:pt idx="28">
                  <c:v>9.77</c:v>
                </c:pt>
                <c:pt idx="29">
                  <c:v>11.21</c:v>
                </c:pt>
                <c:pt idx="30">
                  <c:v>21.479999999999997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1F1-4A47-AB87-64E11A0F1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9072080"/>
        <c:axId val="263346496"/>
      </c:barChart>
      <c:lineChart>
        <c:grouping val="standard"/>
        <c:varyColors val="0"/>
        <c:ser>
          <c:idx val="1"/>
          <c:order val="1"/>
          <c:tx>
            <c:strRef>
              <c:f>'WHS HOURS'!$AP$2</c:f>
              <c:strCache>
                <c:ptCount val="1"/>
                <c:pt idx="0">
                  <c:v>GOAL</c:v>
                </c:pt>
              </c:strCache>
            </c:strRef>
          </c:tx>
          <c:marker>
            <c:symbol val="none"/>
          </c:marker>
          <c:cat>
            <c:numRef>
              <c:f>'WHS HOURS'!$AN$3:$AN$33</c:f>
              <c:numCache>
                <c:formatCode>d\-mmm\-yy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'WHS HOURS'!$AP$3:$AP$33</c:f>
              <c:numCache>
                <c:formatCode>0.00</c:formatCode>
                <c:ptCount val="31"/>
                <c:pt idx="0">
                  <c:v>5.68</c:v>
                </c:pt>
                <c:pt idx="1">
                  <c:v>5.68</c:v>
                </c:pt>
                <c:pt idx="2">
                  <c:v>5.68</c:v>
                </c:pt>
                <c:pt idx="3">
                  <c:v>5.68</c:v>
                </c:pt>
                <c:pt idx="4">
                  <c:v>5.68</c:v>
                </c:pt>
                <c:pt idx="5">
                  <c:v>5.68</c:v>
                </c:pt>
                <c:pt idx="6">
                  <c:v>5.68</c:v>
                </c:pt>
                <c:pt idx="7">
                  <c:v>5.68</c:v>
                </c:pt>
                <c:pt idx="8">
                  <c:v>5.68</c:v>
                </c:pt>
                <c:pt idx="9">
                  <c:v>5.68</c:v>
                </c:pt>
                <c:pt idx="10">
                  <c:v>5.68</c:v>
                </c:pt>
                <c:pt idx="11">
                  <c:v>5.68</c:v>
                </c:pt>
                <c:pt idx="12">
                  <c:v>5.68</c:v>
                </c:pt>
                <c:pt idx="13">
                  <c:v>5.68</c:v>
                </c:pt>
                <c:pt idx="14">
                  <c:v>5.68</c:v>
                </c:pt>
                <c:pt idx="15">
                  <c:v>5.68</c:v>
                </c:pt>
                <c:pt idx="16">
                  <c:v>5.68</c:v>
                </c:pt>
                <c:pt idx="17">
                  <c:v>5.68</c:v>
                </c:pt>
                <c:pt idx="18">
                  <c:v>5.68</c:v>
                </c:pt>
                <c:pt idx="19">
                  <c:v>5.68</c:v>
                </c:pt>
                <c:pt idx="20">
                  <c:v>5.68</c:v>
                </c:pt>
                <c:pt idx="21">
                  <c:v>5.68</c:v>
                </c:pt>
                <c:pt idx="22">
                  <c:v>5.68</c:v>
                </c:pt>
                <c:pt idx="23">
                  <c:v>5.68</c:v>
                </c:pt>
                <c:pt idx="24">
                  <c:v>5.68</c:v>
                </c:pt>
                <c:pt idx="25">
                  <c:v>5.68</c:v>
                </c:pt>
                <c:pt idx="26">
                  <c:v>5.68</c:v>
                </c:pt>
                <c:pt idx="27">
                  <c:v>5.68</c:v>
                </c:pt>
                <c:pt idx="28">
                  <c:v>5.68</c:v>
                </c:pt>
                <c:pt idx="29">
                  <c:v>5.68</c:v>
                </c:pt>
                <c:pt idx="3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F1-4A47-AB87-64E11A0F1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072080"/>
        <c:axId val="263346496"/>
      </c:lineChart>
      <c:dateAx>
        <c:axId val="207907208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6496"/>
        <c:crosses val="autoZero"/>
        <c:auto val="1"/>
        <c:lblOffset val="100"/>
        <c:baseTimeUnit val="days"/>
      </c:dateAx>
      <c:valAx>
        <c:axId val="2633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720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HOURS'!$AC$2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'WHS HOURS'!$Z$3:$Z$14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'WHS HOURS'!$AC$3:$AC$14</c:f>
              <c:numCache>
                <c:formatCode>0.00</c:formatCode>
                <c:ptCount val="12"/>
                <c:pt idx="0">
                  <c:v>268.67</c:v>
                </c:pt>
                <c:pt idx="1">
                  <c:v>226.04999999999995</c:v>
                </c:pt>
                <c:pt idx="2">
                  <c:v>246.75000000000003</c:v>
                </c:pt>
                <c:pt idx="3">
                  <c:v>175.17999999999998</c:v>
                </c:pt>
                <c:pt idx="4">
                  <c:v>224.88000000000002</c:v>
                </c:pt>
                <c:pt idx="5">
                  <c:v>131.75</c:v>
                </c:pt>
                <c:pt idx="6">
                  <c:v>152.38</c:v>
                </c:pt>
                <c:pt idx="7">
                  <c:v>145.28000000000003</c:v>
                </c:pt>
                <c:pt idx="8">
                  <c:v>204.48999999999998</c:v>
                </c:pt>
                <c:pt idx="9">
                  <c:v>310.25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6-453F-83F9-857E410D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430432"/>
        <c:axId val="947331440"/>
      </c:barChart>
      <c:lineChart>
        <c:grouping val="standard"/>
        <c:varyColors val="0"/>
        <c:ser>
          <c:idx val="1"/>
          <c:order val="1"/>
          <c:tx>
            <c:strRef>
              <c:f>'WHS HOURS'!$Z$2</c:f>
              <c:strCache>
                <c:ptCount val="1"/>
                <c:pt idx="0">
                  <c:v>OP2 PLAN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HOURS'!$AF$3:$AF$32</c:f>
              <c:numCache>
                <c:formatCode>d\-mmm\-yy</c:formatCode>
                <c:ptCount val="3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44933</c:v>
                </c:pt>
                <c:pt idx="6">
                  <c:v>44934</c:v>
                </c:pt>
                <c:pt idx="7">
                  <c:v>44935</c:v>
                </c:pt>
                <c:pt idx="8">
                  <c:v>44936</c:v>
                </c:pt>
                <c:pt idx="9">
                  <c:v>44937</c:v>
                </c:pt>
                <c:pt idx="10">
                  <c:v>44938</c:v>
                </c:pt>
                <c:pt idx="11">
                  <c:v>44939</c:v>
                </c:pt>
                <c:pt idx="12">
                  <c:v>44940</c:v>
                </c:pt>
                <c:pt idx="13">
                  <c:v>44941</c:v>
                </c:pt>
                <c:pt idx="14">
                  <c:v>44942</c:v>
                </c:pt>
                <c:pt idx="15">
                  <c:v>44943</c:v>
                </c:pt>
                <c:pt idx="16">
                  <c:v>44944</c:v>
                </c:pt>
                <c:pt idx="17">
                  <c:v>44945</c:v>
                </c:pt>
                <c:pt idx="18">
                  <c:v>44946</c:v>
                </c:pt>
                <c:pt idx="19">
                  <c:v>44947</c:v>
                </c:pt>
                <c:pt idx="20">
                  <c:v>44948</c:v>
                </c:pt>
                <c:pt idx="21">
                  <c:v>44949</c:v>
                </c:pt>
                <c:pt idx="22">
                  <c:v>44950</c:v>
                </c:pt>
                <c:pt idx="23">
                  <c:v>44951</c:v>
                </c:pt>
                <c:pt idx="24">
                  <c:v>44952</c:v>
                </c:pt>
                <c:pt idx="25">
                  <c:v>44953</c:v>
                </c:pt>
                <c:pt idx="26">
                  <c:v>44954</c:v>
                </c:pt>
                <c:pt idx="27">
                  <c:v>44955</c:v>
                </c:pt>
                <c:pt idx="28">
                  <c:v>44956</c:v>
                </c:pt>
                <c:pt idx="29">
                  <c:v>44957</c:v>
                </c:pt>
              </c:numCache>
            </c:numRef>
          </c:cat>
          <c:val>
            <c:numRef>
              <c:f>'WHS HOURS'!$AA$3:$AA$14</c:f>
              <c:numCache>
                <c:formatCode>General</c:formatCode>
                <c:ptCount val="12"/>
                <c:pt idx="0">
                  <c:v>172</c:v>
                </c:pt>
                <c:pt idx="1">
                  <c:v>163</c:v>
                </c:pt>
                <c:pt idx="2">
                  <c:v>176</c:v>
                </c:pt>
                <c:pt idx="3">
                  <c:v>198</c:v>
                </c:pt>
                <c:pt idx="4">
                  <c:v>270</c:v>
                </c:pt>
                <c:pt idx="5">
                  <c:v>189</c:v>
                </c:pt>
                <c:pt idx="6">
                  <c:v>218</c:v>
                </c:pt>
                <c:pt idx="7">
                  <c:v>180</c:v>
                </c:pt>
                <c:pt idx="8">
                  <c:v>181</c:v>
                </c:pt>
                <c:pt idx="9">
                  <c:v>243</c:v>
                </c:pt>
                <c:pt idx="10">
                  <c:v>307</c:v>
                </c:pt>
                <c:pt idx="11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A6-453F-83F9-857E410D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430432"/>
        <c:axId val="947331440"/>
      </c:lineChart>
      <c:catAx>
        <c:axId val="113943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31440"/>
        <c:crosses val="autoZero"/>
        <c:auto val="1"/>
        <c:lblAlgn val="ctr"/>
        <c:lblOffset val="100"/>
        <c:noMultiLvlLbl val="0"/>
      </c:catAx>
      <c:valAx>
        <c:axId val="9473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APRIL</a:t>
            </a:r>
            <a:r>
              <a:rPr lang="en-US" baseline="0"/>
              <a:t> HOURS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HOURS'!$AS$2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HOURS'!$AR$3:$AR$32</c:f>
              <c:numCache>
                <c:formatCode>d\-mmm\-yy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'WHS HOURS'!$AS$3:$AS$32</c:f>
              <c:numCache>
                <c:formatCode>General</c:formatCode>
                <c:ptCount val="30"/>
                <c:pt idx="0">
                  <c:v>14.87</c:v>
                </c:pt>
                <c:pt idx="1">
                  <c:v>1.41</c:v>
                </c:pt>
                <c:pt idx="2">
                  <c:v>4.38</c:v>
                </c:pt>
                <c:pt idx="3">
                  <c:v>14.25</c:v>
                </c:pt>
                <c:pt idx="4">
                  <c:v>7.2399999999999993</c:v>
                </c:pt>
                <c:pt idx="5">
                  <c:v>4.41</c:v>
                </c:pt>
                <c:pt idx="6">
                  <c:v>2.61</c:v>
                </c:pt>
                <c:pt idx="7">
                  <c:v>4.84</c:v>
                </c:pt>
                <c:pt idx="8">
                  <c:v>2.7</c:v>
                </c:pt>
                <c:pt idx="9">
                  <c:v>14.56</c:v>
                </c:pt>
                <c:pt idx="10">
                  <c:v>4.5999999999999996</c:v>
                </c:pt>
                <c:pt idx="11">
                  <c:v>9.8199999999999985</c:v>
                </c:pt>
                <c:pt idx="12">
                  <c:v>9.57</c:v>
                </c:pt>
                <c:pt idx="13">
                  <c:v>3.2199999999999998</c:v>
                </c:pt>
                <c:pt idx="14">
                  <c:v>1.62</c:v>
                </c:pt>
                <c:pt idx="15">
                  <c:v>4.8899999999999997</c:v>
                </c:pt>
                <c:pt idx="16">
                  <c:v>5.31</c:v>
                </c:pt>
                <c:pt idx="17">
                  <c:v>11.2</c:v>
                </c:pt>
                <c:pt idx="18">
                  <c:v>6.34</c:v>
                </c:pt>
                <c:pt idx="19">
                  <c:v>3.44</c:v>
                </c:pt>
                <c:pt idx="20">
                  <c:v>1.9100000000000001</c:v>
                </c:pt>
                <c:pt idx="21">
                  <c:v>3.2500000000000004</c:v>
                </c:pt>
                <c:pt idx="22">
                  <c:v>3.51</c:v>
                </c:pt>
                <c:pt idx="23">
                  <c:v>10.24</c:v>
                </c:pt>
                <c:pt idx="24">
                  <c:v>5.31</c:v>
                </c:pt>
                <c:pt idx="25">
                  <c:v>9.5100000000000016</c:v>
                </c:pt>
                <c:pt idx="26">
                  <c:v>4.59</c:v>
                </c:pt>
                <c:pt idx="27">
                  <c:v>1.89</c:v>
                </c:pt>
                <c:pt idx="28">
                  <c:v>0.75</c:v>
                </c:pt>
                <c:pt idx="29">
                  <c:v>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2-4D8B-9D18-DECFA89C9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038672"/>
        <c:axId val="1253304160"/>
      </c:barChart>
      <c:lineChart>
        <c:grouping val="standard"/>
        <c:varyColors val="0"/>
        <c:ser>
          <c:idx val="1"/>
          <c:order val="1"/>
          <c:tx>
            <c:strRef>
              <c:f>'WHS HOURS'!$AT$2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HOURS'!$AR$3:$AR$32</c:f>
              <c:numCache>
                <c:formatCode>d\-mmm\-yy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'WHS HOURS'!$AT$3:$AT$32</c:f>
              <c:numCache>
                <c:formatCode>General</c:formatCode>
                <c:ptCount val="30"/>
                <c:pt idx="0">
                  <c:v>6.39</c:v>
                </c:pt>
                <c:pt idx="1">
                  <c:v>6.39</c:v>
                </c:pt>
                <c:pt idx="2">
                  <c:v>6.39</c:v>
                </c:pt>
                <c:pt idx="3">
                  <c:v>6.39</c:v>
                </c:pt>
                <c:pt idx="4">
                  <c:v>6.39</c:v>
                </c:pt>
                <c:pt idx="5">
                  <c:v>6.39</c:v>
                </c:pt>
                <c:pt idx="6">
                  <c:v>6.39</c:v>
                </c:pt>
                <c:pt idx="7">
                  <c:v>6.39</c:v>
                </c:pt>
                <c:pt idx="8">
                  <c:v>6.39</c:v>
                </c:pt>
                <c:pt idx="9">
                  <c:v>6.39</c:v>
                </c:pt>
                <c:pt idx="10">
                  <c:v>6.39</c:v>
                </c:pt>
                <c:pt idx="11">
                  <c:v>6.39</c:v>
                </c:pt>
                <c:pt idx="12">
                  <c:v>6.39</c:v>
                </c:pt>
                <c:pt idx="13">
                  <c:v>6.39</c:v>
                </c:pt>
                <c:pt idx="14">
                  <c:v>6.39</c:v>
                </c:pt>
                <c:pt idx="15">
                  <c:v>6.39</c:v>
                </c:pt>
                <c:pt idx="16">
                  <c:v>6.39</c:v>
                </c:pt>
                <c:pt idx="17">
                  <c:v>6.39</c:v>
                </c:pt>
                <c:pt idx="18">
                  <c:v>6.39</c:v>
                </c:pt>
                <c:pt idx="19">
                  <c:v>6.39</c:v>
                </c:pt>
                <c:pt idx="20">
                  <c:v>6.39</c:v>
                </c:pt>
                <c:pt idx="21">
                  <c:v>6.39</c:v>
                </c:pt>
                <c:pt idx="22">
                  <c:v>6.39</c:v>
                </c:pt>
                <c:pt idx="23">
                  <c:v>6.39</c:v>
                </c:pt>
                <c:pt idx="24">
                  <c:v>6.39</c:v>
                </c:pt>
                <c:pt idx="25">
                  <c:v>6.39</c:v>
                </c:pt>
                <c:pt idx="26">
                  <c:v>6.39</c:v>
                </c:pt>
                <c:pt idx="27">
                  <c:v>6.39</c:v>
                </c:pt>
                <c:pt idx="28">
                  <c:v>6.39</c:v>
                </c:pt>
                <c:pt idx="29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2-4D8B-9D18-DECFA89C9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038672"/>
        <c:axId val="1253304160"/>
      </c:lineChart>
      <c:dateAx>
        <c:axId val="106603867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304160"/>
        <c:crosses val="autoZero"/>
        <c:auto val="1"/>
        <c:lblOffset val="100"/>
        <c:baseTimeUnit val="days"/>
      </c:dateAx>
      <c:valAx>
        <c:axId val="12533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03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</a:t>
            </a:r>
            <a:r>
              <a:rPr lang="en-US" baseline="0"/>
              <a:t>s May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HOURS'!$AW$2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HOURS'!$AV$3:$AV$34</c:f>
              <c:numCache>
                <c:formatCode>d\-mmm\-yy</c:formatCode>
                <c:ptCount val="32"/>
                <c:pt idx="0">
                  <c:v>45046</c:v>
                </c:pt>
                <c:pt idx="1">
                  <c:v>45047</c:v>
                </c:pt>
                <c:pt idx="2">
                  <c:v>45048</c:v>
                </c:pt>
                <c:pt idx="3">
                  <c:v>45049</c:v>
                </c:pt>
                <c:pt idx="4">
                  <c:v>45050</c:v>
                </c:pt>
                <c:pt idx="5">
                  <c:v>45051</c:v>
                </c:pt>
                <c:pt idx="6">
                  <c:v>45052</c:v>
                </c:pt>
                <c:pt idx="7">
                  <c:v>45053</c:v>
                </c:pt>
                <c:pt idx="8">
                  <c:v>45054</c:v>
                </c:pt>
                <c:pt idx="9">
                  <c:v>45055</c:v>
                </c:pt>
                <c:pt idx="10">
                  <c:v>45056</c:v>
                </c:pt>
                <c:pt idx="11">
                  <c:v>45057</c:v>
                </c:pt>
                <c:pt idx="12">
                  <c:v>45058</c:v>
                </c:pt>
                <c:pt idx="13">
                  <c:v>45059</c:v>
                </c:pt>
                <c:pt idx="14">
                  <c:v>45060</c:v>
                </c:pt>
                <c:pt idx="15">
                  <c:v>45061</c:v>
                </c:pt>
                <c:pt idx="16">
                  <c:v>45062</c:v>
                </c:pt>
                <c:pt idx="17">
                  <c:v>45063</c:v>
                </c:pt>
                <c:pt idx="18">
                  <c:v>45064</c:v>
                </c:pt>
                <c:pt idx="19">
                  <c:v>45065</c:v>
                </c:pt>
                <c:pt idx="20">
                  <c:v>45066</c:v>
                </c:pt>
                <c:pt idx="21">
                  <c:v>45067</c:v>
                </c:pt>
                <c:pt idx="22">
                  <c:v>45068</c:v>
                </c:pt>
                <c:pt idx="23">
                  <c:v>45069</c:v>
                </c:pt>
                <c:pt idx="24">
                  <c:v>45070</c:v>
                </c:pt>
                <c:pt idx="25">
                  <c:v>45071</c:v>
                </c:pt>
                <c:pt idx="26">
                  <c:v>45072</c:v>
                </c:pt>
                <c:pt idx="27">
                  <c:v>45073</c:v>
                </c:pt>
                <c:pt idx="28">
                  <c:v>45074</c:v>
                </c:pt>
                <c:pt idx="29">
                  <c:v>45075</c:v>
                </c:pt>
                <c:pt idx="30">
                  <c:v>45076</c:v>
                </c:pt>
                <c:pt idx="31">
                  <c:v>45077</c:v>
                </c:pt>
              </c:numCache>
            </c:numRef>
          </c:cat>
          <c:val>
            <c:numRef>
              <c:f>'WHS HOURS'!$AW$3:$AW$34</c:f>
              <c:numCache>
                <c:formatCode>General</c:formatCode>
                <c:ptCount val="32"/>
                <c:pt idx="0">
                  <c:v>2.94</c:v>
                </c:pt>
                <c:pt idx="1">
                  <c:v>7.37</c:v>
                </c:pt>
                <c:pt idx="2">
                  <c:v>9.7200000000000006</c:v>
                </c:pt>
                <c:pt idx="3">
                  <c:v>5.7500000000000009</c:v>
                </c:pt>
                <c:pt idx="4">
                  <c:v>7.09</c:v>
                </c:pt>
                <c:pt idx="5">
                  <c:v>5.15</c:v>
                </c:pt>
                <c:pt idx="6">
                  <c:v>3.89</c:v>
                </c:pt>
                <c:pt idx="7">
                  <c:v>9.24</c:v>
                </c:pt>
                <c:pt idx="8">
                  <c:v>15.17</c:v>
                </c:pt>
                <c:pt idx="9">
                  <c:v>5.07</c:v>
                </c:pt>
                <c:pt idx="10">
                  <c:v>4.4800000000000004</c:v>
                </c:pt>
                <c:pt idx="11">
                  <c:v>4.92</c:v>
                </c:pt>
                <c:pt idx="12">
                  <c:v>4.79</c:v>
                </c:pt>
                <c:pt idx="13">
                  <c:v>5.0199999999999996</c:v>
                </c:pt>
                <c:pt idx="14">
                  <c:v>16.3</c:v>
                </c:pt>
                <c:pt idx="15">
                  <c:v>8.27</c:v>
                </c:pt>
                <c:pt idx="16">
                  <c:v>11.77</c:v>
                </c:pt>
                <c:pt idx="17">
                  <c:v>11.139999999999999</c:v>
                </c:pt>
                <c:pt idx="18">
                  <c:v>3.2200000000000006</c:v>
                </c:pt>
                <c:pt idx="19">
                  <c:v>5.5499999999999989</c:v>
                </c:pt>
                <c:pt idx="20">
                  <c:v>3.5300000000000002</c:v>
                </c:pt>
                <c:pt idx="21">
                  <c:v>5.35</c:v>
                </c:pt>
                <c:pt idx="22">
                  <c:v>8.0500000000000007</c:v>
                </c:pt>
                <c:pt idx="23">
                  <c:v>13.47</c:v>
                </c:pt>
                <c:pt idx="24">
                  <c:v>5.54</c:v>
                </c:pt>
                <c:pt idx="25">
                  <c:v>7.0900000000000007</c:v>
                </c:pt>
                <c:pt idx="26">
                  <c:v>3.7700000000000005</c:v>
                </c:pt>
                <c:pt idx="27">
                  <c:v>2.82</c:v>
                </c:pt>
                <c:pt idx="28">
                  <c:v>7.69</c:v>
                </c:pt>
                <c:pt idx="29">
                  <c:v>8.3699999999999992</c:v>
                </c:pt>
                <c:pt idx="30">
                  <c:v>6.38</c:v>
                </c:pt>
                <c:pt idx="31">
                  <c:v>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0-4EE7-BE60-167D4B44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7518239"/>
        <c:axId val="1291978047"/>
      </c:barChart>
      <c:lineChart>
        <c:grouping val="standard"/>
        <c:varyColors val="0"/>
        <c:ser>
          <c:idx val="1"/>
          <c:order val="1"/>
          <c:tx>
            <c:strRef>
              <c:f>'WHS HOURS'!$AX$2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HOURS'!$AV$3:$AV$34</c:f>
              <c:numCache>
                <c:formatCode>d\-mmm\-yy</c:formatCode>
                <c:ptCount val="32"/>
                <c:pt idx="0">
                  <c:v>45046</c:v>
                </c:pt>
                <c:pt idx="1">
                  <c:v>45047</c:v>
                </c:pt>
                <c:pt idx="2">
                  <c:v>45048</c:v>
                </c:pt>
                <c:pt idx="3">
                  <c:v>45049</c:v>
                </c:pt>
                <c:pt idx="4">
                  <c:v>45050</c:v>
                </c:pt>
                <c:pt idx="5">
                  <c:v>45051</c:v>
                </c:pt>
                <c:pt idx="6">
                  <c:v>45052</c:v>
                </c:pt>
                <c:pt idx="7">
                  <c:v>45053</c:v>
                </c:pt>
                <c:pt idx="8">
                  <c:v>45054</c:v>
                </c:pt>
                <c:pt idx="9">
                  <c:v>45055</c:v>
                </c:pt>
                <c:pt idx="10">
                  <c:v>45056</c:v>
                </c:pt>
                <c:pt idx="11">
                  <c:v>45057</c:v>
                </c:pt>
                <c:pt idx="12">
                  <c:v>45058</c:v>
                </c:pt>
                <c:pt idx="13">
                  <c:v>45059</c:v>
                </c:pt>
                <c:pt idx="14">
                  <c:v>45060</c:v>
                </c:pt>
                <c:pt idx="15">
                  <c:v>45061</c:v>
                </c:pt>
                <c:pt idx="16">
                  <c:v>45062</c:v>
                </c:pt>
                <c:pt idx="17">
                  <c:v>45063</c:v>
                </c:pt>
                <c:pt idx="18">
                  <c:v>45064</c:v>
                </c:pt>
                <c:pt idx="19">
                  <c:v>45065</c:v>
                </c:pt>
                <c:pt idx="20">
                  <c:v>45066</c:v>
                </c:pt>
                <c:pt idx="21">
                  <c:v>45067</c:v>
                </c:pt>
                <c:pt idx="22">
                  <c:v>45068</c:v>
                </c:pt>
                <c:pt idx="23">
                  <c:v>45069</c:v>
                </c:pt>
                <c:pt idx="24">
                  <c:v>45070</c:v>
                </c:pt>
                <c:pt idx="25">
                  <c:v>45071</c:v>
                </c:pt>
                <c:pt idx="26">
                  <c:v>45072</c:v>
                </c:pt>
                <c:pt idx="27">
                  <c:v>45073</c:v>
                </c:pt>
                <c:pt idx="28">
                  <c:v>45074</c:v>
                </c:pt>
                <c:pt idx="29">
                  <c:v>45075</c:v>
                </c:pt>
                <c:pt idx="30">
                  <c:v>45076</c:v>
                </c:pt>
                <c:pt idx="31">
                  <c:v>45077</c:v>
                </c:pt>
              </c:numCache>
            </c:numRef>
          </c:cat>
          <c:val>
            <c:numRef>
              <c:f>'WHS HOURS'!$AX$3:$AX$34</c:f>
              <c:numCache>
                <c:formatCode>General</c:formatCode>
                <c:ptCount val="32"/>
                <c:pt idx="0">
                  <c:v>8.7100000000000009</c:v>
                </c:pt>
                <c:pt idx="1">
                  <c:v>8.7100000000000009</c:v>
                </c:pt>
                <c:pt idx="2">
                  <c:v>8.7100000000000009</c:v>
                </c:pt>
                <c:pt idx="3">
                  <c:v>8.7100000000000009</c:v>
                </c:pt>
                <c:pt idx="4">
                  <c:v>8.7100000000000009</c:v>
                </c:pt>
                <c:pt idx="5">
                  <c:v>8.7100000000000009</c:v>
                </c:pt>
                <c:pt idx="6">
                  <c:v>8.7100000000000009</c:v>
                </c:pt>
                <c:pt idx="7">
                  <c:v>8.7100000000000009</c:v>
                </c:pt>
                <c:pt idx="8">
                  <c:v>8.7100000000000009</c:v>
                </c:pt>
                <c:pt idx="9">
                  <c:v>8.7100000000000009</c:v>
                </c:pt>
                <c:pt idx="10">
                  <c:v>8.7100000000000009</c:v>
                </c:pt>
                <c:pt idx="11">
                  <c:v>8.7100000000000009</c:v>
                </c:pt>
                <c:pt idx="12">
                  <c:v>8.7100000000000009</c:v>
                </c:pt>
                <c:pt idx="13">
                  <c:v>8.7100000000000009</c:v>
                </c:pt>
                <c:pt idx="14">
                  <c:v>8.7100000000000009</c:v>
                </c:pt>
                <c:pt idx="15">
                  <c:v>8.7100000000000009</c:v>
                </c:pt>
                <c:pt idx="16">
                  <c:v>8.7100000000000009</c:v>
                </c:pt>
                <c:pt idx="17">
                  <c:v>8.7100000000000009</c:v>
                </c:pt>
                <c:pt idx="18">
                  <c:v>8.7100000000000009</c:v>
                </c:pt>
                <c:pt idx="19">
                  <c:v>8.7100000000000009</c:v>
                </c:pt>
                <c:pt idx="20">
                  <c:v>8.7100000000000009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8.7100000000000009</c:v>
                </c:pt>
                <c:pt idx="24">
                  <c:v>8.7100000000000009</c:v>
                </c:pt>
                <c:pt idx="25">
                  <c:v>8.7100000000000009</c:v>
                </c:pt>
                <c:pt idx="26">
                  <c:v>8.7100000000000009</c:v>
                </c:pt>
                <c:pt idx="27">
                  <c:v>8.7100000000000009</c:v>
                </c:pt>
                <c:pt idx="28">
                  <c:v>8.7100000000000009</c:v>
                </c:pt>
                <c:pt idx="29">
                  <c:v>8.7100000000000009</c:v>
                </c:pt>
                <c:pt idx="30">
                  <c:v>8.7100000000000009</c:v>
                </c:pt>
                <c:pt idx="31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0-4EE7-BE60-167D4B44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518239"/>
        <c:axId val="1291978047"/>
      </c:lineChart>
      <c:dateAx>
        <c:axId val="155751823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978047"/>
        <c:crosses val="autoZero"/>
        <c:auto val="1"/>
        <c:lblOffset val="100"/>
        <c:baseTimeUnit val="days"/>
      </c:dateAx>
      <c:valAx>
        <c:axId val="12919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51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</a:t>
            </a:r>
            <a:r>
              <a:rPr lang="es-MX" baseline="0"/>
              <a:t> JUN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253298041115"/>
          <c:y val="0.18587051937149496"/>
          <c:w val="0.82722308119423804"/>
          <c:h val="0.35573018288592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'WHS HOURS'!$BA$2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HOURS'!$AZ$3:$AZ$32</c:f>
              <c:numCache>
                <c:formatCode>d\-mmm\-yy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'WHS HOURS'!$BA$3:$BA$32</c:f>
              <c:numCache>
                <c:formatCode>General</c:formatCode>
                <c:ptCount val="30"/>
                <c:pt idx="0">
                  <c:v>8.7100000000000009</c:v>
                </c:pt>
                <c:pt idx="1">
                  <c:v>2.63</c:v>
                </c:pt>
                <c:pt idx="2">
                  <c:v>1.54</c:v>
                </c:pt>
                <c:pt idx="3">
                  <c:v>5.0999999999999996</c:v>
                </c:pt>
                <c:pt idx="4">
                  <c:v>9.91</c:v>
                </c:pt>
                <c:pt idx="5">
                  <c:v>9.32</c:v>
                </c:pt>
                <c:pt idx="6">
                  <c:v>12.030000000000001</c:v>
                </c:pt>
                <c:pt idx="7">
                  <c:v>0.3</c:v>
                </c:pt>
                <c:pt idx="8">
                  <c:v>4.0200000000000005</c:v>
                </c:pt>
                <c:pt idx="9">
                  <c:v>1.1299999999999999</c:v>
                </c:pt>
                <c:pt idx="10">
                  <c:v>1.88</c:v>
                </c:pt>
                <c:pt idx="11">
                  <c:v>3.65</c:v>
                </c:pt>
                <c:pt idx="12">
                  <c:v>3</c:v>
                </c:pt>
                <c:pt idx="13">
                  <c:v>8.4</c:v>
                </c:pt>
                <c:pt idx="14">
                  <c:v>4.12</c:v>
                </c:pt>
                <c:pt idx="15">
                  <c:v>1.67</c:v>
                </c:pt>
                <c:pt idx="16">
                  <c:v>4.5400000000000009</c:v>
                </c:pt>
                <c:pt idx="17">
                  <c:v>6.67</c:v>
                </c:pt>
                <c:pt idx="18">
                  <c:v>2.11</c:v>
                </c:pt>
                <c:pt idx="19">
                  <c:v>2.84</c:v>
                </c:pt>
                <c:pt idx="20">
                  <c:v>9</c:v>
                </c:pt>
                <c:pt idx="21">
                  <c:v>2.08</c:v>
                </c:pt>
                <c:pt idx="22">
                  <c:v>1.19</c:v>
                </c:pt>
                <c:pt idx="23">
                  <c:v>1.07</c:v>
                </c:pt>
                <c:pt idx="24">
                  <c:v>3.26</c:v>
                </c:pt>
                <c:pt idx="25">
                  <c:v>2.77</c:v>
                </c:pt>
                <c:pt idx="26">
                  <c:v>2.08</c:v>
                </c:pt>
                <c:pt idx="27">
                  <c:v>4.66</c:v>
                </c:pt>
                <c:pt idx="28">
                  <c:v>5.95</c:v>
                </c:pt>
                <c:pt idx="29">
                  <c:v>6.120000000000001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5-49EF-B4E0-2C85ECF09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4812559"/>
        <c:axId val="1802767375"/>
      </c:barChart>
      <c:lineChart>
        <c:grouping val="standard"/>
        <c:varyColors val="0"/>
        <c:ser>
          <c:idx val="1"/>
          <c:order val="1"/>
          <c:tx>
            <c:strRef>
              <c:f>'WHS HOURS'!$BB$2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HOURS'!$AZ$3:$AZ$32</c:f>
              <c:numCache>
                <c:formatCode>d\-mmm\-yy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'WHS HOURS'!$BB$3:$BB$32</c:f>
              <c:numCache>
                <c:formatCode>General</c:formatCode>
                <c:ptCount val="30"/>
                <c:pt idx="0">
                  <c:v>6.3</c:v>
                </c:pt>
                <c:pt idx="1">
                  <c:v>6.3</c:v>
                </c:pt>
                <c:pt idx="2">
                  <c:v>6.3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</c:v>
                </c:pt>
                <c:pt idx="10">
                  <c:v>6.3</c:v>
                </c:pt>
                <c:pt idx="11">
                  <c:v>6.3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6.3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6.3</c:v>
                </c:pt>
                <c:pt idx="25">
                  <c:v>6.3</c:v>
                </c:pt>
                <c:pt idx="26">
                  <c:v>6.3</c:v>
                </c:pt>
                <c:pt idx="27">
                  <c:v>6.3</c:v>
                </c:pt>
                <c:pt idx="28">
                  <c:v>6.3</c:v>
                </c:pt>
                <c:pt idx="29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5-49EF-B4E0-2C85ECF09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812559"/>
        <c:axId val="1802767375"/>
      </c:lineChart>
      <c:dateAx>
        <c:axId val="195481255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767375"/>
        <c:crosses val="autoZero"/>
        <c:auto val="1"/>
        <c:lblOffset val="100"/>
        <c:baseTimeUnit val="days"/>
      </c:dateAx>
      <c:valAx>
        <c:axId val="180276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</a:t>
            </a:r>
            <a:r>
              <a:rPr lang="es-MX" baseline="0"/>
              <a:t> JULY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04437600932425E-2"/>
          <c:y val="0.17815861569405242"/>
          <c:w val="0.9123122205261528"/>
          <c:h val="0.41773109761668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'WHS HOURS'!$BE$2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HOURS'!$BD$3:$BD$33</c:f>
              <c:numCache>
                <c:formatCode>d\-mmm\-yy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'WHS HOURS'!$BE$3:$BE$33</c:f>
              <c:numCache>
                <c:formatCode>General</c:formatCode>
                <c:ptCount val="31"/>
                <c:pt idx="0">
                  <c:v>6.2</c:v>
                </c:pt>
                <c:pt idx="1">
                  <c:v>2.5</c:v>
                </c:pt>
                <c:pt idx="2">
                  <c:v>3.24</c:v>
                </c:pt>
                <c:pt idx="3">
                  <c:v>7.58</c:v>
                </c:pt>
                <c:pt idx="4">
                  <c:v>5.2299999999999995</c:v>
                </c:pt>
                <c:pt idx="5">
                  <c:v>2.8000000000000003</c:v>
                </c:pt>
                <c:pt idx="6">
                  <c:v>2.04</c:v>
                </c:pt>
                <c:pt idx="7">
                  <c:v>2.56</c:v>
                </c:pt>
                <c:pt idx="8">
                  <c:v>2.54</c:v>
                </c:pt>
                <c:pt idx="9">
                  <c:v>0.64</c:v>
                </c:pt>
                <c:pt idx="10">
                  <c:v>4.24</c:v>
                </c:pt>
                <c:pt idx="11">
                  <c:v>4.24</c:v>
                </c:pt>
                <c:pt idx="12">
                  <c:v>7.05</c:v>
                </c:pt>
                <c:pt idx="13">
                  <c:v>5.5</c:v>
                </c:pt>
                <c:pt idx="14">
                  <c:v>5.82</c:v>
                </c:pt>
                <c:pt idx="15">
                  <c:v>5.26</c:v>
                </c:pt>
                <c:pt idx="16">
                  <c:v>10.95</c:v>
                </c:pt>
                <c:pt idx="17">
                  <c:v>19.329999999999998</c:v>
                </c:pt>
                <c:pt idx="18">
                  <c:v>9.59</c:v>
                </c:pt>
                <c:pt idx="19">
                  <c:v>5.3900000000000006</c:v>
                </c:pt>
                <c:pt idx="20">
                  <c:v>7.21</c:v>
                </c:pt>
                <c:pt idx="21">
                  <c:v>4</c:v>
                </c:pt>
                <c:pt idx="22">
                  <c:v>4.63</c:v>
                </c:pt>
                <c:pt idx="23">
                  <c:v>3.45</c:v>
                </c:pt>
                <c:pt idx="24">
                  <c:v>3.59</c:v>
                </c:pt>
                <c:pt idx="25">
                  <c:v>1.19</c:v>
                </c:pt>
                <c:pt idx="26">
                  <c:v>2.7</c:v>
                </c:pt>
                <c:pt idx="27">
                  <c:v>1.6800000000000002</c:v>
                </c:pt>
                <c:pt idx="28">
                  <c:v>3.4299999999999997</c:v>
                </c:pt>
                <c:pt idx="29">
                  <c:v>3.1100000000000003</c:v>
                </c:pt>
                <c:pt idx="30">
                  <c:v>4.6900000000000004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A-48FF-98A8-1DE8DECAC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336719"/>
        <c:axId val="1053707775"/>
      </c:barChart>
      <c:lineChart>
        <c:grouping val="standard"/>
        <c:varyColors val="0"/>
        <c:ser>
          <c:idx val="1"/>
          <c:order val="1"/>
          <c:tx>
            <c:strRef>
              <c:f>'WHS HOURS'!$BF$2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HOURS'!$BD$3:$BD$33</c:f>
              <c:numCache>
                <c:formatCode>d\-mmm\-yy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'WHS HOURS'!$BF$3:$BF$33</c:f>
              <c:numCache>
                <c:formatCode>General</c:formatCode>
                <c:ptCount val="31"/>
                <c:pt idx="0">
                  <c:v>7.03</c:v>
                </c:pt>
                <c:pt idx="1">
                  <c:v>7.03</c:v>
                </c:pt>
                <c:pt idx="2">
                  <c:v>7.03</c:v>
                </c:pt>
                <c:pt idx="3">
                  <c:v>7.03</c:v>
                </c:pt>
                <c:pt idx="4">
                  <c:v>7.03</c:v>
                </c:pt>
                <c:pt idx="5">
                  <c:v>7.03</c:v>
                </c:pt>
                <c:pt idx="6">
                  <c:v>7.03</c:v>
                </c:pt>
                <c:pt idx="7">
                  <c:v>7.03</c:v>
                </c:pt>
                <c:pt idx="8">
                  <c:v>7.03</c:v>
                </c:pt>
                <c:pt idx="9">
                  <c:v>7.03</c:v>
                </c:pt>
                <c:pt idx="10">
                  <c:v>7.03</c:v>
                </c:pt>
                <c:pt idx="11">
                  <c:v>7.03</c:v>
                </c:pt>
                <c:pt idx="12">
                  <c:v>7.03</c:v>
                </c:pt>
                <c:pt idx="13">
                  <c:v>7.03</c:v>
                </c:pt>
                <c:pt idx="14">
                  <c:v>7.03</c:v>
                </c:pt>
                <c:pt idx="15">
                  <c:v>7.03</c:v>
                </c:pt>
                <c:pt idx="16">
                  <c:v>7.03</c:v>
                </c:pt>
                <c:pt idx="17">
                  <c:v>7.03</c:v>
                </c:pt>
                <c:pt idx="18">
                  <c:v>7.03</c:v>
                </c:pt>
                <c:pt idx="19">
                  <c:v>7.03</c:v>
                </c:pt>
                <c:pt idx="20">
                  <c:v>7.03</c:v>
                </c:pt>
                <c:pt idx="21">
                  <c:v>7.03</c:v>
                </c:pt>
                <c:pt idx="22">
                  <c:v>7.03</c:v>
                </c:pt>
                <c:pt idx="23">
                  <c:v>7.03</c:v>
                </c:pt>
                <c:pt idx="24">
                  <c:v>7.03</c:v>
                </c:pt>
                <c:pt idx="25">
                  <c:v>7.03</c:v>
                </c:pt>
                <c:pt idx="26">
                  <c:v>7.03</c:v>
                </c:pt>
                <c:pt idx="27">
                  <c:v>7.03</c:v>
                </c:pt>
                <c:pt idx="28">
                  <c:v>7.03</c:v>
                </c:pt>
                <c:pt idx="29">
                  <c:v>7.03</c:v>
                </c:pt>
                <c:pt idx="30">
                  <c:v>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FA-48FF-98A8-1DE8DECAC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336719"/>
        <c:axId val="1053707775"/>
      </c:lineChart>
      <c:dateAx>
        <c:axId val="78533671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07775"/>
        <c:crosses val="autoZero"/>
        <c:auto val="1"/>
        <c:lblOffset val="100"/>
        <c:baseTimeUnit val="days"/>
      </c:dateAx>
      <c:valAx>
        <c:axId val="10537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33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</a:t>
            </a:r>
            <a:r>
              <a:rPr lang="es-MX" baseline="0"/>
              <a:t> AUG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HOURS'!$BI$2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HOURS'!$BH$3:$BH$35</c:f>
              <c:numCache>
                <c:formatCode>d\-mmm\-yy</c:formatCode>
                <c:ptCount val="33"/>
                <c:pt idx="0">
                  <c:v>45137</c:v>
                </c:pt>
                <c:pt idx="1">
                  <c:v>45138</c:v>
                </c:pt>
                <c:pt idx="2">
                  <c:v>45139</c:v>
                </c:pt>
                <c:pt idx="3">
                  <c:v>45140</c:v>
                </c:pt>
                <c:pt idx="4">
                  <c:v>45141</c:v>
                </c:pt>
                <c:pt idx="5">
                  <c:v>45142</c:v>
                </c:pt>
                <c:pt idx="6">
                  <c:v>45143</c:v>
                </c:pt>
                <c:pt idx="7">
                  <c:v>45144</c:v>
                </c:pt>
                <c:pt idx="8">
                  <c:v>45145</c:v>
                </c:pt>
                <c:pt idx="9">
                  <c:v>45146</c:v>
                </c:pt>
                <c:pt idx="10">
                  <c:v>45147</c:v>
                </c:pt>
                <c:pt idx="11">
                  <c:v>45148</c:v>
                </c:pt>
                <c:pt idx="12">
                  <c:v>45149</c:v>
                </c:pt>
                <c:pt idx="13">
                  <c:v>45150</c:v>
                </c:pt>
                <c:pt idx="14">
                  <c:v>45151</c:v>
                </c:pt>
                <c:pt idx="15">
                  <c:v>45152</c:v>
                </c:pt>
                <c:pt idx="16">
                  <c:v>45153</c:v>
                </c:pt>
                <c:pt idx="17">
                  <c:v>45154</c:v>
                </c:pt>
                <c:pt idx="18">
                  <c:v>45155</c:v>
                </c:pt>
                <c:pt idx="19">
                  <c:v>45156</c:v>
                </c:pt>
                <c:pt idx="20">
                  <c:v>45157</c:v>
                </c:pt>
                <c:pt idx="21">
                  <c:v>45158</c:v>
                </c:pt>
                <c:pt idx="22">
                  <c:v>45159</c:v>
                </c:pt>
                <c:pt idx="23">
                  <c:v>45160</c:v>
                </c:pt>
                <c:pt idx="24">
                  <c:v>45161</c:v>
                </c:pt>
                <c:pt idx="25">
                  <c:v>45162</c:v>
                </c:pt>
                <c:pt idx="26">
                  <c:v>45163</c:v>
                </c:pt>
                <c:pt idx="27">
                  <c:v>45164</c:v>
                </c:pt>
                <c:pt idx="28">
                  <c:v>45165</c:v>
                </c:pt>
                <c:pt idx="29">
                  <c:v>45166</c:v>
                </c:pt>
                <c:pt idx="30">
                  <c:v>45167</c:v>
                </c:pt>
                <c:pt idx="31">
                  <c:v>45168</c:v>
                </c:pt>
                <c:pt idx="32">
                  <c:v>45169</c:v>
                </c:pt>
              </c:numCache>
            </c:numRef>
          </c:cat>
          <c:val>
            <c:numRef>
              <c:f>'WHS HOURS'!$BI$3:$BI$35</c:f>
              <c:numCache>
                <c:formatCode>General</c:formatCode>
                <c:ptCount val="33"/>
                <c:pt idx="0">
                  <c:v>3.1100000000000003</c:v>
                </c:pt>
                <c:pt idx="1">
                  <c:v>4.6900000000000004</c:v>
                </c:pt>
                <c:pt idx="2">
                  <c:v>5.1600000000000019</c:v>
                </c:pt>
                <c:pt idx="3">
                  <c:v>4.25</c:v>
                </c:pt>
                <c:pt idx="4">
                  <c:v>6.2900000000000018</c:v>
                </c:pt>
                <c:pt idx="5">
                  <c:v>10.499999999999998</c:v>
                </c:pt>
                <c:pt idx="6">
                  <c:v>2.48</c:v>
                </c:pt>
                <c:pt idx="7">
                  <c:v>2.5100000000000002</c:v>
                </c:pt>
                <c:pt idx="8">
                  <c:v>4.8600000000000003</c:v>
                </c:pt>
                <c:pt idx="9">
                  <c:v>5.7100000000000009</c:v>
                </c:pt>
                <c:pt idx="10">
                  <c:v>2.27</c:v>
                </c:pt>
                <c:pt idx="11">
                  <c:v>3.66</c:v>
                </c:pt>
                <c:pt idx="12">
                  <c:v>2.92</c:v>
                </c:pt>
                <c:pt idx="13">
                  <c:v>4.1899999999999995</c:v>
                </c:pt>
                <c:pt idx="14">
                  <c:v>0.52</c:v>
                </c:pt>
                <c:pt idx="15">
                  <c:v>2.37</c:v>
                </c:pt>
                <c:pt idx="16">
                  <c:v>2.6399999999999997</c:v>
                </c:pt>
                <c:pt idx="17">
                  <c:v>7.8400000000000007</c:v>
                </c:pt>
                <c:pt idx="18">
                  <c:v>2.16</c:v>
                </c:pt>
                <c:pt idx="19">
                  <c:v>4.25</c:v>
                </c:pt>
                <c:pt idx="20">
                  <c:v>3.11</c:v>
                </c:pt>
                <c:pt idx="21">
                  <c:v>4.87</c:v>
                </c:pt>
                <c:pt idx="22">
                  <c:v>3.45</c:v>
                </c:pt>
                <c:pt idx="23">
                  <c:v>9.0399999999999991</c:v>
                </c:pt>
                <c:pt idx="24">
                  <c:v>6.72</c:v>
                </c:pt>
                <c:pt idx="25">
                  <c:v>7.51</c:v>
                </c:pt>
                <c:pt idx="26">
                  <c:v>5.42</c:v>
                </c:pt>
                <c:pt idx="27">
                  <c:v>3</c:v>
                </c:pt>
                <c:pt idx="28">
                  <c:v>2.25</c:v>
                </c:pt>
                <c:pt idx="29">
                  <c:v>2.36</c:v>
                </c:pt>
                <c:pt idx="30">
                  <c:v>5.59</c:v>
                </c:pt>
                <c:pt idx="31">
                  <c:v>4.84</c:v>
                </c:pt>
                <c:pt idx="32">
                  <c:v>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3-4E27-A324-104CDA37B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806543"/>
        <c:axId val="92758511"/>
      </c:barChart>
      <c:lineChart>
        <c:grouping val="standard"/>
        <c:varyColors val="0"/>
        <c:ser>
          <c:idx val="1"/>
          <c:order val="1"/>
          <c:tx>
            <c:strRef>
              <c:f>'WHS HOURS'!$BJ$2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HOURS'!$BH$3:$BH$35</c:f>
              <c:numCache>
                <c:formatCode>d\-mmm\-yy</c:formatCode>
                <c:ptCount val="33"/>
                <c:pt idx="0">
                  <c:v>45137</c:v>
                </c:pt>
                <c:pt idx="1">
                  <c:v>45138</c:v>
                </c:pt>
                <c:pt idx="2">
                  <c:v>45139</c:v>
                </c:pt>
                <c:pt idx="3">
                  <c:v>45140</c:v>
                </c:pt>
                <c:pt idx="4">
                  <c:v>45141</c:v>
                </c:pt>
                <c:pt idx="5">
                  <c:v>45142</c:v>
                </c:pt>
                <c:pt idx="6">
                  <c:v>45143</c:v>
                </c:pt>
                <c:pt idx="7">
                  <c:v>45144</c:v>
                </c:pt>
                <c:pt idx="8">
                  <c:v>45145</c:v>
                </c:pt>
                <c:pt idx="9">
                  <c:v>45146</c:v>
                </c:pt>
                <c:pt idx="10">
                  <c:v>45147</c:v>
                </c:pt>
                <c:pt idx="11">
                  <c:v>45148</c:v>
                </c:pt>
                <c:pt idx="12">
                  <c:v>45149</c:v>
                </c:pt>
                <c:pt idx="13">
                  <c:v>45150</c:v>
                </c:pt>
                <c:pt idx="14">
                  <c:v>45151</c:v>
                </c:pt>
                <c:pt idx="15">
                  <c:v>45152</c:v>
                </c:pt>
                <c:pt idx="16">
                  <c:v>45153</c:v>
                </c:pt>
                <c:pt idx="17">
                  <c:v>45154</c:v>
                </c:pt>
                <c:pt idx="18">
                  <c:v>45155</c:v>
                </c:pt>
                <c:pt idx="19">
                  <c:v>45156</c:v>
                </c:pt>
                <c:pt idx="20">
                  <c:v>45157</c:v>
                </c:pt>
                <c:pt idx="21">
                  <c:v>45158</c:v>
                </c:pt>
                <c:pt idx="22">
                  <c:v>45159</c:v>
                </c:pt>
                <c:pt idx="23">
                  <c:v>45160</c:v>
                </c:pt>
                <c:pt idx="24">
                  <c:v>45161</c:v>
                </c:pt>
                <c:pt idx="25">
                  <c:v>45162</c:v>
                </c:pt>
                <c:pt idx="26">
                  <c:v>45163</c:v>
                </c:pt>
                <c:pt idx="27">
                  <c:v>45164</c:v>
                </c:pt>
                <c:pt idx="28">
                  <c:v>45165</c:v>
                </c:pt>
                <c:pt idx="29">
                  <c:v>45166</c:v>
                </c:pt>
                <c:pt idx="30">
                  <c:v>45167</c:v>
                </c:pt>
                <c:pt idx="31">
                  <c:v>45168</c:v>
                </c:pt>
                <c:pt idx="32">
                  <c:v>45169</c:v>
                </c:pt>
              </c:numCache>
            </c:numRef>
          </c:cat>
          <c:val>
            <c:numRef>
              <c:f>'WHS HOURS'!$BJ$3:$BJ$35</c:f>
              <c:numCache>
                <c:formatCode>General</c:formatCode>
                <c:ptCount val="33"/>
                <c:pt idx="0">
                  <c:v>7.03</c:v>
                </c:pt>
                <c:pt idx="1">
                  <c:v>7.03</c:v>
                </c:pt>
                <c:pt idx="2">
                  <c:v>5.81</c:v>
                </c:pt>
                <c:pt idx="3">
                  <c:v>5.81</c:v>
                </c:pt>
                <c:pt idx="4">
                  <c:v>5.81</c:v>
                </c:pt>
                <c:pt idx="5">
                  <c:v>5.81</c:v>
                </c:pt>
                <c:pt idx="6">
                  <c:v>5.81</c:v>
                </c:pt>
                <c:pt idx="7">
                  <c:v>5.81</c:v>
                </c:pt>
                <c:pt idx="8">
                  <c:v>5.81</c:v>
                </c:pt>
                <c:pt idx="9">
                  <c:v>5.81</c:v>
                </c:pt>
                <c:pt idx="10">
                  <c:v>5.81</c:v>
                </c:pt>
                <c:pt idx="11">
                  <c:v>5.81</c:v>
                </c:pt>
                <c:pt idx="12">
                  <c:v>5.81</c:v>
                </c:pt>
                <c:pt idx="13">
                  <c:v>5.81</c:v>
                </c:pt>
                <c:pt idx="14">
                  <c:v>5.81</c:v>
                </c:pt>
                <c:pt idx="15">
                  <c:v>5.81</c:v>
                </c:pt>
                <c:pt idx="16">
                  <c:v>5.81</c:v>
                </c:pt>
                <c:pt idx="17">
                  <c:v>5.81</c:v>
                </c:pt>
                <c:pt idx="18">
                  <c:v>5.81</c:v>
                </c:pt>
                <c:pt idx="19">
                  <c:v>5.81</c:v>
                </c:pt>
                <c:pt idx="20">
                  <c:v>5.81</c:v>
                </c:pt>
                <c:pt idx="21">
                  <c:v>5.81</c:v>
                </c:pt>
                <c:pt idx="22">
                  <c:v>5.81</c:v>
                </c:pt>
                <c:pt idx="23">
                  <c:v>5.81</c:v>
                </c:pt>
                <c:pt idx="24">
                  <c:v>5.81</c:v>
                </c:pt>
                <c:pt idx="25">
                  <c:v>5.81</c:v>
                </c:pt>
                <c:pt idx="26">
                  <c:v>5.81</c:v>
                </c:pt>
                <c:pt idx="27">
                  <c:v>5.81</c:v>
                </c:pt>
                <c:pt idx="28">
                  <c:v>5.81</c:v>
                </c:pt>
                <c:pt idx="29">
                  <c:v>5.81</c:v>
                </c:pt>
                <c:pt idx="30">
                  <c:v>5.81</c:v>
                </c:pt>
                <c:pt idx="31">
                  <c:v>5.81</c:v>
                </c:pt>
                <c:pt idx="32">
                  <c:v>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3-4E27-A324-104CDA37B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806543"/>
        <c:axId val="92758511"/>
      </c:lineChart>
      <c:dateAx>
        <c:axId val="22580654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8511"/>
        <c:crosses val="autoZero"/>
        <c:auto val="1"/>
        <c:lblOffset val="100"/>
        <c:baseTimeUnit val="days"/>
      </c:dateAx>
      <c:valAx>
        <c:axId val="927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0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</a:t>
            </a:r>
            <a:r>
              <a:rPr lang="es-MX" baseline="0"/>
              <a:t> SEPT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HOURS'!$BM$2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HOURS'!$BL$26:$BL$32</c:f>
              <c:numCache>
                <c:formatCode>d\-mmm\-yy</c:formatCode>
                <c:ptCount val="7"/>
                <c:pt idx="0">
                  <c:v>45193</c:v>
                </c:pt>
                <c:pt idx="1">
                  <c:v>45194</c:v>
                </c:pt>
                <c:pt idx="2">
                  <c:v>45195</c:v>
                </c:pt>
                <c:pt idx="3">
                  <c:v>45196</c:v>
                </c:pt>
                <c:pt idx="4">
                  <c:v>45197</c:v>
                </c:pt>
                <c:pt idx="5">
                  <c:v>45198</c:v>
                </c:pt>
                <c:pt idx="6">
                  <c:v>45199</c:v>
                </c:pt>
              </c:numCache>
            </c:numRef>
          </c:cat>
          <c:val>
            <c:numRef>
              <c:f>'WHS HOURS'!$BM$26:$BM$32</c:f>
              <c:numCache>
                <c:formatCode>General</c:formatCode>
                <c:ptCount val="7"/>
                <c:pt idx="0">
                  <c:v>2.68</c:v>
                </c:pt>
                <c:pt idx="1">
                  <c:v>2.04</c:v>
                </c:pt>
                <c:pt idx="2">
                  <c:v>5.32</c:v>
                </c:pt>
                <c:pt idx="3">
                  <c:v>10.86</c:v>
                </c:pt>
                <c:pt idx="4">
                  <c:v>13.72</c:v>
                </c:pt>
                <c:pt idx="5">
                  <c:v>1.69</c:v>
                </c:pt>
                <c:pt idx="6">
                  <c:v>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3-43AE-8609-3F6F50E9C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29119"/>
        <c:axId val="439370191"/>
      </c:barChart>
      <c:lineChart>
        <c:grouping val="standard"/>
        <c:varyColors val="0"/>
        <c:ser>
          <c:idx val="1"/>
          <c:order val="1"/>
          <c:tx>
            <c:strRef>
              <c:f>'WHS HOURS'!$BN$2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HOURS'!$BL$26:$BL$32</c:f>
              <c:numCache>
                <c:formatCode>d\-mmm\-yy</c:formatCode>
                <c:ptCount val="7"/>
                <c:pt idx="0">
                  <c:v>45193</c:v>
                </c:pt>
                <c:pt idx="1">
                  <c:v>45194</c:v>
                </c:pt>
                <c:pt idx="2">
                  <c:v>45195</c:v>
                </c:pt>
                <c:pt idx="3">
                  <c:v>45196</c:v>
                </c:pt>
                <c:pt idx="4">
                  <c:v>45197</c:v>
                </c:pt>
                <c:pt idx="5">
                  <c:v>45198</c:v>
                </c:pt>
                <c:pt idx="6">
                  <c:v>45199</c:v>
                </c:pt>
              </c:numCache>
            </c:numRef>
          </c:cat>
          <c:val>
            <c:numRef>
              <c:f>'WHS HOURS'!$BN$26:$BN$32</c:f>
              <c:numCache>
                <c:formatCode>General</c:formatCode>
                <c:ptCount val="7"/>
                <c:pt idx="0">
                  <c:v>5.16</c:v>
                </c:pt>
                <c:pt idx="1">
                  <c:v>5.16</c:v>
                </c:pt>
                <c:pt idx="2">
                  <c:v>5.16</c:v>
                </c:pt>
                <c:pt idx="3">
                  <c:v>5.16</c:v>
                </c:pt>
                <c:pt idx="4">
                  <c:v>5.16</c:v>
                </c:pt>
                <c:pt idx="5">
                  <c:v>5.16</c:v>
                </c:pt>
                <c:pt idx="6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3-43AE-8609-3F6F50E9C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429119"/>
        <c:axId val="439370191"/>
      </c:lineChart>
      <c:dateAx>
        <c:axId val="80842911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70191"/>
        <c:crosses val="autoZero"/>
        <c:auto val="1"/>
        <c:lblOffset val="100"/>
        <c:baseTimeUnit val="days"/>
      </c:dateAx>
      <c:valAx>
        <c:axId val="43937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2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</a:t>
            </a:r>
            <a:r>
              <a:rPr lang="es-MX" baseline="0"/>
              <a:t> OCT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HOURS'!$BQ$2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HOURS'!$BP$3:$BP$33</c:f>
              <c:numCache>
                <c:formatCode>d\-mmm\-yy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'WHS HOURS'!$BQ$3:$BQ$33</c:f>
              <c:numCache>
                <c:formatCode>General</c:formatCode>
                <c:ptCount val="31"/>
                <c:pt idx="0">
                  <c:v>1.91</c:v>
                </c:pt>
                <c:pt idx="1">
                  <c:v>3.48</c:v>
                </c:pt>
                <c:pt idx="2">
                  <c:v>7.46</c:v>
                </c:pt>
                <c:pt idx="3">
                  <c:v>5.35</c:v>
                </c:pt>
                <c:pt idx="4">
                  <c:v>10.65</c:v>
                </c:pt>
                <c:pt idx="5">
                  <c:v>6.35</c:v>
                </c:pt>
                <c:pt idx="6">
                  <c:v>10.41</c:v>
                </c:pt>
                <c:pt idx="7">
                  <c:v>2.42</c:v>
                </c:pt>
                <c:pt idx="8">
                  <c:v>5.52</c:v>
                </c:pt>
                <c:pt idx="9">
                  <c:v>8.3000000000000007</c:v>
                </c:pt>
                <c:pt idx="10">
                  <c:v>11.2</c:v>
                </c:pt>
                <c:pt idx="11">
                  <c:v>13.38</c:v>
                </c:pt>
                <c:pt idx="12">
                  <c:v>7.01</c:v>
                </c:pt>
                <c:pt idx="13">
                  <c:v>6.28</c:v>
                </c:pt>
                <c:pt idx="14">
                  <c:v>10.76</c:v>
                </c:pt>
                <c:pt idx="15">
                  <c:v>33.22</c:v>
                </c:pt>
                <c:pt idx="16">
                  <c:v>7.89</c:v>
                </c:pt>
                <c:pt idx="17">
                  <c:v>9.5399999999999991</c:v>
                </c:pt>
                <c:pt idx="18">
                  <c:v>7.34</c:v>
                </c:pt>
                <c:pt idx="19">
                  <c:v>8.2200000000000006</c:v>
                </c:pt>
                <c:pt idx="20">
                  <c:v>8.57</c:v>
                </c:pt>
                <c:pt idx="21">
                  <c:v>2.44</c:v>
                </c:pt>
                <c:pt idx="22">
                  <c:v>6.19</c:v>
                </c:pt>
                <c:pt idx="23">
                  <c:v>17.649999999999999</c:v>
                </c:pt>
                <c:pt idx="24">
                  <c:v>9.35</c:v>
                </c:pt>
                <c:pt idx="25">
                  <c:v>14.15</c:v>
                </c:pt>
                <c:pt idx="26">
                  <c:v>44.52</c:v>
                </c:pt>
                <c:pt idx="27">
                  <c:v>18.57</c:v>
                </c:pt>
                <c:pt idx="28">
                  <c:v>9.09</c:v>
                </c:pt>
                <c:pt idx="29">
                  <c:v>8.94</c:v>
                </c:pt>
                <c:pt idx="30">
                  <c:v>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A-4620-BA59-7BBBE93D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484639"/>
        <c:axId val="1815786015"/>
      </c:barChart>
      <c:lineChart>
        <c:grouping val="standard"/>
        <c:varyColors val="0"/>
        <c:ser>
          <c:idx val="1"/>
          <c:order val="1"/>
          <c:tx>
            <c:strRef>
              <c:f>'WHS HOURS'!$BR$2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HOURS'!$BP$3:$BP$33</c:f>
              <c:numCache>
                <c:formatCode>d\-mmm\-yy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'WHS HOURS'!$BR$3:$BR$33</c:f>
              <c:numCache>
                <c:formatCode>General</c:formatCode>
                <c:ptCount val="31"/>
                <c:pt idx="0">
                  <c:v>7.84</c:v>
                </c:pt>
                <c:pt idx="1">
                  <c:v>7.84</c:v>
                </c:pt>
                <c:pt idx="2">
                  <c:v>7.84</c:v>
                </c:pt>
                <c:pt idx="3">
                  <c:v>7.84</c:v>
                </c:pt>
                <c:pt idx="4">
                  <c:v>7.84</c:v>
                </c:pt>
                <c:pt idx="5">
                  <c:v>7.84</c:v>
                </c:pt>
                <c:pt idx="6">
                  <c:v>7.84</c:v>
                </c:pt>
                <c:pt idx="7">
                  <c:v>7.84</c:v>
                </c:pt>
                <c:pt idx="8">
                  <c:v>7.84</c:v>
                </c:pt>
                <c:pt idx="9">
                  <c:v>7.84</c:v>
                </c:pt>
                <c:pt idx="10">
                  <c:v>7.84</c:v>
                </c:pt>
                <c:pt idx="11">
                  <c:v>7.84</c:v>
                </c:pt>
                <c:pt idx="12">
                  <c:v>7.84</c:v>
                </c:pt>
                <c:pt idx="13">
                  <c:v>7.84</c:v>
                </c:pt>
                <c:pt idx="14">
                  <c:v>7.84</c:v>
                </c:pt>
                <c:pt idx="15">
                  <c:v>7.84</c:v>
                </c:pt>
                <c:pt idx="16">
                  <c:v>7.84</c:v>
                </c:pt>
                <c:pt idx="17">
                  <c:v>7.84</c:v>
                </c:pt>
                <c:pt idx="18">
                  <c:v>7.84</c:v>
                </c:pt>
                <c:pt idx="19">
                  <c:v>7.84</c:v>
                </c:pt>
                <c:pt idx="20">
                  <c:v>7.84</c:v>
                </c:pt>
                <c:pt idx="21">
                  <c:v>7.84</c:v>
                </c:pt>
                <c:pt idx="22">
                  <c:v>7.84</c:v>
                </c:pt>
                <c:pt idx="23">
                  <c:v>7.84</c:v>
                </c:pt>
                <c:pt idx="24">
                  <c:v>7.84</c:v>
                </c:pt>
                <c:pt idx="25">
                  <c:v>7.84</c:v>
                </c:pt>
                <c:pt idx="26">
                  <c:v>7.84</c:v>
                </c:pt>
                <c:pt idx="27">
                  <c:v>7.84</c:v>
                </c:pt>
                <c:pt idx="28">
                  <c:v>7.84</c:v>
                </c:pt>
                <c:pt idx="29">
                  <c:v>7.84</c:v>
                </c:pt>
                <c:pt idx="30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DA-4620-BA59-7BBBE93D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484639"/>
        <c:axId val="1815786015"/>
      </c:lineChart>
      <c:dateAx>
        <c:axId val="181548463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786015"/>
        <c:crosses val="autoZero"/>
        <c:auto val="1"/>
        <c:lblOffset val="100"/>
        <c:baseTimeUnit val="days"/>
      </c:dateAx>
      <c:valAx>
        <c:axId val="18157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48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HOURS</a:t>
            </a:r>
            <a:r>
              <a:rPr lang="es-MX" baseline="0"/>
              <a:t> NOV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'WHS HOURS'!$BU$2</c:f>
              <c:strCache>
                <c:ptCount val="1"/>
                <c:pt idx="0">
                  <c:v>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'WHS HOURS'!$BT$3:$BT$23</c:f>
              <c:numCache>
                <c:formatCode>d\-mmm\-yy</c:formatCode>
                <c:ptCount val="21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</c:numCache>
            </c:numRef>
          </c:cat>
          <c:val>
            <c:numRef>
              <c:f>'WHS HOURS'!$BU$3:$BU$23</c:f>
              <c:numCache>
                <c:formatCode>General</c:formatCode>
                <c:ptCount val="21"/>
                <c:pt idx="0" formatCode="0.00">
                  <c:v>18.46</c:v>
                </c:pt>
                <c:pt idx="1">
                  <c:v>13.32</c:v>
                </c:pt>
                <c:pt idx="2">
                  <c:v>18.52</c:v>
                </c:pt>
                <c:pt idx="3">
                  <c:v>12.39</c:v>
                </c:pt>
                <c:pt idx="4">
                  <c:v>7.82</c:v>
                </c:pt>
                <c:pt idx="5">
                  <c:v>10.199999999999999</c:v>
                </c:pt>
                <c:pt idx="6">
                  <c:v>10.48</c:v>
                </c:pt>
                <c:pt idx="7">
                  <c:v>11.98</c:v>
                </c:pt>
                <c:pt idx="8">
                  <c:v>11.07</c:v>
                </c:pt>
                <c:pt idx="9">
                  <c:v>15.72</c:v>
                </c:pt>
                <c:pt idx="10">
                  <c:v>14.02</c:v>
                </c:pt>
                <c:pt idx="11">
                  <c:v>8.8000000000000007</c:v>
                </c:pt>
                <c:pt idx="12">
                  <c:v>9.61</c:v>
                </c:pt>
                <c:pt idx="13">
                  <c:v>11.91</c:v>
                </c:pt>
                <c:pt idx="14">
                  <c:v>17.809999999999999</c:v>
                </c:pt>
                <c:pt idx="15">
                  <c:v>10.36</c:v>
                </c:pt>
                <c:pt idx="16">
                  <c:v>14.79</c:v>
                </c:pt>
                <c:pt idx="17">
                  <c:v>11.54</c:v>
                </c:pt>
                <c:pt idx="18">
                  <c:v>14.22</c:v>
                </c:pt>
                <c:pt idx="19">
                  <c:v>10.25</c:v>
                </c:pt>
                <c:pt idx="20">
                  <c:v>10.23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2-40DE-8EE1-1E81AFF3D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127616"/>
        <c:axId val="465245024"/>
      </c:barChart>
      <c:lineChart>
        <c:grouping val="standard"/>
        <c:varyColors val="0"/>
        <c:ser>
          <c:idx val="1"/>
          <c:order val="1"/>
          <c:tx>
            <c:strRef>
              <c:f>'WHS HOURS'!$BV$2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'WHS HOURS'!$BT$3:$BT$23</c:f>
              <c:numCache>
                <c:formatCode>d\-mmm\-yy</c:formatCode>
                <c:ptCount val="21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</c:numCache>
            </c:numRef>
          </c:cat>
          <c:val>
            <c:numRef>
              <c:f>'WHS HOURS'!$BV$3:$BV$23</c:f>
              <c:numCache>
                <c:formatCode>General</c:formatCode>
                <c:ptCount val="21"/>
                <c:pt idx="0">
                  <c:v>9.9</c:v>
                </c:pt>
                <c:pt idx="1">
                  <c:v>9.9</c:v>
                </c:pt>
                <c:pt idx="2">
                  <c:v>9.9</c:v>
                </c:pt>
                <c:pt idx="3">
                  <c:v>9.9</c:v>
                </c:pt>
                <c:pt idx="4">
                  <c:v>9.9</c:v>
                </c:pt>
                <c:pt idx="5">
                  <c:v>9.9</c:v>
                </c:pt>
                <c:pt idx="6">
                  <c:v>9.9</c:v>
                </c:pt>
                <c:pt idx="7">
                  <c:v>9.9</c:v>
                </c:pt>
                <c:pt idx="8">
                  <c:v>9.9</c:v>
                </c:pt>
                <c:pt idx="9">
                  <c:v>9.9</c:v>
                </c:pt>
                <c:pt idx="10">
                  <c:v>9.9</c:v>
                </c:pt>
                <c:pt idx="11">
                  <c:v>9.9</c:v>
                </c:pt>
                <c:pt idx="12">
                  <c:v>9.9</c:v>
                </c:pt>
                <c:pt idx="13">
                  <c:v>9.9</c:v>
                </c:pt>
                <c:pt idx="14">
                  <c:v>9.9</c:v>
                </c:pt>
                <c:pt idx="15">
                  <c:v>9.9</c:v>
                </c:pt>
                <c:pt idx="16">
                  <c:v>9.9</c:v>
                </c:pt>
                <c:pt idx="17">
                  <c:v>9.9</c:v>
                </c:pt>
                <c:pt idx="18">
                  <c:v>9.9</c:v>
                </c:pt>
                <c:pt idx="19">
                  <c:v>9.9</c:v>
                </c:pt>
                <c:pt idx="20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62-40DE-8EE1-1E81AFF3D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27616"/>
        <c:axId val="465245024"/>
      </c:lineChart>
      <c:dateAx>
        <c:axId val="230127616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45024"/>
        <c:crosses val="autoZero"/>
        <c:auto val="1"/>
        <c:lblOffset val="100"/>
        <c:baseTimeUnit val="days"/>
      </c:dateAx>
      <c:valAx>
        <c:axId val="4652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1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554898</xdr:colOff>
      <xdr:row>32</xdr:row>
      <xdr:rowOff>134650</xdr:rowOff>
    </xdr:from>
    <xdr:to>
      <xdr:col>33</xdr:col>
      <xdr:colOff>571500</xdr:colOff>
      <xdr:row>42</xdr:row>
      <xdr:rowOff>73270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CD4A20-A896-4262-B558-72351B4F3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308079</xdr:colOff>
      <xdr:row>33</xdr:row>
      <xdr:rowOff>124494</xdr:rowOff>
    </xdr:from>
    <xdr:to>
      <xdr:col>37</xdr:col>
      <xdr:colOff>6333</xdr:colOff>
      <xdr:row>41</xdr:row>
      <xdr:rowOff>33829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1D81E6-E6D5-4DB4-8F05-56C1F59FA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357021</xdr:colOff>
      <xdr:row>34</xdr:row>
      <xdr:rowOff>69541</xdr:rowOff>
    </xdr:from>
    <xdr:to>
      <xdr:col>42</xdr:col>
      <xdr:colOff>105463</xdr:colOff>
      <xdr:row>41</xdr:row>
      <xdr:rowOff>153819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436490-5D7B-4BA9-A416-908217ED5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221137</xdr:colOff>
      <xdr:row>17</xdr:row>
      <xdr:rowOff>179389</xdr:rowOff>
    </xdr:from>
    <xdr:to>
      <xdr:col>30</xdr:col>
      <xdr:colOff>360795</xdr:colOff>
      <xdr:row>31</xdr:row>
      <xdr:rowOff>144318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14D7CD-267B-4987-BD42-341705259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218302</xdr:colOff>
      <xdr:row>34</xdr:row>
      <xdr:rowOff>68649</xdr:rowOff>
    </xdr:from>
    <xdr:to>
      <xdr:col>46</xdr:col>
      <xdr:colOff>85811</xdr:colOff>
      <xdr:row>41</xdr:row>
      <xdr:rowOff>42448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7E3890-F807-4075-99E8-B2D027964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20037</xdr:colOff>
      <xdr:row>35</xdr:row>
      <xdr:rowOff>110822</xdr:rowOff>
    </xdr:from>
    <xdr:to>
      <xdr:col>50</xdr:col>
      <xdr:colOff>314765</xdr:colOff>
      <xdr:row>41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B0FBDE-541A-4A7A-94D1-88171208B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51</xdr:col>
      <xdr:colOff>44823</xdr:colOff>
      <xdr:row>34</xdr:row>
      <xdr:rowOff>179293</xdr:rowOff>
    </xdr:from>
    <xdr:to>
      <xdr:col>53</xdr:col>
      <xdr:colOff>933823</xdr:colOff>
      <xdr:row>41</xdr:row>
      <xdr:rowOff>176305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2B39A5-2548-42A1-9013-D8EB72877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227824</xdr:colOff>
      <xdr:row>34</xdr:row>
      <xdr:rowOff>143018</xdr:rowOff>
    </xdr:from>
    <xdr:to>
      <xdr:col>58</xdr:col>
      <xdr:colOff>287734</xdr:colOff>
      <xdr:row>42</xdr:row>
      <xdr:rowOff>49609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935D00-A267-4506-AD70-CC50146B9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59</xdr:col>
      <xdr:colOff>205379</xdr:colOff>
      <xdr:row>39</xdr:row>
      <xdr:rowOff>56683</xdr:rowOff>
    </xdr:from>
    <xdr:to>
      <xdr:col>62</xdr:col>
      <xdr:colOff>119549</xdr:colOff>
      <xdr:row>47</xdr:row>
      <xdr:rowOff>121371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CEE4359-5810-4DC8-A0F3-356AC4319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265138</xdr:colOff>
      <xdr:row>35</xdr:row>
      <xdr:rowOff>89339</xdr:rowOff>
    </xdr:from>
    <xdr:to>
      <xdr:col>66</xdr:col>
      <xdr:colOff>243706</xdr:colOff>
      <xdr:row>43</xdr:row>
      <xdr:rowOff>173182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9A5E30F-21AE-422C-A287-34D327A30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67</xdr:col>
      <xdr:colOff>8156</xdr:colOff>
      <xdr:row>39</xdr:row>
      <xdr:rowOff>191698</xdr:rowOff>
    </xdr:from>
    <xdr:to>
      <xdr:col>76</xdr:col>
      <xdr:colOff>23962</xdr:colOff>
      <xdr:row>45</xdr:row>
      <xdr:rowOff>142484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2C288E-D249-4248-8096-B2A8296F6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70</xdr:col>
      <xdr:colOff>515980</xdr:colOff>
      <xdr:row>25</xdr:row>
      <xdr:rowOff>123407</xdr:rowOff>
    </xdr:from>
    <xdr:to>
      <xdr:col>85</xdr:col>
      <xdr:colOff>62255</xdr:colOff>
      <xdr:row>32</xdr:row>
      <xdr:rowOff>333132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4B6918-8E24-4A69-AE75-B2A8324B5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ez Sanchez, Elizabeth" refreshedDate="45252.303596527781" createdVersion="7" refreshedVersion="6" minRefreshableVersion="3" recordCount="4612" xr:uid="{AB30FD97-DF02-4BF1-BB0B-8FA89A0573B4}">
  <cacheSource type="worksheet">
    <worksheetSource ref="A1:O4999" sheet="WHS HOURS"/>
  </cacheSource>
  <cacheFields count="15">
    <cacheField name="Day" numFmtId="0">
      <sharedItems containsDate="1" containsBlank="1" containsMixedTypes="1" minDate="2023-01-02T00:00:00" maxDate="2023-11-22T00:00:00"/>
    </cacheField>
    <cacheField name="Week" numFmtId="0">
      <sharedItems containsString="0" containsBlank="1" containsNumber="1" containsInteger="1" minValue="1" maxValue="47" count="4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m/>
      </sharedItems>
    </cacheField>
    <cacheField name="Process Name" numFmtId="0">
      <sharedItems containsBlank="1"/>
    </cacheField>
    <cacheField name="Function Name" numFmtId="0">
      <sharedItems containsBlank="1"/>
    </cacheField>
    <cacheField name="Employee Type" numFmtId="0">
      <sharedItems containsBlank="1"/>
    </cacheField>
    <cacheField name="Employee Id" numFmtId="0">
      <sharedItems containsString="0" containsBlank="1" containsNumber="1" containsInteger="1" minValue="103260242" maxValue="202538455"/>
    </cacheField>
    <cacheField name="Name" numFmtId="0">
      <sharedItems containsBlank="1"/>
    </cacheField>
    <cacheField name="Manager" numFmtId="0">
      <sharedItems containsBlank="1"/>
    </cacheField>
    <cacheField name="Paid Hours-Small(function,employee)" numFmtId="0">
      <sharedItems containsString="0" containsBlank="1" containsNumber="1" containsInteger="1" minValue="0" maxValue="0"/>
    </cacheField>
    <cacheField name="Paid Hours-Medium(function,employee)" numFmtId="0">
      <sharedItems containsString="0" containsBlank="1" containsNumber="1" containsInteger="1" minValue="0" maxValue="0"/>
    </cacheField>
    <cacheField name="Paid Hours-Large(function,employee)" numFmtId="0">
      <sharedItems containsString="0" containsBlank="1" containsNumber="1" containsInteger="1" minValue="0" maxValue="0"/>
    </cacheField>
    <cacheField name="Paid Hours-HeavyBulky(function,employee)" numFmtId="0">
      <sharedItems containsString="0" containsBlank="1" containsNumber="1" containsInteger="1" minValue="0" maxValue="0"/>
    </cacheField>
    <cacheField name="Paid Hours-Total(function,employee)" numFmtId="0">
      <sharedItems containsBlank="1" containsMixedTypes="1" containsNumber="1" minValue="0" maxValue="24"/>
    </cacheField>
    <cacheField name="Status" numFmtId="0">
      <sharedItems containsBlank="1"/>
    </cacheField>
    <cacheField name="Login" numFmtId="0">
      <sharedItems containsBlank="1" count="489">
        <e v="#N/A"/>
        <s v="hesdenis"/>
        <s v="samajpad"/>
        <s v="jorochai"/>
        <s v="qisgeova"/>
        <s v="valderle"/>
        <s v="xcathurt"/>
        <s v="anzpalom"/>
        <s v="caherras"/>
        <s v="fraugene"/>
        <s v="garamird"/>
        <s v="mclaudol"/>
        <s v="normaelo"/>
        <s v="sarojast"/>
        <s v="afatimae"/>
        <s v="csantibl"/>
        <s v="luriverr"/>
        <s v="myriamav"/>
        <s v="padillms"/>
        <s v="polettpu"/>
        <s v="rfcervan"/>
        <s v="uargoten"/>
        <s v="vandgome"/>
        <s v="juanapam"/>
        <s v="maryjacp"/>
        <s v="privejor"/>
        <s v="creyesal"/>
        <s v="grkatery"/>
        <s v="ortfernj"/>
        <s v="rpabloul"/>
        <s v="lupaguin"/>
        <s v="mavpauli"/>
        <s v="wnoraria"/>
        <s v="ohergise"/>
        <s v="aravilac"/>
        <s v="juandidu"/>
        <s v="lurochae"/>
        <s v="umendoju"/>
        <s v="antonitq"/>
        <s v="cescornh"/>
        <s v="earelili"/>
        <s v="taldaher"/>
        <s v="reyesmcw"/>
        <s v="cdanirom"/>
        <s v="ugonzgui"/>
        <s v="cortesjj"/>
        <s v="velaangl"/>
        <s v="dnmanuel"/>
        <s v="dolozane"/>
        <s v="erikaadm"/>
        <s v="sotodelv"/>
        <s v="virimuni"/>
        <s v="aldojasw"/>
        <s v="samualbg"/>
        <s v="contrexj"/>
        <s v="nalexgom"/>
        <s v="nilaurab"/>
        <s v="ppalmari"/>
        <s v="tessajvi"/>
        <s v="tjuandne"/>
        <s v="zchvazqu"/>
        <s v="qhojulie"/>
        <s v="rodrmacj"/>
        <s v="hgerardr"/>
        <s v="hmendobr"/>
        <s v="ldianade"/>
        <s v="jhlopezg"/>
        <s v="jwmaldon"/>
        <s v="valdkell"/>
        <s v="juanpmun"/>
        <s v="csandrak"/>
        <s v="partilum"/>
        <s v="aguirrak"/>
        <s v="rsanccri"/>
        <s v="urbistep"/>
        <s v="wrocirod"/>
        <s v="dnaldair"/>
        <s v="alysonza"/>
        <s v="oespiali"/>
        <s v="spercesa"/>
        <s v="fadtrejo"/>
        <s v="zlopamer"/>
        <s v="diamartd"/>
        <s v="olivlizb"/>
        <s v="genevmor"/>
        <s v="lsisrael"/>
        <s v="shernadt"/>
        <s v="hejorgea"/>
        <s v="dulceami"/>
        <s v="cetinocr"/>
        <s v="moralefs"/>
        <s v="gperezrp"/>
        <s v="carhriva"/>
        <s v="srodcaro"/>
        <s v="omarleoa"/>
        <s v="xedithsa"/>
        <s v="franmorb"/>
        <s v="josedmef"/>
        <s v="ronjosea"/>
        <s v="riojoeli"/>
        <s v="luisfegu"/>
        <s v="rociodro"/>
        <s v="hvcharli"/>
        <s v="anacecor"/>
        <s v="ravsofia"/>
        <s v="delgadax"/>
        <s v="jcarlgas"/>
        <s v="bemonzon"/>
        <s v="ruzcvict"/>
        <s v="wguanajr"/>
        <s v="carchico"/>
        <s v="oortizce"/>
        <s v="kaarsanc"/>
        <s v="puenkare"/>
        <s v="jaalexav"/>
        <s v="nperezmc"/>
        <s v="bgajesus"/>
        <s v="cemilini"/>
        <s v="barrgiof"/>
        <s v="godariah"/>
        <s v="cesarito"/>
        <s v="vargajed"/>
        <s v="ramsmazy"/>
        <s v="jazmiwhe"/>
        <s v="ariaszee"/>
        <s v="dianacec"/>
        <s v="oomaagui"/>
        <s v="brepicaz"/>
        <s v="cesarvae"/>
        <s v="eliorten"/>
        <s v="mojicemm"/>
        <s v="montebib"/>
        <s v="arevamau"/>
        <s v="cueplalo"/>
        <s v="cruzbana"/>
        <s v="alerikat"/>
        <s v="adrpcast"/>
        <s v="luisamin"/>
        <s v="sganoemi"/>
        <s v="ibalmigu"/>
        <s v="hildacec"/>
        <s v="lcabadan"/>
        <s v="eserenca"/>
        <s v="garcyand"/>
        <s v="gakjessi"/>
        <s v="mamlucia"/>
        <s v="valdojoe"/>
        <s v="mireljes"/>
        <s v="paulinbp"/>
        <s v="espilizb"/>
        <s v="zairamen"/>
        <s v="hernghug"/>
        <s v="alinejim"/>
        <s v="heryyola"/>
        <s v="jonquija"/>
        <s v="fwraziel"/>
        <s v="upacoros"/>
        <s v="dangongo"/>
        <s v="fabrhern"/>
        <s v="naguirro"/>
        <s v="dacaldey"/>
        <s v="isracoro"/>
        <s v="zhoracro"/>
        <s v="alberlug"/>
        <s v="gascfdan"/>
        <s v="alfrerok"/>
        <s v="duesteba"/>
        <s v="adriauli"/>
        <s v="jomotaco"/>
        <s v="adonairk"/>
        <s v="aramosmo"/>
        <s v="karlpadr"/>
        <s v="guzmadaa"/>
        <s v="mendejoy"/>
        <s v="riveoyae"/>
        <s v="cperezha"/>
        <s v="perezrro"/>
        <s v="espejell"/>
        <s v="hernatle"/>
        <s v="monsarru"/>
        <s v="sergelor"/>
        <s v="maflorr"/>
        <s v="namorena"/>
        <s v="ljorgeto"/>
        <s v="ricrivab"/>
        <s v="tcontree"/>
        <s v="castjanr"/>
        <s v="paeramon"/>
        <s v="nalcanch"/>
        <s v="omhperez"/>
        <s v="caitzaya"/>
        <s v="matzquij"/>
        <s v="beceresm"/>
        <s v="raufjas"/>
        <s v="gusangui"/>
        <s v="ruizhmic"/>
        <s v="dmisaelp"/>
        <s v="ignachis"/>
        <s v="velpalej"/>
        <s v="orticorp"/>
        <s v="marmolve"/>
        <s v="mqjennif"/>
        <s v="cmartif"/>
        <s v="fantmar"/>
        <s v="vermauri"/>
        <s v="coloralu"/>
        <s v="tcruzvel"/>
        <s v="ndomindi"/>
        <s v="montoliy"/>
        <s v="hortluz"/>
        <s v="agriandl"/>
        <s v="hreyeisa"/>
        <s v="victonay"/>
        <s v="aguirrnj"/>
        <s v="sfloredw"/>
        <s v="sericrio"/>
        <s v="ldireyno"/>
        <s v="furielbe"/>
        <s v="egortega"/>
        <s v="floreivc"/>
        <s v="caldmjos"/>
        <s v="javplasc"/>
        <s v="valtsalv"/>
        <s v="almagarx"/>
        <s v="ivarayas"/>
        <s v="baezdiaw"/>
        <s v="efrmartw"/>
        <s v="ramonlco"/>
        <s v="angarcz"/>
        <s v="brojedas"/>
        <s v="iscerver"/>
        <s v="mauaguid"/>
        <s v="fdaniees"/>
        <s v="gaborada"/>
        <s v="zjorgedi"/>
        <s v="casqfern"/>
        <s v="moralriv"/>
        <s v="jesponcu"/>
        <s v="fjoseero"/>
        <s v="lirareyj"/>
        <s v="rlimarti"/>
        <s v="xedgabra"/>
        <s v="yhernalo"/>
        <s v="xlutrejo"/>
        <s v="lunaferz"/>
        <s v="galvali"/>
        <s v="monttlui"/>
        <s v="ramivchr"/>
        <s v="crurenda"/>
        <s v="arrwpabl"/>
        <s v="ehejuan"/>
        <s v="marcqgon"/>
        <s v="aidzariv"/>
        <s v="monzorod"/>
        <s v="hjuanpaq"/>
        <s v="vicxzuni"/>
        <s v="bhejose"/>
        <s v="neftalpa"/>
        <s v="laucruzc"/>
        <s v="ivanlfue"/>
        <s v="caudicar"/>
        <s v="davazquq"/>
        <s v="ismcpere"/>
        <s v="anperezk"/>
        <s v="casosaul"/>
        <s v="isafzuni"/>
        <s v="danibbar"/>
        <s v="heenriqv"/>
        <s v="gajosemr"/>
        <s v="ljackpac"/>
        <s v="tanirang"/>
        <s v="cihernaf"/>
        <s v="honojadm"/>
        <s v="aaronlra"/>
        <s v="vaziandr"/>
        <s v="sjimesau"/>
        <s v="caccarde"/>
        <s v="miafunes"/>
        <s v="samuhgut"/>
        <s v="cangmedi"/>
        <s v="nalesalm"/>
        <s v="gemandra"/>
        <s v="gguadia"/>
        <s v="esmecrey"/>
        <s v="eoaup"/>
        <s v="zusebast"/>
        <s v="pmarilun"/>
        <s v="dantonse"/>
        <s v="fatimci"/>
        <s v="torrmafe"/>
        <s v="lelvgarc"/>
        <s v="laoswaln"/>
        <s v="cjalcoce"/>
        <s v="sanmild"/>
        <s v="aladriav"/>
        <s v="franhjos"/>
        <s v="reymjosu"/>
        <s v="barbywlu"/>
        <s v="soledesq"/>
        <s v="mauperea"/>
        <s v="jafemedi"/>
        <s v="rodchrif"/>
        <s v="karlawsi"/>
        <s v="uveljose"/>
        <s v="urroscae"/>
        <s v="giogberm"/>
        <s v="wdianapo"/>
        <s v="ricblara"/>
        <s v="servelaj"/>
        <s v="jaslilyz"/>
        <s v="uroramir"/>
        <s v="afabianx"/>
        <s v="sdanieq"/>
        <s v="eisabmor"/>
        <s v="anacastf"/>
        <s v="vargaul"/>
        <s v="fpablmar"/>
        <s v="yaguicar"/>
        <s v="anaornev"/>
        <s v="sofiawlo"/>
        <s v="lindinoe"/>
        <s v="romejhon"/>
        <s v="guerialv"/>
        <s v="ricaqcor"/>
        <s v="alvqfern"/>
        <s v="omedesan"/>
        <s v="tkarlram"/>
        <s v="wedgaoje"/>
        <s v="voctavij"/>
        <s v="valtinsa"/>
        <s v="adfvilla"/>
        <s v="iangevaz"/>
        <s v="qperequi"/>
        <s v="edcastrs"/>
        <s v="herngang"/>
        <s v="naymoren"/>
        <s v="victokba"/>
        <s v="dmarbelm"/>
        <s v="luzmmarq"/>
        <s v="ecymauri"/>
        <s v="bermisrq"/>
        <s v="jaureyiv"/>
        <s v="musantib"/>
        <s v="xmenjare"/>
        <s v="legallek"/>
        <s v="aderikas"/>
        <s v="kgushern"/>
        <s v="villwkel"/>
        <s v="alhepaz"/>
        <s v="lmartive"/>
        <s v="cehramir"/>
        <s v="loredose"/>
        <s v="hperandy"/>
        <s v="yitzeare"/>
        <s v="velazalr"/>
        <s v="alhernk"/>
        <s v="cordoedt"/>
        <s v="ilaoblab"/>
        <s v="varacent"/>
        <s v="garcrodv"/>
        <s v="rodrisga"/>
        <s v="hiselara"/>
        <s v="veraaled"/>
        <s v="gonzmorw"/>
        <s v="ylutruji"/>
        <s v="uarandar"/>
        <s v="njosmack"/>
        <s v="rremilia"/>
        <s v="falexahi"/>
        <s v="roapolot"/>
        <s v="jflogonz"/>
        <s v="maryragu"/>
        <s v="hurtcisi"/>
        <s v="bmoremma"/>
        <s v="toledoev"/>
        <s v="crisgvil"/>
        <s v="jmadiana"/>
        <s v="rgonzand"/>
        <s v="camisusa"/>
        <s v="martcjes"/>
        <s v="jifjuanc"/>
        <s v="corteax"/>
        <s v="gifridae"/>
        <s v="jromefra"/>
        <s v="yahcollh"/>
        <s v="arredgre"/>
        <s v="silvcart"/>
        <s v="jgutierq"/>
        <s v="rodrnisa"/>
        <s v="atchibli"/>
        <s v="imontbar"/>
        <s v="sandceci"/>
        <s v="lozornio"/>
        <s v="jcuellka"/>
        <s v="fiorelor"/>
        <s v="ecarkari"/>
        <s v="erosvald"/>
        <s v="carmoher"/>
        <s v="jazvaldi"/>
        <s v="abetocor"/>
        <s v="ricobran"/>
        <s v="chicangj"/>
        <s v="tadeovel"/>
        <s v="chejserg"/>
        <s v="jbrensan"/>
        <s v="eanespi"/>
        <s v="cflorfer"/>
        <s v="cearandr"/>
        <s v="kroszuni"/>
        <s v="xmanricr"/>
        <s v="rherenri"/>
        <s v="ortizdui"/>
        <s v="veducast"/>
        <s v="meyville"/>
        <s v="peroberp"/>
        <s v="gapjosel"/>
        <s v="hcesarda"/>
        <s v="perlcobx"/>
        <s v="agkarenw"/>
        <s v="alanarmr"/>
        <s v="teradeni"/>
        <s v="ramsesua"/>
        <s v="uibarale"/>
        <s v="patrarau"/>
        <s v="clcenteu"/>
        <s v="gonzaoab"/>
        <s v="jalejaja"/>
        <s v="lgabrica"/>
        <s v="huerblan"/>
        <s v="abrahlma"/>
        <s v="quiropat"/>
        <s v="castilpw"/>
        <s v="ernsbrit"/>
        <s v="valadfri"/>
        <s v="jeurrutj"/>
        <s v="barrqnoe"/>
        <s v="patiguil"/>
        <s v="aghvirid"/>
        <s v="ggonzcar"/>
        <s v="antonhee"/>
        <s v="gasconab"/>
        <s v="valezlop"/>
        <s v="lanavera"/>
        <s v="montmedi"/>
        <s v="torluzaf"/>
        <s v="delhtorr"/>
        <s v="gusudiaz"/>
        <s v="nunezgog"/>
        <s v="geroagui"/>
        <s v="zaldaiol"/>
        <s v="lalbmora"/>
        <s v="ayocktan"/>
        <s v="maalmagn"/>
        <s v="wantgalv"/>
        <s v="moralhed"/>
        <s v="gamunoza"/>
        <s v="dchrflor"/>
        <s v="angdanii"/>
        <s v="garmanum"/>
        <s v="joshhev"/>
        <s v="abigmedy"/>
        <s v="saiibarr"/>
        <s v="samarrlu"/>
        <s v="valqsara"/>
        <s v="alvsrica"/>
        <s v="ngomezal"/>
        <s v="scastfer"/>
        <s v="enecasti"/>
        <s v="toraylen"/>
        <s v="manluisf"/>
        <s v="barajcla"/>
        <s v="xalatorr"/>
        <s v="andfalca"/>
        <s v="idavvarg"/>
        <s v="estatere"/>
        <s v="ljuananm"/>
        <m/>
        <s v="aguilgan" u="1"/>
        <s v="macisalb" u="1"/>
        <s v="jacieval" u="1"/>
        <s v="ubarcena" u="1"/>
        <s v="mayragog" u="1"/>
        <s v="gaqgutie" u="1"/>
        <s v="acruses" u="1"/>
        <s v="ekagonza" u="1"/>
        <s v="martivfe" u="1"/>
        <s v="marepana" u="1"/>
        <s v="xcamacca" u="1"/>
        <s v="jiannet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ez Sanchez, Elizabeth" refreshedDate="45252.303597453705" createdVersion="6" refreshedVersion="6" minRefreshableVersion="3" recordCount="4612" xr:uid="{4869F271-F2FE-4CDF-8569-2FEB5CBD5F0E}">
  <cacheSource type="worksheet">
    <worksheetSource ref="A1:O5961" sheet="WHS HOURS"/>
  </cacheSource>
  <cacheFields count="15">
    <cacheField name="Day" numFmtId="0">
      <sharedItems containsDate="1" containsBlank="1" containsMixedTypes="1" minDate="2023-01-02T00:00:00" maxDate="2023-11-22T00:00:00" count="327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s v="  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m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s v="nV"/>
        <d v="2023-11-19T00:00:00"/>
        <d v="2023-11-20T00:00:00"/>
        <d v="2023-11-21T00:00:00"/>
      </sharedItems>
    </cacheField>
    <cacheField name="Week" numFmtId="0">
      <sharedItems containsString="0" containsBlank="1" containsNumber="1" containsInteger="1" minValue="1" maxValue="47" count="4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m/>
      </sharedItems>
    </cacheField>
    <cacheField name="Process Name" numFmtId="0">
      <sharedItems containsBlank="1"/>
    </cacheField>
    <cacheField name="Function Name" numFmtId="0">
      <sharedItems containsBlank="1"/>
    </cacheField>
    <cacheField name="Employee Type" numFmtId="0">
      <sharedItems containsBlank="1"/>
    </cacheField>
    <cacheField name="Employee Id" numFmtId="0">
      <sharedItems containsString="0" containsBlank="1" containsNumber="1" containsInteger="1" minValue="103260242" maxValue="202538455"/>
    </cacheField>
    <cacheField name="Name" numFmtId="0">
      <sharedItems containsBlank="1"/>
    </cacheField>
    <cacheField name="Manager" numFmtId="0">
      <sharedItems containsBlank="1"/>
    </cacheField>
    <cacheField name="Paid Hours-Small(function,employee)" numFmtId="0">
      <sharedItems containsString="0" containsBlank="1" containsNumber="1" containsInteger="1" minValue="0" maxValue="0"/>
    </cacheField>
    <cacheField name="Paid Hours-Medium(function,employee)" numFmtId="0">
      <sharedItems containsString="0" containsBlank="1" containsNumber="1" containsInteger="1" minValue="0" maxValue="0"/>
    </cacheField>
    <cacheField name="Paid Hours-Large(function,employee)" numFmtId="0">
      <sharedItems containsString="0" containsBlank="1" containsNumber="1" containsInteger="1" minValue="0" maxValue="0"/>
    </cacheField>
    <cacheField name="Paid Hours-HeavyBulky(function,employee)" numFmtId="0">
      <sharedItems containsString="0" containsBlank="1" containsNumber="1" containsInteger="1" minValue="0" maxValue="0"/>
    </cacheField>
    <cacheField name="Paid Hours-Total(function,employee)" numFmtId="0">
      <sharedItems containsBlank="1" containsMixedTypes="1" containsNumber="1" minValue="0" maxValue="24"/>
    </cacheField>
    <cacheField name="Status" numFmtId="0">
      <sharedItems containsBlank="1"/>
    </cacheField>
    <cacheField name="Lo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2">
  <r>
    <d v="2023-01-02T00:00:00"/>
    <x v="0"/>
    <s v="Admin/HR/IT"/>
    <s v="AMCARE NonOcc In"/>
    <s v="AMZN"/>
    <n v="112981009"/>
    <s v="Ceja Sanchez,Jonathan"/>
    <s v="Ledezma,Fer"/>
    <n v="0"/>
    <n v="0"/>
    <n v="0"/>
    <n v="0"/>
    <n v="1.08"/>
    <e v="#N/A"/>
    <x v="0"/>
  </r>
  <r>
    <d v="2023-01-02T00:00:00"/>
    <x v="0"/>
    <s v="Admin/HR/IT"/>
    <s v="AMCARE NonOcc In"/>
    <s v="AMZN"/>
    <n v="112950797"/>
    <s v="Serna,Denisse"/>
    <s v="Madrid Molina,Ramon"/>
    <n v="0"/>
    <n v="0"/>
    <n v="0"/>
    <n v="0"/>
    <n v="0.32"/>
    <s v="DA-X0700"/>
    <x v="1"/>
  </r>
  <r>
    <d v="2023-01-02T00:00:00"/>
    <x v="0"/>
    <s v="Admin/HR/IT"/>
    <s v="AMCARE NonOcc In"/>
    <s v="AMZN"/>
    <n v="112912210"/>
    <s v="Fuentes,Jacob"/>
    <s v="Madrid Molina,Ramon"/>
    <n v="0"/>
    <n v="0"/>
    <n v="0"/>
    <n v="0"/>
    <n v="0.03"/>
    <e v="#N/A"/>
    <x v="0"/>
  </r>
  <r>
    <d v="2023-01-02T00:00:00"/>
    <x v="0"/>
    <s v="Admin/HR/IT"/>
    <s v="AMCARE NonOcc In"/>
    <s v="AMZN"/>
    <n v="113014195"/>
    <s v="Gomez Gutierrez,Vero"/>
    <s v="Madrid Molina,Ramon"/>
    <n v="0"/>
    <n v="0"/>
    <n v="0"/>
    <n v="0"/>
    <n v="0.13"/>
    <e v="#N/A"/>
    <x v="0"/>
  </r>
  <r>
    <d v="2023-01-02T00:00:00"/>
    <x v="0"/>
    <s v="Admin/HR/IT"/>
    <s v="AMCARE NonOcc In"/>
    <s v="TEMP"/>
    <n v="200502532"/>
    <s v="Zuniga Saucedo,Estefania"/>
    <s v="Madrid Molina,Ramon"/>
    <n v="0"/>
    <n v="0"/>
    <n v="0"/>
    <n v="0"/>
    <n v="0.22"/>
    <e v="#N/A"/>
    <x v="0"/>
  </r>
  <r>
    <d v="2023-01-02T00:00:00"/>
    <x v="0"/>
    <s v="Admin/HR/IT"/>
    <s v="AMCARE NonOcc In"/>
    <s v="AMZN"/>
    <n v="112980844"/>
    <s v="Padilla,Samantha"/>
    <s v="Hernandez,Nataly"/>
    <n v="0"/>
    <n v="0"/>
    <n v="0"/>
    <n v="0"/>
    <n v="0.36"/>
    <s v="DA-X0700"/>
    <x v="2"/>
  </r>
  <r>
    <d v="2023-01-02T00:00:00"/>
    <x v="0"/>
    <s v="Admin/HR/IT"/>
    <s v="AMCARE NonOcc In"/>
    <s v="AMZN"/>
    <n v="112912663"/>
    <s v="Segura,Lucero"/>
    <s v="Porcar Guri,Albert"/>
    <n v="0"/>
    <n v="0"/>
    <n v="0"/>
    <n v="0"/>
    <n v="0.16"/>
    <e v="#N/A"/>
    <x v="0"/>
  </r>
  <r>
    <d v="2023-01-02T00:00:00"/>
    <x v="0"/>
    <s v="Admin/HR/IT"/>
    <s v="AMCARE NonOcc In"/>
    <s v="TEMP"/>
    <n v="200564823"/>
    <s v="Garcia Infante,Sergio"/>
    <s v="Olmos,Carmen"/>
    <n v="0"/>
    <n v="0"/>
    <n v="0"/>
    <n v="0"/>
    <n v="0.88"/>
    <e v="#N/A"/>
    <x v="0"/>
  </r>
  <r>
    <d v="2023-01-03T00:00:00"/>
    <x v="0"/>
    <s v="Admin/HR/IT"/>
    <s v="AMCARE NonOcc In"/>
    <s v="TEMP"/>
    <n v="200574329"/>
    <s v="Llamas,Jonathan"/>
    <s v="Gomez Aguado,Jorge"/>
    <n v="0"/>
    <n v="0"/>
    <n v="0"/>
    <n v="0"/>
    <n v="0.25"/>
    <e v="#N/A"/>
    <x v="0"/>
  </r>
  <r>
    <d v="2023-01-03T00:00:00"/>
    <x v="0"/>
    <s v="Admin/HR/IT"/>
    <s v="AMCARE NonOcc In"/>
    <s v="AMZN"/>
    <n v="112912008"/>
    <s v="Espinosa,Consuelo"/>
    <s v="Rosas Negrete,Sebastian"/>
    <n v="0"/>
    <n v="0"/>
    <n v="0"/>
    <n v="0"/>
    <n v="0.13"/>
    <e v="#N/A"/>
    <x v="0"/>
  </r>
  <r>
    <d v="2023-01-03T00:00:00"/>
    <x v="0"/>
    <s v="Admin/HR/IT"/>
    <s v="AMCARE NonOcc In"/>
    <s v="AMZN"/>
    <n v="113014472"/>
    <s v="Ramirez Munoz,Alfredo"/>
    <s v="Corona Arriaga,Fernando"/>
    <n v="0"/>
    <n v="0"/>
    <n v="0"/>
    <n v="0"/>
    <n v="1.67"/>
    <e v="#N/A"/>
    <x v="0"/>
  </r>
  <r>
    <d v="2023-01-03T00:00:00"/>
    <x v="0"/>
    <s v="Admin/HR/IT"/>
    <s v="AMCARE NonOcc In"/>
    <s v="TEMP"/>
    <n v="200589316"/>
    <s v="Torres Zuniga,Daniel"/>
    <s v="Corona Arriaga,Fernando"/>
    <n v="0"/>
    <n v="0"/>
    <n v="0"/>
    <n v="0"/>
    <n v="0.11"/>
    <e v="#N/A"/>
    <x v="0"/>
  </r>
  <r>
    <d v="2023-01-03T00:00:00"/>
    <x v="0"/>
    <s v="Admin/HR/IT"/>
    <s v="AMCARE NonOcc In"/>
    <s v="AMZN"/>
    <n v="113014045"/>
    <s v="Jaime Perez,Ana"/>
    <s v="Gomez Aguado,Jorge"/>
    <n v="0"/>
    <n v="0"/>
    <n v="0"/>
    <n v="0"/>
    <n v="0.12"/>
    <e v="#N/A"/>
    <x v="0"/>
  </r>
  <r>
    <d v="2023-01-03T00:00:00"/>
    <x v="0"/>
    <s v="Admin/HR/IT"/>
    <s v="AMCARE NonOcc In"/>
    <s v="AMZN"/>
    <n v="112920666"/>
    <s v="Rocha,Jose"/>
    <s v="Garcia Espejel,Brenda Victoria"/>
    <n v="0"/>
    <n v="0"/>
    <n v="0"/>
    <n v="0"/>
    <n v="0.14000000000000001"/>
    <s v="D5-X0700"/>
    <x v="3"/>
  </r>
  <r>
    <d v="2023-01-03T00:00:00"/>
    <x v="0"/>
    <s v="Admin/HR/IT"/>
    <s v="AMCARE NonOcc In"/>
    <s v="AMZN"/>
    <n v="113014011"/>
    <s v="Robledo Barrientos,Logan"/>
    <s v="Robledo Ugarte,Alejandro"/>
    <n v="0"/>
    <n v="0"/>
    <n v="0"/>
    <n v="0"/>
    <n v="0.92"/>
    <e v="#N/A"/>
    <x v="0"/>
  </r>
  <r>
    <d v="2023-01-03T00:00:00"/>
    <x v="0"/>
    <s v="Admin/HR/IT"/>
    <s v="AMCARE NonOcc In"/>
    <s v="AMZN"/>
    <n v="113101453"/>
    <s v="Isaac,Geovanna"/>
    <s v="Gomez Aguado,Jorge"/>
    <n v="0"/>
    <n v="0"/>
    <n v="0"/>
    <n v="0"/>
    <n v="0.14000000000000001"/>
    <e v="#N/A"/>
    <x v="4"/>
  </r>
  <r>
    <d v="2023-01-03T00:00:00"/>
    <x v="0"/>
    <s v="Admin/HR/IT"/>
    <s v="AMCARE NonOcc In"/>
    <s v="AMZN"/>
    <n v="113018997"/>
    <s v="Rodriguez Ponce,Gaby"/>
    <s v="Ledezma,Fer"/>
    <n v="0"/>
    <n v="0"/>
    <n v="0"/>
    <n v="0"/>
    <n v="1.62"/>
    <e v="#N/A"/>
    <x v="0"/>
  </r>
  <r>
    <d v="2023-01-03T00:00:00"/>
    <x v="0"/>
    <s v="Admin/HR/IT"/>
    <s v="AMCARE NonOcc In"/>
    <s v="AMZN"/>
    <n v="112980844"/>
    <s v="Padilla,Samantha"/>
    <s v="Hernandez,Nataly"/>
    <n v="0"/>
    <n v="0"/>
    <n v="0"/>
    <n v="0"/>
    <n v="0.35"/>
    <s v="DA-X0700"/>
    <x v="2"/>
  </r>
  <r>
    <d v="2023-01-03T00:00:00"/>
    <x v="0"/>
    <s v="Admin/HR/IT"/>
    <s v="AMCARE NonOcc In"/>
    <s v="AMZN"/>
    <n v="112980862"/>
    <s v="Tecla,Alejandro"/>
    <s v="Robledo Ugarte,Alejandro"/>
    <n v="0"/>
    <n v="0"/>
    <n v="0"/>
    <n v="0"/>
    <n v="0.17"/>
    <e v="#N/A"/>
    <x v="0"/>
  </r>
  <r>
    <d v="2023-01-03T00:00:00"/>
    <x v="0"/>
    <s v="Admin/HR/IT"/>
    <s v="AMCARE NonOcc In"/>
    <s v="AMZN"/>
    <n v="112912752"/>
    <s v="Valderrama Gomez,Leslie"/>
    <s v="Hernandez,Nataly"/>
    <n v="0"/>
    <n v="0"/>
    <n v="0"/>
    <n v="0"/>
    <n v="0.28999999999999998"/>
    <s v="NF-X1900"/>
    <x v="5"/>
  </r>
  <r>
    <d v="2023-01-03T00:00:00"/>
    <x v="0"/>
    <s v="Admin/HR/IT"/>
    <s v="AMCARE NonOcc In"/>
    <s v="TEMP"/>
    <n v="200620341"/>
    <s v="Camacho Ramirez,Carlos"/>
    <s v="Madrid Molina,Ramon"/>
    <n v="0"/>
    <n v="0"/>
    <n v="0"/>
    <n v="0"/>
    <n v="0.36"/>
    <e v="#N/A"/>
    <x v="0"/>
  </r>
  <r>
    <d v="2023-01-03T00:00:00"/>
    <x v="0"/>
    <s v="Admin/HR/IT"/>
    <s v="AMCARE NonOcc In"/>
    <s v="AMZN"/>
    <n v="200404250"/>
    <s v="Hurtado,Caty"/>
    <s v="Robledo Ugarte,Alejandro"/>
    <n v="0"/>
    <n v="0"/>
    <n v="0"/>
    <n v="0"/>
    <n v="0"/>
    <e v="#N/A"/>
    <x v="6"/>
  </r>
  <r>
    <d v="2023-01-04T00:00:00"/>
    <x v="0"/>
    <s v="Admin/HR/IT"/>
    <s v="AMCARE NonOcc In"/>
    <s v="AMZN"/>
    <n v="112971953"/>
    <s v="Aguirre Palomino,Ana"/>
    <s v="Lopez,Alexa"/>
    <n v="0"/>
    <n v="0"/>
    <n v="0"/>
    <n v="0"/>
    <n v="0.32"/>
    <s v="DB-X0700"/>
    <x v="7"/>
  </r>
  <r>
    <d v="2023-01-04T00:00:00"/>
    <x v="0"/>
    <s v="Admin/HR/IT"/>
    <s v="AMCARE NonOcc In"/>
    <s v="AMZN"/>
    <n v="112971953"/>
    <s v="Aguirre Palomino,Ana"/>
    <s v="Lopez,Alexa"/>
    <n v="0"/>
    <n v="0"/>
    <n v="0"/>
    <n v="0"/>
    <n v="0.32"/>
    <s v="DB-X0700"/>
    <x v="7"/>
  </r>
  <r>
    <d v="2023-01-04T00:00:00"/>
    <x v="0"/>
    <s v="Admin/HR/IT"/>
    <s v="AMCARE NonOcc In"/>
    <s v="TEMP"/>
    <n v="200513583"/>
    <s v="Herrada,Carlos"/>
    <s v="Olmos,Carmen"/>
    <n v="0"/>
    <n v="0"/>
    <n v="0"/>
    <n v="0"/>
    <n v="0.32"/>
    <e v="#N/A"/>
    <x v="8"/>
  </r>
  <r>
    <d v="2023-01-04T00:00:00"/>
    <x v="0"/>
    <s v="Admin/HR/IT"/>
    <s v="AMCARE NonOcc In"/>
    <s v="AMZN"/>
    <n v="112912008"/>
    <s v="Espinosa,Consuelo"/>
    <s v="Rosas Negrete,Sebastian"/>
    <n v="0"/>
    <n v="0"/>
    <n v="0"/>
    <n v="0"/>
    <n v="0.14000000000000001"/>
    <e v="#N/A"/>
    <x v="0"/>
  </r>
  <r>
    <d v="2023-01-04T00:00:00"/>
    <x v="0"/>
    <s v="Admin/HR/IT"/>
    <s v="AMCARE NonOcc In"/>
    <s v="AMZN"/>
    <n v="113014060"/>
    <s v="Diaz Sandoval,Geovanni"/>
    <s v="Gomez Aguado,Jorge"/>
    <n v="0"/>
    <n v="0"/>
    <n v="0"/>
    <n v="0"/>
    <n v="0.34"/>
    <e v="#N/A"/>
    <x v="0"/>
  </r>
  <r>
    <d v="2023-01-04T00:00:00"/>
    <x v="0"/>
    <s v="Admin/HR/IT"/>
    <s v="AMCARE NonOcc In"/>
    <s v="TEMP"/>
    <n v="200514471"/>
    <s v="MARTNEZ,EMILIANO"/>
    <s v="Gomez Aguado,Jorge"/>
    <n v="0"/>
    <n v="0"/>
    <n v="0"/>
    <n v="0"/>
    <n v="0.42"/>
    <e v="#N/A"/>
    <x v="0"/>
  </r>
  <r>
    <d v="2023-01-04T00:00:00"/>
    <x v="0"/>
    <s v="Admin/HR/IT"/>
    <s v="AMCARE NonOcc In"/>
    <s v="AMZN"/>
    <n v="113014081"/>
    <s v="Frausto,Genesis"/>
    <s v="Gomez,Abinadab"/>
    <n v="0"/>
    <n v="0"/>
    <n v="0"/>
    <n v="0"/>
    <n v="0.25"/>
    <e v="#N/A"/>
    <x v="9"/>
  </r>
  <r>
    <d v="2023-01-04T00:00:00"/>
    <x v="0"/>
    <s v="Admin/HR/IT"/>
    <s v="AMCARE NonOcc In"/>
    <s v="AMZN"/>
    <n v="113003971"/>
    <s v="Garcia  Ramirez,Gabriel"/>
    <s v="Piedra,Valentina"/>
    <n v="0"/>
    <n v="0"/>
    <n v="0"/>
    <n v="0"/>
    <n v="0.2"/>
    <e v="#N/A"/>
    <x v="10"/>
  </r>
  <r>
    <d v="2023-01-04T00:00:00"/>
    <x v="0"/>
    <s v="Admin/HR/IT"/>
    <s v="AMCARE NonOcc In"/>
    <s v="AMZN"/>
    <n v="112912210"/>
    <s v="Fuentes,Jacob"/>
    <s v="Madrid Molina,Ramon"/>
    <n v="0"/>
    <n v="0"/>
    <n v="0"/>
    <n v="0"/>
    <n v="0.31"/>
    <e v="#N/A"/>
    <x v="0"/>
  </r>
  <r>
    <d v="2023-01-04T00:00:00"/>
    <x v="0"/>
    <s v="Admin/HR/IT"/>
    <s v="AMCARE NonOcc In"/>
    <s v="AMZN"/>
    <n v="113014113"/>
    <s v="Sanchez Villegas,Benjamin"/>
    <s v="Gomez,Abinadab"/>
    <n v="0"/>
    <n v="0"/>
    <n v="0"/>
    <n v="0"/>
    <n v="0.27"/>
    <e v="#N/A"/>
    <x v="0"/>
  </r>
  <r>
    <d v="2023-01-04T00:00:00"/>
    <x v="0"/>
    <s v="Admin/HR/IT"/>
    <s v="AMCARE NonOcc In"/>
    <s v="AMZN"/>
    <n v="112981061"/>
    <s v="Olguin,Claudia"/>
    <s v="Robledo Ugarte,Alejandro"/>
    <n v="0"/>
    <n v="0"/>
    <n v="0"/>
    <n v="0"/>
    <n v="0.15"/>
    <s v="DA-X0700"/>
    <x v="11"/>
  </r>
  <r>
    <d v="2023-01-04T00:00:00"/>
    <x v="0"/>
    <s v="Admin/HR/IT"/>
    <s v="AMCARE NonOcc In"/>
    <s v="AMZN"/>
    <n v="112981013"/>
    <s v="Lopez Neri,Norma"/>
    <s v="Ledezma,Fer"/>
    <n v="0"/>
    <n v="0"/>
    <n v="0"/>
    <n v="0"/>
    <n v="0.94"/>
    <s v="DA-X0700"/>
    <x v="12"/>
  </r>
  <r>
    <d v="2023-01-04T00:00:00"/>
    <x v="0"/>
    <s v="Admin/HR/IT"/>
    <s v="AMCARE NonOcc In"/>
    <s v="AMZN"/>
    <n v="113014178"/>
    <s v="Olvera Munoz,Isabel"/>
    <s v="Gomez,Abinadab"/>
    <n v="0"/>
    <n v="0"/>
    <n v="0"/>
    <n v="0"/>
    <n v="0.13"/>
    <e v="#N/A"/>
    <x v="0"/>
  </r>
  <r>
    <d v="2023-01-04T00:00:00"/>
    <x v="0"/>
    <s v="Admin/HR/IT"/>
    <s v="AMCARE NonOcc In"/>
    <s v="AMZN"/>
    <n v="103427877"/>
    <s v="Alanis Hernandez,Patricia"/>
    <s v="Pizana,Diego"/>
    <n v="0"/>
    <n v="0"/>
    <n v="0"/>
    <n v="0"/>
    <n v="0.83"/>
    <e v="#N/A"/>
    <x v="0"/>
  </r>
  <r>
    <d v="2023-01-04T00:00:00"/>
    <x v="0"/>
    <s v="Admin/HR/IT"/>
    <s v="AMCARE NonOcc In"/>
    <s v="TEMP"/>
    <n v="200536194"/>
    <s v="Delgado,Bryan"/>
    <s v="Olmos,Carmen"/>
    <n v="0"/>
    <n v="0"/>
    <n v="0"/>
    <n v="0"/>
    <n v="0.95"/>
    <e v="#N/A"/>
    <x v="0"/>
  </r>
  <r>
    <d v="2023-01-04T00:00:00"/>
    <x v="0"/>
    <s v="Admin/HR/IT"/>
    <s v="AMCARE NonOcc In"/>
    <s v="AMZN"/>
    <n v="113020655"/>
    <s v="Salazar Segura,Raul"/>
    <s v="Gomez,Abinadab"/>
    <n v="0"/>
    <n v="0"/>
    <n v="0"/>
    <n v="0"/>
    <n v="1.49"/>
    <e v="#N/A"/>
    <x v="0"/>
  </r>
  <r>
    <d v="2023-01-04T00:00:00"/>
    <x v="0"/>
    <s v="Admin/HR/IT"/>
    <s v="AMCARE NonOcc In"/>
    <s v="AMZN"/>
    <n v="112950784"/>
    <s v="Rojas,Samuel"/>
    <s v="Gomez Aguado,Jorge"/>
    <n v="0"/>
    <n v="0"/>
    <n v="0"/>
    <n v="0"/>
    <n v="0.15"/>
    <s v="NF-X1900"/>
    <x v="13"/>
  </r>
  <r>
    <d v="2023-01-04T00:00:00"/>
    <x v="0"/>
    <s v="Admin/HR/IT"/>
    <s v="AMCARE NonOcc In"/>
    <s v="AMZN"/>
    <n v="112980862"/>
    <s v="Tecla,Alejandro"/>
    <s v="Robledo Ugarte,Alejandro"/>
    <n v="0"/>
    <n v="0"/>
    <n v="0"/>
    <n v="0"/>
    <n v="0.12"/>
    <e v="#N/A"/>
    <x v="0"/>
  </r>
  <r>
    <d v="2023-01-04T00:00:00"/>
    <x v="0"/>
    <s v="Admin/HR/IT"/>
    <s v="AMCARE NonOcc In"/>
    <s v="AMZN"/>
    <n v="112912752"/>
    <s v="Valderrama Gomez,Leslie"/>
    <s v="Hernandez,Nataly"/>
    <n v="0"/>
    <n v="0"/>
    <n v="0"/>
    <n v="0"/>
    <n v="0.21"/>
    <s v="NF-X1900"/>
    <x v="5"/>
  </r>
  <r>
    <d v="2023-01-04T00:00:00"/>
    <x v="0"/>
    <s v="Admin/HR/IT"/>
    <s v="AMCARE NonOcc In"/>
    <s v="AMZN"/>
    <n v="112912163"/>
    <s v="Murillo,Alejandro"/>
    <s v="Gomez Aguado,Jorge"/>
    <n v="0"/>
    <n v="0"/>
    <n v="0"/>
    <n v="0"/>
    <n v="0.21"/>
    <e v="#N/A"/>
    <x v="0"/>
  </r>
  <r>
    <d v="2023-01-04T00:00:00"/>
    <x v="0"/>
    <s v="Admin/HR/IT"/>
    <s v="AMCARE NonOcc In"/>
    <s v="AMZN"/>
    <n v="200404250"/>
    <s v="Hurtado,Caty"/>
    <s v="Robledo Ugarte,Alejandro"/>
    <n v="0"/>
    <n v="0"/>
    <n v="0"/>
    <n v="0"/>
    <n v="0.49"/>
    <e v="#N/A"/>
    <x v="6"/>
  </r>
  <r>
    <d v="2023-01-04T00:00:00"/>
    <x v="0"/>
    <s v="Admin/HR/IT"/>
    <s v="AMCARE NonOcc In"/>
    <s v="AMZN"/>
    <n v="112912666"/>
    <s v="Balderas Diaz,Issa"/>
    <s v="Porcar Guri,Albert"/>
    <n v="0"/>
    <n v="0"/>
    <n v="0"/>
    <n v="0"/>
    <n v="0.4"/>
    <e v="#N/A"/>
    <x v="0"/>
  </r>
  <r>
    <d v="2023-01-04T00:00:00"/>
    <x v="0"/>
    <s v="Admin/HR/IT"/>
    <s v="AMCARE NonOcc In"/>
    <s v="AMZN"/>
    <n v="112912509"/>
    <s v="Gutierrez Portillo,Joceline"/>
    <s v="Porcar Guri,Albert"/>
    <n v="0"/>
    <n v="0"/>
    <n v="0"/>
    <n v="0"/>
    <n v="0.64"/>
    <e v="#N/A"/>
    <x v="0"/>
  </r>
  <r>
    <d v="2023-01-04T00:00:00"/>
    <x v="0"/>
    <s v="Admin/HR/IT"/>
    <s v="AMCARE NonOcc In"/>
    <s v="AMZN"/>
    <n v="112984097"/>
    <s v="Aguilera,Yaremi"/>
    <s v="Gomez Aguado,Jorge"/>
    <n v="0"/>
    <n v="0"/>
    <n v="0"/>
    <n v="0"/>
    <n v="0.08"/>
    <e v="#N/A"/>
    <x v="0"/>
  </r>
  <r>
    <d v="2023-01-04T00:00:00"/>
    <x v="0"/>
    <s v="Admin/HR/IT"/>
    <s v="AMCARE NonOcc In"/>
    <s v="AMZN"/>
    <n v="112984097"/>
    <s v="Aguilera,Yaremi"/>
    <s v="Gomez Aguado,Jorge"/>
    <n v="0"/>
    <n v="0"/>
    <n v="0"/>
    <n v="0"/>
    <n v="0.1"/>
    <e v="#N/A"/>
    <x v="0"/>
  </r>
  <r>
    <d v="2023-01-04T00:00:00"/>
    <x v="0"/>
    <s v="Admin/HR/IT"/>
    <s v="AMCARE NonOcc In"/>
    <s v="TEMP"/>
    <n v="200509428"/>
    <s v="Guevara Ramirez,Zayra Lorena"/>
    <s v="Gomez Aguado,Jorge"/>
    <n v="0"/>
    <n v="0"/>
    <n v="0"/>
    <n v="0"/>
    <n v="0.62"/>
    <e v="#N/A"/>
    <x v="0"/>
  </r>
  <r>
    <d v="2023-01-05T00:00:00"/>
    <x v="0"/>
    <s v="Admin/HR/IT"/>
    <s v="AMCARE NonOcc In"/>
    <s v="AMZN"/>
    <n v="112973049"/>
    <s v="Tavares Parra,Ely"/>
    <s v="Piedra,Valentina"/>
    <n v="0"/>
    <n v="0"/>
    <n v="0"/>
    <n v="0"/>
    <n v="1.37"/>
    <s v="DB-X0700"/>
    <x v="14"/>
  </r>
  <r>
    <d v="2023-01-05T00:00:00"/>
    <x v="0"/>
    <s v="Admin/HR/IT"/>
    <s v="AMCARE NonOcc In"/>
    <s v="AMZN"/>
    <n v="112912666"/>
    <s v="Balderas Diaz,Issa"/>
    <s v="Porcar Guri,Albert"/>
    <n v="0"/>
    <n v="0"/>
    <n v="0"/>
    <n v="0"/>
    <n v="0.4"/>
    <e v="#N/A"/>
    <x v="0"/>
  </r>
  <r>
    <d v="2023-01-05T00:00:00"/>
    <x v="0"/>
    <s v="Admin/HR/IT"/>
    <s v="AMCARE NonOcc In"/>
    <s v="TEMP"/>
    <n v="200614224"/>
    <s v="Cruz Hernandez,Cris"/>
    <s v="Romero Sanchez,Gustavo Gabriel"/>
    <n v="0"/>
    <n v="0"/>
    <n v="0"/>
    <n v="0"/>
    <n v="0.13"/>
    <e v="#N/A"/>
    <x v="0"/>
  </r>
  <r>
    <d v="2023-01-05T00:00:00"/>
    <x v="0"/>
    <s v="Admin/HR/IT"/>
    <s v="AMCARE NonOcc In"/>
    <s v="AMZN"/>
    <n v="112972524"/>
    <s v="Santibanez Garcia,Luisa"/>
    <s v="Lopez,Alexa"/>
    <n v="0"/>
    <n v="0"/>
    <n v="0"/>
    <n v="0"/>
    <n v="0.36"/>
    <s v="DB-X0700"/>
    <x v="15"/>
  </r>
  <r>
    <d v="2023-01-05T00:00:00"/>
    <x v="0"/>
    <s v="Admin/HR/IT"/>
    <s v="AMCARE NonOcc In"/>
    <s v="AMZN"/>
    <n v="113014006"/>
    <s v="Reyes Andrade,Diego"/>
    <s v="Gomez Aguado,Jorge"/>
    <n v="0"/>
    <n v="0"/>
    <n v="0"/>
    <n v="0"/>
    <n v="0.25"/>
    <e v="#N/A"/>
    <x v="0"/>
  </r>
  <r>
    <d v="2023-01-05T00:00:00"/>
    <x v="0"/>
    <s v="Admin/HR/IT"/>
    <s v="AMCARE NonOcc In"/>
    <s v="AMZN"/>
    <n v="112984442"/>
    <s v="Garcia,Mauricio Antonio De la lama"/>
    <s v="Piedra,Valentina"/>
    <n v="0"/>
    <n v="0"/>
    <n v="0"/>
    <n v="0"/>
    <n v="0.56999999999999995"/>
    <e v="#N/A"/>
    <x v="0"/>
  </r>
  <r>
    <d v="2023-01-05T00:00:00"/>
    <x v="0"/>
    <s v="Admin/HR/IT"/>
    <s v="AMCARE NonOcc In"/>
    <s v="AMZN"/>
    <n v="113014452"/>
    <s v="Gutierrez,Geisel"/>
    <s v="Gomez Aguado,Jorge"/>
    <n v="0"/>
    <n v="0"/>
    <n v="0"/>
    <n v="0"/>
    <n v="0.49"/>
    <e v="#N/A"/>
    <x v="0"/>
  </r>
  <r>
    <d v="2023-01-05T00:00:00"/>
    <x v="0"/>
    <s v="Admin/HR/IT"/>
    <s v="AMCARE NonOcc In"/>
    <s v="AMZN"/>
    <n v="112971965"/>
    <s v="Hernandez,Andrea"/>
    <s v="Olmos,Carmen"/>
    <n v="0"/>
    <n v="0"/>
    <n v="0"/>
    <n v="0"/>
    <n v="0.22"/>
    <e v="#N/A"/>
    <x v="0"/>
  </r>
  <r>
    <d v="2023-01-05T00:00:00"/>
    <x v="0"/>
    <s v="Admin/HR/IT"/>
    <s v="AMCARE NonOcc In"/>
    <s v="AMZN"/>
    <n v="112920666"/>
    <s v="Rocha,Jose"/>
    <s v="Garcia Espejel,Brenda Victoria"/>
    <n v="0"/>
    <n v="0"/>
    <n v="0"/>
    <n v="0"/>
    <n v="0.12"/>
    <s v="D5-X0700"/>
    <x v="3"/>
  </r>
  <r>
    <d v="2023-01-05T00:00:00"/>
    <x v="0"/>
    <s v="Admin/HR/IT"/>
    <s v="AMCARE NonOcc In"/>
    <s v="AMZN"/>
    <n v="112912675"/>
    <s v="Alejandri Villagomez,Alejandra"/>
    <s v="Gutierrez,Hector"/>
    <n v="0"/>
    <n v="0"/>
    <n v="0"/>
    <n v="0"/>
    <n v="0.81"/>
    <e v="#N/A"/>
    <x v="0"/>
  </r>
  <r>
    <d v="2023-01-05T00:00:00"/>
    <x v="0"/>
    <s v="Admin/HR/IT"/>
    <s v="AMCARE NonOcc In"/>
    <s v="AMZN"/>
    <n v="112971972"/>
    <s v="Rojas,Luis"/>
    <s v="Garcia Espejel,Brenda Victoria"/>
    <n v="0"/>
    <n v="0"/>
    <n v="0"/>
    <n v="0"/>
    <n v="0.85"/>
    <s v="D5-X0700"/>
    <x v="16"/>
  </r>
  <r>
    <d v="2023-01-05T00:00:00"/>
    <x v="0"/>
    <s v="Admin/HR/IT"/>
    <s v="AMCARE NonOcc In"/>
    <s v="TEMP"/>
    <n v="200514885"/>
    <s v="Sanchez Garcia,Adriana"/>
    <s v="Gomez Aguado,Jorge"/>
    <n v="0"/>
    <n v="0"/>
    <n v="0"/>
    <n v="0"/>
    <n v="0.74"/>
    <e v="#N/A"/>
    <x v="0"/>
  </r>
  <r>
    <d v="2023-01-05T00:00:00"/>
    <x v="0"/>
    <s v="Admin/HR/IT"/>
    <s v="AMCARE NonOcc In"/>
    <s v="AMZN"/>
    <n v="112972791"/>
    <s v="Jasso Sanchez,Montserrat"/>
    <s v="Garcia Espejel,Brenda Victoria"/>
    <n v="0"/>
    <n v="0"/>
    <n v="0"/>
    <n v="0"/>
    <n v="0.14000000000000001"/>
    <e v="#N/A"/>
    <x v="0"/>
  </r>
  <r>
    <d v="2023-01-05T00:00:00"/>
    <x v="0"/>
    <s v="Admin/HR/IT"/>
    <s v="AMCARE NonOcc In"/>
    <s v="AMZN"/>
    <n v="112912163"/>
    <s v="Murillo,Alejandro"/>
    <s v="Gomez Aguado,Jorge"/>
    <n v="0"/>
    <n v="0"/>
    <n v="0"/>
    <n v="0"/>
    <n v="0.21"/>
    <e v="#N/A"/>
    <x v="0"/>
  </r>
  <r>
    <d v="2023-01-05T00:00:00"/>
    <x v="0"/>
    <s v="Admin/HR/IT"/>
    <s v="AMCARE NonOcc In"/>
    <s v="AMZN"/>
    <n v="113020463"/>
    <s v="Valtierra,Alejandra"/>
    <s v="Gomez,Abinadab"/>
    <n v="0"/>
    <n v="0"/>
    <n v="0"/>
    <n v="0"/>
    <n v="0.27"/>
    <e v="#N/A"/>
    <x v="17"/>
  </r>
  <r>
    <d v="2023-01-05T00:00:00"/>
    <x v="0"/>
    <s v="Admin/HR/IT"/>
    <s v="AMCARE NonOcc In"/>
    <s v="TEMP"/>
    <n v="200514421"/>
    <s v="Padilla Abrego,Angeles"/>
    <s v="Robledo Ugarte,Alejandro"/>
    <n v="0"/>
    <n v="0"/>
    <n v="0"/>
    <n v="0"/>
    <n v="0.2"/>
    <e v="#N/A"/>
    <x v="18"/>
  </r>
  <r>
    <d v="2023-01-05T00:00:00"/>
    <x v="0"/>
    <s v="Admin/HR/IT"/>
    <s v="AMCARE NonOcc In"/>
    <s v="AMZN"/>
    <n v="113020476"/>
    <s v="Puente Aguilar,Polette"/>
    <s v="Olmos,Carmen"/>
    <n v="0"/>
    <n v="0"/>
    <n v="0"/>
    <n v="0"/>
    <n v="0.09"/>
    <e v="#N/A"/>
    <x v="19"/>
  </r>
  <r>
    <d v="2023-01-05T00:00:00"/>
    <x v="0"/>
    <s v="Admin/HR/IT"/>
    <s v="AMCARE NonOcc In"/>
    <s v="AMZN"/>
    <n v="113101453"/>
    <s v="Isaac,Geovanna"/>
    <s v="Gomez Aguado,Jorge"/>
    <n v="0"/>
    <n v="0"/>
    <n v="0"/>
    <n v="0"/>
    <n v="0.11"/>
    <e v="#N/A"/>
    <x v="4"/>
  </r>
  <r>
    <d v="2023-01-05T00:00:00"/>
    <x v="0"/>
    <s v="Admin/HR/IT"/>
    <s v="AMCARE NonOcc In"/>
    <s v="TEMP"/>
    <n v="200625517"/>
    <s v="RamÃ­rez,Miranda"/>
    <s v="Corona Arriaga,Fernando"/>
    <n v="0"/>
    <n v="0"/>
    <n v="0"/>
    <n v="0"/>
    <n v="0.43"/>
    <e v="#N/A"/>
    <x v="0"/>
  </r>
  <r>
    <d v="2023-01-05T00:00:00"/>
    <x v="0"/>
    <s v="Admin/HR/IT"/>
    <s v="AMCARE NonOcc In"/>
    <s v="AMZN"/>
    <n v="113014042"/>
    <s v="Cervantes,Rose"/>
    <s v="Olmos,Carmen"/>
    <n v="0"/>
    <n v="0"/>
    <n v="0"/>
    <n v="0"/>
    <n v="0.37"/>
    <e v="#N/A"/>
    <x v="20"/>
  </r>
  <r>
    <d v="2023-01-05T00:00:00"/>
    <x v="0"/>
    <s v="Admin/HR/IT"/>
    <s v="AMCARE NonOcc In"/>
    <s v="AMZN"/>
    <n v="113003656"/>
    <s v="Argote,Enrique"/>
    <s v="Romero Sanchez,Gustavo Gabriel"/>
    <n v="0"/>
    <n v="0"/>
    <n v="0"/>
    <n v="0"/>
    <n v="1.91"/>
    <e v="#N/A"/>
    <x v="21"/>
  </r>
  <r>
    <d v="2023-01-05T00:00:00"/>
    <x v="0"/>
    <s v="Admin/HR/IT"/>
    <s v="AMCARE NonOcc In"/>
    <s v="AMZN"/>
    <n v="112981196"/>
    <s v="Gomez,Andrea"/>
    <s v="Madrid Molina,Ramon"/>
    <n v="0"/>
    <n v="0"/>
    <n v="0"/>
    <n v="0"/>
    <n v="0.39"/>
    <e v="#N/A"/>
    <x v="22"/>
  </r>
  <r>
    <d v="2023-01-05T00:00:00"/>
    <x v="0"/>
    <s v="Admin/HR/IT"/>
    <s v="AMCARE NonOcc In"/>
    <s v="AMZN"/>
    <n v="112912509"/>
    <s v="Gutierrez Portillo,Joceline"/>
    <s v="Porcar Guri,Albert"/>
    <n v="0"/>
    <n v="0"/>
    <n v="0"/>
    <n v="0"/>
    <n v="0.64"/>
    <e v="#N/A"/>
    <x v="0"/>
  </r>
  <r>
    <d v="2023-01-05T00:00:00"/>
    <x v="0"/>
    <s v="Admin/HR/IT"/>
    <s v="AMCARE NonOcc In"/>
    <s v="TEMP"/>
    <n v="200564823"/>
    <s v="Garcia Infante,Sergio"/>
    <s v="Olmos,Carmen"/>
    <n v="0"/>
    <n v="0"/>
    <n v="0"/>
    <n v="0"/>
    <n v="2.0699999999999998"/>
    <e v="#N/A"/>
    <x v="0"/>
  </r>
  <r>
    <d v="2023-01-05T00:00:00"/>
    <x v="0"/>
    <s v="Admin/HR/IT"/>
    <s v="AMCARE NonOcc In"/>
    <s v="AMZN"/>
    <n v="200404250"/>
    <s v="Hurtado,Caty"/>
    <s v="Robledo Ugarte,Alejandro"/>
    <n v="0"/>
    <n v="0"/>
    <n v="0"/>
    <n v="0"/>
    <n v="0.48"/>
    <e v="#N/A"/>
    <x v="6"/>
  </r>
  <r>
    <d v="2023-01-05T00:00:00"/>
    <x v="0"/>
    <s v="Admin/HR/IT"/>
    <s v="AMCARE NonOcc In"/>
    <s v="AMZN"/>
    <n v="112984097"/>
    <s v="Aguilera,Yaremi"/>
    <s v="Gomez Aguado,Jorge"/>
    <n v="0"/>
    <n v="0"/>
    <n v="0"/>
    <n v="0"/>
    <n v="0.1"/>
    <e v="#N/A"/>
    <x v="0"/>
  </r>
  <r>
    <d v="2023-01-05T00:00:00"/>
    <x v="0"/>
    <s v="Admin/HR/IT"/>
    <s v="AMCARE NonOcc In"/>
    <s v="AMZN"/>
    <n v="112984971"/>
    <s v="Zagal,Adrian"/>
    <s v="Gutierrez,Hector"/>
    <n v="0"/>
    <n v="0"/>
    <n v="0"/>
    <n v="0"/>
    <n v="0.28000000000000003"/>
    <e v="#N/A"/>
    <x v="0"/>
  </r>
  <r>
    <d v="2023-01-06T00:00:00"/>
    <x v="0"/>
    <s v="Admin/HR/IT"/>
    <s v="AMCARE NonOcc In"/>
    <s v="AMZN"/>
    <n v="112973049"/>
    <s v="Tavares Parra,Ely"/>
    <s v="Piedra,Valentina"/>
    <n v="0"/>
    <n v="0"/>
    <n v="0"/>
    <n v="0"/>
    <n v="0.21"/>
    <s v="DB-X0700"/>
    <x v="14"/>
  </r>
  <r>
    <d v="2023-01-06T00:00:00"/>
    <x v="0"/>
    <s v="Admin/HR/IT"/>
    <s v="AMCARE NonOcc In"/>
    <s v="AMZN"/>
    <n v="112971953"/>
    <s v="Aguirre Palomino,Ana"/>
    <s v="Lopez,Alexa"/>
    <n v="0"/>
    <n v="0"/>
    <n v="0"/>
    <n v="0"/>
    <n v="0.44"/>
    <s v="DB-X0700"/>
    <x v="7"/>
  </r>
  <r>
    <d v="2023-01-06T00:00:00"/>
    <x v="0"/>
    <s v="Admin/HR/IT"/>
    <s v="AMCARE NonOcc In"/>
    <s v="TEMP"/>
    <n v="200565283"/>
    <s v="Cabrera Sanchez,Eber"/>
    <s v="Gutierrez,Hector"/>
    <n v="0"/>
    <n v="0"/>
    <n v="0"/>
    <n v="0"/>
    <n v="0.28999999999999998"/>
    <e v="#N/A"/>
    <x v="0"/>
  </r>
  <r>
    <d v="2023-01-06T00:00:00"/>
    <x v="0"/>
    <s v="Admin/HR/IT"/>
    <s v="AMCARE NonOcc In"/>
    <s v="TEMP"/>
    <n v="200614224"/>
    <s v="Cruz Hernandez,Cris"/>
    <s v="Romero Sanchez,Gustavo Gabriel"/>
    <n v="0"/>
    <n v="0"/>
    <n v="0"/>
    <n v="0"/>
    <n v="0.14000000000000001"/>
    <e v="#N/A"/>
    <x v="0"/>
  </r>
  <r>
    <d v="2023-01-06T00:00:00"/>
    <x v="0"/>
    <s v="Admin/HR/IT"/>
    <s v="AMCARE NonOcc In"/>
    <s v="AMZN"/>
    <n v="112984928"/>
    <s v="Espinoza,Francisco"/>
    <s v="Gutierrez,Hector"/>
    <n v="0"/>
    <n v="0"/>
    <n v="0"/>
    <n v="0"/>
    <n v="0.11"/>
    <e v="#N/A"/>
    <x v="0"/>
  </r>
  <r>
    <d v="2023-01-06T00:00:00"/>
    <x v="0"/>
    <s v="Admin/HR/IT"/>
    <s v="AMCARE NonOcc In"/>
    <s v="TEMP"/>
    <n v="200589316"/>
    <s v="Torres Zuniga,Daniel"/>
    <s v="Corona Arriaga,Fernando"/>
    <n v="0"/>
    <n v="0"/>
    <n v="0"/>
    <n v="0"/>
    <n v="0.21"/>
    <e v="#N/A"/>
    <x v="0"/>
  </r>
  <r>
    <d v="2023-01-06T00:00:00"/>
    <x v="0"/>
    <s v="Admin/HR/IT"/>
    <s v="AMCARE NonOcc In"/>
    <s v="AMZN"/>
    <n v="111434478"/>
    <s v="Gutierrez,Pame"/>
    <s v="Camarena,Grecia"/>
    <n v="0"/>
    <n v="0"/>
    <n v="0"/>
    <n v="0"/>
    <n v="0.77"/>
    <s v="DA-X0700"/>
    <x v="23"/>
  </r>
  <r>
    <d v="2023-01-06T00:00:00"/>
    <x v="0"/>
    <s v="Admin/HR/IT"/>
    <s v="AMCARE NonOcc In"/>
    <s v="AMZN"/>
    <n v="112912675"/>
    <s v="Alejandri Villagomez,Alejandra"/>
    <s v="Gutierrez,Hector"/>
    <n v="0"/>
    <n v="0"/>
    <n v="0"/>
    <n v="0"/>
    <n v="1.44"/>
    <e v="#N/A"/>
    <x v="0"/>
  </r>
  <r>
    <d v="2023-01-06T00:00:00"/>
    <x v="0"/>
    <s v="Admin/HR/IT"/>
    <s v="AMCARE NonOcc In"/>
    <s v="AMZN"/>
    <n v="113014011"/>
    <s v="Robledo Barrientos,Logan"/>
    <s v="Robledo Ugarte,Alejandro"/>
    <n v="0"/>
    <n v="0"/>
    <n v="0"/>
    <n v="0"/>
    <n v="0.79"/>
    <e v="#N/A"/>
    <x v="0"/>
  </r>
  <r>
    <d v="2023-01-06T00:00:00"/>
    <x v="0"/>
    <s v="Admin/HR/IT"/>
    <s v="AMCARE NonOcc In"/>
    <s v="AMZN"/>
    <n v="112980812"/>
    <s v="Jacobo,Mary"/>
    <s v="Romero Sanchez,Gustavo Gabriel"/>
    <n v="0"/>
    <n v="0"/>
    <n v="0"/>
    <n v="0"/>
    <n v="0.46"/>
    <s v="DA-X0700"/>
    <x v="24"/>
  </r>
  <r>
    <d v="2023-01-06T00:00:00"/>
    <x v="0"/>
    <s v="Admin/HR/IT"/>
    <s v="AMCARE NonOcc In"/>
    <s v="AMZN"/>
    <n v="112912054"/>
    <s v="Rivera Ramirez,Jorge"/>
    <s v="Pizana,Diego"/>
    <n v="0"/>
    <n v="0"/>
    <n v="0"/>
    <n v="0"/>
    <n v="0.24"/>
    <s v="DB-X0700"/>
    <x v="25"/>
  </r>
  <r>
    <d v="2023-01-06T00:00:00"/>
    <x v="0"/>
    <s v="Admin/HR/IT"/>
    <s v="AMCARE NonOcc In"/>
    <s v="TEMP"/>
    <n v="200625517"/>
    <s v="RamÃ­rez,Miranda"/>
    <s v="Corona Arriaga,Fernando"/>
    <n v="0"/>
    <n v="0"/>
    <n v="0"/>
    <n v="0"/>
    <n v="0.22"/>
    <e v="#N/A"/>
    <x v="0"/>
  </r>
  <r>
    <d v="2023-01-06T00:00:00"/>
    <x v="0"/>
    <s v="Admin/HR/IT"/>
    <s v="AMCARE NonOcc In"/>
    <s v="TEMP"/>
    <n v="200564823"/>
    <s v="Garcia Infante,Sergio"/>
    <s v="Olmos,Carmen"/>
    <n v="0"/>
    <n v="0"/>
    <n v="0"/>
    <n v="0"/>
    <n v="0.75"/>
    <e v="#N/A"/>
    <x v="0"/>
  </r>
  <r>
    <d v="2023-01-07T00:00:00"/>
    <x v="0"/>
    <s v="Admin/HR/IT"/>
    <s v="AMCARE NonOcc In"/>
    <s v="AMZN"/>
    <n v="112973049"/>
    <s v="Tavares Parra,Ely"/>
    <s v="Piedra,Valentina"/>
    <n v="0"/>
    <n v="0"/>
    <n v="0"/>
    <n v="0"/>
    <n v="0.53"/>
    <s v="DB-X0700"/>
    <x v="14"/>
  </r>
  <r>
    <d v="2023-01-07T00:00:00"/>
    <x v="0"/>
    <s v="Admin/HR/IT"/>
    <s v="AMCARE NonOcc In"/>
    <s v="TEMP"/>
    <n v="200563210"/>
    <s v="Becerra Pardo,Arlet"/>
    <s v="Romero Sanchez,Gustavo Gabriel"/>
    <n v="0"/>
    <n v="0"/>
    <n v="0"/>
    <n v="0"/>
    <n v="2.21"/>
    <e v="#N/A"/>
    <x v="0"/>
  </r>
  <r>
    <d v="2023-01-07T00:00:00"/>
    <x v="0"/>
    <s v="Admin/HR/IT"/>
    <s v="AMCARE NonOcc In"/>
    <s v="TEMP"/>
    <n v="200564835"/>
    <s v="Pardo,Fabian Oswaldo"/>
    <s v="Gutierrez,Hector"/>
    <n v="0"/>
    <n v="0"/>
    <n v="0"/>
    <n v="0"/>
    <n v="0.11"/>
    <e v="#N/A"/>
    <x v="0"/>
  </r>
  <r>
    <d v="2023-01-07T00:00:00"/>
    <x v="0"/>
    <s v="Admin/HR/IT"/>
    <s v="AMCARE NonOcc In"/>
    <s v="TEMP"/>
    <n v="200564835"/>
    <s v="Pardo,Fabian Oswaldo"/>
    <s v="Gutierrez,Hector"/>
    <n v="0"/>
    <n v="0"/>
    <n v="0"/>
    <n v="0"/>
    <n v="0.2"/>
    <e v="#N/A"/>
    <x v="0"/>
  </r>
  <r>
    <d v="2023-01-07T00:00:00"/>
    <x v="0"/>
    <s v="Admin/HR/IT"/>
    <s v="AMCARE NonOcc In"/>
    <s v="AMZN"/>
    <n v="112971962"/>
    <s v="Reyes  Montes de oca,Alejandra"/>
    <s v="Corona Arriaga,Fernando"/>
    <n v="0"/>
    <n v="0"/>
    <n v="0"/>
    <n v="0"/>
    <n v="0.43"/>
    <s v="DB-X0700"/>
    <x v="26"/>
  </r>
  <r>
    <d v="2023-01-07T00:00:00"/>
    <x v="0"/>
    <s v="Admin/HR/IT"/>
    <s v="AMCARE NonOcc In"/>
    <s v="TEMP"/>
    <n v="200508371"/>
    <s v="Perez,Georgina"/>
    <s v="Olmos,Carmen"/>
    <n v="0"/>
    <n v="0"/>
    <n v="0"/>
    <n v="0"/>
    <n v="1.73"/>
    <e v="#N/A"/>
    <x v="0"/>
  </r>
  <r>
    <d v="2023-01-07T00:00:00"/>
    <x v="0"/>
    <s v="Admin/HR/IT"/>
    <s v="AMCARE NonOcc In"/>
    <s v="AMZN"/>
    <n v="112984928"/>
    <s v="Espinoza,Francisco"/>
    <s v="Gutierrez,Hector"/>
    <n v="0"/>
    <n v="0"/>
    <n v="0"/>
    <n v="0"/>
    <n v="0.08"/>
    <e v="#N/A"/>
    <x v="0"/>
  </r>
  <r>
    <d v="2023-01-07T00:00:00"/>
    <x v="0"/>
    <s v="Admin/HR/IT"/>
    <s v="AMCARE NonOcc In"/>
    <s v="AMZN"/>
    <n v="112984442"/>
    <s v="Garcia,Mauricio Antonio De la lama"/>
    <s v="Piedra,Valentina"/>
    <n v="0"/>
    <n v="0"/>
    <n v="0"/>
    <n v="0"/>
    <n v="1.5"/>
    <e v="#N/A"/>
    <x v="0"/>
  </r>
  <r>
    <d v="2023-01-07T00:00:00"/>
    <x v="0"/>
    <s v="Admin/HR/IT"/>
    <s v="AMCARE NonOcc In"/>
    <s v="AMZN"/>
    <n v="112951256"/>
    <s v="Ramirez Vallejo,Kateryne"/>
    <s v="Camarena,Grecia"/>
    <n v="0"/>
    <n v="0"/>
    <n v="0"/>
    <n v="0"/>
    <n v="0.5"/>
    <s v="DA-X0700"/>
    <x v="27"/>
  </r>
  <r>
    <d v="2023-01-07T00:00:00"/>
    <x v="0"/>
    <s v="Admin/HR/IT"/>
    <s v="AMCARE NonOcc In"/>
    <s v="AMZN"/>
    <n v="112912175"/>
    <s v="Padilla,Jandy"/>
    <s v="Gomez Aguado,Jorge"/>
    <n v="0"/>
    <n v="0"/>
    <n v="0"/>
    <n v="0"/>
    <n v="0.72"/>
    <e v="#N/A"/>
    <x v="0"/>
  </r>
  <r>
    <d v="2023-01-07T00:00:00"/>
    <x v="0"/>
    <s v="Admin/HR/IT"/>
    <s v="AMCARE NonOcc In"/>
    <s v="AMZN"/>
    <n v="111434478"/>
    <s v="Gutierrez,Pame"/>
    <s v="Camarena,Grecia"/>
    <n v="0"/>
    <n v="0"/>
    <n v="0"/>
    <n v="0"/>
    <n v="0.08"/>
    <s v="DA-X0700"/>
    <x v="23"/>
  </r>
  <r>
    <d v="2023-01-07T00:00:00"/>
    <x v="0"/>
    <s v="Admin/HR/IT"/>
    <s v="AMCARE NonOcc In"/>
    <s v="AMZN"/>
    <n v="112912675"/>
    <s v="Alejandri Villagomez,Alejandra"/>
    <s v="Gutierrez,Hector"/>
    <n v="0"/>
    <n v="0"/>
    <n v="0"/>
    <n v="0"/>
    <n v="0.48"/>
    <e v="#N/A"/>
    <x v="0"/>
  </r>
  <r>
    <d v="2023-01-07T00:00:00"/>
    <x v="0"/>
    <s v="Admin/HR/IT"/>
    <s v="AMCARE NonOcc In"/>
    <s v="AMZN"/>
    <n v="112912675"/>
    <s v="Alejandri Villagomez,Alejandra"/>
    <s v="Gutierrez,Hector"/>
    <n v="0"/>
    <n v="0"/>
    <n v="0"/>
    <n v="0"/>
    <n v="0.35"/>
    <e v="#N/A"/>
    <x v="0"/>
  </r>
  <r>
    <d v="2023-01-07T00:00:00"/>
    <x v="0"/>
    <s v="Admin/HR/IT"/>
    <s v="AMCARE NonOcc In"/>
    <s v="AMZN"/>
    <n v="113014011"/>
    <s v="Robledo Barrientos,Logan"/>
    <s v="Robledo Ugarte,Alejandro"/>
    <n v="0"/>
    <n v="0"/>
    <n v="0"/>
    <n v="0"/>
    <n v="0.46"/>
    <e v="#N/A"/>
    <x v="0"/>
  </r>
  <r>
    <d v="2023-01-07T00:00:00"/>
    <x v="0"/>
    <s v="Admin/HR/IT"/>
    <s v="AMCARE NonOcc In"/>
    <s v="AMZN"/>
    <n v="112525692"/>
    <s v="Ovalle Gomez,Mayte"/>
    <s v="Garcia Espejel,Brenda Victoria"/>
    <n v="0"/>
    <n v="0"/>
    <n v="0"/>
    <n v="0"/>
    <n v="0.38"/>
    <e v="#N/A"/>
    <x v="0"/>
  </r>
  <r>
    <d v="2023-01-07T00:00:00"/>
    <x v="0"/>
    <s v="Admin/HR/IT"/>
    <s v="AMCARE NonOcc In"/>
    <s v="AMZN"/>
    <n v="200464838"/>
    <s v="Ortiz,Fernando"/>
    <s v="Gutierrez,Hector"/>
    <n v="0"/>
    <n v="0"/>
    <n v="0"/>
    <n v="0"/>
    <n v="1.36"/>
    <e v="#N/A"/>
    <x v="28"/>
  </r>
  <r>
    <d v="2023-01-07T00:00:00"/>
    <x v="0"/>
    <s v="Admin/HR/IT"/>
    <s v="AMCARE NonOcc In"/>
    <s v="AMZN"/>
    <n v="113020476"/>
    <s v="Puente Aguilar,Polette"/>
    <s v="Olmos,Carmen"/>
    <n v="0"/>
    <n v="0"/>
    <n v="0"/>
    <n v="0"/>
    <n v="0.61"/>
    <e v="#N/A"/>
    <x v="19"/>
  </r>
  <r>
    <d v="2023-01-07T00:00:00"/>
    <x v="0"/>
    <s v="Admin/HR/IT"/>
    <s v="AMCARE NonOcc In"/>
    <s v="TEMP"/>
    <n v="200554743"/>
    <s v="Rivera Hernandez,Liliana"/>
    <s v="Olmos,Carmen"/>
    <n v="0"/>
    <n v="0"/>
    <n v="0"/>
    <n v="0"/>
    <n v="1.36"/>
    <e v="#N/A"/>
    <x v="0"/>
  </r>
  <r>
    <d v="2023-01-07T00:00:00"/>
    <x v="0"/>
    <s v="Admin/HR/IT"/>
    <s v="AMCARE NonOcc In"/>
    <s v="TEMP"/>
    <n v="200536194"/>
    <s v="Delgado,Bryan"/>
    <s v="Olmos,Carmen"/>
    <n v="0"/>
    <n v="0"/>
    <n v="0"/>
    <n v="0"/>
    <n v="0.25"/>
    <e v="#N/A"/>
    <x v="0"/>
  </r>
  <r>
    <d v="2023-01-07T00:00:00"/>
    <x v="0"/>
    <s v="Admin/HR/IT"/>
    <s v="AMCARE NonOcc In"/>
    <s v="TEMP"/>
    <n v="200625517"/>
    <s v="RamÃ­rez,Miranda"/>
    <s v="Corona Arriaga,Fernando"/>
    <n v="0"/>
    <n v="0"/>
    <n v="0"/>
    <n v="0"/>
    <n v="0.33"/>
    <e v="#N/A"/>
    <x v="0"/>
  </r>
  <r>
    <d v="2023-01-07T00:00:00"/>
    <x v="0"/>
    <s v="Admin/HR/IT"/>
    <s v="AMCARE NonOcc In"/>
    <s v="AMZN"/>
    <n v="112980835"/>
    <s v="Rojas  Cuellar,Jacqueline"/>
    <s v="Corona Arriaga,Fernando"/>
    <n v="0"/>
    <n v="0"/>
    <n v="0"/>
    <n v="0"/>
    <n v="0.28000000000000003"/>
    <e v="#N/A"/>
    <x v="0"/>
  </r>
  <r>
    <d v="2023-01-07T00:00:00"/>
    <x v="0"/>
    <s v="Admin/HR/IT"/>
    <s v="AMCARE NonOcc In"/>
    <s v="TEMP"/>
    <n v="200564823"/>
    <s v="Garcia Infante,Sergio"/>
    <s v="Olmos,Carmen"/>
    <n v="0"/>
    <n v="0"/>
    <n v="0"/>
    <n v="0"/>
    <n v="1.41"/>
    <e v="#N/A"/>
    <x v="0"/>
  </r>
  <r>
    <d v="2023-01-08T00:00:00"/>
    <x v="1"/>
    <s v="Admin/HR/IT"/>
    <s v="AMCARE NonOcc In"/>
    <s v="AMZN"/>
    <n v="113003691"/>
    <s v="Angeles,Fernando"/>
    <s v="Corona Arriaga,Fernando"/>
    <n v="0"/>
    <n v="0"/>
    <n v="0"/>
    <n v="0"/>
    <n v="0.12"/>
    <e v="#N/A"/>
    <x v="0"/>
  </r>
  <r>
    <d v="2023-01-08T00:00:00"/>
    <x v="1"/>
    <s v="Admin/HR/IT"/>
    <s v="AMCARE NonOcc In"/>
    <s v="TEMP"/>
    <n v="200563210"/>
    <s v="Becerra Pardo,Arlet"/>
    <s v="Romero Sanchez,Gustavo Gabriel"/>
    <n v="0"/>
    <n v="0"/>
    <n v="0"/>
    <n v="0"/>
    <n v="0.34"/>
    <e v="#N/A"/>
    <x v="0"/>
  </r>
  <r>
    <d v="2023-01-08T00:00:00"/>
    <x v="1"/>
    <s v="Admin/HR/IT"/>
    <s v="AMCARE NonOcc In"/>
    <s v="AMZN"/>
    <n v="112912008"/>
    <s v="Espinosa,Consuelo"/>
    <s v="Rosas Negrete,Sebastian"/>
    <n v="0"/>
    <n v="0"/>
    <n v="0"/>
    <n v="0"/>
    <n v="0.34"/>
    <e v="#N/A"/>
    <x v="0"/>
  </r>
  <r>
    <d v="2023-01-08T00:00:00"/>
    <x v="1"/>
    <s v="Admin/HR/IT"/>
    <s v="AMCARE NonOcc In"/>
    <s v="TEMP"/>
    <n v="200534518"/>
    <s v="Flores,Alejandro"/>
    <s v="Ledezma,Fer"/>
    <n v="0"/>
    <n v="0"/>
    <n v="0"/>
    <n v="0"/>
    <n v="1.49"/>
    <e v="#N/A"/>
    <x v="0"/>
  </r>
  <r>
    <d v="2023-01-08T00:00:00"/>
    <x v="1"/>
    <s v="Admin/HR/IT"/>
    <s v="AMCARE NonOcc In"/>
    <s v="AMZN"/>
    <n v="112912210"/>
    <s v="Fuentes,Jacob"/>
    <s v="Madrid Molina,Ramon"/>
    <n v="0"/>
    <n v="0"/>
    <n v="0"/>
    <n v="0"/>
    <n v="0.22"/>
    <e v="#N/A"/>
    <x v="0"/>
  </r>
  <r>
    <d v="2023-01-08T00:00:00"/>
    <x v="1"/>
    <s v="Admin/HR/IT"/>
    <s v="AMCARE NonOcc In"/>
    <s v="AMZN"/>
    <n v="112991231"/>
    <s v="Lino,Luisa"/>
    <s v="Ledezma,Fer"/>
    <n v="0"/>
    <n v="0"/>
    <n v="0"/>
    <n v="0"/>
    <n v="0.16"/>
    <e v="#N/A"/>
    <x v="0"/>
  </r>
  <r>
    <d v="2023-01-08T00:00:00"/>
    <x v="1"/>
    <s v="Admin/HR/IT"/>
    <s v="AMCARE NonOcc In"/>
    <s v="AMZN"/>
    <n v="112972794"/>
    <s v="Sanchez,Diego Saldana"/>
    <s v="Porcar Guri,Albert"/>
    <n v="0"/>
    <n v="0"/>
    <n v="0"/>
    <n v="0"/>
    <n v="0.81"/>
    <e v="#N/A"/>
    <x v="0"/>
  </r>
  <r>
    <d v="2023-01-08T00:00:00"/>
    <x v="1"/>
    <s v="Admin/HR/IT"/>
    <s v="AMCARE NonOcc In"/>
    <s v="AMZN"/>
    <n v="112912459"/>
    <s v="Maldonado Hernandez,Miguel"/>
    <s v="Porcar Guri,Albert"/>
    <n v="0"/>
    <n v="0"/>
    <n v="0"/>
    <n v="0"/>
    <n v="1.01"/>
    <e v="#N/A"/>
    <x v="0"/>
  </r>
  <r>
    <d v="2023-01-08T00:00:00"/>
    <x v="1"/>
    <s v="Admin/HR/IT"/>
    <s v="AMCARE NonOcc In"/>
    <s v="AMZN"/>
    <n v="113014046"/>
    <s v="Reyes Andrade,Oscar"/>
    <s v="Hernandez,Nataly"/>
    <n v="0"/>
    <n v="0"/>
    <n v="0"/>
    <n v="0"/>
    <n v="0.25"/>
    <e v="#N/A"/>
    <x v="0"/>
  </r>
  <r>
    <d v="2023-01-08T00:00:00"/>
    <x v="1"/>
    <s v="Admin/HR/IT"/>
    <s v="AMCARE NonOcc In"/>
    <s v="AMZN"/>
    <n v="112981014"/>
    <s v="Roldan Gutierrez,Pablo"/>
    <s v="Hernandez,Nataly"/>
    <n v="0"/>
    <n v="0"/>
    <n v="0"/>
    <n v="0"/>
    <n v="0.23"/>
    <s v="DJ-X0700"/>
    <x v="29"/>
  </r>
  <r>
    <d v="2023-01-08T00:00:00"/>
    <x v="1"/>
    <s v="Admin/HR/IT"/>
    <s v="AMCARE NonOcc In"/>
    <s v="AMZN"/>
    <n v="112980844"/>
    <s v="Padilla,Samantha"/>
    <s v="Hernandez,Nataly"/>
    <n v="0"/>
    <n v="0"/>
    <n v="0"/>
    <n v="0"/>
    <n v="1.19"/>
    <s v="DA-X0700"/>
    <x v="2"/>
  </r>
  <r>
    <d v="2023-01-09T00:00:00"/>
    <x v="1"/>
    <s v="Admin/HR/IT"/>
    <s v="AMCARE NonOcc In"/>
    <s v="AMZN"/>
    <n v="113003691"/>
    <s v="Angeles,Fernando"/>
    <s v="Corona Arriaga,Fernando"/>
    <n v="0"/>
    <n v="0"/>
    <n v="0"/>
    <n v="0"/>
    <n v="0.21"/>
    <e v="#N/A"/>
    <x v="0"/>
  </r>
  <r>
    <d v="2023-01-09T00:00:00"/>
    <x v="1"/>
    <s v="Admin/HR/IT"/>
    <s v="AMCARE NonOcc In"/>
    <s v="AMZN"/>
    <n v="103979960"/>
    <s v="Suchil Angel,Guillermo"/>
    <s v="Gomez,Abinadab"/>
    <n v="0"/>
    <n v="0"/>
    <n v="0"/>
    <n v="0"/>
    <n v="0.17"/>
    <e v="#N/A"/>
    <x v="0"/>
  </r>
  <r>
    <d v="2023-01-09T00:00:00"/>
    <x v="1"/>
    <s v="Admin/HR/IT"/>
    <s v="AMCARE NonOcc In"/>
    <s v="AMZN"/>
    <n v="112912008"/>
    <s v="Espinosa,Consuelo"/>
    <s v="Rosas Negrete,Sebastian"/>
    <n v="0"/>
    <n v="0"/>
    <n v="0"/>
    <n v="0"/>
    <n v="0.13"/>
    <e v="#N/A"/>
    <x v="0"/>
  </r>
  <r>
    <d v="2023-01-09T00:00:00"/>
    <x v="1"/>
    <s v="Admin/HR/IT"/>
    <s v="AMCARE NonOcc In"/>
    <s v="AMZN"/>
    <n v="113014081"/>
    <s v="Frausto,Genesis"/>
    <s v="Gomez,Abinadab"/>
    <n v="0"/>
    <n v="0"/>
    <n v="0"/>
    <n v="0"/>
    <n v="0.13"/>
    <e v="#N/A"/>
    <x v="9"/>
  </r>
  <r>
    <d v="2023-01-09T00:00:00"/>
    <x v="1"/>
    <s v="Admin/HR/IT"/>
    <s v="AMCARE NonOcc In"/>
    <s v="AMZN"/>
    <n v="112984442"/>
    <s v="Garcia,Mauricio Antonio De la lama"/>
    <s v="Piedra,Valentina"/>
    <n v="0"/>
    <n v="0"/>
    <n v="0"/>
    <n v="0"/>
    <n v="1.2"/>
    <e v="#N/A"/>
    <x v="0"/>
  </r>
  <r>
    <d v="2023-01-09T00:00:00"/>
    <x v="1"/>
    <s v="Admin/HR/IT"/>
    <s v="AMCARE NonOcc In"/>
    <s v="AMZN"/>
    <n v="112991231"/>
    <s v="Lino,Luisa"/>
    <s v="Ledezma,Fer"/>
    <n v="0"/>
    <n v="0"/>
    <n v="0"/>
    <n v="0"/>
    <n v="0.82"/>
    <e v="#N/A"/>
    <x v="0"/>
  </r>
  <r>
    <d v="2023-01-09T00:00:00"/>
    <x v="1"/>
    <s v="Admin/HR/IT"/>
    <s v="AMCARE NonOcc In"/>
    <s v="AMZN"/>
    <n v="113014470"/>
    <s v="Aguilar Ibarra,Lupe"/>
    <s v="Gomez,Abinadab"/>
    <n v="0"/>
    <n v="0"/>
    <n v="0"/>
    <n v="0"/>
    <n v="0.22"/>
    <e v="#N/A"/>
    <x v="30"/>
  </r>
  <r>
    <d v="2023-01-09T00:00:00"/>
    <x v="1"/>
    <s v="Admin/HR/IT"/>
    <s v="AMCARE NonOcc In"/>
    <s v="TEMP"/>
    <n v="200514885"/>
    <s v="Sanchez Garcia,Adriana"/>
    <s v="Gomez Aguado,Jorge"/>
    <n v="0"/>
    <n v="0"/>
    <n v="0"/>
    <n v="0"/>
    <n v="0.32"/>
    <e v="#N/A"/>
    <x v="0"/>
  </r>
  <r>
    <d v="2023-01-09T00:00:00"/>
    <x v="1"/>
    <s v="Admin/HR/IT"/>
    <s v="AMCARE NonOcc In"/>
    <s v="TEMP"/>
    <n v="200588981"/>
    <s v="Romero,Maria"/>
    <s v="Gomez,Abinadab"/>
    <n v="0"/>
    <n v="0"/>
    <n v="0"/>
    <n v="0"/>
    <n v="0.06"/>
    <e v="#N/A"/>
    <x v="0"/>
  </r>
  <r>
    <d v="2023-01-09T00:00:00"/>
    <x v="1"/>
    <s v="Admin/HR/IT"/>
    <s v="AMCARE NonOcc In"/>
    <s v="AMZN"/>
    <n v="113020667"/>
    <s v="Martinez Becerra,Paulina"/>
    <s v="Gomez,Abinadab"/>
    <n v="0"/>
    <n v="0"/>
    <n v="0"/>
    <n v="0"/>
    <n v="0.17"/>
    <e v="#N/A"/>
    <x v="31"/>
  </r>
  <r>
    <d v="2023-01-09T00:00:00"/>
    <x v="1"/>
    <s v="Admin/HR/IT"/>
    <s v="AMCARE NonOcc In"/>
    <s v="TEMP"/>
    <n v="200625027"/>
    <s v="Rodriguez Gonzalez,Neidy"/>
    <s v="Gomez Aguado,Jorge"/>
    <n v="0"/>
    <n v="0"/>
    <n v="0"/>
    <n v="0"/>
    <n v="0.22"/>
    <e v="#N/A"/>
    <x v="0"/>
  </r>
  <r>
    <d v="2023-01-09T00:00:00"/>
    <x v="1"/>
    <s v="Admin/HR/IT"/>
    <s v="AMCARE NonOcc In"/>
    <s v="AMZN"/>
    <n v="113014007"/>
    <s v="Negrete Gallardo,Tony"/>
    <s v="Gomez,Abinadab"/>
    <n v="0"/>
    <n v="0"/>
    <n v="0"/>
    <n v="0"/>
    <n v="0.65"/>
    <e v="#N/A"/>
    <x v="0"/>
  </r>
  <r>
    <d v="2023-01-09T00:00:00"/>
    <x v="1"/>
    <s v="Admin/HR/IT"/>
    <s v="AMCARE NonOcc In"/>
    <s v="TEMP"/>
    <n v="200514421"/>
    <s v="Padilla Abrego,Angeles"/>
    <s v="Robledo Ugarte,Alejandro"/>
    <n v="0"/>
    <n v="0"/>
    <n v="0"/>
    <n v="0"/>
    <n v="1.31"/>
    <e v="#N/A"/>
    <x v="18"/>
  </r>
  <r>
    <d v="2023-01-09T00:00:00"/>
    <x v="1"/>
    <s v="Admin/HR/IT"/>
    <s v="AMCARE NonOcc In"/>
    <s v="AMZN"/>
    <n v="113101453"/>
    <s v="Isaac,Geovanna"/>
    <s v="Gomez Aguado,Jorge"/>
    <n v="0"/>
    <n v="0"/>
    <n v="0"/>
    <n v="0"/>
    <n v="0.06"/>
    <e v="#N/A"/>
    <x v="4"/>
  </r>
  <r>
    <d v="2023-01-09T00:00:00"/>
    <x v="1"/>
    <s v="Admin/HR/IT"/>
    <s v="AMCARE NonOcc In"/>
    <s v="AMZN"/>
    <n v="113014403"/>
    <s v="Arias Sanchez,Nora"/>
    <s v="Gomez,Abinadab"/>
    <n v="0"/>
    <n v="0"/>
    <n v="0"/>
    <n v="0"/>
    <n v="0.19"/>
    <e v="#N/A"/>
    <x v="32"/>
  </r>
  <r>
    <d v="2023-01-09T00:00:00"/>
    <x v="1"/>
    <s v="Admin/HR/IT"/>
    <s v="AMCARE NonOcc In"/>
    <s v="AMZN"/>
    <n v="200404250"/>
    <s v="Hurtado,Caty"/>
    <s v="Robledo Ugarte,Alejandro"/>
    <n v="0"/>
    <n v="0"/>
    <n v="0"/>
    <n v="0"/>
    <n v="0.53"/>
    <e v="#N/A"/>
    <x v="6"/>
  </r>
  <r>
    <d v="2023-01-10T00:00:00"/>
    <x v="1"/>
    <s v="Admin/HR/IT"/>
    <s v="AMCARE NonOcc In"/>
    <s v="TEMP"/>
    <n v="200513485"/>
    <s v="Alfaro Escobar,Angel"/>
    <s v="Madrid Molina,Ramon"/>
    <n v="0"/>
    <n v="0"/>
    <n v="0"/>
    <n v="0"/>
    <n v="0.13"/>
    <e v="#N/A"/>
    <x v="0"/>
  </r>
  <r>
    <d v="2023-01-10T00:00:00"/>
    <x v="1"/>
    <s v="Admin/HR/IT"/>
    <s v="AMCARE NonOcc In"/>
    <s v="TEMP"/>
    <n v="200565197"/>
    <s v="Avila,Mary"/>
    <s v="Robledo Ugarte,Alejandro"/>
    <n v="0"/>
    <n v="0"/>
    <n v="0"/>
    <n v="0"/>
    <n v="0.08"/>
    <e v="#N/A"/>
    <x v="0"/>
  </r>
  <r>
    <d v="2023-01-10T00:00:00"/>
    <x v="1"/>
    <s v="Admin/HR/IT"/>
    <s v="AMCARE NonOcc In"/>
    <s v="AMZN"/>
    <n v="112971965"/>
    <s v="Hernandez,Andrea"/>
    <s v="Olmos,Carmen"/>
    <n v="0"/>
    <n v="0"/>
    <n v="0"/>
    <n v="0"/>
    <n v="0.13"/>
    <e v="#N/A"/>
    <x v="0"/>
  </r>
  <r>
    <d v="2023-01-10T00:00:00"/>
    <x v="1"/>
    <s v="Admin/HR/IT"/>
    <s v="AMCARE NonOcc In"/>
    <s v="AMZN"/>
    <n v="113040583"/>
    <s v="Palomo,Lizbeth"/>
    <s v="Gutierrez,Hector"/>
    <n v="0"/>
    <n v="0"/>
    <n v="0"/>
    <n v="0"/>
    <n v="1.62"/>
    <e v="#N/A"/>
    <x v="0"/>
  </r>
  <r>
    <d v="2023-01-10T00:00:00"/>
    <x v="1"/>
    <s v="Admin/HR/IT"/>
    <s v="AMCARE NonOcc In"/>
    <s v="AMZN"/>
    <n v="112991231"/>
    <s v="Lino,Luisa"/>
    <s v="Ledezma,Fer"/>
    <n v="0"/>
    <n v="0"/>
    <n v="0"/>
    <n v="0"/>
    <n v="0.24"/>
    <e v="#N/A"/>
    <x v="0"/>
  </r>
  <r>
    <d v="2023-01-10T00:00:00"/>
    <x v="1"/>
    <s v="Admin/HR/IT"/>
    <s v="AMCARE NonOcc In"/>
    <s v="AMZN"/>
    <n v="113020667"/>
    <s v="Martinez Becerra,Paulina"/>
    <s v="Gomez,Abinadab"/>
    <n v="0"/>
    <n v="0"/>
    <n v="0"/>
    <n v="0"/>
    <n v="0.11"/>
    <e v="#N/A"/>
    <x v="31"/>
  </r>
  <r>
    <d v="2023-01-10T00:00:00"/>
    <x v="1"/>
    <s v="Admin/HR/IT"/>
    <s v="AMCARE NonOcc In"/>
    <s v="AMZN"/>
    <n v="112981061"/>
    <s v="Olguin,Claudia"/>
    <s v="Robledo Ugarte,Alejandro"/>
    <n v="0"/>
    <n v="0"/>
    <n v="0"/>
    <n v="0"/>
    <n v="0.14000000000000001"/>
    <s v="DA-X0700"/>
    <x v="11"/>
  </r>
  <r>
    <d v="2023-01-10T00:00:00"/>
    <x v="1"/>
    <s v="Admin/HR/IT"/>
    <s v="AMCARE NonOcc In"/>
    <s v="AMZN"/>
    <n v="112912163"/>
    <s v="Murillo,Alejandro"/>
    <s v="Gomez Aguado,Jorge"/>
    <n v="0"/>
    <n v="0"/>
    <n v="0"/>
    <n v="0"/>
    <n v="0.18"/>
    <e v="#N/A"/>
    <x v="0"/>
  </r>
  <r>
    <d v="2023-01-10T00:00:00"/>
    <x v="1"/>
    <s v="Admin/HR/IT"/>
    <s v="AMCARE NonOcc In"/>
    <s v="AMZN"/>
    <n v="112912459"/>
    <s v="Maldonado Hernandez,Miguel"/>
    <s v="Porcar Guri,Albert"/>
    <n v="0"/>
    <n v="0"/>
    <n v="0"/>
    <n v="0"/>
    <n v="0.56000000000000005"/>
    <e v="#N/A"/>
    <x v="0"/>
  </r>
  <r>
    <d v="2023-01-10T00:00:00"/>
    <x v="1"/>
    <s v="Admin/HR/IT"/>
    <s v="AMCARE NonOcc In"/>
    <s v="TEMP"/>
    <n v="200609384"/>
    <s v="Hernandez Olvera,Gisela"/>
    <s v="Gomez,Abinadab"/>
    <n v="0"/>
    <n v="0"/>
    <n v="0"/>
    <n v="0"/>
    <n v="0.21"/>
    <e v="#N/A"/>
    <x v="33"/>
  </r>
  <r>
    <d v="2023-01-10T00:00:00"/>
    <x v="1"/>
    <s v="Admin/HR/IT"/>
    <s v="AMCARE NonOcc In"/>
    <s v="AMZN"/>
    <n v="113020476"/>
    <s v="Puente Aguilar,Polette"/>
    <s v="Olmos,Carmen"/>
    <n v="0"/>
    <n v="0"/>
    <n v="0"/>
    <n v="0"/>
    <n v="0.13"/>
    <e v="#N/A"/>
    <x v="19"/>
  </r>
  <r>
    <d v="2023-01-10T00:00:00"/>
    <x v="1"/>
    <s v="Admin/HR/IT"/>
    <s v="AMCARE NonOcc In"/>
    <s v="TEMP"/>
    <n v="200625517"/>
    <s v="RamÃ­rez,Miranda"/>
    <s v="Corona Arriaga,Fernando"/>
    <n v="0"/>
    <n v="0"/>
    <n v="0"/>
    <n v="0"/>
    <n v="0.17"/>
    <e v="#N/A"/>
    <x v="0"/>
  </r>
  <r>
    <d v="2023-01-10T00:00:00"/>
    <x v="1"/>
    <s v="Admin/HR/IT"/>
    <s v="AMCARE NonOcc In"/>
    <s v="AMZN"/>
    <n v="113014046"/>
    <s v="Reyes Andrade,Oscar"/>
    <s v="Hernandez,Nataly"/>
    <n v="0"/>
    <n v="0"/>
    <n v="0"/>
    <n v="0"/>
    <n v="1.25"/>
    <e v="#N/A"/>
    <x v="0"/>
  </r>
  <r>
    <d v="2023-01-10T00:00:00"/>
    <x v="1"/>
    <s v="Admin/HR/IT"/>
    <s v="AMCARE NonOcc In"/>
    <s v="AMZN"/>
    <n v="112912752"/>
    <s v="Valderrama Gomez,Leslie"/>
    <s v="Hernandez,Nataly"/>
    <n v="0"/>
    <n v="0"/>
    <n v="0"/>
    <n v="0"/>
    <n v="0.14000000000000001"/>
    <s v="NF-X1900"/>
    <x v="5"/>
  </r>
  <r>
    <d v="2023-01-11T00:00:00"/>
    <x v="1"/>
    <s v="Admin/HR/IT"/>
    <s v="AMCARE NonOcc In"/>
    <s v="AMZN"/>
    <n v="112980899"/>
    <s v="Avila Cabrera,Ari"/>
    <s v="Ledezma,Fer"/>
    <n v="0"/>
    <n v="0"/>
    <n v="0"/>
    <n v="0"/>
    <n v="0.95"/>
    <s v="NF-X1900"/>
    <x v="34"/>
  </r>
  <r>
    <d v="2023-01-11T00:00:00"/>
    <x v="1"/>
    <s v="Admin/HR/IT"/>
    <s v="AMCARE NonOcc In"/>
    <s v="AMZN"/>
    <n v="112971962"/>
    <s v="Reyes  Montes de oca,Alejandra"/>
    <s v="Corona Arriaga,Fernando"/>
    <n v="0"/>
    <n v="0"/>
    <n v="0"/>
    <n v="0"/>
    <n v="0.28000000000000003"/>
    <s v="DB-X0700"/>
    <x v="26"/>
  </r>
  <r>
    <d v="2023-01-11T00:00:00"/>
    <x v="1"/>
    <s v="Admin/HR/IT"/>
    <s v="AMCARE NonOcc In"/>
    <s v="TEMP"/>
    <n v="200508371"/>
    <s v="Perez,Georgina"/>
    <s v="Olmos,Carmen"/>
    <n v="0"/>
    <n v="0"/>
    <n v="0"/>
    <n v="0"/>
    <n v="0.24"/>
    <e v="#N/A"/>
    <x v="0"/>
  </r>
  <r>
    <d v="2023-01-11T00:00:00"/>
    <x v="1"/>
    <s v="Admin/HR/IT"/>
    <s v="AMCARE NonOcc In"/>
    <s v="AMZN"/>
    <n v="113014081"/>
    <s v="Frausto,Genesis"/>
    <s v="Gomez,Abinadab"/>
    <n v="0"/>
    <n v="0"/>
    <n v="0"/>
    <n v="0"/>
    <n v="0.2"/>
    <e v="#N/A"/>
    <x v="9"/>
  </r>
  <r>
    <d v="2023-01-11T00:00:00"/>
    <x v="1"/>
    <s v="Admin/HR/IT"/>
    <s v="AMCARE NonOcc In"/>
    <s v="AMZN"/>
    <n v="113003971"/>
    <s v="Garcia  Ramirez,Gabriel"/>
    <s v="Piedra,Valentina"/>
    <n v="0"/>
    <n v="0"/>
    <n v="0"/>
    <n v="0"/>
    <n v="0.56999999999999995"/>
    <e v="#N/A"/>
    <x v="10"/>
  </r>
  <r>
    <d v="2023-01-11T00:00:00"/>
    <x v="1"/>
    <s v="Admin/HR/IT"/>
    <s v="AMCARE NonOcc In"/>
    <s v="AMZN"/>
    <n v="112912210"/>
    <s v="Fuentes,Jacob"/>
    <s v="Madrid Molina,Ramon"/>
    <n v="0"/>
    <n v="0"/>
    <n v="0"/>
    <n v="0"/>
    <n v="3.3"/>
    <e v="#N/A"/>
    <x v="0"/>
  </r>
  <r>
    <d v="2023-01-11T00:00:00"/>
    <x v="1"/>
    <s v="Admin/HR/IT"/>
    <s v="Safety"/>
    <s v="AMZN"/>
    <n v="111434478"/>
    <s v="Gutierrez,Pame"/>
    <s v="Camarena,Grecia"/>
    <n v="0"/>
    <n v="0"/>
    <n v="0"/>
    <n v="0"/>
    <n v="1.36"/>
    <s v="DA-X0700"/>
    <x v="23"/>
  </r>
  <r>
    <d v="2023-01-11T00:00:00"/>
    <x v="1"/>
    <s v="Admin/HR/IT"/>
    <s v="AMCARE NonOcc In"/>
    <s v="TEMP"/>
    <n v="200553975"/>
    <s v="Duran Villegas,Juan Diego"/>
    <s v="Gutierrez,Hector"/>
    <n v="0"/>
    <n v="0"/>
    <n v="0"/>
    <n v="0"/>
    <n v="0.12"/>
    <e v="#N/A"/>
    <x v="35"/>
  </r>
  <r>
    <d v="2023-01-11T00:00:00"/>
    <x v="1"/>
    <s v="Admin/HR/IT"/>
    <s v="AMCARE NonOcc In"/>
    <s v="AMZN"/>
    <n v="112980842"/>
    <s v="Ornelas,Karla"/>
    <s v="Ledezma,Fer"/>
    <n v="0"/>
    <n v="0"/>
    <n v="0"/>
    <n v="0"/>
    <n v="0.25"/>
    <e v="#N/A"/>
    <x v="0"/>
  </r>
  <r>
    <d v="2023-01-11T00:00:00"/>
    <x v="1"/>
    <s v="Admin/HR/IT"/>
    <s v="AMCARE NonOcc In"/>
    <s v="AMZN"/>
    <n v="112912675"/>
    <s v="Alejandri Villagomez,Alejandra"/>
    <s v="Gutierrez,Hector"/>
    <n v="0"/>
    <n v="0"/>
    <n v="0"/>
    <n v="0"/>
    <n v="0.36"/>
    <e v="#N/A"/>
    <x v="0"/>
  </r>
  <r>
    <d v="2023-01-11T00:00:00"/>
    <x v="1"/>
    <s v="Admin/HR/IT"/>
    <s v="Safety"/>
    <s v="AMZN"/>
    <n v="112950809"/>
    <s v="Rocha,Luz"/>
    <s v="Munoz,Jonan"/>
    <n v="0"/>
    <n v="0"/>
    <n v="0"/>
    <n v="0"/>
    <n v="0.19"/>
    <s v="DA-X0700"/>
    <x v="36"/>
  </r>
  <r>
    <d v="2023-01-11T00:00:00"/>
    <x v="1"/>
    <s v="Admin/HR/IT"/>
    <s v="AMCARE NonOcc In"/>
    <s v="TEMP"/>
    <n v="200562868"/>
    <s v="Martinez Alvarez,Arturo"/>
    <s v="Madrid Molina,Ramon"/>
    <n v="0"/>
    <n v="0"/>
    <n v="0"/>
    <n v="0"/>
    <n v="0.13"/>
    <e v="#N/A"/>
    <x v="0"/>
  </r>
  <r>
    <d v="2023-01-11T00:00:00"/>
    <x v="1"/>
    <s v="Admin/HR/IT"/>
    <s v="AMCARE NonOcc In"/>
    <s v="AMZN"/>
    <n v="112525692"/>
    <s v="Ovalle Gomez,Mayte"/>
    <s v="Garcia Espejel,Brenda Victoria"/>
    <n v="0"/>
    <n v="0"/>
    <n v="0"/>
    <n v="0"/>
    <n v="0.27"/>
    <e v="#N/A"/>
    <x v="0"/>
  </r>
  <r>
    <d v="2023-01-11T00:00:00"/>
    <x v="1"/>
    <s v="Admin/HR/IT"/>
    <s v="AMCARE NonOcc In"/>
    <s v="TEMP"/>
    <n v="200625517"/>
    <s v="RamÃ­rez,Miranda"/>
    <s v="Corona Arriaga,Fernando"/>
    <n v="0"/>
    <n v="0"/>
    <n v="0"/>
    <n v="0"/>
    <n v="1.41"/>
    <e v="#N/A"/>
    <x v="0"/>
  </r>
  <r>
    <d v="2023-01-11T00:00:00"/>
    <x v="1"/>
    <s v="Admin/HR/IT"/>
    <s v="AMCARE NonOcc In"/>
    <s v="AMZN"/>
    <n v="113014046"/>
    <s v="Reyes Andrade,Oscar"/>
    <s v="Hernandez,Nataly"/>
    <n v="0"/>
    <n v="0"/>
    <n v="0"/>
    <n v="0"/>
    <n v="0.23"/>
    <e v="#N/A"/>
    <x v="0"/>
  </r>
  <r>
    <d v="2023-01-11T00:00:00"/>
    <x v="1"/>
    <s v="Admin/HR/IT"/>
    <s v="AMCARE NonOcc In"/>
    <s v="AMZN"/>
    <n v="112950784"/>
    <s v="Rojas,Samuel"/>
    <s v="Gomez Aguado,Jorge"/>
    <n v="0"/>
    <n v="0"/>
    <n v="0"/>
    <n v="0"/>
    <n v="0.25"/>
    <s v="NF-X1900"/>
    <x v="13"/>
  </r>
  <r>
    <d v="2023-01-11T00:00:00"/>
    <x v="1"/>
    <s v="Admin/HR/IT"/>
    <s v="AMCARE NonOcc In"/>
    <s v="AMZN"/>
    <n v="113014402"/>
    <s v="Mendoza Estrada,Juan"/>
    <s v="Gomez Aguado,Jorge"/>
    <n v="0"/>
    <n v="0"/>
    <n v="0"/>
    <n v="0"/>
    <n v="0.19"/>
    <e v="#N/A"/>
    <x v="37"/>
  </r>
  <r>
    <d v="2023-01-11T00:00:00"/>
    <x v="1"/>
    <s v="Admin/HR/IT"/>
    <s v="AMCARE NonOcc In"/>
    <s v="AMZN"/>
    <n v="200404250"/>
    <s v="Hurtado,Caty"/>
    <s v="Robledo Ugarte,Alejandro"/>
    <n v="0"/>
    <n v="0"/>
    <n v="0"/>
    <n v="0"/>
    <n v="0.47"/>
    <e v="#N/A"/>
    <x v="6"/>
  </r>
  <r>
    <d v="2023-01-11T00:00:00"/>
    <x v="1"/>
    <s v="Admin/HR/IT"/>
    <s v="AMCARE NonOcc In"/>
    <s v="AMZN"/>
    <n v="112984097"/>
    <s v="Aguilera,Yaremi"/>
    <s v="Gomez Aguado,Jorge"/>
    <n v="0"/>
    <n v="0"/>
    <n v="0"/>
    <n v="0"/>
    <n v="0.54"/>
    <e v="#N/A"/>
    <x v="0"/>
  </r>
  <r>
    <d v="2023-01-12T00:00:00"/>
    <x v="1"/>
    <s v="Admin/HR/IT"/>
    <s v="AMCARE NonOcc In"/>
    <s v="AMZN"/>
    <n v="112920637"/>
    <s v="Tapia,Antonio Torres"/>
    <s v="Pizana,Diego"/>
    <n v="0"/>
    <n v="0"/>
    <n v="0"/>
    <n v="0"/>
    <n v="1.22"/>
    <s v="DB-X0700"/>
    <x v="38"/>
  </r>
  <r>
    <d v="2023-01-12T00:00:00"/>
    <x v="1"/>
    <s v="Admin/HR/IT"/>
    <s v="AMCARE NonOcc In"/>
    <s v="TEMP"/>
    <n v="200563238"/>
    <s v="Becerra Pardo,Miguel"/>
    <s v="Piedra,Valentina"/>
    <n v="0"/>
    <n v="0"/>
    <n v="0"/>
    <n v="0"/>
    <n v="0.46"/>
    <e v="#N/A"/>
    <x v="0"/>
  </r>
  <r>
    <d v="2023-01-12T00:00:00"/>
    <x v="1"/>
    <s v="Admin/HR/IT"/>
    <s v="AMCARE NonOcc In"/>
    <s v="TEMP"/>
    <n v="200565283"/>
    <s v="Cabrera Sanchez,Eber"/>
    <s v="Gutierrez,Hector"/>
    <n v="0"/>
    <n v="0"/>
    <n v="0"/>
    <n v="0"/>
    <n v="0.4"/>
    <e v="#N/A"/>
    <x v="0"/>
  </r>
  <r>
    <d v="2023-01-12T00:00:00"/>
    <x v="1"/>
    <s v="Admin/HR/IT"/>
    <s v="AMCARE NonOcc In"/>
    <s v="AMZN"/>
    <n v="113138338"/>
    <s v="Cornejo,Cesar"/>
    <s v="Camarena,Grecia"/>
    <n v="0"/>
    <n v="0"/>
    <n v="0"/>
    <n v="0"/>
    <n v="1.68"/>
    <e v="#N/A"/>
    <x v="39"/>
  </r>
  <r>
    <d v="2023-01-12T00:00:00"/>
    <x v="1"/>
    <s v="Admin/HR/IT"/>
    <s v="AMCARE NonOcc In"/>
    <s v="AMZN"/>
    <n v="113138338"/>
    <s v="Cornejo,Cesar"/>
    <s v="Camarena,Grecia"/>
    <n v="0"/>
    <n v="0"/>
    <n v="0"/>
    <n v="0"/>
    <n v="4.5"/>
    <e v="#N/A"/>
    <x v="39"/>
  </r>
  <r>
    <d v="2023-01-12T00:00:00"/>
    <x v="1"/>
    <s v="Admin/HR/IT"/>
    <s v="AMCARE NonOcc In"/>
    <s v="AMZN"/>
    <n v="112971962"/>
    <s v="Reyes  Montes de oca,Alejandra"/>
    <s v="Corona Arriaga,Fernando"/>
    <n v="0"/>
    <n v="0"/>
    <n v="0"/>
    <n v="0"/>
    <n v="0.28000000000000003"/>
    <s v="DB-X0700"/>
    <x v="26"/>
  </r>
  <r>
    <d v="2023-01-12T00:00:00"/>
    <x v="1"/>
    <s v="Admin/HR/IT"/>
    <s v="AMCARE NonOcc In"/>
    <s v="AMZN"/>
    <n v="112950802"/>
    <s v="Blee,Fabian"/>
    <s v="Porcar Guri,Albert"/>
    <n v="0"/>
    <n v="0"/>
    <n v="0"/>
    <n v="0"/>
    <n v="0.15"/>
    <e v="#N/A"/>
    <x v="0"/>
  </r>
  <r>
    <d v="2023-01-12T00:00:00"/>
    <x v="1"/>
    <s v="Admin/HR/IT"/>
    <s v="AMCARE NonOcc In"/>
    <s v="TEMP"/>
    <n v="200508371"/>
    <s v="Perez,Georgina"/>
    <s v="Olmos,Carmen"/>
    <n v="0"/>
    <n v="0"/>
    <n v="0"/>
    <n v="0"/>
    <n v="0.18"/>
    <e v="#N/A"/>
    <x v="0"/>
  </r>
  <r>
    <d v="2023-01-12T00:00:00"/>
    <x v="1"/>
    <s v="Admin/HR/IT"/>
    <s v="AMCARE NonOcc In"/>
    <s v="AMZN"/>
    <n v="112916534"/>
    <s v="Esparza Sanchez,Areli"/>
    <s v="Gutierrez,Hector"/>
    <n v="0"/>
    <n v="0"/>
    <n v="0"/>
    <n v="0"/>
    <n v="1.42"/>
    <s v="DB-X0700"/>
    <x v="40"/>
  </r>
  <r>
    <d v="2023-01-12T00:00:00"/>
    <x v="1"/>
    <s v="Admin/HR/IT"/>
    <s v="AMCARE NonOcc In"/>
    <s v="TEMP"/>
    <n v="200526598"/>
    <s v="Tellez Nunez,Enrique"/>
    <s v="Piedra,Valentina"/>
    <n v="0"/>
    <n v="0"/>
    <n v="0"/>
    <n v="0"/>
    <n v="0.39"/>
    <e v="#N/A"/>
    <x v="0"/>
  </r>
  <r>
    <d v="2023-01-12T00:00:00"/>
    <x v="1"/>
    <s v="Admin/HR/IT"/>
    <s v="AMCARE NonOcc In"/>
    <s v="AMZN"/>
    <n v="113014081"/>
    <s v="Frausto,Genesis"/>
    <s v="Gomez,Abinadab"/>
    <n v="0"/>
    <n v="0"/>
    <n v="0"/>
    <n v="0"/>
    <n v="0.2"/>
    <e v="#N/A"/>
    <x v="9"/>
  </r>
  <r>
    <d v="2023-01-12T00:00:00"/>
    <x v="1"/>
    <s v="Admin/HR/IT"/>
    <s v="AMCARE NonOcc In"/>
    <s v="AMZN"/>
    <n v="112984928"/>
    <s v="Espinoza,Francisco"/>
    <s v="Gutierrez,Hector"/>
    <n v="0"/>
    <n v="0"/>
    <n v="0"/>
    <n v="0"/>
    <n v="0.43"/>
    <e v="#N/A"/>
    <x v="0"/>
  </r>
  <r>
    <d v="2023-01-12T00:00:00"/>
    <x v="1"/>
    <s v="Admin/HR/IT"/>
    <s v="AMCARE NonOcc In"/>
    <s v="AMZN"/>
    <n v="112951256"/>
    <s v="Ramirez Vallejo,Kateryne"/>
    <s v="Camarena,Grecia"/>
    <n v="0"/>
    <n v="0"/>
    <n v="0"/>
    <n v="0"/>
    <n v="0.03"/>
    <s v="DA-X0700"/>
    <x v="27"/>
  </r>
  <r>
    <d v="2023-01-12T00:00:00"/>
    <x v="1"/>
    <s v="Admin/HR/IT"/>
    <s v="AMCARE NonOcc In"/>
    <s v="TEMP"/>
    <n v="200589316"/>
    <s v="Torres Zuniga,Daniel"/>
    <s v="Corona Arriaga,Fernando"/>
    <n v="0"/>
    <n v="0"/>
    <n v="0"/>
    <n v="0"/>
    <n v="0.17"/>
    <e v="#N/A"/>
    <x v="0"/>
  </r>
  <r>
    <d v="2023-01-12T00:00:00"/>
    <x v="1"/>
    <s v="Admin/HR/IT"/>
    <s v="AMCARE NonOcc In"/>
    <s v="AMZN"/>
    <n v="113040583"/>
    <s v="Palomo,Lizbeth"/>
    <s v="Gutierrez,Hector"/>
    <n v="0"/>
    <n v="0"/>
    <n v="0"/>
    <n v="0"/>
    <n v="1.1499999999999999"/>
    <e v="#N/A"/>
    <x v="0"/>
  </r>
  <r>
    <d v="2023-01-12T00:00:00"/>
    <x v="1"/>
    <s v="Admin/HR/IT"/>
    <s v="AMCARE NonOcc In"/>
    <s v="AMZN"/>
    <n v="112912675"/>
    <s v="Alejandri Villagomez,Alejandra"/>
    <s v="Gutierrez,Hector"/>
    <n v="0"/>
    <n v="0"/>
    <n v="0"/>
    <n v="0"/>
    <n v="0.65"/>
    <e v="#N/A"/>
    <x v="0"/>
  </r>
  <r>
    <d v="2023-01-12T00:00:00"/>
    <x v="1"/>
    <s v="Admin/HR/IT"/>
    <s v="AMCARE NonOcc In"/>
    <s v="AMZN"/>
    <n v="200407907"/>
    <s v="BaÃ±os Lopez,Mario"/>
    <s v="Robledo Ugarte,Alejandro"/>
    <n v="0"/>
    <n v="0"/>
    <n v="0"/>
    <n v="0"/>
    <n v="0.28000000000000003"/>
    <e v="#N/A"/>
    <x v="0"/>
  </r>
  <r>
    <d v="2023-01-12T00:00:00"/>
    <x v="1"/>
    <s v="Admin/HR/IT"/>
    <s v="AMCARE NonOcc In"/>
    <s v="AMZN"/>
    <n v="112912163"/>
    <s v="Murillo,Alejandro"/>
    <s v="Gomez Aguado,Jorge"/>
    <n v="0"/>
    <n v="0"/>
    <n v="0"/>
    <n v="0"/>
    <n v="0.26"/>
    <e v="#N/A"/>
    <x v="0"/>
  </r>
  <r>
    <d v="2023-01-12T00:00:00"/>
    <x v="1"/>
    <s v="Admin/HR/IT"/>
    <s v="AMCARE NonOcc In"/>
    <s v="TEMP"/>
    <n v="200554743"/>
    <s v="Rivera Hernandez,Liliana"/>
    <s v="Olmos,Carmen"/>
    <n v="0"/>
    <n v="0"/>
    <n v="0"/>
    <n v="0"/>
    <n v="0.17"/>
    <e v="#N/A"/>
    <x v="0"/>
  </r>
  <r>
    <d v="2023-01-12T00:00:00"/>
    <x v="1"/>
    <s v="Admin/HR/IT"/>
    <s v="AMCARE NonOcc In"/>
    <s v="TEMP"/>
    <n v="200536194"/>
    <s v="Delgado,Bryan"/>
    <s v="Olmos,Carmen"/>
    <n v="0"/>
    <n v="0"/>
    <n v="0"/>
    <n v="0"/>
    <n v="0.3"/>
    <e v="#N/A"/>
    <x v="0"/>
  </r>
  <r>
    <d v="2023-01-12T00:00:00"/>
    <x v="1"/>
    <s v="Admin/HR/IT"/>
    <s v="AMCARE NonOcc In"/>
    <s v="AMZN"/>
    <n v="113014042"/>
    <s v="Cervantes,Rose"/>
    <s v="Olmos,Carmen"/>
    <n v="0"/>
    <n v="0"/>
    <n v="0"/>
    <n v="0"/>
    <n v="1.1599999999999999"/>
    <e v="#N/A"/>
    <x v="20"/>
  </r>
  <r>
    <d v="2023-01-12T00:00:00"/>
    <x v="1"/>
    <s v="Admin/HR/IT"/>
    <s v="AMCARE NonOcc In"/>
    <s v="AMZN"/>
    <n v="112980832"/>
    <s v="Cruz Martinez,Salvador"/>
    <s v="Madrid Molina,Ramon"/>
    <n v="0"/>
    <n v="0"/>
    <n v="0"/>
    <n v="0"/>
    <n v="0.23"/>
    <e v="#N/A"/>
    <x v="0"/>
  </r>
  <r>
    <d v="2023-01-12T00:00:00"/>
    <x v="1"/>
    <s v="Admin/HR/IT"/>
    <s v="AMCARE NonOcc In"/>
    <s v="AMZN"/>
    <n v="112950784"/>
    <s v="Rojas,Samuel"/>
    <s v="Gomez Aguado,Jorge"/>
    <n v="0"/>
    <n v="0"/>
    <n v="0"/>
    <n v="0"/>
    <n v="0.25"/>
    <s v="NF-X1900"/>
    <x v="13"/>
  </r>
  <r>
    <d v="2023-01-12T00:00:00"/>
    <x v="1"/>
    <s v="Admin/HR/IT"/>
    <s v="AMCARE NonOcc In"/>
    <s v="AMZN"/>
    <n v="112912753"/>
    <s v="Padilla Abrego,Selene"/>
    <s v="Gomez Aguado,Jorge"/>
    <n v="0"/>
    <n v="0"/>
    <n v="0"/>
    <n v="0"/>
    <n v="0.05"/>
    <e v="#N/A"/>
    <x v="0"/>
  </r>
  <r>
    <d v="2023-01-12T00:00:00"/>
    <x v="1"/>
    <s v="Admin/HR/IT"/>
    <s v="AMCARE NonOcc In"/>
    <s v="TEMP"/>
    <n v="200508315"/>
    <s v="Herrera,Aldair"/>
    <s v="Olmos,Carmen"/>
    <n v="0"/>
    <n v="0"/>
    <n v="0"/>
    <n v="0"/>
    <n v="0.19"/>
    <e v="#N/A"/>
    <x v="41"/>
  </r>
  <r>
    <d v="2023-01-12T00:00:00"/>
    <x v="1"/>
    <s v="Admin/HR/IT"/>
    <s v="AMCARE NonOcc In"/>
    <s v="AMZN"/>
    <n v="112980862"/>
    <s v="Tecla,Alejandro"/>
    <s v="Robledo Ugarte,Alejandro"/>
    <n v="0"/>
    <n v="0"/>
    <n v="0"/>
    <n v="0"/>
    <n v="0.37"/>
    <e v="#N/A"/>
    <x v="0"/>
  </r>
  <r>
    <d v="2023-01-12T00:00:00"/>
    <x v="1"/>
    <s v="Admin/HR/IT"/>
    <s v="AMCARE NonOcc In"/>
    <s v="AMZN"/>
    <n v="200404250"/>
    <s v="Hurtado,Caty"/>
    <s v="Robledo Ugarte,Alejandro"/>
    <n v="0"/>
    <n v="0"/>
    <n v="0"/>
    <n v="0"/>
    <n v="0.47"/>
    <e v="#N/A"/>
    <x v="6"/>
  </r>
  <r>
    <d v="2023-01-12T00:00:00"/>
    <x v="1"/>
    <s v="Admin/HR/IT"/>
    <s v="AMCARE NonOcc In"/>
    <s v="AMZN"/>
    <n v="200404250"/>
    <s v="Hurtado,Caty"/>
    <s v="Robledo Ugarte,Alejandro"/>
    <n v="0"/>
    <n v="0"/>
    <n v="0"/>
    <n v="0"/>
    <n v="0.56000000000000005"/>
    <e v="#N/A"/>
    <x v="6"/>
  </r>
  <r>
    <d v="2023-01-12T00:00:00"/>
    <x v="1"/>
    <s v="Admin/HR/IT"/>
    <s v="AMCARE NonOcc In"/>
    <s v="AMZN"/>
    <n v="112984097"/>
    <s v="Aguilera,Yaremi"/>
    <s v="Gomez Aguado,Jorge"/>
    <n v="0"/>
    <n v="0"/>
    <n v="0"/>
    <n v="0"/>
    <n v="0.54"/>
    <e v="#N/A"/>
    <x v="0"/>
  </r>
  <r>
    <d v="2023-01-12T00:00:00"/>
    <x v="1"/>
    <s v="Admin/HR/IT"/>
    <s v="AMCARE NonOcc In"/>
    <s v="TEMP"/>
    <n v="200509428"/>
    <s v="Guevara Ramirez,Zayra Lorena"/>
    <s v="Gomez Aguado,Jorge"/>
    <n v="0"/>
    <n v="0"/>
    <n v="0"/>
    <n v="0"/>
    <n v="0.32"/>
    <e v="#N/A"/>
    <x v="0"/>
  </r>
  <r>
    <d v="2023-01-13T00:00:00"/>
    <x v="1"/>
    <s v="Admin/HR/IT"/>
    <s v="AMCARE NonOcc In"/>
    <s v="AMZN"/>
    <n v="112973049"/>
    <s v="Tavares Parra,Ely"/>
    <s v="Piedra,Valentina"/>
    <n v="0"/>
    <n v="0"/>
    <n v="0"/>
    <n v="0"/>
    <n v="0.46"/>
    <s v="DB-X0700"/>
    <x v="14"/>
  </r>
  <r>
    <d v="2023-01-13T00:00:00"/>
    <x v="1"/>
    <s v="Admin/HR/IT"/>
    <s v="AMCARE NonOcc In"/>
    <s v="TEMP"/>
    <n v="200563210"/>
    <s v="Becerra Pardo,Arlet"/>
    <s v="Romero Sanchez,Gustavo Gabriel"/>
    <n v="0"/>
    <n v="0"/>
    <n v="0"/>
    <n v="0"/>
    <n v="0.09"/>
    <e v="#N/A"/>
    <x v="0"/>
  </r>
  <r>
    <d v="2023-01-13T00:00:00"/>
    <x v="1"/>
    <s v="Admin/HR/IT"/>
    <s v="AMCARE NonOcc In"/>
    <s v="AMZN"/>
    <n v="111188907"/>
    <s v="Espina Miranda,Estrella"/>
    <s v="Lopez,Alexa"/>
    <n v="0"/>
    <n v="0"/>
    <n v="0"/>
    <n v="0"/>
    <n v="0.26"/>
    <e v="#N/A"/>
    <x v="0"/>
  </r>
  <r>
    <d v="2023-01-13T00:00:00"/>
    <x v="1"/>
    <s v="Admin/HR/IT"/>
    <s v="AMCARE NonOcc In"/>
    <s v="AMZN"/>
    <n v="112916534"/>
    <s v="Esparza Sanchez,Areli"/>
    <s v="Gutierrez,Hector"/>
    <n v="0"/>
    <n v="0"/>
    <n v="0"/>
    <n v="0"/>
    <n v="0.54"/>
    <s v="DB-X0700"/>
    <x v="40"/>
  </r>
  <r>
    <d v="2023-01-13T00:00:00"/>
    <x v="1"/>
    <s v="Admin/HR/IT"/>
    <s v="AMCARE Occ In"/>
    <s v="AMZN"/>
    <n v="112916534"/>
    <s v="Esparza Sanchez,Areli"/>
    <s v="Gutierrez,Hector"/>
    <n v="0"/>
    <n v="0"/>
    <n v="0"/>
    <n v="0"/>
    <n v="1.49"/>
    <s v="DB-X0700"/>
    <x v="40"/>
  </r>
  <r>
    <d v="2023-01-13T00:00:00"/>
    <x v="1"/>
    <s v="Admin/HR/IT"/>
    <s v="AMCARE NonOcc In"/>
    <s v="AMZN"/>
    <n v="112980845"/>
    <s v="Guevara,Irma Martinez"/>
    <s v="Camarena,Grecia"/>
    <n v="0"/>
    <n v="0"/>
    <n v="0"/>
    <n v="0"/>
    <n v="0.39"/>
    <e v="#N/A"/>
    <x v="0"/>
  </r>
  <r>
    <d v="2023-01-13T00:00:00"/>
    <x v="1"/>
    <s v="Admin/HR/IT"/>
    <s v="AMCARE NonOcc In"/>
    <s v="AMZN"/>
    <n v="113141911"/>
    <s v="Larrazolo Pena,Ireri"/>
    <s v="Camarena,Grecia"/>
    <n v="0"/>
    <n v="0"/>
    <n v="0"/>
    <n v="0"/>
    <n v="0.47"/>
    <e v="#N/A"/>
    <x v="0"/>
  </r>
  <r>
    <d v="2023-01-13T00:00:00"/>
    <x v="1"/>
    <s v="Admin/HR/IT"/>
    <s v="AMCARE NonOcc In"/>
    <s v="TEMP"/>
    <n v="200589316"/>
    <s v="Torres Zuniga,Daniel"/>
    <s v="Corona Arriaga,Fernando"/>
    <n v="0"/>
    <n v="0"/>
    <n v="0"/>
    <n v="0"/>
    <n v="0.37"/>
    <e v="#N/A"/>
    <x v="0"/>
  </r>
  <r>
    <d v="2023-01-13T00:00:00"/>
    <x v="1"/>
    <s v="Admin/HR/IT"/>
    <s v="AMCARE NonOcc In"/>
    <s v="TEMP"/>
    <n v="109227086"/>
    <s v="Tavares,Alejandra"/>
    <s v="Gomez Aguado,Jorge"/>
    <n v="0"/>
    <n v="0"/>
    <n v="0"/>
    <n v="0"/>
    <n v="0.26"/>
    <e v="#N/A"/>
    <x v="0"/>
  </r>
  <r>
    <d v="2023-01-13T00:00:00"/>
    <x v="1"/>
    <s v="Admin/HR/IT"/>
    <s v="AMCARE NonOcc In"/>
    <s v="AMZN"/>
    <n v="113040583"/>
    <s v="Palomo,Lizbeth"/>
    <s v="Gutierrez,Hector"/>
    <n v="0"/>
    <n v="0"/>
    <n v="0"/>
    <n v="0"/>
    <n v="0.36"/>
    <e v="#N/A"/>
    <x v="0"/>
  </r>
  <r>
    <d v="2023-01-13T00:00:00"/>
    <x v="1"/>
    <s v="Admin/HR/IT"/>
    <s v="AMCARE NonOcc In"/>
    <s v="AMZN"/>
    <n v="112912675"/>
    <s v="Alejandri Villagomez,Alejandra"/>
    <s v="Gutierrez,Hector"/>
    <n v="0"/>
    <n v="0"/>
    <n v="0"/>
    <n v="0"/>
    <n v="0.19"/>
    <e v="#N/A"/>
    <x v="0"/>
  </r>
  <r>
    <d v="2023-01-13T00:00:00"/>
    <x v="1"/>
    <s v="Admin/HR/IT"/>
    <s v="AMCARE NonOcc In"/>
    <s v="AMZN"/>
    <n v="112980846"/>
    <s v="Mojica  Gallardo,Jonathan"/>
    <s v="Ledezma,Fer"/>
    <n v="0"/>
    <n v="0"/>
    <n v="0"/>
    <n v="0"/>
    <n v="0.39"/>
    <e v="#N/A"/>
    <x v="0"/>
  </r>
  <r>
    <d v="2023-01-13T00:00:00"/>
    <x v="1"/>
    <s v="Admin/HR/IT"/>
    <s v="AMCARE NonOcc In"/>
    <s v="TEMP"/>
    <n v="200562154"/>
    <s v="Reyes Muniz,Cristian"/>
    <s v="Piedra,Valentina"/>
    <n v="0"/>
    <n v="0"/>
    <n v="0"/>
    <n v="0"/>
    <n v="0.31"/>
    <e v="#N/A"/>
    <x v="42"/>
  </r>
  <r>
    <d v="2023-01-13T00:00:00"/>
    <x v="1"/>
    <s v="Admin/HR/IT"/>
    <s v="AMCARE NonOcc In"/>
    <s v="TEMP"/>
    <n v="200564845"/>
    <s v="Barron,Abraham"/>
    <s v="Romero Sanchez,Gustavo Gabriel"/>
    <n v="0"/>
    <n v="0"/>
    <n v="0"/>
    <n v="0"/>
    <n v="0.19"/>
    <e v="#N/A"/>
    <x v="0"/>
  </r>
  <r>
    <d v="2023-01-14T00:00:00"/>
    <x v="1"/>
    <s v="Admin/HR/IT"/>
    <s v="AMCARE NonOcc In"/>
    <s v="AMZN"/>
    <n v="113003679"/>
    <s v="Ibarra,Jose"/>
    <s v="Romero Sanchez,Gustavo Gabriel"/>
    <n v="0"/>
    <n v="0"/>
    <n v="0"/>
    <n v="0"/>
    <n v="0.38"/>
    <e v="#N/A"/>
    <x v="0"/>
  </r>
  <r>
    <d v="2023-01-14T00:00:00"/>
    <x v="1"/>
    <s v="Admin/HR/IT"/>
    <s v="AMCARE NonOcc In"/>
    <s v="TEMP"/>
    <n v="200562154"/>
    <s v="Reyes Muniz,Cristian"/>
    <s v="Piedra,Valentina"/>
    <n v="0"/>
    <n v="0"/>
    <n v="0"/>
    <n v="0"/>
    <n v="0.42"/>
    <e v="#N/A"/>
    <x v="42"/>
  </r>
  <r>
    <d v="2023-01-14T00:00:00"/>
    <x v="1"/>
    <s v="Admin/HR/IT"/>
    <s v="AMCARE NonOcc In"/>
    <s v="AMZN"/>
    <n v="113040583"/>
    <s v="Palomo,Lizbeth"/>
    <s v="Gutierrez,Hector"/>
    <n v="0"/>
    <n v="0"/>
    <n v="0"/>
    <n v="0"/>
    <n v="0.6"/>
    <e v="#N/A"/>
    <x v="0"/>
  </r>
  <r>
    <d v="2023-01-14T00:00:00"/>
    <x v="1"/>
    <s v="Admin/HR/IT"/>
    <s v="AMCARE NonOcc In"/>
    <s v="AMZN"/>
    <n v="113014042"/>
    <s v="Cervantes,Rose"/>
    <s v="Olmos,Carmen"/>
    <n v="0"/>
    <n v="0"/>
    <n v="0"/>
    <n v="0"/>
    <n v="0.34"/>
    <e v="#N/A"/>
    <x v="20"/>
  </r>
  <r>
    <d v="2023-01-14T00:00:00"/>
    <x v="1"/>
    <s v="Admin/HR/IT"/>
    <s v="AMCARE NonOcc In"/>
    <s v="AMZN"/>
    <n v="113141911"/>
    <s v="Larrazolo Pena,Ireri"/>
    <s v="Camarena,Grecia"/>
    <n v="0"/>
    <n v="0"/>
    <n v="0"/>
    <n v="0"/>
    <n v="0.98"/>
    <e v="#N/A"/>
    <x v="0"/>
  </r>
  <r>
    <d v="2023-01-14T00:00:00"/>
    <x v="1"/>
    <s v="Admin/HR/IT"/>
    <s v="AMCARE NonOcc In"/>
    <s v="AMZN"/>
    <n v="113019083"/>
    <s v="Contreras,Marco"/>
    <s v="Romero Sanchez,Gustavo Gabriel"/>
    <n v="0"/>
    <n v="0"/>
    <n v="0"/>
    <n v="0"/>
    <n v="0.17"/>
    <e v="#N/A"/>
    <x v="0"/>
  </r>
  <r>
    <d v="2023-01-14T00:00:00"/>
    <x v="1"/>
    <s v="Admin/HR/IT"/>
    <s v="AMCARE NonOcc In"/>
    <s v="AMZN"/>
    <n v="112971980"/>
    <s v="Romero,Daniel"/>
    <s v="Pizana,Diego"/>
    <n v="0"/>
    <n v="0"/>
    <n v="0"/>
    <n v="0"/>
    <n v="0.6"/>
    <s v="DC-X0700"/>
    <x v="43"/>
  </r>
  <r>
    <d v="2023-01-14T00:00:00"/>
    <x v="1"/>
    <s v="Admin/HR/IT"/>
    <s v="AMCARE NonOcc In"/>
    <s v="AMZN"/>
    <n v="112972958"/>
    <s v="Gonzalez Gonzalez,Antonio"/>
    <s v="Porcar Guri,Albert"/>
    <n v="0"/>
    <n v="0"/>
    <n v="0"/>
    <n v="0"/>
    <n v="0.09"/>
    <s v="D5-X0700"/>
    <x v="44"/>
  </r>
  <r>
    <d v="2023-01-14T00:00:00"/>
    <x v="1"/>
    <s v="Admin/HR/IT"/>
    <s v="AMCARE NonOcc In"/>
    <s v="AMZN"/>
    <n v="112912675"/>
    <s v="Alejandri Villagomez,Alejandra"/>
    <s v="Gutierrez,Hector"/>
    <n v="0"/>
    <n v="0"/>
    <n v="0"/>
    <n v="0"/>
    <n v="0.86"/>
    <e v="#N/A"/>
    <x v="0"/>
  </r>
  <r>
    <d v="2023-01-14T00:00:00"/>
    <x v="1"/>
    <s v="Admin/HR/IT"/>
    <s v="AMCARE NonOcc In"/>
    <s v="AMZN"/>
    <n v="112984928"/>
    <s v="Espinoza,Francisco"/>
    <s v="Gutierrez,Hector"/>
    <n v="0"/>
    <n v="0"/>
    <n v="0"/>
    <n v="0"/>
    <n v="0.23"/>
    <e v="#N/A"/>
    <x v="0"/>
  </r>
  <r>
    <d v="2023-01-15T00:00:00"/>
    <x v="2"/>
    <s v="Admin/HR/IT"/>
    <s v="AMCARE NonOcc In"/>
    <s v="AMZN"/>
    <n v="112972710"/>
    <s v="Cortes Elias,Jessica"/>
    <s v="Camarena,Grecia"/>
    <n v="0"/>
    <n v="0"/>
    <n v="0"/>
    <n v="0"/>
    <n v="0.15"/>
    <s v="DX-X0700"/>
    <x v="45"/>
  </r>
  <r>
    <d v="2023-01-15T00:00:00"/>
    <x v="2"/>
    <s v="Admin/HR/IT"/>
    <s v="AMCARE NonOcc In"/>
    <s v="AMZN"/>
    <n v="113014081"/>
    <s v="Frausto,Genesis"/>
    <s v="Gomez,Abinadab"/>
    <n v="0"/>
    <n v="0"/>
    <n v="0"/>
    <n v="0"/>
    <n v="0.44"/>
    <e v="#N/A"/>
    <x v="9"/>
  </r>
  <r>
    <d v="2023-01-15T00:00:00"/>
    <x v="2"/>
    <s v="Admin/HR/IT"/>
    <s v="AMCARE NonOcc In"/>
    <s v="AMZN"/>
    <n v="112976013"/>
    <s v="Garcia,Roberto"/>
    <s v="Munoz,Jonan"/>
    <n v="0"/>
    <n v="0"/>
    <n v="0"/>
    <n v="0"/>
    <n v="0.9"/>
    <e v="#N/A"/>
    <x v="0"/>
  </r>
  <r>
    <d v="2023-01-15T00:00:00"/>
    <x v="2"/>
    <s v="Admin/HR/IT"/>
    <s v="AMCARE NonOcc In"/>
    <s v="AMZN"/>
    <n v="113141911"/>
    <s v="Larrazolo Pena,Ireri"/>
    <s v="Camarena,Grecia"/>
    <n v="0"/>
    <n v="0"/>
    <n v="0"/>
    <n v="0"/>
    <n v="2.35"/>
    <e v="#N/A"/>
    <x v="0"/>
  </r>
  <r>
    <d v="2023-01-15T00:00:00"/>
    <x v="2"/>
    <s v="Admin/HR/IT"/>
    <s v="AMCARE NonOcc In"/>
    <s v="AMZN"/>
    <n v="113003679"/>
    <s v="Ibarra,Jose"/>
    <s v="Romero Sanchez,Gustavo Gabriel"/>
    <n v="0"/>
    <n v="0"/>
    <n v="0"/>
    <n v="0"/>
    <n v="1"/>
    <e v="#N/A"/>
    <x v="0"/>
  </r>
  <r>
    <d v="2023-01-15T00:00:00"/>
    <x v="2"/>
    <s v="Admin/HR/IT"/>
    <s v="AMCARE NonOcc In"/>
    <s v="AMZN"/>
    <n v="112912663"/>
    <s v="Segura,Lucero"/>
    <s v="Munoz,Jonan"/>
    <n v="0"/>
    <n v="0"/>
    <n v="0"/>
    <n v="0"/>
    <n v="0.31"/>
    <e v="#N/A"/>
    <x v="0"/>
  </r>
  <r>
    <d v="2023-01-15T00:00:00"/>
    <x v="2"/>
    <s v="Admin/HR/IT"/>
    <s v="AMCARE NonOcc In"/>
    <s v="AMZN"/>
    <n v="113014091"/>
    <s v="Talco Torres,Cristian"/>
    <s v="Romero Sanchez,Gustavo Gabriel"/>
    <n v="0"/>
    <n v="0"/>
    <n v="0"/>
    <n v="0"/>
    <n v="0.28000000000000003"/>
    <e v="#N/A"/>
    <x v="0"/>
  </r>
  <r>
    <d v="2023-01-15T00:00:00"/>
    <x v="2"/>
    <s v="Admin/HR/IT"/>
    <s v="AMCARE NonOcc In"/>
    <s v="AMZN"/>
    <n v="112972194"/>
    <s v="Vela Angeles,Fernanda"/>
    <s v="Camarena,Grecia"/>
    <n v="0"/>
    <n v="0"/>
    <n v="0"/>
    <n v="0"/>
    <n v="0.76"/>
    <s v="DB-X0700"/>
    <x v="46"/>
  </r>
  <r>
    <d v="2023-01-15T00:00:00"/>
    <x v="2"/>
    <s v="Admin/HR/IT"/>
    <s v="AMCARE NonOcc In"/>
    <s v="AMZN"/>
    <n v="112912509"/>
    <s v="Gutierrez Portillo,Joceline"/>
    <s v="Madrid Molina,Ramon"/>
    <n v="0"/>
    <n v="0"/>
    <n v="0"/>
    <n v="0"/>
    <n v="0.17"/>
    <e v="#N/A"/>
    <x v="0"/>
  </r>
  <r>
    <d v="2023-01-15T00:00:00"/>
    <x v="2"/>
    <s v="Admin/HR/IT"/>
    <s v="AMCARE NonOcc In"/>
    <s v="TEMP"/>
    <n v="200620341"/>
    <s v="Camacho Ramirez,Carlos"/>
    <s v="Madrid Molina,Ramon"/>
    <n v="0"/>
    <n v="0"/>
    <n v="0"/>
    <n v="0"/>
    <n v="0.83"/>
    <e v="#N/A"/>
    <x v="0"/>
  </r>
  <r>
    <d v="2023-01-15T00:00:00"/>
    <x v="2"/>
    <s v="Admin/HR/IT"/>
    <s v="AMCARE NonOcc In"/>
    <s v="TEMP"/>
    <n v="200509428"/>
    <s v="Guevara Ramirez,Zayra Lorena"/>
    <s v="Gomez Aguado,Jorge"/>
    <n v="0"/>
    <n v="0"/>
    <n v="0"/>
    <n v="0"/>
    <n v="0.14000000000000001"/>
    <e v="#N/A"/>
    <x v="0"/>
  </r>
  <r>
    <d v="2023-01-16T00:00:00"/>
    <x v="2"/>
    <s v="Admin/HR/IT"/>
    <s v="AMCARE NonOcc In"/>
    <s v="AMZN"/>
    <n v="112981204"/>
    <s v="Martinez  Trueba,Angel"/>
    <s v="Gomez Aguado,Jorge"/>
    <n v="0"/>
    <n v="0"/>
    <n v="0"/>
    <n v="0"/>
    <n v="0.87"/>
    <e v="#N/A"/>
    <x v="0"/>
  </r>
  <r>
    <d v="2023-01-16T00:00:00"/>
    <x v="2"/>
    <s v="Admin/HR/IT"/>
    <s v="AMCARE NonOcc In"/>
    <s v="AMZN"/>
    <n v="112980899"/>
    <s v="Avila Cabrera,Ari"/>
    <s v="Ledezma,Fer"/>
    <n v="0"/>
    <n v="0"/>
    <n v="0"/>
    <n v="0"/>
    <n v="0.4"/>
    <s v="NF-X1900"/>
    <x v="34"/>
  </r>
  <r>
    <d v="2023-01-16T00:00:00"/>
    <x v="2"/>
    <s v="Admin/HR/IT"/>
    <s v="AMCARE NonOcc In"/>
    <s v="AMZN"/>
    <n v="112981009"/>
    <s v="Ceja Sanchez,Jonathan"/>
    <s v="Ledezma,Fer"/>
    <n v="0"/>
    <n v="0"/>
    <n v="0"/>
    <n v="0"/>
    <n v="0.19"/>
    <e v="#N/A"/>
    <x v="0"/>
  </r>
  <r>
    <d v="2023-01-16T00:00:00"/>
    <x v="2"/>
    <s v="Admin/HR/IT"/>
    <s v="AMCARE NonOcc In"/>
    <s v="AMZN"/>
    <n v="113014084"/>
    <s v="Diaz,Manuel"/>
    <s v="Corona Arriaga,Fernando"/>
    <n v="0"/>
    <n v="0"/>
    <n v="0"/>
    <n v="0"/>
    <n v="0.14000000000000001"/>
    <e v="#N/A"/>
    <x v="47"/>
  </r>
  <r>
    <d v="2023-01-16T00:00:00"/>
    <x v="2"/>
    <s v="Admin/HR/IT"/>
    <s v="AMCARE NonOcc In"/>
    <s v="AMZN"/>
    <n v="113019001"/>
    <s v="Lozano Hernandez,Donny"/>
    <s v="Hernandez,Nataly"/>
    <n v="0"/>
    <n v="0"/>
    <n v="0"/>
    <n v="0"/>
    <n v="0.17"/>
    <e v="#N/A"/>
    <x v="48"/>
  </r>
  <r>
    <d v="2023-01-16T00:00:00"/>
    <x v="2"/>
    <s v="Admin/HR/IT"/>
    <s v="AMCARE NonOcc In"/>
    <s v="AMZN"/>
    <n v="113014094"/>
    <s v="Mercado,Erika"/>
    <s v="Gomez Aguado,Jorge"/>
    <n v="0"/>
    <n v="0"/>
    <n v="0"/>
    <n v="0"/>
    <n v="0.22"/>
    <e v="#N/A"/>
    <x v="49"/>
  </r>
  <r>
    <d v="2023-01-16T00:00:00"/>
    <x v="2"/>
    <s v="Admin/HR/IT"/>
    <s v="AMCARE NonOcc In"/>
    <s v="TEMP"/>
    <n v="200534518"/>
    <s v="Flores,Alejandro"/>
    <s v="Ledezma,Fer"/>
    <n v="0"/>
    <n v="0"/>
    <n v="0"/>
    <n v="0"/>
    <n v="0.2"/>
    <e v="#N/A"/>
    <x v="0"/>
  </r>
  <r>
    <d v="2023-01-16T00:00:00"/>
    <x v="2"/>
    <s v="Admin/HR/IT"/>
    <s v="AMCARE NonOcc In"/>
    <s v="AMZN"/>
    <n v="112950797"/>
    <s v="Serna,Denisse"/>
    <s v="Madrid Molina,Ramon"/>
    <n v="0"/>
    <n v="0"/>
    <n v="0"/>
    <n v="0"/>
    <n v="0.34"/>
    <s v="DA-X0700"/>
    <x v="1"/>
  </r>
  <r>
    <d v="2023-01-16T00:00:00"/>
    <x v="2"/>
    <s v="Admin/HR/IT"/>
    <s v="AMCARE NonOcc In"/>
    <s v="AMZN"/>
    <n v="112991231"/>
    <s v="Lino,Luisa"/>
    <s v="Ledezma,Fer"/>
    <n v="0"/>
    <n v="0"/>
    <n v="0"/>
    <n v="0"/>
    <n v="0.36"/>
    <e v="#N/A"/>
    <x v="0"/>
  </r>
  <r>
    <d v="2023-01-16T00:00:00"/>
    <x v="2"/>
    <s v="Admin/HR/IT"/>
    <s v="AMCARE NonOcc In"/>
    <s v="TEMP"/>
    <n v="200620024"/>
    <s v="Navarro,Miriam"/>
    <s v="Robledo Ugarte,Alejandro"/>
    <n v="0"/>
    <n v="0"/>
    <n v="0"/>
    <n v="0"/>
    <n v="0.71"/>
    <e v="#N/A"/>
    <x v="0"/>
  </r>
  <r>
    <d v="2023-01-16T00:00:00"/>
    <x v="2"/>
    <s v="Admin/HR/IT"/>
    <s v="AMCARE NonOcc In"/>
    <s v="AMZN"/>
    <n v="113014178"/>
    <s v="Olvera Munoz,Isabel"/>
    <s v="Gomez,Abinadab"/>
    <n v="0"/>
    <n v="0"/>
    <n v="0"/>
    <n v="0"/>
    <n v="0.17"/>
    <e v="#N/A"/>
    <x v="0"/>
  </r>
  <r>
    <d v="2023-01-16T00:00:00"/>
    <x v="2"/>
    <s v="Admin/HR/IT"/>
    <s v="AMCARE NonOcc In"/>
    <s v="AMZN"/>
    <n v="200464838"/>
    <s v="Ortiz,Fernando"/>
    <s v="Gutierrez,Hector"/>
    <n v="0"/>
    <n v="0"/>
    <n v="0"/>
    <n v="0"/>
    <n v="1.08"/>
    <e v="#N/A"/>
    <x v="28"/>
  </r>
  <r>
    <d v="2023-01-16T00:00:00"/>
    <x v="2"/>
    <s v="Admin/HR/IT"/>
    <s v="AMCARE NonOcc In"/>
    <s v="AMZN"/>
    <n v="112991248"/>
    <s v="Cabrera Velazquez,Sandy"/>
    <s v="Gutierrez,Hector"/>
    <n v="0"/>
    <n v="0"/>
    <n v="0"/>
    <n v="0"/>
    <n v="0.23"/>
    <e v="#N/A"/>
    <x v="0"/>
  </r>
  <r>
    <d v="2023-01-16T00:00:00"/>
    <x v="2"/>
    <s v="Admin/HR/IT"/>
    <s v="AMCARE NonOcc In"/>
    <s v="AMZN"/>
    <n v="112912753"/>
    <s v="Padilla Abrego,Selene"/>
    <s v="Gomez Aguado,Jorge"/>
    <n v="0"/>
    <n v="0"/>
    <n v="0"/>
    <n v="0"/>
    <n v="0.04"/>
    <e v="#N/A"/>
    <x v="0"/>
  </r>
  <r>
    <d v="2023-01-16T00:00:00"/>
    <x v="2"/>
    <s v="Admin/HR/IT"/>
    <s v="AMCARE NonOcc In"/>
    <s v="AMZN"/>
    <n v="112912201"/>
    <s v="Castillo Falcon,Sheyla"/>
    <s v="Madrid Molina,Ramon"/>
    <n v="0"/>
    <n v="0"/>
    <n v="0"/>
    <n v="0"/>
    <n v="0.23"/>
    <e v="#N/A"/>
    <x v="0"/>
  </r>
  <r>
    <d v="2023-01-16T00:00:00"/>
    <x v="2"/>
    <s v="Admin/HR/IT"/>
    <s v="AMCARE NonOcc In"/>
    <s v="AMZN"/>
    <n v="112971976"/>
    <s v="Soto,Victoria"/>
    <s v="Cortes,Alejandra"/>
    <n v="0"/>
    <n v="0"/>
    <n v="0"/>
    <n v="0"/>
    <n v="0.63"/>
    <s v="DB-X0700"/>
    <x v="50"/>
  </r>
  <r>
    <d v="2023-01-16T00:00:00"/>
    <x v="2"/>
    <s v="Admin/HR/IT"/>
    <s v="AMCARE NonOcc In"/>
    <s v="AMZN"/>
    <n v="112950800"/>
    <s v="Muniz,Viri"/>
    <s v="Munoz,Jonan"/>
    <n v="0"/>
    <n v="0"/>
    <n v="0"/>
    <n v="0"/>
    <n v="0.23"/>
    <s v="NF-X1900"/>
    <x v="51"/>
  </r>
  <r>
    <d v="2023-01-16T00:00:00"/>
    <x v="2"/>
    <s v="Admin/HR/IT"/>
    <s v="AMCARE NonOcc In"/>
    <s v="AMZN"/>
    <n v="200404250"/>
    <s v="Hurtado,Caty"/>
    <s v="Robledo Ugarte,Alejandro"/>
    <n v="0"/>
    <n v="0"/>
    <n v="0"/>
    <n v="0"/>
    <n v="0.67"/>
    <e v="#N/A"/>
    <x v="6"/>
  </r>
  <r>
    <d v="2023-01-17T00:00:00"/>
    <x v="2"/>
    <s v="Admin/HR/IT"/>
    <s v="AMCARE NonOcc In"/>
    <s v="AMZN"/>
    <n v="113044620"/>
    <s v="Jasso Miranda,Aldo"/>
    <s v="Gomez,Abinadab"/>
    <n v="0"/>
    <n v="0"/>
    <n v="0"/>
    <n v="0"/>
    <n v="0.93"/>
    <e v="#N/A"/>
    <x v="52"/>
  </r>
  <r>
    <d v="2023-01-17T00:00:00"/>
    <x v="2"/>
    <s v="Admin/HR/IT"/>
    <s v="AMCARE NonOcc In"/>
    <s v="TEMP"/>
    <n v="200589316"/>
    <s v="Torres Zuniga,Daniel"/>
    <s v="Corona Arriaga,Fernando"/>
    <n v="0"/>
    <n v="0"/>
    <n v="0"/>
    <n v="0"/>
    <n v="2.52"/>
    <e v="#N/A"/>
    <x v="0"/>
  </r>
  <r>
    <d v="2023-01-17T00:00:00"/>
    <x v="2"/>
    <s v="Admin/HR/IT"/>
    <s v="AMCARE NonOcc In"/>
    <s v="AMZN"/>
    <n v="112912175"/>
    <s v="Padilla,Jandy"/>
    <s v="Gomez Aguado,Jorge"/>
    <n v="0"/>
    <n v="0"/>
    <n v="0"/>
    <n v="0"/>
    <n v="0.46"/>
    <e v="#N/A"/>
    <x v="0"/>
  </r>
  <r>
    <d v="2023-01-17T00:00:00"/>
    <x v="2"/>
    <s v="Admin/HR/IT"/>
    <s v="AMCARE NonOcc In"/>
    <s v="TEMP"/>
    <n v="109227086"/>
    <s v="Tavares,Alejandra"/>
    <s v="Madrid Molina,Ramon"/>
    <n v="0"/>
    <n v="0"/>
    <n v="0"/>
    <n v="0"/>
    <n v="1.1200000000000001"/>
    <e v="#N/A"/>
    <x v="0"/>
  </r>
  <r>
    <d v="2023-01-17T00:00:00"/>
    <x v="2"/>
    <s v="Admin/HR/IT"/>
    <s v="AMCARE NonOcc In"/>
    <s v="AMZN"/>
    <n v="112912074"/>
    <s v="Hernandez Gutierrez,Lizeth"/>
    <s v="Pizana,Diego"/>
    <n v="0"/>
    <n v="0"/>
    <n v="0"/>
    <n v="0"/>
    <n v="0.46"/>
    <e v="#N/A"/>
    <x v="0"/>
  </r>
  <r>
    <d v="2023-01-17T00:00:00"/>
    <x v="2"/>
    <s v="Admin/HR/IT"/>
    <s v="AMCARE NonOcc In"/>
    <s v="AMZN"/>
    <n v="111202227"/>
    <s v="Loya Torres,Omar"/>
    <s v="Garcia Espejel,Brenda Victoria"/>
    <n v="0"/>
    <n v="0"/>
    <n v="0"/>
    <n v="0"/>
    <n v="0.26"/>
    <e v="#N/A"/>
    <x v="0"/>
  </r>
  <r>
    <d v="2023-01-17T00:00:00"/>
    <x v="2"/>
    <s v="Admin/HR/IT"/>
    <s v="AMCARE NonOcc In"/>
    <s v="TEMP"/>
    <n v="200514421"/>
    <s v="Padilla Abrego,Angeles"/>
    <s v="Hernandez,Nataly"/>
    <n v="0"/>
    <n v="0"/>
    <n v="0"/>
    <n v="0"/>
    <n v="0.19"/>
    <e v="#N/A"/>
    <x v="18"/>
  </r>
  <r>
    <d v="2023-01-17T00:00:00"/>
    <x v="2"/>
    <s v="Admin/HR/IT"/>
    <s v="AMCARE NonOcc In"/>
    <s v="AMZN"/>
    <n v="112920664"/>
    <s v="Alba,Samuel"/>
    <s v="Rosas Negrete,Sebastian"/>
    <n v="0"/>
    <n v="0"/>
    <n v="0"/>
    <n v="0"/>
    <n v="0.33"/>
    <s v="DA-X0700"/>
    <x v="53"/>
  </r>
  <r>
    <d v="2023-01-17T00:00:00"/>
    <x v="2"/>
    <s v="Admin/HR/IT"/>
    <s v="AMCARE NonOcc In"/>
    <s v="AMZN"/>
    <n v="112980862"/>
    <s v="Tecla,Alejandro"/>
    <s v="Hernandez,Nataly"/>
    <n v="0"/>
    <n v="0"/>
    <n v="0"/>
    <n v="0"/>
    <n v="0.6"/>
    <e v="#N/A"/>
    <x v="0"/>
  </r>
  <r>
    <d v="2023-01-17T00:00:00"/>
    <x v="2"/>
    <s v="Admin/HR/IT"/>
    <s v="AMCARE NonOcc In"/>
    <s v="AMZN"/>
    <n v="200404250"/>
    <s v="Hurtado,Caty"/>
    <s v="Robledo Ugarte,Alejandro"/>
    <n v="0"/>
    <n v="0"/>
    <n v="0"/>
    <n v="0"/>
    <n v="0.65"/>
    <e v="#N/A"/>
    <x v="6"/>
  </r>
  <r>
    <d v="2023-01-18T00:00:00"/>
    <x v="2"/>
    <s v="Admin/HR/IT"/>
    <s v="AMCARE NonOcc In"/>
    <s v="AMZN"/>
    <n v="112973049"/>
    <s v="Tavares Parra,Ely"/>
    <s v="Romero Sanchez,Gustavo Gabriel"/>
    <n v="0"/>
    <n v="0"/>
    <n v="0"/>
    <n v="0"/>
    <n v="0.06"/>
    <s v="DB-X0700"/>
    <x v="14"/>
  </r>
  <r>
    <d v="2023-01-18T00:00:00"/>
    <x v="2"/>
    <s v="Admin/HR/IT"/>
    <s v="AMCARE NonOcc In"/>
    <s v="AMZN"/>
    <n v="112980899"/>
    <s v="Avila Cabrera,Ari"/>
    <s v="Gomez,Abinadab"/>
    <n v="0"/>
    <n v="0"/>
    <n v="0"/>
    <n v="0"/>
    <n v="1.78"/>
    <s v="NF-X1900"/>
    <x v="34"/>
  </r>
  <r>
    <d v="2023-01-18T00:00:00"/>
    <x v="2"/>
    <s v="Admin/HR/IT"/>
    <s v="AMCARE NonOcc In"/>
    <s v="AMZN"/>
    <n v="112971980"/>
    <s v="Romero,Daniel"/>
    <s v="Pizana,Diego"/>
    <n v="0"/>
    <n v="0"/>
    <n v="0"/>
    <n v="0"/>
    <n v="0.46"/>
    <s v="DC-X0700"/>
    <x v="43"/>
  </r>
  <r>
    <d v="2023-01-18T00:00:00"/>
    <x v="2"/>
    <s v="Admin/HR/IT"/>
    <s v="AMCARE NonOcc In"/>
    <s v="TEMP"/>
    <n v="200574345"/>
    <s v="Contreras,Jony"/>
    <s v="Hernandez,Nataly"/>
    <n v="0"/>
    <n v="0"/>
    <n v="0"/>
    <n v="0"/>
    <n v="0.09"/>
    <e v="#N/A"/>
    <x v="54"/>
  </r>
  <r>
    <d v="2023-01-18T00:00:00"/>
    <x v="2"/>
    <s v="Admin/HR/IT"/>
    <s v="AMCARE NonOcc In"/>
    <s v="AMZN"/>
    <n v="112972524"/>
    <s v="Santibanez Garcia,Luisa"/>
    <s v="Lopez,Alexa"/>
    <n v="0"/>
    <n v="0"/>
    <n v="0"/>
    <n v="0"/>
    <n v="0.52"/>
    <s v="DB-X0700"/>
    <x v="15"/>
  </r>
  <r>
    <d v="2023-01-18T00:00:00"/>
    <x v="2"/>
    <s v="Admin/HR/IT"/>
    <s v="AMCARE NonOcc In"/>
    <s v="TEMP"/>
    <n v="200508371"/>
    <s v="Perez,Georgina"/>
    <s v="Romero Sanchez,Gustavo Gabriel"/>
    <n v="0"/>
    <n v="0"/>
    <n v="0"/>
    <n v="0"/>
    <n v="0.12"/>
    <e v="#N/A"/>
    <x v="0"/>
  </r>
  <r>
    <d v="2023-01-18T00:00:00"/>
    <x v="2"/>
    <s v="Admin/HR/IT"/>
    <s v="AMCARE NonOcc In"/>
    <s v="AMZN"/>
    <n v="113014194"/>
    <s v="Flores Lopez,Ricardo"/>
    <s v="Hernandez,Nataly"/>
    <n v="0"/>
    <n v="0"/>
    <n v="0"/>
    <n v="0"/>
    <n v="0.34"/>
    <e v="#N/A"/>
    <x v="0"/>
  </r>
  <r>
    <d v="2023-01-18T00:00:00"/>
    <x v="2"/>
    <s v="Admin/HR/IT"/>
    <s v="AMCARE NonOcc In"/>
    <s v="AMZN"/>
    <n v="113019039"/>
    <s v="Hernandez Oropeza,Gabriel"/>
    <s v="Gomez Aguado,Jorge"/>
    <n v="0"/>
    <n v="0"/>
    <n v="0"/>
    <n v="0"/>
    <n v="0.89"/>
    <e v="#N/A"/>
    <x v="0"/>
  </r>
  <r>
    <d v="2023-01-18T00:00:00"/>
    <x v="2"/>
    <s v="Admin/HR/IT"/>
    <s v="AMCARE NonOcc In"/>
    <s v="AMZN"/>
    <n v="113141911"/>
    <s v="Larrazolo Pena,Ireri"/>
    <s v="Camarena,Grecia"/>
    <n v="0"/>
    <n v="0"/>
    <n v="0"/>
    <n v="0"/>
    <n v="2.2000000000000002"/>
    <e v="#N/A"/>
    <x v="0"/>
  </r>
  <r>
    <d v="2023-01-18T00:00:00"/>
    <x v="2"/>
    <s v="Admin/HR/IT"/>
    <s v="AMCARE NonOcc In"/>
    <s v="TEMP"/>
    <n v="109227086"/>
    <s v="Tavares,Alejandra"/>
    <s v="Madrid Molina,Ramon"/>
    <n v="0"/>
    <n v="0"/>
    <n v="0"/>
    <n v="0"/>
    <n v="0.26"/>
    <e v="#N/A"/>
    <x v="0"/>
  </r>
  <r>
    <d v="2023-01-18T00:00:00"/>
    <x v="2"/>
    <s v="Admin/HR/IT"/>
    <s v="AMCARE NonOcc In"/>
    <s v="AMZN"/>
    <n v="113003631"/>
    <s v="Ortega,Elizabeth"/>
    <s v="Gomez Aguado,Jorge"/>
    <n v="0"/>
    <n v="0"/>
    <n v="0"/>
    <n v="0"/>
    <n v="8.9499999999999993"/>
    <e v="#N/A"/>
    <x v="0"/>
  </r>
  <r>
    <d v="2023-01-18T00:00:00"/>
    <x v="2"/>
    <s v="Admin/HR/IT"/>
    <s v="AMCARE NonOcc In"/>
    <s v="TEMP"/>
    <n v="200588981"/>
    <s v="Romero,Maria"/>
    <s v="Ledezma,Fer"/>
    <n v="0"/>
    <n v="0"/>
    <n v="0"/>
    <n v="0"/>
    <n v="0.48"/>
    <e v="#N/A"/>
    <x v="0"/>
  </r>
  <r>
    <d v="2023-01-18T00:00:00"/>
    <x v="2"/>
    <s v="Admin/HR/IT"/>
    <s v="AMCARE NonOcc In"/>
    <s v="AMZN"/>
    <n v="112980812"/>
    <s v="Jacobo,Mary"/>
    <s v="Piedra,Valentina"/>
    <n v="0"/>
    <n v="0"/>
    <n v="0"/>
    <n v="0"/>
    <n v="0.09"/>
    <s v="DA-X0700"/>
    <x v="24"/>
  </r>
  <r>
    <d v="2023-01-18T00:00:00"/>
    <x v="2"/>
    <s v="Admin/HR/IT"/>
    <s v="AMCARE NonOcc In"/>
    <s v="AMZN"/>
    <n v="112981061"/>
    <s v="Olguin,Claudia"/>
    <s v="Hernandez,Nataly"/>
    <n v="0"/>
    <n v="0"/>
    <n v="0"/>
    <n v="0"/>
    <n v="0.23"/>
    <s v="DA-X0700"/>
    <x v="11"/>
  </r>
  <r>
    <d v="2023-01-18T00:00:00"/>
    <x v="2"/>
    <s v="Admin/HR/IT"/>
    <s v="AMCARE NonOcc In"/>
    <s v="AMZN"/>
    <n v="112525692"/>
    <s v="Ovalle Gomez,Mayte"/>
    <s v="Garcia Espejel,Brenda Victoria"/>
    <n v="0"/>
    <n v="0"/>
    <n v="0"/>
    <n v="0"/>
    <n v="0.18"/>
    <e v="#N/A"/>
    <x v="0"/>
  </r>
  <r>
    <d v="2023-01-18T00:00:00"/>
    <x v="2"/>
    <s v="Admin/HR/IT"/>
    <s v="AMCARE NonOcc In"/>
    <s v="AMZN"/>
    <n v="112912163"/>
    <s v="Murillo,Alejandro"/>
    <s v="Madrid Molina,Ramon"/>
    <n v="0"/>
    <n v="0"/>
    <n v="0"/>
    <n v="0"/>
    <n v="0.23"/>
    <e v="#N/A"/>
    <x v="0"/>
  </r>
  <r>
    <d v="2023-01-18T00:00:00"/>
    <x v="2"/>
    <s v="Admin/HR/IT"/>
    <s v="AMCARE NonOcc In"/>
    <s v="AMZN"/>
    <n v="112912745"/>
    <s v="Gomez Meza,Alex"/>
    <s v="Robledo Ugarte,Alejandro"/>
    <n v="0"/>
    <n v="0"/>
    <n v="0"/>
    <n v="0"/>
    <n v="1.58"/>
    <s v="DA-X0700"/>
    <x v="55"/>
  </r>
  <r>
    <d v="2023-01-18T00:00:00"/>
    <x v="2"/>
    <s v="Admin/HR/IT"/>
    <s v="AMCARE NonOcc In"/>
    <s v="TEMP"/>
    <n v="200514421"/>
    <s v="Padilla Abrego,Angeles"/>
    <s v="Hernandez,Nataly"/>
    <n v="0"/>
    <n v="0"/>
    <n v="0"/>
    <n v="0"/>
    <n v="1"/>
    <e v="#N/A"/>
    <x v="18"/>
  </r>
  <r>
    <d v="2023-01-18T00:00:00"/>
    <x v="2"/>
    <s v="Admin/HR/IT"/>
    <s v="AMCARE NonOcc In"/>
    <s v="AMZN"/>
    <n v="113101453"/>
    <s v="Isaac,Geovanna"/>
    <s v="Madrid Molina,Ramon"/>
    <n v="0"/>
    <n v="0"/>
    <n v="0"/>
    <n v="0"/>
    <n v="0.22"/>
    <e v="#N/A"/>
    <x v="4"/>
  </r>
  <r>
    <d v="2023-01-18T00:00:00"/>
    <x v="2"/>
    <s v="Admin/HR/IT"/>
    <s v="AMCARE NonOcc In"/>
    <s v="AMZN"/>
    <n v="113014046"/>
    <s v="Reyes Andrade,Oscar"/>
    <s v="Gomez Aguado,Jorge"/>
    <n v="0"/>
    <n v="0"/>
    <n v="0"/>
    <n v="0"/>
    <n v="0.34"/>
    <e v="#N/A"/>
    <x v="0"/>
  </r>
  <r>
    <d v="2023-01-18T00:00:00"/>
    <x v="2"/>
    <s v="Admin/HR/IT"/>
    <s v="AMCARE NonOcc In"/>
    <s v="AMZN"/>
    <n v="112950784"/>
    <s v="Rojas,Samuel"/>
    <s v="Hernandez,Nataly"/>
    <n v="0"/>
    <n v="0"/>
    <n v="0"/>
    <n v="0"/>
    <n v="0.13"/>
    <s v="NF-X1900"/>
    <x v="13"/>
  </r>
  <r>
    <d v="2023-01-18T00:00:00"/>
    <x v="2"/>
    <s v="Admin/HR/IT"/>
    <s v="AMCARE NonOcc In"/>
    <s v="AMZN"/>
    <n v="112980862"/>
    <s v="Tecla,Alejandro"/>
    <s v="Hernandez,Nataly"/>
    <n v="0"/>
    <n v="0"/>
    <n v="0"/>
    <n v="0"/>
    <n v="1.31"/>
    <e v="#N/A"/>
    <x v="0"/>
  </r>
  <r>
    <d v="2023-01-18T00:00:00"/>
    <x v="2"/>
    <s v="Admin/HR/IT"/>
    <s v="AMCARE NonOcc In"/>
    <s v="AMZN"/>
    <n v="113014402"/>
    <s v="Mendoza Estrada,Juan"/>
    <s v="Madrid Molina,Ramon"/>
    <n v="0"/>
    <n v="0"/>
    <n v="0"/>
    <n v="0"/>
    <n v="0.32"/>
    <e v="#N/A"/>
    <x v="37"/>
  </r>
  <r>
    <d v="2023-01-18T00:00:00"/>
    <x v="2"/>
    <s v="Admin/HR/IT"/>
    <s v="AMCARE NonOcc In"/>
    <s v="AMZN"/>
    <n v="112912509"/>
    <s v="Gutierrez Portillo,Joceline"/>
    <s v="Madrid Molina,Ramon"/>
    <n v="0"/>
    <n v="0"/>
    <n v="0"/>
    <n v="0"/>
    <n v="1.1200000000000001"/>
    <e v="#N/A"/>
    <x v="0"/>
  </r>
  <r>
    <d v="2023-01-18T00:00:00"/>
    <x v="2"/>
    <s v="Admin/HR/IT"/>
    <s v="AMCARE NonOcc In"/>
    <s v="AMZN"/>
    <n v="112912509"/>
    <s v="Gutierrez Portillo,Joceline"/>
    <s v="Madrid Molina,Ramon"/>
    <n v="0"/>
    <n v="0"/>
    <n v="0"/>
    <n v="0"/>
    <n v="1.92"/>
    <e v="#N/A"/>
    <x v="0"/>
  </r>
  <r>
    <d v="2023-01-18T00:00:00"/>
    <x v="2"/>
    <s v="Admin/HR/IT"/>
    <s v="AMCARE NonOcc In"/>
    <s v="AMZN"/>
    <n v="200404250"/>
    <s v="Hurtado,Caty"/>
    <s v="Hernandez,Nataly"/>
    <n v="0"/>
    <n v="0"/>
    <n v="0"/>
    <n v="0"/>
    <n v="0.74"/>
    <e v="#N/A"/>
    <x v="6"/>
  </r>
  <r>
    <d v="2023-01-18T00:00:00"/>
    <x v="2"/>
    <s v="Admin/HR/IT"/>
    <s v="AMCARE NonOcc In"/>
    <s v="AMZN"/>
    <n v="112984097"/>
    <s v="Aguilera,Yaremi"/>
    <s v="Madrid Molina,Ramon"/>
    <n v="0"/>
    <n v="0"/>
    <n v="0"/>
    <n v="0"/>
    <n v="0.11"/>
    <e v="#N/A"/>
    <x v="0"/>
  </r>
  <r>
    <d v="2023-01-18T00:00:00"/>
    <x v="2"/>
    <s v="Admin/HR/IT"/>
    <s v="AMCARE NonOcc In"/>
    <s v="TEMP"/>
    <n v="200509428"/>
    <s v="Guevara Ramirez,Zayra Lorena"/>
    <s v="Madrid Molina,Ramon"/>
    <n v="0"/>
    <n v="0"/>
    <n v="0"/>
    <n v="0"/>
    <n v="0.68"/>
    <e v="#N/A"/>
    <x v="0"/>
  </r>
  <r>
    <d v="2023-01-18T00:00:00"/>
    <x v="2"/>
    <s v="Admin/HR/IT"/>
    <s v="AMCARE NonOcc In"/>
    <s v="TEMP"/>
    <n v="109227086"/>
    <s v="Tavares,Alejandra"/>
    <s v="Madrid Molina,Ramon"/>
    <n v="0"/>
    <n v="0"/>
    <n v="0"/>
    <n v="0"/>
    <n v="0.26"/>
    <e v="#N/A"/>
    <x v="0"/>
  </r>
  <r>
    <d v="2023-01-19T00:00:00"/>
    <x v="2"/>
    <s v="Admin/HR/IT"/>
    <s v="AMCARE NonOcc In"/>
    <s v="TEMP"/>
    <n v="200564835"/>
    <s v="Pardo,Fabian Oswaldo"/>
    <s v="Corona Arriaga,Fernando"/>
    <n v="0"/>
    <n v="0"/>
    <n v="0"/>
    <n v="0"/>
    <n v="0.08"/>
    <e v="#N/A"/>
    <x v="0"/>
  </r>
  <r>
    <d v="2023-01-19T00:00:00"/>
    <x v="2"/>
    <s v="Admin/HR/IT"/>
    <s v="AMCARE NonOcc In"/>
    <s v="AMZN"/>
    <n v="112971980"/>
    <s v="Romero,Daniel"/>
    <s v="Pizana,Diego"/>
    <n v="0"/>
    <n v="0"/>
    <n v="0"/>
    <n v="0"/>
    <n v="0.21"/>
    <s v="DC-X0700"/>
    <x v="43"/>
  </r>
  <r>
    <d v="2023-01-19T00:00:00"/>
    <x v="2"/>
    <s v="Admin/HR/IT"/>
    <s v="AMCARE NonOcc In"/>
    <s v="AMZN"/>
    <n v="112984442"/>
    <s v="Garcia,Mauricio Antonio De la lama"/>
    <s v="Gomez,Abinadab"/>
    <n v="0"/>
    <n v="0"/>
    <n v="0"/>
    <n v="0"/>
    <n v="1.62"/>
    <e v="#N/A"/>
    <x v="0"/>
  </r>
  <r>
    <d v="2023-01-19T00:00:00"/>
    <x v="2"/>
    <s v="Admin/HR/IT"/>
    <s v="AMCARE NonOcc In"/>
    <s v="AMZN"/>
    <n v="112976013"/>
    <s v="Garcia,Roberto"/>
    <s v="Munoz,Jonan"/>
    <n v="0"/>
    <n v="0"/>
    <n v="0"/>
    <n v="0"/>
    <n v="0.48"/>
    <e v="#N/A"/>
    <x v="0"/>
  </r>
  <r>
    <d v="2023-01-19T00:00:00"/>
    <x v="2"/>
    <s v="Admin/HR/IT"/>
    <s v="AMCARE NonOcc In"/>
    <s v="AMZN"/>
    <n v="113141911"/>
    <s v="Larrazolo Pena,Ireri"/>
    <s v="Camarena,Grecia"/>
    <n v="0"/>
    <n v="0"/>
    <n v="0"/>
    <n v="0"/>
    <n v="1.48"/>
    <e v="#N/A"/>
    <x v="0"/>
  </r>
  <r>
    <d v="2023-01-19T00:00:00"/>
    <x v="2"/>
    <s v="Admin/HR/IT"/>
    <s v="AMCARE NonOcc In"/>
    <s v="AMZN"/>
    <n v="112920666"/>
    <s v="Rocha,Jose"/>
    <s v="Garcia Espejel,Brenda Victoria"/>
    <n v="0"/>
    <n v="0"/>
    <n v="0"/>
    <n v="0"/>
    <n v="0.13"/>
    <s v="D5-X0700"/>
    <x v="3"/>
  </r>
  <r>
    <d v="2023-01-19T00:00:00"/>
    <x v="2"/>
    <s v="Admin/HR/IT"/>
    <s v="AMCARE NonOcc In"/>
    <s v="AMZN"/>
    <n v="111434478"/>
    <s v="Gutierrez,Pame"/>
    <s v="Camarena,Grecia"/>
    <n v="0"/>
    <n v="0"/>
    <n v="0"/>
    <n v="0"/>
    <n v="1.84"/>
    <s v="DA-X0700"/>
    <x v="23"/>
  </r>
  <r>
    <d v="2023-01-19T00:00:00"/>
    <x v="2"/>
    <s v="Admin/HR/IT"/>
    <s v="AMCARE NonOcc In"/>
    <s v="AMZN"/>
    <n v="113003631"/>
    <s v="Ortega,Elizabeth"/>
    <s v="Gomez Aguado,Jorge"/>
    <n v="0"/>
    <n v="0"/>
    <n v="0"/>
    <n v="0"/>
    <n v="7.67"/>
    <e v="#N/A"/>
    <x v="0"/>
  </r>
  <r>
    <d v="2023-01-19T00:00:00"/>
    <x v="2"/>
    <s v="Admin/HR/IT"/>
    <s v="AMCARE NonOcc In"/>
    <s v="AMZN"/>
    <n v="113014011"/>
    <s v="Robledo Barrientos,Logan"/>
    <s v="Hernandez,Nataly"/>
    <n v="0"/>
    <n v="0"/>
    <n v="0"/>
    <n v="0"/>
    <n v="0.24"/>
    <e v="#N/A"/>
    <x v="0"/>
  </r>
  <r>
    <d v="2023-01-19T00:00:00"/>
    <x v="2"/>
    <s v="Admin/HR/IT"/>
    <s v="AMCARE NonOcc In"/>
    <s v="AMZN"/>
    <n v="113014072"/>
    <s v="Rivera,Mariana"/>
    <s v="Corona Arriaga,Fernando"/>
    <n v="0"/>
    <n v="0"/>
    <n v="0"/>
    <n v="0"/>
    <n v="0.83"/>
    <e v="#N/A"/>
    <x v="0"/>
  </r>
  <r>
    <d v="2023-01-19T00:00:00"/>
    <x v="2"/>
    <s v="Admin/HR/IT"/>
    <s v="AMCARE NonOcc In"/>
    <s v="AMZN"/>
    <n v="113052151"/>
    <s v="Nieves Mendez,Laura"/>
    <s v="Gutierrez,Hector"/>
    <n v="0"/>
    <n v="0"/>
    <n v="0"/>
    <n v="0"/>
    <n v="0.15"/>
    <e v="#N/A"/>
    <x v="56"/>
  </r>
  <r>
    <d v="2023-01-19T00:00:00"/>
    <x v="2"/>
    <s v="Admin/HR/IT"/>
    <s v="AMCARE NonOcc In"/>
    <s v="AMZN"/>
    <n v="200464838"/>
    <s v="Ortiz,Fernando"/>
    <s v="Corona Arriaga,Fernando"/>
    <n v="0"/>
    <n v="0"/>
    <n v="0"/>
    <n v="0"/>
    <n v="0.08"/>
    <e v="#N/A"/>
    <x v="28"/>
  </r>
  <r>
    <d v="2023-01-19T00:00:00"/>
    <x v="2"/>
    <s v="Admin/HR/IT"/>
    <s v="AMCARE NonOcc In"/>
    <s v="AMZN"/>
    <n v="113003614"/>
    <s v="Palomino,Mariano"/>
    <s v="Romero Sanchez,Gustavo Gabriel"/>
    <n v="0"/>
    <n v="0"/>
    <n v="0"/>
    <n v="0"/>
    <n v="0.53"/>
    <e v="#N/A"/>
    <x v="57"/>
  </r>
  <r>
    <d v="2023-01-19T00:00:00"/>
    <x v="2"/>
    <s v="Admin/HR/IT"/>
    <s v="AMCARE NonOcc In"/>
    <s v="TEMP"/>
    <n v="200554743"/>
    <s v="Rivera Hernandez,Liliana"/>
    <s v="Romero Sanchez,Gustavo Gabriel"/>
    <n v="0"/>
    <n v="0"/>
    <n v="0"/>
    <n v="0"/>
    <n v="0.36"/>
    <e v="#N/A"/>
    <x v="0"/>
  </r>
  <r>
    <d v="2023-01-19T00:00:00"/>
    <x v="2"/>
    <s v="Admin/HR/IT"/>
    <s v="AMCARE NonOcc In"/>
    <s v="TEMP"/>
    <n v="200615937"/>
    <s v="Martinez Gonzalez,Erik"/>
    <s v="Gomez Aguado,Jorge"/>
    <n v="0"/>
    <n v="0"/>
    <n v="0"/>
    <n v="0"/>
    <n v="0.11"/>
    <e v="#N/A"/>
    <x v="0"/>
  </r>
  <r>
    <d v="2023-01-19T00:00:00"/>
    <x v="2"/>
    <s v="Admin/HR/IT"/>
    <s v="AMCARE NonOcc In"/>
    <s v="AMZN"/>
    <n v="112980878"/>
    <s v="Romero Escobar,Gerardo"/>
    <s v="Ledezma,Fer"/>
    <n v="0"/>
    <n v="0"/>
    <n v="0"/>
    <n v="0"/>
    <n v="0.09"/>
    <e v="#N/A"/>
    <x v="0"/>
  </r>
  <r>
    <d v="2023-01-19T00:00:00"/>
    <x v="2"/>
    <s v="Admin/HR/IT"/>
    <s v="AMCARE NonOcc In"/>
    <s v="AMZN"/>
    <n v="112991248"/>
    <s v="Cabrera Velazquez,Sandy"/>
    <s v="Corona Arriaga,Fernando"/>
    <n v="0"/>
    <n v="0"/>
    <n v="0"/>
    <n v="0"/>
    <n v="0.13"/>
    <e v="#N/A"/>
    <x v="0"/>
  </r>
  <r>
    <d v="2023-01-19T00:00:00"/>
    <x v="2"/>
    <s v="Admin/HR/IT"/>
    <s v="AMCARE NonOcc In"/>
    <s v="TEMP"/>
    <n v="200552734"/>
    <s v="Santiago Ramirez,Six"/>
    <s v="Romero Sanchez,Gustavo Gabriel"/>
    <n v="0"/>
    <n v="0"/>
    <n v="0"/>
    <n v="0"/>
    <n v="1.1299999999999999"/>
    <e v="#N/A"/>
    <x v="0"/>
  </r>
  <r>
    <d v="2023-01-19T00:00:00"/>
    <x v="2"/>
    <s v="Admin/HR/IT"/>
    <s v="AMCARE NonOcc In"/>
    <s v="TEMP"/>
    <n v="200508315"/>
    <s v="Herrera,Aldair"/>
    <s v="Romero Sanchez,Gustavo Gabriel"/>
    <n v="0"/>
    <n v="0"/>
    <n v="0"/>
    <n v="0"/>
    <n v="0.12"/>
    <e v="#N/A"/>
    <x v="41"/>
  </r>
  <r>
    <d v="2023-01-19T00:00:00"/>
    <x v="2"/>
    <s v="Admin/HR/IT"/>
    <s v="AMCARE NonOcc In"/>
    <s v="AMZN"/>
    <n v="112980862"/>
    <s v="Tecla,Alejandro"/>
    <s v="Hernandez,Nataly"/>
    <n v="0"/>
    <n v="0"/>
    <n v="0"/>
    <n v="0"/>
    <n v="0.7"/>
    <e v="#N/A"/>
    <x v="0"/>
  </r>
  <r>
    <d v="2023-01-19T00:00:00"/>
    <x v="2"/>
    <s v="Admin/HR/IT"/>
    <s v="AMCARE NonOcc In"/>
    <s v="TEMP"/>
    <n v="200585084"/>
    <s v="Villafranca,Tessa"/>
    <s v="Olmos,Carmen"/>
    <n v="0"/>
    <n v="0"/>
    <n v="0"/>
    <n v="0"/>
    <n v="0.68"/>
    <e v="#N/A"/>
    <x v="58"/>
  </r>
  <r>
    <d v="2023-01-19T00:00:00"/>
    <x v="2"/>
    <s v="Admin/HR/IT"/>
    <s v="AMCARE NonOcc In"/>
    <s v="AMZN"/>
    <n v="112912397"/>
    <s v="Neri Zuniga,Ricardo"/>
    <s v="Camarena,Grecia"/>
    <n v="0"/>
    <n v="0"/>
    <n v="0"/>
    <n v="0"/>
    <n v="0.13"/>
    <s v="D5-X0700"/>
    <x v="59"/>
  </r>
  <r>
    <d v="2023-01-19T00:00:00"/>
    <x v="2"/>
    <s v="Admin/HR/IT"/>
    <s v="AMCARE NonOcc In"/>
    <s v="AMZN"/>
    <n v="112980835"/>
    <s v="Rojas  Cuellar,Jacqueline"/>
    <s v="Gutierrez,Hector"/>
    <n v="0"/>
    <n v="0"/>
    <n v="0"/>
    <n v="0"/>
    <n v="0.28000000000000003"/>
    <e v="#N/A"/>
    <x v="0"/>
  </r>
  <r>
    <d v="2023-01-19T00:00:00"/>
    <x v="2"/>
    <s v="Admin/HR/IT"/>
    <s v="AMCARE NonOcc In"/>
    <s v="AMZN"/>
    <n v="200404250"/>
    <s v="Hurtado,Caty"/>
    <s v="Hernandez,Nataly"/>
    <n v="0"/>
    <n v="0"/>
    <n v="0"/>
    <n v="0"/>
    <n v="1.02"/>
    <e v="#N/A"/>
    <x v="6"/>
  </r>
  <r>
    <d v="2023-01-19T00:00:00"/>
    <x v="2"/>
    <s v="Admin/HR/IT"/>
    <s v="AMCARE NonOcc In"/>
    <s v="AMZN"/>
    <n v="112912049"/>
    <s v="Vazquez Rodriguez,Christian"/>
    <s v="Pizana,Diego"/>
    <n v="0"/>
    <n v="0"/>
    <n v="0"/>
    <n v="0"/>
    <n v="0.75"/>
    <s v="NF-X1900"/>
    <x v="60"/>
  </r>
  <r>
    <d v="2023-01-20T00:00:00"/>
    <x v="2"/>
    <s v="Admin/HR/IT"/>
    <s v="AMCARE NonOcc In"/>
    <s v="TEMP"/>
    <n v="200614224"/>
    <s v="Cruz Hernandez,Cris"/>
    <s v="Piedra,Valentina"/>
    <n v="0"/>
    <n v="0"/>
    <n v="0"/>
    <n v="0"/>
    <n v="1.03"/>
    <e v="#N/A"/>
    <x v="0"/>
  </r>
  <r>
    <d v="2023-01-20T00:00:00"/>
    <x v="2"/>
    <s v="Admin/HR/IT"/>
    <s v="AMCARE NonOcc In"/>
    <s v="TEMP"/>
    <n v="200508371"/>
    <s v="Perez,Georgina"/>
    <s v="Romero Sanchez,Gustavo Gabriel"/>
    <n v="0"/>
    <n v="0"/>
    <n v="0"/>
    <n v="0"/>
    <n v="1.52"/>
    <e v="#N/A"/>
    <x v="0"/>
  </r>
  <r>
    <d v="2023-01-20T00:00:00"/>
    <x v="2"/>
    <s v="Admin/HR/IT"/>
    <s v="AMCARE NonOcc In"/>
    <s v="AMZN"/>
    <n v="113003971"/>
    <s v="Garcia  Ramirez,Gabriel"/>
    <s v="Corona Arriaga,Fernando"/>
    <n v="0"/>
    <n v="0"/>
    <n v="0"/>
    <n v="0"/>
    <n v="0.11"/>
    <e v="#N/A"/>
    <x v="10"/>
  </r>
  <r>
    <d v="2023-01-20T00:00:00"/>
    <x v="2"/>
    <s v="Admin/HR/IT"/>
    <s v="AMCARE NonOcc In"/>
    <s v="AMZN"/>
    <n v="113040583"/>
    <s v="Palomo,Lizbeth"/>
    <s v="Gomez,Abinadab"/>
    <n v="0"/>
    <n v="0"/>
    <n v="0"/>
    <n v="0"/>
    <n v="2.21"/>
    <e v="#N/A"/>
    <x v="0"/>
  </r>
  <r>
    <d v="2023-01-20T00:00:00"/>
    <x v="2"/>
    <s v="Admin/HR/IT"/>
    <s v="AMCARE NonOcc In"/>
    <s v="AMZN"/>
    <n v="112980846"/>
    <s v="Mojica  Gallardo,Jonathan"/>
    <s v="Robledo Ugarte,Alejandro"/>
    <n v="0"/>
    <n v="0"/>
    <n v="0"/>
    <n v="0"/>
    <n v="0.5"/>
    <e v="#N/A"/>
    <x v="0"/>
  </r>
  <r>
    <d v="2023-01-20T00:00:00"/>
    <x v="2"/>
    <s v="Admin/HR/IT"/>
    <s v="AMCARE NonOcc In"/>
    <s v="AMZN"/>
    <n v="113020463"/>
    <s v="Valtierra,Alejandra"/>
    <s v="Ledezma,Fer"/>
    <n v="0"/>
    <n v="0"/>
    <n v="0"/>
    <n v="0"/>
    <n v="0.39"/>
    <e v="#N/A"/>
    <x v="17"/>
  </r>
  <r>
    <d v="2023-01-20T00:00:00"/>
    <x v="2"/>
    <s v="Admin/HR/IT"/>
    <s v="AMCARE NonOcc In"/>
    <s v="AMZN"/>
    <n v="113020476"/>
    <s v="Puente Aguilar,Polette"/>
    <s v="Romero Sanchez,Gustavo Gabriel"/>
    <n v="0"/>
    <n v="0"/>
    <n v="0"/>
    <n v="0"/>
    <n v="0"/>
    <e v="#N/A"/>
    <x v="19"/>
  </r>
  <r>
    <d v="2023-01-20T00:00:00"/>
    <x v="2"/>
    <s v="Admin/HR/IT"/>
    <s v="AMCARE NonOcc In"/>
    <s v="TEMP"/>
    <n v="200554743"/>
    <s v="Rivera Hernandez,Liliana"/>
    <s v="Romero Sanchez,Gustavo Gabriel"/>
    <n v="0"/>
    <n v="0"/>
    <n v="0"/>
    <n v="0"/>
    <n v="1.84"/>
    <e v="#N/A"/>
    <x v="0"/>
  </r>
  <r>
    <d v="2023-01-20T00:00:00"/>
    <x v="2"/>
    <s v="Admin/HR/IT"/>
    <s v="AMCARE NonOcc In"/>
    <s v="AMZN"/>
    <n v="112920654"/>
    <s v="Horta,Julieta"/>
    <s v="Lopez,Alexa"/>
    <n v="0"/>
    <n v="0"/>
    <n v="0"/>
    <n v="0"/>
    <n v="0.18"/>
    <s v="DB-X0700"/>
    <x v="61"/>
  </r>
  <r>
    <d v="2023-01-20T00:00:00"/>
    <x v="2"/>
    <s v="Admin/HR/IT"/>
    <s v="AMCARE NonOcc In"/>
    <s v="AMZN"/>
    <n v="113014042"/>
    <s v="Cervantes,Rose"/>
    <s v="Gomez,Abinadab"/>
    <n v="0"/>
    <n v="0"/>
    <n v="0"/>
    <n v="0"/>
    <n v="0.63"/>
    <e v="#N/A"/>
    <x v="20"/>
  </r>
  <r>
    <d v="2023-01-20T00:00:00"/>
    <x v="2"/>
    <s v="Admin/HR/IT"/>
    <s v="AMCARE NonOcc In"/>
    <s v="AMZN"/>
    <n v="200463510"/>
    <s v="Macias,Rodrigo"/>
    <s v="Romero Sanchez,Gustavo Gabriel"/>
    <n v="0"/>
    <n v="0"/>
    <n v="0"/>
    <n v="0"/>
    <n v="0.12"/>
    <e v="#N/A"/>
    <x v="62"/>
  </r>
  <r>
    <d v="2023-01-20T00:00:00"/>
    <x v="2"/>
    <s v="Admin/HR/IT"/>
    <s v="AMCARE NonOcc In"/>
    <s v="TEMP"/>
    <n v="200552734"/>
    <m/>
    <s v="Romero Sanchez,Gustavo Gabriel"/>
    <n v="0"/>
    <n v="0"/>
    <n v="0"/>
    <n v="0"/>
    <n v="1.37"/>
    <e v="#N/A"/>
    <x v="0"/>
  </r>
  <r>
    <d v="2023-01-20T00:00:00"/>
    <x v="2"/>
    <s v="Admin/HR/IT"/>
    <s v="AMCARE NonOcc In"/>
    <s v="AMZN"/>
    <n v="113003627"/>
    <s v="Zavala,Diego"/>
    <s v="Gutierrez,Hector"/>
    <n v="0"/>
    <n v="0"/>
    <n v="0"/>
    <n v="0"/>
    <n v="0.24"/>
    <e v="#N/A"/>
    <x v="0"/>
  </r>
  <r>
    <d v="2023-01-21T00:00:00"/>
    <x v="2"/>
    <s v="Admin/HR/IT"/>
    <s v="AMCARE NonOcc In"/>
    <s v="TEMP"/>
    <n v="200615883"/>
    <s v="Ibarra Amaro,Adriana"/>
    <s v="Piedra,Valentina"/>
    <n v="0"/>
    <n v="0"/>
    <n v="0"/>
    <n v="0"/>
    <n v="0.45"/>
    <e v="#N/A"/>
    <x v="0"/>
  </r>
  <r>
    <d v="2023-01-21T00:00:00"/>
    <x v="2"/>
    <s v="Admin/HR/IT"/>
    <s v="AMCARE NonOcc In"/>
    <s v="AMZN"/>
    <n v="112971953"/>
    <s v="Aguirre Palomino,Ana"/>
    <s v="Lopez,Alexa"/>
    <n v="0"/>
    <n v="0"/>
    <n v="0"/>
    <n v="0"/>
    <n v="0.91"/>
    <s v="DB-X0700"/>
    <x v="7"/>
  </r>
  <r>
    <d v="2023-01-21T00:00:00"/>
    <x v="2"/>
    <s v="Admin/HR/IT"/>
    <s v="AMCARE NonOcc In"/>
    <s v="TEMP"/>
    <n v="200614224"/>
    <s v="Cruz Hernandez,Cris"/>
    <s v="Piedra,Valentina"/>
    <n v="0"/>
    <n v="0"/>
    <n v="0"/>
    <n v="0"/>
    <n v="0.21"/>
    <e v="#N/A"/>
    <x v="0"/>
  </r>
  <r>
    <d v="2023-01-21T00:00:00"/>
    <x v="2"/>
    <s v="Admin/HR/IT"/>
    <s v="AMCARE NonOcc In"/>
    <s v="AMZN"/>
    <n v="113019083"/>
    <s v="Contreras,Marco"/>
    <s v="Piedra,Valentina"/>
    <n v="0"/>
    <n v="0"/>
    <n v="0"/>
    <n v="0"/>
    <n v="0.17"/>
    <e v="#N/A"/>
    <x v="0"/>
  </r>
  <r>
    <d v="2023-01-21T00:00:00"/>
    <x v="2"/>
    <s v="Admin/HR/IT"/>
    <s v="AMCARE NonOcc In"/>
    <s v="AMZN"/>
    <n v="112971962"/>
    <s v="Reyes  Montes de oca,Alejandra"/>
    <s v="Gutierrez,Hector"/>
    <n v="0"/>
    <n v="0"/>
    <n v="0"/>
    <n v="0"/>
    <n v="0.55000000000000004"/>
    <s v="DB-X0700"/>
    <x v="26"/>
  </r>
  <r>
    <d v="2023-01-21T00:00:00"/>
    <x v="2"/>
    <s v="Admin/HR/IT"/>
    <s v="AMCARE NonOcc In"/>
    <s v="AMZN"/>
    <n v="113040582"/>
    <s v="HERNANDEZ,GERARDO"/>
    <s v="Gutierrez,Hector"/>
    <n v="0"/>
    <n v="0"/>
    <n v="0"/>
    <n v="0"/>
    <n v="0.28999999999999998"/>
    <e v="#N/A"/>
    <x v="63"/>
  </r>
  <r>
    <d v="2023-01-21T00:00:00"/>
    <x v="2"/>
    <s v="Admin/HR/IT"/>
    <s v="AMCARE NonOcc In"/>
    <s v="TEMP"/>
    <n v="200589316"/>
    <s v="Torres Zuniga,Daniel"/>
    <s v="Olmos,Carmen"/>
    <n v="0"/>
    <n v="0"/>
    <n v="0"/>
    <n v="0"/>
    <n v="0.27"/>
    <e v="#N/A"/>
    <x v="0"/>
  </r>
  <r>
    <d v="2023-01-21T00:00:00"/>
    <x v="2"/>
    <s v="Admin/HR/IT"/>
    <s v="AMCARE NonOcc In"/>
    <s v="AMZN"/>
    <n v="112980812"/>
    <s v="Jacobo,Mary"/>
    <s v="Piedra,Valentina"/>
    <n v="0"/>
    <n v="0"/>
    <n v="0"/>
    <n v="0"/>
    <n v="0.37"/>
    <s v="DA-X0700"/>
    <x v="24"/>
  </r>
  <r>
    <d v="2023-01-21T00:00:00"/>
    <x v="2"/>
    <s v="Admin/HR/IT"/>
    <s v="AMCARE NonOcc In"/>
    <s v="AMZN"/>
    <n v="112980812"/>
    <s v="Jacobo,Mary"/>
    <s v="Piedra,Valentina"/>
    <n v="0"/>
    <n v="0"/>
    <n v="0"/>
    <n v="0"/>
    <n v="0.76"/>
    <s v="DA-X0700"/>
    <x v="24"/>
  </r>
  <r>
    <d v="2023-01-21T00:00:00"/>
    <x v="2"/>
    <s v="Admin/HR/IT"/>
    <s v="AMCARE NonOcc In"/>
    <s v="AMZN"/>
    <n v="113020463"/>
    <s v="Valtierra,Alejandra"/>
    <s v="Ledezma,Fer"/>
    <n v="0"/>
    <n v="0"/>
    <n v="0"/>
    <n v="0"/>
    <n v="0.39"/>
    <e v="#N/A"/>
    <x v="17"/>
  </r>
  <r>
    <d v="2023-01-21T00:00:00"/>
    <x v="2"/>
    <s v="Admin/HR/IT"/>
    <s v="AMCARE NonOcc In"/>
    <s v="AMZN"/>
    <n v="111202227"/>
    <s v="Loya Torres,Omar"/>
    <s v="Garcia Espejel,Brenda Victoria"/>
    <n v="0"/>
    <n v="0"/>
    <n v="0"/>
    <n v="0"/>
    <n v="1.04"/>
    <e v="#N/A"/>
    <x v="0"/>
  </r>
  <r>
    <d v="2023-01-21T00:00:00"/>
    <x v="2"/>
    <s v="Admin/HR/IT"/>
    <s v="AMCARE NonOcc In"/>
    <s v="AMZN"/>
    <n v="112920655"/>
    <s v="Diaz de LeÃ³n,Paola"/>
    <s v="Pizana,Diego"/>
    <n v="0"/>
    <n v="0"/>
    <n v="0"/>
    <n v="0"/>
    <n v="0.37"/>
    <e v="#N/A"/>
    <x v="0"/>
  </r>
  <r>
    <d v="2023-01-21T00:00:00"/>
    <x v="2"/>
    <s v="Admin/HR/IT"/>
    <s v="AMCARE NonOcc In"/>
    <s v="AMZN"/>
    <n v="112972895"/>
    <s v="Perez Vargas,Carlos"/>
    <s v="Lopez,Alexa"/>
    <n v="0"/>
    <n v="0"/>
    <n v="0"/>
    <n v="0"/>
    <n v="0.45"/>
    <e v="#N/A"/>
    <x v="0"/>
  </r>
  <r>
    <d v="2023-01-21T00:00:00"/>
    <x v="2"/>
    <s v="Admin/HR/IT"/>
    <s v="AMCARE NonOcc In"/>
    <s v="TEMP"/>
    <n v="200625517"/>
    <s v="RamÃ­rez,Miranda"/>
    <s v="Gutierrez,Hector"/>
    <n v="0"/>
    <n v="0"/>
    <n v="0"/>
    <n v="0"/>
    <n v="0.98"/>
    <e v="#N/A"/>
    <x v="0"/>
  </r>
  <r>
    <d v="2023-01-21T00:00:00"/>
    <x v="2"/>
    <s v="Admin/HR/IT"/>
    <s v="AMCARE NonOcc In"/>
    <s v="TEMP"/>
    <n v="200562154"/>
    <s v="Reyes Muniz,Cristian"/>
    <s v="Gomez,Abinadab"/>
    <n v="0"/>
    <n v="0"/>
    <n v="0"/>
    <n v="0"/>
    <n v="0.48"/>
    <e v="#N/A"/>
    <x v="42"/>
  </r>
  <r>
    <d v="2023-01-21T00:00:00"/>
    <x v="2"/>
    <s v="Admin/HR/IT"/>
    <s v="AMCARE NonOcc In"/>
    <s v="AMZN"/>
    <n v="113014042"/>
    <s v="Cervantes,Rose"/>
    <s v="Gomez,Abinadab"/>
    <n v="0"/>
    <n v="0"/>
    <n v="0"/>
    <n v="0"/>
    <n v="0.16"/>
    <e v="#N/A"/>
    <x v="20"/>
  </r>
  <r>
    <d v="2023-01-21T00:00:00"/>
    <x v="2"/>
    <s v="Admin/HR/IT"/>
    <s v="AMCARE NonOcc In"/>
    <s v="AMZN"/>
    <n v="112972608"/>
    <s v="Hernandez Romo,Sam"/>
    <s v="Pizana,Diego"/>
    <n v="0"/>
    <n v="0"/>
    <n v="0"/>
    <n v="0"/>
    <n v="1.1499999999999999"/>
    <e v="#N/A"/>
    <x v="0"/>
  </r>
  <r>
    <d v="2023-01-21T00:00:00"/>
    <x v="2"/>
    <s v="Admin/HR/IT"/>
    <s v="AMCARE NonOcc In"/>
    <s v="TEMP"/>
    <n v="200564845"/>
    <s v="Barron,Abraham"/>
    <s v="Piedra,Valentina"/>
    <n v="0"/>
    <n v="0"/>
    <n v="0"/>
    <n v="0"/>
    <n v="0.2"/>
    <e v="#N/A"/>
    <x v="0"/>
  </r>
  <r>
    <d v="2023-01-21T00:00:00"/>
    <x v="2"/>
    <s v="Admin/HR/IT"/>
    <s v="AMCARE NonOcc In"/>
    <s v="AMZN"/>
    <n v="113003627"/>
    <s v="Zavala,Diego"/>
    <s v="Gutierrez,Hector"/>
    <n v="0"/>
    <n v="0"/>
    <n v="0"/>
    <n v="0"/>
    <n v="0.7"/>
    <e v="#N/A"/>
    <x v="0"/>
  </r>
  <r>
    <d v="2023-01-22T00:00:00"/>
    <x v="3"/>
    <s v="Admin/HR/IT"/>
    <s v="AMCARE NonOcc In"/>
    <s v="AMZN"/>
    <n v="112980899"/>
    <s v="Avila Cabrera,Ari"/>
    <s v="Gomez,Abinadab"/>
    <n v="0"/>
    <n v="0"/>
    <n v="0"/>
    <n v="0"/>
    <n v="0.33"/>
    <s v="NF-X1900"/>
    <x v="34"/>
  </r>
  <r>
    <d v="2023-01-22T00:00:00"/>
    <x v="3"/>
    <s v="Admin/HR/IT"/>
    <s v="AMCARE NonOcc In"/>
    <s v="AMZN"/>
    <n v="113019001"/>
    <s v="Lozano Hernandez,Donny"/>
    <s v="Robledo Ugarte,Alejandro"/>
    <n v="0"/>
    <n v="0"/>
    <n v="0"/>
    <n v="0"/>
    <n v="0.1"/>
    <e v="#N/A"/>
    <x v="48"/>
  </r>
  <r>
    <d v="2023-01-22T00:00:00"/>
    <x v="3"/>
    <s v="Admin/HR/IT"/>
    <s v="AMCARE NonOcc In"/>
    <s v="TEMP"/>
    <n v="200534518"/>
    <s v="Flores,Alejandro"/>
    <s v="Gomez,Abinadab"/>
    <n v="0"/>
    <n v="0"/>
    <n v="0"/>
    <n v="0"/>
    <n v="0.35"/>
    <e v="#N/A"/>
    <x v="0"/>
  </r>
  <r>
    <d v="2023-01-22T00:00:00"/>
    <x v="3"/>
    <s v="Admin/HR/IT"/>
    <s v="AMCARE NonOcc In"/>
    <s v="TEMP"/>
    <n v="200564895"/>
    <s v="Mendoza Corona,Brianda"/>
    <s v="Ledezma,Fer"/>
    <n v="0"/>
    <n v="0"/>
    <n v="0"/>
    <n v="0"/>
    <n v="0.57999999999999996"/>
    <e v="#N/A"/>
    <x v="64"/>
  </r>
  <r>
    <d v="2023-01-22T00:00:00"/>
    <x v="3"/>
    <s v="Admin/HR/IT"/>
    <s v="AMCARE NonOcc In"/>
    <s v="AMZN"/>
    <n v="112920679"/>
    <s v="Vazquez,Israel"/>
    <s v="Munoz,Jonan"/>
    <n v="0"/>
    <n v="0"/>
    <n v="0"/>
    <n v="0"/>
    <n v="0.6"/>
    <e v="#N/A"/>
    <x v="0"/>
  </r>
  <r>
    <d v="2023-01-22T00:00:00"/>
    <x v="3"/>
    <s v="Admin/HR/IT"/>
    <s v="AMCARE NonOcc In"/>
    <s v="TEMP"/>
    <n v="200584282"/>
    <s v="Lopez Nieto,Denisse"/>
    <s v="Ledezma,Fer"/>
    <n v="0"/>
    <n v="0"/>
    <n v="0"/>
    <n v="0"/>
    <n v="0.48"/>
    <e v="#N/A"/>
    <x v="65"/>
  </r>
  <r>
    <d v="2023-01-22T00:00:00"/>
    <x v="3"/>
    <s v="Admin/HR/IT"/>
    <s v="AMCARE NonOcc In"/>
    <s v="AMZN"/>
    <n v="112980812"/>
    <s v="Jacobo,Mary"/>
    <s v="Piedra,Valentina"/>
    <n v="0"/>
    <n v="0"/>
    <n v="0"/>
    <n v="0"/>
    <n v="0.33"/>
    <s v="DA-X0700"/>
    <x v="24"/>
  </r>
  <r>
    <d v="2023-01-22T00:00:00"/>
    <x v="3"/>
    <s v="Admin/HR/IT"/>
    <s v="AMCARE NonOcc In"/>
    <s v="TEMP"/>
    <n v="112912007"/>
    <s v="Robledo Barrientos,Alondra"/>
    <s v="Robledo Ugarte,Alejandro"/>
    <n v="0"/>
    <n v="0"/>
    <n v="0"/>
    <n v="0"/>
    <n v="0.76"/>
    <e v="#N/A"/>
    <x v="0"/>
  </r>
  <r>
    <d v="2023-01-22T00:00:00"/>
    <x v="3"/>
    <s v="Admin/HR/IT"/>
    <s v="AMCARE NonOcc In"/>
    <s v="AMZN"/>
    <n v="112981014"/>
    <s v="Roldan Gutierrez,Pablo"/>
    <s v="Robledo Ugarte,Alejandro"/>
    <n v="0"/>
    <n v="0"/>
    <n v="0"/>
    <n v="0"/>
    <n v="0.15"/>
    <s v="DJ-X0700"/>
    <x v="29"/>
  </r>
  <r>
    <d v="2023-01-22T00:00:00"/>
    <x v="3"/>
    <s v="Admin/HR/IT"/>
    <s v="AMCARE NonOcc In"/>
    <s v="AMZN"/>
    <n v="112980844"/>
    <s v="Padilla,Samantha"/>
    <s v="Robledo Ugarte,Alejandro"/>
    <n v="0"/>
    <n v="0"/>
    <n v="0"/>
    <n v="0"/>
    <n v="0.09"/>
    <s v="DA-X0700"/>
    <x v="2"/>
  </r>
  <r>
    <d v="2023-01-22T00:00:00"/>
    <x v="3"/>
    <s v="Admin/HR/IT"/>
    <s v="AMCARE NonOcc In"/>
    <s v="AMZN"/>
    <n v="112984097"/>
    <s v="Aguilera,Yaremi"/>
    <s v="Madrid Molina,Ramon"/>
    <n v="0"/>
    <n v="0"/>
    <n v="0"/>
    <n v="0"/>
    <n v="0.38"/>
    <e v="#N/A"/>
    <x v="0"/>
  </r>
  <r>
    <d v="2023-01-23T00:00:00"/>
    <x v="3"/>
    <s v="Admin/HR/IT"/>
    <s v="AMCARE NonOcc In"/>
    <s v="TEMP"/>
    <n v="112912007"/>
    <s v="Robledo Barrientos,Alondra"/>
    <s v="Robledo Ugarte,Alejandro"/>
    <n v="0"/>
    <n v="0"/>
    <n v="0"/>
    <n v="0"/>
    <n v="0.84"/>
    <e v="#N/A"/>
    <x v="0"/>
  </r>
  <r>
    <d v="2023-01-23T00:00:00"/>
    <x v="3"/>
    <s v="Admin/HR/IT"/>
    <s v="AMCARE NonOcc In"/>
    <s v="AMZN"/>
    <n v="112912201"/>
    <s v="Castillo Falcon,Sheyla"/>
    <s v="Madrid Molina,Ramon"/>
    <n v="0"/>
    <n v="0"/>
    <n v="0"/>
    <n v="0"/>
    <n v="0.24"/>
    <e v="#N/A"/>
    <x v="0"/>
  </r>
  <r>
    <d v="2023-01-23T00:00:00"/>
    <x v="3"/>
    <s v="Admin/HR/IT"/>
    <s v="AMCARE NonOcc In"/>
    <s v="AMZN"/>
    <n v="112912752"/>
    <s v="Valderrama Gomez,Leslie"/>
    <s v="Gomez,Abinadab"/>
    <n v="0"/>
    <n v="0"/>
    <n v="0"/>
    <n v="0"/>
    <n v="0.14000000000000001"/>
    <s v="NF-X1900"/>
    <x v="5"/>
  </r>
  <r>
    <d v="2023-01-23T00:00:00"/>
    <x v="3"/>
    <s v="Admin/HR/IT"/>
    <s v="AMCARE NonOcc In"/>
    <s v="AMZN"/>
    <n v="112980847"/>
    <s v="Reyes,Jose"/>
    <s v="Robledo Ugarte,Alejandro"/>
    <n v="0"/>
    <n v="0"/>
    <n v="0"/>
    <n v="0"/>
    <n v="0.48"/>
    <e v="#N/A"/>
    <x v="0"/>
  </r>
  <r>
    <d v="2023-01-23T00:00:00"/>
    <x v="3"/>
    <s v="Admin/HR/IT"/>
    <s v="AMCARE NonOcc In"/>
    <s v="AMZN"/>
    <n v="112980862"/>
    <s v="Tecla,Alejandro"/>
    <s v="Hernandez,Nataly"/>
    <n v="0"/>
    <n v="0"/>
    <n v="0"/>
    <n v="0"/>
    <n v="0.84"/>
    <e v="#N/A"/>
    <x v="0"/>
  </r>
  <r>
    <d v="2023-01-23T00:00:00"/>
    <x v="3"/>
    <s v="Admin/HR/IT"/>
    <s v="AMCARE NonOcc In"/>
    <s v="AMZN"/>
    <n v="113003631"/>
    <s v="Ortega,Elizabeth"/>
    <s v="Gomez Aguado,Jorge"/>
    <n v="0"/>
    <n v="0"/>
    <n v="0"/>
    <n v="0"/>
    <n v="0.28999999999999998"/>
    <e v="#N/A"/>
    <x v="0"/>
  </r>
  <r>
    <d v="2023-01-23T00:00:00"/>
    <x v="3"/>
    <s v="Admin/HR/IT"/>
    <s v="AMCARE NonOcc In"/>
    <s v="AMZN"/>
    <n v="113014011"/>
    <s v="Robledo Barrientos,Logan"/>
    <s v="Hernandez,Nataly"/>
    <n v="0"/>
    <n v="0"/>
    <n v="0"/>
    <n v="0"/>
    <n v="0.67"/>
    <e v="#N/A"/>
    <x v="0"/>
  </r>
  <r>
    <d v="2023-01-23T00:00:00"/>
    <x v="3"/>
    <s v="Admin/HR/IT"/>
    <s v="AMCARE NonOcc In"/>
    <s v="AMZN"/>
    <n v="113014194"/>
    <s v="Flores Lopez,Ricardo"/>
    <s v="Hernandez,Nataly"/>
    <n v="0"/>
    <n v="0"/>
    <n v="0"/>
    <n v="0"/>
    <n v="0.42"/>
    <e v="#N/A"/>
    <x v="0"/>
  </r>
  <r>
    <d v="2023-01-23T00:00:00"/>
    <x v="3"/>
    <s v="Admin/HR/IT"/>
    <s v="AMCARE NonOcc In"/>
    <s v="AMZN"/>
    <n v="113018997"/>
    <s v="Rodriguez Ponce,Gaby"/>
    <s v="Gomez,Abinadab"/>
    <n v="0"/>
    <n v="0"/>
    <n v="0"/>
    <n v="0"/>
    <n v="1.73"/>
    <e v="#N/A"/>
    <x v="0"/>
  </r>
  <r>
    <d v="2023-01-23T00:00:00"/>
    <x v="3"/>
    <s v="Admin/HR/IT"/>
    <s v="AMCARE NonOcc In"/>
    <s v="AMZN"/>
    <n v="113019055"/>
    <s v="Lopez Gutierrez,Jorge"/>
    <s v="Hernandez,Nataly"/>
    <n v="0"/>
    <n v="0"/>
    <n v="0"/>
    <n v="0"/>
    <n v="0.57999999999999996"/>
    <e v="#N/A"/>
    <x v="66"/>
  </r>
  <r>
    <d v="2023-01-23T00:00:00"/>
    <x v="3"/>
    <s v="Admin/HR/IT"/>
    <s v="AMCARE NonOcc In"/>
    <s v="AMZN"/>
    <n v="113101453"/>
    <s v="Isaac,Geovanna"/>
    <s v="Madrid Molina,Ramon"/>
    <n v="0"/>
    <n v="0"/>
    <n v="0"/>
    <n v="0"/>
    <n v="0.13"/>
    <e v="#N/A"/>
    <x v="4"/>
  </r>
  <r>
    <d v="2023-01-23T00:00:00"/>
    <x v="3"/>
    <s v="Admin/HR/IT"/>
    <s v="AMCARE NonOcc In"/>
    <s v="AMZN"/>
    <n v="200404250"/>
    <s v="Hurtado,Caty"/>
    <s v="Hernandez,Nataly"/>
    <n v="0"/>
    <n v="0"/>
    <n v="0"/>
    <n v="0"/>
    <n v="0.55000000000000004"/>
    <e v="#N/A"/>
    <x v="6"/>
  </r>
  <r>
    <d v="2023-01-23T00:00:00"/>
    <x v="3"/>
    <s v="Admin/HR/IT"/>
    <s v="AMCARE NonOcc In"/>
    <s v="TEMP"/>
    <n v="200554743"/>
    <s v="Rivera Hernandez,Liliana"/>
    <s v="Romero Sanchez,Gustavo Gabriel"/>
    <n v="0"/>
    <n v="0"/>
    <n v="0"/>
    <n v="0"/>
    <n v="0.39"/>
    <e v="#N/A"/>
    <x v="0"/>
  </r>
  <r>
    <d v="2023-01-23T00:00:00"/>
    <x v="3"/>
    <s v="Admin/HR/IT"/>
    <s v="AMCARE NonOcc In"/>
    <s v="TEMP"/>
    <n v="200564895"/>
    <s v="Mendoza Corona,Brianda"/>
    <s v="Ledezma,Fer"/>
    <n v="0"/>
    <n v="0"/>
    <n v="0"/>
    <n v="0"/>
    <n v="0.22"/>
    <e v="#N/A"/>
    <x v="64"/>
  </r>
  <r>
    <d v="2023-01-23T00:00:00"/>
    <x v="3"/>
    <s v="Admin/HR/IT"/>
    <s v="AMCARE NonOcc In"/>
    <s v="TEMP"/>
    <n v="200584282"/>
    <s v="Lopez Nieto,Denisse"/>
    <s v="Ledezma,Fer"/>
    <n v="0"/>
    <n v="0"/>
    <n v="0"/>
    <n v="0"/>
    <n v="0.25"/>
    <e v="#N/A"/>
    <x v="65"/>
  </r>
  <r>
    <d v="2023-01-23T00:00:00"/>
    <x v="3"/>
    <s v="Admin/HR/IT"/>
    <s v="AMCARE NonOcc In"/>
    <s v="TEMP"/>
    <n v="200594875"/>
    <s v="Maldonado,Jose"/>
    <s v="Robledo Ugarte,Alejandro"/>
    <n v="0"/>
    <n v="0"/>
    <n v="0"/>
    <n v="0"/>
    <n v="0.14000000000000001"/>
    <e v="#N/A"/>
    <x v="67"/>
  </r>
  <r>
    <d v="2023-01-24T00:00:00"/>
    <x v="3"/>
    <s v="Admin/HR/IT"/>
    <s v="AMCARE NonOcc In"/>
    <s v="AMZN"/>
    <n v="112912163"/>
    <s v="Murillo,Alejandro"/>
    <s v="Madrid Molina,Ramon"/>
    <n v="0"/>
    <n v="0"/>
    <n v="0"/>
    <n v="0"/>
    <n v="0.21"/>
    <e v="#N/A"/>
    <x v="0"/>
  </r>
  <r>
    <d v="2023-01-24T00:00:00"/>
    <x v="3"/>
    <s v="Admin/HR/IT"/>
    <s v="AMCARE NonOcc In"/>
    <s v="AMZN"/>
    <n v="112912464"/>
    <s v="Garcia Nicasio,Luis"/>
    <s v="Garcia Espejel,Brenda Victoria"/>
    <n v="0"/>
    <n v="0"/>
    <n v="0"/>
    <n v="0"/>
    <n v="4.0999999999999996"/>
    <e v="#N/A"/>
    <x v="0"/>
  </r>
  <r>
    <d v="2023-01-24T00:00:00"/>
    <x v="3"/>
    <s v="Admin/HR/IT"/>
    <s v="AMCARE NonOcc In"/>
    <s v="AMZN"/>
    <n v="112912752"/>
    <s v="Valderrama Gomez,Leslie"/>
    <s v="Gomez,Abinadab"/>
    <n v="0"/>
    <n v="0"/>
    <n v="0"/>
    <n v="0"/>
    <n v="0.21"/>
    <s v="NF-X1900"/>
    <x v="5"/>
  </r>
  <r>
    <d v="2023-01-24T00:00:00"/>
    <x v="3"/>
    <s v="Admin/HR/IT"/>
    <s v="AMCARE NonOcc In"/>
    <s v="AMZN"/>
    <n v="112981201"/>
    <s v="Ramirez,Andrea"/>
    <s v="Ledezma,Fer"/>
    <n v="0"/>
    <n v="0"/>
    <n v="0"/>
    <n v="0"/>
    <n v="0.44"/>
    <e v="#N/A"/>
    <x v="0"/>
  </r>
  <r>
    <d v="2023-01-24T00:00:00"/>
    <x v="3"/>
    <s v="Admin/HR/IT"/>
    <s v="AMCARE NonOcc In"/>
    <s v="AMZN"/>
    <n v="112984097"/>
    <s v="Aguilera,Yaremi"/>
    <s v="Madrid Molina,Ramon"/>
    <n v="0"/>
    <n v="0"/>
    <n v="0"/>
    <n v="0"/>
    <n v="0.13"/>
    <e v="#N/A"/>
    <x v="0"/>
  </r>
  <r>
    <d v="2023-01-24T00:00:00"/>
    <x v="3"/>
    <s v="Admin/HR/IT"/>
    <s v="AMCARE NonOcc In"/>
    <s v="AMZN"/>
    <n v="113014011"/>
    <s v="Robledo Barrientos,Logan"/>
    <s v="Hernandez,Nataly"/>
    <n v="0"/>
    <n v="0"/>
    <n v="0"/>
    <n v="0"/>
    <n v="0.8"/>
    <e v="#N/A"/>
    <x v="0"/>
  </r>
  <r>
    <d v="2023-01-24T00:00:00"/>
    <x v="3"/>
    <s v="Admin/HR/IT"/>
    <s v="AMCARE NonOcc In"/>
    <s v="AMZN"/>
    <n v="113014046"/>
    <s v="Reyes Andrade,Oscar"/>
    <s v="Gomez Aguado,Jorge"/>
    <n v="0"/>
    <n v="0"/>
    <n v="0"/>
    <n v="0"/>
    <n v="0.25"/>
    <e v="#N/A"/>
    <x v="0"/>
  </r>
  <r>
    <d v="2023-01-24T00:00:00"/>
    <x v="3"/>
    <s v="Admin/HR/IT"/>
    <s v="AMCARE NonOcc In"/>
    <s v="AMZN"/>
    <n v="113014094"/>
    <s v="Mercado,Erika"/>
    <s v="Madrid Molina,Ramon"/>
    <n v="0"/>
    <n v="0"/>
    <n v="0"/>
    <n v="0"/>
    <n v="0.15"/>
    <e v="#N/A"/>
    <x v="49"/>
  </r>
  <r>
    <d v="2023-01-24T00:00:00"/>
    <x v="3"/>
    <s v="Admin/HR/IT"/>
    <s v="AMCARE NonOcc In"/>
    <s v="AMZN"/>
    <n v="113014113"/>
    <s v="Sanchez Villegas,Benjamin"/>
    <s v="Ledezma,Fer"/>
    <n v="0"/>
    <n v="0"/>
    <n v="0"/>
    <n v="0"/>
    <n v="0.31"/>
    <e v="#N/A"/>
    <x v="0"/>
  </r>
  <r>
    <d v="2023-01-24T00:00:00"/>
    <x v="3"/>
    <s v="Admin/HR/IT"/>
    <s v="AMCARE NonOcc In"/>
    <s v="AMZN"/>
    <n v="113014402"/>
    <s v="Mendoza Estrada,Juan"/>
    <s v="Madrid Molina,Ramon"/>
    <n v="0"/>
    <n v="0"/>
    <n v="0"/>
    <n v="0"/>
    <n v="0.84"/>
    <e v="#N/A"/>
    <x v="37"/>
  </r>
  <r>
    <d v="2023-01-24T00:00:00"/>
    <x v="3"/>
    <s v="Admin/HR/IT"/>
    <s v="AMCARE NonOcc In"/>
    <s v="AMZN"/>
    <n v="113018997"/>
    <s v="Rodriguez Ponce,Gaby"/>
    <s v="Gomez,Abinadab"/>
    <n v="0"/>
    <n v="0"/>
    <n v="0"/>
    <n v="0"/>
    <n v="0.54"/>
    <e v="#N/A"/>
    <x v="0"/>
  </r>
  <r>
    <d v="2023-01-24T00:00:00"/>
    <x v="3"/>
    <s v="Admin/HR/IT"/>
    <s v="AMCARE NonOcc In"/>
    <s v="AMZN"/>
    <n v="113019111"/>
    <s v="Valdespino,Kelly"/>
    <s v="Ledezma,Fer"/>
    <n v="0"/>
    <n v="0"/>
    <n v="0"/>
    <n v="0"/>
    <n v="0.15"/>
    <e v="#N/A"/>
    <x v="68"/>
  </r>
  <r>
    <d v="2023-01-24T00:00:00"/>
    <x v="3"/>
    <s v="Admin/HR/IT"/>
    <s v="AMCARE NonOcc In"/>
    <s v="AMZN"/>
    <n v="200404250"/>
    <s v="Hurtado,Caty"/>
    <s v="Hernandez,Nataly"/>
    <n v="0"/>
    <n v="0"/>
    <n v="0"/>
    <n v="0"/>
    <n v="0.52"/>
    <e v="#N/A"/>
    <x v="6"/>
  </r>
  <r>
    <d v="2023-01-24T00:00:00"/>
    <x v="3"/>
    <s v="Admin/HR/IT"/>
    <s v="AMCARE NonOcc In"/>
    <s v="TEMP"/>
    <n v="200534675"/>
    <s v="Munoz Macias,Juan Pablo"/>
    <s v="Piedra,Valentina"/>
    <n v="0"/>
    <n v="0"/>
    <n v="0"/>
    <n v="0"/>
    <n v="0.43"/>
    <e v="#N/A"/>
    <x v="69"/>
  </r>
  <r>
    <d v="2023-01-24T00:00:00"/>
    <x v="3"/>
    <s v="Admin/HR/IT"/>
    <s v="AMCARE NonOcc In"/>
    <s v="TEMP"/>
    <n v="200564895"/>
    <s v="Mendoza Corona,Brianda"/>
    <s v="Ledezma,Fer"/>
    <n v="0"/>
    <n v="0"/>
    <n v="0"/>
    <n v="0"/>
    <n v="0.26"/>
    <e v="#N/A"/>
    <x v="64"/>
  </r>
  <r>
    <d v="2023-01-24T00:00:00"/>
    <x v="3"/>
    <s v="Admin/HR/IT"/>
    <s v="AMCARE NonOcc In"/>
    <s v="TEMP"/>
    <n v="200625027"/>
    <s v="Rodriguez Gonzalez,Neidy"/>
    <s v="Madrid Molina,Ramon"/>
    <n v="0"/>
    <n v="0"/>
    <n v="0"/>
    <n v="0"/>
    <n v="0.03"/>
    <e v="#N/A"/>
    <x v="0"/>
  </r>
  <r>
    <d v="2023-01-25T00:00:00"/>
    <x v="3"/>
    <s v="Admin/HR/IT"/>
    <s v="AMCARE NonOcc In"/>
    <s v="AMZN"/>
    <n v="112912675"/>
    <s v="Alejandri Villagomez,Alejandra"/>
    <s v="Corona Arriaga,Fernando"/>
    <n v="0"/>
    <n v="0"/>
    <n v="0"/>
    <n v="0"/>
    <n v="0.2"/>
    <e v="#N/A"/>
    <x v="0"/>
  </r>
  <r>
    <d v="2023-01-25T00:00:00"/>
    <x v="3"/>
    <s v="Admin/HR/IT"/>
    <s v="AMCARE NonOcc In"/>
    <s v="AMZN"/>
    <n v="112912677"/>
    <s v="Gonzalez,Gustavo"/>
    <s v="Camarena,Grecia"/>
    <n v="0"/>
    <n v="0"/>
    <n v="0"/>
    <n v="0"/>
    <n v="0.01"/>
    <e v="#N/A"/>
    <x v="0"/>
  </r>
  <r>
    <d v="2023-01-25T00:00:00"/>
    <x v="3"/>
    <s v="Admin/HR/IT"/>
    <s v="AMCARE NonOcc In"/>
    <s v="AMZN"/>
    <n v="112912752"/>
    <s v="Valderrama Gomez,Leslie"/>
    <s v="Gomez,Abinadab"/>
    <n v="0"/>
    <n v="0"/>
    <n v="0"/>
    <n v="0"/>
    <n v="0.49"/>
    <s v="NF-X1900"/>
    <x v="5"/>
  </r>
  <r>
    <d v="2023-01-25T00:00:00"/>
    <x v="3"/>
    <s v="Admin/HR/IT"/>
    <s v="AMCARE NonOcc In"/>
    <s v="AMZN"/>
    <n v="112951256"/>
    <s v="Ramirez Vallejo,Kateryne"/>
    <s v="Camarena,Grecia"/>
    <n v="0"/>
    <n v="0"/>
    <n v="0"/>
    <n v="0"/>
    <n v="0.21"/>
    <s v="DA-X0700"/>
    <x v="27"/>
  </r>
  <r>
    <d v="2023-01-25T00:00:00"/>
    <x v="3"/>
    <s v="Admin/HR/IT"/>
    <s v="AMCARE NonOcc In"/>
    <s v="AMZN"/>
    <n v="112971953"/>
    <s v="Aguirre Palomino,Ana"/>
    <s v="Lopez,Alexa"/>
    <n v="0"/>
    <n v="0"/>
    <n v="0"/>
    <n v="0"/>
    <n v="0.22"/>
    <s v="DB-X0700"/>
    <x v="7"/>
  </r>
  <r>
    <d v="2023-01-25T00:00:00"/>
    <x v="3"/>
    <s v="Admin/HR/IT"/>
    <s v="AMCARE NonOcc In"/>
    <s v="AMZN"/>
    <n v="112980899"/>
    <s v="Avila Cabrera,Ari"/>
    <s v="Gomez,Abinadab"/>
    <n v="0"/>
    <n v="0"/>
    <n v="0"/>
    <n v="0"/>
    <n v="0.28999999999999998"/>
    <s v="NF-X1900"/>
    <x v="34"/>
  </r>
  <r>
    <d v="2023-01-25T00:00:00"/>
    <x v="3"/>
    <s v="Admin/HR/IT"/>
    <s v="AMCARE NonOcc In"/>
    <s v="AMZN"/>
    <n v="112981013"/>
    <s v="Lopez Neri,Norma"/>
    <s v="Robledo Ugarte,Alejandro"/>
    <n v="0"/>
    <n v="0"/>
    <n v="0"/>
    <n v="0"/>
    <n v="0.28000000000000003"/>
    <s v="DA-X0700"/>
    <x v="12"/>
  </r>
  <r>
    <d v="2023-01-25T00:00:00"/>
    <x v="3"/>
    <s v="Admin/HR/IT"/>
    <s v="AMCARE NonOcc In"/>
    <s v="AMZN"/>
    <n v="112981194"/>
    <s v="Camacho Delgado,Karina"/>
    <s v="Gomez,Abinadab"/>
    <n v="0"/>
    <n v="0"/>
    <n v="0"/>
    <n v="0"/>
    <n v="0.13"/>
    <s v="NF-X1900"/>
    <x v="70"/>
  </r>
  <r>
    <d v="2023-01-25T00:00:00"/>
    <x v="3"/>
    <s v="Admin/HR/IT"/>
    <s v="AMCARE NonOcc In"/>
    <s v="AMZN"/>
    <n v="113003637"/>
    <s v="Aguilera Calderon,Jose Maria"/>
    <s v="Romero Sanchez,Gustavo Gabriel"/>
    <n v="0"/>
    <n v="0"/>
    <n v="0"/>
    <n v="0"/>
    <n v="0.28999999999999998"/>
    <e v="#N/A"/>
    <x v="0"/>
  </r>
  <r>
    <d v="2023-01-25T00:00:00"/>
    <x v="3"/>
    <s v="Admin/HR/IT"/>
    <s v="AMCARE NonOcc In"/>
    <s v="AMZN"/>
    <n v="113004099"/>
    <s v="Partida,Luis"/>
    <s v="Romero Sanchez,Gustavo Gabriel"/>
    <n v="0"/>
    <n v="0"/>
    <n v="0"/>
    <n v="0"/>
    <n v="0.11"/>
    <e v="#N/A"/>
    <x v="71"/>
  </r>
  <r>
    <d v="2023-01-25T00:00:00"/>
    <x v="3"/>
    <s v="Admin/HR/IT"/>
    <s v="AMCARE NonOcc In"/>
    <s v="AMZN"/>
    <n v="113141911"/>
    <s v="Larrazolo Pena,Ireri"/>
    <s v="Camarena,Grecia"/>
    <n v="0"/>
    <n v="0"/>
    <n v="0"/>
    <n v="0"/>
    <n v="0.66"/>
    <e v="#N/A"/>
    <x v="0"/>
  </r>
  <r>
    <d v="2023-01-25T00:00:00"/>
    <x v="3"/>
    <s v="Admin/HR/IT"/>
    <s v="AMCARE NonOcc In"/>
    <s v="AMZN"/>
    <n v="200463510"/>
    <s v="Macias,Rodrigo"/>
    <s v="Romero Sanchez,Gustavo Gabriel"/>
    <n v="0"/>
    <n v="0"/>
    <n v="0"/>
    <n v="0"/>
    <n v="0.14000000000000001"/>
    <e v="#N/A"/>
    <x v="62"/>
  </r>
  <r>
    <d v="2023-01-25T00:00:00"/>
    <x v="3"/>
    <s v="Admin/HR/IT"/>
    <s v="AMCARE NonOcc In"/>
    <s v="TEMP"/>
    <n v="200562868"/>
    <s v="Martinez Alvarez,Arturo"/>
    <s v="Gomez Aguado,Jorge"/>
    <n v="0"/>
    <n v="0"/>
    <n v="0"/>
    <n v="0"/>
    <n v="0.55000000000000004"/>
    <e v="#N/A"/>
    <x v="0"/>
  </r>
  <r>
    <d v="2023-01-25T00:00:00"/>
    <x v="3"/>
    <s v="Admin/HR/IT"/>
    <s v="AMCARE NonOcc In"/>
    <s v="TEMP"/>
    <n v="200620341"/>
    <s v="Camacho Ramirez,Carlos"/>
    <s v="Gomez Aguado,Jorge"/>
    <n v="0"/>
    <n v="0"/>
    <n v="0"/>
    <n v="0"/>
    <n v="0.42"/>
    <e v="#N/A"/>
    <x v="0"/>
  </r>
  <r>
    <d v="2023-01-25T00:00:00"/>
    <x v="3"/>
    <s v="Admin/HR/IT"/>
    <s v="AMCARE NonOcc In"/>
    <s v="AMZN"/>
    <n v="112920665"/>
    <s v="Rangel,Aguirre"/>
    <s v="Gutierrez,Hector"/>
    <n v="0"/>
    <n v="0"/>
    <n v="0"/>
    <n v="0"/>
    <n v="0.2"/>
    <s v="DB-X0700"/>
    <x v="72"/>
  </r>
  <r>
    <d v="2023-01-25T00:00:00"/>
    <x v="3"/>
    <s v="Admin/HR/IT"/>
    <s v="AMCARE NonOcc In"/>
    <s v="AMZN"/>
    <n v="112980835"/>
    <s v="Rojas  Cuellar,Jacqueline"/>
    <s v="Gutierrez,Hector"/>
    <n v="0"/>
    <n v="0"/>
    <n v="0"/>
    <n v="0"/>
    <n v="0.46"/>
    <e v="#N/A"/>
    <x v="0"/>
  </r>
  <r>
    <d v="2023-01-25T00:00:00"/>
    <x v="3"/>
    <s v="Admin/HR/IT"/>
    <s v="AMCARE NonOcc In"/>
    <s v="AMZN"/>
    <n v="113014011"/>
    <s v="Robledo Barrientos,Logan"/>
    <s v="Hernandez,Nataly"/>
    <n v="0"/>
    <n v="0"/>
    <n v="0"/>
    <n v="0"/>
    <n v="0.97"/>
    <e v="#N/A"/>
    <x v="0"/>
  </r>
  <r>
    <d v="2023-01-25T00:00:00"/>
    <x v="3"/>
    <s v="Admin/HR/IT"/>
    <s v="AMCARE NonOcc In"/>
    <s v="AMZN"/>
    <n v="113014081"/>
    <s v="Frausto,Genesis"/>
    <s v="Ledezma,Fer"/>
    <n v="0"/>
    <n v="0"/>
    <n v="0"/>
    <n v="0"/>
    <n v="7.0000000000000007E-2"/>
    <e v="#N/A"/>
    <x v="9"/>
  </r>
  <r>
    <d v="2023-01-25T00:00:00"/>
    <x v="3"/>
    <s v="Admin/HR/IT"/>
    <s v="AMCARE NonOcc In"/>
    <s v="AMZN"/>
    <n v="200404250"/>
    <s v="Hurtado,Caty"/>
    <s v="Hernandez,Nataly"/>
    <n v="0"/>
    <n v="0"/>
    <n v="0"/>
    <n v="0"/>
    <n v="0.51"/>
    <e v="#N/A"/>
    <x v="6"/>
  </r>
  <r>
    <d v="2023-01-25T00:00:00"/>
    <x v="3"/>
    <s v="Admin/HR/IT"/>
    <s v="AMCARE NonOcc In"/>
    <s v="TEMP"/>
    <n v="200588981"/>
    <s v="Romero,Maria"/>
    <s v="Ledezma,Fer"/>
    <n v="0"/>
    <n v="0"/>
    <n v="0"/>
    <n v="0"/>
    <n v="0.54"/>
    <e v="#N/A"/>
    <x v="0"/>
  </r>
  <r>
    <d v="2023-01-26T00:00:00"/>
    <x v="3"/>
    <s v="Admin/HR/IT"/>
    <s v="AMCARE NonOcc In"/>
    <s v="AMZN"/>
    <n v="112912464"/>
    <s v="Garcia Nicasio,Luis"/>
    <s v="Garcia Espejel,Brenda Victoria"/>
    <n v="0"/>
    <n v="0"/>
    <n v="0"/>
    <n v="0"/>
    <n v="1.28"/>
    <e v="#N/A"/>
    <x v="0"/>
  </r>
  <r>
    <d v="2023-01-26T00:00:00"/>
    <x v="3"/>
    <s v="Admin/HR/IT"/>
    <s v="AMCARE NonOcc In"/>
    <s v="AMZN"/>
    <n v="112912509"/>
    <s v="Gutierrez Portillo,Joceline"/>
    <s v="Madrid Molina,Ramon"/>
    <n v="0"/>
    <n v="0"/>
    <n v="0"/>
    <n v="0"/>
    <n v="0.39"/>
    <e v="#N/A"/>
    <x v="0"/>
  </r>
  <r>
    <d v="2023-01-26T00:00:00"/>
    <x v="3"/>
    <s v="Admin/HR/IT"/>
    <s v="AMCARE NonOcc In"/>
    <s v="AMZN"/>
    <n v="112980835"/>
    <s v="Rojas  Cuellar,Jacqueline"/>
    <s v="Gutierrez,Hector"/>
    <n v="0"/>
    <n v="0"/>
    <n v="0"/>
    <n v="0"/>
    <n v="1.61"/>
    <e v="#N/A"/>
    <x v="0"/>
  </r>
  <r>
    <d v="2023-01-26T00:00:00"/>
    <x v="3"/>
    <s v="Admin/HR/IT"/>
    <s v="AMCARE NonOcc In"/>
    <s v="AMZN"/>
    <n v="113014081"/>
    <s v="Frausto,Genesis"/>
    <s v="Ledezma,Fer"/>
    <n v="0"/>
    <n v="0"/>
    <n v="0"/>
    <n v="0"/>
    <n v="0.41"/>
    <e v="#N/A"/>
    <x v="9"/>
  </r>
  <r>
    <d v="2023-01-26T00:00:00"/>
    <x v="3"/>
    <s v="Admin/HR/IT"/>
    <s v="AMCARE NonOcc In"/>
    <s v="AMZN"/>
    <n v="113052151"/>
    <s v="Nieves Mendez,Laura"/>
    <s v="Gutierrez,Hector"/>
    <n v="0"/>
    <n v="0"/>
    <n v="0"/>
    <n v="0"/>
    <n v="0.23"/>
    <e v="#N/A"/>
    <x v="56"/>
  </r>
  <r>
    <d v="2023-01-26T00:00:00"/>
    <x v="3"/>
    <s v="Admin/HR/IT"/>
    <s v="AMCARE NonOcc In"/>
    <s v="AMZN"/>
    <n v="200404250"/>
    <s v="Hurtado,Caty"/>
    <s v="Hernandez,Nataly"/>
    <n v="0"/>
    <n v="0"/>
    <n v="0"/>
    <n v="0"/>
    <n v="0.63"/>
    <e v="#N/A"/>
    <x v="6"/>
  </r>
  <r>
    <d v="2023-01-26T00:00:00"/>
    <x v="3"/>
    <s v="Admin/HR/IT"/>
    <s v="Safety"/>
    <s v="AMZN"/>
    <n v="113040574"/>
    <s v="Hernandez Miranda,Reyna"/>
    <s v="Olmos,Carmen"/>
    <n v="0"/>
    <n v="0"/>
    <n v="0"/>
    <n v="0"/>
    <n v="0.25"/>
    <e v="#N/A"/>
    <x v="0"/>
  </r>
  <r>
    <d v="2023-01-26T00:00:00"/>
    <x v="3"/>
    <s v="Admin/HR/IT"/>
    <s v="AMCARE NonOcc In"/>
    <s v="AMZN"/>
    <n v="112971953"/>
    <s v="Aguirre Palomino,Ana"/>
    <s v="Lopez,Alexa"/>
    <n v="0"/>
    <n v="0"/>
    <n v="0"/>
    <n v="0"/>
    <n v="0.28000000000000003"/>
    <s v="DB-X0700"/>
    <x v="7"/>
  </r>
  <r>
    <d v="2023-01-26T00:00:00"/>
    <x v="3"/>
    <s v="Admin/HR/IT"/>
    <s v="AMCARE NonOcc In"/>
    <s v="AMZN"/>
    <n v="112972524"/>
    <s v="Santibanez Garcia,Luisa"/>
    <s v="Lopez,Alexa"/>
    <n v="0"/>
    <n v="0"/>
    <n v="0"/>
    <n v="0"/>
    <n v="0.12"/>
    <s v="DB-X0700"/>
    <x v="15"/>
  </r>
  <r>
    <d v="2023-01-26T00:00:00"/>
    <x v="3"/>
    <s v="Admin/HR/IT"/>
    <s v="AMCARE NonOcc In"/>
    <s v="AMZN"/>
    <n v="112984442"/>
    <s v="Garcia,Mauricio Antonio De la lama"/>
    <s v="Gomez,Abinadab"/>
    <n v="0"/>
    <n v="0"/>
    <n v="0"/>
    <n v="0"/>
    <n v="0.32"/>
    <e v="#N/A"/>
    <x v="0"/>
  </r>
  <r>
    <d v="2023-01-26T00:00:00"/>
    <x v="3"/>
    <s v="Admin/HR/IT"/>
    <s v="AMCARE NonOcc In"/>
    <s v="AMZN"/>
    <n v="113020476"/>
    <s v="Puente Aguilar,Polette"/>
    <s v="Romero Sanchez,Gustavo Gabriel"/>
    <n v="0"/>
    <n v="0"/>
    <n v="0"/>
    <n v="0"/>
    <n v="0.15"/>
    <e v="#N/A"/>
    <x v="19"/>
  </r>
  <r>
    <d v="2023-01-26T00:00:00"/>
    <x v="3"/>
    <s v="Admin/HR/IT"/>
    <s v="AMCARE NonOcc In"/>
    <s v="AMZN"/>
    <n v="200464838"/>
    <s v="Ortiz,Fernando"/>
    <s v="Corona Arriaga,Fernando"/>
    <n v="0"/>
    <n v="0"/>
    <n v="0"/>
    <n v="0"/>
    <n v="0.1"/>
    <e v="#N/A"/>
    <x v="28"/>
  </r>
  <r>
    <d v="2023-01-26T00:00:00"/>
    <x v="3"/>
    <s v="Admin/HR/IT"/>
    <s v="AMCARE NonOcc In"/>
    <s v="TEMP"/>
    <n v="200508315"/>
    <s v="Herrera,Aldair"/>
    <s v="Romero Sanchez,Gustavo Gabriel"/>
    <n v="0"/>
    <n v="0"/>
    <n v="0"/>
    <n v="0"/>
    <n v="0.45"/>
    <e v="#N/A"/>
    <x v="41"/>
  </r>
  <r>
    <d v="2023-01-27T00:00:00"/>
    <x v="3"/>
    <s v="Admin/HR/IT"/>
    <s v="AMCARE NonOcc In"/>
    <s v="AMZN"/>
    <n v="112912663"/>
    <s v="Segura,Lucero"/>
    <s v="Munoz,Jonan"/>
    <n v="0"/>
    <n v="0"/>
    <n v="0"/>
    <n v="0"/>
    <n v="0.84"/>
    <e v="#N/A"/>
    <x v="0"/>
  </r>
  <r>
    <d v="2023-01-27T00:00:00"/>
    <x v="3"/>
    <s v="Admin/HR/IT"/>
    <s v="AMCARE NonOcc In"/>
    <s v="AMZN"/>
    <n v="112971955"/>
    <s v="Perez Rodriguez,Luis"/>
    <s v="Garcia Espejel,Brenda Victoria"/>
    <n v="0"/>
    <n v="0"/>
    <n v="0"/>
    <n v="0"/>
    <n v="0.78"/>
    <e v="#N/A"/>
    <x v="0"/>
  </r>
  <r>
    <d v="2023-01-27T00:00:00"/>
    <x v="3"/>
    <s v="Admin/HR/IT"/>
    <s v="AMCARE NonOcc In"/>
    <s v="AMZN"/>
    <n v="112984442"/>
    <s v="Garcia,Mauricio Antonio De la lama"/>
    <s v="Gomez,Abinadab"/>
    <n v="0"/>
    <n v="0"/>
    <n v="0"/>
    <n v="0"/>
    <n v="0.18"/>
    <e v="#N/A"/>
    <x v="0"/>
  </r>
  <r>
    <d v="2023-01-27T00:00:00"/>
    <x v="3"/>
    <s v="Admin/HR/IT"/>
    <s v="AMCARE NonOcc In"/>
    <s v="AMZN"/>
    <n v="113003637"/>
    <s v="Aguilera Calderon,Jose Maria"/>
    <s v="Romero Sanchez,Gustavo Gabriel"/>
    <n v="0"/>
    <n v="0"/>
    <n v="0"/>
    <n v="0"/>
    <n v="1.1100000000000001"/>
    <e v="#N/A"/>
    <x v="0"/>
  </r>
  <r>
    <d v="2023-01-27T00:00:00"/>
    <x v="3"/>
    <s v="Admin/HR/IT"/>
    <s v="AMCARE NonOcc In"/>
    <s v="AMZN"/>
    <n v="113014092"/>
    <s v="Sanchez,Cristina"/>
    <s v="Romero Sanchez,Gustavo Gabriel"/>
    <n v="0"/>
    <n v="0"/>
    <n v="0"/>
    <n v="0"/>
    <n v="0.62"/>
    <e v="#N/A"/>
    <x v="73"/>
  </r>
  <r>
    <d v="2023-01-27T00:00:00"/>
    <x v="3"/>
    <s v="Admin/HR/IT"/>
    <s v="AMCARE NonOcc In"/>
    <s v="AMZN"/>
    <n v="113020476"/>
    <s v="Puente Aguilar,Polette"/>
    <s v="Romero Sanchez,Gustavo Gabriel"/>
    <n v="0"/>
    <n v="0"/>
    <n v="0"/>
    <n v="0"/>
    <n v="0.33"/>
    <e v="#N/A"/>
    <x v="19"/>
  </r>
  <r>
    <d v="2023-01-27T00:00:00"/>
    <x v="3"/>
    <s v="Admin/HR/IT"/>
    <s v="AMCARE NonOcc In"/>
    <s v="AMZN"/>
    <n v="113044763"/>
    <s v="Urbina Avila,Stephany"/>
    <s v="Piedra,Valentina"/>
    <n v="0"/>
    <n v="0"/>
    <n v="0"/>
    <n v="0"/>
    <n v="0.11"/>
    <e v="#N/A"/>
    <x v="74"/>
  </r>
  <r>
    <d v="2023-01-27T00:00:00"/>
    <x v="3"/>
    <s v="Admin/HR/IT"/>
    <s v="AMCARE NonOcc In"/>
    <s v="TEMP"/>
    <n v="200508315"/>
    <s v="Herrera,Aldair"/>
    <s v="Romero Sanchez,Gustavo Gabriel"/>
    <n v="0"/>
    <n v="0"/>
    <n v="0"/>
    <n v="0"/>
    <n v="0.52"/>
    <e v="#N/A"/>
    <x v="41"/>
  </r>
  <r>
    <d v="2023-01-27T00:00:00"/>
    <x v="3"/>
    <s v="Admin/HR/IT"/>
    <s v="AMCARE NonOcc In"/>
    <s v="TEMP"/>
    <n v="200615883"/>
    <s v="Ibarra Amaro,Adriana"/>
    <s v="Piedra,Valentina"/>
    <n v="0"/>
    <n v="0"/>
    <n v="0"/>
    <n v="0"/>
    <n v="0.72"/>
    <e v="#N/A"/>
    <x v="0"/>
  </r>
  <r>
    <d v="2023-01-28T00:00:00"/>
    <x v="3"/>
    <s v="Admin/HR/IT"/>
    <s v="AMCARE NonOcc In"/>
    <s v="TEMP"/>
    <n v="200589316"/>
    <s v="Torres Zuniga,Daniel"/>
    <s v="Olmos,Carmen"/>
    <n v="0"/>
    <n v="0"/>
    <n v="0"/>
    <n v="0"/>
    <n v="0.08"/>
    <e v="#N/A"/>
    <x v="0"/>
  </r>
  <r>
    <d v="2023-01-28T00:00:00"/>
    <x v="3"/>
    <s v="Admin/HR/IT"/>
    <s v="AMCARE NonOcc In"/>
    <s v="AMZN"/>
    <n v="103427877"/>
    <s v="Alanis Hernandez,Patricia"/>
    <s v="Pizana,Diego"/>
    <n v="0"/>
    <n v="0"/>
    <n v="0"/>
    <n v="0"/>
    <n v="2.14"/>
    <e v="#N/A"/>
    <x v="0"/>
  </r>
  <r>
    <d v="2023-01-28T00:00:00"/>
    <x v="3"/>
    <s v="Admin/HR/IT"/>
    <s v="AMCARE NonOcc In"/>
    <s v="AMZN"/>
    <n v="112912983"/>
    <s v="RodrÃ­guez,RocÃ­o"/>
    <s v="Camarena,Grecia"/>
    <n v="0"/>
    <n v="0"/>
    <n v="0"/>
    <n v="0"/>
    <n v="0.14000000000000001"/>
    <s v="NF-X1900"/>
    <x v="75"/>
  </r>
  <r>
    <d v="2023-01-28T00:00:00"/>
    <x v="3"/>
    <s v="Admin/HR/IT"/>
    <s v="AMCARE NonOcc In"/>
    <s v="AMZN"/>
    <n v="113003627"/>
    <s v="Zavala,Diego"/>
    <s v="Gutierrez,Hector"/>
    <n v="0"/>
    <n v="0"/>
    <n v="0"/>
    <n v="0"/>
    <n v="0.27"/>
    <e v="#N/A"/>
    <x v="0"/>
  </r>
  <r>
    <d v="2023-01-28T00:00:00"/>
    <x v="3"/>
    <s v="Admin/HR/IT"/>
    <s v="AMCARE NonOcc In"/>
    <s v="AMZN"/>
    <n v="113003691"/>
    <s v="Angeles,Fernando"/>
    <s v="Gutierrez,Hector"/>
    <n v="0"/>
    <n v="0"/>
    <n v="0"/>
    <n v="0"/>
    <n v="0.28999999999999998"/>
    <e v="#N/A"/>
    <x v="0"/>
  </r>
  <r>
    <d v="2023-01-28T00:00:00"/>
    <x v="3"/>
    <s v="Admin/HR/IT"/>
    <s v="AMCARE NonOcc In"/>
    <s v="AMZN"/>
    <n v="113003692"/>
    <s v="Vega,Bruno"/>
    <s v="Morales Beristain,Sugeyt"/>
    <n v="0"/>
    <n v="0"/>
    <n v="0"/>
    <n v="0"/>
    <n v="0.97"/>
    <e v="#N/A"/>
    <x v="0"/>
  </r>
  <r>
    <d v="2023-01-28T00:00:00"/>
    <x v="3"/>
    <s v="Admin/HR/IT"/>
    <s v="AMCARE NonOcc In"/>
    <s v="AMZN"/>
    <n v="113004099"/>
    <s v="Partida,Luis"/>
    <s v="Romero Sanchez,Gustavo Gabriel"/>
    <n v="0"/>
    <n v="0"/>
    <n v="0"/>
    <n v="0"/>
    <n v="0.69"/>
    <e v="#N/A"/>
    <x v="71"/>
  </r>
  <r>
    <d v="2023-01-28T00:00:00"/>
    <x v="3"/>
    <s v="Admin/HR/IT"/>
    <s v="AMCARE NonOcc In"/>
    <s v="AMZN"/>
    <n v="113014072"/>
    <s v="Rivera,Mariana"/>
    <s v="Corona Arriaga,Fernando"/>
    <n v="0"/>
    <n v="0"/>
    <n v="0"/>
    <n v="0"/>
    <n v="0.21"/>
    <e v="#N/A"/>
    <x v="0"/>
  </r>
  <r>
    <d v="2023-01-28T00:00:00"/>
    <x v="3"/>
    <s v="Admin/HR/IT"/>
    <s v="AMCARE NonOcc In"/>
    <s v="AMZN"/>
    <n v="113040582"/>
    <s v="HERNANDEZ,GERARDO"/>
    <s v="Gutierrez,Hector"/>
    <n v="0"/>
    <n v="0"/>
    <n v="0"/>
    <n v="0"/>
    <n v="0.28999999999999998"/>
    <e v="#N/A"/>
    <x v="63"/>
  </r>
  <r>
    <d v="2023-01-28T00:00:00"/>
    <x v="3"/>
    <s v="Admin/HR/IT"/>
    <s v="AMCARE NonOcc In"/>
    <s v="TEMP"/>
    <n v="200552734"/>
    <s v="Santiago Ramirez,Six"/>
    <s v="Romero Sanchez,Gustavo Gabriel"/>
    <n v="0"/>
    <n v="0"/>
    <n v="0"/>
    <n v="0"/>
    <n v="3.8"/>
    <e v="#N/A"/>
    <x v="0"/>
  </r>
  <r>
    <d v="2023-01-28T00:00:00"/>
    <x v="3"/>
    <s v="Admin/HR/IT"/>
    <s v="AMCARE NonOcc In"/>
    <s v="TEMP"/>
    <n v="200562154"/>
    <s v="Reyes Muniz,Cristian"/>
    <s v="Gomez,Abinadab"/>
    <n v="0"/>
    <n v="0"/>
    <n v="0"/>
    <n v="0"/>
    <n v="0.61"/>
    <e v="#N/A"/>
    <x v="42"/>
  </r>
  <r>
    <d v="2023-01-28T00:00:00"/>
    <x v="3"/>
    <s v="Admin/HR/IT"/>
    <s v="AMCARE NonOcc In"/>
    <s v="TEMP"/>
    <n v="200562268"/>
    <s v="Sanchez,Esiquio"/>
    <s v="Romero Sanchez,Gustavo Gabriel"/>
    <n v="0"/>
    <n v="0"/>
    <n v="0"/>
    <n v="0"/>
    <n v="0.6"/>
    <e v="#N/A"/>
    <x v="0"/>
  </r>
  <r>
    <d v="2023-01-28T00:00:00"/>
    <x v="3"/>
    <s v="Admin/HR/IT"/>
    <s v="AMCARE NonOcc In"/>
    <s v="TEMP"/>
    <n v="200589316"/>
    <s v="Torres Zuniga,Daniel"/>
    <s v="Morales Beristain,Sugeyt"/>
    <n v="0"/>
    <n v="0"/>
    <n v="0"/>
    <n v="0"/>
    <n v="0.08"/>
    <e v="#N/A"/>
    <x v="0"/>
  </r>
  <r>
    <d v="2023-01-28T00:00:00"/>
    <x v="3"/>
    <s v="Admin/HR/IT"/>
    <s v="AMCARE NonOcc In"/>
    <s v="TEMP"/>
    <n v="200614224"/>
    <s v="Cruz Hernandez,Cris"/>
    <s v="Piedra,Valentina"/>
    <n v="0"/>
    <n v="0"/>
    <n v="0"/>
    <n v="0"/>
    <n v="0.6"/>
    <e v="#N/A"/>
    <x v="0"/>
  </r>
  <r>
    <d v="2023-01-29T00:00:00"/>
    <x v="4"/>
    <s v="Admin/HR/IT"/>
    <s v="AMCARE NonOcc In"/>
    <s v="AMZN"/>
    <n v="112912663"/>
    <s v="Segura,Lucero"/>
    <s v="Munoz,Jonan"/>
    <n v="0"/>
    <n v="0"/>
    <n v="0"/>
    <n v="0"/>
    <n v="0.61"/>
    <e v="#N/A"/>
    <x v="0"/>
  </r>
  <r>
    <d v="2023-01-29T00:00:00"/>
    <x v="4"/>
    <s v="Admin/HR/IT"/>
    <s v="AMCARE NonOcc In"/>
    <s v="AMZN"/>
    <n v="112950800"/>
    <s v="Muniz,Viri"/>
    <s v="Munoz,Jonan"/>
    <n v="0"/>
    <n v="0"/>
    <n v="0"/>
    <n v="0"/>
    <n v="0.21"/>
    <s v="NF-X1900"/>
    <x v="51"/>
  </r>
  <r>
    <d v="2023-01-29T00:00:00"/>
    <x v="4"/>
    <s v="Admin/HR/IT"/>
    <s v="AMCARE NonOcc In"/>
    <s v="AMZN"/>
    <n v="113003692"/>
    <s v="Vega,Bruno"/>
    <s v="Morales Beristain,Sugeyt"/>
    <n v="0"/>
    <n v="0"/>
    <n v="0"/>
    <n v="0"/>
    <n v="0.15"/>
    <e v="#N/A"/>
    <x v="0"/>
  </r>
  <r>
    <d v="2023-01-29T00:00:00"/>
    <x v="4"/>
    <s v="Admin/HR/IT"/>
    <s v="AMCARE NonOcc In"/>
    <s v="AMZN"/>
    <n v="113014078"/>
    <s v="Nunez Lopez,Aldair"/>
    <s v="Hernandez,Nataly"/>
    <n v="0"/>
    <n v="0"/>
    <n v="0"/>
    <n v="0"/>
    <n v="0.37"/>
    <e v="#N/A"/>
    <x v="76"/>
  </r>
  <r>
    <d v="2023-01-29T00:00:00"/>
    <x v="4"/>
    <s v="Admin/HR/IT"/>
    <s v="AMCARE NonOcc In"/>
    <s v="TEMP"/>
    <n v="200562251"/>
    <s v="Garcia Martinez,Alejandro"/>
    <s v="Gomez Aguado,Jorge"/>
    <n v="0"/>
    <n v="0"/>
    <n v="0"/>
    <n v="0"/>
    <n v="0.16"/>
    <e v="#N/A"/>
    <x v="0"/>
  </r>
  <r>
    <d v="2023-01-29T00:00:00"/>
    <x v="4"/>
    <s v="Admin/HR/IT"/>
    <s v="AMCARE NonOcc In"/>
    <s v="TEMP"/>
    <n v="200589316"/>
    <s v="Torres Zuniga,Daniel"/>
    <s v="Morales Beristain,Sugeyt"/>
    <n v="0"/>
    <n v="0"/>
    <n v="0"/>
    <n v="0"/>
    <n v="0.99"/>
    <e v="#N/A"/>
    <x v="0"/>
  </r>
  <r>
    <d v="2023-01-29T00:00:00"/>
    <x v="4"/>
    <s v="Admin/HR/IT"/>
    <s v="AMCARE NonOcc In"/>
    <s v="TEMP"/>
    <n v="200620024"/>
    <s v="Navarro,Miriam"/>
    <s v="Hernandez,Nataly"/>
    <n v="0"/>
    <n v="0"/>
    <n v="0"/>
    <n v="0"/>
    <n v="0.14000000000000001"/>
    <e v="#N/A"/>
    <x v="0"/>
  </r>
  <r>
    <d v="2023-01-30T00:00:00"/>
    <x v="4"/>
    <s v="Admin/HR/IT"/>
    <s v="AMCARE NonOcc In"/>
    <s v="AMZN"/>
    <n v="112976013"/>
    <s v="Garcia,Roberto"/>
    <s v="Munoz,Jonan"/>
    <n v="0"/>
    <n v="0"/>
    <n v="0"/>
    <n v="0"/>
    <n v="0.73"/>
    <e v="#N/A"/>
    <x v="0"/>
  </r>
  <r>
    <d v="2023-01-30T00:00:00"/>
    <x v="4"/>
    <s v="Admin/HR/IT"/>
    <s v="AMCARE NonOcc In"/>
    <s v="AMZN"/>
    <n v="112980862"/>
    <s v="Tecla,Alejandro"/>
    <s v="Hernandez,Nataly"/>
    <n v="0"/>
    <n v="0"/>
    <n v="0"/>
    <n v="0"/>
    <n v="0.16"/>
    <e v="#N/A"/>
    <x v="0"/>
  </r>
  <r>
    <d v="2023-01-30T00:00:00"/>
    <x v="4"/>
    <s v="Admin/HR/IT"/>
    <s v="AMCARE NonOcc In"/>
    <s v="AMZN"/>
    <n v="112980899"/>
    <s v="Avila Cabrera,Ari"/>
    <s v="Gomez,Abinadab"/>
    <n v="0"/>
    <n v="0"/>
    <n v="0"/>
    <n v="0"/>
    <n v="0.48"/>
    <s v="NF-X1900"/>
    <x v="34"/>
  </r>
  <r>
    <d v="2023-01-30T00:00:00"/>
    <x v="4"/>
    <s v="Admin/HR/IT"/>
    <s v="AMCARE NonOcc In"/>
    <s v="AMZN"/>
    <n v="112981014"/>
    <s v="Roldan Gutierrez,Pablo"/>
    <s v="Robledo Ugarte,Alejandro"/>
    <n v="0"/>
    <n v="0"/>
    <n v="0"/>
    <n v="0"/>
    <n v="0.3"/>
    <s v="DJ-X0700"/>
    <x v="29"/>
  </r>
  <r>
    <d v="2023-01-30T00:00:00"/>
    <x v="4"/>
    <s v="Admin/HR/IT"/>
    <s v="AMCARE NonOcc In"/>
    <s v="AMZN"/>
    <n v="112981202"/>
    <s v="Zuniga Vazquez,Carlos"/>
    <s v="Gomez Aguado,Jorge"/>
    <n v="0"/>
    <n v="0"/>
    <n v="0"/>
    <n v="0"/>
    <n v="0.77"/>
    <e v="#N/A"/>
    <x v="0"/>
  </r>
  <r>
    <d v="2023-01-30T00:00:00"/>
    <x v="4"/>
    <s v="Admin/HR/IT"/>
    <s v="AMCARE NonOcc In"/>
    <s v="AMZN"/>
    <n v="112981212"/>
    <s v="Zanella Miranda,Alyson"/>
    <s v="Gutierrez,Hector"/>
    <n v="0"/>
    <n v="0"/>
    <n v="0"/>
    <n v="0"/>
    <n v="0.08"/>
    <e v="#N/A"/>
    <x v="77"/>
  </r>
  <r>
    <d v="2023-01-30T00:00:00"/>
    <x v="4"/>
    <s v="Admin/HR/IT"/>
    <s v="AMCARE NonOcc In"/>
    <s v="AMZN"/>
    <n v="112984442"/>
    <s v="Garcia,Mauricio Antonio De la lama"/>
    <s v="Gomez,Abinadab"/>
    <n v="0"/>
    <n v="0"/>
    <n v="0"/>
    <n v="0"/>
    <n v="0.33"/>
    <e v="#N/A"/>
    <x v="0"/>
  </r>
  <r>
    <d v="2023-01-30T00:00:00"/>
    <x v="4"/>
    <s v="Admin/HR/IT"/>
    <s v="AMCARE NonOcc In"/>
    <s v="AMZN"/>
    <n v="113014011"/>
    <s v="Robledo Barrientos,Logan"/>
    <s v="Hernandez,Nataly"/>
    <n v="0"/>
    <n v="0"/>
    <n v="0"/>
    <n v="0"/>
    <n v="0.28999999999999998"/>
    <e v="#N/A"/>
    <x v="0"/>
  </r>
  <r>
    <d v="2023-01-30T00:00:00"/>
    <x v="4"/>
    <s v="Admin/HR/IT"/>
    <s v="AMCARE NonOcc In"/>
    <s v="AMZN"/>
    <n v="113014113"/>
    <s v="Sanchez Villegas,Benjamin"/>
    <s v="Ledezma,Fer"/>
    <n v="0"/>
    <n v="0"/>
    <n v="0"/>
    <n v="0"/>
    <n v="0.28999999999999998"/>
    <e v="#N/A"/>
    <x v="0"/>
  </r>
  <r>
    <d v="2023-01-30T00:00:00"/>
    <x v="4"/>
    <s v="Admin/HR/IT"/>
    <s v="AMCARE NonOcc In"/>
    <s v="AMZN"/>
    <n v="113101453"/>
    <s v="Isaac,Geovanna"/>
    <s v="Madrid Molina,Ramon"/>
    <n v="0"/>
    <n v="0"/>
    <n v="0"/>
    <n v="0"/>
    <n v="0.26"/>
    <e v="#N/A"/>
    <x v="4"/>
  </r>
  <r>
    <d v="2023-01-30T00:00:00"/>
    <x v="4"/>
    <s v="Admin/HR/IT"/>
    <s v="AMCARE NonOcc In"/>
    <s v="AMZN"/>
    <n v="200404250"/>
    <s v="Hurtado,Caty"/>
    <s v="Hernandez,Nataly"/>
    <n v="0"/>
    <n v="0"/>
    <n v="0"/>
    <n v="0"/>
    <n v="0.74"/>
    <e v="#N/A"/>
    <x v="6"/>
  </r>
  <r>
    <d v="2023-01-30T00:00:00"/>
    <x v="4"/>
    <s v="Admin/HR/IT"/>
    <s v="AMCARE NonOcc In"/>
    <s v="TEMP"/>
    <n v="200514471"/>
    <s v="MARTNEZ,EMILIANO"/>
    <s v="Madrid Molina,Ramon"/>
    <n v="0"/>
    <n v="0"/>
    <n v="0"/>
    <n v="0"/>
    <n v="0.24"/>
    <e v="#N/A"/>
    <x v="0"/>
  </r>
  <r>
    <d v="2023-01-30T00:00:00"/>
    <x v="4"/>
    <s v="Admin/HR/IT"/>
    <s v="AMCARE NonOcc In"/>
    <s v="TEMP"/>
    <n v="200574329"/>
    <s v="Llamas,Jonathan"/>
    <s v="Madrid Molina,Ramon"/>
    <n v="0"/>
    <n v="0"/>
    <n v="0"/>
    <n v="0"/>
    <n v="0.32"/>
    <e v="#N/A"/>
    <x v="0"/>
  </r>
  <r>
    <d v="2023-01-30T00:00:00"/>
    <x v="4"/>
    <s v="Admin/HR/IT"/>
    <s v="AMCARE NonOcc In"/>
    <s v="TEMP"/>
    <n v="200620341"/>
    <s v="Camacho Ramirez,Carlos"/>
    <s v="Gomez Aguado,Jorge"/>
    <n v="0"/>
    <n v="0"/>
    <n v="0"/>
    <n v="0"/>
    <n v="0.72"/>
    <e v="#N/A"/>
    <x v="0"/>
  </r>
  <r>
    <d v="2023-01-31T00:00:00"/>
    <x v="4"/>
    <s v="Admin/HR/IT"/>
    <s v="AMCARE NonOcc In"/>
    <s v="TEMP"/>
    <n v="112912007"/>
    <s v="Robledo Barrientos,Alondra"/>
    <s v="Robledo Ugarte,Alejandro"/>
    <n v="0"/>
    <n v="0"/>
    <n v="0"/>
    <n v="0"/>
    <n v="0.38"/>
    <e v="#N/A"/>
    <x v="0"/>
  </r>
  <r>
    <d v="2023-01-31T00:00:00"/>
    <x v="4"/>
    <s v="Admin/HR/IT"/>
    <s v="AMCARE NonOcc In"/>
    <s v="AMZN"/>
    <n v="112912175"/>
    <s v="Padilla,Jandy"/>
    <s v="Hernandez,Nataly"/>
    <n v="0"/>
    <n v="0"/>
    <n v="0"/>
    <n v="0"/>
    <n v="0.35"/>
    <e v="#N/A"/>
    <x v="0"/>
  </r>
  <r>
    <d v="2023-01-31T00:00:00"/>
    <x v="4"/>
    <s v="Admin/HR/IT"/>
    <s v="AMCARE NonOcc In"/>
    <s v="AMZN"/>
    <n v="112912753"/>
    <s v="Padilla Abrego,Selene"/>
    <s v="Madrid Molina,Ramon"/>
    <n v="0"/>
    <n v="0"/>
    <n v="0"/>
    <n v="0"/>
    <n v="0.19"/>
    <e v="#N/A"/>
    <x v="0"/>
  </r>
  <r>
    <d v="2023-01-31T00:00:00"/>
    <x v="4"/>
    <s v="Admin/HR/IT"/>
    <s v="AMCARE NonOcc In"/>
    <s v="AMZN"/>
    <n v="112980846"/>
    <s v="Mojica  Gallardo,Jonathan"/>
    <s v="Robledo Ugarte,Alejandro"/>
    <n v="0"/>
    <n v="0"/>
    <n v="0"/>
    <n v="0"/>
    <n v="0.21"/>
    <e v="#N/A"/>
    <x v="0"/>
  </r>
  <r>
    <d v="2023-01-31T00:00:00"/>
    <x v="4"/>
    <s v="Admin/HR/IT"/>
    <s v="AMCARE NonOcc In"/>
    <s v="AMZN"/>
    <n v="112980847"/>
    <s v="Reyes,Jose"/>
    <s v="Robledo Ugarte,Alejandro"/>
    <n v="0"/>
    <n v="0"/>
    <n v="0"/>
    <n v="0"/>
    <n v="0.24"/>
    <e v="#N/A"/>
    <x v="0"/>
  </r>
  <r>
    <d v="2023-01-31T00:00:00"/>
    <x v="4"/>
    <s v="Admin/HR/IT"/>
    <s v="AMCARE NonOcc In"/>
    <s v="AMZN"/>
    <n v="112980862"/>
    <s v="Tecla,Alejandro"/>
    <s v="Hernandez,Nataly"/>
    <n v="0"/>
    <n v="0"/>
    <n v="0"/>
    <n v="0"/>
    <n v="0.47"/>
    <e v="#N/A"/>
    <x v="0"/>
  </r>
  <r>
    <d v="2023-01-31T00:00:00"/>
    <x v="4"/>
    <s v="Admin/HR/IT"/>
    <s v="AMCARE NonOcc In"/>
    <s v="AMZN"/>
    <n v="112981061"/>
    <s v="Olguin,Claudia"/>
    <s v="Hernandez,Nataly"/>
    <n v="0"/>
    <n v="0"/>
    <n v="0"/>
    <n v="0"/>
    <n v="0.56999999999999995"/>
    <s v="DA-X0700"/>
    <x v="11"/>
  </r>
  <r>
    <d v="2023-01-31T00:00:00"/>
    <x v="4"/>
    <s v="Admin/HR/IT"/>
    <s v="AMCARE NonOcc In"/>
    <s v="AMZN"/>
    <n v="112991231"/>
    <s v="Lino,Luisa"/>
    <s v="Robledo Ugarte,Alejandro"/>
    <n v="0"/>
    <n v="0"/>
    <n v="0"/>
    <n v="0"/>
    <n v="0.56000000000000005"/>
    <e v="#N/A"/>
    <x v="0"/>
  </r>
  <r>
    <d v="2023-01-31T00:00:00"/>
    <x v="4"/>
    <s v="Admin/HR/IT"/>
    <s v="AMCARE NonOcc In"/>
    <s v="AMZN"/>
    <n v="112991321"/>
    <s v="Torres,Axel"/>
    <s v="Robledo Ugarte,Alejandro"/>
    <n v="0"/>
    <n v="0"/>
    <n v="0"/>
    <n v="0"/>
    <n v="0.31"/>
    <e v="#N/A"/>
    <x v="0"/>
  </r>
  <r>
    <d v="2023-01-31T00:00:00"/>
    <x v="4"/>
    <s v="Admin/HR/IT"/>
    <s v="AMCARE NonOcc In"/>
    <s v="AMZN"/>
    <n v="113014042"/>
    <s v="Cervantes,Rose"/>
    <s v="Gomez,Abinadab"/>
    <n v="0"/>
    <n v="0"/>
    <n v="0"/>
    <n v="0"/>
    <n v="0.11"/>
    <e v="#N/A"/>
    <x v="20"/>
  </r>
  <r>
    <d v="2023-01-31T00:00:00"/>
    <x v="4"/>
    <s v="Admin/HR/IT"/>
    <s v="AMCARE NonOcc In"/>
    <s v="AMZN"/>
    <n v="113020463"/>
    <s v="Valtierra,Alejandra"/>
    <s v="Ledezma,Fer"/>
    <n v="0"/>
    <n v="0"/>
    <n v="0"/>
    <n v="0"/>
    <n v="0.27"/>
    <e v="#N/A"/>
    <x v="17"/>
  </r>
  <r>
    <d v="2023-01-31T00:00:00"/>
    <x v="4"/>
    <s v="Admin/HR/IT"/>
    <s v="AMCARE NonOcc In"/>
    <s v="AMZN"/>
    <n v="200404250"/>
    <s v="Hurtado,Caty"/>
    <s v="Hernandez,Nataly"/>
    <n v="0"/>
    <n v="0"/>
    <n v="0"/>
    <n v="0"/>
    <n v="0.09"/>
    <e v="#N/A"/>
    <x v="6"/>
  </r>
  <r>
    <d v="2023-01-31T00:00:00"/>
    <x v="4"/>
    <s v="Admin/HR/IT"/>
    <s v="AMCARE NonOcc In"/>
    <s v="TEMP"/>
    <n v="200509428"/>
    <s v="Guevara Ramirez,Zayra Lorena"/>
    <s v="Madrid Molina,Ramon"/>
    <n v="0"/>
    <n v="0"/>
    <n v="0"/>
    <n v="0"/>
    <n v="0.23"/>
    <e v="#N/A"/>
    <x v="0"/>
  </r>
  <r>
    <d v="2023-01-31T00:00:00"/>
    <x v="4"/>
    <s v="Admin/HR/IT"/>
    <s v="AMCARE NonOcc In"/>
    <s v="TEMP"/>
    <n v="200514471"/>
    <s v="MARTNEZ,EMILIANO"/>
    <s v="Madrid Molina,Ramon"/>
    <n v="0"/>
    <n v="0"/>
    <n v="0"/>
    <n v="0"/>
    <n v="0.21"/>
    <e v="#N/A"/>
    <x v="0"/>
  </r>
  <r>
    <d v="2023-01-31T00:00:00"/>
    <x v="4"/>
    <s v="Admin/HR/IT"/>
    <s v="AMCARE NonOcc In"/>
    <s v="TEMP"/>
    <n v="200588981"/>
    <s v="Romero,Maria"/>
    <s v="Ledezma,Fer"/>
    <n v="0"/>
    <n v="0"/>
    <n v="0"/>
    <n v="0"/>
    <n v="0.27"/>
    <e v="#N/A"/>
    <x v="0"/>
  </r>
  <r>
    <d v="2023-02-01T00:00:00"/>
    <x v="4"/>
    <s v="Admin/HR/IT"/>
    <s v="AMCARE NonOcc In"/>
    <s v="TEMP"/>
    <n v="109227086"/>
    <s v="Tavares,Alejandra"/>
    <s v="Hernandez,Nataly"/>
    <n v="0"/>
    <n v="0"/>
    <n v="0"/>
    <n v="0"/>
    <n v="0.65"/>
    <e v="#N/A"/>
    <x v="0"/>
  </r>
  <r>
    <d v="2023-02-01T00:00:00"/>
    <x v="4"/>
    <s v="Admin/HR/IT"/>
    <s v="AMCARE NonOcc In"/>
    <s v="AMZN"/>
    <n v="112912509"/>
    <s v="Gutierrez Portillo,Joceline"/>
    <s v="Corona Arriaga,Fernando"/>
    <n v="0"/>
    <n v="0"/>
    <n v="0"/>
    <n v="0"/>
    <n v="0.32"/>
    <e v="#N/A"/>
    <x v="0"/>
  </r>
  <r>
    <d v="2023-02-01T00:00:00"/>
    <x v="4"/>
    <s v="Admin/HR/IT"/>
    <s v="AMCARE NonOcc In"/>
    <s v="AMZN"/>
    <n v="112916534"/>
    <s v="Esparza Sanchez,Areli"/>
    <s v="Gomez,Abinadab"/>
    <n v="0"/>
    <n v="0"/>
    <n v="0"/>
    <n v="0"/>
    <n v="0.18"/>
    <s v="DB-X0700"/>
    <x v="40"/>
  </r>
  <r>
    <d v="2023-02-01T00:00:00"/>
    <x v="4"/>
    <s v="Admin/HR/IT"/>
    <s v="AMCARE NonOcc In"/>
    <s v="AMZN"/>
    <n v="112920654"/>
    <s v="Horta,Julieta"/>
    <s v="Lopez,Alexa"/>
    <n v="0"/>
    <n v="0"/>
    <n v="0"/>
    <n v="0"/>
    <n v="1.08"/>
    <s v="DB-X0700"/>
    <x v="61"/>
  </r>
  <r>
    <d v="2023-02-01T00:00:00"/>
    <x v="4"/>
    <s v="Admin/HR/IT"/>
    <s v="AMCARE NonOcc In"/>
    <s v="AMZN"/>
    <n v="112920664"/>
    <s v="Alba,Samuel"/>
    <s v="Rosas Negrete,Sebastian"/>
    <n v="0"/>
    <n v="0"/>
    <n v="0"/>
    <n v="0"/>
    <n v="0.09"/>
    <s v="DA-X0700"/>
    <x v="53"/>
  </r>
  <r>
    <d v="2023-02-01T00:00:00"/>
    <x v="4"/>
    <s v="Admin/HR/IT"/>
    <s v="AMCARE NonOcc In"/>
    <s v="AMZN"/>
    <n v="112950784"/>
    <s v="Rojas,Samuel"/>
    <s v="Piedra,Valentina"/>
    <n v="0"/>
    <n v="0"/>
    <n v="0"/>
    <n v="0"/>
    <n v="5.0999999999999996"/>
    <s v="NF-X1900"/>
    <x v="13"/>
  </r>
  <r>
    <d v="2023-02-01T00:00:00"/>
    <x v="4"/>
    <s v="Admin/HR/IT"/>
    <s v="AMCARE NonOcc In"/>
    <s v="AMZN"/>
    <n v="112950795"/>
    <s v="Espinosa Espitia,Ali"/>
    <s v="Munoz,Jonan"/>
    <n v="0"/>
    <n v="0"/>
    <n v="0"/>
    <n v="0"/>
    <n v="0.13"/>
    <s v="DA-X0700"/>
    <x v="78"/>
  </r>
  <r>
    <d v="2023-02-01T00:00:00"/>
    <x v="4"/>
    <s v="Admin/HR/IT"/>
    <s v="AMCARE NonOcc In"/>
    <s v="AMZN"/>
    <n v="112971980"/>
    <s v="Romero,Daniel"/>
    <s v="Pizana,Diego"/>
    <n v="0"/>
    <n v="0"/>
    <n v="0"/>
    <n v="0"/>
    <n v="0.3"/>
    <s v="DC-X0700"/>
    <x v="43"/>
  </r>
  <r>
    <d v="2023-02-01T00:00:00"/>
    <x v="4"/>
    <s v="Admin/HR/IT"/>
    <s v="AMCARE NonOcc In"/>
    <s v="AMZN"/>
    <n v="112980899"/>
    <s v="Avila Cabrera,Ari"/>
    <s v="Robledo Ugarte,Alejandro"/>
    <n v="0"/>
    <n v="0"/>
    <n v="0"/>
    <n v="0"/>
    <n v="0.18"/>
    <s v="NF-X1900"/>
    <x v="34"/>
  </r>
  <r>
    <d v="2023-02-01T00:00:00"/>
    <x v="4"/>
    <s v="Admin/HR/IT"/>
    <s v="AMCARE NonOcc In"/>
    <s v="AMZN"/>
    <n v="112981221"/>
    <s v="Perez Ramirez,Cesar"/>
    <s v="Piedra,Valentina"/>
    <n v="0"/>
    <n v="0"/>
    <n v="0"/>
    <n v="0"/>
    <n v="1.61"/>
    <e v="#N/A"/>
    <x v="79"/>
  </r>
  <r>
    <d v="2023-02-01T00:00:00"/>
    <x v="4"/>
    <s v="Admin/HR/IT"/>
    <s v="AMCARE NonOcc In"/>
    <s v="AMZN"/>
    <n v="112991231"/>
    <s v="Lino,Luisa"/>
    <s v="Robledo Ugarte,Alejandro"/>
    <n v="0"/>
    <n v="0"/>
    <n v="0"/>
    <n v="0"/>
    <n v="0.31"/>
    <e v="#N/A"/>
    <x v="0"/>
  </r>
  <r>
    <d v="2023-02-01T00:00:00"/>
    <x v="4"/>
    <s v="Admin/HR/IT"/>
    <s v="AMCARE NonOcc In"/>
    <s v="AMZN"/>
    <n v="113003627"/>
    <s v="Zavala,Diego"/>
    <s v="Ledezma,Fer"/>
    <n v="0"/>
    <n v="0"/>
    <n v="0"/>
    <n v="0"/>
    <n v="0.65"/>
    <e v="#N/A"/>
    <x v="0"/>
  </r>
  <r>
    <d v="2023-02-01T00:00:00"/>
    <x v="4"/>
    <s v="Admin/HR/IT"/>
    <s v="AMCARE NonOcc In"/>
    <s v="TEMP"/>
    <n v="200574329"/>
    <s v="Llamas,Jonathan"/>
    <s v="Corona Arriaga,Fernando"/>
    <n v="0"/>
    <n v="0"/>
    <n v="0"/>
    <n v="0"/>
    <n v="0.14000000000000001"/>
    <e v="#N/A"/>
    <x v="0"/>
  </r>
  <r>
    <d v="2023-02-02T00:00:00"/>
    <x v="4"/>
    <s v="Admin/HR/IT"/>
    <s v="AMCARE NonOcc In"/>
    <s v="TEMP"/>
    <n v="200565197"/>
    <s v="Avila,Mary"/>
    <s v="Piedra,Valentina"/>
    <n v="0"/>
    <n v="0"/>
    <n v="0"/>
    <n v="0"/>
    <n v="0.22"/>
    <e v="#N/A"/>
    <x v="0"/>
  </r>
  <r>
    <d v="2023-02-02T00:00:00"/>
    <x v="4"/>
    <s v="Admin/HR/IT"/>
    <s v="AMCARE NonOcc In"/>
    <s v="TEMP"/>
    <n v="200514471"/>
    <s v="MARTNEZ,EMILIANO"/>
    <s v="Corona Arriaga,Fernando"/>
    <n v="0"/>
    <n v="0"/>
    <n v="0"/>
    <n v="0"/>
    <n v="0.28999999999999998"/>
    <e v="#N/A"/>
    <x v="0"/>
  </r>
  <r>
    <d v="2023-02-02T00:00:00"/>
    <x v="4"/>
    <s v="Admin/HR/IT"/>
    <s v="AMCARE NonOcc In"/>
    <s v="AMZN"/>
    <n v="112971988"/>
    <s v="Trejo Tarango,Stephannie Del Rocio"/>
    <s v="Cortes,Alejandra"/>
    <n v="0"/>
    <n v="0"/>
    <n v="0"/>
    <n v="0"/>
    <n v="0.27"/>
    <s v="DB-X0700"/>
    <x v="80"/>
  </r>
  <r>
    <d v="2023-02-02T00:00:00"/>
    <x v="4"/>
    <s v="Admin/HR/IT"/>
    <s v="AMCARE NonOcc In"/>
    <s v="AMZN"/>
    <n v="113014194"/>
    <s v="Flores Lopez,Ricardo"/>
    <s v="Corona Arriaga,Fernando"/>
    <n v="0"/>
    <n v="0"/>
    <n v="0"/>
    <n v="0"/>
    <n v="0.25"/>
    <e v="#N/A"/>
    <x v="0"/>
  </r>
  <r>
    <d v="2023-02-02T00:00:00"/>
    <x v="4"/>
    <s v="Admin/HR/IT"/>
    <s v="AMCARE NonOcc In"/>
    <s v="AMZN"/>
    <n v="112984442"/>
    <s v="Garcia,Mauricio Antonio De la lama"/>
    <s v="Gomez,Abinadab"/>
    <n v="0"/>
    <n v="0"/>
    <n v="0"/>
    <n v="0"/>
    <n v="0.54"/>
    <e v="#N/A"/>
    <x v="0"/>
  </r>
  <r>
    <d v="2023-02-02T00:00:00"/>
    <x v="4"/>
    <s v="Admin/HR/IT"/>
    <s v="AMCARE NonOcc In"/>
    <s v="AMZN"/>
    <n v="112920666"/>
    <s v="Rocha,Jose"/>
    <s v="Cortes,Alejandra"/>
    <n v="0"/>
    <n v="0"/>
    <n v="0"/>
    <n v="0"/>
    <n v="0.1"/>
    <s v="D5-X0700"/>
    <x v="3"/>
  </r>
  <r>
    <d v="2023-02-02T00:00:00"/>
    <x v="4"/>
    <s v="Admin/HR/IT"/>
    <s v="AMCARE NonOcc In"/>
    <s v="AMZN"/>
    <n v="111434478"/>
    <s v="Gutierrez,Pame"/>
    <s v="Camarena,Grecia"/>
    <n v="0"/>
    <n v="0"/>
    <n v="0"/>
    <n v="0"/>
    <n v="0.91"/>
    <s v="DA-X0700"/>
    <x v="23"/>
  </r>
  <r>
    <d v="2023-02-02T00:00:00"/>
    <x v="4"/>
    <s v="Admin/HR/IT"/>
    <s v="Safety"/>
    <s v="AMZN"/>
    <n v="111434478"/>
    <s v="Gutierrez,Pame"/>
    <s v="Camarena,Grecia"/>
    <n v="0"/>
    <n v="0"/>
    <n v="0"/>
    <n v="0"/>
    <n v="1.7"/>
    <s v="DA-X0700"/>
    <x v="23"/>
  </r>
  <r>
    <d v="2023-02-02T00:00:00"/>
    <x v="4"/>
    <s v="Admin/HR/IT"/>
    <s v="AMCARE NonOcc In"/>
    <s v="AMZN"/>
    <n v="112912074"/>
    <s v="Hernandez Gutierrez,Lizeth"/>
    <s v="Pizana,Diego"/>
    <n v="0"/>
    <n v="0"/>
    <n v="0"/>
    <n v="0"/>
    <n v="1.52"/>
    <e v="#N/A"/>
    <x v="0"/>
  </r>
  <r>
    <d v="2023-02-02T00:00:00"/>
    <x v="4"/>
    <s v="Admin/HR/IT"/>
    <s v="AMCARE NonOcc In"/>
    <s v="AMZN"/>
    <n v="112912163"/>
    <s v="Murillo,Alejandro"/>
    <s v="Piedra,Valentina"/>
    <n v="0"/>
    <n v="0"/>
    <n v="0"/>
    <n v="0"/>
    <n v="0.21"/>
    <e v="#N/A"/>
    <x v="0"/>
  </r>
  <r>
    <d v="2023-02-02T00:00:00"/>
    <x v="4"/>
    <s v="Admin/HR/IT"/>
    <s v="AMCARE NonOcc In"/>
    <s v="TEMP"/>
    <n v="200514421"/>
    <s v="Padilla Abrego,Angeles"/>
    <s v="Piedra,Valentina"/>
    <n v="0"/>
    <n v="0"/>
    <n v="0"/>
    <n v="0"/>
    <n v="0.39"/>
    <e v="#N/A"/>
    <x v="18"/>
  </r>
  <r>
    <d v="2023-02-02T00:00:00"/>
    <x v="4"/>
    <s v="Admin/HR/IT"/>
    <s v="AMCARE NonOcc In"/>
    <s v="AMZN"/>
    <n v="113020476"/>
    <s v="Puente Aguilar,Polette"/>
    <s v="Romero Sanchez,Gustavo Gabriel"/>
    <n v="0"/>
    <n v="0"/>
    <n v="0"/>
    <n v="0"/>
    <n v="1.9"/>
    <e v="#N/A"/>
    <x v="19"/>
  </r>
  <r>
    <d v="2023-02-02T00:00:00"/>
    <x v="4"/>
    <s v="Admin/HR/IT"/>
    <s v="AMCARE NonOcc In"/>
    <s v="TEMP"/>
    <n v="200554743"/>
    <s v="Rivera Hernandez,Liliana"/>
    <s v="Romero Sanchez,Gustavo Gabriel"/>
    <n v="0"/>
    <n v="0"/>
    <n v="0"/>
    <n v="0"/>
    <n v="0.79"/>
    <e v="#N/A"/>
    <x v="0"/>
  </r>
  <r>
    <d v="2023-02-02T00:00:00"/>
    <x v="4"/>
    <s v="Admin/HR/IT"/>
    <s v="AMCARE NonOcc In"/>
    <s v="AMZN"/>
    <n v="112972801"/>
    <s v="Garcia,Rea"/>
    <s v="Camarena,Grecia"/>
    <n v="0"/>
    <n v="0"/>
    <n v="0"/>
    <n v="0"/>
    <n v="0.46"/>
    <e v="#N/A"/>
    <x v="0"/>
  </r>
  <r>
    <d v="2023-02-02T00:00:00"/>
    <x v="4"/>
    <s v="Admin/HR/IT"/>
    <s v="AMCARE NonOcc In"/>
    <s v="AMZN"/>
    <n v="112981014"/>
    <s v="Roldan Gutierrez,Pablo"/>
    <s v="Robledo Ugarte,Alejandro"/>
    <n v="0"/>
    <n v="0"/>
    <n v="0"/>
    <n v="0"/>
    <n v="0.46"/>
    <s v="DJ-X0700"/>
    <x v="29"/>
  </r>
  <r>
    <d v="2023-02-02T00:00:00"/>
    <x v="4"/>
    <s v="Admin/HR/IT"/>
    <s v="AMCARE NonOcc In"/>
    <s v="AMZN"/>
    <n v="112991248"/>
    <s v="Cabrera Velazquez,Sandy"/>
    <s v="Romero Sanchez,Gustavo Gabriel"/>
    <n v="0"/>
    <n v="0"/>
    <n v="0"/>
    <n v="0"/>
    <n v="1.1399999999999999"/>
    <e v="#N/A"/>
    <x v="0"/>
  </r>
  <r>
    <d v="2023-02-02T00:00:00"/>
    <x v="4"/>
    <s v="Admin/HR/IT"/>
    <s v="AMCARE NonOcc In"/>
    <s v="AMZN"/>
    <n v="112932733"/>
    <s v="Quiroga,Silvia"/>
    <s v="Romero Sanchez,Gustavo Gabriel"/>
    <n v="0"/>
    <n v="0"/>
    <n v="0"/>
    <n v="0"/>
    <n v="0.31"/>
    <e v="#N/A"/>
    <x v="0"/>
  </r>
  <r>
    <d v="2023-02-02T00:00:00"/>
    <x v="4"/>
    <s v="Admin/HR/IT"/>
    <s v="AMCARE NonOcc In"/>
    <s v="AMZN"/>
    <n v="112981221"/>
    <s v="Perez Ramirez,Cesar"/>
    <s v="Piedra,Valentina"/>
    <n v="0"/>
    <n v="0"/>
    <n v="0"/>
    <n v="0"/>
    <n v="0.28000000000000003"/>
    <e v="#N/A"/>
    <x v="79"/>
  </r>
  <r>
    <d v="2023-02-02T00:00:00"/>
    <x v="4"/>
    <s v="Admin/HR/IT"/>
    <s v="AMCARE NonOcc In"/>
    <s v="AMZN"/>
    <n v="113003609"/>
    <s v="Ornelas Valdes,Carlos"/>
    <s v="Gomez,Abinadab"/>
    <n v="0"/>
    <n v="0"/>
    <n v="0"/>
    <n v="0"/>
    <n v="14.03"/>
    <e v="#N/A"/>
    <x v="0"/>
  </r>
  <r>
    <d v="2023-02-02T00:00:00"/>
    <x v="4"/>
    <s v="Admin/HR/IT"/>
    <s v="AMCARE NonOcc In"/>
    <s v="AMZN"/>
    <n v="113019111"/>
    <s v="Valdespino,Kelly"/>
    <s v="Hernandez,Nataly"/>
    <n v="0"/>
    <n v="0"/>
    <n v="0"/>
    <n v="0"/>
    <n v="0.08"/>
    <e v="#N/A"/>
    <x v="68"/>
  </r>
  <r>
    <d v="2023-02-02T00:00:00"/>
    <x v="4"/>
    <s v="Admin/HR/IT"/>
    <s v="AMCARE NonOcc In"/>
    <s v="AMZN"/>
    <n v="200404250"/>
    <s v="Hurtado,Caty"/>
    <s v="Piedra,Valentina"/>
    <n v="0"/>
    <n v="0"/>
    <n v="0"/>
    <n v="0"/>
    <n v="0.71"/>
    <e v="#N/A"/>
    <x v="6"/>
  </r>
  <r>
    <d v="2023-02-02T00:00:00"/>
    <x v="4"/>
    <s v="Admin/HR/IT"/>
    <s v="AMCARE NonOcc In"/>
    <s v="AMZN"/>
    <n v="113014560"/>
    <s v="Lopez Moreno,Americo"/>
    <s v="Ledezma,Fer"/>
    <n v="0"/>
    <n v="0"/>
    <n v="0"/>
    <n v="0"/>
    <n v="0"/>
    <e v="#N/A"/>
    <x v="81"/>
  </r>
  <r>
    <d v="2023-02-03T00:00:00"/>
    <x v="4"/>
    <s v="Admin/HR/IT"/>
    <s v="AMCARE NonOcc In"/>
    <s v="TEMP"/>
    <n v="109227086"/>
    <s v="Tavares,Alejandra"/>
    <s v="Hernandez,Nataly"/>
    <n v="0"/>
    <n v="0"/>
    <n v="0"/>
    <n v="0"/>
    <n v="1.56"/>
    <e v="#N/A"/>
    <x v="0"/>
  </r>
  <r>
    <d v="2023-02-03T00:00:00"/>
    <x v="4"/>
    <s v="Admin/HR/IT"/>
    <s v="AMCARE NonOcc In"/>
    <s v="AMZN"/>
    <n v="111188907"/>
    <s v="Espina Miranda,Estrella"/>
    <s v="Lopez,Alexa"/>
    <n v="0"/>
    <n v="0"/>
    <n v="0"/>
    <n v="0"/>
    <n v="0.35"/>
    <e v="#N/A"/>
    <x v="0"/>
  </r>
  <r>
    <d v="2023-02-03T00:00:00"/>
    <x v="4"/>
    <s v="Admin/HR/IT"/>
    <s v="AMCARE NonOcc In"/>
    <s v="AMZN"/>
    <n v="111434478"/>
    <s v="Gutierrez,Pame"/>
    <s v="Camarena,Grecia"/>
    <n v="0"/>
    <n v="0"/>
    <n v="0"/>
    <n v="0"/>
    <n v="0.78"/>
    <s v="DA-X0700"/>
    <x v="23"/>
  </r>
  <r>
    <d v="2023-02-03T00:00:00"/>
    <x v="4"/>
    <s v="Admin/HR/IT"/>
    <s v="AMCARE NonOcc In"/>
    <s v="AMZN"/>
    <n v="112912046"/>
    <s v="Aguilar,Victor Manuel"/>
    <s v="Munoz,Jonan"/>
    <n v="0"/>
    <n v="0"/>
    <n v="0"/>
    <n v="0"/>
    <n v="0.24"/>
    <e v="#N/A"/>
    <x v="0"/>
  </r>
  <r>
    <d v="2023-02-03T00:00:00"/>
    <x v="4"/>
    <s v="Admin/HR/IT"/>
    <s v="AMCARE NonOcc In"/>
    <s v="AMZN"/>
    <n v="112920655"/>
    <s v="Diaz de LeÃ³n,Paola"/>
    <s v="Pizana,Diego"/>
    <n v="0"/>
    <n v="0"/>
    <n v="0"/>
    <n v="0"/>
    <n v="0.62"/>
    <e v="#N/A"/>
    <x v="0"/>
  </r>
  <r>
    <d v="2023-02-03T00:00:00"/>
    <x v="4"/>
    <s v="Admin/HR/IT"/>
    <s v="AMCARE NonOcc In"/>
    <s v="AMZN"/>
    <n v="112971953"/>
    <s v="Aguirre Palomino,Ana"/>
    <s v="Lopez,Alexa"/>
    <n v="0"/>
    <n v="0"/>
    <n v="0"/>
    <n v="0"/>
    <n v="8.0500000000000007"/>
    <s v="DB-X0700"/>
    <x v="7"/>
  </r>
  <r>
    <d v="2023-02-03T00:00:00"/>
    <x v="4"/>
    <s v="Admin/HR/IT"/>
    <s v="AMCARE NonOcc In"/>
    <s v="AMZN"/>
    <n v="112971980"/>
    <s v="Romero,Daniel"/>
    <s v="Pizana,Diego"/>
    <n v="0"/>
    <n v="0"/>
    <n v="0"/>
    <n v="0"/>
    <n v="0.21"/>
    <s v="DC-X0700"/>
    <x v="43"/>
  </r>
  <r>
    <d v="2023-02-03T00:00:00"/>
    <x v="4"/>
    <s v="Admin/HR/IT"/>
    <s v="AMCARE NonOcc In"/>
    <s v="AMZN"/>
    <n v="113014011"/>
    <s v="Robledo Barrientos,Logan"/>
    <s v="Hernandez,Nataly"/>
    <n v="0"/>
    <n v="0"/>
    <n v="0"/>
    <n v="0"/>
    <n v="0.86"/>
    <e v="#N/A"/>
    <x v="0"/>
  </r>
  <r>
    <d v="2023-02-03T00:00:00"/>
    <x v="4"/>
    <s v="Admin/HR/IT"/>
    <s v="AMCARE NonOcc In"/>
    <s v="AMZN"/>
    <n v="113020497"/>
    <s v="Martinez Ruiz,Diana"/>
    <s v="Piedra,Valentina"/>
    <n v="0"/>
    <n v="0"/>
    <n v="0"/>
    <n v="0"/>
    <n v="0.39"/>
    <e v="#N/A"/>
    <x v="82"/>
  </r>
  <r>
    <d v="2023-02-03T00:00:00"/>
    <x v="4"/>
    <s v="Admin/HR/IT"/>
    <s v="AMCARE NonOcc In"/>
    <s v="AMZN"/>
    <n v="113141911"/>
    <s v="Larrazolo Pena,Ireri"/>
    <s v="Camarena,Grecia"/>
    <n v="0"/>
    <n v="0"/>
    <n v="0"/>
    <n v="0"/>
    <n v="0.44"/>
    <e v="#N/A"/>
    <x v="0"/>
  </r>
  <r>
    <d v="2023-02-03T00:00:00"/>
    <x v="4"/>
    <s v="Admin/HR/IT"/>
    <s v="AMCARE NonOcc In"/>
    <s v="TEMP"/>
    <n v="200534675"/>
    <s v="Munoz Macias,Juan Pablo"/>
    <s v="Ledezma,Fer"/>
    <n v="0"/>
    <n v="0"/>
    <n v="0"/>
    <n v="0"/>
    <n v="0.24"/>
    <e v="#N/A"/>
    <x v="69"/>
  </r>
  <r>
    <d v="2023-02-03T00:00:00"/>
    <x v="4"/>
    <s v="Admin/HR/IT"/>
    <s v="AMCARE NonOcc In"/>
    <s v="TEMP"/>
    <n v="200564835"/>
    <s v="Pardo,Fabian Oswaldo"/>
    <s v="Gomez,Abinadab"/>
    <n v="0"/>
    <n v="0"/>
    <n v="0"/>
    <n v="0"/>
    <n v="0.16"/>
    <e v="#N/A"/>
    <x v="0"/>
  </r>
  <r>
    <d v="2023-02-03T00:00:00"/>
    <x v="4"/>
    <s v="Admin/HR/IT"/>
    <s v="AMCARE NonOcc In"/>
    <s v="TEMP"/>
    <n v="200564845"/>
    <s v="Barron,Abraham"/>
    <s v="Piedra,Valentina"/>
    <n v="0"/>
    <n v="0"/>
    <n v="0"/>
    <n v="0"/>
    <n v="0.12"/>
    <e v="#N/A"/>
    <x v="0"/>
  </r>
  <r>
    <d v="2023-02-03T00:00:00"/>
    <x v="4"/>
    <s v="Admin/HR/IT"/>
    <s v="AMCARE NonOcc In"/>
    <s v="TEMP"/>
    <n v="200625528"/>
    <s v="Oliva,Lizbeth"/>
    <s v="Gomez Aguado,Jorge"/>
    <n v="0"/>
    <n v="0"/>
    <n v="0"/>
    <n v="0"/>
    <n v="0.21"/>
    <e v="#N/A"/>
    <x v="83"/>
  </r>
  <r>
    <d v="2023-02-04T00:00:00"/>
    <x v="4"/>
    <s v="Admin/HR/IT"/>
    <s v="AMCARE NonOcc In"/>
    <s v="AMZN"/>
    <n v="112912983"/>
    <s v="RodrÃ­guez,RocÃ­o"/>
    <s v="Camarena,Grecia"/>
    <n v="0"/>
    <n v="0"/>
    <n v="0"/>
    <n v="0"/>
    <n v="0.14000000000000001"/>
    <s v="NF-X1900"/>
    <x v="75"/>
  </r>
  <r>
    <d v="2023-02-04T00:00:00"/>
    <x v="4"/>
    <s v="Admin/HR/IT"/>
    <s v="AMCARE NonOcc In"/>
    <s v="AMZN"/>
    <n v="112916497"/>
    <s v="Ascencio Mendez,Israel Isaias"/>
    <s v="Lopez,Alexa"/>
    <n v="0"/>
    <n v="0"/>
    <n v="0"/>
    <n v="0"/>
    <n v="0.42"/>
    <e v="#N/A"/>
    <x v="0"/>
  </r>
  <r>
    <d v="2023-02-04T00:00:00"/>
    <x v="4"/>
    <s v="Admin/HR/IT"/>
    <s v="AMCARE NonOcc In"/>
    <s v="AMZN"/>
    <n v="112920654"/>
    <s v="Horta,Julieta"/>
    <s v="Lopez,Alexa"/>
    <n v="0"/>
    <n v="0"/>
    <n v="0"/>
    <n v="0"/>
    <n v="0.24"/>
    <s v="DB-X0700"/>
    <x v="61"/>
  </r>
  <r>
    <d v="2023-02-04T00:00:00"/>
    <x v="4"/>
    <s v="Admin/HR/IT"/>
    <s v="AMCARE NonOcc In"/>
    <s v="AMZN"/>
    <n v="112971953"/>
    <s v="Aguirre Palomino,Ana"/>
    <s v="Lopez,Alexa"/>
    <n v="0"/>
    <n v="0"/>
    <n v="0"/>
    <n v="0"/>
    <n v="0.97"/>
    <s v="DB-X0700"/>
    <x v="7"/>
  </r>
  <r>
    <d v="2023-02-04T00:00:00"/>
    <x v="4"/>
    <s v="Admin/HR/IT"/>
    <s v="AMCARE NonOcc In"/>
    <s v="AMZN"/>
    <n v="112972958"/>
    <s v="Gonzalez Gonzalez,Antonio"/>
    <s v="Cortes,Alejandra"/>
    <n v="0"/>
    <n v="0"/>
    <n v="0"/>
    <n v="0"/>
    <n v="0.45"/>
    <s v="D5-X0700"/>
    <x v="44"/>
  </r>
  <r>
    <d v="2023-02-04T00:00:00"/>
    <x v="4"/>
    <s v="Admin/HR/IT"/>
    <s v="AMCARE NonOcc In"/>
    <s v="AMZN"/>
    <n v="112991248"/>
    <s v="Cabrera Velazquez,Sandy"/>
    <s v="Romero Sanchez,Gustavo Gabriel"/>
    <n v="0"/>
    <n v="0"/>
    <n v="0"/>
    <n v="0"/>
    <n v="0.13"/>
    <e v="#N/A"/>
    <x v="0"/>
  </r>
  <r>
    <d v="2023-02-04T00:00:00"/>
    <x v="4"/>
    <s v="Admin/HR/IT"/>
    <s v="AMCARE NonOcc In"/>
    <s v="AMZN"/>
    <n v="113003609"/>
    <s v="Ornelas Valdes,Carlos"/>
    <s v="Gomez,Abinadab"/>
    <n v="0"/>
    <n v="0"/>
    <n v="0"/>
    <n v="0"/>
    <n v="0.11"/>
    <e v="#N/A"/>
    <x v="0"/>
  </r>
  <r>
    <d v="2023-02-05T00:00:00"/>
    <x v="5"/>
    <s v="Admin/HR/IT"/>
    <s v="AMCARE NonOcc In"/>
    <s v="AMZN"/>
    <n v="112533782"/>
    <s v="Galindo,Mirian"/>
    <s v="Gomez Aguado,Jorge"/>
    <n v="0"/>
    <n v="0"/>
    <n v="0"/>
    <n v="0"/>
    <n v="0.14000000000000001"/>
    <e v="#N/A"/>
    <x v="0"/>
  </r>
  <r>
    <d v="2023-02-05T00:00:00"/>
    <x v="5"/>
    <s v="Admin/HR/IT"/>
    <s v="AMCARE NonOcc In"/>
    <s v="AMZN"/>
    <n v="112950792"/>
    <s v="Morales Gonzalez,Genesis"/>
    <s v="Robledo Ugarte,Alejandro"/>
    <n v="0"/>
    <n v="0"/>
    <n v="0"/>
    <n v="0"/>
    <n v="0.16"/>
    <s v="NF-X1900"/>
    <x v="84"/>
  </r>
  <r>
    <d v="2023-02-05T00:00:00"/>
    <x v="5"/>
    <s v="Admin/HR/IT"/>
    <s v="AMCARE NonOcc In"/>
    <s v="AMZN"/>
    <n v="112980842"/>
    <s v="Ornelas,Karla"/>
    <s v="Robledo Ugarte,Alejandro"/>
    <n v="0"/>
    <n v="0"/>
    <n v="0"/>
    <n v="0"/>
    <n v="1.01"/>
    <e v="#N/A"/>
    <x v="0"/>
  </r>
  <r>
    <d v="2023-02-05T00:00:00"/>
    <x v="5"/>
    <s v="Admin/HR/IT"/>
    <s v="AMCARE NonOcc In"/>
    <s v="AMZN"/>
    <n v="112980843"/>
    <s v="Santos,Israel"/>
    <s v="Robledo Ugarte,Alejandro"/>
    <n v="0"/>
    <n v="0"/>
    <n v="0"/>
    <n v="0"/>
    <n v="0.17"/>
    <s v="DA-X0700"/>
    <x v="85"/>
  </r>
  <r>
    <d v="2023-02-05T00:00:00"/>
    <x v="5"/>
    <s v="Admin/HR/IT"/>
    <s v="AMCARE NonOcc In"/>
    <s v="AMZN"/>
    <n v="113003691"/>
    <s v="Angeles,Fernando"/>
    <s v="Ledezma,Fer"/>
    <n v="0"/>
    <n v="0"/>
    <n v="0"/>
    <n v="0"/>
    <n v="0.16"/>
    <e v="#N/A"/>
    <x v="0"/>
  </r>
  <r>
    <d v="2023-02-05T00:00:00"/>
    <x v="5"/>
    <s v="Admin/HR/IT"/>
    <s v="AMCARE NonOcc In"/>
    <s v="AMZN"/>
    <n v="113018997"/>
    <s v="Rodriguez Ponce,Gaby"/>
    <s v="Robledo Ugarte,Alejandro"/>
    <n v="0"/>
    <n v="0"/>
    <n v="0"/>
    <n v="0"/>
    <n v="0.79"/>
    <e v="#N/A"/>
    <x v="0"/>
  </r>
  <r>
    <d v="2023-02-05T00:00:00"/>
    <x v="5"/>
    <s v="Admin/HR/IT"/>
    <s v="AMCARE NonOcc In"/>
    <s v="AMZN"/>
    <n v="113019083"/>
    <s v="Contreras,Marco"/>
    <s v="Madrid Molina,Ramon"/>
    <n v="0"/>
    <n v="0"/>
    <n v="0"/>
    <n v="0"/>
    <n v="0.1"/>
    <e v="#N/A"/>
    <x v="0"/>
  </r>
  <r>
    <d v="2023-02-05T00:00:00"/>
    <x v="5"/>
    <s v="Admin/HR/IT"/>
    <s v="AMCARE NonOcc In"/>
    <s v="AMZN"/>
    <n v="200404250"/>
    <s v="Hurtado,Caty"/>
    <s v="Piedra,Valentina"/>
    <n v="0"/>
    <n v="0"/>
    <n v="0"/>
    <n v="0"/>
    <n v="7.0000000000000007E-2"/>
    <e v="#N/A"/>
    <x v="6"/>
  </r>
  <r>
    <d v="2023-02-05T00:00:00"/>
    <x v="5"/>
    <s v="Admin/HR/IT"/>
    <s v="AMCARE NonOcc In"/>
    <s v="TEMP"/>
    <n v="200615883"/>
    <s v="Ibarra Amaro,Adriana"/>
    <s v="Madrid Molina,Ramon"/>
    <n v="0"/>
    <n v="0"/>
    <n v="0"/>
    <n v="0"/>
    <n v="0.69"/>
    <e v="#N/A"/>
    <x v="0"/>
  </r>
  <r>
    <d v="2023-02-06T00:00:00"/>
    <x v="5"/>
    <s v="Admin/HR/IT"/>
    <s v="AMCARE NonOcc In"/>
    <s v="TEMP"/>
    <n v="109227086"/>
    <s v="Tavares,Alejandra"/>
    <s v="Hernandez,Nataly"/>
    <n v="0"/>
    <n v="0"/>
    <n v="0"/>
    <n v="0"/>
    <n v="0.54"/>
    <e v="#N/A"/>
    <x v="0"/>
  </r>
  <r>
    <d v="2023-02-06T00:00:00"/>
    <x v="5"/>
    <s v="Admin/HR/IT"/>
    <s v="AMCARE NonOcc In"/>
    <s v="AMZN"/>
    <n v="112912046"/>
    <s v="Aguilar,Victor Manuel"/>
    <s v="Munoz,Jonan"/>
    <n v="0"/>
    <n v="0"/>
    <n v="0"/>
    <n v="0"/>
    <n v="0.34"/>
    <e v="#N/A"/>
    <x v="0"/>
  </r>
  <r>
    <d v="2023-02-06T00:00:00"/>
    <x v="5"/>
    <s v="Admin/HR/IT"/>
    <s v="AMCARE NonOcc In"/>
    <s v="AMZN"/>
    <n v="112912050"/>
    <s v="Hernadez Serna,Said"/>
    <s v="Camarena,Grecia"/>
    <n v="0"/>
    <n v="0"/>
    <n v="0"/>
    <n v="0"/>
    <n v="2.14"/>
    <s v="DA-X0700"/>
    <x v="86"/>
  </r>
  <r>
    <d v="2023-02-06T00:00:00"/>
    <x v="5"/>
    <s v="Admin/HR/IT"/>
    <s v="AMCARE NonOcc In"/>
    <s v="AMZN"/>
    <n v="112912752"/>
    <s v="Valderrama Gomez,Leslie"/>
    <s v="Robledo Ugarte,Alejandro"/>
    <n v="0"/>
    <n v="0"/>
    <n v="0"/>
    <n v="0"/>
    <n v="0.06"/>
    <s v="NF-X1900"/>
    <x v="5"/>
  </r>
  <r>
    <d v="2023-02-06T00:00:00"/>
    <x v="5"/>
    <s v="Admin/HR/IT"/>
    <s v="AMCARE NonOcc In"/>
    <s v="AMZN"/>
    <n v="112971965"/>
    <s v="Hernandez,Andrea"/>
    <s v="Romero Sanchez,Gustavo Gabriel"/>
    <n v="0"/>
    <n v="0"/>
    <n v="0"/>
    <n v="0"/>
    <n v="0.01"/>
    <e v="#N/A"/>
    <x v="0"/>
  </r>
  <r>
    <d v="2023-02-06T00:00:00"/>
    <x v="5"/>
    <s v="Admin/HR/IT"/>
    <s v="AMCARE NonOcc In"/>
    <s v="AMZN"/>
    <n v="112980842"/>
    <s v="Ornelas,Karla"/>
    <s v="Robledo Ugarte,Alejandro"/>
    <n v="0"/>
    <n v="0"/>
    <n v="0"/>
    <n v="0"/>
    <n v="0.28000000000000003"/>
    <e v="#N/A"/>
    <x v="0"/>
  </r>
  <r>
    <d v="2023-02-06T00:00:00"/>
    <x v="5"/>
    <s v="Admin/HR/IT"/>
    <s v="AMCARE NonOcc In"/>
    <s v="AMZN"/>
    <n v="112980843"/>
    <s v="Santos,Israel"/>
    <s v="Robledo Ugarte,Alejandro"/>
    <n v="0"/>
    <n v="0"/>
    <n v="0"/>
    <n v="0"/>
    <n v="0.13"/>
    <s v="DA-X0700"/>
    <x v="85"/>
  </r>
  <r>
    <d v="2023-02-06T00:00:00"/>
    <x v="5"/>
    <s v="Admin/HR/IT"/>
    <s v="AMCARE NonOcc In"/>
    <s v="AMZN"/>
    <n v="112980847"/>
    <s v="Reyes,Jose"/>
    <s v="Robledo Ugarte,Alejandro"/>
    <n v="0"/>
    <n v="0"/>
    <n v="0"/>
    <n v="0"/>
    <n v="0.85"/>
    <e v="#N/A"/>
    <x v="0"/>
  </r>
  <r>
    <d v="2023-02-06T00:00:00"/>
    <x v="5"/>
    <s v="Admin/HR/IT"/>
    <s v="AMCARE NonOcc In"/>
    <s v="AMZN"/>
    <n v="112981221"/>
    <s v="Perez Ramirez,Cesar"/>
    <s v="Piedra,Valentina"/>
    <n v="0"/>
    <n v="0"/>
    <n v="0"/>
    <n v="0"/>
    <n v="0.28000000000000003"/>
    <e v="#N/A"/>
    <x v="79"/>
  </r>
  <r>
    <d v="2023-02-06T00:00:00"/>
    <x v="5"/>
    <s v="Admin/HR/IT"/>
    <s v="AMCARE NonOcc In"/>
    <s v="AMZN"/>
    <n v="113003631"/>
    <s v="Ortega,Elizabeth"/>
    <s v="Gomez Aguado,Jorge"/>
    <n v="0"/>
    <n v="0"/>
    <n v="0"/>
    <n v="0"/>
    <n v="0.1"/>
    <e v="#N/A"/>
    <x v="0"/>
  </r>
  <r>
    <d v="2023-02-06T00:00:00"/>
    <x v="5"/>
    <s v="Admin/HR/IT"/>
    <s v="AMCARE NonOcc In"/>
    <s v="AMZN"/>
    <n v="113014081"/>
    <s v="Frausto,Genesis"/>
    <s v="Piedra,Valentina"/>
    <n v="0"/>
    <n v="0"/>
    <n v="0"/>
    <n v="0"/>
    <n v="0.2"/>
    <e v="#N/A"/>
    <x v="9"/>
  </r>
  <r>
    <d v="2023-02-06T00:00:00"/>
    <x v="5"/>
    <s v="Admin/HR/IT"/>
    <s v="AMCARE NonOcc In"/>
    <s v="AMZN"/>
    <n v="113040582"/>
    <s v="HDZ,DEMON"/>
    <s v="Madrid Molina,Ramon"/>
    <n v="0"/>
    <n v="0"/>
    <n v="0"/>
    <n v="0"/>
    <n v="0.53"/>
    <e v="#N/A"/>
    <x v="63"/>
  </r>
  <r>
    <d v="2023-02-06T00:00:00"/>
    <x v="5"/>
    <s v="Admin/HR/IT"/>
    <s v="AMCARE NonOcc In"/>
    <s v="AMZN"/>
    <n v="200404250"/>
    <s v="Hurtado,Caty"/>
    <s v="Piedra,Valentina"/>
    <n v="0"/>
    <n v="0"/>
    <n v="0"/>
    <n v="0"/>
    <n v="0.47"/>
    <e v="#N/A"/>
    <x v="6"/>
  </r>
  <r>
    <s v="  "/>
    <x v="5"/>
    <s v="Admin/HR/IT"/>
    <s v="AMCARE NonOcc In"/>
    <s v="AMZN"/>
    <n v="200406187"/>
    <s v="Sanchez,Alan"/>
    <s v="Hernandez,Nataly"/>
    <n v="0"/>
    <n v="0"/>
    <n v="0"/>
    <n v="0"/>
    <n v="0.43"/>
    <e v="#N/A"/>
    <x v="0"/>
  </r>
  <r>
    <d v="2023-02-06T00:00:00"/>
    <x v="5"/>
    <s v="Admin/HR/IT"/>
    <s v="AMCARE NonOcc In"/>
    <s v="AMZN"/>
    <n v="200408196"/>
    <s v="Hernandez Lara,Maggie"/>
    <s v="Piedra,Valentina"/>
    <n v="0"/>
    <n v="0"/>
    <n v="0"/>
    <n v="0"/>
    <n v="1.1599999999999999"/>
    <e v="#N/A"/>
    <x v="0"/>
  </r>
  <r>
    <d v="2023-02-06T00:00:00"/>
    <x v="5"/>
    <s v="Admin/HR/IT"/>
    <s v="AMCARE NonOcc In"/>
    <s v="TEMP"/>
    <n v="200509428"/>
    <s v="Guevara Ramirez,Zayra Lorena"/>
    <s v="Corona Arriaga,Fernando"/>
    <n v="0"/>
    <n v="0"/>
    <n v="0"/>
    <n v="0"/>
    <n v="0.24"/>
    <e v="#N/A"/>
    <x v="0"/>
  </r>
  <r>
    <d v="2023-02-06T00:00:00"/>
    <x v="5"/>
    <s v="Admin/HR/IT"/>
    <s v="AMCARE NonOcc In"/>
    <s v="TEMP"/>
    <n v="200574329"/>
    <s v="Llamas,Jonathan"/>
    <s v="Corona Arriaga,Fernando"/>
    <n v="0"/>
    <n v="0"/>
    <n v="0"/>
    <n v="0"/>
    <n v="0.39"/>
    <e v="#N/A"/>
    <x v="0"/>
  </r>
  <r>
    <d v="2023-02-07T00:00:00"/>
    <x v="5"/>
    <s v="Admin/HR/IT"/>
    <s v="AMCARE NonOcc In"/>
    <s v="AMZN"/>
    <n v="106386523"/>
    <s v="Martinez,Leonardo"/>
    <s v="Gomez Aguado,Jorge"/>
    <n v="0"/>
    <n v="0"/>
    <n v="0"/>
    <n v="0"/>
    <n v="0.52"/>
    <e v="#N/A"/>
    <x v="0"/>
  </r>
  <r>
    <d v="2023-02-07T00:00:00"/>
    <x v="5"/>
    <s v="Admin/HR/IT"/>
    <s v="AMCARE NonOcc In"/>
    <s v="AMZN"/>
    <n v="112912074"/>
    <s v="Hernandez Gutierrez,Lizeth"/>
    <s v="Pizana,Diego"/>
    <n v="0"/>
    <n v="0"/>
    <n v="0"/>
    <n v="0"/>
    <n v="0.11"/>
    <e v="#N/A"/>
    <x v="0"/>
  </r>
  <r>
    <d v="2023-02-07T00:00:00"/>
    <x v="5"/>
    <s v="Admin/HR/IT"/>
    <s v="AMCARE NonOcc In"/>
    <s v="AMZN"/>
    <n v="112976013"/>
    <s v="Garcia,Roberto"/>
    <s v="Munoz,Jonan"/>
    <n v="0"/>
    <n v="0"/>
    <n v="0"/>
    <n v="0"/>
    <n v="0.62"/>
    <e v="#N/A"/>
    <x v="0"/>
  </r>
  <r>
    <d v="2023-02-07T00:00:00"/>
    <x v="5"/>
    <s v="Admin/HR/IT"/>
    <s v="AMCARE NonOcc In"/>
    <s v="AMZN"/>
    <n v="112980842"/>
    <s v="Ornelas,Karla"/>
    <s v="Robledo Ugarte,Alejandro"/>
    <n v="0"/>
    <n v="0"/>
    <n v="0"/>
    <n v="0"/>
    <n v="0.43"/>
    <e v="#N/A"/>
    <x v="0"/>
  </r>
  <r>
    <d v="2023-02-07T00:00:00"/>
    <x v="5"/>
    <s v="Admin/HR/IT"/>
    <s v="AMCARE NonOcc In"/>
    <s v="AMZN"/>
    <n v="112980844"/>
    <s v="Padilla,Samantha"/>
    <s v="Robledo Ugarte,Alejandro"/>
    <n v="0"/>
    <n v="0"/>
    <n v="0"/>
    <n v="0"/>
    <n v="0.87"/>
    <s v="DA-X0700"/>
    <x v="2"/>
  </r>
  <r>
    <d v="2023-02-07T00:00:00"/>
    <x v="5"/>
    <s v="Admin/HR/IT"/>
    <s v="AMCARE NonOcc In"/>
    <s v="AMZN"/>
    <n v="112980899"/>
    <s v="Avila Cabrera,Ari"/>
    <s v="Robledo Ugarte,Alejandro"/>
    <n v="0"/>
    <n v="0"/>
    <n v="0"/>
    <n v="0"/>
    <n v="0.61"/>
    <s v="NF-X1900"/>
    <x v="34"/>
  </r>
  <r>
    <d v="2023-02-07T00:00:00"/>
    <x v="5"/>
    <s v="Admin/HR/IT"/>
    <s v="AMCARE NonOcc In"/>
    <s v="AMZN"/>
    <n v="113014094"/>
    <s v="Mercado,Erika"/>
    <s v="Corona Arriaga,Fernando"/>
    <n v="0"/>
    <n v="0"/>
    <n v="0"/>
    <n v="0"/>
    <n v="0.43"/>
    <e v="#N/A"/>
    <x v="49"/>
  </r>
  <r>
    <d v="2023-02-07T00:00:00"/>
    <x v="5"/>
    <s v="Admin/HR/IT"/>
    <s v="AMCARE NonOcc In"/>
    <s v="AMZN"/>
    <n v="113019001"/>
    <s v="Lozano Hernandez,Donny"/>
    <s v="Robledo Ugarte,Alejandro"/>
    <n v="0"/>
    <n v="0"/>
    <n v="0"/>
    <n v="0"/>
    <n v="0.12"/>
    <e v="#N/A"/>
    <x v="48"/>
  </r>
  <r>
    <d v="2023-02-07T00:00:00"/>
    <x v="5"/>
    <s v="Admin/HR/IT"/>
    <s v="AMCARE NonOcc In"/>
    <s v="AMZN"/>
    <n v="113019039"/>
    <s v="Hernandez Oropeza,Gabriel"/>
    <s v="Gomez Aguado,Jorge"/>
    <n v="0"/>
    <n v="0"/>
    <n v="0"/>
    <n v="0"/>
    <n v="0.97"/>
    <e v="#N/A"/>
    <x v="0"/>
  </r>
  <r>
    <d v="2023-02-07T00:00:00"/>
    <x v="5"/>
    <s v="Admin/HR/IT"/>
    <s v="AMCARE NonOcc In"/>
    <s v="AMZN"/>
    <n v="113040582"/>
    <s v="HDZ,DEMON"/>
    <s v="Madrid Molina,Ramon"/>
    <n v="0"/>
    <n v="0"/>
    <n v="0"/>
    <n v="0"/>
    <n v="0.33"/>
    <e v="#N/A"/>
    <x v="63"/>
  </r>
  <r>
    <d v="2023-02-07T00:00:00"/>
    <x v="5"/>
    <s v="Admin/HR/IT"/>
    <s v="AMCARE NonOcc In"/>
    <s v="AMZN"/>
    <n v="200404250"/>
    <s v="Hurtado,Caty"/>
    <s v="Piedra,Valentina"/>
    <n v="0"/>
    <n v="0"/>
    <n v="0"/>
    <n v="0"/>
    <n v="0.35"/>
    <e v="#N/A"/>
    <x v="6"/>
  </r>
  <r>
    <d v="2023-02-07T00:00:00"/>
    <x v="5"/>
    <s v="Admin/HR/IT"/>
    <s v="AMCARE NonOcc In"/>
    <s v="TEMP"/>
    <n v="200509428"/>
    <s v="Guevara Ramirez,Zayra Lorena"/>
    <s v="Corona Arriaga,Fernando"/>
    <n v="0"/>
    <n v="0"/>
    <n v="0"/>
    <n v="0"/>
    <n v="0.22"/>
    <e v="#N/A"/>
    <x v="0"/>
  </r>
  <r>
    <d v="2023-02-07T00:00:00"/>
    <x v="5"/>
    <s v="Admin/HR/IT"/>
    <s v="AMCARE NonOcc In"/>
    <s v="TEMP"/>
    <n v="200562303"/>
    <s v="Hernandez Cruz,Jorge"/>
    <s v="Hernandez,Nataly"/>
    <n v="0"/>
    <n v="0"/>
    <n v="0"/>
    <n v="0"/>
    <n v="0.32"/>
    <e v="#N/A"/>
    <x v="87"/>
  </r>
  <r>
    <d v="2023-02-07T00:00:00"/>
    <x v="5"/>
    <s v="Admin/HR/IT"/>
    <s v="AMCARE NonOcc In"/>
    <s v="TEMP"/>
    <n v="200564845"/>
    <s v="Barron,Abraham"/>
    <s v="Piedra,Valentina"/>
    <n v="0"/>
    <n v="0"/>
    <n v="0"/>
    <n v="0"/>
    <n v="0.16"/>
    <e v="#N/A"/>
    <x v="0"/>
  </r>
  <r>
    <d v="2023-02-07T00:00:00"/>
    <x v="5"/>
    <s v="Admin/HR/IT"/>
    <s v="AMCARE NonOcc In"/>
    <s v="TEMP"/>
    <n v="200574329"/>
    <s v="Llamas,Jonathan"/>
    <s v="Corona Arriaga,Fernando"/>
    <n v="0"/>
    <n v="0"/>
    <n v="0"/>
    <n v="0"/>
    <n v="0.19"/>
    <e v="#N/A"/>
    <x v="0"/>
  </r>
  <r>
    <d v="2023-02-07T00:00:00"/>
    <x v="5"/>
    <s v="Admin/HR/IT"/>
    <s v="AMCARE NonOcc In"/>
    <s v="TEMP"/>
    <n v="200574655"/>
    <s v="Mireles,Dulce"/>
    <s v="Corona Arriaga,Fernando"/>
    <n v="0"/>
    <n v="0"/>
    <n v="0"/>
    <n v="0"/>
    <n v="1.1299999999999999"/>
    <e v="#N/A"/>
    <x v="88"/>
  </r>
  <r>
    <d v="2023-02-07T00:00:00"/>
    <x v="5"/>
    <s v="Admin/HR/IT"/>
    <s v="AMCARE NonOcc In"/>
    <s v="TEMP"/>
    <n v="200589316"/>
    <s v="Torres Zuniga,Daniel"/>
    <s v="Madrid Molina,Ramon"/>
    <n v="0"/>
    <n v="0"/>
    <n v="0"/>
    <n v="0"/>
    <n v="0.14000000000000001"/>
    <e v="#N/A"/>
    <x v="0"/>
  </r>
  <r>
    <d v="2023-02-07T00:00:00"/>
    <x v="5"/>
    <s v="Admin/HR/IT"/>
    <s v="AMCARE NonOcc In"/>
    <s v="TEMP"/>
    <n v="200620341"/>
    <s v="Camacho Ramirez,Carlos"/>
    <s v="Gomez Aguado,Jorge"/>
    <n v="0"/>
    <n v="0"/>
    <n v="0"/>
    <n v="0"/>
    <n v="0.18"/>
    <e v="#N/A"/>
    <x v="0"/>
  </r>
  <r>
    <d v="2023-02-07T00:00:00"/>
    <x v="5"/>
    <s v="Admin/HR/IT"/>
    <s v="AMCARE NonOcc In"/>
    <s v="TEMP"/>
    <n v="200625517"/>
    <s v="RamÃ­rez,Miranda"/>
    <s v="Hernandez,Nataly"/>
    <n v="0"/>
    <n v="0"/>
    <n v="0"/>
    <n v="0"/>
    <n v="0.28999999999999998"/>
    <e v="#N/A"/>
    <x v="0"/>
  </r>
  <r>
    <d v="2023-02-08T00:00:00"/>
    <x v="5"/>
    <s v="Admin/HR/IT"/>
    <s v="AMCARE NonOcc In"/>
    <s v="AMZN"/>
    <n v="112525692"/>
    <s v="Ovalle Gomez,Mayte"/>
    <s v="Cortes,Alejandra"/>
    <n v="0"/>
    <n v="0"/>
    <n v="0"/>
    <n v="0"/>
    <n v="1.02"/>
    <e v="#N/A"/>
    <x v="0"/>
  </r>
  <r>
    <d v="2023-02-08T00:00:00"/>
    <x v="5"/>
    <s v="Admin/HR/IT"/>
    <s v="AMCARE NonOcc In"/>
    <s v="AMZN"/>
    <n v="112912201"/>
    <s v="Castillo Falcon,Sheyla"/>
    <s v="Corona Arriaga,Fernando"/>
    <n v="0"/>
    <n v="0"/>
    <n v="0"/>
    <n v="0"/>
    <n v="0.26"/>
    <e v="#N/A"/>
    <x v="0"/>
  </r>
  <r>
    <d v="2023-02-08T00:00:00"/>
    <x v="5"/>
    <s v="Admin/HR/IT"/>
    <s v="AMCARE NonOcc In"/>
    <s v="AMZN"/>
    <n v="112912752"/>
    <s v="Valderrama Gomez,Leslie"/>
    <s v="Robledo Ugarte,Alejandro"/>
    <n v="0"/>
    <n v="0"/>
    <n v="0"/>
    <n v="0"/>
    <n v="0.25"/>
    <s v="NF-X1900"/>
    <x v="5"/>
  </r>
  <r>
    <d v="2023-02-08T00:00:00"/>
    <x v="5"/>
    <s v="Admin/HR/IT"/>
    <s v="AMCARE NonOcc In"/>
    <s v="AMZN"/>
    <n v="112920664"/>
    <s v="Alba,Samuel"/>
    <s v="Rosas Negrete,Sebastian"/>
    <n v="0"/>
    <n v="0"/>
    <n v="0"/>
    <n v="0"/>
    <n v="0.17"/>
    <s v="DA-X0700"/>
    <x v="53"/>
  </r>
  <r>
    <d v="2023-02-08T00:00:00"/>
    <x v="5"/>
    <s v="Admin/HR/IT"/>
    <s v="AMCARE NonOcc In"/>
    <s v="AMZN"/>
    <n v="112971953"/>
    <s v="Aguirre Palomino,Ana"/>
    <s v="Pizana,Diego"/>
    <n v="0"/>
    <n v="0"/>
    <n v="0"/>
    <n v="0"/>
    <n v="1.95"/>
    <s v="DB-X0700"/>
    <x v="7"/>
  </r>
  <r>
    <d v="2023-02-08T00:00:00"/>
    <x v="5"/>
    <s v="Admin/HR/IT"/>
    <s v="AMCARE NonOcc In"/>
    <s v="AMZN"/>
    <n v="112973049"/>
    <s v="Tavares Parra,Ely"/>
    <s v="Romero Sanchez,Gustavo Gabriel"/>
    <n v="0"/>
    <n v="0"/>
    <n v="0"/>
    <n v="0"/>
    <n v="0.4"/>
    <s v="DB-X0700"/>
    <x v="14"/>
  </r>
  <r>
    <d v="2023-02-08T00:00:00"/>
    <x v="5"/>
    <s v="Admin/HR/IT"/>
    <s v="AMCARE NonOcc In"/>
    <s v="AMZN"/>
    <n v="112980842"/>
    <s v="Ornelas,Karla"/>
    <s v="Robledo Ugarte,Alejandro"/>
    <n v="0"/>
    <n v="0"/>
    <n v="0"/>
    <n v="0"/>
    <n v="0.56999999999999995"/>
    <e v="#N/A"/>
    <x v="0"/>
  </r>
  <r>
    <d v="2023-02-08T00:00:00"/>
    <x v="5"/>
    <s v="Admin/HR/IT"/>
    <s v="AMCARE NonOcc In"/>
    <s v="AMZN"/>
    <n v="113003631"/>
    <s v="Ortega,Elizabeth"/>
    <s v="Gomez Aguado,Jorge"/>
    <n v="0"/>
    <n v="0"/>
    <n v="0"/>
    <n v="0"/>
    <n v="0.13"/>
    <e v="#N/A"/>
    <x v="0"/>
  </r>
  <r>
    <d v="2023-02-08T00:00:00"/>
    <x v="5"/>
    <s v="Admin/HR/IT"/>
    <s v="AMCARE NonOcc In"/>
    <s v="AMZN"/>
    <n v="113003692"/>
    <s v="Vega,Bruno"/>
    <s v="Ledezma,Fer"/>
    <n v="0"/>
    <n v="0"/>
    <n v="0"/>
    <n v="0"/>
    <n v="0.15"/>
    <e v="#N/A"/>
    <x v="0"/>
  </r>
  <r>
    <d v="2023-02-08T00:00:00"/>
    <x v="5"/>
    <s v="Admin/HR/IT"/>
    <s v="AMCARE NonOcc In"/>
    <s v="AMZN"/>
    <n v="113101262"/>
    <s v="Tinoco,Cesar"/>
    <s v="Gomez,Abinadab"/>
    <n v="0"/>
    <n v="0"/>
    <n v="0"/>
    <n v="0"/>
    <n v="0.12"/>
    <e v="#N/A"/>
    <x v="89"/>
  </r>
  <r>
    <d v="2023-02-08T00:00:00"/>
    <x v="5"/>
    <s v="Admin/HR/IT"/>
    <s v="AMCARE NonOcc In"/>
    <s v="AMZN"/>
    <n v="200404250"/>
    <s v="Hurtado,Caty"/>
    <s v="Piedra,Valentina"/>
    <n v="0"/>
    <n v="0"/>
    <n v="0"/>
    <n v="0"/>
    <n v="0.4"/>
    <e v="#N/A"/>
    <x v="6"/>
  </r>
  <r>
    <d v="2023-02-08T00:00:00"/>
    <x v="5"/>
    <s v="Admin/HR/IT"/>
    <s v="AMCARE NonOcc In"/>
    <s v="AMZN"/>
    <n v="200408196"/>
    <s v="Hernandez Lara,Maggie"/>
    <s v="Piedra,Valentina"/>
    <n v="0"/>
    <n v="0"/>
    <n v="0"/>
    <n v="0"/>
    <n v="0.41"/>
    <e v="#N/A"/>
    <x v="0"/>
  </r>
  <r>
    <d v="2023-02-08T00:00:00"/>
    <x v="5"/>
    <s v="Admin/HR/IT"/>
    <s v="AMCARE NonOcc In"/>
    <s v="TEMP"/>
    <n v="200562251"/>
    <s v="Garcia Martinez,Alejandro"/>
    <s v="Gomez Aguado,Jorge"/>
    <n v="0"/>
    <n v="0"/>
    <n v="0"/>
    <n v="0"/>
    <n v="1.1299999999999999"/>
    <e v="#N/A"/>
    <x v="0"/>
  </r>
  <r>
    <d v="2023-02-08T00:00:00"/>
    <x v="5"/>
    <s v="Admin/HR/IT"/>
    <s v="AMCARE NonOcc In"/>
    <s v="TEMP"/>
    <n v="200562868"/>
    <s v="Martinez Alvarez,Arturo"/>
    <s v="Gomez Aguado,Jorge"/>
    <n v="0"/>
    <n v="0"/>
    <n v="0"/>
    <n v="0"/>
    <n v="0.39"/>
    <e v="#N/A"/>
    <x v="0"/>
  </r>
  <r>
    <d v="2023-02-08T00:00:00"/>
    <x v="5"/>
    <s v="Admin/HR/IT"/>
    <s v="AMCARE NonOcc In"/>
    <s v="TEMP"/>
    <n v="200620341"/>
    <s v="Camacho Ramirez,Carlos"/>
    <s v="Gomez Aguado,Jorge"/>
    <n v="0"/>
    <n v="0"/>
    <n v="0"/>
    <n v="0"/>
    <n v="0.37"/>
    <e v="#N/A"/>
    <x v="0"/>
  </r>
  <r>
    <d v="2023-02-09T00:00:00"/>
    <x v="5"/>
    <s v="Admin/HR/IT"/>
    <s v="AMCARE NonOcc In"/>
    <s v="AMZN"/>
    <n v="103427877"/>
    <s v="Alanis Hernandez,Patricia"/>
    <s v="Pizana,Diego"/>
    <n v="0"/>
    <n v="0"/>
    <n v="0"/>
    <n v="0"/>
    <n v="0.26"/>
    <e v="#N/A"/>
    <x v="0"/>
  </r>
  <r>
    <d v="2023-02-09T00:00:00"/>
    <x v="5"/>
    <s v="Admin/HR/IT"/>
    <s v="AMCARE NonOcc In"/>
    <s v="TEMP"/>
    <n v="109227086"/>
    <s v="Tavares,Alejandra"/>
    <s v="Hernandez,Nataly"/>
    <n v="0"/>
    <n v="0"/>
    <n v="0"/>
    <n v="0"/>
    <n v="0.51"/>
    <e v="#N/A"/>
    <x v="0"/>
  </r>
  <r>
    <d v="2023-02-09T00:00:00"/>
    <x v="5"/>
    <s v="Admin/HR/IT"/>
    <s v="AMCARE NonOcc In"/>
    <s v="AMZN"/>
    <n v="111434478"/>
    <s v="Gutierrez,Pame"/>
    <s v="Camarena,Grecia"/>
    <n v="0"/>
    <n v="0"/>
    <n v="0"/>
    <n v="0"/>
    <n v="0.92"/>
    <s v="DA-X0700"/>
    <x v="23"/>
  </r>
  <r>
    <d v="2023-02-09T00:00:00"/>
    <x v="5"/>
    <s v="Admin/HR/IT"/>
    <s v="AMCARE NonOcc In"/>
    <s v="AMZN"/>
    <n v="112912201"/>
    <s v="Castillo Falcon,Sheyla"/>
    <s v="Corona Arriaga,Fernando"/>
    <n v="0"/>
    <n v="0"/>
    <n v="0"/>
    <n v="0"/>
    <n v="0.38"/>
    <e v="#N/A"/>
    <x v="0"/>
  </r>
  <r>
    <d v="2023-02-09T00:00:00"/>
    <x v="5"/>
    <s v="Admin/HR/IT"/>
    <s v="AMCARE NonOcc In"/>
    <s v="AMZN"/>
    <n v="112912464"/>
    <s v="Garcia Nicasio,Luis"/>
    <s v="Cortes,Alejandra"/>
    <n v="0"/>
    <n v="0"/>
    <n v="0"/>
    <n v="0"/>
    <n v="0.47"/>
    <e v="#N/A"/>
    <x v="0"/>
  </r>
  <r>
    <d v="2023-02-09T00:00:00"/>
    <x v="5"/>
    <s v="Admin/HR/IT"/>
    <s v="AMCARE NonOcc In"/>
    <s v="AMZN"/>
    <n v="112912675"/>
    <s v="Alejandri Villagomez,Alejandra"/>
    <s v="Gomez,Abinadab"/>
    <n v="0"/>
    <n v="0"/>
    <n v="0"/>
    <n v="0"/>
    <n v="0.44"/>
    <e v="#N/A"/>
    <x v="0"/>
  </r>
  <r>
    <d v="2023-02-09T00:00:00"/>
    <x v="5"/>
    <s v="Admin/HR/IT"/>
    <s v="AMCARE NonOcc In"/>
    <s v="AMZN"/>
    <n v="112912985"/>
    <s v="Serna Aguilar,Roberto"/>
    <s v="Cortes,Alejandra"/>
    <n v="0"/>
    <n v="0"/>
    <n v="0"/>
    <n v="0"/>
    <n v="0.13"/>
    <e v="#N/A"/>
    <x v="0"/>
  </r>
  <r>
    <d v="2023-02-09T00:00:00"/>
    <x v="5"/>
    <s v="Admin/HR/IT"/>
    <s v="AMCARE NonOcc In"/>
    <s v="AMZN"/>
    <n v="112916493"/>
    <s v="Ascencio,Israel"/>
    <s v="Lopez,Alexa"/>
    <n v="0"/>
    <n v="0"/>
    <n v="0"/>
    <n v="0"/>
    <n v="1.3"/>
    <e v="#N/A"/>
    <x v="0"/>
  </r>
  <r>
    <d v="2023-02-09T00:00:00"/>
    <x v="5"/>
    <s v="Admin/HR/IT"/>
    <s v="AMCARE NonOcc In"/>
    <s v="AMZN"/>
    <n v="112920655"/>
    <s v="Diaz de LeÃ³n,Paola"/>
    <s v="Pizana,Diego"/>
    <n v="0"/>
    <n v="0"/>
    <n v="0"/>
    <n v="0"/>
    <n v="1.01"/>
    <e v="#N/A"/>
    <x v="0"/>
  </r>
  <r>
    <d v="2023-02-09T00:00:00"/>
    <x v="5"/>
    <s v="Admin/HR/IT"/>
    <s v="AMCARE NonOcc In"/>
    <s v="AMZN"/>
    <n v="112981061"/>
    <s v="Olguin,Claudia"/>
    <s v="Corona Arriaga,Fernando"/>
    <n v="0"/>
    <n v="0"/>
    <n v="0"/>
    <n v="0"/>
    <n v="0.18"/>
    <s v="DA-X0700"/>
    <x v="11"/>
  </r>
  <r>
    <d v="2023-02-09T00:00:00"/>
    <x v="5"/>
    <s v="Admin/HR/IT"/>
    <s v="AMCARE NonOcc In"/>
    <s v="AMZN"/>
    <n v="112984442"/>
    <s v="Garcia,Mauricio Antonio De la lama"/>
    <s v="Gomez,Abinadab"/>
    <n v="0"/>
    <n v="0"/>
    <n v="0"/>
    <n v="0"/>
    <n v="0.36"/>
    <e v="#N/A"/>
    <x v="0"/>
  </r>
  <r>
    <d v="2023-02-09T00:00:00"/>
    <x v="5"/>
    <s v="Admin/HR/IT"/>
    <s v="AMCARE NonOcc In"/>
    <s v="AMZN"/>
    <n v="113003691"/>
    <s v="Angeles,Fernando"/>
    <s v="Ledezma,Fer"/>
    <n v="0"/>
    <n v="0"/>
    <n v="0"/>
    <n v="0"/>
    <n v="0.37"/>
    <e v="#N/A"/>
    <x v="0"/>
  </r>
  <r>
    <d v="2023-02-09T00:00:00"/>
    <x v="5"/>
    <s v="Admin/HR/IT"/>
    <s v="AMCARE NonOcc In"/>
    <s v="AMZN"/>
    <n v="113052151"/>
    <s v="Nieves Mendez,Laura"/>
    <s v="Ledezma,Fer"/>
    <n v="0"/>
    <n v="0"/>
    <n v="0"/>
    <n v="0"/>
    <n v="0.17"/>
    <e v="#N/A"/>
    <x v="56"/>
  </r>
  <r>
    <d v="2023-02-09T00:00:00"/>
    <x v="5"/>
    <s v="Admin/HR/IT"/>
    <s v="AMCARE NonOcc In"/>
    <s v="AMZN"/>
    <n v="200404250"/>
    <s v="Hurtado,Caty"/>
    <s v="Piedra,Valentina"/>
    <n v="0"/>
    <n v="0"/>
    <n v="0"/>
    <n v="0"/>
    <n v="1.0900000000000001"/>
    <e v="#N/A"/>
    <x v="6"/>
  </r>
  <r>
    <d v="2023-02-09T00:00:00"/>
    <x v="5"/>
    <s v="Admin/HR/IT"/>
    <s v="AMCARE NonOcc In"/>
    <s v="TEMP"/>
    <n v="200514078"/>
    <s v="Mora Hernandez,Alya"/>
    <s v="Robledo Ugarte,Alejandro"/>
    <n v="0"/>
    <n v="0"/>
    <n v="0"/>
    <n v="0"/>
    <n v="0.22"/>
    <e v="#N/A"/>
    <x v="0"/>
  </r>
  <r>
    <d v="2023-02-09T00:00:00"/>
    <x v="5"/>
    <s v="Admin/HR/IT"/>
    <s v="AMCARE NonOcc In"/>
    <s v="TEMP"/>
    <n v="200625517"/>
    <s v="RamÃ­rez,Miranda"/>
    <s v="Hernandez,Nataly"/>
    <n v="0"/>
    <n v="0"/>
    <n v="0"/>
    <n v="0"/>
    <n v="0.15"/>
    <e v="#N/A"/>
    <x v="0"/>
  </r>
  <r>
    <d v="2023-02-10T00:00:00"/>
    <x v="5"/>
    <s v="Admin/HR/IT"/>
    <s v="AMCARE NonOcc In"/>
    <s v="AMZN"/>
    <n v="111434478"/>
    <s v="Gutierrez,Pame"/>
    <s v="Camarena,Grecia"/>
    <n v="0"/>
    <n v="0"/>
    <n v="0"/>
    <n v="0"/>
    <n v="0.51"/>
    <s v="DA-X0700"/>
    <x v="23"/>
  </r>
  <r>
    <d v="2023-02-10T00:00:00"/>
    <x v="5"/>
    <s v="Admin/HR/IT"/>
    <s v="AMCARE NonOcc In"/>
    <s v="AMZN"/>
    <n v="112912046"/>
    <s v="Aguilar,Victor Manuel"/>
    <s v="Munoz,Jonan"/>
    <n v="0"/>
    <n v="0"/>
    <n v="0"/>
    <n v="0"/>
    <n v="0.16"/>
    <e v="#N/A"/>
    <x v="0"/>
  </r>
  <r>
    <d v="2023-02-10T00:00:00"/>
    <x v="5"/>
    <s v="Admin/HR/IT"/>
    <s v="AMCARE NonOcc In"/>
    <s v="AMZN"/>
    <n v="112912675"/>
    <s v="Alejandri Villagomez,Alejandra"/>
    <s v="Gomez,Abinadab"/>
    <n v="0"/>
    <n v="0"/>
    <n v="0"/>
    <n v="0"/>
    <n v="0.56999999999999995"/>
    <e v="#N/A"/>
    <x v="0"/>
  </r>
  <r>
    <d v="2023-02-10T00:00:00"/>
    <x v="5"/>
    <s v="Admin/HR/IT"/>
    <s v="AMCARE NonOcc In"/>
    <s v="AMZN"/>
    <n v="112912677"/>
    <s v="Gonzalez,Gustavo"/>
    <s v="Camarena,Grecia"/>
    <n v="0"/>
    <n v="0"/>
    <n v="0"/>
    <n v="0"/>
    <n v="1.1299999999999999"/>
    <e v="#N/A"/>
    <x v="0"/>
  </r>
  <r>
    <d v="2023-02-10T00:00:00"/>
    <x v="5"/>
    <s v="Admin/HR/IT"/>
    <s v="AMCARE NonOcc In"/>
    <s v="AMZN"/>
    <n v="112912985"/>
    <s v="Serna Aguilar,Roberto"/>
    <s v="Cortes,Alejandra"/>
    <n v="0"/>
    <n v="0"/>
    <n v="0"/>
    <n v="0"/>
    <n v="0.21"/>
    <e v="#N/A"/>
    <x v="0"/>
  </r>
  <r>
    <d v="2023-02-10T00:00:00"/>
    <x v="5"/>
    <s v="Admin/HR/IT"/>
    <s v="AMCARE NonOcc In"/>
    <s v="AMZN"/>
    <n v="112971953"/>
    <s v="Aguirre Palomino,Ana"/>
    <s v="Pizana,Diego"/>
    <n v="0"/>
    <n v="0"/>
    <n v="0"/>
    <n v="0"/>
    <n v="2.39"/>
    <s v="DB-X0700"/>
    <x v="7"/>
  </r>
  <r>
    <d v="2023-02-10T00:00:00"/>
    <x v="5"/>
    <s v="Admin/HR/IT"/>
    <s v="AMCARE NonOcc In"/>
    <s v="AMZN"/>
    <n v="112972801"/>
    <s v="Garcia,Rea"/>
    <s v="Camarena,Grecia"/>
    <n v="0"/>
    <n v="0"/>
    <n v="0"/>
    <n v="0"/>
    <n v="0.44"/>
    <e v="#N/A"/>
    <x v="0"/>
  </r>
  <r>
    <d v="2023-02-10T00:00:00"/>
    <x v="5"/>
    <s v="Admin/HR/IT"/>
    <s v="AMCARE NonOcc In"/>
    <s v="AMZN"/>
    <n v="112973049"/>
    <s v="Tavares Parra,Ely"/>
    <s v="Romero Sanchez,Gustavo Gabriel"/>
    <n v="0"/>
    <n v="0"/>
    <n v="0"/>
    <n v="0"/>
    <n v="7.0000000000000007E-2"/>
    <s v="DB-X0700"/>
    <x v="14"/>
  </r>
  <r>
    <d v="2023-02-10T00:00:00"/>
    <x v="5"/>
    <s v="Admin/HR/IT"/>
    <s v="AMCARE NonOcc In"/>
    <s v="AMZN"/>
    <n v="112984442"/>
    <s v="Garcia,Mauricio Antonio De la lama"/>
    <s v="Gomez,Abinadab"/>
    <n v="0"/>
    <n v="0"/>
    <n v="0"/>
    <n v="0"/>
    <n v="1.06"/>
    <e v="#N/A"/>
    <x v="0"/>
  </r>
  <r>
    <d v="2023-02-10T00:00:00"/>
    <x v="5"/>
    <s v="Admin/HR/IT"/>
    <s v="AMCARE NonOcc In"/>
    <s v="AMZN"/>
    <n v="113019042"/>
    <s v="Gallegos Godinez,Eloy"/>
    <s v="Hernandez,Nataly"/>
    <n v="0"/>
    <n v="0"/>
    <n v="0"/>
    <n v="0"/>
    <n v="0.75"/>
    <e v="#N/A"/>
    <x v="0"/>
  </r>
  <r>
    <d v="2023-02-10T00:00:00"/>
    <x v="5"/>
    <s v="Admin/HR/IT"/>
    <s v="AMCARE NonOcc In"/>
    <s v="AMZN"/>
    <n v="113019083"/>
    <s v="Contreras,Marco"/>
    <s v="Madrid Molina,Ramon"/>
    <n v="0"/>
    <n v="0"/>
    <n v="0"/>
    <n v="0"/>
    <n v="1.03"/>
    <e v="#N/A"/>
    <x v="0"/>
  </r>
  <r>
    <d v="2023-02-10T00:00:00"/>
    <x v="5"/>
    <s v="Admin/HR/IT"/>
    <s v="AMCARE NonOcc In"/>
    <s v="TEMP"/>
    <n v="200552734"/>
    <s v="Santiago Ramirez,Six"/>
    <s v="Romero Sanchez,Gustavo Gabriel"/>
    <n v="0"/>
    <n v="0"/>
    <n v="0"/>
    <n v="0"/>
    <n v="0.34"/>
    <e v="#N/A"/>
    <x v="0"/>
  </r>
  <r>
    <d v="2023-02-10T00:00:00"/>
    <x v="5"/>
    <s v="Admin/HR/IT"/>
    <s v="AMCARE NonOcc In"/>
    <s v="TEMP"/>
    <n v="200589316"/>
    <s v="Torres Zuniga,Daniel"/>
    <s v="Madrid Molina,Ramon"/>
    <n v="0"/>
    <n v="0"/>
    <n v="0"/>
    <n v="0"/>
    <n v="0.34"/>
    <e v="#N/A"/>
    <x v="0"/>
  </r>
  <r>
    <d v="2023-02-10T00:00:00"/>
    <x v="5"/>
    <s v="Admin/HR/IT"/>
    <s v="AMCARE NonOcc In"/>
    <s v="TEMP"/>
    <n v="200625517"/>
    <s v="RamÃ­rez,Miranda"/>
    <s v="Hernandez,Nataly"/>
    <n v="0"/>
    <n v="0"/>
    <n v="0"/>
    <n v="0"/>
    <n v="0.2"/>
    <e v="#N/A"/>
    <x v="0"/>
  </r>
  <r>
    <d v="2023-02-11T00:00:00"/>
    <x v="5"/>
    <s v="Admin/HR/IT"/>
    <s v="AMCARE NonOcc In"/>
    <s v="AMZN"/>
    <n v="111434478"/>
    <s v="Gutierrez,Pame"/>
    <s v="Camarena,Grecia"/>
    <n v="0"/>
    <n v="0"/>
    <n v="0"/>
    <n v="0"/>
    <n v="1.18"/>
    <s v="DA-X0700"/>
    <x v="23"/>
  </r>
  <r>
    <d v="2023-02-11T00:00:00"/>
    <x v="5"/>
    <s v="Admin/HR/IT"/>
    <s v="AMCARE NonOcc In"/>
    <s v="AMZN"/>
    <n v="112932733"/>
    <s v="Quiroga,Silvia"/>
    <s v="Romero Sanchez,Gustavo Gabriel"/>
    <n v="0"/>
    <n v="0"/>
    <n v="0"/>
    <n v="0"/>
    <n v="0.77"/>
    <e v="#N/A"/>
    <x v="0"/>
  </r>
  <r>
    <d v="2023-02-11T00:00:00"/>
    <x v="5"/>
    <s v="Admin/HR/IT"/>
    <s v="AMCARE NonOcc In"/>
    <s v="AMZN"/>
    <n v="112971988"/>
    <s v="Trejo Tarango,Stephannie Del Rocio"/>
    <s v="Cortes,Alejandra"/>
    <n v="0"/>
    <n v="0"/>
    <n v="0"/>
    <n v="0"/>
    <n v="0.66"/>
    <s v="DB-X0700"/>
    <x v="80"/>
  </r>
  <r>
    <d v="2023-02-11T00:00:00"/>
    <x v="5"/>
    <s v="Admin/HR/IT"/>
    <s v="AMCARE NonOcc In"/>
    <s v="AMZN"/>
    <n v="112981212"/>
    <s v="Zanella Miranda,Alyson"/>
    <s v="Ledezma,Fer"/>
    <n v="0"/>
    <n v="0"/>
    <n v="0"/>
    <n v="0"/>
    <n v="0.13"/>
    <e v="#N/A"/>
    <x v="77"/>
  </r>
  <r>
    <d v="2023-02-11T00:00:00"/>
    <x v="5"/>
    <s v="Admin/HR/IT"/>
    <s v="AMCARE NonOcc In"/>
    <s v="AMZN"/>
    <n v="113014042"/>
    <s v="Cervantes,Rose"/>
    <s v="Romero Sanchez,Gustavo Gabriel"/>
    <n v="0"/>
    <n v="0"/>
    <n v="0"/>
    <n v="0"/>
    <n v="0.53"/>
    <e v="#N/A"/>
    <x v="20"/>
  </r>
  <r>
    <d v="2023-02-11T00:00:00"/>
    <x v="5"/>
    <s v="Admin/HR/IT"/>
    <s v="AMCARE NonOcc In"/>
    <s v="AMZN"/>
    <n v="113040583"/>
    <s v="Palomo,Lizbeth"/>
    <s v="Romero Sanchez,Gustavo Gabriel"/>
    <n v="0"/>
    <n v="0"/>
    <n v="0"/>
    <n v="0"/>
    <n v="0.51"/>
    <e v="#N/A"/>
    <x v="0"/>
  </r>
  <r>
    <d v="2023-02-11T00:00:00"/>
    <x v="5"/>
    <s v="Admin/HR/IT"/>
    <s v="AMCARE NonOcc In"/>
    <s v="AMZN"/>
    <n v="113052151"/>
    <s v="Nieves Mendez,Laura"/>
    <s v="Ledezma,Fer"/>
    <n v="0"/>
    <n v="0"/>
    <n v="0"/>
    <n v="0"/>
    <n v="0.19"/>
    <e v="#N/A"/>
    <x v="56"/>
  </r>
  <r>
    <d v="2023-02-11T00:00:00"/>
    <x v="5"/>
    <s v="Admin/HR/IT"/>
    <s v="AMCARE NonOcc In"/>
    <s v="TEMP"/>
    <n v="200534675"/>
    <s v="Munoz Macias,Juan Pablo"/>
    <s v="Ledezma,Fer"/>
    <n v="0"/>
    <n v="0"/>
    <n v="0"/>
    <n v="0"/>
    <n v="0.03"/>
    <e v="#N/A"/>
    <x v="69"/>
  </r>
  <r>
    <d v="2023-02-11T00:00:00"/>
    <x v="5"/>
    <s v="Admin/HR/IT"/>
    <s v="AMCARE NonOcc In"/>
    <s v="TEMP"/>
    <n v="200564845"/>
    <s v="Barron,Abraham"/>
    <s v="Piedra,Valentina"/>
    <n v="0"/>
    <n v="0"/>
    <n v="0"/>
    <n v="0"/>
    <n v="0.2"/>
    <e v="#N/A"/>
    <x v="0"/>
  </r>
  <r>
    <d v="2023-02-11T00:00:00"/>
    <x v="5"/>
    <s v="Admin/HR/IT"/>
    <s v="AMCARE NonOcc In"/>
    <s v="TEMP"/>
    <n v="200589316"/>
    <s v="Torres Zuniga,Daniel"/>
    <s v="Madrid Molina,Ramon"/>
    <n v="0"/>
    <n v="0"/>
    <n v="0"/>
    <n v="0"/>
    <n v="0.14000000000000001"/>
    <e v="#N/A"/>
    <x v="0"/>
  </r>
  <r>
    <d v="2023-02-12T00:00:00"/>
    <x v="6"/>
    <s v="Admin/HR/IT"/>
    <s v="AMCARE NonOcc In"/>
    <s v="AMZN"/>
    <n v="112912209"/>
    <s v="Morales,Sarahi"/>
    <s v="Munoz,Jonan"/>
    <n v="0"/>
    <n v="0"/>
    <n v="0"/>
    <n v="0"/>
    <n v="0.23"/>
    <s v="NF-X1900"/>
    <x v="90"/>
  </r>
  <r>
    <d v="2023-02-12T00:00:00"/>
    <x v="6"/>
    <s v="Admin/HR/IT"/>
    <s v="AMCARE NonOcc In"/>
    <s v="AMZN"/>
    <n v="112912752"/>
    <s v="Valderrama Gomez,Leslie"/>
    <s v="Robledo Ugarte,Alejandro"/>
    <n v="0"/>
    <n v="0"/>
    <n v="0"/>
    <n v="0"/>
    <n v="0.78"/>
    <s v="NF-X1900"/>
    <x v="5"/>
  </r>
  <r>
    <d v="2023-02-12T00:00:00"/>
    <x v="6"/>
    <s v="Admin/HR/IT"/>
    <s v="AMCARE NonOcc In"/>
    <s v="AMZN"/>
    <n v="112950792"/>
    <s v="Morales Gonzalez,Genesis"/>
    <s v="Robledo Ugarte,Alejandro"/>
    <n v="0"/>
    <n v="0"/>
    <n v="0"/>
    <n v="0"/>
    <n v="0.79"/>
    <s v="NF-X1900"/>
    <x v="84"/>
  </r>
  <r>
    <d v="2023-02-12T00:00:00"/>
    <x v="6"/>
    <s v="Admin/HR/IT"/>
    <s v="AMCARE NonOcc In"/>
    <s v="AMZN"/>
    <n v="113014071"/>
    <s v="Perez Rodriguez,Gonzalo"/>
    <s v="Gomez Aguado,Jorge"/>
    <n v="0"/>
    <n v="0"/>
    <n v="0"/>
    <n v="0"/>
    <n v="0.25"/>
    <e v="#N/A"/>
    <x v="91"/>
  </r>
  <r>
    <d v="2023-02-12T00:00:00"/>
    <x v="6"/>
    <s v="Admin/HR/IT"/>
    <s v="AMCARE NonOcc In"/>
    <s v="AMZN"/>
    <n v="113019055"/>
    <s v="Lopez Gutierrez,Jorge"/>
    <s v="Hernandez,Nataly"/>
    <n v="0"/>
    <n v="0"/>
    <n v="0"/>
    <n v="0"/>
    <n v="0.12"/>
    <e v="#N/A"/>
    <x v="66"/>
  </r>
  <r>
    <d v="2023-02-12T00:00:00"/>
    <x v="6"/>
    <s v="Admin/HR/IT"/>
    <s v="AMCARE NonOcc In"/>
    <s v="TEMP"/>
    <n v="200514421"/>
    <s v="Padilla Abrego,Angeles"/>
    <s v="Piedra,Valentina"/>
    <n v="0"/>
    <n v="0"/>
    <n v="0"/>
    <n v="0"/>
    <n v="1"/>
    <e v="#N/A"/>
    <x v="18"/>
  </r>
  <r>
    <d v="2023-02-12T00:00:00"/>
    <x v="6"/>
    <s v="Admin/HR/IT"/>
    <s v="AMCARE NonOcc In"/>
    <s v="TEMP"/>
    <n v="200534518"/>
    <s v="Flores,Alejandro"/>
    <s v="Robledo Ugarte,Alejandro"/>
    <n v="0"/>
    <n v="0"/>
    <n v="0"/>
    <n v="0"/>
    <n v="0.34"/>
    <e v="#N/A"/>
    <x v="0"/>
  </r>
  <r>
    <d v="2023-02-12T00:00:00"/>
    <x v="6"/>
    <s v="Admin/HR/IT"/>
    <s v="AMCARE NonOcc In"/>
    <s v="TEMP"/>
    <n v="200564845"/>
    <s v="Barron,Abraham"/>
    <s v="Piedra,Valentina"/>
    <n v="0"/>
    <n v="0"/>
    <n v="0"/>
    <n v="0"/>
    <n v="0.36"/>
    <e v="#N/A"/>
    <x v="0"/>
  </r>
  <r>
    <d v="2023-02-12T00:00:00"/>
    <x v="6"/>
    <s v="Admin/HR/IT"/>
    <s v="AMCARE NonOcc In"/>
    <s v="TEMP"/>
    <n v="200589316"/>
    <s v="Torres Zuniga,Daniel"/>
    <s v="Madrid Molina,Ramon"/>
    <n v="0"/>
    <n v="0"/>
    <n v="0"/>
    <n v="0"/>
    <n v="0.4"/>
    <e v="#N/A"/>
    <x v="0"/>
  </r>
  <r>
    <d v="2023-02-12T00:00:00"/>
    <x v="6"/>
    <s v="Admin/HR/IT"/>
    <s v="AMCARE NonOcc In"/>
    <s v="TEMP"/>
    <n v="200625528"/>
    <s v="Oliva,Lizbeth"/>
    <s v="Gomez Aguado,Jorge"/>
    <n v="0"/>
    <n v="0"/>
    <n v="0"/>
    <n v="0"/>
    <n v="0.16"/>
    <e v="#N/A"/>
    <x v="83"/>
  </r>
  <r>
    <d v="2023-02-13T00:00:00"/>
    <x v="6"/>
    <s v="Admin/HR/IT"/>
    <s v="AMCARE NonOcc In"/>
    <s v="TEMP"/>
    <n v="109227086"/>
    <s v="Tavares,Alejandra"/>
    <s v="Hernandez,Nataly"/>
    <n v="0"/>
    <n v="0"/>
    <n v="0"/>
    <n v="0"/>
    <n v="0.45"/>
    <e v="#N/A"/>
    <x v="0"/>
  </r>
  <r>
    <d v="2023-02-13T00:00:00"/>
    <x v="6"/>
    <s v="Admin/HR/IT"/>
    <s v="AMCARE NonOcc In"/>
    <s v="AMZN"/>
    <n v="112912663"/>
    <s v="Segura,Lucero"/>
    <s v="Munoz,Jonan"/>
    <n v="0"/>
    <n v="0"/>
    <n v="0"/>
    <n v="0"/>
    <n v="1.27"/>
    <e v="#N/A"/>
    <x v="0"/>
  </r>
  <r>
    <d v="2023-02-13T00:00:00"/>
    <x v="6"/>
    <s v="Admin/HR/IT"/>
    <s v="AMCARE NonOcc In"/>
    <s v="AMZN"/>
    <n v="112950817"/>
    <s v="Mancilla Reynoso,Roberto"/>
    <s v="Munoz,Jonan"/>
    <n v="0"/>
    <n v="0"/>
    <n v="0"/>
    <n v="0"/>
    <n v="0.75"/>
    <e v="#N/A"/>
    <x v="0"/>
  </r>
  <r>
    <d v="2023-02-13T00:00:00"/>
    <x v="6"/>
    <s v="Admin/HR/IT"/>
    <s v="AMCARE NonOcc In"/>
    <s v="AMZN"/>
    <n v="112976014"/>
    <s v="Rivas,Carlos"/>
    <s v="Munoz,Jonan"/>
    <n v="0"/>
    <n v="0"/>
    <n v="0"/>
    <n v="0"/>
    <n v="1.21"/>
    <s v="DA-X0700"/>
    <x v="92"/>
  </r>
  <r>
    <d v="2023-02-13T00:00:00"/>
    <x v="6"/>
    <s v="Admin/HR/IT"/>
    <s v="AMCARE NonOcc In"/>
    <s v="AMZN"/>
    <n v="112980899"/>
    <s v="Avila Cabrera,Ari"/>
    <s v="Robledo Ugarte,Alejandro"/>
    <n v="0"/>
    <n v="0"/>
    <n v="0"/>
    <n v="0"/>
    <n v="0.28999999999999998"/>
    <s v="NF-X1900"/>
    <x v="34"/>
  </r>
  <r>
    <d v="2023-02-13T00:00:00"/>
    <x v="6"/>
    <s v="Admin/HR/IT"/>
    <s v="AMCARE NonOcc In"/>
    <s v="AMZN"/>
    <n v="112981061"/>
    <s v="Olguin,Claudia"/>
    <s v="Corona Arriaga,Fernando"/>
    <n v="0"/>
    <n v="0"/>
    <n v="0"/>
    <n v="0"/>
    <n v="0.17"/>
    <s v="DA-X0700"/>
    <x v="11"/>
  </r>
  <r>
    <d v="2023-02-13T00:00:00"/>
    <x v="6"/>
    <s v="Admin/HR/IT"/>
    <s v="AMCARE NonOcc In"/>
    <s v="AMZN"/>
    <n v="112991321"/>
    <s v="Torres,Axel"/>
    <s v="Gomez,Abinadab"/>
    <n v="0"/>
    <n v="0"/>
    <n v="0"/>
    <n v="0"/>
    <n v="1.21"/>
    <e v="#N/A"/>
    <x v="0"/>
  </r>
  <r>
    <d v="2023-02-13T00:00:00"/>
    <x v="6"/>
    <s v="Admin/HR/IT"/>
    <s v="AMCARE NonOcc In"/>
    <s v="AMZN"/>
    <n v="113014092"/>
    <s v="Sanchez,Cristina"/>
    <s v="Romero Sanchez,Gustavo Gabriel"/>
    <n v="0"/>
    <n v="0"/>
    <n v="0"/>
    <n v="0"/>
    <n v="0.37"/>
    <e v="#N/A"/>
    <x v="73"/>
  </r>
  <r>
    <d v="2023-02-13T00:00:00"/>
    <x v="6"/>
    <s v="Admin/HR/IT"/>
    <s v="AMCARE NonOcc In"/>
    <s v="AMZN"/>
    <n v="113014113"/>
    <s v="Sanchez Villegas,Benjamin"/>
    <s v="Corona Arriaga,Fernando"/>
    <n v="0"/>
    <n v="0"/>
    <n v="0"/>
    <n v="0"/>
    <n v="0.62"/>
    <e v="#N/A"/>
    <x v="0"/>
  </r>
  <r>
    <d v="2023-02-13T00:00:00"/>
    <x v="6"/>
    <s v="Admin/HR/IT"/>
    <s v="AMCARE NonOcc In"/>
    <s v="AMZN"/>
    <n v="113014401"/>
    <s v="Meza,Landin"/>
    <s v="Ledezma,Fer"/>
    <n v="0"/>
    <n v="0"/>
    <n v="0"/>
    <n v="0"/>
    <n v="0"/>
    <e v="#N/A"/>
    <x v="0"/>
  </r>
  <r>
    <d v="2023-02-13T00:00:00"/>
    <x v="6"/>
    <s v="Admin/HR/IT"/>
    <s v="AMCARE NonOcc In"/>
    <s v="AMZN"/>
    <n v="113019039"/>
    <s v="Hernandez Oropeza,Gabriel"/>
    <s v="Gomez Aguado,Jorge"/>
    <n v="0"/>
    <n v="0"/>
    <n v="0"/>
    <n v="0"/>
    <n v="0.7"/>
    <e v="#N/A"/>
    <x v="0"/>
  </r>
  <r>
    <d v="2023-02-13T00:00:00"/>
    <x v="6"/>
    <s v="Admin/HR/IT"/>
    <s v="AMCARE NonOcc In"/>
    <s v="AMZN"/>
    <n v="200404250"/>
    <s v="Hurtado,Caty"/>
    <s v="Piedra,Valentina"/>
    <n v="0"/>
    <n v="0"/>
    <n v="0"/>
    <n v="0"/>
    <n v="0.88"/>
    <e v="#N/A"/>
    <x v="6"/>
  </r>
  <r>
    <d v="2023-02-13T00:00:00"/>
    <x v="6"/>
    <s v="Admin/HR/IT"/>
    <s v="AMCARE NonOcc In"/>
    <s v="TEMP"/>
    <n v="200570729"/>
    <s v="Rodriguez,Carolina"/>
    <s v="Gomez Aguado,Jorge"/>
    <n v="0"/>
    <n v="0"/>
    <n v="0"/>
    <n v="0"/>
    <n v="0.23"/>
    <e v="#N/A"/>
    <x v="93"/>
  </r>
  <r>
    <d v="2023-02-13T00:00:00"/>
    <x v="6"/>
    <s v="Admin/HR/IT"/>
    <s v="AMCARE NonOcc In"/>
    <s v="TEMP"/>
    <n v="200625027"/>
    <s v="Rodriguez Gonzalez,Neidy"/>
    <s v="Hernandez,Nataly"/>
    <n v="0"/>
    <n v="0"/>
    <n v="0"/>
    <n v="0"/>
    <n v="0.32"/>
    <e v="#N/A"/>
    <x v="0"/>
  </r>
  <r>
    <d v="2023-02-14T00:00:00"/>
    <x v="6"/>
    <s v="Admin/HR/IT"/>
    <s v="AMCARE NonOcc In"/>
    <s v="TEMP"/>
    <n v="109227086"/>
    <s v="Tavares,Alejandra"/>
    <s v="Hernandez,Nataly"/>
    <n v="0"/>
    <n v="0"/>
    <n v="0"/>
    <n v="0"/>
    <n v="0.2"/>
    <e v="#N/A"/>
    <x v="0"/>
  </r>
  <r>
    <d v="2023-02-14T00:00:00"/>
    <x v="6"/>
    <s v="Admin/HR/IT"/>
    <s v="AMCARE NonOcc In"/>
    <s v="AMZN"/>
    <n v="112912008"/>
    <s v="Espinosa,Consuelo"/>
    <s v="Rosas Negrete,Sebastian"/>
    <n v="0"/>
    <n v="0"/>
    <n v="0"/>
    <n v="0"/>
    <n v="4.71"/>
    <e v="#N/A"/>
    <x v="0"/>
  </r>
  <r>
    <d v="2023-02-14T00:00:00"/>
    <x v="6"/>
    <s v="Admin/HR/IT"/>
    <s v="AMCARE NonOcc In"/>
    <s v="AMZN"/>
    <n v="112912049"/>
    <s v="Vazquez Rodriguez,Christian"/>
    <s v="Pizana,Diego"/>
    <n v="0"/>
    <n v="0"/>
    <n v="0"/>
    <n v="0"/>
    <n v="0.56000000000000005"/>
    <s v="NF-X1900"/>
    <x v="60"/>
  </r>
  <r>
    <d v="2023-02-14T00:00:00"/>
    <x v="6"/>
    <s v="Admin/HR/IT"/>
    <s v="AMCARE NonOcc In"/>
    <s v="AMZN"/>
    <n v="112912074"/>
    <s v="Hernandez Gutierrez,Lizeth"/>
    <s v="Pizana,Diego"/>
    <n v="0"/>
    <n v="0"/>
    <n v="0"/>
    <n v="0"/>
    <n v="1.18"/>
    <e v="#N/A"/>
    <x v="0"/>
  </r>
  <r>
    <d v="2023-02-14T00:00:00"/>
    <x v="6"/>
    <s v="Admin/HR/IT"/>
    <s v="AMCARE NonOcc In"/>
    <s v="AMZN"/>
    <n v="112912752"/>
    <s v="Valderrama Gomez,Leslie"/>
    <s v="Robledo Ugarte,Alejandro"/>
    <n v="0"/>
    <n v="0"/>
    <n v="0"/>
    <n v="0"/>
    <n v="0.42"/>
    <s v="NF-X1900"/>
    <x v="5"/>
  </r>
  <r>
    <d v="2023-02-14T00:00:00"/>
    <x v="6"/>
    <s v="Admin/HR/IT"/>
    <s v="AMCARE NonOcc In"/>
    <s v="AMZN"/>
    <n v="112950784"/>
    <s v="Rojas,Samuel"/>
    <s v="Piedra,Valentina"/>
    <n v="0"/>
    <n v="0"/>
    <n v="0"/>
    <n v="0"/>
    <n v="0.09"/>
    <s v="NF-X1900"/>
    <x v="13"/>
  </r>
  <r>
    <d v="2023-02-14T00:00:00"/>
    <x v="6"/>
    <s v="Admin/HR/IT"/>
    <s v="AMCARE NonOcc In"/>
    <s v="AMZN"/>
    <n v="112981009"/>
    <s v="Ceja Sanchez,Jonathan"/>
    <s v="Robledo Ugarte,Alejandro"/>
    <n v="0"/>
    <n v="0"/>
    <n v="0"/>
    <n v="0"/>
    <n v="0.2"/>
    <e v="#N/A"/>
    <x v="0"/>
  </r>
  <r>
    <d v="2023-02-14T00:00:00"/>
    <x v="6"/>
    <s v="Admin/HR/IT"/>
    <s v="AMCARE NonOcc In"/>
    <s v="AMZN"/>
    <n v="112984097"/>
    <s v="Aguilera,Yaremi"/>
    <s v="Corona Arriaga,Fernando"/>
    <n v="0"/>
    <n v="0"/>
    <n v="0"/>
    <n v="0"/>
    <n v="7.0000000000000007E-2"/>
    <e v="#N/A"/>
    <x v="0"/>
  </r>
  <r>
    <d v="2023-02-14T00:00:00"/>
    <x v="6"/>
    <s v="Admin/HR/IT"/>
    <s v="AMCARE NonOcc In"/>
    <s v="AMZN"/>
    <n v="113014081"/>
    <s v="Frausto,Genesis"/>
    <s v="Piedra,Valentina"/>
    <n v="0"/>
    <n v="0"/>
    <n v="0"/>
    <n v="0"/>
    <n v="0.21"/>
    <e v="#N/A"/>
    <x v="9"/>
  </r>
  <r>
    <d v="2023-02-14T00:00:00"/>
    <x v="6"/>
    <s v="Admin/HR/IT"/>
    <s v="AMCARE NonOcc In"/>
    <s v="AMZN"/>
    <n v="113020463"/>
    <s v="Valtierra,Alejandra"/>
    <s v="Hernandez,Nataly"/>
    <n v="0"/>
    <n v="0"/>
    <n v="0"/>
    <n v="0"/>
    <n v="0.28999999999999998"/>
    <e v="#N/A"/>
    <x v="17"/>
  </r>
  <r>
    <d v="2023-02-14T00:00:00"/>
    <x v="6"/>
    <s v="Admin/HR/IT"/>
    <s v="AMCARE NonOcc In"/>
    <s v="AMZN"/>
    <n v="200404250"/>
    <s v="Hurtado,Caty"/>
    <s v="Piedra,Valentina"/>
    <n v="0"/>
    <n v="0"/>
    <n v="0"/>
    <n v="0"/>
    <n v="1.35"/>
    <e v="#N/A"/>
    <x v="6"/>
  </r>
  <r>
    <d v="2023-02-14T00:00:00"/>
    <x v="6"/>
    <s v="Admin/HR/IT"/>
    <s v="AMCARE NonOcc In"/>
    <s v="TEMP"/>
    <n v="200509428"/>
    <s v="Guevara Ramirez,Zayra Lorena"/>
    <s v="Corona Arriaga,Fernando"/>
    <n v="0"/>
    <n v="0"/>
    <n v="0"/>
    <n v="0"/>
    <n v="0.17"/>
    <e v="#N/A"/>
    <x v="0"/>
  </r>
  <r>
    <d v="2023-02-14T00:00:00"/>
    <x v="6"/>
    <s v="Admin/HR/IT"/>
    <s v="AMCARE NonOcc In"/>
    <s v="TEMP"/>
    <n v="200514078"/>
    <s v="Mora Hernandez,Alya"/>
    <s v="Robledo Ugarte,Alejandro"/>
    <n v="0"/>
    <n v="0"/>
    <n v="0"/>
    <n v="0"/>
    <n v="1.23"/>
    <e v="#N/A"/>
    <x v="0"/>
  </r>
  <r>
    <d v="2023-02-14T00:00:00"/>
    <x v="6"/>
    <s v="Admin/HR/IT"/>
    <s v="AMCARE NonOcc In"/>
    <s v="TEMP"/>
    <n v="200594875"/>
    <s v="Maldonado,Jose"/>
    <s v="Gomez Aguado,Jorge"/>
    <n v="0"/>
    <n v="0"/>
    <n v="0"/>
    <n v="0"/>
    <n v="0.27"/>
    <e v="#N/A"/>
    <x v="67"/>
  </r>
  <r>
    <d v="2023-02-14T00:00:00"/>
    <x v="6"/>
    <s v="Admin/HR/IT"/>
    <s v="AMCARE NonOcc In"/>
    <s v="TEMP"/>
    <n v="200625027"/>
    <s v="Rodriguez Gonzalez,Neidy"/>
    <s v="Hernandez,Nataly"/>
    <n v="0"/>
    <n v="0"/>
    <n v="0"/>
    <n v="0"/>
    <n v="0.16"/>
    <e v="#N/A"/>
    <x v="0"/>
  </r>
  <r>
    <d v="2023-02-14T00:00:00"/>
    <x v="6"/>
    <s v="Admin/HR/IT"/>
    <s v="AMCARE NonOcc In"/>
    <s v="TEMP"/>
    <n v="200625528"/>
    <s v="Oliva,Lizbeth"/>
    <s v="Gomez Aguado,Jorge"/>
    <n v="0"/>
    <n v="0"/>
    <n v="0"/>
    <n v="0"/>
    <n v="0.13"/>
    <e v="#N/A"/>
    <x v="83"/>
  </r>
  <r>
    <d v="2023-02-15T00:00:00"/>
    <x v="6"/>
    <s v="Admin/HR/IT"/>
    <s v="AMCARE NonOcc In"/>
    <s v="AMZN"/>
    <n v="112912675"/>
    <s v="Alejandri Villagomez,Alejandra"/>
    <s v="Gomez,Abinadab"/>
    <n v="0"/>
    <n v="0"/>
    <n v="0"/>
    <n v="0"/>
    <n v="0.96"/>
    <e v="#N/A"/>
    <x v="0"/>
  </r>
  <r>
    <d v="2023-02-15T00:00:00"/>
    <x v="6"/>
    <s v="Admin/HR/IT"/>
    <s v="AMCARE NonOcc In"/>
    <s v="AMZN"/>
    <n v="113003631"/>
    <s v="Ortega,Elizabeth"/>
    <s v="Gomez Aguado,Jorge"/>
    <n v="0"/>
    <n v="0"/>
    <n v="0"/>
    <n v="0"/>
    <n v="0.15"/>
    <e v="#N/A"/>
    <x v="0"/>
  </r>
  <r>
    <d v="2023-02-15T00:00:00"/>
    <x v="6"/>
    <s v="Admin/HR/IT"/>
    <s v="AMCARE NonOcc In"/>
    <s v="AMZN"/>
    <n v="113014560"/>
    <s v="Lopez Moreno,Americo"/>
    <s v="Ledezma,Fer"/>
    <n v="0"/>
    <n v="0"/>
    <n v="0"/>
    <n v="0"/>
    <n v="0.27"/>
    <e v="#N/A"/>
    <x v="81"/>
  </r>
  <r>
    <d v="2023-02-15T00:00:00"/>
    <x v="6"/>
    <s v="Admin/HR/IT"/>
    <s v="AMCARE NonOcc In"/>
    <s v="AMZN"/>
    <n v="113019083"/>
    <s v="Contreras,Marco"/>
    <s v="Madrid Molina,Ramon"/>
    <n v="0"/>
    <n v="0"/>
    <n v="0"/>
    <n v="0"/>
    <n v="0.18"/>
    <e v="#N/A"/>
    <x v="0"/>
  </r>
  <r>
    <d v="2023-02-15T00:00:00"/>
    <x v="6"/>
    <s v="Admin/HR/IT"/>
    <s v="AMCARE NonOcc In"/>
    <s v="TEMP"/>
    <n v="200615883"/>
    <s v="Ibarra Amaro,Adriana"/>
    <s v="Madrid Molina,Ramon"/>
    <n v="0"/>
    <n v="0"/>
    <n v="0"/>
    <n v="0"/>
    <n v="0.19"/>
    <e v="#N/A"/>
    <x v="0"/>
  </r>
  <r>
    <d v="2023-02-16T00:00:00"/>
    <x v="6"/>
    <s v="Admin/HR/IT"/>
    <s v="AMCARE NonOcc In"/>
    <s v="AMZN"/>
    <n v="112912983"/>
    <s v="RodrÃ­guez,RocÃ­o"/>
    <s v="Camarena,Grecia"/>
    <n v="0"/>
    <n v="0"/>
    <n v="0"/>
    <n v="0"/>
    <n v="0.19"/>
    <s v="NF-X1900"/>
    <x v="75"/>
  </r>
  <r>
    <d v="2023-02-16T00:00:00"/>
    <x v="6"/>
    <s v="Admin/HR/IT"/>
    <s v="AMCARE NonOcc In"/>
    <s v="AMZN"/>
    <n v="112946339"/>
    <s v="Andrade,Emmanuel"/>
    <s v="Corona Arriaga,Fernando"/>
    <n v="0"/>
    <n v="0"/>
    <n v="0"/>
    <n v="0"/>
    <n v="0.1"/>
    <e v="#N/A"/>
    <x v="0"/>
  </r>
  <r>
    <d v="2023-02-16T00:00:00"/>
    <x v="6"/>
    <s v="Admin/HR/IT"/>
    <s v="AMCARE NonOcc In"/>
    <s v="AMZN"/>
    <n v="112971955"/>
    <s v="Perez Rodriguez,Luis"/>
    <s v="Cortes,Alejandra"/>
    <n v="0"/>
    <n v="0"/>
    <n v="0"/>
    <n v="0"/>
    <n v="0.49"/>
    <e v="#N/A"/>
    <x v="0"/>
  </r>
  <r>
    <d v="2023-02-16T00:00:00"/>
    <x v="6"/>
    <s v="Admin/HR/IT"/>
    <s v="AMCARE NonOcc In"/>
    <s v="AMZN"/>
    <n v="112971961"/>
    <s v="Lopez,Jason"/>
    <s v="Camarena,Grecia"/>
    <n v="0"/>
    <n v="0"/>
    <n v="0"/>
    <n v="0"/>
    <n v="0.14000000000000001"/>
    <e v="#N/A"/>
    <x v="0"/>
  </r>
  <r>
    <d v="2023-02-16T00:00:00"/>
    <x v="6"/>
    <s v="Admin/HR/IT"/>
    <s v="AMCARE NonOcc In"/>
    <s v="AMZN"/>
    <n v="112980812"/>
    <s v="Jacobo,Mary"/>
    <s v="Ledezma,Fer"/>
    <n v="0"/>
    <n v="0"/>
    <n v="0"/>
    <n v="0"/>
    <n v="0.62"/>
    <s v="DA-X0700"/>
    <x v="24"/>
  </r>
  <r>
    <d v="2023-02-16T00:00:00"/>
    <x v="6"/>
    <s v="Admin/HR/IT"/>
    <s v="AMCARE NonOcc In"/>
    <s v="AMZN"/>
    <n v="113014081"/>
    <s v="Frausto,Genesis"/>
    <s v="Piedra,Valentina"/>
    <n v="0"/>
    <n v="0"/>
    <n v="0"/>
    <n v="0"/>
    <n v="2.04"/>
    <e v="#N/A"/>
    <x v="9"/>
  </r>
  <r>
    <d v="2023-02-16T00:00:00"/>
    <x v="6"/>
    <s v="Admin/HR/IT"/>
    <s v="AMCARE NonOcc In"/>
    <s v="AMZN"/>
    <n v="113014560"/>
    <s v="Lopez Moreno,Americo"/>
    <s v="Ledezma,Fer"/>
    <n v="0"/>
    <n v="0"/>
    <n v="0"/>
    <n v="0"/>
    <n v="0.25"/>
    <e v="#N/A"/>
    <x v="81"/>
  </r>
  <r>
    <d v="2023-02-16T00:00:00"/>
    <x v="6"/>
    <s v="Admin/HR/IT"/>
    <s v="AMCARE NonOcc In"/>
    <s v="AMZN"/>
    <n v="113019083"/>
    <s v="Contreras,Marco"/>
    <s v="Madrid Molina,Ramon"/>
    <n v="0"/>
    <n v="0"/>
    <n v="0"/>
    <n v="0"/>
    <n v="0.51"/>
    <e v="#N/A"/>
    <x v="0"/>
  </r>
  <r>
    <d v="2023-02-16T00:00:00"/>
    <x v="6"/>
    <s v="Admin/HR/IT"/>
    <s v="AMCARE NonOcc In"/>
    <s v="AMZN"/>
    <n v="113044763"/>
    <s v="Urbina Avila,Stephany"/>
    <s v="Hernandez,Nataly"/>
    <n v="0"/>
    <n v="0"/>
    <n v="0"/>
    <n v="0"/>
    <n v="0.14000000000000001"/>
    <e v="#N/A"/>
    <x v="74"/>
  </r>
  <r>
    <d v="2023-02-16T00:00:00"/>
    <x v="6"/>
    <s v="Admin/HR/IT"/>
    <s v="AMCARE NonOcc In"/>
    <s v="AMZN"/>
    <n v="113052151"/>
    <s v="Nieves Mendez,Laura"/>
    <s v="Ledezma,Fer"/>
    <n v="0"/>
    <n v="0"/>
    <n v="0"/>
    <n v="0"/>
    <n v="0.6"/>
    <e v="#N/A"/>
    <x v="56"/>
  </r>
  <r>
    <d v="2023-02-16T00:00:00"/>
    <x v="6"/>
    <s v="Admin/HR/IT"/>
    <s v="AMCARE NonOcc In"/>
    <s v="AMZN"/>
    <n v="200404250"/>
    <s v="Hurtado,Caty"/>
    <s v="Piedra,Valentina"/>
    <n v="0"/>
    <n v="0"/>
    <n v="0"/>
    <n v="0"/>
    <n v="0.38"/>
    <e v="#N/A"/>
    <x v="6"/>
  </r>
  <r>
    <d v="2023-02-16T00:00:00"/>
    <x v="6"/>
    <s v="Admin/HR/IT"/>
    <s v="AMCARE NonOcc In"/>
    <s v="TEMP"/>
    <n v="200508371"/>
    <s v="Perez,Georgina"/>
    <s v="Romero Sanchez,Gustavo Gabriel"/>
    <n v="0"/>
    <n v="0"/>
    <n v="0"/>
    <n v="0"/>
    <n v="0.54"/>
    <e v="#N/A"/>
    <x v="0"/>
  </r>
  <r>
    <d v="2023-02-16T00:00:00"/>
    <x v="6"/>
    <s v="Admin/HR/IT"/>
    <s v="AMCARE NonOcc In"/>
    <s v="TEMP"/>
    <n v="200514421"/>
    <s v="Padilla Abrego,Angeles"/>
    <s v="Piedra,Valentina"/>
    <n v="0"/>
    <n v="0"/>
    <n v="0"/>
    <n v="0"/>
    <n v="0.24"/>
    <e v="#N/A"/>
    <x v="18"/>
  </r>
  <r>
    <d v="2023-02-16T00:00:00"/>
    <x v="6"/>
    <s v="Admin/HR/IT"/>
    <s v="AMCARE NonOcc In"/>
    <s v="TEMP"/>
    <n v="200564895"/>
    <s v="Mendoza Corona,Brianda"/>
    <s v="Corona Arriaga,Fernando"/>
    <n v="0"/>
    <n v="0"/>
    <n v="0"/>
    <n v="0"/>
    <n v="0.16"/>
    <e v="#N/A"/>
    <x v="64"/>
  </r>
  <r>
    <d v="2023-02-17T00:00:00"/>
    <x v="6"/>
    <s v="Admin/HR/IT"/>
    <s v="AMCARE NonOcc In"/>
    <s v="TEMP"/>
    <n v="109227086"/>
    <s v="Tavares,Alejandra"/>
    <s v="Hernandez,Nataly"/>
    <n v="0"/>
    <n v="0"/>
    <n v="0"/>
    <n v="0"/>
    <n v="1.65"/>
    <e v="#N/A"/>
    <x v="0"/>
  </r>
  <r>
    <d v="2023-02-17T00:00:00"/>
    <x v="6"/>
    <s v="Admin/HR/IT"/>
    <s v="AMCARE NonOcc In"/>
    <s v="AMZN"/>
    <n v="112912675"/>
    <s v="Alejandri Villagomez,Alejandra"/>
    <s v="Gomez,Abinadab"/>
    <n v="0"/>
    <n v="0"/>
    <n v="0"/>
    <n v="0"/>
    <n v="0.41"/>
    <e v="#N/A"/>
    <x v="0"/>
  </r>
  <r>
    <d v="2023-02-17T00:00:00"/>
    <x v="6"/>
    <s v="Admin/HR/IT"/>
    <s v="AMCARE NonOcc In"/>
    <s v="AMZN"/>
    <n v="112912677"/>
    <s v="Gonzalez,Gustavo"/>
    <s v="Camarena,Grecia"/>
    <n v="0"/>
    <n v="0"/>
    <n v="0"/>
    <n v="0"/>
    <n v="0.76"/>
    <e v="#N/A"/>
    <x v="0"/>
  </r>
  <r>
    <d v="2023-02-17T00:00:00"/>
    <x v="6"/>
    <s v="Admin/HR/IT"/>
    <s v="AMCARE NonOcc In"/>
    <s v="AMZN"/>
    <n v="112972608"/>
    <s v="Hernandez Romo,Sam"/>
    <s v="Pizana,Diego"/>
    <n v="0"/>
    <n v="0"/>
    <n v="0"/>
    <n v="0"/>
    <n v="0.17"/>
    <e v="#N/A"/>
    <x v="0"/>
  </r>
  <r>
    <d v="2023-02-17T00:00:00"/>
    <x v="6"/>
    <s v="Admin/HR/IT"/>
    <s v="AMCARE NonOcc In"/>
    <s v="AMZN"/>
    <n v="112981212"/>
    <s v="Zanella Miranda,Alyson"/>
    <s v="Ledezma,Fer"/>
    <n v="0"/>
    <n v="0"/>
    <n v="0"/>
    <n v="0"/>
    <n v="0.23"/>
    <e v="#N/A"/>
    <x v="77"/>
  </r>
  <r>
    <d v="2023-02-17T00:00:00"/>
    <x v="6"/>
    <s v="Admin/HR/IT"/>
    <s v="AMCARE NonOcc In"/>
    <s v="AMZN"/>
    <n v="113019042"/>
    <s v="Gallegos Godinez,Eloy"/>
    <s v="Hernandez,Nataly"/>
    <n v="0"/>
    <n v="0"/>
    <n v="0"/>
    <n v="0"/>
    <n v="0.34"/>
    <e v="#N/A"/>
    <x v="0"/>
  </r>
  <r>
    <d v="2023-02-17T00:00:00"/>
    <x v="6"/>
    <s v="Admin/HR/IT"/>
    <s v="AMCARE NonOcc In"/>
    <s v="AMZN"/>
    <n v="113019083"/>
    <s v="Contreras,Marco"/>
    <s v="Madrid Molina,Ramon"/>
    <n v="0"/>
    <n v="0"/>
    <n v="0"/>
    <n v="0"/>
    <n v="0.27"/>
    <e v="#N/A"/>
    <x v="0"/>
  </r>
  <r>
    <d v="2023-02-17T00:00:00"/>
    <x v="6"/>
    <s v="Admin/HR/IT"/>
    <s v="AMCARE NonOcc In"/>
    <s v="AMZN"/>
    <n v="113020497"/>
    <s v="Martinez Ruiz,Diana"/>
    <s v="Piedra,Valentina"/>
    <n v="0"/>
    <n v="0"/>
    <n v="0"/>
    <n v="0"/>
    <n v="0.54"/>
    <e v="#N/A"/>
    <x v="82"/>
  </r>
  <r>
    <d v="2023-02-17T00:00:00"/>
    <x v="6"/>
    <s v="Admin/HR/IT"/>
    <s v="AMCARE NonOcc In"/>
    <s v="AMZN"/>
    <n v="113040582"/>
    <s v="HDZ,DEMON"/>
    <s v="Madrid Molina,Ramon"/>
    <n v="0"/>
    <n v="0"/>
    <n v="0"/>
    <n v="0"/>
    <n v="0.17"/>
    <e v="#N/A"/>
    <x v="63"/>
  </r>
  <r>
    <d v="2023-02-17T00:00:00"/>
    <x v="6"/>
    <s v="Admin/HR/IT"/>
    <s v="AMCARE NonOcc In"/>
    <s v="TEMP"/>
    <n v="200508371"/>
    <s v="Perez,Georgina"/>
    <s v="Romero Sanchez,Gustavo Gabriel"/>
    <n v="0"/>
    <n v="0"/>
    <n v="0"/>
    <n v="0"/>
    <n v="1.24"/>
    <e v="#N/A"/>
    <x v="0"/>
  </r>
  <r>
    <d v="2023-02-17T00:00:00"/>
    <x v="6"/>
    <s v="Admin/HR/IT"/>
    <s v="AMCARE NonOcc In"/>
    <s v="TEMP"/>
    <n v="200614224"/>
    <s v="Cruz Hernandez,Cris"/>
    <s v="Ledezma,Fer"/>
    <n v="0"/>
    <n v="0"/>
    <n v="0"/>
    <n v="0"/>
    <n v="0.15"/>
    <e v="#N/A"/>
    <x v="0"/>
  </r>
  <r>
    <d v="2023-02-18T00:00:00"/>
    <x v="6"/>
    <s v="Admin/HR/IT"/>
    <s v="AMCARE NonOcc In"/>
    <s v="AMZN"/>
    <n v="111434478"/>
    <s v="Gutierrez,Pame"/>
    <s v="Camarena,Grecia"/>
    <n v="0"/>
    <n v="0"/>
    <n v="0"/>
    <n v="0"/>
    <n v="1.78"/>
    <s v="DA-X0700"/>
    <x v="23"/>
  </r>
  <r>
    <d v="2023-02-18T00:00:00"/>
    <x v="6"/>
    <s v="Admin/HR/IT"/>
    <s v="AMCARE NonOcc In"/>
    <s v="AMZN"/>
    <n v="112912175"/>
    <s v="Padilla,Jandy"/>
    <s v="Hernandez,Nataly"/>
    <n v="0"/>
    <n v="0"/>
    <n v="0"/>
    <n v="0"/>
    <n v="0.91"/>
    <e v="#N/A"/>
    <x v="0"/>
  </r>
  <r>
    <d v="2023-02-18T00:00:00"/>
    <x v="6"/>
    <s v="Admin/HR/IT"/>
    <s v="AMCARE NonOcc In"/>
    <s v="AMZN"/>
    <n v="112912677"/>
    <s v="Gonzalez,Gustavo"/>
    <s v="Camarena,Grecia"/>
    <n v="0"/>
    <n v="0"/>
    <n v="0"/>
    <n v="0"/>
    <n v="1.68"/>
    <e v="#N/A"/>
    <x v="0"/>
  </r>
  <r>
    <d v="2023-02-18T00:00:00"/>
    <x v="6"/>
    <s v="Admin/HR/IT"/>
    <s v="AMCARE NonOcc In"/>
    <s v="AMZN"/>
    <n v="112981212"/>
    <s v="Zanella Miranda,Alyson"/>
    <s v="Ledezma,Fer"/>
    <n v="0"/>
    <n v="0"/>
    <n v="0"/>
    <n v="0"/>
    <n v="0.41"/>
    <e v="#N/A"/>
    <x v="77"/>
  </r>
  <r>
    <d v="2023-02-18T00:00:00"/>
    <x v="6"/>
    <s v="Admin/HR/IT"/>
    <s v="AMCARE NonOcc In"/>
    <s v="AMZN"/>
    <n v="112984442"/>
    <s v="Garcia,Mauricio Antonio De la lama"/>
    <s v="Gomez,Abinadab"/>
    <n v="0"/>
    <n v="0"/>
    <n v="0"/>
    <n v="0"/>
    <n v="0.37"/>
    <e v="#N/A"/>
    <x v="0"/>
  </r>
  <r>
    <d v="2023-02-19T00:00:00"/>
    <x v="7"/>
    <s v="Admin/HR/IT"/>
    <s v="AMCARE NonOcc In"/>
    <s v="AMZN"/>
    <n v="112912008"/>
    <s v="Espinosa,Consuelo"/>
    <s v="Rosas Negrete,Sebastian"/>
    <n v="0"/>
    <n v="0"/>
    <n v="0"/>
    <n v="0"/>
    <n v="0.28999999999999998"/>
    <e v="#N/A"/>
    <x v="0"/>
  </r>
  <r>
    <d v="2023-02-19T00:00:00"/>
    <x v="7"/>
    <s v="Admin/HR/IT"/>
    <s v="AMCARE NonOcc In"/>
    <s v="AMZN"/>
    <n v="112912203"/>
    <s v="Alvarez Olivares,Omar Leonardo"/>
    <s v="Garcia Espejel,Brenda Victoria"/>
    <n v="0"/>
    <n v="0"/>
    <n v="0"/>
    <n v="0"/>
    <n v="0.33"/>
    <s v="DA-X0700"/>
    <x v="94"/>
  </r>
  <r>
    <d v="2023-02-19T00:00:00"/>
    <x v="7"/>
    <s v="Admin/HR/IT"/>
    <s v="AMCARE NonOcc In"/>
    <s v="AMZN"/>
    <n v="112912663"/>
    <s v="Segura,Lucero"/>
    <s v="Munoz,Jonan"/>
    <n v="0"/>
    <n v="0"/>
    <n v="0"/>
    <n v="0"/>
    <n v="0.22"/>
    <e v="#N/A"/>
    <x v="0"/>
  </r>
  <r>
    <d v="2023-02-19T00:00:00"/>
    <x v="7"/>
    <s v="Admin/HR/IT"/>
    <s v="AMCARE NonOcc In"/>
    <s v="AMZN"/>
    <n v="112950809"/>
    <s v="Rocha,Luz"/>
    <s v="Munoz,Jonan"/>
    <n v="0"/>
    <n v="0"/>
    <n v="0"/>
    <n v="0"/>
    <n v="14.83"/>
    <s v="DA-X0700"/>
    <x v="36"/>
  </r>
  <r>
    <d v="2023-02-19T00:00:00"/>
    <x v="7"/>
    <s v="Admin/HR/IT"/>
    <s v="AMCARE NonOcc In"/>
    <s v="AMZN"/>
    <n v="112950818"/>
    <s v="Sanchez Banuelos,Edith"/>
    <s v="Gomez Aguado,Jorge"/>
    <n v="0"/>
    <n v="0"/>
    <n v="0"/>
    <n v="0"/>
    <n v="0.25"/>
    <s v="DA-X0700"/>
    <x v="95"/>
  </r>
  <r>
    <d v="2023-02-19T00:00:00"/>
    <x v="7"/>
    <s v="Admin/HR/IT"/>
    <s v="AMCARE NonOcc In"/>
    <s v="AMZN"/>
    <n v="112980844"/>
    <s v="Padilla,Samantha"/>
    <s v="Robledo Ugarte,Alejandro"/>
    <n v="0"/>
    <n v="0"/>
    <n v="0"/>
    <n v="0"/>
    <n v="0.73"/>
    <s v="DA-X0700"/>
    <x v="2"/>
  </r>
  <r>
    <d v="2023-02-19T00:00:00"/>
    <x v="7"/>
    <s v="Admin/HR/IT"/>
    <s v="AMCARE NonOcc In"/>
    <s v="AMZN"/>
    <n v="112981212"/>
    <s v="Zanella Miranda,Alyson"/>
    <s v="Ledezma,Fer"/>
    <n v="0"/>
    <n v="0"/>
    <n v="0"/>
    <n v="0"/>
    <n v="0.64"/>
    <e v="#N/A"/>
    <x v="77"/>
  </r>
  <r>
    <d v="2023-02-19T00:00:00"/>
    <x v="7"/>
    <s v="Admin/HR/IT"/>
    <s v="AMCARE NonOcc In"/>
    <s v="TEMP"/>
    <n v="200509428"/>
    <s v="Guevara Ramirez,Zayra Lorena"/>
    <s v="Corona Arriaga,Fernando"/>
    <n v="0"/>
    <n v="0"/>
    <n v="0"/>
    <n v="0"/>
    <n v="0.63"/>
    <e v="#N/A"/>
    <x v="0"/>
  </r>
  <r>
    <d v="2023-02-19T00:00:00"/>
    <x v="7"/>
    <s v="Admin/HR/IT"/>
    <s v="AMCARE NonOcc In"/>
    <s v="TEMP"/>
    <n v="200564845"/>
    <s v="Barron,Abraham"/>
    <s v="Piedra,Valentina"/>
    <n v="0"/>
    <n v="0"/>
    <n v="0"/>
    <n v="0"/>
    <n v="0.37"/>
    <e v="#N/A"/>
    <x v="0"/>
  </r>
  <r>
    <d v="2023-02-19T00:00:00"/>
    <x v="7"/>
    <s v="Admin/HR/IT"/>
    <s v="AMCARE NonOcc In"/>
    <s v="TEMP"/>
    <n v="200625528"/>
    <s v="Oliva,Lizbeth"/>
    <s v="Gomez Aguado,Jorge"/>
    <n v="0"/>
    <n v="0"/>
    <n v="0"/>
    <n v="0"/>
    <n v="0.2"/>
    <e v="#N/A"/>
    <x v="83"/>
  </r>
  <r>
    <d v="2023-02-20T00:00:00"/>
    <x v="7"/>
    <s v="Admin/HR/IT"/>
    <s v="AMCARE NonOcc In"/>
    <s v="AMZN"/>
    <n v="112912008"/>
    <s v="Espinosa,Consuelo"/>
    <s v="Rosas Negrete,Sebastian"/>
    <n v="0"/>
    <n v="0"/>
    <n v="0"/>
    <n v="0"/>
    <n v="1.97"/>
    <e v="#N/A"/>
    <x v="0"/>
  </r>
  <r>
    <d v="2023-02-20T00:00:00"/>
    <x v="7"/>
    <s v="Admin/HR/IT"/>
    <s v="AMCARE NonOcc In"/>
    <s v="AMZN"/>
    <n v="112912661"/>
    <s v="Morales Gonzalez,Francisco"/>
    <s v="Rosas Negrete,Sebastian"/>
    <n v="0"/>
    <n v="0"/>
    <n v="0"/>
    <n v="0"/>
    <n v="0.18"/>
    <s v="DA-X0700"/>
    <x v="96"/>
  </r>
  <r>
    <d v="2023-02-20T00:00:00"/>
    <x v="7"/>
    <s v="Admin/HR/IT"/>
    <s v="AMCARE NonOcc In"/>
    <s v="AMZN"/>
    <n v="112912745"/>
    <s v="Gomez Meza,Alex"/>
    <s v="Robledo Ugarte,Alejandro"/>
    <n v="0"/>
    <n v="0"/>
    <n v="0"/>
    <n v="0"/>
    <n v="0.54"/>
    <s v="DA-X0700"/>
    <x v="55"/>
  </r>
  <r>
    <d v="2023-02-20T00:00:00"/>
    <x v="7"/>
    <s v="Admin/HR/IT"/>
    <s v="AMCARE NonOcc In"/>
    <s v="AMZN"/>
    <n v="112950795"/>
    <s v="Espinosa Espitia,Ali"/>
    <s v="Munoz,Jonan"/>
    <n v="0"/>
    <n v="0"/>
    <n v="0"/>
    <n v="0"/>
    <n v="0.49"/>
    <s v="DA-X0700"/>
    <x v="78"/>
  </r>
  <r>
    <d v="2023-02-20T00:00:00"/>
    <x v="7"/>
    <s v="Admin/HR/IT"/>
    <s v="AMCARE NonOcc In"/>
    <s v="AMZN"/>
    <n v="112950809"/>
    <s v="Rocha,Luz"/>
    <s v="Munoz,Jonan"/>
    <n v="0"/>
    <n v="0"/>
    <n v="0"/>
    <n v="0"/>
    <n v="7.92"/>
    <s v="DA-X0700"/>
    <x v="36"/>
  </r>
  <r>
    <d v="2023-02-20T00:00:00"/>
    <x v="7"/>
    <s v="Admin/HR/IT"/>
    <s v="AMCARE NonOcc In"/>
    <s v="AMZN"/>
    <n v="113003631"/>
    <s v="Ortega,Elizabeth"/>
    <s v="Gomez Aguado,Jorge"/>
    <n v="0"/>
    <n v="0"/>
    <n v="0"/>
    <n v="0"/>
    <n v="0.13"/>
    <e v="#N/A"/>
    <x v="0"/>
  </r>
  <r>
    <d v="2023-02-20T00:00:00"/>
    <x v="7"/>
    <s v="Admin/HR/IT"/>
    <s v="AMCARE NonOcc In"/>
    <s v="AMZN"/>
    <n v="113019042"/>
    <s v="Gallegos Godinez,Eloy"/>
    <s v="Hernandez,Nataly"/>
    <n v="0"/>
    <n v="0"/>
    <n v="0"/>
    <n v="0"/>
    <n v="0.72"/>
    <e v="#N/A"/>
    <x v="0"/>
  </r>
  <r>
    <d v="2023-02-20T00:00:00"/>
    <x v="7"/>
    <s v="Admin/HR/IT"/>
    <s v="AMCARE NonOcc In"/>
    <s v="AMZN"/>
    <n v="113101453"/>
    <s v="Isaac,Geovanna"/>
    <s v="Corona Arriaga,Fernando"/>
    <n v="0"/>
    <n v="0"/>
    <n v="0"/>
    <n v="0"/>
    <n v="0.17"/>
    <e v="#N/A"/>
    <x v="4"/>
  </r>
  <r>
    <d v="2023-02-20T00:00:00"/>
    <x v="7"/>
    <s v="Admin/HR/IT"/>
    <s v="AMCARE NonOcc In"/>
    <s v="AMZN"/>
    <n v="200404250"/>
    <s v="Hurtado,Caty"/>
    <s v="Piedra,Valentina"/>
    <n v="0"/>
    <n v="0"/>
    <n v="0"/>
    <n v="0"/>
    <n v="0.46"/>
    <e v="#N/A"/>
    <x v="6"/>
  </r>
  <r>
    <d v="2023-02-20T00:00:00"/>
    <x v="7"/>
    <s v="Admin/HR/IT"/>
    <s v="AMCARE NonOcc In"/>
    <s v="TEMP"/>
    <n v="200625517"/>
    <s v="RamÃ­rez,Miranda"/>
    <s v="Corona Arriaga,Fernando"/>
    <n v="0"/>
    <n v="0"/>
    <n v="0"/>
    <n v="0"/>
    <n v="0.33"/>
    <e v="#N/A"/>
    <x v="0"/>
  </r>
  <r>
    <d v="2023-02-20T00:00:00"/>
    <x v="7"/>
    <s v="Admin/HR/IT"/>
    <s v="AMCARE NonOcc In"/>
    <s v="TEMP"/>
    <n v="200625528"/>
    <s v="Oliva,Lizbeth"/>
    <s v="Gomez Aguado,Jorge"/>
    <n v="0"/>
    <n v="0"/>
    <n v="0"/>
    <n v="0"/>
    <n v="0.13"/>
    <e v="#N/A"/>
    <x v="83"/>
  </r>
  <r>
    <d v="2023-02-21T00:00:00"/>
    <x v="7"/>
    <s v="Admin/HR/IT"/>
    <s v="AMCARE NonOcc In"/>
    <s v="TEMP"/>
    <n v="200574345"/>
    <s v="Contreras,Jony"/>
    <s v="Piedra,Valentina"/>
    <n v="0"/>
    <n v="0"/>
    <n v="0"/>
    <n v="0"/>
    <n v="0.33"/>
    <e v="#N/A"/>
    <x v="54"/>
  </r>
  <r>
    <d v="2023-02-21T00:00:00"/>
    <x v="7"/>
    <s v="Admin/HR/IT"/>
    <s v="AMCARE NonOcc In"/>
    <s v="AMZN"/>
    <n v="113014078"/>
    <s v="Nunez Lopez,Aldair"/>
    <s v="Hernandez,Nataly"/>
    <n v="0"/>
    <n v="0"/>
    <n v="0"/>
    <n v="0"/>
    <n v="0.17"/>
    <e v="#N/A"/>
    <x v="76"/>
  </r>
  <r>
    <d v="2023-02-21T00:00:00"/>
    <x v="7"/>
    <s v="Admin/HR/IT"/>
    <s v="AMCARE NonOcc In"/>
    <s v="AMZN"/>
    <n v="113019001"/>
    <s v="Lozano Hernandez,Donny"/>
    <s v="Robledo Ugarte,Alejandro"/>
    <n v="0"/>
    <n v="0"/>
    <n v="0"/>
    <n v="0"/>
    <n v="0.45"/>
    <e v="#N/A"/>
    <x v="48"/>
  </r>
  <r>
    <d v="2023-02-21T00:00:00"/>
    <x v="7"/>
    <s v="Admin/HR/IT"/>
    <s v="AMCARE NonOcc In"/>
    <s v="AMZN"/>
    <n v="112976013"/>
    <s v="Garcia,Roberto"/>
    <s v="Munoz,Jonan"/>
    <n v="0"/>
    <n v="0"/>
    <n v="0"/>
    <n v="0"/>
    <n v="0.55000000000000004"/>
    <e v="#N/A"/>
    <x v="0"/>
  </r>
  <r>
    <d v="2023-02-21T00:00:00"/>
    <x v="7"/>
    <s v="Admin/HR/IT"/>
    <s v="AMCARE NonOcc In"/>
    <s v="TEMP"/>
    <n v="200589316"/>
    <s v="Torres Zuniga,Daniel"/>
    <s v="Madrid Molina,Ramon"/>
    <n v="0"/>
    <n v="0"/>
    <n v="0"/>
    <n v="0"/>
    <n v="0.87"/>
    <e v="#N/A"/>
    <x v="0"/>
  </r>
  <r>
    <d v="2023-02-21T00:00:00"/>
    <x v="7"/>
    <s v="Admin/HR/IT"/>
    <s v="AMCARE NonOcc In"/>
    <s v="AMZN"/>
    <n v="112981201"/>
    <s v="Ramirez,Andrea"/>
    <s v="Corona Arriaga,Fernando"/>
    <n v="0"/>
    <n v="0"/>
    <n v="0"/>
    <n v="0"/>
    <n v="0.8"/>
    <e v="#N/A"/>
    <x v="0"/>
  </r>
  <r>
    <d v="2023-02-21T00:00:00"/>
    <x v="7"/>
    <s v="Admin/HR/IT"/>
    <s v="AMCARE NonOcc In"/>
    <s v="AMZN"/>
    <n v="112912175"/>
    <s v="Padilla,Jandy"/>
    <s v="Hernandez,Nataly"/>
    <n v="0"/>
    <n v="0"/>
    <n v="0"/>
    <n v="0"/>
    <n v="0.46"/>
    <e v="#N/A"/>
    <x v="0"/>
  </r>
  <r>
    <d v="2023-02-21T00:00:00"/>
    <x v="7"/>
    <s v="Admin/HR/IT"/>
    <s v="AMCARE NonOcc In"/>
    <s v="TEMP"/>
    <n v="200509691"/>
    <s v="Mendoza Jasso,Jesus"/>
    <s v="Robledo Ugarte,Alejandro"/>
    <n v="0"/>
    <n v="0"/>
    <n v="0"/>
    <n v="0"/>
    <n v="0.23"/>
    <e v="#N/A"/>
    <x v="97"/>
  </r>
  <r>
    <d v="2023-02-21T00:00:00"/>
    <x v="7"/>
    <s v="Admin/HR/IT"/>
    <s v="AMCARE NonOcc In"/>
    <s v="AMZN"/>
    <n v="111434478"/>
    <s v="Gutierrez,Pame"/>
    <s v="Garcia Espejel,Brenda Victoria"/>
    <n v="0"/>
    <n v="0"/>
    <n v="0"/>
    <n v="0"/>
    <n v="0.19"/>
    <s v="DA-X0700"/>
    <x v="23"/>
  </r>
  <r>
    <d v="2023-02-21T00:00:00"/>
    <x v="7"/>
    <s v="Admin/HR/IT"/>
    <s v="AMCARE NonOcc In"/>
    <s v="TEMP"/>
    <n v="109227086"/>
    <s v="Tavares,Alejandra"/>
    <s v="Hernandez,Nataly"/>
    <n v="0"/>
    <n v="0"/>
    <n v="0"/>
    <n v="0"/>
    <n v="2.87"/>
    <e v="#N/A"/>
    <x v="0"/>
  </r>
  <r>
    <d v="2023-02-21T00:00:00"/>
    <x v="7"/>
    <s v="Admin/HR/IT"/>
    <s v="AMCARE NonOcc In"/>
    <s v="AMZN"/>
    <n v="113014011"/>
    <s v="Robledo Barrientos,Logan"/>
    <s v="Hernandez,Nataly"/>
    <n v="0"/>
    <n v="0"/>
    <n v="0"/>
    <n v="0"/>
    <n v="0.38"/>
    <e v="#N/A"/>
    <x v="0"/>
  </r>
  <r>
    <d v="2023-02-21T00:00:00"/>
    <x v="7"/>
    <s v="Admin/HR/IT"/>
    <s v="AMCARE NonOcc In"/>
    <s v="AMZN"/>
    <n v="112980843"/>
    <s v="Santos,Israel"/>
    <s v="Robledo Ugarte,Alejandro"/>
    <n v="0"/>
    <n v="0"/>
    <n v="0"/>
    <n v="0"/>
    <n v="0.28999999999999998"/>
    <s v="DA-X0700"/>
    <x v="85"/>
  </r>
  <r>
    <d v="2023-02-21T00:00:00"/>
    <x v="7"/>
    <s v="Admin/HR/IT"/>
    <s v="AMCARE NonOcc In"/>
    <s v="AMZN"/>
    <n v="112981061"/>
    <s v="Olguin,Claudia"/>
    <s v="Corona Arriaga,Fernando"/>
    <n v="0"/>
    <n v="0"/>
    <n v="0"/>
    <n v="0"/>
    <n v="0.2"/>
    <s v="DA-X0700"/>
    <x v="11"/>
  </r>
  <r>
    <d v="2023-02-21T00:00:00"/>
    <x v="7"/>
    <s v="Admin/HR/IT"/>
    <s v="AMCARE NonOcc In"/>
    <s v="AMZN"/>
    <n v="113020463"/>
    <s v="Valtierra,Alejandra"/>
    <s v="Hernandez,Nataly"/>
    <n v="0"/>
    <n v="0"/>
    <n v="0"/>
    <n v="0"/>
    <n v="0.19"/>
    <e v="#N/A"/>
    <x v="17"/>
  </r>
  <r>
    <d v="2023-02-21T00:00:00"/>
    <x v="7"/>
    <s v="Admin/HR/IT"/>
    <s v="AMCARE NonOcc In"/>
    <s v="AMZN"/>
    <n v="112950795"/>
    <s v="Espinosa Espitia,Ali"/>
    <s v="Munoz,Jonan"/>
    <n v="0"/>
    <n v="0"/>
    <n v="0"/>
    <n v="0"/>
    <n v="0.32"/>
    <s v="DA-X0700"/>
    <x v="78"/>
  </r>
  <r>
    <d v="2023-02-21T00:00:00"/>
    <x v="7"/>
    <s v="Admin/HR/IT"/>
    <s v="AMCARE NonOcc In"/>
    <s v="TEMP"/>
    <n v="200514421"/>
    <s v="Padilla Abrego,Angeles"/>
    <s v="Piedra,Valentina"/>
    <n v="0"/>
    <n v="0"/>
    <n v="0"/>
    <n v="0"/>
    <n v="0.16"/>
    <e v="#N/A"/>
    <x v="18"/>
  </r>
  <r>
    <d v="2023-02-21T00:00:00"/>
    <x v="7"/>
    <s v="Admin/HR/IT"/>
    <s v="AMCARE NonOcc In"/>
    <s v="AMZN"/>
    <n v="113014036"/>
    <s v="Rodriguez Alcaraz,ToÃ±o"/>
    <s v="Corona Arriaga,Fernando"/>
    <n v="0"/>
    <n v="0"/>
    <n v="0"/>
    <n v="0"/>
    <n v="0.71"/>
    <e v="#N/A"/>
    <x v="98"/>
  </r>
  <r>
    <d v="2023-02-21T00:00:00"/>
    <x v="7"/>
    <s v="Admin/HR/IT"/>
    <s v="AMCARE NonOcc In"/>
    <s v="AMZN"/>
    <n v="112912752"/>
    <s v="Valderrama Gomez,Leslie"/>
    <s v="Robledo Ugarte,Alejandro"/>
    <n v="0"/>
    <n v="0"/>
    <n v="0"/>
    <n v="0"/>
    <n v="0.39"/>
    <s v="NF-X1900"/>
    <x v="5"/>
  </r>
  <r>
    <d v="2023-02-21T00:00:00"/>
    <x v="7"/>
    <s v="Admin/HR/IT"/>
    <s v="AMCARE NonOcc In"/>
    <s v="AMZN"/>
    <n v="112912046"/>
    <s v="Aguilar,Victor Manuel"/>
    <s v="Munoz,Jonan"/>
    <n v="0"/>
    <n v="0"/>
    <n v="0"/>
    <n v="0"/>
    <n v="0.16"/>
    <e v="#N/A"/>
    <x v="0"/>
  </r>
  <r>
    <d v="2023-02-21T00:00:00"/>
    <x v="7"/>
    <s v="Admin/HR/IT"/>
    <s v="AMCARE NonOcc In"/>
    <s v="AMZN"/>
    <n v="112950800"/>
    <s v="Muniz,Viri"/>
    <s v="Munoz,Jonan"/>
    <n v="0"/>
    <n v="0"/>
    <n v="0"/>
    <n v="0"/>
    <n v="0.19"/>
    <s v="NF-X1900"/>
    <x v="51"/>
  </r>
  <r>
    <d v="2023-02-21T00:00:00"/>
    <x v="7"/>
    <s v="Admin/HR/IT"/>
    <s v="AMCARE NonOcc In"/>
    <s v="AMZN"/>
    <n v="200404250"/>
    <s v="Hurtado,Caty"/>
    <s v="Piedra,Valentina"/>
    <n v="0"/>
    <n v="0"/>
    <n v="0"/>
    <n v="0"/>
    <n v="1.26"/>
    <e v="#N/A"/>
    <x v="6"/>
  </r>
  <r>
    <d v="2023-02-22T00:00:00"/>
    <x v="7"/>
    <s v="Admin/HR/IT"/>
    <s v="AMCARE NonOcc In"/>
    <s v="TEMP"/>
    <n v="109227086"/>
    <s v="Tavares,Alejandra"/>
    <s v="Hernandez,Nataly"/>
    <n v="0"/>
    <n v="0"/>
    <n v="0"/>
    <n v="0"/>
    <n v="1.46"/>
    <e v="#N/A"/>
    <x v="0"/>
  </r>
  <r>
    <d v="2023-02-22T00:00:00"/>
    <x v="7"/>
    <s v="Admin/HR/IT"/>
    <s v="AMCARE NonOcc In"/>
    <s v="AMZN"/>
    <n v="112950800"/>
    <s v="Muniz,Viri"/>
    <s v="Munoz,Jonan"/>
    <n v="0"/>
    <n v="0"/>
    <n v="0"/>
    <n v="0"/>
    <n v="0.13"/>
    <s v="NF-X1900"/>
    <x v="51"/>
  </r>
  <r>
    <d v="2023-02-22T00:00:00"/>
    <x v="7"/>
    <s v="Admin/HR/IT"/>
    <s v="AMCARE NonOcc In"/>
    <s v="AMZN"/>
    <n v="112950819"/>
    <s v="Rios Olmos,Isaac"/>
    <s v="Garcia Espejel,Brenda Victoria"/>
    <n v="0"/>
    <n v="0"/>
    <n v="0"/>
    <n v="0"/>
    <n v="0.13"/>
    <s v="DA-X0700"/>
    <x v="99"/>
  </r>
  <r>
    <d v="2023-02-22T00:00:00"/>
    <x v="7"/>
    <s v="Admin/HR/IT"/>
    <s v="AMCARE NonOcc In"/>
    <s v="AMZN"/>
    <n v="112972608"/>
    <s v="Hernandez Romo,Sam"/>
    <s v="Pizana,Diego"/>
    <n v="0"/>
    <n v="0"/>
    <n v="0"/>
    <n v="0"/>
    <n v="0.09"/>
    <e v="#N/A"/>
    <x v="0"/>
  </r>
  <r>
    <d v="2023-02-22T00:00:00"/>
    <x v="7"/>
    <s v="Admin/HR/IT"/>
    <s v="AMCARE NonOcc In"/>
    <s v="AMZN"/>
    <n v="112980844"/>
    <s v="Padilla,Samantha"/>
    <s v="Robledo Ugarte,Alejandro"/>
    <n v="0"/>
    <n v="0"/>
    <n v="0"/>
    <n v="0"/>
    <n v="0.73"/>
    <s v="DA-X0700"/>
    <x v="2"/>
  </r>
  <r>
    <d v="2023-02-22T00:00:00"/>
    <x v="7"/>
    <s v="Admin/HR/IT"/>
    <s v="AMCARE NonOcc In"/>
    <s v="AMZN"/>
    <n v="112981061"/>
    <s v="Olguin,Claudia"/>
    <s v="Corona Arriaga,Fernando"/>
    <n v="0"/>
    <n v="0"/>
    <n v="0"/>
    <n v="0"/>
    <n v="0.2"/>
    <s v="DA-X0700"/>
    <x v="11"/>
  </r>
  <r>
    <d v="2023-02-22T00:00:00"/>
    <x v="7"/>
    <s v="Admin/HR/IT"/>
    <s v="AMCARE NonOcc In"/>
    <s v="AMZN"/>
    <n v="112981201"/>
    <s v="Ramirez,Andrea"/>
    <s v="Corona Arriaga,Fernando"/>
    <n v="0"/>
    <n v="0"/>
    <n v="0"/>
    <n v="0"/>
    <n v="0.91"/>
    <e v="#N/A"/>
    <x v="0"/>
  </r>
  <r>
    <d v="2023-02-22T00:00:00"/>
    <x v="7"/>
    <s v="Admin/HR/IT"/>
    <s v="AMCARE NonOcc In"/>
    <s v="AMZN"/>
    <n v="113014011"/>
    <s v="Robledo Barrientos,Logan"/>
    <s v="Hernandez,Nataly"/>
    <n v="0"/>
    <n v="0"/>
    <n v="0"/>
    <n v="0"/>
    <n v="0.38"/>
    <e v="#N/A"/>
    <x v="0"/>
  </r>
  <r>
    <d v="2023-02-22T00:00:00"/>
    <x v="7"/>
    <s v="Admin/HR/IT"/>
    <s v="AMCARE NonOcc In"/>
    <s v="AMZN"/>
    <n v="113014036"/>
    <s v="Rodriguez Alcaraz,ToÃ±o"/>
    <s v="Corona Arriaga,Fernando"/>
    <n v="0"/>
    <n v="0"/>
    <n v="0"/>
    <n v="0"/>
    <n v="0.71"/>
    <e v="#N/A"/>
    <x v="98"/>
  </r>
  <r>
    <d v="2023-02-22T00:00:00"/>
    <x v="7"/>
    <s v="Admin/HR/IT"/>
    <s v="AMCARE NonOcc In"/>
    <s v="AMZN"/>
    <n v="113020463"/>
    <s v="Valtierra,Alejandra"/>
    <s v="Hernandez,Nataly"/>
    <n v="0"/>
    <n v="0"/>
    <n v="0"/>
    <n v="0"/>
    <n v="0.19"/>
    <e v="#N/A"/>
    <x v="17"/>
  </r>
  <r>
    <d v="2023-02-22T00:00:00"/>
    <x v="7"/>
    <s v="Admin/HR/IT"/>
    <s v="AMCARE NonOcc In"/>
    <s v="AMZN"/>
    <n v="200404250"/>
    <s v="Hurtado,Caty"/>
    <s v="Piedra,Valentina"/>
    <n v="0"/>
    <n v="0"/>
    <n v="0"/>
    <n v="0"/>
    <n v="0.44"/>
    <e v="#N/A"/>
    <x v="6"/>
  </r>
  <r>
    <d v="2023-02-22T00:00:00"/>
    <x v="7"/>
    <s v="Admin/HR/IT"/>
    <s v="AMCARE NonOcc In"/>
    <s v="TEMP"/>
    <n v="200508371"/>
    <s v="Perez,Georgina"/>
    <s v="Romero Sanchez,Gustavo Gabriel"/>
    <n v="0"/>
    <n v="0"/>
    <n v="0"/>
    <n v="0"/>
    <n v="0.21"/>
    <e v="#N/A"/>
    <x v="0"/>
  </r>
  <r>
    <d v="2023-02-22T00:00:00"/>
    <x v="7"/>
    <s v="Admin/HR/IT"/>
    <s v="AMCARE NonOcc In"/>
    <s v="TEMP"/>
    <n v="200514421"/>
    <s v="Padilla Abrego,Angeles"/>
    <s v="Piedra,Valentina"/>
    <n v="0"/>
    <n v="0"/>
    <n v="0"/>
    <n v="0"/>
    <n v="0.16"/>
    <e v="#N/A"/>
    <x v="18"/>
  </r>
  <r>
    <d v="2023-02-22T00:00:00"/>
    <x v="7"/>
    <s v="Admin/HR/IT"/>
    <s v="AMCARE NonOcc In"/>
    <s v="TEMP"/>
    <n v="200574345"/>
    <s v="Contreras,Jony"/>
    <s v="Piedra,Valentina"/>
    <n v="0"/>
    <n v="0"/>
    <n v="0"/>
    <n v="0"/>
    <n v="0.33"/>
    <e v="#N/A"/>
    <x v="54"/>
  </r>
  <r>
    <d v="2023-02-23T00:00:00"/>
    <x v="7"/>
    <s v="Admin/HR/IT"/>
    <s v="AMCARE NonOcc In"/>
    <s v="AMZN"/>
    <n v="103260242"/>
    <s v="Ayala,Mariela"/>
    <s v="Ledezma,Fer"/>
    <n v="0"/>
    <n v="0"/>
    <n v="0"/>
    <n v="0"/>
    <n v="1"/>
    <e v="#N/A"/>
    <x v="0"/>
  </r>
  <r>
    <d v="2023-02-23T00:00:00"/>
    <x v="7"/>
    <s v="Admin/HR/IT"/>
    <s v="AMCARE NonOcc In"/>
    <s v="AMZN"/>
    <n v="111434478"/>
    <s v="Gutierrez,Pame"/>
    <s v="Garcia Espejel,Brenda Victoria"/>
    <n v="0"/>
    <n v="0"/>
    <n v="0"/>
    <n v="0"/>
    <n v="1.78"/>
    <s v="DA-X0700"/>
    <x v="23"/>
  </r>
  <r>
    <d v="2023-02-23T00:00:00"/>
    <x v="7"/>
    <s v="Admin/HR/IT"/>
    <s v="AMCARE NonOcc In"/>
    <s v="AMZN"/>
    <n v="112912753"/>
    <s v="Padilla Abrego,Selene"/>
    <s v="Piedra,Valentina"/>
    <n v="0"/>
    <n v="0"/>
    <n v="0"/>
    <n v="0"/>
    <n v="0.2"/>
    <e v="#N/A"/>
    <x v="0"/>
  </r>
  <r>
    <d v="2023-02-23T00:00:00"/>
    <x v="7"/>
    <s v="Admin/HR/IT"/>
    <s v="AMCARE NonOcc In"/>
    <s v="AMZN"/>
    <n v="112973049"/>
    <s v="Tavares Parra,Ely"/>
    <s v="Romero Sanchez,Gustavo Gabriel"/>
    <n v="0"/>
    <n v="0"/>
    <n v="0"/>
    <n v="0"/>
    <n v="0.44"/>
    <s v="DB-X0700"/>
    <x v="14"/>
  </r>
  <r>
    <d v="2023-02-23T00:00:00"/>
    <x v="7"/>
    <s v="Admin/HR/IT"/>
    <s v="AMCARE NonOcc In"/>
    <s v="AMZN"/>
    <n v="112980835"/>
    <s v="Rojas  Cuellar,Jacqueline"/>
    <s v="Ledezma,Fer"/>
    <n v="0"/>
    <n v="0"/>
    <n v="0"/>
    <n v="0"/>
    <n v="0.16"/>
    <e v="#N/A"/>
    <x v="0"/>
  </r>
  <r>
    <d v="2023-02-23T00:00:00"/>
    <x v="7"/>
    <s v="Admin/HR/IT"/>
    <s v="AMCARE NonOcc In"/>
    <s v="AMZN"/>
    <n v="112980878"/>
    <s v="Romero Escobar,Gerardo"/>
    <s v="Piedra,Valentina"/>
    <n v="0"/>
    <n v="0"/>
    <n v="0"/>
    <n v="0"/>
    <n v="0.4"/>
    <e v="#N/A"/>
    <x v="0"/>
  </r>
  <r>
    <d v="2023-02-23T00:00:00"/>
    <x v="7"/>
    <s v="Admin/HR/IT"/>
    <s v="AMCARE NonOcc In"/>
    <s v="AMZN"/>
    <n v="112984097"/>
    <s v="Aguilera,Yaremi"/>
    <s v="Corona Arriaga,Fernando"/>
    <n v="0"/>
    <n v="0"/>
    <n v="0"/>
    <n v="0"/>
    <n v="0.21"/>
    <e v="#N/A"/>
    <x v="0"/>
  </r>
  <r>
    <d v="2023-02-23T00:00:00"/>
    <x v="7"/>
    <s v="Admin/HR/IT"/>
    <s v="AMCARE NonOcc In"/>
    <s v="AMZN"/>
    <n v="113014008"/>
    <s v="Berrones Ramirez,Fidel"/>
    <s v="Madrid Molina,Ramon"/>
    <n v="0"/>
    <n v="0"/>
    <n v="0"/>
    <n v="0"/>
    <n v="0.13"/>
    <e v="#N/A"/>
    <x v="0"/>
  </r>
  <r>
    <d v="2023-02-23T00:00:00"/>
    <x v="7"/>
    <s v="Admin/HR/IT"/>
    <s v="AMCARE NonOcc In"/>
    <s v="AMZN"/>
    <n v="113018997"/>
    <s v="Rodriguez Ponce,Gaby"/>
    <s v="Robledo Ugarte,Alejandro"/>
    <n v="0"/>
    <n v="0"/>
    <n v="0"/>
    <n v="0"/>
    <n v="0.23"/>
    <e v="#N/A"/>
    <x v="0"/>
  </r>
  <r>
    <d v="2023-02-23T00:00:00"/>
    <x v="7"/>
    <s v="Admin/HR/IT"/>
    <s v="AMCARE NonOcc In"/>
    <s v="AMZN"/>
    <n v="113052151"/>
    <s v="Nieves Mendez,Laura"/>
    <s v="Ledezma,Fer"/>
    <n v="0"/>
    <n v="0"/>
    <n v="0"/>
    <n v="0"/>
    <n v="0.51"/>
    <e v="#N/A"/>
    <x v="56"/>
  </r>
  <r>
    <d v="2023-02-23T00:00:00"/>
    <x v="7"/>
    <s v="Admin/HR/IT"/>
    <s v="AMCARE NonOcc In"/>
    <s v="AMZN"/>
    <n v="200404250"/>
    <s v="Hurtado,Caty"/>
    <s v="Piedra,Valentina"/>
    <n v="0"/>
    <n v="0"/>
    <n v="0"/>
    <n v="0"/>
    <n v="0.55000000000000004"/>
    <e v="#N/A"/>
    <x v="6"/>
  </r>
  <r>
    <d v="2023-02-23T00:00:00"/>
    <x v="7"/>
    <s v="Admin/HR/IT"/>
    <s v="AMCARE NonOcc In"/>
    <s v="TEMP"/>
    <n v="200508315"/>
    <s v="Herrera,Aldair"/>
    <s v="Romero Sanchez,Gustavo Gabriel"/>
    <n v="0"/>
    <n v="0"/>
    <n v="0"/>
    <n v="0"/>
    <n v="0.2"/>
    <e v="#N/A"/>
    <x v="41"/>
  </r>
  <r>
    <d v="2023-02-23T00:00:00"/>
    <x v="7"/>
    <s v="Admin/HR/IT"/>
    <s v="AMCARE NonOcc In"/>
    <s v="TEMP"/>
    <n v="200564895"/>
    <s v="Mendoza Corona,Brianda"/>
    <s v="Corona Arriaga,Fernando"/>
    <n v="0"/>
    <n v="0"/>
    <n v="0"/>
    <n v="0"/>
    <n v="0.17"/>
    <e v="#N/A"/>
    <x v="64"/>
  </r>
  <r>
    <d v="2023-02-23T00:00:00"/>
    <x v="7"/>
    <s v="Admin/HR/IT"/>
    <s v="AMCARE NonOcc In"/>
    <s v="TEMP"/>
    <n v="200574655"/>
    <s v="Mireles,Dulce"/>
    <s v="Corona Arriaga,Fernando"/>
    <n v="0"/>
    <n v="0"/>
    <n v="0"/>
    <n v="0"/>
    <n v="0.47"/>
    <e v="#N/A"/>
    <x v="88"/>
  </r>
  <r>
    <d v="2023-02-23T00:00:00"/>
    <x v="7"/>
    <s v="Admin/HR/IT"/>
    <s v="AMCARE NonOcc In"/>
    <s v="TEMP"/>
    <n v="200589316"/>
    <s v="Torres Zuniga,Daniel"/>
    <s v="Madrid Molina,Ramon"/>
    <n v="0"/>
    <n v="0"/>
    <n v="0"/>
    <n v="0"/>
    <n v="0.24"/>
    <e v="#N/A"/>
    <x v="0"/>
  </r>
  <r>
    <d v="2023-02-23T00:00:00"/>
    <x v="7"/>
    <s v="Admin/HR/IT"/>
    <s v="AMCARE NonOcc In"/>
    <s v="TEMP"/>
    <n v="200615883"/>
    <s v="Ibarra Amaro,Adriana"/>
    <s v="Madrid Molina,Ramon"/>
    <n v="0"/>
    <n v="0"/>
    <n v="0"/>
    <n v="0"/>
    <n v="0.4"/>
    <e v="#N/A"/>
    <x v="0"/>
  </r>
  <r>
    <d v="2023-02-23T00:00:00"/>
    <x v="7"/>
    <s v="Admin/HR/IT"/>
    <s v="AMCARE NonOcc In"/>
    <s v="TEMP"/>
    <n v="200615937"/>
    <s v="Martinez Gonzalez,Erik"/>
    <s v="Gomez Aguado,Jorge"/>
    <n v="0"/>
    <n v="0"/>
    <n v="0"/>
    <n v="0"/>
    <n v="0.14000000000000001"/>
    <e v="#N/A"/>
    <x v="0"/>
  </r>
  <r>
    <d v="2023-02-24T00:00:00"/>
    <x v="7"/>
    <s v="Admin/HR/IT"/>
    <s v="AMCARE NonOcc In"/>
    <s v="TEMP"/>
    <n v="109227086"/>
    <s v="Tavares,Alejandra"/>
    <s v="Hernandez,Nataly"/>
    <n v="0"/>
    <n v="0"/>
    <n v="0"/>
    <n v="0"/>
    <n v="0.48"/>
    <e v="#N/A"/>
    <x v="0"/>
  </r>
  <r>
    <d v="2023-02-24T00:00:00"/>
    <x v="7"/>
    <s v="Admin/HR/IT"/>
    <s v="AMCARE NonOcc In"/>
    <s v="AMZN"/>
    <n v="112912675"/>
    <s v="Alejandri Villagomez,Alejandra"/>
    <s v="Gomez,Abinadab"/>
    <n v="0"/>
    <n v="0"/>
    <n v="0"/>
    <n v="0"/>
    <n v="0.23"/>
    <e v="#N/A"/>
    <x v="0"/>
  </r>
  <r>
    <d v="2023-02-24T00:00:00"/>
    <x v="7"/>
    <s v="Admin/HR/IT"/>
    <s v="AMCARE NonOcc In"/>
    <s v="AMZN"/>
    <n v="112972523"/>
    <s v="Briones,Neto"/>
    <s v="Pizana,Diego"/>
    <n v="0"/>
    <n v="0"/>
    <n v="0"/>
    <n v="0"/>
    <n v="0.27"/>
    <e v="#N/A"/>
    <x v="0"/>
  </r>
  <r>
    <d v="2023-02-24T00:00:00"/>
    <x v="7"/>
    <s v="Admin/HR/IT"/>
    <s v="AMCARE NonOcc In"/>
    <s v="AMZN"/>
    <n v="112980844"/>
    <s v="Padilla,Samantha"/>
    <s v="Robledo Ugarte,Alejandro"/>
    <n v="0"/>
    <n v="0"/>
    <n v="0"/>
    <n v="0"/>
    <n v="0.09"/>
    <s v="DA-X0700"/>
    <x v="2"/>
  </r>
  <r>
    <d v="2023-02-24T00:00:00"/>
    <x v="7"/>
    <s v="Admin/HR/IT"/>
    <s v="AMCARE NonOcc In"/>
    <s v="AMZN"/>
    <n v="112980878"/>
    <s v="Romero Escobar,Gerardo"/>
    <s v="Piedra,Valentina"/>
    <n v="0"/>
    <n v="0"/>
    <n v="0"/>
    <n v="0"/>
    <n v="0.16"/>
    <e v="#N/A"/>
    <x v="0"/>
  </r>
  <r>
    <d v="2023-02-24T00:00:00"/>
    <x v="7"/>
    <s v="Admin/HR/IT"/>
    <s v="AMCARE NonOcc In"/>
    <s v="AMZN"/>
    <n v="113020463"/>
    <s v="Valtierra,Alejandra"/>
    <s v="Hernandez,Nataly"/>
    <n v="0"/>
    <n v="0"/>
    <n v="0"/>
    <n v="0"/>
    <n v="1.27"/>
    <e v="#N/A"/>
    <x v="17"/>
  </r>
  <r>
    <d v="2023-02-24T00:00:00"/>
    <x v="7"/>
    <s v="Admin/HR/IT"/>
    <s v="AMCARE NonOcc In"/>
    <s v="AMZN"/>
    <n v="113052151"/>
    <s v="Nieves Mendez,Laura"/>
    <s v="Ledezma,Fer"/>
    <n v="0"/>
    <n v="0"/>
    <n v="0"/>
    <n v="0"/>
    <n v="0.11"/>
    <e v="#N/A"/>
    <x v="56"/>
  </r>
  <r>
    <d v="2023-02-24T00:00:00"/>
    <x v="7"/>
    <s v="Admin/HR/IT"/>
    <s v="AMCARE NonOcc In"/>
    <s v="AMZN"/>
    <n v="200404250"/>
    <s v="Hurtado,Caty"/>
    <s v="Piedra,Valentina"/>
    <n v="0"/>
    <n v="0"/>
    <n v="0"/>
    <n v="0"/>
    <n v="0.49"/>
    <e v="#N/A"/>
    <x v="6"/>
  </r>
  <r>
    <d v="2023-02-24T00:00:00"/>
    <x v="7"/>
    <s v="Admin/HR/IT"/>
    <s v="AMCARE NonOcc In"/>
    <s v="TEMP"/>
    <n v="200564845"/>
    <s v="Barron,Abraham"/>
    <s v="Piedra,Valentina"/>
    <n v="0"/>
    <n v="0"/>
    <n v="0"/>
    <n v="0"/>
    <n v="0.11"/>
    <e v="#N/A"/>
    <x v="0"/>
  </r>
  <r>
    <d v="2023-02-24T00:00:00"/>
    <x v="7"/>
    <s v="Admin/HR/IT"/>
    <s v="AMCARE NonOcc In"/>
    <s v="TEMP"/>
    <n v="200589316"/>
    <s v="Torres Zuniga,Daniel"/>
    <s v="Madrid Molina,Ramon"/>
    <n v="0"/>
    <n v="0"/>
    <n v="0"/>
    <n v="0"/>
    <n v="0.13"/>
    <e v="#N/A"/>
    <x v="0"/>
  </r>
  <r>
    <d v="2023-02-24T00:00:00"/>
    <x v="7"/>
    <s v="Admin/HR/IT"/>
    <s v="AMCARE NonOcc In"/>
    <s v="TEMP"/>
    <n v="200614224"/>
    <s v="Cruz Hernandez,Cris"/>
    <s v="Ledezma,Fer"/>
    <n v="0"/>
    <n v="0"/>
    <n v="0"/>
    <n v="0"/>
    <n v="0.12"/>
    <e v="#N/A"/>
    <x v="0"/>
  </r>
  <r>
    <d v="2023-02-24T00:00:00"/>
    <x v="7"/>
    <s v="Admin/HR/IT"/>
    <s v="AMCARE NonOcc In"/>
    <s v="TEMP"/>
    <n v="200625027"/>
    <s v="Rodriguez Gonzalez,Neidy"/>
    <s v="Hernandez,Nataly"/>
    <n v="0"/>
    <n v="0"/>
    <n v="0"/>
    <n v="0"/>
    <n v="0.46"/>
    <e v="#N/A"/>
    <x v="0"/>
  </r>
  <r>
    <d v="2023-02-25T00:00:00"/>
    <x v="7"/>
    <s v="Admin/HR/IT"/>
    <s v="AMCARE NonOcc In"/>
    <s v="AMZN"/>
    <n v="112912049"/>
    <s v="Vazquez Rodriguez,Christian"/>
    <s v="Pizana,Diego"/>
    <n v="0"/>
    <n v="0"/>
    <n v="0"/>
    <n v="0"/>
    <n v="0.6"/>
    <s v="NF-X1900"/>
    <x v="60"/>
  </r>
  <r>
    <d v="2023-02-25T00:00:00"/>
    <x v="7"/>
    <s v="Admin/HR/IT"/>
    <s v="AMCARE NonOcc In"/>
    <s v="AMZN"/>
    <n v="112912074"/>
    <s v="Hernandez Gutierrez,Lizeth"/>
    <s v="Pizana,Diego"/>
    <n v="0"/>
    <n v="0"/>
    <n v="0"/>
    <n v="0"/>
    <n v="0.93"/>
    <e v="#N/A"/>
    <x v="0"/>
  </r>
  <r>
    <d v="2023-02-25T00:00:00"/>
    <x v="7"/>
    <s v="Admin/HR/IT"/>
    <s v="AMCARE NonOcc In"/>
    <s v="AMZN"/>
    <n v="112971965"/>
    <s v="Hernandez,Andrea"/>
    <s v="Romero Sanchez,Gustavo Gabriel"/>
    <n v="0"/>
    <n v="0"/>
    <n v="0"/>
    <n v="0"/>
    <n v="0.21"/>
    <e v="#N/A"/>
    <x v="0"/>
  </r>
  <r>
    <d v="2023-02-25T00:00:00"/>
    <x v="7"/>
    <s v="Admin/HR/IT"/>
    <s v="AMCARE NonOcc In"/>
    <s v="AMZN"/>
    <n v="112984442"/>
    <s v="Garcia,Mauricio Antonio De la lama"/>
    <s v="Gomez,Abinadab"/>
    <n v="0"/>
    <n v="0"/>
    <n v="0"/>
    <n v="0"/>
    <n v="0.86"/>
    <e v="#N/A"/>
    <x v="0"/>
  </r>
  <r>
    <d v="2023-02-26T00:00:00"/>
    <x v="8"/>
    <s v="Admin/HR/IT"/>
    <s v="AMCARE NonOcc In"/>
    <s v="AMZN"/>
    <n v="111261444"/>
    <s v="NÃºÃ±ez,Fernando"/>
    <s v="Madrid Molina,Ramon"/>
    <n v="0"/>
    <n v="0"/>
    <n v="0"/>
    <n v="0"/>
    <n v="0.11"/>
    <s v="DB-X0700"/>
    <x v="100"/>
  </r>
  <r>
    <d v="2023-02-26T00:00:00"/>
    <x v="8"/>
    <s v="Admin/HR/IT"/>
    <s v="AMCARE NonOcc In"/>
    <s v="AMZN"/>
    <n v="111434478"/>
    <s v="Gutierrez,Pame"/>
    <s v="Garcia Espejel,Brenda Victoria"/>
    <n v="0"/>
    <n v="0"/>
    <n v="0"/>
    <n v="0"/>
    <n v="0.21"/>
    <s v="DA-X0700"/>
    <x v="23"/>
  </r>
  <r>
    <d v="2023-02-26T00:00:00"/>
    <x v="8"/>
    <s v="Admin/HR/IT"/>
    <s v="AMCARE NonOcc In"/>
    <s v="AMZN"/>
    <n v="112912752"/>
    <s v="Valderrama Gomez,Leslie"/>
    <s v="Robledo Ugarte,Alejandro"/>
    <n v="0"/>
    <n v="0"/>
    <n v="0"/>
    <n v="0"/>
    <n v="0.28999999999999998"/>
    <s v="NF-X1900"/>
    <x v="5"/>
  </r>
  <r>
    <d v="2023-02-26T00:00:00"/>
    <x v="8"/>
    <s v="Admin/HR/IT"/>
    <s v="AMCARE NonOcc In"/>
    <s v="AMZN"/>
    <n v="112980847"/>
    <s v="Reyes,Jose"/>
    <s v="Robledo Ugarte,Alejandro"/>
    <n v="0"/>
    <n v="0"/>
    <n v="0"/>
    <n v="0"/>
    <n v="1.1299999999999999"/>
    <e v="#N/A"/>
    <x v="0"/>
  </r>
  <r>
    <d v="2023-02-26T00:00:00"/>
    <x v="8"/>
    <s v="Admin/HR/IT"/>
    <s v="AMCARE NonOcc In"/>
    <s v="AMZN"/>
    <n v="112980899"/>
    <s v="Avila Cabrera,Ari"/>
    <s v="Robledo Ugarte,Alejandro"/>
    <n v="0"/>
    <n v="0"/>
    <n v="0"/>
    <n v="0"/>
    <n v="0.27"/>
    <s v="NF-X1900"/>
    <x v="34"/>
  </r>
  <r>
    <d v="2023-02-26T00:00:00"/>
    <x v="8"/>
    <s v="Admin/HR/IT"/>
    <s v="AMCARE NonOcc In"/>
    <s v="AMZN"/>
    <n v="112981196"/>
    <s v="Gomez,Andrea"/>
    <s v="Gomez Aguado,Jorge"/>
    <n v="0"/>
    <n v="0"/>
    <n v="0"/>
    <n v="0"/>
    <n v="0.65"/>
    <e v="#N/A"/>
    <x v="22"/>
  </r>
  <r>
    <d v="2023-02-26T00:00:00"/>
    <x v="8"/>
    <s v="Admin/HR/IT"/>
    <s v="AMCARE NonOcc In"/>
    <s v="AMZN"/>
    <n v="113019083"/>
    <s v="Contreras,Marco"/>
    <s v="Madrid Molina,Ramon"/>
    <n v="0"/>
    <n v="0"/>
    <n v="0"/>
    <n v="0"/>
    <n v="0.09"/>
    <e v="#N/A"/>
    <x v="0"/>
  </r>
  <r>
    <d v="2023-02-26T00:00:00"/>
    <x v="8"/>
    <s v="Admin/HR/IT"/>
    <s v="AMCARE NonOcc In"/>
    <s v="TEMP"/>
    <n v="200589316"/>
    <s v="Torres Zuniga,Daniel"/>
    <s v="Madrid Molina,Ramon"/>
    <n v="0"/>
    <n v="0"/>
    <n v="0"/>
    <n v="0"/>
    <n v="0.33"/>
    <e v="#N/A"/>
    <x v="0"/>
  </r>
  <r>
    <d v="2023-02-26T00:00:00"/>
    <x v="8"/>
    <s v="Admin/HR/IT"/>
    <s v="AMCARE NonOcc In"/>
    <s v="TEMP"/>
    <n v="200625517"/>
    <s v="RamÃ­rez,Miranda"/>
    <s v="Corona Arriaga,Fernando"/>
    <n v="0"/>
    <n v="0"/>
    <n v="0"/>
    <n v="0"/>
    <n v="0.65"/>
    <e v="#N/A"/>
    <x v="0"/>
  </r>
  <r>
    <d v="2023-02-26T00:00:00"/>
    <x v="8"/>
    <s v="Admin/HR/IT"/>
    <s v="AMCARE NonOcc In"/>
    <s v="TEMP"/>
    <n v="200625528"/>
    <s v="Oliva,Lizbeth"/>
    <s v="Gomez Aguado,Jorge"/>
    <n v="0"/>
    <n v="0"/>
    <n v="0"/>
    <n v="0"/>
    <n v="0.09"/>
    <e v="#N/A"/>
    <x v="83"/>
  </r>
  <r>
    <d v="2023-02-27T00:00:00"/>
    <x v="8"/>
    <s v="Admin/HR/IT"/>
    <s v="AMCARE NonOcc In"/>
    <s v="AMZN"/>
    <n v="112912008"/>
    <s v="Espinosa,Consuelo"/>
    <s v="Rosas Negrete,Sebastian"/>
    <n v="0"/>
    <n v="0"/>
    <n v="0"/>
    <n v="0"/>
    <n v="0.08"/>
    <e v="#N/A"/>
    <x v="0"/>
  </r>
  <r>
    <d v="2023-02-27T00:00:00"/>
    <x v="8"/>
    <s v="Admin/HR/IT"/>
    <s v="AMCARE NonOcc In"/>
    <s v="AMZN"/>
    <n v="112912983"/>
    <s v="RodrÃ­guez,RocÃ­o"/>
    <s v="Camarena,Grecia"/>
    <n v="0"/>
    <n v="0"/>
    <n v="0"/>
    <n v="0"/>
    <n v="0.56000000000000005"/>
    <s v="NF-X1900"/>
    <x v="75"/>
  </r>
  <r>
    <d v="2023-02-27T00:00:00"/>
    <x v="8"/>
    <s v="Admin/HR/IT"/>
    <s v="AMCARE NonOcc In"/>
    <s v="AMZN"/>
    <n v="112950784"/>
    <s v="Rojas,Samuel"/>
    <s v="Piedra,Valentina"/>
    <n v="0"/>
    <n v="0"/>
    <n v="0"/>
    <n v="0"/>
    <n v="1.24"/>
    <s v="NF-X1900"/>
    <x v="13"/>
  </r>
  <r>
    <d v="2023-02-27T00:00:00"/>
    <x v="8"/>
    <s v="Admin/HR/IT"/>
    <s v="AMCARE NonOcc In"/>
    <s v="AMZN"/>
    <n v="200404250"/>
    <s v="Hurtado,Caty"/>
    <s v="Piedra,Valentina"/>
    <n v="0"/>
    <n v="0"/>
    <n v="0"/>
    <n v="0"/>
    <n v="0.4"/>
    <e v="#N/A"/>
    <x v="6"/>
  </r>
  <r>
    <d v="2023-02-27T00:00:00"/>
    <x v="8"/>
    <s v="Admin/HR/IT"/>
    <s v="AMCARE NonOcc In"/>
    <s v="AMZN"/>
    <n v="200408196"/>
    <s v="Hernandez Lara,Maggie"/>
    <s v="Piedra,Valentina"/>
    <n v="0"/>
    <n v="0"/>
    <n v="0"/>
    <n v="0"/>
    <n v="0.39"/>
    <e v="#N/A"/>
    <x v="0"/>
  </r>
  <r>
    <d v="2023-02-27T00:00:00"/>
    <x v="8"/>
    <s v="Admin/HR/IT"/>
    <s v="AMCARE NonOcc In"/>
    <s v="TEMP"/>
    <n v="200514421"/>
    <s v="Padilla Abrego,Angeles"/>
    <s v="Piedra,Valentina"/>
    <n v="0"/>
    <n v="0"/>
    <n v="0"/>
    <n v="0"/>
    <n v="0.39"/>
    <e v="#N/A"/>
    <x v="18"/>
  </r>
  <r>
    <d v="2023-02-27T00:00:00"/>
    <x v="8"/>
    <s v="Admin/HR/IT"/>
    <s v="AMCARE NonOcc In"/>
    <s v="TEMP"/>
    <n v="200589316"/>
    <s v="Torres Zuniga,Daniel"/>
    <s v="Madrid Molina,Ramon"/>
    <n v="0"/>
    <n v="0"/>
    <n v="0"/>
    <n v="0"/>
    <n v="0.18"/>
    <e v="#N/A"/>
    <x v="0"/>
  </r>
  <r>
    <d v="2023-02-27T00:00:00"/>
    <x v="8"/>
    <s v="Admin/HR/IT"/>
    <s v="AMCARE NonOcc In"/>
    <s v="TEMP"/>
    <n v="200625517"/>
    <s v="RamÃ­rez,Miranda"/>
    <s v="Corona Arriaga,Fernando"/>
    <n v="0"/>
    <n v="0"/>
    <n v="0"/>
    <n v="0"/>
    <n v="0.3"/>
    <e v="#N/A"/>
    <x v="0"/>
  </r>
  <r>
    <d v="2023-02-28T00:00:00"/>
    <x v="8"/>
    <s v="Admin/HR/IT"/>
    <s v="AMCARE NonOcc In"/>
    <s v="AMZN"/>
    <n v="111434478"/>
    <s v="Gutierrez,Pame"/>
    <s v="Garcia Espejel,Brenda Victoria"/>
    <n v="0"/>
    <n v="0"/>
    <n v="0"/>
    <n v="0"/>
    <n v="1.59"/>
    <s v="DA-X0700"/>
    <x v="23"/>
  </r>
  <r>
    <d v="2023-02-28T00:00:00"/>
    <x v="8"/>
    <s v="Admin/HR/IT"/>
    <s v="AMCARE NonOcc In"/>
    <s v="AMZN"/>
    <n v="112912201"/>
    <s v="Castillo Falcon,Sheyla"/>
    <s v="Corona Arriaga,Fernando"/>
    <n v="0"/>
    <n v="0"/>
    <n v="0"/>
    <n v="0"/>
    <n v="0.28999999999999998"/>
    <e v="#N/A"/>
    <x v="0"/>
  </r>
  <r>
    <d v="2023-02-28T00:00:00"/>
    <x v="8"/>
    <s v="Admin/HR/IT"/>
    <s v="AMCARE NonOcc In"/>
    <s v="AMZN"/>
    <n v="112912983"/>
    <s v="RodrÃ­guez,RocÃ­o"/>
    <s v="Camarena,Grecia"/>
    <n v="0"/>
    <n v="0"/>
    <n v="0"/>
    <n v="0"/>
    <n v="0.71"/>
    <s v="NF-X1900"/>
    <x v="75"/>
  </r>
  <r>
    <d v="2023-02-28T00:00:00"/>
    <x v="8"/>
    <s v="Admin/HR/IT"/>
    <s v="AMCARE NonOcc In"/>
    <s v="AMZN"/>
    <n v="112920655"/>
    <s v="Diaz de LeÃ³n,Paola"/>
    <s v="Pizana,Diego"/>
    <n v="0"/>
    <n v="0"/>
    <n v="0"/>
    <n v="0"/>
    <n v="0.8"/>
    <e v="#N/A"/>
    <x v="0"/>
  </r>
  <r>
    <d v="2023-02-28T00:00:00"/>
    <x v="8"/>
    <s v="Admin/HR/IT"/>
    <s v="AMCARE NonOcc In"/>
    <s v="AMZN"/>
    <n v="112971955"/>
    <s v="Perez Rodriguez,Luis"/>
    <s v="Cortes,Alejandra"/>
    <n v="0"/>
    <n v="0"/>
    <n v="0"/>
    <n v="0"/>
    <n v="0.5"/>
    <e v="#N/A"/>
    <x v="0"/>
  </r>
  <r>
    <d v="2023-02-28T00:00:00"/>
    <x v="8"/>
    <s v="Admin/HR/IT"/>
    <s v="AMCARE NonOcc In"/>
    <s v="AMZN"/>
    <n v="112980899"/>
    <s v="Avila Cabrera,Ari"/>
    <s v="Robledo Ugarte,Alejandro"/>
    <n v="0"/>
    <n v="0"/>
    <n v="0"/>
    <n v="0"/>
    <n v="0.44"/>
    <s v="NF-X1900"/>
    <x v="34"/>
  </r>
  <r>
    <d v="2023-02-28T00:00:00"/>
    <x v="8"/>
    <s v="Admin/HR/IT"/>
    <s v="AMCARE NonOcc In"/>
    <s v="AMZN"/>
    <n v="112981212"/>
    <s v="Zanella Miranda,Alyson"/>
    <s v="Ledezma,Fer"/>
    <n v="0"/>
    <n v="0"/>
    <n v="0"/>
    <n v="0"/>
    <n v="0.18"/>
    <e v="#N/A"/>
    <x v="77"/>
  </r>
  <r>
    <d v="2023-02-28T00:00:00"/>
    <x v="8"/>
    <s v="Admin/HR/IT"/>
    <s v="AMCARE NonOcc In"/>
    <s v="AMZN"/>
    <n v="113003609"/>
    <s v="Ornelas Valdes,Carlos"/>
    <s v="Gomez,Abinadab"/>
    <n v="0"/>
    <n v="0"/>
    <n v="0"/>
    <n v="0"/>
    <n v="1.59"/>
    <e v="#N/A"/>
    <x v="0"/>
  </r>
  <r>
    <d v="2023-02-28T00:00:00"/>
    <x v="8"/>
    <s v="Admin/HR/IT"/>
    <s v="AMCARE NonOcc In"/>
    <s v="AMZN"/>
    <n v="113014470"/>
    <s v="Aguilar Ibarra,Lupe"/>
    <s v="Hernandez,Nataly"/>
    <n v="0"/>
    <n v="0"/>
    <n v="0"/>
    <n v="0"/>
    <n v="0.47"/>
    <e v="#N/A"/>
    <x v="30"/>
  </r>
  <r>
    <d v="2023-02-28T00:00:00"/>
    <x v="8"/>
    <s v="Admin/HR/IT"/>
    <s v="AMCARE NonOcc In"/>
    <s v="AMZN"/>
    <n v="113019042"/>
    <s v="Gallegos Godinez,Eloy"/>
    <s v="Hernandez,Nataly"/>
    <n v="0"/>
    <n v="0"/>
    <n v="0"/>
    <n v="0"/>
    <n v="0.54"/>
    <e v="#N/A"/>
    <x v="0"/>
  </r>
  <r>
    <d v="2023-02-28T00:00:00"/>
    <x v="8"/>
    <s v="Admin/HR/IT"/>
    <s v="AMCARE NonOcc In"/>
    <s v="AMZN"/>
    <n v="113101453"/>
    <s v="Isaac,Geovanna"/>
    <s v="Corona Arriaga,Fernando"/>
    <n v="0"/>
    <n v="0"/>
    <n v="0"/>
    <n v="0"/>
    <n v="7.0000000000000007E-2"/>
    <e v="#N/A"/>
    <x v="4"/>
  </r>
  <r>
    <d v="2023-02-28T00:00:00"/>
    <x v="8"/>
    <s v="Admin/HR/IT"/>
    <s v="AMCARE NonOcc In"/>
    <s v="AMZN"/>
    <n v="200404250"/>
    <s v="Hurtado,Caty"/>
    <s v="Piedra,Valentina"/>
    <n v="0"/>
    <n v="0"/>
    <n v="0"/>
    <n v="0"/>
    <n v="0.51"/>
    <e v="#N/A"/>
    <x v="6"/>
  </r>
  <r>
    <d v="2023-02-28T00:00:00"/>
    <x v="8"/>
    <s v="Admin/HR/IT"/>
    <s v="AMCARE NonOcc In"/>
    <s v="TEMP"/>
    <n v="200565197"/>
    <s v="Avila,Mary"/>
    <s v="Piedra,Valentina"/>
    <n v="0"/>
    <n v="0"/>
    <n v="0"/>
    <n v="0"/>
    <n v="0.15"/>
    <e v="#N/A"/>
    <x v="0"/>
  </r>
  <r>
    <d v="2023-02-28T00:00:00"/>
    <x v="8"/>
    <s v="Admin/HR/IT"/>
    <s v="AMCARE NonOcc In"/>
    <s v="TEMP"/>
    <n v="200620024"/>
    <s v="Navarro,Miriam"/>
    <s v="Piedra,Valentina"/>
    <n v="0"/>
    <n v="0"/>
    <n v="0"/>
    <n v="0"/>
    <n v="0.44"/>
    <e v="#N/A"/>
    <x v="0"/>
  </r>
  <r>
    <d v="2023-03-01T00:00:00"/>
    <x v="8"/>
    <s v="Admin/HR/IT"/>
    <s v="AMCARE NonOcc In"/>
    <s v="TEMP"/>
    <n v="109227086"/>
    <s v="Tavares,Alejandra"/>
    <s v="Hernandez,Nataly"/>
    <n v="0"/>
    <n v="0"/>
    <n v="0"/>
    <n v="0"/>
    <n v="0.11"/>
    <e v="#N/A"/>
    <x v="0"/>
  </r>
  <r>
    <d v="2023-03-01T00:00:00"/>
    <x v="8"/>
    <s v="Admin/HR/IT"/>
    <s v="AMCARE NonOcc In"/>
    <s v="AMZN"/>
    <n v="112912163"/>
    <s v="Murillo,Alejandro"/>
    <s v="Piedra,Valentina"/>
    <n v="0"/>
    <n v="0"/>
    <n v="0"/>
    <n v="0"/>
    <n v="0.18"/>
    <e v="#N/A"/>
    <x v="0"/>
  </r>
  <r>
    <d v="2023-03-01T00:00:00"/>
    <x v="8"/>
    <s v="Admin/HR/IT"/>
    <s v="AMCARE NonOcc In"/>
    <s v="AMZN"/>
    <n v="112912743"/>
    <s v="Reyes Romo,Eduardo"/>
    <s v="Piedra,Valentina"/>
    <n v="0"/>
    <n v="0"/>
    <n v="0"/>
    <n v="0"/>
    <n v="0.19"/>
    <e v="#N/A"/>
    <x v="0"/>
  </r>
  <r>
    <d v="2023-03-01T00:00:00"/>
    <x v="8"/>
    <s v="Admin/HR/IT"/>
    <s v="AMCARE NonOcc In"/>
    <s v="AMZN"/>
    <n v="112912753"/>
    <s v="Padilla Abrego,Selene"/>
    <s v="Piedra,Valentina"/>
    <n v="0"/>
    <n v="0"/>
    <n v="0"/>
    <n v="0"/>
    <n v="0.32"/>
    <e v="#N/A"/>
    <x v="0"/>
  </r>
  <r>
    <d v="2023-03-01T00:00:00"/>
    <x v="8"/>
    <s v="Admin/HR/IT"/>
    <s v="AMCARE NonOcc In"/>
    <s v="AMZN"/>
    <n v="112984097"/>
    <s v="Aguilera,Yaremi"/>
    <s v="Corona Arriaga,Fernando"/>
    <n v="0"/>
    <n v="0"/>
    <n v="0"/>
    <n v="0"/>
    <n v="0.54"/>
    <e v="#N/A"/>
    <x v="0"/>
  </r>
  <r>
    <d v="2023-03-01T00:00:00"/>
    <x v="8"/>
    <s v="Admin/HR/IT"/>
    <s v="AMCARE NonOcc In"/>
    <s v="AMZN"/>
    <n v="113003609"/>
    <s v="Ornelas Valdes,Carlos"/>
    <s v="Gomez,Abinadab"/>
    <n v="0"/>
    <n v="0"/>
    <n v="0"/>
    <n v="0"/>
    <n v="0.45"/>
    <e v="#N/A"/>
    <x v="0"/>
  </r>
  <r>
    <d v="2023-03-01T00:00:00"/>
    <x v="8"/>
    <s v="Admin/HR/IT"/>
    <s v="AMCARE NonOcc In"/>
    <s v="AMZN"/>
    <n v="113014470"/>
    <s v="Aguilar Ibarra,Lupe"/>
    <s v="Hernandez,Nataly"/>
    <n v="0"/>
    <n v="0"/>
    <n v="0"/>
    <n v="0"/>
    <n v="0.37"/>
    <e v="#N/A"/>
    <x v="30"/>
  </r>
  <r>
    <d v="2023-03-01T00:00:00"/>
    <x v="8"/>
    <s v="Admin/HR/IT"/>
    <s v="AMCARE NonOcc In"/>
    <s v="AMZN"/>
    <n v="113101453"/>
    <s v="Isaac,Geovanna"/>
    <s v="Corona Arriaga,Fernando"/>
    <n v="0"/>
    <n v="0"/>
    <n v="0"/>
    <n v="0"/>
    <n v="0.2"/>
    <e v="#N/A"/>
    <x v="4"/>
  </r>
  <r>
    <d v="2023-03-01T00:00:00"/>
    <x v="8"/>
    <s v="Admin/HR/IT"/>
    <s v="AMCARE NonOcc In"/>
    <s v="AMZN"/>
    <n v="200404250"/>
    <s v="Hurtado,Caty"/>
    <s v="Piedra,Valentina"/>
    <n v="0"/>
    <n v="0"/>
    <n v="0"/>
    <n v="0"/>
    <n v="0.54"/>
    <e v="#N/A"/>
    <x v="6"/>
  </r>
  <r>
    <d v="2023-03-01T00:00:00"/>
    <x v="8"/>
    <s v="Admin/HR/IT"/>
    <s v="AMCARE NonOcc In"/>
    <s v="TEMP"/>
    <n v="200508315"/>
    <s v="Herrera,Aldair"/>
    <s v="Romero Sanchez,Gustavo Gabriel"/>
    <n v="0"/>
    <n v="0"/>
    <n v="0"/>
    <n v="0"/>
    <n v="0.51"/>
    <e v="#N/A"/>
    <x v="41"/>
  </r>
  <r>
    <d v="2023-03-01T00:00:00"/>
    <x v="8"/>
    <s v="Admin/HR/IT"/>
    <s v="AMCARE NonOcc In"/>
    <s v="TEMP"/>
    <n v="200508371"/>
    <s v="Perez,Georgina"/>
    <s v="Romero Sanchez,Gustavo Gabriel"/>
    <n v="0"/>
    <n v="0"/>
    <n v="0"/>
    <n v="0"/>
    <n v="0.56999999999999995"/>
    <e v="#N/A"/>
    <x v="0"/>
  </r>
  <r>
    <d v="2023-03-01T00:00:00"/>
    <x v="8"/>
    <s v="Admin/HR/IT"/>
    <s v="AMCARE NonOcc In"/>
    <s v="TEMP"/>
    <n v="200562303"/>
    <s v="Hernandez Cruz,Jorge"/>
    <s v="Hernandez,Nataly"/>
    <n v="0"/>
    <n v="0"/>
    <n v="0"/>
    <n v="0"/>
    <n v="0.74"/>
    <e v="#N/A"/>
    <x v="87"/>
  </r>
  <r>
    <d v="2023-03-01T00:00:00"/>
    <x v="8"/>
    <s v="Admin/HR/IT"/>
    <s v="AMCARE NonOcc In"/>
    <s v="TEMP"/>
    <n v="200574329"/>
    <s v="Llamas,Jonathan"/>
    <s v="Corona Arriaga,Fernando"/>
    <n v="0"/>
    <n v="0"/>
    <n v="0"/>
    <n v="0"/>
    <n v="0.21"/>
    <e v="#N/A"/>
    <x v="0"/>
  </r>
  <r>
    <d v="2023-03-02T00:00:00"/>
    <x v="8"/>
    <s v="Admin/HR/IT"/>
    <s v="AMCARE NonOcc In"/>
    <s v="TEMP"/>
    <n v="109227086"/>
    <s v="Tavares,Alejandra"/>
    <s v="Hernandez,Nataly"/>
    <n v="0"/>
    <n v="0"/>
    <n v="0"/>
    <n v="0"/>
    <n v="3.04"/>
    <e v="#N/A"/>
    <x v="0"/>
  </r>
  <r>
    <d v="2023-03-02T00:00:00"/>
    <x v="8"/>
    <s v="Admin/HR/IT"/>
    <s v="AMCARE NonOcc In"/>
    <s v="AMZN"/>
    <n v="112912201"/>
    <s v="Castillo Falcon,Sheyla"/>
    <s v="Corona Arriaga,Fernando"/>
    <n v="0"/>
    <n v="0"/>
    <n v="0"/>
    <n v="0"/>
    <n v="0.16"/>
    <e v="#N/A"/>
    <x v="0"/>
  </r>
  <r>
    <d v="2023-03-02T00:00:00"/>
    <x v="8"/>
    <s v="Admin/HR/IT"/>
    <s v="AMCARE NonOcc In"/>
    <s v="AMZN"/>
    <n v="112912677"/>
    <s v="Gonzalez,Gustavo"/>
    <s v="Camarena,Grecia"/>
    <n v="0"/>
    <n v="0"/>
    <n v="0"/>
    <n v="0"/>
    <n v="0.08"/>
    <e v="#N/A"/>
    <x v="0"/>
  </r>
  <r>
    <d v="2023-03-02T00:00:00"/>
    <x v="8"/>
    <s v="Admin/HR/IT"/>
    <s v="AMCARE NonOcc In"/>
    <s v="AMZN"/>
    <n v="112912743"/>
    <s v="Reyes Romo,Eduardo"/>
    <s v="Piedra,Valentina"/>
    <n v="0"/>
    <n v="0"/>
    <n v="0"/>
    <n v="0"/>
    <n v="0.18"/>
    <e v="#N/A"/>
    <x v="0"/>
  </r>
  <r>
    <d v="2023-03-02T00:00:00"/>
    <x v="8"/>
    <s v="Admin/HR/IT"/>
    <s v="AMCARE NonOcc In"/>
    <s v="AMZN"/>
    <n v="112951256"/>
    <s v="Ramirez Vallejo,Kateryne"/>
    <s v="Camarena,Grecia"/>
    <n v="0"/>
    <n v="0"/>
    <n v="0"/>
    <n v="0"/>
    <n v="1.1399999999999999"/>
    <s v="DA-X0700"/>
    <x v="27"/>
  </r>
  <r>
    <d v="2023-03-02T00:00:00"/>
    <x v="8"/>
    <s v="Admin/HR/IT"/>
    <s v="AMCARE NonOcc In"/>
    <s v="AMZN"/>
    <n v="112971955"/>
    <s v="Perez Rodriguez,Luis"/>
    <s v="Cortes,Alejandra"/>
    <n v="0"/>
    <n v="0"/>
    <n v="0"/>
    <n v="0"/>
    <n v="0.4"/>
    <e v="#N/A"/>
    <x v="0"/>
  </r>
  <r>
    <d v="2023-03-02T00:00:00"/>
    <x v="8"/>
    <s v="Admin/HR/IT"/>
    <s v="AMCARE NonOcc In"/>
    <s v="AMZN"/>
    <n v="112971961"/>
    <s v="Lopez,Jason"/>
    <s v="Camarena,Grecia"/>
    <n v="0"/>
    <n v="0"/>
    <n v="0"/>
    <n v="0"/>
    <n v="1.07"/>
    <e v="#N/A"/>
    <x v="0"/>
  </r>
  <r>
    <d v="2023-03-02T00:00:00"/>
    <x v="8"/>
    <s v="Admin/HR/IT"/>
    <s v="AMCARE NonOcc In"/>
    <s v="AMZN"/>
    <n v="112980832"/>
    <s v="Cruz Martinez,Salvador"/>
    <s v="Gomez Aguado,Jorge"/>
    <n v="0"/>
    <n v="0"/>
    <n v="0"/>
    <n v="0"/>
    <n v="0.02"/>
    <e v="#N/A"/>
    <x v="0"/>
  </r>
  <r>
    <d v="2023-03-02T00:00:00"/>
    <x v="8"/>
    <s v="Admin/HR/IT"/>
    <s v="AMCARE NonOcc In"/>
    <s v="AMZN"/>
    <n v="112980844"/>
    <s v="Padilla,Samantha"/>
    <s v="Robledo Ugarte,Alejandro"/>
    <n v="0"/>
    <n v="0"/>
    <n v="0"/>
    <n v="0"/>
    <n v="0.24"/>
    <s v="DA-X0700"/>
    <x v="2"/>
  </r>
  <r>
    <d v="2023-03-02T00:00:00"/>
    <x v="8"/>
    <s v="Admin/HR/IT"/>
    <s v="AMCARE NonOcc In"/>
    <s v="AMZN"/>
    <n v="112981014"/>
    <s v="Roldan Gutierrez,Pablo"/>
    <s v="Robledo Ugarte,Alejandro"/>
    <n v="0"/>
    <n v="0"/>
    <n v="0"/>
    <n v="0"/>
    <n v="0.16"/>
    <s v="DJ-X0700"/>
    <x v="29"/>
  </r>
  <r>
    <d v="2023-03-02T00:00:00"/>
    <x v="8"/>
    <s v="Admin/HR/IT"/>
    <s v="AMCARE NonOcc In"/>
    <s v="AMZN"/>
    <n v="113014011"/>
    <s v="Robledo Barrientos,Logan"/>
    <s v="Hernandez,Nataly"/>
    <n v="0"/>
    <n v="0"/>
    <n v="0"/>
    <n v="0"/>
    <n v="0.09"/>
    <e v="#N/A"/>
    <x v="0"/>
  </r>
  <r>
    <d v="2023-03-02T00:00:00"/>
    <x v="8"/>
    <s v="Admin/HR/IT"/>
    <s v="AMCARE NonOcc In"/>
    <s v="AMZN"/>
    <n v="113020476"/>
    <s v="Puente Aguilar,Polette"/>
    <s v="Romero Sanchez,Gustavo Gabriel"/>
    <n v="0"/>
    <n v="0"/>
    <n v="0"/>
    <n v="0"/>
    <n v="0.67"/>
    <e v="#N/A"/>
    <x v="19"/>
  </r>
  <r>
    <d v="2023-03-02T00:00:00"/>
    <x v="8"/>
    <s v="Admin/HR/IT"/>
    <s v="AMCARE NonOcc In"/>
    <s v="AMZN"/>
    <n v="113052151"/>
    <s v="Nieves Mendez,Laura"/>
    <s v="Ledezma,Fer"/>
    <n v="0"/>
    <n v="0"/>
    <n v="0"/>
    <n v="0"/>
    <n v="0.26"/>
    <e v="#N/A"/>
    <x v="56"/>
  </r>
  <r>
    <d v="2023-03-02T00:00:00"/>
    <x v="8"/>
    <s v="Admin/HR/IT"/>
    <s v="AMCARE NonOcc In"/>
    <s v="AMZN"/>
    <n v="113101453"/>
    <s v="Isaac,Geovanna"/>
    <s v="Corona Arriaga,Fernando"/>
    <n v="0"/>
    <n v="0"/>
    <n v="0"/>
    <n v="0"/>
    <n v="0.14000000000000001"/>
    <e v="#N/A"/>
    <x v="4"/>
  </r>
  <r>
    <d v="2023-03-02T00:00:00"/>
    <x v="8"/>
    <s v="Admin/HR/IT"/>
    <s v="AMCARE NonOcc In"/>
    <s v="AMZN"/>
    <n v="200404250"/>
    <s v="Hurtado,Caty"/>
    <s v="Piedra,Valentina"/>
    <n v="0"/>
    <n v="0"/>
    <n v="0"/>
    <n v="0"/>
    <n v="0.54"/>
    <e v="#N/A"/>
    <x v="6"/>
  </r>
  <r>
    <d v="2023-03-02T00:00:00"/>
    <x v="8"/>
    <s v="Admin/HR/IT"/>
    <s v="AMCARE NonOcc In"/>
    <s v="TEMP"/>
    <n v="200552734"/>
    <s v="Santiago Ramirez,Six"/>
    <s v="Romero Sanchez,Gustavo Gabriel"/>
    <n v="0"/>
    <n v="0"/>
    <n v="0"/>
    <n v="0"/>
    <n v="0.56000000000000005"/>
    <e v="#N/A"/>
    <x v="0"/>
  </r>
  <r>
    <d v="2023-03-02T00:00:00"/>
    <x v="8"/>
    <s v="Admin/HR/IT"/>
    <s v="AMCARE NonOcc In"/>
    <s v="TEMP"/>
    <n v="200565197"/>
    <s v="Avila,Mary"/>
    <s v="Piedra,Valentina"/>
    <n v="0"/>
    <n v="0"/>
    <n v="0"/>
    <n v="0"/>
    <n v="0.25"/>
    <e v="#N/A"/>
    <x v="0"/>
  </r>
  <r>
    <d v="2023-03-03T00:00:00"/>
    <x v="8"/>
    <s v="Admin/HR/IT"/>
    <s v="AMCARE NonOcc In"/>
    <s v="AMZN"/>
    <n v="103979960"/>
    <s v="Suchil Angel,Guillermo"/>
    <s v="Hernandez,Nataly"/>
    <n v="0"/>
    <n v="0"/>
    <n v="0"/>
    <n v="0"/>
    <n v="0.26"/>
    <e v="#N/A"/>
    <x v="0"/>
  </r>
  <r>
    <d v="2023-03-03T00:00:00"/>
    <x v="8"/>
    <s v="Admin/HR/IT"/>
    <s v="AMCARE NonOcc In"/>
    <s v="TEMP"/>
    <n v="109227086"/>
    <s v="Tavares,Alejandra"/>
    <s v="Hernandez,Nataly"/>
    <n v="0"/>
    <n v="0"/>
    <n v="0"/>
    <n v="0"/>
    <n v="0.21"/>
    <e v="#N/A"/>
    <x v="0"/>
  </r>
  <r>
    <d v="2023-03-03T00:00:00"/>
    <x v="8"/>
    <s v="Admin/HR/IT"/>
    <s v="AMCARE NonOcc In"/>
    <s v="AMZN"/>
    <n v="112912663"/>
    <s v="Segura,Lucero"/>
    <s v="Munoz,Jonan"/>
    <n v="0"/>
    <n v="0"/>
    <n v="0"/>
    <n v="0"/>
    <n v="0.19"/>
    <e v="#N/A"/>
    <x v="0"/>
  </r>
  <r>
    <d v="2023-03-03T00:00:00"/>
    <x v="8"/>
    <s v="Admin/HR/IT"/>
    <s v="AMCARE NonOcc In"/>
    <s v="AMZN"/>
    <n v="112980843"/>
    <s v="Santos,Israel"/>
    <s v="Robledo Ugarte,Alejandro"/>
    <n v="0"/>
    <n v="0"/>
    <n v="0"/>
    <n v="0"/>
    <n v="0.26"/>
    <s v="DA-X0700"/>
    <x v="85"/>
  </r>
  <r>
    <d v="2023-03-03T00:00:00"/>
    <x v="8"/>
    <s v="Admin/HR/IT"/>
    <s v="AMCARE NonOcc In"/>
    <s v="AMZN"/>
    <n v="112984442"/>
    <s v="Garcia,Mauricio Antonio De la lama"/>
    <s v="Gomez,Abinadab"/>
    <n v="0"/>
    <n v="0"/>
    <n v="0"/>
    <n v="0"/>
    <n v="0.72"/>
    <e v="#N/A"/>
    <x v="0"/>
  </r>
  <r>
    <d v="2023-03-03T00:00:00"/>
    <x v="8"/>
    <s v="Admin/HR/IT"/>
    <s v="AMCARE NonOcc In"/>
    <s v="AMZN"/>
    <n v="113003971"/>
    <s v="Garcia  Ramirez,Gabriel"/>
    <s v="Gomez,Abinadab"/>
    <n v="0"/>
    <n v="0"/>
    <n v="0"/>
    <n v="0"/>
    <n v="0.13"/>
    <e v="#N/A"/>
    <x v="10"/>
  </r>
  <r>
    <d v="2023-03-03T00:00:00"/>
    <x v="8"/>
    <s v="Admin/HR/IT"/>
    <s v="AMCARE NonOcc In"/>
    <s v="AMZN"/>
    <n v="113014007"/>
    <s v="Negrete Gallardo,Tony"/>
    <s v="Madrid Molina,Ramon"/>
    <n v="0"/>
    <n v="0"/>
    <n v="0"/>
    <n v="0"/>
    <n v="0.7"/>
    <e v="#N/A"/>
    <x v="0"/>
  </r>
  <r>
    <d v="2023-03-03T00:00:00"/>
    <x v="8"/>
    <s v="Admin/HR/IT"/>
    <s v="AMCARE NonOcc In"/>
    <s v="AMZN"/>
    <n v="113019042"/>
    <s v="Gallegos Godinez,Eloy"/>
    <s v="Hernandez,Nataly"/>
    <n v="0"/>
    <n v="0"/>
    <n v="0"/>
    <n v="0"/>
    <n v="0.28000000000000003"/>
    <e v="#N/A"/>
    <x v="0"/>
  </r>
  <r>
    <d v="2023-03-03T00:00:00"/>
    <x v="8"/>
    <s v="Admin/HR/IT"/>
    <s v="AMCARE NonOcc In"/>
    <s v="AMZN"/>
    <n v="200404250"/>
    <s v="Hurtado,Caty"/>
    <s v="Piedra,Valentina"/>
    <n v="0"/>
    <n v="0"/>
    <n v="0"/>
    <n v="0"/>
    <n v="0.61"/>
    <e v="#N/A"/>
    <x v="6"/>
  </r>
  <r>
    <d v="2023-03-03T00:00:00"/>
    <x v="8"/>
    <s v="Admin/HR/IT"/>
    <s v="AMCARE NonOcc In"/>
    <s v="TEMP"/>
    <n v="200614224"/>
    <s v="Cruz Hernandez,Cris"/>
    <s v="Ledezma,Fer"/>
    <n v="0"/>
    <n v="0"/>
    <n v="0"/>
    <n v="0"/>
    <n v="0.16"/>
    <e v="#N/A"/>
    <x v="0"/>
  </r>
  <r>
    <d v="2023-03-03T00:00:00"/>
    <x v="8"/>
    <s v="Admin/HR/IT"/>
    <s v="AMCARE NonOcc In"/>
    <s v="TEMP"/>
    <n v="200625528"/>
    <s v="Oliva,Lizbeth"/>
    <s v="Gomez Aguado,Jorge"/>
    <n v="0"/>
    <n v="0"/>
    <n v="0"/>
    <n v="0"/>
    <n v="0.28999999999999998"/>
    <e v="#N/A"/>
    <x v="83"/>
  </r>
  <r>
    <d v="2023-03-03T00:00:00"/>
    <x v="8"/>
    <s v="Admin/HR/IT"/>
    <s v="AMCARE NonOcc In"/>
    <s v="TEMP"/>
    <n v="201159079"/>
    <s v="Oliva,Nancy"/>
    <s v="Morales Beristain,Sugeyt"/>
    <n v="0"/>
    <n v="0"/>
    <n v="0"/>
    <n v="0"/>
    <n v="1.61"/>
    <e v="#N/A"/>
    <x v="0"/>
  </r>
  <r>
    <d v="2023-03-04T00:00:00"/>
    <x v="8"/>
    <s v="Admin/HR/IT"/>
    <s v="AMCARE NonOcc In"/>
    <s v="AMZN"/>
    <n v="113003679"/>
    <s v="Ibarra,Jose"/>
    <s v="Madrid Molina,Ramon"/>
    <n v="0"/>
    <n v="0"/>
    <n v="0"/>
    <n v="0"/>
    <n v="0.21"/>
    <e v="#N/A"/>
    <x v="0"/>
  </r>
  <r>
    <d v="2023-03-04T00:00:00"/>
    <x v="8"/>
    <s v="Admin/HR/IT"/>
    <s v="AMCARE NonOcc In"/>
    <s v="AMZN"/>
    <n v="113040582"/>
    <s v="HDZ,DEMON"/>
    <s v="Madrid Molina,Ramon"/>
    <n v="0"/>
    <n v="0"/>
    <n v="0"/>
    <n v="0"/>
    <n v="0.02"/>
    <e v="#N/A"/>
    <x v="63"/>
  </r>
  <r>
    <d v="2023-03-04T00:00:00"/>
    <x v="8"/>
    <s v="Admin/HR/IT"/>
    <s v="AMCARE NonOcc In"/>
    <s v="TEMP"/>
    <n v="200589316"/>
    <s v="Torres Zuniga,Daniel"/>
    <s v="Madrid Molina,Ramon"/>
    <n v="0"/>
    <n v="0"/>
    <n v="0"/>
    <n v="0"/>
    <n v="0.56000000000000005"/>
    <e v="#N/A"/>
    <x v="0"/>
  </r>
  <r>
    <d v="2023-03-04T00:00:00"/>
    <x v="8"/>
    <s v="Admin/HR/IT"/>
    <s v="AMCARE NonOcc In"/>
    <s v="TEMP"/>
    <n v="201159079"/>
    <s v="Oliva,Nancy"/>
    <s v="Morales Beristain,Sugeyt"/>
    <n v="0"/>
    <n v="0"/>
    <n v="0"/>
    <n v="0"/>
    <n v="0.92"/>
    <e v="#N/A"/>
    <x v="0"/>
  </r>
  <r>
    <d v="2023-03-05T00:00:00"/>
    <x v="9"/>
    <s v="Admin/HR/IT"/>
    <s v="AMCARE NonOcc In"/>
    <s v="AMZN"/>
    <n v="112971980"/>
    <s v="Romero,Daniel"/>
    <s v="Pizana,Diego"/>
    <n v="0"/>
    <n v="0"/>
    <n v="0"/>
    <n v="0"/>
    <n v="0.2"/>
    <s v="DC-X0700"/>
    <x v="43"/>
  </r>
  <r>
    <d v="2023-03-05T00:00:00"/>
    <x v="9"/>
    <s v="Admin/HR/IT"/>
    <s v="AMCARE NonOcc In"/>
    <s v="AMZN"/>
    <n v="112980832"/>
    <s v="Cruz Martinez,Salvador"/>
    <s v="Gomez Aguado,Jorge"/>
    <n v="0"/>
    <n v="0"/>
    <n v="0"/>
    <n v="0"/>
    <n v="0.5"/>
    <e v="#N/A"/>
    <x v="0"/>
  </r>
  <r>
    <d v="2023-03-05T00:00:00"/>
    <x v="9"/>
    <s v="Admin/HR/IT"/>
    <s v="AMCARE NonOcc In"/>
    <s v="AMZN"/>
    <n v="112981212"/>
    <s v="Zanella Miranda,Alyson"/>
    <s v="Ledezma,Fer"/>
    <n v="0"/>
    <n v="0"/>
    <n v="0"/>
    <n v="0"/>
    <n v="0.28999999999999998"/>
    <e v="#N/A"/>
    <x v="77"/>
  </r>
  <r>
    <d v="2023-03-05T00:00:00"/>
    <x v="9"/>
    <s v="Admin/HR/IT"/>
    <s v="AMCARE NonOcc In"/>
    <s v="AMZN"/>
    <n v="112984097"/>
    <s v="Aguilera,Yaremi"/>
    <s v="Corona Arriaga,Fernando"/>
    <n v="0"/>
    <n v="0"/>
    <n v="0"/>
    <n v="0"/>
    <n v="0.26"/>
    <e v="#N/A"/>
    <x v="0"/>
  </r>
  <r>
    <d v="2023-03-05T00:00:00"/>
    <x v="9"/>
    <s v="Admin/HR/IT"/>
    <s v="AMCARE NonOcc In"/>
    <s v="AMZN"/>
    <n v="113003679"/>
    <s v="Ibarra,Jose"/>
    <s v="Madrid Molina,Ramon"/>
    <n v="0"/>
    <n v="0"/>
    <n v="0"/>
    <n v="0"/>
    <n v="0.21"/>
    <e v="#N/A"/>
    <x v="0"/>
  </r>
  <r>
    <d v="2023-03-05T00:00:00"/>
    <x v="9"/>
    <s v="Admin/HR/IT"/>
    <s v="AMCARE NonOcc In"/>
    <s v="AMZN"/>
    <n v="113014011"/>
    <s v="Robledo Barrientos,Logan"/>
    <s v="Hernandez,Nataly"/>
    <n v="0"/>
    <n v="0"/>
    <n v="0"/>
    <n v="0"/>
    <n v="0.94"/>
    <e v="#N/A"/>
    <x v="0"/>
  </r>
  <r>
    <d v="2023-03-05T00:00:00"/>
    <x v="9"/>
    <s v="Admin/HR/IT"/>
    <s v="AMCARE NonOcc In"/>
    <s v="AMZN"/>
    <n v="113014081"/>
    <s v="Frausto,Genesis"/>
    <s v="Piedra,Valentina"/>
    <n v="0"/>
    <n v="0"/>
    <n v="0"/>
    <n v="0"/>
    <n v="0.31"/>
    <e v="#N/A"/>
    <x v="9"/>
  </r>
  <r>
    <d v="2023-03-05T00:00:00"/>
    <x v="9"/>
    <s v="Admin/HR/IT"/>
    <s v="AMCARE NonOcc In"/>
    <s v="AMZN"/>
    <n v="113014472"/>
    <s v="Ramirez Munoz,Alfredo"/>
    <s v="Madrid Molina,Ramon"/>
    <n v="0"/>
    <n v="0"/>
    <n v="0"/>
    <n v="0"/>
    <n v="0.61"/>
    <e v="#N/A"/>
    <x v="0"/>
  </r>
  <r>
    <d v="2023-03-05T00:00:00"/>
    <x v="9"/>
    <s v="Admin/HR/IT"/>
    <s v="AMCARE NonOcc In"/>
    <s v="TEMP"/>
    <n v="200534675"/>
    <s v="Munoz Macias,Juan Pablo"/>
    <s v="Ledezma,Fer"/>
    <n v="0"/>
    <n v="0"/>
    <n v="0"/>
    <n v="0"/>
    <n v="0.17"/>
    <e v="#N/A"/>
    <x v="69"/>
  </r>
  <r>
    <d v="2023-03-05T00:00:00"/>
    <x v="9"/>
    <s v="Admin/HR/IT"/>
    <s v="AMCARE NonOcc In"/>
    <s v="TEMP"/>
    <n v="200564845"/>
    <s v="Barron,Abraham"/>
    <s v="Piedra,Valentina"/>
    <n v="0"/>
    <n v="0"/>
    <n v="0"/>
    <n v="0"/>
    <n v="0.31"/>
    <e v="#N/A"/>
    <x v="0"/>
  </r>
  <r>
    <d v="2023-03-05T00:00:00"/>
    <x v="9"/>
    <s v="Admin/HR/IT"/>
    <s v="AMCARE NonOcc In"/>
    <s v="TEMP"/>
    <n v="200589316"/>
    <s v="Torres Zuniga,Daniel"/>
    <s v="Madrid Molina,Ramon"/>
    <n v="0"/>
    <n v="0"/>
    <n v="0"/>
    <n v="0"/>
    <n v="0.31"/>
    <e v="#N/A"/>
    <x v="0"/>
  </r>
  <r>
    <d v="2023-03-06T00:00:00"/>
    <x v="9"/>
    <s v="Admin/HR/IT"/>
    <s v="AMCARE NonOcc In"/>
    <s v="AMZN"/>
    <n v="112912459"/>
    <s v="Maldonado Hernandez,Miguel"/>
    <s v="Madrid Molina,Ramon"/>
    <n v="0"/>
    <n v="0"/>
    <n v="0"/>
    <n v="0"/>
    <n v="0.28999999999999998"/>
    <e v="#N/A"/>
    <x v="0"/>
  </r>
  <r>
    <d v="2023-03-06T00:00:00"/>
    <x v="9"/>
    <s v="Admin/HR/IT"/>
    <s v="AMCARE NonOcc In"/>
    <s v="AMZN"/>
    <n v="112912674"/>
    <s v="Rodriguez Zamora,Rocio"/>
    <s v="Garcia Espejel,Brenda Victoria"/>
    <n v="0"/>
    <n v="0"/>
    <n v="0"/>
    <n v="0"/>
    <n v="0.62"/>
    <s v="DA-X0700"/>
    <x v="101"/>
  </r>
  <r>
    <d v="2023-03-06T00:00:00"/>
    <x v="9"/>
    <s v="Admin/HR/IT"/>
    <s v="AMCARE NonOcc In"/>
    <s v="AMZN"/>
    <n v="112980843"/>
    <s v="Santos,Israel"/>
    <s v="Robledo Ugarte,Alejandro"/>
    <n v="0"/>
    <n v="0"/>
    <n v="0"/>
    <n v="0"/>
    <n v="0.16"/>
    <s v="DA-X0700"/>
    <x v="85"/>
  </r>
  <r>
    <d v="2023-03-06T00:00:00"/>
    <x v="9"/>
    <s v="Admin/HR/IT"/>
    <s v="AMCARE NonOcc In"/>
    <s v="AMZN"/>
    <n v="112980899"/>
    <s v="Avila Cabrera,Ari"/>
    <s v="Robledo Ugarte,Alejandro"/>
    <n v="0"/>
    <n v="0"/>
    <n v="0"/>
    <n v="0"/>
    <n v="0.51"/>
    <s v="NF-X1900"/>
    <x v="34"/>
  </r>
  <r>
    <d v="2023-03-06T00:00:00"/>
    <x v="9"/>
    <s v="Admin/HR/IT"/>
    <s v="AMCARE NonOcc In"/>
    <s v="AMZN"/>
    <n v="112981205"/>
    <s v="Cano,Leilani"/>
    <s v="Corona Arriaga,Fernando"/>
    <n v="0"/>
    <n v="0"/>
    <n v="0"/>
    <n v="0"/>
    <n v="0.18"/>
    <e v="#N/A"/>
    <x v="0"/>
  </r>
  <r>
    <d v="2023-03-06T00:00:00"/>
    <x v="9"/>
    <s v="Admin/HR/IT"/>
    <s v="AMCARE NonOcc In"/>
    <s v="AMZN"/>
    <n v="113014011"/>
    <s v="Robledo Barrientos,Logan"/>
    <s v="Hernandez,Nataly"/>
    <n v="0"/>
    <n v="0"/>
    <n v="0"/>
    <n v="0"/>
    <n v="0.54"/>
    <e v="#N/A"/>
    <x v="0"/>
  </r>
  <r>
    <d v="2023-03-06T00:00:00"/>
    <x v="9"/>
    <s v="Admin/HR/IT"/>
    <s v="AMCARE NonOcc In"/>
    <s v="AMZN"/>
    <n v="113014081"/>
    <s v="Frausto,Genesis"/>
    <s v="Piedra,Valentina"/>
    <n v="0"/>
    <n v="0"/>
    <n v="0"/>
    <n v="0"/>
    <n v="0.17"/>
    <e v="#N/A"/>
    <x v="9"/>
  </r>
  <r>
    <d v="2023-03-06T00:00:00"/>
    <x v="9"/>
    <s v="Admin/HR/IT"/>
    <s v="AMCARE NonOcc In"/>
    <s v="AMZN"/>
    <n v="113019042"/>
    <s v="Gallegos Godinez,Eloy"/>
    <s v="Hernandez,Nataly"/>
    <n v="0"/>
    <n v="0"/>
    <n v="0"/>
    <n v="0"/>
    <n v="0.19"/>
    <e v="#N/A"/>
    <x v="0"/>
  </r>
  <r>
    <d v="2023-03-06T00:00:00"/>
    <x v="9"/>
    <s v="Admin/HR/IT"/>
    <s v="AMCARE NonOcc In"/>
    <s v="AMZN"/>
    <n v="113040582"/>
    <s v="HDZ,DEMON"/>
    <s v="Madrid Molina,Ramon"/>
    <n v="0"/>
    <n v="0"/>
    <n v="0"/>
    <n v="0"/>
    <n v="0.23"/>
    <e v="#N/A"/>
    <x v="63"/>
  </r>
  <r>
    <d v="2023-03-06T00:00:00"/>
    <x v="9"/>
    <s v="Admin/HR/IT"/>
    <s v="AMCARE NonOcc In"/>
    <s v="AMZN"/>
    <n v="113101453"/>
    <s v="Isaac,Geovanna"/>
    <s v="Corona Arriaga,Fernando"/>
    <n v="0"/>
    <n v="0"/>
    <n v="0"/>
    <n v="0"/>
    <n v="0.37"/>
    <e v="#N/A"/>
    <x v="4"/>
  </r>
  <r>
    <d v="2023-03-06T00:00:00"/>
    <x v="9"/>
    <s v="Admin/HR/IT"/>
    <s v="AMCARE NonOcc In"/>
    <s v="AMZN"/>
    <n v="200404250"/>
    <s v="Hurtado,Caty"/>
    <s v="Piedra,Valentina"/>
    <n v="0"/>
    <n v="0"/>
    <n v="0"/>
    <n v="0"/>
    <n v="1.25"/>
    <e v="#N/A"/>
    <x v="6"/>
  </r>
  <r>
    <d v="2023-03-06T00:00:00"/>
    <x v="9"/>
    <s v="Admin/HR/IT"/>
    <s v="AMCARE NonOcc In"/>
    <s v="TEMP"/>
    <n v="200534675"/>
    <s v="Munoz Macias,Juan Pablo"/>
    <s v="Ledezma,Fer"/>
    <n v="0"/>
    <n v="0"/>
    <n v="0"/>
    <n v="0"/>
    <n v="0.12"/>
    <e v="#N/A"/>
    <x v="69"/>
  </r>
  <r>
    <d v="2023-03-06T00:00:00"/>
    <x v="9"/>
    <s v="Admin/HR/IT"/>
    <s v="AMCARE NonOcc In"/>
    <s v="TEMP"/>
    <n v="200564845"/>
    <s v="Barron,Abraham"/>
    <s v="Piedra,Valentina"/>
    <n v="0"/>
    <n v="0"/>
    <n v="0"/>
    <n v="0"/>
    <n v="0.27"/>
    <e v="#N/A"/>
    <x v="0"/>
  </r>
  <r>
    <d v="2023-03-07T00:00:00"/>
    <x v="9"/>
    <s v="Admin/HR/IT"/>
    <s v="AMCARE NonOcc In"/>
    <s v="TEMP"/>
    <n v="109227086"/>
    <s v="Tavares,Alejandra"/>
    <s v="Hernandez,Nataly"/>
    <n v="0"/>
    <n v="0"/>
    <n v="0"/>
    <n v="0"/>
    <n v="0.22"/>
    <e v="#N/A"/>
    <x v="0"/>
  </r>
  <r>
    <d v="2023-03-07T00:00:00"/>
    <x v="9"/>
    <s v="Admin/HR/IT"/>
    <s v="AMCARE NonOcc In"/>
    <s v="AMZN"/>
    <n v="111434478"/>
    <s v="Gutierrez,Pame"/>
    <s v="Garcia Espejel,Brenda Victoria"/>
    <n v="0"/>
    <n v="0"/>
    <n v="0"/>
    <n v="0"/>
    <n v="0.73"/>
    <s v="DA-X0700"/>
    <x v="23"/>
  </r>
  <r>
    <d v="2023-03-07T00:00:00"/>
    <x v="9"/>
    <s v="Admin/HR/IT"/>
    <s v="AMCARE NonOcc In"/>
    <s v="AMZN"/>
    <n v="112912397"/>
    <s v="Neri Zuniga,Ricardo"/>
    <s v="Camarena,Grecia"/>
    <n v="0"/>
    <n v="0"/>
    <n v="0"/>
    <n v="0"/>
    <n v="0.42"/>
    <s v="D5-X0700"/>
    <x v="59"/>
  </r>
  <r>
    <d v="2023-03-07T00:00:00"/>
    <x v="9"/>
    <s v="Admin/HR/IT"/>
    <s v="AMCARE NonOcc In"/>
    <s v="AMZN"/>
    <n v="112912459"/>
    <s v="Maldonado Hernandez,Miguel"/>
    <s v="Madrid Molina,Ramon"/>
    <n v="0"/>
    <n v="0"/>
    <n v="0"/>
    <n v="0"/>
    <n v="0.49"/>
    <e v="#N/A"/>
    <x v="0"/>
  </r>
  <r>
    <d v="2023-03-07T00:00:00"/>
    <x v="9"/>
    <s v="Admin/HR/IT"/>
    <s v="AMCARE NonOcc In"/>
    <s v="AMZN"/>
    <n v="112912507"/>
    <s v="Velazquez,Charlie"/>
    <s v="Munoz,Jonan"/>
    <n v="0"/>
    <n v="0"/>
    <n v="0"/>
    <n v="0"/>
    <n v="0.24"/>
    <s v="DA-X0700"/>
    <x v="102"/>
  </r>
  <r>
    <d v="2023-03-07T00:00:00"/>
    <x v="9"/>
    <s v="Admin/HR/IT"/>
    <s v="AMCARE NonOcc In"/>
    <s v="AMZN"/>
    <n v="112912663"/>
    <s v="Segura,Lucero"/>
    <s v="Munoz,Jonan"/>
    <n v="0"/>
    <n v="0"/>
    <n v="0"/>
    <n v="0"/>
    <n v="0.56000000000000005"/>
    <e v="#N/A"/>
    <x v="0"/>
  </r>
  <r>
    <d v="2023-03-07T00:00:00"/>
    <x v="9"/>
    <s v="Admin/HR/IT"/>
    <s v="AMCARE NonOcc In"/>
    <s v="AMZN"/>
    <n v="112920664"/>
    <s v="Alba,Samuel"/>
    <s v="Rosas Negrete,Sebastian"/>
    <n v="0"/>
    <n v="0"/>
    <n v="0"/>
    <n v="0"/>
    <n v="0.34"/>
    <s v="DA-X0700"/>
    <x v="53"/>
  </r>
  <r>
    <d v="2023-03-07T00:00:00"/>
    <x v="9"/>
    <s v="Admin/HR/IT"/>
    <s v="AMCARE NonOcc In"/>
    <s v="AMZN"/>
    <n v="112971965"/>
    <s v="Hernandez,Andrea"/>
    <s v="Romero Sanchez,Gustavo Gabriel"/>
    <n v="0"/>
    <n v="0"/>
    <n v="0"/>
    <n v="0"/>
    <n v="0.63"/>
    <e v="#N/A"/>
    <x v="0"/>
  </r>
  <r>
    <d v="2023-03-07T00:00:00"/>
    <x v="9"/>
    <s v="Admin/HR/IT"/>
    <s v="AMCARE NonOcc In"/>
    <s v="AMZN"/>
    <n v="112981196"/>
    <s v="Gomez,Andrea"/>
    <s v="Gomez Aguado,Jorge"/>
    <n v="0"/>
    <n v="0"/>
    <n v="0"/>
    <n v="0"/>
    <n v="0.15"/>
    <e v="#N/A"/>
    <x v="22"/>
  </r>
  <r>
    <d v="2023-03-07T00:00:00"/>
    <x v="9"/>
    <s v="Admin/HR/IT"/>
    <s v="AMCARE NonOcc In"/>
    <s v="AMZN"/>
    <n v="112981205"/>
    <s v="Cano,Leilani"/>
    <s v="Corona Arriaga,Fernando"/>
    <n v="0"/>
    <n v="0"/>
    <n v="0"/>
    <n v="0"/>
    <n v="0.72"/>
    <e v="#N/A"/>
    <x v="0"/>
  </r>
  <r>
    <d v="2023-03-07T00:00:00"/>
    <x v="9"/>
    <s v="Admin/HR/IT"/>
    <s v="AMCARE NonOcc In"/>
    <s v="AMZN"/>
    <n v="113014081"/>
    <s v="Frausto,Genesis"/>
    <s v="Piedra,Valentina"/>
    <n v="0"/>
    <n v="0"/>
    <n v="0"/>
    <n v="0"/>
    <n v="0.09"/>
    <e v="#N/A"/>
    <x v="9"/>
  </r>
  <r>
    <d v="2023-03-07T00:00:00"/>
    <x v="9"/>
    <s v="Admin/HR/IT"/>
    <s v="AMCARE NonOcc In"/>
    <s v="AMZN"/>
    <n v="113019042"/>
    <s v="Gallegos Godinez,Eloy"/>
    <s v="Hernandez,Nataly"/>
    <n v="0"/>
    <n v="0"/>
    <n v="0"/>
    <n v="0"/>
    <n v="0.67"/>
    <e v="#N/A"/>
    <x v="0"/>
  </r>
  <r>
    <d v="2023-03-07T00:00:00"/>
    <x v="9"/>
    <s v="Admin/HR/IT"/>
    <s v="AMCARE NonOcc In"/>
    <s v="AMZN"/>
    <n v="113020497"/>
    <s v="Martinez Ruiz,Diana"/>
    <s v="Piedra,Valentina"/>
    <n v="0"/>
    <n v="0"/>
    <n v="0"/>
    <n v="0"/>
    <n v="0.74"/>
    <e v="#N/A"/>
    <x v="82"/>
  </r>
  <r>
    <d v="2023-03-07T00:00:00"/>
    <x v="9"/>
    <s v="Admin/HR/IT"/>
    <s v="AMCARE NonOcc In"/>
    <s v="AMZN"/>
    <n v="200404250"/>
    <s v="Hurtado,Caty"/>
    <s v="Piedra,Valentina"/>
    <n v="0"/>
    <n v="0"/>
    <n v="0"/>
    <n v="0"/>
    <n v="0.96"/>
    <e v="#N/A"/>
    <x v="6"/>
  </r>
  <r>
    <d v="2023-03-07T00:00:00"/>
    <x v="9"/>
    <s v="Admin/HR/IT"/>
    <s v="AMCARE NonOcc In"/>
    <s v="TEMP"/>
    <n v="200514421"/>
    <s v="Padilla Abrego,Angeles"/>
    <s v="Piedra,Valentina"/>
    <n v="0"/>
    <n v="0"/>
    <n v="0"/>
    <n v="0"/>
    <n v="1.72"/>
    <e v="#N/A"/>
    <x v="18"/>
  </r>
  <r>
    <d v="2023-03-07T00:00:00"/>
    <x v="9"/>
    <s v="Admin/HR/IT"/>
    <s v="AMCARE NonOcc In"/>
    <s v="TEMP"/>
    <n v="200553205"/>
    <s v="Cabrera,Nancy"/>
    <s v="Piedra,Valentina"/>
    <n v="0"/>
    <n v="0"/>
    <n v="0"/>
    <n v="0"/>
    <n v="0.61"/>
    <e v="#N/A"/>
    <x v="0"/>
  </r>
  <r>
    <d v="2023-03-07T00:00:00"/>
    <x v="9"/>
    <s v="Admin/HR/IT"/>
    <s v="AMCARE NonOcc In"/>
    <s v="TEMP"/>
    <n v="200625517"/>
    <s v="RamÃ­rez,Miranda"/>
    <s v="Corona Arriaga,Fernando"/>
    <n v="0"/>
    <n v="0"/>
    <n v="0"/>
    <n v="0"/>
    <n v="0.4"/>
    <e v="#N/A"/>
    <x v="0"/>
  </r>
  <r>
    <d v="2023-03-08T00:00:00"/>
    <x v="9"/>
    <s v="Admin/HR/IT"/>
    <s v="AMCARE NonOcc In"/>
    <s v="AMZN"/>
    <n v="112912163"/>
    <s v="Murillo,Alejandro"/>
    <s v="Piedra,Valentina"/>
    <n v="0"/>
    <n v="0"/>
    <n v="0"/>
    <n v="0"/>
    <n v="0.4"/>
    <e v="#N/A"/>
    <x v="0"/>
  </r>
  <r>
    <d v="2023-03-08T00:00:00"/>
    <x v="9"/>
    <s v="Admin/HR/IT"/>
    <s v="AMCARE NonOcc In"/>
    <s v="AMZN"/>
    <n v="112972524"/>
    <s v="Santibanez Garcia,Luisa"/>
    <s v="Lopez,Alexa"/>
    <n v="0"/>
    <n v="0"/>
    <n v="0"/>
    <n v="0"/>
    <n v="0.43"/>
    <s v="DB-X0700"/>
    <x v="15"/>
  </r>
  <r>
    <d v="2023-03-08T00:00:00"/>
    <x v="9"/>
    <s v="Admin/HR/IT"/>
    <s v="AMCARE NonOcc In"/>
    <s v="AMZN"/>
    <n v="112980844"/>
    <s v="Padilla,Samantha"/>
    <s v="Robledo Ugarte,Alejandro"/>
    <n v="0"/>
    <n v="0"/>
    <n v="0"/>
    <n v="0"/>
    <n v="0.71"/>
    <s v="DA-X0700"/>
    <x v="2"/>
  </r>
  <r>
    <d v="2023-03-08T00:00:00"/>
    <x v="9"/>
    <s v="Admin/HR/IT"/>
    <s v="AMCARE NonOcc In"/>
    <s v="AMZN"/>
    <n v="112981204"/>
    <s v="Martinez  Trueba,Angel"/>
    <s v="Corona Arriaga,Fernando"/>
    <n v="0"/>
    <n v="0"/>
    <n v="0"/>
    <n v="0"/>
    <n v="0.13"/>
    <e v="#N/A"/>
    <x v="0"/>
  </r>
  <r>
    <d v="2023-03-08T00:00:00"/>
    <x v="9"/>
    <s v="Admin/HR/IT"/>
    <s v="AMCARE NonOcc In"/>
    <s v="AMZN"/>
    <n v="113003631"/>
    <s v="Ortega,Elizabeth"/>
    <s v="Gomez Aguado,Jorge"/>
    <n v="0"/>
    <n v="0"/>
    <n v="0"/>
    <n v="0"/>
    <n v="0.2"/>
    <e v="#N/A"/>
    <x v="0"/>
  </r>
  <r>
    <d v="2023-03-08T00:00:00"/>
    <x v="9"/>
    <s v="Admin/HR/IT"/>
    <s v="AMCARE NonOcc In"/>
    <s v="AMZN"/>
    <n v="113003656"/>
    <s v="Argote,Enrique"/>
    <s v="Madrid Molina,Ramon"/>
    <n v="0"/>
    <n v="0"/>
    <n v="0"/>
    <n v="0"/>
    <n v="0.11"/>
    <e v="#N/A"/>
    <x v="21"/>
  </r>
  <r>
    <d v="2023-03-08T00:00:00"/>
    <x v="9"/>
    <s v="Admin/HR/IT"/>
    <s v="AMCARE NonOcc In"/>
    <s v="AMZN"/>
    <n v="113019042"/>
    <s v="Gallegos Godinez,Eloy"/>
    <s v="Hernandez,Nataly"/>
    <n v="0"/>
    <n v="0"/>
    <n v="0"/>
    <n v="0"/>
    <n v="0.81"/>
    <e v="#N/A"/>
    <x v="0"/>
  </r>
  <r>
    <d v="2023-03-08T00:00:00"/>
    <x v="9"/>
    <s v="Admin/HR/IT"/>
    <s v="AMCARE NonOcc In"/>
    <s v="AMZN"/>
    <n v="200404250"/>
    <s v="Hurtado,Caty"/>
    <s v="Piedra,Valentina"/>
    <n v="0"/>
    <n v="0"/>
    <n v="0"/>
    <n v="0"/>
    <n v="0.41"/>
    <e v="#N/A"/>
    <x v="6"/>
  </r>
  <r>
    <d v="2023-03-08T00:00:00"/>
    <x v="9"/>
    <s v="Admin/HR/IT"/>
    <s v="AMCARE NonOcc In"/>
    <s v="TEMP"/>
    <n v="200514421"/>
    <s v="Padilla Abrego,Angeles"/>
    <s v="Piedra,Valentina"/>
    <n v="0"/>
    <n v="0"/>
    <n v="0"/>
    <n v="0"/>
    <n v="2"/>
    <e v="#N/A"/>
    <x v="18"/>
  </r>
  <r>
    <d v="2023-03-08T00:00:00"/>
    <x v="9"/>
    <s v="Admin/HR/IT"/>
    <s v="AMCARE NonOcc In"/>
    <s v="TEMP"/>
    <n v="200574345"/>
    <s v="Contreras,Jony"/>
    <s v="Piedra,Valentina"/>
    <n v="0"/>
    <n v="0"/>
    <n v="0"/>
    <n v="0"/>
    <n v="0.41"/>
    <e v="#N/A"/>
    <x v="54"/>
  </r>
  <r>
    <d v="2023-03-08T00:00:00"/>
    <x v="9"/>
    <s v="Admin/HR/IT"/>
    <s v="AMCARE NonOcc In"/>
    <s v="TEMP"/>
    <n v="200620341"/>
    <s v="Camacho Ramirez,Carlos"/>
    <s v="Gomez Aguado,Jorge"/>
    <n v="0"/>
    <n v="0"/>
    <n v="0"/>
    <n v="0"/>
    <n v="0.23"/>
    <e v="#N/A"/>
    <x v="0"/>
  </r>
  <r>
    <d v="2023-03-08T00:00:00"/>
    <x v="9"/>
    <s v="Admin/HR/IT"/>
    <s v="AMCARE NonOcc In"/>
    <s v="TEMP"/>
    <n v="200625517"/>
    <s v="RamÃ­rez,Miranda"/>
    <s v="Corona Arriaga,Fernando"/>
    <n v="0"/>
    <n v="0"/>
    <n v="0"/>
    <n v="0"/>
    <n v="0.22"/>
    <e v="#N/A"/>
    <x v="0"/>
  </r>
  <r>
    <d v="2023-03-09T00:00:00"/>
    <x v="9"/>
    <s v="Admin/HR/IT"/>
    <s v="AMCARE NonOcc In"/>
    <s v="AMZN"/>
    <n v="112912074"/>
    <s v="Hernandez Gutierrez,Lizeth"/>
    <s v="Pizana,Diego"/>
    <n v="0"/>
    <n v="0"/>
    <n v="0"/>
    <n v="0"/>
    <n v="0.46"/>
    <e v="#N/A"/>
    <x v="0"/>
  </r>
  <r>
    <d v="2023-03-09T00:00:00"/>
    <x v="9"/>
    <s v="Admin/HR/IT"/>
    <s v="AMCARE NonOcc In"/>
    <s v="AMZN"/>
    <n v="112912163"/>
    <s v="Murillo,Alejandro"/>
    <s v="Piedra,Valentina"/>
    <n v="0"/>
    <n v="0"/>
    <n v="0"/>
    <n v="0"/>
    <n v="1.78"/>
    <e v="#N/A"/>
    <x v="0"/>
  </r>
  <r>
    <d v="2023-03-09T00:00:00"/>
    <x v="9"/>
    <s v="Admin/HR/IT"/>
    <s v="AMCARE NonOcc In"/>
    <s v="AMZN"/>
    <n v="112912753"/>
    <s v="Padilla Abrego,Selene"/>
    <s v="Piedra,Valentina"/>
    <n v="0"/>
    <n v="0"/>
    <n v="0"/>
    <n v="0"/>
    <n v="0.16"/>
    <e v="#N/A"/>
    <x v="0"/>
  </r>
  <r>
    <d v="2023-03-09T00:00:00"/>
    <x v="9"/>
    <s v="Admin/HR/IT"/>
    <s v="AMCARE NonOcc In"/>
    <s v="AMZN"/>
    <n v="112972524"/>
    <s v="Santibanez Garcia,Luisa"/>
    <s v="Lopez,Alexa"/>
    <n v="0"/>
    <n v="0"/>
    <n v="0"/>
    <n v="0"/>
    <n v="0.13"/>
    <s v="DB-X0700"/>
    <x v="15"/>
  </r>
  <r>
    <d v="2023-03-09T00:00:00"/>
    <x v="9"/>
    <s v="Admin/HR/IT"/>
    <s v="AMCARE NonOcc In"/>
    <s v="AMZN"/>
    <n v="112981061"/>
    <s v="Olguin,Claudia"/>
    <s v="Corona Arriaga,Fernando"/>
    <n v="0"/>
    <n v="0"/>
    <n v="0"/>
    <n v="0"/>
    <n v="0.3"/>
    <s v="DA-X0700"/>
    <x v="11"/>
  </r>
  <r>
    <d v="2023-03-09T00:00:00"/>
    <x v="9"/>
    <s v="Admin/HR/IT"/>
    <s v="AMCARE NonOcc In"/>
    <s v="AMZN"/>
    <n v="112984442"/>
    <s v="Garcia,Mauricio Antonio De la lama"/>
    <s v="Gomez,Abinadab"/>
    <n v="0"/>
    <n v="0"/>
    <n v="0"/>
    <n v="0"/>
    <n v="0.37"/>
    <e v="#N/A"/>
    <x v="0"/>
  </r>
  <r>
    <d v="2023-03-09T00:00:00"/>
    <x v="9"/>
    <s v="Admin/HR/IT"/>
    <s v="AMCARE NonOcc In"/>
    <s v="AMZN"/>
    <n v="113014081"/>
    <s v="Frausto,Genesis"/>
    <s v="Piedra,Valentina"/>
    <n v="0"/>
    <n v="0"/>
    <n v="0"/>
    <n v="0"/>
    <n v="0.17"/>
    <e v="#N/A"/>
    <x v="9"/>
  </r>
  <r>
    <d v="2023-03-09T00:00:00"/>
    <x v="9"/>
    <s v="Admin/HR/IT"/>
    <s v="AMCARE NonOcc In"/>
    <s v="AMZN"/>
    <n v="113014092"/>
    <s v="Sanchez,Cristina"/>
    <s v="Romero Sanchez,Gustavo Gabriel"/>
    <n v="0"/>
    <n v="0"/>
    <n v="0"/>
    <n v="0"/>
    <n v="0.15"/>
    <e v="#N/A"/>
    <x v="73"/>
  </r>
  <r>
    <d v="2023-03-09T00:00:00"/>
    <x v="9"/>
    <s v="Admin/HR/IT"/>
    <s v="AMCARE NonOcc In"/>
    <s v="AMZN"/>
    <n v="113014113"/>
    <s v="Sanchez Villegas,Benjamin"/>
    <s v="Corona Arriaga,Fernando"/>
    <n v="0"/>
    <n v="0"/>
    <n v="0"/>
    <n v="0"/>
    <n v="0.54"/>
    <e v="#N/A"/>
    <x v="0"/>
  </r>
  <r>
    <d v="2023-03-09T00:00:00"/>
    <x v="9"/>
    <s v="Admin/HR/IT"/>
    <s v="AMCARE NonOcc In"/>
    <s v="AMZN"/>
    <n v="113052151"/>
    <s v="Nieves Mendez,Laura"/>
    <s v="Ledezma,Fer"/>
    <n v="0"/>
    <n v="0"/>
    <n v="0"/>
    <n v="0"/>
    <n v="0.2"/>
    <e v="#N/A"/>
    <x v="56"/>
  </r>
  <r>
    <d v="2023-03-09T00:00:00"/>
    <x v="9"/>
    <s v="Admin/HR/IT"/>
    <s v="AMCARE NonOcc In"/>
    <s v="AMZN"/>
    <n v="200404250"/>
    <s v="Hurtado,Caty"/>
    <s v="Piedra,Valentina"/>
    <n v="0"/>
    <n v="0"/>
    <n v="0"/>
    <n v="0"/>
    <n v="0.44"/>
    <e v="#N/A"/>
    <x v="6"/>
  </r>
  <r>
    <d v="2023-03-10T00:00:00"/>
    <x v="9"/>
    <s v="Admin/HR/IT"/>
    <s v="AMCARE NonOcc In"/>
    <s v="AMZN"/>
    <n v="112485255"/>
    <s v="Rocha,Ceci"/>
    <s v="Madrid Molina,Ramon"/>
    <n v="0"/>
    <n v="0"/>
    <n v="0"/>
    <n v="0"/>
    <n v="0.27"/>
    <s v="DB-X0700"/>
    <x v="103"/>
  </r>
  <r>
    <d v="2023-03-10T00:00:00"/>
    <x v="9"/>
    <s v="Admin/HR/IT"/>
    <s v="AMCARE NonOcc In"/>
    <s v="AMZN"/>
    <n v="112912663"/>
    <s v="Segura,Lucero"/>
    <s v="Munoz,Jonan"/>
    <n v="0"/>
    <n v="0"/>
    <n v="0"/>
    <n v="0"/>
    <n v="0.19"/>
    <e v="#N/A"/>
    <x v="0"/>
  </r>
  <r>
    <d v="2023-03-10T00:00:00"/>
    <x v="9"/>
    <s v="Admin/HR/IT"/>
    <s v="AMCARE NonOcc In"/>
    <s v="AMZN"/>
    <n v="112912677"/>
    <s v="Gonzalez,Gustavo"/>
    <s v="Camarena,Grecia"/>
    <n v="0"/>
    <n v="0"/>
    <n v="0"/>
    <n v="0"/>
    <n v="0.22"/>
    <e v="#N/A"/>
    <x v="0"/>
  </r>
  <r>
    <m/>
    <x v="9"/>
    <s v="Admin/HR/IT"/>
    <s v="AMCARE NonOcc In"/>
    <s v="AMZN"/>
    <n v="112971980"/>
    <s v="Romero,Daniel"/>
    <s v="Pizana,Diego"/>
    <n v="0"/>
    <n v="0"/>
    <n v="0"/>
    <n v="0"/>
    <n v="0.24"/>
    <s v="DC-X0700"/>
    <x v="43"/>
  </r>
  <r>
    <d v="2023-03-10T00:00:00"/>
    <x v="9"/>
    <s v="Admin/HR/IT"/>
    <s v="AMCARE NonOcc In"/>
    <s v="AMZN"/>
    <n v="112976013"/>
    <s v="Garcia,Roberto"/>
    <s v="Munoz,Jonan"/>
    <n v="0"/>
    <n v="0"/>
    <n v="0"/>
    <n v="0"/>
    <n v="0.35"/>
    <e v="#N/A"/>
    <x v="0"/>
  </r>
  <r>
    <d v="2023-03-10T00:00:00"/>
    <x v="9"/>
    <s v="Admin/HR/IT"/>
    <s v="AMCARE NonOcc In"/>
    <s v="AMZN"/>
    <n v="112984442"/>
    <s v="Garcia,Mauricio Antonio De la lama"/>
    <s v="Gomez,Abinadab"/>
    <n v="0"/>
    <n v="0"/>
    <n v="0"/>
    <n v="0"/>
    <n v="0.26"/>
    <e v="#N/A"/>
    <x v="0"/>
  </r>
  <r>
    <d v="2023-03-10T00:00:00"/>
    <x v="9"/>
    <s v="Admin/HR/IT"/>
    <s v="AMCARE NonOcc In"/>
    <s v="AMZN"/>
    <n v="113014042"/>
    <s v="Cervantes,Rose"/>
    <s v="Romero Sanchez,Gustavo Gabriel"/>
    <n v="0"/>
    <n v="0"/>
    <n v="0"/>
    <n v="0"/>
    <n v="0.46"/>
    <e v="#N/A"/>
    <x v="20"/>
  </r>
  <r>
    <d v="2023-03-10T00:00:00"/>
    <x v="9"/>
    <s v="Admin/HR/IT"/>
    <s v="AMCARE NonOcc In"/>
    <s v="AMZN"/>
    <n v="113014072"/>
    <s v="Rivera,Mariana"/>
    <s v="Romero Sanchez,Gustavo Gabriel"/>
    <n v="0"/>
    <n v="0"/>
    <n v="0"/>
    <n v="0"/>
    <n v="1.08"/>
    <e v="#N/A"/>
    <x v="0"/>
  </r>
  <r>
    <d v="2023-03-10T00:00:00"/>
    <x v="9"/>
    <s v="Admin/HR/IT"/>
    <s v="AMCARE NonOcc In"/>
    <s v="AMZN"/>
    <n v="113019042"/>
    <s v="Gallegos Godinez,Eloy"/>
    <s v="Hernandez,Nataly"/>
    <n v="0"/>
    <n v="0"/>
    <n v="0"/>
    <n v="0"/>
    <n v="0.55000000000000004"/>
    <e v="#N/A"/>
    <x v="0"/>
  </r>
  <r>
    <d v="2023-03-10T00:00:00"/>
    <x v="9"/>
    <s v="Admin/HR/IT"/>
    <s v="AMCARE NonOcc In"/>
    <s v="AMZN"/>
    <n v="200404250"/>
    <s v="Hurtado,Caty"/>
    <s v="Piedra,Valentina"/>
    <n v="0"/>
    <n v="0"/>
    <n v="0"/>
    <n v="0"/>
    <n v="0.5"/>
    <e v="#N/A"/>
    <x v="6"/>
  </r>
  <r>
    <d v="2023-03-10T00:00:00"/>
    <x v="9"/>
    <s v="Admin/HR/IT"/>
    <s v="AMCARE NonOcc In"/>
    <s v="TEMP"/>
    <n v="200615883"/>
    <s v="Ibarra Amaro,Adriana"/>
    <s v="Madrid Molina,Ramon"/>
    <n v="0"/>
    <n v="0"/>
    <n v="0"/>
    <n v="0"/>
    <n v="0.65"/>
    <e v="#N/A"/>
    <x v="0"/>
  </r>
  <r>
    <d v="2023-03-10T00:00:00"/>
    <x v="9"/>
    <s v="Admin/HR/IT"/>
    <s v="AMCARE NonOcc In"/>
    <s v="TEMP"/>
    <n v="201190781"/>
    <s v="HernÃ¡ndez,Fausto"/>
    <s v="Hernandez Padilla,Daniel"/>
    <n v="0"/>
    <n v="0"/>
    <n v="0"/>
    <n v="0"/>
    <n v="0.38"/>
    <e v="#N/A"/>
    <x v="0"/>
  </r>
  <r>
    <d v="2023-03-11T00:00:00"/>
    <x v="9"/>
    <s v="Admin/HR/IT"/>
    <s v="AMCARE NonOcc In"/>
    <s v="AMZN"/>
    <n v="112912675"/>
    <s v="Alejandri Villagomez,Alejandra"/>
    <s v="Gomez,Abinadab"/>
    <n v="0"/>
    <n v="0"/>
    <n v="0"/>
    <n v="0"/>
    <n v="0.92"/>
    <e v="#N/A"/>
    <x v="0"/>
  </r>
  <r>
    <d v="2023-03-11T00:00:00"/>
    <x v="9"/>
    <s v="Admin/HR/IT"/>
    <s v="AMCARE NonOcc In"/>
    <s v="AMZN"/>
    <n v="112912983"/>
    <s v="RodrÃ­guez,RocÃ­o"/>
    <s v="Camarena,Grecia"/>
    <n v="0"/>
    <n v="0"/>
    <n v="0"/>
    <n v="0"/>
    <n v="0.14000000000000001"/>
    <s v="NF-X1900"/>
    <x v="75"/>
  </r>
  <r>
    <d v="2023-03-11T00:00:00"/>
    <x v="9"/>
    <s v="Admin/HR/IT"/>
    <s v="AMCARE NonOcc In"/>
    <s v="AMZN"/>
    <n v="112916534"/>
    <s v="Esparza Sanchez,Areli"/>
    <s v="Gomez,Abinadab"/>
    <n v="0"/>
    <n v="0"/>
    <n v="0"/>
    <n v="0"/>
    <n v="0.02"/>
    <s v="DB-X0700"/>
    <x v="40"/>
  </r>
  <r>
    <d v="2023-03-11T00:00:00"/>
    <x v="9"/>
    <s v="Admin/HR/IT"/>
    <s v="AMCARE NonOcc In"/>
    <s v="AMZN"/>
    <n v="112951256"/>
    <s v="Ramirez Vallejo,Kateryne"/>
    <s v="Camarena,Grecia"/>
    <n v="0"/>
    <n v="0"/>
    <n v="0"/>
    <n v="0"/>
    <n v="0.51"/>
    <s v="DA-X0700"/>
    <x v="27"/>
  </r>
  <r>
    <d v="2023-03-11T00:00:00"/>
    <x v="9"/>
    <s v="Admin/HR/IT"/>
    <s v="AMCARE NonOcc In"/>
    <s v="AMZN"/>
    <n v="112972958"/>
    <s v="Gonzalez Gonzalez,Antonio"/>
    <s v="Cortes,Alejandra"/>
    <n v="0"/>
    <n v="0"/>
    <n v="0"/>
    <n v="0"/>
    <n v="0.21"/>
    <s v="D5-X0700"/>
    <x v="44"/>
  </r>
  <r>
    <d v="2023-03-11T00:00:00"/>
    <x v="9"/>
    <s v="Admin/HR/IT"/>
    <s v="AMCARE NonOcc In"/>
    <s v="AMZN"/>
    <n v="112984442"/>
    <s v="Garcia,Mauricio Antonio De la lama"/>
    <s v="Gomez,Abinadab"/>
    <n v="0"/>
    <n v="0"/>
    <n v="0"/>
    <n v="0"/>
    <n v="0.38"/>
    <e v="#N/A"/>
    <x v="0"/>
  </r>
  <r>
    <d v="2023-03-11T00:00:00"/>
    <x v="9"/>
    <s v="Admin/HR/IT"/>
    <s v="AMCARE NonOcc In"/>
    <s v="AMZN"/>
    <n v="113014072"/>
    <s v="Rivera,Mariana"/>
    <s v="Romero Sanchez,Gustavo Gabriel"/>
    <n v="0"/>
    <n v="0"/>
    <n v="0"/>
    <n v="0"/>
    <n v="0.11"/>
    <e v="#N/A"/>
    <x v="0"/>
  </r>
  <r>
    <d v="2023-03-11T00:00:00"/>
    <x v="9"/>
    <s v="Admin/HR/IT"/>
    <s v="AMCARE NonOcc In"/>
    <s v="AMZN"/>
    <n v="113138338"/>
    <s v="Cornejo,Cesar"/>
    <s v="Camarena,Grecia"/>
    <n v="0"/>
    <n v="0"/>
    <n v="0"/>
    <n v="0"/>
    <n v="1.86"/>
    <e v="#N/A"/>
    <x v="39"/>
  </r>
  <r>
    <d v="2023-03-11T00:00:00"/>
    <x v="9"/>
    <s v="Admin/HR/IT"/>
    <s v="AMCARE NonOcc In"/>
    <s v="TEMP"/>
    <n v="200552734"/>
    <s v="Santiago Ramirez,Six"/>
    <s v="Romero Sanchez,Gustavo Gabriel"/>
    <n v="0"/>
    <n v="0"/>
    <n v="0"/>
    <n v="0"/>
    <n v="0.45"/>
    <e v="#N/A"/>
    <x v="0"/>
  </r>
  <r>
    <d v="2023-03-11T00:00:00"/>
    <x v="9"/>
    <s v="Admin/HR/IT"/>
    <s v="AMCARE NonOcc In"/>
    <s v="TEMP"/>
    <n v="200589316"/>
    <s v="Torres Zuniga,Daniel"/>
    <s v="Madrid Molina,Ramon"/>
    <n v="0"/>
    <n v="0"/>
    <n v="0"/>
    <n v="0"/>
    <n v="0.86"/>
    <e v="#N/A"/>
    <x v="0"/>
  </r>
  <r>
    <d v="2023-03-11T00:00:00"/>
    <x v="9"/>
    <s v="Admin/HR/IT"/>
    <s v="AMCARE NonOcc In"/>
    <s v="TEMP"/>
    <n v="200615883"/>
    <s v="Ibarra Amaro,Adriana"/>
    <s v="Madrid Molina,Ramon"/>
    <n v="0"/>
    <n v="0"/>
    <n v="0"/>
    <n v="0"/>
    <n v="0.98"/>
    <e v="#N/A"/>
    <x v="0"/>
  </r>
  <r>
    <d v="2023-03-11T00:00:00"/>
    <x v="9"/>
    <s v="Admin/HR/IT"/>
    <s v="AMCARE NonOcc In"/>
    <s v="TEMP"/>
    <n v="201167363"/>
    <s v="Santos,AdriÃ¡n"/>
    <s v="Morales Beristain,Sugeyt"/>
    <n v="0"/>
    <n v="0"/>
    <n v="0"/>
    <n v="0"/>
    <n v="0.74"/>
    <e v="#N/A"/>
    <x v="0"/>
  </r>
  <r>
    <d v="2023-03-11T00:00:00"/>
    <x v="9"/>
    <s v="Admin/HR/IT"/>
    <s v="AMCARE NonOcc In"/>
    <s v="TEMP"/>
    <n v="201167517"/>
    <s v="Espinoza Lopez,Magdal"/>
    <s v="Ledezma,Fer"/>
    <n v="0"/>
    <n v="0"/>
    <n v="0"/>
    <n v="0"/>
    <n v="0.47"/>
    <e v="#N/A"/>
    <x v="0"/>
  </r>
  <r>
    <d v="2023-03-12T00:00:00"/>
    <x v="10"/>
    <s v="Admin/HR/IT"/>
    <s v="AMCARE NonOcc In"/>
    <s v="AMZN"/>
    <n v="112912163"/>
    <s v="Murillo,Alejandro"/>
    <s v="Piedra,Valentina"/>
    <n v="0"/>
    <n v="0"/>
    <n v="0"/>
    <n v="0"/>
    <n v="0.51"/>
    <e v="#N/A"/>
    <x v="0"/>
  </r>
  <r>
    <d v="2023-03-12T00:00:00"/>
    <x v="10"/>
    <s v="Admin/HR/IT"/>
    <s v="AMCARE NonOcc In"/>
    <s v="AMZN"/>
    <n v="112912459"/>
    <s v="Maldonado Hernandez,Miguel"/>
    <s v="Madrid Molina,Ramon"/>
    <n v="0"/>
    <n v="0"/>
    <n v="0"/>
    <n v="0"/>
    <n v="0.6"/>
    <e v="#N/A"/>
    <x v="0"/>
  </r>
  <r>
    <d v="2023-03-12T00:00:00"/>
    <x v="10"/>
    <s v="Admin/HR/IT"/>
    <s v="AMCARE NonOcc In"/>
    <s v="AMZN"/>
    <n v="112980844"/>
    <s v="Padilla,Samantha"/>
    <s v="Robledo Ugarte,Alejandro"/>
    <n v="0"/>
    <n v="0"/>
    <n v="0"/>
    <n v="0"/>
    <n v="0.08"/>
    <s v="DA-X0700"/>
    <x v="2"/>
  </r>
  <r>
    <d v="2023-03-12T00:00:00"/>
    <x v="10"/>
    <s v="Admin/HR/IT"/>
    <s v="AMCARE NonOcc In"/>
    <s v="AMZN"/>
    <n v="112981013"/>
    <s v="Lopez Neri,Norma"/>
    <s v="Robledo Ugarte,Alejandro"/>
    <n v="0"/>
    <n v="0"/>
    <n v="0"/>
    <n v="0"/>
    <n v="0.53"/>
    <s v="DA-X0700"/>
    <x v="12"/>
  </r>
  <r>
    <d v="2023-03-12T00:00:00"/>
    <x v="10"/>
    <s v="Admin/HR/IT"/>
    <s v="AMCARE NonOcc In"/>
    <s v="TEMP"/>
    <n v="200615883"/>
    <s v="Ibarra Amaro,Adriana"/>
    <s v="Madrid Molina,Ramon"/>
    <n v="0"/>
    <n v="0"/>
    <n v="0"/>
    <n v="0"/>
    <n v="1.47"/>
    <e v="#N/A"/>
    <x v="0"/>
  </r>
  <r>
    <d v="2023-03-12T00:00:00"/>
    <x v="10"/>
    <s v="Admin/HR/IT"/>
    <s v="AMCARE NonOcc In"/>
    <s v="TEMP"/>
    <n v="200620341"/>
    <s v="Camacho Ramirez,Carlos"/>
    <s v="Gomez Aguado,Jorge"/>
    <n v="0"/>
    <n v="0"/>
    <n v="0"/>
    <n v="0"/>
    <n v="0.09"/>
    <e v="#N/A"/>
    <x v="0"/>
  </r>
  <r>
    <d v="2023-03-12T00:00:00"/>
    <x v="10"/>
    <s v="Admin/HR/IT"/>
    <s v="AMCARE NonOcc In"/>
    <s v="TEMP"/>
    <n v="201160146"/>
    <s v="Avila,priscila"/>
    <s v="Morales Beristain,Sugeyt"/>
    <n v="0"/>
    <n v="0"/>
    <n v="0"/>
    <n v="0"/>
    <n v="0.59"/>
    <e v="#N/A"/>
    <x v="0"/>
  </r>
  <r>
    <d v="2023-03-12T00:00:00"/>
    <x v="10"/>
    <s v="Admin/HR/IT"/>
    <s v="AMCARE NonOcc In"/>
    <s v="TEMP"/>
    <n v="201167363"/>
    <s v="Santos,AdriÃ¡n"/>
    <s v="Morales Beristain,Sugeyt"/>
    <n v="0"/>
    <n v="0"/>
    <n v="0"/>
    <n v="0"/>
    <n v="0.23"/>
    <e v="#N/A"/>
    <x v="0"/>
  </r>
  <r>
    <d v="2023-03-13T00:00:00"/>
    <x v="10"/>
    <s v="Admin/HR/IT"/>
    <s v="AMCARE NonOcc In"/>
    <s v="AMZN"/>
    <n v="112912014"/>
    <s v="Ramos,Sofia"/>
    <s v="Garcia Espejel,Brenda Victoria"/>
    <n v="0"/>
    <n v="0"/>
    <n v="0"/>
    <n v="0"/>
    <n v="0.25"/>
    <s v="DA-X0700"/>
    <x v="104"/>
  </r>
  <r>
    <d v="2023-03-13T00:00:00"/>
    <x v="10"/>
    <s v="Admin/HR/IT"/>
    <s v="AMCARE NonOcc In"/>
    <s v="AMZN"/>
    <n v="112912163"/>
    <s v="Murillo,Alejandro"/>
    <s v="Piedra,Valentina"/>
    <n v="0"/>
    <n v="0"/>
    <n v="0"/>
    <n v="0"/>
    <n v="1.21"/>
    <e v="#N/A"/>
    <x v="0"/>
  </r>
  <r>
    <d v="2023-03-13T00:00:00"/>
    <x v="10"/>
    <s v="Admin/HR/IT"/>
    <s v="AMCARE NonOcc In"/>
    <s v="AMZN"/>
    <n v="112912459"/>
    <s v="Maldonado Hernandez,Miguel"/>
    <s v="Madrid Molina,Ramon"/>
    <n v="0"/>
    <n v="0"/>
    <n v="0"/>
    <n v="0"/>
    <n v="0.59"/>
    <e v="#N/A"/>
    <x v="0"/>
  </r>
  <r>
    <d v="2023-03-13T00:00:00"/>
    <x v="10"/>
    <s v="Admin/HR/IT"/>
    <s v="AMCARE NonOcc In"/>
    <s v="AMZN"/>
    <n v="112912983"/>
    <s v="RodrÃ­guez,RocÃ­o"/>
    <s v="Camarena,Grecia"/>
    <n v="0"/>
    <n v="0"/>
    <n v="0"/>
    <n v="0"/>
    <n v="0.18"/>
    <s v="NF-X1900"/>
    <x v="75"/>
  </r>
  <r>
    <d v="2023-03-13T00:00:00"/>
    <x v="10"/>
    <s v="Admin/HR/IT"/>
    <s v="AMCARE NonOcc In"/>
    <s v="AMZN"/>
    <n v="112972609"/>
    <s v="Lopez  Lares,Christian"/>
    <s v="Camarena,Grecia"/>
    <n v="0"/>
    <n v="0"/>
    <n v="0"/>
    <n v="0"/>
    <n v="0.23"/>
    <e v="#N/A"/>
    <x v="0"/>
  </r>
  <r>
    <d v="2023-03-13T00:00:00"/>
    <x v="10"/>
    <s v="Admin/HR/IT"/>
    <s v="AMCARE NonOcc In"/>
    <s v="AMZN"/>
    <n v="112981013"/>
    <s v="Lopez Neri,Norma"/>
    <s v="Robledo Ugarte,Alejandro"/>
    <n v="0"/>
    <n v="0"/>
    <n v="0"/>
    <n v="0"/>
    <n v="17"/>
    <s v="DA-X0700"/>
    <x v="12"/>
  </r>
  <r>
    <d v="2023-03-13T00:00:00"/>
    <x v="10"/>
    <s v="Admin/HR/IT"/>
    <s v="AMCARE NonOcc In"/>
    <s v="AMZN"/>
    <n v="112984442"/>
    <s v="Garcia,Mauricio Antonio De la lama"/>
    <s v="Gomez,Abinadab"/>
    <n v="0"/>
    <n v="0"/>
    <n v="0"/>
    <n v="0"/>
    <n v="0.34"/>
    <e v="#N/A"/>
    <x v="0"/>
  </r>
  <r>
    <d v="2023-03-13T00:00:00"/>
    <x v="10"/>
    <s v="Admin/HR/IT"/>
    <s v="AMCARE NonOcc In"/>
    <s v="AMZN"/>
    <n v="113014081"/>
    <s v="Frausto,Genesis"/>
    <s v="Piedra,Valentina"/>
    <n v="0"/>
    <n v="0"/>
    <n v="0"/>
    <n v="0"/>
    <n v="0.24"/>
    <e v="#N/A"/>
    <x v="9"/>
  </r>
  <r>
    <d v="2023-03-13T00:00:00"/>
    <x v="10"/>
    <s v="Admin/HR/IT"/>
    <s v="AMCARE NonOcc In"/>
    <s v="AMZN"/>
    <n v="113014113"/>
    <s v="Sanchez Villegas,Benjamin"/>
    <s v="Corona Arriaga,Fernando"/>
    <n v="0"/>
    <n v="0"/>
    <n v="0"/>
    <n v="0"/>
    <n v="0.85"/>
    <e v="#N/A"/>
    <x v="0"/>
  </r>
  <r>
    <d v="2023-03-13T00:00:00"/>
    <x v="10"/>
    <s v="Admin/HR/IT"/>
    <s v="AMCARE NonOcc In"/>
    <s v="AMZN"/>
    <n v="113103540"/>
    <s v="Delgado,David"/>
    <s v="Piedra,Valentina"/>
    <n v="0"/>
    <n v="0"/>
    <n v="0"/>
    <n v="0"/>
    <n v="1.99"/>
    <e v="#N/A"/>
    <x v="105"/>
  </r>
  <r>
    <d v="2023-03-13T00:00:00"/>
    <x v="10"/>
    <s v="Admin/HR/IT"/>
    <s v="AMCARE NonOcc In"/>
    <s v="AMZN"/>
    <n v="200404250"/>
    <s v="Hurtado,Caty"/>
    <s v="Piedra,Valentina"/>
    <n v="0"/>
    <n v="0"/>
    <n v="0"/>
    <n v="0"/>
    <n v="0.5"/>
    <e v="#N/A"/>
    <x v="6"/>
  </r>
  <r>
    <d v="2023-03-13T00:00:00"/>
    <x v="10"/>
    <s v="Admin/HR/IT"/>
    <s v="AMCARE NonOcc In"/>
    <s v="TEMP"/>
    <n v="200553205"/>
    <s v="Cabrera,Nancy"/>
    <s v="Piedra,Valentina"/>
    <n v="0"/>
    <n v="0"/>
    <n v="0"/>
    <n v="0"/>
    <n v="0.12"/>
    <e v="#N/A"/>
    <x v="0"/>
  </r>
  <r>
    <d v="2023-03-13T00:00:00"/>
    <x v="10"/>
    <s v="Admin/HR/IT"/>
    <s v="AMCARE NonOcc In"/>
    <s v="TEMP"/>
    <n v="200570729"/>
    <s v="Rodriguez,Carolina"/>
    <s v="Gomez Aguado,Jorge"/>
    <n v="0"/>
    <n v="0"/>
    <n v="0"/>
    <n v="0"/>
    <n v="0.2"/>
    <e v="#N/A"/>
    <x v="93"/>
  </r>
  <r>
    <d v="2023-03-14T00:00:00"/>
    <x v="10"/>
    <s v="Admin/HR/IT"/>
    <s v="AMCARE NonOcc In"/>
    <s v="AMZN"/>
    <n v="112920679"/>
    <s v="Vazquez,Israel"/>
    <s v="Munoz,Jonan"/>
    <n v="0"/>
    <n v="0"/>
    <n v="0"/>
    <n v="0"/>
    <n v="1.54"/>
    <e v="#N/A"/>
    <x v="0"/>
  </r>
  <r>
    <d v="2023-03-14T00:00:00"/>
    <x v="10"/>
    <s v="Admin/HR/IT"/>
    <s v="AMCARE NonOcc In"/>
    <s v="AMZN"/>
    <n v="112976013"/>
    <s v="Garcia,Roberto"/>
    <s v="Munoz,Jonan"/>
    <n v="0"/>
    <n v="0"/>
    <n v="0"/>
    <n v="0"/>
    <n v="0.14000000000000001"/>
    <e v="#N/A"/>
    <x v="0"/>
  </r>
  <r>
    <d v="2023-03-14T00:00:00"/>
    <x v="10"/>
    <s v="Admin/HR/IT"/>
    <s v="AMCARE NonOcc In"/>
    <s v="AMZN"/>
    <n v="112981013"/>
    <s v="Lopez Neri,Norma"/>
    <s v="Robledo Ugarte,Alejandro"/>
    <n v="0"/>
    <n v="0"/>
    <n v="0"/>
    <n v="0"/>
    <n v="7.26"/>
    <s v="DA-X0700"/>
    <x v="12"/>
  </r>
  <r>
    <d v="2023-03-14T00:00:00"/>
    <x v="10"/>
    <s v="Admin/HR/IT"/>
    <s v="AMCARE NonOcc In"/>
    <s v="AMZN"/>
    <n v="112981204"/>
    <s v="Martinez  Trueba,Angel"/>
    <s v="Corona Arriaga,Fernando"/>
    <n v="0"/>
    <n v="0"/>
    <n v="0"/>
    <n v="0"/>
    <n v="0.28999999999999998"/>
    <e v="#N/A"/>
    <x v="0"/>
  </r>
  <r>
    <d v="2023-03-14T00:00:00"/>
    <x v="10"/>
    <s v="Admin/HR/IT"/>
    <s v="AMCARE NonOcc In"/>
    <s v="AMZN"/>
    <n v="113014011"/>
    <s v="Robledo Barrientos,Logan"/>
    <s v="Hernandez,Nataly"/>
    <n v="0"/>
    <n v="0"/>
    <n v="0"/>
    <n v="0"/>
    <n v="0.09"/>
    <e v="#N/A"/>
    <x v="0"/>
  </r>
  <r>
    <d v="2023-03-14T00:00:00"/>
    <x v="10"/>
    <s v="Admin/HR/IT"/>
    <s v="AMCARE NonOcc In"/>
    <s v="AMZN"/>
    <n v="113014081"/>
    <s v="Frausto,Genesis"/>
    <s v="Piedra,Valentina"/>
    <n v="0"/>
    <n v="0"/>
    <n v="0"/>
    <n v="0"/>
    <n v="0.62"/>
    <e v="#N/A"/>
    <x v="9"/>
  </r>
  <r>
    <d v="2023-03-14T00:00:00"/>
    <x v="10"/>
    <s v="Admin/HR/IT"/>
    <s v="AMCARE NonOcc In"/>
    <s v="AMZN"/>
    <n v="113014094"/>
    <s v="Mercado,Erika"/>
    <s v="Corona Arriaga,Fernando"/>
    <n v="0"/>
    <n v="0"/>
    <n v="0"/>
    <n v="0"/>
    <n v="0.55000000000000004"/>
    <e v="#N/A"/>
    <x v="49"/>
  </r>
  <r>
    <d v="2023-03-14T00:00:00"/>
    <x v="10"/>
    <s v="Admin/HR/IT"/>
    <s v="AMCARE NonOcc In"/>
    <s v="AMZN"/>
    <n v="113019042"/>
    <s v="Gallegos Godinez,Eloy"/>
    <s v="Hernandez,Nataly"/>
    <n v="0"/>
    <n v="0"/>
    <n v="0"/>
    <n v="0"/>
    <n v="0.91"/>
    <e v="#N/A"/>
    <x v="0"/>
  </r>
  <r>
    <d v="2023-03-14T00:00:00"/>
    <x v="10"/>
    <s v="Admin/HR/IT"/>
    <s v="AMCARE NonOcc In"/>
    <s v="AMZN"/>
    <n v="113020463"/>
    <s v="Valtierra,Alejandra"/>
    <s v="Hernandez,Nataly"/>
    <n v="0"/>
    <n v="0"/>
    <n v="0"/>
    <n v="0"/>
    <n v="0.8"/>
    <e v="#N/A"/>
    <x v="17"/>
  </r>
  <r>
    <d v="2023-03-14T00:00:00"/>
    <x v="10"/>
    <s v="Admin/HR/IT"/>
    <s v="AMCARE NonOcc In"/>
    <s v="AMZN"/>
    <n v="200404250"/>
    <s v="Hurtado,Caty"/>
    <s v="Piedra,Valentina"/>
    <n v="0"/>
    <n v="0"/>
    <n v="0"/>
    <n v="0"/>
    <n v="0.43"/>
    <e v="#N/A"/>
    <x v="6"/>
  </r>
  <r>
    <d v="2023-03-14T00:00:00"/>
    <x v="10"/>
    <s v="Admin/HR/IT"/>
    <s v="AMCARE NonOcc In"/>
    <s v="TEMP"/>
    <n v="200589316"/>
    <s v="Torres Zuniga,Daniel"/>
    <s v="Madrid Molina,Ramon"/>
    <n v="0"/>
    <n v="0"/>
    <n v="0"/>
    <n v="0"/>
    <n v="1.01"/>
    <e v="#N/A"/>
    <x v="0"/>
  </r>
  <r>
    <d v="2023-03-15T00:00:00"/>
    <x v="10"/>
    <s v="Admin/HR/IT"/>
    <s v="AMCARE NonOcc In"/>
    <s v="AMZN"/>
    <n v="111261444"/>
    <s v="NÃºÃ±ez,Fernando"/>
    <s v="Madrid Molina,Ramon"/>
    <n v="0"/>
    <n v="0"/>
    <n v="0"/>
    <n v="0"/>
    <n v="0.38"/>
    <s v="DB-X0700"/>
    <x v="100"/>
  </r>
  <r>
    <d v="2023-03-15T00:00:00"/>
    <x v="10"/>
    <s v="Admin/HR/IT"/>
    <s v="AMCARE NonOcc In"/>
    <s v="AMZN"/>
    <n v="111434478"/>
    <s v="Gutierrez,Pame"/>
    <s v="Garcia Espejel,Brenda Victoria"/>
    <n v="0"/>
    <n v="0"/>
    <n v="0"/>
    <n v="0"/>
    <n v="0.65"/>
    <s v="DA-X0700"/>
    <x v="23"/>
  </r>
  <r>
    <d v="2023-03-15T00:00:00"/>
    <x v="10"/>
    <s v="Admin/HR/IT"/>
    <s v="AMCARE NonOcc In"/>
    <s v="AMZN"/>
    <n v="112912163"/>
    <s v="Murillo,Alejandro"/>
    <s v="Piedra,Valentina"/>
    <n v="0"/>
    <n v="0"/>
    <n v="0"/>
    <n v="0"/>
    <n v="0.4"/>
    <e v="#N/A"/>
    <x v="0"/>
  </r>
  <r>
    <d v="2023-03-15T00:00:00"/>
    <x v="10"/>
    <s v="Admin/HR/IT"/>
    <s v="AMCARE NonOcc In"/>
    <s v="AMZN"/>
    <n v="112912459"/>
    <s v="Maldonado Hernandez,Miguel"/>
    <s v="Madrid Molina,Ramon"/>
    <n v="0"/>
    <n v="0"/>
    <n v="0"/>
    <n v="0"/>
    <n v="0.4"/>
    <e v="#N/A"/>
    <x v="0"/>
  </r>
  <r>
    <d v="2023-03-15T00:00:00"/>
    <x v="10"/>
    <s v="Admin/HR/IT"/>
    <s v="AMCARE NonOcc In"/>
    <s v="AMZN"/>
    <n v="112912663"/>
    <s v="Segura,Lucero"/>
    <s v="Munoz,Jonan"/>
    <n v="0"/>
    <n v="0"/>
    <n v="0"/>
    <n v="0"/>
    <n v="0.09"/>
    <e v="#N/A"/>
    <x v="0"/>
  </r>
  <r>
    <d v="2023-03-15T00:00:00"/>
    <x v="10"/>
    <s v="Admin/HR/IT"/>
    <s v="AMCARE NonOcc In"/>
    <s v="AMZN"/>
    <n v="112912752"/>
    <s v="Valderrama Gomez,Leslie"/>
    <s v="Robledo Ugarte,Alejandro"/>
    <n v="0"/>
    <n v="0"/>
    <n v="0"/>
    <n v="0"/>
    <n v="0.65"/>
    <s v="NF-X1900"/>
    <x v="5"/>
  </r>
  <r>
    <d v="2023-03-15T00:00:00"/>
    <x v="10"/>
    <s v="Admin/HR/IT"/>
    <s v="AMCARE NonOcc In"/>
    <s v="AMZN"/>
    <n v="112920654"/>
    <s v="Horta,Julieta"/>
    <s v="Lopez,Alexa"/>
    <n v="0"/>
    <n v="0"/>
    <n v="0"/>
    <n v="0"/>
    <n v="0.21"/>
    <s v="DB-X0700"/>
    <x v="61"/>
  </r>
  <r>
    <d v="2023-03-15T00:00:00"/>
    <x v="10"/>
    <s v="Admin/HR/IT"/>
    <s v="AMCARE NonOcc In"/>
    <s v="AMZN"/>
    <n v="112950800"/>
    <s v="Muniz,Viri"/>
    <s v="Munoz,Jonan"/>
    <n v="0"/>
    <n v="0"/>
    <n v="0"/>
    <n v="0"/>
    <n v="0.44"/>
    <s v="NF-X1900"/>
    <x v="51"/>
  </r>
  <r>
    <d v="2023-03-15T00:00:00"/>
    <x v="10"/>
    <s v="Admin/HR/IT"/>
    <s v="AMCARE NonOcc In"/>
    <s v="AMZN"/>
    <n v="112980842"/>
    <s v="Ornelas,Karla"/>
    <s v="Piedra,Valentina"/>
    <n v="0"/>
    <n v="0"/>
    <n v="0"/>
    <n v="0"/>
    <n v="0.48"/>
    <e v="#N/A"/>
    <x v="0"/>
  </r>
  <r>
    <d v="2023-03-15T00:00:00"/>
    <x v="10"/>
    <s v="Admin/HR/IT"/>
    <s v="AMCARE NonOcc In"/>
    <s v="AMZN"/>
    <n v="112980899"/>
    <s v="Avila Cabrera,Ari"/>
    <s v="Robledo Ugarte,Alejandro"/>
    <n v="0"/>
    <n v="0"/>
    <n v="0"/>
    <n v="0"/>
    <n v="1.44"/>
    <s v="NF-X1900"/>
    <x v="34"/>
  </r>
  <r>
    <d v="2023-03-15T00:00:00"/>
    <x v="10"/>
    <s v="Admin/HR/IT"/>
    <s v="AMCARE NonOcc In"/>
    <s v="AMZN"/>
    <n v="112981061"/>
    <s v="Olguin,Claudia"/>
    <s v="Corona Arriaga,Fernando"/>
    <n v="0"/>
    <n v="0"/>
    <n v="0"/>
    <n v="0"/>
    <n v="0.59"/>
    <s v="DA-X0700"/>
    <x v="11"/>
  </r>
  <r>
    <d v="2023-03-15T00:00:00"/>
    <x v="10"/>
    <s v="Admin/HR/IT"/>
    <s v="AMCARE NonOcc In"/>
    <s v="AMZN"/>
    <n v="112981201"/>
    <s v="Ramirez,Andrea"/>
    <s v="Corona Arriaga,Fernando"/>
    <n v="0"/>
    <n v="0"/>
    <n v="0"/>
    <n v="0"/>
    <n v="0.82"/>
    <e v="#N/A"/>
    <x v="0"/>
  </r>
  <r>
    <d v="2023-03-15T00:00:00"/>
    <x v="10"/>
    <s v="Admin/HR/IT"/>
    <s v="AMCARE NonOcc In"/>
    <s v="AMZN"/>
    <n v="112984097"/>
    <s v="Aguilera,Yaremi"/>
    <s v="Corona Arriaga,Fernando"/>
    <n v="0"/>
    <n v="0"/>
    <n v="0"/>
    <n v="0"/>
    <n v="0.76"/>
    <e v="#N/A"/>
    <x v="0"/>
  </r>
  <r>
    <d v="2023-03-15T00:00:00"/>
    <x v="10"/>
    <s v="Admin/HR/IT"/>
    <s v="AMCARE NonOcc In"/>
    <s v="AMZN"/>
    <n v="113014006"/>
    <s v="Reyes Andrade,Diego"/>
    <s v="Corona Arriaga,Fernando"/>
    <n v="0"/>
    <n v="0"/>
    <n v="0"/>
    <n v="0"/>
    <n v="0.25"/>
    <e v="#N/A"/>
    <x v="0"/>
  </r>
  <r>
    <d v="2023-03-15T00:00:00"/>
    <x v="10"/>
    <s v="Admin/HR/IT"/>
    <s v="AMCARE NonOcc In"/>
    <s v="AMZN"/>
    <n v="113014081"/>
    <s v="Frausto,Genesis"/>
    <s v="Piedra,Valentina"/>
    <n v="0"/>
    <n v="0"/>
    <n v="0"/>
    <n v="0"/>
    <n v="0.66"/>
    <e v="#N/A"/>
    <x v="9"/>
  </r>
  <r>
    <d v="2023-03-15T00:00:00"/>
    <x v="10"/>
    <s v="Admin/HR/IT"/>
    <s v="AMCARE NonOcc In"/>
    <s v="AMZN"/>
    <n v="113044620"/>
    <s v="Jasso Miranda,Aldo"/>
    <s v="Corona Arriaga,Fernando"/>
    <n v="0"/>
    <n v="0"/>
    <n v="0"/>
    <n v="0"/>
    <n v="0.12"/>
    <e v="#N/A"/>
    <x v="52"/>
  </r>
  <r>
    <d v="2023-03-15T00:00:00"/>
    <x v="10"/>
    <s v="Admin/HR/IT"/>
    <s v="AMCARE NonOcc In"/>
    <s v="AMZN"/>
    <n v="200404250"/>
    <s v="Hurtado,Caty"/>
    <s v="Piedra,Valentina"/>
    <n v="0"/>
    <n v="0"/>
    <n v="0"/>
    <n v="0"/>
    <n v="0.47"/>
    <e v="#N/A"/>
    <x v="6"/>
  </r>
  <r>
    <d v="2023-03-15T00:00:00"/>
    <x v="10"/>
    <s v="Admin/HR/IT"/>
    <s v="AMCARE NonOcc In"/>
    <s v="TEMP"/>
    <n v="200508371"/>
    <s v="Perez,Georgina"/>
    <s v="Romero Sanchez,Gustavo Gabriel"/>
    <n v="0"/>
    <n v="0"/>
    <n v="0"/>
    <n v="0"/>
    <n v="0.64"/>
    <e v="#N/A"/>
    <x v="0"/>
  </r>
  <r>
    <d v="2023-03-15T00:00:00"/>
    <x v="10"/>
    <s v="Admin/HR/IT"/>
    <s v="AMCARE NonOcc In"/>
    <s v="TEMP"/>
    <n v="200552734"/>
    <s v="Santiago Ramirez,Six"/>
    <s v="Romero Sanchez,Gustavo Gabriel"/>
    <n v="0"/>
    <n v="0"/>
    <n v="0"/>
    <n v="0"/>
    <n v="1.4"/>
    <e v="#N/A"/>
    <x v="0"/>
  </r>
  <r>
    <d v="2023-03-15T00:00:00"/>
    <x v="10"/>
    <s v="Admin/HR/IT"/>
    <s v="AMCARE NonOcc In"/>
    <s v="TEMP"/>
    <n v="200625528"/>
    <s v="Oliva,Lizbeth"/>
    <s v="Gomez Aguado,Jorge"/>
    <n v="0"/>
    <n v="0"/>
    <n v="0"/>
    <n v="0"/>
    <n v="0.16"/>
    <e v="#N/A"/>
    <x v="83"/>
  </r>
  <r>
    <d v="2023-03-15T00:00:00"/>
    <x v="10"/>
    <s v="Admin/HR/IT"/>
    <s v="AMCARE NonOcc In"/>
    <s v="TEMP"/>
    <n v="201159079"/>
    <s v="Oliva,Nancy"/>
    <s v="Morales Beristain,Sugeyt"/>
    <n v="0"/>
    <n v="0"/>
    <n v="0"/>
    <n v="0"/>
    <n v="1.84"/>
    <e v="#N/A"/>
    <x v="0"/>
  </r>
  <r>
    <d v="2023-03-15T00:00:00"/>
    <x v="10"/>
    <s v="Admin/HR/IT"/>
    <s v="AMCARE NonOcc In"/>
    <s v="TEMP"/>
    <n v="201160146"/>
    <s v="Avila,priscila"/>
    <s v="Morales Beristain,Sugeyt"/>
    <n v="0"/>
    <n v="0"/>
    <n v="0"/>
    <n v="0"/>
    <n v="0.11"/>
    <e v="#N/A"/>
    <x v="0"/>
  </r>
  <r>
    <d v="2023-03-15T00:00:00"/>
    <x v="10"/>
    <s v="Admin/HR/IT"/>
    <s v="AMCARE NonOcc In"/>
    <s v="TEMP"/>
    <n v="201167517"/>
    <s v="Espinoza Lopez,Magdal"/>
    <s v="Ledezma,Fer"/>
    <n v="0"/>
    <n v="0"/>
    <n v="0"/>
    <n v="0"/>
    <n v="0.4"/>
    <e v="#N/A"/>
    <x v="0"/>
  </r>
  <r>
    <d v="2023-03-16T00:00:00"/>
    <x v="10"/>
    <s v="Admin/HR/IT"/>
    <s v="AMCARE NonOcc In"/>
    <s v="AMZN"/>
    <n v="112912163"/>
    <s v="Murillo,Alejandro"/>
    <s v="Piedra,Valentina"/>
    <n v="0"/>
    <n v="0"/>
    <n v="0"/>
    <n v="0"/>
    <n v="0.4"/>
    <e v="#N/A"/>
    <x v="0"/>
  </r>
  <r>
    <d v="2023-03-16T00:00:00"/>
    <x v="10"/>
    <s v="Admin/HR/IT"/>
    <s v="AMCARE NonOcc In"/>
    <s v="AMZN"/>
    <n v="112912459"/>
    <s v="Maldonado Hernandez,Miguel"/>
    <s v="Madrid Molina,Ramon"/>
    <n v="0"/>
    <n v="0"/>
    <n v="0"/>
    <n v="0"/>
    <n v="1.26"/>
    <e v="#N/A"/>
    <x v="0"/>
  </r>
  <r>
    <d v="2023-03-16T00:00:00"/>
    <x v="10"/>
    <s v="Admin/HR/IT"/>
    <s v="AMCARE NonOcc In"/>
    <s v="AMZN"/>
    <n v="112916497"/>
    <s v="Ascencio Mendez,Israel Isaias"/>
    <s v="Lopez,Alexa"/>
    <n v="0"/>
    <n v="0"/>
    <n v="0"/>
    <n v="0"/>
    <n v="0.72"/>
    <e v="#N/A"/>
    <x v="0"/>
  </r>
  <r>
    <d v="2023-03-16T00:00:00"/>
    <x v="10"/>
    <s v="Admin/HR/IT"/>
    <s v="AMCARE NonOcc In"/>
    <s v="AMZN"/>
    <n v="112971965"/>
    <s v="Hernandez,Andrea"/>
    <s v="Romero Sanchez,Gustavo Gabriel"/>
    <n v="0"/>
    <n v="0"/>
    <n v="0"/>
    <n v="0"/>
    <n v="0.36"/>
    <e v="#N/A"/>
    <x v="0"/>
  </r>
  <r>
    <d v="2023-03-16T00:00:00"/>
    <x v="10"/>
    <s v="Admin/HR/IT"/>
    <s v="AMCARE NonOcc In"/>
    <s v="AMZN"/>
    <n v="112981201"/>
    <s v="Ramirez,Andrea"/>
    <s v="Corona Arriaga,Fernando"/>
    <n v="0"/>
    <n v="0"/>
    <n v="0"/>
    <n v="0"/>
    <n v="0.48"/>
    <e v="#N/A"/>
    <x v="0"/>
  </r>
  <r>
    <d v="2023-03-16T00:00:00"/>
    <x v="10"/>
    <s v="Admin/HR/IT"/>
    <s v="AMCARE NonOcc In"/>
    <s v="AMZN"/>
    <n v="112984097"/>
    <s v="Aguilera,Yaremi"/>
    <s v="Corona Arriaga,Fernando"/>
    <n v="0"/>
    <n v="0"/>
    <n v="0"/>
    <n v="0"/>
    <n v="0.55000000000000004"/>
    <e v="#N/A"/>
    <x v="0"/>
  </r>
  <r>
    <d v="2023-03-16T00:00:00"/>
    <x v="10"/>
    <s v="Admin/HR/IT"/>
    <s v="AMCARE NonOcc In"/>
    <s v="AMZN"/>
    <n v="112984442"/>
    <s v="Garcia,Mauricio Antonio De la lama"/>
    <s v="Gomez,Abinadab"/>
    <n v="0"/>
    <n v="0"/>
    <n v="0"/>
    <n v="0"/>
    <n v="0.24"/>
    <e v="#N/A"/>
    <x v="0"/>
  </r>
  <r>
    <d v="2023-03-16T00:00:00"/>
    <x v="10"/>
    <s v="Admin/HR/IT"/>
    <s v="AMCARE NonOcc In"/>
    <s v="AMZN"/>
    <n v="113014007"/>
    <s v="Negrete Gallardo,Tony"/>
    <s v="Madrid Molina,Ramon"/>
    <n v="0"/>
    <n v="0"/>
    <n v="0"/>
    <n v="0"/>
    <n v="0.52"/>
    <e v="#N/A"/>
    <x v="0"/>
  </r>
  <r>
    <d v="2023-03-16T00:00:00"/>
    <x v="10"/>
    <s v="Admin/HR/IT"/>
    <s v="AMCARE NonOcc In"/>
    <s v="AMZN"/>
    <n v="113014081"/>
    <s v="Frausto,Genesis"/>
    <s v="Piedra,Valentina"/>
    <n v="0"/>
    <n v="0"/>
    <n v="0"/>
    <n v="0"/>
    <n v="0.5"/>
    <e v="#N/A"/>
    <x v="9"/>
  </r>
  <r>
    <d v="2023-03-16T00:00:00"/>
    <x v="10"/>
    <s v="Admin/HR/IT"/>
    <s v="AMCARE NonOcc In"/>
    <s v="AMZN"/>
    <n v="113014092"/>
    <s v="Sanchez,Cristina"/>
    <s v="Romero Sanchez,Gustavo Gabriel"/>
    <n v="0"/>
    <n v="0"/>
    <n v="0"/>
    <n v="0"/>
    <n v="0.73"/>
    <e v="#N/A"/>
    <x v="73"/>
  </r>
  <r>
    <d v="2023-03-16T00:00:00"/>
    <x v="10"/>
    <s v="Admin/HR/IT"/>
    <s v="AMCARE NonOcc In"/>
    <s v="AMZN"/>
    <n v="113014113"/>
    <s v="Sanchez Villegas,Benjamin"/>
    <s v="Corona Arriaga,Fernando"/>
    <n v="0"/>
    <n v="0"/>
    <n v="0"/>
    <n v="0"/>
    <n v="0.37"/>
    <e v="#N/A"/>
    <x v="0"/>
  </r>
  <r>
    <d v="2023-03-16T00:00:00"/>
    <x v="10"/>
    <s v="Admin/HR/IT"/>
    <s v="AMCARE NonOcc In"/>
    <s v="AMZN"/>
    <n v="113019042"/>
    <s v="Gallegos Godinez,Eloy"/>
    <s v="Hernandez,Nataly"/>
    <n v="0"/>
    <n v="0"/>
    <n v="0"/>
    <n v="0"/>
    <n v="0.28999999999999998"/>
    <e v="#N/A"/>
    <x v="0"/>
  </r>
  <r>
    <d v="2023-03-16T00:00:00"/>
    <x v="10"/>
    <s v="Admin/HR/IT"/>
    <s v="AMCARE NonOcc In"/>
    <s v="AMZN"/>
    <n v="113052151"/>
    <s v="Nieves Mendez,Laura"/>
    <s v="Ledezma,Fer"/>
    <n v="0"/>
    <n v="0"/>
    <n v="0"/>
    <n v="0"/>
    <n v="0.18"/>
    <e v="#N/A"/>
    <x v="56"/>
  </r>
  <r>
    <d v="2023-03-16T00:00:00"/>
    <x v="10"/>
    <s v="Admin/HR/IT"/>
    <s v="AMCARE NonOcc In"/>
    <s v="AMZN"/>
    <n v="200404250"/>
    <s v="Hurtado,Caty"/>
    <s v="Piedra,Valentina"/>
    <n v="0"/>
    <n v="0"/>
    <n v="0"/>
    <n v="0"/>
    <n v="0.46"/>
    <e v="#N/A"/>
    <x v="6"/>
  </r>
  <r>
    <d v="2023-03-16T00:00:00"/>
    <x v="10"/>
    <s v="Admin/HR/IT"/>
    <s v="AMCARE NonOcc In"/>
    <s v="AMZN"/>
    <n v="200407907"/>
    <s v="BaÃ±os Lopez,Mario"/>
    <s v="Piedra,Valentina"/>
    <n v="0"/>
    <n v="0"/>
    <n v="0"/>
    <n v="0"/>
    <n v="0.24"/>
    <e v="#N/A"/>
    <x v="0"/>
  </r>
  <r>
    <d v="2023-03-16T00:00:00"/>
    <x v="10"/>
    <s v="Admin/HR/IT"/>
    <s v="AMCARE NonOcc In"/>
    <s v="TEMP"/>
    <n v="200564845"/>
    <s v="Barron,Abraham"/>
    <s v="Madrid Molina,Ramon"/>
    <n v="0"/>
    <n v="0"/>
    <n v="0"/>
    <n v="0"/>
    <n v="0.15"/>
    <e v="#N/A"/>
    <x v="0"/>
  </r>
  <r>
    <d v="2023-03-16T00:00:00"/>
    <x v="10"/>
    <s v="Admin/HR/IT"/>
    <s v="AMCARE NonOcc In"/>
    <s v="TEMP"/>
    <n v="200589316"/>
    <s v="Torres Zuniga,Daniel"/>
    <s v="Madrid Molina,Ramon"/>
    <n v="0"/>
    <n v="0"/>
    <n v="0"/>
    <n v="0"/>
    <n v="0.17"/>
    <e v="#N/A"/>
    <x v="0"/>
  </r>
  <r>
    <d v="2023-03-17T00:00:00"/>
    <x v="10"/>
    <s v="Admin/HR/IT"/>
    <s v="AMCARE NonOcc In"/>
    <s v="AMZN"/>
    <n v="112912464"/>
    <s v="Garcia Nicasio,Luis"/>
    <s v="Cortes,Alejandra"/>
    <n v="0"/>
    <n v="0"/>
    <n v="0"/>
    <n v="0"/>
    <n v="1.82"/>
    <e v="#N/A"/>
    <x v="0"/>
  </r>
  <r>
    <d v="2023-03-17T00:00:00"/>
    <x v="10"/>
    <s v="Admin/HR/IT"/>
    <s v="AMCARE NonOcc In"/>
    <s v="AMZN"/>
    <n v="112971980"/>
    <s v="Romero,Daniel"/>
    <s v="Pizana,Diego"/>
    <n v="0"/>
    <n v="0"/>
    <n v="0"/>
    <n v="0"/>
    <n v="0.28999999999999998"/>
    <s v="DC-X0700"/>
    <x v="43"/>
  </r>
  <r>
    <d v="2023-03-17T00:00:00"/>
    <x v="10"/>
    <s v="Admin/HR/IT"/>
    <s v="AMCARE NonOcc In"/>
    <s v="AMZN"/>
    <n v="112984442"/>
    <s v="Garcia,Mauricio Antonio De la lama"/>
    <s v="Gomez,Abinadab"/>
    <n v="0"/>
    <n v="0"/>
    <n v="0"/>
    <n v="0"/>
    <n v="0.82"/>
    <e v="#N/A"/>
    <x v="0"/>
  </r>
  <r>
    <d v="2023-03-17T00:00:00"/>
    <x v="10"/>
    <s v="Admin/HR/IT"/>
    <s v="AMCARE NonOcc In"/>
    <s v="AMZN"/>
    <n v="113003674"/>
    <s v="Gasca Vazquez,Carlos"/>
    <s v="Gomez,Abinadab"/>
    <n v="0"/>
    <n v="0"/>
    <n v="0"/>
    <n v="0"/>
    <n v="0.78"/>
    <e v="#N/A"/>
    <x v="106"/>
  </r>
  <r>
    <d v="2023-03-17T00:00:00"/>
    <x v="10"/>
    <s v="Admin/HR/IT"/>
    <s v="AMCARE NonOcc In"/>
    <s v="AMZN"/>
    <n v="113014042"/>
    <s v="Cervantes,Rose"/>
    <s v="Romero Sanchez,Gustavo Gabriel"/>
    <n v="0"/>
    <n v="0"/>
    <n v="0"/>
    <n v="0"/>
    <n v="0.44"/>
    <e v="#N/A"/>
    <x v="20"/>
  </r>
  <r>
    <d v="2023-03-17T00:00:00"/>
    <x v="10"/>
    <s v="Admin/HR/IT"/>
    <s v="AMCARE NonOcc In"/>
    <s v="AMZN"/>
    <n v="113020667"/>
    <s v="Martinez Becerra,Paulina"/>
    <s v="Madrid Molina,Ramon"/>
    <n v="0"/>
    <n v="0"/>
    <n v="0"/>
    <n v="0"/>
    <n v="0.2"/>
    <e v="#N/A"/>
    <x v="31"/>
  </r>
  <r>
    <d v="2023-03-17T00:00:00"/>
    <x v="10"/>
    <s v="Admin/HR/IT"/>
    <s v="AMCARE NonOcc In"/>
    <s v="TEMP"/>
    <n v="200589316"/>
    <s v="Torres Zuniga,Daniel"/>
    <s v="Madrid Molina,Ramon"/>
    <n v="0"/>
    <n v="0"/>
    <n v="0"/>
    <n v="0"/>
    <n v="0.11"/>
    <e v="#N/A"/>
    <x v="0"/>
  </r>
  <r>
    <d v="2023-03-17T00:00:00"/>
    <x v="10"/>
    <s v="Admin/HR/IT"/>
    <s v="AMCARE NonOcc In"/>
    <s v="TEMP"/>
    <n v="200614224"/>
    <s v="Cruz Hernandez,Cris"/>
    <s v="Ledezma,Fer"/>
    <n v="0"/>
    <n v="0"/>
    <n v="0"/>
    <n v="0"/>
    <n v="0.55000000000000004"/>
    <e v="#N/A"/>
    <x v="0"/>
  </r>
  <r>
    <d v="2023-03-17T00:00:00"/>
    <x v="10"/>
    <s v="Admin/HR/IT"/>
    <s v="AMCARE NonOcc In"/>
    <s v="TEMP"/>
    <n v="200615883"/>
    <s v="Ibarra Amaro,Adriana"/>
    <s v="Madrid Molina,Ramon"/>
    <n v="0"/>
    <n v="0"/>
    <n v="0"/>
    <n v="0"/>
    <n v="1.36"/>
    <e v="#N/A"/>
    <x v="0"/>
  </r>
  <r>
    <d v="2023-03-17T00:00:00"/>
    <x v="10"/>
    <s v="Admin/HR/IT"/>
    <s v="AMCARE NonOcc In"/>
    <s v="TEMP"/>
    <n v="201186777"/>
    <s v="Monzon,Berenice"/>
    <s v="Morales Beristain,Sugeyt"/>
    <n v="0"/>
    <n v="0"/>
    <n v="0"/>
    <n v="0"/>
    <n v="0.28999999999999998"/>
    <e v="#N/A"/>
    <x v="107"/>
  </r>
  <r>
    <d v="2023-03-17T00:00:00"/>
    <x v="10"/>
    <s v="Admin/HR/IT"/>
    <s v="AMCARE NonOcc In"/>
    <s v="TEMP"/>
    <n v="201191101"/>
    <s v="Mendoza,Yesenia"/>
    <s v="Hernandez Padilla,Daniel"/>
    <n v="0"/>
    <n v="0"/>
    <n v="0"/>
    <n v="0"/>
    <n v="0.23"/>
    <e v="#N/A"/>
    <x v="0"/>
  </r>
  <r>
    <d v="2023-03-17T00:00:00"/>
    <x v="10"/>
    <s v="Admin/HR/IT"/>
    <s v="AMCARE NonOcc In"/>
    <s v="TEMP"/>
    <n v="201194233"/>
    <s v="Fernanda,Jareli"/>
    <s v="Gomez Aguado,Jorge"/>
    <n v="0"/>
    <n v="0"/>
    <n v="0"/>
    <n v="0"/>
    <n v="0.55000000000000004"/>
    <e v="#N/A"/>
    <x v="0"/>
  </r>
  <r>
    <d v="2023-03-17T00:00:00"/>
    <x v="10"/>
    <s v="Admin/HR/IT"/>
    <s v="AMCARE NonOcc In"/>
    <s v="TEMP"/>
    <n v="201194285"/>
    <s v="Robledo,Alma"/>
    <s v="Morales Beristain,Sugeyt"/>
    <n v="0"/>
    <n v="0"/>
    <n v="0"/>
    <n v="0"/>
    <n v="0.53"/>
    <e v="#N/A"/>
    <x v="0"/>
  </r>
  <r>
    <d v="2023-03-18T00:00:00"/>
    <x v="10"/>
    <s v="Admin/HR/IT"/>
    <s v="AMCARE NonOcc In"/>
    <s v="AMZN"/>
    <n v="112981212"/>
    <s v="Zanella Miranda,Alyson"/>
    <s v="Ledezma,Fer"/>
    <n v="0"/>
    <n v="0"/>
    <n v="0"/>
    <n v="0"/>
    <n v="0.22"/>
    <e v="#N/A"/>
    <x v="77"/>
  </r>
  <r>
    <d v="2023-03-18T00:00:00"/>
    <x v="10"/>
    <s v="Admin/HR/IT"/>
    <s v="AMCARE NonOcc In"/>
    <s v="TEMP"/>
    <n v="200564845"/>
    <s v="Barron,Abraham"/>
    <s v="Madrid Molina,Ramon"/>
    <n v="0"/>
    <n v="0"/>
    <n v="0"/>
    <n v="0"/>
    <n v="0.22"/>
    <e v="#N/A"/>
    <x v="0"/>
  </r>
  <r>
    <d v="2023-03-18T00:00:00"/>
    <x v="10"/>
    <s v="Admin/HR/IT"/>
    <s v="AMCARE NonOcc In"/>
    <s v="TEMP"/>
    <n v="200589316"/>
    <s v="Torres Zuniga,Daniel"/>
    <s v="Madrid Molina,Ramon"/>
    <n v="0"/>
    <n v="0"/>
    <n v="0"/>
    <n v="0"/>
    <n v="0.12"/>
    <e v="#N/A"/>
    <x v="0"/>
  </r>
  <r>
    <d v="2023-03-18T00:00:00"/>
    <x v="10"/>
    <s v="Admin/HR/IT"/>
    <s v="AMCARE NonOcc In"/>
    <s v="TEMP"/>
    <n v="200615883"/>
    <s v="Ibarra Amaro,Adriana"/>
    <s v="Madrid Molina,Ramon"/>
    <n v="0"/>
    <n v="0"/>
    <n v="0"/>
    <n v="0"/>
    <n v="1.75"/>
    <e v="#N/A"/>
    <x v="0"/>
  </r>
  <r>
    <d v="2023-03-18T00:00:00"/>
    <x v="10"/>
    <s v="Admin/HR/IT"/>
    <s v="AMCARE NonOcc In"/>
    <s v="TEMP"/>
    <n v="200625339"/>
    <s v="Alcantar Mendez,Diego"/>
    <s v="Madrid Molina,Ramon"/>
    <n v="0"/>
    <n v="0"/>
    <n v="0"/>
    <n v="0"/>
    <n v="0.03"/>
    <e v="#N/A"/>
    <x v="0"/>
  </r>
  <r>
    <d v="2023-03-18T00:00:00"/>
    <x v="10"/>
    <s v="Admin/HR/IT"/>
    <s v="AMCARE NonOcc In"/>
    <s v="TEMP"/>
    <n v="201160146"/>
    <s v="Avila,priscila"/>
    <s v="Morales Beristain,Sugeyt"/>
    <n v="0"/>
    <n v="0"/>
    <n v="0"/>
    <n v="0"/>
    <n v="0.47"/>
    <e v="#N/A"/>
    <x v="0"/>
  </r>
  <r>
    <d v="2023-03-18T00:00:00"/>
    <x v="10"/>
    <s v="Admin/HR/IT"/>
    <s v="AMCARE NonOcc In"/>
    <s v="TEMP"/>
    <n v="201191169"/>
    <s v="Gutierrez,Saulo"/>
    <s v="Hernandez Padilla,Daniel"/>
    <n v="0"/>
    <n v="0"/>
    <n v="0"/>
    <n v="0"/>
    <n v="1.24"/>
    <e v="#N/A"/>
    <x v="0"/>
  </r>
  <r>
    <d v="2023-03-19T00:00:00"/>
    <x v="11"/>
    <s v="Admin/HR/IT"/>
    <s v="AMCARE NonOcc In"/>
    <s v="AMZN"/>
    <n v="110249579"/>
    <s v="Ruz,Misael"/>
    <s v="Robledo Ugarte,Alejandro"/>
    <n v="0"/>
    <n v="0"/>
    <n v="0"/>
    <n v="0"/>
    <n v="0.28000000000000003"/>
    <s v="DA-X0700"/>
    <x v="108"/>
  </r>
  <r>
    <d v="2023-03-19T00:00:00"/>
    <x v="11"/>
    <s v="Admin/HR/IT"/>
    <s v="AMCARE NonOcc In"/>
    <s v="TEMP"/>
    <n v="112912007"/>
    <s v="Robledo Barrientos,Alondra"/>
    <s v="Robledo Ugarte,Alejandro"/>
    <n v="0"/>
    <n v="0"/>
    <n v="0"/>
    <n v="0"/>
    <n v="0.64"/>
    <e v="#N/A"/>
    <x v="0"/>
  </r>
  <r>
    <d v="2023-03-19T00:00:00"/>
    <x v="11"/>
    <s v="Admin/HR/IT"/>
    <s v="AMCARE NonOcc In"/>
    <s v="AMZN"/>
    <n v="112912753"/>
    <s v="Padilla Abrego,Selene"/>
    <s v="Piedra,Valentina"/>
    <n v="0"/>
    <n v="0"/>
    <n v="0"/>
    <n v="0"/>
    <n v="0.08"/>
    <e v="#N/A"/>
    <x v="0"/>
  </r>
  <r>
    <d v="2023-03-19T00:00:00"/>
    <x v="11"/>
    <s v="Admin/HR/IT"/>
    <s v="AMCARE NonOcc In"/>
    <s v="AMZN"/>
    <n v="112980843"/>
    <s v="Santos,Israel"/>
    <s v="Robledo Ugarte,Alejandro"/>
    <n v="0"/>
    <n v="0"/>
    <n v="0"/>
    <n v="0"/>
    <n v="0.09"/>
    <s v="DA-X0700"/>
    <x v="85"/>
  </r>
  <r>
    <d v="2023-03-19T00:00:00"/>
    <x v="11"/>
    <s v="Admin/HR/IT"/>
    <s v="AMCARE NonOcc In"/>
    <s v="AMZN"/>
    <n v="112981212"/>
    <s v="Zanella Miranda,Alyson"/>
    <s v="Ledezma,Fer"/>
    <n v="0"/>
    <n v="0"/>
    <n v="0"/>
    <n v="0"/>
    <n v="0.39"/>
    <e v="#N/A"/>
    <x v="77"/>
  </r>
  <r>
    <d v="2023-03-19T00:00:00"/>
    <x v="11"/>
    <s v="Admin/HR/IT"/>
    <s v="AMCARE NonOcc In"/>
    <s v="AMZN"/>
    <n v="113101453"/>
    <s v="Isaac,Geovanna"/>
    <s v="Corona Arriaga,Fernando"/>
    <n v="0"/>
    <n v="0"/>
    <n v="0"/>
    <n v="0"/>
    <n v="0.16"/>
    <e v="#N/A"/>
    <x v="4"/>
  </r>
  <r>
    <d v="2023-03-19T00:00:00"/>
    <x v="11"/>
    <s v="Admin/HR/IT"/>
    <s v="AMCARE NonOcc In"/>
    <s v="TEMP"/>
    <n v="201160146"/>
    <s v="Avila,priscila"/>
    <s v="Ledezma,Fer"/>
    <n v="0"/>
    <n v="0"/>
    <n v="0"/>
    <n v="0"/>
    <n v="0.12"/>
    <e v="#N/A"/>
    <x v="0"/>
  </r>
  <r>
    <d v="2023-03-19T00:00:00"/>
    <x v="11"/>
    <s v="Admin/HR/IT"/>
    <s v="AMCARE NonOcc In"/>
    <s v="TEMP"/>
    <n v="201167501"/>
    <s v="Rodriguez,Ruben"/>
    <s v="Corona Arriaga,Fernando"/>
    <n v="0"/>
    <n v="0"/>
    <n v="0"/>
    <n v="0"/>
    <n v="0.24"/>
    <e v="#N/A"/>
    <x v="109"/>
  </r>
  <r>
    <d v="2023-03-19T00:00:00"/>
    <x v="11"/>
    <s v="Admin/HR/IT"/>
    <s v="AMCARE NonOcc In"/>
    <s v="TEMP"/>
    <n v="201194233"/>
    <s v="Fernanda,Jareli"/>
    <s v="Gomez Aguado,Jorge"/>
    <n v="0"/>
    <n v="0"/>
    <n v="0"/>
    <n v="0"/>
    <n v="0.7"/>
    <e v="#N/A"/>
    <x v="0"/>
  </r>
  <r>
    <d v="2023-03-20T00:00:00"/>
    <x v="11"/>
    <s v="Admin/HR/IT"/>
    <s v="AMCARE NonOcc In"/>
    <s v="AMZN"/>
    <n v="112932733"/>
    <s v="Quiroga,Silvia"/>
    <s v="Romero Sanchez,Gustavo Gabriel"/>
    <n v="0"/>
    <n v="0"/>
    <n v="0"/>
    <n v="0"/>
    <n v="0.36"/>
    <e v="#N/A"/>
    <x v="0"/>
  </r>
  <r>
    <d v="2023-03-20T00:00:00"/>
    <x v="11"/>
    <s v="Admin/HR/IT"/>
    <s v="AMCARE NonOcc In"/>
    <s v="AMZN"/>
    <n v="112981013"/>
    <s v="Lopez Neri,Norma"/>
    <s v="Robledo Ugarte,Alejandro"/>
    <n v="0"/>
    <n v="0"/>
    <n v="0"/>
    <n v="0"/>
    <n v="0.28999999999999998"/>
    <s v="DA-X0700"/>
    <x v="12"/>
  </r>
  <r>
    <d v="2023-03-20T00:00:00"/>
    <x v="11"/>
    <s v="Admin/HR/IT"/>
    <s v="AMCARE NonOcc In"/>
    <s v="AMZN"/>
    <n v="112984097"/>
    <s v="Aguilera,Yaremi"/>
    <s v="Corona Arriaga,Fernando"/>
    <n v="0"/>
    <n v="0"/>
    <n v="0"/>
    <n v="0"/>
    <n v="0.55000000000000004"/>
    <e v="#N/A"/>
    <x v="0"/>
  </r>
  <r>
    <d v="2023-03-20T00:00:00"/>
    <x v="11"/>
    <s v="Admin/HR/IT"/>
    <s v="AMCARE NonOcc In"/>
    <s v="AMZN"/>
    <n v="113014113"/>
    <s v="Sanchez Villegas,Benjamin"/>
    <s v="Corona Arriaga,Fernando"/>
    <n v="0"/>
    <n v="0"/>
    <n v="0"/>
    <n v="0"/>
    <n v="0.41"/>
    <e v="#N/A"/>
    <x v="0"/>
  </r>
  <r>
    <d v="2023-03-20T00:00:00"/>
    <x v="11"/>
    <s v="Admin/HR/IT"/>
    <s v="AMCARE NonOcc In"/>
    <s v="AMZN"/>
    <n v="113044620"/>
    <s v="Jasso Miranda,Aldo"/>
    <s v="Corona Arriaga,Fernando"/>
    <n v="0"/>
    <n v="0"/>
    <n v="0"/>
    <n v="0"/>
    <n v="0.11"/>
    <e v="#N/A"/>
    <x v="52"/>
  </r>
  <r>
    <d v="2023-03-20T00:00:00"/>
    <x v="11"/>
    <s v="Admin/HR/IT"/>
    <s v="AMCARE NonOcc In"/>
    <s v="AMZN"/>
    <n v="200404250"/>
    <s v="Hurtado,Caty"/>
    <s v="Piedra,Valentina"/>
    <n v="0"/>
    <n v="0"/>
    <n v="0"/>
    <n v="0"/>
    <n v="1.8"/>
    <e v="#N/A"/>
    <x v="6"/>
  </r>
  <r>
    <d v="2023-03-20T00:00:00"/>
    <x v="11"/>
    <s v="Admin/HR/IT"/>
    <s v="AMCARE NonOcc In"/>
    <s v="AMZN"/>
    <n v="200407907"/>
    <s v="BaÃ±os Lopez,Mario"/>
    <s v="Piedra,Valentina"/>
    <n v="0"/>
    <n v="0"/>
    <n v="0"/>
    <n v="0"/>
    <n v="1.1599999999999999"/>
    <e v="#N/A"/>
    <x v="0"/>
  </r>
  <r>
    <d v="2023-03-20T00:00:00"/>
    <x v="11"/>
    <s v="Admin/HR/IT"/>
    <s v="AMCARE NonOcc In"/>
    <s v="TEMP"/>
    <n v="200509662"/>
    <s v="Chico Ramirez,Carlos"/>
    <s v="Gomez,Abinadab"/>
    <n v="0"/>
    <n v="0"/>
    <n v="0"/>
    <n v="0"/>
    <n v="0.04"/>
    <e v="#N/A"/>
    <x v="110"/>
  </r>
  <r>
    <d v="2023-03-20T00:00:00"/>
    <x v="11"/>
    <s v="Admin/HR/IT"/>
    <s v="AMCARE NonOcc In"/>
    <s v="TEMP"/>
    <n v="200574345"/>
    <s v="Contreras,Jony"/>
    <s v="Piedra,Valentina"/>
    <n v="0"/>
    <n v="0"/>
    <n v="0"/>
    <n v="0"/>
    <n v="0.43"/>
    <e v="#N/A"/>
    <x v="54"/>
  </r>
  <r>
    <d v="2023-03-20T00:00:00"/>
    <x v="11"/>
    <s v="Admin/HR/IT"/>
    <s v="AMCARE NonOcc In"/>
    <s v="TEMP"/>
    <n v="201186777"/>
    <s v="Monzon,Berenice"/>
    <s v="Madrid Molina,Ramon"/>
    <n v="0"/>
    <n v="0"/>
    <n v="0"/>
    <n v="0"/>
    <n v="1.26"/>
    <e v="#N/A"/>
    <x v="107"/>
  </r>
  <r>
    <d v="2023-03-21T00:00:00"/>
    <x v="11"/>
    <s v="Admin/HR/IT"/>
    <s v="AMCARE NonOcc In"/>
    <s v="AMZN"/>
    <n v="111434478"/>
    <s v="Gutierrez,Pame"/>
    <s v="Garcia Espejel,Brenda Victoria"/>
    <n v="0"/>
    <n v="0"/>
    <n v="0"/>
    <n v="0"/>
    <n v="1.73"/>
    <s v="DA-X0700"/>
    <x v="23"/>
  </r>
  <r>
    <d v="2023-03-21T00:00:00"/>
    <x v="11"/>
    <s v="Admin/HR/IT"/>
    <s v="AMCARE NonOcc In"/>
    <s v="AMZN"/>
    <n v="112912052"/>
    <s v="Ortiz Cedeno,Omar"/>
    <s v="Cortes,Alejandra"/>
    <n v="0"/>
    <n v="0"/>
    <n v="0"/>
    <n v="0"/>
    <n v="0.52"/>
    <s v="DB-X0700"/>
    <x v="111"/>
  </r>
  <r>
    <d v="2023-03-21T00:00:00"/>
    <x v="11"/>
    <s v="Admin/HR/IT"/>
    <s v="AMCARE NonOcc In"/>
    <s v="AMZN"/>
    <n v="112912163"/>
    <s v="Murillo,Alejandro"/>
    <s v="Piedra,Valentina"/>
    <n v="0"/>
    <n v="0"/>
    <n v="0"/>
    <n v="0"/>
    <n v="0.74"/>
    <e v="#N/A"/>
    <x v="0"/>
  </r>
  <r>
    <d v="2023-03-21T00:00:00"/>
    <x v="11"/>
    <s v="Admin/HR/IT"/>
    <s v="AMCARE NonOcc In"/>
    <s v="AMZN"/>
    <n v="112912209"/>
    <s v="Morales,Sarahi"/>
    <s v="Munoz,Jonan"/>
    <n v="0"/>
    <n v="0"/>
    <n v="0"/>
    <n v="0"/>
    <n v="0.28999999999999998"/>
    <s v="NF-X1900"/>
    <x v="90"/>
  </r>
  <r>
    <d v="2023-03-21T00:00:00"/>
    <x v="11"/>
    <s v="Admin/HR/IT"/>
    <s v="AMCARE NonOcc In"/>
    <s v="AMZN"/>
    <n v="112912745"/>
    <s v="Gomez Meza,Alex"/>
    <s v="Robledo Ugarte,Alejandro"/>
    <n v="0"/>
    <n v="0"/>
    <n v="0"/>
    <n v="0"/>
    <n v="0.68"/>
    <s v="DA-X0700"/>
    <x v="55"/>
  </r>
  <r>
    <d v="2023-03-21T00:00:00"/>
    <x v="11"/>
    <s v="Admin/HR/IT"/>
    <s v="AMCARE NonOcc In"/>
    <s v="AMZN"/>
    <n v="112912753"/>
    <s v="Padilla Abrego,Selene"/>
    <s v="Piedra,Valentina"/>
    <n v="0"/>
    <n v="0"/>
    <n v="0"/>
    <n v="0"/>
    <n v="0.18"/>
    <e v="#N/A"/>
    <x v="0"/>
  </r>
  <r>
    <d v="2023-03-21T00:00:00"/>
    <x v="11"/>
    <s v="Admin/HR/IT"/>
    <s v="AMCARE NonOcc In"/>
    <s v="AMZN"/>
    <n v="112950807"/>
    <s v="Sanchez Lira,Aaron"/>
    <s v="Garcia Espejel,Brenda Victoria"/>
    <n v="0"/>
    <n v="0"/>
    <n v="0"/>
    <n v="0"/>
    <n v="0.49"/>
    <s v="DA-X0700"/>
    <x v="112"/>
  </r>
  <r>
    <d v="2023-03-21T00:00:00"/>
    <x v="11"/>
    <s v="Admin/HR/IT"/>
    <s v="AMCARE NonOcc In"/>
    <s v="AMZN"/>
    <n v="112976013"/>
    <s v="Garcia,Roberto"/>
    <s v="Munoz,Jonan"/>
    <n v="0"/>
    <n v="0"/>
    <n v="0"/>
    <n v="0"/>
    <n v="0.31"/>
    <e v="#N/A"/>
    <x v="0"/>
  </r>
  <r>
    <d v="2023-03-21T00:00:00"/>
    <x v="11"/>
    <s v="Admin/HR/IT"/>
    <s v="AMCARE NonOcc In"/>
    <s v="AMZN"/>
    <n v="112980832"/>
    <s v="Cruz Martinez,Salvador"/>
    <s v="Gomez Aguado,Jorge"/>
    <n v="0"/>
    <n v="0"/>
    <n v="0"/>
    <n v="0"/>
    <n v="1.31"/>
    <e v="#N/A"/>
    <x v="0"/>
  </r>
  <r>
    <d v="2023-03-21T00:00:00"/>
    <x v="11"/>
    <s v="Admin/HR/IT"/>
    <s v="AMCARE NonOcc In"/>
    <s v="AMZN"/>
    <n v="112980843"/>
    <s v="Santos,Israel"/>
    <s v="Robledo Ugarte,Alejandro"/>
    <n v="0"/>
    <n v="0"/>
    <n v="0"/>
    <n v="0"/>
    <n v="0"/>
    <s v="DA-X0700"/>
    <x v="85"/>
  </r>
  <r>
    <d v="2023-03-21T00:00:00"/>
    <x v="11"/>
    <s v="Admin/HR/IT"/>
    <s v="AMCARE NonOcc In"/>
    <s v="AMZN"/>
    <n v="112981013"/>
    <s v="Lopez Neri,Norma"/>
    <s v="Robledo Ugarte,Alejandro"/>
    <n v="0"/>
    <n v="0"/>
    <n v="0"/>
    <n v="0"/>
    <n v="0.91"/>
    <s v="DA-X0700"/>
    <x v="12"/>
  </r>
  <r>
    <d v="2023-03-21T00:00:00"/>
    <x v="11"/>
    <s v="Admin/HR/IT"/>
    <s v="AMCARE NonOcc In"/>
    <s v="AMZN"/>
    <n v="112981061"/>
    <s v="Olguin,Claudia"/>
    <s v="Corona Arriaga,Fernando"/>
    <n v="0"/>
    <n v="0"/>
    <n v="0"/>
    <n v="0"/>
    <n v="0.41"/>
    <s v="DA-X0700"/>
    <x v="11"/>
  </r>
  <r>
    <d v="2023-03-21T00:00:00"/>
    <x v="11"/>
    <s v="Admin/HR/IT"/>
    <s v="AMCARE NonOcc In"/>
    <s v="AMZN"/>
    <n v="112984097"/>
    <s v="Aguilera,Yaremi"/>
    <s v="Corona Arriaga,Fernando"/>
    <n v="0"/>
    <n v="0"/>
    <n v="0"/>
    <n v="0"/>
    <n v="0.3"/>
    <e v="#N/A"/>
    <x v="0"/>
  </r>
  <r>
    <d v="2023-03-21T00:00:00"/>
    <x v="11"/>
    <s v="Admin/HR/IT"/>
    <s v="AMCARE NonOcc In"/>
    <s v="AMZN"/>
    <n v="113014081"/>
    <s v="Frausto,Genesis"/>
    <s v="Piedra,Valentina"/>
    <n v="0"/>
    <n v="0"/>
    <n v="0"/>
    <n v="0"/>
    <n v="1.1299999999999999"/>
    <e v="#N/A"/>
    <x v="9"/>
  </r>
  <r>
    <d v="2023-03-21T00:00:00"/>
    <x v="11"/>
    <s v="Admin/HR/IT"/>
    <s v="AMCARE NonOcc In"/>
    <s v="AMZN"/>
    <n v="113014470"/>
    <s v="Aguilar Ibarra,Lupe"/>
    <s v="Corona Arriaga,Fernando"/>
    <n v="0"/>
    <n v="0"/>
    <n v="0"/>
    <n v="0"/>
    <n v="0.57999999999999996"/>
    <e v="#N/A"/>
    <x v="30"/>
  </r>
  <r>
    <d v="2023-03-21T00:00:00"/>
    <x v="11"/>
    <s v="Admin/HR/IT"/>
    <s v="AMCARE NonOcc In"/>
    <s v="TEMP"/>
    <n v="200535448"/>
    <s v="Guerrero Hernandez,Silvia"/>
    <s v="Gomez Aguado,Jorge"/>
    <n v="0"/>
    <n v="0"/>
    <n v="0"/>
    <n v="0"/>
    <n v="0.44"/>
    <e v="#N/A"/>
    <x v="0"/>
  </r>
  <r>
    <d v="2023-03-21T00:00:00"/>
    <x v="11"/>
    <s v="Admin/HR/IT"/>
    <s v="AMCARE NonOcc In"/>
    <s v="TEMP"/>
    <n v="200570729"/>
    <s v="Rodriguez,Carolina"/>
    <s v="Gomez Aguado,Jorge"/>
    <n v="0"/>
    <n v="0"/>
    <n v="0"/>
    <n v="0"/>
    <n v="0.75"/>
    <e v="#N/A"/>
    <x v="93"/>
  </r>
  <r>
    <d v="2023-03-21T00:00:00"/>
    <x v="11"/>
    <s v="Admin/HR/IT"/>
    <s v="AMCARE NonOcc In"/>
    <s v="TEMP"/>
    <n v="200574655"/>
    <s v="Mireles,Dulce"/>
    <s v="Corona Arriaga,Fernando"/>
    <n v="0"/>
    <n v="0"/>
    <n v="0"/>
    <n v="0"/>
    <n v="0.4"/>
    <e v="#N/A"/>
    <x v="88"/>
  </r>
  <r>
    <d v="2023-03-21T00:00:00"/>
    <x v="11"/>
    <s v="Admin/HR/IT"/>
    <s v="AMCARE NonOcc In"/>
    <s v="TEMP"/>
    <n v="200625517"/>
    <s v="RamÃ­rez,Miranda"/>
    <s v="Corona Arriaga,Fernando"/>
    <n v="0"/>
    <n v="0"/>
    <n v="0"/>
    <n v="0"/>
    <n v="0.24"/>
    <e v="#N/A"/>
    <x v="0"/>
  </r>
  <r>
    <d v="2023-03-21T00:00:00"/>
    <x v="11"/>
    <s v="Admin/HR/IT"/>
    <s v="AMCARE NonOcc In"/>
    <s v="TEMP"/>
    <n v="201165769"/>
    <s v="Puente,Karen"/>
    <s v="Gomez Aguado,Jorge"/>
    <n v="0"/>
    <n v="0"/>
    <n v="0"/>
    <n v="0"/>
    <n v="0.09"/>
    <e v="#N/A"/>
    <x v="113"/>
  </r>
  <r>
    <d v="2023-03-21T00:00:00"/>
    <x v="11"/>
    <s v="Admin/HR/IT"/>
    <s v="AMCARE NonOcc In"/>
    <s v="TEMP"/>
    <n v="201186833"/>
    <s v="Jasso,Alexa"/>
    <s v="Hernandez Padilla,Daniel"/>
    <n v="0"/>
    <n v="0"/>
    <n v="0"/>
    <n v="0"/>
    <n v="0.95"/>
    <e v="#N/A"/>
    <x v="114"/>
  </r>
  <r>
    <d v="2023-03-21T00:00:00"/>
    <x v="11"/>
    <s v="Admin/HR/IT"/>
    <s v="AMCARE NonOcc In"/>
    <s v="TEMP"/>
    <n v="201198979"/>
    <s v="Mendoza,Omar"/>
    <s v="Gomez Aguado,Jorge"/>
    <n v="0"/>
    <n v="0"/>
    <n v="0"/>
    <n v="0"/>
    <n v="1.43"/>
    <e v="#N/A"/>
    <x v="0"/>
  </r>
  <r>
    <d v="2023-03-21T00:00:00"/>
    <x v="11"/>
    <s v="Admin/HR/IT"/>
    <s v="AMCARE NonOcc In"/>
    <s v="TEMP"/>
    <n v="201201993"/>
    <s v="olmos,Lucia"/>
    <s v="Hernandez Padilla,Daniel"/>
    <n v="0"/>
    <n v="0"/>
    <n v="0"/>
    <n v="0"/>
    <n v="0.17"/>
    <e v="#N/A"/>
    <x v="0"/>
  </r>
  <r>
    <d v="2023-03-22T00:00:00"/>
    <x v="11"/>
    <s v="Admin/HR/IT"/>
    <s v="AMCARE NonOcc In"/>
    <s v="AMZN"/>
    <n v="103979960"/>
    <s v="Suchil Angel,Guillermo"/>
    <s v="Corona Arriaga,Fernando"/>
    <n v="0"/>
    <n v="0"/>
    <n v="0"/>
    <n v="0"/>
    <n v="1.38"/>
    <e v="#N/A"/>
    <x v="0"/>
  </r>
  <r>
    <d v="2023-03-22T00:00:00"/>
    <x v="11"/>
    <s v="Admin/HR/IT"/>
    <s v="AMCARE NonOcc In"/>
    <s v="AMZN"/>
    <n v="111434478"/>
    <s v="Gutierrez,Pame"/>
    <s v="Garcia Espejel,Brenda Victoria"/>
    <n v="0"/>
    <n v="0"/>
    <n v="0"/>
    <n v="0"/>
    <n v="0.1"/>
    <s v="DA-X0700"/>
    <x v="23"/>
  </r>
  <r>
    <d v="2023-03-22T00:00:00"/>
    <x v="11"/>
    <s v="Admin/HR/IT"/>
    <s v="AMCARE NonOcc In"/>
    <s v="AMZN"/>
    <n v="112912752"/>
    <s v="Valderrama Gomez,Leslie"/>
    <s v="Robledo Ugarte,Alejandro"/>
    <n v="0"/>
    <n v="0"/>
    <n v="0"/>
    <n v="0"/>
    <n v="0.11"/>
    <s v="NF-X1900"/>
    <x v="5"/>
  </r>
  <r>
    <d v="2023-03-22T00:00:00"/>
    <x v="11"/>
    <s v="Admin/HR/IT"/>
    <s v="AMCARE NonOcc In"/>
    <s v="AMZN"/>
    <n v="112912753"/>
    <s v="Padilla Abrego,Selene"/>
    <s v="Piedra,Valentina"/>
    <n v="0"/>
    <n v="0"/>
    <n v="0"/>
    <n v="0"/>
    <n v="0.04"/>
    <e v="#N/A"/>
    <x v="0"/>
  </r>
  <r>
    <d v="2023-03-22T00:00:00"/>
    <x v="11"/>
    <s v="Admin/HR/IT"/>
    <s v="AMCARE NonOcc In"/>
    <s v="AMZN"/>
    <n v="112950819"/>
    <s v="Rios Olmos,Isaac"/>
    <s v="Garcia Espejel,Brenda Victoria"/>
    <n v="0"/>
    <n v="0"/>
    <n v="0"/>
    <n v="0"/>
    <n v="0.15"/>
    <s v="DA-X0700"/>
    <x v="99"/>
  </r>
  <r>
    <d v="2023-03-22T00:00:00"/>
    <x v="11"/>
    <s v="Admin/HR/IT"/>
    <s v="AMCARE NonOcc In"/>
    <s v="AMZN"/>
    <n v="112980844"/>
    <s v="Padilla,Samantha"/>
    <s v="Robledo Ugarte,Alejandro"/>
    <n v="0"/>
    <n v="0"/>
    <n v="0"/>
    <n v="0"/>
    <n v="0.73"/>
    <s v="DA-X0700"/>
    <x v="2"/>
  </r>
  <r>
    <d v="2023-03-22T00:00:00"/>
    <x v="11"/>
    <s v="Admin/HR/IT"/>
    <s v="AMCARE NonOcc In"/>
    <s v="AMZN"/>
    <n v="112981061"/>
    <s v="Olguin,Claudia"/>
    <s v="Corona Arriaga,Fernando"/>
    <n v="0"/>
    <n v="0"/>
    <n v="0"/>
    <n v="0"/>
    <n v="0.37"/>
    <s v="DA-X0700"/>
    <x v="11"/>
  </r>
  <r>
    <d v="2023-03-22T00:00:00"/>
    <x v="11"/>
    <s v="Admin/HR/IT"/>
    <s v="AMCARE NonOcc In"/>
    <s v="AMZN"/>
    <n v="113003631"/>
    <s v="Ortega,Elizabeth"/>
    <s v="Gomez Aguado,Jorge"/>
    <n v="0"/>
    <n v="0"/>
    <n v="0"/>
    <n v="0"/>
    <n v="0.36"/>
    <e v="#N/A"/>
    <x v="0"/>
  </r>
  <r>
    <d v="2023-03-22T00:00:00"/>
    <x v="11"/>
    <s v="Admin/HR/IT"/>
    <s v="AMCARE NonOcc In"/>
    <s v="AMZN"/>
    <n v="113014094"/>
    <s v="Mercado,Erika"/>
    <s v="Corona Arriaga,Fernando"/>
    <n v="0"/>
    <n v="0"/>
    <n v="0"/>
    <n v="0"/>
    <n v="0.48"/>
    <e v="#N/A"/>
    <x v="49"/>
  </r>
  <r>
    <d v="2023-03-22T00:00:00"/>
    <x v="11"/>
    <s v="Admin/HR/IT"/>
    <s v="AMCARE NonOcc In"/>
    <s v="AMZN"/>
    <n v="113019042"/>
    <s v="Gallegos Godinez,Eloy"/>
    <s v="Piedra,Valentina"/>
    <n v="0"/>
    <n v="0"/>
    <n v="0"/>
    <n v="0"/>
    <n v="0.5"/>
    <e v="#N/A"/>
    <x v="0"/>
  </r>
  <r>
    <d v="2023-03-22T00:00:00"/>
    <x v="11"/>
    <s v="Admin/HR/IT"/>
    <s v="AMCARE NonOcc In"/>
    <s v="TEMP"/>
    <n v="201186801"/>
    <s v="Vazquez,Vincent"/>
    <s v="Madrid Molina,Ramon"/>
    <n v="0"/>
    <n v="0"/>
    <n v="0"/>
    <n v="0"/>
    <n v="0.27"/>
    <e v="#N/A"/>
    <x v="0"/>
  </r>
  <r>
    <d v="2023-03-22T00:00:00"/>
    <x v="11"/>
    <s v="Admin/HR/IT"/>
    <s v="AMCARE NonOcc In"/>
    <s v="TEMP"/>
    <n v="201201993"/>
    <s v="olmos,Lucia"/>
    <s v="Hernandez Padilla,Daniel"/>
    <n v="0"/>
    <n v="0"/>
    <n v="0"/>
    <n v="0"/>
    <n v="0.32"/>
    <e v="#N/A"/>
    <x v="0"/>
  </r>
  <r>
    <d v="2023-03-23T00:00:00"/>
    <x v="11"/>
    <s v="Admin/HR/IT"/>
    <s v="AMCARE NonOcc In"/>
    <s v="AMZN"/>
    <n v="112912074"/>
    <s v="Hernandez Gutierrez,Lizeth"/>
    <s v="Pizana,Diego"/>
    <n v="0"/>
    <n v="0"/>
    <n v="0"/>
    <n v="0"/>
    <n v="0.43"/>
    <e v="#N/A"/>
    <x v="0"/>
  </r>
  <r>
    <d v="2023-03-23T00:00:00"/>
    <x v="11"/>
    <s v="Admin/HR/IT"/>
    <s v="AMCARE NonOcc In"/>
    <s v="AMZN"/>
    <n v="112912753"/>
    <s v="Padilla Abrego,Selene"/>
    <s v="Piedra,Valentina"/>
    <n v="0"/>
    <n v="0"/>
    <n v="0"/>
    <n v="0"/>
    <n v="0.76"/>
    <e v="#N/A"/>
    <x v="0"/>
  </r>
  <r>
    <d v="2023-03-23T00:00:00"/>
    <x v="11"/>
    <s v="Admin/HR/IT"/>
    <s v="AMCARE NonOcc In"/>
    <s v="AMZN"/>
    <n v="112920654"/>
    <s v="Horta,Julieta"/>
    <s v="Rosas Negrete,Sebastian"/>
    <n v="0"/>
    <n v="0"/>
    <n v="0"/>
    <n v="0"/>
    <n v="0.18"/>
    <s v="DB-X0700"/>
    <x v="61"/>
  </r>
  <r>
    <d v="2023-03-23T00:00:00"/>
    <x v="11"/>
    <s v="Admin/HR/IT"/>
    <s v="AMCARE NonOcc In"/>
    <s v="AMZN"/>
    <n v="112950784"/>
    <s v="Rojas,Samuel"/>
    <s v="Piedra,Valentina"/>
    <n v="0"/>
    <n v="0"/>
    <n v="0"/>
    <n v="0"/>
    <n v="0.59"/>
    <s v="NF-X1900"/>
    <x v="13"/>
  </r>
  <r>
    <d v="2023-03-23T00:00:00"/>
    <x v="11"/>
    <s v="Admin/HR/IT"/>
    <s v="AMCARE NonOcc In"/>
    <s v="AMZN"/>
    <n v="113003510"/>
    <s v="PÃ©rez MÃ©ndez,Cecy"/>
    <s v="Madrid Molina,Ramon"/>
    <n v="0"/>
    <n v="0"/>
    <n v="0"/>
    <n v="0"/>
    <n v="1.1599999999999999"/>
    <e v="#N/A"/>
    <x v="115"/>
  </r>
  <r>
    <d v="2023-03-23T00:00:00"/>
    <x v="11"/>
    <s v="Admin/HR/IT"/>
    <s v="AMCARE NonOcc In"/>
    <s v="AMZN"/>
    <n v="113003627"/>
    <s v="Zavala,Diego"/>
    <s v="Piedra,Valentina"/>
    <n v="0"/>
    <n v="0"/>
    <n v="0"/>
    <n v="0"/>
    <n v="0.33"/>
    <e v="#N/A"/>
    <x v="0"/>
  </r>
  <r>
    <d v="2023-03-23T00:00:00"/>
    <x v="11"/>
    <s v="Admin/HR/IT"/>
    <s v="AMCARE NonOcc In"/>
    <s v="AMZN"/>
    <n v="113018997"/>
    <s v="Rodriguez Ponce,Gaby"/>
    <s v="Robledo Ugarte,Alejandro"/>
    <n v="0"/>
    <n v="0"/>
    <n v="0"/>
    <n v="0"/>
    <n v="1.21"/>
    <e v="#N/A"/>
    <x v="0"/>
  </r>
  <r>
    <d v="2023-03-23T00:00:00"/>
    <x v="11"/>
    <s v="Admin/HR/IT"/>
    <s v="AMCARE NonOcc In"/>
    <s v="AMZN"/>
    <n v="113101453"/>
    <s v="Isaac,Geovanna"/>
    <s v="Corona Arriaga,Fernando"/>
    <n v="0"/>
    <n v="0"/>
    <n v="0"/>
    <n v="0"/>
    <n v="0"/>
    <e v="#N/A"/>
    <x v="4"/>
  </r>
  <r>
    <d v="2023-03-23T00:00:00"/>
    <x v="11"/>
    <s v="Admin/HR/IT"/>
    <s v="AMCARE NonOcc In"/>
    <s v="TEMP"/>
    <n v="200525168"/>
    <s v="Morales,Oscar"/>
    <s v="Ledezma,Fer"/>
    <n v="0"/>
    <n v="0"/>
    <n v="0"/>
    <n v="0"/>
    <n v="0.67"/>
    <e v="#N/A"/>
    <x v="0"/>
  </r>
  <r>
    <d v="2023-03-23T00:00:00"/>
    <x v="11"/>
    <s v="Admin/HR/IT"/>
    <s v="AMCARE NonOcc In"/>
    <s v="TEMP"/>
    <n v="200535448"/>
    <s v="Guerrero Hernandez,Silvia"/>
    <s v="Gomez Aguado,Jorge"/>
    <n v="0"/>
    <n v="0"/>
    <n v="0"/>
    <n v="0"/>
    <n v="0.33"/>
    <e v="#N/A"/>
    <x v="0"/>
  </r>
  <r>
    <d v="2023-03-23T00:00:00"/>
    <x v="11"/>
    <s v="Admin/HR/IT"/>
    <s v="AMCARE NonOcc In"/>
    <s v="TEMP"/>
    <n v="200615883"/>
    <s v="Ibarra Amaro,Adriana"/>
    <s v="Madrid Molina,Ramon"/>
    <n v="0"/>
    <n v="0"/>
    <n v="0"/>
    <n v="0"/>
    <n v="1.53"/>
    <e v="#N/A"/>
    <x v="0"/>
  </r>
  <r>
    <d v="2023-03-23T00:00:00"/>
    <x v="11"/>
    <s v="Admin/HR/IT"/>
    <s v="AMCARE NonOcc In"/>
    <s v="TEMP"/>
    <n v="201186621"/>
    <s v="Puga,Enrique"/>
    <s v="Romero Sanchez,Gustavo Gabriel"/>
    <n v="0"/>
    <n v="0"/>
    <n v="0"/>
    <n v="0"/>
    <n v="0.25"/>
    <e v="#N/A"/>
    <x v="0"/>
  </r>
  <r>
    <d v="2023-03-23T00:00:00"/>
    <x v="11"/>
    <s v="Admin/HR/IT"/>
    <s v="AMCARE NonOcc In"/>
    <s v="TEMP"/>
    <n v="201191390"/>
    <s v="GarcÃ­a,jesus"/>
    <s v="Romero Sanchez,Gustavo Gabriel"/>
    <n v="0"/>
    <n v="0"/>
    <n v="0"/>
    <n v="0"/>
    <n v="0.92"/>
    <e v="#N/A"/>
    <x v="116"/>
  </r>
  <r>
    <d v="2023-03-24T00:00:00"/>
    <x v="11"/>
    <s v="Admin/HR/IT"/>
    <s v="AMCARE NonOcc In"/>
    <s v="AMZN"/>
    <n v="112912675"/>
    <s v="Alejandri Villagomez,Alejandra"/>
    <s v="Gomez,Abinadab"/>
    <n v="0"/>
    <n v="0"/>
    <n v="0"/>
    <n v="0"/>
    <n v="0.27"/>
    <e v="#N/A"/>
    <x v="0"/>
  </r>
  <r>
    <d v="2023-03-24T00:00:00"/>
    <x v="11"/>
    <s v="Admin/HR/IT"/>
    <s v="AMCARE NonOcc In"/>
    <s v="AMZN"/>
    <n v="113003510"/>
    <s v="PÃ©rez MÃ©ndez,Cecy"/>
    <s v="Madrid Molina,Ramon"/>
    <n v="0"/>
    <n v="0"/>
    <n v="0"/>
    <n v="0"/>
    <n v="0.27"/>
    <e v="#N/A"/>
    <x v="115"/>
  </r>
  <r>
    <d v="2023-03-24T00:00:00"/>
    <x v="11"/>
    <s v="Admin/HR/IT"/>
    <s v="AMCARE NonOcc In"/>
    <s v="AMZN"/>
    <n v="113020667"/>
    <s v="Martinez Becerra,Paulina"/>
    <s v="Madrid Molina,Ramon"/>
    <n v="0"/>
    <n v="0"/>
    <n v="0"/>
    <n v="0"/>
    <n v="0.56999999999999995"/>
    <e v="#N/A"/>
    <x v="31"/>
  </r>
  <r>
    <d v="2023-03-24T00:00:00"/>
    <x v="11"/>
    <s v="Admin/HR/IT"/>
    <s v="AMCARE NonOcc In"/>
    <s v="TEMP"/>
    <n v="200625528"/>
    <s v="Oliva,Lizbeth"/>
    <s v="Gomez Aguado,Jorge"/>
    <n v="0"/>
    <n v="0"/>
    <n v="0"/>
    <n v="0"/>
    <n v="0"/>
    <e v="#N/A"/>
    <x v="83"/>
  </r>
  <r>
    <d v="2023-03-24T00:00:00"/>
    <x v="11"/>
    <s v="Admin/HR/IT"/>
    <s v="AMCARE NonOcc In"/>
    <s v="TEMP"/>
    <n v="201191390"/>
    <s v="GarcÃ­a,jesus"/>
    <s v="Romero Sanchez,Gustavo Gabriel"/>
    <n v="0"/>
    <n v="0"/>
    <n v="0"/>
    <n v="0"/>
    <n v="0.15"/>
    <e v="#N/A"/>
    <x v="116"/>
  </r>
  <r>
    <d v="2023-03-24T00:00:00"/>
    <x v="11"/>
    <s v="Admin/HR/IT"/>
    <s v="AMCARE NonOcc In"/>
    <s v="TEMP"/>
    <n v="201198890"/>
    <s v="Gomez,Karla"/>
    <s v="Gomez,Abinadab"/>
    <n v="0"/>
    <n v="0"/>
    <n v="0"/>
    <n v="0"/>
    <n v="0.73"/>
    <e v="#N/A"/>
    <x v="0"/>
  </r>
  <r>
    <d v="2023-03-25T00:00:00"/>
    <x v="11"/>
    <s v="Admin/HR/IT"/>
    <s v="AMCARE NonOcc In"/>
    <s v="AMZN"/>
    <n v="112485255"/>
    <s v="Rocha,Ceci"/>
    <s v="Madrid Molina,Ramon"/>
    <n v="0"/>
    <n v="0"/>
    <n v="0"/>
    <n v="0"/>
    <n v="0.51"/>
    <s v="DB-X0700"/>
    <x v="103"/>
  </r>
  <r>
    <d v="2023-03-25T00:00:00"/>
    <x v="11"/>
    <s v="Admin/HR/IT"/>
    <s v="AMCARE NonOcc In"/>
    <s v="AMZN"/>
    <n v="112980845"/>
    <s v="Guevara,Irma Martinez"/>
    <s v="Camarena,Grecia"/>
    <n v="0"/>
    <n v="0"/>
    <n v="0"/>
    <n v="0"/>
    <n v="1.24"/>
    <e v="#N/A"/>
    <x v="0"/>
  </r>
  <r>
    <d v="2023-03-25T00:00:00"/>
    <x v="11"/>
    <s v="Admin/HR/IT"/>
    <s v="AMCARE NonOcc In"/>
    <s v="AMZN"/>
    <n v="200463510"/>
    <s v="Macias,Rodrigo"/>
    <s v="Romero Sanchez,Gustavo Gabriel"/>
    <n v="0"/>
    <n v="0"/>
    <n v="0"/>
    <n v="0"/>
    <n v="0.19"/>
    <e v="#N/A"/>
    <x v="62"/>
  </r>
  <r>
    <d v="2023-03-26T00:00:00"/>
    <x v="12"/>
    <s v="Admin/HR/IT"/>
    <s v="AMCARE NonOcc In"/>
    <s v="AMZN"/>
    <n v="111434478"/>
    <s v="Gutierrez,Pame"/>
    <s v="Garcia Espejel,Brenda Victoria"/>
    <n v="0"/>
    <n v="0"/>
    <n v="0"/>
    <n v="0"/>
    <n v="0.67"/>
    <s v="DA-X0700"/>
    <x v="23"/>
  </r>
  <r>
    <d v="2023-03-26T00:00:00"/>
    <x v="12"/>
    <s v="Admin/HR/IT"/>
    <s v="AMCARE NonOcc In"/>
    <s v="AMZN"/>
    <n v="112912071"/>
    <s v="Torres,Alan"/>
    <s v="Robledo Ugarte,Alejandro"/>
    <n v="0"/>
    <n v="0"/>
    <n v="0"/>
    <n v="0"/>
    <n v="0.36"/>
    <e v="#N/A"/>
    <x v="0"/>
  </r>
  <r>
    <d v="2023-03-26T00:00:00"/>
    <x v="12"/>
    <s v="Admin/HR/IT"/>
    <s v="AMCARE NonOcc In"/>
    <s v="AMZN"/>
    <n v="112912663"/>
    <s v="Segura,Lucero"/>
    <s v="Munoz,Jonan"/>
    <n v="0"/>
    <n v="0"/>
    <n v="0"/>
    <n v="0"/>
    <n v="0.06"/>
    <e v="#N/A"/>
    <x v="0"/>
  </r>
  <r>
    <d v="2023-03-26T00:00:00"/>
    <x v="12"/>
    <s v="Admin/HR/IT"/>
    <s v="AMCARE NonOcc In"/>
    <s v="AMZN"/>
    <n v="112950784"/>
    <s v="Rojas,Samuel"/>
    <s v="Piedra,Valentina"/>
    <n v="0"/>
    <n v="0"/>
    <n v="0"/>
    <n v="0"/>
    <n v="0.13"/>
    <s v="NF-X1900"/>
    <x v="13"/>
  </r>
  <r>
    <d v="2023-03-26T00:00:00"/>
    <x v="12"/>
    <s v="Admin/HR/IT"/>
    <s v="AMCARE NonOcc In"/>
    <s v="AMZN"/>
    <n v="112950802"/>
    <s v="Blee,Fabian"/>
    <s v="Pizana,Diego"/>
    <n v="0"/>
    <n v="0"/>
    <n v="0"/>
    <n v="0"/>
    <n v="0.2"/>
    <e v="#N/A"/>
    <x v="0"/>
  </r>
  <r>
    <d v="2023-03-26T00:00:00"/>
    <x v="12"/>
    <s v="Admin/HR/IT"/>
    <s v="AMCARE NonOcc In"/>
    <s v="AMZN"/>
    <n v="112980843"/>
    <s v="Santos,Israel"/>
    <s v="Robledo Ugarte,Alejandro"/>
    <n v="0"/>
    <n v="0"/>
    <n v="0"/>
    <n v="0"/>
    <n v="0.78"/>
    <s v="DA-X0700"/>
    <x v="85"/>
  </r>
  <r>
    <d v="2023-03-26T00:00:00"/>
    <x v="12"/>
    <s v="Admin/HR/IT"/>
    <s v="AMCARE NonOcc In"/>
    <s v="AMZN"/>
    <n v="112981013"/>
    <s v="Lopez Neri,Norma"/>
    <s v="Robledo Ugarte,Alejandro"/>
    <n v="0"/>
    <n v="0"/>
    <n v="0"/>
    <n v="0"/>
    <n v="0.4"/>
    <s v="DA-X0700"/>
    <x v="12"/>
  </r>
  <r>
    <d v="2023-03-26T00:00:00"/>
    <x v="12"/>
    <s v="Admin/HR/IT"/>
    <s v="AMCARE NonOcc In"/>
    <s v="AMZN"/>
    <n v="200408196"/>
    <s v="Hernandez Lara,Maggie"/>
    <s v="Piedra,Valentina"/>
    <n v="0"/>
    <n v="0"/>
    <n v="0"/>
    <n v="0"/>
    <n v="0.9"/>
    <e v="#N/A"/>
    <x v="0"/>
  </r>
  <r>
    <d v="2023-03-26T00:00:00"/>
    <x v="12"/>
    <s v="Admin/HR/IT"/>
    <s v="AMCARE NonOcc In"/>
    <s v="TEMP"/>
    <n v="200509428"/>
    <s v="Guevara Ramirez,Zayra Lorena"/>
    <s v="Corona Arriaga,Fernando"/>
    <n v="0"/>
    <n v="0"/>
    <n v="0"/>
    <n v="0"/>
    <n v="0.81"/>
    <e v="#N/A"/>
    <x v="0"/>
  </r>
  <r>
    <d v="2023-03-26T00:00:00"/>
    <x v="12"/>
    <s v="Admin/HR/IT"/>
    <s v="AMCARE NonOcc In"/>
    <s v="TEMP"/>
    <n v="200620341"/>
    <s v="Camacho Ramirez,Carlos"/>
    <s v="Gomez Aguado,Jorge"/>
    <n v="0"/>
    <n v="0"/>
    <n v="0"/>
    <n v="0"/>
    <n v="0.17"/>
    <e v="#N/A"/>
    <x v="0"/>
  </r>
  <r>
    <d v="2023-03-26T00:00:00"/>
    <x v="12"/>
    <s v="Admin/HR/IT"/>
    <s v="AMCARE NonOcc In"/>
    <s v="TEMP"/>
    <n v="201205615"/>
    <s v="Tavares,Jorge"/>
    <s v="Robledo Ugarte,Alejandro"/>
    <n v="0"/>
    <n v="0"/>
    <n v="0"/>
    <n v="0"/>
    <n v="0.13"/>
    <e v="#N/A"/>
    <x v="0"/>
  </r>
  <r>
    <d v="2023-03-27T00:00:00"/>
    <x v="12"/>
    <s v="Admin/HR/IT"/>
    <s v="AMCARE NonOcc In"/>
    <s v="AMZN"/>
    <n v="103979960"/>
    <s v="Suchil Angel,Guillermo"/>
    <s v="Corona Arriaga,Fernando"/>
    <n v="0"/>
    <n v="0"/>
    <n v="0"/>
    <n v="0"/>
    <n v="1.3"/>
    <e v="#N/A"/>
    <x v="0"/>
  </r>
  <r>
    <d v="2023-03-27T00:00:00"/>
    <x v="12"/>
    <s v="Admin/HR/IT"/>
    <s v="AMCARE NonOcc In"/>
    <s v="TEMP"/>
    <n v="110530105"/>
    <s v="Maya,Fernando"/>
    <s v="Robledo Ugarte,Alejandro"/>
    <n v="0"/>
    <n v="0"/>
    <n v="0"/>
    <n v="0"/>
    <n v="0.65"/>
    <e v="#N/A"/>
    <x v="0"/>
  </r>
  <r>
    <d v="2023-03-27T00:00:00"/>
    <x v="12"/>
    <s v="Admin/HR/IT"/>
    <s v="AMCARE NonOcc In"/>
    <s v="TEMP"/>
    <n v="112912067"/>
    <s v="Rocio,Juan"/>
    <s v="Corona Arriaga,Fernando"/>
    <n v="0"/>
    <n v="0"/>
    <n v="0"/>
    <n v="0"/>
    <n v="0.43"/>
    <e v="#N/A"/>
    <x v="0"/>
  </r>
  <r>
    <d v="2023-03-27T00:00:00"/>
    <x v="12"/>
    <s v="Admin/HR/IT"/>
    <s v="AMCARE NonOcc In"/>
    <s v="AMZN"/>
    <n v="113004017"/>
    <s v="Ramirez,Elizabeth"/>
    <s v="Madrid Molina,Ramon"/>
    <n v="0"/>
    <n v="0"/>
    <n v="0"/>
    <n v="0"/>
    <n v="0.57999999999999996"/>
    <e v="#N/A"/>
    <x v="0"/>
  </r>
  <r>
    <d v="2023-03-27T00:00:00"/>
    <x v="12"/>
    <s v="Admin/HR/IT"/>
    <s v="AMCARE NonOcc In"/>
    <s v="AMZN"/>
    <n v="113014113"/>
    <s v="Sanchez Villegas,Benjamin"/>
    <s v="Corona Arriaga,Fernando"/>
    <n v="0"/>
    <n v="0"/>
    <n v="0"/>
    <n v="0"/>
    <n v="0.71"/>
    <e v="#N/A"/>
    <x v="0"/>
  </r>
  <r>
    <d v="2023-03-27T00:00:00"/>
    <x v="12"/>
    <s v="Admin/HR/IT"/>
    <s v="AMCARE NonOcc In"/>
    <s v="AMZN"/>
    <n v="113014403"/>
    <s v="Arias Sanchez,Nora"/>
    <s v="Piedra,Valentina"/>
    <n v="0"/>
    <n v="0"/>
    <n v="0"/>
    <n v="0"/>
    <n v="0.68"/>
    <e v="#N/A"/>
    <x v="32"/>
  </r>
  <r>
    <d v="2023-03-27T00:00:00"/>
    <x v="12"/>
    <s v="Admin/HR/IT"/>
    <s v="AMCARE NonOcc In"/>
    <s v="AMZN"/>
    <n v="200404250"/>
    <s v="Hurtado,Caty"/>
    <s v="Piedra,Valentina"/>
    <n v="0"/>
    <n v="0"/>
    <n v="0"/>
    <n v="0"/>
    <n v="0.4"/>
    <e v="#N/A"/>
    <x v="6"/>
  </r>
  <r>
    <d v="2023-03-27T00:00:00"/>
    <x v="12"/>
    <s v="Admin/HR/IT"/>
    <s v="AMCARE NonOcc In"/>
    <s v="TEMP"/>
    <n v="200564895"/>
    <s v="Mendoza Corona,Brianda"/>
    <s v="Corona Arriaga,Fernando"/>
    <n v="0"/>
    <n v="0"/>
    <n v="0"/>
    <n v="0"/>
    <n v="0.37"/>
    <e v="#N/A"/>
    <x v="64"/>
  </r>
  <r>
    <d v="2023-03-27T00:00:00"/>
    <x v="12"/>
    <s v="Admin/HR/IT"/>
    <s v="AMCARE NonOcc In"/>
    <s v="TEMP"/>
    <n v="200565197"/>
    <s v="Avila,Mary"/>
    <s v="Piedra,Valentina"/>
    <n v="0"/>
    <n v="0"/>
    <n v="0"/>
    <n v="0"/>
    <n v="0.24"/>
    <e v="#N/A"/>
    <x v="0"/>
  </r>
  <r>
    <d v="2023-03-27T00:00:00"/>
    <x v="12"/>
    <s v="Admin/HR/IT"/>
    <s v="AMCARE NonOcc In"/>
    <s v="TEMP"/>
    <n v="200589316"/>
    <s v="Torres Zuniga,Daniel"/>
    <s v="Madrid Molina,Ramon"/>
    <n v="0"/>
    <n v="0"/>
    <n v="0"/>
    <n v="0"/>
    <n v="0.93"/>
    <e v="#N/A"/>
    <x v="0"/>
  </r>
  <r>
    <d v="2023-03-28T00:00:00"/>
    <x v="12"/>
    <s v="Admin/HR/IT"/>
    <s v="AMCARE NonOcc In"/>
    <s v="AMZN"/>
    <n v="111434478"/>
    <s v="Gutierrez,Pame"/>
    <s v="Garcia Espejel,Brenda Victoria"/>
    <n v="0"/>
    <n v="0"/>
    <n v="0"/>
    <n v="0"/>
    <n v="1.41"/>
    <s v="DA-X0700"/>
    <x v="23"/>
  </r>
  <r>
    <d v="2023-03-28T00:00:00"/>
    <x v="12"/>
    <s v="Admin/HR/IT"/>
    <s v="AMCARE NonOcc In"/>
    <s v="AMZN"/>
    <n v="112912008"/>
    <s v="Espinosa,Consuelo"/>
    <s v="Rosas Negrete,Sebastian"/>
    <n v="0"/>
    <n v="0"/>
    <n v="0"/>
    <n v="0"/>
    <n v="0.8"/>
    <e v="#N/A"/>
    <x v="0"/>
  </r>
  <r>
    <d v="2023-03-28T00:00:00"/>
    <x v="12"/>
    <s v="Admin/HR/IT"/>
    <s v="AMCARE NonOcc In"/>
    <s v="AMZN"/>
    <n v="112912163"/>
    <s v="Murillo,Alejandro"/>
    <s v="Piedra,Valentina"/>
    <n v="0"/>
    <n v="0"/>
    <n v="0"/>
    <n v="0"/>
    <n v="0.62"/>
    <e v="#N/A"/>
    <x v="0"/>
  </r>
  <r>
    <d v="2023-03-28T00:00:00"/>
    <x v="12"/>
    <s v="Admin/HR/IT"/>
    <s v="AMCARE NonOcc In"/>
    <s v="AMZN"/>
    <n v="112912201"/>
    <s v="Castillo Falcon,Sheyla"/>
    <s v="Corona Arriaga,Fernando"/>
    <n v="0"/>
    <n v="0"/>
    <n v="0"/>
    <n v="0"/>
    <n v="0.3"/>
    <e v="#N/A"/>
    <x v="0"/>
  </r>
  <r>
    <d v="2023-03-28T00:00:00"/>
    <x v="12"/>
    <s v="Admin/HR/IT"/>
    <s v="AMCARE NonOcc In"/>
    <s v="AMZN"/>
    <n v="112912209"/>
    <s v="Morales,Sarahi"/>
    <s v="Munoz,Jonan"/>
    <n v="0"/>
    <n v="0"/>
    <n v="0"/>
    <n v="0"/>
    <n v="0.24"/>
    <s v="NF-X1900"/>
    <x v="90"/>
  </r>
  <r>
    <d v="2023-03-28T00:00:00"/>
    <x v="12"/>
    <s v="Admin/HR/IT"/>
    <s v="AMCARE NonOcc In"/>
    <s v="AMZN"/>
    <n v="112912464"/>
    <s v="Garcia Nicasio,Luis"/>
    <s v="Cortes,Alejandra"/>
    <n v="0"/>
    <n v="0"/>
    <n v="0"/>
    <n v="0"/>
    <n v="0.18"/>
    <e v="#N/A"/>
    <x v="0"/>
  </r>
  <r>
    <d v="2023-03-28T00:00:00"/>
    <x v="12"/>
    <s v="Admin/HR/IT"/>
    <s v="AMCARE NonOcc In"/>
    <s v="AMZN"/>
    <n v="112920679"/>
    <s v="Vazquez,Israel"/>
    <s v="Munoz,Jonan"/>
    <n v="0"/>
    <n v="0"/>
    <n v="0"/>
    <n v="0"/>
    <n v="1.5"/>
    <e v="#N/A"/>
    <x v="0"/>
  </r>
  <r>
    <d v="2023-03-28T00:00:00"/>
    <x v="12"/>
    <s v="Admin/HR/IT"/>
    <s v="AMCARE NonOcc In"/>
    <s v="AMZN"/>
    <n v="112981061"/>
    <s v="Olguin,Claudia"/>
    <s v="Corona Arriaga,Fernando"/>
    <n v="0"/>
    <n v="0"/>
    <n v="0"/>
    <n v="0"/>
    <n v="0.1"/>
    <s v="DA-X0700"/>
    <x v="11"/>
  </r>
  <r>
    <d v="2023-03-28T00:00:00"/>
    <x v="12"/>
    <s v="Admin/HR/IT"/>
    <s v="AMCARE NonOcc In"/>
    <s v="AMZN"/>
    <n v="112981196"/>
    <s v="Gomez,Andrea"/>
    <s v="Gomez Aguado,Jorge"/>
    <n v="0"/>
    <n v="0"/>
    <n v="0"/>
    <n v="0"/>
    <n v="7.0000000000000007E-2"/>
    <e v="#N/A"/>
    <x v="22"/>
  </r>
  <r>
    <d v="2023-03-28T00:00:00"/>
    <x v="12"/>
    <s v="Admin/HR/IT"/>
    <s v="AMCARE NonOcc In"/>
    <s v="AMZN"/>
    <n v="112984097"/>
    <s v="Aguilera,Yaremi"/>
    <s v="Corona Arriaga,Fernando"/>
    <n v="0"/>
    <n v="0"/>
    <n v="0"/>
    <n v="0"/>
    <n v="1"/>
    <e v="#N/A"/>
    <x v="0"/>
  </r>
  <r>
    <d v="2023-03-28T00:00:00"/>
    <x v="12"/>
    <s v="Admin/HR/IT"/>
    <s v="AMCARE NonOcc In"/>
    <s v="AMZN"/>
    <n v="113014401"/>
    <s v="Meza,Landin"/>
    <s v="Piedra,Valentina"/>
    <n v="0"/>
    <n v="0"/>
    <n v="0"/>
    <n v="0"/>
    <n v="0.86"/>
    <e v="#N/A"/>
    <x v="0"/>
  </r>
  <r>
    <d v="2023-03-28T00:00:00"/>
    <x v="12"/>
    <s v="Admin/HR/IT"/>
    <s v="AMCARE NonOcc In"/>
    <s v="AMZN"/>
    <n v="113018997"/>
    <s v="Rodriguez Ponce,Gaby"/>
    <s v="Robledo Ugarte,Alejandro"/>
    <n v="0"/>
    <n v="0"/>
    <n v="0"/>
    <n v="0"/>
    <n v="0.23"/>
    <e v="#N/A"/>
    <x v="0"/>
  </r>
  <r>
    <d v="2023-03-28T00:00:00"/>
    <x v="12"/>
    <s v="Admin/HR/IT"/>
    <s v="AMCARE NonOcc In"/>
    <s v="AMZN"/>
    <n v="113020463"/>
    <s v="Valtierra,Alejandra"/>
    <s v="Corona Arriaga,Fernando"/>
    <n v="0"/>
    <n v="0"/>
    <n v="0"/>
    <n v="0"/>
    <n v="0.65"/>
    <e v="#N/A"/>
    <x v="17"/>
  </r>
  <r>
    <d v="2023-03-28T00:00:00"/>
    <x v="12"/>
    <s v="Admin/HR/IT"/>
    <s v="AMCARE NonOcc In"/>
    <s v="AMZN"/>
    <n v="200404250"/>
    <s v="Hurtado,Caty"/>
    <s v="Piedra,Valentina"/>
    <n v="0"/>
    <n v="0"/>
    <n v="0"/>
    <n v="0"/>
    <n v="1.41"/>
    <e v="#N/A"/>
    <x v="6"/>
  </r>
  <r>
    <d v="2023-03-28T00:00:00"/>
    <x v="12"/>
    <s v="Admin/HR/IT"/>
    <s v="AMCARE NonOcc In"/>
    <s v="TEMP"/>
    <n v="200614224"/>
    <s v="Cruz Hernandez,Cris"/>
    <s v="Ledezma,Fer"/>
    <n v="0"/>
    <n v="0"/>
    <n v="0"/>
    <n v="0"/>
    <n v="0.28000000000000003"/>
    <e v="#N/A"/>
    <x v="0"/>
  </r>
  <r>
    <d v="2023-03-28T00:00:00"/>
    <x v="12"/>
    <s v="Admin/HR/IT"/>
    <s v="AMCARE NonOcc In"/>
    <s v="TEMP"/>
    <n v="200620341"/>
    <s v="Camacho Ramirez,Carlos"/>
    <s v="Gomez Aguado,Jorge"/>
    <n v="0"/>
    <n v="0"/>
    <n v="0"/>
    <n v="0"/>
    <n v="0.14000000000000001"/>
    <e v="#N/A"/>
    <x v="0"/>
  </r>
  <r>
    <d v="2023-03-28T00:00:00"/>
    <x v="12"/>
    <s v="Admin/HR/IT"/>
    <s v="AMCARE NonOcc In"/>
    <s v="TEMP"/>
    <n v="201158953"/>
    <s v="Martinez,Alicia"/>
    <s v="Gomez,Abinadab"/>
    <n v="0"/>
    <n v="0"/>
    <n v="0"/>
    <n v="0"/>
    <n v="0.59"/>
    <e v="#N/A"/>
    <x v="0"/>
  </r>
  <r>
    <d v="2023-03-28T00:00:00"/>
    <x v="12"/>
    <s v="Admin/HR/IT"/>
    <s v="AMCARE NonOcc In"/>
    <s v="TEMP"/>
    <n v="201198979"/>
    <s v="Mendoza,Omar"/>
    <s v="Gomez Aguado,Jorge"/>
    <n v="0"/>
    <n v="0"/>
    <n v="0"/>
    <n v="0"/>
    <n v="0.56999999999999995"/>
    <e v="#N/A"/>
    <x v="0"/>
  </r>
  <r>
    <d v="2023-03-28T00:00:00"/>
    <x v="12"/>
    <s v="Admin/HR/IT"/>
    <s v="AMCARE NonOcc In"/>
    <s v="TEMP"/>
    <n v="201201993"/>
    <s v="olmos,Lucia"/>
    <s v="Gomez Aguado,Jorge"/>
    <n v="0"/>
    <n v="0"/>
    <n v="0"/>
    <n v="0"/>
    <n v="0.11"/>
    <e v="#N/A"/>
    <x v="0"/>
  </r>
  <r>
    <d v="2023-03-28T00:00:00"/>
    <x v="12"/>
    <s v="Admin/HR/IT"/>
    <s v="AMCARE NonOcc In"/>
    <s v="TEMP"/>
    <n v="201215202"/>
    <s v="Gamez,Mauricio"/>
    <s v="Gomez Aguado,Jorge"/>
    <n v="0"/>
    <n v="0"/>
    <n v="0"/>
    <n v="0"/>
    <n v="0.21"/>
    <e v="#N/A"/>
    <x v="0"/>
  </r>
  <r>
    <d v="2023-03-28T00:00:00"/>
    <x v="12"/>
    <s v="Admin/HR/IT"/>
    <s v="AMCARE NonOcc In"/>
    <s v="TEMP"/>
    <n v="201219225"/>
    <s v="Moreno Bermudez,Rogelio"/>
    <s v="Corona Arriaga,Fernando"/>
    <n v="0"/>
    <n v="0"/>
    <n v="0"/>
    <n v="0"/>
    <n v="0.27"/>
    <e v="#N/A"/>
    <x v="0"/>
  </r>
  <r>
    <d v="2023-03-29T00:00:00"/>
    <x v="12"/>
    <s v="Admin/HR/IT"/>
    <s v="AMCARE NonOcc In"/>
    <s v="AMZN"/>
    <n v="111434478"/>
    <s v="Gutierrez,Pame"/>
    <s v="Garcia Espejel,Brenda Victoria"/>
    <n v="0"/>
    <n v="0"/>
    <n v="0"/>
    <n v="0"/>
    <n v="0.13"/>
    <s v="DA-X0700"/>
    <x v="23"/>
  </r>
  <r>
    <d v="2023-03-29T00:00:00"/>
    <x v="12"/>
    <s v="Admin/HR/IT"/>
    <s v="AMCARE NonOcc In"/>
    <s v="AMZN"/>
    <n v="112912163"/>
    <s v="Murillo,Alejandro"/>
    <s v="Piedra,Valentina"/>
    <n v="0"/>
    <n v="0"/>
    <n v="0"/>
    <n v="0"/>
    <n v="0.1"/>
    <e v="#N/A"/>
    <x v="0"/>
  </r>
  <r>
    <d v="2023-03-29T00:00:00"/>
    <x v="12"/>
    <s v="Admin/HR/IT"/>
    <s v="AMCARE NonOcc In"/>
    <s v="AMZN"/>
    <n v="112912663"/>
    <s v="Segura,Lucero"/>
    <s v="Munoz,Jonan"/>
    <n v="0"/>
    <n v="0"/>
    <n v="0"/>
    <n v="0"/>
    <n v="0.09"/>
    <e v="#N/A"/>
    <x v="0"/>
  </r>
  <r>
    <d v="2023-03-29T00:00:00"/>
    <x v="12"/>
    <s v="Admin/HR/IT"/>
    <s v="AMCARE NonOcc In"/>
    <s v="AMZN"/>
    <n v="112912752"/>
    <s v="Valderrama Gomez,Leslie"/>
    <s v="Robledo Ugarte,Alejandro"/>
    <n v="0"/>
    <n v="0"/>
    <n v="0"/>
    <n v="0"/>
    <n v="0.72"/>
    <s v="NF-X1900"/>
    <x v="5"/>
  </r>
  <r>
    <d v="2023-03-29T00:00:00"/>
    <x v="12"/>
    <s v="Admin/HR/IT"/>
    <s v="AMCARE NonOcc In"/>
    <s v="AMZN"/>
    <n v="112912753"/>
    <s v="Padilla Abrego,Selene"/>
    <s v="Piedra,Valentina"/>
    <n v="0"/>
    <n v="0"/>
    <n v="0"/>
    <n v="0"/>
    <n v="0.22"/>
    <e v="#N/A"/>
    <x v="0"/>
  </r>
  <r>
    <d v="2023-03-29T00:00:00"/>
    <x v="12"/>
    <s v="Admin/HR/IT"/>
    <s v="AMCARE NonOcc In"/>
    <s v="AMZN"/>
    <n v="112971962"/>
    <s v="Reyes  Montes de oca,Alejandra"/>
    <s v="Ledezma,Fer"/>
    <n v="0"/>
    <n v="0"/>
    <n v="0"/>
    <n v="0"/>
    <n v="0.72"/>
    <s v="DB-X0700"/>
    <x v="26"/>
  </r>
  <r>
    <d v="2023-03-29T00:00:00"/>
    <x v="12"/>
    <s v="Admin/HR/IT"/>
    <s v="AMCARE NonOcc In"/>
    <s v="AMZN"/>
    <n v="112971997"/>
    <s v="Nieto,Emili"/>
    <s v="Rosas Negrete,Sebastian"/>
    <n v="0"/>
    <n v="0"/>
    <n v="0"/>
    <n v="0"/>
    <n v="0.22"/>
    <s v="DA-X0700"/>
    <x v="117"/>
  </r>
  <r>
    <d v="2023-03-29T00:00:00"/>
    <x v="12"/>
    <s v="Admin/HR/IT"/>
    <s v="AMCARE NonOcc In"/>
    <s v="AMZN"/>
    <n v="112980847"/>
    <s v="Reyes,Jose"/>
    <s v="Robledo Ugarte,Alejandro"/>
    <n v="0"/>
    <n v="0"/>
    <n v="0"/>
    <n v="0"/>
    <n v="0.35"/>
    <e v="#N/A"/>
    <x v="0"/>
  </r>
  <r>
    <d v="2023-03-29T00:00:00"/>
    <x v="12"/>
    <s v="Admin/HR/IT"/>
    <s v="AMCARE NonOcc In"/>
    <s v="AMZN"/>
    <n v="112981205"/>
    <s v="Cano,Leilani"/>
    <s v="Corona Arriaga,Fernando"/>
    <n v="0"/>
    <n v="0"/>
    <n v="0"/>
    <n v="0"/>
    <n v="1.58"/>
    <e v="#N/A"/>
    <x v="0"/>
  </r>
  <r>
    <d v="2023-03-29T00:00:00"/>
    <x v="12"/>
    <s v="Admin/HR/IT"/>
    <s v="AMCARE NonOcc In"/>
    <s v="AMZN"/>
    <n v="112984097"/>
    <s v="Aguilera,Yaremi"/>
    <s v="Corona Arriaga,Fernando"/>
    <n v="0"/>
    <n v="0"/>
    <n v="0"/>
    <n v="0"/>
    <n v="0.34"/>
    <e v="#N/A"/>
    <x v="0"/>
  </r>
  <r>
    <d v="2023-03-29T00:00:00"/>
    <x v="12"/>
    <s v="Admin/HR/IT"/>
    <s v="AMCARE NonOcc In"/>
    <s v="AMZN"/>
    <n v="113003679"/>
    <s v="Ibarra,Jose"/>
    <s v="Madrid Molina,Ramon"/>
    <n v="0"/>
    <n v="0"/>
    <n v="0"/>
    <n v="0"/>
    <n v="0.27"/>
    <e v="#N/A"/>
    <x v="0"/>
  </r>
  <r>
    <d v="2023-03-29T00:00:00"/>
    <x v="12"/>
    <s v="Admin/HR/IT"/>
    <s v="AMCARE NonOcc In"/>
    <s v="AMZN"/>
    <n v="113003971"/>
    <s v="Garcia  Ramirez,Gabriel"/>
    <s v="Gomez,Abinadab"/>
    <n v="0"/>
    <n v="0"/>
    <n v="0"/>
    <n v="0"/>
    <n v="0.13"/>
    <e v="#N/A"/>
    <x v="10"/>
  </r>
  <r>
    <d v="2023-03-29T00:00:00"/>
    <x v="12"/>
    <s v="Admin/HR/IT"/>
    <s v="AMCARE NonOcc In"/>
    <s v="AMZN"/>
    <n v="113101453"/>
    <s v="Isaac,Geovanna"/>
    <s v="Corona Arriaga,Fernando"/>
    <n v="0"/>
    <n v="0"/>
    <n v="0"/>
    <n v="0"/>
    <n v="0.6"/>
    <e v="#N/A"/>
    <x v="4"/>
  </r>
  <r>
    <d v="2023-03-29T00:00:00"/>
    <x v="12"/>
    <s v="Admin/HR/IT"/>
    <s v="AMCARE NonOcc In"/>
    <s v="TEMP"/>
    <n v="200509428"/>
    <s v="Guevara Ramirez,Zayra Lorena"/>
    <s v="Corona Arriaga,Fernando"/>
    <n v="0"/>
    <n v="0"/>
    <n v="0"/>
    <n v="0"/>
    <n v="3.12"/>
    <e v="#N/A"/>
    <x v="0"/>
  </r>
  <r>
    <d v="2023-03-29T00:00:00"/>
    <x v="12"/>
    <s v="Admin/HR/IT"/>
    <s v="AMCARE NonOcc In"/>
    <s v="TEMP"/>
    <n v="200562868"/>
    <s v="Martinez Alvarez,Arturo"/>
    <s v="Gomez Aguado,Jorge"/>
    <n v="0"/>
    <n v="0"/>
    <n v="0"/>
    <n v="0"/>
    <n v="0.37"/>
    <e v="#N/A"/>
    <x v="0"/>
  </r>
  <r>
    <d v="2023-03-29T00:00:00"/>
    <x v="12"/>
    <s v="Admin/HR/IT"/>
    <s v="AMCARE NonOcc In"/>
    <s v="TEMP"/>
    <n v="201198169"/>
    <s v="Alvarado,Luis"/>
    <s v="Piedra,Valentina"/>
    <n v="0"/>
    <n v="0"/>
    <n v="0"/>
    <n v="0"/>
    <n v="0.81"/>
    <e v="#N/A"/>
    <x v="0"/>
  </r>
  <r>
    <d v="2023-03-30T00:00:00"/>
    <x v="12"/>
    <s v="Admin/HR/IT"/>
    <s v="AMCARE NonOcc In"/>
    <s v="AMZN"/>
    <n v="112972608"/>
    <s v="Hernandez Romo,Sam"/>
    <s v="Pizana,Diego"/>
    <n v="0"/>
    <n v="0"/>
    <n v="0"/>
    <n v="0"/>
    <n v="0.48"/>
    <e v="#N/A"/>
    <x v="0"/>
  </r>
  <r>
    <d v="2023-03-30T00:00:00"/>
    <x v="12"/>
    <s v="Admin/HR/IT"/>
    <s v="AMCARE NonOcc In"/>
    <s v="AMZN"/>
    <n v="112981201"/>
    <s v="Ramirez,Andrea"/>
    <s v="Corona Arriaga,Fernando"/>
    <n v="0"/>
    <n v="0"/>
    <n v="0"/>
    <n v="0"/>
    <n v="2.85"/>
    <e v="#N/A"/>
    <x v="0"/>
  </r>
  <r>
    <d v="2023-03-30T00:00:00"/>
    <x v="12"/>
    <s v="Admin/HR/IT"/>
    <s v="AMCARE NonOcc In"/>
    <s v="AMZN"/>
    <n v="112984097"/>
    <s v="Aguilera,Yaremi"/>
    <s v="Corona Arriaga,Fernando"/>
    <n v="0"/>
    <n v="0"/>
    <n v="0"/>
    <n v="0"/>
    <n v="0.39"/>
    <e v="#N/A"/>
    <x v="0"/>
  </r>
  <r>
    <d v="2023-03-30T00:00:00"/>
    <x v="12"/>
    <s v="Admin/HR/IT"/>
    <s v="AMCARE NonOcc In"/>
    <s v="AMZN"/>
    <n v="113003635"/>
    <s v="Barron,Giovanni"/>
    <s v="Gomez,Abinadab"/>
    <n v="0"/>
    <n v="0"/>
    <n v="0"/>
    <n v="0"/>
    <n v="2.88"/>
    <e v="#N/A"/>
    <x v="118"/>
  </r>
  <r>
    <d v="2023-03-30T00:00:00"/>
    <x v="12"/>
    <s v="Admin/HR/IT"/>
    <s v="AMCARE NonOcc In"/>
    <s v="AMZN"/>
    <n v="113003679"/>
    <s v="Ibarra,Jose"/>
    <s v="Madrid Molina,Ramon"/>
    <n v="0"/>
    <n v="0"/>
    <n v="0"/>
    <n v="0"/>
    <n v="0.38"/>
    <e v="#N/A"/>
    <x v="0"/>
  </r>
  <r>
    <d v="2023-03-30T00:00:00"/>
    <x v="12"/>
    <s v="Admin/HR/IT"/>
    <s v="AMCARE NonOcc In"/>
    <s v="AMZN"/>
    <n v="113018997"/>
    <s v="Rodriguez Ponce,Gaby"/>
    <s v="Robledo Ugarte,Alejandro"/>
    <n v="0"/>
    <n v="0"/>
    <n v="0"/>
    <n v="0"/>
    <n v="0.71"/>
    <e v="#N/A"/>
    <x v="0"/>
  </r>
  <r>
    <d v="2023-03-30T00:00:00"/>
    <x v="12"/>
    <s v="Admin/HR/IT"/>
    <s v="AMCARE NonOcc In"/>
    <s v="AMZN"/>
    <n v="113020667"/>
    <s v="Martinez Becerra,Paulina"/>
    <s v="Madrid Molina,Ramon"/>
    <n v="0"/>
    <n v="0"/>
    <n v="0"/>
    <n v="0"/>
    <n v="1.22"/>
    <e v="#N/A"/>
    <x v="31"/>
  </r>
  <r>
    <d v="2023-03-30T00:00:00"/>
    <x v="12"/>
    <s v="Admin/HR/IT"/>
    <s v="AMCARE NonOcc In"/>
    <s v="AMZN"/>
    <n v="200404250"/>
    <s v="Hurtado,Caty"/>
    <s v="Piedra,Valentina"/>
    <n v="0"/>
    <n v="0"/>
    <n v="0"/>
    <n v="0"/>
    <n v="0.63"/>
    <e v="#N/A"/>
    <x v="6"/>
  </r>
  <r>
    <d v="2023-03-30T00:00:00"/>
    <x v="12"/>
    <s v="Admin/HR/IT"/>
    <s v="AMCARE NonOcc In"/>
    <s v="TEMP"/>
    <n v="200508315"/>
    <s v="Herrera,Aldair"/>
    <s v="Romero Sanchez,Gustavo Gabriel"/>
    <n v="0"/>
    <n v="0"/>
    <n v="0"/>
    <n v="0"/>
    <n v="0.04"/>
    <e v="#N/A"/>
    <x v="41"/>
  </r>
  <r>
    <d v="2023-03-30T00:00:00"/>
    <x v="12"/>
    <s v="Admin/HR/IT"/>
    <s v="AMCARE NonOcc In"/>
    <s v="TEMP"/>
    <n v="201158953"/>
    <s v="Martinez,Alicia"/>
    <s v="Gomez,Abinadab"/>
    <n v="0"/>
    <n v="0"/>
    <n v="0"/>
    <n v="0"/>
    <n v="0.42"/>
    <e v="#N/A"/>
    <x v="0"/>
  </r>
  <r>
    <d v="2023-03-30T00:00:00"/>
    <x v="12"/>
    <s v="Admin/HR/IT"/>
    <s v="AMCARE NonOcc In"/>
    <s v="TEMP"/>
    <n v="201167501"/>
    <s v="Rodriguez,Ruben"/>
    <s v="Corona Arriaga,Fernando"/>
    <n v="0"/>
    <n v="0"/>
    <n v="0"/>
    <n v="0"/>
    <n v="0.22"/>
    <e v="#N/A"/>
    <x v="109"/>
  </r>
  <r>
    <d v="2023-03-30T00:00:00"/>
    <x v="12"/>
    <s v="Admin/HR/IT"/>
    <s v="AMCARE NonOcc In"/>
    <s v="TEMP"/>
    <n v="201186621"/>
    <s v="Puga,Enrique"/>
    <s v="Romero Sanchez,Gustavo Gabriel"/>
    <n v="0"/>
    <n v="0"/>
    <n v="0"/>
    <n v="0"/>
    <n v="0.43"/>
    <e v="#N/A"/>
    <x v="0"/>
  </r>
  <r>
    <d v="2023-03-30T00:00:00"/>
    <x v="12"/>
    <s v="Admin/HR/IT"/>
    <s v="AMCARE NonOcc In"/>
    <s v="TEMP"/>
    <n v="201205615"/>
    <s v="Tavares,Jorge"/>
    <s v="Robledo Ugarte,Alejandro"/>
    <n v="0"/>
    <n v="0"/>
    <n v="0"/>
    <n v="0"/>
    <n v="0.56000000000000005"/>
    <e v="#N/A"/>
    <x v="0"/>
  </r>
  <r>
    <d v="2023-03-31T00:00:00"/>
    <x v="12"/>
    <s v="Admin/HR/IT"/>
    <s v="AMCARE NonOcc In"/>
    <s v="AMZN"/>
    <n v="112912675"/>
    <s v="Alejandri Villagomez,Alejandra"/>
    <s v="Gomez,Abinadab"/>
    <n v="0"/>
    <n v="0"/>
    <n v="0"/>
    <n v="0"/>
    <n v="0.24"/>
    <e v="#N/A"/>
    <x v="0"/>
  </r>
  <r>
    <d v="2023-03-31T00:00:00"/>
    <x v="12"/>
    <s v="Admin/HR/IT"/>
    <s v="AMCARE NonOcc In"/>
    <s v="AMZN"/>
    <n v="112916497"/>
    <s v="Ascencio Mendez,Israel Isaias"/>
    <s v="Rosas Negrete,Sebastian"/>
    <n v="0"/>
    <n v="0"/>
    <n v="0"/>
    <n v="0"/>
    <n v="1.24"/>
    <e v="#N/A"/>
    <x v="0"/>
  </r>
  <r>
    <d v="2023-03-31T00:00:00"/>
    <x v="12"/>
    <s v="Admin/HR/IT"/>
    <s v="AMCARE NonOcc In"/>
    <s v="AMZN"/>
    <n v="112971980"/>
    <s v="Romero,Daniel"/>
    <s v="Pizana,Diego"/>
    <n v="0"/>
    <n v="0"/>
    <n v="0"/>
    <n v="0"/>
    <n v="0.41"/>
    <s v="DC-X0700"/>
    <x v="43"/>
  </r>
  <r>
    <d v="2023-03-31T00:00:00"/>
    <x v="12"/>
    <s v="Admin/HR/IT"/>
    <s v="AMCARE NonOcc In"/>
    <s v="AMZN"/>
    <n v="113003679"/>
    <s v="Ibarra,Jose"/>
    <s v="Madrid Molina,Ramon"/>
    <n v="0"/>
    <n v="0"/>
    <n v="0"/>
    <n v="0"/>
    <n v="0.24"/>
    <e v="#N/A"/>
    <x v="0"/>
  </r>
  <r>
    <d v="2023-03-31T00:00:00"/>
    <x v="12"/>
    <s v="Admin/HR/IT"/>
    <s v="AMCARE NonOcc In"/>
    <s v="AMZN"/>
    <n v="113014092"/>
    <s v="Sanchez,Cristina"/>
    <s v="Romero Sanchez,Gustavo Gabriel"/>
    <n v="0"/>
    <n v="0"/>
    <n v="0"/>
    <n v="0"/>
    <n v="0.68"/>
    <e v="#N/A"/>
    <x v="73"/>
  </r>
  <r>
    <d v="2023-03-31T00:00:00"/>
    <x v="12"/>
    <s v="Admin/HR/IT"/>
    <s v="AMCARE NonOcc In"/>
    <s v="AMZN"/>
    <n v="113019042"/>
    <s v="Gallegos Godinez,Eloy"/>
    <s v="Piedra,Valentina"/>
    <n v="0"/>
    <n v="0"/>
    <n v="0"/>
    <n v="0"/>
    <n v="0.19"/>
    <e v="#N/A"/>
    <x v="0"/>
  </r>
  <r>
    <d v="2023-03-31T00:00:00"/>
    <x v="12"/>
    <s v="Admin/HR/IT"/>
    <s v="AMCARE NonOcc In"/>
    <s v="TEMP"/>
    <n v="200564845"/>
    <s v="Barron,Abraham"/>
    <s v="Madrid Molina,Ramon"/>
    <n v="0"/>
    <n v="0"/>
    <n v="0"/>
    <n v="0"/>
    <n v="0.47"/>
    <e v="#N/A"/>
    <x v="0"/>
  </r>
  <r>
    <d v="2023-03-31T00:00:00"/>
    <x v="12"/>
    <s v="Admin/HR/IT"/>
    <s v="AMCARE NonOcc In"/>
    <s v="TEMP"/>
    <n v="200589316"/>
    <s v="Torres Zuniga,Daniel"/>
    <s v="Madrid Molina,Ramon"/>
    <n v="0"/>
    <n v="0"/>
    <n v="0"/>
    <n v="0"/>
    <n v="0.23"/>
    <e v="#N/A"/>
    <x v="0"/>
  </r>
  <r>
    <d v="2023-03-31T00:00:00"/>
    <x v="12"/>
    <s v="Admin/HR/IT"/>
    <s v="AMCARE NonOcc In"/>
    <s v="TEMP"/>
    <n v="200614224"/>
    <s v="Cruz Hernandez,Cris"/>
    <s v="Ledezma,Fer"/>
    <n v="0"/>
    <n v="0"/>
    <n v="0"/>
    <n v="0"/>
    <n v="0.46"/>
    <e v="#N/A"/>
    <x v="0"/>
  </r>
  <r>
    <d v="2023-03-31T00:00:00"/>
    <x v="12"/>
    <s v="Admin/HR/IT"/>
    <s v="AMCARE NonOcc In"/>
    <s v="TEMP"/>
    <n v="200625528"/>
    <s v="Oliva,Lizbeth"/>
    <s v="Gomez Aguado,Jorge"/>
    <n v="0"/>
    <n v="0"/>
    <n v="0"/>
    <n v="0"/>
    <n v="0.13"/>
    <e v="#N/A"/>
    <x v="83"/>
  </r>
  <r>
    <d v="2023-03-31T00:00:00"/>
    <x v="12"/>
    <s v="Admin/HR/IT"/>
    <s v="AMCARE NonOcc In"/>
    <s v="TEMP"/>
    <n v="201191390"/>
    <s v="GarcÃ­a,jesus"/>
    <s v="Romero Sanchez,Gustavo Gabriel"/>
    <n v="0"/>
    <n v="0"/>
    <n v="0"/>
    <n v="0"/>
    <n v="14.09"/>
    <e v="#N/A"/>
    <x v="116"/>
  </r>
  <r>
    <d v="2023-03-31T00:00:00"/>
    <x v="12"/>
    <s v="Admin/HR/IT"/>
    <s v="AMCARE NonOcc In"/>
    <s v="TEMP"/>
    <n v="201198370"/>
    <s v="Hernandez,Briana"/>
    <s v="Ledezma,Fer"/>
    <n v="0"/>
    <n v="0"/>
    <n v="0"/>
    <n v="0"/>
    <n v="0.57999999999999996"/>
    <e v="#N/A"/>
    <x v="0"/>
  </r>
  <r>
    <d v="2023-03-31T00:00:00"/>
    <x v="12"/>
    <s v="Admin/HR/IT"/>
    <s v="AMCARE NonOcc In"/>
    <s v="TEMP"/>
    <n v="201198890"/>
    <s v="Gomez,Karla"/>
    <s v="Gomez,Abinadab"/>
    <n v="0"/>
    <n v="0"/>
    <n v="0"/>
    <n v="0"/>
    <n v="0.11"/>
    <e v="#N/A"/>
    <x v="0"/>
  </r>
  <r>
    <d v="2023-03-31T00:00:00"/>
    <x v="12"/>
    <s v="Admin/HR/IT"/>
    <s v="AMCARE NonOcc In"/>
    <s v="TEMP"/>
    <n v="201219225"/>
    <s v="Moreno Bermudez,Rogelio"/>
    <s v="Corona Arriaga,Fernando"/>
    <n v="0"/>
    <n v="0"/>
    <n v="0"/>
    <n v="0"/>
    <n v="0.83"/>
    <e v="#N/A"/>
    <x v="0"/>
  </r>
  <r>
    <d v="2023-03-31T00:00:00"/>
    <x v="12"/>
    <s v="Admin/HR/IT"/>
    <s v="AMCARE NonOcc In"/>
    <s v="TEMP"/>
    <n v="201221772"/>
    <s v="Gonzalez Olmos,Dariana"/>
    <s v="Corona Arriaga,Fernando"/>
    <n v="0"/>
    <n v="0"/>
    <n v="0"/>
    <n v="0"/>
    <n v="1.44"/>
    <e v="#N/A"/>
    <x v="119"/>
  </r>
  <r>
    <d v="2023-03-31T00:00:00"/>
    <x v="12"/>
    <s v="Admin/HR/IT"/>
    <s v="AMCARE NonOcc In"/>
    <s v="TEMP"/>
    <n v="201223730"/>
    <s v="Sanchiz,Cesarito"/>
    <s v="Hernandez Padilla,Daniel"/>
    <n v="0"/>
    <n v="0"/>
    <n v="0"/>
    <n v="0"/>
    <n v="0.14000000000000001"/>
    <e v="#N/A"/>
    <x v="120"/>
  </r>
  <r>
    <d v="2023-04-01T00:00:00"/>
    <x v="12"/>
    <s v="Admin/HR/IT"/>
    <s v="AMCARE NonOcc In"/>
    <s v="AMZN"/>
    <n v="112912464"/>
    <s v="Garcia Nicasio,Luis"/>
    <s v="Cortes,Alejandra"/>
    <n v="0"/>
    <n v="0"/>
    <n v="0"/>
    <n v="0"/>
    <n v="0.21"/>
    <e v="#N/A"/>
    <x v="0"/>
  </r>
  <r>
    <d v="2023-04-01T00:00:00"/>
    <x v="12"/>
    <s v="Admin/HR/IT"/>
    <s v="AMCARE NonOcc In"/>
    <s v="AMZN"/>
    <n v="112973049"/>
    <s v="Tavares Parra,Ely"/>
    <s v="Romero Sanchez,Gustavo Gabriel"/>
    <n v="0"/>
    <n v="0"/>
    <n v="0"/>
    <n v="0"/>
    <n v="0.13"/>
    <s v="DB-X0700"/>
    <x v="14"/>
  </r>
  <r>
    <d v="2023-04-01T00:00:00"/>
    <x v="12"/>
    <s v="Admin/HR/IT"/>
    <s v="AMCARE NonOcc In"/>
    <s v="AMZN"/>
    <n v="113014092"/>
    <s v="Sanchez,Cristina"/>
    <s v="Romero Sanchez,Gustavo Gabriel"/>
    <n v="0"/>
    <n v="0"/>
    <n v="0"/>
    <n v="0"/>
    <n v="0.21"/>
    <e v="#N/A"/>
    <x v="73"/>
  </r>
  <r>
    <d v="2023-04-01T00:00:00"/>
    <x v="12"/>
    <s v="Admin/HR/IT"/>
    <s v="AMCARE NonOcc In"/>
    <s v="AMZN"/>
    <n v="113040585"/>
    <s v="DurÃ¡n Aranda,Luis"/>
    <s v="Madrid Molina,Ramon"/>
    <n v="0"/>
    <n v="0"/>
    <n v="0"/>
    <n v="0"/>
    <n v="0.3"/>
    <e v="#N/A"/>
    <x v="0"/>
  </r>
  <r>
    <d v="2023-04-01T00:00:00"/>
    <x v="12"/>
    <s v="Admin/HR/IT"/>
    <s v="AMCARE NonOcc In"/>
    <s v="TEMP"/>
    <n v="200508315"/>
    <s v="Herrera,Aldair"/>
    <s v="Romero Sanchez,Gustavo Gabriel"/>
    <n v="0"/>
    <n v="0"/>
    <n v="0"/>
    <n v="0"/>
    <n v="0.03"/>
    <e v="#N/A"/>
    <x v="41"/>
  </r>
  <r>
    <d v="2023-04-01T00:00:00"/>
    <x v="12"/>
    <s v="Admin/HR/IT"/>
    <s v="AMCARE NonOcc In"/>
    <s v="TEMP"/>
    <n v="200614224"/>
    <s v="Cruz Hernandez,Cris"/>
    <s v="Ledezma,Fer"/>
    <n v="0"/>
    <n v="0"/>
    <n v="0"/>
    <n v="0"/>
    <n v="0.27"/>
    <e v="#N/A"/>
    <x v="0"/>
  </r>
  <r>
    <d v="2023-04-01T00:00:00"/>
    <x v="12"/>
    <s v="Admin/HR/IT"/>
    <s v="AMCARE NonOcc In"/>
    <s v="TEMP"/>
    <n v="200615883"/>
    <s v="Ibarra Amaro,Adriana"/>
    <s v="Madrid Molina,Ramon"/>
    <n v="0"/>
    <n v="0"/>
    <n v="0"/>
    <n v="0"/>
    <n v="0.11"/>
    <e v="#N/A"/>
    <x v="0"/>
  </r>
  <r>
    <d v="2023-04-01T00:00:00"/>
    <x v="12"/>
    <s v="Admin/HR/IT"/>
    <s v="AMCARE NonOcc In"/>
    <s v="TEMP"/>
    <n v="201167517"/>
    <s v="Espinoza Lopez,Magdal"/>
    <s v="Ledezma,Fer"/>
    <n v="0"/>
    <n v="0"/>
    <n v="0"/>
    <n v="0"/>
    <n v="1.27"/>
    <e v="#N/A"/>
    <x v="0"/>
  </r>
  <r>
    <d v="2023-04-01T00:00:00"/>
    <x v="12"/>
    <s v="Admin/HR/IT"/>
    <s v="AMCARE NonOcc In"/>
    <s v="TEMP"/>
    <n v="201191390"/>
    <s v="GarcÃ­a,jesus"/>
    <s v="Romero Sanchez,Gustavo Gabriel"/>
    <n v="0"/>
    <n v="0"/>
    <n v="0"/>
    <n v="0"/>
    <n v="10.09"/>
    <e v="#N/A"/>
    <x v="116"/>
  </r>
  <r>
    <d v="2023-04-01T00:00:00"/>
    <x v="12"/>
    <s v="Admin/HR/IT"/>
    <s v="AMCARE NonOcc In"/>
    <s v="TEMP"/>
    <n v="201198890"/>
    <s v="Gomez,Karla"/>
    <s v="Gomez,Abinadab"/>
    <n v="0"/>
    <n v="0"/>
    <n v="0"/>
    <n v="0"/>
    <n v="0.53"/>
    <e v="#N/A"/>
    <x v="0"/>
  </r>
  <r>
    <d v="2023-04-01T00:00:00"/>
    <x v="12"/>
    <s v="Admin/HR/IT"/>
    <s v="AMCARE NonOcc In"/>
    <s v="TEMP"/>
    <n v="201204937"/>
    <s v="Vazquez,Carmen"/>
    <s v="Ledezma,Fer"/>
    <n v="0"/>
    <n v="0"/>
    <n v="0"/>
    <n v="0"/>
    <n v="0.78"/>
    <e v="#N/A"/>
    <x v="0"/>
  </r>
  <r>
    <d v="2023-04-01T00:00:00"/>
    <x v="12"/>
    <s v="Admin/HR/IT"/>
    <s v="AMCARE NonOcc In"/>
    <s v="TEMP"/>
    <n v="201211157"/>
    <s v="Vargas,Jesse"/>
    <s v="Gomez,Abinadab"/>
    <n v="0"/>
    <n v="0"/>
    <n v="0"/>
    <n v="0"/>
    <n v="0.42"/>
    <e v="#N/A"/>
    <x v="121"/>
  </r>
  <r>
    <d v="2023-04-01T00:00:00"/>
    <x v="12"/>
    <s v="Admin/HR/IT"/>
    <s v="AMCARE NonOcc In"/>
    <s v="TEMP"/>
    <n v="201219500"/>
    <s v="Mazy,RamsÃ©s"/>
    <s v="Ledezma,Fer"/>
    <n v="0"/>
    <n v="0"/>
    <n v="0"/>
    <n v="0"/>
    <n v="0.21"/>
    <e v="#N/A"/>
    <x v="122"/>
  </r>
  <r>
    <d v="2023-04-01T00:00:00"/>
    <x v="12"/>
    <s v="Admin/HR/IT"/>
    <s v="AMCARE NonOcc In"/>
    <s v="TEMP"/>
    <n v="201228411"/>
    <s v="Hernandez Soriano,Jazmin"/>
    <s v="Hernandez Padilla,Daniel"/>
    <n v="0"/>
    <n v="0"/>
    <n v="0"/>
    <n v="0"/>
    <n v="0.31"/>
    <e v="#N/A"/>
    <x v="123"/>
  </r>
  <r>
    <d v="2023-04-02T00:00:00"/>
    <x v="13"/>
    <s v="Admin/HR/IT"/>
    <s v="AMCARE NonOcc In"/>
    <s v="AMZN"/>
    <n v="112971962"/>
    <s v="Reyes  Montes de oca,Alejandra"/>
    <s v="Ledezma,Fer"/>
    <n v="0"/>
    <n v="0"/>
    <n v="0"/>
    <n v="0"/>
    <n v="0.35"/>
    <s v="DB-X0700"/>
    <x v="26"/>
  </r>
  <r>
    <d v="2023-04-02T00:00:00"/>
    <x v="13"/>
    <s v="Admin/HR/IT"/>
    <s v="AMCARE NonOcc In"/>
    <s v="AMZN"/>
    <n v="112981201"/>
    <s v="Ramirez,Andrea"/>
    <s v="Morales Beristain,Sugeyt"/>
    <n v="0"/>
    <n v="0"/>
    <n v="0"/>
    <n v="0"/>
    <n v="0.37"/>
    <e v="#N/A"/>
    <x v="0"/>
  </r>
  <r>
    <d v="2023-04-02T00:00:00"/>
    <x v="13"/>
    <s v="Admin/HR/IT"/>
    <s v="AMCARE NonOcc In"/>
    <s v="AMZN"/>
    <n v="200404250"/>
    <s v="Hurtado,Caty"/>
    <s v="Piedra,Valentina"/>
    <n v="0"/>
    <n v="0"/>
    <n v="0"/>
    <n v="0"/>
    <n v="0.23"/>
    <e v="#N/A"/>
    <x v="6"/>
  </r>
  <r>
    <d v="2023-04-02T00:00:00"/>
    <x v="13"/>
    <s v="Admin/HR/IT"/>
    <s v="AMCARE NonOcc In"/>
    <s v="TEMP"/>
    <n v="200509428"/>
    <s v="Guevara Ramirez,Zayra Lorena"/>
    <s v="Morales Beristain,Sugeyt"/>
    <n v="0"/>
    <n v="0"/>
    <n v="0"/>
    <n v="0"/>
    <n v="0.14000000000000001"/>
    <e v="#N/A"/>
    <x v="0"/>
  </r>
  <r>
    <d v="2023-04-02T00:00:00"/>
    <x v="13"/>
    <s v="Admin/HR/IT"/>
    <s v="AMCARE NonOcc In"/>
    <s v="TEMP"/>
    <n v="200574655"/>
    <s v="Mireles,Dulce"/>
    <s v="Morales Beristain,Sugeyt"/>
    <n v="0"/>
    <n v="0"/>
    <n v="0"/>
    <n v="0"/>
    <n v="0.32"/>
    <e v="#N/A"/>
    <x v="88"/>
  </r>
  <r>
    <d v="2023-04-03T00:00:00"/>
    <x v="13"/>
    <s v="Admin/HR/IT"/>
    <s v="AMCARE NonOcc In"/>
    <s v="AMZN"/>
    <n v="111434478"/>
    <s v="Gutierrez,Pame"/>
    <s v="Garcia Espejel,Brenda Victoria"/>
    <n v="0"/>
    <n v="0"/>
    <n v="0"/>
    <n v="0"/>
    <n v="0.74"/>
    <s v="DA-X0700"/>
    <x v="23"/>
  </r>
  <r>
    <d v="2023-04-03T00:00:00"/>
    <x v="13"/>
    <s v="Admin/HR/IT"/>
    <s v="AMCARE NonOcc In"/>
    <s v="AMZN"/>
    <n v="112912745"/>
    <s v="Gomez Meza,Alex"/>
    <s v="Robledo Ugarte,Alejandro"/>
    <n v="0"/>
    <n v="0"/>
    <n v="0"/>
    <n v="0"/>
    <n v="0.99"/>
    <s v="DA-X0700"/>
    <x v="55"/>
  </r>
  <r>
    <d v="2023-04-03T00:00:00"/>
    <x v="13"/>
    <s v="Admin/HR/IT"/>
    <s v="AMCARE NonOcc In"/>
    <s v="AMZN"/>
    <n v="112971961"/>
    <s v="Lopez,Jason"/>
    <s v="Camarena,Grecia"/>
    <n v="0"/>
    <n v="0"/>
    <n v="0"/>
    <n v="0"/>
    <n v="0.11"/>
    <e v="#N/A"/>
    <x v="0"/>
  </r>
  <r>
    <d v="2023-04-03T00:00:00"/>
    <x v="13"/>
    <s v="Admin/HR/IT"/>
    <s v="AMCARE NonOcc In"/>
    <s v="AMZN"/>
    <n v="112981014"/>
    <s v="Roldan Gutierrez,Pablo"/>
    <s v="Robledo Ugarte,Alejandro"/>
    <n v="0"/>
    <n v="0"/>
    <n v="0"/>
    <n v="0"/>
    <n v="0.21"/>
    <s v="DJ-X0700"/>
    <x v="29"/>
  </r>
  <r>
    <d v="2023-04-03T00:00:00"/>
    <x v="13"/>
    <s v="Admin/HR/IT"/>
    <s v="AMCARE NonOcc In"/>
    <s v="AMZN"/>
    <n v="200404250"/>
    <s v="Hurtado,Caty"/>
    <s v="Piedra,Valentina"/>
    <n v="0"/>
    <n v="0"/>
    <n v="0"/>
    <n v="0"/>
    <n v="0.95"/>
    <e v="#N/A"/>
    <x v="6"/>
  </r>
  <r>
    <d v="2023-04-03T00:00:00"/>
    <x v="13"/>
    <s v="Admin/HR/IT"/>
    <s v="AMCARE NonOcc In"/>
    <s v="TEMP"/>
    <n v="200562154"/>
    <s v="Reyes Muniz,Cristian"/>
    <s v="Gomez,Abinadab"/>
    <n v="0"/>
    <n v="0"/>
    <n v="0"/>
    <n v="0"/>
    <n v="1.08"/>
    <e v="#N/A"/>
    <x v="42"/>
  </r>
  <r>
    <d v="2023-04-03T00:00:00"/>
    <x v="13"/>
    <s v="Admin/HR/IT"/>
    <s v="AMCARE NonOcc In"/>
    <s v="TEMP"/>
    <n v="201198169"/>
    <s v="Alvarado,Jose"/>
    <s v="Piedra,Valentina"/>
    <n v="0"/>
    <n v="0"/>
    <n v="0"/>
    <n v="0"/>
    <n v="0.3"/>
    <e v="#N/A"/>
    <x v="0"/>
  </r>
  <r>
    <d v="2023-04-04T00:00:00"/>
    <x v="13"/>
    <s v="Admin/HR/IT"/>
    <s v="AMCARE NonOcc In"/>
    <s v="TEMP"/>
    <n v="201219225"/>
    <s v="Moreno Bermudez,Rogelio"/>
    <s v="Morales Beristain,Sugeyt"/>
    <n v="0"/>
    <n v="0"/>
    <n v="0"/>
    <n v="0"/>
    <n v="0.18"/>
    <e v="#N/A"/>
    <x v="0"/>
  </r>
  <r>
    <d v="2023-04-04T00:00:00"/>
    <x v="13"/>
    <s v="Admin/HR/IT"/>
    <s v="AMCARE NonOcc In"/>
    <s v="AMZN"/>
    <n v="103979960"/>
    <s v="Suchil Angel,Guillermo"/>
    <s v="Corona Arriaga,Fernando"/>
    <n v="0"/>
    <n v="0"/>
    <n v="0"/>
    <n v="0"/>
    <n v="0.38"/>
    <e v="#N/A"/>
    <x v="0"/>
  </r>
  <r>
    <d v="2023-04-04T00:00:00"/>
    <x v="13"/>
    <s v="Admin/HR/IT"/>
    <s v="AMCARE NonOcc In"/>
    <s v="AMZN"/>
    <n v="112912049"/>
    <s v="Vazquez Rodriguez,Christian"/>
    <s v="Pizana,Diego"/>
    <n v="0"/>
    <n v="0"/>
    <n v="0"/>
    <n v="0"/>
    <n v="0.19"/>
    <s v="NF-X1900"/>
    <x v="60"/>
  </r>
  <r>
    <d v="2023-04-04T00:00:00"/>
    <x v="13"/>
    <s v="Admin/HR/IT"/>
    <s v="AMCARE NonOcc In"/>
    <s v="AMZN"/>
    <n v="112981201"/>
    <s v="Ramirez,Andrea"/>
    <s v="Corona Arriaga,Fernando"/>
    <n v="0"/>
    <n v="0"/>
    <n v="0"/>
    <n v="0"/>
    <n v="4.79"/>
    <e v="#N/A"/>
    <x v="0"/>
  </r>
  <r>
    <d v="2023-04-04T00:00:00"/>
    <x v="13"/>
    <s v="Admin/HR/IT"/>
    <s v="AMCARE NonOcc In"/>
    <s v="AMZN"/>
    <n v="113003631"/>
    <s v="Ortega,Elizabeth"/>
    <s v="Gomez Aguado,Jorge"/>
    <n v="0"/>
    <n v="0"/>
    <n v="0"/>
    <n v="0"/>
    <n v="0.17"/>
    <e v="#N/A"/>
    <x v="0"/>
  </r>
  <r>
    <d v="2023-04-04T00:00:00"/>
    <x v="13"/>
    <s v="Admin/HR/IT"/>
    <s v="AMCARE NonOcc In"/>
    <s v="AMZN"/>
    <n v="113014470"/>
    <s v="Aguilar Ibarra,Lupe"/>
    <s v="Corona Arriaga,Fernando"/>
    <n v="0"/>
    <n v="0"/>
    <n v="0"/>
    <n v="0"/>
    <n v="0.97"/>
    <e v="#N/A"/>
    <x v="30"/>
  </r>
  <r>
    <d v="2023-04-04T00:00:00"/>
    <x v="13"/>
    <s v="Admin/HR/IT"/>
    <s v="AMCARE NonOcc In"/>
    <s v="AMZN"/>
    <n v="113019111"/>
    <s v="Valdespino,Kelly"/>
    <s v="Piedra,Valentina"/>
    <n v="0"/>
    <n v="0"/>
    <n v="0"/>
    <n v="0"/>
    <n v="2.0499999999999998"/>
    <e v="#N/A"/>
    <x v="68"/>
  </r>
  <r>
    <d v="2023-04-04T00:00:00"/>
    <x v="13"/>
    <s v="Admin/HR/IT"/>
    <s v="AMCARE NonOcc In"/>
    <s v="AMZN"/>
    <n v="113044620"/>
    <s v="Jasso Miranda,Aldo"/>
    <s v="Corona Arriaga,Fernando"/>
    <n v="0"/>
    <n v="0"/>
    <n v="0"/>
    <n v="0"/>
    <n v="0.28000000000000003"/>
    <e v="#N/A"/>
    <x v="52"/>
  </r>
  <r>
    <d v="2023-04-04T00:00:00"/>
    <x v="13"/>
    <s v="Admin/HR/IT"/>
    <s v="AMCARE NonOcc In"/>
    <s v="AMZN"/>
    <n v="200404250"/>
    <s v="Hurtado,Caty"/>
    <s v="Piedra,Valentina"/>
    <n v="0"/>
    <n v="0"/>
    <n v="0"/>
    <n v="0"/>
    <n v="0.68"/>
    <e v="#N/A"/>
    <x v="6"/>
  </r>
  <r>
    <d v="2023-04-04T00:00:00"/>
    <x v="13"/>
    <s v="Admin/HR/IT"/>
    <s v="AMCARE NonOcc In"/>
    <s v="TEMP"/>
    <n v="200562868"/>
    <s v="Martinez Alvarez,Arturo"/>
    <s v="Gomez Aguado,Jorge"/>
    <n v="0"/>
    <n v="0"/>
    <n v="0"/>
    <n v="0"/>
    <n v="0.28000000000000003"/>
    <e v="#N/A"/>
    <x v="0"/>
  </r>
  <r>
    <d v="2023-04-04T00:00:00"/>
    <x v="13"/>
    <s v="Admin/HR/IT"/>
    <s v="AMCARE NonOcc In"/>
    <s v="TEMP"/>
    <n v="200565197"/>
    <s v="Avila,Mary"/>
    <s v="Piedra,Valentina"/>
    <n v="0"/>
    <n v="0"/>
    <n v="0"/>
    <n v="0"/>
    <n v="0.54"/>
    <e v="#N/A"/>
    <x v="0"/>
  </r>
  <r>
    <d v="2023-04-04T00:00:00"/>
    <x v="13"/>
    <s v="Admin/HR/IT"/>
    <s v="AMCARE NonOcc In"/>
    <s v="TEMP"/>
    <n v="200574345"/>
    <s v="Contreras,Jony"/>
    <s v="Piedra,Valentina"/>
    <n v="0"/>
    <n v="0"/>
    <n v="0"/>
    <n v="0"/>
    <n v="0.27"/>
    <e v="#N/A"/>
    <x v="54"/>
  </r>
  <r>
    <d v="2023-04-04T00:00:00"/>
    <x v="13"/>
    <s v="Admin/HR/IT"/>
    <s v="AMCARE NonOcc In"/>
    <s v="TEMP"/>
    <n v="200589316"/>
    <s v="Torres Zuniga,Daniel"/>
    <s v="Madrid Molina,Ramon"/>
    <n v="0"/>
    <n v="0"/>
    <n v="0"/>
    <n v="0"/>
    <n v="3.33"/>
    <e v="#N/A"/>
    <x v="0"/>
  </r>
  <r>
    <d v="2023-04-04T00:00:00"/>
    <x v="13"/>
    <s v="Admin/HR/IT"/>
    <s v="AMCARE NonOcc In"/>
    <s v="TEMP"/>
    <n v="200625528"/>
    <s v="Oliva,Lizbeth"/>
    <s v="Gomez Aguado,Jorge"/>
    <n v="0"/>
    <n v="0"/>
    <n v="0"/>
    <n v="0"/>
    <n v="0.14000000000000001"/>
    <e v="#N/A"/>
    <x v="83"/>
  </r>
  <r>
    <d v="2023-04-05T00:00:00"/>
    <x v="13"/>
    <s v="Admin/HR/IT"/>
    <s v="AMCARE NonOcc In"/>
    <s v="TEMP"/>
    <n v="112912007"/>
    <s v="Robledo Barrientos,Alondra"/>
    <s v="Robledo Ugarte,Alejandro"/>
    <n v="0"/>
    <n v="0"/>
    <n v="0"/>
    <n v="0"/>
    <n v="0.65"/>
    <e v="#N/A"/>
    <x v="0"/>
  </r>
  <r>
    <d v="2023-04-05T00:00:00"/>
    <x v="13"/>
    <s v="Admin/HR/IT"/>
    <s v="AMCARE NonOcc In"/>
    <s v="AMZN"/>
    <n v="112912753"/>
    <s v="Padilla Abrego,Selene"/>
    <s v="Piedra,Valentina"/>
    <n v="0"/>
    <n v="0"/>
    <n v="0"/>
    <n v="0"/>
    <n v="0.27"/>
    <e v="#N/A"/>
    <x v="0"/>
  </r>
  <r>
    <d v="2023-04-05T00:00:00"/>
    <x v="13"/>
    <s v="Admin/HR/IT"/>
    <s v="AMCARE NonOcc In"/>
    <s v="AMZN"/>
    <n v="112972523"/>
    <s v="Briones,Neto"/>
    <s v="Pizana,Diego"/>
    <n v="0"/>
    <n v="0"/>
    <n v="0"/>
    <n v="0"/>
    <n v="0.51"/>
    <e v="#N/A"/>
    <x v="0"/>
  </r>
  <r>
    <d v="2023-04-05T00:00:00"/>
    <x v="13"/>
    <s v="Admin/HR/IT"/>
    <s v="AMCARE NonOcc In"/>
    <s v="AMZN"/>
    <n v="113003635"/>
    <s v="Barron,Giovanni"/>
    <s v="Gomez,Abinadab"/>
    <n v="0"/>
    <n v="0"/>
    <n v="0"/>
    <n v="0"/>
    <n v="0.33"/>
    <e v="#N/A"/>
    <x v="118"/>
  </r>
  <r>
    <d v="2023-04-05T00:00:00"/>
    <x v="13"/>
    <s v="Admin/HR/IT"/>
    <s v="AMCARE NonOcc In"/>
    <s v="AMZN"/>
    <n v="113014081"/>
    <s v="Frausto,Genesis"/>
    <s v="Piedra,Valentina"/>
    <n v="0"/>
    <n v="0"/>
    <n v="0"/>
    <n v="0"/>
    <n v="0.16"/>
    <e v="#N/A"/>
    <x v="9"/>
  </r>
  <r>
    <d v="2023-04-05T00:00:00"/>
    <x v="13"/>
    <s v="Admin/HR/IT"/>
    <s v="AMCARE NonOcc In"/>
    <s v="AMZN"/>
    <n v="113014403"/>
    <s v="Arias Sanchez,Nora"/>
    <s v="Piedra,Valentina"/>
    <n v="0"/>
    <n v="0"/>
    <n v="0"/>
    <n v="0"/>
    <n v="1.89"/>
    <e v="#N/A"/>
    <x v="32"/>
  </r>
  <r>
    <d v="2023-04-05T00:00:00"/>
    <x v="13"/>
    <s v="Admin/HR/IT"/>
    <s v="AMCARE NonOcc In"/>
    <s v="AMZN"/>
    <n v="113018997"/>
    <s v="Rodriguez Ponce,Gaby"/>
    <s v="Gomez,Abinadab"/>
    <n v="0"/>
    <n v="0"/>
    <n v="0"/>
    <n v="0"/>
    <n v="1.18"/>
    <e v="#N/A"/>
    <x v="0"/>
  </r>
  <r>
    <d v="2023-04-05T00:00:00"/>
    <x v="13"/>
    <s v="Admin/HR/IT"/>
    <s v="AMCARE NonOcc In"/>
    <s v="AMZN"/>
    <n v="113019111"/>
    <s v="Valdespino,Kelly"/>
    <s v="Piedra,Valentina"/>
    <n v="0"/>
    <n v="0"/>
    <n v="0"/>
    <n v="0"/>
    <n v="0.37"/>
    <e v="#N/A"/>
    <x v="68"/>
  </r>
  <r>
    <d v="2023-04-05T00:00:00"/>
    <x v="13"/>
    <s v="Admin/HR/IT"/>
    <s v="AMCARE NonOcc In"/>
    <s v="AMZN"/>
    <n v="113044620"/>
    <s v="Jasso Miranda,Aldo"/>
    <s v="Corona Arriaga,Fernando"/>
    <n v="0"/>
    <n v="0"/>
    <n v="0"/>
    <n v="0"/>
    <n v="0.18"/>
    <e v="#N/A"/>
    <x v="52"/>
  </r>
  <r>
    <d v="2023-04-05T00:00:00"/>
    <x v="13"/>
    <s v="Admin/HR/IT"/>
    <s v="AMCARE NonOcc In"/>
    <s v="TEMP"/>
    <n v="200574345"/>
    <s v="Contreras,Jony"/>
    <s v="Piedra,Valentina"/>
    <n v="0"/>
    <n v="0"/>
    <n v="0"/>
    <n v="0"/>
    <n v="0.16"/>
    <e v="#N/A"/>
    <x v="54"/>
  </r>
  <r>
    <d v="2023-04-05T00:00:00"/>
    <x v="13"/>
    <s v="Admin/HR/IT"/>
    <s v="AMCARE NonOcc In"/>
    <s v="TEMP"/>
    <n v="201160146"/>
    <s v="Avila,priscila"/>
    <s v="Ledezma,Fer"/>
    <n v="0"/>
    <n v="0"/>
    <n v="0"/>
    <n v="0"/>
    <n v="0.89"/>
    <e v="#N/A"/>
    <x v="0"/>
  </r>
  <r>
    <d v="2023-04-05T00:00:00"/>
    <x v="13"/>
    <s v="Admin/HR/IT"/>
    <s v="AMCARE NonOcc In"/>
    <s v="TEMP"/>
    <n v="201185277"/>
    <s v="GamiÃ±o,Fany"/>
    <s v="Corona Arriaga,Fernando"/>
    <n v="0"/>
    <n v="0"/>
    <n v="0"/>
    <n v="0"/>
    <n v="0.33"/>
    <e v="#N/A"/>
    <x v="0"/>
  </r>
  <r>
    <d v="2023-04-05T00:00:00"/>
    <x v="13"/>
    <s v="Admin/HR/IT"/>
    <s v="AMCARE NonOcc In"/>
    <s v="TEMP"/>
    <n v="201186777"/>
    <s v="Monzon,Berenice"/>
    <s v="Madrid Molina,Ramon"/>
    <n v="0"/>
    <n v="0"/>
    <n v="0"/>
    <n v="0"/>
    <n v="0.32"/>
    <e v="#N/A"/>
    <x v="107"/>
  </r>
  <r>
    <d v="2023-04-06T00:00:00"/>
    <x v="13"/>
    <s v="Admin/HR/IT"/>
    <s v="AMCARE NonOcc In"/>
    <s v="AMZN"/>
    <n v="112912049"/>
    <s v="Vazquez Rodriguez,Christian"/>
    <s v="Pizana,Diego"/>
    <n v="0"/>
    <n v="0"/>
    <n v="0"/>
    <n v="0"/>
    <n v="0.14000000000000001"/>
    <s v="NF-X1900"/>
    <x v="60"/>
  </r>
  <r>
    <d v="2023-04-06T00:00:00"/>
    <x v="13"/>
    <s v="Admin/HR/IT"/>
    <s v="AMCARE NonOcc In"/>
    <s v="AMZN"/>
    <n v="112912753"/>
    <s v="Padilla Abrego,Selene"/>
    <s v="Piedra,Valentina"/>
    <n v="0"/>
    <n v="0"/>
    <n v="0"/>
    <n v="0"/>
    <n v="1.05"/>
    <e v="#N/A"/>
    <x v="0"/>
  </r>
  <r>
    <d v="2023-04-06T00:00:00"/>
    <x v="13"/>
    <s v="Admin/HR/IT"/>
    <s v="AMCARE NonOcc In"/>
    <s v="AMZN"/>
    <n v="112971962"/>
    <s v="Reyes  Montes de oca,Alejandra"/>
    <s v="Ledezma,Fer"/>
    <n v="0"/>
    <n v="0"/>
    <n v="0"/>
    <n v="0"/>
    <n v="0.3"/>
    <s v="DB-X0700"/>
    <x v="26"/>
  </r>
  <r>
    <d v="2023-04-06T00:00:00"/>
    <x v="13"/>
    <s v="Admin/HR/IT"/>
    <s v="AMCARE NonOcc In"/>
    <s v="AMZN"/>
    <n v="112972524"/>
    <s v="Santibanez Garcia,Luisa"/>
    <s v="Rosas Negrete,Sebastian"/>
    <n v="0"/>
    <n v="0"/>
    <n v="0"/>
    <n v="0"/>
    <n v="1.41"/>
    <s v="DB-X0700"/>
    <x v="15"/>
  </r>
  <r>
    <d v="2023-04-06T00:00:00"/>
    <x v="13"/>
    <s v="Admin/HR/IT"/>
    <s v="AMCARE NonOcc In"/>
    <s v="AMZN"/>
    <n v="112980812"/>
    <s v="Jacobo,Mary"/>
    <s v="Romero Sanchez,Gustavo Gabriel"/>
    <n v="0"/>
    <n v="0"/>
    <n v="0"/>
    <n v="0"/>
    <n v="0.13"/>
    <s v="DA-X0700"/>
    <x v="24"/>
  </r>
  <r>
    <d v="2023-04-06T00:00:00"/>
    <x v="13"/>
    <s v="Admin/HR/IT"/>
    <s v="AMCARE NonOcc In"/>
    <s v="AMZN"/>
    <n v="112991248"/>
    <s v="Cabrera Velazquez,Sandy"/>
    <s v="Romero Sanchez,Gustavo Gabriel"/>
    <n v="0"/>
    <n v="0"/>
    <n v="0"/>
    <n v="0"/>
    <n v="0.1"/>
    <e v="#N/A"/>
    <x v="0"/>
  </r>
  <r>
    <d v="2023-04-06T00:00:00"/>
    <x v="13"/>
    <s v="Admin/HR/IT"/>
    <s v="AMCARE NonOcc In"/>
    <s v="AMZN"/>
    <n v="113003679"/>
    <s v="Ibarra,Jose"/>
    <s v="Madrid Molina,Ramon"/>
    <n v="0"/>
    <n v="0"/>
    <n v="0"/>
    <n v="0"/>
    <n v="0.16"/>
    <e v="#N/A"/>
    <x v="0"/>
  </r>
  <r>
    <d v="2023-04-06T00:00:00"/>
    <x v="13"/>
    <s v="Admin/HR/IT"/>
    <s v="AMCARE NonOcc In"/>
    <s v="TEMP"/>
    <n v="200509428"/>
    <s v="Guevara Ramirez,Zayra Lorena"/>
    <s v="Corona Arriaga,Fernando"/>
    <n v="0"/>
    <n v="0"/>
    <n v="0"/>
    <n v="0"/>
    <n v="0.62"/>
    <e v="#N/A"/>
    <x v="0"/>
  </r>
  <r>
    <d v="2023-04-06T00:00:00"/>
    <x v="13"/>
    <s v="Admin/HR/IT"/>
    <s v="AMCARE NonOcc In"/>
    <s v="TEMP"/>
    <n v="200534675"/>
    <s v="Munoz Macias,Juan Pablo"/>
    <s v="Ledezma,Fer"/>
    <n v="0"/>
    <n v="0"/>
    <n v="0"/>
    <n v="0"/>
    <n v="0.12"/>
    <e v="#N/A"/>
    <x v="69"/>
  </r>
  <r>
    <d v="2023-04-06T00:00:00"/>
    <x v="13"/>
    <s v="Admin/HR/IT"/>
    <s v="AMCARE NonOcc In"/>
    <s v="TEMP"/>
    <n v="200574345"/>
    <s v="Contreras,Jony"/>
    <s v="Piedra,Valentina"/>
    <n v="0"/>
    <n v="0"/>
    <n v="0"/>
    <n v="0"/>
    <n v="0.15"/>
    <e v="#N/A"/>
    <x v="54"/>
  </r>
  <r>
    <d v="2023-04-06T00:00:00"/>
    <x v="13"/>
    <s v="Admin/HR/IT"/>
    <s v="AMCARE NonOcc In"/>
    <s v="TEMP"/>
    <n v="201165769"/>
    <s v="Puente,Karen"/>
    <s v="Gomez Aguado,Jorge"/>
    <n v="0"/>
    <n v="0"/>
    <n v="0"/>
    <n v="0"/>
    <n v="0.09"/>
    <e v="#N/A"/>
    <x v="113"/>
  </r>
  <r>
    <d v="2023-04-06T00:00:00"/>
    <x v="13"/>
    <s v="Admin/HR/IT"/>
    <s v="AMCARE NonOcc In"/>
    <s v="TEMP"/>
    <n v="201205615"/>
    <s v="Tavares,Jorge"/>
    <s v="Robledo Ugarte,Alejandro"/>
    <n v="0"/>
    <n v="0"/>
    <n v="0"/>
    <n v="0"/>
    <n v="0.14000000000000001"/>
    <e v="#N/A"/>
    <x v="0"/>
  </r>
  <r>
    <d v="2023-04-07T00:00:00"/>
    <x v="13"/>
    <s v="Admin/HR/IT"/>
    <s v="AMCARE NonOcc In"/>
    <s v="AMZN"/>
    <n v="112920655"/>
    <s v="Diaz de LeÃ³n,Paola"/>
    <s v="Pizana,Diego"/>
    <n v="0"/>
    <n v="0"/>
    <n v="0"/>
    <n v="0"/>
    <n v="0.65"/>
    <e v="#N/A"/>
    <x v="0"/>
  </r>
  <r>
    <d v="2023-04-07T00:00:00"/>
    <x v="13"/>
    <s v="Admin/HR/IT"/>
    <s v="AMCARE NonOcc In"/>
    <s v="AMZN"/>
    <n v="112920666"/>
    <s v="Rocha,Jose"/>
    <s v="Cortes,Alejandra"/>
    <n v="0"/>
    <n v="0"/>
    <n v="0"/>
    <n v="0"/>
    <n v="0.15"/>
    <s v="D5-X0700"/>
    <x v="3"/>
  </r>
  <r>
    <d v="2023-04-07T00:00:00"/>
    <x v="13"/>
    <s v="Admin/HR/IT"/>
    <s v="AMCARE NonOcc In"/>
    <s v="AMZN"/>
    <n v="112972958"/>
    <s v="Gonzalez Gonzalez,Antonio"/>
    <s v="Cortes,Alejandra"/>
    <n v="0"/>
    <n v="0"/>
    <n v="0"/>
    <n v="0"/>
    <n v="0.4"/>
    <s v="D5-X0700"/>
    <x v="44"/>
  </r>
  <r>
    <d v="2023-04-07T00:00:00"/>
    <x v="13"/>
    <s v="Admin/HR/IT"/>
    <s v="AMCARE NonOcc In"/>
    <s v="AMZN"/>
    <n v="113014470"/>
    <s v="Aguilar Ibarra,Lupe"/>
    <s v="Corona Arriaga,Fernando"/>
    <n v="0"/>
    <n v="0"/>
    <n v="0"/>
    <n v="0"/>
    <n v="0.79"/>
    <e v="#N/A"/>
    <x v="30"/>
  </r>
  <r>
    <d v="2023-04-07T00:00:00"/>
    <x v="13"/>
    <s v="Admin/HR/IT"/>
    <s v="AMCARE NonOcc In"/>
    <s v="TEMP"/>
    <n v="200563038"/>
    <s v="Arias,Elizabeth"/>
    <s v="Madrid Molina,Ramon"/>
    <n v="0"/>
    <n v="0"/>
    <n v="0"/>
    <n v="0"/>
    <n v="0.15"/>
    <e v="#N/A"/>
    <x v="124"/>
  </r>
  <r>
    <d v="2023-04-07T00:00:00"/>
    <x v="13"/>
    <s v="Admin/HR/IT"/>
    <s v="AMCARE NonOcc In"/>
    <s v="TEMP"/>
    <n v="200625339"/>
    <s v="Alcantar Mendez,Diego"/>
    <s v="Madrid Molina,Ramon"/>
    <n v="0"/>
    <n v="0"/>
    <n v="0"/>
    <n v="0"/>
    <n v="0.36"/>
    <e v="#N/A"/>
    <x v="0"/>
  </r>
  <r>
    <d v="2023-04-07T00:00:00"/>
    <x v="13"/>
    <s v="Admin/HR/IT"/>
    <s v="AMCARE NonOcc In"/>
    <s v="TEMP"/>
    <n v="201186621"/>
    <s v="Puga,Enrique"/>
    <s v="Romero Sanchez,Gustavo Gabriel"/>
    <n v="0"/>
    <n v="0"/>
    <n v="0"/>
    <n v="0"/>
    <n v="0.11"/>
    <e v="#N/A"/>
    <x v="0"/>
  </r>
  <r>
    <d v="2023-04-08T00:00:00"/>
    <x v="13"/>
    <s v="Admin/HR/IT"/>
    <s v="AMCARE NonOcc In"/>
    <s v="AMZN"/>
    <n v="112912675"/>
    <s v="Alejandri Villagomez,Alejandra"/>
    <s v="Gomez,Abinadab"/>
    <n v="0"/>
    <n v="0"/>
    <n v="0"/>
    <n v="0"/>
    <n v="0.15"/>
    <e v="#N/A"/>
    <x v="0"/>
  </r>
  <r>
    <d v="2023-04-08T00:00:00"/>
    <x v="13"/>
    <s v="Admin/HR/IT"/>
    <s v="AMCARE NonOcc In"/>
    <s v="AMZN"/>
    <n v="112920655"/>
    <s v="Diaz de LeÃ³n,Paola"/>
    <s v="Pizana,Diego"/>
    <n v="0"/>
    <n v="0"/>
    <n v="0"/>
    <n v="0"/>
    <n v="1.62"/>
    <e v="#N/A"/>
    <x v="0"/>
  </r>
  <r>
    <d v="2023-04-08T00:00:00"/>
    <x v="13"/>
    <s v="Admin/HR/IT"/>
    <s v="AMCARE NonOcc In"/>
    <s v="AMZN"/>
    <n v="113018997"/>
    <s v="Rodriguez Ponce,Gaby"/>
    <s v="Gomez,Abinadab"/>
    <n v="0"/>
    <n v="0"/>
    <n v="0"/>
    <n v="0"/>
    <n v="0.37"/>
    <e v="#N/A"/>
    <x v="0"/>
  </r>
  <r>
    <d v="2023-04-08T00:00:00"/>
    <x v="13"/>
    <s v="Admin/HR/IT"/>
    <s v="AMCARE NonOcc In"/>
    <s v="TEMP"/>
    <n v="200562154"/>
    <s v="Reyes Muniz,Cristian"/>
    <s v="Gomez,Abinadab"/>
    <n v="0"/>
    <n v="0"/>
    <n v="0"/>
    <n v="0"/>
    <n v="0.88"/>
    <e v="#N/A"/>
    <x v="42"/>
  </r>
  <r>
    <d v="2023-04-08T00:00:00"/>
    <x v="13"/>
    <s v="Admin/HR/IT"/>
    <s v="AMCARE NonOcc In"/>
    <s v="TEMP"/>
    <n v="200564845"/>
    <s v="Barron,Abraham"/>
    <s v="Madrid Molina,Ramon"/>
    <n v="0"/>
    <n v="0"/>
    <n v="0"/>
    <n v="0"/>
    <n v="0.91"/>
    <e v="#N/A"/>
    <x v="0"/>
  </r>
  <r>
    <d v="2023-04-08T00:00:00"/>
    <x v="13"/>
    <s v="Admin/HR/IT"/>
    <s v="AMCARE NonOcc In"/>
    <s v="TEMP"/>
    <n v="200589316"/>
    <s v="Torres Zuniga,Daniel"/>
    <s v="Madrid Molina,Ramon"/>
    <n v="0"/>
    <n v="0"/>
    <n v="0"/>
    <n v="0"/>
    <n v="0.42"/>
    <e v="#N/A"/>
    <x v="0"/>
  </r>
  <r>
    <d v="2023-04-08T00:00:00"/>
    <x v="13"/>
    <s v="Admin/HR/IT"/>
    <s v="AMCARE NonOcc In"/>
    <s v="TEMP"/>
    <n v="201158953"/>
    <s v="Martinez,Alicia"/>
    <s v="Gomez,Abinadab"/>
    <n v="0"/>
    <n v="0"/>
    <n v="0"/>
    <n v="0"/>
    <n v="0.25"/>
    <e v="#N/A"/>
    <x v="0"/>
  </r>
  <r>
    <d v="2023-04-08T00:00:00"/>
    <x v="13"/>
    <s v="Admin/HR/IT"/>
    <s v="AMCARE NonOcc In"/>
    <s v="TEMP"/>
    <n v="201194285"/>
    <s v="Robledo,Alma"/>
    <s v="Ledezma,Fer"/>
    <n v="0"/>
    <n v="0"/>
    <n v="0"/>
    <n v="0"/>
    <n v="0.24"/>
    <e v="#N/A"/>
    <x v="0"/>
  </r>
  <r>
    <d v="2023-04-09T00:00:00"/>
    <x v="14"/>
    <s v="Admin/HR/IT"/>
    <s v="AMCARE NonOcc In"/>
    <s v="AMZN"/>
    <n v="111434478"/>
    <s v="Gutierrez,Pame"/>
    <s v="Garcia Espejel,Brenda Victoria"/>
    <n v="0"/>
    <n v="0"/>
    <n v="0"/>
    <n v="0"/>
    <n v="0.08"/>
    <s v="DA-X0700"/>
    <x v="23"/>
  </r>
  <r>
    <d v="2023-04-09T00:00:00"/>
    <x v="14"/>
    <s v="Admin/HR/IT"/>
    <s v="AMCARE NonOcc In"/>
    <s v="AMZN"/>
    <n v="112698209"/>
    <s v="Ramirez Ramirez,Diana Cecilia"/>
    <s v="Garcia Espejel,Brenda Victoria"/>
    <n v="0"/>
    <n v="0"/>
    <n v="0"/>
    <n v="0"/>
    <n v="0"/>
    <s v="DA-X0700"/>
    <x v="125"/>
  </r>
  <r>
    <d v="2023-04-09T00:00:00"/>
    <x v="14"/>
    <s v="Admin/HR/IT"/>
    <s v="AMCARE NonOcc In"/>
    <s v="AMZN"/>
    <n v="112912752"/>
    <s v="Valderrama Gomez,Leslie"/>
    <s v="Gomez,Abinadab"/>
    <n v="0"/>
    <n v="0"/>
    <n v="0"/>
    <n v="0"/>
    <n v="0.55000000000000004"/>
    <s v="NF-X1900"/>
    <x v="5"/>
  </r>
  <r>
    <d v="2023-04-09T00:00:00"/>
    <x v="14"/>
    <s v="Admin/HR/IT"/>
    <s v="AMCARE NonOcc In"/>
    <s v="AMZN"/>
    <n v="112980844"/>
    <s v="Padilla,Samantha"/>
    <s v="Gomez,Abinadab"/>
    <n v="0"/>
    <n v="0"/>
    <n v="0"/>
    <n v="0"/>
    <n v="0.27"/>
    <s v="DA-X0700"/>
    <x v="2"/>
  </r>
  <r>
    <d v="2023-04-09T00:00:00"/>
    <x v="14"/>
    <s v="Admin/HR/IT"/>
    <s v="AMCARE NonOcc In"/>
    <s v="TEMP"/>
    <n v="201160146"/>
    <s v="Avila,priscila"/>
    <s v="Ledezma,Fer"/>
    <n v="0"/>
    <n v="0"/>
    <n v="0"/>
    <n v="0"/>
    <n v="0.2"/>
    <e v="#N/A"/>
    <x v="0"/>
  </r>
  <r>
    <d v="2023-04-09T00:00:00"/>
    <x v="14"/>
    <s v="Admin/HR/IT"/>
    <s v="AMCARE NonOcc In"/>
    <s v="TEMP"/>
    <n v="201165769"/>
    <s v="Puente,Karen"/>
    <s v="Piedra,Valentina"/>
    <n v="0"/>
    <n v="0"/>
    <n v="0"/>
    <n v="0"/>
    <n v="0.22"/>
    <e v="#N/A"/>
    <x v="113"/>
  </r>
  <r>
    <d v="2023-04-09T00:00:00"/>
    <x v="14"/>
    <s v="Admin/HR/IT"/>
    <s v="AMCARE NonOcc In"/>
    <s v="TEMP"/>
    <n v="201201993"/>
    <s v="Olmos,Lucia"/>
    <s v="Piedra,Valentina"/>
    <n v="0"/>
    <n v="0"/>
    <n v="0"/>
    <n v="0"/>
    <n v="0.75"/>
    <e v="#N/A"/>
    <x v="0"/>
  </r>
  <r>
    <d v="2023-04-10T00:00:00"/>
    <x v="14"/>
    <s v="Admin/HR/IT"/>
    <s v="AMCARE NonOcc In"/>
    <s v="AMZN"/>
    <n v="112912008"/>
    <s v="Espinosa,Consuelo"/>
    <s v="Rosas Negrete,Sebastian"/>
    <n v="0"/>
    <n v="0"/>
    <n v="0"/>
    <n v="0"/>
    <n v="1.92"/>
    <e v="#N/A"/>
    <x v="0"/>
  </r>
  <r>
    <d v="2023-04-10T00:00:00"/>
    <x v="14"/>
    <s v="Admin/HR/IT"/>
    <s v="AMCARE NonOcc In"/>
    <s v="AMZN"/>
    <n v="112912745"/>
    <s v="Gomez Meza,Alex"/>
    <s v="Gomez,Abinadab"/>
    <n v="0"/>
    <n v="0"/>
    <n v="0"/>
    <n v="0"/>
    <n v="1.01"/>
    <s v="DA-X0700"/>
    <x v="55"/>
  </r>
  <r>
    <d v="2023-04-10T00:00:00"/>
    <x v="14"/>
    <s v="Admin/HR/IT"/>
    <s v="AMCARE NonOcc In"/>
    <s v="AMZN"/>
    <n v="112912752"/>
    <s v="Valderrama Gomez,Leslie"/>
    <s v="Gomez,Abinadab"/>
    <n v="0"/>
    <n v="0"/>
    <n v="0"/>
    <n v="0"/>
    <n v="0.21"/>
    <s v="NF-X1900"/>
    <x v="5"/>
  </r>
  <r>
    <d v="2023-04-10T00:00:00"/>
    <x v="14"/>
    <s v="Admin/HR/IT"/>
    <s v="AMCARE NonOcc In"/>
    <s v="AMZN"/>
    <n v="112980878"/>
    <s v="Romero Escobar,Gerardo"/>
    <s v="Romero Sanchez,Gustavo Gabriel"/>
    <n v="0"/>
    <n v="0"/>
    <n v="0"/>
    <n v="0"/>
    <n v="1.41"/>
    <e v="#N/A"/>
    <x v="0"/>
  </r>
  <r>
    <d v="2023-04-10T00:00:00"/>
    <x v="14"/>
    <s v="Admin/HR/IT"/>
    <s v="AMCARE NonOcc In"/>
    <s v="AMZN"/>
    <n v="112981013"/>
    <s v="Lopez Neri,Norma"/>
    <s v="Gomez,Abinadab"/>
    <n v="0"/>
    <n v="0"/>
    <n v="0"/>
    <n v="0"/>
    <n v="3.06"/>
    <s v="DA-X0700"/>
    <x v="12"/>
  </r>
  <r>
    <d v="2023-04-10T00:00:00"/>
    <x v="14"/>
    <s v="Admin/HR/IT"/>
    <s v="AMCARE NonOcc In"/>
    <s v="AMZN"/>
    <n v="113014470"/>
    <s v="Aguilar Ibarra,Lupe"/>
    <s v="Robledo Ugarte,Alejandro"/>
    <n v="0"/>
    <n v="0"/>
    <n v="0"/>
    <n v="0"/>
    <n v="0.25"/>
    <e v="#N/A"/>
    <x v="30"/>
  </r>
  <r>
    <d v="2023-04-10T00:00:00"/>
    <x v="14"/>
    <s v="Admin/HR/IT"/>
    <s v="AMCARE NonOcc In"/>
    <s v="AMZN"/>
    <n v="113019042"/>
    <s v="Gallegos Godinez,Eloy"/>
    <s v="Romero Sanchez,Gustavo Gabriel"/>
    <n v="0"/>
    <n v="0"/>
    <n v="0"/>
    <n v="0"/>
    <n v="0.33"/>
    <e v="#N/A"/>
    <x v="0"/>
  </r>
  <r>
    <d v="2023-04-10T00:00:00"/>
    <x v="14"/>
    <s v="Admin/HR/IT"/>
    <s v="AMCARE NonOcc In"/>
    <s v="AMZN"/>
    <n v="113019111"/>
    <s v="Valdespino,Kelly"/>
    <s v="Romero Sanchez,Gustavo Gabriel"/>
    <n v="0"/>
    <n v="0"/>
    <n v="0"/>
    <n v="0"/>
    <n v="0.16"/>
    <e v="#N/A"/>
    <x v="68"/>
  </r>
  <r>
    <d v="2023-04-10T00:00:00"/>
    <x v="14"/>
    <s v="Admin/HR/IT"/>
    <s v="AMCARE NonOcc In"/>
    <s v="TEMP"/>
    <n v="200526598"/>
    <s v="Tellez Nunez,Enrique"/>
    <s v="Madrid Molina,Ramon"/>
    <n v="0"/>
    <n v="0"/>
    <n v="0"/>
    <n v="0"/>
    <n v="0.28999999999999998"/>
    <e v="#N/A"/>
    <x v="0"/>
  </r>
  <r>
    <d v="2023-04-10T00:00:00"/>
    <x v="14"/>
    <s v="Admin/HR/IT"/>
    <s v="AMCARE NonOcc In"/>
    <s v="TEMP"/>
    <n v="200562154"/>
    <s v="Reyes Muniz,Cristian"/>
    <s v="Corona Arriaga,Fernando"/>
    <n v="0"/>
    <n v="0"/>
    <n v="0"/>
    <n v="0"/>
    <n v="0.12"/>
    <e v="#N/A"/>
    <x v="42"/>
  </r>
  <r>
    <d v="2023-04-10T00:00:00"/>
    <x v="14"/>
    <s v="Admin/HR/IT"/>
    <s v="AMCARE NonOcc In"/>
    <s v="TEMP"/>
    <n v="200574345"/>
    <s v="Contreras,Jony"/>
    <s v="Romero Sanchez,Gustavo Gabriel"/>
    <n v="0"/>
    <n v="0"/>
    <n v="0"/>
    <n v="0"/>
    <n v="0.33"/>
    <e v="#N/A"/>
    <x v="54"/>
  </r>
  <r>
    <d v="2023-04-10T00:00:00"/>
    <x v="14"/>
    <s v="Admin/HR/IT"/>
    <s v="AMCARE NonOcc In"/>
    <s v="TEMP"/>
    <n v="201186299"/>
    <s v="GonzÃ¡lez,Martin"/>
    <s v="Robledo Ugarte,Alejandro"/>
    <n v="0"/>
    <n v="0"/>
    <n v="0"/>
    <n v="0"/>
    <n v="0.23"/>
    <e v="#N/A"/>
    <x v="0"/>
  </r>
  <r>
    <d v="2023-04-10T00:00:00"/>
    <x v="14"/>
    <s v="Admin/HR/IT"/>
    <s v="AMCARE NonOcc In"/>
    <s v="TEMP"/>
    <n v="201198169"/>
    <s v="Alvarado,Jose"/>
    <s v="Romero Sanchez,Gustavo Gabriel"/>
    <n v="0"/>
    <n v="0"/>
    <n v="0"/>
    <n v="0"/>
    <n v="0.8"/>
    <e v="#N/A"/>
    <x v="0"/>
  </r>
  <r>
    <d v="2023-04-10T00:00:00"/>
    <x v="14"/>
    <s v="Admin/HR/IT"/>
    <s v="AMCARE NonOcc In"/>
    <s v="TEMP"/>
    <n v="201201993"/>
    <s v="Olmos,Lucia"/>
    <s v="Piedra,Valentina"/>
    <n v="0"/>
    <n v="0"/>
    <n v="0"/>
    <n v="0"/>
    <n v="0.17"/>
    <e v="#N/A"/>
    <x v="0"/>
  </r>
  <r>
    <d v="2023-04-11T00:00:00"/>
    <x v="14"/>
    <s v="Admin/HR/IT"/>
    <s v="AMCARE NonOcc In"/>
    <s v="AMZN"/>
    <n v="112912049"/>
    <s v="Vazquez Rodriguez,Christian"/>
    <s v="Pizana,Diego"/>
    <n v="0"/>
    <n v="0"/>
    <n v="0"/>
    <n v="0"/>
    <n v="0.25"/>
    <s v="NF-X1900"/>
    <x v="60"/>
  </r>
  <r>
    <d v="2023-04-11T00:00:00"/>
    <x v="14"/>
    <s v="Admin/HR/IT"/>
    <s v="AMCARE NonOcc In"/>
    <s v="AMZN"/>
    <n v="112912464"/>
    <s v="Garcia Nicasio,Luis"/>
    <s v="Cortes,Alejandra"/>
    <n v="0"/>
    <n v="0"/>
    <n v="0"/>
    <n v="0"/>
    <n v="0.41"/>
    <e v="#N/A"/>
    <x v="0"/>
  </r>
  <r>
    <d v="2023-04-11T00:00:00"/>
    <x v="14"/>
    <s v="Admin/HR/IT"/>
    <s v="AMCARE NonOcc In"/>
    <s v="AMZN"/>
    <n v="112912745"/>
    <s v="Gomez Meza,Alex"/>
    <s v="Gomez,Abinadab"/>
    <n v="0"/>
    <n v="0"/>
    <n v="0"/>
    <n v="0"/>
    <n v="0.02"/>
    <s v="DA-X0700"/>
    <x v="55"/>
  </r>
  <r>
    <d v="2023-04-11T00:00:00"/>
    <x v="14"/>
    <s v="Admin/HR/IT"/>
    <s v="AMCARE NonOcc In"/>
    <s v="AMZN"/>
    <n v="112912752"/>
    <s v="Valderrama Gomez,Leslie"/>
    <s v="Gomez,Abinadab"/>
    <n v="0"/>
    <n v="0"/>
    <n v="0"/>
    <n v="0"/>
    <n v="0.11"/>
    <s v="NF-X1900"/>
    <x v="5"/>
  </r>
  <r>
    <d v="2023-04-11T00:00:00"/>
    <x v="14"/>
    <s v="Admin/HR/IT"/>
    <s v="AMCARE NonOcc In"/>
    <s v="AMZN"/>
    <n v="112912753"/>
    <s v="Padilla Abrego,Selene"/>
    <s v="Romero Sanchez,Gustavo Gabriel"/>
    <n v="0"/>
    <n v="0"/>
    <n v="0"/>
    <n v="0"/>
    <n v="0.43"/>
    <e v="#N/A"/>
    <x v="0"/>
  </r>
  <r>
    <d v="2023-04-11T00:00:00"/>
    <x v="14"/>
    <s v="Admin/HR/IT"/>
    <s v="AMCARE NonOcc In"/>
    <s v="TEMP"/>
    <n v="112950796"/>
    <s v="Garcia,Janeth"/>
    <s v="Gomez,Abinadab"/>
    <n v="0"/>
    <n v="0"/>
    <n v="0"/>
    <n v="0"/>
    <n v="0.88"/>
    <e v="#N/A"/>
    <x v="0"/>
  </r>
  <r>
    <d v="2023-04-11T00:00:00"/>
    <x v="14"/>
    <s v="Admin/HR/IT"/>
    <s v="AMCARE NonOcc In"/>
    <s v="AMZN"/>
    <n v="112981196"/>
    <s v="Gomez,Andrea"/>
    <s v="Piedra,Valentina"/>
    <n v="0"/>
    <n v="0"/>
    <n v="0"/>
    <n v="0"/>
    <n v="0.36"/>
    <e v="#N/A"/>
    <x v="22"/>
  </r>
  <r>
    <d v="2023-04-11T00:00:00"/>
    <x v="14"/>
    <s v="Admin/HR/IT"/>
    <s v="AMCARE NonOcc In"/>
    <s v="AMZN"/>
    <n v="113003631"/>
    <s v="Ortega,Elizabeth"/>
    <s v="Piedra,Valentina"/>
    <n v="0"/>
    <n v="0"/>
    <n v="0"/>
    <n v="0"/>
    <n v="0.13"/>
    <e v="#N/A"/>
    <x v="0"/>
  </r>
  <r>
    <d v="2023-04-11T00:00:00"/>
    <x v="14"/>
    <s v="Admin/HR/IT"/>
    <s v="AMCARE NonOcc In"/>
    <s v="AMZN"/>
    <n v="113014113"/>
    <s v="Sanchez Villegas,Benjamin"/>
    <s v="Robledo Ugarte,Alejandro"/>
    <n v="0"/>
    <n v="0"/>
    <n v="0"/>
    <n v="0"/>
    <n v="0.56999999999999995"/>
    <e v="#N/A"/>
    <x v="0"/>
  </r>
  <r>
    <d v="2023-04-11T00:00:00"/>
    <x v="14"/>
    <s v="Admin/HR/IT"/>
    <s v="AMCARE NonOcc In"/>
    <s v="AMZN"/>
    <n v="200404250"/>
    <s v="Hurtado,Caty"/>
    <s v="Romero Sanchez,Gustavo Gabriel"/>
    <n v="0"/>
    <n v="0"/>
    <n v="0"/>
    <n v="0"/>
    <n v="1.1100000000000001"/>
    <e v="#N/A"/>
    <x v="6"/>
  </r>
  <r>
    <d v="2023-04-11T00:00:00"/>
    <x v="14"/>
    <s v="Admin/HR/IT"/>
    <s v="AMCARE NonOcc In"/>
    <s v="TEMP"/>
    <n v="200625528"/>
    <s v="Oliva,Lizbeth"/>
    <s v="Piedra,Valentina"/>
    <n v="0"/>
    <n v="0"/>
    <n v="0"/>
    <n v="0"/>
    <n v="0.17"/>
    <e v="#N/A"/>
    <x v="83"/>
  </r>
  <r>
    <d v="2023-04-11T00:00:00"/>
    <x v="14"/>
    <s v="Admin/HR/IT"/>
    <s v="AMCARE NonOcc In"/>
    <s v="TEMP"/>
    <n v="201158953"/>
    <s v="Martinez,Alicia"/>
    <s v="Corona Arriaga,Fernando"/>
    <n v="0"/>
    <n v="0"/>
    <n v="0"/>
    <n v="0"/>
    <n v="0.16"/>
    <e v="#N/A"/>
    <x v="0"/>
  </r>
  <r>
    <d v="2023-04-12T00:00:00"/>
    <x v="14"/>
    <s v="Admin/HR/IT"/>
    <s v="AMCARE NonOcc In"/>
    <s v="AMZN"/>
    <n v="111434478"/>
    <s v="Gutierrez,Pame"/>
    <s v="Garcia Espejel,Brenda Victoria"/>
    <n v="0"/>
    <n v="0"/>
    <n v="0"/>
    <n v="0"/>
    <n v="0.52"/>
    <s v="DA-X0700"/>
    <x v="23"/>
  </r>
  <r>
    <d v="2023-04-12T00:00:00"/>
    <x v="14"/>
    <s v="Admin/HR/IT"/>
    <s v="AMCARE NonOcc In"/>
    <s v="AMZN"/>
    <n v="112912675"/>
    <s v="Alejandri Villagomez,Alejandra"/>
    <s v="Gomez,Abinadab"/>
    <n v="0"/>
    <n v="0"/>
    <n v="0"/>
    <n v="0"/>
    <n v="0.37"/>
    <e v="#N/A"/>
    <x v="0"/>
  </r>
  <r>
    <d v="2023-04-12T00:00:00"/>
    <x v="14"/>
    <s v="Admin/HR/IT"/>
    <s v="AMCARE NonOcc In"/>
    <s v="AMZN"/>
    <n v="112951256"/>
    <s v="Ramirez Vallejo,Kateryne"/>
    <s v="Camarena,Grecia"/>
    <n v="0"/>
    <n v="0"/>
    <n v="0"/>
    <n v="0"/>
    <n v="0.2"/>
    <s v="DA-X0700"/>
    <x v="27"/>
  </r>
  <r>
    <d v="2023-04-12T00:00:00"/>
    <x v="14"/>
    <s v="Admin/HR/IT"/>
    <s v="AMCARE NonOcc In"/>
    <s v="AMZN"/>
    <n v="112971953"/>
    <s v="Aguirre Palomino,Ana"/>
    <s v="Pizana,Diego"/>
    <n v="0"/>
    <n v="0"/>
    <n v="0"/>
    <n v="0"/>
    <n v="0.67"/>
    <s v="DB-X0700"/>
    <x v="7"/>
  </r>
  <r>
    <d v="2023-04-12T00:00:00"/>
    <x v="14"/>
    <s v="Admin/HR/IT"/>
    <s v="AMCARE NonOcc In"/>
    <s v="AMZN"/>
    <n v="112981013"/>
    <s v="Lopez Neri,Norma"/>
    <s v="Robledo Ugarte,Alejandro"/>
    <n v="0"/>
    <n v="0"/>
    <n v="0"/>
    <n v="0"/>
    <n v="0.1"/>
    <s v="DA-X0700"/>
    <x v="12"/>
  </r>
  <r>
    <d v="2023-04-12T00:00:00"/>
    <x v="14"/>
    <s v="Admin/HR/IT"/>
    <s v="AMCARE NonOcc In"/>
    <s v="AMZN"/>
    <n v="113014011"/>
    <s v="Robledo Barrientos,Logan"/>
    <s v="Piedra,Valentina"/>
    <n v="0"/>
    <n v="0"/>
    <n v="0"/>
    <n v="0"/>
    <n v="1.47"/>
    <e v="#N/A"/>
    <x v="0"/>
  </r>
  <r>
    <d v="2023-04-12T00:00:00"/>
    <x v="14"/>
    <s v="Admin/HR/IT"/>
    <s v="AMCARE NonOcc In"/>
    <s v="AMZN"/>
    <n v="113014113"/>
    <s v="Sanchez Villegas,Benjamin"/>
    <s v="Corona Arriaga,Fernando"/>
    <n v="0"/>
    <n v="0"/>
    <n v="0"/>
    <n v="0"/>
    <n v="0.63"/>
    <e v="#N/A"/>
    <x v="0"/>
  </r>
  <r>
    <d v="2023-04-12T00:00:00"/>
    <x v="14"/>
    <s v="Admin/HR/IT"/>
    <s v="AMCARE NonOcc In"/>
    <s v="AMZN"/>
    <n v="113052151"/>
    <s v="Nieves Mendez,Laura"/>
    <s v="Ledezma,Fer"/>
    <n v="0"/>
    <n v="0"/>
    <n v="0"/>
    <n v="0"/>
    <n v="0.17"/>
    <e v="#N/A"/>
    <x v="56"/>
  </r>
  <r>
    <d v="2023-04-12T00:00:00"/>
    <x v="14"/>
    <s v="Admin/HR/IT"/>
    <s v="AMCARE NonOcc In"/>
    <s v="AMZN"/>
    <n v="113101453"/>
    <s v="Isaac,Geovanna"/>
    <s v="Corona Arriaga,Fernando"/>
    <n v="0"/>
    <n v="0"/>
    <n v="0"/>
    <n v="0"/>
    <n v="2.84"/>
    <e v="#N/A"/>
    <x v="4"/>
  </r>
  <r>
    <d v="2023-04-12T00:00:00"/>
    <x v="14"/>
    <s v="Admin/HR/IT"/>
    <s v="AMCARE NonOcc In"/>
    <s v="AMZN"/>
    <n v="200404250"/>
    <s v="Hurtado,Caty"/>
    <s v="Piedra,Valentina"/>
    <n v="0"/>
    <n v="0"/>
    <n v="0"/>
    <n v="0"/>
    <n v="0.38"/>
    <e v="#N/A"/>
    <x v="6"/>
  </r>
  <r>
    <d v="2023-04-12T00:00:00"/>
    <x v="14"/>
    <s v="Admin/HR/IT"/>
    <s v="AMCARE NonOcc In"/>
    <s v="TEMP"/>
    <n v="200508315"/>
    <s v="Herrera,Aldair"/>
    <s v="Romero Sanchez,Gustavo Gabriel"/>
    <n v="0"/>
    <n v="0"/>
    <n v="0"/>
    <n v="0"/>
    <n v="0.98"/>
    <e v="#N/A"/>
    <x v="41"/>
  </r>
  <r>
    <d v="2023-04-12T00:00:00"/>
    <x v="14"/>
    <s v="Admin/HR/IT"/>
    <s v="AMCARE NonOcc In"/>
    <s v="TEMP"/>
    <n v="200509428"/>
    <s v="Guevara Ramirez,Zayra Lorena"/>
    <s v="Corona Arriaga,Fernando"/>
    <n v="0"/>
    <n v="0"/>
    <n v="0"/>
    <n v="0"/>
    <n v="0.09"/>
    <e v="#N/A"/>
    <x v="0"/>
  </r>
  <r>
    <d v="2023-04-12T00:00:00"/>
    <x v="14"/>
    <s v="Admin/HR/IT"/>
    <s v="AMCARE NonOcc In"/>
    <s v="TEMP"/>
    <n v="200562868"/>
    <s v="Martinez Alvarez,Arturo"/>
    <s v="Gomez Aguado,Jorge"/>
    <n v="0"/>
    <n v="0"/>
    <n v="0"/>
    <n v="0"/>
    <n v="0.28999999999999998"/>
    <e v="#N/A"/>
    <x v="0"/>
  </r>
  <r>
    <d v="2023-04-12T00:00:00"/>
    <x v="14"/>
    <s v="Admin/HR/IT"/>
    <s v="AMCARE NonOcc In"/>
    <s v="TEMP"/>
    <n v="200620341"/>
    <s v="Camacho Ramirez,Carlos"/>
    <s v="Gomez Aguado,Jorge"/>
    <n v="0"/>
    <n v="0"/>
    <n v="0"/>
    <n v="0"/>
    <n v="0.67"/>
    <e v="#N/A"/>
    <x v="0"/>
  </r>
  <r>
    <d v="2023-04-12T00:00:00"/>
    <x v="14"/>
    <s v="Admin/HR/IT"/>
    <s v="AMCARE NonOcc In"/>
    <s v="TEMP"/>
    <n v="200625517"/>
    <s v="RamÃ­rez,Miranda"/>
    <s v="Corona Arriaga,Fernando"/>
    <n v="0"/>
    <n v="0"/>
    <n v="0"/>
    <n v="0"/>
    <n v="0.2"/>
    <e v="#N/A"/>
    <x v="0"/>
  </r>
  <r>
    <d v="2023-04-12T00:00:00"/>
    <x v="14"/>
    <s v="Admin/HR/IT"/>
    <s v="AMCARE NonOcc In"/>
    <s v="TEMP"/>
    <n v="201191390"/>
    <s v="GarcÃ­a,jesus"/>
    <s v="Romero Sanchez,Gustavo Gabriel"/>
    <n v="0"/>
    <n v="0"/>
    <n v="0"/>
    <n v="0"/>
    <n v="0.24"/>
    <e v="#N/A"/>
    <x v="116"/>
  </r>
  <r>
    <d v="2023-04-12T00:00:00"/>
    <x v="14"/>
    <s v="Admin/HR/IT"/>
    <s v="AMCARE NonOcc In"/>
    <s v="AMZN"/>
    <n v="111188907"/>
    <s v="Espina Miranda,Estrella"/>
    <s v="Rosas Negrete,Sebastian"/>
    <n v="0"/>
    <n v="0"/>
    <n v="0"/>
    <n v="0"/>
    <n v="1.01"/>
    <e v="#N/A"/>
    <x v="0"/>
  </r>
  <r>
    <d v="2023-04-13T00:00:00"/>
    <x v="14"/>
    <s v="Admin/HR/IT"/>
    <s v="AMCARE NonOcc In"/>
    <s v="AMZN"/>
    <n v="112912052"/>
    <s v="Ortiz Cedeno,Omar"/>
    <s v="Cortes,Alejandra"/>
    <n v="0"/>
    <n v="0"/>
    <n v="0"/>
    <n v="0"/>
    <n v="0.17"/>
    <s v="DB-X0700"/>
    <x v="111"/>
  </r>
  <r>
    <d v="2023-04-13T00:00:00"/>
    <x v="14"/>
    <s v="Admin/HR/IT"/>
    <s v="AMCARE NonOcc In"/>
    <s v="AMZN"/>
    <n v="112912983"/>
    <s v="RodrÃ­guez,RocÃ­o"/>
    <s v="Camarena,Grecia"/>
    <n v="0"/>
    <n v="0"/>
    <n v="0"/>
    <n v="0"/>
    <n v="0.26"/>
    <s v="NF-X1900"/>
    <x v="75"/>
  </r>
  <r>
    <d v="2023-04-13T00:00:00"/>
    <x v="14"/>
    <s v="Admin/HR/IT"/>
    <s v="AMCARE NonOcc In"/>
    <s v="AMZN"/>
    <n v="112916534"/>
    <s v="Esparza Sanchez,Areli"/>
    <s v="Gomez,Abinadab"/>
    <n v="0"/>
    <n v="0"/>
    <n v="0"/>
    <n v="0"/>
    <n v="0.3"/>
    <s v="DB-X0700"/>
    <x v="40"/>
  </r>
  <r>
    <d v="2023-04-13T00:00:00"/>
    <x v="14"/>
    <s v="Admin/HR/IT"/>
    <s v="AMCARE NonOcc In"/>
    <s v="AMZN"/>
    <n v="112951256"/>
    <s v="Ramirez Vallejo,Kateryne"/>
    <s v="Camarena,Grecia"/>
    <n v="0"/>
    <n v="0"/>
    <n v="0"/>
    <n v="0"/>
    <n v="0.09"/>
    <s v="DA-X0700"/>
    <x v="27"/>
  </r>
  <r>
    <d v="2023-04-13T00:00:00"/>
    <x v="14"/>
    <s v="Admin/HR/IT"/>
    <s v="AMCARE NonOcc In"/>
    <s v="AMZN"/>
    <n v="112971953"/>
    <s v="Aguirre Palomino,Ana"/>
    <s v="Pizana,Diego"/>
    <n v="0"/>
    <n v="0"/>
    <n v="0"/>
    <n v="0"/>
    <n v="1.05"/>
    <s v="DB-X0700"/>
    <x v="7"/>
  </r>
  <r>
    <d v="2023-04-13T00:00:00"/>
    <x v="14"/>
    <s v="Admin/HR/IT"/>
    <s v="AMCARE NonOcc In"/>
    <s v="AMZN"/>
    <n v="112981061"/>
    <s v="Olguin,Claudia"/>
    <s v="Corona Arriaga,Fernando"/>
    <n v="0"/>
    <n v="0"/>
    <n v="0"/>
    <n v="0"/>
    <n v="0.38"/>
    <s v="DA-X0700"/>
    <x v="11"/>
  </r>
  <r>
    <d v="2023-04-13T00:00:00"/>
    <x v="14"/>
    <s v="Admin/HR/IT"/>
    <s v="AMCARE NonOcc In"/>
    <s v="AMZN"/>
    <n v="112981196"/>
    <s v="Gomez,Andrea"/>
    <s v="Gomez Aguado,Jorge"/>
    <n v="0"/>
    <n v="0"/>
    <n v="0"/>
    <n v="0"/>
    <n v="0.14000000000000001"/>
    <e v="#N/A"/>
    <x v="22"/>
  </r>
  <r>
    <d v="2023-04-13T00:00:00"/>
    <x v="14"/>
    <s v="Admin/HR/IT"/>
    <s v="AMCARE NonOcc In"/>
    <s v="AMZN"/>
    <n v="112981212"/>
    <s v="Zanella Miranda,Alyson"/>
    <s v="Corona Arriaga,Fernando"/>
    <n v="0"/>
    <n v="0"/>
    <n v="0"/>
    <n v="0"/>
    <n v="1.63"/>
    <e v="#N/A"/>
    <x v="77"/>
  </r>
  <r>
    <d v="2023-04-13T00:00:00"/>
    <x v="14"/>
    <s v="Admin/HR/IT"/>
    <s v="AMCARE NonOcc In"/>
    <s v="AMZN"/>
    <n v="112981221"/>
    <s v="Perez Ramirez,Cesar"/>
    <s v="Piedra,Valentina"/>
    <n v="0"/>
    <n v="0"/>
    <n v="0"/>
    <n v="0"/>
    <n v="0.19"/>
    <e v="#N/A"/>
    <x v="79"/>
  </r>
  <r>
    <d v="2023-04-13T00:00:00"/>
    <x v="14"/>
    <s v="Admin/HR/IT"/>
    <s v="AMCARE NonOcc In"/>
    <s v="AMZN"/>
    <n v="113014036"/>
    <s v="Rodriguez Alcaraz,ToÃ±o"/>
    <s v="Corona Arriaga,Fernando"/>
    <n v="0"/>
    <n v="0"/>
    <n v="0"/>
    <n v="0"/>
    <n v="0.73"/>
    <e v="#N/A"/>
    <x v="98"/>
  </r>
  <r>
    <d v="2023-04-13T00:00:00"/>
    <x v="14"/>
    <s v="Admin/HR/IT"/>
    <s v="AMCARE NonOcc In"/>
    <s v="AMZN"/>
    <n v="113018997"/>
    <s v="Rodriguez Ponce,Gaby"/>
    <s v="Gomez,Abinadab"/>
    <n v="0"/>
    <n v="0"/>
    <n v="0"/>
    <n v="0"/>
    <n v="1.63"/>
    <e v="#N/A"/>
    <x v="0"/>
  </r>
  <r>
    <d v="2023-04-13T00:00:00"/>
    <x v="14"/>
    <s v="Admin/HR/IT"/>
    <s v="AMCARE NonOcc In"/>
    <s v="AMZN"/>
    <n v="113019042"/>
    <s v="Gallegos Godinez,Eloy"/>
    <s v="Piedra,Valentina"/>
    <n v="0"/>
    <n v="0"/>
    <n v="0"/>
    <n v="0"/>
    <n v="0.14000000000000001"/>
    <e v="#N/A"/>
    <x v="0"/>
  </r>
  <r>
    <d v="2023-04-13T00:00:00"/>
    <x v="14"/>
    <s v="Admin/HR/IT"/>
    <s v="AMCARE NonOcc In"/>
    <s v="AMZN"/>
    <n v="200404250"/>
    <s v="Hurtado,Caty"/>
    <s v="Piedra,Valentina"/>
    <n v="0"/>
    <n v="0"/>
    <n v="0"/>
    <n v="0"/>
    <n v="0.67"/>
    <e v="#N/A"/>
    <x v="6"/>
  </r>
  <r>
    <d v="2023-04-13T00:00:00"/>
    <x v="14"/>
    <s v="Admin/HR/IT"/>
    <s v="AMCARE NonOcc In"/>
    <s v="TEMP"/>
    <n v="200525168"/>
    <s v="Morales,Oscar"/>
    <s v="Ledezma,Fer"/>
    <n v="0"/>
    <n v="0"/>
    <n v="0"/>
    <n v="0"/>
    <n v="0.16"/>
    <e v="#N/A"/>
    <x v="0"/>
  </r>
  <r>
    <d v="2023-04-13T00:00:00"/>
    <x v="14"/>
    <s v="Admin/HR/IT"/>
    <s v="AMCARE NonOcc In"/>
    <s v="TEMP"/>
    <n v="200526598"/>
    <s v="Tellez Nunez,Enrique"/>
    <s v="Romero Sanchez,Gustavo Gabriel"/>
    <n v="0"/>
    <n v="0"/>
    <n v="0"/>
    <n v="0"/>
    <n v="0.16"/>
    <e v="#N/A"/>
    <x v="0"/>
  </r>
  <r>
    <d v="2023-04-13T00:00:00"/>
    <x v="14"/>
    <s v="Admin/HR/IT"/>
    <s v="AMCARE NonOcc In"/>
    <s v="TEMP"/>
    <n v="200589316"/>
    <s v="Torres Zuniga,Daniel"/>
    <s v="Madrid Molina,Ramon"/>
    <n v="0"/>
    <n v="0"/>
    <n v="0"/>
    <n v="0"/>
    <n v="0.14000000000000001"/>
    <e v="#N/A"/>
    <x v="0"/>
  </r>
  <r>
    <d v="2023-04-13T00:00:00"/>
    <x v="14"/>
    <s v="Admin/HR/IT"/>
    <s v="AMCARE NonOcc In"/>
    <s v="TEMP"/>
    <n v="201158953"/>
    <s v="Martinez,Alicia"/>
    <s v="Gomez,Abinadab"/>
    <n v="0"/>
    <n v="0"/>
    <n v="0"/>
    <n v="0"/>
    <n v="0.76"/>
    <e v="#N/A"/>
    <x v="0"/>
  </r>
  <r>
    <d v="2023-04-13T00:00:00"/>
    <x v="14"/>
    <s v="Admin/HR/IT"/>
    <s v="AMCARE NonOcc In"/>
    <s v="TEMP"/>
    <n v="201186621"/>
    <s v="Puga,Enrique"/>
    <s v="Romero Sanchez,Gustavo Gabriel"/>
    <n v="0"/>
    <n v="0"/>
    <n v="0"/>
    <n v="0"/>
    <n v="0.52"/>
    <e v="#N/A"/>
    <x v="0"/>
  </r>
  <r>
    <d v="2023-04-13T00:00:00"/>
    <x v="14"/>
    <s v="Admin/HR/IT"/>
    <s v="AMCARE NonOcc In"/>
    <s v="TEMP"/>
    <n v="201195217"/>
    <s v="Aguirre,Omar"/>
    <s v="Ledezma,Fer"/>
    <n v="0"/>
    <n v="0"/>
    <n v="0"/>
    <n v="0"/>
    <n v="0.45"/>
    <e v="#N/A"/>
    <x v="126"/>
  </r>
  <r>
    <d v="2023-04-14T00:00:00"/>
    <x v="14"/>
    <s v="Admin/HR/IT"/>
    <s v="AMCARE NonOcc In"/>
    <s v="AMZN"/>
    <n v="112972801"/>
    <s v="Garcia,Rea"/>
    <s v="Camarena,Grecia"/>
    <n v="0"/>
    <n v="0"/>
    <n v="0"/>
    <n v="0"/>
    <n v="0.12"/>
    <e v="#N/A"/>
    <x v="0"/>
  </r>
  <r>
    <d v="2023-04-14T00:00:00"/>
    <x v="14"/>
    <s v="Admin/HR/IT"/>
    <s v="AMCARE NonOcc In"/>
    <s v="AMZN"/>
    <n v="112972958"/>
    <s v="Gonzalez Gonzalez,Antonio"/>
    <s v="Cortes,Alejandra"/>
    <n v="0"/>
    <n v="0"/>
    <n v="0"/>
    <n v="0"/>
    <n v="0.94"/>
    <s v="D5-X0700"/>
    <x v="44"/>
  </r>
  <r>
    <d v="2023-04-14T00:00:00"/>
    <x v="14"/>
    <s v="Admin/HR/IT"/>
    <s v="AMCARE NonOcc In"/>
    <s v="AMZN"/>
    <n v="113052151"/>
    <s v="Nieves Mendez,Laura"/>
    <s v="Ledezma,Fer"/>
    <n v="0"/>
    <n v="0"/>
    <n v="0"/>
    <n v="0"/>
    <n v="0.2"/>
    <e v="#N/A"/>
    <x v="56"/>
  </r>
  <r>
    <d v="2023-04-14T00:00:00"/>
    <x v="14"/>
    <s v="Admin/HR/IT"/>
    <s v="AMCARE NonOcc In"/>
    <s v="TEMP"/>
    <n v="200589316"/>
    <s v="Torres Zuniga,Daniel"/>
    <s v="Madrid Molina,Ramon"/>
    <n v="0"/>
    <n v="0"/>
    <n v="0"/>
    <n v="0"/>
    <n v="0.23"/>
    <e v="#N/A"/>
    <x v="0"/>
  </r>
  <r>
    <d v="2023-04-14T00:00:00"/>
    <x v="14"/>
    <s v="Admin/HR/IT"/>
    <s v="AMCARE NonOcc In"/>
    <s v="TEMP"/>
    <n v="201186621"/>
    <s v="Puga,Enrique"/>
    <s v="Romero Sanchez,Gustavo Gabriel"/>
    <n v="0"/>
    <n v="0"/>
    <n v="0"/>
    <n v="0"/>
    <n v="0.23"/>
    <e v="#N/A"/>
    <x v="0"/>
  </r>
  <r>
    <d v="2023-04-14T00:00:00"/>
    <x v="14"/>
    <s v="Admin/HR/IT"/>
    <s v="AMCARE NonOcc In"/>
    <s v="TEMP"/>
    <n v="201194285"/>
    <s v="Robledo,Alma"/>
    <s v="Ledezma,Fer"/>
    <n v="0"/>
    <n v="0"/>
    <n v="0"/>
    <n v="0"/>
    <n v="0.21"/>
    <e v="#N/A"/>
    <x v="0"/>
  </r>
  <r>
    <d v="2023-04-14T00:00:00"/>
    <x v="14"/>
    <s v="Admin/HR/IT"/>
    <s v="AMCARE NonOcc In"/>
    <s v="TEMP"/>
    <n v="201198890"/>
    <s v="Gomez,Karla"/>
    <s v="Gomez,Abinadab"/>
    <n v="0"/>
    <n v="0"/>
    <n v="0"/>
    <n v="0"/>
    <n v="1.29"/>
    <e v="#N/A"/>
    <x v="0"/>
  </r>
  <r>
    <d v="2023-04-15T00:00:00"/>
    <x v="14"/>
    <s v="Admin/HR/IT"/>
    <s v="AMCARE NonOcc In"/>
    <s v="AMZN"/>
    <n v="112972608"/>
    <s v="Hernandez Romo,Sam"/>
    <s v="Pizana,Diego"/>
    <n v="0"/>
    <n v="0"/>
    <n v="0"/>
    <n v="0"/>
    <n v="0.22"/>
    <e v="#N/A"/>
    <x v="0"/>
  </r>
  <r>
    <d v="2023-04-15T00:00:00"/>
    <x v="14"/>
    <s v="Admin/HR/IT"/>
    <s v="AMCARE NonOcc In"/>
    <s v="AMZN"/>
    <n v="113003674"/>
    <s v="Gasca Vazquez,Carlos"/>
    <s v="Gomez,Abinadab"/>
    <n v="0"/>
    <n v="0"/>
    <n v="0"/>
    <n v="0"/>
    <n v="0.1"/>
    <e v="#N/A"/>
    <x v="106"/>
  </r>
  <r>
    <d v="2023-04-15T00:00:00"/>
    <x v="14"/>
    <s v="Admin/HR/IT"/>
    <s v="AMCARE NonOcc In"/>
    <s v="AMZN"/>
    <n v="113052151"/>
    <s v="Nieves Mendez,Laura"/>
    <s v="Ledezma,Fer"/>
    <n v="0"/>
    <n v="0"/>
    <n v="0"/>
    <n v="0"/>
    <n v="0.13"/>
    <e v="#N/A"/>
    <x v="56"/>
  </r>
  <r>
    <d v="2023-04-15T00:00:00"/>
    <x v="14"/>
    <s v="Admin/HR/IT"/>
    <s v="AMCARE NonOcc In"/>
    <s v="TEMP"/>
    <n v="200564845"/>
    <s v="Barron,Abraham"/>
    <s v="Madrid Molina,Ramon"/>
    <n v="0"/>
    <n v="0"/>
    <n v="0"/>
    <n v="0"/>
    <n v="0.13"/>
    <e v="#N/A"/>
    <x v="0"/>
  </r>
  <r>
    <d v="2023-04-15T00:00:00"/>
    <x v="14"/>
    <s v="Admin/HR/IT"/>
    <s v="AMCARE NonOcc In"/>
    <s v="TEMP"/>
    <n v="200585084"/>
    <s v="Villafranca,Tessa"/>
    <s v="Ledezma,Fer"/>
    <n v="0"/>
    <n v="0"/>
    <n v="0"/>
    <n v="0"/>
    <n v="0.32"/>
    <e v="#N/A"/>
    <x v="58"/>
  </r>
  <r>
    <d v="2023-04-15T00:00:00"/>
    <x v="14"/>
    <s v="Admin/HR/IT"/>
    <s v="AMCARE NonOcc In"/>
    <s v="TEMP"/>
    <n v="200589316"/>
    <s v="Torres Zuniga,Daniel"/>
    <s v="Madrid Molina,Ramon"/>
    <n v="0"/>
    <n v="0"/>
    <n v="0"/>
    <n v="0"/>
    <n v="0.08"/>
    <e v="#N/A"/>
    <x v="0"/>
  </r>
  <r>
    <d v="2023-04-15T00:00:00"/>
    <x v="14"/>
    <s v="Admin/HR/IT"/>
    <s v="AMCARE NonOcc In"/>
    <s v="TEMP"/>
    <n v="200614224"/>
    <s v="Cruz Hernandez,Cris"/>
    <s v="Ledezma,Fer"/>
    <n v="0"/>
    <n v="0"/>
    <n v="0"/>
    <n v="0"/>
    <n v="0.22"/>
    <e v="#N/A"/>
    <x v="0"/>
  </r>
  <r>
    <d v="2023-04-15T00:00:00"/>
    <x v="14"/>
    <s v="Admin/HR/IT"/>
    <s v="AMCARE NonOcc In"/>
    <s v="TEMP"/>
    <n v="201185633"/>
    <s v="Lopez,Lety"/>
    <s v="Gomez,Abinadab"/>
    <n v="0"/>
    <n v="0"/>
    <n v="0"/>
    <n v="0"/>
    <n v="0.28000000000000003"/>
    <e v="#N/A"/>
    <x v="0"/>
  </r>
  <r>
    <d v="2023-04-15T00:00:00"/>
    <x v="14"/>
    <s v="Admin/HR/IT"/>
    <s v="AMCARE NonOcc In"/>
    <s v="TEMP"/>
    <n v="201212196"/>
    <s v="Juarez,Angel"/>
    <s v="Ledezma,Fer"/>
    <n v="0"/>
    <n v="0"/>
    <n v="0"/>
    <n v="0"/>
    <n v="0.14000000000000001"/>
    <e v="#N/A"/>
    <x v="0"/>
  </r>
  <r>
    <d v="2023-04-16T00:00:00"/>
    <x v="15"/>
    <s v="Admin/HR/IT"/>
    <s v="AMCARE NonOcc In"/>
    <s v="AMZN"/>
    <n v="106386523"/>
    <s v="Martinez,Leonardo"/>
    <s v="Piedra,Valentina"/>
    <n v="0"/>
    <n v="0"/>
    <n v="0"/>
    <n v="0"/>
    <n v="0.11"/>
    <e v="#N/A"/>
    <x v="0"/>
  </r>
  <r>
    <d v="2023-04-16T00:00:00"/>
    <x v="15"/>
    <s v="Admin/HR/IT"/>
    <s v="AMCARE NonOcc In"/>
    <s v="AMZN"/>
    <n v="111434478"/>
    <s v="Gutierrez,Pame"/>
    <s v="Garcia Espejel,Brenda Victoria"/>
    <n v="0"/>
    <n v="0"/>
    <n v="0"/>
    <n v="0"/>
    <n v="0.56000000000000005"/>
    <s v="DA-X0700"/>
    <x v="23"/>
  </r>
  <r>
    <d v="2023-04-16T00:00:00"/>
    <x v="15"/>
    <s v="Admin/HR/IT"/>
    <s v="AMCARE NonOcc In"/>
    <s v="AMZN"/>
    <n v="112912752"/>
    <s v="Valderrama Gomez,Leslie"/>
    <s v="Gomez,Abinadab"/>
    <n v="0"/>
    <n v="0"/>
    <n v="0"/>
    <n v="0"/>
    <n v="0.5"/>
    <s v="NF-X1900"/>
    <x v="5"/>
  </r>
  <r>
    <d v="2023-04-16T00:00:00"/>
    <x v="15"/>
    <s v="Admin/HR/IT"/>
    <s v="AMCARE NonOcc In"/>
    <s v="AMZN"/>
    <n v="113019001"/>
    <s v="Lozano Hernandez,Donny"/>
    <s v="Gomez,Abinadab"/>
    <n v="0"/>
    <n v="0"/>
    <n v="0"/>
    <n v="0"/>
    <n v="0.11"/>
    <e v="#N/A"/>
    <x v="48"/>
  </r>
  <r>
    <d v="2023-04-16T00:00:00"/>
    <x v="15"/>
    <s v="Admin/HR/IT"/>
    <s v="AMCARE NonOcc In"/>
    <s v="AMZN"/>
    <n v="200404250"/>
    <s v="Hurtado,Caty"/>
    <s v="Romero Sanchez,Gustavo Gabriel"/>
    <n v="0"/>
    <n v="0"/>
    <n v="0"/>
    <n v="0"/>
    <n v="0.25"/>
    <e v="#N/A"/>
    <x v="6"/>
  </r>
  <r>
    <d v="2023-04-16T00:00:00"/>
    <x v="15"/>
    <s v="Admin/HR/IT"/>
    <s v="AMCARE NonOcc In"/>
    <s v="TEMP"/>
    <n v="200625528"/>
    <s v="Oliva,Lizbeth"/>
    <s v="Piedra,Valentina"/>
    <n v="0"/>
    <n v="0"/>
    <n v="0"/>
    <n v="0"/>
    <n v="0.3"/>
    <e v="#N/A"/>
    <x v="83"/>
  </r>
  <r>
    <d v="2023-04-16T00:00:00"/>
    <x v="15"/>
    <s v="Admin/HR/IT"/>
    <s v="AMCARE NonOcc In"/>
    <s v="TEMP"/>
    <n v="201195217"/>
    <s v="Aguirre,Omar"/>
    <s v="Ledezma,Fer"/>
    <n v="0"/>
    <n v="0"/>
    <n v="0"/>
    <n v="0"/>
    <n v="2.11"/>
    <e v="#N/A"/>
    <x v="126"/>
  </r>
  <r>
    <d v="2023-04-16T00:00:00"/>
    <x v="15"/>
    <s v="Admin/HR/IT"/>
    <s v="AMCARE NonOcc In"/>
    <s v="TEMP"/>
    <n v="201198979"/>
    <s v="Mendoza,Omar"/>
    <s v="Piedra,Valentina"/>
    <n v="0"/>
    <n v="0"/>
    <n v="0"/>
    <n v="0"/>
    <n v="0.31"/>
    <e v="#N/A"/>
    <x v="0"/>
  </r>
  <r>
    <d v="2023-04-16T00:00:00"/>
    <x v="15"/>
    <s v="Admin/HR/IT"/>
    <s v="AMCARE NonOcc In"/>
    <s v="TEMP"/>
    <n v="201201993"/>
    <s v="Olmos,Lucia"/>
    <s v="Piedra,Valentina"/>
    <n v="0"/>
    <n v="0"/>
    <n v="0"/>
    <n v="0"/>
    <n v="0.11"/>
    <e v="#N/A"/>
    <x v="0"/>
  </r>
  <r>
    <d v="2023-04-16T00:00:00"/>
    <x v="15"/>
    <s v="Admin/HR/IT"/>
    <s v="AMCARE NonOcc In"/>
    <s v="TEMP"/>
    <n v="201295530"/>
    <s v="HernÃ¡ndez,Isaura"/>
    <s v="Hernandez Padilla,Daniel"/>
    <n v="0"/>
    <n v="0"/>
    <n v="0"/>
    <n v="0"/>
    <n v="0.53"/>
    <e v="#N/A"/>
    <x v="0"/>
  </r>
  <r>
    <d v="2023-04-17T00:00:00"/>
    <x v="15"/>
    <s v="Admin/HR/IT"/>
    <s v="AMCARE NonOcc In"/>
    <s v="AMZN"/>
    <n v="112912752"/>
    <s v="Valderrama Gomez,Leslie"/>
    <s v="Gomez,Abinadab"/>
    <n v="0"/>
    <n v="0"/>
    <n v="0"/>
    <n v="0"/>
    <n v="0.31"/>
    <s v="NF-X1900"/>
    <x v="5"/>
  </r>
  <r>
    <d v="2023-04-17T00:00:00"/>
    <x v="15"/>
    <s v="Admin/HR/IT"/>
    <s v="AMCARE NonOcc In"/>
    <s v="AMZN"/>
    <n v="112972710"/>
    <s v="Cortes Elias,Jessica"/>
    <s v="Camarena,Grecia"/>
    <n v="0"/>
    <n v="0"/>
    <n v="0"/>
    <n v="0"/>
    <n v="0.13"/>
    <s v="DX-X0700"/>
    <x v="45"/>
  </r>
  <r>
    <d v="2023-04-17T00:00:00"/>
    <x v="15"/>
    <s v="Admin/HR/IT"/>
    <s v="AMCARE NonOcc In"/>
    <s v="AMZN"/>
    <n v="112980844"/>
    <s v="Padilla,Samantha"/>
    <s v="Gomez,Abinadab"/>
    <n v="0"/>
    <n v="0"/>
    <n v="0"/>
    <n v="0"/>
    <n v="0.2"/>
    <s v="DA-X0700"/>
    <x v="2"/>
  </r>
  <r>
    <d v="2023-04-17T00:00:00"/>
    <x v="15"/>
    <s v="Admin/HR/IT"/>
    <s v="AMCARE NonOcc In"/>
    <s v="TEMP"/>
    <n v="113013981"/>
    <s v="Espinosa,Ali"/>
    <s v="Gomez,Abinadab"/>
    <n v="0"/>
    <n v="0"/>
    <n v="0"/>
    <n v="0"/>
    <n v="7.0000000000000007E-2"/>
    <e v="#N/A"/>
    <x v="0"/>
  </r>
  <r>
    <d v="2023-04-17T00:00:00"/>
    <x v="15"/>
    <s v="Admin/HR/IT"/>
    <s v="AMCARE NonOcc In"/>
    <s v="AMZN"/>
    <n v="113014403"/>
    <s v="Arias Sanchez,Nora"/>
    <s v="Romero Sanchez,Gustavo Gabriel"/>
    <n v="0"/>
    <n v="0"/>
    <n v="0"/>
    <n v="0"/>
    <n v="0.17"/>
    <e v="#N/A"/>
    <x v="32"/>
  </r>
  <r>
    <d v="2023-04-17T00:00:00"/>
    <x v="15"/>
    <s v="Admin/HR/IT"/>
    <s v="AMCARE NonOcc In"/>
    <s v="AMZN"/>
    <n v="113014592"/>
    <s v="Picazo,Brenda"/>
    <s v="Romero Sanchez,Gustavo Gabriel"/>
    <n v="0"/>
    <n v="0"/>
    <n v="0"/>
    <n v="0"/>
    <n v="0.18"/>
    <e v="#N/A"/>
    <x v="127"/>
  </r>
  <r>
    <d v="2023-04-17T00:00:00"/>
    <x v="15"/>
    <s v="Admin/HR/IT"/>
    <s v="AMCARE NonOcc In"/>
    <s v="AMZN"/>
    <n v="113040582"/>
    <s v="HDZ,DEMON"/>
    <s v="Robledo Ugarte,Alejandro"/>
    <n v="0"/>
    <n v="0"/>
    <n v="0"/>
    <n v="0"/>
    <n v="0.63"/>
    <e v="#N/A"/>
    <x v="63"/>
  </r>
  <r>
    <d v="2023-04-17T00:00:00"/>
    <x v="15"/>
    <s v="Admin/HR/IT"/>
    <s v="AMCARE NonOcc In"/>
    <s v="AMZN"/>
    <n v="113101453"/>
    <s v="Isaac,Geovanna"/>
    <s v="Robledo Ugarte,Alejandro"/>
    <n v="0"/>
    <n v="0"/>
    <n v="0"/>
    <n v="0"/>
    <n v="0.05"/>
    <e v="#N/A"/>
    <x v="4"/>
  </r>
  <r>
    <d v="2023-04-17T00:00:00"/>
    <x v="15"/>
    <s v="Admin/HR/IT"/>
    <s v="AMCARE NonOcc In"/>
    <s v="AMZN"/>
    <n v="200404250"/>
    <s v="Hurtado,Caty"/>
    <s v="Romero Sanchez,Gustavo Gabriel"/>
    <n v="0"/>
    <n v="0"/>
    <n v="0"/>
    <n v="0"/>
    <n v="0.51"/>
    <e v="#N/A"/>
    <x v="6"/>
  </r>
  <r>
    <d v="2023-04-17T00:00:00"/>
    <x v="15"/>
    <s v="Admin/HR/IT"/>
    <s v="AMCARE NonOcc In"/>
    <s v="TEMP"/>
    <n v="201198979"/>
    <s v="Mendoza,Omar"/>
    <s v="Piedra,Valentina"/>
    <n v="0"/>
    <n v="0"/>
    <n v="0"/>
    <n v="0"/>
    <n v="0.41"/>
    <e v="#N/A"/>
    <x v="0"/>
  </r>
  <r>
    <d v="2023-04-17T00:00:00"/>
    <x v="15"/>
    <s v="Admin/HR/IT"/>
    <s v="AMCARE NonOcc In"/>
    <s v="TEMP"/>
    <n v="201201993"/>
    <s v="Olmos,Lucia"/>
    <s v="Piedra,Valentina"/>
    <n v="0"/>
    <n v="0"/>
    <n v="0"/>
    <n v="0"/>
    <n v="2.42"/>
    <e v="#N/A"/>
    <x v="0"/>
  </r>
  <r>
    <d v="2023-04-17T00:00:00"/>
    <x v="15"/>
    <s v="Admin/HR/IT"/>
    <s v="AMCARE NonOcc In"/>
    <s v="TEMP"/>
    <n v="201295555"/>
    <s v="Ibarra,Jorge Orlando"/>
    <s v="Hernandez Padilla,Daniel"/>
    <n v="0"/>
    <n v="0"/>
    <n v="0"/>
    <n v="0"/>
    <n v="0.23"/>
    <e v="#N/A"/>
    <x v="0"/>
  </r>
  <r>
    <d v="2023-04-18T00:00:00"/>
    <x v="15"/>
    <s v="Admin/HR/IT"/>
    <s v="AMCARE NonOcc In"/>
    <s v="AMZN"/>
    <n v="111434478"/>
    <s v="Gutierrez,Pame"/>
    <s v="Garcia Espejel,Brenda Victoria"/>
    <n v="0"/>
    <n v="0"/>
    <n v="0"/>
    <n v="0"/>
    <n v="0.41"/>
    <s v="DA-X0700"/>
    <x v="23"/>
  </r>
  <r>
    <d v="2023-04-18T00:00:00"/>
    <x v="15"/>
    <s v="Admin/HR/IT"/>
    <s v="AMCARE NonOcc In"/>
    <s v="AMZN"/>
    <n v="112912049"/>
    <s v="Vazquez Rodriguez,Christian"/>
    <s v="Pizana,Diego"/>
    <n v="0"/>
    <n v="0"/>
    <n v="0"/>
    <n v="0"/>
    <n v="0.76"/>
    <s v="NF-X1900"/>
    <x v="60"/>
  </r>
  <r>
    <d v="2023-04-18T00:00:00"/>
    <x v="15"/>
    <s v="Admin/HR/IT"/>
    <s v="AMCARE NonOcc In"/>
    <s v="AMZN"/>
    <n v="112912201"/>
    <s v="Castillo Falcon,Sheyla"/>
    <s v="Robledo Ugarte,Alejandro"/>
    <n v="0"/>
    <n v="0"/>
    <n v="0"/>
    <n v="0"/>
    <n v="1.4"/>
    <e v="#N/A"/>
    <x v="0"/>
  </r>
  <r>
    <d v="2023-04-18T00:00:00"/>
    <x v="15"/>
    <s v="Admin/HR/IT"/>
    <s v="AMCARE NonOcc In"/>
    <s v="AMZN"/>
    <n v="112912661"/>
    <s v="Morales Gonzalez,Francisco"/>
    <s v="Rosas Negrete,Sebastian"/>
    <n v="0"/>
    <n v="0"/>
    <n v="0"/>
    <n v="0"/>
    <n v="0.26"/>
    <s v="DA-X0700"/>
    <x v="96"/>
  </r>
  <r>
    <d v="2023-04-18T00:00:00"/>
    <x v="15"/>
    <s v="Admin/HR/IT"/>
    <s v="AMCARE NonOcc In"/>
    <s v="AMZN"/>
    <n v="112912745"/>
    <s v="Gomez Meza,Alex"/>
    <s v="Gomez,Abinadab"/>
    <n v="0"/>
    <n v="0"/>
    <n v="0"/>
    <n v="0"/>
    <n v="0.32"/>
    <s v="DA-X0700"/>
    <x v="55"/>
  </r>
  <r>
    <d v="2023-04-18T00:00:00"/>
    <x v="15"/>
    <s v="Admin/HR/IT"/>
    <s v="AMCARE NonOcc In"/>
    <s v="AMZN"/>
    <n v="112981061"/>
    <s v="Olguin,Claudia"/>
    <s v="Robledo Ugarte,Alejandro"/>
    <n v="0"/>
    <n v="0"/>
    <n v="0"/>
    <n v="0"/>
    <n v="1.48"/>
    <s v="DA-X0700"/>
    <x v="11"/>
  </r>
  <r>
    <d v="2023-04-18T00:00:00"/>
    <x v="15"/>
    <s v="Admin/HR/IT"/>
    <s v="AMCARE NonOcc In"/>
    <s v="AMZN"/>
    <n v="112981212"/>
    <s v="Zanella Miranda,Alyson"/>
    <s v="Robledo Ugarte,Alejandro"/>
    <n v="0"/>
    <n v="0"/>
    <n v="0"/>
    <n v="0"/>
    <n v="1.45"/>
    <e v="#N/A"/>
    <x v="77"/>
  </r>
  <r>
    <d v="2023-04-18T00:00:00"/>
    <x v="15"/>
    <s v="Admin/HR/IT"/>
    <s v="AMCARE NonOcc In"/>
    <s v="AMZN"/>
    <n v="113014081"/>
    <s v="Frausto,Genesis"/>
    <s v="Romero Sanchez,Gustavo Gabriel"/>
    <n v="0"/>
    <n v="0"/>
    <n v="0"/>
    <n v="0"/>
    <n v="0.48"/>
    <e v="#N/A"/>
    <x v="9"/>
  </r>
  <r>
    <d v="2023-04-18T00:00:00"/>
    <x v="15"/>
    <s v="Admin/HR/IT"/>
    <s v="AMCARE NonOcc In"/>
    <s v="AMZN"/>
    <n v="113101453"/>
    <s v="Isaac,Geovanna"/>
    <s v="Robledo Ugarte,Alejandro"/>
    <n v="0"/>
    <n v="0"/>
    <n v="0"/>
    <n v="0"/>
    <n v="0.01"/>
    <e v="#N/A"/>
    <x v="4"/>
  </r>
  <r>
    <d v="2023-04-18T00:00:00"/>
    <x v="15"/>
    <s v="Admin/HR/IT"/>
    <s v="AMCARE NonOcc In"/>
    <s v="AMZN"/>
    <n v="200404250"/>
    <s v="Hurtado,Caty"/>
    <s v="Romero Sanchez,Gustavo Gabriel"/>
    <n v="0"/>
    <n v="0"/>
    <n v="0"/>
    <n v="0"/>
    <n v="0.77"/>
    <e v="#N/A"/>
    <x v="6"/>
  </r>
  <r>
    <d v="2023-04-18T00:00:00"/>
    <x v="15"/>
    <s v="Admin/HR/IT"/>
    <s v="AMCARE NonOcc In"/>
    <s v="TEMP"/>
    <n v="200535448"/>
    <s v="Guerrero Hernandez,Silvia"/>
    <s v="Piedra,Valentina"/>
    <n v="0"/>
    <n v="0"/>
    <n v="0"/>
    <n v="0"/>
    <n v="0.28999999999999998"/>
    <e v="#N/A"/>
    <x v="0"/>
  </r>
  <r>
    <d v="2023-04-18T00:00:00"/>
    <x v="15"/>
    <s v="Admin/HR/IT"/>
    <s v="AMCARE NonOcc In"/>
    <s v="TEMP"/>
    <n v="200620341"/>
    <s v="Camacho Ramirez,Carlos"/>
    <s v="Piedra,Valentina"/>
    <n v="0"/>
    <n v="0"/>
    <n v="0"/>
    <n v="0"/>
    <n v="0.65"/>
    <e v="#N/A"/>
    <x v="0"/>
  </r>
  <r>
    <d v="2023-04-18T00:00:00"/>
    <x v="15"/>
    <s v="Admin/HR/IT"/>
    <s v="AMCARE NonOcc In"/>
    <s v="TEMP"/>
    <n v="200625528"/>
    <s v="Oliva,Lizbeth"/>
    <s v="Piedra,Valentina"/>
    <n v="0"/>
    <n v="0"/>
    <n v="0"/>
    <n v="0"/>
    <n v="0.12"/>
    <e v="#N/A"/>
    <x v="83"/>
  </r>
  <r>
    <d v="2023-04-18T00:00:00"/>
    <x v="15"/>
    <s v="Admin/HR/IT"/>
    <s v="AMCARE NonOcc In"/>
    <s v="TEMP"/>
    <n v="201172306"/>
    <s v="Valdez,CÃ©sar"/>
    <s v="Gomez,Abinadab"/>
    <n v="0"/>
    <n v="0"/>
    <n v="0"/>
    <n v="0"/>
    <n v="0.01"/>
    <e v="#N/A"/>
    <x v="128"/>
  </r>
  <r>
    <d v="2023-04-18T00:00:00"/>
    <x v="15"/>
    <s v="Admin/HR/IT"/>
    <s v="AMCARE NonOcc In"/>
    <s v="TEMP"/>
    <n v="201194285"/>
    <s v="Robledo,Alma"/>
    <s v="Ledezma,Fer"/>
    <n v="0"/>
    <n v="0"/>
    <n v="0"/>
    <n v="0"/>
    <n v="0.77"/>
    <e v="#N/A"/>
    <x v="0"/>
  </r>
  <r>
    <d v="2023-04-18T00:00:00"/>
    <x v="15"/>
    <s v="Admin/HR/IT"/>
    <s v="AMCARE NonOcc In"/>
    <s v="TEMP"/>
    <n v="201198979"/>
    <s v="Mendoza,Omar"/>
    <s v="Piedra,Valentina"/>
    <n v="0"/>
    <n v="0"/>
    <n v="0"/>
    <n v="0"/>
    <n v="0.28000000000000003"/>
    <e v="#N/A"/>
    <x v="0"/>
  </r>
  <r>
    <d v="2023-04-18T00:00:00"/>
    <x v="15"/>
    <s v="Admin/HR/IT"/>
    <s v="AMCARE NonOcc In"/>
    <s v="TEMP"/>
    <n v="201295555"/>
    <s v="Ibarra,Jorge Orlando"/>
    <s v="Hernandez Padilla,Daniel"/>
    <n v="0"/>
    <n v="0"/>
    <n v="0"/>
    <n v="0"/>
    <n v="1.74"/>
    <e v="#N/A"/>
    <x v="0"/>
  </r>
  <r>
    <d v="2023-04-19T00:00:00"/>
    <x v="15"/>
    <s v="Admin/HR/IT"/>
    <s v="AMCARE NonOcc In"/>
    <s v="AMZN"/>
    <n v="111434478"/>
    <s v="Gutierrez,Pame"/>
    <s v="Garcia Espejel,Brenda Victoria"/>
    <n v="0"/>
    <n v="0"/>
    <n v="0"/>
    <n v="0"/>
    <n v="0.73"/>
    <s v="DA-X0700"/>
    <x v="23"/>
  </r>
  <r>
    <d v="2023-04-19T00:00:00"/>
    <x v="15"/>
    <s v="Admin/HR/IT"/>
    <s v="AMCARE NonOcc In"/>
    <s v="AMZN"/>
    <n v="112912674"/>
    <s v="Rodriguez Zamora,Rocio"/>
    <s v="Garcia Espejel,Brenda Victoria"/>
    <n v="0"/>
    <n v="0"/>
    <n v="0"/>
    <n v="0"/>
    <n v="0.22"/>
    <s v="DA-X0700"/>
    <x v="101"/>
  </r>
  <r>
    <d v="2023-04-19T00:00:00"/>
    <x v="15"/>
    <s v="Admin/HR/IT"/>
    <s v="AMCARE NonOcc In"/>
    <s v="AMZN"/>
    <n v="112973049"/>
    <s v="Tavares Parra,Ely"/>
    <s v="Madrid Molina,Ramon"/>
    <n v="0"/>
    <n v="0"/>
    <n v="0"/>
    <n v="0"/>
    <n v="0.1"/>
    <s v="DB-X0700"/>
    <x v="14"/>
  </r>
  <r>
    <d v="2023-04-19T00:00:00"/>
    <x v="15"/>
    <s v="Admin/HR/IT"/>
    <s v="AMCARE NonOcc In"/>
    <s v="AMZN"/>
    <n v="112981194"/>
    <s v="Camacho Delgado,Karina"/>
    <s v="Gomez,Abinadab"/>
    <n v="0"/>
    <n v="0"/>
    <n v="0"/>
    <n v="0"/>
    <n v="0.17"/>
    <s v="NF-X1900"/>
    <x v="70"/>
  </r>
  <r>
    <d v="2023-04-19T00:00:00"/>
    <x v="15"/>
    <s v="Admin/HR/IT"/>
    <s v="AMCARE NonOcc In"/>
    <s v="AMZN"/>
    <n v="113014081"/>
    <s v="Frausto,Genesis"/>
    <s v="Romero Sanchez,Gustavo Gabriel"/>
    <n v="0"/>
    <n v="0"/>
    <n v="0"/>
    <n v="0"/>
    <n v="1.5"/>
    <e v="#N/A"/>
    <x v="9"/>
  </r>
  <r>
    <d v="2023-04-19T00:00:00"/>
    <x v="15"/>
    <s v="Admin/HR/IT"/>
    <s v="AMCARE NonOcc In"/>
    <s v="AMZN"/>
    <n v="113018997"/>
    <s v="Rodriguez Ponce,Gaby"/>
    <s v="Corona Arriaga,Fernando"/>
    <n v="0"/>
    <n v="0"/>
    <n v="0"/>
    <n v="0"/>
    <n v="0.3"/>
    <e v="#N/A"/>
    <x v="0"/>
  </r>
  <r>
    <d v="2023-04-19T00:00:00"/>
    <x v="15"/>
    <s v="Admin/HR/IT"/>
    <s v="AMCARE NonOcc In"/>
    <s v="AMZN"/>
    <n v="200404250"/>
    <s v="Hurtado,Caty"/>
    <s v="Romero Sanchez,Gustavo Gabriel"/>
    <n v="0"/>
    <n v="0"/>
    <n v="0"/>
    <n v="0"/>
    <n v="0.51"/>
    <e v="#N/A"/>
    <x v="6"/>
  </r>
  <r>
    <d v="2023-04-19T00:00:00"/>
    <x v="15"/>
    <s v="Admin/HR/IT"/>
    <s v="AMCARE NonOcc In"/>
    <s v="TEMP"/>
    <n v="200514421"/>
    <s v="Padilla Abrego,Angeles"/>
    <s v="Romero Sanchez,Gustavo Gabriel"/>
    <n v="0"/>
    <n v="0"/>
    <n v="0"/>
    <n v="0"/>
    <n v="1.31"/>
    <e v="#N/A"/>
    <x v="18"/>
  </r>
  <r>
    <d v="2023-04-19T00:00:00"/>
    <x v="15"/>
    <s v="Admin/HR/IT"/>
    <s v="AMCARE NonOcc In"/>
    <s v="TEMP"/>
    <n v="200565197"/>
    <s v="Avila,Mary"/>
    <s v="Romero Sanchez,Gustavo Gabriel"/>
    <n v="0"/>
    <n v="0"/>
    <n v="0"/>
    <n v="0"/>
    <n v="0.28999999999999998"/>
    <e v="#N/A"/>
    <x v="0"/>
  </r>
  <r>
    <d v="2023-04-19T00:00:00"/>
    <x v="15"/>
    <s v="Admin/HR/IT"/>
    <s v="AMCARE NonOcc In"/>
    <s v="TEMP"/>
    <n v="201186139"/>
    <s v="Barba,AdriÃ¡n"/>
    <s v="Gomez,Abinadab"/>
    <n v="0"/>
    <n v="0"/>
    <n v="0"/>
    <n v="0"/>
    <n v="0.12"/>
    <e v="#N/A"/>
    <x v="0"/>
  </r>
  <r>
    <d v="2023-04-19T00:00:00"/>
    <x v="15"/>
    <s v="Admin/HR/IT"/>
    <s v="AMCARE NonOcc In"/>
    <s v="TEMP"/>
    <n v="201295506"/>
    <s v="Becerra,America"/>
    <s v="Hernandez Padilla,Daniel"/>
    <n v="0"/>
    <n v="0"/>
    <n v="0"/>
    <n v="0"/>
    <n v="0.05"/>
    <e v="#N/A"/>
    <x v="0"/>
  </r>
  <r>
    <d v="2023-04-19T00:00:00"/>
    <x v="15"/>
    <s v="Admin/HR/IT"/>
    <s v="AMCARE NonOcc In"/>
    <s v="TEMP"/>
    <n v="201295530"/>
    <s v="HernÃ¡ndez,Isaura"/>
    <s v="Hernandez Padilla,Daniel"/>
    <n v="0"/>
    <n v="0"/>
    <n v="0"/>
    <n v="0"/>
    <n v="0.63"/>
    <e v="#N/A"/>
    <x v="0"/>
  </r>
  <r>
    <d v="2023-04-19T00:00:00"/>
    <x v="15"/>
    <s v="Admin/HR/IT"/>
    <s v="AMCARE NonOcc In"/>
    <s v="TEMP"/>
    <n v="201318227"/>
    <s v="Rayas,Hilda"/>
    <s v="Hernandez Padilla,Daniel"/>
    <n v="0"/>
    <n v="0"/>
    <n v="0"/>
    <n v="0"/>
    <n v="0.41"/>
    <e v="#N/A"/>
    <x v="0"/>
  </r>
  <r>
    <d v="2023-04-20T00:00:00"/>
    <x v="15"/>
    <s v="Admin/HR/IT"/>
    <s v="AMCARE NonOcc In"/>
    <s v="AMZN"/>
    <n v="112981196"/>
    <s v="Gomez,Andrea"/>
    <s v="Piedra,Valentina"/>
    <n v="0"/>
    <n v="0"/>
    <n v="0"/>
    <n v="0"/>
    <n v="0.28000000000000003"/>
    <e v="#N/A"/>
    <x v="22"/>
  </r>
  <r>
    <d v="2023-04-20T00:00:00"/>
    <x v="15"/>
    <s v="Admin/HR/IT"/>
    <s v="AMCARE NonOcc In"/>
    <s v="AMZN"/>
    <n v="113014081"/>
    <s v="Frausto,Genesis"/>
    <s v="Romero Sanchez,Gustavo Gabriel"/>
    <n v="0"/>
    <n v="0"/>
    <n v="0"/>
    <n v="0"/>
    <n v="1.24"/>
    <e v="#N/A"/>
    <x v="9"/>
  </r>
  <r>
    <d v="2023-04-20T00:00:00"/>
    <x v="15"/>
    <s v="Admin/HR/IT"/>
    <s v="AMCARE NonOcc In"/>
    <s v="AMZN"/>
    <n v="113018997"/>
    <s v="Rodriguez Ponce,Gaby"/>
    <s v="Corona Arriaga,Fernando"/>
    <n v="0"/>
    <n v="0"/>
    <n v="0"/>
    <n v="0"/>
    <n v="0.86"/>
    <e v="#N/A"/>
    <x v="0"/>
  </r>
  <r>
    <d v="2023-04-20T00:00:00"/>
    <x v="15"/>
    <s v="Admin/HR/IT"/>
    <s v="AMCARE NonOcc In"/>
    <s v="AMZN"/>
    <n v="200404250"/>
    <s v="Hurtado,Caty"/>
    <s v="Romero Sanchez,Gustavo Gabriel"/>
    <n v="0"/>
    <n v="0"/>
    <n v="0"/>
    <n v="0"/>
    <n v="0.44"/>
    <e v="#N/A"/>
    <x v="6"/>
  </r>
  <r>
    <d v="2023-04-20T00:00:00"/>
    <x v="15"/>
    <s v="Admin/HR/IT"/>
    <s v="AMCARE NonOcc In"/>
    <s v="TEMP"/>
    <n v="200514421"/>
    <s v="Padilla Abrego,Angeles"/>
    <s v="Romero Sanchez,Gustavo Gabriel"/>
    <n v="0"/>
    <n v="0"/>
    <n v="0"/>
    <n v="0"/>
    <n v="0.1"/>
    <e v="#N/A"/>
    <x v="18"/>
  </r>
  <r>
    <d v="2023-04-20T00:00:00"/>
    <x v="15"/>
    <s v="Admin/HR/IT"/>
    <s v="AMCARE NonOcc In"/>
    <s v="TEMP"/>
    <n v="200585084"/>
    <s v="Villafranca,Tessa"/>
    <s v="Ledezma,Fer"/>
    <n v="0"/>
    <n v="0"/>
    <n v="0"/>
    <n v="0"/>
    <n v="0.14000000000000001"/>
    <e v="#N/A"/>
    <x v="58"/>
  </r>
  <r>
    <d v="2023-04-20T00:00:00"/>
    <x v="15"/>
    <s v="Admin/HR/IT"/>
    <s v="AMCARE NonOcc In"/>
    <s v="TEMP"/>
    <n v="200625027"/>
    <s v="Rodriguez Gonzalez,Neidy"/>
    <s v="Ledezma,Fer"/>
    <n v="0"/>
    <n v="0"/>
    <n v="0"/>
    <n v="0"/>
    <n v="0.28999999999999998"/>
    <e v="#N/A"/>
    <x v="0"/>
  </r>
  <r>
    <d v="2023-04-20T00:00:00"/>
    <x v="15"/>
    <s v="Admin/HR/IT"/>
    <s v="AMCARE NonOcc In"/>
    <s v="TEMP"/>
    <n v="201202093"/>
    <s v="Ortega,Elizabeth"/>
    <s v="Romero Sanchez,Gustavo Gabriel"/>
    <n v="0"/>
    <n v="0"/>
    <n v="0"/>
    <n v="0"/>
    <n v="0.09"/>
    <e v="#N/A"/>
    <x v="129"/>
  </r>
  <r>
    <d v="2023-04-21T00:00:00"/>
    <x v="15"/>
    <s v="Admin/HR/IT"/>
    <s v="AMCARE NonOcc In"/>
    <s v="AMZN"/>
    <n v="112980844"/>
    <s v="Padilla,Samantha"/>
    <s v="Gomez,Abinadab"/>
    <n v="0"/>
    <n v="0"/>
    <n v="0"/>
    <n v="0"/>
    <n v="0.38"/>
    <s v="DA-X0700"/>
    <x v="2"/>
  </r>
  <r>
    <d v="2023-04-21T00:00:00"/>
    <x v="15"/>
    <s v="Admin/HR/IT"/>
    <s v="AMCARE NonOcc In"/>
    <s v="AMZN"/>
    <n v="113003971"/>
    <s v="Garcia  Ramirez,Gabriel"/>
    <s v="Corona Arriaga,Fernando"/>
    <n v="0"/>
    <n v="0"/>
    <n v="0"/>
    <n v="0"/>
    <n v="0.35"/>
    <e v="#N/A"/>
    <x v="10"/>
  </r>
  <r>
    <d v="2023-04-21T00:00:00"/>
    <x v="15"/>
    <s v="Admin/HR/IT"/>
    <s v="AMCARE NonOcc In"/>
    <s v="AMZN"/>
    <n v="113014560"/>
    <s v="Lopez Moreno,Americo"/>
    <s v="Ledezma,Fer"/>
    <n v="0"/>
    <n v="0"/>
    <n v="0"/>
    <n v="0"/>
    <n v="0.1"/>
    <e v="#N/A"/>
    <x v="81"/>
  </r>
  <r>
    <d v="2023-04-21T00:00:00"/>
    <x v="15"/>
    <s v="Admin/HR/IT"/>
    <s v="AMCARE NonOcc In"/>
    <s v="TEMP"/>
    <n v="200564845"/>
    <s v="Barron,Abraham"/>
    <s v="Gomez Aguado,Jorge"/>
    <n v="0"/>
    <n v="0"/>
    <n v="0"/>
    <n v="0"/>
    <n v="7.0000000000000007E-2"/>
    <e v="#N/A"/>
    <x v="0"/>
  </r>
  <r>
    <d v="2023-04-21T00:00:00"/>
    <x v="15"/>
    <s v="Admin/HR/IT"/>
    <s v="AMCARE NonOcc In"/>
    <s v="TEMP"/>
    <n v="200585084"/>
    <s v="Villafranca,Tessa"/>
    <s v="Ledezma,Fer"/>
    <n v="0"/>
    <n v="0"/>
    <n v="0"/>
    <n v="0"/>
    <n v="0.37"/>
    <e v="#N/A"/>
    <x v="58"/>
  </r>
  <r>
    <d v="2023-04-21T00:00:00"/>
    <x v="15"/>
    <s v="Admin/HR/IT"/>
    <s v="AMCARE NonOcc In"/>
    <s v="TEMP"/>
    <n v="200589316"/>
    <s v="Torres Zuniga,Daniel"/>
    <s v="Gomez Aguado,Jorge"/>
    <n v="0"/>
    <n v="0"/>
    <n v="0"/>
    <n v="0"/>
    <n v="0.17"/>
    <e v="#N/A"/>
    <x v="0"/>
  </r>
  <r>
    <d v="2023-04-21T00:00:00"/>
    <x v="15"/>
    <s v="Admin/HR/IT"/>
    <s v="AMCARE NonOcc In"/>
    <s v="TEMP"/>
    <n v="201191198"/>
    <s v="Mojica,Emmanuel"/>
    <s v="Ledezma,Fer"/>
    <n v="0"/>
    <n v="0"/>
    <n v="0"/>
    <n v="0"/>
    <n v="0.1"/>
    <e v="#N/A"/>
    <x v="130"/>
  </r>
  <r>
    <d v="2023-04-21T00:00:00"/>
    <x v="15"/>
    <s v="Admin/HR/IT"/>
    <s v="AMCARE NonOcc In"/>
    <s v="TEMP"/>
    <n v="201198169"/>
    <s v="Alvarado,Jose"/>
    <s v="Romero Sanchez,Gustavo Gabriel"/>
    <n v="0"/>
    <n v="0"/>
    <n v="0"/>
    <n v="0"/>
    <n v="0.37"/>
    <e v="#N/A"/>
    <x v="0"/>
  </r>
  <r>
    <d v="2023-04-22T00:00:00"/>
    <x v="15"/>
    <s v="Admin/HR/IT"/>
    <s v="AMCARE NonOcc In"/>
    <s v="AMZN"/>
    <n v="112912663"/>
    <s v="Segura,Lucero"/>
    <s v="Munoz,Jonan"/>
    <n v="0"/>
    <n v="0"/>
    <n v="0"/>
    <n v="0"/>
    <n v="0.84"/>
    <e v="#N/A"/>
    <x v="0"/>
  </r>
  <r>
    <d v="2023-04-22T00:00:00"/>
    <x v="15"/>
    <s v="Admin/HR/IT"/>
    <s v="AMCARE NonOcc In"/>
    <s v="AMZN"/>
    <n v="113003635"/>
    <s v="Barron,Giovanni"/>
    <s v="Corona Arriaga,Fernando"/>
    <n v="0"/>
    <n v="0"/>
    <n v="0"/>
    <n v="0"/>
    <n v="0.53"/>
    <e v="#N/A"/>
    <x v="118"/>
  </r>
  <r>
    <d v="2023-04-22T00:00:00"/>
    <x v="15"/>
    <s v="Admin/HR/IT"/>
    <s v="AMCARE NonOcc In"/>
    <s v="AMZN"/>
    <n v="113003971"/>
    <s v="Garcia  Ramirez,Gabriel"/>
    <s v="Corona Arriaga,Fernando"/>
    <n v="0"/>
    <n v="0"/>
    <n v="0"/>
    <n v="0"/>
    <n v="0.18"/>
    <e v="#N/A"/>
    <x v="10"/>
  </r>
  <r>
    <d v="2023-04-22T00:00:00"/>
    <x v="15"/>
    <s v="Admin/HR/IT"/>
    <s v="AMCARE NonOcc In"/>
    <s v="TEMP"/>
    <n v="201160146"/>
    <s v="Avila,priscila"/>
    <s v="Ledezma,Fer"/>
    <n v="0"/>
    <n v="0"/>
    <n v="0"/>
    <n v="0"/>
    <n v="1.61"/>
    <e v="#N/A"/>
    <x v="0"/>
  </r>
  <r>
    <d v="2023-04-22T00:00:00"/>
    <x v="15"/>
    <s v="Admin/HR/IT"/>
    <s v="AMCARE NonOcc In"/>
    <s v="TEMP"/>
    <n v="201191198"/>
    <s v="Mojica,Emmanuel"/>
    <s v="Ledezma,Fer"/>
    <n v="0"/>
    <n v="0"/>
    <n v="0"/>
    <n v="0"/>
    <n v="0.09"/>
    <e v="#N/A"/>
    <x v="130"/>
  </r>
  <r>
    <d v="2023-04-23T00:00:00"/>
    <x v="15"/>
    <s v="Admin/HR/IT"/>
    <s v="AMCARE NonOcc In"/>
    <s v="AMZN"/>
    <n v="112980847"/>
    <s v="Reyes,Jose"/>
    <s v="Gomez,Abinadab"/>
    <n v="0"/>
    <n v="0"/>
    <n v="0"/>
    <n v="0"/>
    <n v="7.0000000000000007E-2"/>
    <e v="#N/A"/>
    <x v="0"/>
  </r>
  <r>
    <d v="2023-04-23T00:00:00"/>
    <x v="15"/>
    <s v="Admin/HR/IT"/>
    <s v="AMCARE NonOcc In"/>
    <s v="AMZN"/>
    <n v="113014081"/>
    <s v="Frausto,Genesis"/>
    <s v="Piedra,Valentina"/>
    <n v="0"/>
    <n v="0"/>
    <n v="0"/>
    <n v="0"/>
    <n v="0.67"/>
    <e v="#N/A"/>
    <x v="9"/>
  </r>
  <r>
    <d v="2023-04-23T00:00:00"/>
    <x v="15"/>
    <s v="Admin/HR/IT"/>
    <s v="AMCARE NonOcc In"/>
    <s v="TEMP"/>
    <n v="201160146"/>
    <s v="Avila,priscila"/>
    <s v="Ledezma,Fer"/>
    <n v="0"/>
    <n v="0"/>
    <n v="0"/>
    <n v="0"/>
    <n v="0.94"/>
    <e v="#N/A"/>
    <x v="0"/>
  </r>
  <r>
    <d v="2023-04-23T00:00:00"/>
    <x v="15"/>
    <s v="Admin/HR/IT"/>
    <s v="AMCARE NonOcc In"/>
    <s v="TEMP"/>
    <n v="201165769"/>
    <s v="Puente,Karen"/>
    <s v="Piedra,Valentina"/>
    <n v="0"/>
    <n v="0"/>
    <n v="0"/>
    <n v="0"/>
    <n v="0.15"/>
    <e v="#N/A"/>
    <x v="113"/>
  </r>
  <r>
    <d v="2023-04-23T00:00:00"/>
    <x v="15"/>
    <s v="Admin/HR/IT"/>
    <s v="AMCARE NonOcc In"/>
    <s v="TEMP"/>
    <n v="201201993"/>
    <s v="Olmos,Lucia"/>
    <s v="Piedra,Valentina"/>
    <n v="0"/>
    <n v="0"/>
    <n v="0"/>
    <n v="0"/>
    <n v="0.49"/>
    <e v="#N/A"/>
    <x v="0"/>
  </r>
  <r>
    <d v="2023-04-23T00:00:00"/>
    <x v="15"/>
    <s v="Admin/HR/IT"/>
    <s v="AMCARE NonOcc In"/>
    <s v="TEMP"/>
    <n v="201202093"/>
    <s v="Ortega,Elizabeth"/>
    <s v="Romero Sanchez,Gustavo Gabriel"/>
    <n v="0"/>
    <n v="0"/>
    <n v="0"/>
    <n v="0"/>
    <n v="1.05"/>
    <e v="#N/A"/>
    <x v="129"/>
  </r>
  <r>
    <d v="2023-04-23T00:00:00"/>
    <x v="15"/>
    <s v="Admin/HR/IT"/>
    <s v="AMCARE NonOcc In"/>
    <s v="TEMP"/>
    <n v="201294217"/>
    <s v="Montes Arango,Bibiana"/>
    <s v="Hernandez Padilla,Daniel"/>
    <n v="0"/>
    <n v="0"/>
    <n v="0"/>
    <n v="0"/>
    <n v="0.14000000000000001"/>
    <e v="#N/A"/>
    <x v="131"/>
  </r>
  <r>
    <d v="2023-04-24T00:00:00"/>
    <x v="15"/>
    <s v="Admin/HR/IT"/>
    <s v="AMCARE NonOcc In"/>
    <s v="AMZN"/>
    <n v="103979960"/>
    <s v="Suchil Angel,Guillermo"/>
    <s v="Robledo Ugarte,Alejandro"/>
    <n v="0"/>
    <n v="0"/>
    <n v="0"/>
    <n v="0"/>
    <n v="0.91"/>
    <e v="#N/A"/>
    <x v="0"/>
  </r>
  <r>
    <d v="2023-04-24T00:00:00"/>
    <x v="15"/>
    <s v="Admin/HR/IT"/>
    <s v="AMCARE NonOcc In"/>
    <s v="AMZN"/>
    <n v="111434478"/>
    <s v="Gutierrez,Pame"/>
    <s v="Garcia Espejel,Brenda Victoria"/>
    <n v="0"/>
    <n v="0"/>
    <n v="0"/>
    <n v="0"/>
    <n v="0.17"/>
    <s v="DA-X0700"/>
    <x v="23"/>
  </r>
  <r>
    <d v="2023-04-24T00:00:00"/>
    <x v="15"/>
    <s v="Admin/HR/IT"/>
    <s v="AMCARE NonOcc In"/>
    <s v="TEMP"/>
    <n v="112912007"/>
    <s v="Robledo Barrientos,Alondra"/>
    <s v="Gomez,Abinadab"/>
    <n v="0"/>
    <n v="0"/>
    <n v="0"/>
    <n v="0"/>
    <n v="0.24"/>
    <e v="#N/A"/>
    <x v="0"/>
  </r>
  <r>
    <d v="2023-04-24T00:00:00"/>
    <x v="15"/>
    <s v="Admin/HR/IT"/>
    <s v="AMCARE NonOcc In"/>
    <s v="AMZN"/>
    <n v="112912052"/>
    <s v="Ortiz Cedeno,Omar"/>
    <s v="Cortes,Alejandra"/>
    <n v="0"/>
    <n v="0"/>
    <n v="0"/>
    <n v="0"/>
    <n v="0.13"/>
    <s v="DB-X0700"/>
    <x v="111"/>
  </r>
  <r>
    <d v="2023-04-24T00:00:00"/>
    <x v="15"/>
    <s v="Admin/HR/IT"/>
    <s v="AMCARE NonOcc In"/>
    <s v="AMZN"/>
    <n v="112912753"/>
    <s v="Padilla Abrego,Selene"/>
    <s v="Romero Sanchez,Gustavo Gabriel"/>
    <n v="0"/>
    <n v="0"/>
    <n v="0"/>
    <n v="0"/>
    <n v="7.0000000000000007E-2"/>
    <e v="#N/A"/>
    <x v="0"/>
  </r>
  <r>
    <d v="2023-04-24T00:00:00"/>
    <x v="15"/>
    <s v="Admin/HR/IT"/>
    <s v="AMCARE NonOcc In"/>
    <s v="AMZN"/>
    <n v="112971961"/>
    <s v="Lopez,Jason"/>
    <s v="Camarena,Grecia"/>
    <n v="0"/>
    <n v="0"/>
    <n v="0"/>
    <n v="0"/>
    <n v="0.56999999999999995"/>
    <e v="#N/A"/>
    <x v="0"/>
  </r>
  <r>
    <d v="2023-04-24T00:00:00"/>
    <x v="15"/>
    <s v="Admin/HR/IT"/>
    <s v="AMCARE NonOcc In"/>
    <s v="AMZN"/>
    <n v="112981014"/>
    <s v="Roldan Gutierrez,Pablo"/>
    <s v="Gomez,Abinadab"/>
    <n v="0"/>
    <n v="0"/>
    <n v="0"/>
    <n v="0"/>
    <n v="0.15"/>
    <s v="DJ-X0700"/>
    <x v="29"/>
  </r>
  <r>
    <d v="2023-04-24T00:00:00"/>
    <x v="15"/>
    <s v="Admin/HR/IT"/>
    <s v="AMCARE NonOcc In"/>
    <s v="AMZN"/>
    <n v="113014036"/>
    <s v="Rodriguez Alcaraz,ToÃ±o"/>
    <s v="Robledo Ugarte,Alejandro"/>
    <n v="0"/>
    <n v="0"/>
    <n v="0"/>
    <n v="0"/>
    <n v="1.87"/>
    <e v="#N/A"/>
    <x v="98"/>
  </r>
  <r>
    <d v="2023-04-24T00:00:00"/>
    <x v="15"/>
    <s v="Admin/HR/IT"/>
    <s v="AMCARE NonOcc In"/>
    <s v="AMZN"/>
    <n v="200404250"/>
    <s v="Hurtado,Caty"/>
    <s v="Romero Sanchez,Gustavo Gabriel"/>
    <n v="0"/>
    <n v="0"/>
    <n v="0"/>
    <n v="0"/>
    <n v="0.55000000000000004"/>
    <e v="#N/A"/>
    <x v="6"/>
  </r>
  <r>
    <d v="2023-04-24T00:00:00"/>
    <x v="15"/>
    <s v="Admin/HR/IT"/>
    <s v="AMCARE NonOcc In"/>
    <s v="TEMP"/>
    <n v="200564895"/>
    <s v="Mendoza Corona,Brianda"/>
    <s v="Robledo Ugarte,Alejandro"/>
    <n v="0"/>
    <n v="0"/>
    <n v="0"/>
    <n v="0"/>
    <n v="1.41"/>
    <e v="#N/A"/>
    <x v="64"/>
  </r>
  <r>
    <d v="2023-04-24T00:00:00"/>
    <x v="15"/>
    <s v="Admin/HR/IT"/>
    <s v="AMCARE NonOcc In"/>
    <s v="TEMP"/>
    <n v="200625517"/>
    <s v="RamÃ­rez,Miranda"/>
    <s v="Robledo Ugarte,Alejandro"/>
    <n v="0"/>
    <n v="0"/>
    <n v="0"/>
    <n v="0"/>
    <n v="0.51"/>
    <e v="#N/A"/>
    <x v="0"/>
  </r>
  <r>
    <d v="2023-04-24T00:00:00"/>
    <x v="15"/>
    <s v="Admin/HR/IT"/>
    <s v="AMCARE NonOcc In"/>
    <s v="TEMP"/>
    <n v="201186833"/>
    <s v="Jasso,Alexa"/>
    <s v="Gomez,Abinadab"/>
    <n v="0"/>
    <n v="0"/>
    <n v="0"/>
    <n v="0"/>
    <n v="0.14000000000000001"/>
    <e v="#N/A"/>
    <x v="114"/>
  </r>
  <r>
    <d v="2023-04-24T00:00:00"/>
    <x v="15"/>
    <s v="Admin/HR/IT"/>
    <s v="AMCARE NonOcc In"/>
    <s v="TEMP"/>
    <n v="201201993"/>
    <s v="Olmos,Lucia"/>
    <s v="Piedra,Valentina"/>
    <n v="0"/>
    <n v="0"/>
    <n v="0"/>
    <n v="0"/>
    <n v="0.27"/>
    <e v="#N/A"/>
    <x v="0"/>
  </r>
  <r>
    <d v="2023-04-24T00:00:00"/>
    <x v="15"/>
    <s v="Admin/HR/IT"/>
    <s v="AMCARE NonOcc In"/>
    <s v="TEMP"/>
    <n v="201219225"/>
    <s v="Moreno Bermudez,Rogelio"/>
    <s v="Robledo Ugarte,Alejandro"/>
    <n v="0"/>
    <n v="0"/>
    <n v="0"/>
    <n v="0"/>
    <n v="0.59"/>
    <e v="#N/A"/>
    <x v="0"/>
  </r>
  <r>
    <d v="2023-04-24T00:00:00"/>
    <x v="15"/>
    <s v="Admin/HR/IT"/>
    <s v="AMCARE NonOcc In"/>
    <s v="TEMP"/>
    <n v="201219742"/>
    <s v="Rojas,Denessi"/>
    <s v="Robledo Ugarte,Alejandro"/>
    <n v="0"/>
    <n v="0"/>
    <n v="0"/>
    <n v="0"/>
    <n v="2.4"/>
    <e v="#N/A"/>
    <x v="0"/>
  </r>
  <r>
    <d v="2023-04-24T00:00:00"/>
    <x v="15"/>
    <s v="Admin/HR/IT"/>
    <s v="AMCARE NonOcc In"/>
    <s v="TEMP"/>
    <n v="201295506"/>
    <s v="Becerra,America"/>
    <s v="Hernandez Padilla,Daniel"/>
    <n v="0"/>
    <n v="0"/>
    <n v="0"/>
    <n v="0"/>
    <n v="0.12"/>
    <e v="#N/A"/>
    <x v="0"/>
  </r>
  <r>
    <d v="2023-04-24T00:00:00"/>
    <x v="15"/>
    <s v="Admin/HR/IT"/>
    <s v="AMCARE NonOcc In"/>
    <s v="TEMP"/>
    <n v="201295555"/>
    <s v="Ibarra,Jorge Orlando"/>
    <s v="Hernandez Padilla,Daniel"/>
    <n v="0"/>
    <n v="0"/>
    <n v="0"/>
    <n v="0"/>
    <n v="0.14000000000000001"/>
    <e v="#N/A"/>
    <x v="0"/>
  </r>
  <r>
    <d v="2023-04-25T00:00:00"/>
    <x v="15"/>
    <s v="Admin/HR/IT"/>
    <s v="AMCARE NonOcc In"/>
    <s v="TEMP"/>
    <n v="112912007"/>
    <s v="Robledo Barrientos,Alondra"/>
    <s v="Gomez,Abinadab"/>
    <n v="0"/>
    <n v="0"/>
    <n v="0"/>
    <n v="0"/>
    <n v="0.11"/>
    <e v="#N/A"/>
    <x v="0"/>
  </r>
  <r>
    <d v="2023-04-25T00:00:00"/>
    <x v="15"/>
    <s v="Admin/HR/IT"/>
    <s v="AMCARE NonOcc In"/>
    <s v="AMZN"/>
    <n v="112912008"/>
    <s v="Espinosa,Consuelo"/>
    <s v="Rosas Negrete,Sebastian"/>
    <n v="0"/>
    <n v="0"/>
    <n v="0"/>
    <n v="0"/>
    <n v="0.28000000000000003"/>
    <e v="#N/A"/>
    <x v="0"/>
  </r>
  <r>
    <d v="2023-04-25T00:00:00"/>
    <x v="15"/>
    <s v="Admin/HR/IT"/>
    <s v="AMCARE NonOcc In"/>
    <s v="AMZN"/>
    <n v="112912071"/>
    <s v="Torres,Alan"/>
    <s v="Gomez,Abinadab"/>
    <n v="0"/>
    <n v="0"/>
    <n v="0"/>
    <n v="0"/>
    <n v="0.55000000000000004"/>
    <e v="#N/A"/>
    <x v="0"/>
  </r>
  <r>
    <d v="2023-04-25T00:00:00"/>
    <x v="15"/>
    <s v="Admin/HR/IT"/>
    <s v="AMCARE NonOcc In"/>
    <s v="AMZN"/>
    <n v="112913641"/>
    <s v="Arevalo,Mauricio"/>
    <s v="Munoz,Jonan"/>
    <n v="0"/>
    <n v="0"/>
    <n v="0"/>
    <n v="0"/>
    <n v="0.84"/>
    <s v="DB-X0700"/>
    <x v="132"/>
  </r>
  <r>
    <d v="2023-04-25T00:00:00"/>
    <x v="15"/>
    <s v="Admin/HR/IT"/>
    <s v="AMCARE NonOcc In"/>
    <s v="AMZN"/>
    <n v="112981061"/>
    <s v="Olguin,Claudia"/>
    <s v="Robledo Ugarte,Alejandro"/>
    <n v="0"/>
    <n v="0"/>
    <n v="0"/>
    <n v="0"/>
    <n v="0.23"/>
    <s v="DA-X0700"/>
    <x v="11"/>
  </r>
  <r>
    <d v="2023-04-25T00:00:00"/>
    <x v="15"/>
    <s v="Admin/HR/IT"/>
    <s v="AMCARE NonOcc In"/>
    <s v="AMZN"/>
    <n v="112981212"/>
    <s v="Zanella Miranda,Alyson"/>
    <s v="Robledo Ugarte,Alejandro"/>
    <n v="0"/>
    <n v="0"/>
    <n v="0"/>
    <n v="0"/>
    <n v="0.27"/>
    <e v="#N/A"/>
    <x v="77"/>
  </r>
  <r>
    <d v="2023-04-25T00:00:00"/>
    <x v="15"/>
    <s v="Admin/HR/IT"/>
    <s v="AMCARE NonOcc In"/>
    <s v="TEMP"/>
    <n v="113014000"/>
    <s v="Morales Ramirez,Alma"/>
    <s v="Gomez,Abinadab"/>
    <n v="0"/>
    <n v="0"/>
    <n v="0"/>
    <n v="0"/>
    <n v="0.16"/>
    <e v="#N/A"/>
    <x v="0"/>
  </r>
  <r>
    <d v="2023-04-25T00:00:00"/>
    <x v="15"/>
    <s v="Admin/HR/IT"/>
    <s v="AMCARE NonOcc In"/>
    <s v="AMZN"/>
    <n v="113014081"/>
    <s v="Frausto,Genesis"/>
    <s v="Piedra,Valentina"/>
    <n v="0"/>
    <n v="0"/>
    <n v="0"/>
    <n v="0"/>
    <n v="0.09"/>
    <e v="#N/A"/>
    <x v="9"/>
  </r>
  <r>
    <d v="2023-04-25T00:00:00"/>
    <x v="15"/>
    <s v="Admin/HR/IT"/>
    <s v="AMCARE NonOcc In"/>
    <s v="AMZN"/>
    <n v="113019001"/>
    <s v="Lozano Hernandez,Donny"/>
    <s v="Gomez,Abinadab"/>
    <n v="0"/>
    <n v="0"/>
    <n v="0"/>
    <n v="0"/>
    <n v="0.09"/>
    <e v="#N/A"/>
    <x v="48"/>
  </r>
  <r>
    <d v="2023-04-25T00:00:00"/>
    <x v="15"/>
    <s v="Admin/HR/IT"/>
    <s v="AMCARE NonOcc In"/>
    <s v="AMZN"/>
    <n v="200404250"/>
    <s v="Hurtado,Caty"/>
    <s v="Romero Sanchez,Gustavo Gabriel"/>
    <n v="0"/>
    <n v="0"/>
    <n v="0"/>
    <n v="0"/>
    <n v="1.74"/>
    <e v="#N/A"/>
    <x v="6"/>
  </r>
  <r>
    <d v="2023-04-25T00:00:00"/>
    <x v="15"/>
    <s v="Admin/HR/IT"/>
    <s v="AMCARE NonOcc In"/>
    <s v="TEMP"/>
    <n v="200620341"/>
    <s v="Camacho Ramirez,Carlos"/>
    <s v="Piedra,Valentina"/>
    <n v="0"/>
    <n v="0"/>
    <n v="0"/>
    <n v="0"/>
    <n v="0.17"/>
    <e v="#N/A"/>
    <x v="0"/>
  </r>
  <r>
    <d v="2023-04-25T00:00:00"/>
    <x v="15"/>
    <s v="Admin/HR/IT"/>
    <s v="AMCARE NonOcc In"/>
    <s v="TEMP"/>
    <n v="201186139"/>
    <s v="Barba,AdriÃ¡n"/>
    <s v="Gomez,Abinadab"/>
    <n v="0"/>
    <n v="0"/>
    <n v="0"/>
    <n v="0"/>
    <n v="0.56000000000000005"/>
    <e v="#N/A"/>
    <x v="0"/>
  </r>
  <r>
    <d v="2023-04-25T00:00:00"/>
    <x v="15"/>
    <s v="Admin/HR/IT"/>
    <s v="AMCARE NonOcc In"/>
    <s v="TEMP"/>
    <n v="201199001"/>
    <s v="Padilla,Rafael"/>
    <s v="Gomez,Abinadab"/>
    <n v="0"/>
    <n v="0"/>
    <n v="0"/>
    <n v="0"/>
    <n v="0.22"/>
    <e v="#N/A"/>
    <x v="0"/>
  </r>
  <r>
    <d v="2023-04-26T00:00:00"/>
    <x v="15"/>
    <s v="Admin/HR/IT"/>
    <s v="AMCARE NonOcc In"/>
    <s v="AMZN"/>
    <n v="111434478"/>
    <s v="Gutierrez,Pame"/>
    <s v="Garcia Espejel,Brenda Victoria"/>
    <n v="0"/>
    <n v="0"/>
    <n v="0"/>
    <n v="0"/>
    <n v="0.53"/>
    <s v="DA-X0700"/>
    <x v="23"/>
  </r>
  <r>
    <d v="2023-04-26T00:00:00"/>
    <x v="15"/>
    <s v="Admin/HR/IT"/>
    <s v="AMCARE NonOcc In"/>
    <s v="AMZN"/>
    <n v="112912745"/>
    <s v="Gomez Meza,Alex"/>
    <s v="Gomez,Abinadab"/>
    <n v="0"/>
    <n v="0"/>
    <n v="0"/>
    <n v="0"/>
    <n v="0.81"/>
    <s v="DA-X0700"/>
    <x v="55"/>
  </r>
  <r>
    <d v="2023-04-26T00:00:00"/>
    <x v="15"/>
    <s v="Admin/HR/IT"/>
    <s v="AMCARE NonOcc In"/>
    <s v="AMZN"/>
    <n v="112912752"/>
    <s v="Valderrama Gomez,Leslie"/>
    <s v="Gomez,Abinadab"/>
    <n v="0"/>
    <n v="0"/>
    <n v="0"/>
    <n v="0"/>
    <n v="0.56999999999999995"/>
    <s v="NF-X1900"/>
    <x v="5"/>
  </r>
  <r>
    <d v="2023-04-26T00:00:00"/>
    <x v="15"/>
    <s v="Admin/HR/IT"/>
    <s v="AMCARE NonOcc In"/>
    <s v="AMZN"/>
    <n v="112950784"/>
    <s v="Rojas,Samuel"/>
    <s v="Pizana,Diego"/>
    <n v="0"/>
    <n v="0"/>
    <n v="0"/>
    <n v="0"/>
    <n v="0.18"/>
    <s v="NF-X1900"/>
    <x v="13"/>
  </r>
  <r>
    <d v="2023-04-26T00:00:00"/>
    <x v="15"/>
    <s v="Admin/HR/IT"/>
    <s v="AMCARE NonOcc In"/>
    <s v="AMZN"/>
    <n v="112955736"/>
    <s v="Cuevas,Lalo"/>
    <s v="Garcia Espejel,Brenda Victoria"/>
    <n v="0"/>
    <n v="0"/>
    <n v="0"/>
    <n v="0"/>
    <n v="0.2"/>
    <s v="DA-X0700"/>
    <x v="133"/>
  </r>
  <r>
    <d v="2023-04-26T00:00:00"/>
    <x v="15"/>
    <s v="Admin/HR/IT"/>
    <s v="AMCARE NonOcc In"/>
    <s v="AMZN"/>
    <n v="112971997"/>
    <s v="Nieto,Emili"/>
    <s v="Rosas Negrete,Sebastian"/>
    <n v="0"/>
    <n v="0"/>
    <n v="0"/>
    <n v="0"/>
    <n v="0.16"/>
    <s v="DA-X0700"/>
    <x v="117"/>
  </r>
  <r>
    <d v="2023-04-26T00:00:00"/>
    <x v="15"/>
    <s v="Admin/HR/IT"/>
    <s v="AMCARE NonOcc In"/>
    <s v="AMZN"/>
    <n v="112972215"/>
    <s v="Cruz,Ana"/>
    <s v="Romero Sanchez,Gustavo Gabriel"/>
    <n v="0"/>
    <n v="0"/>
    <n v="0"/>
    <n v="0"/>
    <n v="2.52"/>
    <s v="DB-X0700"/>
    <x v="134"/>
  </r>
  <r>
    <d v="2023-04-26T00:00:00"/>
    <x v="15"/>
    <s v="Admin/HR/IT"/>
    <s v="AMCARE NonOcc In"/>
    <s v="AMZN"/>
    <n v="113003627"/>
    <s v="Zavala,Diego"/>
    <s v="Romero Sanchez,Gustavo Gabriel"/>
    <n v="0"/>
    <n v="0"/>
    <n v="0"/>
    <n v="0"/>
    <n v="0.19"/>
    <e v="#N/A"/>
    <x v="0"/>
  </r>
  <r>
    <d v="2023-04-26T00:00:00"/>
    <x v="15"/>
    <s v="Admin/HR/IT"/>
    <s v="AMCARE NonOcc In"/>
    <s v="AMZN"/>
    <n v="113014403"/>
    <s v="Arias Sanchez,Nora"/>
    <s v="Romero Sanchez,Gustavo Gabriel"/>
    <n v="0"/>
    <n v="0"/>
    <n v="0"/>
    <n v="0"/>
    <n v="0.24"/>
    <e v="#N/A"/>
    <x v="32"/>
  </r>
  <r>
    <d v="2023-04-26T00:00:00"/>
    <x v="15"/>
    <s v="Admin/HR/IT"/>
    <s v="AMCARE NonOcc In"/>
    <s v="AMZN"/>
    <n v="113040582"/>
    <s v="HDZ,DEMON"/>
    <s v="Robledo Ugarte,Alejandro"/>
    <n v="0"/>
    <n v="0"/>
    <n v="0"/>
    <n v="0"/>
    <n v="0.26"/>
    <e v="#N/A"/>
    <x v="63"/>
  </r>
  <r>
    <d v="2023-04-26T00:00:00"/>
    <x v="15"/>
    <s v="Admin/HR/IT"/>
    <s v="AMCARE NonOcc In"/>
    <s v="AMZN"/>
    <n v="200404250"/>
    <s v="Hurtado,Caty"/>
    <s v="Romero Sanchez,Gustavo Gabriel"/>
    <n v="0"/>
    <n v="0"/>
    <n v="0"/>
    <n v="0"/>
    <n v="1.52"/>
    <e v="#N/A"/>
    <x v="6"/>
  </r>
  <r>
    <d v="2023-04-26T00:00:00"/>
    <x v="15"/>
    <s v="Admin/HR/IT"/>
    <s v="AMCARE NonOcc In"/>
    <s v="TEMP"/>
    <n v="200553205"/>
    <s v="Cabrera,Nancy"/>
    <s v="Romero Sanchez,Gustavo Gabriel"/>
    <n v="0"/>
    <n v="0"/>
    <n v="0"/>
    <n v="0"/>
    <n v="0.24"/>
    <e v="#N/A"/>
    <x v="0"/>
  </r>
  <r>
    <d v="2023-04-26T00:00:00"/>
    <x v="15"/>
    <s v="Admin/HR/IT"/>
    <s v="AMCARE NonOcc In"/>
    <s v="TEMP"/>
    <n v="200584282"/>
    <s v="Lopez Nieto,Denisse"/>
    <s v="Robledo Ugarte,Alejandro"/>
    <n v="0"/>
    <n v="0"/>
    <n v="0"/>
    <n v="0"/>
    <n v="1.1000000000000001"/>
    <e v="#N/A"/>
    <x v="65"/>
  </r>
  <r>
    <d v="2023-04-26T00:00:00"/>
    <x v="15"/>
    <s v="Admin/HR/IT"/>
    <s v="AMCARE NonOcc In"/>
    <s v="TEMP"/>
    <n v="200620341"/>
    <s v="Camacho Ramirez,Carlos"/>
    <s v="Piedra,Valentina"/>
    <n v="0"/>
    <n v="0"/>
    <n v="0"/>
    <n v="0"/>
    <n v="0.21"/>
    <e v="#N/A"/>
    <x v="0"/>
  </r>
  <r>
    <d v="2023-04-26T00:00:00"/>
    <x v="15"/>
    <s v="Admin/HR/IT"/>
    <s v="AMCARE NonOcc In"/>
    <s v="TEMP"/>
    <n v="200625517"/>
    <s v="RamÃ­rez,Miranda"/>
    <s v="Robledo Ugarte,Alejandro"/>
    <n v="0"/>
    <n v="0"/>
    <n v="0"/>
    <n v="0"/>
    <n v="0.15"/>
    <e v="#N/A"/>
    <x v="0"/>
  </r>
  <r>
    <d v="2023-04-26T00:00:00"/>
    <x v="15"/>
    <s v="Admin/HR/IT"/>
    <s v="AMCARE NonOcc In"/>
    <s v="TEMP"/>
    <n v="201294058"/>
    <s v="Alvarez,Erika"/>
    <s v="Piedra,Valentina"/>
    <n v="0"/>
    <n v="0"/>
    <n v="0"/>
    <n v="0"/>
    <n v="7.0000000000000007E-2"/>
    <e v="#N/A"/>
    <x v="135"/>
  </r>
  <r>
    <d v="2023-04-26T00:00:00"/>
    <x v="15"/>
    <s v="Admin/HR/IT"/>
    <s v="AMCARE NonOcc In"/>
    <s v="TEMP"/>
    <n v="201295506"/>
    <s v="Becerra,America"/>
    <s v="Gomez,Abinadab"/>
    <n v="0"/>
    <n v="0"/>
    <n v="0"/>
    <n v="0"/>
    <n v="0.09"/>
    <e v="#N/A"/>
    <x v="0"/>
  </r>
  <r>
    <d v="2023-04-26T00:00:00"/>
    <x v="15"/>
    <s v="Admin/HR/IT"/>
    <s v="AMCARE NonOcc In"/>
    <s v="TEMP"/>
    <n v="201295530"/>
    <s v="HernÃ¡ndez,Isaura"/>
    <s v="Gomez,Abinadab"/>
    <n v="0"/>
    <n v="0"/>
    <n v="0"/>
    <n v="0"/>
    <n v="0.47"/>
    <e v="#N/A"/>
    <x v="0"/>
  </r>
  <r>
    <d v="2023-04-27T00:00:00"/>
    <x v="15"/>
    <s v="Admin/HR/IT"/>
    <s v="AMCARE NonOcc In"/>
    <s v="AMZN"/>
    <n v="112981061"/>
    <s v="Olguin,Claudia"/>
    <s v="Robledo Ugarte,Alejandro"/>
    <n v="0"/>
    <n v="0"/>
    <n v="0"/>
    <n v="0"/>
    <n v="0.2"/>
    <s v="DA-X0700"/>
    <x v="11"/>
  </r>
  <r>
    <d v="2023-04-27T00:00:00"/>
    <x v="15"/>
    <s v="Admin/HR/IT"/>
    <s v="AMCARE NonOcc In"/>
    <s v="AMZN"/>
    <n v="113014042"/>
    <s v="Cervantes,Rose"/>
    <s v="Madrid Molina,Ramon"/>
    <n v="0"/>
    <n v="0"/>
    <n v="0"/>
    <n v="0"/>
    <n v="0.32"/>
    <e v="#N/A"/>
    <x v="20"/>
  </r>
  <r>
    <d v="2023-04-27T00:00:00"/>
    <x v="15"/>
    <s v="Admin/HR/IT"/>
    <s v="AMCARE NonOcc In"/>
    <s v="AMZN"/>
    <n v="113020667"/>
    <s v="Martinez Becerra,Paulina"/>
    <s v="Gomez Aguado,Jorge"/>
    <n v="0"/>
    <n v="0"/>
    <n v="0"/>
    <n v="0"/>
    <n v="2.5499999999999998"/>
    <e v="#N/A"/>
    <x v="31"/>
  </r>
  <r>
    <d v="2023-04-27T00:00:00"/>
    <x v="15"/>
    <s v="Admin/HR/IT"/>
    <s v="AMCARE NonOcc In"/>
    <s v="AMZN"/>
    <n v="113040582"/>
    <s v="HDZ,DEMON"/>
    <s v="Robledo Ugarte,Alejandro"/>
    <n v="0"/>
    <n v="0"/>
    <n v="0"/>
    <n v="0"/>
    <n v="0.2"/>
    <e v="#N/A"/>
    <x v="63"/>
  </r>
  <r>
    <d v="2023-04-27T00:00:00"/>
    <x v="15"/>
    <s v="Admin/HR/IT"/>
    <s v="AMCARE NonOcc In"/>
    <s v="AMZN"/>
    <n v="113044620"/>
    <s v="Jasso Miranda,Aldo"/>
    <s v="Robledo Ugarte,Alejandro"/>
    <n v="0"/>
    <n v="0"/>
    <n v="0"/>
    <n v="0"/>
    <n v="0.23"/>
    <e v="#N/A"/>
    <x v="52"/>
  </r>
  <r>
    <d v="2023-04-27T00:00:00"/>
    <x v="15"/>
    <s v="Admin/HR/IT"/>
    <s v="AMCARE NonOcc In"/>
    <s v="TEMP"/>
    <n v="201167517"/>
    <s v="Espinoza Lopez,Magdal"/>
    <s v="Ledezma,Fer"/>
    <n v="0"/>
    <n v="0"/>
    <n v="0"/>
    <n v="0"/>
    <n v="0.51"/>
    <e v="#N/A"/>
    <x v="0"/>
  </r>
  <r>
    <d v="2023-04-27T00:00:00"/>
    <x v="15"/>
    <s v="Admin/HR/IT"/>
    <s v="AMCARE NonOcc In"/>
    <s v="TEMP"/>
    <n v="201172412"/>
    <s v="Castellanos,Adriana"/>
    <s v="Robledo Ugarte,Alejandro"/>
    <n v="0"/>
    <n v="0"/>
    <n v="0"/>
    <n v="0"/>
    <n v="0.16"/>
    <e v="#N/A"/>
    <x v="136"/>
  </r>
  <r>
    <d v="2023-04-27T00:00:00"/>
    <x v="15"/>
    <s v="Admin/HR/IT"/>
    <s v="AMCARE NonOcc In"/>
    <s v="TEMP"/>
    <n v="201185653"/>
    <s v="Lopez,Mine"/>
    <s v="Corona Arriaga,Fernando"/>
    <n v="0"/>
    <n v="0"/>
    <n v="0"/>
    <n v="0"/>
    <n v="0.08"/>
    <e v="#N/A"/>
    <x v="137"/>
  </r>
  <r>
    <d v="2023-04-27T00:00:00"/>
    <x v="15"/>
    <s v="Admin/HR/IT"/>
    <s v="AMCARE NonOcc In"/>
    <s v="TEMP"/>
    <n v="201329495"/>
    <s v="Sanchez,Josue"/>
    <s v="Gomez,Abinadab"/>
    <n v="0"/>
    <n v="0"/>
    <n v="0"/>
    <n v="0"/>
    <n v="0.34"/>
    <e v="#N/A"/>
    <x v="0"/>
  </r>
  <r>
    <d v="2023-04-28T00:00:00"/>
    <x v="15"/>
    <s v="Admin/HR/IT"/>
    <s v="AMCARE NonOcc In"/>
    <s v="AMZN"/>
    <n v="112920637"/>
    <s v="Tapia,Antonio Torres"/>
    <s v="Pizana,Diego"/>
    <n v="0"/>
    <n v="0"/>
    <n v="0"/>
    <n v="0"/>
    <n v="0.24"/>
    <s v="DB-X0700"/>
    <x v="38"/>
  </r>
  <r>
    <d v="2023-04-28T00:00:00"/>
    <x v="15"/>
    <s v="Admin/HR/IT"/>
    <s v="AMCARE NonOcc In"/>
    <s v="AMZN"/>
    <n v="112972215"/>
    <s v="Cruz,Ana"/>
    <s v="Romero Sanchez,Gustavo Gabriel"/>
    <n v="0"/>
    <n v="0"/>
    <n v="0"/>
    <n v="0"/>
    <n v="0.65"/>
    <s v="DB-X0700"/>
    <x v="134"/>
  </r>
  <r>
    <d v="2023-04-28T00:00:00"/>
    <x v="15"/>
    <s v="Admin/HR/IT"/>
    <s v="AMCARE NonOcc In"/>
    <s v="AMZN"/>
    <n v="112973049"/>
    <s v="Tavares Parra,Ely"/>
    <s v="Madrid Molina,Ramon"/>
    <n v="0"/>
    <n v="0"/>
    <n v="0"/>
    <n v="0"/>
    <n v="0.16"/>
    <s v="DB-X0700"/>
    <x v="14"/>
  </r>
  <r>
    <d v="2023-04-28T00:00:00"/>
    <x v="15"/>
    <s v="Admin/HR/IT"/>
    <s v="AMCARE NonOcc In"/>
    <s v="TEMP"/>
    <n v="201160146"/>
    <s v="Avila,priscila"/>
    <s v="Ledezma,Fer"/>
    <n v="0"/>
    <n v="0"/>
    <n v="0"/>
    <n v="0"/>
    <n v="0.12"/>
    <e v="#N/A"/>
    <x v="0"/>
  </r>
  <r>
    <d v="2023-04-28T00:00:00"/>
    <x v="15"/>
    <s v="Admin/HR/IT"/>
    <s v="AMCARE NonOcc In"/>
    <s v="TEMP"/>
    <n v="201341822"/>
    <s v="Rocha,Claudia"/>
    <s v="Hernandez Padilla,Daniel"/>
    <n v="0"/>
    <n v="0"/>
    <n v="0"/>
    <n v="0"/>
    <n v="0.72"/>
    <e v="#N/A"/>
    <x v="0"/>
  </r>
  <r>
    <d v="2023-04-29T00:00:00"/>
    <x v="15"/>
    <s v="Admin/HR/IT"/>
    <s v="AMCARE NonOcc In"/>
    <s v="AMZN"/>
    <n v="112912054"/>
    <s v="Rivera Ramirez,Jorge"/>
    <s v="Pizana,Diego"/>
    <n v="0"/>
    <n v="0"/>
    <n v="0"/>
    <n v="0"/>
    <n v="0.39"/>
    <s v="DB-X0700"/>
    <x v="25"/>
  </r>
  <r>
    <d v="2023-04-29T00:00:00"/>
    <x v="15"/>
    <s v="Admin/HR/IT"/>
    <s v="AMCARE NonOcc In"/>
    <s v="AMZN"/>
    <n v="113052151"/>
    <s v="Nieves Mendez,Laura"/>
    <s v="Ledezma,Fer"/>
    <n v="0"/>
    <n v="0"/>
    <n v="0"/>
    <n v="0"/>
    <n v="0.12"/>
    <e v="#N/A"/>
    <x v="56"/>
  </r>
  <r>
    <d v="2023-04-29T00:00:00"/>
    <x v="15"/>
    <s v="Admin/HR/IT"/>
    <s v="AMCARE NonOcc In"/>
    <s v="TEMP"/>
    <n v="201185299"/>
    <s v="Garcia,Noemi"/>
    <s v="Ledezma,Fer"/>
    <n v="0"/>
    <n v="0"/>
    <n v="0"/>
    <n v="0"/>
    <n v="0.15"/>
    <e v="#N/A"/>
    <x v="138"/>
  </r>
  <r>
    <d v="2023-04-29T00:00:00"/>
    <x v="15"/>
    <s v="Admin/HR/IT"/>
    <s v="AMCARE NonOcc In"/>
    <s v="TEMP"/>
    <n v="201211582"/>
    <s v="Rodriguez,Dani"/>
    <s v="Ledezma,Fer"/>
    <n v="0"/>
    <n v="0"/>
    <n v="0"/>
    <n v="0"/>
    <n v="0.09"/>
    <e v="#N/A"/>
    <x v="0"/>
  </r>
  <r>
    <d v="2023-04-30T00:00:00"/>
    <x v="16"/>
    <s v="Admin/HR/IT"/>
    <s v="AMCARE NonOcc In"/>
    <s v="AMZN"/>
    <n v="112912661"/>
    <s v="Morales Gonzalez,Francisco"/>
    <s v="Rosas Negrete,Sebastian"/>
    <n v="0"/>
    <n v="0"/>
    <n v="0"/>
    <n v="0"/>
    <n v="0.9"/>
    <s v="DA-X0700"/>
    <x v="96"/>
  </r>
  <r>
    <d v="2023-04-30T00:00:00"/>
    <x v="16"/>
    <s v="Admin/HR/IT"/>
    <s v="AMCARE NonOcc In"/>
    <s v="AMZN"/>
    <n v="112912752"/>
    <s v="Valderrama Gomez,Leslie"/>
    <s v="Gomez,Abinadab"/>
    <n v="0"/>
    <n v="0"/>
    <n v="0"/>
    <n v="0"/>
    <n v="0.26"/>
    <s v="NF-X1900"/>
    <x v="5"/>
  </r>
  <r>
    <d v="2023-04-30T00:00:00"/>
    <x v="16"/>
    <s v="Admin/HR/IT"/>
    <s v="AMCARE NonOcc In"/>
    <s v="TEMP"/>
    <n v="112950796"/>
    <s v="Garcia,Janeth"/>
    <s v="Gomez,Abinadab"/>
    <n v="0"/>
    <n v="0"/>
    <n v="0"/>
    <n v="0"/>
    <n v="0.13"/>
    <e v="#N/A"/>
    <x v="0"/>
  </r>
  <r>
    <d v="2023-04-30T00:00:00"/>
    <x v="16"/>
    <s v="Admin/HR/IT"/>
    <s v="AMCARE NonOcc In"/>
    <s v="AMZN"/>
    <n v="112981196"/>
    <s v="Gomez,Andrea"/>
    <s v="Piedra,Valentina"/>
    <n v="0"/>
    <n v="0"/>
    <n v="0"/>
    <n v="0"/>
    <n v="0.35"/>
    <e v="#N/A"/>
    <x v="22"/>
  </r>
  <r>
    <d v="2023-04-30T00:00:00"/>
    <x v="16"/>
    <s v="Admin/HR/IT"/>
    <s v="AMCARE NonOcc In"/>
    <s v="AMZN"/>
    <n v="200404250"/>
    <s v="Hurtado,Caty"/>
    <s v="Romero Sanchez,Gustavo Gabriel"/>
    <n v="0"/>
    <n v="0"/>
    <n v="0"/>
    <n v="0"/>
    <n v="0.53"/>
    <e v="#N/A"/>
    <x v="6"/>
  </r>
  <r>
    <d v="2023-04-30T00:00:00"/>
    <x v="16"/>
    <s v="Admin/HR/IT"/>
    <s v="AMCARE NonOcc In"/>
    <s v="TEMP"/>
    <n v="201186833"/>
    <s v="Jasso,Alexa"/>
    <s v="Gomez,Abinadab"/>
    <n v="0"/>
    <n v="0"/>
    <n v="0"/>
    <n v="0"/>
    <n v="0.53"/>
    <e v="#N/A"/>
    <x v="114"/>
  </r>
  <r>
    <d v="2023-04-30T00:00:00"/>
    <x v="16"/>
    <s v="Admin/HR/IT"/>
    <s v="AMCARE NonOcc In"/>
    <s v="TEMP"/>
    <n v="201201993"/>
    <s v="Olmos,Lucia"/>
    <s v="Piedra,Valentina"/>
    <n v="0"/>
    <n v="0"/>
    <n v="0"/>
    <n v="0"/>
    <n v="0.06"/>
    <e v="#N/A"/>
    <x v="0"/>
  </r>
  <r>
    <d v="2023-04-30T00:00:00"/>
    <x v="16"/>
    <s v="Admin/HR/IT"/>
    <s v="AMCARE NonOcc In"/>
    <s v="TEMP"/>
    <n v="201320536"/>
    <s v="Ibarra,Miguel"/>
    <s v="Morales Beristain,Sugeyt"/>
    <n v="0"/>
    <n v="0"/>
    <n v="0"/>
    <n v="0"/>
    <n v="0.18"/>
    <e v="#N/A"/>
    <x v="139"/>
  </r>
  <r>
    <d v="2023-05-01T00:00:00"/>
    <x v="16"/>
    <s v="Admin/HR/IT"/>
    <s v="AMCARE NonOcc In"/>
    <s v="AMZN"/>
    <n v="111434478"/>
    <s v="Gutierrez,Pame"/>
    <s v="Garcia Espejel,Brenda Victoria"/>
    <n v="0"/>
    <n v="0"/>
    <n v="0"/>
    <n v="0"/>
    <n v="0.52"/>
    <s v="DA-X0700"/>
    <x v="23"/>
  </r>
  <r>
    <d v="2023-05-01T00:00:00"/>
    <x v="16"/>
    <s v="Admin/HR/IT"/>
    <s v="AMCARE NonOcc In"/>
    <s v="TEMP"/>
    <n v="112912007"/>
    <s v="Robledo Barrientos,Alondra"/>
    <s v="Gomez,Abinadab"/>
    <n v="0"/>
    <n v="0"/>
    <n v="0"/>
    <n v="0"/>
    <n v="1.67"/>
    <e v="#N/A"/>
    <x v="0"/>
  </r>
  <r>
    <d v="2023-05-01T00:00:00"/>
    <x v="16"/>
    <s v="Admin/HR/IT"/>
    <s v="AMCARE NonOcc In"/>
    <s v="AMZN"/>
    <n v="112912661"/>
    <s v="Morales Gonzalez,Francisco"/>
    <s v="Rosas Negrete,Sebastian"/>
    <n v="0"/>
    <n v="0"/>
    <n v="0"/>
    <n v="0"/>
    <n v="0.42"/>
    <s v="DA-X0700"/>
    <x v="96"/>
  </r>
  <r>
    <d v="2023-05-01T00:00:00"/>
    <x v="16"/>
    <s v="Admin/HR/IT"/>
    <s v="AMCARE NonOcc In"/>
    <s v="AMZN"/>
    <n v="112912752"/>
    <s v="Valderrama Gomez,Leslie"/>
    <s v="Gomez,Abinadab"/>
    <n v="0"/>
    <n v="0"/>
    <n v="0"/>
    <n v="0"/>
    <n v="1.63"/>
    <s v="NF-X1900"/>
    <x v="5"/>
  </r>
  <r>
    <d v="2023-05-01T00:00:00"/>
    <x v="16"/>
    <s v="Admin/HR/IT"/>
    <s v="AMCARE NonOcc In"/>
    <s v="AMZN"/>
    <n v="112981212"/>
    <s v="Zanella Miranda,Alyson"/>
    <s v="Robledo Ugarte,Alejandro"/>
    <n v="0"/>
    <n v="0"/>
    <n v="0"/>
    <n v="0"/>
    <n v="0.19"/>
    <e v="#N/A"/>
    <x v="77"/>
  </r>
  <r>
    <d v="2023-05-01T00:00:00"/>
    <x v="16"/>
    <s v="Admin/HR/IT"/>
    <s v="AMCARE NonOcc In"/>
    <s v="AMZN"/>
    <n v="200404250"/>
    <s v="Hurtado,Caty"/>
    <s v="Romero Sanchez,Gustavo Gabriel"/>
    <n v="0"/>
    <n v="0"/>
    <n v="0"/>
    <n v="0"/>
    <n v="0.56000000000000005"/>
    <e v="#N/A"/>
    <x v="6"/>
  </r>
  <r>
    <d v="2023-05-01T00:00:00"/>
    <x v="16"/>
    <s v="Admin/HR/IT"/>
    <s v="AMCARE NonOcc In"/>
    <s v="TEMP"/>
    <n v="200574655"/>
    <s v="Mireles,Dulce"/>
    <s v="Robledo Ugarte,Alejandro"/>
    <n v="0"/>
    <n v="0"/>
    <n v="0"/>
    <n v="0"/>
    <n v="0.19"/>
    <e v="#N/A"/>
    <x v="88"/>
  </r>
  <r>
    <d v="2023-05-01T00:00:00"/>
    <x v="16"/>
    <s v="Admin/HR/IT"/>
    <s v="AMCARE NonOcc In"/>
    <s v="TEMP"/>
    <n v="201186777"/>
    <s v="Monzon,Berenice"/>
    <s v="Romero Sanchez,Gustavo Gabriel"/>
    <n v="0"/>
    <n v="0"/>
    <n v="0"/>
    <n v="0"/>
    <n v="0.14000000000000001"/>
    <e v="#N/A"/>
    <x v="107"/>
  </r>
  <r>
    <d v="2023-05-01T00:00:00"/>
    <x v="16"/>
    <s v="Admin/HR/IT"/>
    <s v="AMCARE NonOcc In"/>
    <s v="TEMP"/>
    <n v="201186833"/>
    <s v="Jasso,Alexa"/>
    <s v="Gomez,Abinadab"/>
    <n v="0"/>
    <n v="0"/>
    <n v="0"/>
    <n v="0"/>
    <n v="0.67"/>
    <e v="#N/A"/>
    <x v="114"/>
  </r>
  <r>
    <d v="2023-05-01T00:00:00"/>
    <x v="16"/>
    <s v="Admin/HR/IT"/>
    <s v="AMCARE NonOcc In"/>
    <s v="TEMP"/>
    <n v="201201993"/>
    <s v="Olmos,Lucia"/>
    <s v="Piedra,Valentina"/>
    <n v="0"/>
    <n v="0"/>
    <n v="0"/>
    <n v="0"/>
    <n v="1.3"/>
    <e v="#N/A"/>
    <x v="0"/>
  </r>
  <r>
    <d v="2023-05-01T00:00:00"/>
    <x v="16"/>
    <s v="Admin/HR/IT"/>
    <s v="AMCARE NonOcc In"/>
    <s v="TEMP"/>
    <n v="201294058"/>
    <s v="Alvarez,Erika"/>
    <s v="Piedra,Valentina"/>
    <n v="0"/>
    <n v="0"/>
    <n v="0"/>
    <n v="0"/>
    <n v="0.08"/>
    <e v="#N/A"/>
    <x v="135"/>
  </r>
  <r>
    <d v="2023-05-02T00:00:00"/>
    <x v="16"/>
    <s v="Admin/HR/IT"/>
    <s v="AMCARE NonOcc In"/>
    <s v="AMZN"/>
    <n v="112912752"/>
    <s v="Valderrama Gomez,Leslie"/>
    <s v="Gomez,Abinadab"/>
    <n v="0"/>
    <n v="0"/>
    <n v="0"/>
    <n v="0"/>
    <n v="1.82"/>
    <s v="NF-X1900"/>
    <x v="5"/>
  </r>
  <r>
    <d v="2023-05-02T00:00:00"/>
    <x v="16"/>
    <s v="Admin/HR/IT"/>
    <s v="AMCARE NonOcc In"/>
    <s v="AMZN"/>
    <n v="112912753"/>
    <s v="Padilla Abrego,Selene"/>
    <s v="Romero Sanchez,Gustavo Gabriel"/>
    <n v="0"/>
    <n v="0"/>
    <n v="0"/>
    <n v="0"/>
    <n v="0.01"/>
    <e v="#N/A"/>
    <x v="0"/>
  </r>
  <r>
    <d v="2023-05-02T00:00:00"/>
    <x v="16"/>
    <s v="Admin/HR/IT"/>
    <s v="AMCARE NonOcc In"/>
    <s v="TEMP"/>
    <n v="112950796"/>
    <s v="Garcia,Janeth"/>
    <s v="Gomez,Abinadab"/>
    <n v="0"/>
    <n v="0"/>
    <n v="0"/>
    <n v="0"/>
    <n v="2.31"/>
    <e v="#N/A"/>
    <x v="0"/>
  </r>
  <r>
    <d v="2023-05-02T00:00:00"/>
    <x v="16"/>
    <s v="Admin/HR/IT"/>
    <s v="AMCARE NonOcc In"/>
    <s v="AMZN"/>
    <n v="112972215"/>
    <s v="Cruz,Ana"/>
    <s v="Romero Sanchez,Gustavo Gabriel"/>
    <n v="0"/>
    <n v="0"/>
    <n v="0"/>
    <n v="0"/>
    <n v="0.14000000000000001"/>
    <s v="DB-X0700"/>
    <x v="134"/>
  </r>
  <r>
    <d v="2023-05-02T00:00:00"/>
    <x v="16"/>
    <s v="Admin/HR/IT"/>
    <s v="AMCARE NonOcc In"/>
    <s v="AMZN"/>
    <n v="112981013"/>
    <s v="Lopez Neri,Norma"/>
    <s v="Gomez,Abinadab"/>
    <n v="0"/>
    <n v="0"/>
    <n v="0"/>
    <n v="0"/>
    <n v="0.96"/>
    <s v="DA-X0700"/>
    <x v="12"/>
  </r>
  <r>
    <d v="2023-05-02T00:00:00"/>
    <x v="16"/>
    <s v="Admin/HR/IT"/>
    <s v="AMCARE NonOcc In"/>
    <s v="AMZN"/>
    <n v="112981196"/>
    <s v="Gomez,Andrea"/>
    <s v="Piedra,Valentina"/>
    <n v="0"/>
    <n v="0"/>
    <n v="0"/>
    <n v="0"/>
    <n v="0.94"/>
    <e v="#N/A"/>
    <x v="22"/>
  </r>
  <r>
    <d v="2023-05-02T00:00:00"/>
    <x v="16"/>
    <s v="Admin/HR/IT"/>
    <s v="AMCARE NonOcc In"/>
    <s v="AMZN"/>
    <n v="113014042"/>
    <s v="Cervantes,Rose"/>
    <s v="Madrid Molina,Ramon"/>
    <n v="0"/>
    <n v="0"/>
    <n v="0"/>
    <n v="0"/>
    <n v="0.24"/>
    <e v="#N/A"/>
    <x v="20"/>
  </r>
  <r>
    <d v="2023-05-02T00:00:00"/>
    <x v="16"/>
    <s v="Admin/HR/IT"/>
    <s v="AMCARE NonOcc In"/>
    <s v="TEMP"/>
    <n v="200563210"/>
    <s v="Pardo,Estafania"/>
    <s v="Morales Beristain,Sugeyt"/>
    <n v="0"/>
    <n v="0"/>
    <n v="0"/>
    <n v="0"/>
    <n v="0.25"/>
    <e v="#N/A"/>
    <x v="0"/>
  </r>
  <r>
    <d v="2023-05-02T00:00:00"/>
    <x v="16"/>
    <s v="Admin/HR/IT"/>
    <s v="AMCARE NonOcc In"/>
    <s v="TEMP"/>
    <n v="201198979"/>
    <s v="Mendoza,Omar"/>
    <s v="Piedra,Valentina"/>
    <n v="0"/>
    <n v="0"/>
    <n v="0"/>
    <n v="0"/>
    <n v="1.18"/>
    <e v="#N/A"/>
    <x v="0"/>
  </r>
  <r>
    <d v="2023-05-02T00:00:00"/>
    <x v="16"/>
    <s v="Admin/HR/IT"/>
    <s v="AMCARE NonOcc In"/>
    <s v="TEMP"/>
    <n v="201295506"/>
    <s v="Becerra,America"/>
    <s v="Gomez,Abinadab"/>
    <n v="0"/>
    <n v="0"/>
    <n v="0"/>
    <n v="0"/>
    <n v="1.22"/>
    <e v="#N/A"/>
    <x v="0"/>
  </r>
  <r>
    <d v="2023-05-02T00:00:00"/>
    <x v="16"/>
    <s v="Admin/HR/IT"/>
    <s v="AMCARE NonOcc In"/>
    <s v="TEMP"/>
    <n v="201320388"/>
    <s v="Pena,Laura"/>
    <s v="Morales Beristain,Sugeyt"/>
    <n v="0"/>
    <n v="0"/>
    <n v="0"/>
    <n v="0"/>
    <n v="0.65"/>
    <e v="#N/A"/>
    <x v="0"/>
  </r>
  <r>
    <d v="2023-05-03T00:00:00"/>
    <x v="16"/>
    <s v="Admin/HR/IT"/>
    <s v="AMCARE NonOcc In"/>
    <s v="TEMP"/>
    <n v="112912007"/>
    <s v="Robledo Barrientos,Alondra"/>
    <s v="Gomez,Abinadab"/>
    <n v="0"/>
    <n v="0"/>
    <n v="0"/>
    <n v="0"/>
    <n v="0.6"/>
    <e v="#N/A"/>
    <x v="0"/>
  </r>
  <r>
    <d v="2023-05-03T00:00:00"/>
    <x v="16"/>
    <s v="Admin/HR/IT"/>
    <s v="AMCARE NonOcc In"/>
    <s v="TEMP"/>
    <n v="112912747"/>
    <s v="Velasco,Cristina"/>
    <s v="Morales Beristain,Sugeyt"/>
    <n v="0"/>
    <n v="0"/>
    <n v="0"/>
    <n v="0"/>
    <n v="0.06"/>
    <e v="#N/A"/>
    <x v="0"/>
  </r>
  <r>
    <d v="2023-05-03T00:00:00"/>
    <x v="16"/>
    <s v="Admin/HR/IT"/>
    <s v="AMCARE NonOcc In"/>
    <s v="AMZN"/>
    <n v="112912752"/>
    <s v="Valderrama Gomez,Leslie"/>
    <s v="Gomez,Abinadab"/>
    <n v="0"/>
    <n v="0"/>
    <n v="0"/>
    <n v="0"/>
    <n v="0.82"/>
    <s v="NF-X1900"/>
    <x v="5"/>
  </r>
  <r>
    <d v="2023-05-03T00:00:00"/>
    <x v="16"/>
    <s v="Admin/HR/IT"/>
    <s v="AMCARE NonOcc In"/>
    <s v="AMZN"/>
    <n v="112942473"/>
    <s v="Vargas Lopez,Hilda Cecilia"/>
    <s v="Munoz,Jonan"/>
    <n v="0"/>
    <n v="0"/>
    <n v="0"/>
    <n v="0"/>
    <n v="1.1499999999999999"/>
    <s v="DC-X0700"/>
    <x v="140"/>
  </r>
  <r>
    <d v="2023-05-03T00:00:00"/>
    <x v="16"/>
    <s v="Admin/HR/IT"/>
    <s v="AMCARE NonOcc In"/>
    <s v="AMZN"/>
    <n v="112971980"/>
    <s v="Romero,Daniel"/>
    <s v="Pizana,Diego"/>
    <n v="0"/>
    <n v="0"/>
    <n v="0"/>
    <n v="0"/>
    <n v="0.46"/>
    <s v="DC-X0700"/>
    <x v="43"/>
  </r>
  <r>
    <d v="2023-05-03T00:00:00"/>
    <x v="16"/>
    <s v="Admin/HR/IT"/>
    <s v="AMCARE NonOcc In"/>
    <s v="AMZN"/>
    <n v="112972215"/>
    <s v="Cruz,Ana"/>
    <s v="Romero Sanchez,Gustavo Gabriel"/>
    <n v="0"/>
    <n v="0"/>
    <n v="0"/>
    <n v="0"/>
    <n v="0.18"/>
    <s v="DB-X0700"/>
    <x v="134"/>
  </r>
  <r>
    <d v="2023-05-03T00:00:00"/>
    <x v="16"/>
    <s v="Admin/HR/IT"/>
    <s v="AMCARE NonOcc In"/>
    <s v="AMZN"/>
    <n v="112980844"/>
    <s v="Padilla,Samantha"/>
    <s v="Gomez,Abinadab"/>
    <n v="0"/>
    <n v="0"/>
    <n v="0"/>
    <n v="0"/>
    <n v="0.47"/>
    <s v="DA-X0700"/>
    <x v="2"/>
  </r>
  <r>
    <d v="2023-05-03T00:00:00"/>
    <x v="16"/>
    <s v="Admin/HR/IT"/>
    <s v="AMCARE NonOcc In"/>
    <s v="AMZN"/>
    <n v="113003631"/>
    <s v="Ortega,Elizabeth"/>
    <s v="Piedra,Valentina"/>
    <n v="0"/>
    <n v="0"/>
    <n v="0"/>
    <n v="0"/>
    <n v="0.22"/>
    <e v="#N/A"/>
    <x v="0"/>
  </r>
  <r>
    <d v="2023-05-03T00:00:00"/>
    <x v="16"/>
    <s v="Admin/HR/IT"/>
    <s v="AMCARE NonOcc In"/>
    <s v="AMZN"/>
    <n v="113019001"/>
    <s v="Lozano Hernandez,Donny"/>
    <s v="Gomez,Abinadab"/>
    <n v="0"/>
    <n v="0"/>
    <n v="0"/>
    <n v="0"/>
    <n v="0.22"/>
    <e v="#N/A"/>
    <x v="48"/>
  </r>
  <r>
    <d v="2023-05-03T00:00:00"/>
    <x v="16"/>
    <s v="Admin/HR/IT"/>
    <s v="AMCARE NonOcc In"/>
    <s v="TEMP"/>
    <n v="200407440"/>
    <s v="Escamilla,Guillermo"/>
    <s v="Morales Beristain,Sugeyt"/>
    <n v="0"/>
    <n v="0"/>
    <n v="0"/>
    <n v="0"/>
    <n v="1.02"/>
    <e v="#N/A"/>
    <x v="0"/>
  </r>
  <r>
    <d v="2023-05-03T00:00:00"/>
    <x v="16"/>
    <s v="Admin/HR/IT"/>
    <s v="AMCARE NonOcc In"/>
    <s v="TEMP"/>
    <n v="201166890"/>
    <s v="Caballero,Daniel"/>
    <s v="Romero Sanchez,Gustavo Gabriel"/>
    <n v="0"/>
    <n v="0"/>
    <n v="0"/>
    <n v="0"/>
    <n v="0.55000000000000004"/>
    <e v="#N/A"/>
    <x v="141"/>
  </r>
  <r>
    <d v="2023-05-04T00:00:00"/>
    <x v="16"/>
    <s v="Admin/HR/IT"/>
    <s v="AMCARE NonOcc In"/>
    <s v="AMZN"/>
    <n v="103260242"/>
    <s v="Ayala,Mariela"/>
    <s v="Ledezma,Fer"/>
    <n v="0"/>
    <n v="0"/>
    <n v="0"/>
    <n v="0"/>
    <n v="0.15"/>
    <e v="#N/A"/>
    <x v="0"/>
  </r>
  <r>
    <d v="2023-05-04T00:00:00"/>
    <x v="16"/>
    <s v="Admin/HR/IT"/>
    <s v="AMCARE NonOcc In"/>
    <s v="AMZN"/>
    <n v="112912674"/>
    <s v="Rodriguez Zamora,Rocio"/>
    <s v="Garcia Espejel,Brenda Victoria"/>
    <n v="0"/>
    <n v="0"/>
    <n v="0"/>
    <n v="0"/>
    <n v="0.87"/>
    <s v="DA-X0700"/>
    <x v="101"/>
  </r>
  <r>
    <d v="2023-05-04T00:00:00"/>
    <x v="16"/>
    <s v="Admin/HR/IT"/>
    <s v="AMCARE NonOcc In"/>
    <s v="AMZN"/>
    <n v="112912675"/>
    <s v="Alejandri Villagomez,Alejandra"/>
    <s v="Corona Arriaga,Fernando"/>
    <n v="0"/>
    <n v="0"/>
    <n v="0"/>
    <n v="0"/>
    <n v="0.26"/>
    <e v="#N/A"/>
    <x v="0"/>
  </r>
  <r>
    <d v="2023-05-04T00:00:00"/>
    <x v="16"/>
    <s v="Admin/HR/IT"/>
    <s v="AMCARE NonOcc In"/>
    <s v="AMZN"/>
    <n v="112912983"/>
    <s v="RodrÃ­guez,RocÃ­o"/>
    <s v="Camarena,Grecia"/>
    <n v="0"/>
    <n v="0"/>
    <n v="0"/>
    <n v="0"/>
    <n v="0.11"/>
    <s v="NF-X1900"/>
    <x v="75"/>
  </r>
  <r>
    <d v="2023-05-04T00:00:00"/>
    <x v="16"/>
    <s v="Admin/HR/IT"/>
    <s v="AMCARE NonOcc In"/>
    <s v="AMZN"/>
    <n v="112920654"/>
    <s v="Horta,Julieta"/>
    <s v="Rosas Negrete,Sebastian"/>
    <n v="0"/>
    <n v="0"/>
    <n v="0"/>
    <n v="0"/>
    <n v="0.32"/>
    <s v="DB-X0700"/>
    <x v="61"/>
  </r>
  <r>
    <d v="2023-05-04T00:00:00"/>
    <x v="16"/>
    <s v="Admin/HR/IT"/>
    <s v="AMCARE NonOcc In"/>
    <s v="AMZN"/>
    <n v="112920655"/>
    <s v="Diaz de LeÃ³n,Paola"/>
    <s v="Pizana,Diego"/>
    <n v="0"/>
    <n v="0"/>
    <n v="0"/>
    <n v="0"/>
    <n v="0.64"/>
    <e v="#N/A"/>
    <x v="0"/>
  </r>
  <r>
    <d v="2023-05-04T00:00:00"/>
    <x v="16"/>
    <s v="Admin/HR/IT"/>
    <s v="AMCARE NonOcc In"/>
    <s v="AMZN"/>
    <n v="112972215"/>
    <s v="Cruz,Ana"/>
    <s v="Romero Sanchez,Gustavo Gabriel"/>
    <n v="0"/>
    <n v="0"/>
    <n v="0"/>
    <n v="0"/>
    <n v="0.31"/>
    <s v="DB-X0700"/>
    <x v="134"/>
  </r>
  <r>
    <d v="2023-05-04T00:00:00"/>
    <x v="16"/>
    <s v="Admin/HR/IT"/>
    <s v="AMCARE NonOcc In"/>
    <s v="AMZN"/>
    <n v="112980986"/>
    <s v="Colchado Garcia,Eser"/>
    <s v="Gomez,Abinadab"/>
    <n v="0"/>
    <n v="0"/>
    <n v="0"/>
    <n v="0"/>
    <n v="1.44"/>
    <s v="DJ-X0700"/>
    <x v="142"/>
  </r>
  <r>
    <d v="2023-05-04T00:00:00"/>
    <x v="16"/>
    <s v="Admin/HR/IT"/>
    <s v="AMCARE NonOcc In"/>
    <s v="AMZN"/>
    <n v="112981061"/>
    <s v="Olguin,Claudia"/>
    <s v="Robledo Ugarte,Alejandro"/>
    <n v="0"/>
    <n v="0"/>
    <n v="0"/>
    <n v="0"/>
    <n v="0.18"/>
    <s v="DA-X0700"/>
    <x v="11"/>
  </r>
  <r>
    <d v="2023-05-04T00:00:00"/>
    <x v="16"/>
    <s v="Admin/HR/IT"/>
    <s v="AMCARE NonOcc In"/>
    <s v="AMZN"/>
    <n v="112981212"/>
    <s v="Zanella Miranda,Alyson"/>
    <s v="Robledo Ugarte,Alejandro"/>
    <n v="0"/>
    <n v="0"/>
    <n v="0"/>
    <n v="0"/>
    <n v="1.08"/>
    <e v="#N/A"/>
    <x v="77"/>
  </r>
  <r>
    <d v="2023-05-04T00:00:00"/>
    <x v="16"/>
    <s v="Admin/HR/IT"/>
    <s v="AMCARE NonOcc In"/>
    <s v="AMZN"/>
    <n v="113003679"/>
    <s v="Ibarra,Jose"/>
    <s v="Gomez Aguado,Jorge"/>
    <n v="0"/>
    <n v="0"/>
    <n v="0"/>
    <n v="0"/>
    <n v="0.12"/>
    <e v="#N/A"/>
    <x v="0"/>
  </r>
  <r>
    <d v="2023-05-04T00:00:00"/>
    <x v="16"/>
    <s v="Admin/HR/IT"/>
    <s v="AMCARE NonOcc In"/>
    <s v="AMZN"/>
    <n v="113014592"/>
    <s v="Picazo,Brenda"/>
    <s v="Romero Sanchez,Gustavo Gabriel"/>
    <n v="0"/>
    <n v="0"/>
    <n v="0"/>
    <n v="0"/>
    <n v="0.22"/>
    <e v="#N/A"/>
    <x v="127"/>
  </r>
  <r>
    <d v="2023-05-04T00:00:00"/>
    <x v="16"/>
    <s v="Admin/HR/IT"/>
    <s v="AMCARE NonOcc In"/>
    <s v="TEMP"/>
    <n v="200563210"/>
    <s v="Pardo,Estafania"/>
    <s v="Morales Beristain,Sugeyt"/>
    <n v="0"/>
    <n v="0"/>
    <n v="0"/>
    <n v="0"/>
    <n v="0.41"/>
    <e v="#N/A"/>
    <x v="0"/>
  </r>
  <r>
    <d v="2023-05-04T00:00:00"/>
    <x v="16"/>
    <s v="Admin/HR/IT"/>
    <s v="AMCARE NonOcc In"/>
    <s v="TEMP"/>
    <n v="200615883"/>
    <s v="Ibarra Amaro,Adriana"/>
    <s v="Gomez Aguado,Jorge"/>
    <n v="0"/>
    <n v="0"/>
    <n v="0"/>
    <n v="0"/>
    <n v="0.77"/>
    <e v="#N/A"/>
    <x v="0"/>
  </r>
  <r>
    <d v="2023-05-04T00:00:00"/>
    <x v="16"/>
    <s v="Admin/HR/IT"/>
    <s v="AMCARE NonOcc In"/>
    <s v="TEMP"/>
    <n v="201320388"/>
    <s v="Pena,Laura"/>
    <s v="Morales Beristain,Sugeyt"/>
    <n v="0"/>
    <n v="0"/>
    <n v="0"/>
    <n v="0"/>
    <n v="0.21"/>
    <e v="#N/A"/>
    <x v="0"/>
  </r>
  <r>
    <d v="2023-05-05T00:00:00"/>
    <x v="16"/>
    <s v="Admin/HR/IT"/>
    <s v="AMCARE NonOcc In"/>
    <s v="AMZN"/>
    <n v="103979960"/>
    <s v="Suchil Angel,Guillermo"/>
    <s v="Robledo Ugarte,Alejandro"/>
    <n v="0"/>
    <n v="0"/>
    <n v="0"/>
    <n v="0"/>
    <n v="0.82"/>
    <e v="#N/A"/>
    <x v="0"/>
  </r>
  <r>
    <d v="2023-05-05T00:00:00"/>
    <x v="16"/>
    <s v="Admin/HR/IT"/>
    <s v="AMCARE NonOcc In"/>
    <s v="AMZN"/>
    <n v="112972608"/>
    <s v="Hernandez Romo,Sam"/>
    <s v="Pizana,Diego"/>
    <n v="0"/>
    <n v="0"/>
    <n v="0"/>
    <n v="0"/>
    <n v="0.4"/>
    <e v="#N/A"/>
    <x v="0"/>
  </r>
  <r>
    <d v="2023-05-05T00:00:00"/>
    <x v="16"/>
    <s v="Admin/HR/IT"/>
    <s v="AMCARE NonOcc In"/>
    <s v="AMZN"/>
    <n v="113004099"/>
    <s v="Partida,Luis"/>
    <s v="Madrid Molina,Ramon"/>
    <n v="0"/>
    <n v="0"/>
    <n v="0"/>
    <n v="0"/>
    <n v="0.93"/>
    <e v="#N/A"/>
    <x v="71"/>
  </r>
  <r>
    <d v="2023-05-05T00:00:00"/>
    <x v="16"/>
    <s v="Admin/HR/IT"/>
    <s v="AMCARE NonOcc In"/>
    <s v="AMZN"/>
    <n v="113020476"/>
    <s v="Puente Aguilar,Polette"/>
    <s v="Madrid Molina,Ramon"/>
    <n v="0"/>
    <n v="0"/>
    <n v="0"/>
    <n v="0"/>
    <n v="0.97"/>
    <e v="#N/A"/>
    <x v="19"/>
  </r>
  <r>
    <d v="2023-05-05T00:00:00"/>
    <x v="16"/>
    <s v="Admin/HR/IT"/>
    <s v="AMCARE NonOcc In"/>
    <s v="AMZN"/>
    <n v="113020667"/>
    <s v="Martinez Becerra,Paulina"/>
    <s v="Gomez Aguado,Jorge"/>
    <n v="0"/>
    <n v="0"/>
    <n v="0"/>
    <n v="0"/>
    <n v="0.49"/>
    <e v="#N/A"/>
    <x v="31"/>
  </r>
  <r>
    <d v="2023-05-05T00:00:00"/>
    <x v="16"/>
    <s v="Admin/HR/IT"/>
    <s v="AMCARE NonOcc In"/>
    <s v="TEMP"/>
    <n v="200562154"/>
    <s v="Reyes Muniz,Cristian"/>
    <s v="Corona Arriaga,Fernando"/>
    <n v="0"/>
    <n v="0"/>
    <n v="0"/>
    <n v="0"/>
    <n v="0.21"/>
    <e v="#N/A"/>
    <x v="42"/>
  </r>
  <r>
    <d v="2023-05-05T00:00:00"/>
    <x v="16"/>
    <s v="Admin/HR/IT"/>
    <s v="AMCARE NonOcc In"/>
    <s v="TEMP"/>
    <n v="200589316"/>
    <s v="Torres Zuniga,Daniel"/>
    <s v="Gomez Aguado,Jorge"/>
    <n v="0"/>
    <n v="0"/>
    <n v="0"/>
    <n v="0"/>
    <n v="0.51"/>
    <e v="#N/A"/>
    <x v="0"/>
  </r>
  <r>
    <d v="2023-05-05T00:00:00"/>
    <x v="16"/>
    <s v="Admin/HR/IT"/>
    <s v="AMCARE NonOcc In"/>
    <s v="TEMP"/>
    <n v="201219500"/>
    <s v="Mazy,RamsÃ©s"/>
    <s v="Ledezma,Fer"/>
    <n v="0"/>
    <n v="0"/>
    <n v="0"/>
    <n v="0"/>
    <n v="0.27"/>
    <e v="#N/A"/>
    <x v="122"/>
  </r>
  <r>
    <d v="2023-05-05T00:00:00"/>
    <x v="16"/>
    <s v="Admin/HR/IT"/>
    <s v="AMCARE NonOcc In"/>
    <s v="TEMP"/>
    <n v="201355246"/>
    <s v="Ramirez,Montserrat"/>
    <s v="Morales Beristain,Sugeyt"/>
    <n v="0"/>
    <n v="0"/>
    <n v="0"/>
    <n v="0"/>
    <n v="0.17"/>
    <e v="#N/A"/>
    <x v="0"/>
  </r>
  <r>
    <d v="2023-05-05T00:00:00"/>
    <x v="16"/>
    <s v="Admin/HR/IT"/>
    <s v="AMCARE NonOcc In"/>
    <s v="TEMP"/>
    <n v="201355332"/>
    <s v="Martinez,Maria Jose"/>
    <s v="Morales Beristain,Sugeyt"/>
    <n v="0"/>
    <n v="0"/>
    <n v="0"/>
    <n v="0"/>
    <n v="0.38"/>
    <e v="#N/A"/>
    <x v="0"/>
  </r>
  <r>
    <d v="2023-05-06T00:00:00"/>
    <x v="16"/>
    <s v="Admin/HR/IT"/>
    <s v="AMCARE NonOcc In"/>
    <s v="AMZN"/>
    <n v="112912675"/>
    <s v="Alejandri Villagomez,Alejandra"/>
    <s v="Corona Arriaga,Fernando"/>
    <n v="0"/>
    <n v="0"/>
    <n v="0"/>
    <n v="0"/>
    <n v="0.35"/>
    <e v="#N/A"/>
    <x v="0"/>
  </r>
  <r>
    <d v="2023-05-06T00:00:00"/>
    <x v="16"/>
    <s v="Admin/HR/IT"/>
    <s v="AMCARE NonOcc In"/>
    <s v="AMZN"/>
    <n v="112972201"/>
    <s v="Garcia,Andres"/>
    <s v="Pizana,Diego"/>
    <n v="0"/>
    <n v="0"/>
    <n v="0"/>
    <n v="0"/>
    <n v="2.6"/>
    <s v="DC-X0700"/>
    <x v="143"/>
  </r>
  <r>
    <d v="2023-05-06T00:00:00"/>
    <x v="16"/>
    <s v="Admin/HR/IT"/>
    <s v="AMCARE NonOcc In"/>
    <s v="AMZN"/>
    <n v="113020476"/>
    <s v="Puente Aguilar,Polette"/>
    <s v="Madrid Molina,Ramon"/>
    <n v="0"/>
    <n v="0"/>
    <n v="0"/>
    <n v="0"/>
    <n v="0.4"/>
    <e v="#N/A"/>
    <x v="19"/>
  </r>
  <r>
    <d v="2023-05-06T00:00:00"/>
    <x v="16"/>
    <s v="Admin/HR/IT"/>
    <s v="AMCARE NonOcc In"/>
    <s v="TEMP"/>
    <n v="200614224"/>
    <s v="Cruz Hernandez,Cris"/>
    <s v="Ledezma,Fer"/>
    <n v="0"/>
    <n v="0"/>
    <n v="0"/>
    <n v="0"/>
    <n v="0.16"/>
    <e v="#N/A"/>
    <x v="0"/>
  </r>
  <r>
    <d v="2023-05-06T00:00:00"/>
    <x v="16"/>
    <s v="Admin/HR/IT"/>
    <s v="AMCARE NonOcc In"/>
    <s v="TEMP"/>
    <n v="201160146"/>
    <s v="Avila,priscila"/>
    <s v="Ledezma,Fer"/>
    <n v="0"/>
    <n v="0"/>
    <n v="0"/>
    <n v="0"/>
    <n v="0.38"/>
    <e v="#N/A"/>
    <x v="0"/>
  </r>
  <r>
    <d v="2023-05-07T00:00:00"/>
    <x v="17"/>
    <s v="Admin/HR/IT"/>
    <s v="AMCARE NonOcc In"/>
    <s v="AMZN"/>
    <n v="111434478"/>
    <s v="Gutierrez,Pame"/>
    <s v="Garcia Espejel,Brenda Victoria"/>
    <n v="0"/>
    <n v="0"/>
    <n v="0"/>
    <n v="0"/>
    <n v="1.27"/>
    <s v="DA-X0700"/>
    <x v="23"/>
  </r>
  <r>
    <d v="2023-05-07T00:00:00"/>
    <x v="17"/>
    <s v="Admin/HR/IT"/>
    <s v="AMCARE NonOcc In"/>
    <s v="AMZN"/>
    <n v="112912209"/>
    <s v="Morales,Sarahi"/>
    <s v="Munoz,Jonan"/>
    <n v="0"/>
    <n v="0"/>
    <n v="0"/>
    <n v="0"/>
    <n v="0.42"/>
    <s v="NF-X1900"/>
    <x v="90"/>
  </r>
  <r>
    <d v="2023-05-07T00:00:00"/>
    <x v="17"/>
    <s v="Admin/HR/IT"/>
    <s v="AMCARE NonOcc In"/>
    <s v="AMZN"/>
    <n v="112912459"/>
    <s v="Maldonado Hernandez,Miguel"/>
    <s v="Gomez Aguado,Jorge"/>
    <n v="0"/>
    <n v="0"/>
    <n v="0"/>
    <n v="0"/>
    <n v="1.32"/>
    <e v="#N/A"/>
    <x v="0"/>
  </r>
  <r>
    <d v="2023-05-07T00:00:00"/>
    <x v="17"/>
    <s v="Admin/HR/IT"/>
    <s v="AMCARE NonOcc In"/>
    <s v="AMZN"/>
    <n v="112912752"/>
    <s v="Valderrama Gomez,Leslie"/>
    <s v="Gomez,Abinadab"/>
    <n v="0"/>
    <n v="0"/>
    <n v="0"/>
    <n v="0"/>
    <n v="0.23"/>
    <s v="NF-X1900"/>
    <x v="5"/>
  </r>
  <r>
    <d v="2023-05-07T00:00:00"/>
    <x v="17"/>
    <s v="Admin/HR/IT"/>
    <s v="AMCARE NonOcc In"/>
    <s v="AMZN"/>
    <n v="112950784"/>
    <s v="Rojas,Samuel"/>
    <s v="Pizana,Diego"/>
    <n v="0"/>
    <n v="0"/>
    <n v="0"/>
    <n v="0"/>
    <n v="0.28000000000000003"/>
    <s v="NF-X1900"/>
    <x v="13"/>
  </r>
  <r>
    <d v="2023-05-07T00:00:00"/>
    <x v="17"/>
    <s v="Admin/HR/IT"/>
    <s v="AMCARE NonOcc In"/>
    <s v="AMZN"/>
    <n v="112950809"/>
    <s v="Rocha,Luz"/>
    <s v="Munoz,Jonan"/>
    <n v="0"/>
    <n v="0"/>
    <n v="0"/>
    <n v="0"/>
    <n v="3.18"/>
    <s v="DA-X0700"/>
    <x v="36"/>
  </r>
  <r>
    <d v="2023-05-07T00:00:00"/>
    <x v="17"/>
    <s v="Admin/HR/IT"/>
    <s v="AMCARE NonOcc In"/>
    <s v="TEMP"/>
    <n v="200589316"/>
    <s v="Torres Zuniga,Daniel"/>
    <s v="Gomez Aguado,Jorge"/>
    <n v="0"/>
    <n v="0"/>
    <n v="0"/>
    <n v="0"/>
    <n v="0.75"/>
    <e v="#N/A"/>
    <x v="0"/>
  </r>
  <r>
    <d v="2023-05-07T00:00:00"/>
    <x v="17"/>
    <s v="Admin/HR/IT"/>
    <s v="AMCARE NonOcc In"/>
    <s v="TEMP"/>
    <n v="200625528"/>
    <s v="Oliva,Lizbeth"/>
    <s v="Piedra,Valentina"/>
    <n v="0"/>
    <n v="0"/>
    <n v="0"/>
    <n v="0"/>
    <n v="0.17"/>
    <e v="#N/A"/>
    <x v="83"/>
  </r>
  <r>
    <d v="2023-05-07T00:00:00"/>
    <x v="17"/>
    <s v="Admin/HR/IT"/>
    <s v="AMCARE NonOcc In"/>
    <s v="TEMP"/>
    <n v="201186139"/>
    <s v="Barba,AdriÃ¡n"/>
    <s v="Gomez,Abinadab"/>
    <n v="0"/>
    <n v="0"/>
    <n v="0"/>
    <n v="0"/>
    <n v="1.25"/>
    <e v="#N/A"/>
    <x v="0"/>
  </r>
  <r>
    <d v="2023-05-07T00:00:00"/>
    <x v="17"/>
    <s v="Admin/HR/IT"/>
    <s v="AMCARE NonOcc In"/>
    <s v="TEMP"/>
    <n v="201201993"/>
    <s v="Olmos,Lucia"/>
    <s v="Piedra,Valentina"/>
    <n v="0"/>
    <n v="0"/>
    <n v="0"/>
    <n v="0"/>
    <n v="0.23"/>
    <e v="#N/A"/>
    <x v="0"/>
  </r>
  <r>
    <d v="2023-05-07T00:00:00"/>
    <x v="17"/>
    <s v="Admin/HR/IT"/>
    <s v="AMCARE NonOcc In"/>
    <s v="TEMP"/>
    <n v="201355525"/>
    <s v="Hernandez,Gael"/>
    <s v="Munoz,Jonan"/>
    <n v="0"/>
    <n v="0"/>
    <n v="0"/>
    <n v="0"/>
    <n v="0.14000000000000001"/>
    <e v="#N/A"/>
    <x v="0"/>
  </r>
  <r>
    <d v="2023-05-08T00:00:00"/>
    <x v="17"/>
    <s v="Admin/HR/IT"/>
    <s v="AMCARE NonOcc In"/>
    <s v="AMZN"/>
    <n v="112912008"/>
    <s v="Espinosa,Consuelo"/>
    <s v="Rosas Negrete,Sebastian"/>
    <n v="0"/>
    <n v="0"/>
    <n v="0"/>
    <n v="0"/>
    <n v="10.49"/>
    <e v="#N/A"/>
    <x v="0"/>
  </r>
  <r>
    <d v="2023-05-08T00:00:00"/>
    <x v="17"/>
    <s v="Admin/HR/IT"/>
    <s v="AMCARE NonOcc In"/>
    <s v="AMZN"/>
    <n v="112912506"/>
    <s v="Garcia  Caudillo,Jessica"/>
    <s v="Munoz,Jonan"/>
    <n v="0"/>
    <n v="0"/>
    <n v="0"/>
    <n v="0"/>
    <n v="0.05"/>
    <s v="DA-X0700"/>
    <x v="144"/>
  </r>
  <r>
    <d v="2023-05-08T00:00:00"/>
    <x v="17"/>
    <s v="Admin/HR/IT"/>
    <s v="AMCARE NonOcc In"/>
    <s v="AMZN"/>
    <n v="112912752"/>
    <s v="Valderrama Gomez,Leslie"/>
    <s v="Gomez,Abinadab"/>
    <n v="0"/>
    <n v="0"/>
    <n v="0"/>
    <n v="0"/>
    <n v="0.53"/>
    <s v="NF-X1900"/>
    <x v="5"/>
  </r>
  <r>
    <d v="2023-05-08T00:00:00"/>
    <x v="17"/>
    <s v="Admin/HR/IT"/>
    <s v="AMCARE NonOcc In"/>
    <s v="AMZN"/>
    <n v="112912983"/>
    <s v="RodrÃ­guez,RocÃ­o"/>
    <s v="Camarena,Grecia"/>
    <n v="0"/>
    <n v="0"/>
    <n v="0"/>
    <n v="0"/>
    <n v="0.34"/>
    <s v="NF-X1900"/>
    <x v="75"/>
  </r>
  <r>
    <d v="2023-05-08T00:00:00"/>
    <x v="17"/>
    <s v="Admin/HR/IT"/>
    <s v="AMCARE NonOcc In"/>
    <s v="AMZN"/>
    <n v="112950809"/>
    <s v="Rocha,Luz"/>
    <s v="Munoz,Jonan"/>
    <n v="0"/>
    <n v="0"/>
    <n v="0"/>
    <n v="0"/>
    <n v="1.87"/>
    <s v="DA-X0700"/>
    <x v="36"/>
  </r>
  <r>
    <d v="2023-05-08T00:00:00"/>
    <x v="17"/>
    <s v="Admin/HR/IT"/>
    <s v="AMCARE NonOcc In"/>
    <s v="AMZN"/>
    <n v="112971965"/>
    <s v="Hernandez,Andrea"/>
    <s v="Madrid Molina,Ramon"/>
    <n v="0"/>
    <n v="0"/>
    <n v="0"/>
    <n v="0"/>
    <n v="0.34"/>
    <e v="#N/A"/>
    <x v="0"/>
  </r>
  <r>
    <d v="2023-05-08T00:00:00"/>
    <x v="17"/>
    <s v="Admin/HR/IT"/>
    <s v="AMCARE NonOcc In"/>
    <s v="AMZN"/>
    <n v="112980847"/>
    <s v="Reyes,Jose"/>
    <s v="Gomez,Abinadab"/>
    <n v="0"/>
    <n v="0"/>
    <n v="0"/>
    <n v="0"/>
    <n v="0.17"/>
    <e v="#N/A"/>
    <x v="0"/>
  </r>
  <r>
    <d v="2023-05-08T00:00:00"/>
    <x v="17"/>
    <s v="Admin/HR/IT"/>
    <s v="AMCARE NonOcc In"/>
    <s v="TEMP"/>
    <n v="200614224"/>
    <s v="Cruz Hernandez,Cris"/>
    <s v="Ledezma,Fer"/>
    <n v="0"/>
    <n v="0"/>
    <n v="0"/>
    <n v="0"/>
    <n v="0.37"/>
    <e v="#N/A"/>
    <x v="0"/>
  </r>
  <r>
    <d v="2023-05-08T00:00:00"/>
    <x v="17"/>
    <s v="Admin/HR/IT"/>
    <s v="AMCARE NonOcc In"/>
    <s v="TEMP"/>
    <n v="200625528"/>
    <s v="Oliva,Lizbeth"/>
    <s v="Piedra,Valentina"/>
    <n v="0"/>
    <n v="0"/>
    <n v="0"/>
    <n v="0"/>
    <n v="0.18"/>
    <e v="#N/A"/>
    <x v="83"/>
  </r>
  <r>
    <d v="2023-05-08T00:00:00"/>
    <x v="17"/>
    <s v="Admin/HR/IT"/>
    <s v="AMCARE NonOcc In"/>
    <s v="TEMP"/>
    <n v="201185277"/>
    <s v="GamiÃ±o,Fany"/>
    <s v="Robledo Ugarte,Alejandro"/>
    <n v="0"/>
    <n v="0"/>
    <n v="0"/>
    <n v="0"/>
    <n v="0.1"/>
    <e v="#N/A"/>
    <x v="0"/>
  </r>
  <r>
    <d v="2023-05-08T00:00:00"/>
    <x v="17"/>
    <s v="Admin/HR/IT"/>
    <s v="AMCARE NonOcc In"/>
    <s v="TEMP"/>
    <n v="201201993"/>
    <s v="Olmos,Lucia"/>
    <s v="Piedra,Valentina"/>
    <n v="0"/>
    <n v="0"/>
    <n v="0"/>
    <n v="0"/>
    <n v="0.25"/>
    <e v="#N/A"/>
    <x v="0"/>
  </r>
  <r>
    <d v="2023-05-08T00:00:00"/>
    <x v="17"/>
    <s v="Admin/HR/IT"/>
    <s v="AMCARE NonOcc In"/>
    <s v="TEMP"/>
    <n v="201294217"/>
    <s v="Montes,Bibiana"/>
    <s v="Gomez,Abinadab"/>
    <n v="0"/>
    <n v="0"/>
    <n v="0"/>
    <n v="0"/>
    <n v="0.43"/>
    <e v="#N/A"/>
    <x v="131"/>
  </r>
  <r>
    <d v="2023-05-08T00:00:00"/>
    <x v="17"/>
    <s v="Admin/HR/IT"/>
    <s v="AMCARE NonOcc In"/>
    <s v="TEMP"/>
    <n v="201314940"/>
    <s v="HernÃ¡ndez,Eliza"/>
    <s v="Lopez,Alexa"/>
    <n v="0"/>
    <n v="0"/>
    <n v="0"/>
    <n v="0"/>
    <n v="0.16"/>
    <e v="#N/A"/>
    <x v="0"/>
  </r>
  <r>
    <d v="2023-05-09T00:00:00"/>
    <x v="17"/>
    <s v="Admin/HR/IT"/>
    <s v="AMCARE NonOcc In"/>
    <s v="AMZN"/>
    <n v="112912071"/>
    <s v="Torres,Alan"/>
    <s v="Gomez,Abinadab"/>
    <n v="0"/>
    <n v="0"/>
    <n v="0"/>
    <n v="0"/>
    <n v="0.42"/>
    <e v="#N/A"/>
    <x v="0"/>
  </r>
  <r>
    <d v="2023-05-09T00:00:00"/>
    <x v="17"/>
    <s v="Admin/HR/IT"/>
    <s v="AMCARE NonOcc In"/>
    <s v="AMZN"/>
    <n v="112912163"/>
    <s v="Murillo,Alejandro"/>
    <s v="Romero Sanchez,Gustavo Gabriel"/>
    <n v="0"/>
    <n v="0"/>
    <n v="0"/>
    <n v="0"/>
    <n v="0.24"/>
    <e v="#N/A"/>
    <x v="0"/>
  </r>
  <r>
    <d v="2023-05-09T00:00:00"/>
    <x v="17"/>
    <s v="Admin/HR/IT"/>
    <s v="AMCARE NonOcc In"/>
    <s v="AMZN"/>
    <n v="112912753"/>
    <s v="Padilla Abrego,Selene"/>
    <s v="Romero Sanchez,Gustavo Gabriel"/>
    <n v="0"/>
    <n v="0"/>
    <n v="0"/>
    <n v="0"/>
    <n v="0.12"/>
    <e v="#N/A"/>
    <x v="0"/>
  </r>
  <r>
    <d v="2023-05-09T00:00:00"/>
    <x v="17"/>
    <s v="Admin/HR/IT"/>
    <s v="AMCARE NonOcc In"/>
    <s v="AMZN"/>
    <n v="112920666"/>
    <s v="Rocha,Jose"/>
    <s v="Cortes,Alejandra"/>
    <n v="0"/>
    <n v="0"/>
    <n v="0"/>
    <n v="0"/>
    <n v="0.23"/>
    <s v="D5-X0700"/>
    <x v="3"/>
  </r>
  <r>
    <d v="2023-05-09T00:00:00"/>
    <x v="17"/>
    <s v="Admin/HR/IT"/>
    <s v="AMCARE NonOcc In"/>
    <s v="AMZN"/>
    <n v="112950792"/>
    <s v="Morales Gonzalez,Genesis"/>
    <s v="Gomez,Abinadab"/>
    <n v="0"/>
    <n v="0"/>
    <n v="0"/>
    <n v="0"/>
    <n v="0.34"/>
    <s v="NF-X1900"/>
    <x v="84"/>
  </r>
  <r>
    <d v="2023-05-09T00:00:00"/>
    <x v="17"/>
    <s v="Admin/HR/IT"/>
    <s v="AMCARE NonOcc In"/>
    <s v="AMZN"/>
    <n v="112950807"/>
    <s v="Sanchez Lira,Aaron"/>
    <s v="Garcia Espejel,Brenda Victoria"/>
    <n v="0"/>
    <n v="0"/>
    <n v="0"/>
    <n v="0"/>
    <n v="0.55000000000000004"/>
    <s v="DA-X0700"/>
    <x v="112"/>
  </r>
  <r>
    <d v="2023-05-09T00:00:00"/>
    <x v="17"/>
    <s v="Admin/HR/IT"/>
    <s v="AMCARE NonOcc In"/>
    <s v="AMZN"/>
    <n v="112950809"/>
    <s v="Rocha,Luz"/>
    <s v="Munoz,Jonan"/>
    <n v="0"/>
    <n v="0"/>
    <n v="0"/>
    <n v="0"/>
    <n v="0.56999999999999995"/>
    <s v="DA-X0700"/>
    <x v="36"/>
  </r>
  <r>
    <d v="2023-05-09T00:00:00"/>
    <x v="17"/>
    <s v="Admin/HR/IT"/>
    <s v="AMCARE NonOcc In"/>
    <s v="AMZN"/>
    <n v="112976013"/>
    <s v="Garcia,Roberto"/>
    <s v="Munoz,Jonan"/>
    <n v="0"/>
    <n v="0"/>
    <n v="0"/>
    <n v="0"/>
    <n v="0.2"/>
    <e v="#N/A"/>
    <x v="0"/>
  </r>
  <r>
    <d v="2023-05-09T00:00:00"/>
    <x v="17"/>
    <s v="Admin/HR/IT"/>
    <s v="AMCARE NonOcc In"/>
    <s v="AMZN"/>
    <n v="112981061"/>
    <s v="Olguin,Claudia"/>
    <s v="Robledo Ugarte,Alejandro"/>
    <n v="0"/>
    <n v="0"/>
    <n v="0"/>
    <n v="0"/>
    <n v="0.42"/>
    <s v="DA-X0700"/>
    <x v="11"/>
  </r>
  <r>
    <d v="2023-05-09T00:00:00"/>
    <x v="17"/>
    <s v="Admin/HR/IT"/>
    <s v="AMCARE NonOcc In"/>
    <s v="TEMP"/>
    <n v="200589316"/>
    <s v="Torres Zuniga,Daniel"/>
    <s v="Gomez Aguado,Jorge"/>
    <n v="0"/>
    <n v="0"/>
    <n v="0"/>
    <n v="0"/>
    <n v="0.52"/>
    <e v="#N/A"/>
    <x v="0"/>
  </r>
  <r>
    <d v="2023-05-09T00:00:00"/>
    <x v="17"/>
    <s v="Admin/HR/IT"/>
    <s v="AMCARE NonOcc In"/>
    <s v="TEMP"/>
    <n v="201160146"/>
    <s v="Avila,priscila"/>
    <s v="Ledezma,Fer"/>
    <n v="0"/>
    <n v="0"/>
    <n v="0"/>
    <n v="0"/>
    <n v="0.2"/>
    <e v="#N/A"/>
    <x v="0"/>
  </r>
  <r>
    <d v="2023-05-09T00:00:00"/>
    <x v="17"/>
    <s v="Admin/HR/IT"/>
    <s v="AMCARE NonOcc In"/>
    <s v="TEMP"/>
    <n v="201165769"/>
    <s v="Puente,Karen"/>
    <s v="Piedra,Valentina"/>
    <n v="0"/>
    <n v="0"/>
    <n v="0"/>
    <n v="0"/>
    <n v="0.77"/>
    <e v="#N/A"/>
    <x v="113"/>
  </r>
  <r>
    <d v="2023-05-09T00:00:00"/>
    <x v="17"/>
    <s v="Admin/HR/IT"/>
    <s v="AMCARE NonOcc In"/>
    <s v="TEMP"/>
    <n v="201320388"/>
    <s v="Pena,Laura"/>
    <s v="Robledo Ugarte,Alejandro"/>
    <n v="0"/>
    <n v="0"/>
    <n v="0"/>
    <n v="0"/>
    <n v="0.25"/>
    <e v="#N/A"/>
    <x v="0"/>
  </r>
  <r>
    <d v="2023-05-09T00:00:00"/>
    <x v="17"/>
    <s v="Admin/HR/IT"/>
    <s v="AMCARE NonOcc In"/>
    <s v="TEMP"/>
    <n v="201355246"/>
    <s v="Ramirez,Montserrat"/>
    <s v="Lopez,Alexa"/>
    <n v="0"/>
    <n v="0"/>
    <n v="0"/>
    <n v="0"/>
    <n v="0.24"/>
    <e v="#N/A"/>
    <x v="0"/>
  </r>
  <r>
    <d v="2023-05-10T00:00:00"/>
    <x v="17"/>
    <s v="Admin/HR/IT"/>
    <s v="AMCARE NonOcc In"/>
    <s v="AMZN"/>
    <n v="110249579"/>
    <s v="Ruz,Misael"/>
    <s v="Piedra,Valentina"/>
    <n v="0"/>
    <n v="0"/>
    <n v="0"/>
    <n v="0"/>
    <n v="0.56999999999999995"/>
    <s v="DA-X0700"/>
    <x v="108"/>
  </r>
  <r>
    <d v="2023-05-10T00:00:00"/>
    <x v="17"/>
    <s v="Admin/HR/IT"/>
    <s v="AMCARE NonOcc In"/>
    <s v="TEMP"/>
    <n v="112912007"/>
    <s v="Robledo Barrientos,Alondra"/>
    <s v="Gomez,Abinadab"/>
    <n v="0"/>
    <n v="0"/>
    <n v="0"/>
    <n v="0"/>
    <n v="0.66"/>
    <e v="#N/A"/>
    <x v="0"/>
  </r>
  <r>
    <d v="2023-05-10T00:00:00"/>
    <x v="17"/>
    <s v="Admin/HR/IT"/>
    <s v="AMCARE NonOcc In"/>
    <s v="AMZN"/>
    <n v="112912163"/>
    <s v="Murillo,Alejandro"/>
    <s v="Romero Sanchez,Gustavo Gabriel"/>
    <n v="0"/>
    <n v="0"/>
    <n v="0"/>
    <n v="0"/>
    <n v="0.18"/>
    <e v="#N/A"/>
    <x v="0"/>
  </r>
  <r>
    <d v="2023-05-10T00:00:00"/>
    <x v="17"/>
    <s v="Admin/HR/IT"/>
    <s v="AMCARE NonOcc In"/>
    <s v="AMZN"/>
    <n v="112950809"/>
    <s v="Rocha,Luz"/>
    <s v="Munoz,Jonan"/>
    <n v="0"/>
    <n v="0"/>
    <n v="0"/>
    <n v="0"/>
    <n v="1.08"/>
    <s v="DA-X0700"/>
    <x v="36"/>
  </r>
  <r>
    <d v="2023-05-10T00:00:00"/>
    <x v="17"/>
    <s v="Admin/HR/IT"/>
    <s v="AMCARE NonOcc In"/>
    <s v="AMZN"/>
    <n v="112972215"/>
    <s v="Cruz,Ana"/>
    <s v="Romero Sanchez,Gustavo Gabriel"/>
    <n v="0"/>
    <n v="0"/>
    <n v="0"/>
    <n v="0"/>
    <n v="0.37"/>
    <s v="DB-X0700"/>
    <x v="134"/>
  </r>
  <r>
    <d v="2023-05-10T00:00:00"/>
    <x v="17"/>
    <s v="Admin/HR/IT"/>
    <s v="AMCARE NonOcc In"/>
    <s v="AMZN"/>
    <n v="113101453"/>
    <s v="Isaac,Geovanna"/>
    <s v="Robledo Ugarte,Alejandro"/>
    <n v="0"/>
    <n v="0"/>
    <n v="0"/>
    <n v="0"/>
    <n v="0.2"/>
    <e v="#N/A"/>
    <x v="4"/>
  </r>
  <r>
    <d v="2023-05-10T00:00:00"/>
    <x v="17"/>
    <s v="Admin/HR/IT"/>
    <s v="AMCARE NonOcc In"/>
    <s v="TEMP"/>
    <n v="200625517"/>
    <s v="RamÃ­rez,Miranda"/>
    <s v="Robledo Ugarte,Alejandro"/>
    <n v="0"/>
    <n v="0"/>
    <n v="0"/>
    <n v="0"/>
    <n v="0.14000000000000001"/>
    <e v="#N/A"/>
    <x v="0"/>
  </r>
  <r>
    <d v="2023-05-10T00:00:00"/>
    <x v="17"/>
    <s v="Admin/HR/IT"/>
    <s v="AMCARE NonOcc In"/>
    <s v="TEMP"/>
    <n v="201365896"/>
    <s v="Gonzalez,Esther"/>
    <s v="Bueno Mendoza,Susana"/>
    <n v="0"/>
    <n v="0"/>
    <n v="0"/>
    <n v="0"/>
    <n v="0.56999999999999995"/>
    <e v="#N/A"/>
    <x v="0"/>
  </r>
  <r>
    <d v="2023-05-10T00:00:00"/>
    <x v="17"/>
    <s v="Admin/HR/IT"/>
    <s v="AMCARE NonOcc In"/>
    <s v="TEMP"/>
    <n v="201378614"/>
    <s v="Meza,Fernando"/>
    <s v="Bueno Mendoza,Susana"/>
    <n v="0"/>
    <n v="0"/>
    <n v="0"/>
    <n v="0"/>
    <n v="0.64"/>
    <e v="#N/A"/>
    <x v="0"/>
  </r>
  <r>
    <d v="2023-05-10T00:00:00"/>
    <x v="17"/>
    <s v="Admin/HR/IT"/>
    <s v="AMCARE NonOcc In"/>
    <s v="TEMP"/>
    <n v="201390700"/>
    <s v="Rea,Carmen"/>
    <s v="Robledo Ugarte,Alejandro"/>
    <n v="0"/>
    <n v="0"/>
    <n v="0"/>
    <n v="0"/>
    <n v="7.0000000000000007E-2"/>
    <e v="#N/A"/>
    <x v="0"/>
  </r>
  <r>
    <d v="2023-05-11T00:00:00"/>
    <x v="17"/>
    <s v="Admin/HR/IT"/>
    <s v="AMCARE NonOcc In"/>
    <s v="AMZN"/>
    <n v="112920655"/>
    <s v="Diaz de LeÃ³n,Paola"/>
    <s v="Pizana,Diego"/>
    <n v="0"/>
    <n v="0"/>
    <n v="0"/>
    <n v="0"/>
    <n v="0.67"/>
    <e v="#N/A"/>
    <x v="0"/>
  </r>
  <r>
    <d v="2023-05-11T00:00:00"/>
    <x v="17"/>
    <s v="Admin/HR/IT"/>
    <s v="AMCARE NonOcc In"/>
    <s v="AMZN"/>
    <n v="112920666"/>
    <s v="Rocha,Jose"/>
    <s v="Cortes,Alejandra"/>
    <n v="0"/>
    <n v="0"/>
    <n v="0"/>
    <n v="0"/>
    <n v="0.1"/>
    <s v="D5-X0700"/>
    <x v="3"/>
  </r>
  <r>
    <d v="2023-05-11T00:00:00"/>
    <x v="17"/>
    <s v="Admin/HR/IT"/>
    <s v="AMCARE NonOcc In"/>
    <s v="TEMP"/>
    <n v="112950796"/>
    <s v="Garcia,Janeth"/>
    <s v="Gomez,Abinadab"/>
    <n v="0"/>
    <n v="0"/>
    <n v="0"/>
    <n v="0"/>
    <n v="0.08"/>
    <e v="#N/A"/>
    <x v="0"/>
  </r>
  <r>
    <d v="2023-05-11T00:00:00"/>
    <x v="17"/>
    <s v="Admin/HR/IT"/>
    <s v="AMCARE NonOcc In"/>
    <s v="AMZN"/>
    <n v="112971980"/>
    <s v="Romero,Daniel"/>
    <s v="Pizana,Diego"/>
    <n v="0"/>
    <n v="0"/>
    <n v="0"/>
    <n v="0"/>
    <n v="0.26"/>
    <s v="DC-X0700"/>
    <x v="43"/>
  </r>
  <r>
    <d v="2023-05-11T00:00:00"/>
    <x v="17"/>
    <s v="Admin/HR/IT"/>
    <s v="AMCARE NonOcc In"/>
    <s v="AMZN"/>
    <n v="112972194"/>
    <s v="Vela Angeles,Fernanda"/>
    <s v="Camarena,Grecia"/>
    <n v="0"/>
    <n v="0"/>
    <n v="0"/>
    <n v="0"/>
    <n v="0.15"/>
    <s v="DB-X0700"/>
    <x v="46"/>
  </r>
  <r>
    <d v="2023-05-11T00:00:00"/>
    <x v="17"/>
    <s v="Admin/HR/IT"/>
    <s v="AMCARE NonOcc In"/>
    <s v="AMZN"/>
    <n v="112991248"/>
    <s v="Cabrera Velazquez,Sandy"/>
    <s v="Madrid Molina,Ramon"/>
    <n v="0"/>
    <n v="0"/>
    <n v="0"/>
    <n v="0"/>
    <n v="0.23"/>
    <e v="#N/A"/>
    <x v="0"/>
  </r>
  <r>
    <d v="2023-05-11T00:00:00"/>
    <x v="17"/>
    <s v="Admin/HR/IT"/>
    <s v="AMCARE NonOcc In"/>
    <s v="AMZN"/>
    <n v="113014042"/>
    <s v="Cervantes,Rose"/>
    <s v="Madrid Molina,Ramon"/>
    <n v="0"/>
    <n v="0"/>
    <n v="0"/>
    <n v="0"/>
    <n v="0.4"/>
    <e v="#N/A"/>
    <x v="20"/>
  </r>
  <r>
    <d v="2023-05-11T00:00:00"/>
    <x v="17"/>
    <s v="Admin/HR/IT"/>
    <s v="AMCARE NonOcc In"/>
    <s v="AMZN"/>
    <n v="113020476"/>
    <s v="Puente Aguilar,Polette"/>
    <s v="Madrid Molina,Ramon"/>
    <n v="0"/>
    <n v="0"/>
    <n v="0"/>
    <n v="0"/>
    <n v="0.59"/>
    <e v="#N/A"/>
    <x v="19"/>
  </r>
  <r>
    <d v="2023-05-11T00:00:00"/>
    <x v="17"/>
    <s v="Admin/HR/IT"/>
    <s v="AMCARE NonOcc In"/>
    <s v="AMZN"/>
    <n v="113101453"/>
    <s v="Isaac,Geovanna"/>
    <s v="Robledo Ugarte,Alejandro"/>
    <n v="0"/>
    <n v="0"/>
    <n v="0"/>
    <n v="0"/>
    <n v="0.28000000000000003"/>
    <e v="#N/A"/>
    <x v="4"/>
  </r>
  <r>
    <d v="2023-05-11T00:00:00"/>
    <x v="17"/>
    <s v="Admin/HR/IT"/>
    <s v="AMCARE NonOcc In"/>
    <s v="TEMP"/>
    <n v="200565197"/>
    <s v="Avila,Mary"/>
    <s v="Romero Sanchez,Gustavo Gabriel"/>
    <n v="0"/>
    <n v="0"/>
    <n v="0"/>
    <n v="0"/>
    <n v="0.42"/>
    <e v="#N/A"/>
    <x v="0"/>
  </r>
  <r>
    <d v="2023-05-11T00:00:00"/>
    <x v="17"/>
    <s v="Admin/HR/IT"/>
    <s v="AMCARE NonOcc In"/>
    <s v="TEMP"/>
    <n v="200614224"/>
    <s v="Cruz Hernandez,Cris"/>
    <s v="Ledezma,Fer"/>
    <n v="0"/>
    <n v="0"/>
    <n v="0"/>
    <n v="0"/>
    <n v="0.25"/>
    <e v="#N/A"/>
    <x v="0"/>
  </r>
  <r>
    <d v="2023-05-11T00:00:00"/>
    <x v="17"/>
    <s v="Admin/HR/IT"/>
    <s v="AMCARE NonOcc In"/>
    <s v="TEMP"/>
    <n v="201309605"/>
    <s v="Hernandez,Yamile"/>
    <s v="Gomez Aguado,Jorge"/>
    <n v="0"/>
    <n v="0"/>
    <n v="0"/>
    <n v="0"/>
    <n v="0.18"/>
    <e v="#N/A"/>
    <x v="0"/>
  </r>
  <r>
    <d v="2023-05-11T00:00:00"/>
    <x v="17"/>
    <s v="Admin/HR/IT"/>
    <s v="AMCARE NonOcc In"/>
    <s v="TEMP"/>
    <n v="201397005"/>
    <s v="Leon,Ana"/>
    <s v="Corona Arriaga,Fernando"/>
    <n v="0"/>
    <n v="0"/>
    <n v="0"/>
    <n v="0"/>
    <n v="1.31"/>
    <e v="#N/A"/>
    <x v="0"/>
  </r>
  <r>
    <d v="2023-05-12T00:00:00"/>
    <x v="17"/>
    <s v="Admin/HR/IT"/>
    <s v="AMCARE NonOcc In"/>
    <s v="TEMP"/>
    <n v="112912747"/>
    <s v="Velasco,Cristina"/>
    <s v="Lopez,Alexa"/>
    <n v="0"/>
    <n v="0"/>
    <n v="0"/>
    <n v="0"/>
    <n v="0.21"/>
    <e v="#N/A"/>
    <x v="0"/>
  </r>
  <r>
    <d v="2023-05-12T00:00:00"/>
    <x v="17"/>
    <s v="Admin/HR/IT"/>
    <s v="AMCARE NonOcc In"/>
    <s v="AMZN"/>
    <n v="112912983"/>
    <s v="RodrÃ­guez,RocÃ­o"/>
    <s v="Camarena,Grecia"/>
    <n v="0"/>
    <n v="0"/>
    <n v="0"/>
    <n v="0"/>
    <n v="0.17"/>
    <s v="NF-X1900"/>
    <x v="75"/>
  </r>
  <r>
    <d v="2023-05-12T00:00:00"/>
    <x v="17"/>
    <s v="Admin/HR/IT"/>
    <s v="AMCARE NonOcc In"/>
    <s v="TEMP"/>
    <n v="200508315"/>
    <s v="Herrera,Aldair"/>
    <s v="Madrid Molina,Ramon"/>
    <n v="0"/>
    <n v="0"/>
    <n v="0"/>
    <n v="0"/>
    <n v="0.09"/>
    <e v="#N/A"/>
    <x v="41"/>
  </r>
  <r>
    <d v="2023-05-12T00:00:00"/>
    <x v="17"/>
    <s v="Admin/HR/IT"/>
    <s v="AMCARE NonOcc In"/>
    <s v="TEMP"/>
    <n v="200513583"/>
    <s v="Herrada,Carlos"/>
    <s v="Corona Arriaga,Fernando"/>
    <n v="0"/>
    <n v="0"/>
    <n v="0"/>
    <n v="0"/>
    <n v="0.08"/>
    <e v="#N/A"/>
    <x v="8"/>
  </r>
  <r>
    <d v="2023-05-12T00:00:00"/>
    <x v="17"/>
    <s v="Admin/HR/IT"/>
    <s v="AMCARE NonOcc In"/>
    <s v="TEMP"/>
    <n v="200614224"/>
    <s v="Cruz Hernandez,Cris"/>
    <s v="Ledezma,Fer"/>
    <n v="0"/>
    <n v="0"/>
    <n v="0"/>
    <n v="0"/>
    <n v="0.32"/>
    <e v="#N/A"/>
    <x v="0"/>
  </r>
  <r>
    <d v="2023-05-12T00:00:00"/>
    <x v="17"/>
    <s v="Admin/HR/IT"/>
    <s v="AMCARE NonOcc In"/>
    <s v="TEMP"/>
    <n v="201160146"/>
    <s v="Avila,priscila"/>
    <s v="Ledezma,Fer"/>
    <n v="0"/>
    <n v="0"/>
    <n v="0"/>
    <n v="0"/>
    <n v="0.28000000000000003"/>
    <e v="#N/A"/>
    <x v="0"/>
  </r>
  <r>
    <d v="2023-05-12T00:00:00"/>
    <x v="17"/>
    <s v="Admin/HR/IT"/>
    <s v="AMCARE NonOcc In"/>
    <s v="TEMP"/>
    <n v="201191198"/>
    <s v="Mojica,Emmanuel"/>
    <s v="Ledezma,Fer"/>
    <n v="0"/>
    <n v="0"/>
    <n v="0"/>
    <n v="0"/>
    <n v="0.1"/>
    <e v="#N/A"/>
    <x v="130"/>
  </r>
  <r>
    <d v="2023-05-12T00:00:00"/>
    <x v="17"/>
    <s v="Admin/HR/IT"/>
    <s v="AMCARE NonOcc In"/>
    <s v="TEMP"/>
    <n v="201198979"/>
    <s v="Mendoza,Omar"/>
    <s v="Piedra,Valentina"/>
    <n v="0"/>
    <n v="0"/>
    <n v="0"/>
    <n v="0"/>
    <n v="0.41"/>
    <e v="#N/A"/>
    <x v="0"/>
  </r>
  <r>
    <d v="2023-05-12T00:00:00"/>
    <x v="17"/>
    <s v="Admin/HR/IT"/>
    <s v="AMCARE NonOcc In"/>
    <s v="TEMP"/>
    <n v="201223730"/>
    <s v="Sanchiz,Cesarito"/>
    <s v="Corona Arriaga,Fernando"/>
    <n v="0"/>
    <n v="0"/>
    <n v="0"/>
    <n v="0"/>
    <n v="0.17"/>
    <e v="#N/A"/>
    <x v="120"/>
  </r>
  <r>
    <d v="2023-05-12T00:00:00"/>
    <x v="17"/>
    <s v="Admin/HR/IT"/>
    <s v="AMCARE NonOcc In"/>
    <s v="TEMP"/>
    <n v="201228411"/>
    <s v="Hernandez Soriano,Jazmin"/>
    <s v="Corona Arriaga,Fernando"/>
    <n v="0"/>
    <n v="0"/>
    <n v="0"/>
    <n v="0"/>
    <n v="0.15"/>
    <e v="#N/A"/>
    <x v="123"/>
  </r>
  <r>
    <d v="2023-05-12T00:00:00"/>
    <x v="17"/>
    <s v="Admin/HR/IT"/>
    <s v="AMCARE NonOcc In"/>
    <s v="TEMP"/>
    <n v="201353166"/>
    <s v="Martinez,Lucia"/>
    <s v="Ledezma,Fer"/>
    <n v="0"/>
    <n v="0"/>
    <n v="0"/>
    <n v="0"/>
    <n v="0.3"/>
    <e v="#N/A"/>
    <x v="145"/>
  </r>
  <r>
    <d v="2023-05-12T00:00:00"/>
    <x v="17"/>
    <s v="Admin/HR/IT"/>
    <s v="AMCARE NonOcc In"/>
    <s v="TEMP"/>
    <n v="201355246"/>
    <s v="Ramirez,Montserrat"/>
    <s v="Lopez,Alexa"/>
    <n v="0"/>
    <n v="0"/>
    <n v="0"/>
    <n v="0"/>
    <n v="0.63"/>
    <e v="#N/A"/>
    <x v="0"/>
  </r>
  <r>
    <d v="2023-05-12T00:00:00"/>
    <x v="17"/>
    <s v="Admin/HR/IT"/>
    <s v="AMCARE NonOcc In"/>
    <s v="TEMP"/>
    <n v="201401654"/>
    <s v="Garcia,Karen"/>
    <s v="Corona Arriaga,Fernando"/>
    <n v="0"/>
    <n v="0"/>
    <n v="0"/>
    <n v="0"/>
    <n v="0.95"/>
    <e v="#N/A"/>
    <x v="0"/>
  </r>
  <r>
    <d v="2023-05-12T00:00:00"/>
    <x v="17"/>
    <s v="Admin/HR/IT"/>
    <s v="AMCARE NonOcc In"/>
    <s v="TEMP"/>
    <n v="201402425"/>
    <s v="Espinoza,Ale"/>
    <s v="Lopez,Alexa"/>
    <n v="0"/>
    <n v="0"/>
    <n v="0"/>
    <n v="0"/>
    <n v="0.8"/>
    <e v="#N/A"/>
    <x v="0"/>
  </r>
  <r>
    <d v="2023-05-12T00:00:00"/>
    <x v="17"/>
    <s v="Admin/HR/IT"/>
    <s v="AMCARE NonOcc In"/>
    <s v="TEMP"/>
    <n v="201403462"/>
    <s v="Valdovino,Jorge"/>
    <s v="Corona Arriaga,Fernando"/>
    <n v="0"/>
    <n v="0"/>
    <n v="0"/>
    <n v="0"/>
    <n v="0.13"/>
    <e v="#N/A"/>
    <x v="146"/>
  </r>
  <r>
    <d v="2023-05-13T00:00:00"/>
    <x v="17"/>
    <s v="Admin/HR/IT"/>
    <s v="AMCARE NonOcc In"/>
    <s v="AMZN"/>
    <n v="112920655"/>
    <s v="Diaz de LeÃ³n,Paola"/>
    <s v="Pizana,Diego"/>
    <n v="0"/>
    <n v="0"/>
    <n v="0"/>
    <n v="0"/>
    <n v="0.04"/>
    <e v="#N/A"/>
    <x v="0"/>
  </r>
  <r>
    <d v="2023-05-13T00:00:00"/>
    <x v="17"/>
    <s v="Admin/HR/IT"/>
    <s v="AMCARE NonOcc In"/>
    <s v="AMZN"/>
    <n v="112971961"/>
    <s v="Lopez,Jason"/>
    <s v="Camarena,Grecia"/>
    <n v="0"/>
    <n v="0"/>
    <n v="0"/>
    <n v="0"/>
    <n v="0.28999999999999998"/>
    <e v="#N/A"/>
    <x v="0"/>
  </r>
  <r>
    <d v="2023-05-13T00:00:00"/>
    <x v="17"/>
    <s v="Admin/HR/IT"/>
    <s v="AMCARE NonOcc In"/>
    <s v="AMZN"/>
    <n v="112971980"/>
    <s v="Romero,Daniel"/>
    <s v="Pizana,Diego"/>
    <n v="0"/>
    <n v="0"/>
    <n v="0"/>
    <n v="0"/>
    <n v="1.75"/>
    <s v="DC-X0700"/>
    <x v="43"/>
  </r>
  <r>
    <d v="2023-05-13T00:00:00"/>
    <x v="17"/>
    <s v="Admin/HR/IT"/>
    <s v="AMCARE NonOcc In"/>
    <s v="AMZN"/>
    <n v="112973049"/>
    <s v="Tavares Parra,Ely"/>
    <s v="Madrid Molina,Ramon"/>
    <n v="0"/>
    <n v="0"/>
    <n v="0"/>
    <n v="0"/>
    <n v="0.67"/>
    <s v="DB-X0700"/>
    <x v="14"/>
  </r>
  <r>
    <d v="2023-05-13T00:00:00"/>
    <x v="17"/>
    <s v="Admin/HR/IT"/>
    <s v="AMCARE NonOcc In"/>
    <s v="AMZN"/>
    <n v="113052151"/>
    <s v="Nieves Mendez,Laura"/>
    <s v="Ledezma,Fer"/>
    <n v="0"/>
    <n v="0"/>
    <n v="0"/>
    <n v="0"/>
    <n v="0.31"/>
    <e v="#N/A"/>
    <x v="56"/>
  </r>
  <r>
    <d v="2023-05-13T00:00:00"/>
    <x v="17"/>
    <s v="Admin/HR/IT"/>
    <s v="AMCARE NonOcc In"/>
    <s v="TEMP"/>
    <n v="200614224"/>
    <s v="Cruz Hernandez,Cris"/>
    <s v="Ledezma,Fer"/>
    <n v="0"/>
    <n v="0"/>
    <n v="0"/>
    <n v="0"/>
    <n v="0.43"/>
    <e v="#N/A"/>
    <x v="0"/>
  </r>
  <r>
    <d v="2023-05-13T00:00:00"/>
    <x v="17"/>
    <s v="Admin/HR/IT"/>
    <s v="AMCARE NonOcc In"/>
    <s v="TEMP"/>
    <n v="201295429"/>
    <s v="Mireles Diaz Lopez,Jessica Jazmin"/>
    <s v="Gomez Aguado,Jorge"/>
    <n v="0"/>
    <n v="0"/>
    <n v="0"/>
    <n v="0"/>
    <n v="0.12"/>
    <e v="#N/A"/>
    <x v="147"/>
  </r>
  <r>
    <d v="2023-05-13T00:00:00"/>
    <x v="17"/>
    <s v="Admin/HR/IT"/>
    <s v="AMCARE NonOcc In"/>
    <s v="TEMP"/>
    <n v="201341822"/>
    <s v="Rocha,Claudia"/>
    <s v="Corona Arriaga,Fernando"/>
    <n v="0"/>
    <n v="0"/>
    <n v="0"/>
    <n v="0"/>
    <n v="0.24"/>
    <e v="#N/A"/>
    <x v="0"/>
  </r>
  <r>
    <d v="2023-05-13T00:00:00"/>
    <x v="17"/>
    <s v="Admin/HR/IT"/>
    <s v="AMCARE NonOcc In"/>
    <s v="TEMP"/>
    <n v="201401654"/>
    <s v="Garcia,Karen"/>
    <s v="Corona Arriaga,Fernando"/>
    <n v="0"/>
    <n v="0"/>
    <n v="0"/>
    <n v="0"/>
    <n v="0.86"/>
    <e v="#N/A"/>
    <x v="0"/>
  </r>
  <r>
    <d v="2023-05-13T00:00:00"/>
    <x v="17"/>
    <s v="Admin/HR/IT"/>
    <s v="AMCARE NonOcc In"/>
    <s v="TEMP"/>
    <n v="201403462"/>
    <s v="Valdovino,Jorge"/>
    <s v="Corona Arriaga,Fernando"/>
    <n v="0"/>
    <n v="0"/>
    <n v="0"/>
    <n v="0"/>
    <n v="0.31"/>
    <e v="#N/A"/>
    <x v="146"/>
  </r>
  <r>
    <d v="2023-05-14T00:00:00"/>
    <x v="18"/>
    <s v="Admin/HR/IT"/>
    <s v="AMCARE NonOcc In"/>
    <s v="AMZN"/>
    <n v="112912008"/>
    <s v="Espinosa,Consuelo"/>
    <s v="Hernandez,Nataly"/>
    <n v="0"/>
    <n v="0"/>
    <n v="0"/>
    <n v="0"/>
    <n v="0.23"/>
    <e v="#N/A"/>
    <x v="0"/>
  </r>
  <r>
    <d v="2023-05-14T00:00:00"/>
    <x v="18"/>
    <s v="Admin/HR/IT"/>
    <s v="AMCARE NonOcc In"/>
    <s v="AMZN"/>
    <n v="112912745"/>
    <s v="Gomez Meza,Alex"/>
    <s v="Gomez,Abinadab"/>
    <n v="0"/>
    <n v="0"/>
    <n v="0"/>
    <n v="0"/>
    <n v="0.1"/>
    <s v="DA-X0700"/>
    <x v="55"/>
  </r>
  <r>
    <d v="2023-05-14T00:00:00"/>
    <x v="18"/>
    <s v="Admin/HR/IT"/>
    <s v="AMCARE NonOcc In"/>
    <s v="AMZN"/>
    <n v="112971997"/>
    <s v="Nieto,Emili"/>
    <s v="Rosas Negrete,Sebastian"/>
    <n v="0"/>
    <n v="0"/>
    <n v="0"/>
    <n v="0"/>
    <n v="0.28000000000000003"/>
    <s v="DA-X0700"/>
    <x v="117"/>
  </r>
  <r>
    <d v="2023-05-14T00:00:00"/>
    <x v="18"/>
    <s v="Admin/HR/IT"/>
    <s v="AMCARE NonOcc In"/>
    <s v="AMZN"/>
    <n v="112980844"/>
    <s v="Padilla,Samantha"/>
    <s v="Gomez,Abinadab"/>
    <n v="0"/>
    <n v="0"/>
    <n v="0"/>
    <n v="0"/>
    <n v="0.67"/>
    <s v="DA-X0700"/>
    <x v="2"/>
  </r>
  <r>
    <d v="2023-05-14T00:00:00"/>
    <x v="18"/>
    <s v="Admin/HR/IT"/>
    <s v="AMCARE NonOcc In"/>
    <s v="AMZN"/>
    <n v="112981014"/>
    <s v="Roldan Gutierrez,Pablo"/>
    <s v="Gomez,Abinadab"/>
    <n v="0"/>
    <n v="0"/>
    <n v="0"/>
    <n v="0"/>
    <n v="0.12"/>
    <s v="DJ-X0700"/>
    <x v="29"/>
  </r>
  <r>
    <d v="2023-05-14T00:00:00"/>
    <x v="18"/>
    <s v="Admin/HR/IT"/>
    <s v="AMCARE NonOcc In"/>
    <s v="AMZN"/>
    <n v="113020497"/>
    <s v="Martinez Ruiz,Diana"/>
    <s v="Gomez Aguado,Jorge"/>
    <n v="0"/>
    <n v="0"/>
    <n v="0"/>
    <n v="0"/>
    <n v="1.1000000000000001"/>
    <e v="#N/A"/>
    <x v="82"/>
  </r>
  <r>
    <d v="2023-05-14T00:00:00"/>
    <x v="18"/>
    <s v="Admin/HR/IT"/>
    <s v="AMCARE NonOcc In"/>
    <s v="TEMP"/>
    <n v="200589316"/>
    <s v="Torres Zuniga,Daniel"/>
    <s v="Gomez Aguado,Jorge"/>
    <n v="0"/>
    <n v="0"/>
    <n v="0"/>
    <n v="0"/>
    <n v="0.26"/>
    <e v="#N/A"/>
    <x v="0"/>
  </r>
  <r>
    <d v="2023-05-14T00:00:00"/>
    <x v="18"/>
    <s v="Admin/HR/IT"/>
    <s v="AMCARE NonOcc In"/>
    <s v="TEMP"/>
    <n v="200625528"/>
    <s v="Oliva,Lizbeth"/>
    <s v="Piedra,Valentina"/>
    <n v="0"/>
    <n v="0"/>
    <n v="0"/>
    <n v="0"/>
    <n v="0.28000000000000003"/>
    <e v="#N/A"/>
    <x v="83"/>
  </r>
  <r>
    <d v="2023-05-14T00:00:00"/>
    <x v="18"/>
    <s v="Admin/HR/IT"/>
    <s v="AMCARE NonOcc In"/>
    <s v="TEMP"/>
    <n v="201198427"/>
    <s v="Ponce,Paulina"/>
    <s v="Gomez Aguado,Jorge"/>
    <n v="0"/>
    <n v="0"/>
    <n v="0"/>
    <n v="0"/>
    <n v="0.22"/>
    <e v="#N/A"/>
    <x v="148"/>
  </r>
  <r>
    <d v="2023-05-14T00:00:00"/>
    <x v="18"/>
    <s v="Admin/HR/IT"/>
    <s v="AMCARE NonOcc In"/>
    <s v="TEMP"/>
    <n v="201402060"/>
    <s v="Tovar,Mariana"/>
    <s v="Bueno Mendoza,Susana"/>
    <n v="0"/>
    <n v="0"/>
    <n v="0"/>
    <n v="0"/>
    <n v="0.41"/>
    <e v="#N/A"/>
    <x v="0"/>
  </r>
  <r>
    <d v="2023-05-14T00:00:00"/>
    <x v="18"/>
    <s v="Admin/HR/IT"/>
    <s v="Admin Home Area"/>
    <s v="AMZN"/>
    <n v="112913615"/>
    <s v="Espinoza,Lizbeth"/>
    <s v="Lugo Vigueras,Alberto"/>
    <n v="0"/>
    <n v="0"/>
    <n v="0"/>
    <n v="0"/>
    <n v="12.63"/>
    <e v="#N/A"/>
    <x v="149"/>
  </r>
  <r>
    <d v="2023-05-15T00:00:00"/>
    <x v="18"/>
    <s v="Admin/HR/IT"/>
    <s v="AMCARE NonOcc In"/>
    <s v="AMZN"/>
    <n v="103979960"/>
    <s v="Suchil Angel,Guillermo"/>
    <s v="Robledo Ugarte,Alejandro"/>
    <n v="0"/>
    <n v="0"/>
    <n v="0"/>
    <n v="0"/>
    <n v="0.59"/>
    <e v="#N/A"/>
    <x v="0"/>
  </r>
  <r>
    <d v="2023-05-15T00:00:00"/>
    <x v="18"/>
    <s v="Admin/HR/IT"/>
    <s v="AMCARE NonOcc In"/>
    <s v="TEMP"/>
    <n v="112912007"/>
    <s v="Robledo Barrientos,Alondra"/>
    <s v="Gomez,Abinadab"/>
    <n v="0"/>
    <n v="0"/>
    <n v="0"/>
    <n v="0"/>
    <n v="0.66"/>
    <e v="#N/A"/>
    <x v="0"/>
  </r>
  <r>
    <d v="2023-05-15T00:00:00"/>
    <x v="18"/>
    <s v="Admin/HR/IT"/>
    <s v="AMCARE NonOcc In"/>
    <s v="TEMP"/>
    <n v="112912067"/>
    <s v="Rocio,Juan"/>
    <s v="Robledo Ugarte,Alejandro"/>
    <n v="0"/>
    <n v="0"/>
    <n v="0"/>
    <n v="0"/>
    <n v="0.93"/>
    <e v="#N/A"/>
    <x v="0"/>
  </r>
  <r>
    <d v="2023-05-15T00:00:00"/>
    <x v="18"/>
    <s v="Admin/HR/IT"/>
    <s v="AMCARE NonOcc In"/>
    <s v="AMZN"/>
    <n v="112912506"/>
    <s v="Garcia  Caudillo,Jessica"/>
    <s v="Munoz,Jonan"/>
    <n v="0"/>
    <n v="0"/>
    <n v="0"/>
    <n v="0"/>
    <n v="0.54"/>
    <s v="DA-X0700"/>
    <x v="144"/>
  </r>
  <r>
    <d v="2023-05-15T00:00:00"/>
    <x v="18"/>
    <s v="Admin/HR/IT"/>
    <s v="AMCARE NonOcc In"/>
    <s v="AMZN"/>
    <n v="112912663"/>
    <s v="Segura,Lucero"/>
    <s v="Munoz,Jonan"/>
    <n v="0"/>
    <n v="0"/>
    <n v="0"/>
    <n v="0"/>
    <n v="0.92"/>
    <e v="#N/A"/>
    <x v="0"/>
  </r>
  <r>
    <d v="2023-05-15T00:00:00"/>
    <x v="18"/>
    <s v="Admin/HR/IT"/>
    <s v="AMCARE NonOcc In"/>
    <s v="AMZN"/>
    <n v="112971997"/>
    <s v="Nieto,Emili"/>
    <s v="Rosas Negrete,Sebastian"/>
    <n v="0"/>
    <n v="0"/>
    <n v="0"/>
    <n v="0"/>
    <n v="0.24"/>
    <s v="DA-X0700"/>
    <x v="117"/>
  </r>
  <r>
    <d v="2023-05-15T00:00:00"/>
    <x v="18"/>
    <s v="Admin/HR/IT"/>
    <s v="AMCARE NonOcc In"/>
    <s v="AMZN"/>
    <n v="112981013"/>
    <s v="Lopez Neri,Norma"/>
    <s v="Gomez,Abinadab"/>
    <n v="0"/>
    <n v="0"/>
    <n v="0"/>
    <n v="0"/>
    <n v="0.16"/>
    <s v="DA-X0700"/>
    <x v="12"/>
  </r>
  <r>
    <d v="2023-05-15T00:00:00"/>
    <x v="18"/>
    <s v="Admin/HR/IT"/>
    <s v="AMCARE NonOcc In"/>
    <s v="TEMP"/>
    <n v="200509428"/>
    <s v="Guevara Ramirez,Zayra Lorena"/>
    <s v="Robledo Ugarte,Alejandro"/>
    <n v="0"/>
    <n v="0"/>
    <n v="0"/>
    <n v="0"/>
    <n v="0.21"/>
    <e v="#N/A"/>
    <x v="0"/>
  </r>
  <r>
    <d v="2023-05-15T00:00:00"/>
    <x v="18"/>
    <s v="Admin/HR/IT"/>
    <s v="AMCARE NonOcc In"/>
    <s v="TEMP"/>
    <n v="200535448"/>
    <s v="Guerrero Hernandez,Silvia"/>
    <s v="Piedra,Valentina"/>
    <n v="0"/>
    <n v="0"/>
    <n v="0"/>
    <n v="0"/>
    <n v="0.22"/>
    <e v="#N/A"/>
    <x v="0"/>
  </r>
  <r>
    <d v="2023-05-15T00:00:00"/>
    <x v="18"/>
    <s v="Admin/HR/IT"/>
    <s v="AMCARE NonOcc In"/>
    <s v="TEMP"/>
    <n v="201198979"/>
    <s v="Mendoza,Omar"/>
    <s v="Piedra,Valentina"/>
    <n v="0"/>
    <n v="0"/>
    <n v="0"/>
    <n v="0"/>
    <n v="0.38"/>
    <e v="#N/A"/>
    <x v="0"/>
  </r>
  <r>
    <d v="2023-05-15T00:00:00"/>
    <x v="18"/>
    <s v="Admin/HR/IT"/>
    <s v="AMCARE NonOcc In"/>
    <s v="TEMP"/>
    <n v="201314835"/>
    <s v="Guzman,Janeth"/>
    <s v="Lopez,Alexa"/>
    <n v="0"/>
    <n v="0"/>
    <n v="0"/>
    <n v="0"/>
    <n v="7.0000000000000007E-2"/>
    <e v="#N/A"/>
    <x v="0"/>
  </r>
  <r>
    <d v="2023-05-15T00:00:00"/>
    <x v="18"/>
    <s v="Admin/HR/IT"/>
    <s v="AMCARE NonOcc In"/>
    <s v="TEMP"/>
    <n v="201353328"/>
    <s v="Mendoza Macias,Zaira Irais"/>
    <s v="Munoz,Jonan"/>
    <n v="0"/>
    <n v="0"/>
    <n v="0"/>
    <n v="0"/>
    <n v="0.31"/>
    <e v="#N/A"/>
    <x v="150"/>
  </r>
  <r>
    <d v="2023-05-15T00:00:00"/>
    <x v="18"/>
    <s v="Admin/HR/IT"/>
    <s v="AMCARE NonOcc In"/>
    <s v="TEMP"/>
    <n v="201354944"/>
    <s v="Hernandez,Hugo"/>
    <s v="Munoz,Jonan"/>
    <n v="0"/>
    <n v="0"/>
    <n v="0"/>
    <n v="0"/>
    <n v="0.22"/>
    <e v="#N/A"/>
    <x v="151"/>
  </r>
  <r>
    <d v="2023-05-15T00:00:00"/>
    <x v="18"/>
    <s v="Admin/HR/IT"/>
    <s v="AMCARE NonOcc In"/>
    <s v="TEMP"/>
    <n v="201354965"/>
    <s v="JimÃ©nez,Aline"/>
    <s v="Lopez,Alexa"/>
    <n v="0"/>
    <n v="0"/>
    <n v="0"/>
    <n v="0"/>
    <n v="0.79"/>
    <e v="#N/A"/>
    <x v="152"/>
  </r>
  <r>
    <d v="2023-05-15T00:00:00"/>
    <x v="18"/>
    <s v="Admin/HR/IT"/>
    <s v="AMCARE NonOcc In"/>
    <s v="TEMP"/>
    <n v="201402060"/>
    <s v="Tovar,Mariana"/>
    <s v="Bueno Mendoza,Susana"/>
    <n v="0"/>
    <n v="0"/>
    <n v="0"/>
    <n v="0"/>
    <n v="1.1499999999999999"/>
    <e v="#N/A"/>
    <x v="0"/>
  </r>
  <r>
    <d v="2023-05-15T00:00:00"/>
    <x v="18"/>
    <s v="Admin/HR/IT"/>
    <s v="AMCARE NonOcc In"/>
    <s v="TEMP"/>
    <n v="201402216"/>
    <s v="Navia,Victor"/>
    <s v="Bueno Mendoza,Susana"/>
    <n v="0"/>
    <n v="0"/>
    <n v="0"/>
    <n v="0"/>
    <n v="0.2"/>
    <e v="#N/A"/>
    <x v="0"/>
  </r>
  <r>
    <d v="2023-05-15T00:00:00"/>
    <x v="18"/>
    <s v="Admin/HR/IT"/>
    <s v="AMCARE Occ In"/>
    <s v="TEMP"/>
    <n v="200535448"/>
    <s v="Guerrero Hernandez,Silvia"/>
    <s v="Piedra,Valentina"/>
    <n v="0"/>
    <n v="0"/>
    <n v="0"/>
    <n v="0"/>
    <n v="0.68"/>
    <e v="#N/A"/>
    <x v="0"/>
  </r>
  <r>
    <d v="2023-05-16T00:00:00"/>
    <x v="18"/>
    <s v="Admin/HR/IT"/>
    <s v="AMCARE NonOcc In"/>
    <s v="TEMP"/>
    <n v="112912007"/>
    <s v="Robledo Barrientos,Alondra"/>
    <s v="Gomez,Abinadab"/>
    <n v="0"/>
    <n v="0"/>
    <n v="0"/>
    <n v="0"/>
    <n v="1.38"/>
    <e v="#N/A"/>
    <x v="0"/>
  </r>
  <r>
    <d v="2023-05-16T00:00:00"/>
    <x v="18"/>
    <s v="Admin/HR/IT"/>
    <s v="AMCARE NonOcc In"/>
    <s v="TEMP"/>
    <n v="112912067"/>
    <s v="Rocio,Juan"/>
    <s v="Robledo Ugarte,Alejandro"/>
    <n v="0"/>
    <n v="0"/>
    <n v="0"/>
    <n v="0"/>
    <n v="0.14000000000000001"/>
    <e v="#N/A"/>
    <x v="0"/>
  </r>
  <r>
    <d v="2023-05-16T00:00:00"/>
    <x v="18"/>
    <s v="Admin/HR/IT"/>
    <s v="AMCARE NonOcc In"/>
    <s v="AMZN"/>
    <n v="112912506"/>
    <s v="Garcia  Caudillo,Jessica"/>
    <s v="Munoz,Jonan"/>
    <n v="0"/>
    <n v="0"/>
    <n v="0"/>
    <n v="0"/>
    <n v="0.22"/>
    <s v="DA-X0700"/>
    <x v="144"/>
  </r>
  <r>
    <d v="2023-05-16T00:00:00"/>
    <x v="18"/>
    <s v="Admin/HR/IT"/>
    <s v="AMCARE NonOcc In"/>
    <s v="AMZN"/>
    <n v="112912753"/>
    <s v="Padilla Abrego,Selene"/>
    <s v="Romero Sanchez,Gustavo Gabriel"/>
    <n v="0"/>
    <n v="0"/>
    <n v="0"/>
    <n v="0"/>
    <n v="0.28000000000000003"/>
    <e v="#N/A"/>
    <x v="0"/>
  </r>
  <r>
    <d v="2023-05-16T00:00:00"/>
    <x v="18"/>
    <s v="Admin/HR/IT"/>
    <s v="AMCARE NonOcc In"/>
    <s v="AMZN"/>
    <n v="112950800"/>
    <s v="Muniz,Viri"/>
    <s v="Munoz,Jonan"/>
    <n v="0"/>
    <n v="0"/>
    <n v="0"/>
    <n v="0"/>
    <n v="1.08"/>
    <s v="NF-X1900"/>
    <x v="51"/>
  </r>
  <r>
    <d v="2023-05-16T00:00:00"/>
    <x v="18"/>
    <s v="Admin/HR/IT"/>
    <s v="AMCARE NonOcc In"/>
    <s v="AMZN"/>
    <n v="112971997"/>
    <s v="Nieto,Emili"/>
    <s v="Rosas Negrete,Sebastian"/>
    <n v="0"/>
    <n v="0"/>
    <n v="0"/>
    <n v="0"/>
    <n v="0.28000000000000003"/>
    <s v="DA-X0700"/>
    <x v="117"/>
  </r>
  <r>
    <d v="2023-05-16T00:00:00"/>
    <x v="18"/>
    <s v="Admin/HR/IT"/>
    <s v="AMCARE NonOcc In"/>
    <s v="AMZN"/>
    <n v="113003631"/>
    <s v="Ortega,Elizabeth"/>
    <s v="Piedra,Valentina"/>
    <n v="0"/>
    <n v="0"/>
    <n v="0"/>
    <n v="0"/>
    <n v="0.69"/>
    <e v="#N/A"/>
    <x v="0"/>
  </r>
  <r>
    <d v="2023-05-16T00:00:00"/>
    <x v="18"/>
    <s v="Admin/HR/IT"/>
    <s v="AMCARE NonOcc In"/>
    <s v="TEMP"/>
    <n v="200514421"/>
    <s v="Padilla Abrego,Angeles"/>
    <s v="Romero Sanchez,Gustavo Gabriel"/>
    <n v="0"/>
    <n v="0"/>
    <n v="0"/>
    <n v="0"/>
    <n v="1.07"/>
    <e v="#N/A"/>
    <x v="18"/>
  </r>
  <r>
    <d v="2023-05-16T00:00:00"/>
    <x v="18"/>
    <s v="Admin/HR/IT"/>
    <s v="AMCARE NonOcc In"/>
    <s v="TEMP"/>
    <n v="200552457"/>
    <s v="Hernandez Velazquez,Yolis"/>
    <s v="Gomez,Abinadab"/>
    <n v="0"/>
    <n v="0"/>
    <n v="0"/>
    <n v="0"/>
    <n v="0.85"/>
    <e v="#N/A"/>
    <x v="153"/>
  </r>
  <r>
    <d v="2023-05-16T00:00:00"/>
    <x v="18"/>
    <s v="Admin/HR/IT"/>
    <s v="AMCARE NonOcc In"/>
    <s v="TEMP"/>
    <n v="200565197"/>
    <s v="Avila,Mary"/>
    <s v="Romero Sanchez,Gustavo Gabriel"/>
    <n v="0"/>
    <n v="0"/>
    <n v="0"/>
    <n v="0"/>
    <n v="0.37"/>
    <e v="#N/A"/>
    <x v="0"/>
  </r>
  <r>
    <d v="2023-05-16T00:00:00"/>
    <x v="18"/>
    <s v="Admin/HR/IT"/>
    <s v="AMCARE NonOcc In"/>
    <s v="TEMP"/>
    <n v="200589316"/>
    <s v="Torres Zuniga,Daniel"/>
    <s v="Gomez Aguado,Jorge"/>
    <n v="0"/>
    <n v="0"/>
    <n v="0"/>
    <n v="0"/>
    <n v="0.38"/>
    <e v="#N/A"/>
    <x v="0"/>
  </r>
  <r>
    <d v="2023-05-16T00:00:00"/>
    <x v="18"/>
    <s v="Admin/HR/IT"/>
    <s v="AMCARE NonOcc In"/>
    <s v="TEMP"/>
    <n v="200625528"/>
    <s v="Oliva,Lizbeth"/>
    <s v="Piedra,Valentina"/>
    <n v="0"/>
    <n v="0"/>
    <n v="0"/>
    <n v="0"/>
    <n v="0"/>
    <e v="#N/A"/>
    <x v="83"/>
  </r>
  <r>
    <d v="2023-05-16T00:00:00"/>
    <x v="18"/>
    <s v="Admin/HR/IT"/>
    <s v="AMCARE NonOcc In"/>
    <s v="TEMP"/>
    <n v="201166890"/>
    <s v="Caballero,Daniel"/>
    <s v="Romero Sanchez,Gustavo Gabriel"/>
    <n v="0"/>
    <n v="0"/>
    <n v="0"/>
    <n v="0"/>
    <n v="0.23"/>
    <e v="#N/A"/>
    <x v="141"/>
  </r>
  <r>
    <d v="2023-05-16T00:00:00"/>
    <x v="18"/>
    <s v="Admin/HR/IT"/>
    <s v="AMCARE NonOcc In"/>
    <s v="TEMP"/>
    <n v="201194285"/>
    <s v="Robledo,Alma"/>
    <s v="Ledezma,Fer"/>
    <n v="0"/>
    <n v="0"/>
    <n v="0"/>
    <n v="0"/>
    <n v="0.26"/>
    <e v="#N/A"/>
    <x v="0"/>
  </r>
  <r>
    <d v="2023-05-16T00:00:00"/>
    <x v="18"/>
    <s v="Admin/HR/IT"/>
    <s v="AMCARE NonOcc In"/>
    <s v="TEMP"/>
    <n v="201201993"/>
    <s v="Olmos,Lucia"/>
    <s v="Piedra,Valentina"/>
    <n v="0"/>
    <n v="0"/>
    <n v="0"/>
    <n v="0"/>
    <n v="0.2"/>
    <e v="#N/A"/>
    <x v="0"/>
  </r>
  <r>
    <d v="2023-05-16T00:00:00"/>
    <x v="18"/>
    <s v="Admin/HR/IT"/>
    <s v="AMCARE NonOcc In"/>
    <s v="TEMP"/>
    <n v="201204937"/>
    <s v="Vazquez,Carmen"/>
    <s v="Ledezma,Fer"/>
    <n v="0"/>
    <n v="0"/>
    <n v="0"/>
    <n v="0"/>
    <n v="0.17"/>
    <e v="#N/A"/>
    <x v="0"/>
  </r>
  <r>
    <d v="2023-05-16T00:00:00"/>
    <x v="18"/>
    <s v="Admin/HR/IT"/>
    <s v="AMCARE NonOcc In"/>
    <s v="TEMP"/>
    <n v="201329529"/>
    <s v="Padilla,Pablo"/>
    <s v="Lopez,Alexa"/>
    <n v="0"/>
    <n v="0"/>
    <n v="0"/>
    <n v="0"/>
    <n v="1.1100000000000001"/>
    <e v="#N/A"/>
    <x v="0"/>
  </r>
  <r>
    <d v="2023-05-16T00:00:00"/>
    <x v="18"/>
    <s v="Admin/HR/IT"/>
    <s v="AMCARE NonOcc In"/>
    <s v="TEMP"/>
    <n v="201345774"/>
    <s v="Quijas,Jonathan"/>
    <s v="Robledo Ugarte,Alejandro"/>
    <n v="0"/>
    <n v="0"/>
    <n v="0"/>
    <n v="0"/>
    <n v="0.2"/>
    <e v="#N/A"/>
    <x v="154"/>
  </r>
  <r>
    <d v="2023-05-16T00:00:00"/>
    <x v="18"/>
    <s v="Admin/HR/IT"/>
    <s v="AMCARE NonOcc In"/>
    <s v="TEMP"/>
    <n v="201354931"/>
    <s v="Vargas Quezada,Gibran"/>
    <s v="Garcia Espejel,Brenda Victoria"/>
    <n v="0"/>
    <n v="0"/>
    <n v="0"/>
    <n v="0"/>
    <n v="0.56000000000000005"/>
    <e v="#N/A"/>
    <x v="0"/>
  </r>
  <r>
    <d v="2023-05-16T00:00:00"/>
    <x v="18"/>
    <s v="Admin/HR/IT"/>
    <s v="AMCARE NonOcc In"/>
    <s v="TEMP"/>
    <n v="201355246"/>
    <s v="Ramirez,Montserrat"/>
    <s v="Lopez,Alexa"/>
    <n v="0"/>
    <n v="0"/>
    <n v="0"/>
    <n v="0"/>
    <n v="0.81"/>
    <e v="#N/A"/>
    <x v="0"/>
  </r>
  <r>
    <d v="2023-05-16T00:00:00"/>
    <x v="18"/>
    <s v="Admin/HR/IT"/>
    <s v="AMCARE NonOcc In"/>
    <s v="TEMP"/>
    <n v="201363254"/>
    <s v="Frausto,Raziel"/>
    <s v="Garcia Espejel,Brenda Victoria"/>
    <n v="0"/>
    <n v="0"/>
    <n v="0"/>
    <n v="0"/>
    <n v="0.79"/>
    <e v="#N/A"/>
    <x v="155"/>
  </r>
  <r>
    <d v="2023-05-16T00:00:00"/>
    <x v="18"/>
    <s v="Admin/HR/IT"/>
    <s v="AMCARE NonOcc In"/>
    <s v="TEMP"/>
    <n v="201378614"/>
    <s v="Meza,Fernando"/>
    <s v="Bueno Mendoza,Susana"/>
    <n v="0"/>
    <n v="0"/>
    <n v="0"/>
    <n v="0"/>
    <n v="0.17"/>
    <e v="#N/A"/>
    <x v="0"/>
  </r>
  <r>
    <d v="2023-05-16T00:00:00"/>
    <x v="18"/>
    <s v="Admin/HR/IT"/>
    <s v="AMCARE NonOcc In"/>
    <s v="TEMP"/>
    <n v="201402060"/>
    <s v="Tovar,Mariana"/>
    <s v="Bueno Mendoza,Susana"/>
    <n v="0"/>
    <n v="0"/>
    <n v="0"/>
    <n v="0"/>
    <n v="0.53"/>
    <e v="#N/A"/>
    <x v="0"/>
  </r>
  <r>
    <d v="2023-05-17T00:00:00"/>
    <x v="18"/>
    <s v="Admin/HR/IT"/>
    <s v="AMCARE NonOcc In"/>
    <s v="TEMP"/>
    <n v="112912067"/>
    <s v="Rocio,Juan"/>
    <s v="Robledo Ugarte,Alejandro"/>
    <n v="0"/>
    <n v="0"/>
    <n v="0"/>
    <n v="0"/>
    <n v="1.65"/>
    <e v="#N/A"/>
    <x v="0"/>
  </r>
  <r>
    <d v="2023-05-17T00:00:00"/>
    <x v="18"/>
    <s v="Admin/HR/IT"/>
    <s v="AMCARE NonOcc In"/>
    <s v="AMZN"/>
    <n v="112912071"/>
    <s v="Torres,Alan"/>
    <s v="Gomez,Abinadab"/>
    <n v="0"/>
    <n v="0"/>
    <n v="0"/>
    <n v="0"/>
    <n v="0.67"/>
    <e v="#N/A"/>
    <x v="0"/>
  </r>
  <r>
    <d v="2023-05-17T00:00:00"/>
    <x v="18"/>
    <s v="Admin/HR/IT"/>
    <s v="AMCARE NonOcc In"/>
    <s v="AMZN"/>
    <n v="112912663"/>
    <s v="Segura,Lucero"/>
    <s v="Munoz,Jonan"/>
    <n v="0"/>
    <n v="0"/>
    <n v="0"/>
    <n v="0"/>
    <n v="0.17"/>
    <e v="#N/A"/>
    <x v="0"/>
  </r>
  <r>
    <d v="2023-05-17T00:00:00"/>
    <x v="18"/>
    <s v="Admin/HR/IT"/>
    <s v="AMCARE NonOcc In"/>
    <s v="AMZN"/>
    <n v="112912745"/>
    <s v="Gomez Meza,Alex"/>
    <s v="Gomez,Abinadab"/>
    <n v="0"/>
    <n v="0"/>
    <n v="0"/>
    <n v="0"/>
    <n v="0.59"/>
    <s v="DA-X0700"/>
    <x v="55"/>
  </r>
  <r>
    <d v="2023-05-17T00:00:00"/>
    <x v="18"/>
    <s v="Admin/HR/IT"/>
    <s v="AMCARE NonOcc In"/>
    <s v="AMZN"/>
    <n v="112912752"/>
    <s v="Valderrama Gomez,Leslie"/>
    <s v="Gomez,Abinadab"/>
    <n v="0"/>
    <n v="0"/>
    <n v="0"/>
    <n v="0"/>
    <n v="1.74"/>
    <s v="NF-X1900"/>
    <x v="5"/>
  </r>
  <r>
    <d v="2023-05-17T00:00:00"/>
    <x v="18"/>
    <s v="Admin/HR/IT"/>
    <s v="AMCARE NonOcc In"/>
    <s v="AMZN"/>
    <n v="112912753"/>
    <s v="Padilla Abrego,Selene"/>
    <s v="Romero Sanchez,Gustavo Gabriel"/>
    <n v="0"/>
    <n v="0"/>
    <n v="0"/>
    <n v="0"/>
    <n v="0.4"/>
    <e v="#N/A"/>
    <x v="0"/>
  </r>
  <r>
    <d v="2023-05-17T00:00:00"/>
    <x v="18"/>
    <s v="Admin/HR/IT"/>
    <s v="AMCARE NonOcc In"/>
    <s v="AMZN"/>
    <n v="112971980"/>
    <s v="Romero,Daniel"/>
    <s v="Pizana,Diego"/>
    <n v="0"/>
    <n v="0"/>
    <n v="0"/>
    <n v="0"/>
    <n v="0.3"/>
    <s v="DC-X0700"/>
    <x v="43"/>
  </r>
  <r>
    <d v="2023-05-17T00:00:00"/>
    <x v="18"/>
    <s v="Admin/HR/IT"/>
    <s v="AMCARE NonOcc In"/>
    <s v="AMZN"/>
    <n v="112972608"/>
    <s v="Hernandez Romo,Sam"/>
    <s v="Pizana,Diego"/>
    <n v="0"/>
    <n v="0"/>
    <n v="0"/>
    <n v="0"/>
    <n v="0.36"/>
    <e v="#N/A"/>
    <x v="0"/>
  </r>
  <r>
    <d v="2023-05-17T00:00:00"/>
    <x v="18"/>
    <s v="Admin/HR/IT"/>
    <s v="AMCARE NonOcc In"/>
    <s v="AMZN"/>
    <n v="112973049"/>
    <s v="Tavares Parra,Ely"/>
    <s v="Madrid Molina,Ramon"/>
    <n v="0"/>
    <n v="0"/>
    <n v="0"/>
    <n v="0"/>
    <n v="0.86"/>
    <s v="DB-X0700"/>
    <x v="14"/>
  </r>
  <r>
    <d v="2023-05-17T00:00:00"/>
    <x v="18"/>
    <s v="Admin/HR/IT"/>
    <s v="AMCARE NonOcc In"/>
    <s v="AMZN"/>
    <n v="112981212"/>
    <s v="Zanella Miranda,Alyson"/>
    <s v="Robledo Ugarte,Alejandro"/>
    <n v="0"/>
    <n v="0"/>
    <n v="0"/>
    <n v="0"/>
    <n v="0.37"/>
    <e v="#N/A"/>
    <x v="77"/>
  </r>
  <r>
    <d v="2023-05-17T00:00:00"/>
    <x v="18"/>
    <s v="Admin/HR/IT"/>
    <s v="AMCARE NonOcc In"/>
    <s v="AMZN"/>
    <n v="113014094"/>
    <s v="Mercado,Erika"/>
    <s v="Robledo Ugarte,Alejandro"/>
    <n v="0"/>
    <n v="0"/>
    <n v="0"/>
    <n v="0"/>
    <n v="0.43"/>
    <e v="#N/A"/>
    <x v="49"/>
  </r>
  <r>
    <d v="2023-05-17T00:00:00"/>
    <x v="18"/>
    <s v="Admin/HR/IT"/>
    <s v="AMCARE NonOcc In"/>
    <s v="TEMP"/>
    <n v="200565197"/>
    <s v="Avila,Mary"/>
    <s v="Romero Sanchez,Gustavo Gabriel"/>
    <n v="0"/>
    <n v="0"/>
    <n v="0"/>
    <n v="0"/>
    <n v="0.45"/>
    <e v="#N/A"/>
    <x v="0"/>
  </r>
  <r>
    <d v="2023-05-17T00:00:00"/>
    <x v="18"/>
    <s v="Admin/HR/IT"/>
    <s v="AMCARE NonOcc In"/>
    <s v="TEMP"/>
    <n v="200585084"/>
    <s v="Villafranca,Tessa"/>
    <s v="Ledezma,Fer"/>
    <n v="0"/>
    <n v="0"/>
    <n v="0"/>
    <n v="0"/>
    <n v="0.47"/>
    <e v="#N/A"/>
    <x v="58"/>
  </r>
  <r>
    <d v="2023-05-17T00:00:00"/>
    <x v="18"/>
    <s v="Admin/HR/IT"/>
    <s v="AMCARE NonOcc In"/>
    <s v="TEMP"/>
    <n v="201160146"/>
    <s v="Avila,priscila"/>
    <s v="Robledo Ugarte,Alejandro"/>
    <n v="0"/>
    <n v="0"/>
    <n v="0"/>
    <n v="0"/>
    <n v="0.16"/>
    <e v="#N/A"/>
    <x v="0"/>
  </r>
  <r>
    <d v="2023-05-17T00:00:00"/>
    <x v="18"/>
    <s v="Admin/HR/IT"/>
    <s v="AMCARE NonOcc In"/>
    <s v="TEMP"/>
    <n v="201167501"/>
    <s v="Rodriguez,Ruben"/>
    <s v="Robledo Ugarte,Alejandro"/>
    <n v="0"/>
    <n v="0"/>
    <n v="0"/>
    <n v="0"/>
    <n v="0.28999999999999998"/>
    <e v="#N/A"/>
    <x v="109"/>
  </r>
  <r>
    <d v="2023-05-17T00:00:00"/>
    <x v="18"/>
    <s v="Admin/HR/IT"/>
    <s v="AMCARE NonOcc In"/>
    <s v="TEMP"/>
    <n v="201167517"/>
    <s v="Espinoza Lopez,Magdal"/>
    <s v="Robledo Ugarte,Alejandro"/>
    <n v="0"/>
    <n v="0"/>
    <n v="0"/>
    <n v="0"/>
    <n v="0.77"/>
    <e v="#N/A"/>
    <x v="0"/>
  </r>
  <r>
    <d v="2023-05-17T00:00:00"/>
    <x v="18"/>
    <s v="Admin/HR/IT"/>
    <s v="AMCARE NonOcc In"/>
    <s v="TEMP"/>
    <n v="201186833"/>
    <s v="Jasso,Alexa"/>
    <s v="Gomez,Abinadab"/>
    <n v="0"/>
    <n v="0"/>
    <n v="0"/>
    <n v="0"/>
    <n v="0.12"/>
    <e v="#N/A"/>
    <x v="114"/>
  </r>
  <r>
    <d v="2023-05-17T00:00:00"/>
    <x v="18"/>
    <s v="Admin/HR/IT"/>
    <s v="AMCARE NonOcc In"/>
    <s v="TEMP"/>
    <n v="201314835"/>
    <s v="Guzman,Janeth"/>
    <s v="Lopez,Alexa"/>
    <n v="0"/>
    <n v="0"/>
    <n v="0"/>
    <n v="0"/>
    <n v="0.31"/>
    <e v="#N/A"/>
    <x v="0"/>
  </r>
  <r>
    <d v="2023-05-17T00:00:00"/>
    <x v="18"/>
    <s v="Admin/HR/IT"/>
    <s v="AMCARE NonOcc In"/>
    <s v="TEMP"/>
    <n v="201329529"/>
    <s v="Padilla,Pablo"/>
    <s v="Lopez,Alexa"/>
    <n v="0"/>
    <n v="0"/>
    <n v="0"/>
    <n v="0"/>
    <n v="0.69"/>
    <e v="#N/A"/>
    <x v="0"/>
  </r>
  <r>
    <d v="2023-05-17T00:00:00"/>
    <x v="18"/>
    <s v="Admin/HR/IT"/>
    <s v="AMCARE NonOcc In"/>
    <s v="TEMP"/>
    <n v="201378614"/>
    <s v="Meza,Fernando"/>
    <s v="Bueno Mendoza,Susana"/>
    <n v="0"/>
    <n v="0"/>
    <n v="0"/>
    <n v="0"/>
    <n v="0.34"/>
    <e v="#N/A"/>
    <x v="0"/>
  </r>
  <r>
    <d v="2023-05-18T00:00:00"/>
    <x v="18"/>
    <s v="Admin/HR/IT"/>
    <s v="AMCARE NonOcc In"/>
    <s v="AMZN"/>
    <n v="112912163"/>
    <s v="Murillo,Alejandro"/>
    <s v="Romero Sanchez,Gustavo Gabriel"/>
    <n v="0"/>
    <n v="0"/>
    <n v="0"/>
    <n v="0"/>
    <n v="0.24"/>
    <e v="#N/A"/>
    <x v="0"/>
  </r>
  <r>
    <d v="2023-05-18T00:00:00"/>
    <x v="18"/>
    <s v="Admin/HR/IT"/>
    <s v="AMCARE NonOcc In"/>
    <s v="AMZN"/>
    <n v="112932733"/>
    <s v="Quiroga,Silvia"/>
    <s v="Madrid Molina,Ramon"/>
    <n v="0"/>
    <n v="0"/>
    <n v="0"/>
    <n v="0"/>
    <n v="0.25"/>
    <e v="#N/A"/>
    <x v="0"/>
  </r>
  <r>
    <d v="2023-05-18T00:00:00"/>
    <x v="18"/>
    <s v="Admin/HR/IT"/>
    <s v="AMCARE NonOcc In"/>
    <s v="TEMP"/>
    <n v="112950796"/>
    <s v="Garcia,Janeth"/>
    <s v="Gomez,Abinadab"/>
    <n v="0"/>
    <n v="0"/>
    <n v="0"/>
    <n v="0"/>
    <n v="0.26"/>
    <e v="#N/A"/>
    <x v="0"/>
  </r>
  <r>
    <d v="2023-05-18T00:00:00"/>
    <x v="18"/>
    <s v="Admin/HR/IT"/>
    <s v="AMCARE NonOcc In"/>
    <s v="AMZN"/>
    <n v="112972608"/>
    <s v="Hernandez Romo,Sam"/>
    <s v="Pizana,Diego"/>
    <n v="0"/>
    <n v="0"/>
    <n v="0"/>
    <n v="0"/>
    <n v="0.19"/>
    <e v="#N/A"/>
    <x v="0"/>
  </r>
  <r>
    <d v="2023-05-18T00:00:00"/>
    <x v="18"/>
    <s v="Admin/HR/IT"/>
    <s v="AMCARE NonOcc In"/>
    <s v="AMZN"/>
    <n v="112981196"/>
    <s v="Gomez,Andrea"/>
    <s v="Piedra,Valentina"/>
    <n v="0"/>
    <n v="0"/>
    <n v="0"/>
    <n v="0"/>
    <n v="0.14000000000000001"/>
    <e v="#N/A"/>
    <x v="22"/>
  </r>
  <r>
    <d v="2023-05-18T00:00:00"/>
    <x v="18"/>
    <s v="Admin/HR/IT"/>
    <s v="AMCARE NonOcc In"/>
    <s v="AMZN"/>
    <n v="113004099"/>
    <s v="Partida,Luis"/>
    <s v="Madrid Molina,Ramon"/>
    <n v="0"/>
    <n v="0"/>
    <n v="0"/>
    <n v="0"/>
    <n v="0.12"/>
    <e v="#N/A"/>
    <x v="71"/>
  </r>
  <r>
    <d v="2023-05-18T00:00:00"/>
    <x v="18"/>
    <s v="Admin/HR/IT"/>
    <s v="AMCARE NonOcc In"/>
    <s v="AMZN"/>
    <n v="113014092"/>
    <s v="Sanchez,Cristina"/>
    <s v="Madrid Molina,Ramon"/>
    <n v="0"/>
    <n v="0"/>
    <n v="0"/>
    <n v="0"/>
    <n v="0.35"/>
    <e v="#N/A"/>
    <x v="73"/>
  </r>
  <r>
    <d v="2023-05-18T00:00:00"/>
    <x v="18"/>
    <s v="Admin/HR/IT"/>
    <s v="AMCARE NonOcc In"/>
    <s v="TEMP"/>
    <n v="200508315"/>
    <s v="Herrera,Aldair"/>
    <s v="Madrid Molina,Ramon"/>
    <n v="0"/>
    <n v="0"/>
    <n v="0"/>
    <n v="0"/>
    <n v="0.22"/>
    <e v="#N/A"/>
    <x v="41"/>
  </r>
  <r>
    <d v="2023-05-18T00:00:00"/>
    <x v="18"/>
    <s v="Admin/HR/IT"/>
    <s v="AMCARE NonOcc In"/>
    <s v="TEMP"/>
    <n v="201166890"/>
    <s v="Caballero,Daniel"/>
    <s v="Romero Sanchez,Gustavo Gabriel"/>
    <n v="0"/>
    <n v="0"/>
    <n v="0"/>
    <n v="0"/>
    <n v="0.18"/>
    <e v="#N/A"/>
    <x v="141"/>
  </r>
  <r>
    <d v="2023-05-18T00:00:00"/>
    <x v="18"/>
    <s v="Admin/HR/IT"/>
    <s v="AMCARE NonOcc In"/>
    <s v="TEMP"/>
    <n v="201409070"/>
    <s v="Hernandez,Estefania"/>
    <s v="Gomez Aguado,Jorge"/>
    <n v="0"/>
    <n v="0"/>
    <n v="0"/>
    <n v="0"/>
    <n v="0.23"/>
    <e v="#N/A"/>
    <x v="0"/>
  </r>
  <r>
    <d v="2023-05-18T00:00:00"/>
    <x v="18"/>
    <s v="Admin/HR/IT"/>
    <s v="AMCARE Occ In"/>
    <s v="TEMP"/>
    <n v="201355246"/>
    <s v="Ramirez,Montserrat"/>
    <s v="Lopez,Alexa"/>
    <n v="0"/>
    <n v="0"/>
    <n v="0"/>
    <n v="0"/>
    <n v="1.04"/>
    <e v="#N/A"/>
    <x v="0"/>
  </r>
  <r>
    <d v="2023-05-19T00:00:00"/>
    <x v="18"/>
    <s v="Admin/HR/IT"/>
    <s v="AMCARE NonOcc In"/>
    <s v="AMZN"/>
    <n v="112912675"/>
    <s v="Alejandri Villagomez,Alejandra"/>
    <s v="Corona Arriaga,Fernando"/>
    <n v="0"/>
    <n v="0"/>
    <n v="0"/>
    <n v="0"/>
    <n v="0.24"/>
    <e v="#N/A"/>
    <x v="0"/>
  </r>
  <r>
    <d v="2023-05-19T00:00:00"/>
    <x v="18"/>
    <s v="Admin/HR/IT"/>
    <s v="AMCARE NonOcc In"/>
    <s v="AMZN"/>
    <n v="112950784"/>
    <s v="Rojas,Samuel"/>
    <s v="Pizana,Diego"/>
    <n v="0"/>
    <n v="0"/>
    <n v="0"/>
    <n v="0"/>
    <n v="0.5"/>
    <s v="NF-X1900"/>
    <x v="13"/>
  </r>
  <r>
    <d v="2023-05-19T00:00:00"/>
    <x v="18"/>
    <s v="Admin/HR/IT"/>
    <s v="AMCARE NonOcc In"/>
    <s v="AMZN"/>
    <n v="112972215"/>
    <s v="Cruz,Ana"/>
    <s v="Romero Sanchez,Gustavo Gabriel"/>
    <n v="0"/>
    <n v="0"/>
    <n v="0"/>
    <n v="0"/>
    <n v="0.43"/>
    <s v="DB-X0700"/>
    <x v="134"/>
  </r>
  <r>
    <d v="2023-05-19T00:00:00"/>
    <x v="18"/>
    <s v="Admin/HR/IT"/>
    <s v="AMCARE NonOcc In"/>
    <s v="TEMP"/>
    <n v="200615883"/>
    <s v="Ibarra Amaro,Adriana"/>
    <s v="Gomez Aguado,Jorge"/>
    <n v="0"/>
    <n v="0"/>
    <n v="0"/>
    <n v="0"/>
    <n v="0.47"/>
    <e v="#N/A"/>
    <x v="0"/>
  </r>
  <r>
    <d v="2023-05-19T00:00:00"/>
    <x v="18"/>
    <s v="Admin/HR/IT"/>
    <s v="AMCARE NonOcc In"/>
    <s v="TEMP"/>
    <n v="201166890"/>
    <s v="Caballero,Daniel"/>
    <s v="Romero Sanchez,Gustavo Gabriel"/>
    <n v="0"/>
    <n v="0"/>
    <n v="0"/>
    <n v="0"/>
    <n v="0.4"/>
    <e v="#N/A"/>
    <x v="141"/>
  </r>
  <r>
    <d v="2023-05-19T00:00:00"/>
    <x v="18"/>
    <s v="Admin/HR/IT"/>
    <s v="AMCARE NonOcc In"/>
    <s v="TEMP"/>
    <n v="201185299"/>
    <s v="Garcia,Noemi"/>
    <s v="Ledezma,Fer"/>
    <n v="0"/>
    <n v="0"/>
    <n v="0"/>
    <n v="0"/>
    <n v="0.92"/>
    <e v="#N/A"/>
    <x v="138"/>
  </r>
  <r>
    <d v="2023-05-19T00:00:00"/>
    <x v="18"/>
    <s v="Admin/HR/IT"/>
    <s v="AMCARE NonOcc In"/>
    <s v="TEMP"/>
    <n v="201186777"/>
    <s v="Monzon,Berenice"/>
    <s v="Romero Sanchez,Gustavo Gabriel"/>
    <n v="0"/>
    <n v="0"/>
    <n v="0"/>
    <n v="0"/>
    <n v="0.24"/>
    <e v="#N/A"/>
    <x v="107"/>
  </r>
  <r>
    <d v="2023-05-19T00:00:00"/>
    <x v="18"/>
    <s v="Admin/HR/IT"/>
    <s v="AMCARE NonOcc In"/>
    <s v="TEMP"/>
    <n v="201194285"/>
    <s v="Robledo,Alma"/>
    <s v="Ledezma,Fer"/>
    <n v="0"/>
    <n v="0"/>
    <n v="0"/>
    <n v="0"/>
    <n v="0.57999999999999996"/>
    <e v="#N/A"/>
    <x v="0"/>
  </r>
  <r>
    <d v="2023-05-19T00:00:00"/>
    <x v="18"/>
    <s v="Admin/HR/IT"/>
    <s v="AMCARE NonOcc In"/>
    <s v="TEMP"/>
    <n v="201198979"/>
    <s v="Mendoza,Omar"/>
    <s v="Piedra,Valentina"/>
    <n v="0"/>
    <n v="0"/>
    <n v="0"/>
    <n v="0"/>
    <n v="0.87"/>
    <e v="#N/A"/>
    <x v="0"/>
  </r>
  <r>
    <d v="2023-05-19T00:00:00"/>
    <x v="18"/>
    <s v="Admin/HR/IT"/>
    <s v="AMCARE NonOcc In"/>
    <s v="TEMP"/>
    <n v="201294217"/>
    <s v="Montes,Bibiana"/>
    <s v="Gomez Aguado,Jorge"/>
    <n v="0"/>
    <n v="0"/>
    <n v="0"/>
    <n v="0"/>
    <n v="0.1"/>
    <e v="#N/A"/>
    <x v="131"/>
  </r>
  <r>
    <d v="2023-05-19T00:00:00"/>
    <x v="18"/>
    <s v="Admin/HR/IT"/>
    <s v="AMCARE NonOcc In"/>
    <s v="TEMP"/>
    <n v="201315151"/>
    <s v="Quiroz,Fernanda"/>
    <s v="Gomez Aguado,Jorge"/>
    <n v="0"/>
    <n v="0"/>
    <n v="0"/>
    <n v="0"/>
    <n v="0.18"/>
    <e v="#N/A"/>
    <x v="0"/>
  </r>
  <r>
    <d v="2023-05-19T00:00:00"/>
    <x v="18"/>
    <s v="Admin/HR/IT"/>
    <s v="AMCARE NonOcc In"/>
    <s v="TEMP"/>
    <n v="201353191"/>
    <s v="Rodriguez Padilla,Brayan"/>
    <s v="Lopez,Alexa"/>
    <n v="0"/>
    <n v="0"/>
    <n v="0"/>
    <n v="0"/>
    <n v="0.41"/>
    <e v="#N/A"/>
    <x v="0"/>
  </r>
  <r>
    <d v="2023-05-19T00:00:00"/>
    <x v="18"/>
    <s v="Admin/HR/IT"/>
    <s v="AMCARE NonOcc In"/>
    <s v="TEMP"/>
    <n v="201403431"/>
    <s v="EspaÃ±a,Carolina"/>
    <s v="Madrid Molina,Ramon"/>
    <n v="0"/>
    <n v="0"/>
    <n v="0"/>
    <n v="0"/>
    <n v="0.21"/>
    <e v="#N/A"/>
    <x v="0"/>
  </r>
  <r>
    <d v="2023-05-20T00:00:00"/>
    <x v="18"/>
    <s v="Admin/HR/IT"/>
    <s v="AMCARE NonOcc In"/>
    <s v="AMZN"/>
    <n v="112920654"/>
    <s v="Horta,Julieta"/>
    <s v="Hernandez,Nataly"/>
    <n v="0"/>
    <n v="0"/>
    <n v="0"/>
    <n v="0"/>
    <n v="0.3"/>
    <s v="DB-X0700"/>
    <x v="61"/>
  </r>
  <r>
    <d v="2023-05-20T00:00:00"/>
    <x v="18"/>
    <s v="Admin/HR/IT"/>
    <s v="AMCARE NonOcc In"/>
    <s v="AMZN"/>
    <n v="112971980"/>
    <s v="Romero,Daniel"/>
    <s v="Pizana,Diego"/>
    <n v="0"/>
    <n v="0"/>
    <n v="0"/>
    <n v="0"/>
    <n v="0.59"/>
    <s v="DC-X0700"/>
    <x v="43"/>
  </r>
  <r>
    <d v="2023-05-20T00:00:00"/>
    <x v="18"/>
    <s v="Admin/HR/IT"/>
    <s v="AMCARE NonOcc In"/>
    <s v="AMZN"/>
    <n v="113014042"/>
    <s v="Cervantes,Rose"/>
    <s v="Madrid Molina,Ramon"/>
    <n v="0"/>
    <n v="0"/>
    <n v="0"/>
    <n v="0"/>
    <n v="0.08"/>
    <e v="#N/A"/>
    <x v="20"/>
  </r>
  <r>
    <d v="2023-05-20T00:00:00"/>
    <x v="18"/>
    <s v="Admin/HR/IT"/>
    <s v="AMCARE NonOcc In"/>
    <s v="AMZN"/>
    <n v="113020476"/>
    <s v="Puente Aguilar,Polette"/>
    <s v="Madrid Molina,Ramon"/>
    <n v="0"/>
    <n v="0"/>
    <n v="0"/>
    <n v="0"/>
    <n v="0.37"/>
    <e v="#N/A"/>
    <x v="19"/>
  </r>
  <r>
    <d v="2023-05-20T00:00:00"/>
    <x v="18"/>
    <s v="Admin/HR/IT"/>
    <s v="AMCARE NonOcc In"/>
    <s v="AMZN"/>
    <n v="113103540"/>
    <s v="Delgado,David"/>
    <s v="Gomez Aguado,Jorge"/>
    <n v="0"/>
    <n v="0"/>
    <n v="0"/>
    <n v="0"/>
    <n v="0.8"/>
    <e v="#N/A"/>
    <x v="105"/>
  </r>
  <r>
    <d v="2023-05-20T00:00:00"/>
    <x v="18"/>
    <s v="Admin/HR/IT"/>
    <s v="AMCARE NonOcc In"/>
    <s v="TEMP"/>
    <n v="200585084"/>
    <s v="Villafranca,Tessa"/>
    <s v="Ledezma,Fer"/>
    <n v="0"/>
    <n v="0"/>
    <n v="0"/>
    <n v="0"/>
    <n v="0.19"/>
    <e v="#N/A"/>
    <x v="58"/>
  </r>
  <r>
    <d v="2023-05-20T00:00:00"/>
    <x v="18"/>
    <s v="Admin/HR/IT"/>
    <s v="AMCARE NonOcc In"/>
    <s v="TEMP"/>
    <n v="200615883"/>
    <s v="Ibarra Amaro,Adriana"/>
    <s v="Gomez Aguado,Jorge"/>
    <n v="0"/>
    <n v="0"/>
    <n v="0"/>
    <n v="0"/>
    <n v="0.38"/>
    <e v="#N/A"/>
    <x v="0"/>
  </r>
  <r>
    <d v="2023-05-20T00:00:00"/>
    <x v="18"/>
    <s v="Admin/HR/IT"/>
    <s v="AMCARE NonOcc In"/>
    <s v="TEMP"/>
    <n v="201185653"/>
    <s v="Lopez,Mine"/>
    <s v="Corona Arriaga,Fernando"/>
    <n v="0"/>
    <n v="0"/>
    <n v="0"/>
    <n v="0"/>
    <n v="0.26"/>
    <e v="#N/A"/>
    <x v="137"/>
  </r>
  <r>
    <d v="2023-05-20T00:00:00"/>
    <x v="18"/>
    <s v="Admin/HR/IT"/>
    <s v="AMCARE NonOcc In"/>
    <s v="TEMP"/>
    <n v="201212196"/>
    <s v="Juarez,Angel"/>
    <s v="Ledezma,Fer"/>
    <n v="0"/>
    <n v="0"/>
    <n v="0"/>
    <n v="0"/>
    <n v="0.08"/>
    <e v="#N/A"/>
    <x v="0"/>
  </r>
  <r>
    <d v="2023-05-20T00:00:00"/>
    <x v="18"/>
    <s v="Admin/HR/IT"/>
    <s v="AMCARE NonOcc In"/>
    <s v="TEMP"/>
    <n v="201345737"/>
    <s v="Rosales,Paco"/>
    <s v="Ledezma,Fer"/>
    <n v="0"/>
    <n v="0"/>
    <n v="0"/>
    <n v="0"/>
    <n v="0.21"/>
    <e v="#N/A"/>
    <x v="156"/>
  </r>
  <r>
    <d v="2023-05-20T00:00:00"/>
    <x v="18"/>
    <s v="Admin/HR/IT"/>
    <s v="AMCARE NonOcc In"/>
    <s v="TEMP"/>
    <n v="201353191"/>
    <s v="Rodriguez Padilla,Brayan"/>
    <s v="Lopez,Alexa"/>
    <n v="0"/>
    <n v="0"/>
    <n v="0"/>
    <n v="0"/>
    <n v="0.17"/>
    <e v="#N/A"/>
    <x v="0"/>
  </r>
  <r>
    <d v="2023-05-20T00:00:00"/>
    <x v="18"/>
    <s v="Admin/HR/IT"/>
    <s v="AMCARE NonOcc In"/>
    <s v="TEMP"/>
    <n v="201401654"/>
    <s v="Garcia,Karen"/>
    <s v="Corona Arriaga,Fernando"/>
    <n v="0"/>
    <n v="0"/>
    <n v="0"/>
    <n v="0"/>
    <n v="0.1"/>
    <e v="#N/A"/>
    <x v="0"/>
  </r>
  <r>
    <d v="2023-05-21T00:00:00"/>
    <x v="19"/>
    <s v="Admin/HR/IT"/>
    <s v="AMCARE NonOcc In"/>
    <s v="AMZN"/>
    <n v="112912510"/>
    <s v="Vazquez Espitia,Roberto"/>
    <s v="Garcia Espejel,Brenda Victoria"/>
    <n v="0"/>
    <n v="0"/>
    <n v="0"/>
    <n v="0"/>
    <n v="0.04"/>
    <e v="#N/A"/>
    <x v="0"/>
  </r>
  <r>
    <d v="2023-05-21T00:00:00"/>
    <x v="19"/>
    <s v="Admin/HR/IT"/>
    <s v="AMCARE NonOcc In"/>
    <s v="AMZN"/>
    <n v="112912663"/>
    <s v="Segura,Lucero"/>
    <s v="Munoz,Jonan"/>
    <n v="0"/>
    <n v="0"/>
    <n v="0"/>
    <n v="0"/>
    <n v="0.81"/>
    <e v="#N/A"/>
    <x v="0"/>
  </r>
  <r>
    <d v="2023-05-21T00:00:00"/>
    <x v="19"/>
    <s v="Admin/HR/IT"/>
    <s v="AMCARE NonOcc In"/>
    <s v="AMZN"/>
    <n v="112912753"/>
    <s v="Padilla Abrego,Selene"/>
    <s v="Romero Sanchez,Gustavo Gabriel"/>
    <n v="0"/>
    <n v="0"/>
    <n v="0"/>
    <n v="0"/>
    <n v="0.42"/>
    <e v="#N/A"/>
    <x v="0"/>
  </r>
  <r>
    <d v="2023-05-21T00:00:00"/>
    <x v="19"/>
    <s v="Admin/HR/IT"/>
    <s v="AMCARE NonOcc In"/>
    <s v="AMZN"/>
    <n v="112942473"/>
    <s v="Vargas Lopez,Hilda Cecilia"/>
    <s v="Munoz,Jonan"/>
    <n v="0"/>
    <n v="0"/>
    <n v="0"/>
    <n v="0"/>
    <n v="1.48"/>
    <s v="DC-X0700"/>
    <x v="140"/>
  </r>
  <r>
    <d v="2023-05-21T00:00:00"/>
    <x v="19"/>
    <s v="Admin/HR/IT"/>
    <s v="AMCARE NonOcc In"/>
    <s v="AMZN"/>
    <n v="112950792"/>
    <s v="Morales Gonzalez,Genesis"/>
    <s v="Gomez,Abinadab"/>
    <n v="0"/>
    <n v="0"/>
    <n v="0"/>
    <n v="0"/>
    <n v="1.0900000000000001"/>
    <s v="NF-X1900"/>
    <x v="84"/>
  </r>
  <r>
    <d v="2023-05-21T00:00:00"/>
    <x v="19"/>
    <s v="Admin/HR/IT"/>
    <s v="AMCARE NonOcc In"/>
    <s v="AMZN"/>
    <n v="200404250"/>
    <s v="Hurtado,Caty"/>
    <s v="Romero Sanchez,Gustavo Gabriel"/>
    <n v="0"/>
    <n v="0"/>
    <n v="0"/>
    <n v="0"/>
    <n v="0.2"/>
    <e v="#N/A"/>
    <x v="6"/>
  </r>
  <r>
    <d v="2023-05-21T00:00:00"/>
    <x v="19"/>
    <s v="Admin/HR/IT"/>
    <s v="AMCARE NonOcc In"/>
    <s v="TEMP"/>
    <n v="200585084"/>
    <s v="Villafranca,Tessa"/>
    <s v="Ledezma,Fer"/>
    <n v="0"/>
    <n v="0"/>
    <n v="0"/>
    <n v="0"/>
    <n v="0.19"/>
    <e v="#N/A"/>
    <x v="58"/>
  </r>
  <r>
    <d v="2023-05-21T00:00:00"/>
    <x v="19"/>
    <s v="Admin/HR/IT"/>
    <s v="AMCARE NonOcc In"/>
    <s v="TEMP"/>
    <n v="200625528"/>
    <s v="Oliva,Lizbeth"/>
    <s v="Piedra,Valentina"/>
    <n v="0"/>
    <n v="0"/>
    <n v="0"/>
    <n v="0"/>
    <n v="0.38"/>
    <e v="#N/A"/>
    <x v="83"/>
  </r>
  <r>
    <d v="2023-05-21T00:00:00"/>
    <x v="19"/>
    <s v="Admin/HR/IT"/>
    <s v="AMCARE NonOcc In"/>
    <s v="TEMP"/>
    <n v="201198979"/>
    <s v="Mendoza,Omar"/>
    <s v="Piedra,Valentina"/>
    <n v="0"/>
    <n v="0"/>
    <n v="0"/>
    <n v="0"/>
    <n v="0.63"/>
    <e v="#N/A"/>
    <x v="0"/>
  </r>
  <r>
    <d v="2023-05-21T00:00:00"/>
    <x v="19"/>
    <s v="Admin/HR/IT"/>
    <s v="AMCARE NonOcc In"/>
    <s v="TEMP"/>
    <n v="201295432"/>
    <s v="Ortega,Argenis"/>
    <s v="Gomez,Abinadab"/>
    <n v="0"/>
    <n v="0"/>
    <n v="0"/>
    <n v="0"/>
    <n v="0.11"/>
    <e v="#N/A"/>
    <x v="0"/>
  </r>
  <r>
    <d v="2023-05-22T00:00:00"/>
    <x v="19"/>
    <s v="Admin/HR/IT"/>
    <s v="AMCARE NonOcc In"/>
    <s v="AMZN"/>
    <n v="112912071"/>
    <s v="Torres,Alan"/>
    <s v="Gomez,Abinadab"/>
    <n v="0"/>
    <n v="0"/>
    <n v="0"/>
    <n v="0"/>
    <n v="0.49"/>
    <e v="#N/A"/>
    <x v="0"/>
  </r>
  <r>
    <d v="2023-05-22T00:00:00"/>
    <x v="19"/>
    <s v="Admin/HR/IT"/>
    <s v="AMCARE NonOcc In"/>
    <s v="AMZN"/>
    <n v="112950809"/>
    <s v="Rocha,Luz"/>
    <s v="Munoz,Jonan"/>
    <n v="0"/>
    <n v="0"/>
    <n v="0"/>
    <n v="0"/>
    <n v="0.13"/>
    <s v="DA-X0700"/>
    <x v="36"/>
  </r>
  <r>
    <d v="2023-05-22T00:00:00"/>
    <x v="19"/>
    <s v="Admin/HR/IT"/>
    <s v="AMCARE NonOcc In"/>
    <s v="AMZN"/>
    <n v="112981013"/>
    <s v="Lopez Neri,Norma"/>
    <s v="Gomez,Abinadab"/>
    <n v="0"/>
    <n v="0"/>
    <n v="0"/>
    <n v="0"/>
    <n v="3.95"/>
    <s v="DA-X0700"/>
    <x v="12"/>
  </r>
  <r>
    <d v="2023-05-22T00:00:00"/>
    <x v="19"/>
    <s v="Admin/HR/IT"/>
    <s v="AMCARE NonOcc In"/>
    <s v="AMZN"/>
    <n v="113003631"/>
    <s v="Ortega,Elizabeth"/>
    <s v="Piedra,Valentina"/>
    <n v="0"/>
    <n v="0"/>
    <n v="0"/>
    <n v="0"/>
    <n v="0.37"/>
    <e v="#N/A"/>
    <x v="0"/>
  </r>
  <r>
    <d v="2023-05-22T00:00:00"/>
    <x v="19"/>
    <s v="Admin/HR/IT"/>
    <s v="AMCARE NonOcc In"/>
    <s v="AMZN"/>
    <n v="113014470"/>
    <s v="Aguilar Ibarra,Lupe"/>
    <s v="Robledo Ugarte,Alejandro"/>
    <n v="0"/>
    <n v="0"/>
    <n v="0"/>
    <n v="0"/>
    <n v="0.67"/>
    <e v="#N/A"/>
    <x v="30"/>
  </r>
  <r>
    <d v="2023-05-22T00:00:00"/>
    <x v="19"/>
    <s v="Admin/HR/IT"/>
    <s v="AMCARE NonOcc In"/>
    <s v="AMZN"/>
    <n v="113101453"/>
    <s v="Isaac,Geovanna"/>
    <s v="Robledo Ugarte,Alejandro"/>
    <n v="0"/>
    <n v="0"/>
    <n v="0"/>
    <n v="0"/>
    <n v="0.24"/>
    <e v="#N/A"/>
    <x v="4"/>
  </r>
  <r>
    <d v="2023-05-22T00:00:00"/>
    <x v="19"/>
    <s v="Admin/HR/IT"/>
    <s v="AMCARE NonOcc In"/>
    <s v="AMZN"/>
    <n v="200404250"/>
    <s v="Hurtado,Caty"/>
    <s v="Romero Sanchez,Gustavo Gabriel"/>
    <n v="0"/>
    <n v="0"/>
    <n v="0"/>
    <n v="0"/>
    <n v="0.51"/>
    <e v="#N/A"/>
    <x v="6"/>
  </r>
  <r>
    <d v="2023-05-22T00:00:00"/>
    <x v="19"/>
    <s v="Admin/HR/IT"/>
    <s v="AMCARE NonOcc In"/>
    <s v="TEMP"/>
    <n v="200625517"/>
    <s v="RamÃ­rez,Miranda"/>
    <s v="Robledo Ugarte,Alejandro"/>
    <n v="0"/>
    <n v="0"/>
    <n v="0"/>
    <n v="0"/>
    <n v="0.15"/>
    <e v="#N/A"/>
    <x v="0"/>
  </r>
  <r>
    <d v="2023-05-22T00:00:00"/>
    <x v="19"/>
    <s v="Admin/HR/IT"/>
    <s v="AMCARE NonOcc In"/>
    <s v="TEMP"/>
    <n v="201167517"/>
    <s v="Espinoza Lopez,Magdal"/>
    <s v="Robledo Ugarte,Alejandro"/>
    <n v="0"/>
    <n v="0"/>
    <n v="0"/>
    <n v="0"/>
    <n v="0.17"/>
    <e v="#N/A"/>
    <x v="0"/>
  </r>
  <r>
    <d v="2023-05-22T00:00:00"/>
    <x v="19"/>
    <s v="Admin/HR/IT"/>
    <s v="AMCARE NonOcc In"/>
    <s v="TEMP"/>
    <n v="201294405"/>
    <s v="Rojas,Catherine"/>
    <s v="Gomez,Abinadab"/>
    <n v="0"/>
    <n v="0"/>
    <n v="0"/>
    <n v="0"/>
    <n v="7.0000000000000007E-2"/>
    <e v="#N/A"/>
    <x v="0"/>
  </r>
  <r>
    <d v="2023-05-22T00:00:00"/>
    <x v="19"/>
    <s v="Admin/HR/IT"/>
    <s v="AMCARE NonOcc In"/>
    <s v="TEMP"/>
    <n v="201346293"/>
    <s v="HernÃ¡ndez,Anamylet"/>
    <s v="Lopez,Alexa"/>
    <n v="0"/>
    <n v="0"/>
    <n v="0"/>
    <n v="0"/>
    <n v="0.16"/>
    <e v="#N/A"/>
    <x v="0"/>
  </r>
  <r>
    <d v="2023-05-22T00:00:00"/>
    <x v="19"/>
    <s v="Admin/HR/IT"/>
    <s v="AMCARE NonOcc In"/>
    <s v="TEMP"/>
    <n v="201374875"/>
    <s v="Velez,Xochitl"/>
    <s v="Lopez,Alexa"/>
    <n v="0"/>
    <n v="0"/>
    <n v="0"/>
    <n v="0"/>
    <n v="0.52"/>
    <e v="#N/A"/>
    <x v="0"/>
  </r>
  <r>
    <d v="2023-05-22T00:00:00"/>
    <x v="19"/>
    <s v="Admin/HR/IT"/>
    <s v="AMCARE NonOcc In"/>
    <s v="TEMP"/>
    <n v="201378614"/>
    <s v="Meza,Fernando"/>
    <s v="Bueno Mendoza,Susana"/>
    <n v="0"/>
    <n v="0"/>
    <n v="0"/>
    <n v="0"/>
    <n v="0.11"/>
    <e v="#N/A"/>
    <x v="0"/>
  </r>
  <r>
    <d v="2023-05-22T00:00:00"/>
    <x v="19"/>
    <s v="Admin/HR/IT"/>
    <s v="AMCARE NonOcc In"/>
    <s v="TEMP"/>
    <n v="201402216"/>
    <s v="Navia,Victor"/>
    <s v="Bueno Mendoza,Susana"/>
    <n v="0"/>
    <n v="0"/>
    <n v="0"/>
    <n v="0"/>
    <n v="0.51"/>
    <e v="#N/A"/>
    <x v="0"/>
  </r>
  <r>
    <d v="2023-05-23T00:00:00"/>
    <x v="19"/>
    <s v="Admin/HR/IT"/>
    <s v="AMCARE NonOcc In"/>
    <s v="AMZN"/>
    <n v="112912071"/>
    <s v="Torres,Alan"/>
    <s v="Gomez,Abinadab"/>
    <n v="0"/>
    <n v="0"/>
    <n v="0"/>
    <n v="0"/>
    <n v="1.86"/>
    <e v="#N/A"/>
    <x v="0"/>
  </r>
  <r>
    <d v="2023-05-23T00:00:00"/>
    <x v="19"/>
    <s v="Admin/HR/IT"/>
    <s v="AMCARE NonOcc In"/>
    <s v="AMZN"/>
    <n v="112912663"/>
    <s v="Segura,Lucero"/>
    <s v="Munoz,Jonan"/>
    <n v="0"/>
    <n v="0"/>
    <n v="0"/>
    <n v="0"/>
    <n v="0.24"/>
    <e v="#N/A"/>
    <x v="0"/>
  </r>
  <r>
    <d v="2023-05-23T00:00:00"/>
    <x v="19"/>
    <s v="Admin/HR/IT"/>
    <s v="AMCARE NonOcc In"/>
    <s v="AMZN"/>
    <n v="112981013"/>
    <s v="Lopez Neri,Norma"/>
    <s v="Gomez,Abinadab"/>
    <n v="0"/>
    <n v="0"/>
    <n v="0"/>
    <n v="0"/>
    <n v="0.86"/>
    <s v="DA-X0700"/>
    <x v="12"/>
  </r>
  <r>
    <d v="2023-05-23T00:00:00"/>
    <x v="19"/>
    <s v="Admin/HR/IT"/>
    <s v="AMCARE NonOcc In"/>
    <s v="AMZN"/>
    <n v="112981196"/>
    <s v="Gomez,Andrea"/>
    <s v="Piedra,Valentina"/>
    <n v="0"/>
    <n v="0"/>
    <n v="0"/>
    <n v="0"/>
    <n v="0.81"/>
    <e v="#N/A"/>
    <x v="22"/>
  </r>
  <r>
    <d v="2023-05-23T00:00:00"/>
    <x v="19"/>
    <s v="Admin/HR/IT"/>
    <s v="AMCARE NonOcc In"/>
    <s v="AMZN"/>
    <n v="113044620"/>
    <s v="Jasso Miranda,Aldo"/>
    <s v="Robledo Ugarte,Alejandro"/>
    <n v="0"/>
    <n v="0"/>
    <n v="0"/>
    <n v="0"/>
    <n v="0.1"/>
    <e v="#N/A"/>
    <x v="52"/>
  </r>
  <r>
    <d v="2023-05-23T00:00:00"/>
    <x v="19"/>
    <s v="Admin/HR/IT"/>
    <s v="AMCARE NonOcc In"/>
    <s v="AMZN"/>
    <n v="113101453"/>
    <s v="Isaac,Geovanna"/>
    <s v="Robledo Ugarte,Alejandro"/>
    <n v="0"/>
    <n v="0"/>
    <n v="0"/>
    <n v="0"/>
    <n v="0.71"/>
    <e v="#N/A"/>
    <x v="4"/>
  </r>
  <r>
    <d v="2023-05-23T00:00:00"/>
    <x v="19"/>
    <s v="Admin/HR/IT"/>
    <s v="AMCARE NonOcc In"/>
    <s v="AMZN"/>
    <n v="200404250"/>
    <s v="Hurtado,Caty"/>
    <s v="Romero Sanchez,Gustavo Gabriel"/>
    <n v="0"/>
    <n v="0"/>
    <n v="0"/>
    <n v="0"/>
    <n v="0.45"/>
    <e v="#N/A"/>
    <x v="6"/>
  </r>
  <r>
    <d v="2023-05-23T00:00:00"/>
    <x v="19"/>
    <s v="Admin/HR/IT"/>
    <s v="AMCARE NonOcc In"/>
    <s v="TEMP"/>
    <n v="200565175"/>
    <s v="Cabrera,Emmanuel"/>
    <s v="Piedra,Valentina"/>
    <n v="0"/>
    <n v="0"/>
    <n v="0"/>
    <n v="0"/>
    <n v="0.22"/>
    <e v="#N/A"/>
    <x v="0"/>
  </r>
  <r>
    <d v="2023-05-23T00:00:00"/>
    <x v="19"/>
    <s v="Admin/HR/IT"/>
    <s v="AMCARE NonOcc In"/>
    <s v="TEMP"/>
    <n v="201172306"/>
    <s v="Valdez,CÃ©sar"/>
    <s v="Gomez,Abinadab"/>
    <n v="0"/>
    <n v="0"/>
    <n v="0"/>
    <n v="0"/>
    <n v="0.27"/>
    <e v="#N/A"/>
    <x v="128"/>
  </r>
  <r>
    <d v="2023-05-23T00:00:00"/>
    <x v="19"/>
    <s v="Admin/HR/IT"/>
    <s v="AMCARE NonOcc In"/>
    <s v="TEMP"/>
    <n v="201185277"/>
    <s v="GamiÃ±o,Fany"/>
    <s v="Robledo Ugarte,Alejandro"/>
    <n v="0"/>
    <n v="0"/>
    <n v="0"/>
    <n v="0"/>
    <n v="0.37"/>
    <e v="#N/A"/>
    <x v="0"/>
  </r>
  <r>
    <d v="2023-05-23T00:00:00"/>
    <x v="19"/>
    <s v="Admin/HR/IT"/>
    <s v="AMCARE NonOcc In"/>
    <s v="TEMP"/>
    <n v="201201993"/>
    <s v="Olmos,Lucia"/>
    <s v="Piedra,Valentina"/>
    <n v="0"/>
    <n v="0"/>
    <n v="0"/>
    <n v="0"/>
    <n v="0.17"/>
    <e v="#N/A"/>
    <x v="0"/>
  </r>
  <r>
    <d v="2023-05-23T00:00:00"/>
    <x v="19"/>
    <s v="Admin/HR/IT"/>
    <s v="AMCARE NonOcc In"/>
    <s v="TEMP"/>
    <n v="201211582"/>
    <s v="Rodriguez,Dani"/>
    <s v="Ledezma,Fer"/>
    <n v="0"/>
    <n v="0"/>
    <n v="0"/>
    <n v="0"/>
    <n v="0.12"/>
    <e v="#N/A"/>
    <x v="0"/>
  </r>
  <r>
    <d v="2023-05-23T00:00:00"/>
    <x v="19"/>
    <s v="Admin/HR/IT"/>
    <s v="AMCARE NonOcc In"/>
    <s v="TEMP"/>
    <n v="201295432"/>
    <s v="Ortega,Argenis"/>
    <s v="Gomez,Abinadab"/>
    <n v="0"/>
    <n v="0"/>
    <n v="0"/>
    <n v="0"/>
    <n v="0.83"/>
    <e v="#N/A"/>
    <x v="0"/>
  </r>
  <r>
    <d v="2023-05-23T00:00:00"/>
    <x v="19"/>
    <s v="Admin/HR/IT"/>
    <s v="AMCARE NonOcc In"/>
    <s v="TEMP"/>
    <n v="201329332"/>
    <s v="Navarro Ortega,Pablo"/>
    <s v="Corona Arriaga,Fernando"/>
    <n v="0"/>
    <n v="0"/>
    <n v="0"/>
    <n v="0"/>
    <n v="0.26"/>
    <e v="#N/A"/>
    <x v="0"/>
  </r>
  <r>
    <d v="2023-05-23T00:00:00"/>
    <x v="19"/>
    <s v="Admin/HR/IT"/>
    <s v="AMCARE NonOcc In"/>
    <s v="TEMP"/>
    <n v="201345774"/>
    <s v="Quijas,Jonathan"/>
    <s v="Robledo Ugarte,Alejandro"/>
    <n v="0"/>
    <n v="0"/>
    <n v="0"/>
    <n v="0"/>
    <n v="0.31"/>
    <e v="#N/A"/>
    <x v="154"/>
  </r>
  <r>
    <d v="2023-05-23T00:00:00"/>
    <x v="19"/>
    <s v="Admin/HR/IT"/>
    <s v="AMCARE NonOcc In"/>
    <s v="TEMP"/>
    <n v="201365896"/>
    <s v="Gonzalez,Esther"/>
    <s v="Bueno Mendoza,Susana"/>
    <n v="0"/>
    <n v="0"/>
    <n v="0"/>
    <n v="0"/>
    <n v="0.38"/>
    <e v="#N/A"/>
    <x v="0"/>
  </r>
  <r>
    <d v="2023-05-23T00:00:00"/>
    <x v="19"/>
    <s v="Admin/HR/IT"/>
    <s v="AMCARE NonOcc In"/>
    <s v="TEMP"/>
    <n v="201374875"/>
    <s v="Velez,Xochitl"/>
    <s v="Lopez,Alexa"/>
    <n v="0"/>
    <n v="0"/>
    <n v="0"/>
    <n v="0"/>
    <n v="0.99"/>
    <e v="#N/A"/>
    <x v="0"/>
  </r>
  <r>
    <d v="2023-05-23T00:00:00"/>
    <x v="19"/>
    <s v="Admin/HR/IT"/>
    <s v="AMCARE NonOcc In"/>
    <s v="TEMP"/>
    <n v="201390700"/>
    <s v="Rea,Carmen"/>
    <s v="Robledo Ugarte,Alejandro"/>
    <n v="0"/>
    <n v="0"/>
    <n v="0"/>
    <n v="0"/>
    <n v="1.57"/>
    <e v="#N/A"/>
    <x v="0"/>
  </r>
  <r>
    <d v="2023-05-23T00:00:00"/>
    <x v="19"/>
    <s v="Admin/HR/IT"/>
    <s v="AMCARE NonOcc In"/>
    <s v="TEMP"/>
    <n v="201402060"/>
    <s v="Tovar,Mariana"/>
    <s v="Bueno Mendoza,Susana"/>
    <n v="0"/>
    <n v="0"/>
    <n v="0"/>
    <n v="0"/>
    <n v="0.75"/>
    <e v="#N/A"/>
    <x v="0"/>
  </r>
  <r>
    <d v="2023-05-23T00:00:00"/>
    <x v="19"/>
    <s v="Admin/HR/IT"/>
    <s v="AMCARE NonOcc In"/>
    <s v="TEMP"/>
    <n v="201402216"/>
    <s v="Navia,Victor"/>
    <s v="Bueno Mendoza,Susana"/>
    <n v="0"/>
    <n v="0"/>
    <n v="0"/>
    <n v="0"/>
    <n v="0.37"/>
    <e v="#N/A"/>
    <x v="0"/>
  </r>
  <r>
    <d v="2023-05-23T00:00:00"/>
    <x v="19"/>
    <s v="Admin/HR/IT"/>
    <s v="AMCARE Occ In"/>
    <s v="AMZN"/>
    <n v="112912753"/>
    <s v="Padilla Abrego,Selene"/>
    <s v="Romero Sanchez,Gustavo Gabriel"/>
    <n v="0"/>
    <n v="0"/>
    <n v="0"/>
    <n v="0"/>
    <n v="0.7"/>
    <e v="#N/A"/>
    <x v="0"/>
  </r>
  <r>
    <d v="2023-05-23T00:00:00"/>
    <x v="19"/>
    <s v="Admin/HR/IT"/>
    <s v="AMCARE Occ In"/>
    <s v="TEMP"/>
    <n v="201355246"/>
    <s v="Ramirez,Montserrat"/>
    <s v="Lopez,Alexa"/>
    <n v="0"/>
    <n v="0"/>
    <n v="0"/>
    <n v="0"/>
    <n v="1.1299999999999999"/>
    <e v="#N/A"/>
    <x v="0"/>
  </r>
  <r>
    <d v="2023-05-24T00:00:00"/>
    <x v="19"/>
    <s v="Admin/HR/IT"/>
    <s v="AMCARE NonOcc In"/>
    <s v="AMZN"/>
    <n v="112912071"/>
    <s v="Torres,Alan"/>
    <s v="Gomez,Abinadab"/>
    <n v="0"/>
    <n v="0"/>
    <n v="0"/>
    <n v="0"/>
    <n v="0.19"/>
    <e v="#N/A"/>
    <x v="0"/>
  </r>
  <r>
    <d v="2023-05-24T00:00:00"/>
    <x v="19"/>
    <s v="Admin/HR/IT"/>
    <s v="AMCARE NonOcc In"/>
    <s v="AMZN"/>
    <n v="112912663"/>
    <s v="Segura,Lucero"/>
    <s v="Munoz,Jonan"/>
    <n v="0"/>
    <n v="0"/>
    <n v="0"/>
    <n v="0"/>
    <n v="0.48"/>
    <e v="#N/A"/>
    <x v="0"/>
  </r>
  <r>
    <d v="2023-05-24T00:00:00"/>
    <x v="19"/>
    <s v="Admin/HR/IT"/>
    <s v="AMCARE NonOcc In"/>
    <s v="AMZN"/>
    <n v="112912745"/>
    <s v="Gomez Meza,Alex"/>
    <s v="Gomez,Abinadab"/>
    <n v="0"/>
    <n v="0"/>
    <n v="0"/>
    <n v="0"/>
    <n v="1.43"/>
    <s v="DA-X0700"/>
    <x v="55"/>
  </r>
  <r>
    <d v="2023-05-24T00:00:00"/>
    <x v="19"/>
    <s v="Admin/HR/IT"/>
    <s v="AMCARE NonOcc In"/>
    <s v="AMZN"/>
    <n v="113014403"/>
    <s v="Arias Sanchez,Nora"/>
    <s v="Romero Sanchez,Gustavo Gabriel"/>
    <n v="0"/>
    <n v="0"/>
    <n v="0"/>
    <n v="0"/>
    <n v="0.26"/>
    <e v="#N/A"/>
    <x v="32"/>
  </r>
  <r>
    <d v="2023-05-24T00:00:00"/>
    <x v="19"/>
    <s v="Admin/HR/IT"/>
    <s v="AMCARE NonOcc In"/>
    <s v="AMZN"/>
    <n v="113020463"/>
    <s v="Valtierra,Alejandra"/>
    <s v="Robledo Ugarte,Alejandro"/>
    <n v="0"/>
    <n v="0"/>
    <n v="0"/>
    <n v="0"/>
    <n v="0.51"/>
    <e v="#N/A"/>
    <x v="17"/>
  </r>
  <r>
    <d v="2023-05-24T00:00:00"/>
    <x v="19"/>
    <s v="Admin/HR/IT"/>
    <s v="AMCARE NonOcc In"/>
    <s v="AMZN"/>
    <n v="113101262"/>
    <s v="Tinoco,Cesar"/>
    <s v="Corona Arriaga,Fernando"/>
    <n v="0"/>
    <n v="0"/>
    <n v="0"/>
    <n v="0"/>
    <n v="0.21"/>
    <e v="#N/A"/>
    <x v="89"/>
  </r>
  <r>
    <d v="2023-05-24T00:00:00"/>
    <x v="19"/>
    <s v="Admin/HR/IT"/>
    <s v="AMCARE NonOcc In"/>
    <s v="AMZN"/>
    <n v="200404250"/>
    <s v="Hurtado,Caty"/>
    <s v="Romero Sanchez,Gustavo Gabriel"/>
    <n v="0"/>
    <n v="0"/>
    <n v="0"/>
    <n v="0"/>
    <n v="0.63"/>
    <e v="#N/A"/>
    <x v="6"/>
  </r>
  <r>
    <d v="2023-05-24T00:00:00"/>
    <x v="19"/>
    <s v="Admin/HR/IT"/>
    <s v="AMCARE NonOcc In"/>
    <s v="TEMP"/>
    <n v="200407440"/>
    <s v="Escamilla,Guillermo"/>
    <s v="Romero Sanchez,Gustavo Gabriel"/>
    <n v="0"/>
    <n v="0"/>
    <n v="0"/>
    <n v="0"/>
    <n v="0.15"/>
    <e v="#N/A"/>
    <x v="0"/>
  </r>
  <r>
    <d v="2023-05-24T00:00:00"/>
    <x v="19"/>
    <s v="Admin/HR/IT"/>
    <s v="AMCARE NonOcc In"/>
    <s v="TEMP"/>
    <n v="200553205"/>
    <s v="Cabrera,Nancy"/>
    <s v="Romero Sanchez,Gustavo Gabriel"/>
    <n v="0"/>
    <n v="0"/>
    <n v="0"/>
    <n v="0"/>
    <n v="0.2"/>
    <e v="#N/A"/>
    <x v="0"/>
  </r>
  <r>
    <d v="2023-05-24T00:00:00"/>
    <x v="19"/>
    <s v="Admin/HR/IT"/>
    <s v="AMCARE NonOcc In"/>
    <s v="TEMP"/>
    <n v="200574655"/>
    <s v="Mireles,Dulce"/>
    <s v="Robledo Ugarte,Alejandro"/>
    <n v="0"/>
    <n v="0"/>
    <n v="0"/>
    <n v="0"/>
    <n v="0.3"/>
    <e v="#N/A"/>
    <x v="88"/>
  </r>
  <r>
    <d v="2023-05-24T00:00:00"/>
    <x v="19"/>
    <s v="Admin/HR/IT"/>
    <s v="AMCARE NonOcc In"/>
    <s v="TEMP"/>
    <n v="200615801"/>
    <s v="Gongora,Daniel"/>
    <s v="Gomez,Abinadab"/>
    <n v="0"/>
    <n v="0"/>
    <n v="0"/>
    <n v="0"/>
    <n v="0.79"/>
    <e v="#N/A"/>
    <x v="157"/>
  </r>
  <r>
    <d v="2023-05-24T00:00:00"/>
    <x v="19"/>
    <s v="Admin/HR/IT"/>
    <s v="AMCARE NonOcc In"/>
    <s v="TEMP"/>
    <n v="201320388"/>
    <s v="Pena,Laura"/>
    <s v="Robledo Ugarte,Alejandro"/>
    <n v="0"/>
    <n v="0"/>
    <n v="0"/>
    <n v="0"/>
    <n v="0.39"/>
    <e v="#N/A"/>
    <x v="0"/>
  </r>
  <r>
    <d v="2023-05-25T00:00:00"/>
    <x v="19"/>
    <s v="Admin/HR/IT"/>
    <s v="AMCARE NonOcc In"/>
    <s v="AMZN"/>
    <n v="112912675"/>
    <s v="Alejandri Villagomez,Alejandra"/>
    <s v="Corona Arriaga,Fernando"/>
    <n v="0"/>
    <n v="0"/>
    <n v="0"/>
    <n v="0"/>
    <n v="1.07"/>
    <e v="#N/A"/>
    <x v="0"/>
  </r>
  <r>
    <d v="2023-05-25T00:00:00"/>
    <x v="19"/>
    <s v="Admin/HR/IT"/>
    <s v="AMCARE NonOcc In"/>
    <s v="AMZN"/>
    <n v="112980986"/>
    <s v="Colchado Garcia,Eser"/>
    <s v="Gomez,Abinadab"/>
    <n v="0"/>
    <n v="0"/>
    <n v="0"/>
    <n v="0"/>
    <n v="0.4"/>
    <s v="DJ-X0700"/>
    <x v="142"/>
  </r>
  <r>
    <d v="2023-05-25T00:00:00"/>
    <x v="19"/>
    <s v="Admin/HR/IT"/>
    <s v="AMCARE NonOcc In"/>
    <s v="AMZN"/>
    <n v="112984460"/>
    <s v="Hernandez,Fabrizzio"/>
    <s v="Corona Arriaga,Fernando"/>
    <n v="0"/>
    <n v="0"/>
    <n v="0"/>
    <n v="0"/>
    <n v="0.59"/>
    <e v="#N/A"/>
    <x v="158"/>
  </r>
  <r>
    <d v="2023-05-25T00:00:00"/>
    <x v="19"/>
    <s v="Admin/HR/IT"/>
    <s v="AMCARE NonOcc In"/>
    <s v="AMZN"/>
    <n v="113003510"/>
    <s v="PÃ©rez MÃ©ndez,Cecy"/>
    <s v="Gomez Aguado,Jorge"/>
    <n v="0"/>
    <n v="0"/>
    <n v="0"/>
    <n v="0"/>
    <n v="0.37"/>
    <e v="#N/A"/>
    <x v="115"/>
  </r>
  <r>
    <d v="2023-05-25T00:00:00"/>
    <x v="19"/>
    <s v="Admin/HR/IT"/>
    <s v="AMCARE NonOcc In"/>
    <s v="AMZN"/>
    <n v="113103540"/>
    <s v="Delgado,David"/>
    <s v="Gomez Aguado,Jorge"/>
    <n v="0"/>
    <n v="0"/>
    <n v="0"/>
    <n v="0"/>
    <n v="0.56999999999999995"/>
    <e v="#N/A"/>
    <x v="105"/>
  </r>
  <r>
    <d v="2023-05-25T00:00:00"/>
    <x v="19"/>
    <s v="Admin/HR/IT"/>
    <s v="AMCARE NonOcc In"/>
    <s v="AMZN"/>
    <n v="200404250"/>
    <s v="Hurtado,Caty"/>
    <s v="Romero Sanchez,Gustavo Gabriel"/>
    <n v="0"/>
    <n v="0"/>
    <n v="0"/>
    <n v="0"/>
    <n v="0.44"/>
    <e v="#N/A"/>
    <x v="6"/>
  </r>
  <r>
    <d v="2023-05-25T00:00:00"/>
    <x v="19"/>
    <s v="Admin/HR/IT"/>
    <s v="AMCARE NonOcc In"/>
    <s v="TEMP"/>
    <n v="200407440"/>
    <s v="Escamilla,Guillermo"/>
    <s v="Romero Sanchez,Gustavo Gabriel"/>
    <n v="0"/>
    <n v="0"/>
    <n v="0"/>
    <n v="0"/>
    <n v="0.28999999999999998"/>
    <e v="#N/A"/>
    <x v="0"/>
  </r>
  <r>
    <d v="2023-05-25T00:00:00"/>
    <x v="19"/>
    <s v="Admin/HR/IT"/>
    <s v="AMCARE NonOcc In"/>
    <s v="TEMP"/>
    <n v="201167388"/>
    <s v="Aguirre,Octavio"/>
    <s v="Madrid Molina,Ramon"/>
    <n v="0"/>
    <n v="0"/>
    <n v="0"/>
    <n v="0"/>
    <n v="1.33"/>
    <e v="#N/A"/>
    <x v="159"/>
  </r>
  <r>
    <d v="2023-05-25T00:00:00"/>
    <x v="19"/>
    <s v="Admin/HR/IT"/>
    <s v="AMCARE NonOcc In"/>
    <s v="TEMP"/>
    <n v="201198890"/>
    <s v="Gomez,Karla"/>
    <s v="Corona Arriaga,Fernando"/>
    <n v="0"/>
    <n v="0"/>
    <n v="0"/>
    <n v="0"/>
    <n v="0.36"/>
    <e v="#N/A"/>
    <x v="0"/>
  </r>
  <r>
    <d v="2023-05-25T00:00:00"/>
    <x v="19"/>
    <s v="Admin/HR/IT"/>
    <s v="AMCARE NonOcc In"/>
    <s v="TEMP"/>
    <n v="201202093"/>
    <s v="Ortega,Elizabeth"/>
    <s v="Romero Sanchez,Gustavo Gabriel"/>
    <n v="0"/>
    <n v="0"/>
    <n v="0"/>
    <n v="0"/>
    <n v="0.08"/>
    <e v="#N/A"/>
    <x v="129"/>
  </r>
  <r>
    <d v="2023-05-25T00:00:00"/>
    <x v="19"/>
    <s v="Admin/HR/IT"/>
    <s v="AMCARE NonOcc In"/>
    <s v="TEMP"/>
    <n v="201295429"/>
    <s v="Mireles Diaz Lopez,Jazmin"/>
    <s v="Gomez Aguado,Jorge"/>
    <n v="0"/>
    <n v="0"/>
    <n v="0"/>
    <n v="0"/>
    <n v="0.34"/>
    <e v="#N/A"/>
    <x v="147"/>
  </r>
  <r>
    <d v="2023-05-25T00:00:00"/>
    <x v="19"/>
    <s v="Admin/HR/IT"/>
    <s v="AMCARE NonOcc In"/>
    <s v="TEMP"/>
    <n v="201397005"/>
    <s v="Leon,Ana"/>
    <s v="Corona Arriaga,Fernando"/>
    <n v="0"/>
    <n v="0"/>
    <n v="0"/>
    <n v="0"/>
    <n v="0.96"/>
    <e v="#N/A"/>
    <x v="0"/>
  </r>
  <r>
    <d v="2023-05-25T00:00:00"/>
    <x v="19"/>
    <s v="Admin/HR/IT"/>
    <s v="AMCARE NonOcc In"/>
    <s v="TEMP"/>
    <n v="201401654"/>
    <s v="Garcia,Karen"/>
    <s v="Corona Arriaga,Fernando"/>
    <n v="0"/>
    <n v="0"/>
    <n v="0"/>
    <n v="0"/>
    <n v="0.28999999999999998"/>
    <e v="#N/A"/>
    <x v="0"/>
  </r>
  <r>
    <d v="2023-05-26T00:00:00"/>
    <x v="19"/>
    <s v="Admin/HR/IT"/>
    <s v="AMCARE NonOcc In"/>
    <s v="AMZN"/>
    <n v="112912675"/>
    <s v="Alejandri Villagomez,Alejandra"/>
    <s v="Corona Arriaga,Fernando"/>
    <n v="0"/>
    <n v="0"/>
    <n v="0"/>
    <n v="0"/>
    <n v="0.36"/>
    <e v="#N/A"/>
    <x v="0"/>
  </r>
  <r>
    <d v="2023-05-26T00:00:00"/>
    <x v="19"/>
    <s v="Admin/HR/IT"/>
    <s v="AMCARE NonOcc In"/>
    <s v="AMZN"/>
    <n v="112920637"/>
    <s v="Tapia,Antonio Torres"/>
    <s v="Pizana,Diego"/>
    <n v="0"/>
    <n v="0"/>
    <n v="0"/>
    <n v="0"/>
    <n v="0.2"/>
    <s v="DB-X0700"/>
    <x v="38"/>
  </r>
  <r>
    <d v="2023-05-26T00:00:00"/>
    <x v="19"/>
    <s v="Admin/HR/IT"/>
    <s v="AMCARE NonOcc In"/>
    <s v="AMZN"/>
    <n v="113014470"/>
    <s v="Aguilar Ibarra,Lupe"/>
    <s v="Robledo Ugarte,Alejandro"/>
    <n v="0"/>
    <n v="0"/>
    <n v="0"/>
    <n v="0"/>
    <n v="0.11"/>
    <e v="#N/A"/>
    <x v="30"/>
  </r>
  <r>
    <d v="2023-05-26T00:00:00"/>
    <x v="19"/>
    <s v="Admin/HR/IT"/>
    <s v="AMCARE NonOcc In"/>
    <s v="AMZN"/>
    <n v="113020476"/>
    <s v="Puente Aguilar,Polette"/>
    <s v="Madrid Molina,Ramon"/>
    <n v="0"/>
    <n v="0"/>
    <n v="0"/>
    <n v="0"/>
    <n v="0.01"/>
    <e v="#N/A"/>
    <x v="19"/>
  </r>
  <r>
    <d v="2023-05-26T00:00:00"/>
    <x v="19"/>
    <s v="Admin/HR/IT"/>
    <s v="AMCARE NonOcc In"/>
    <s v="TEMP"/>
    <n v="200525168"/>
    <s v="Morales,Oscar"/>
    <s v="Ledezma,Fer"/>
    <n v="0"/>
    <n v="0"/>
    <n v="0"/>
    <n v="0"/>
    <n v="1.49"/>
    <e v="#N/A"/>
    <x v="0"/>
  </r>
  <r>
    <d v="2023-05-26T00:00:00"/>
    <x v="19"/>
    <s v="Admin/HR/IT"/>
    <s v="AMCARE NonOcc In"/>
    <s v="TEMP"/>
    <n v="200625528"/>
    <s v="Oliva,Lizbeth"/>
    <s v="Piedra,Valentina"/>
    <n v="0"/>
    <n v="0"/>
    <n v="0"/>
    <n v="0"/>
    <n v="0.25"/>
    <e v="#N/A"/>
    <x v="83"/>
  </r>
  <r>
    <d v="2023-05-26T00:00:00"/>
    <x v="19"/>
    <s v="Admin/HR/IT"/>
    <s v="AMCARE NonOcc In"/>
    <s v="TEMP"/>
    <n v="201309605"/>
    <s v="Hernandez,Yamile"/>
    <s v="Gomez Aguado,Jorge"/>
    <n v="0"/>
    <n v="0"/>
    <n v="0"/>
    <n v="0"/>
    <n v="0.2"/>
    <e v="#N/A"/>
    <x v="0"/>
  </r>
  <r>
    <d v="2023-05-26T00:00:00"/>
    <x v="19"/>
    <s v="Admin/HR/IT"/>
    <s v="AMCARE NonOcc In"/>
    <s v="TEMP"/>
    <n v="201341822"/>
    <s v="Rocha,Claudia"/>
    <s v="Corona Arriaga,Fernando"/>
    <n v="0"/>
    <n v="0"/>
    <n v="0"/>
    <n v="0"/>
    <n v="0.7"/>
    <e v="#N/A"/>
    <x v="0"/>
  </r>
  <r>
    <d v="2023-05-26T00:00:00"/>
    <x v="19"/>
    <s v="Admin/HR/IT"/>
    <s v="AMCARE NonOcc In"/>
    <s v="TEMP"/>
    <n v="201354965"/>
    <s v="JimÃ©nez,Aline"/>
    <s v="Lopez,Alexa"/>
    <n v="0"/>
    <n v="0"/>
    <n v="0"/>
    <n v="0"/>
    <n v="0.22"/>
    <e v="#N/A"/>
    <x v="152"/>
  </r>
  <r>
    <d v="2023-05-26T00:00:00"/>
    <x v="19"/>
    <s v="Admin/HR/IT"/>
    <s v="AMCARE NonOcc In"/>
    <s v="TEMP"/>
    <n v="201403462"/>
    <s v="Valdovino,Jorge"/>
    <s v="Corona Arriaga,Fernando"/>
    <n v="0"/>
    <n v="0"/>
    <n v="0"/>
    <n v="0"/>
    <n v="0.23"/>
    <e v="#N/A"/>
    <x v="146"/>
  </r>
  <r>
    <d v="2023-05-27T00:00:00"/>
    <x v="19"/>
    <s v="Admin/HR/IT"/>
    <s v="AMCARE NonOcc In"/>
    <s v="AMZN"/>
    <n v="112971961"/>
    <s v="Lopez,Jason"/>
    <s v="Camarena,Grecia"/>
    <n v="0"/>
    <n v="0"/>
    <n v="0"/>
    <n v="0"/>
    <n v="0.3"/>
    <e v="#N/A"/>
    <x v="0"/>
  </r>
  <r>
    <d v="2023-05-27T00:00:00"/>
    <x v="19"/>
    <s v="Admin/HR/IT"/>
    <s v="AMCARE NonOcc In"/>
    <s v="AMZN"/>
    <n v="113014042"/>
    <s v="Cervantes,Rose"/>
    <s v="Madrid Molina,Ramon"/>
    <n v="0"/>
    <n v="0"/>
    <n v="0"/>
    <n v="0"/>
    <n v="0.3"/>
    <e v="#N/A"/>
    <x v="20"/>
  </r>
  <r>
    <d v="2023-05-27T00:00:00"/>
    <x v="19"/>
    <s v="Admin/HR/IT"/>
    <s v="AMCARE NonOcc In"/>
    <s v="AMZN"/>
    <n v="113014470"/>
    <s v="Aguilar Ibarra,Lupe"/>
    <s v="Robledo Ugarte,Alejandro"/>
    <n v="0"/>
    <n v="0"/>
    <n v="0"/>
    <n v="0"/>
    <n v="0.11"/>
    <e v="#N/A"/>
    <x v="30"/>
  </r>
  <r>
    <d v="2023-05-27T00:00:00"/>
    <x v="19"/>
    <s v="Admin/HR/IT"/>
    <s v="AMCARE NonOcc In"/>
    <s v="TEMP"/>
    <n v="200614224"/>
    <s v="Cruz Hernandez,Cris"/>
    <s v="Ledezma,Fer"/>
    <n v="0"/>
    <n v="0"/>
    <n v="0"/>
    <n v="0"/>
    <n v="0.14000000000000001"/>
    <e v="#N/A"/>
    <x v="0"/>
  </r>
  <r>
    <d v="2023-05-27T00:00:00"/>
    <x v="19"/>
    <s v="Admin/HR/IT"/>
    <s v="AMCARE NonOcc In"/>
    <s v="TEMP"/>
    <n v="201198427"/>
    <s v="Ponce,Paulina"/>
    <s v="Gomez Aguado,Jorge"/>
    <n v="0"/>
    <n v="0"/>
    <n v="0"/>
    <n v="0"/>
    <n v="0.55000000000000004"/>
    <e v="#N/A"/>
    <x v="148"/>
  </r>
  <r>
    <d v="2023-05-27T00:00:00"/>
    <x v="19"/>
    <s v="Admin/HR/IT"/>
    <s v="AMCARE NonOcc In"/>
    <s v="TEMP"/>
    <n v="201211157"/>
    <s v="Vargas,Jesse"/>
    <s v="Corona Arriaga,Fernando"/>
    <n v="0"/>
    <n v="0"/>
    <n v="0"/>
    <n v="0"/>
    <n v="0.52"/>
    <e v="#N/A"/>
    <x v="121"/>
  </r>
  <r>
    <d v="2023-05-27T00:00:00"/>
    <x v="19"/>
    <s v="Admin/HR/IT"/>
    <s v="AMCARE NonOcc In"/>
    <s v="TEMP"/>
    <n v="201329529"/>
    <s v="Padilla,Pablo"/>
    <s v="Lopez,Alexa"/>
    <n v="0"/>
    <n v="0"/>
    <n v="0"/>
    <n v="0"/>
    <n v="0.28000000000000003"/>
    <e v="#N/A"/>
    <x v="0"/>
  </r>
  <r>
    <d v="2023-05-27T00:00:00"/>
    <x v="19"/>
    <s v="Admin/HR/IT"/>
    <s v="AMCARE NonOcc In"/>
    <s v="TEMP"/>
    <n v="201341822"/>
    <s v="Rocha,Claudia"/>
    <s v="Corona Arriaga,Fernando"/>
    <n v="0"/>
    <n v="0"/>
    <n v="0"/>
    <n v="0"/>
    <n v="0.62"/>
    <e v="#N/A"/>
    <x v="0"/>
  </r>
  <r>
    <d v="2023-05-28T00:00:00"/>
    <x v="19"/>
    <s v="Admin/HR/IT"/>
    <s v="AMCARE NonOcc In"/>
    <s v="AMZN"/>
    <n v="111261444"/>
    <s v="NÃºÃ±ez,Fernando"/>
    <s v="Gomez Aguado,Jorge"/>
    <n v="0"/>
    <n v="0"/>
    <n v="0"/>
    <n v="0"/>
    <n v="0.1"/>
    <s v="DB-X0700"/>
    <x v="100"/>
  </r>
  <r>
    <d v="2023-05-28T00:00:00"/>
    <x v="19"/>
    <s v="Admin/HR/IT"/>
    <s v="AMCARE NonOcc In"/>
    <s v="TEMP"/>
    <n v="112950796"/>
    <s v="Garcia,Janeth"/>
    <s v="Gomez,Abinadab"/>
    <n v="0"/>
    <n v="0"/>
    <n v="0"/>
    <n v="0"/>
    <n v="1.5"/>
    <e v="#N/A"/>
    <x v="0"/>
  </r>
  <r>
    <d v="2023-05-28T00:00:00"/>
    <x v="19"/>
    <s v="Admin/HR/IT"/>
    <s v="AMCARE NonOcc In"/>
    <s v="AMZN"/>
    <n v="112980899"/>
    <s v="Avila Cabrera,Ari"/>
    <s v="Piedra,Valentina"/>
    <n v="0"/>
    <n v="0"/>
    <n v="0"/>
    <n v="0"/>
    <n v="1.25"/>
    <s v="NF-X1900"/>
    <x v="34"/>
  </r>
  <r>
    <d v="2023-05-28T00:00:00"/>
    <x v="19"/>
    <s v="Admin/HR/IT"/>
    <s v="AMCARE NonOcc In"/>
    <s v="AMZN"/>
    <n v="112981013"/>
    <s v="Lopez Neri,Norma"/>
    <s v="Gomez,Abinadab"/>
    <n v="0"/>
    <n v="0"/>
    <n v="0"/>
    <n v="0"/>
    <n v="0.56999999999999995"/>
    <s v="DA-X0700"/>
    <x v="12"/>
  </r>
  <r>
    <d v="2023-05-28T00:00:00"/>
    <x v="19"/>
    <s v="Admin/HR/IT"/>
    <s v="AMCARE NonOcc In"/>
    <s v="AMZN"/>
    <n v="112981196"/>
    <s v="Gomez,Andrea"/>
    <s v="Piedra,Valentina"/>
    <n v="0"/>
    <n v="0"/>
    <n v="0"/>
    <n v="0"/>
    <n v="0.15"/>
    <e v="#N/A"/>
    <x v="22"/>
  </r>
  <r>
    <d v="2023-05-28T00:00:00"/>
    <x v="19"/>
    <s v="Admin/HR/IT"/>
    <s v="AMCARE NonOcc In"/>
    <s v="AMZN"/>
    <n v="113101453"/>
    <s v="Isaac,Geovanna"/>
    <s v="Robledo Ugarte,Alejandro"/>
    <n v="0"/>
    <n v="0"/>
    <n v="0"/>
    <n v="0"/>
    <n v="0.4"/>
    <e v="#N/A"/>
    <x v="4"/>
  </r>
  <r>
    <d v="2023-05-28T00:00:00"/>
    <x v="19"/>
    <s v="Admin/HR/IT"/>
    <s v="AMCARE NonOcc In"/>
    <s v="TEMP"/>
    <n v="200589316"/>
    <s v="Torres Zuniga,Daniel"/>
    <s v="Gomez Aguado,Jorge"/>
    <n v="0"/>
    <n v="0"/>
    <n v="0"/>
    <n v="0"/>
    <n v="0.37"/>
    <e v="#N/A"/>
    <x v="0"/>
  </r>
  <r>
    <d v="2023-05-28T00:00:00"/>
    <x v="19"/>
    <s v="Admin/HR/IT"/>
    <s v="AMCARE NonOcc In"/>
    <s v="TEMP"/>
    <n v="201186833"/>
    <s v="Jasso,Alexa"/>
    <s v="Gomez,Abinadab"/>
    <n v="0"/>
    <n v="0"/>
    <n v="0"/>
    <n v="0"/>
    <n v="0.26"/>
    <e v="#N/A"/>
    <x v="114"/>
  </r>
  <r>
    <d v="2023-05-28T00:00:00"/>
    <x v="19"/>
    <s v="Admin/HR/IT"/>
    <s v="AMCARE NonOcc In"/>
    <s v="TEMP"/>
    <n v="201198370"/>
    <s v="Hernandez,Briana"/>
    <s v="Ledezma,Fer"/>
    <n v="0"/>
    <n v="0"/>
    <n v="0"/>
    <n v="0"/>
    <n v="0.19"/>
    <e v="#N/A"/>
    <x v="0"/>
  </r>
  <r>
    <d v="2023-05-28T00:00:00"/>
    <x v="19"/>
    <s v="Admin/HR/IT"/>
    <s v="AMCARE NonOcc In"/>
    <s v="TEMP"/>
    <n v="201351016"/>
    <s v="Mares,Tony"/>
    <s v="Romero Sanchez,Gustavo Gabriel"/>
    <n v="0"/>
    <n v="0"/>
    <n v="0"/>
    <n v="0"/>
    <n v="0.19"/>
    <e v="#N/A"/>
    <x v="0"/>
  </r>
  <r>
    <d v="2023-05-28T00:00:00"/>
    <x v="19"/>
    <s v="Admin/HR/IT"/>
    <s v="AMCARE NonOcc In"/>
    <s v="TEMP"/>
    <n v="201369351"/>
    <s v="Delgado Iracheta,Cesar Josue"/>
    <s v="Munoz,Jonan"/>
    <n v="0"/>
    <n v="0"/>
    <n v="0"/>
    <n v="0"/>
    <n v="1.0900000000000001"/>
    <e v="#N/A"/>
    <x v="0"/>
  </r>
  <r>
    <d v="2023-05-28T00:00:00"/>
    <x v="19"/>
    <s v="Admin/HR/IT"/>
    <s v="AMCARE NonOcc In"/>
    <s v="TEMP"/>
    <n v="201402216"/>
    <s v="Navia,Victor"/>
    <s v="Bueno Mendoza,Susana"/>
    <n v="0"/>
    <n v="0"/>
    <n v="0"/>
    <n v="0"/>
    <n v="0.43"/>
    <e v="#N/A"/>
    <x v="0"/>
  </r>
  <r>
    <d v="2023-05-28T00:00:00"/>
    <x v="19"/>
    <s v="Admin/HR/IT"/>
    <s v="AMCARE NonOcc In"/>
    <s v="TEMP"/>
    <n v="201402504"/>
    <s v="Zuniga,Eduardo"/>
    <s v="Bueno Mendoza,Susana"/>
    <n v="0"/>
    <n v="0"/>
    <n v="0"/>
    <n v="0"/>
    <n v="0.69"/>
    <e v="#N/A"/>
    <x v="0"/>
  </r>
  <r>
    <d v="2023-05-28T00:00:00"/>
    <x v="19"/>
    <s v="Admin/HR/IT"/>
    <s v="AMCARE NonOcc In"/>
    <s v="TEMP"/>
    <n v="201409070"/>
    <s v="Hernandez,Estefania"/>
    <s v="Gomez Aguado,Jorge"/>
    <n v="0"/>
    <n v="0"/>
    <n v="0"/>
    <n v="0"/>
    <n v="0.6"/>
    <e v="#N/A"/>
    <x v="0"/>
  </r>
  <r>
    <d v="2023-05-29T00:00:00"/>
    <x v="20"/>
    <s v="Admin/HR/IT"/>
    <s v="AMCARE NonOcc In"/>
    <s v="AMZN"/>
    <n v="112912663"/>
    <s v="Segura,Lucero"/>
    <s v="Munoz,Jonan"/>
    <n v="0"/>
    <n v="0"/>
    <n v="0"/>
    <n v="0"/>
    <n v="0.92"/>
    <e v="#N/A"/>
    <x v="0"/>
  </r>
  <r>
    <d v="2023-05-29T00:00:00"/>
    <x v="20"/>
    <s v="Admin/HR/IT"/>
    <s v="AMCARE NonOcc In"/>
    <s v="AMZN"/>
    <n v="112912753"/>
    <s v="Padilla Abrego,Selene"/>
    <s v="Romero Sanchez,Gustavo Gabriel"/>
    <n v="0"/>
    <n v="0"/>
    <n v="0"/>
    <n v="0"/>
    <n v="0.7"/>
    <e v="#N/A"/>
    <x v="0"/>
  </r>
  <r>
    <d v="2023-05-29T00:00:00"/>
    <x v="20"/>
    <s v="Admin/HR/IT"/>
    <s v="AMCARE NonOcc In"/>
    <s v="AMZN"/>
    <n v="112932733"/>
    <s v="Quiroga,Silvia"/>
    <s v="Madrid Molina,Ramon"/>
    <n v="0"/>
    <n v="0"/>
    <n v="0"/>
    <n v="0"/>
    <n v="0.18"/>
    <e v="#N/A"/>
    <x v="0"/>
  </r>
  <r>
    <d v="2023-05-29T00:00:00"/>
    <x v="20"/>
    <s v="Admin/HR/IT"/>
    <s v="AMCARE NonOcc In"/>
    <s v="AMZN"/>
    <n v="112976013"/>
    <s v="Garcia,Roberto"/>
    <s v="Munoz,Jonan"/>
    <n v="0"/>
    <n v="0"/>
    <n v="0"/>
    <n v="0"/>
    <n v="0.88"/>
    <e v="#N/A"/>
    <x v="0"/>
  </r>
  <r>
    <d v="2023-05-29T00:00:00"/>
    <x v="20"/>
    <s v="Admin/HR/IT"/>
    <s v="AMCARE NonOcc In"/>
    <s v="AMZN"/>
    <n v="112980844"/>
    <s v="Padilla,Samantha"/>
    <s v="Gomez,Abinadab"/>
    <n v="0"/>
    <n v="0"/>
    <n v="0"/>
    <n v="0"/>
    <n v="0.01"/>
    <s v="DA-X0700"/>
    <x v="2"/>
  </r>
  <r>
    <d v="2023-05-29T00:00:00"/>
    <x v="20"/>
    <s v="Admin/HR/IT"/>
    <s v="AMCARE NonOcc In"/>
    <s v="AMZN"/>
    <n v="112980878"/>
    <s v="Romero Escobar,Gerardo"/>
    <s v="Romero Sanchez,Gustavo Gabriel"/>
    <n v="0"/>
    <n v="0"/>
    <n v="0"/>
    <n v="0"/>
    <n v="0.06"/>
    <e v="#N/A"/>
    <x v="0"/>
  </r>
  <r>
    <d v="2023-05-29T00:00:00"/>
    <x v="20"/>
    <s v="Admin/HR/IT"/>
    <s v="AMCARE NonOcc In"/>
    <s v="AMZN"/>
    <n v="112981013"/>
    <s v="Lopez Neri,Norma"/>
    <s v="Gomez,Abinadab"/>
    <n v="0"/>
    <n v="0"/>
    <n v="0"/>
    <n v="0"/>
    <n v="0"/>
    <s v="DA-X0700"/>
    <x v="12"/>
  </r>
  <r>
    <d v="2023-05-29T00:00:00"/>
    <x v="20"/>
    <s v="Admin/HR/IT"/>
    <s v="AMCARE NonOcc In"/>
    <s v="AMZN"/>
    <n v="113014078"/>
    <s v="Nunez Lopez,Aldair"/>
    <s v="Romero Sanchez,Gustavo Gabriel"/>
    <n v="0"/>
    <n v="0"/>
    <n v="0"/>
    <n v="0"/>
    <n v="0.14000000000000001"/>
    <e v="#N/A"/>
    <x v="76"/>
  </r>
  <r>
    <d v="2023-05-29T00:00:00"/>
    <x v="20"/>
    <s v="Admin/HR/IT"/>
    <s v="AMCARE NonOcc In"/>
    <s v="AMZN"/>
    <n v="113020463"/>
    <s v="Valtierra,Alejandra"/>
    <s v="Robledo Ugarte,Alejandro"/>
    <n v="0"/>
    <n v="0"/>
    <n v="0"/>
    <n v="0"/>
    <n v="0.12"/>
    <e v="#N/A"/>
    <x v="17"/>
  </r>
  <r>
    <d v="2023-05-29T00:00:00"/>
    <x v="20"/>
    <s v="Admin/HR/IT"/>
    <s v="AMCARE NonOcc In"/>
    <s v="AMZN"/>
    <n v="113101453"/>
    <s v="Isaac,Geovanna"/>
    <s v="Robledo Ugarte,Alejandro"/>
    <n v="0"/>
    <n v="0"/>
    <n v="0"/>
    <n v="0"/>
    <n v="0.24"/>
    <e v="#N/A"/>
    <x v="4"/>
  </r>
  <r>
    <d v="2023-05-29T00:00:00"/>
    <x v="20"/>
    <s v="Admin/HR/IT"/>
    <s v="AMCARE NonOcc In"/>
    <s v="AMZN"/>
    <n v="200404250"/>
    <s v="Hurtado,Caty"/>
    <s v="Romero Sanchez,Gustavo Gabriel"/>
    <n v="0"/>
    <n v="0"/>
    <n v="0"/>
    <n v="0"/>
    <n v="0.17"/>
    <e v="#N/A"/>
    <x v="6"/>
  </r>
  <r>
    <d v="2023-05-29T00:00:00"/>
    <x v="20"/>
    <s v="Admin/HR/IT"/>
    <s v="AMCARE NonOcc In"/>
    <s v="TEMP"/>
    <n v="200407440"/>
    <s v="Escamilla,Guillermo"/>
    <s v="Romero Sanchez,Gustavo Gabriel"/>
    <n v="0"/>
    <n v="0"/>
    <n v="0"/>
    <n v="0"/>
    <n v="0.79"/>
    <e v="#N/A"/>
    <x v="0"/>
  </r>
  <r>
    <d v="2023-05-29T00:00:00"/>
    <x v="20"/>
    <s v="Admin/HR/IT"/>
    <s v="AMCARE NonOcc In"/>
    <s v="TEMP"/>
    <n v="200625528"/>
    <s v="Oliva,Lizbeth"/>
    <s v="Piedra,Valentina"/>
    <n v="0"/>
    <n v="0"/>
    <n v="0"/>
    <n v="0"/>
    <n v="0.19"/>
    <e v="#N/A"/>
    <x v="83"/>
  </r>
  <r>
    <d v="2023-05-29T00:00:00"/>
    <x v="20"/>
    <s v="Admin/HR/IT"/>
    <s v="AMCARE NonOcc In"/>
    <s v="TEMP"/>
    <n v="201166890"/>
    <s v="Caballero,Daniel"/>
    <s v="Romero Sanchez,Gustavo Gabriel"/>
    <n v="0"/>
    <n v="0"/>
    <n v="0"/>
    <n v="0"/>
    <n v="1.87"/>
    <e v="#N/A"/>
    <x v="141"/>
  </r>
  <r>
    <d v="2023-05-29T00:00:00"/>
    <x v="20"/>
    <s v="Admin/HR/IT"/>
    <s v="AMCARE NonOcc In"/>
    <s v="TEMP"/>
    <n v="201167517"/>
    <s v="Espinoza Lopez,Magdal"/>
    <s v="Robledo Ugarte,Alejandro"/>
    <n v="0"/>
    <n v="0"/>
    <n v="0"/>
    <n v="0"/>
    <n v="0.28999999999999998"/>
    <e v="#N/A"/>
    <x v="0"/>
  </r>
  <r>
    <d v="2023-05-29T00:00:00"/>
    <x v="20"/>
    <s v="Admin/HR/IT"/>
    <s v="AMCARE NonOcc In"/>
    <s v="TEMP"/>
    <n v="201198979"/>
    <s v="Mendoza,Omar"/>
    <s v="Piedra,Valentina"/>
    <n v="0"/>
    <n v="0"/>
    <n v="0"/>
    <n v="0"/>
    <n v="0.34"/>
    <e v="#N/A"/>
    <x v="0"/>
  </r>
  <r>
    <d v="2023-05-29T00:00:00"/>
    <x v="20"/>
    <s v="Admin/HR/IT"/>
    <s v="AMCARE NonOcc In"/>
    <s v="TEMP"/>
    <n v="201212196"/>
    <s v="Juarez,Angel"/>
    <s v="Ledezma,Fer"/>
    <n v="0"/>
    <n v="0"/>
    <n v="0"/>
    <n v="0"/>
    <n v="0.18"/>
    <e v="#N/A"/>
    <x v="0"/>
  </r>
  <r>
    <d v="2023-05-29T00:00:00"/>
    <x v="20"/>
    <s v="Admin/HR/IT"/>
    <s v="AMCARE NonOcc In"/>
    <s v="TEMP"/>
    <n v="201365896"/>
    <s v="Gonzalez,Esther"/>
    <s v="Bueno Mendoza,Susana"/>
    <n v="0"/>
    <n v="0"/>
    <n v="0"/>
    <n v="0"/>
    <n v="0.25"/>
    <e v="#N/A"/>
    <x v="0"/>
  </r>
  <r>
    <d v="2023-05-29T00:00:00"/>
    <x v="20"/>
    <s v="Admin/HR/IT"/>
    <s v="AMCARE NonOcc In"/>
    <s v="TEMP"/>
    <n v="201378614"/>
    <s v="Meza,Fernando"/>
    <s v="Bueno Mendoza,Susana"/>
    <n v="0"/>
    <n v="0"/>
    <n v="0"/>
    <n v="0"/>
    <n v="0.54"/>
    <e v="#N/A"/>
    <x v="0"/>
  </r>
  <r>
    <d v="2023-05-29T00:00:00"/>
    <x v="20"/>
    <s v="Admin/HR/IT"/>
    <s v="AMCARE NonOcc In"/>
    <s v="TEMP"/>
    <n v="201402060"/>
    <s v="Tovar,Mariana"/>
    <s v="Bueno Mendoza,Susana"/>
    <n v="0"/>
    <n v="0"/>
    <n v="0"/>
    <n v="0"/>
    <n v="0.5"/>
    <e v="#N/A"/>
    <x v="0"/>
  </r>
  <r>
    <d v="2023-05-30T00:00:00"/>
    <x v="20"/>
    <s v="Admin/HR/IT"/>
    <s v="AMCARE NonOcc In"/>
    <s v="AMZN"/>
    <n v="103979960"/>
    <s v="Suchil Angel,Guillermo"/>
    <s v="Robledo Ugarte,Alejandro"/>
    <n v="0"/>
    <n v="0"/>
    <n v="0"/>
    <n v="0"/>
    <n v="0.28000000000000003"/>
    <e v="#N/A"/>
    <x v="0"/>
  </r>
  <r>
    <d v="2023-05-30T00:00:00"/>
    <x v="20"/>
    <s v="Admin/HR/IT"/>
    <s v="AMCARE NonOcc In"/>
    <s v="AMZN"/>
    <n v="112912163"/>
    <s v="Murillo,Alejandro"/>
    <s v="Romero Sanchez,Gustavo Gabriel"/>
    <n v="0"/>
    <n v="0"/>
    <n v="0"/>
    <n v="0"/>
    <n v="0.59"/>
    <e v="#N/A"/>
    <x v="0"/>
  </r>
  <r>
    <d v="2023-05-30T00:00:00"/>
    <x v="20"/>
    <s v="Admin/HR/IT"/>
    <s v="AMCARE NonOcc In"/>
    <s v="AMZN"/>
    <n v="112913641"/>
    <s v="Arevalo,Mauricio"/>
    <s v="Munoz,Jonan"/>
    <n v="0"/>
    <n v="0"/>
    <n v="0"/>
    <n v="0"/>
    <n v="0.83"/>
    <s v="DB-X0700"/>
    <x v="132"/>
  </r>
  <r>
    <d v="2023-05-30T00:00:00"/>
    <x v="20"/>
    <s v="Admin/HR/IT"/>
    <s v="AMCARE NonOcc In"/>
    <s v="AMZN"/>
    <n v="112980847"/>
    <s v="Reyes,Jose"/>
    <s v="Gomez,Abinadab"/>
    <n v="0"/>
    <n v="0"/>
    <n v="0"/>
    <n v="0"/>
    <n v="0.4"/>
    <e v="#N/A"/>
    <x v="0"/>
  </r>
  <r>
    <d v="2023-05-30T00:00:00"/>
    <x v="20"/>
    <s v="Admin/HR/IT"/>
    <s v="AMCARE NonOcc In"/>
    <s v="AMZN"/>
    <n v="112981013"/>
    <s v="Lopez Neri,Norma"/>
    <s v="Gomez,Abinadab"/>
    <n v="0"/>
    <n v="0"/>
    <n v="0"/>
    <n v="0"/>
    <n v="0.31"/>
    <s v="DA-X0700"/>
    <x v="12"/>
  </r>
  <r>
    <d v="2023-05-30T00:00:00"/>
    <x v="20"/>
    <s v="Admin/HR/IT"/>
    <s v="AMCARE NonOcc In"/>
    <s v="AMZN"/>
    <n v="112981014"/>
    <s v="Roldan Gutierrez,Pablo"/>
    <s v="Gomez,Abinadab"/>
    <n v="0"/>
    <n v="0"/>
    <n v="0"/>
    <n v="0"/>
    <n v="0.13"/>
    <s v="DJ-X0700"/>
    <x v="29"/>
  </r>
  <r>
    <d v="2023-05-30T00:00:00"/>
    <x v="20"/>
    <s v="Admin/HR/IT"/>
    <s v="AMCARE NonOcc In"/>
    <s v="AMZN"/>
    <n v="112981201"/>
    <s v="Ramirez,Andrea"/>
    <s v="Robledo Ugarte,Alejandro"/>
    <n v="0"/>
    <n v="0"/>
    <n v="0"/>
    <n v="0"/>
    <n v="0.19"/>
    <e v="#N/A"/>
    <x v="0"/>
  </r>
  <r>
    <d v="2023-05-30T00:00:00"/>
    <x v="20"/>
    <s v="Admin/HR/IT"/>
    <s v="AMCARE NonOcc In"/>
    <s v="AMZN"/>
    <n v="113014042"/>
    <s v="Cervantes,Rose"/>
    <s v="Madrid Molina,Ramon"/>
    <n v="0"/>
    <n v="0"/>
    <n v="0"/>
    <n v="0"/>
    <n v="0.46"/>
    <e v="#N/A"/>
    <x v="20"/>
  </r>
  <r>
    <d v="2023-05-30T00:00:00"/>
    <x v="20"/>
    <s v="Admin/HR/IT"/>
    <s v="AMCARE NonOcc In"/>
    <s v="AMZN"/>
    <n v="113101453"/>
    <s v="Isaac,Geovanna"/>
    <s v="Robledo Ugarte,Alejandro"/>
    <n v="0"/>
    <n v="0"/>
    <n v="0"/>
    <n v="0"/>
    <n v="0.14000000000000001"/>
    <e v="#N/A"/>
    <x v="4"/>
  </r>
  <r>
    <d v="2023-05-30T00:00:00"/>
    <x v="20"/>
    <s v="Admin/HR/IT"/>
    <s v="AMCARE NonOcc In"/>
    <s v="AMZN"/>
    <n v="200404250"/>
    <s v="Hurtado,Caty"/>
    <s v="Romero Sanchez,Gustavo Gabriel"/>
    <n v="0"/>
    <n v="0"/>
    <n v="0"/>
    <n v="0"/>
    <n v="0.48"/>
    <e v="#N/A"/>
    <x v="6"/>
  </r>
  <r>
    <d v="2023-05-30T00:00:00"/>
    <x v="20"/>
    <s v="Admin/HR/IT"/>
    <s v="AMCARE NonOcc In"/>
    <s v="TEMP"/>
    <n v="200514421"/>
    <s v="Padilla Abrego,Angeles"/>
    <s v="Romero Sanchez,Gustavo Gabriel"/>
    <n v="0"/>
    <n v="0"/>
    <n v="0"/>
    <n v="0"/>
    <n v="0.12"/>
    <e v="#N/A"/>
    <x v="18"/>
  </r>
  <r>
    <d v="2023-05-30T00:00:00"/>
    <x v="20"/>
    <s v="Admin/HR/IT"/>
    <s v="AMCARE NonOcc In"/>
    <s v="TEMP"/>
    <n v="200589316"/>
    <s v="Torres Zuniga,Daniel"/>
    <s v="Gomez Aguado,Jorge"/>
    <n v="0"/>
    <n v="0"/>
    <n v="0"/>
    <n v="0"/>
    <n v="0.44"/>
    <e v="#N/A"/>
    <x v="0"/>
  </r>
  <r>
    <d v="2023-05-30T00:00:00"/>
    <x v="20"/>
    <s v="Admin/HR/IT"/>
    <s v="AMCARE NonOcc In"/>
    <s v="TEMP"/>
    <n v="201201993"/>
    <s v="Olmos,Lucia"/>
    <s v="Piedra,Valentina"/>
    <n v="0"/>
    <n v="0"/>
    <n v="0"/>
    <n v="0"/>
    <n v="0.23"/>
    <e v="#N/A"/>
    <x v="0"/>
  </r>
  <r>
    <d v="2023-05-30T00:00:00"/>
    <x v="20"/>
    <s v="Admin/HR/IT"/>
    <s v="AMCARE NonOcc In"/>
    <s v="TEMP"/>
    <n v="201212196"/>
    <s v="Juarez,Angel"/>
    <s v="Ledezma,Fer"/>
    <n v="0"/>
    <n v="0"/>
    <n v="0"/>
    <n v="0"/>
    <n v="0.12"/>
    <e v="#N/A"/>
    <x v="0"/>
  </r>
  <r>
    <d v="2023-05-30T00:00:00"/>
    <x v="20"/>
    <s v="Admin/HR/IT"/>
    <s v="AMCARE NonOcc In"/>
    <s v="TEMP"/>
    <n v="201314835"/>
    <s v="Guzman,Janeth"/>
    <s v="Lopez,Alexa"/>
    <n v="0"/>
    <n v="0"/>
    <n v="0"/>
    <n v="0"/>
    <n v="0.15"/>
    <e v="#N/A"/>
    <x v="0"/>
  </r>
  <r>
    <d v="2023-05-30T00:00:00"/>
    <x v="20"/>
    <s v="Admin/HR/IT"/>
    <s v="AMCARE NonOcc In"/>
    <s v="TEMP"/>
    <n v="201320388"/>
    <s v="Pena,Laura"/>
    <s v="Robledo Ugarte,Alejandro"/>
    <n v="0"/>
    <n v="0"/>
    <n v="0"/>
    <n v="0"/>
    <n v="0.49"/>
    <e v="#N/A"/>
    <x v="0"/>
  </r>
  <r>
    <d v="2023-05-30T00:00:00"/>
    <x v="20"/>
    <s v="Admin/HR/IT"/>
    <s v="AMCARE NonOcc In"/>
    <s v="TEMP"/>
    <n v="201374305"/>
    <s v="Salgado,Ruben"/>
    <s v="Lopez,Alexa"/>
    <n v="0"/>
    <n v="0"/>
    <n v="0"/>
    <n v="0"/>
    <n v="0.82"/>
    <e v="#N/A"/>
    <x v="0"/>
  </r>
  <r>
    <d v="2023-05-31T00:00:00"/>
    <x v="20"/>
    <s v="Admin/HR/IT"/>
    <s v="AMCARE NonOcc In"/>
    <s v="AMZN"/>
    <n v="112920655"/>
    <s v="Diaz de LeÃ³n,Paola"/>
    <s v="Pizana,Diego"/>
    <n v="0"/>
    <n v="0"/>
    <n v="0"/>
    <n v="0"/>
    <n v="0.7"/>
    <e v="#N/A"/>
    <x v="0"/>
  </r>
  <r>
    <d v="2023-05-31T00:00:00"/>
    <x v="20"/>
    <s v="Admin/HR/IT"/>
    <s v="AMCARE NonOcc In"/>
    <s v="AMZN"/>
    <n v="112942473"/>
    <s v="Vargas Lopez,Hilda Cecilia"/>
    <s v="Munoz,Jonan"/>
    <n v="0"/>
    <n v="0"/>
    <n v="0"/>
    <n v="0"/>
    <n v="0.42"/>
    <s v="DC-X0700"/>
    <x v="140"/>
  </r>
  <r>
    <d v="2023-05-31T00:00:00"/>
    <x v="20"/>
    <s v="Admin/HR/IT"/>
    <s v="AMCARE NonOcc In"/>
    <s v="AMZN"/>
    <n v="112950784"/>
    <s v="Rojas,Samuel"/>
    <s v="Pizana,Diego"/>
    <n v="0"/>
    <n v="0"/>
    <n v="0"/>
    <n v="0"/>
    <n v="0.15"/>
    <s v="NF-X1900"/>
    <x v="13"/>
  </r>
  <r>
    <d v="2023-05-31T00:00:00"/>
    <x v="20"/>
    <s v="Admin/HR/IT"/>
    <s v="AMCARE NonOcc In"/>
    <s v="AMZN"/>
    <n v="112950807"/>
    <s v="Sanchez Lira,Aaron"/>
    <s v="Garcia Espejel,Brenda Victoria"/>
    <n v="0"/>
    <n v="0"/>
    <n v="0"/>
    <n v="0"/>
    <n v="0.2"/>
    <s v="DA-X0700"/>
    <x v="112"/>
  </r>
  <r>
    <d v="2023-05-31T00:00:00"/>
    <x v="20"/>
    <s v="Admin/HR/IT"/>
    <s v="AMCARE NonOcc In"/>
    <s v="AMZN"/>
    <n v="113014403"/>
    <s v="Arias Sanchez,Nora"/>
    <s v="Romero Sanchez,Gustavo Gabriel"/>
    <n v="0"/>
    <n v="0"/>
    <n v="0"/>
    <n v="0"/>
    <n v="0.17"/>
    <e v="#N/A"/>
    <x v="32"/>
  </r>
  <r>
    <d v="2023-05-31T00:00:00"/>
    <x v="20"/>
    <s v="Admin/HR/IT"/>
    <s v="AMCARE NonOcc In"/>
    <s v="AMZN"/>
    <n v="113101453"/>
    <s v="Isaac,Geovanna"/>
    <s v="Robledo Ugarte,Alejandro"/>
    <n v="0"/>
    <n v="0"/>
    <n v="0"/>
    <n v="0"/>
    <n v="0.49"/>
    <e v="#N/A"/>
    <x v="4"/>
  </r>
  <r>
    <d v="2023-05-31T00:00:00"/>
    <x v="20"/>
    <s v="Admin/HR/IT"/>
    <s v="AMCARE NonOcc In"/>
    <s v="AMZN"/>
    <n v="113103540"/>
    <s v="Delgado,David"/>
    <s v="Gomez Aguado,Jorge"/>
    <n v="0"/>
    <n v="0"/>
    <n v="0"/>
    <n v="0"/>
    <n v="0.09"/>
    <e v="#N/A"/>
    <x v="105"/>
  </r>
  <r>
    <d v="2023-05-31T00:00:00"/>
    <x v="20"/>
    <s v="Admin/HR/IT"/>
    <s v="AMCARE NonOcc In"/>
    <s v="TEMP"/>
    <n v="200509428"/>
    <s v="Guevara Ramirez,Zayra Lorena"/>
    <s v="Robledo Ugarte,Alejandro"/>
    <n v="0"/>
    <n v="0"/>
    <n v="0"/>
    <n v="0"/>
    <n v="0.27"/>
    <e v="#N/A"/>
    <x v="0"/>
  </r>
  <r>
    <d v="2023-05-31T00:00:00"/>
    <x v="20"/>
    <s v="Admin/HR/IT"/>
    <s v="AMCARE NonOcc In"/>
    <s v="TEMP"/>
    <n v="200525930"/>
    <s v="Salazar,Joana"/>
    <s v="Gomez Aguado,Jorge"/>
    <n v="0"/>
    <n v="0"/>
    <n v="0"/>
    <n v="0"/>
    <n v="0.46"/>
    <e v="#N/A"/>
    <x v="0"/>
  </r>
  <r>
    <d v="2023-05-31T00:00:00"/>
    <x v="20"/>
    <s v="Admin/HR/IT"/>
    <s v="AMCARE NonOcc In"/>
    <s v="TEMP"/>
    <n v="200565197"/>
    <s v="Avila,Mary"/>
    <s v="Romero Sanchez,Gustavo Gabriel"/>
    <n v="0"/>
    <n v="0"/>
    <n v="0"/>
    <n v="0"/>
    <n v="0.16"/>
    <e v="#N/A"/>
    <x v="0"/>
  </r>
  <r>
    <d v="2023-05-31T00:00:00"/>
    <x v="20"/>
    <s v="Admin/HR/IT"/>
    <s v="AMCARE NonOcc In"/>
    <s v="TEMP"/>
    <n v="200589316"/>
    <s v="Torres Zuniga,Daniel"/>
    <s v="Gomez Aguado,Jorge"/>
    <n v="0"/>
    <n v="0"/>
    <n v="0"/>
    <n v="0"/>
    <n v="0.12"/>
    <e v="#N/A"/>
    <x v="0"/>
  </r>
  <r>
    <d v="2023-05-31T00:00:00"/>
    <x v="20"/>
    <s v="Admin/HR/IT"/>
    <s v="AMCARE NonOcc In"/>
    <s v="TEMP"/>
    <n v="200594875"/>
    <s v="Maldonado,Jose"/>
    <s v="Piedra,Valentina"/>
    <n v="0"/>
    <n v="0"/>
    <n v="0"/>
    <n v="0"/>
    <n v="0.31"/>
    <e v="#N/A"/>
    <x v="67"/>
  </r>
  <r>
    <d v="2023-05-31T00:00:00"/>
    <x v="20"/>
    <s v="Admin/HR/IT"/>
    <s v="AMCARE NonOcc In"/>
    <s v="TEMP"/>
    <n v="201185277"/>
    <s v="GamiÃ±o,Fany"/>
    <s v="Robledo Ugarte,Alejandro"/>
    <n v="0"/>
    <n v="0"/>
    <n v="0"/>
    <n v="0"/>
    <n v="0.25"/>
    <e v="#N/A"/>
    <x v="0"/>
  </r>
  <r>
    <d v="2023-05-31T00:00:00"/>
    <x v="20"/>
    <s v="Admin/HR/IT"/>
    <s v="AMCARE NonOcc In"/>
    <s v="TEMP"/>
    <n v="201191390"/>
    <s v="GarcÃ­a,jesus"/>
    <s v="Madrid Molina,Ramon"/>
    <n v="0"/>
    <n v="0"/>
    <n v="0"/>
    <n v="0"/>
    <n v="0.54"/>
    <e v="#N/A"/>
    <x v="116"/>
  </r>
  <r>
    <d v="2023-05-31T00:00:00"/>
    <x v="20"/>
    <s v="Admin/HR/IT"/>
    <s v="AMCARE NonOcc In"/>
    <s v="TEMP"/>
    <n v="201201993"/>
    <s v="Olmos,Lucia"/>
    <s v="Piedra,Valentina"/>
    <n v="0"/>
    <n v="0"/>
    <n v="0"/>
    <n v="0"/>
    <n v="0.64"/>
    <e v="#N/A"/>
    <x v="0"/>
  </r>
  <r>
    <d v="2023-05-31T00:00:00"/>
    <x v="20"/>
    <s v="Admin/HR/IT"/>
    <s v="AMCARE NonOcc In"/>
    <s v="TEMP"/>
    <n v="201295429"/>
    <s v="Mireles Diaz Lopez,Jazmin"/>
    <s v="Gomez Aguado,Jorge"/>
    <n v="0"/>
    <n v="0"/>
    <n v="0"/>
    <n v="0"/>
    <n v="0.21"/>
    <e v="#N/A"/>
    <x v="147"/>
  </r>
  <r>
    <d v="2023-05-31T00:00:00"/>
    <x v="20"/>
    <s v="Admin/HR/IT"/>
    <s v="AMCARE NonOcc In"/>
    <s v="TEMP"/>
    <n v="201351016"/>
    <s v="Mares,Tony"/>
    <s v="Romero Sanchez,Gustavo Gabriel"/>
    <n v="0"/>
    <n v="0"/>
    <n v="0"/>
    <n v="0"/>
    <n v="0.34"/>
    <e v="#N/A"/>
    <x v="0"/>
  </r>
  <r>
    <d v="2023-05-31T00:00:00"/>
    <x v="20"/>
    <s v="Admin/HR/IT"/>
    <s v="AMCARE NonOcc In"/>
    <s v="TEMP"/>
    <n v="201374318"/>
    <s v="Tapia,Kevin"/>
    <s v="Rosas Negrete,Sebastian"/>
    <n v="0"/>
    <n v="0"/>
    <n v="0"/>
    <n v="0"/>
    <n v="0.4"/>
    <e v="#N/A"/>
    <x v="0"/>
  </r>
  <r>
    <d v="2023-05-31T00:00:00"/>
    <x v="20"/>
    <s v="Admin/HR/IT"/>
    <s v="AMCARE NonOcc In"/>
    <s v="TEMP"/>
    <n v="201408478"/>
    <s v="Calderon,David"/>
    <s v="Bueno Mendoza,Susana"/>
    <n v="0"/>
    <n v="0"/>
    <n v="0"/>
    <n v="0"/>
    <n v="0.05"/>
    <e v="#N/A"/>
    <x v="160"/>
  </r>
  <r>
    <d v="2023-06-01T00:00:00"/>
    <x v="20"/>
    <s v="Admin/HR/IT"/>
    <s v="AMCARE NonOcc In"/>
    <s v="AMZN"/>
    <n v="112912753"/>
    <s v="Padilla Abrego,Selene"/>
    <s v="Romero Sanchez,Gustavo Gabriel"/>
    <n v="0"/>
    <n v="0"/>
    <n v="0"/>
    <n v="0"/>
    <n v="0.26"/>
    <e v="#N/A"/>
    <x v="0"/>
  </r>
  <r>
    <d v="2023-06-01T00:00:00"/>
    <x v="20"/>
    <s v="Admin/HR/IT"/>
    <s v="AMCARE NonOcc In"/>
    <s v="AMZN"/>
    <n v="112972215"/>
    <s v="Cruz,Ana"/>
    <s v="Romero Sanchez,Gustavo Gabriel"/>
    <n v="0"/>
    <n v="0"/>
    <n v="0"/>
    <n v="0"/>
    <n v="0.78"/>
    <s v="DB-X0700"/>
    <x v="134"/>
  </r>
  <r>
    <d v="2023-06-01T00:00:00"/>
    <x v="20"/>
    <s v="Admin/HR/IT"/>
    <s v="AMCARE NonOcc In"/>
    <s v="AMZN"/>
    <n v="113003510"/>
    <s v="PÃ©rez MÃ©ndez,Cecy"/>
    <s v="Gomez Aguado,Jorge"/>
    <n v="0"/>
    <n v="0"/>
    <n v="0"/>
    <n v="0"/>
    <n v="0.14000000000000001"/>
    <e v="#N/A"/>
    <x v="115"/>
  </r>
  <r>
    <d v="2023-06-01T00:00:00"/>
    <x v="20"/>
    <s v="Admin/HR/IT"/>
    <s v="AMCARE NonOcc In"/>
    <s v="AMZN"/>
    <n v="113014094"/>
    <s v="Mercado,Erika"/>
    <s v="Robledo Ugarte,Alejandro"/>
    <n v="0"/>
    <n v="0"/>
    <n v="0"/>
    <n v="0"/>
    <n v="0.3"/>
    <e v="#N/A"/>
    <x v="49"/>
  </r>
  <r>
    <d v="2023-06-01T00:00:00"/>
    <x v="20"/>
    <s v="Admin/HR/IT"/>
    <s v="AMCARE NonOcc In"/>
    <s v="AMZN"/>
    <n v="113020476"/>
    <s v="Puente Aguilar,Polette"/>
    <s v="Madrid Molina,Ramon"/>
    <n v="0"/>
    <n v="0"/>
    <n v="0"/>
    <n v="0"/>
    <n v="0.42"/>
    <e v="#N/A"/>
    <x v="19"/>
  </r>
  <r>
    <d v="2023-06-01T00:00:00"/>
    <x v="20"/>
    <s v="Admin/HR/IT"/>
    <s v="AMCARE NonOcc In"/>
    <s v="AMZN"/>
    <n v="200404250"/>
    <s v="Hurtado,Caty"/>
    <s v="Romero Sanchez,Gustavo Gabriel"/>
    <n v="0"/>
    <n v="0"/>
    <n v="0"/>
    <n v="0"/>
    <n v="0.54"/>
    <e v="#N/A"/>
    <x v="6"/>
  </r>
  <r>
    <d v="2023-06-01T00:00:00"/>
    <x v="20"/>
    <s v="Admin/HR/IT"/>
    <s v="AMCARE NonOcc In"/>
    <s v="TEMP"/>
    <n v="200525168"/>
    <s v="Morales,Oscar"/>
    <s v="Ledezma,Fer"/>
    <n v="0"/>
    <n v="0"/>
    <n v="0"/>
    <n v="0"/>
    <n v="0.72"/>
    <e v="#N/A"/>
    <x v="0"/>
  </r>
  <r>
    <d v="2023-06-01T00:00:00"/>
    <x v="20"/>
    <s v="Admin/HR/IT"/>
    <s v="AMCARE NonOcc In"/>
    <s v="TEMP"/>
    <n v="200525930"/>
    <s v="Salazar,Joana"/>
    <s v="Gomez Aguado,Jorge"/>
    <n v="0"/>
    <n v="0"/>
    <n v="0"/>
    <n v="0"/>
    <n v="0.38"/>
    <e v="#N/A"/>
    <x v="0"/>
  </r>
  <r>
    <d v="2023-06-01T00:00:00"/>
    <x v="20"/>
    <s v="Admin/HR/IT"/>
    <s v="AMCARE NonOcc In"/>
    <s v="TEMP"/>
    <n v="200615883"/>
    <s v="Ibarra Amaro,Adriana"/>
    <s v="Gomez Aguado,Jorge"/>
    <n v="0"/>
    <n v="0"/>
    <n v="0"/>
    <n v="0"/>
    <n v="0.46"/>
    <e v="#N/A"/>
    <x v="0"/>
  </r>
  <r>
    <d v="2023-06-01T00:00:00"/>
    <x v="20"/>
    <s v="Admin/HR/IT"/>
    <s v="AMCARE NonOcc In"/>
    <s v="TEMP"/>
    <n v="201162225"/>
    <s v="Corona,Israel"/>
    <s v="Gomez,Abinadab"/>
    <n v="0"/>
    <n v="0"/>
    <n v="0"/>
    <n v="0"/>
    <n v="1.06"/>
    <e v="#N/A"/>
    <x v="161"/>
  </r>
  <r>
    <d v="2023-06-01T00:00:00"/>
    <x v="20"/>
    <s v="Admin/HR/IT"/>
    <s v="AMCARE NonOcc In"/>
    <s v="TEMP"/>
    <n v="201167501"/>
    <s v="Rodriguez,Ruben"/>
    <s v="Robledo Ugarte,Alejandro"/>
    <n v="0"/>
    <n v="0"/>
    <n v="0"/>
    <n v="0"/>
    <n v="0.25"/>
    <e v="#N/A"/>
    <x v="109"/>
  </r>
  <r>
    <d v="2023-06-01T00:00:00"/>
    <x v="20"/>
    <s v="Admin/HR/IT"/>
    <s v="AMCARE NonOcc In"/>
    <s v="TEMP"/>
    <n v="201185277"/>
    <s v="GamiÃ±o,Fany"/>
    <s v="Robledo Ugarte,Alejandro"/>
    <n v="0"/>
    <n v="0"/>
    <n v="0"/>
    <n v="0"/>
    <n v="0.4"/>
    <e v="#N/A"/>
    <x v="0"/>
  </r>
  <r>
    <d v="2023-06-01T00:00:00"/>
    <x v="20"/>
    <s v="Admin/HR/IT"/>
    <s v="AMCARE NonOcc In"/>
    <s v="TEMP"/>
    <n v="201191390"/>
    <s v="GarcÃ­a,jesus"/>
    <s v="Madrid Molina,Ramon"/>
    <n v="0"/>
    <n v="0"/>
    <n v="0"/>
    <n v="0"/>
    <n v="0.28999999999999998"/>
    <e v="#N/A"/>
    <x v="116"/>
  </r>
  <r>
    <d v="2023-06-01T00:00:00"/>
    <x v="20"/>
    <s v="Admin/HR/IT"/>
    <s v="AMCARE NonOcc In"/>
    <s v="TEMP"/>
    <n v="201309605"/>
    <s v="Hernandez,Yamile"/>
    <s v="Gomez Aguado,Jorge"/>
    <n v="0"/>
    <n v="0"/>
    <n v="0"/>
    <n v="0"/>
    <n v="0.12"/>
    <e v="#N/A"/>
    <x v="0"/>
  </r>
  <r>
    <d v="2023-06-01T00:00:00"/>
    <x v="20"/>
    <s v="Admin/HR/IT"/>
    <s v="AMCARE NonOcc In"/>
    <s v="TEMP"/>
    <n v="201314835"/>
    <s v="Guzman,Janeth"/>
    <s v="Lopez,Alexa"/>
    <n v="0"/>
    <n v="0"/>
    <n v="0"/>
    <n v="0"/>
    <n v="0.22"/>
    <e v="#N/A"/>
    <x v="0"/>
  </r>
  <r>
    <d v="2023-06-01T00:00:00"/>
    <x v="20"/>
    <s v="Admin/HR/IT"/>
    <s v="AMCARE NonOcc In"/>
    <s v="TEMP"/>
    <n v="201315151"/>
    <s v="Quiroz,Fernanda"/>
    <s v="Gomez Aguado,Jorge"/>
    <n v="0"/>
    <n v="0"/>
    <n v="0"/>
    <n v="0"/>
    <n v="0.97"/>
    <e v="#N/A"/>
    <x v="0"/>
  </r>
  <r>
    <d v="2023-06-01T00:00:00"/>
    <x v="20"/>
    <s v="Admin/HR/IT"/>
    <s v="AMCARE NonOcc In"/>
    <s v="TEMP"/>
    <n v="201329529"/>
    <s v="Padilla,Pablo"/>
    <s v="Lopez,Alexa"/>
    <n v="0"/>
    <n v="0"/>
    <n v="0"/>
    <n v="0"/>
    <n v="0.53"/>
    <e v="#N/A"/>
    <x v="0"/>
  </r>
  <r>
    <d v="2023-06-01T00:00:00"/>
    <x v="20"/>
    <s v="Admin/HR/IT"/>
    <s v="AMCARE NonOcc In"/>
    <s v="TEMP"/>
    <n v="201402060"/>
    <s v="Tovar,Mariana"/>
    <s v="Bueno Mendoza,Susana"/>
    <n v="0"/>
    <n v="0"/>
    <n v="0"/>
    <n v="0"/>
    <n v="0.25"/>
    <e v="#N/A"/>
    <x v="0"/>
  </r>
  <r>
    <d v="2023-06-01T00:00:00"/>
    <x v="20"/>
    <s v="Admin/HR/IT"/>
    <s v="AMCARE NonOcc In"/>
    <s v="TEMP"/>
    <n v="201403532"/>
    <s v="Rocha,Horacio"/>
    <s v="Madrid Molina,Ramon"/>
    <n v="0"/>
    <n v="0"/>
    <n v="0"/>
    <n v="0"/>
    <n v="0.41"/>
    <e v="#N/A"/>
    <x v="162"/>
  </r>
  <r>
    <d v="2023-06-01T00:00:00"/>
    <x v="20"/>
    <s v="Admin/HR/IT"/>
    <s v="AMCARE NonOcc In"/>
    <s v="TEMP"/>
    <n v="201408141"/>
    <s v="Luna,Alberto"/>
    <s v="Ledezma,Fer"/>
    <n v="0"/>
    <n v="0"/>
    <n v="0"/>
    <n v="0"/>
    <n v="0.21"/>
    <e v="#N/A"/>
    <x v="163"/>
  </r>
  <r>
    <d v="2023-06-02T00:00:00"/>
    <x v="20"/>
    <s v="Admin/HR/IT"/>
    <s v="AMCARE NonOcc In"/>
    <s v="AMZN"/>
    <n v="113052151"/>
    <s v="Nieves Mendez,Laura"/>
    <s v="Ledezma,Fer"/>
    <n v="0"/>
    <n v="0"/>
    <n v="0"/>
    <n v="0"/>
    <n v="0.1"/>
    <e v="#N/A"/>
    <x v="56"/>
  </r>
  <r>
    <d v="2023-06-02T00:00:00"/>
    <x v="20"/>
    <s v="Admin/HR/IT"/>
    <s v="AMCARE NonOcc In"/>
    <s v="TEMP"/>
    <n v="200564845"/>
    <s v="Barron,Abraham"/>
    <s v="Gomez Aguado,Jorge"/>
    <n v="0"/>
    <n v="0"/>
    <n v="0"/>
    <n v="0"/>
    <n v="0.19"/>
    <e v="#N/A"/>
    <x v="0"/>
  </r>
  <r>
    <d v="2023-06-02T00:00:00"/>
    <x v="20"/>
    <s v="Admin/HR/IT"/>
    <s v="AMCARE NonOcc In"/>
    <s v="TEMP"/>
    <n v="200585084"/>
    <s v="Villafranca,Tessa"/>
    <s v="Ledezma,Fer"/>
    <n v="0"/>
    <n v="0"/>
    <n v="0"/>
    <n v="0"/>
    <n v="0.59"/>
    <e v="#N/A"/>
    <x v="58"/>
  </r>
  <r>
    <d v="2023-06-02T00:00:00"/>
    <x v="20"/>
    <s v="Admin/HR/IT"/>
    <s v="AMCARE NonOcc In"/>
    <s v="TEMP"/>
    <n v="200589316"/>
    <s v="Torres Zuniga,Daniel"/>
    <s v="Gomez Aguado,Jorge"/>
    <n v="0"/>
    <n v="0"/>
    <n v="0"/>
    <n v="0"/>
    <n v="0.65"/>
    <e v="#N/A"/>
    <x v="0"/>
  </r>
  <r>
    <d v="2023-06-02T00:00:00"/>
    <x v="20"/>
    <s v="Admin/HR/IT"/>
    <s v="AMCARE NonOcc In"/>
    <s v="TEMP"/>
    <n v="200625528"/>
    <s v="Oliva,Lizbeth"/>
    <s v="Piedra,Valentina"/>
    <n v="0"/>
    <n v="0"/>
    <n v="0"/>
    <n v="0"/>
    <n v="0.09"/>
    <e v="#N/A"/>
    <x v="83"/>
  </r>
  <r>
    <d v="2023-06-02T00:00:00"/>
    <x v="20"/>
    <s v="Admin/HR/IT"/>
    <s v="AMCARE NonOcc In"/>
    <s v="TEMP"/>
    <n v="201185633"/>
    <s v="Lopez,Lety"/>
    <s v="Corona Arriaga,Fernando"/>
    <n v="0"/>
    <n v="0"/>
    <n v="0"/>
    <n v="0"/>
    <n v="0.17"/>
    <e v="#N/A"/>
    <x v="0"/>
  </r>
  <r>
    <d v="2023-06-02T00:00:00"/>
    <x v="20"/>
    <s v="Admin/HR/IT"/>
    <s v="AMCARE NonOcc In"/>
    <s v="TEMP"/>
    <n v="201402425"/>
    <s v="Espinoza,Ale"/>
    <s v="Lopez,Alexa"/>
    <n v="0"/>
    <n v="0"/>
    <n v="0"/>
    <n v="0"/>
    <n v="0.51"/>
    <e v="#N/A"/>
    <x v="0"/>
  </r>
  <r>
    <d v="2023-06-02T00:00:00"/>
    <x v="20"/>
    <s v="Admin/HR/IT"/>
    <s v="AMCARE NonOcc In"/>
    <s v="TEMP"/>
    <n v="201403462"/>
    <s v="Valdovino,Jorge"/>
    <s v="Corona Arriaga,Fernando"/>
    <n v="0"/>
    <n v="0"/>
    <n v="0"/>
    <n v="0"/>
    <n v="0.14000000000000001"/>
    <e v="#N/A"/>
    <x v="146"/>
  </r>
  <r>
    <d v="2023-06-02T00:00:00"/>
    <x v="20"/>
    <s v="Admin/HR/IT"/>
    <s v="AMCARE NonOcc In"/>
    <s v="TEMP"/>
    <n v="201403468"/>
    <s v="Reyes,Juan"/>
    <s v="Madrid Molina,Ramon"/>
    <n v="0"/>
    <n v="0"/>
    <n v="0"/>
    <n v="0"/>
    <n v="0.19"/>
    <e v="#N/A"/>
    <x v="0"/>
  </r>
  <r>
    <d v="2023-06-03T00:00:00"/>
    <x v="20"/>
    <s v="Admin/HR/IT"/>
    <s v="AMCARE NonOcc In"/>
    <s v="AMZN"/>
    <n v="112912675"/>
    <s v="Alejandri Villagomez,Alejandra"/>
    <s v="Corona Arriaga,Fernando"/>
    <n v="0"/>
    <n v="0"/>
    <n v="0"/>
    <n v="0"/>
    <n v="0.49"/>
    <e v="#N/A"/>
    <x v="0"/>
  </r>
  <r>
    <d v="2023-06-03T00:00:00"/>
    <x v="20"/>
    <s v="Admin/HR/IT"/>
    <s v="AMCARE NonOcc In"/>
    <s v="TEMP"/>
    <n v="200562154"/>
    <s v="Reyes Muniz,Cristian"/>
    <s v="Corona Arriaga,Fernando"/>
    <n v="0"/>
    <n v="0"/>
    <n v="0"/>
    <n v="0"/>
    <n v="0.39"/>
    <e v="#N/A"/>
    <x v="42"/>
  </r>
  <r>
    <d v="2023-06-03T00:00:00"/>
    <x v="20"/>
    <s v="Admin/HR/IT"/>
    <s v="AMCARE NonOcc In"/>
    <s v="TEMP"/>
    <n v="201204937"/>
    <s v="Vazquez,Carmen"/>
    <s v="Ledezma,Fer"/>
    <n v="0"/>
    <n v="0"/>
    <n v="0"/>
    <n v="0"/>
    <n v="0.19"/>
    <e v="#N/A"/>
    <x v="0"/>
  </r>
  <r>
    <d v="2023-06-03T00:00:00"/>
    <x v="20"/>
    <s v="Admin/HR/IT"/>
    <s v="AMCARE NonOcc In"/>
    <s v="TEMP"/>
    <n v="201374875"/>
    <s v="Velez,Xochitl"/>
    <s v="Lopez,Alexa"/>
    <n v="0"/>
    <n v="0"/>
    <n v="0"/>
    <n v="0"/>
    <n v="0.47"/>
    <e v="#N/A"/>
    <x v="0"/>
  </r>
  <r>
    <d v="2023-06-04T00:00:00"/>
    <x v="21"/>
    <s v="Admin/HR/IT"/>
    <s v="AMCARE NonOcc In"/>
    <s v="AMZN"/>
    <n v="112912745"/>
    <s v="Gomez Meza,Alex"/>
    <s v="Gomez,Abinadab"/>
    <n v="0"/>
    <n v="0"/>
    <n v="0"/>
    <n v="0"/>
    <n v="1.02"/>
    <s v="DA-X0700"/>
    <x v="55"/>
  </r>
  <r>
    <d v="2023-06-04T00:00:00"/>
    <x v="21"/>
    <s v="Admin/HR/IT"/>
    <s v="AMCARE NonOcc In"/>
    <s v="AMZN"/>
    <n v="112912752"/>
    <s v="Valderrama Gomez,Leslie"/>
    <s v="Gomez,Abinadab"/>
    <n v="0"/>
    <n v="0"/>
    <n v="0"/>
    <n v="0"/>
    <n v="0.24"/>
    <s v="NF-X1900"/>
    <x v="5"/>
  </r>
  <r>
    <d v="2023-06-04T00:00:00"/>
    <x v="21"/>
    <s v="Admin/HR/IT"/>
    <s v="AMCARE NonOcc In"/>
    <s v="AMZN"/>
    <n v="112950809"/>
    <s v="Rocha,Luz"/>
    <s v="Munoz,Jonan"/>
    <n v="0"/>
    <n v="0"/>
    <n v="0"/>
    <n v="0"/>
    <n v="0.21"/>
    <s v="DA-X0700"/>
    <x v="36"/>
  </r>
  <r>
    <d v="2023-06-04T00:00:00"/>
    <x v="21"/>
    <s v="Admin/HR/IT"/>
    <s v="AMCARE NonOcc In"/>
    <s v="AMZN"/>
    <n v="112980847"/>
    <s v="Reyes,Jose"/>
    <s v="Gomez,Abinadab"/>
    <n v="0"/>
    <n v="0"/>
    <n v="0"/>
    <n v="0"/>
    <n v="1.1200000000000001"/>
    <e v="#N/A"/>
    <x v="0"/>
  </r>
  <r>
    <d v="2023-06-04T00:00:00"/>
    <x v="21"/>
    <s v="Admin/HR/IT"/>
    <s v="AMCARE NonOcc In"/>
    <s v="TEMP"/>
    <n v="200615883"/>
    <s v="Ibarra Amaro,Adriana"/>
    <s v="Gomez Aguado,Jorge"/>
    <n v="0"/>
    <n v="0"/>
    <n v="0"/>
    <n v="0"/>
    <n v="0.18"/>
    <e v="#N/A"/>
    <x v="0"/>
  </r>
  <r>
    <d v="2023-06-04T00:00:00"/>
    <x v="21"/>
    <s v="Admin/HR/IT"/>
    <s v="AMCARE NonOcc In"/>
    <s v="TEMP"/>
    <n v="201329495"/>
    <s v="Sanchez,Josue"/>
    <s v="Gomez,Abinadab"/>
    <n v="0"/>
    <n v="0"/>
    <n v="0"/>
    <n v="0"/>
    <n v="1.1499999999999999"/>
    <e v="#N/A"/>
    <x v="0"/>
  </r>
  <r>
    <d v="2023-06-04T00:00:00"/>
    <x v="21"/>
    <s v="Admin/HR/IT"/>
    <s v="AMCARE NonOcc In"/>
    <s v="TEMP"/>
    <n v="201345774"/>
    <s v="Quijas,Jonathan"/>
    <s v="Robledo Ugarte,Alejandro"/>
    <n v="0"/>
    <n v="0"/>
    <n v="0"/>
    <n v="0"/>
    <n v="0.1"/>
    <e v="#N/A"/>
    <x v="154"/>
  </r>
  <r>
    <d v="2023-06-04T00:00:00"/>
    <x v="21"/>
    <s v="Admin/HR/IT"/>
    <s v="AMCARE NonOcc In"/>
    <s v="TEMP"/>
    <n v="201374875"/>
    <s v="Velez,Xochitl"/>
    <s v="Lopez,Alexa"/>
    <n v="0"/>
    <n v="0"/>
    <n v="0"/>
    <n v="0"/>
    <n v="0.99"/>
    <e v="#N/A"/>
    <x v="0"/>
  </r>
  <r>
    <d v="2023-06-05T00:00:00"/>
    <x v="21"/>
    <s v="Admin/HR/IT"/>
    <s v="AMCARE NonOcc In"/>
    <s v="AMZN"/>
    <n v="110249579"/>
    <s v="Ruz,Misael"/>
    <s v="Piedra,Valentina"/>
    <n v="0"/>
    <n v="0"/>
    <n v="0"/>
    <n v="0"/>
    <n v="1.07"/>
    <s v="DA-X0700"/>
    <x v="108"/>
  </r>
  <r>
    <d v="2023-06-05T00:00:00"/>
    <x v="21"/>
    <s v="Admin/HR/IT"/>
    <s v="AMCARE NonOcc In"/>
    <s v="AMZN"/>
    <n v="112912752"/>
    <s v="Valderrama Gomez,Leslie"/>
    <s v="Gomez,Abinadab"/>
    <n v="0"/>
    <n v="0"/>
    <n v="0"/>
    <n v="0"/>
    <n v="1.49"/>
    <s v="NF-X1900"/>
    <x v="5"/>
  </r>
  <r>
    <d v="2023-06-05T00:00:00"/>
    <x v="21"/>
    <s v="Admin/HR/IT"/>
    <s v="AMCARE NonOcc In"/>
    <s v="AMZN"/>
    <n v="112980899"/>
    <s v="Avila Cabrera,Ari"/>
    <s v="Piedra,Valentina"/>
    <n v="0"/>
    <n v="0"/>
    <n v="0"/>
    <n v="0"/>
    <n v="0.31"/>
    <s v="NF-X1900"/>
    <x v="34"/>
  </r>
  <r>
    <d v="2023-06-05T00:00:00"/>
    <x v="21"/>
    <s v="Admin/HR/IT"/>
    <s v="AMCARE NonOcc In"/>
    <s v="AMZN"/>
    <n v="112981212"/>
    <s v="Zanella Miranda,Alyson"/>
    <s v="Robledo Ugarte,Alejandro"/>
    <n v="0"/>
    <n v="0"/>
    <n v="0"/>
    <n v="0"/>
    <n v="0.27"/>
    <e v="#N/A"/>
    <x v="77"/>
  </r>
  <r>
    <d v="2023-06-05T00:00:00"/>
    <x v="21"/>
    <s v="Admin/HR/IT"/>
    <s v="AMCARE NonOcc In"/>
    <s v="AMZN"/>
    <n v="113014403"/>
    <s v="Arias Sanchez,Nora"/>
    <s v="Romero Sanchez,Gustavo Gabriel"/>
    <n v="0"/>
    <n v="0"/>
    <n v="0"/>
    <n v="0"/>
    <n v="0.3"/>
    <e v="#N/A"/>
    <x v="32"/>
  </r>
  <r>
    <d v="2023-06-05T00:00:00"/>
    <x v="21"/>
    <s v="Admin/HR/IT"/>
    <s v="AMCARE NonOcc In"/>
    <s v="AMZN"/>
    <n v="113014470"/>
    <s v="Aguilar Ibarra,Lupe"/>
    <s v="Robledo Ugarte,Alejandro"/>
    <n v="0"/>
    <n v="0"/>
    <n v="0"/>
    <n v="0"/>
    <n v="0.41"/>
    <e v="#N/A"/>
    <x v="30"/>
  </r>
  <r>
    <d v="2023-06-05T00:00:00"/>
    <x v="21"/>
    <s v="Admin/HR/IT"/>
    <s v="AMCARE NonOcc In"/>
    <s v="TEMP"/>
    <n v="200615315"/>
    <s v="Gasca,Daniel"/>
    <s v="Piedra,Valentina"/>
    <n v="0"/>
    <n v="0"/>
    <n v="0"/>
    <n v="0"/>
    <n v="0.84"/>
    <e v="#N/A"/>
    <x v="164"/>
  </r>
  <r>
    <d v="2023-06-05T00:00:00"/>
    <x v="21"/>
    <s v="Admin/HR/IT"/>
    <s v="AMCARE NonOcc In"/>
    <s v="TEMP"/>
    <n v="201162388"/>
    <s v="Rocha,Alfredo"/>
    <s v="Piedra,Valentina"/>
    <n v="0"/>
    <n v="0"/>
    <n v="0"/>
    <n v="0"/>
    <n v="0.15"/>
    <e v="#N/A"/>
    <x v="165"/>
  </r>
  <r>
    <d v="2023-06-05T00:00:00"/>
    <x v="21"/>
    <s v="Admin/HR/IT"/>
    <s v="AMCARE NonOcc In"/>
    <s v="TEMP"/>
    <n v="201165769"/>
    <s v="Puente,Karen"/>
    <s v="Piedra,Valentina"/>
    <n v="0"/>
    <n v="0"/>
    <n v="0"/>
    <n v="0"/>
    <n v="0.57999999999999996"/>
    <e v="#N/A"/>
    <x v="113"/>
  </r>
  <r>
    <d v="2023-06-05T00:00:00"/>
    <x v="21"/>
    <s v="Admin/HR/IT"/>
    <s v="AMCARE NonOcc In"/>
    <s v="TEMP"/>
    <n v="201172306"/>
    <s v="Valdez,CÃ©sar"/>
    <s v="Gomez,Abinadab"/>
    <n v="0"/>
    <n v="0"/>
    <n v="0"/>
    <n v="0"/>
    <n v="0.14000000000000001"/>
    <e v="#N/A"/>
    <x v="128"/>
  </r>
  <r>
    <d v="2023-06-05T00:00:00"/>
    <x v="21"/>
    <s v="Admin/HR/IT"/>
    <s v="AMCARE NonOcc In"/>
    <s v="TEMP"/>
    <n v="201191217"/>
    <s v="Duran,Esteban"/>
    <s v="Piedra,Valentina"/>
    <n v="0"/>
    <n v="0"/>
    <n v="0"/>
    <n v="0"/>
    <n v="0.84"/>
    <e v="#N/A"/>
    <x v="166"/>
  </r>
  <r>
    <d v="2023-06-05T00:00:00"/>
    <x v="21"/>
    <s v="Admin/HR/IT"/>
    <s v="AMCARE NonOcc In"/>
    <s v="TEMP"/>
    <n v="201295432"/>
    <s v="Ortega,Argenis"/>
    <s v="Gomez,Abinadab"/>
    <n v="0"/>
    <n v="0"/>
    <n v="0"/>
    <n v="0"/>
    <n v="2.4700000000000002"/>
    <e v="#N/A"/>
    <x v="0"/>
  </r>
  <r>
    <d v="2023-06-05T00:00:00"/>
    <x v="21"/>
    <s v="Admin/HR/IT"/>
    <s v="AMCARE NonOcc In"/>
    <s v="TEMP"/>
    <n v="201363254"/>
    <s v="Frausto,Raziel"/>
    <s v="Garcia Espejel,Brenda Victoria"/>
    <n v="0"/>
    <n v="0"/>
    <n v="0"/>
    <n v="0"/>
    <n v="0.18"/>
    <e v="#N/A"/>
    <x v="155"/>
  </r>
  <r>
    <d v="2023-06-05T00:00:00"/>
    <x v="21"/>
    <s v="Admin/HR/IT"/>
    <s v="AMCARE NonOcc In"/>
    <s v="TEMP"/>
    <n v="201402060"/>
    <s v="Tovar,Mariana"/>
    <s v="Bueno Mendoza,Susana"/>
    <n v="0"/>
    <n v="0"/>
    <n v="0"/>
    <n v="0"/>
    <n v="0.86"/>
    <e v="#N/A"/>
    <x v="0"/>
  </r>
  <r>
    <d v="2023-06-06T00:00:00"/>
    <x v="21"/>
    <s v="Admin/HR/IT"/>
    <s v="AMCARE NonOcc In"/>
    <s v="TEMP"/>
    <n v="112912007"/>
    <s v="Robledo Barrientos,Alondra"/>
    <s v="Gomez,Abinadab"/>
    <n v="0"/>
    <n v="0"/>
    <n v="0"/>
    <n v="0"/>
    <n v="0.3"/>
    <e v="#N/A"/>
    <x v="0"/>
  </r>
  <r>
    <d v="2023-06-06T00:00:00"/>
    <x v="21"/>
    <s v="Admin/HR/IT"/>
    <s v="AMCARE NonOcc In"/>
    <s v="AMZN"/>
    <n v="112912663"/>
    <s v="Segura,Lucero"/>
    <s v="Munoz,Jonan"/>
    <n v="0"/>
    <n v="0"/>
    <n v="0"/>
    <n v="0"/>
    <n v="0.26"/>
    <e v="#N/A"/>
    <x v="0"/>
  </r>
  <r>
    <d v="2023-06-06T00:00:00"/>
    <x v="21"/>
    <s v="Admin/HR/IT"/>
    <s v="AMCARE NonOcc In"/>
    <s v="AMZN"/>
    <n v="112920666"/>
    <s v="Rocha,Jose"/>
    <s v="Cortes,Alejandra"/>
    <n v="0"/>
    <n v="0"/>
    <n v="0"/>
    <n v="0"/>
    <n v="0.16"/>
    <s v="D5-X0700"/>
    <x v="3"/>
  </r>
  <r>
    <d v="2023-06-06T00:00:00"/>
    <x v="21"/>
    <s v="Admin/HR/IT"/>
    <s v="AMCARE NonOcc In"/>
    <s v="AMZN"/>
    <n v="112950792"/>
    <s v="Morales Gonzalez,Genesis"/>
    <s v="Gomez,Abinadab"/>
    <n v="0"/>
    <n v="0"/>
    <n v="0"/>
    <n v="0"/>
    <n v="1.0900000000000001"/>
    <s v="NF-X1900"/>
    <x v="84"/>
  </r>
  <r>
    <d v="2023-06-06T00:00:00"/>
    <x v="21"/>
    <s v="Admin/HR/IT"/>
    <s v="AMCARE NonOcc In"/>
    <s v="AMZN"/>
    <n v="112981061"/>
    <s v="Olguin,Claudia"/>
    <s v="Robledo Ugarte,Alejandro"/>
    <n v="0"/>
    <n v="0"/>
    <n v="0"/>
    <n v="0"/>
    <n v="0.63"/>
    <s v="DA-X0700"/>
    <x v="11"/>
  </r>
  <r>
    <d v="2023-06-06T00:00:00"/>
    <x v="21"/>
    <s v="Admin/HR/IT"/>
    <s v="AMCARE NonOcc In"/>
    <s v="AMZN"/>
    <n v="113003635"/>
    <s v="Barron,Giovanni"/>
    <s v="Robledo Ugarte,Alejandro"/>
    <n v="0"/>
    <n v="0"/>
    <n v="0"/>
    <n v="0"/>
    <n v="0.36"/>
    <e v="#N/A"/>
    <x v="118"/>
  </r>
  <r>
    <d v="2023-06-06T00:00:00"/>
    <x v="21"/>
    <s v="Admin/HR/IT"/>
    <s v="AMCARE NonOcc In"/>
    <s v="AMZN"/>
    <n v="113004017"/>
    <s v="Ramirez,Elizabeth"/>
    <s v="Gomez Aguado,Jorge"/>
    <n v="0"/>
    <n v="0"/>
    <n v="0"/>
    <n v="0"/>
    <n v="0.11"/>
    <e v="#N/A"/>
    <x v="0"/>
  </r>
  <r>
    <d v="2023-06-06T00:00:00"/>
    <x v="21"/>
    <s v="Admin/HR/IT"/>
    <s v="AMCARE NonOcc In"/>
    <s v="AMZN"/>
    <n v="113014042"/>
    <s v="Cervantes,Rose"/>
    <s v="Madrid Molina,Ramon"/>
    <n v="0"/>
    <n v="0"/>
    <n v="0"/>
    <n v="0"/>
    <n v="0.26"/>
    <e v="#N/A"/>
    <x v="20"/>
  </r>
  <r>
    <d v="2023-06-06T00:00:00"/>
    <x v="21"/>
    <s v="Admin/HR/IT"/>
    <s v="AMCARE NonOcc In"/>
    <s v="AMZN"/>
    <n v="113014084"/>
    <s v="Diaz,Manuel"/>
    <s v="Gomez Aguado,Jorge"/>
    <n v="0"/>
    <n v="0"/>
    <n v="0"/>
    <n v="0"/>
    <n v="0.2"/>
    <e v="#N/A"/>
    <x v="47"/>
  </r>
  <r>
    <d v="2023-06-06T00:00:00"/>
    <x v="21"/>
    <s v="Admin/HR/IT"/>
    <s v="AMCARE NonOcc In"/>
    <s v="AMZN"/>
    <n v="113014094"/>
    <s v="Mercado,Erika"/>
    <s v="Robledo Ugarte,Alejandro"/>
    <n v="0"/>
    <n v="0"/>
    <n v="0"/>
    <n v="0"/>
    <n v="0.31"/>
    <e v="#N/A"/>
    <x v="49"/>
  </r>
  <r>
    <d v="2023-06-06T00:00:00"/>
    <x v="21"/>
    <s v="Admin/HR/IT"/>
    <s v="AMCARE NonOcc In"/>
    <s v="AMZN"/>
    <n v="113020476"/>
    <s v="Puente Aguilar,Polette"/>
    <s v="Madrid Molina,Ramon"/>
    <n v="0"/>
    <n v="0"/>
    <n v="0"/>
    <n v="0"/>
    <n v="0.36"/>
    <e v="#N/A"/>
    <x v="19"/>
  </r>
  <r>
    <d v="2023-06-06T00:00:00"/>
    <x v="21"/>
    <s v="Admin/HR/IT"/>
    <s v="AMCARE NonOcc In"/>
    <s v="AMZN"/>
    <n v="113103540"/>
    <s v="Delgado,David"/>
    <s v="Gomez Aguado,Jorge"/>
    <n v="0"/>
    <n v="0"/>
    <n v="0"/>
    <n v="0"/>
    <n v="1.1599999999999999"/>
    <e v="#N/A"/>
    <x v="105"/>
  </r>
  <r>
    <d v="2023-06-06T00:00:00"/>
    <x v="21"/>
    <s v="Admin/HR/IT"/>
    <s v="AMCARE NonOcc In"/>
    <s v="AMZN"/>
    <n v="200404250"/>
    <s v="Hurtado,Caty"/>
    <s v="Romero Sanchez,Gustavo Gabriel"/>
    <n v="0"/>
    <n v="0"/>
    <n v="0"/>
    <n v="0"/>
    <n v="0.46"/>
    <e v="#N/A"/>
    <x v="6"/>
  </r>
  <r>
    <d v="2023-06-06T00:00:00"/>
    <x v="21"/>
    <s v="Admin/HR/IT"/>
    <s v="AMCARE NonOcc In"/>
    <s v="TEMP"/>
    <n v="200625517"/>
    <s v="RamÃ­rez,Miranda"/>
    <s v="Robledo Ugarte,Alejandro"/>
    <n v="0"/>
    <n v="0"/>
    <n v="0"/>
    <n v="0"/>
    <n v="1.03"/>
    <e v="#N/A"/>
    <x v="0"/>
  </r>
  <r>
    <d v="2023-06-06T00:00:00"/>
    <x v="21"/>
    <s v="Admin/HR/IT"/>
    <s v="AMCARE NonOcc In"/>
    <s v="TEMP"/>
    <n v="201166890"/>
    <s v="Caballero,Daniel"/>
    <s v="Romero Sanchez,Gustavo Gabriel"/>
    <n v="0"/>
    <n v="0"/>
    <n v="0"/>
    <n v="0"/>
    <n v="0.1"/>
    <e v="#N/A"/>
    <x v="141"/>
  </r>
  <r>
    <d v="2023-06-06T00:00:00"/>
    <x v="21"/>
    <s v="Admin/HR/IT"/>
    <s v="AMCARE NonOcc In"/>
    <s v="TEMP"/>
    <n v="201167501"/>
    <s v="Rodriguez,Ruben"/>
    <s v="Robledo Ugarte,Alejandro"/>
    <n v="0"/>
    <n v="0"/>
    <n v="0"/>
    <n v="0"/>
    <n v="0.54"/>
    <e v="#N/A"/>
    <x v="109"/>
  </r>
  <r>
    <d v="2023-06-06T00:00:00"/>
    <x v="21"/>
    <s v="Admin/HR/IT"/>
    <s v="AMCARE NonOcc In"/>
    <s v="TEMP"/>
    <n v="201167517"/>
    <s v="Espinoza Lopez,Magdal"/>
    <s v="Robledo Ugarte,Alejandro"/>
    <n v="0"/>
    <n v="0"/>
    <n v="0"/>
    <n v="0"/>
    <n v="0.15"/>
    <e v="#N/A"/>
    <x v="0"/>
  </r>
  <r>
    <d v="2023-06-06T00:00:00"/>
    <x v="21"/>
    <s v="Admin/HR/IT"/>
    <s v="AMCARE NonOcc In"/>
    <s v="TEMP"/>
    <n v="201186777"/>
    <s v="Monzon,Berenice"/>
    <s v="Romero Sanchez,Gustavo Gabriel"/>
    <n v="0"/>
    <n v="0"/>
    <n v="0"/>
    <n v="0"/>
    <n v="0.49"/>
    <e v="#N/A"/>
    <x v="107"/>
  </r>
  <r>
    <d v="2023-06-06T00:00:00"/>
    <x v="21"/>
    <s v="Admin/HR/IT"/>
    <s v="AMCARE NonOcc In"/>
    <s v="TEMP"/>
    <n v="201300426"/>
    <s v="Lira,Adrian"/>
    <s v="Madrid Molina,Ramon"/>
    <n v="0"/>
    <n v="0"/>
    <n v="0"/>
    <n v="0"/>
    <n v="0.17"/>
    <e v="#N/A"/>
    <x v="167"/>
  </r>
  <r>
    <d v="2023-06-06T00:00:00"/>
    <x v="21"/>
    <s v="Admin/HR/IT"/>
    <s v="AMCARE NonOcc In"/>
    <s v="TEMP"/>
    <n v="201320388"/>
    <s v="Pena,Laura"/>
    <s v="Robledo Ugarte,Alejandro"/>
    <n v="0"/>
    <n v="0"/>
    <n v="0"/>
    <n v="0"/>
    <n v="0.14000000000000001"/>
    <e v="#N/A"/>
    <x v="0"/>
  </r>
  <r>
    <d v="2023-06-06T00:00:00"/>
    <x v="21"/>
    <s v="Admin/HR/IT"/>
    <s v="AMCARE NonOcc In"/>
    <s v="TEMP"/>
    <n v="201354965"/>
    <s v="JimÃ©nez,Aline"/>
    <s v="Lopez,Alexa"/>
    <n v="0"/>
    <n v="0"/>
    <n v="0"/>
    <n v="0"/>
    <n v="0.42"/>
    <e v="#N/A"/>
    <x v="152"/>
  </r>
  <r>
    <d v="2023-06-06T00:00:00"/>
    <x v="21"/>
    <s v="Admin/HR/IT"/>
    <s v="AMCARE NonOcc In"/>
    <s v="TEMP"/>
    <n v="201368616"/>
    <s v="Lopez,Mari"/>
    <s v="Bueno Mendoza,Susana"/>
    <n v="0"/>
    <n v="0"/>
    <n v="0"/>
    <n v="0"/>
    <n v="0.62"/>
    <e v="#N/A"/>
    <x v="0"/>
  </r>
  <r>
    <d v="2023-06-07T00:00:00"/>
    <x v="21"/>
    <s v="Admin/HR/IT"/>
    <s v="AMCARE NonOcc In"/>
    <s v="AMZN"/>
    <n v="103979960"/>
    <s v="Suchil Angel,Guillermo"/>
    <s v="Robledo Ugarte,Alejandro"/>
    <n v="0"/>
    <n v="0"/>
    <n v="0"/>
    <n v="0"/>
    <n v="0.48"/>
    <e v="#N/A"/>
    <x v="0"/>
  </r>
  <r>
    <d v="2023-06-07T00:00:00"/>
    <x v="21"/>
    <s v="Admin/HR/IT"/>
    <s v="AMCARE NonOcc In"/>
    <s v="AMZN"/>
    <n v="110249592"/>
    <s v="Mota,Jorge"/>
    <s v="Corona Arriaga,Fernando"/>
    <n v="0"/>
    <n v="0"/>
    <n v="0"/>
    <n v="0"/>
    <n v="1.37"/>
    <s v="DB-X0700"/>
    <x v="168"/>
  </r>
  <r>
    <d v="2023-06-07T00:00:00"/>
    <x v="21"/>
    <s v="Admin/HR/IT"/>
    <s v="AMCARE NonOcc In"/>
    <s v="AMZN"/>
    <n v="112912052"/>
    <s v="Ortiz Cedeno,Omar"/>
    <s v="Cortes,Alejandra"/>
    <n v="0"/>
    <n v="0"/>
    <n v="0"/>
    <n v="0"/>
    <n v="0.22"/>
    <s v="DB-X0700"/>
    <x v="111"/>
  </r>
  <r>
    <d v="2023-06-07T00:00:00"/>
    <x v="21"/>
    <s v="Admin/HR/IT"/>
    <s v="AMCARE NonOcc In"/>
    <s v="AMZN"/>
    <n v="112912163"/>
    <s v="Murillo,Alejandro"/>
    <s v="Romero Sanchez,Gustavo Gabriel"/>
    <n v="0"/>
    <n v="0"/>
    <n v="0"/>
    <n v="0"/>
    <n v="7.0000000000000007E-2"/>
    <e v="#N/A"/>
    <x v="0"/>
  </r>
  <r>
    <d v="2023-06-07T00:00:00"/>
    <x v="21"/>
    <s v="Admin/HR/IT"/>
    <s v="AMCARE NonOcc In"/>
    <s v="AMZN"/>
    <n v="112942473"/>
    <s v="Vargas Lopez,Hilda Cecilia"/>
    <s v="Munoz,Jonan"/>
    <n v="0"/>
    <n v="0"/>
    <n v="0"/>
    <n v="0"/>
    <n v="1.99"/>
    <s v="DC-X0700"/>
    <x v="140"/>
  </r>
  <r>
    <d v="2023-06-07T00:00:00"/>
    <x v="21"/>
    <s v="Admin/HR/IT"/>
    <s v="AMCARE NonOcc In"/>
    <s v="AMZN"/>
    <n v="112951256"/>
    <s v="Ramirez Vallejo,Kateryne"/>
    <s v="Camarena,Grecia"/>
    <n v="0"/>
    <n v="0"/>
    <n v="0"/>
    <n v="0"/>
    <n v="0.25"/>
    <s v="DA-X0700"/>
    <x v="27"/>
  </r>
  <r>
    <d v="2023-06-07T00:00:00"/>
    <x v="21"/>
    <s v="Admin/HR/IT"/>
    <s v="AMCARE NonOcc In"/>
    <s v="AMZN"/>
    <n v="112972897"/>
    <s v="Trejo,Adonai"/>
    <s v="Pizana,Diego"/>
    <n v="0"/>
    <n v="0"/>
    <n v="0"/>
    <n v="0"/>
    <n v="0.75"/>
    <s v="DB-X0700"/>
    <x v="169"/>
  </r>
  <r>
    <d v="2023-06-07T00:00:00"/>
    <x v="21"/>
    <s v="Admin/HR/IT"/>
    <s v="AMCARE NonOcc In"/>
    <s v="AMZN"/>
    <n v="112981061"/>
    <s v="Olguin,Claudia"/>
    <s v="Robledo Ugarte,Alejandro"/>
    <n v="0"/>
    <n v="0"/>
    <n v="0"/>
    <n v="0"/>
    <n v="1.57"/>
    <s v="DA-X0700"/>
    <x v="11"/>
  </r>
  <r>
    <d v="2023-06-07T00:00:00"/>
    <x v="21"/>
    <s v="Admin/HR/IT"/>
    <s v="AMCARE NonOcc In"/>
    <s v="AMZN"/>
    <n v="113003635"/>
    <s v="Barron,Giovanni"/>
    <s v="Robledo Ugarte,Alejandro"/>
    <n v="0"/>
    <n v="0"/>
    <n v="0"/>
    <n v="0"/>
    <n v="0.08"/>
    <e v="#N/A"/>
    <x v="118"/>
  </r>
  <r>
    <d v="2023-06-07T00:00:00"/>
    <x v="21"/>
    <s v="Admin/HR/IT"/>
    <s v="AMCARE NonOcc In"/>
    <s v="AMZN"/>
    <n v="113003674"/>
    <s v="Gasca Vazquez,Carlos"/>
    <s v="Corona Arriaga,Fernando"/>
    <n v="0"/>
    <n v="0"/>
    <n v="0"/>
    <n v="0"/>
    <n v="0.75"/>
    <e v="#N/A"/>
    <x v="106"/>
  </r>
  <r>
    <d v="2023-06-07T00:00:00"/>
    <x v="21"/>
    <s v="Admin/HR/IT"/>
    <s v="AMCARE NonOcc In"/>
    <s v="AMZN"/>
    <n v="113014403"/>
    <s v="Arias Sanchez,Nora"/>
    <s v="Romero Sanchez,Gustavo Gabriel"/>
    <n v="0"/>
    <n v="0"/>
    <n v="0"/>
    <n v="0"/>
    <n v="0.3"/>
    <e v="#N/A"/>
    <x v="32"/>
  </r>
  <r>
    <d v="2023-06-07T00:00:00"/>
    <x v="21"/>
    <s v="Admin/HR/IT"/>
    <s v="AMCARE NonOcc In"/>
    <s v="AMZN"/>
    <n v="113044620"/>
    <s v="Jasso Miranda,Aldo"/>
    <s v="Robledo Ugarte,Alejandro"/>
    <n v="0"/>
    <n v="0"/>
    <n v="0"/>
    <n v="0"/>
    <n v="0.13"/>
    <e v="#N/A"/>
    <x v="52"/>
  </r>
  <r>
    <d v="2023-06-07T00:00:00"/>
    <x v="21"/>
    <s v="Admin/HR/IT"/>
    <s v="AMCARE NonOcc In"/>
    <s v="TEMP"/>
    <n v="200509428"/>
    <s v="Guevara Ramirez,Zayra Lorena"/>
    <s v="Robledo Ugarte,Alejandro"/>
    <n v="0"/>
    <n v="0"/>
    <n v="0"/>
    <n v="0"/>
    <n v="0.17"/>
    <e v="#N/A"/>
    <x v="0"/>
  </r>
  <r>
    <d v="2023-06-07T00:00:00"/>
    <x v="21"/>
    <s v="Admin/HR/IT"/>
    <s v="AMCARE NonOcc In"/>
    <s v="TEMP"/>
    <n v="200553975"/>
    <s v="Duran Villegas,Juan Diego"/>
    <s v="Corona Arriaga,Fernando"/>
    <n v="0"/>
    <n v="0"/>
    <n v="0"/>
    <n v="0"/>
    <n v="1.68"/>
    <e v="#N/A"/>
    <x v="35"/>
  </r>
  <r>
    <d v="2023-06-07T00:00:00"/>
    <x v="21"/>
    <s v="Admin/HR/IT"/>
    <s v="AMCARE NonOcc In"/>
    <s v="TEMP"/>
    <n v="200625517"/>
    <s v="RamÃ­rez,Miranda"/>
    <s v="Robledo Ugarte,Alejandro"/>
    <n v="0"/>
    <n v="0"/>
    <n v="0"/>
    <n v="0"/>
    <n v="0.27"/>
    <e v="#N/A"/>
    <x v="0"/>
  </r>
  <r>
    <d v="2023-06-07T00:00:00"/>
    <x v="21"/>
    <s v="Admin/HR/IT"/>
    <s v="AMCARE NonOcc In"/>
    <s v="TEMP"/>
    <n v="201191198"/>
    <s v="Mojica,Emmanuel"/>
    <s v="Ledezma,Fer"/>
    <n v="0"/>
    <n v="0"/>
    <n v="0"/>
    <n v="0"/>
    <n v="0.56000000000000005"/>
    <e v="#N/A"/>
    <x v="130"/>
  </r>
  <r>
    <d v="2023-06-07T00:00:00"/>
    <x v="21"/>
    <s v="Admin/HR/IT"/>
    <s v="AMCARE NonOcc In"/>
    <s v="TEMP"/>
    <n v="201211157"/>
    <s v="Vargas,Jesse"/>
    <s v="Corona Arriaga,Fernando"/>
    <n v="0"/>
    <n v="0"/>
    <n v="0"/>
    <n v="0"/>
    <n v="0.32"/>
    <e v="#N/A"/>
    <x v="121"/>
  </r>
  <r>
    <d v="2023-06-07T00:00:00"/>
    <x v="21"/>
    <s v="Admin/HR/IT"/>
    <s v="AMCARE NonOcc In"/>
    <s v="TEMP"/>
    <n v="201212196"/>
    <s v="Juarez,Angel"/>
    <s v="Ledezma,Fer"/>
    <n v="0"/>
    <n v="0"/>
    <n v="0"/>
    <n v="0"/>
    <n v="0.12"/>
    <e v="#N/A"/>
    <x v="0"/>
  </r>
  <r>
    <d v="2023-06-07T00:00:00"/>
    <x v="21"/>
    <s v="Admin/HR/IT"/>
    <s v="AMCARE NonOcc In"/>
    <s v="TEMP"/>
    <n v="201329529"/>
    <s v="Padilla,Pablo"/>
    <s v="Lopez,Alexa"/>
    <n v="0"/>
    <n v="0"/>
    <n v="0"/>
    <n v="0"/>
    <n v="0.82"/>
    <e v="#N/A"/>
    <x v="0"/>
  </r>
  <r>
    <d v="2023-06-07T00:00:00"/>
    <x v="21"/>
    <s v="Admin/HR/IT"/>
    <s v="AMCARE NonOcc In"/>
    <s v="TEMP"/>
    <n v="201403532"/>
    <s v="Rocha,Horacio"/>
    <s v="Madrid Molina,Ramon"/>
    <n v="0"/>
    <n v="0"/>
    <n v="0"/>
    <n v="0"/>
    <n v="0.13"/>
    <e v="#N/A"/>
    <x v="162"/>
  </r>
  <r>
    <d v="2023-06-08T00:00:00"/>
    <x v="21"/>
    <s v="Admin/HR/IT"/>
    <s v="AMCARE NonOcc In"/>
    <s v="AMZN"/>
    <n v="112971980"/>
    <s v="Romero,Daniel"/>
    <s v="Pizana,Diego"/>
    <n v="0"/>
    <n v="0"/>
    <n v="0"/>
    <n v="0"/>
    <n v="0.3"/>
    <s v="DC-X0700"/>
    <x v="43"/>
  </r>
  <r>
    <d v="2023-06-08T00:00:00"/>
    <x v="21"/>
    <s v="Admin/HR/IT"/>
    <s v="AMCARE NonOcc In"/>
    <s v="AMZN"/>
    <n v="112972524"/>
    <s v="Santibanez Garcia,Luisa"/>
    <s v="Rosas Negrete,Sebastian"/>
    <n v="0"/>
    <n v="0"/>
    <n v="0"/>
    <n v="0"/>
    <n v="0.28999999999999998"/>
    <s v="DB-X0700"/>
    <x v="15"/>
  </r>
  <r>
    <d v="2023-06-08T00:00:00"/>
    <x v="21"/>
    <s v="Admin/HR/IT"/>
    <s v="AMCARE NonOcc In"/>
    <s v="AMZN"/>
    <n v="200404250"/>
    <s v="Hurtado,Caty"/>
    <s v="Romero Sanchez,Gustavo Gabriel"/>
    <n v="0"/>
    <n v="0"/>
    <n v="0"/>
    <n v="0"/>
    <n v="0.68"/>
    <e v="#N/A"/>
    <x v="6"/>
  </r>
  <r>
    <d v="2023-06-08T00:00:00"/>
    <x v="21"/>
    <s v="Admin/HR/IT"/>
    <s v="AMCARE NonOcc In"/>
    <s v="TEMP"/>
    <n v="200534675"/>
    <s v="Munoz Macias,Juan Pablo"/>
    <s v="Ledezma,Fer"/>
    <n v="0"/>
    <n v="0"/>
    <n v="0"/>
    <n v="0"/>
    <n v="0.2"/>
    <e v="#N/A"/>
    <x v="69"/>
  </r>
  <r>
    <d v="2023-06-08T00:00:00"/>
    <x v="21"/>
    <s v="Admin/HR/IT"/>
    <s v="AMCARE NonOcc In"/>
    <s v="TEMP"/>
    <n v="200625517"/>
    <s v="RamÃ­rez,Miranda"/>
    <s v="Robledo Ugarte,Alejandro"/>
    <n v="0"/>
    <n v="0"/>
    <n v="0"/>
    <n v="0"/>
    <n v="0.18"/>
    <e v="#N/A"/>
    <x v="0"/>
  </r>
  <r>
    <d v="2023-06-08T00:00:00"/>
    <x v="21"/>
    <s v="Admin/HR/IT"/>
    <s v="AMCARE NonOcc In"/>
    <s v="TEMP"/>
    <n v="201167517"/>
    <s v="Espinoza Lopez,Magdal"/>
    <s v="Robledo Ugarte,Alejandro"/>
    <n v="0"/>
    <n v="0"/>
    <n v="0"/>
    <n v="0"/>
    <n v="0.48"/>
    <e v="#N/A"/>
    <x v="0"/>
  </r>
  <r>
    <d v="2023-06-08T00:00:00"/>
    <x v="21"/>
    <s v="Admin/HR/IT"/>
    <s v="AMCARE NonOcc In"/>
    <s v="TEMP"/>
    <n v="201191198"/>
    <s v="Mojica,Emmanuel"/>
    <s v="Ledezma,Fer"/>
    <n v="0"/>
    <n v="0"/>
    <n v="0"/>
    <n v="0"/>
    <n v="0.46"/>
    <e v="#N/A"/>
    <x v="130"/>
  </r>
  <r>
    <d v="2023-06-08T00:00:00"/>
    <x v="21"/>
    <s v="Admin/HR/IT"/>
    <s v="AMCARE NonOcc In"/>
    <s v="TEMP"/>
    <n v="201345774"/>
    <s v="Quijas,Jonathan"/>
    <s v="Robledo Ugarte,Alejandro"/>
    <n v="0"/>
    <n v="0"/>
    <n v="0"/>
    <n v="0"/>
    <n v="0.8"/>
    <e v="#N/A"/>
    <x v="154"/>
  </r>
  <r>
    <d v="2023-06-08T00:00:00"/>
    <x v="21"/>
    <s v="Admin/HR/IT"/>
    <s v="AMCARE NonOcc In"/>
    <s v="TEMP"/>
    <n v="201351399"/>
    <s v="Ramos Montejo,Aida del Socorro"/>
    <s v="Pizana,Diego"/>
    <n v="0"/>
    <n v="0"/>
    <n v="0"/>
    <n v="0"/>
    <n v="0.24"/>
    <e v="#N/A"/>
    <x v="170"/>
  </r>
  <r>
    <d v="2023-06-08T00:00:00"/>
    <x v="21"/>
    <s v="Admin/HR/IT"/>
    <s v="AMCARE NonOcc In"/>
    <s v="TEMP"/>
    <n v="201402212"/>
    <s v="Padron,Karla"/>
    <s v="Lopez,Alexa"/>
    <n v="0"/>
    <n v="0"/>
    <n v="0"/>
    <n v="0"/>
    <n v="0.5"/>
    <e v="#N/A"/>
    <x v="171"/>
  </r>
  <r>
    <d v="2023-06-08T00:00:00"/>
    <x v="21"/>
    <s v="Admin/HR/IT"/>
    <s v="AMCARE NonOcc In"/>
    <s v="TEMP"/>
    <n v="201408478"/>
    <s v="Calderon,David"/>
    <s v="Bueno Mendoza,Susana"/>
    <n v="0"/>
    <n v="0"/>
    <n v="0"/>
    <n v="0"/>
    <n v="0.72"/>
    <e v="#N/A"/>
    <x v="160"/>
  </r>
  <r>
    <d v="2023-06-09T00:00:00"/>
    <x v="21"/>
    <s v="Admin/HR/IT"/>
    <s v="AMCARE NonOcc In"/>
    <s v="AMZN"/>
    <n v="112912675"/>
    <s v="Alejandri Villagomez,Alejandra"/>
    <s v="Corona Arriaga,Fernando"/>
    <n v="0"/>
    <n v="0"/>
    <n v="0"/>
    <n v="0"/>
    <n v="1.1100000000000001"/>
    <e v="#N/A"/>
    <x v="0"/>
  </r>
  <r>
    <d v="2023-06-09T00:00:00"/>
    <x v="21"/>
    <s v="Admin/HR/IT"/>
    <s v="AMCARE NonOcc In"/>
    <s v="AMZN"/>
    <n v="112991248"/>
    <s v="Cabrera Velazquez,Sandy"/>
    <s v="Madrid Molina,Ramon"/>
    <n v="0"/>
    <n v="0"/>
    <n v="0"/>
    <n v="0"/>
    <n v="0.44"/>
    <e v="#N/A"/>
    <x v="0"/>
  </r>
  <r>
    <d v="2023-06-09T00:00:00"/>
    <x v="21"/>
    <s v="Admin/HR/IT"/>
    <s v="AMCARE NonOcc In"/>
    <s v="AMZN"/>
    <n v="113020667"/>
    <s v="Martinez Becerra,Paulina"/>
    <s v="Gomez Aguado,Jorge"/>
    <n v="0"/>
    <n v="0"/>
    <n v="0"/>
    <n v="0"/>
    <n v="0.15"/>
    <e v="#N/A"/>
    <x v="31"/>
  </r>
  <r>
    <d v="2023-06-09T00:00:00"/>
    <x v="21"/>
    <s v="Admin/HR/IT"/>
    <s v="AMCARE NonOcc In"/>
    <s v="TEMP"/>
    <n v="201167501"/>
    <s v="Rodriguez,Ruben"/>
    <s v="Robledo Ugarte,Alejandro"/>
    <n v="0"/>
    <n v="0"/>
    <n v="0"/>
    <n v="0"/>
    <n v="0.2"/>
    <e v="#N/A"/>
    <x v="109"/>
  </r>
  <r>
    <d v="2023-06-09T00:00:00"/>
    <x v="21"/>
    <s v="Admin/HR/IT"/>
    <s v="AMCARE NonOcc In"/>
    <s v="TEMP"/>
    <n v="201198979"/>
    <s v="Mendoza,Omar"/>
    <s v="Piedra,Valentina"/>
    <n v="0"/>
    <n v="0"/>
    <n v="0"/>
    <n v="0"/>
    <n v="0.22"/>
    <e v="#N/A"/>
    <x v="0"/>
  </r>
  <r>
    <d v="2023-06-09T00:00:00"/>
    <x v="21"/>
    <s v="Admin/HR/IT"/>
    <s v="AMCARE NonOcc In"/>
    <s v="TEMP"/>
    <n v="201211582"/>
    <s v="Rodriguez,Dani"/>
    <s v="Ledezma,Fer"/>
    <n v="0"/>
    <n v="0"/>
    <n v="0"/>
    <n v="0"/>
    <n v="0.39"/>
    <e v="#N/A"/>
    <x v="0"/>
  </r>
  <r>
    <d v="2023-06-09T00:00:00"/>
    <x v="21"/>
    <s v="Admin/HR/IT"/>
    <s v="AMCARE NonOcc In"/>
    <s v="TEMP"/>
    <n v="201318227"/>
    <s v="Rayas,Hilda"/>
    <s v="Gomez Aguado,Jorge"/>
    <n v="0"/>
    <n v="0"/>
    <n v="0"/>
    <n v="0"/>
    <n v="0.75"/>
    <e v="#N/A"/>
    <x v="0"/>
  </r>
  <r>
    <d v="2023-06-09T00:00:00"/>
    <x v="21"/>
    <s v="Admin/HR/IT"/>
    <s v="AMCARE NonOcc In"/>
    <s v="TEMP"/>
    <n v="201374875"/>
    <s v="Velez,Xochitl"/>
    <s v="Lopez,Alexa"/>
    <n v="0"/>
    <n v="0"/>
    <n v="0"/>
    <n v="0"/>
    <n v="0.53"/>
    <e v="#N/A"/>
    <x v="0"/>
  </r>
  <r>
    <d v="2023-06-09T00:00:00"/>
    <x v="21"/>
    <s v="Admin/HR/IT"/>
    <s v="AMCARE NonOcc In"/>
    <s v="TEMP"/>
    <n v="201408478"/>
    <s v="Calderon,David"/>
    <s v="Bueno Mendoza,Susana"/>
    <n v="0"/>
    <n v="0"/>
    <n v="0"/>
    <n v="0"/>
    <n v="0.23"/>
    <e v="#N/A"/>
    <x v="160"/>
  </r>
  <r>
    <d v="2023-06-10T00:00:00"/>
    <x v="21"/>
    <s v="Admin/HR/IT"/>
    <s v="AMCARE NonOcc In"/>
    <s v="AMZN"/>
    <n v="112971961"/>
    <s v="Lopez,Jason"/>
    <s v="Camarena,Grecia"/>
    <n v="0"/>
    <n v="0"/>
    <n v="0"/>
    <n v="0"/>
    <n v="0.05"/>
    <e v="#N/A"/>
    <x v="0"/>
  </r>
  <r>
    <d v="2023-06-10T00:00:00"/>
    <x v="21"/>
    <s v="Admin/HR/IT"/>
    <s v="AMCARE NonOcc In"/>
    <s v="AMZN"/>
    <n v="113003674"/>
    <s v="Gasca Vazquez,Carlos"/>
    <s v="Corona Arriaga,Fernando"/>
    <n v="0"/>
    <n v="0"/>
    <n v="0"/>
    <n v="0"/>
    <n v="0.32"/>
    <e v="#N/A"/>
    <x v="106"/>
  </r>
  <r>
    <d v="2023-06-10T00:00:00"/>
    <x v="21"/>
    <s v="Admin/HR/IT"/>
    <s v="AMCARE NonOcc In"/>
    <s v="TEMP"/>
    <n v="200615883"/>
    <s v="Ibarra Amaro,Adriana"/>
    <s v="Gomez Aguado,Jorge"/>
    <n v="0"/>
    <n v="0"/>
    <n v="0"/>
    <n v="0"/>
    <n v="0.22"/>
    <e v="#N/A"/>
    <x v="0"/>
  </r>
  <r>
    <d v="2023-06-10T00:00:00"/>
    <x v="21"/>
    <s v="Admin/HR/IT"/>
    <s v="AMCARE NonOcc In"/>
    <s v="TEMP"/>
    <n v="201211582"/>
    <s v="Rodriguez,Dani"/>
    <s v="Ledezma,Fer"/>
    <n v="0"/>
    <n v="0"/>
    <n v="0"/>
    <n v="0"/>
    <n v="0.16"/>
    <e v="#N/A"/>
    <x v="0"/>
  </r>
  <r>
    <d v="2023-06-10T00:00:00"/>
    <x v="21"/>
    <s v="Admin/HR/IT"/>
    <s v="AMCARE NonOcc In"/>
    <s v="TEMP"/>
    <n v="201341822"/>
    <s v="Rocha,Claudia"/>
    <s v="Corona Arriaga,Fernando"/>
    <n v="0"/>
    <n v="0"/>
    <n v="0"/>
    <n v="0"/>
    <n v="0.16"/>
    <e v="#N/A"/>
    <x v="0"/>
  </r>
  <r>
    <d v="2023-06-10T00:00:00"/>
    <x v="21"/>
    <s v="Admin/HR/IT"/>
    <s v="AMCARE NonOcc In"/>
    <s v="TEMP"/>
    <n v="201403462"/>
    <s v="Valdovino,Jorge"/>
    <s v="Corona Arriaga,Fernando"/>
    <n v="0"/>
    <n v="0"/>
    <n v="0"/>
    <n v="0"/>
    <n v="0.22"/>
    <e v="#N/A"/>
    <x v="146"/>
  </r>
  <r>
    <d v="2023-06-11T00:00:00"/>
    <x v="22"/>
    <s v="Admin/HR/IT"/>
    <s v="AMCARE NonOcc In"/>
    <s v="AMZN"/>
    <n v="112912163"/>
    <s v="Murillo,Alejandro"/>
    <s v="Romero Sanchez,Gustavo Gabriel"/>
    <n v="0"/>
    <n v="0"/>
    <n v="0"/>
    <n v="0"/>
    <n v="0.42"/>
    <e v="#N/A"/>
    <x v="0"/>
  </r>
  <r>
    <d v="2023-06-11T00:00:00"/>
    <x v="22"/>
    <s v="Admin/HR/IT"/>
    <s v="AMCARE NonOcc In"/>
    <s v="AMZN"/>
    <n v="112912209"/>
    <s v="Morales,Sarahi"/>
    <s v="Munoz,Jonan"/>
    <n v="0"/>
    <n v="0"/>
    <n v="0"/>
    <n v="0"/>
    <n v="0.22"/>
    <s v="NF-X1900"/>
    <x v="90"/>
  </r>
  <r>
    <d v="2023-06-11T00:00:00"/>
    <x v="22"/>
    <s v="Admin/HR/IT"/>
    <s v="AMCARE NonOcc In"/>
    <s v="AMZN"/>
    <n v="112912663"/>
    <s v="Segura,Lucero"/>
    <s v="Munoz,Jonan"/>
    <n v="0"/>
    <n v="0"/>
    <n v="0"/>
    <n v="0"/>
    <n v="0.15"/>
    <e v="#N/A"/>
    <x v="0"/>
  </r>
  <r>
    <d v="2023-06-11T00:00:00"/>
    <x v="22"/>
    <s v="Admin/HR/IT"/>
    <s v="AMCARE NonOcc In"/>
    <s v="AMZN"/>
    <n v="112950784"/>
    <s v="Rojas,Samuel"/>
    <s v="Pizana,Diego"/>
    <n v="0"/>
    <n v="0"/>
    <n v="0"/>
    <n v="0"/>
    <n v="0.67"/>
    <s v="NF-X1900"/>
    <x v="13"/>
  </r>
  <r>
    <d v="2023-06-11T00:00:00"/>
    <x v="22"/>
    <s v="Admin/HR/IT"/>
    <s v="AMCARE NonOcc In"/>
    <s v="TEMP"/>
    <n v="200574655"/>
    <s v="Mireles,Dulce"/>
    <s v="Robledo Ugarte,Alejandro"/>
    <n v="0"/>
    <n v="0"/>
    <n v="0"/>
    <n v="0"/>
    <n v="0.42"/>
    <e v="#N/A"/>
    <x v="88"/>
  </r>
  <r>
    <d v="2023-06-12T00:00:00"/>
    <x v="22"/>
    <s v="Admin/HR/IT"/>
    <s v="AMCARE NonOcc In"/>
    <s v="TEMP"/>
    <n v="112912007"/>
    <s v="Robledo Barrientos,Alondra"/>
    <s v="Gomez,Abinadab"/>
    <n v="0"/>
    <n v="0"/>
    <n v="0"/>
    <n v="0"/>
    <n v="1.17"/>
    <e v="#N/A"/>
    <x v="0"/>
  </r>
  <r>
    <d v="2023-06-12T00:00:00"/>
    <x v="22"/>
    <s v="Admin/HR/IT"/>
    <s v="AMCARE NonOcc In"/>
    <s v="AMZN"/>
    <n v="112950802"/>
    <s v="Blee,Fabian"/>
    <s v="Romero Sanchez,Gustavo Gabriel"/>
    <n v="0"/>
    <n v="0"/>
    <n v="0"/>
    <n v="0"/>
    <n v="0.09"/>
    <e v="#N/A"/>
    <x v="0"/>
  </r>
  <r>
    <d v="2023-06-12T00:00:00"/>
    <x v="22"/>
    <s v="Admin/HR/IT"/>
    <s v="AMCARE NonOcc In"/>
    <s v="AMZN"/>
    <n v="112971961"/>
    <s v="Lopez,Jason"/>
    <s v="Camarena,Grecia"/>
    <n v="0"/>
    <n v="0"/>
    <n v="0"/>
    <n v="0"/>
    <n v="0.14000000000000001"/>
    <e v="#N/A"/>
    <x v="0"/>
  </r>
  <r>
    <d v="2023-06-12T00:00:00"/>
    <x v="22"/>
    <s v="Admin/HR/IT"/>
    <s v="AMCARE NonOcc In"/>
    <s v="AMZN"/>
    <n v="113014403"/>
    <s v="Arias Sanchez,Nora"/>
    <s v="Romero Sanchez,Gustavo Gabriel"/>
    <n v="0"/>
    <n v="0"/>
    <n v="0"/>
    <n v="0"/>
    <n v="0.1"/>
    <e v="#N/A"/>
    <x v="32"/>
  </r>
  <r>
    <d v="2023-06-12T00:00:00"/>
    <x v="22"/>
    <s v="Admin/HR/IT"/>
    <s v="AMCARE NonOcc In"/>
    <s v="AMZN"/>
    <n v="113020463"/>
    <s v="Valtierra,Alejandra"/>
    <s v="Robledo Ugarte,Alejandro"/>
    <n v="0"/>
    <n v="0"/>
    <n v="0"/>
    <n v="0"/>
    <n v="0.26"/>
    <e v="#N/A"/>
    <x v="17"/>
  </r>
  <r>
    <d v="2023-06-12T00:00:00"/>
    <x v="22"/>
    <s v="Admin/HR/IT"/>
    <s v="AMCARE NonOcc In"/>
    <s v="TEMP"/>
    <n v="201166890"/>
    <s v="Caballero,Daniel"/>
    <s v="Romero Sanchez,Gustavo Gabriel"/>
    <n v="0"/>
    <n v="0"/>
    <n v="0"/>
    <n v="0"/>
    <n v="1.01"/>
    <e v="#N/A"/>
    <x v="141"/>
  </r>
  <r>
    <d v="2023-06-12T00:00:00"/>
    <x v="22"/>
    <s v="Admin/HR/IT"/>
    <s v="AMCARE NonOcc In"/>
    <s v="TEMP"/>
    <n v="201201993"/>
    <s v="Olmos,Lucia"/>
    <s v="Piedra,Valentina"/>
    <n v="0"/>
    <n v="0"/>
    <n v="0"/>
    <n v="0"/>
    <n v="0.2"/>
    <e v="#N/A"/>
    <x v="0"/>
  </r>
  <r>
    <d v="2023-06-12T00:00:00"/>
    <x v="22"/>
    <s v="Admin/HR/IT"/>
    <s v="AMCARE NonOcc In"/>
    <s v="TEMP"/>
    <n v="201329529"/>
    <s v="Padilla,Pablo"/>
    <s v="Lopez,Alexa"/>
    <n v="0"/>
    <n v="0"/>
    <n v="0"/>
    <n v="0"/>
    <n v="0.21"/>
    <e v="#N/A"/>
    <x v="0"/>
  </r>
  <r>
    <d v="2023-06-12T00:00:00"/>
    <x v="22"/>
    <s v="Admin/HR/IT"/>
    <s v="AMCARE NonOcc In"/>
    <s v="TEMP"/>
    <n v="201365896"/>
    <s v="Gonzalez,Esther"/>
    <s v="Bueno Mendoza,Susana"/>
    <n v="0"/>
    <n v="0"/>
    <n v="0"/>
    <n v="0"/>
    <n v="0.47"/>
    <e v="#N/A"/>
    <x v="0"/>
  </r>
  <r>
    <d v="2023-06-13T00:00:00"/>
    <x v="22"/>
    <s v="Admin/HR/IT"/>
    <s v="AMCARE NonOcc In"/>
    <s v="TEMP"/>
    <n v="112912067"/>
    <s v="Rocio,Juan"/>
    <s v="Robledo Ugarte,Alejandro"/>
    <n v="0"/>
    <n v="0"/>
    <n v="0"/>
    <n v="0"/>
    <n v="0.69"/>
    <e v="#N/A"/>
    <x v="0"/>
  </r>
  <r>
    <d v="2023-06-13T00:00:00"/>
    <x v="22"/>
    <s v="Admin/HR/IT"/>
    <s v="AMCARE NonOcc In"/>
    <s v="AMZN"/>
    <n v="112912209"/>
    <s v="Morales,Sarahi"/>
    <s v="Munoz,Jonan"/>
    <n v="0"/>
    <n v="0"/>
    <n v="0"/>
    <n v="0"/>
    <n v="0.82"/>
    <s v="NF-X1900"/>
    <x v="90"/>
  </r>
  <r>
    <d v="2023-06-13T00:00:00"/>
    <x v="22"/>
    <s v="Admin/HR/IT"/>
    <s v="AMCARE NonOcc In"/>
    <s v="AMZN"/>
    <n v="112912752"/>
    <s v="Valderrama Gomez,Leslie"/>
    <s v="Gomez,Abinadab"/>
    <n v="0"/>
    <n v="0"/>
    <n v="0"/>
    <n v="0"/>
    <n v="0.52"/>
    <s v="NF-X1900"/>
    <x v="5"/>
  </r>
  <r>
    <d v="2023-06-13T00:00:00"/>
    <x v="22"/>
    <s v="Admin/HR/IT"/>
    <s v="AMCARE NonOcc In"/>
    <s v="AMZN"/>
    <n v="112981212"/>
    <s v="Zanella Miranda,Alyson"/>
    <s v="Robledo Ugarte,Alejandro"/>
    <n v="0"/>
    <n v="0"/>
    <n v="0"/>
    <n v="0"/>
    <n v="0.22"/>
    <e v="#N/A"/>
    <x v="77"/>
  </r>
  <r>
    <d v="2023-06-13T00:00:00"/>
    <x v="22"/>
    <s v="Admin/HR/IT"/>
    <s v="AMCARE NonOcc In"/>
    <s v="AMZN"/>
    <n v="113014042"/>
    <s v="Cervantes,Rose"/>
    <s v="Madrid Molina,Ramon"/>
    <n v="0"/>
    <n v="0"/>
    <n v="0"/>
    <n v="0"/>
    <n v="0.54"/>
    <e v="#N/A"/>
    <x v="20"/>
  </r>
  <r>
    <d v="2023-06-13T00:00:00"/>
    <x v="22"/>
    <s v="Admin/HR/IT"/>
    <s v="AMCARE NonOcc In"/>
    <s v="AMZN"/>
    <n v="200404250"/>
    <s v="Hurtado,Caty"/>
    <s v="Romero Sanchez,Gustavo Gabriel"/>
    <n v="0"/>
    <n v="0"/>
    <n v="0"/>
    <n v="0"/>
    <n v="0.03"/>
    <e v="#N/A"/>
    <x v="6"/>
  </r>
  <r>
    <d v="2023-06-13T00:00:00"/>
    <x v="22"/>
    <s v="Admin/HR/IT"/>
    <s v="AMCARE NonOcc In"/>
    <s v="TEMP"/>
    <n v="201165769"/>
    <s v="Puente,Karen"/>
    <s v="Piedra,Valentina"/>
    <n v="0"/>
    <n v="0"/>
    <n v="0"/>
    <n v="0"/>
    <n v="0.18"/>
    <e v="#N/A"/>
    <x v="113"/>
  </r>
  <r>
    <d v="2023-06-14T00:00:00"/>
    <x v="22"/>
    <s v="Admin/HR/IT"/>
    <s v="AMCARE NonOcc In"/>
    <s v="TEMP"/>
    <n v="112912067"/>
    <s v="Rocio,Juan"/>
    <s v="Robledo Ugarte,Alejandro"/>
    <n v="0"/>
    <n v="0"/>
    <n v="0"/>
    <n v="0"/>
    <n v="0.68"/>
    <e v="#N/A"/>
    <x v="0"/>
  </r>
  <r>
    <d v="2023-06-14T00:00:00"/>
    <x v="22"/>
    <s v="Admin/HR/IT"/>
    <s v="AMCARE NonOcc In"/>
    <s v="AMZN"/>
    <n v="112912661"/>
    <s v="Morales Gonzalez,Francisco"/>
    <s v="Hernandez,Nataly"/>
    <n v="0"/>
    <n v="0"/>
    <n v="0"/>
    <n v="0"/>
    <n v="0.75"/>
    <s v="DA-X0700"/>
    <x v="96"/>
  </r>
  <r>
    <d v="2023-06-14T00:00:00"/>
    <x v="22"/>
    <s v="Admin/HR/IT"/>
    <s v="AMCARE NonOcc In"/>
    <s v="AMZN"/>
    <n v="112912752"/>
    <s v="Valderrama Gomez,Leslie"/>
    <s v="Gomez,Abinadab"/>
    <n v="0"/>
    <n v="0"/>
    <n v="0"/>
    <n v="0"/>
    <n v="0.63"/>
    <s v="NF-X1900"/>
    <x v="5"/>
  </r>
  <r>
    <d v="2023-06-14T00:00:00"/>
    <x v="22"/>
    <s v="Admin/HR/IT"/>
    <s v="AMCARE NonOcc In"/>
    <s v="AMZN"/>
    <n v="112920654"/>
    <s v="Horta,Julieta"/>
    <s v="Hernandez,Nataly"/>
    <n v="0"/>
    <n v="0"/>
    <n v="0"/>
    <n v="0"/>
    <n v="0.14000000000000001"/>
    <s v="DB-X0700"/>
    <x v="61"/>
  </r>
  <r>
    <d v="2023-06-14T00:00:00"/>
    <x v="22"/>
    <s v="Admin/HR/IT"/>
    <s v="AMCARE NonOcc In"/>
    <s v="AMZN"/>
    <n v="112920655"/>
    <s v="Diaz de LeÃ³n,Paola"/>
    <s v="Pizana,Diego"/>
    <n v="0"/>
    <n v="0"/>
    <n v="0"/>
    <n v="0"/>
    <n v="0.18"/>
    <e v="#N/A"/>
    <x v="0"/>
  </r>
  <r>
    <d v="2023-06-14T00:00:00"/>
    <x v="22"/>
    <s v="Admin/HR/IT"/>
    <s v="AMCARE NonOcc In"/>
    <s v="AMZN"/>
    <n v="112980899"/>
    <s v="Avila Cabrera,Ari"/>
    <s v="Piedra,Valentina"/>
    <n v="0"/>
    <n v="0"/>
    <n v="0"/>
    <n v="0"/>
    <n v="0.36"/>
    <s v="NF-X1900"/>
    <x v="34"/>
  </r>
  <r>
    <d v="2023-06-14T00:00:00"/>
    <x v="22"/>
    <s v="Admin/HR/IT"/>
    <s v="AMCARE NonOcc In"/>
    <s v="TEMP"/>
    <n v="200508315"/>
    <s v="Herrera,Aldair"/>
    <s v="Madrid Molina,Ramon"/>
    <n v="0"/>
    <n v="0"/>
    <n v="0"/>
    <n v="0"/>
    <n v="2.79"/>
    <e v="#N/A"/>
    <x v="41"/>
  </r>
  <r>
    <d v="2023-06-14T00:00:00"/>
    <x v="22"/>
    <s v="Admin/HR/IT"/>
    <s v="AMCARE NonOcc In"/>
    <s v="TEMP"/>
    <n v="200552734"/>
    <s v="Santiago Ramirez,Six"/>
    <s v="Madrid Molina,Ramon"/>
    <n v="0"/>
    <n v="0"/>
    <n v="0"/>
    <n v="0"/>
    <n v="1.59"/>
    <e v="#N/A"/>
    <x v="0"/>
  </r>
  <r>
    <d v="2023-06-14T00:00:00"/>
    <x v="22"/>
    <s v="Admin/HR/IT"/>
    <s v="AMCARE NonOcc In"/>
    <s v="TEMP"/>
    <n v="201390700"/>
    <s v="Rea,Carmen"/>
    <s v="Robledo Ugarte,Alejandro"/>
    <n v="0"/>
    <n v="0"/>
    <n v="0"/>
    <n v="0"/>
    <n v="1.28"/>
    <e v="#N/A"/>
    <x v="0"/>
  </r>
  <r>
    <d v="2023-06-15T00:00:00"/>
    <x v="22"/>
    <s v="Admin/HR/IT"/>
    <s v="AMCARE NonOcc In"/>
    <s v="AMZN"/>
    <n v="112920654"/>
    <s v="Horta,Julieta"/>
    <s v="Hernandez,Nataly"/>
    <n v="0"/>
    <n v="0"/>
    <n v="0"/>
    <n v="0"/>
    <n v="0.46"/>
    <s v="DB-X0700"/>
    <x v="61"/>
  </r>
  <r>
    <d v="2023-06-15T00:00:00"/>
    <x v="22"/>
    <s v="Admin/HR/IT"/>
    <s v="AMCARE NonOcc In"/>
    <s v="AMZN"/>
    <n v="112972897"/>
    <s v="Trejo,Adonai"/>
    <s v="Pizana,Diego"/>
    <n v="0"/>
    <n v="0"/>
    <n v="0"/>
    <n v="0"/>
    <n v="0.45"/>
    <s v="DB-X0700"/>
    <x v="169"/>
  </r>
  <r>
    <d v="2023-06-15T00:00:00"/>
    <x v="22"/>
    <s v="Admin/HR/IT"/>
    <s v="AMCARE NonOcc In"/>
    <s v="AMZN"/>
    <n v="112980878"/>
    <s v="Romero Escobar,Gerardo"/>
    <s v="Romero Sanchez,Gustavo Gabriel"/>
    <n v="0"/>
    <n v="0"/>
    <n v="0"/>
    <n v="0"/>
    <n v="0.18"/>
    <e v="#N/A"/>
    <x v="0"/>
  </r>
  <r>
    <d v="2023-06-15T00:00:00"/>
    <x v="22"/>
    <s v="Admin/HR/IT"/>
    <s v="AMCARE NonOcc In"/>
    <s v="AMZN"/>
    <n v="113020476"/>
    <s v="Puente Aguilar,Polette"/>
    <s v="Madrid Molina,Ramon"/>
    <n v="0"/>
    <n v="0"/>
    <n v="0"/>
    <n v="0"/>
    <n v="0.17"/>
    <e v="#N/A"/>
    <x v="19"/>
  </r>
  <r>
    <d v="2023-06-15T00:00:00"/>
    <x v="22"/>
    <s v="Admin/HR/IT"/>
    <s v="AMCARE NonOcc In"/>
    <s v="AMZN"/>
    <n v="113101453"/>
    <s v="Isaac,Geovanna"/>
    <s v="Robledo Ugarte,Alejandro"/>
    <n v="0"/>
    <n v="0"/>
    <n v="0"/>
    <n v="0"/>
    <n v="0.82"/>
    <e v="#N/A"/>
    <x v="4"/>
  </r>
  <r>
    <d v="2023-06-15T00:00:00"/>
    <x v="22"/>
    <s v="Admin/HR/IT"/>
    <s v="AMCARE NonOcc In"/>
    <s v="TEMP"/>
    <n v="201167501"/>
    <s v="Rodriguez,Ruben"/>
    <s v="Robledo Ugarte,Alejandro"/>
    <n v="0"/>
    <n v="0"/>
    <n v="0"/>
    <n v="0"/>
    <n v="0.71"/>
    <e v="#N/A"/>
    <x v="109"/>
  </r>
  <r>
    <d v="2023-06-15T00:00:00"/>
    <x v="22"/>
    <s v="Admin/HR/IT"/>
    <s v="AMCARE NonOcc In"/>
    <s v="TEMP"/>
    <n v="201228411"/>
    <s v="Hernandez Soriano,Jazmin"/>
    <s v="Corona Arriaga,Fernando"/>
    <n v="0"/>
    <n v="0"/>
    <n v="0"/>
    <n v="0"/>
    <n v="0.14000000000000001"/>
    <e v="#N/A"/>
    <x v="123"/>
  </r>
  <r>
    <d v="2023-06-15T00:00:00"/>
    <x v="22"/>
    <s v="Admin/HR/IT"/>
    <s v="AMCARE NonOcc In"/>
    <s v="TEMP"/>
    <n v="201315151"/>
    <s v="Quiroz,Fernanda"/>
    <s v="Gomez Aguado,Jorge"/>
    <n v="0"/>
    <n v="0"/>
    <n v="0"/>
    <n v="0"/>
    <n v="0.46"/>
    <e v="#N/A"/>
    <x v="0"/>
  </r>
  <r>
    <d v="2023-06-15T00:00:00"/>
    <x v="22"/>
    <s v="Admin/HR/IT"/>
    <s v="AMCARE NonOcc In"/>
    <s v="TEMP"/>
    <n v="201341822"/>
    <s v="Rocha,Claudia"/>
    <s v="Corona Arriaga,Fernando"/>
    <n v="0"/>
    <n v="0"/>
    <n v="0"/>
    <n v="0"/>
    <n v="0.55000000000000004"/>
    <e v="#N/A"/>
    <x v="0"/>
  </r>
  <r>
    <d v="2023-06-15T00:00:00"/>
    <x v="22"/>
    <s v="Admin/HR/IT"/>
    <s v="AMCARE NonOcc In"/>
    <s v="TEMP"/>
    <n v="201377831"/>
    <s v="Martinez,Fernando"/>
    <s v="Madrid Molina,Ramon"/>
    <n v="0"/>
    <n v="0"/>
    <n v="0"/>
    <n v="0"/>
    <n v="0.18"/>
    <e v="#N/A"/>
    <x v="0"/>
  </r>
  <r>
    <d v="2023-06-16T00:00:00"/>
    <x v="22"/>
    <s v="Admin/HR/IT"/>
    <s v="AMCARE NonOcc In"/>
    <s v="AMZN"/>
    <n v="112920655"/>
    <s v="Diaz de LeÃ³n,Paola"/>
    <s v="Pizana,Diego"/>
    <n v="0"/>
    <n v="0"/>
    <n v="0"/>
    <n v="0"/>
    <n v="0.53"/>
    <e v="#N/A"/>
    <x v="0"/>
  </r>
  <r>
    <d v="2023-06-16T00:00:00"/>
    <x v="22"/>
    <s v="Admin/HR/IT"/>
    <s v="AMCARE NonOcc In"/>
    <s v="AMZN"/>
    <n v="113020476"/>
    <s v="Puente Aguilar,Polette"/>
    <s v="Madrid Molina,Ramon"/>
    <n v="0"/>
    <n v="0"/>
    <n v="0"/>
    <n v="0"/>
    <n v="0.14000000000000001"/>
    <e v="#N/A"/>
    <x v="19"/>
  </r>
  <r>
    <d v="2023-06-16T00:00:00"/>
    <x v="22"/>
    <s v="Admin/HR/IT"/>
    <s v="AMCARE NonOcc In"/>
    <s v="TEMP"/>
    <n v="200625528"/>
    <s v="Oliva,Lizbeth"/>
    <s v="Piedra,Valentina"/>
    <n v="0"/>
    <n v="0"/>
    <n v="0"/>
    <n v="0"/>
    <n v="0.09"/>
    <e v="#N/A"/>
    <x v="83"/>
  </r>
  <r>
    <d v="2023-06-16T00:00:00"/>
    <x v="22"/>
    <s v="Admin/HR/IT"/>
    <s v="AMCARE NonOcc In"/>
    <s v="TEMP"/>
    <n v="201198979"/>
    <s v="Mendoza,Omar"/>
    <s v="Piedra,Valentina"/>
    <n v="0"/>
    <n v="0"/>
    <n v="0"/>
    <n v="0"/>
    <n v="0.91"/>
    <e v="#N/A"/>
    <x v="0"/>
  </r>
  <r>
    <d v="2023-06-17T00:00:00"/>
    <x v="22"/>
    <s v="Admin/HR/IT"/>
    <s v="AMCARE NonOcc In"/>
    <s v="AMZN"/>
    <n v="112916534"/>
    <s v="Esparza Sanchez,Areli"/>
    <s v="Corona Arriaga,Fernando"/>
    <n v="0"/>
    <n v="0"/>
    <n v="0"/>
    <n v="0"/>
    <n v="0.93"/>
    <s v="DB-X0700"/>
    <x v="40"/>
  </r>
  <r>
    <d v="2023-06-17T00:00:00"/>
    <x v="22"/>
    <s v="Admin/HR/IT"/>
    <s v="AMCARE NonOcc In"/>
    <s v="AMZN"/>
    <n v="112971962"/>
    <s v="Reyes  Montes de oca,Alejandra"/>
    <s v="Ledezma,Fer"/>
    <n v="0"/>
    <n v="0"/>
    <n v="0"/>
    <n v="0"/>
    <n v="0.14000000000000001"/>
    <s v="DB-X0700"/>
    <x v="26"/>
  </r>
  <r>
    <d v="2023-06-17T00:00:00"/>
    <x v="22"/>
    <s v="Admin/HR/IT"/>
    <s v="AMCARE NonOcc In"/>
    <s v="AMZN"/>
    <n v="112971965"/>
    <s v="Hernandez,Andrea"/>
    <s v="Madrid Molina,Ramon"/>
    <n v="0"/>
    <n v="0"/>
    <n v="0"/>
    <n v="0"/>
    <n v="1.05"/>
    <e v="#N/A"/>
    <x v="0"/>
  </r>
  <r>
    <d v="2023-06-17T00:00:00"/>
    <x v="22"/>
    <s v="Admin/HR/IT"/>
    <s v="AMCARE NonOcc In"/>
    <s v="TEMP"/>
    <n v="200552734"/>
    <s v="Santiago Ramirez,Six"/>
    <s v="Madrid Molina,Ramon"/>
    <n v="0"/>
    <n v="0"/>
    <n v="0"/>
    <n v="0"/>
    <n v="0.83"/>
    <e v="#N/A"/>
    <x v="0"/>
  </r>
  <r>
    <d v="2023-06-17T00:00:00"/>
    <x v="22"/>
    <s v="Admin/HR/IT"/>
    <s v="AMCARE NonOcc In"/>
    <s v="TEMP"/>
    <n v="200585084"/>
    <s v="Villafranca,Tessa"/>
    <s v="Ledezma,Fer"/>
    <n v="0"/>
    <n v="0"/>
    <n v="0"/>
    <n v="0"/>
    <n v="0.66"/>
    <e v="#N/A"/>
    <x v="58"/>
  </r>
  <r>
    <d v="2023-06-17T00:00:00"/>
    <x v="22"/>
    <s v="Admin/HR/IT"/>
    <s v="AMCARE NonOcc In"/>
    <s v="TEMP"/>
    <n v="201185653"/>
    <s v="Lopez,Mine"/>
    <s v="Corona Arriaga,Fernando"/>
    <n v="0"/>
    <n v="0"/>
    <n v="0"/>
    <n v="0"/>
    <n v="0.23"/>
    <e v="#N/A"/>
    <x v="137"/>
  </r>
  <r>
    <d v="2023-06-17T00:00:00"/>
    <x v="22"/>
    <s v="Admin/HR/IT"/>
    <s v="AMCARE NonOcc In"/>
    <s v="TEMP"/>
    <n v="201300426"/>
    <s v="Lira,Adrian"/>
    <s v="Madrid Molina,Ramon"/>
    <n v="0"/>
    <n v="0"/>
    <n v="0"/>
    <n v="0"/>
    <n v="0.21"/>
    <e v="#N/A"/>
    <x v="167"/>
  </r>
  <r>
    <d v="2023-06-17T00:00:00"/>
    <x v="22"/>
    <s v="Admin/HR/IT"/>
    <s v="AMCARE NonOcc In"/>
    <s v="TEMP"/>
    <n v="201354965"/>
    <s v="JimÃ©nez,Aline"/>
    <s v="Lopez,Alexa"/>
    <n v="0"/>
    <n v="0"/>
    <n v="0"/>
    <n v="0"/>
    <n v="0.49"/>
    <e v="#N/A"/>
    <x v="152"/>
  </r>
  <r>
    <d v="2023-06-18T00:00:00"/>
    <x v="23"/>
    <s v="Admin/HR/IT"/>
    <s v="AMCARE NonOcc In"/>
    <s v="AMZN"/>
    <n v="112912008"/>
    <s v="Espinosa,Consuelo"/>
    <s v="Hernandez,Nataly"/>
    <n v="0"/>
    <n v="0"/>
    <n v="0"/>
    <n v="0"/>
    <n v="0.85"/>
    <e v="#N/A"/>
    <x v="0"/>
  </r>
  <r>
    <d v="2023-06-18T00:00:00"/>
    <x v="23"/>
    <s v="Admin/HR/IT"/>
    <s v="AMCARE NonOcc In"/>
    <s v="AMZN"/>
    <n v="112912752"/>
    <s v="Valderrama Gomez,Leslie"/>
    <s v="Gomez,Abinadab"/>
    <n v="0"/>
    <n v="0"/>
    <n v="0"/>
    <n v="0"/>
    <n v="0.3"/>
    <s v="NF-X1900"/>
    <x v="5"/>
  </r>
  <r>
    <d v="2023-06-18T00:00:00"/>
    <x v="23"/>
    <s v="Admin/HR/IT"/>
    <s v="AMCARE NonOcc In"/>
    <s v="AMZN"/>
    <n v="112980844"/>
    <s v="Padilla,Samantha"/>
    <s v="Gomez,Abinadab"/>
    <n v="0"/>
    <n v="0"/>
    <n v="0"/>
    <n v="0"/>
    <n v="0.66"/>
    <s v="DA-X0700"/>
    <x v="2"/>
  </r>
  <r>
    <d v="2023-06-18T00:00:00"/>
    <x v="23"/>
    <s v="Admin/HR/IT"/>
    <s v="AMCARE NonOcc In"/>
    <s v="AMZN"/>
    <n v="112980899"/>
    <s v="Avila Cabrera,Ari"/>
    <s v="Piedra,Valentina"/>
    <n v="0"/>
    <n v="0"/>
    <n v="0"/>
    <n v="0"/>
    <n v="0.37"/>
    <s v="NF-X1900"/>
    <x v="34"/>
  </r>
  <r>
    <d v="2023-06-18T00:00:00"/>
    <x v="23"/>
    <s v="Admin/HR/IT"/>
    <s v="AMCARE NonOcc In"/>
    <s v="AMZN"/>
    <n v="113014403"/>
    <s v="Arias Sanchez,Nora"/>
    <s v="Romero Sanchez,Gustavo Gabriel"/>
    <n v="0"/>
    <n v="0"/>
    <n v="0"/>
    <n v="0"/>
    <n v="0.32"/>
    <e v="#N/A"/>
    <x v="32"/>
  </r>
  <r>
    <d v="2023-06-18T00:00:00"/>
    <x v="23"/>
    <s v="Admin/HR/IT"/>
    <s v="AMCARE NonOcc In"/>
    <s v="AMZN"/>
    <n v="113020667"/>
    <s v="Martinez Becerra,Paulina"/>
    <s v="Gomez Aguado,Jorge"/>
    <n v="0"/>
    <n v="0"/>
    <n v="0"/>
    <n v="0"/>
    <n v="0.26"/>
    <e v="#N/A"/>
    <x v="31"/>
  </r>
  <r>
    <d v="2023-06-18T00:00:00"/>
    <x v="23"/>
    <s v="Admin/HR/IT"/>
    <s v="AMCARE NonOcc In"/>
    <s v="AMZN"/>
    <n v="113101453"/>
    <s v="Isaac,Geovanna"/>
    <s v="Robledo Ugarte,Alejandro"/>
    <n v="0"/>
    <n v="0"/>
    <n v="0"/>
    <n v="0"/>
    <n v="0.54"/>
    <e v="#N/A"/>
    <x v="4"/>
  </r>
  <r>
    <d v="2023-06-18T00:00:00"/>
    <x v="23"/>
    <s v="Admin/HR/IT"/>
    <s v="AMCARE NonOcc In"/>
    <s v="AMZN"/>
    <n v="200404250"/>
    <s v="Hurtado,Caty"/>
    <s v="Romero Sanchez,Gustavo Gabriel"/>
    <n v="0"/>
    <n v="0"/>
    <n v="0"/>
    <n v="0"/>
    <n v="1.29"/>
    <e v="#N/A"/>
    <x v="6"/>
  </r>
  <r>
    <d v="2023-06-18T00:00:00"/>
    <x v="23"/>
    <s v="Admin/HR/IT"/>
    <s v="AMCARE NonOcc In"/>
    <s v="TEMP"/>
    <n v="200535448"/>
    <s v="Guerrero Hernandez,Silvia"/>
    <s v="Piedra,Valentina"/>
    <n v="0"/>
    <n v="0"/>
    <n v="0"/>
    <n v="0"/>
    <n v="0.28000000000000003"/>
    <e v="#N/A"/>
    <x v="0"/>
  </r>
  <r>
    <d v="2023-06-18T00:00:00"/>
    <x v="23"/>
    <s v="Admin/HR/IT"/>
    <s v="AMCARE NonOcc In"/>
    <s v="TEMP"/>
    <n v="200552457"/>
    <s v="Hernandez Velazquez,Yolis"/>
    <s v="Gomez,Abinadab"/>
    <n v="0"/>
    <n v="0"/>
    <n v="0"/>
    <n v="0"/>
    <n v="0.37"/>
    <e v="#N/A"/>
    <x v="153"/>
  </r>
  <r>
    <d v="2023-06-18T00:00:00"/>
    <x v="23"/>
    <s v="Admin/HR/IT"/>
    <s v="AMCARE NonOcc In"/>
    <s v="TEMP"/>
    <n v="200553205"/>
    <s v="Cabrera,Nancy"/>
    <s v="Romero Sanchez,Gustavo Gabriel"/>
    <n v="0"/>
    <n v="0"/>
    <n v="0"/>
    <n v="0"/>
    <n v="0.15"/>
    <e v="#N/A"/>
    <x v="0"/>
  </r>
  <r>
    <d v="2023-06-18T00:00:00"/>
    <x v="23"/>
    <s v="Admin/HR/IT"/>
    <s v="AMCARE NonOcc In"/>
    <s v="TEMP"/>
    <n v="200625528"/>
    <s v="Oliva,Lizbeth"/>
    <s v="Piedra,Valentina"/>
    <n v="0"/>
    <n v="0"/>
    <n v="0"/>
    <n v="0"/>
    <n v="0.25"/>
    <e v="#N/A"/>
    <x v="83"/>
  </r>
  <r>
    <d v="2023-06-18T00:00:00"/>
    <x v="23"/>
    <s v="Admin/HR/IT"/>
    <s v="AMCARE NonOcc In"/>
    <s v="TEMP"/>
    <n v="201353166"/>
    <s v="Martinez,Lucia"/>
    <s v="Ledezma,Fer"/>
    <n v="0"/>
    <n v="0"/>
    <n v="0"/>
    <n v="0"/>
    <n v="0.85"/>
    <e v="#N/A"/>
    <x v="145"/>
  </r>
  <r>
    <d v="2023-06-18T00:00:00"/>
    <x v="23"/>
    <s v="Admin/HR/IT"/>
    <s v="AMCARE NonOcc In"/>
    <s v="TEMP"/>
    <n v="201354944"/>
    <s v="Hernandez,Hugo"/>
    <s v="Munoz,Jonan"/>
    <n v="0"/>
    <n v="0"/>
    <n v="0"/>
    <n v="0"/>
    <n v="0.18"/>
    <e v="#N/A"/>
    <x v="151"/>
  </r>
  <r>
    <d v="2023-06-19T00:00:00"/>
    <x v="23"/>
    <s v="Admin/HR/IT"/>
    <s v="AMCARE NonOcc In"/>
    <s v="AMZN"/>
    <n v="112698209"/>
    <s v="Ramirez Ramirez,Diana Cecilia"/>
    <s v="Garcia Espejel,Brenda Victoria"/>
    <n v="0"/>
    <n v="0"/>
    <n v="0"/>
    <n v="0"/>
    <n v="0.17"/>
    <s v="DA-X0700"/>
    <x v="125"/>
  </r>
  <r>
    <d v="2023-06-19T00:00:00"/>
    <x v="23"/>
    <s v="Admin/HR/IT"/>
    <s v="AMCARE NonOcc In"/>
    <s v="AMZN"/>
    <n v="112912209"/>
    <s v="Morales,Sarahi"/>
    <s v="Munoz,Jonan"/>
    <n v="0"/>
    <n v="0"/>
    <n v="0"/>
    <n v="0"/>
    <n v="0.23"/>
    <s v="NF-X1900"/>
    <x v="90"/>
  </r>
  <r>
    <d v="2023-06-19T00:00:00"/>
    <x v="23"/>
    <s v="Admin/HR/IT"/>
    <s v="AMCARE NonOcc In"/>
    <s v="AMZN"/>
    <n v="112942473"/>
    <s v="Vargas Lopez,Hilda Cecilia"/>
    <s v="Munoz,Jonan"/>
    <n v="0"/>
    <n v="0"/>
    <n v="0"/>
    <n v="0"/>
    <n v="0.16"/>
    <s v="DC-X0700"/>
    <x v="140"/>
  </r>
  <r>
    <d v="2023-06-19T00:00:00"/>
    <x v="23"/>
    <s v="Admin/HR/IT"/>
    <s v="AMCARE NonOcc In"/>
    <s v="AMZN"/>
    <n v="112955736"/>
    <s v="Cuevas,Lalo"/>
    <s v="Garcia Espejel,Brenda Victoria"/>
    <n v="0"/>
    <n v="0"/>
    <n v="0"/>
    <n v="0"/>
    <n v="0.2"/>
    <s v="DA-X0700"/>
    <x v="133"/>
  </r>
  <r>
    <d v="2023-06-19T00:00:00"/>
    <x v="23"/>
    <s v="Admin/HR/IT"/>
    <s v="AMCARE NonOcc In"/>
    <s v="AMZN"/>
    <n v="112980878"/>
    <s v="Romero Escobar,Gerardo"/>
    <s v="Romero Sanchez,Gustavo Gabriel"/>
    <n v="0"/>
    <n v="0"/>
    <n v="0"/>
    <n v="0"/>
    <n v="0.26"/>
    <e v="#N/A"/>
    <x v="0"/>
  </r>
  <r>
    <d v="2023-06-19T00:00:00"/>
    <x v="23"/>
    <s v="Admin/HR/IT"/>
    <s v="AMCARE NonOcc In"/>
    <s v="AMZN"/>
    <n v="200404250"/>
    <s v="Hurtado,Caty"/>
    <s v="Romero Sanchez,Gustavo Gabriel"/>
    <n v="0"/>
    <n v="0"/>
    <n v="0"/>
    <n v="0"/>
    <n v="0.34"/>
    <e v="#N/A"/>
    <x v="6"/>
  </r>
  <r>
    <d v="2023-06-19T00:00:00"/>
    <x v="23"/>
    <s v="Admin/HR/IT"/>
    <s v="AMCARE NonOcc In"/>
    <s v="TEMP"/>
    <n v="200553205"/>
    <s v="Cabrera,Nancy"/>
    <s v="Romero Sanchez,Gustavo Gabriel"/>
    <n v="0"/>
    <n v="0"/>
    <n v="0"/>
    <n v="0"/>
    <n v="0.4"/>
    <e v="#N/A"/>
    <x v="0"/>
  </r>
  <r>
    <d v="2023-06-19T00:00:00"/>
    <x v="23"/>
    <s v="Admin/HR/IT"/>
    <s v="AMCARE NonOcc In"/>
    <s v="TEMP"/>
    <n v="201172306"/>
    <s v="Valdez,CÃ©sar"/>
    <s v="Gomez,Abinadab"/>
    <n v="0"/>
    <n v="0"/>
    <n v="0"/>
    <n v="0"/>
    <n v="0.2"/>
    <e v="#N/A"/>
    <x v="128"/>
  </r>
  <r>
    <d v="2023-06-19T00:00:00"/>
    <x v="23"/>
    <s v="Admin/HR/IT"/>
    <s v="AMCARE NonOcc In"/>
    <s v="TEMP"/>
    <n v="201201993"/>
    <s v="Olmos,Lucia"/>
    <s v="Piedra,Valentina"/>
    <n v="0"/>
    <n v="0"/>
    <n v="0"/>
    <n v="0"/>
    <n v="0.15"/>
    <e v="#N/A"/>
    <x v="0"/>
  </r>
  <r>
    <d v="2023-06-20T00:00:00"/>
    <x v="23"/>
    <s v="Admin/HR/IT"/>
    <s v="AMCARE NonOcc In"/>
    <s v="AMZN"/>
    <n v="112950795"/>
    <s v="Espinosa Espitia,Ali"/>
    <s v="Munoz,Jonan"/>
    <n v="0"/>
    <n v="0"/>
    <n v="0"/>
    <n v="0"/>
    <n v="0.27"/>
    <s v="DA-X0700"/>
    <x v="78"/>
  </r>
  <r>
    <d v="2023-06-20T00:00:00"/>
    <x v="23"/>
    <s v="Admin/HR/IT"/>
    <s v="AMCARE NonOcc In"/>
    <s v="AMZN"/>
    <n v="112972194"/>
    <s v="Vela Angeles,Fernanda"/>
    <s v="Camarena,Grecia"/>
    <n v="0"/>
    <n v="0"/>
    <n v="0"/>
    <n v="0"/>
    <n v="0.32"/>
    <s v="DB-X0700"/>
    <x v="46"/>
  </r>
  <r>
    <d v="2023-06-20T00:00:00"/>
    <x v="23"/>
    <s v="Admin/HR/IT"/>
    <s v="AMCARE NonOcc In"/>
    <s v="AMZN"/>
    <n v="112980812"/>
    <s v="Jacobo,Mary"/>
    <s v="Gomez,Abinadab"/>
    <n v="0"/>
    <n v="0"/>
    <n v="0"/>
    <n v="0"/>
    <n v="0.38"/>
    <s v="DA-X0700"/>
    <x v="24"/>
  </r>
  <r>
    <d v="2023-06-20T00:00:00"/>
    <x v="23"/>
    <s v="Admin/HR/IT"/>
    <s v="AMCARE NonOcc In"/>
    <s v="AMZN"/>
    <n v="113019039"/>
    <s v="Hernandez Oropeza,Gabriel"/>
    <s v="Piedra,Valentina"/>
    <n v="0"/>
    <n v="0"/>
    <n v="0"/>
    <n v="0"/>
    <n v="0.51"/>
    <e v="#N/A"/>
    <x v="0"/>
  </r>
  <r>
    <d v="2023-06-20T00:00:00"/>
    <x v="23"/>
    <s v="Admin/HR/IT"/>
    <s v="AMCARE NonOcc In"/>
    <s v="TEMP"/>
    <n v="200625528"/>
    <s v="Oliva,Lizbeth"/>
    <s v="Piedra,Valentina"/>
    <n v="0"/>
    <n v="0"/>
    <n v="0"/>
    <n v="0"/>
    <n v="0.22"/>
    <e v="#N/A"/>
    <x v="83"/>
  </r>
  <r>
    <d v="2023-06-20T00:00:00"/>
    <x v="23"/>
    <s v="Admin/HR/IT"/>
    <s v="AMCARE NonOcc In"/>
    <s v="TEMP"/>
    <n v="201198370"/>
    <s v="Hernandez,Briana"/>
    <s v="Ledezma,Fer"/>
    <n v="0"/>
    <n v="0"/>
    <n v="0"/>
    <n v="0"/>
    <n v="0.08"/>
    <e v="#N/A"/>
    <x v="0"/>
  </r>
  <r>
    <d v="2023-06-20T00:00:00"/>
    <x v="23"/>
    <s v="Admin/HR/IT"/>
    <s v="AMCARE NonOcc In"/>
    <s v="TEMP"/>
    <n v="201198979"/>
    <s v="Mendoza,Omar"/>
    <s v="Piedra,Valentina"/>
    <n v="0"/>
    <n v="0"/>
    <n v="0"/>
    <n v="0"/>
    <n v="0.51"/>
    <e v="#N/A"/>
    <x v="0"/>
  </r>
  <r>
    <d v="2023-06-20T00:00:00"/>
    <x v="23"/>
    <s v="Admin/HR/IT"/>
    <s v="AMCARE NonOcc In"/>
    <s v="TEMP"/>
    <n v="201329529"/>
    <s v="Padilla,Pablo"/>
    <s v="Lopez,Alexa"/>
    <n v="0"/>
    <n v="0"/>
    <n v="0"/>
    <n v="0"/>
    <n v="0.55000000000000004"/>
    <e v="#N/A"/>
    <x v="0"/>
  </r>
  <r>
    <d v="2023-06-21T00:00:00"/>
    <x v="23"/>
    <s v="Admin/HR/IT"/>
    <s v="AMCARE NonOcc In"/>
    <s v="AMZN"/>
    <n v="112460895"/>
    <s v="Gutierrez,Karla"/>
    <s v="Velazquez Bustamante,Alejandro"/>
    <n v="0"/>
    <n v="0"/>
    <n v="0"/>
    <n v="0"/>
    <n v="5.46"/>
    <e v="#N/A"/>
    <x v="0"/>
  </r>
  <r>
    <d v="2023-06-21T00:00:00"/>
    <x v="23"/>
    <s v="Admin/HR/IT"/>
    <s v="AMCARE NonOcc In"/>
    <s v="AMZN"/>
    <n v="112920655"/>
    <s v="Diaz de LeÃ³n,Paola"/>
    <s v="Pizana,Diego"/>
    <n v="0"/>
    <n v="0"/>
    <n v="0"/>
    <n v="0"/>
    <n v="1.67"/>
    <e v="#N/A"/>
    <x v="0"/>
  </r>
  <r>
    <d v="2023-06-21T00:00:00"/>
    <x v="23"/>
    <s v="Admin/HR/IT"/>
    <s v="AMCARE NonOcc In"/>
    <s v="AMZN"/>
    <n v="112950795"/>
    <s v="Espinosa Espitia,Ali"/>
    <s v="Munoz,Jonan"/>
    <n v="0"/>
    <n v="0"/>
    <n v="0"/>
    <n v="0"/>
    <n v="0.1"/>
    <s v="DA-X0700"/>
    <x v="78"/>
  </r>
  <r>
    <d v="2023-06-21T00:00:00"/>
    <x v="23"/>
    <s v="Admin/HR/IT"/>
    <s v="AMCARE NonOcc In"/>
    <s v="AMZN"/>
    <n v="112950818"/>
    <s v="Sanchez Banuelos,Edith"/>
    <s v="Piedra,Valentina"/>
    <n v="0"/>
    <n v="0"/>
    <n v="0"/>
    <n v="0"/>
    <n v="0.34"/>
    <s v="DA-X0700"/>
    <x v="95"/>
  </r>
  <r>
    <d v="2023-06-21T00:00:00"/>
    <x v="23"/>
    <s v="Admin/HR/IT"/>
    <s v="AMCARE NonOcc In"/>
    <s v="AMZN"/>
    <n v="112973049"/>
    <s v="Tavares Parra,Ely"/>
    <s v="Madrid Molina,Ramon"/>
    <n v="0"/>
    <n v="0"/>
    <n v="0"/>
    <n v="0"/>
    <n v="0.13"/>
    <s v="DB-X0700"/>
    <x v="14"/>
  </r>
  <r>
    <d v="2023-06-21T00:00:00"/>
    <x v="23"/>
    <s v="Admin/HR/IT"/>
    <s v="AMCARE NonOcc In"/>
    <s v="AMZN"/>
    <n v="112980812"/>
    <s v="Jacobo,Mary"/>
    <s v="Gomez,Abinadab"/>
    <n v="0"/>
    <n v="0"/>
    <n v="0"/>
    <n v="0"/>
    <n v="0.68"/>
    <s v="DA-X0700"/>
    <x v="24"/>
  </r>
  <r>
    <d v="2023-06-21T00:00:00"/>
    <x v="23"/>
    <s v="Admin/HR/IT"/>
    <s v="AMCARE NonOcc In"/>
    <s v="TEMP"/>
    <n v="200552823"/>
    <s v="Aguilar Castaneda,Brian"/>
    <s v="Gomez,Abinadab"/>
    <n v="0"/>
    <n v="0"/>
    <n v="0"/>
    <n v="0"/>
    <n v="0.46"/>
    <e v="#N/A"/>
    <x v="0"/>
  </r>
  <r>
    <d v="2023-06-21T00:00:00"/>
    <x v="23"/>
    <s v="Admin/HR/IT"/>
    <s v="AMCARE NonOcc In"/>
    <s v="TEMP"/>
    <n v="201211157"/>
    <s v="Vargas,Jesse"/>
    <s v="Corona Arriaga,Fernando"/>
    <n v="0"/>
    <n v="0"/>
    <n v="0"/>
    <n v="0"/>
    <n v="0.16"/>
    <e v="#N/A"/>
    <x v="121"/>
  </r>
  <r>
    <d v="2023-06-22T00:00:00"/>
    <x v="23"/>
    <s v="Admin/HR/IT"/>
    <s v="AMCARE NonOcc In"/>
    <s v="AMZN"/>
    <n v="112951256"/>
    <s v="Ramirez Vallejo,Kateryne"/>
    <s v="Pizana,Diego"/>
    <n v="0"/>
    <n v="0"/>
    <n v="0"/>
    <n v="0"/>
    <n v="0.37"/>
    <s v="DA-X0700"/>
    <x v="27"/>
  </r>
  <r>
    <d v="2023-06-22T00:00:00"/>
    <x v="23"/>
    <s v="Admin/HR/IT"/>
    <s v="AMCARE NonOcc In"/>
    <s v="AMZN"/>
    <n v="112971961"/>
    <s v="Lopez,Jason"/>
    <s v="Camarena,Grecia"/>
    <n v="0"/>
    <n v="0"/>
    <n v="0"/>
    <n v="0"/>
    <n v="0.05"/>
    <e v="#N/A"/>
    <x v="0"/>
  </r>
  <r>
    <d v="2023-06-22T00:00:00"/>
    <x v="23"/>
    <s v="Admin/HR/IT"/>
    <s v="AMCARE NonOcc In"/>
    <s v="TEMP"/>
    <n v="200552429"/>
    <s v="Lozornio Martinez,Antonio"/>
    <s v="Lopez,Alexa"/>
    <n v="0"/>
    <n v="0"/>
    <n v="0"/>
    <n v="0"/>
    <n v="0.37"/>
    <e v="#N/A"/>
    <x v="0"/>
  </r>
  <r>
    <d v="2023-06-22T00:00:00"/>
    <x v="23"/>
    <s v="Admin/HR/IT"/>
    <s v="AMCARE NonOcc In"/>
    <s v="TEMP"/>
    <n v="201172306"/>
    <s v="Valdez,CÃ©sar"/>
    <s v="Gomez,Abinadab"/>
    <n v="0"/>
    <n v="0"/>
    <n v="0"/>
    <n v="0"/>
    <n v="0.25"/>
    <e v="#N/A"/>
    <x v="128"/>
  </r>
  <r>
    <d v="2023-06-22T00:00:00"/>
    <x v="23"/>
    <s v="Admin/HR/IT"/>
    <s v="AMCARE NonOcc In"/>
    <s v="TEMP"/>
    <n v="201195215"/>
    <s v="Guzman,Daniel"/>
    <s v="Ledezma,Fer"/>
    <n v="0"/>
    <n v="0"/>
    <n v="0"/>
    <n v="0"/>
    <n v="0.65"/>
    <e v="#N/A"/>
    <x v="172"/>
  </r>
  <r>
    <d v="2023-06-22T00:00:00"/>
    <x v="23"/>
    <s v="Admin/HR/IT"/>
    <s v="AMCARE NonOcc In"/>
    <s v="TEMP"/>
    <n v="201198922"/>
    <s v="Mendez,Joy"/>
    <s v="Gomez Aguado,Jorge"/>
    <n v="0"/>
    <n v="0"/>
    <n v="0"/>
    <n v="0"/>
    <n v="0.13"/>
    <e v="#N/A"/>
    <x v="173"/>
  </r>
  <r>
    <d v="2023-06-22T00:00:00"/>
    <x v="23"/>
    <s v="Admin/HR/IT"/>
    <s v="AMCARE NonOcc In"/>
    <s v="TEMP"/>
    <n v="201360639"/>
    <s v="Rivera,Yael"/>
    <s v="Garcia Espejel,Brenda Victoria"/>
    <n v="0"/>
    <n v="0"/>
    <n v="0"/>
    <n v="0"/>
    <n v="0.26"/>
    <e v="#N/A"/>
    <x v="174"/>
  </r>
  <r>
    <d v="2023-06-23T00:00:00"/>
    <x v="23"/>
    <s v="Admin/HR/IT"/>
    <s v="AMCARE NonOcc In"/>
    <s v="AMZN"/>
    <n v="112950784"/>
    <s v="Rojas,Samuel"/>
    <s v="Pizana,Diego"/>
    <n v="0"/>
    <n v="0"/>
    <n v="0"/>
    <n v="0"/>
    <n v="0.22"/>
    <s v="NF-X1900"/>
    <x v="13"/>
  </r>
  <r>
    <d v="2023-06-23T00:00:00"/>
    <x v="23"/>
    <s v="Admin/HR/IT"/>
    <s v="AMCARE NonOcc In"/>
    <s v="AMZN"/>
    <n v="113020476"/>
    <s v="Puente Aguilar,Polette"/>
    <s v="Madrid Molina,Ramon"/>
    <n v="0"/>
    <n v="0"/>
    <n v="0"/>
    <n v="0"/>
    <n v="0.19"/>
    <e v="#N/A"/>
    <x v="19"/>
  </r>
  <r>
    <d v="2023-06-23T00:00:00"/>
    <x v="23"/>
    <s v="Admin/HR/IT"/>
    <s v="AMCARE NonOcc In"/>
    <s v="TEMP"/>
    <n v="201191390"/>
    <s v="GarcÃ­a,jesus"/>
    <s v="Madrid Molina,Ramon"/>
    <n v="0"/>
    <n v="0"/>
    <n v="0"/>
    <n v="0"/>
    <n v="0.28999999999999998"/>
    <e v="#N/A"/>
    <x v="116"/>
  </r>
  <r>
    <d v="2023-06-23T00:00:00"/>
    <x v="23"/>
    <s v="Admin/HR/IT"/>
    <s v="AMCARE NonOcc In"/>
    <s v="TEMP"/>
    <n v="201354965"/>
    <s v="JimÃ©nez,Aline"/>
    <s v="Lopez,Alexa"/>
    <n v="0"/>
    <n v="0"/>
    <n v="0"/>
    <n v="0"/>
    <n v="0.35"/>
    <e v="#N/A"/>
    <x v="152"/>
  </r>
  <r>
    <d v="2023-06-23T00:00:00"/>
    <x v="23"/>
    <s v="Admin/HR/IT"/>
    <s v="AMCARE NonOcc In"/>
    <s v="TEMP"/>
    <n v="201403462"/>
    <s v="Valdovino,Jorge"/>
    <s v="Corona Arriaga,Fernando"/>
    <n v="0"/>
    <n v="0"/>
    <n v="0"/>
    <n v="0"/>
    <n v="0.14000000000000001"/>
    <e v="#N/A"/>
    <x v="146"/>
  </r>
  <r>
    <d v="2023-06-24T00:00:00"/>
    <x v="23"/>
    <s v="Admin/HR/IT"/>
    <s v="AMCARE NonOcc In"/>
    <s v="AMZN"/>
    <n v="113020476"/>
    <s v="Puente Aguilar,Polette"/>
    <s v="Madrid Molina,Ramon"/>
    <n v="0"/>
    <n v="0"/>
    <n v="0"/>
    <n v="0"/>
    <n v="0.19"/>
    <e v="#N/A"/>
    <x v="19"/>
  </r>
  <r>
    <d v="2023-06-25T00:00:00"/>
    <x v="24"/>
    <s v="Admin/HR/IT"/>
    <s v="AMCARE NonOcc In"/>
    <s v="AMZN"/>
    <n v="113103540"/>
    <s v="Delgado,David"/>
    <s v="Gomez Aguado,Jorge"/>
    <n v="0"/>
    <n v="0"/>
    <n v="0"/>
    <n v="0"/>
    <n v="0.19"/>
    <e v="#N/A"/>
    <x v="105"/>
  </r>
  <r>
    <d v="2023-06-25T00:00:00"/>
    <x v="24"/>
    <s v="Admin/HR/IT"/>
    <s v="AMCARE NonOcc In"/>
    <s v="TEMP"/>
    <n v="201354965"/>
    <s v="JimÃ©nez,Aline"/>
    <s v="Lopez,Alexa"/>
    <n v="0"/>
    <n v="0"/>
    <n v="0"/>
    <n v="0"/>
    <n v="0.12"/>
    <e v="#N/A"/>
    <x v="152"/>
  </r>
  <r>
    <d v="2023-06-25T00:00:00"/>
    <x v="24"/>
    <s v="Admin/HR/IT"/>
    <s v="AMCARE NonOcc In"/>
    <s v="TEMP"/>
    <n v="201403462"/>
    <s v="Valdovino,Jorge"/>
    <s v="Corona Arriaga,Fernando"/>
    <n v="0"/>
    <n v="0"/>
    <n v="0"/>
    <n v="0"/>
    <n v="0.56999999999999995"/>
    <e v="#N/A"/>
    <x v="146"/>
  </r>
  <r>
    <d v="2023-06-25T00:00:00"/>
    <x v="24"/>
    <s v="Admin/HR/IT"/>
    <s v="AMCARE NonOcc In"/>
    <s v="AMZN"/>
    <n v="112980878"/>
    <s v="Romero Escobar,Gerardo"/>
    <s v="Romero Sanchez,Gustavo Gabriel"/>
    <n v="0"/>
    <n v="0"/>
    <n v="0"/>
    <n v="0"/>
    <n v="0.85"/>
    <e v="#N/A"/>
    <x v="0"/>
  </r>
  <r>
    <d v="2023-06-25T00:00:00"/>
    <x v="24"/>
    <s v="Admin/HR/IT"/>
    <s v="AMCARE NonOcc In"/>
    <s v="AMZN"/>
    <n v="113101453"/>
    <s v="Isaac,Geovanna"/>
    <s v="Robledo Ugarte,Alejandro"/>
    <n v="0"/>
    <n v="0"/>
    <n v="0"/>
    <n v="0"/>
    <n v="0.12"/>
    <e v="#N/A"/>
    <x v="4"/>
  </r>
  <r>
    <d v="2023-06-25T00:00:00"/>
    <x v="24"/>
    <s v="Admin/HR/IT"/>
    <s v="AMCARE NonOcc In"/>
    <s v="TEMP"/>
    <n v="200594875"/>
    <s v="Maldonado,Jose"/>
    <s v="Piedra,Valentina"/>
    <n v="0"/>
    <n v="0"/>
    <n v="0"/>
    <n v="0"/>
    <n v="1.37"/>
    <e v="#N/A"/>
    <x v="67"/>
  </r>
  <r>
    <d v="2023-06-25T00:00:00"/>
    <x v="24"/>
    <s v="Admin/HR/IT"/>
    <s v="AMCARE NonOcc In"/>
    <s v="TEMP"/>
    <n v="201191198"/>
    <s v="Mojica,Emmanuel"/>
    <s v="Ledezma,Fer"/>
    <n v="0"/>
    <n v="0"/>
    <n v="0"/>
    <n v="0"/>
    <n v="0.11"/>
    <e v="#N/A"/>
    <x v="130"/>
  </r>
  <r>
    <d v="2023-06-25T00:00:00"/>
    <x v="24"/>
    <s v="Admin/HR/IT"/>
    <s v="AMCARE NonOcc In"/>
    <s v="TEMP"/>
    <n v="201198979"/>
    <s v="Mendoza,Omar"/>
    <s v="Piedra,Valentina"/>
    <n v="0"/>
    <n v="0"/>
    <n v="0"/>
    <n v="0"/>
    <n v="0.05"/>
    <e v="#N/A"/>
    <x v="0"/>
  </r>
  <r>
    <d v="2023-06-25T00:00:00"/>
    <x v="24"/>
    <s v="Admin/HR/IT"/>
    <s v="AMCARE NonOcc In"/>
    <s v="TEMP"/>
    <n v="201201993"/>
    <s v="Olmos,Lucia"/>
    <s v="Piedra,Valentina"/>
    <n v="0"/>
    <n v="0"/>
    <n v="0"/>
    <n v="0"/>
    <n v="0.25"/>
    <e v="#N/A"/>
    <x v="0"/>
  </r>
  <r>
    <d v="2023-06-25T00:00:00"/>
    <x v="24"/>
    <s v="Admin/HR/IT"/>
    <s v="AMCARE NonOcc In"/>
    <s v="TEMP"/>
    <n v="201295432"/>
    <s v="Ortega,Argenis"/>
    <s v="Gomez,Abinadab"/>
    <n v="0"/>
    <n v="0"/>
    <n v="0"/>
    <n v="0"/>
    <n v="0.2"/>
    <e v="#N/A"/>
    <x v="0"/>
  </r>
  <r>
    <d v="2023-06-25T00:00:00"/>
    <x v="24"/>
    <s v="Admin/HR/IT"/>
    <s v="AMCARE NonOcc In"/>
    <s v="TEMP"/>
    <n v="201363254"/>
    <s v="Frausto,Raziel"/>
    <s v="Garcia Espejel,Brenda Victoria"/>
    <n v="0"/>
    <n v="0"/>
    <n v="0"/>
    <n v="0"/>
    <n v="0.22"/>
    <e v="#N/A"/>
    <x v="155"/>
  </r>
  <r>
    <d v="2023-06-25T00:00:00"/>
    <x v="24"/>
    <s v="Admin/HR/IT"/>
    <s v="AMCARE NonOcc In"/>
    <s v="TEMP"/>
    <n v="201402106"/>
    <s v="Hurtado,Mari"/>
    <s v="Bueno Mendoza,Susana"/>
    <n v="0"/>
    <n v="0"/>
    <n v="0"/>
    <n v="0"/>
    <n v="0.1"/>
    <e v="#N/A"/>
    <x v="0"/>
  </r>
  <r>
    <d v="2023-06-26T00:00:00"/>
    <x v="24"/>
    <s v="Admin/HR/IT"/>
    <s v="AMCARE NonOcc In"/>
    <s v="AMZN"/>
    <n v="112950800"/>
    <s v="Muniz,Viri"/>
    <s v="Munoz,Jonan"/>
    <n v="0"/>
    <n v="0"/>
    <n v="0"/>
    <n v="0"/>
    <n v="0.35"/>
    <s v="NF-X1900"/>
    <x v="51"/>
  </r>
  <r>
    <d v="2023-06-26T00:00:00"/>
    <x v="24"/>
    <s v="Admin/HR/IT"/>
    <s v="AMCARE NonOcc In"/>
    <s v="AMZN"/>
    <n v="113040582"/>
    <s v="HDZ,DEMON"/>
    <s v="Robledo Ugarte,Alejandro"/>
    <n v="0"/>
    <n v="0"/>
    <n v="0"/>
    <n v="0"/>
    <n v="0.15"/>
    <e v="#N/A"/>
    <x v="63"/>
  </r>
  <r>
    <d v="2023-06-26T00:00:00"/>
    <x v="24"/>
    <s v="Admin/HR/IT"/>
    <s v="AMCARE NonOcc In"/>
    <s v="TEMP"/>
    <n v="200553205"/>
    <s v="Cabrera,Nancy"/>
    <s v="Romero Sanchez,Gustavo Gabriel"/>
    <n v="0"/>
    <n v="0"/>
    <n v="0"/>
    <n v="0"/>
    <n v="0.17"/>
    <e v="#N/A"/>
    <x v="0"/>
  </r>
  <r>
    <d v="2023-06-26T00:00:00"/>
    <x v="24"/>
    <s v="Admin/HR/IT"/>
    <s v="AMCARE NonOcc In"/>
    <s v="TEMP"/>
    <n v="200625528"/>
    <s v="Oliva,Lizbeth"/>
    <s v="Piedra,Valentina"/>
    <n v="0"/>
    <n v="0"/>
    <n v="0"/>
    <n v="0"/>
    <n v="0.08"/>
    <e v="#N/A"/>
    <x v="83"/>
  </r>
  <r>
    <d v="2023-06-26T00:00:00"/>
    <x v="24"/>
    <s v="Admin/HR/IT"/>
    <s v="AMCARE NonOcc In"/>
    <s v="TEMP"/>
    <n v="201172306"/>
    <s v="Valdez,CÃ©sar"/>
    <s v="Gomez,Abinadab"/>
    <n v="0"/>
    <n v="0"/>
    <n v="0"/>
    <n v="0"/>
    <n v="0.23"/>
    <e v="#N/A"/>
    <x v="128"/>
  </r>
  <r>
    <d v="2023-06-26T00:00:00"/>
    <x v="24"/>
    <s v="Admin/HR/IT"/>
    <s v="AMCARE NonOcc In"/>
    <s v="TEMP"/>
    <n v="201354931"/>
    <s v="Vargas Quezada,Gibran"/>
    <s v="Garcia Espejel,Brenda Victoria"/>
    <n v="0"/>
    <n v="0"/>
    <n v="0"/>
    <n v="0"/>
    <n v="0.44"/>
    <e v="#N/A"/>
    <x v="0"/>
  </r>
  <r>
    <d v="2023-06-26T00:00:00"/>
    <x v="24"/>
    <s v="Admin/HR/IT"/>
    <s v="AMCARE NonOcc In"/>
    <s v="TEMP"/>
    <n v="201355525"/>
    <s v="Hernandez,Gael"/>
    <s v="Munoz,Jonan"/>
    <n v="0"/>
    <n v="0"/>
    <n v="0"/>
    <n v="0"/>
    <n v="1.35"/>
    <e v="#N/A"/>
    <x v="0"/>
  </r>
  <r>
    <d v="2023-06-27T00:00:00"/>
    <x v="24"/>
    <s v="Admin/HR/IT"/>
    <s v="AMCARE NonOcc In"/>
    <s v="AMZN"/>
    <n v="113014470"/>
    <s v="Aguilar Ibarra,Lupe"/>
    <s v="Robledo Ugarte,Alejandro"/>
    <n v="0"/>
    <n v="0"/>
    <n v="0"/>
    <n v="0"/>
    <n v="0.38"/>
    <e v="#N/A"/>
    <x v="30"/>
  </r>
  <r>
    <d v="2023-06-27T00:00:00"/>
    <x v="24"/>
    <s v="Admin/HR/IT"/>
    <s v="AMCARE NonOcc In"/>
    <s v="AMZN"/>
    <n v="200404250"/>
    <s v="Hurtado,Caty"/>
    <s v="Romero Sanchez,Gustavo Gabriel"/>
    <n v="0"/>
    <n v="0"/>
    <n v="0"/>
    <n v="0"/>
    <n v="0.42"/>
    <e v="#N/A"/>
    <x v="6"/>
  </r>
  <r>
    <d v="2023-06-27T00:00:00"/>
    <x v="24"/>
    <s v="Admin/HR/IT"/>
    <s v="AMCARE NonOcc In"/>
    <s v="TEMP"/>
    <n v="200564895"/>
    <s v="Mendoza Corona,Brianda"/>
    <s v="Robledo Ugarte,Alejandro"/>
    <n v="0"/>
    <n v="0"/>
    <n v="0"/>
    <n v="0"/>
    <n v="0.28000000000000003"/>
    <e v="#N/A"/>
    <x v="64"/>
  </r>
  <r>
    <d v="2023-06-27T00:00:00"/>
    <x v="24"/>
    <s v="Admin/HR/IT"/>
    <s v="AMCARE NonOcc In"/>
    <s v="TEMP"/>
    <n v="201320388"/>
    <s v="Pena,Laura"/>
    <s v="Robledo Ugarte,Alejandro"/>
    <n v="0"/>
    <n v="0"/>
    <n v="0"/>
    <n v="0"/>
    <n v="0.45"/>
    <e v="#N/A"/>
    <x v="0"/>
  </r>
  <r>
    <d v="2023-06-27T00:00:00"/>
    <x v="24"/>
    <s v="Admin/HR/IT"/>
    <s v="AMCARE NonOcc In"/>
    <s v="TEMP"/>
    <n v="201329529"/>
    <s v="Padilla,Pablo"/>
    <s v="Lopez,Alexa"/>
    <n v="0"/>
    <n v="0"/>
    <n v="0"/>
    <n v="0"/>
    <n v="0.26"/>
    <e v="#N/A"/>
    <x v="0"/>
  </r>
  <r>
    <d v="2023-06-27T00:00:00"/>
    <x v="24"/>
    <s v="Admin/HR/IT"/>
    <s v="AMCARE NonOcc In"/>
    <s v="TEMP"/>
    <n v="201345774"/>
    <s v="Quijas,Jonathan"/>
    <s v="Robledo Ugarte,Alejandro"/>
    <n v="0"/>
    <n v="0"/>
    <n v="0"/>
    <n v="0"/>
    <n v="0.28999999999999998"/>
    <e v="#N/A"/>
    <x v="154"/>
  </r>
  <r>
    <d v="2023-06-28T00:00:00"/>
    <x v="24"/>
    <s v="Admin/HR/IT"/>
    <s v="AMCARE NonOcc In"/>
    <s v="AMZN"/>
    <n v="112912663"/>
    <s v="Segura,Lucero"/>
    <s v="Munoz,Jonan"/>
    <n v="0"/>
    <n v="0"/>
    <n v="0"/>
    <n v="0"/>
    <n v="0.74"/>
    <e v="#N/A"/>
    <x v="0"/>
  </r>
  <r>
    <d v="2023-06-28T00:00:00"/>
    <x v="24"/>
    <s v="Admin/HR/IT"/>
    <s v="AMCARE NonOcc In"/>
    <s v="AMZN"/>
    <n v="112980847"/>
    <s v="Reyes,Jose"/>
    <s v="Gomez,Abinadab"/>
    <n v="0"/>
    <n v="0"/>
    <n v="0"/>
    <n v="0"/>
    <n v="1.08"/>
    <e v="#N/A"/>
    <x v="0"/>
  </r>
  <r>
    <d v="2023-06-28T00:00:00"/>
    <x v="24"/>
    <s v="Admin/HR/IT"/>
    <s v="AMCARE NonOcc In"/>
    <s v="AMZN"/>
    <n v="113101453"/>
    <s v="Isaac,Geovanna"/>
    <s v="Robledo Ugarte,Alejandro"/>
    <n v="0"/>
    <n v="0"/>
    <n v="0"/>
    <n v="0"/>
    <n v="7.0000000000000007E-2"/>
    <e v="#N/A"/>
    <x v="4"/>
  </r>
  <r>
    <d v="2023-06-28T00:00:00"/>
    <x v="24"/>
    <s v="Admin/HR/IT"/>
    <s v="AMCARE NonOcc In"/>
    <s v="AMZN"/>
    <n v="113138338"/>
    <s v="Cornejo,Cesar"/>
    <s v="Pizana,Diego"/>
    <n v="0"/>
    <n v="0"/>
    <n v="0"/>
    <n v="0"/>
    <n v="2.12"/>
    <e v="#N/A"/>
    <x v="39"/>
  </r>
  <r>
    <d v="2023-06-28T00:00:00"/>
    <x v="24"/>
    <s v="Admin/HR/IT"/>
    <s v="AMCARE NonOcc In"/>
    <s v="TEMP"/>
    <n v="200615883"/>
    <s v="Ibarra Amaro,Adriana"/>
    <s v="Gomez Aguado,Jorge"/>
    <n v="0"/>
    <n v="0"/>
    <n v="0"/>
    <n v="0"/>
    <n v="0.12"/>
    <e v="#N/A"/>
    <x v="0"/>
  </r>
  <r>
    <d v="2023-06-28T00:00:00"/>
    <x v="24"/>
    <s v="Admin/HR/IT"/>
    <s v="AMCARE NonOcc In"/>
    <s v="TEMP"/>
    <n v="201201993"/>
    <s v="Olmos,Lucia"/>
    <s v="Bueno Mendoza,Susana"/>
    <n v="0"/>
    <n v="0"/>
    <n v="0"/>
    <n v="0"/>
    <n v="0.53"/>
    <e v="#N/A"/>
    <x v="0"/>
  </r>
  <r>
    <d v="2023-06-29T00:00:00"/>
    <x v="24"/>
    <s v="Admin/HR/IT"/>
    <s v="AMCARE NonOcc In"/>
    <s v="TEMP"/>
    <n v="112912747"/>
    <s v="Velasco,Cristina"/>
    <s v="Lopez,Alexa"/>
    <n v="0"/>
    <n v="0"/>
    <n v="0"/>
    <n v="0"/>
    <n v="0.28999999999999998"/>
    <e v="#N/A"/>
    <x v="0"/>
  </r>
  <r>
    <d v="2023-06-29T00:00:00"/>
    <x v="24"/>
    <s v="Admin/HR/IT"/>
    <s v="AMCARE NonOcc In"/>
    <s v="AMZN"/>
    <n v="112971962"/>
    <s v="Reyes  Montes de oca,Alejandra"/>
    <s v="Ledezma,Fer"/>
    <n v="0"/>
    <n v="0"/>
    <n v="0"/>
    <n v="0"/>
    <n v="0.18"/>
    <s v="DB-X0700"/>
    <x v="26"/>
  </r>
  <r>
    <d v="2023-06-29T00:00:00"/>
    <x v="24"/>
    <s v="Admin/HR/IT"/>
    <s v="AMCARE NonOcc In"/>
    <s v="AMZN"/>
    <n v="112971980"/>
    <s v="Romero,Daniel"/>
    <s v="Pizana,Diego"/>
    <n v="0"/>
    <n v="0"/>
    <n v="0"/>
    <n v="0"/>
    <n v="0.31"/>
    <s v="DC-X0700"/>
    <x v="43"/>
  </r>
  <r>
    <d v="2023-06-29T00:00:00"/>
    <x v="24"/>
    <s v="Admin/HR/IT"/>
    <s v="AMCARE NonOcc In"/>
    <s v="AMZN"/>
    <n v="112973049"/>
    <s v="Tavares Parra,Ely"/>
    <s v="Madrid Molina,Ramon"/>
    <n v="0"/>
    <n v="0"/>
    <n v="0"/>
    <n v="0"/>
    <n v="0.65"/>
    <s v="DB-X0700"/>
    <x v="14"/>
  </r>
  <r>
    <d v="2023-06-29T00:00:00"/>
    <x v="24"/>
    <s v="Admin/HR/IT"/>
    <s v="AMCARE NonOcc In"/>
    <s v="AMZN"/>
    <n v="112981061"/>
    <s v="Olguin,Claudia"/>
    <s v="Robledo Ugarte,Alejandro"/>
    <n v="0"/>
    <n v="0"/>
    <n v="0"/>
    <n v="0"/>
    <n v="0.11"/>
    <s v="DA-X0700"/>
    <x v="11"/>
  </r>
  <r>
    <d v="2023-06-29T00:00:00"/>
    <x v="24"/>
    <s v="Admin/HR/IT"/>
    <s v="AMCARE NonOcc In"/>
    <s v="AMZN"/>
    <n v="113020476"/>
    <s v="Puente Aguilar,Polette"/>
    <s v="Madrid Molina,Ramon"/>
    <n v="0"/>
    <n v="0"/>
    <n v="0"/>
    <n v="0"/>
    <n v="0.16"/>
    <e v="#N/A"/>
    <x v="19"/>
  </r>
  <r>
    <d v="2023-06-29T00:00:00"/>
    <x v="24"/>
    <s v="Admin/HR/IT"/>
    <s v="AMCARE NonOcc In"/>
    <s v="AMZN"/>
    <n v="113101453"/>
    <s v="Isaac,Geovanna"/>
    <s v="Robledo Ugarte,Alejandro"/>
    <n v="0"/>
    <n v="0"/>
    <n v="0"/>
    <n v="0"/>
    <n v="0.14000000000000001"/>
    <e v="#N/A"/>
    <x v="4"/>
  </r>
  <r>
    <d v="2023-06-29T00:00:00"/>
    <x v="24"/>
    <s v="Admin/HR/IT"/>
    <s v="AMCARE NonOcc In"/>
    <s v="AMZN"/>
    <n v="113138338"/>
    <s v="Cornejo,Cesar"/>
    <s v="Pizana,Diego"/>
    <n v="0"/>
    <n v="0"/>
    <n v="0"/>
    <n v="0"/>
    <n v="1.58"/>
    <e v="#N/A"/>
    <x v="39"/>
  </r>
  <r>
    <d v="2023-06-29T00:00:00"/>
    <x v="24"/>
    <s v="Admin/HR/IT"/>
    <s v="AMCARE NonOcc In"/>
    <s v="TEMP"/>
    <n v="201211157"/>
    <s v="Vargas,Jesse"/>
    <s v="Cortes,Alejandra"/>
    <n v="0"/>
    <n v="0"/>
    <n v="0"/>
    <n v="0"/>
    <n v="0.73"/>
    <e v="#N/A"/>
    <x v="121"/>
  </r>
  <r>
    <d v="2023-06-29T00:00:00"/>
    <x v="24"/>
    <s v="Admin/HR/IT"/>
    <s v="AMCARE NonOcc In"/>
    <s v="TEMP"/>
    <n v="201377831"/>
    <s v="Martinez,Fernando"/>
    <s v="Madrid Molina,Ramon"/>
    <n v="0"/>
    <n v="0"/>
    <n v="0"/>
    <n v="0"/>
    <n v="0.28999999999999998"/>
    <e v="#N/A"/>
    <x v="0"/>
  </r>
  <r>
    <d v="2023-06-29T00:00:00"/>
    <x v="24"/>
    <s v="Admin/HR/IT"/>
    <s v="AMCARE NonOcc In"/>
    <s v="TEMP"/>
    <n v="201403462"/>
    <s v="Valdovino,Jorge"/>
    <s v="Corona Arriaga,Fernando"/>
    <n v="0"/>
    <n v="0"/>
    <n v="0"/>
    <n v="0"/>
    <n v="1.25"/>
    <e v="#N/A"/>
    <x v="146"/>
  </r>
  <r>
    <d v="2023-06-29T00:00:00"/>
    <x v="24"/>
    <s v="Admin/HR/IT"/>
    <s v="AMCARE NonOcc In"/>
    <s v="TEMP"/>
    <n v="201409070"/>
    <s v="Hernandez,Estefania"/>
    <s v="Gomez Aguado,Jorge"/>
    <n v="0"/>
    <n v="0"/>
    <n v="0"/>
    <n v="0"/>
    <n v="0.26"/>
    <e v="#N/A"/>
    <x v="0"/>
  </r>
  <r>
    <d v="2023-06-30T00:00:00"/>
    <x v="24"/>
    <s v="Admin/HR/IT"/>
    <s v="AMCARE NonOcc In"/>
    <s v="AMZN"/>
    <n v="112951256"/>
    <s v="Ramirez Vallejo,Kateryne"/>
    <s v="Pizana,Diego"/>
    <n v="0"/>
    <n v="0"/>
    <n v="0"/>
    <n v="0"/>
    <n v="0.24"/>
    <s v="DA-X0700"/>
    <x v="27"/>
  </r>
  <r>
    <d v="2023-06-30T00:00:00"/>
    <x v="24"/>
    <s v="Admin/HR/IT"/>
    <s v="AMCARE NonOcc In"/>
    <s v="AMZN"/>
    <n v="112971953"/>
    <s v="Aguirre Palomino,Ana"/>
    <s v="Pizana,Diego"/>
    <n v="0"/>
    <n v="0"/>
    <n v="0"/>
    <n v="0"/>
    <n v="1.35"/>
    <s v="DB-X0700"/>
    <x v="7"/>
  </r>
  <r>
    <d v="2023-06-30T00:00:00"/>
    <x v="24"/>
    <s v="Admin/HR/IT"/>
    <s v="AMCARE NonOcc In"/>
    <s v="AMZN"/>
    <n v="112971980"/>
    <s v="Romero,Daniel"/>
    <s v="Pizana,Diego"/>
    <n v="0"/>
    <n v="0"/>
    <n v="0"/>
    <n v="0"/>
    <n v="0.59"/>
    <s v="DC-X0700"/>
    <x v="43"/>
  </r>
  <r>
    <d v="2023-06-30T00:00:00"/>
    <x v="24"/>
    <s v="Admin/HR/IT"/>
    <s v="AMCARE NonOcc In"/>
    <s v="AMZN"/>
    <n v="112973049"/>
    <s v="Tavares Parra,Ely"/>
    <s v="Madrid Molina,Ramon"/>
    <n v="0"/>
    <n v="0"/>
    <n v="0"/>
    <n v="0"/>
    <n v="0.46"/>
    <s v="DB-X0700"/>
    <x v="14"/>
  </r>
  <r>
    <d v="2023-06-30T00:00:00"/>
    <x v="24"/>
    <s v="Admin/HR/IT"/>
    <s v="AMCARE NonOcc In"/>
    <s v="AMZN"/>
    <n v="113003510"/>
    <s v="PÃ©rez MÃ©ndez,Cecy"/>
    <s v="Gomez Aguado,Jorge"/>
    <n v="0"/>
    <n v="0"/>
    <n v="0"/>
    <n v="0"/>
    <n v="0.09"/>
    <e v="#N/A"/>
    <x v="115"/>
  </r>
  <r>
    <d v="2023-06-30T00:00:00"/>
    <x v="24"/>
    <s v="Admin/HR/IT"/>
    <s v="AMCARE NonOcc In"/>
    <s v="AMZN"/>
    <n v="113020476"/>
    <s v="Puente Aguilar,Polette"/>
    <s v="Madrid Molina,Ramon"/>
    <n v="0"/>
    <n v="0"/>
    <n v="0"/>
    <n v="0"/>
    <n v="0.09"/>
    <e v="#N/A"/>
    <x v="19"/>
  </r>
  <r>
    <d v="2023-06-30T00:00:00"/>
    <x v="24"/>
    <s v="Admin/HR/IT"/>
    <s v="AMCARE NonOcc In"/>
    <s v="AMZN"/>
    <n v="200552734"/>
    <s v="Santiago Ramirez,Six"/>
    <s v="Madrid Molina,Ramon"/>
    <n v="0"/>
    <n v="0"/>
    <n v="0"/>
    <n v="0"/>
    <n v="0.98"/>
    <e v="#N/A"/>
    <x v="0"/>
  </r>
  <r>
    <d v="2023-06-30T00:00:00"/>
    <x v="24"/>
    <s v="Admin/HR/IT"/>
    <s v="AMCARE NonOcc In"/>
    <s v="TEMP"/>
    <n v="201191198"/>
    <s v="Mojica,Emmanuel"/>
    <s v="Ledezma,Fer"/>
    <n v="0"/>
    <n v="0"/>
    <n v="0"/>
    <n v="0"/>
    <n v="0.72"/>
    <e v="#N/A"/>
    <x v="130"/>
  </r>
  <r>
    <d v="2023-06-30T00:00:00"/>
    <x v="24"/>
    <s v="Admin/HR/IT"/>
    <s v="AMCARE NonOcc In"/>
    <s v="TEMP"/>
    <n v="201198922"/>
    <s v="Mendez,Joy"/>
    <s v="Gomez Aguado,Jorge"/>
    <n v="0"/>
    <n v="0"/>
    <n v="0"/>
    <n v="0"/>
    <n v="0.71"/>
    <e v="#N/A"/>
    <x v="173"/>
  </r>
  <r>
    <d v="2023-06-30T00:00:00"/>
    <x v="24"/>
    <s v="Admin/HR/IT"/>
    <s v="AMCARE NonOcc In"/>
    <s v="TEMP"/>
    <n v="201198979"/>
    <s v="Mendoza,Omar"/>
    <s v="Piedra,Valentina"/>
    <n v="0"/>
    <n v="0"/>
    <n v="0"/>
    <n v="0"/>
    <n v="0.38"/>
    <e v="#N/A"/>
    <x v="0"/>
  </r>
  <r>
    <d v="2023-06-30T00:00:00"/>
    <x v="24"/>
    <s v="Admin/HR/IT"/>
    <s v="AMCARE NonOcc In"/>
    <s v="TEMP"/>
    <n v="201298204"/>
    <s v="Gonzalez,Mayra"/>
    <s v="Gomez Aguado,Jorge"/>
    <n v="0"/>
    <n v="0"/>
    <n v="0"/>
    <n v="0"/>
    <n v="0.39"/>
    <e v="#N/A"/>
    <x v="0"/>
  </r>
  <r>
    <d v="2023-06-30T00:00:00"/>
    <x v="24"/>
    <s v="Admin/HR/IT"/>
    <s v="AMCARE NonOcc In"/>
    <s v="TEMP"/>
    <n v="201329332"/>
    <s v="Navarro Ortega,Pablo"/>
    <s v="Corona Arriaga,Fernando"/>
    <n v="0"/>
    <n v="0"/>
    <n v="0"/>
    <n v="0"/>
    <n v="0.12"/>
    <e v="#N/A"/>
    <x v="0"/>
  </r>
  <r>
    <d v="2023-07-01T00:00:00"/>
    <x v="24"/>
    <s v="Admin/HR/IT"/>
    <s v="AMCARE NonOcc In"/>
    <s v="AMZN"/>
    <n v="112920678"/>
    <s v="Perez  Hernandez,Angel"/>
    <s v="Pizana,Diego"/>
    <n v="0"/>
    <n v="0"/>
    <n v="0"/>
    <n v="0"/>
    <n v="0.02"/>
    <s v="DB-X0700"/>
    <x v="175"/>
  </r>
  <r>
    <d v="2023-07-01T00:00:00"/>
    <x v="24"/>
    <s v="Admin/HR/IT"/>
    <s v="AMCARE NonOcc In"/>
    <s v="AMZN"/>
    <n v="112972521"/>
    <s v="Perez,Ronny"/>
    <s v="Rosas Negrete,Sebastian"/>
    <n v="0"/>
    <n v="0"/>
    <n v="0"/>
    <n v="0"/>
    <n v="0.26"/>
    <s v="DB-X0700"/>
    <x v="176"/>
  </r>
  <r>
    <d v="2023-07-01T00:00:00"/>
    <x v="24"/>
    <s v="Admin/HR/IT"/>
    <s v="AMCARE NonOcc In"/>
    <s v="AMZN"/>
    <n v="112991248"/>
    <s v="Cabrera Velazquez,Sandy"/>
    <s v="Madrid Molina,Ramon"/>
    <n v="0"/>
    <n v="0"/>
    <n v="0"/>
    <n v="0"/>
    <n v="0.71"/>
    <e v="#N/A"/>
    <x v="0"/>
  </r>
  <r>
    <d v="2023-07-01T00:00:00"/>
    <x v="24"/>
    <s v="Admin/HR/IT"/>
    <s v="AMCARE NonOcc In"/>
    <s v="TEMP"/>
    <n v="200508323"/>
    <s v="Espejel Lopez,Emmanuel"/>
    <s v="Ledezma,Fer"/>
    <n v="0"/>
    <n v="0"/>
    <n v="0"/>
    <n v="0"/>
    <n v="0.09"/>
    <e v="#N/A"/>
    <x v="177"/>
  </r>
  <r>
    <d v="2023-07-01T00:00:00"/>
    <x v="24"/>
    <s v="Admin/HR/IT"/>
    <s v="AMCARE NonOcc In"/>
    <s v="TEMP"/>
    <n v="201212196"/>
    <s v="Juarez,Angel"/>
    <s v="Ledezma,Fer"/>
    <n v="0"/>
    <n v="0"/>
    <n v="0"/>
    <n v="0"/>
    <n v="0.1"/>
    <e v="#N/A"/>
    <x v="0"/>
  </r>
  <r>
    <d v="2023-07-01T00:00:00"/>
    <x v="24"/>
    <s v="Admin/HR/IT"/>
    <s v="AMCARE NonOcc In"/>
    <s v="TEMP"/>
    <n v="201318227"/>
    <s v="Rayas,Hilda"/>
    <s v="Gomez Aguado,Jorge"/>
    <n v="0"/>
    <n v="0"/>
    <n v="0"/>
    <n v="0"/>
    <n v="4.38"/>
    <e v="#N/A"/>
    <x v="0"/>
  </r>
  <r>
    <d v="2023-07-01T00:00:00"/>
    <x v="24"/>
    <s v="Admin/HR/IT"/>
    <s v="AMCARE NonOcc In"/>
    <s v="TEMP"/>
    <n v="201401654"/>
    <s v="Garcia,Karen"/>
    <s v="Corona Arriaga,Fernando"/>
    <n v="0"/>
    <n v="0"/>
    <n v="0"/>
    <n v="0"/>
    <n v="0.64"/>
    <e v="#N/A"/>
    <x v="0"/>
  </r>
  <r>
    <d v="2023-07-02T00:00:00"/>
    <x v="25"/>
    <s v="Admin/HR/IT"/>
    <s v="AMCARE NonOcc In"/>
    <s v="TEMP"/>
    <n v="112912007"/>
    <s v="Robledo Barrientos,Alondra"/>
    <s v="Gomez,Abinadab"/>
    <n v="0"/>
    <n v="0"/>
    <n v="0"/>
    <n v="0"/>
    <n v="0.34"/>
    <e v="#N/A"/>
    <x v="0"/>
  </r>
  <r>
    <d v="2023-07-02T00:00:00"/>
    <x v="25"/>
    <s v="Admin/HR/IT"/>
    <s v="AMCARE NonOcc In"/>
    <s v="AMZN"/>
    <n v="112912507"/>
    <s v="Velazquez,Charlie"/>
    <s v="Munoz,Jonan"/>
    <n v="0"/>
    <n v="0"/>
    <n v="0"/>
    <n v="0"/>
    <n v="0.2"/>
    <s v="DA-X0700"/>
    <x v="102"/>
  </r>
  <r>
    <d v="2023-07-02T00:00:00"/>
    <x v="25"/>
    <s v="Admin/HR/IT"/>
    <s v="AMCARE NonOcc In"/>
    <s v="AMZN"/>
    <n v="112912663"/>
    <s v="Segura,Lucero"/>
    <s v="Munoz,Jonan"/>
    <n v="0"/>
    <n v="0"/>
    <n v="0"/>
    <n v="0"/>
    <n v="0.79"/>
    <e v="#N/A"/>
    <x v="0"/>
  </r>
  <r>
    <d v="2023-07-02T00:00:00"/>
    <x v="25"/>
    <s v="Admin/HR/IT"/>
    <s v="AMCARE NonOcc In"/>
    <s v="AMZN"/>
    <n v="112980847"/>
    <s v="Reyes,Jose"/>
    <s v="Gomez,Abinadab"/>
    <n v="0"/>
    <n v="0"/>
    <n v="0"/>
    <n v="0"/>
    <n v="0.21"/>
    <e v="#N/A"/>
    <x v="0"/>
  </r>
  <r>
    <d v="2023-07-02T00:00:00"/>
    <x v="25"/>
    <s v="Admin/HR/IT"/>
    <s v="AMCARE NonOcc In"/>
    <s v="TEMP"/>
    <n v="201172306"/>
    <s v="Valdez,CÃ©sar"/>
    <s v="Gomez,Abinadab"/>
    <n v="0"/>
    <n v="0"/>
    <n v="0"/>
    <n v="0"/>
    <n v="0.03"/>
    <e v="#N/A"/>
    <x v="128"/>
  </r>
  <r>
    <d v="2023-07-02T00:00:00"/>
    <x v="25"/>
    <s v="Admin/HR/IT"/>
    <s v="AMCARE NonOcc In"/>
    <s v="TEMP"/>
    <n v="201198979"/>
    <s v="Mendoza,Omar"/>
    <s v="Piedra,Valentina"/>
    <n v="0"/>
    <n v="0"/>
    <n v="0"/>
    <n v="0"/>
    <n v="0.23"/>
    <e v="#N/A"/>
    <x v="0"/>
  </r>
  <r>
    <d v="2023-07-02T00:00:00"/>
    <x v="25"/>
    <s v="Admin/HR/IT"/>
    <s v="AMCARE NonOcc In"/>
    <s v="TEMP"/>
    <n v="201201993"/>
    <s v="Olmos,Lucia"/>
    <s v="Bueno Mendoza,Susana"/>
    <n v="0"/>
    <n v="0"/>
    <n v="0"/>
    <n v="0"/>
    <n v="0.27"/>
    <e v="#N/A"/>
    <x v="0"/>
  </r>
  <r>
    <d v="2023-07-02T00:00:00"/>
    <x v="25"/>
    <s v="Admin/HR/IT"/>
    <s v="AMCARE NonOcc In"/>
    <s v="TEMP"/>
    <n v="201294405"/>
    <s v="Rojas,Catherine"/>
    <s v="Gomez,Abinadab"/>
    <n v="0"/>
    <n v="0"/>
    <n v="0"/>
    <n v="0"/>
    <n v="0.18"/>
    <e v="#N/A"/>
    <x v="0"/>
  </r>
  <r>
    <d v="2023-07-02T00:00:00"/>
    <x v="25"/>
    <s v="Admin/HR/IT"/>
    <s v="AMCARE NonOcc In"/>
    <s v="TEMP"/>
    <n v="201378614"/>
    <s v="Meza,Fernando"/>
    <s v="Bueno Mendoza,Susana"/>
    <n v="0"/>
    <n v="0"/>
    <n v="0"/>
    <n v="0"/>
    <n v="0.09"/>
    <e v="#N/A"/>
    <x v="0"/>
  </r>
  <r>
    <d v="2023-07-02T00:00:00"/>
    <x v="25"/>
    <s v="Admin/HR/IT"/>
    <s v="AMCARE NonOcc In"/>
    <s v="TEMP"/>
    <n v="201402216"/>
    <s v="Navia,Victor"/>
    <s v="Bueno Mendoza,Susana"/>
    <n v="0"/>
    <n v="0"/>
    <n v="0"/>
    <n v="0"/>
    <n v="0.16"/>
    <e v="#N/A"/>
    <x v="0"/>
  </r>
  <r>
    <d v="2023-07-03T00:00:00"/>
    <x v="25"/>
    <s v="Admin/HR/IT"/>
    <s v="AMCARE NonOcc In"/>
    <s v="AMZN"/>
    <n v="112950807"/>
    <s v="Sanchez Lira,Aaron"/>
    <s v="Garcia Espejel,Brenda Victoria"/>
    <n v="0"/>
    <n v="0"/>
    <n v="0"/>
    <n v="0"/>
    <n v="0.61"/>
    <s v="DA-X0700"/>
    <x v="112"/>
  </r>
  <r>
    <d v="2023-07-03T00:00:00"/>
    <x v="25"/>
    <s v="Admin/HR/IT"/>
    <s v="AMCARE NonOcc In"/>
    <s v="AMZN"/>
    <n v="112955736"/>
    <s v="Cuevas,Lalo"/>
    <s v="Garcia Espejel,Brenda Victoria"/>
    <n v="0"/>
    <n v="0"/>
    <n v="0"/>
    <n v="0"/>
    <n v="0.12"/>
    <s v="DA-X0700"/>
    <x v="133"/>
  </r>
  <r>
    <d v="2023-07-03T00:00:00"/>
    <x v="25"/>
    <s v="Admin/HR/IT"/>
    <s v="AMCARE NonOcc In"/>
    <s v="AMZN"/>
    <n v="112980847"/>
    <s v="Reyes,Jose"/>
    <s v="Gomez,Abinadab"/>
    <n v="0"/>
    <n v="0"/>
    <n v="0"/>
    <n v="0"/>
    <n v="0.37"/>
    <e v="#N/A"/>
    <x v="0"/>
  </r>
  <r>
    <d v="2023-07-03T00:00:00"/>
    <x v="25"/>
    <s v="Admin/HR/IT"/>
    <s v="AMCARE NonOcc In"/>
    <s v="AMZN"/>
    <n v="113014403"/>
    <s v="Arias Sanchez,Nora"/>
    <s v="Romero Sanchez,Gustavo Gabriel"/>
    <n v="0"/>
    <n v="0"/>
    <n v="0"/>
    <n v="0"/>
    <n v="0.17"/>
    <e v="#N/A"/>
    <x v="32"/>
  </r>
  <r>
    <d v="2023-07-03T00:00:00"/>
    <x v="25"/>
    <s v="Admin/HR/IT"/>
    <s v="AMCARE NonOcc In"/>
    <s v="AMZN"/>
    <n v="200404250"/>
    <s v="Hurtado,Caty"/>
    <s v="Romero Sanchez,Gustavo Gabriel"/>
    <n v="0"/>
    <n v="0"/>
    <n v="0"/>
    <n v="0"/>
    <n v="0.44"/>
    <e v="#N/A"/>
    <x v="6"/>
  </r>
  <r>
    <d v="2023-07-03T00:00:00"/>
    <x v="25"/>
    <s v="Admin/HR/IT"/>
    <s v="AMCARE NonOcc In"/>
    <s v="AMZN"/>
    <n v="200614224"/>
    <s v="Cruz Hernandez,Cris"/>
    <s v="Ledezma,Fer"/>
    <n v="0"/>
    <n v="0"/>
    <n v="0"/>
    <n v="0"/>
    <n v="0.12"/>
    <e v="#N/A"/>
    <x v="0"/>
  </r>
  <r>
    <d v="2023-07-03T00:00:00"/>
    <x v="25"/>
    <s v="Admin/HR/IT"/>
    <s v="AMCARE NonOcc In"/>
    <s v="TEMP"/>
    <n v="201198979"/>
    <s v="Mendoza,Omar"/>
    <s v="Piedra,Valentina"/>
    <n v="0"/>
    <n v="0"/>
    <n v="0"/>
    <n v="0"/>
    <n v="0.49"/>
    <e v="#N/A"/>
    <x v="0"/>
  </r>
  <r>
    <d v="2023-07-03T00:00:00"/>
    <x v="25"/>
    <s v="Admin/HR/IT"/>
    <s v="AMCARE NonOcc In"/>
    <s v="TEMP"/>
    <n v="201298365"/>
    <s v="Hernandez,Lesli"/>
    <s v="Gomez,Abinadab"/>
    <n v="0"/>
    <n v="0"/>
    <n v="0"/>
    <n v="0"/>
    <n v="0.56000000000000005"/>
    <e v="#N/A"/>
    <x v="178"/>
  </r>
  <r>
    <d v="2023-07-03T00:00:00"/>
    <x v="25"/>
    <s v="Admin/HR/IT"/>
    <s v="AMCARE NonOcc In"/>
    <s v="TEMP"/>
    <n v="201314835"/>
    <s v="Guzman,Janeth"/>
    <s v="Lopez,Alexa"/>
    <n v="0"/>
    <n v="0"/>
    <n v="0"/>
    <n v="0"/>
    <n v="0.1"/>
    <e v="#N/A"/>
    <x v="0"/>
  </r>
  <r>
    <d v="2023-07-03T00:00:00"/>
    <x v="25"/>
    <s v="Admin/HR/IT"/>
    <s v="AMCARE NonOcc In"/>
    <s v="TEMP"/>
    <n v="201368616"/>
    <s v="Lopez,Mari"/>
    <s v="Piedra,Valentina"/>
    <n v="0"/>
    <n v="0"/>
    <n v="0"/>
    <n v="0"/>
    <n v="0.26"/>
    <e v="#N/A"/>
    <x v="0"/>
  </r>
  <r>
    <d v="2023-07-04T00:00:00"/>
    <x v="25"/>
    <s v="Admin/HR/IT"/>
    <s v="AMCARE NonOcc In"/>
    <s v="TEMP"/>
    <n v="112912007"/>
    <s v="Robledo Barrientos,Alondra"/>
    <s v="Gomez,Abinadab"/>
    <n v="0"/>
    <n v="0"/>
    <n v="0"/>
    <n v="0"/>
    <n v="0.32"/>
    <e v="#N/A"/>
    <x v="0"/>
  </r>
  <r>
    <d v="2023-07-04T00:00:00"/>
    <x v="25"/>
    <s v="Admin/HR/IT"/>
    <s v="AMCARE NonOcc In"/>
    <s v="AMZN"/>
    <n v="112912745"/>
    <s v="Gomez Meza,Alex"/>
    <s v="Gomez,Abinadab"/>
    <n v="0"/>
    <n v="0"/>
    <n v="0"/>
    <n v="0"/>
    <n v="0.31"/>
    <s v="DA-X0700"/>
    <x v="55"/>
  </r>
  <r>
    <d v="2023-07-04T00:00:00"/>
    <x v="25"/>
    <s v="Admin/HR/IT"/>
    <s v="AMCARE NonOcc In"/>
    <s v="AMZN"/>
    <n v="112971997"/>
    <s v="Nieto,Emili"/>
    <s v="Rosas Negrete,Sebastian"/>
    <n v="0"/>
    <n v="0"/>
    <n v="0"/>
    <n v="0"/>
    <n v="0.38"/>
    <s v="DA-X0700"/>
    <x v="117"/>
  </r>
  <r>
    <d v="2023-07-04T00:00:00"/>
    <x v="25"/>
    <s v="Admin/HR/IT"/>
    <s v="AMCARE NonOcc In"/>
    <s v="AMZN"/>
    <n v="112981061"/>
    <s v="Olguin,Claudia"/>
    <s v="Robledo Ugarte,Alejandro"/>
    <n v="0"/>
    <n v="0"/>
    <n v="0"/>
    <n v="0"/>
    <n v="0.61"/>
    <s v="DA-X0700"/>
    <x v="11"/>
  </r>
  <r>
    <d v="2023-07-04T00:00:00"/>
    <x v="25"/>
    <s v="Admin/HR/IT"/>
    <s v="AMCARE NonOcc In"/>
    <s v="AMZN"/>
    <n v="112981212"/>
    <s v="Zanella Miranda,Alyson"/>
    <s v="Robledo Ugarte,Alejandro"/>
    <n v="0"/>
    <n v="0"/>
    <n v="0"/>
    <n v="0"/>
    <n v="0.37"/>
    <e v="#N/A"/>
    <x v="77"/>
  </r>
  <r>
    <d v="2023-07-04T00:00:00"/>
    <x v="25"/>
    <s v="Admin/HR/IT"/>
    <s v="AMCARE NonOcc In"/>
    <s v="AMZN"/>
    <n v="113004017"/>
    <s v="Ramirez,Elizabeth"/>
    <s v="Gomez Aguado,Jorge"/>
    <n v="0"/>
    <n v="0"/>
    <n v="0"/>
    <n v="0"/>
    <n v="0.75"/>
    <e v="#N/A"/>
    <x v="0"/>
  </r>
  <r>
    <d v="2023-07-04T00:00:00"/>
    <x v="25"/>
    <s v="Admin/HR/IT"/>
    <s v="AMCARE NonOcc In"/>
    <s v="AMZN"/>
    <n v="113101453"/>
    <s v="Isaac,Geovanna"/>
    <s v="Robledo Ugarte,Alejandro"/>
    <n v="0"/>
    <n v="0"/>
    <n v="0"/>
    <n v="0"/>
    <n v="0.15"/>
    <e v="#N/A"/>
    <x v="4"/>
  </r>
  <r>
    <d v="2023-07-04T00:00:00"/>
    <x v="25"/>
    <s v="Admin/HR/IT"/>
    <s v="AMCARE NonOcc In"/>
    <s v="AMZN"/>
    <n v="200404250"/>
    <s v="Hurtado,Caty"/>
    <s v="Romero Sanchez,Gustavo Gabriel"/>
    <n v="0"/>
    <n v="0"/>
    <n v="0"/>
    <n v="0"/>
    <n v="1.27"/>
    <e v="#N/A"/>
    <x v="6"/>
  </r>
  <r>
    <d v="2023-07-04T00:00:00"/>
    <x v="25"/>
    <s v="Admin/HR/IT"/>
    <s v="AMCARE NonOcc In"/>
    <s v="AMZN"/>
    <n v="200562303"/>
    <s v="Hernandez Cruz,Jorge"/>
    <s v="Robledo Ugarte,Alejandro"/>
    <n v="0"/>
    <n v="0"/>
    <n v="0"/>
    <n v="0"/>
    <n v="0.1"/>
    <e v="#N/A"/>
    <x v="87"/>
  </r>
  <r>
    <d v="2023-07-04T00:00:00"/>
    <x v="25"/>
    <s v="Admin/HR/IT"/>
    <s v="AMCARE NonOcc In"/>
    <s v="AMZN"/>
    <n v="200574655"/>
    <s v="Mireles,Dulce"/>
    <s v="Robledo Ugarte,Alejandro"/>
    <n v="0"/>
    <n v="0"/>
    <n v="0"/>
    <n v="0"/>
    <n v="1.08"/>
    <e v="#N/A"/>
    <x v="88"/>
  </r>
  <r>
    <d v="2023-07-04T00:00:00"/>
    <x v="25"/>
    <s v="Admin/HR/IT"/>
    <s v="AMCARE NonOcc In"/>
    <s v="AMZN"/>
    <n v="200625517"/>
    <s v="RamÃ­rez,Miranda"/>
    <s v="Robledo Ugarte,Alejandro"/>
    <n v="0"/>
    <n v="0"/>
    <n v="0"/>
    <n v="0"/>
    <n v="0.5"/>
    <e v="#N/A"/>
    <x v="0"/>
  </r>
  <r>
    <d v="2023-07-04T00:00:00"/>
    <x v="25"/>
    <s v="Admin/HR/IT"/>
    <s v="AMCARE NonOcc In"/>
    <s v="TEMP"/>
    <n v="201165769"/>
    <s v="Puente,Karen"/>
    <s v="Piedra,Valentina"/>
    <n v="0"/>
    <n v="0"/>
    <n v="0"/>
    <n v="0"/>
    <n v="0.19"/>
    <e v="#N/A"/>
    <x v="113"/>
  </r>
  <r>
    <d v="2023-07-04T00:00:00"/>
    <x v="25"/>
    <s v="Admin/HR/IT"/>
    <s v="AMCARE NonOcc In"/>
    <s v="TEMP"/>
    <n v="201172306"/>
    <s v="Valdez,CÃ©sar"/>
    <s v="Gomez,Abinadab"/>
    <n v="0"/>
    <n v="0"/>
    <n v="0"/>
    <n v="0"/>
    <n v="0.37"/>
    <e v="#N/A"/>
    <x v="128"/>
  </r>
  <r>
    <d v="2023-07-04T00:00:00"/>
    <x v="25"/>
    <s v="Admin/HR/IT"/>
    <s v="AMCARE NonOcc In"/>
    <s v="TEMP"/>
    <n v="201212196"/>
    <s v="Juarez,Angel"/>
    <s v="Ledezma,Fer"/>
    <n v="0"/>
    <n v="0"/>
    <n v="0"/>
    <n v="0"/>
    <n v="0.34"/>
    <e v="#N/A"/>
    <x v="0"/>
  </r>
  <r>
    <d v="2023-07-04T00:00:00"/>
    <x v="25"/>
    <s v="Admin/HR/IT"/>
    <s v="AMCARE NonOcc In"/>
    <s v="TEMP"/>
    <n v="201314835"/>
    <s v="Guzman,Janeth"/>
    <s v="Lopez,Alexa"/>
    <n v="0"/>
    <n v="0"/>
    <n v="0"/>
    <n v="0"/>
    <n v="0.46"/>
    <e v="#N/A"/>
    <x v="0"/>
  </r>
  <r>
    <d v="2023-07-04T00:00:00"/>
    <x v="25"/>
    <s v="Admin/HR/IT"/>
    <s v="AMCARE NonOcc In"/>
    <s v="TEMP"/>
    <n v="201374875"/>
    <s v="Velez,Xochitl"/>
    <s v="Lopez,Alexa"/>
    <n v="0"/>
    <n v="0"/>
    <n v="0"/>
    <n v="0"/>
    <n v="0.38"/>
    <e v="#N/A"/>
    <x v="0"/>
  </r>
  <r>
    <d v="2023-07-05T00:00:00"/>
    <x v="25"/>
    <s v="Admin/HR/IT"/>
    <s v="AMCARE NonOcc In"/>
    <s v="AMZN"/>
    <n v="112912209"/>
    <s v="Morales,Sarahi"/>
    <s v="Munoz,Jonan"/>
    <n v="0"/>
    <n v="0"/>
    <n v="0"/>
    <n v="0"/>
    <n v="0.85"/>
    <s v="NF-X1900"/>
    <x v="90"/>
  </r>
  <r>
    <d v="2023-07-05T00:00:00"/>
    <x v="25"/>
    <s v="Admin/HR/IT"/>
    <s v="AMCARE NonOcc In"/>
    <s v="AMZN"/>
    <n v="112920637"/>
    <s v="Tapia,Antonio Torres"/>
    <s v="Pizana,Diego"/>
    <n v="0"/>
    <n v="0"/>
    <n v="0"/>
    <n v="0"/>
    <n v="0.57999999999999996"/>
    <s v="DB-X0700"/>
    <x v="38"/>
  </r>
  <r>
    <d v="2023-07-05T00:00:00"/>
    <x v="25"/>
    <s v="Admin/HR/IT"/>
    <s v="AMCARE NonOcc In"/>
    <s v="AMZN"/>
    <n v="112971962"/>
    <s v="Reyes  Montes de oca,Alejandra"/>
    <s v="Ledezma,Fer"/>
    <n v="0"/>
    <n v="0"/>
    <n v="0"/>
    <n v="0"/>
    <n v="0.15"/>
    <s v="DB-X0700"/>
    <x v="26"/>
  </r>
  <r>
    <d v="2023-07-05T00:00:00"/>
    <x v="25"/>
    <s v="Admin/HR/IT"/>
    <s v="AMCARE NonOcc In"/>
    <s v="AMZN"/>
    <n v="112972521"/>
    <s v="Perez,Ronny"/>
    <s v="Rosas Negrete,Sebastian"/>
    <n v="0"/>
    <n v="0"/>
    <n v="0"/>
    <n v="0"/>
    <n v="0.34"/>
    <s v="DB-X0700"/>
    <x v="176"/>
  </r>
  <r>
    <d v="2023-07-05T00:00:00"/>
    <x v="25"/>
    <s v="Admin/HR/IT"/>
    <s v="AMCARE NonOcc In"/>
    <s v="AMZN"/>
    <n v="112980899"/>
    <s v="Avila Cabrera,Ari"/>
    <s v="Bueno Mendoza,Susana"/>
    <n v="0"/>
    <n v="0"/>
    <n v="0"/>
    <n v="0"/>
    <n v="0.22"/>
    <s v="NF-X1900"/>
    <x v="34"/>
  </r>
  <r>
    <d v="2023-07-05T00:00:00"/>
    <x v="25"/>
    <s v="Admin/HR/IT"/>
    <s v="AMCARE NonOcc In"/>
    <s v="AMZN"/>
    <n v="112981201"/>
    <s v="Ramirez,Andrea"/>
    <s v="Robledo Ugarte,Alejandro"/>
    <n v="0"/>
    <n v="0"/>
    <n v="0"/>
    <n v="0"/>
    <n v="0.46"/>
    <e v="#N/A"/>
    <x v="0"/>
  </r>
  <r>
    <d v="2023-07-05T00:00:00"/>
    <x v="25"/>
    <s v="Admin/HR/IT"/>
    <s v="AMCARE NonOcc In"/>
    <s v="AMZN"/>
    <n v="112981212"/>
    <s v="Zanella Miranda,Alyson"/>
    <s v="Robledo Ugarte,Alejandro"/>
    <n v="0"/>
    <n v="0"/>
    <n v="0"/>
    <n v="0"/>
    <n v="0.82"/>
    <e v="#N/A"/>
    <x v="77"/>
  </r>
  <r>
    <d v="2023-07-05T00:00:00"/>
    <x v="25"/>
    <s v="Admin/HR/IT"/>
    <s v="AMCARE NonOcc In"/>
    <s v="AMZN"/>
    <n v="113101453"/>
    <s v="Isaac,Geovanna"/>
    <s v="Robledo Ugarte,Alejandro"/>
    <n v="0"/>
    <n v="0"/>
    <n v="0"/>
    <n v="0"/>
    <n v="0.1"/>
    <e v="#N/A"/>
    <x v="4"/>
  </r>
  <r>
    <d v="2023-07-05T00:00:00"/>
    <x v="25"/>
    <s v="Admin/HR/IT"/>
    <s v="AMCARE NonOcc In"/>
    <s v="AMZN"/>
    <n v="200404250"/>
    <s v="Hurtado,Caty"/>
    <s v="Romero Sanchez,Gustavo Gabriel"/>
    <n v="0"/>
    <n v="0"/>
    <n v="0"/>
    <n v="0"/>
    <n v="0.47"/>
    <e v="#N/A"/>
    <x v="6"/>
  </r>
  <r>
    <d v="2023-07-05T00:00:00"/>
    <x v="25"/>
    <s v="Admin/HR/IT"/>
    <s v="AMCARE NonOcc In"/>
    <s v="AMZN"/>
    <n v="200552734"/>
    <s v="Santiago Ramirez,Six"/>
    <s v="Madrid Molina,Ramon"/>
    <n v="0"/>
    <n v="0"/>
    <n v="0"/>
    <n v="0"/>
    <n v="0.36"/>
    <e v="#N/A"/>
    <x v="0"/>
  </r>
  <r>
    <d v="2023-07-05T00:00:00"/>
    <x v="25"/>
    <s v="Admin/HR/IT"/>
    <s v="AMCARE NonOcc In"/>
    <s v="AMZN"/>
    <n v="200564845"/>
    <s v="Barron,Abraham"/>
    <s v="Gomez Aguado,Jorge"/>
    <n v="0"/>
    <n v="0"/>
    <n v="0"/>
    <n v="0"/>
    <n v="0.1"/>
    <e v="#N/A"/>
    <x v="0"/>
  </r>
  <r>
    <d v="2023-07-05T00:00:00"/>
    <x v="25"/>
    <s v="Admin/HR/IT"/>
    <s v="AMCARE NonOcc In"/>
    <s v="TEMP"/>
    <n v="201166890"/>
    <s v="Caballero,Daniel"/>
    <s v="Romero Sanchez,Gustavo Gabriel"/>
    <n v="0"/>
    <n v="0"/>
    <n v="0"/>
    <n v="0"/>
    <n v="0.11"/>
    <e v="#N/A"/>
    <x v="141"/>
  </r>
  <r>
    <d v="2023-07-05T00:00:00"/>
    <x v="25"/>
    <s v="Admin/HR/IT"/>
    <s v="AMCARE NonOcc In"/>
    <s v="TEMP"/>
    <n v="201219500"/>
    <s v="Mazy,RamsÃ©s"/>
    <s v="Ledezma,Fer"/>
    <n v="0"/>
    <n v="0"/>
    <n v="0"/>
    <n v="0"/>
    <n v="0.67"/>
    <e v="#N/A"/>
    <x v="122"/>
  </r>
  <r>
    <d v="2023-07-06T00:00:00"/>
    <x v="25"/>
    <s v="Admin/HR/IT"/>
    <s v="AMCARE NonOcc In"/>
    <s v="AMZN"/>
    <n v="103260242"/>
    <s v="Ayala,Mariela"/>
    <s v="Ledezma,Fer"/>
    <n v="0"/>
    <n v="0"/>
    <n v="0"/>
    <n v="0"/>
    <n v="0.08"/>
    <e v="#N/A"/>
    <x v="0"/>
  </r>
  <r>
    <d v="2023-07-06T00:00:00"/>
    <x v="25"/>
    <s v="Admin/HR/IT"/>
    <s v="AMCARE NonOcc In"/>
    <s v="AMZN"/>
    <n v="112920655"/>
    <s v="Diaz de LeÃ³n,Paola"/>
    <s v="Pizana,Diego"/>
    <n v="0"/>
    <n v="0"/>
    <n v="0"/>
    <n v="0"/>
    <n v="0.83"/>
    <e v="#N/A"/>
    <x v="0"/>
  </r>
  <r>
    <d v="2023-07-06T00:00:00"/>
    <x v="25"/>
    <s v="Admin/HR/IT"/>
    <s v="AMCARE NonOcc In"/>
    <s v="AMZN"/>
    <n v="112971988"/>
    <s v="Trejo Tarango,Stephannie Del Rocio"/>
    <s v="Cortes,Alejandra"/>
    <n v="0"/>
    <n v="0"/>
    <n v="0"/>
    <n v="0"/>
    <n v="0.08"/>
    <s v="DB-X0700"/>
    <x v="80"/>
  </r>
  <r>
    <d v="2023-07-06T00:00:00"/>
    <x v="25"/>
    <s v="Admin/HR/IT"/>
    <s v="AMCARE NonOcc In"/>
    <s v="AMZN"/>
    <n v="113020476"/>
    <s v="Puente Aguilar,Polette"/>
    <s v="Madrid Molina,Ramon"/>
    <n v="0"/>
    <n v="0"/>
    <n v="0"/>
    <n v="0"/>
    <n v="0.22"/>
    <e v="#N/A"/>
    <x v="19"/>
  </r>
  <r>
    <d v="2023-07-06T00:00:00"/>
    <x v="25"/>
    <s v="Admin/HR/IT"/>
    <s v="AMCARE NonOcc In"/>
    <s v="AMZN"/>
    <n v="113040582"/>
    <s v="HDZ,DEMON"/>
    <s v="Robledo Ugarte,Alejandro"/>
    <n v="0"/>
    <n v="0"/>
    <n v="0"/>
    <n v="0"/>
    <n v="0.25"/>
    <e v="#N/A"/>
    <x v="63"/>
  </r>
  <r>
    <d v="2023-07-06T00:00:00"/>
    <x v="25"/>
    <s v="Admin/HR/IT"/>
    <s v="AMCARE NonOcc In"/>
    <s v="AMZN"/>
    <n v="200404250"/>
    <s v="Hurtado,Caty"/>
    <s v="Romero Sanchez,Gustavo Gabriel"/>
    <n v="0"/>
    <n v="0"/>
    <n v="0"/>
    <n v="0"/>
    <n v="0.52"/>
    <e v="#N/A"/>
    <x v="6"/>
  </r>
  <r>
    <d v="2023-07-06T00:00:00"/>
    <x v="25"/>
    <s v="Admin/HR/IT"/>
    <s v="AMCARE NonOcc In"/>
    <s v="AMZN"/>
    <n v="200615883"/>
    <s v="Ibarra Amaro,Adriana"/>
    <s v="Gomez Aguado,Jorge"/>
    <n v="0"/>
    <n v="0"/>
    <n v="0"/>
    <n v="0"/>
    <n v="0.32"/>
    <e v="#N/A"/>
    <x v="0"/>
  </r>
  <r>
    <d v="2023-07-06T00:00:00"/>
    <x v="25"/>
    <s v="Admin/HR/IT"/>
    <s v="AMCARE NonOcc In"/>
    <s v="TEMP"/>
    <n v="201159033"/>
    <s v="Arrona,Monserrat"/>
    <s v="Corona Arriaga,Fernando"/>
    <n v="0"/>
    <n v="0"/>
    <n v="0"/>
    <n v="0"/>
    <n v="0.17"/>
    <e v="#N/A"/>
    <x v="179"/>
  </r>
  <r>
    <d v="2023-07-06T00:00:00"/>
    <x v="25"/>
    <s v="Admin/HR/IT"/>
    <s v="AMCARE NonOcc In"/>
    <s v="TEMP"/>
    <n v="201223730"/>
    <s v="Sanchiz,Cesarito"/>
    <s v="Corona Arriaga,Fernando"/>
    <n v="0"/>
    <n v="0"/>
    <n v="0"/>
    <n v="0"/>
    <n v="0.33"/>
    <e v="#N/A"/>
    <x v="120"/>
  </r>
  <r>
    <d v="2023-07-07T00:00:00"/>
    <x v="25"/>
    <s v="Admin/HR/IT"/>
    <s v="AMCARE NonOcc In"/>
    <s v="AMZN"/>
    <n v="112912511"/>
    <s v="Elorza,Sergio"/>
    <s v="Gomez Aguado,Jorge"/>
    <n v="0"/>
    <n v="0"/>
    <n v="0"/>
    <n v="0"/>
    <n v="0.97"/>
    <s v="DB-X0700"/>
    <x v="180"/>
  </r>
  <r>
    <d v="2023-07-07T00:00:00"/>
    <x v="25"/>
    <s v="Admin/HR/IT"/>
    <s v="AMCARE NonOcc In"/>
    <s v="AMZN"/>
    <n v="112912983"/>
    <s v="RodrÃ­guez,RocÃ­o"/>
    <s v="Corona Arriaga,Fernando"/>
    <n v="0"/>
    <n v="0"/>
    <n v="0"/>
    <n v="0"/>
    <n v="0.12"/>
    <s v="NF-X1900"/>
    <x v="75"/>
  </r>
  <r>
    <d v="2023-07-07T00:00:00"/>
    <x v="25"/>
    <s v="Admin/HR/IT"/>
    <s v="AMCARE NonOcc In"/>
    <s v="AMZN"/>
    <n v="113014072"/>
    <s v="Rivera,Mariana"/>
    <s v="Madrid Molina,Ramon"/>
    <n v="0"/>
    <n v="0"/>
    <n v="0"/>
    <n v="0"/>
    <n v="0.15"/>
    <e v="#N/A"/>
    <x v="0"/>
  </r>
  <r>
    <d v="2023-07-07T00:00:00"/>
    <x v="25"/>
    <s v="Admin/HR/IT"/>
    <s v="AMCARE NonOcc In"/>
    <s v="AMZN"/>
    <n v="113020476"/>
    <s v="Puente Aguilar,Polette"/>
    <s v="Madrid Molina,Ramon"/>
    <n v="0"/>
    <n v="0"/>
    <n v="0"/>
    <n v="0"/>
    <n v="0.27"/>
    <e v="#N/A"/>
    <x v="19"/>
  </r>
  <r>
    <d v="2023-07-07T00:00:00"/>
    <x v="25"/>
    <s v="Admin/HR/IT"/>
    <s v="AMCARE NonOcc In"/>
    <s v="TEMP"/>
    <n v="201223730"/>
    <s v="Sanchiz,Cesarito"/>
    <s v="Corona Arriaga,Fernando"/>
    <n v="0"/>
    <n v="0"/>
    <n v="0"/>
    <n v="0"/>
    <n v="0.21"/>
    <e v="#N/A"/>
    <x v="120"/>
  </r>
  <r>
    <d v="2023-07-07T00:00:00"/>
    <x v="25"/>
    <s v="Admin/HR/IT"/>
    <s v="AMCARE NonOcc In"/>
    <s v="TEMP"/>
    <n v="201309605"/>
    <s v="Hernandez,Yamile"/>
    <s v="Gomez Aguado,Jorge"/>
    <n v="0"/>
    <n v="0"/>
    <n v="0"/>
    <n v="0"/>
    <n v="0.14000000000000001"/>
    <e v="#N/A"/>
    <x v="0"/>
  </r>
  <r>
    <d v="2023-07-07T00:00:00"/>
    <x v="25"/>
    <s v="Admin/HR/IT"/>
    <s v="AMCARE NonOcc In"/>
    <s v="TEMP"/>
    <n v="201363254"/>
    <s v="Frausto,Raziel"/>
    <s v="Cortes,Alejandra"/>
    <n v="0"/>
    <n v="0"/>
    <n v="0"/>
    <n v="0"/>
    <n v="0.18"/>
    <e v="#N/A"/>
    <x v="155"/>
  </r>
  <r>
    <d v="2023-07-08T00:00:00"/>
    <x v="25"/>
    <s v="Admin/HR/IT"/>
    <s v="AMCARE NonOcc In"/>
    <s v="AMZN"/>
    <n v="112920655"/>
    <s v="Diaz de LeÃ³n,Paola"/>
    <s v="Pizana,Diego"/>
    <n v="0"/>
    <n v="0"/>
    <n v="0"/>
    <n v="0"/>
    <n v="1.87"/>
    <e v="#N/A"/>
    <x v="0"/>
  </r>
  <r>
    <d v="2023-07-08T00:00:00"/>
    <x v="25"/>
    <s v="Admin/HR/IT"/>
    <s v="AMCARE NonOcc In"/>
    <s v="AMZN"/>
    <n v="112920666"/>
    <s v="Rocha,Jose"/>
    <s v="Cortes,Alejandra"/>
    <n v="0"/>
    <n v="0"/>
    <n v="0"/>
    <n v="0"/>
    <n v="0.13"/>
    <s v="D5-X0700"/>
    <x v="3"/>
  </r>
  <r>
    <d v="2023-07-08T00:00:00"/>
    <x v="25"/>
    <s v="Admin/HR/IT"/>
    <s v="AMCARE NonOcc In"/>
    <s v="AMZN"/>
    <n v="113003971"/>
    <s v="Garcia  Ramirez,Gabriel"/>
    <s v="Corona Arriaga,Fernando"/>
    <n v="0"/>
    <n v="0"/>
    <n v="0"/>
    <n v="0"/>
    <n v="0.1"/>
    <e v="#N/A"/>
    <x v="10"/>
  </r>
  <r>
    <d v="2023-07-08T00:00:00"/>
    <x v="25"/>
    <s v="Admin/HR/IT"/>
    <s v="AMCARE NonOcc In"/>
    <s v="AMZN"/>
    <n v="200562154"/>
    <s v="Reyes Muniz,Cristian"/>
    <s v="Corona Arriaga,Fernando"/>
    <n v="0"/>
    <n v="0"/>
    <n v="0"/>
    <n v="0"/>
    <n v="0.35"/>
    <e v="#N/A"/>
    <x v="42"/>
  </r>
  <r>
    <d v="2023-07-08T00:00:00"/>
    <x v="25"/>
    <s v="Admin/HR/IT"/>
    <s v="AMCARE NonOcc In"/>
    <s v="TEMP"/>
    <n v="201185299"/>
    <s v="Garcia,Noemi"/>
    <s v="Ledezma,Fer"/>
    <n v="0"/>
    <n v="0"/>
    <n v="0"/>
    <n v="0"/>
    <n v="0.11"/>
    <e v="#N/A"/>
    <x v="138"/>
  </r>
  <r>
    <d v="2023-07-09T00:00:00"/>
    <x v="26"/>
    <s v="Admin/HR/IT"/>
    <s v="AMCARE NonOcc In"/>
    <s v="AMZN"/>
    <n v="112912745"/>
    <s v="Gomez Meza,Alex"/>
    <s v="Gomez,Abinadab"/>
    <n v="0"/>
    <n v="0"/>
    <n v="0"/>
    <n v="0"/>
    <n v="0.48"/>
    <s v="DA-X0700"/>
    <x v="55"/>
  </r>
  <r>
    <d v="2023-07-09T00:00:00"/>
    <x v="26"/>
    <s v="Admin/HR/IT"/>
    <s v="AMCARE NonOcc In"/>
    <s v="AMZN"/>
    <n v="112950784"/>
    <s v="Rojas,Samuel"/>
    <s v="Pizana,Diego"/>
    <n v="0"/>
    <n v="0"/>
    <n v="0"/>
    <n v="0"/>
    <n v="0.19"/>
    <s v="NF-X1900"/>
    <x v="13"/>
  </r>
  <r>
    <d v="2023-07-09T00:00:00"/>
    <x v="26"/>
    <s v="Admin/HR/IT"/>
    <s v="AMCARE NonOcc In"/>
    <s v="AMZN"/>
    <n v="112980812"/>
    <s v="Jacobo,Mary"/>
    <s v="Gomez,Abinadab"/>
    <n v="0"/>
    <n v="0"/>
    <n v="0"/>
    <n v="0"/>
    <n v="0.21"/>
    <s v="DA-X0700"/>
    <x v="24"/>
  </r>
  <r>
    <d v="2023-07-09T00:00:00"/>
    <x v="26"/>
    <s v="Admin/HR/IT"/>
    <s v="AMCARE NonOcc In"/>
    <s v="AMZN"/>
    <n v="113101453"/>
    <s v="Isaac,Geovanna"/>
    <s v="Robledo Ugarte,Alejandro"/>
    <n v="0"/>
    <n v="0"/>
    <n v="0"/>
    <n v="0"/>
    <n v="0.08"/>
    <e v="#N/A"/>
    <x v="4"/>
  </r>
  <r>
    <d v="2023-07-09T00:00:00"/>
    <x v="26"/>
    <s v="Admin/HR/IT"/>
    <s v="AMCARE NonOcc In"/>
    <s v="AMZN"/>
    <n v="200625517"/>
    <s v="RamÃ­rez,Mindy"/>
    <s v="Robledo Ugarte,Alejandro"/>
    <n v="0"/>
    <n v="0"/>
    <n v="0"/>
    <n v="0"/>
    <n v="0.36"/>
    <e v="#N/A"/>
    <x v="0"/>
  </r>
  <r>
    <d v="2023-07-09T00:00:00"/>
    <x v="26"/>
    <s v="Admin/HR/IT"/>
    <s v="AMCARE NonOcc In"/>
    <s v="TEMP"/>
    <n v="201204937"/>
    <s v="Vazquez,Carmen"/>
    <s v="Ledezma,Fer"/>
    <n v="0"/>
    <n v="0"/>
    <n v="0"/>
    <n v="0"/>
    <n v="7.0000000000000007E-2"/>
    <e v="#N/A"/>
    <x v="0"/>
  </r>
  <r>
    <d v="2023-07-09T00:00:00"/>
    <x v="26"/>
    <s v="Admin/HR/IT"/>
    <s v="AMCARE NonOcc In"/>
    <s v="TEMP"/>
    <n v="201294405"/>
    <s v="Rojas,Catherine"/>
    <s v="Gomez,Abinadab"/>
    <n v="0"/>
    <n v="0"/>
    <n v="0"/>
    <n v="0"/>
    <n v="0.75"/>
    <e v="#N/A"/>
    <x v="0"/>
  </r>
  <r>
    <d v="2023-07-09T00:00:00"/>
    <x v="26"/>
    <s v="Admin/HR/IT"/>
    <s v="AMCARE NonOcc In"/>
    <s v="TEMP"/>
    <n v="201409070"/>
    <s v="Hernandez,Estefania"/>
    <s v="Gomez Aguado,Jorge"/>
    <n v="0"/>
    <n v="0"/>
    <n v="0"/>
    <n v="0"/>
    <n v="0.4"/>
    <e v="#N/A"/>
    <x v="0"/>
  </r>
  <r>
    <d v="2023-07-10T00:00:00"/>
    <x v="26"/>
    <s v="Admin/HR/IT"/>
    <s v="AMCARE NonOcc In"/>
    <s v="AMZN"/>
    <n v="112980878"/>
    <s v="Romero Escobar,Gerardo"/>
    <s v="Romero Sanchez,Gustavo Gabriel"/>
    <n v="0"/>
    <n v="0"/>
    <n v="0"/>
    <n v="0"/>
    <n v="0.16"/>
    <e v="#N/A"/>
    <x v="0"/>
  </r>
  <r>
    <d v="2023-07-10T00:00:00"/>
    <x v="26"/>
    <s v="Admin/HR/IT"/>
    <s v="AMCARE NonOcc In"/>
    <s v="AMZN"/>
    <n v="200404250"/>
    <s v="Hurtado,Caty"/>
    <s v="Romero Sanchez,Gustavo Gabriel"/>
    <n v="0"/>
    <n v="0"/>
    <n v="0"/>
    <n v="0"/>
    <n v="0.48"/>
    <e v="#N/A"/>
    <x v="6"/>
  </r>
  <r>
    <d v="2023-07-11T00:00:00"/>
    <x v="26"/>
    <s v="Admin/HR/IT"/>
    <s v="AMCARE NonOcc In"/>
    <s v="AMZN"/>
    <n v="112950809"/>
    <s v="Rocha,Luz"/>
    <s v="Munoz,Jonan"/>
    <n v="0"/>
    <n v="0"/>
    <n v="0"/>
    <n v="0"/>
    <n v="0.12"/>
    <s v="DA-X0700"/>
    <x v="36"/>
  </r>
  <r>
    <d v="2023-07-11T00:00:00"/>
    <x v="26"/>
    <s v="Admin/HR/IT"/>
    <s v="AMCARE NonOcc In"/>
    <s v="AMZN"/>
    <n v="112980878"/>
    <s v="Romero Escobar,Gerardo"/>
    <s v="Romero Sanchez,Gustavo Gabriel"/>
    <n v="0"/>
    <n v="0"/>
    <n v="0"/>
    <n v="0"/>
    <n v="0.78"/>
    <e v="#N/A"/>
    <x v="0"/>
  </r>
  <r>
    <d v="2023-07-11T00:00:00"/>
    <x v="26"/>
    <s v="Admin/HR/IT"/>
    <s v="AMCARE NonOcc In"/>
    <s v="AMZN"/>
    <n v="113014094"/>
    <s v="Mercado,Erika"/>
    <s v="Robledo Ugarte,Alejandro"/>
    <n v="0"/>
    <n v="0"/>
    <n v="0"/>
    <n v="0"/>
    <n v="0.1"/>
    <e v="#N/A"/>
    <x v="49"/>
  </r>
  <r>
    <d v="2023-07-11T00:00:00"/>
    <x v="26"/>
    <s v="Admin/HR/IT"/>
    <s v="AMCARE NonOcc In"/>
    <s v="AMZN"/>
    <n v="113020463"/>
    <s v="Valtierra,Alejandra"/>
    <s v="Robledo Ugarte,Alejandro"/>
    <n v="0"/>
    <n v="0"/>
    <n v="0"/>
    <n v="0"/>
    <n v="0.52"/>
    <e v="#N/A"/>
    <x v="17"/>
  </r>
  <r>
    <d v="2023-07-11T00:00:00"/>
    <x v="26"/>
    <s v="Admin/HR/IT"/>
    <s v="AMCARE NonOcc In"/>
    <s v="AMZN"/>
    <n v="200404250"/>
    <s v="Hurtado,Caty"/>
    <s v="Romero Sanchez,Gustavo Gabriel"/>
    <n v="0"/>
    <n v="0"/>
    <n v="0"/>
    <n v="0"/>
    <n v="0.37"/>
    <e v="#N/A"/>
    <x v="6"/>
  </r>
  <r>
    <d v="2023-07-11T00:00:00"/>
    <x v="26"/>
    <s v="Admin/HR/IT"/>
    <s v="AMCARE NonOcc In"/>
    <s v="TEMP"/>
    <n v="201165769"/>
    <s v="Puente,Karen"/>
    <s v="Piedra,Valentina"/>
    <n v="0"/>
    <n v="0"/>
    <n v="0"/>
    <n v="0"/>
    <n v="0.74"/>
    <e v="#N/A"/>
    <x v="113"/>
  </r>
  <r>
    <d v="2023-07-11T00:00:00"/>
    <x v="26"/>
    <s v="Admin/HR/IT"/>
    <s v="AMCARE NonOcc In"/>
    <s v="TEMP"/>
    <n v="201201993"/>
    <s v="Olmos,Lucia"/>
    <s v="Bueno Mendoza,Susana"/>
    <n v="0"/>
    <n v="0"/>
    <n v="0"/>
    <n v="0"/>
    <n v="0.32"/>
    <e v="#N/A"/>
    <x v="0"/>
  </r>
  <r>
    <d v="2023-07-11T00:00:00"/>
    <x v="26"/>
    <s v="Admin/HR/IT"/>
    <s v="AMCARE NonOcc In"/>
    <s v="TEMP"/>
    <n v="201320388"/>
    <s v="Pena,Laura"/>
    <s v="Robledo Ugarte,Alejandro"/>
    <n v="0"/>
    <n v="0"/>
    <n v="0"/>
    <n v="0"/>
    <n v="0.52"/>
    <e v="#N/A"/>
    <x v="0"/>
  </r>
  <r>
    <d v="2023-07-11T00:00:00"/>
    <x v="26"/>
    <s v="Admin/HR/IT"/>
    <s v="AMCARE NonOcc In"/>
    <s v="TEMP"/>
    <n v="201329529"/>
    <s v="Padilla,Pablo"/>
    <s v="Lopez,Alexa"/>
    <n v="0"/>
    <n v="0"/>
    <n v="0"/>
    <n v="0"/>
    <n v="0.13"/>
    <e v="#N/A"/>
    <x v="0"/>
  </r>
  <r>
    <d v="2023-07-11T00:00:00"/>
    <x v="26"/>
    <s v="Admin/HR/IT"/>
    <s v="AMCARE NonOcc In"/>
    <s v="TEMP"/>
    <n v="201369351"/>
    <s v="Delgado Iracheta,Cesar Josue"/>
    <s v="Munoz,Jonan"/>
    <n v="0"/>
    <n v="0"/>
    <n v="0"/>
    <n v="0"/>
    <n v="0.41"/>
    <e v="#N/A"/>
    <x v="0"/>
  </r>
  <r>
    <d v="2023-07-11T00:00:00"/>
    <x v="26"/>
    <s v="Admin/HR/IT"/>
    <s v="AMCARE NonOcc In"/>
    <s v="TEMP"/>
    <n v="201402060"/>
    <s v="Tovar,Mariana"/>
    <s v="Piedra,Valentina"/>
    <n v="0"/>
    <n v="0"/>
    <n v="0"/>
    <n v="0"/>
    <n v="0.23"/>
    <e v="#N/A"/>
    <x v="0"/>
  </r>
  <r>
    <d v="2023-07-12T00:00:00"/>
    <x v="26"/>
    <s v="Admin/HR/IT"/>
    <s v="AMCARE NonOcc In"/>
    <s v="AMZN"/>
    <n v="112950809"/>
    <s v="Rocha,Luz"/>
    <s v="Munoz,Jonan"/>
    <n v="0"/>
    <n v="0"/>
    <n v="0"/>
    <n v="0"/>
    <n v="0.12"/>
    <s v="DA-X0700"/>
    <x v="36"/>
  </r>
  <r>
    <d v="2023-07-12T00:00:00"/>
    <x v="26"/>
    <s v="Admin/HR/IT"/>
    <s v="AMCARE NonOcc In"/>
    <s v="AMZN"/>
    <n v="112980878"/>
    <s v="Romero Escobar,Gerardo"/>
    <s v="Romero Sanchez,Gustavo Gabriel"/>
    <n v="0"/>
    <n v="0"/>
    <n v="0"/>
    <n v="0"/>
    <n v="0.78"/>
    <e v="#N/A"/>
    <x v="0"/>
  </r>
  <r>
    <d v="2023-07-12T00:00:00"/>
    <x v="26"/>
    <s v="Admin/HR/IT"/>
    <s v="AMCARE NonOcc In"/>
    <s v="AMZN"/>
    <n v="113014094"/>
    <s v="Mercado,Erika"/>
    <s v="Robledo Ugarte,Alejandro"/>
    <n v="0"/>
    <n v="0"/>
    <n v="0"/>
    <n v="0"/>
    <n v="0.1"/>
    <e v="#N/A"/>
    <x v="49"/>
  </r>
  <r>
    <d v="2023-07-12T00:00:00"/>
    <x v="26"/>
    <s v="Admin/HR/IT"/>
    <s v="AMCARE NonOcc In"/>
    <s v="AMZN"/>
    <n v="113020463"/>
    <s v="Valtierra,Alejandra"/>
    <s v="Robledo Ugarte,Alejandro"/>
    <n v="0"/>
    <n v="0"/>
    <n v="0"/>
    <n v="0"/>
    <n v="0.52"/>
    <e v="#N/A"/>
    <x v="17"/>
  </r>
  <r>
    <d v="2023-07-12T00:00:00"/>
    <x v="26"/>
    <s v="Admin/HR/IT"/>
    <s v="AMCARE NonOcc In"/>
    <s v="AMZN"/>
    <n v="200404250"/>
    <s v="Hurtado,Caty"/>
    <s v="Romero Sanchez,Gustavo Gabriel"/>
    <n v="0"/>
    <n v="0"/>
    <n v="0"/>
    <n v="0"/>
    <n v="0.37"/>
    <e v="#N/A"/>
    <x v="6"/>
  </r>
  <r>
    <d v="2023-07-12T00:00:00"/>
    <x v="26"/>
    <s v="Admin/HR/IT"/>
    <s v="AMCARE NonOcc In"/>
    <s v="TEMP"/>
    <n v="201165769"/>
    <s v="Puente,Karen"/>
    <s v="Piedra,Valentina"/>
    <n v="0"/>
    <n v="0"/>
    <n v="0"/>
    <n v="0"/>
    <n v="0.74"/>
    <e v="#N/A"/>
    <x v="113"/>
  </r>
  <r>
    <d v="2023-07-12T00:00:00"/>
    <x v="26"/>
    <s v="Admin/HR/IT"/>
    <s v="AMCARE NonOcc In"/>
    <s v="TEMP"/>
    <n v="201201993"/>
    <s v="Olmos,Lucia"/>
    <s v="Bueno Mendoza,Susana"/>
    <n v="0"/>
    <n v="0"/>
    <n v="0"/>
    <n v="0"/>
    <n v="0.32"/>
    <e v="#N/A"/>
    <x v="0"/>
  </r>
  <r>
    <d v="2023-07-12T00:00:00"/>
    <x v="26"/>
    <s v="Admin/HR/IT"/>
    <s v="AMCARE NonOcc In"/>
    <s v="TEMP"/>
    <n v="201320388"/>
    <s v="Pena,Laura"/>
    <s v="Robledo Ugarte,Alejandro"/>
    <n v="0"/>
    <n v="0"/>
    <n v="0"/>
    <n v="0"/>
    <n v="0.52"/>
    <e v="#N/A"/>
    <x v="0"/>
  </r>
  <r>
    <d v="2023-07-12T00:00:00"/>
    <x v="26"/>
    <s v="Admin/HR/IT"/>
    <s v="AMCARE NonOcc In"/>
    <s v="TEMP"/>
    <n v="201329529"/>
    <s v="Padilla,Pablo"/>
    <s v="Lopez,Alexa"/>
    <n v="0"/>
    <n v="0"/>
    <n v="0"/>
    <n v="0"/>
    <n v="0.13"/>
    <e v="#N/A"/>
    <x v="0"/>
  </r>
  <r>
    <d v="2023-07-12T00:00:00"/>
    <x v="26"/>
    <s v="Admin/HR/IT"/>
    <s v="AMCARE NonOcc In"/>
    <s v="TEMP"/>
    <n v="201369351"/>
    <s v="Delgado Iracheta,Cesar Josue"/>
    <s v="Munoz,Jonan"/>
    <n v="0"/>
    <n v="0"/>
    <n v="0"/>
    <n v="0"/>
    <n v="0.41"/>
    <e v="#N/A"/>
    <x v="0"/>
  </r>
  <r>
    <d v="2023-07-12T00:00:00"/>
    <x v="26"/>
    <s v="Admin/HR/IT"/>
    <s v="AMCARE NonOcc In"/>
    <s v="TEMP"/>
    <n v="201402060"/>
    <s v="Tovar,Mariana"/>
    <s v="Piedra,Valentina"/>
    <n v="0"/>
    <n v="0"/>
    <n v="0"/>
    <n v="0"/>
    <n v="0.23"/>
    <e v="#N/A"/>
    <x v="0"/>
  </r>
  <r>
    <d v="2023-07-13T00:00:00"/>
    <x v="26"/>
    <s v="Admin/HR/IT"/>
    <s v="AMCARE NonOcc In"/>
    <s v="AMZN"/>
    <n v="112912054"/>
    <s v="Rivera Ramirez,Jorge"/>
    <s v="Pizana,Diego"/>
    <n v="0"/>
    <n v="0"/>
    <n v="0"/>
    <n v="0"/>
    <n v="0.2"/>
    <s v="DB-X0700"/>
    <x v="25"/>
  </r>
  <r>
    <d v="2023-07-13T00:00:00"/>
    <x v="26"/>
    <s v="Admin/HR/IT"/>
    <s v="AMCARE NonOcc In"/>
    <s v="AMZN"/>
    <n v="112981196"/>
    <s v="Gomez,Andrea"/>
    <s v="Piedra,Valentina"/>
    <n v="0"/>
    <n v="0"/>
    <n v="0"/>
    <n v="0"/>
    <n v="0.19"/>
    <e v="#N/A"/>
    <x v="22"/>
  </r>
  <r>
    <d v="2023-07-13T00:00:00"/>
    <x v="26"/>
    <s v="Admin/HR/IT"/>
    <s v="AMCARE NonOcc In"/>
    <s v="AMZN"/>
    <n v="113040582"/>
    <s v="HDZ,DEMON"/>
    <s v="Robledo Ugarte,Alejandro"/>
    <n v="0"/>
    <n v="0"/>
    <n v="0"/>
    <n v="0"/>
    <n v="0.08"/>
    <e v="#N/A"/>
    <x v="63"/>
  </r>
  <r>
    <d v="2023-07-13T00:00:00"/>
    <x v="26"/>
    <s v="Admin/HR/IT"/>
    <s v="AMCARE NonOcc In"/>
    <s v="AMZN"/>
    <n v="113044620"/>
    <s v="Jasso Miranda,Aldo"/>
    <s v="Robledo Ugarte,Alejandro"/>
    <n v="0"/>
    <n v="0"/>
    <n v="0"/>
    <n v="0"/>
    <n v="0.38"/>
    <e v="#N/A"/>
    <x v="52"/>
  </r>
  <r>
    <d v="2023-07-13T00:00:00"/>
    <x v="26"/>
    <s v="Admin/HR/IT"/>
    <s v="AMCARE NonOcc In"/>
    <s v="AMZN"/>
    <n v="113101453"/>
    <s v="Isaac,Geovanna"/>
    <s v="Robledo Ugarte,Alejandro"/>
    <n v="0"/>
    <n v="0"/>
    <n v="0"/>
    <n v="0"/>
    <n v="0.82"/>
    <e v="#N/A"/>
    <x v="4"/>
  </r>
  <r>
    <d v="2023-07-13T00:00:00"/>
    <x v="26"/>
    <s v="Admin/HR/IT"/>
    <s v="AMCARE NonOcc In"/>
    <s v="AMZN"/>
    <n v="200404250"/>
    <s v="Hurtado,Caty"/>
    <s v="Romero Sanchez,Gustavo Gabriel"/>
    <n v="0"/>
    <n v="0"/>
    <n v="0"/>
    <n v="0"/>
    <n v="0.42"/>
    <e v="#N/A"/>
    <x v="6"/>
  </r>
  <r>
    <d v="2023-07-13T00:00:00"/>
    <x v="26"/>
    <s v="Admin/HR/IT"/>
    <s v="AMCARE NonOcc In"/>
    <s v="TEMP"/>
    <n v="200407440"/>
    <s v="Escamilla,Guillermo"/>
    <s v="Romero Sanchez,Gustavo Gabriel"/>
    <n v="0"/>
    <n v="0"/>
    <n v="0"/>
    <n v="0"/>
    <n v="0.3"/>
    <e v="#N/A"/>
    <x v="0"/>
  </r>
  <r>
    <d v="2023-07-13T00:00:00"/>
    <x v="26"/>
    <s v="Admin/HR/IT"/>
    <s v="AMCARE NonOcc In"/>
    <s v="AMZN"/>
    <n v="200508315"/>
    <s v="Herrera,Aldair"/>
    <s v="Madrid Molina,Ramon"/>
    <n v="0"/>
    <n v="0"/>
    <n v="0"/>
    <n v="0"/>
    <n v="0.39"/>
    <e v="#N/A"/>
    <x v="41"/>
  </r>
  <r>
    <d v="2023-07-13T00:00:00"/>
    <x v="26"/>
    <s v="Admin/HR/IT"/>
    <s v="AMCARE NonOcc In"/>
    <s v="AMZN"/>
    <n v="200562154"/>
    <s v="Reyes Muniz,Cristian"/>
    <s v="Corona Arriaga,Fernando"/>
    <n v="0"/>
    <n v="0"/>
    <n v="0"/>
    <n v="0"/>
    <n v="0.45"/>
    <e v="#N/A"/>
    <x v="42"/>
  </r>
  <r>
    <d v="2023-07-13T00:00:00"/>
    <x v="26"/>
    <s v="Admin/HR/IT"/>
    <s v="AMCARE NonOcc In"/>
    <s v="AMZN"/>
    <n v="200625528"/>
    <s v="Oliva,Lizbeth"/>
    <s v="Piedra,Valentina"/>
    <n v="0"/>
    <n v="0"/>
    <n v="0"/>
    <n v="0"/>
    <n v="0.12"/>
    <e v="#N/A"/>
    <x v="83"/>
  </r>
  <r>
    <d v="2023-07-13T00:00:00"/>
    <x v="26"/>
    <s v="Admin/HR/IT"/>
    <s v="AMCARE NonOcc In"/>
    <s v="TEMP"/>
    <n v="201191390"/>
    <s v="GarcÃ­a,jesus"/>
    <s v="Madrid Molina,Ramon"/>
    <n v="0"/>
    <n v="0"/>
    <n v="0"/>
    <n v="0"/>
    <n v="0.13"/>
    <e v="#N/A"/>
    <x v="116"/>
  </r>
  <r>
    <d v="2023-07-13T00:00:00"/>
    <x v="26"/>
    <s v="Admin/HR/IT"/>
    <s v="AMCARE NonOcc In"/>
    <s v="TEMP"/>
    <n v="201198922"/>
    <s v="Mendez,Joy"/>
    <s v="Gomez Aguado,Jorge"/>
    <n v="0"/>
    <n v="0"/>
    <n v="0"/>
    <n v="0"/>
    <n v="0.14000000000000001"/>
    <e v="#N/A"/>
    <x v="173"/>
  </r>
  <r>
    <d v="2023-07-13T00:00:00"/>
    <x v="26"/>
    <s v="Admin/HR/IT"/>
    <s v="AMCARE NonOcc In"/>
    <s v="TEMP"/>
    <n v="201201993"/>
    <s v="Olmos,Lucia"/>
    <s v="Bueno Mendoza,Susana"/>
    <n v="0"/>
    <n v="0"/>
    <n v="0"/>
    <n v="0"/>
    <n v="0.19"/>
    <e v="#N/A"/>
    <x v="0"/>
  </r>
  <r>
    <d v="2023-07-13T00:00:00"/>
    <x v="26"/>
    <s v="Admin/HR/IT"/>
    <s v="AMCARE NonOcc In"/>
    <s v="TEMP"/>
    <n v="201294405"/>
    <s v="Rojas,Catherine"/>
    <s v="Gomez,Abinadab"/>
    <n v="0"/>
    <n v="0"/>
    <n v="0"/>
    <n v="0"/>
    <n v="0.11"/>
    <e v="#N/A"/>
    <x v="0"/>
  </r>
  <r>
    <d v="2023-07-13T00:00:00"/>
    <x v="26"/>
    <s v="Admin/HR/IT"/>
    <s v="AMCARE NonOcc In"/>
    <s v="TEMP"/>
    <n v="201295559"/>
    <s v="Flores,Mar"/>
    <s v="Gomez Aguado,Jorge"/>
    <n v="0"/>
    <n v="0"/>
    <n v="0"/>
    <n v="0"/>
    <n v="0.09"/>
    <e v="#N/A"/>
    <x v="181"/>
  </r>
  <r>
    <d v="2023-07-13T00:00:00"/>
    <x v="26"/>
    <s v="Admin/HR/IT"/>
    <s v="AMCARE NonOcc In"/>
    <s v="TEMP"/>
    <n v="201338665"/>
    <s v="Reyes,Daniel"/>
    <s v="Lopez,Alexa"/>
    <n v="0"/>
    <n v="0"/>
    <n v="0"/>
    <n v="0"/>
    <n v="0.47"/>
    <e v="#N/A"/>
    <x v="0"/>
  </r>
  <r>
    <d v="2023-07-13T00:00:00"/>
    <x v="26"/>
    <s v="Admin/HR/IT"/>
    <s v="AMCARE NonOcc In"/>
    <s v="TEMP"/>
    <n v="201341822"/>
    <s v="Rocha,Claudia"/>
    <s v="Corona Arriaga,Fernando"/>
    <n v="0"/>
    <n v="0"/>
    <n v="0"/>
    <n v="0"/>
    <n v="0.33"/>
    <e v="#N/A"/>
    <x v="0"/>
  </r>
  <r>
    <d v="2023-07-13T00:00:00"/>
    <x v="26"/>
    <s v="Admin/HR/IT"/>
    <s v="AMCARE NonOcc In"/>
    <s v="TEMP"/>
    <n v="201363254"/>
    <s v="Frausto,Raziel"/>
    <s v="Cortes,Alejandra"/>
    <n v="0"/>
    <n v="0"/>
    <n v="0"/>
    <n v="0"/>
    <n v="1.26"/>
    <e v="#N/A"/>
    <x v="155"/>
  </r>
  <r>
    <d v="2023-07-13T00:00:00"/>
    <x v="26"/>
    <s v="Admin/HR/IT"/>
    <s v="AMCARE NonOcc In"/>
    <s v="TEMP"/>
    <n v="201374875"/>
    <s v="Velez,Xochitl"/>
    <s v="Lopez,Alexa"/>
    <n v="0"/>
    <n v="0"/>
    <n v="0"/>
    <n v="0"/>
    <n v="0.41"/>
    <e v="#N/A"/>
    <x v="0"/>
  </r>
  <r>
    <d v="2023-07-13T00:00:00"/>
    <x v="26"/>
    <s v="Admin/HR/IT"/>
    <s v="AMCARE NonOcc In"/>
    <s v="TEMP"/>
    <n v="201401219"/>
    <s v="Moreno,Nayma"/>
    <s v="Bueno Mendoza,Susana"/>
    <n v="0"/>
    <n v="0"/>
    <n v="0"/>
    <n v="0"/>
    <n v="0.23"/>
    <e v="#N/A"/>
    <x v="182"/>
  </r>
  <r>
    <d v="2023-07-13T00:00:00"/>
    <x v="26"/>
    <s v="Admin/HR/IT"/>
    <s v="AMCARE NonOcc In"/>
    <s v="TEMP"/>
    <n v="201409070"/>
    <s v="Hernandez,Estefania"/>
    <s v="Gomez Aguado,Jorge"/>
    <n v="0"/>
    <n v="0"/>
    <n v="0"/>
    <n v="0"/>
    <n v="0.34"/>
    <e v="#N/A"/>
    <x v="0"/>
  </r>
  <r>
    <d v="2023-07-14T00:00:00"/>
    <x v="26"/>
    <s v="Admin/HR/IT"/>
    <s v="AMCARE NonOcc In"/>
    <s v="TEMP"/>
    <n v="112912747"/>
    <s v="Velasco,Cristina"/>
    <s v="Lopez,Alexa"/>
    <n v="0"/>
    <n v="0"/>
    <n v="0"/>
    <n v="0"/>
    <n v="0.47"/>
    <e v="#N/A"/>
    <x v="0"/>
  </r>
  <r>
    <d v="2023-07-14T00:00:00"/>
    <x v="26"/>
    <s v="Admin/HR/IT"/>
    <s v="AMCARE NonOcc In"/>
    <s v="AMZN"/>
    <n v="112916533"/>
    <s v="Torres Lozano,Jorge"/>
    <s v="Gomez Aguado,Jorge"/>
    <n v="0"/>
    <n v="0"/>
    <n v="0"/>
    <n v="0"/>
    <n v="0.69"/>
    <s v="DB-X0700"/>
    <x v="183"/>
  </r>
  <r>
    <d v="2023-07-14T00:00:00"/>
    <x v="26"/>
    <s v="Admin/HR/IT"/>
    <s v="AMCARE NonOcc In"/>
    <s v="AMZN"/>
    <n v="112920654"/>
    <s v="Horta,Julieta"/>
    <s v="Hernandez,Nataly"/>
    <n v="0"/>
    <n v="0"/>
    <n v="0"/>
    <n v="0"/>
    <n v="0.16"/>
    <s v="DB-X0700"/>
    <x v="61"/>
  </r>
  <r>
    <d v="2023-07-14T00:00:00"/>
    <x v="26"/>
    <s v="Admin/HR/IT"/>
    <s v="AMCARE NonOcc In"/>
    <s v="AMZN"/>
    <n v="112971962"/>
    <s v="Reyes  Montes de oca,Alejandra"/>
    <s v="Ledezma,Fer"/>
    <n v="0"/>
    <n v="0"/>
    <n v="0"/>
    <n v="0"/>
    <n v="0.19"/>
    <s v="DB-X0700"/>
    <x v="26"/>
  </r>
  <r>
    <d v="2023-07-14T00:00:00"/>
    <x v="26"/>
    <s v="Admin/HR/IT"/>
    <s v="AMCARE NonOcc In"/>
    <s v="AMZN"/>
    <n v="113052151"/>
    <s v="Nieves Mendez,Laura"/>
    <s v="Ledezma,Fer"/>
    <n v="0"/>
    <n v="0"/>
    <n v="0"/>
    <n v="0"/>
    <n v="0.12"/>
    <e v="#N/A"/>
    <x v="56"/>
  </r>
  <r>
    <d v="2023-07-14T00:00:00"/>
    <x v="26"/>
    <s v="Admin/HR/IT"/>
    <s v="AMCARE NonOcc In"/>
    <s v="AMZN"/>
    <n v="200562154"/>
    <s v="Reyes Muniz,Cristian"/>
    <s v="Corona Arriaga,Fernando"/>
    <n v="0"/>
    <n v="0"/>
    <n v="0"/>
    <n v="0"/>
    <n v="0.56999999999999995"/>
    <e v="#N/A"/>
    <x v="42"/>
  </r>
  <r>
    <d v="2023-07-14T00:00:00"/>
    <x v="26"/>
    <s v="Admin/HR/IT"/>
    <s v="AMCARE NonOcc In"/>
    <s v="AMZN"/>
    <n v="200564845"/>
    <s v="Barron,Abraham"/>
    <s v="Gomez Aguado,Jorge"/>
    <n v="0"/>
    <n v="0"/>
    <n v="0"/>
    <n v="0"/>
    <n v="0.38"/>
    <e v="#N/A"/>
    <x v="0"/>
  </r>
  <r>
    <d v="2023-07-14T00:00:00"/>
    <x v="26"/>
    <s v="Admin/HR/IT"/>
    <s v="AMCARE NonOcc In"/>
    <s v="AMZN"/>
    <n v="200625528"/>
    <s v="Oliva,Lizbeth"/>
    <s v="Piedra,Valentina"/>
    <n v="0"/>
    <n v="0"/>
    <n v="0"/>
    <n v="0"/>
    <n v="0.18"/>
    <e v="#N/A"/>
    <x v="83"/>
  </r>
  <r>
    <d v="2023-07-14T00:00:00"/>
    <x v="26"/>
    <s v="Admin/HR/IT"/>
    <s v="AMCARE NonOcc In"/>
    <s v="TEMP"/>
    <n v="201166890"/>
    <s v="Caballero,Daniel"/>
    <s v="Romero Sanchez,Gustavo Gabriel"/>
    <n v="0"/>
    <n v="0"/>
    <n v="0"/>
    <n v="0"/>
    <n v="0.14000000000000001"/>
    <e v="#N/A"/>
    <x v="141"/>
  </r>
  <r>
    <d v="2023-07-14T00:00:00"/>
    <x v="26"/>
    <s v="Admin/HR/IT"/>
    <s v="AMCARE NonOcc In"/>
    <s v="TEMP"/>
    <n v="201167501"/>
    <s v="Rodriguez,Ruben"/>
    <s v="Robledo Ugarte,Alejandro"/>
    <n v="0"/>
    <n v="0"/>
    <n v="0"/>
    <n v="0"/>
    <n v="1.01"/>
    <e v="#N/A"/>
    <x v="109"/>
  </r>
  <r>
    <d v="2023-07-14T00:00:00"/>
    <x v="26"/>
    <s v="Admin/HR/IT"/>
    <s v="AMCARE NonOcc In"/>
    <s v="TEMP"/>
    <n v="201185653"/>
    <s v="Lopez,Mine"/>
    <s v="Corona Arriaga,Fernando"/>
    <n v="0"/>
    <n v="0"/>
    <n v="0"/>
    <n v="0"/>
    <n v="0.14000000000000001"/>
    <e v="#N/A"/>
    <x v="137"/>
  </r>
  <r>
    <d v="2023-07-14T00:00:00"/>
    <x v="26"/>
    <s v="Admin/HR/IT"/>
    <s v="AMCARE NonOcc In"/>
    <s v="TEMP"/>
    <n v="201320388"/>
    <s v="Pena,Laura"/>
    <s v="Robledo Ugarte,Alejandro"/>
    <n v="0"/>
    <n v="0"/>
    <n v="0"/>
    <n v="0"/>
    <n v="0.53"/>
    <e v="#N/A"/>
    <x v="0"/>
  </r>
  <r>
    <d v="2023-07-14T00:00:00"/>
    <x v="26"/>
    <s v="Admin/HR/IT"/>
    <s v="AMCARE NonOcc In"/>
    <s v="TEMP"/>
    <n v="201353166"/>
    <s v="Martinez,Lucia"/>
    <s v="Ledezma,Fer"/>
    <n v="0"/>
    <n v="0"/>
    <n v="0"/>
    <n v="0"/>
    <n v="0.44"/>
    <e v="#N/A"/>
    <x v="145"/>
  </r>
  <r>
    <d v="2023-07-14T00:00:00"/>
    <x v="26"/>
    <s v="Admin/HR/IT"/>
    <s v="AMCARE NonOcc In"/>
    <s v="TEMP"/>
    <n v="201354965"/>
    <s v="JimÃ©nez,Aline"/>
    <s v="Lopez,Alexa"/>
    <n v="0"/>
    <n v="0"/>
    <n v="0"/>
    <n v="0"/>
    <n v="0.23"/>
    <e v="#N/A"/>
    <x v="152"/>
  </r>
  <r>
    <d v="2023-07-14T00:00:00"/>
    <x v="26"/>
    <s v="Admin/HR/IT"/>
    <s v="AMCARE NonOcc In"/>
    <s v="TEMP"/>
    <n v="201403462"/>
    <s v="Valdovino,Jorge"/>
    <s v="Corona Arriaga,Fernando"/>
    <n v="0"/>
    <n v="0"/>
    <n v="0"/>
    <n v="0"/>
    <n v="0.25"/>
    <e v="#N/A"/>
    <x v="146"/>
  </r>
  <r>
    <d v="2023-07-15T00:00:00"/>
    <x v="26"/>
    <s v="Admin/HR/IT"/>
    <s v="AMCARE NonOcc In"/>
    <s v="AMZN"/>
    <n v="112912054"/>
    <s v="Rivera Ramirez,Jorge"/>
    <s v="Pizana,Diego"/>
    <n v="0"/>
    <n v="0"/>
    <n v="0"/>
    <n v="0"/>
    <n v="0.17"/>
    <s v="DB-X0700"/>
    <x v="25"/>
  </r>
  <r>
    <d v="2023-07-15T00:00:00"/>
    <x v="26"/>
    <s v="Admin/HR/IT"/>
    <s v="AMCARE NonOcc In"/>
    <s v="AMZN"/>
    <n v="112916533"/>
    <s v="Torres Lozano,Jorge"/>
    <s v="Gomez Aguado,Jorge"/>
    <n v="0"/>
    <n v="0"/>
    <n v="0"/>
    <n v="0"/>
    <n v="0.69"/>
    <s v="DB-X0700"/>
    <x v="183"/>
  </r>
  <r>
    <d v="2023-07-15T00:00:00"/>
    <x v="26"/>
    <s v="Admin/HR/IT"/>
    <s v="AMCARE NonOcc In"/>
    <s v="AMZN"/>
    <n v="112951256"/>
    <s v="Ramirez Vallejo,Kateryne"/>
    <s v="Pizana,Diego"/>
    <n v="0"/>
    <n v="0"/>
    <n v="0"/>
    <n v="0"/>
    <n v="1.3"/>
    <s v="DA-X0700"/>
    <x v="27"/>
  </r>
  <r>
    <d v="2023-07-15T00:00:00"/>
    <x v="26"/>
    <s v="Admin/HR/IT"/>
    <s v="AMCARE NonOcc In"/>
    <s v="AMZN"/>
    <n v="112971962"/>
    <s v="Reyes  Montes de oca,Alejandra"/>
    <s v="Ledezma,Fer"/>
    <n v="0"/>
    <n v="0"/>
    <n v="0"/>
    <n v="0"/>
    <n v="0.34"/>
    <s v="DB-X0700"/>
    <x v="26"/>
  </r>
  <r>
    <d v="2023-07-15T00:00:00"/>
    <x v="26"/>
    <s v="Admin/HR/IT"/>
    <s v="AMCARE NonOcc In"/>
    <s v="AMZN"/>
    <n v="112976043"/>
    <s v="Rivas,Ricardo"/>
    <s v="Ãvila,Arturo"/>
    <n v="0"/>
    <n v="0"/>
    <n v="0"/>
    <n v="0"/>
    <n v="0.01"/>
    <s v="DE-X1024"/>
    <x v="184"/>
  </r>
  <r>
    <d v="2023-07-15T00:00:00"/>
    <x v="26"/>
    <s v="Admin/HR/IT"/>
    <s v="AMCARE NonOcc In"/>
    <s v="AMZN"/>
    <n v="113004099"/>
    <s v="Partida,Luis"/>
    <s v="Madrid Molina,Ramon"/>
    <n v="0"/>
    <n v="0"/>
    <n v="0"/>
    <n v="0"/>
    <n v="7.0000000000000007E-2"/>
    <e v="#N/A"/>
    <x v="71"/>
  </r>
  <r>
    <d v="2023-07-15T00:00:00"/>
    <x v="26"/>
    <s v="Admin/HR/IT"/>
    <s v="AMCARE NonOcc In"/>
    <s v="AMZN"/>
    <n v="113014084"/>
    <s v="Diaz,Manuel"/>
    <s v="Gomez Aguado,Jorge"/>
    <n v="0"/>
    <n v="0"/>
    <n v="0"/>
    <n v="0"/>
    <n v="0.54"/>
    <e v="#N/A"/>
    <x v="47"/>
  </r>
  <r>
    <d v="2023-07-15T00:00:00"/>
    <x v="26"/>
    <s v="Admin/HR/IT"/>
    <s v="AMCARE NonOcc In"/>
    <s v="AMZN"/>
    <n v="113020476"/>
    <s v="Puente Aguilar,Polette"/>
    <s v="Madrid Molina,Ramon"/>
    <n v="0"/>
    <n v="0"/>
    <n v="0"/>
    <n v="0"/>
    <n v="0.22"/>
    <e v="#N/A"/>
    <x v="19"/>
  </r>
  <r>
    <d v="2023-07-15T00:00:00"/>
    <x v="26"/>
    <s v="Admin/HR/IT"/>
    <s v="AMCARE NonOcc In"/>
    <s v="AMZN"/>
    <n v="113101262"/>
    <s v="Tinoco,Cesar"/>
    <s v="Corona Arriaga,Fernando"/>
    <n v="0"/>
    <n v="0"/>
    <n v="0"/>
    <n v="0"/>
    <n v="0.19"/>
    <e v="#N/A"/>
    <x v="89"/>
  </r>
  <r>
    <d v="2023-07-15T00:00:00"/>
    <x v="26"/>
    <s v="Admin/HR/IT"/>
    <s v="AMCARE NonOcc In"/>
    <s v="AMZN"/>
    <n v="200562154"/>
    <s v="Reyes Muniz,Cristian"/>
    <s v="Corona Arriaga,Fernando"/>
    <n v="0"/>
    <n v="0"/>
    <n v="0"/>
    <n v="0"/>
    <n v="0.49"/>
    <e v="#N/A"/>
    <x v="42"/>
  </r>
  <r>
    <d v="2023-07-15T00:00:00"/>
    <x v="26"/>
    <s v="Admin/HR/IT"/>
    <s v="AMCARE NonOcc In"/>
    <s v="AMZN"/>
    <n v="200564845"/>
    <s v="Barron,Abraham"/>
    <s v="Gomez Aguado,Jorge"/>
    <n v="0"/>
    <n v="0"/>
    <n v="0"/>
    <n v="0"/>
    <n v="0.41"/>
    <e v="#N/A"/>
    <x v="0"/>
  </r>
  <r>
    <d v="2023-07-15T00:00:00"/>
    <x v="26"/>
    <s v="Admin/HR/IT"/>
    <s v="AMCARE NonOcc In"/>
    <s v="AMZN"/>
    <n v="200614224"/>
    <s v="Cruz Hernandez,Cris"/>
    <s v="Ledezma,Fer"/>
    <n v="0"/>
    <n v="0"/>
    <n v="0"/>
    <n v="0"/>
    <n v="0.1"/>
    <e v="#N/A"/>
    <x v="0"/>
  </r>
  <r>
    <d v="2023-07-15T00:00:00"/>
    <x v="26"/>
    <s v="Admin/HR/IT"/>
    <s v="AMCARE NonOcc In"/>
    <s v="AMZN"/>
    <n v="200615883"/>
    <s v="Ibarra Amaro,Adriana"/>
    <s v="Gomez Aguado,Jorge"/>
    <n v="0"/>
    <n v="0"/>
    <n v="0"/>
    <n v="0"/>
    <n v="0.18"/>
    <e v="#N/A"/>
    <x v="0"/>
  </r>
  <r>
    <d v="2023-07-15T00:00:00"/>
    <x v="26"/>
    <s v="Admin/HR/IT"/>
    <s v="AMCARE NonOcc In"/>
    <s v="TEMP"/>
    <n v="201166890"/>
    <s v="Caballero,Daniel"/>
    <s v="Romero Sanchez,Gustavo Gabriel"/>
    <n v="0"/>
    <n v="0"/>
    <n v="0"/>
    <n v="0"/>
    <n v="0.14000000000000001"/>
    <e v="#N/A"/>
    <x v="141"/>
  </r>
  <r>
    <d v="2023-07-15T00:00:00"/>
    <x v="26"/>
    <s v="Admin/HR/IT"/>
    <s v="AMCARE NonOcc In"/>
    <s v="TEMP"/>
    <n v="201167388"/>
    <s v="Aguirre,Octavio"/>
    <s v="Madrid Molina,Ramon"/>
    <n v="0"/>
    <n v="0"/>
    <n v="0"/>
    <n v="0"/>
    <n v="0.15"/>
    <e v="#N/A"/>
    <x v="159"/>
  </r>
  <r>
    <d v="2023-07-15T00:00:00"/>
    <x v="26"/>
    <s v="Admin/HR/IT"/>
    <s v="AMCARE NonOcc In"/>
    <s v="TEMP"/>
    <n v="201314835"/>
    <s v="Guzman,Janeth"/>
    <s v="Lopez,Alexa"/>
    <n v="0"/>
    <n v="0"/>
    <n v="0"/>
    <n v="0"/>
    <n v="0.77"/>
    <e v="#N/A"/>
    <x v="0"/>
  </r>
  <r>
    <d v="2023-07-15T00:00:00"/>
    <x v="26"/>
    <s v="Admin/HR/IT"/>
    <s v="AMCARE NonOcc In"/>
    <s v="TEMP"/>
    <n v="201374875"/>
    <s v="Velez,Xochitl"/>
    <s v="Lopez,Alexa"/>
    <n v="0"/>
    <n v="0"/>
    <n v="0"/>
    <n v="0"/>
    <n v="0.05"/>
    <e v="#N/A"/>
    <x v="0"/>
  </r>
  <r>
    <d v="2023-07-16T00:00:00"/>
    <x v="27"/>
    <s v="Admin/HR/IT"/>
    <s v="AMCARE NonOcc In"/>
    <s v="AMZN"/>
    <n v="112912752"/>
    <s v="Valderrama Gomez,Leslie"/>
    <s v="Piedra,Valentina"/>
    <n v="0"/>
    <n v="0"/>
    <n v="0"/>
    <n v="0"/>
    <n v="0.28000000000000003"/>
    <s v="NF-X1900"/>
    <x v="5"/>
  </r>
  <r>
    <d v="2023-07-16T00:00:00"/>
    <x v="27"/>
    <s v="Admin/HR/IT"/>
    <s v="AMCARE NonOcc In"/>
    <s v="AMZN"/>
    <n v="112916534"/>
    <s v="Esparza Sanchez,Areli"/>
    <s v="Corona Arriaga,Fernando"/>
    <n v="0"/>
    <n v="0"/>
    <n v="0"/>
    <n v="0"/>
    <n v="0.56000000000000005"/>
    <s v="DB-X0700"/>
    <x v="40"/>
  </r>
  <r>
    <d v="2023-07-16T00:00:00"/>
    <x v="27"/>
    <s v="Admin/HR/IT"/>
    <s v="AMCARE NonOcc In"/>
    <s v="AMZN"/>
    <n v="112950818"/>
    <s v="Sanchez Banuelos,Edith"/>
    <s v="Bueno Mendoza,Susana"/>
    <n v="0"/>
    <n v="0"/>
    <n v="0"/>
    <n v="0"/>
    <n v="0.15"/>
    <s v="DA-X0700"/>
    <x v="95"/>
  </r>
  <r>
    <d v="2023-07-16T00:00:00"/>
    <x v="27"/>
    <s v="Admin/HR/IT"/>
    <s v="AMCARE NonOcc In"/>
    <s v="AMZN"/>
    <n v="112971962"/>
    <s v="Reyes  Montes de oca,Alejandra"/>
    <s v="Ledezma,Fer"/>
    <n v="0"/>
    <n v="0"/>
    <n v="0"/>
    <n v="0"/>
    <n v="0.22"/>
    <s v="DB-X0700"/>
    <x v="26"/>
  </r>
  <r>
    <d v="2023-07-16T00:00:00"/>
    <x v="27"/>
    <s v="Admin/HR/IT"/>
    <s v="AMCARE NonOcc In"/>
    <s v="AMZN"/>
    <n v="112981194"/>
    <s v="Camacho Delgado,Karina"/>
    <s v="Piedra,Valentina"/>
    <n v="0"/>
    <n v="0"/>
    <n v="0"/>
    <n v="0"/>
    <n v="0.25"/>
    <s v="NF-X1900"/>
    <x v="70"/>
  </r>
  <r>
    <d v="2023-07-16T00:00:00"/>
    <x v="27"/>
    <s v="Admin/HR/IT"/>
    <s v="AMCARE NonOcc In"/>
    <s v="AMZN"/>
    <n v="113014470"/>
    <s v="Aguilar Ibarra,Lupe"/>
    <s v="Robledo Ugarte,Alejandro"/>
    <n v="0"/>
    <n v="0"/>
    <n v="0"/>
    <n v="0"/>
    <n v="0.28000000000000003"/>
    <e v="#N/A"/>
    <x v="30"/>
  </r>
  <r>
    <d v="2023-07-16T00:00:00"/>
    <x v="27"/>
    <s v="Admin/HR/IT"/>
    <s v="AMCARE NonOcc In"/>
    <s v="TEMP"/>
    <n v="200525930"/>
    <s v="Salazar,Joana"/>
    <s v="Gomez Aguado,Jorge"/>
    <n v="0"/>
    <n v="0"/>
    <n v="0"/>
    <n v="0"/>
    <n v="0.17"/>
    <e v="#N/A"/>
    <x v="0"/>
  </r>
  <r>
    <d v="2023-07-16T00:00:00"/>
    <x v="27"/>
    <s v="Admin/HR/IT"/>
    <s v="AMCARE NonOcc In"/>
    <s v="AMZN"/>
    <n v="200562154"/>
    <s v="Reyes Muniz,Cristian"/>
    <s v="Corona Arriaga,Fernando"/>
    <n v="0"/>
    <n v="0"/>
    <n v="0"/>
    <n v="0"/>
    <n v="0.48"/>
    <e v="#N/A"/>
    <x v="42"/>
  </r>
  <r>
    <d v="2023-07-16T00:00:00"/>
    <x v="27"/>
    <s v="Admin/HR/IT"/>
    <s v="AMCARE NonOcc In"/>
    <s v="AMZN"/>
    <n v="200625517"/>
    <s v="RamÃ­rez,Mindy"/>
    <s v="Robledo Ugarte,Alejandro"/>
    <n v="0"/>
    <n v="0"/>
    <n v="0"/>
    <n v="0"/>
    <n v="0.24"/>
    <e v="#N/A"/>
    <x v="0"/>
  </r>
  <r>
    <d v="2023-07-16T00:00:00"/>
    <x v="27"/>
    <s v="Admin/HR/IT"/>
    <s v="AMCARE NonOcc In"/>
    <s v="TEMP"/>
    <n v="201167501"/>
    <s v="Rodriguez,Ruben"/>
    <s v="Robledo Ugarte,Alejandro"/>
    <n v="0"/>
    <n v="0"/>
    <n v="0"/>
    <n v="0"/>
    <n v="0.35"/>
    <e v="#N/A"/>
    <x v="109"/>
  </r>
  <r>
    <d v="2023-07-16T00:00:00"/>
    <x v="27"/>
    <s v="Admin/HR/IT"/>
    <s v="AMCARE NonOcc In"/>
    <s v="TEMP"/>
    <n v="201186777"/>
    <s v="Monzon,Berenice"/>
    <s v="Romero Sanchez,Gustavo Gabriel"/>
    <n v="0"/>
    <n v="0"/>
    <n v="0"/>
    <n v="0"/>
    <n v="0.22"/>
    <e v="#N/A"/>
    <x v="107"/>
  </r>
  <r>
    <d v="2023-07-16T00:00:00"/>
    <x v="27"/>
    <s v="Admin/HR/IT"/>
    <s v="AMCARE NonOcc In"/>
    <s v="TEMP"/>
    <n v="201191198"/>
    <s v="Mojica,Emmanuel"/>
    <s v="Ledezma,Fer"/>
    <n v="0"/>
    <n v="0"/>
    <n v="0"/>
    <n v="0"/>
    <n v="0.56000000000000005"/>
    <e v="#N/A"/>
    <x v="130"/>
  </r>
  <r>
    <d v="2023-07-16T00:00:00"/>
    <x v="27"/>
    <s v="Admin/HR/IT"/>
    <s v="AMCARE NonOcc In"/>
    <s v="TEMP"/>
    <n v="201353166"/>
    <s v="Martinez,Lucia"/>
    <s v="Ledezma,Fer"/>
    <n v="0"/>
    <n v="0"/>
    <n v="0"/>
    <n v="0"/>
    <n v="0.23"/>
    <e v="#N/A"/>
    <x v="145"/>
  </r>
  <r>
    <d v="2023-07-16T00:00:00"/>
    <x v="27"/>
    <s v="Admin/HR/IT"/>
    <s v="AMCARE NonOcc In"/>
    <s v="TEMP"/>
    <n v="201378542"/>
    <s v="Contreras,Evelyn"/>
    <s v="Bueno Mendoza,Susana"/>
    <n v="0"/>
    <n v="0"/>
    <n v="0"/>
    <n v="0"/>
    <n v="0.2"/>
    <e v="#N/A"/>
    <x v="185"/>
  </r>
  <r>
    <d v="2023-07-16T00:00:00"/>
    <x v="27"/>
    <s v="Admin/HR/IT"/>
    <s v="AMCARE NonOcc In"/>
    <s v="TEMP"/>
    <n v="201378614"/>
    <s v="Meza,Fernando"/>
    <s v="Bueno Mendoza,Susana"/>
    <n v="0"/>
    <n v="0"/>
    <n v="0"/>
    <n v="0"/>
    <n v="0.11"/>
    <e v="#N/A"/>
    <x v="0"/>
  </r>
  <r>
    <d v="2023-07-16T00:00:00"/>
    <x v="27"/>
    <s v="Admin/HR/IT"/>
    <s v="AMCARE NonOcc In"/>
    <s v="TEMP"/>
    <n v="201409070"/>
    <s v="Hernandez,Estefania"/>
    <s v="Gomez Aguado,Jorge"/>
    <n v="0"/>
    <n v="0"/>
    <n v="0"/>
    <n v="0"/>
    <n v="0.59"/>
    <e v="#N/A"/>
    <x v="0"/>
  </r>
  <r>
    <d v="2023-07-16T00:00:00"/>
    <x v="27"/>
    <s v="Admin/HR/IT"/>
    <s v="AMCARE Occ In"/>
    <s v="AMZN"/>
    <n v="112912745"/>
    <s v="Gomez Meza,Alex"/>
    <s v="Piedra,Valentina"/>
    <n v="0"/>
    <n v="0"/>
    <n v="0"/>
    <n v="0"/>
    <n v="0.37"/>
    <s v="DA-X0700"/>
    <x v="55"/>
  </r>
  <r>
    <d v="2023-07-17T00:00:00"/>
    <x v="27"/>
    <s v="Admin/HR/IT"/>
    <s v="AMCARE NonOcc In"/>
    <s v="AMZN"/>
    <n v="112698209"/>
    <s v="Ramirez Ramirez,Diana Cecilia"/>
    <s v="Garcia Espejel,Brenda Victoria"/>
    <n v="0"/>
    <n v="0"/>
    <n v="0"/>
    <n v="0"/>
    <n v="7.0000000000000007E-2"/>
    <s v="DA-X0700"/>
    <x v="125"/>
  </r>
  <r>
    <d v="2023-07-17T00:00:00"/>
    <x v="27"/>
    <s v="Admin/HR/IT"/>
    <s v="AMCARE NonOcc In"/>
    <s v="AMZN"/>
    <n v="112912663"/>
    <s v="Segura,Lucero"/>
    <s v="Munoz,Jonan"/>
    <n v="0"/>
    <n v="0"/>
    <n v="0"/>
    <n v="0"/>
    <n v="0.59"/>
    <e v="#N/A"/>
    <x v="0"/>
  </r>
  <r>
    <d v="2023-07-17T00:00:00"/>
    <x v="27"/>
    <s v="Admin/HR/IT"/>
    <s v="AMCARE NonOcc In"/>
    <s v="AMZN"/>
    <n v="112971962"/>
    <s v="Reyes  Montes de oca,Alejandra"/>
    <s v="Ledezma,Fer"/>
    <n v="0"/>
    <n v="0"/>
    <n v="0"/>
    <n v="0"/>
    <n v="0.26"/>
    <s v="DB-X0700"/>
    <x v="26"/>
  </r>
  <r>
    <d v="2023-07-17T00:00:00"/>
    <x v="27"/>
    <s v="Admin/HR/IT"/>
    <s v="AMCARE NonOcc In"/>
    <s v="AMZN"/>
    <n v="112981061"/>
    <s v="Olguin,Claudia"/>
    <s v="Robledo Ugarte,Alejandro"/>
    <n v="0"/>
    <n v="0"/>
    <n v="0"/>
    <n v="0"/>
    <n v="1.36"/>
    <s v="DA-X0700"/>
    <x v="11"/>
  </r>
  <r>
    <d v="2023-07-17T00:00:00"/>
    <x v="27"/>
    <s v="Admin/HR/IT"/>
    <s v="AMCARE NonOcc In"/>
    <s v="AMZN"/>
    <n v="113004017"/>
    <s v="Ramirez,Elizabeth"/>
    <s v="Gomez Aguado,Jorge"/>
    <n v="0"/>
    <n v="0"/>
    <n v="0"/>
    <n v="0"/>
    <n v="0.56000000000000005"/>
    <e v="#N/A"/>
    <x v="0"/>
  </r>
  <r>
    <d v="2023-07-17T00:00:00"/>
    <x v="27"/>
    <s v="Admin/HR/IT"/>
    <s v="AMCARE NonOcc In"/>
    <s v="AMZN"/>
    <n v="113014084"/>
    <s v="Diaz,Manuel"/>
    <s v="Gomez Aguado,Jorge"/>
    <n v="0"/>
    <n v="0"/>
    <n v="0"/>
    <n v="0"/>
    <n v="0.15"/>
    <e v="#N/A"/>
    <x v="47"/>
  </r>
  <r>
    <d v="2023-07-17T00:00:00"/>
    <x v="27"/>
    <s v="Admin/HR/IT"/>
    <s v="AMCARE NonOcc In"/>
    <s v="AMZN"/>
    <n v="113101453"/>
    <s v="Isaac,Geovanna"/>
    <s v="Robledo Ugarte,Alejandro"/>
    <n v="0"/>
    <n v="0"/>
    <n v="0"/>
    <n v="0"/>
    <n v="0.5"/>
    <e v="#N/A"/>
    <x v="4"/>
  </r>
  <r>
    <d v="2023-07-17T00:00:00"/>
    <x v="27"/>
    <s v="Admin/HR/IT"/>
    <s v="AMCARE NonOcc In"/>
    <s v="AMZN"/>
    <n v="200514421"/>
    <s v="Padilla Abrego,Angeles"/>
    <s v="Romero Sanchez,Gustavo Gabriel"/>
    <n v="0"/>
    <n v="0"/>
    <n v="0"/>
    <n v="0"/>
    <n v="1.43"/>
    <e v="#N/A"/>
    <x v="18"/>
  </r>
  <r>
    <d v="2023-07-17T00:00:00"/>
    <x v="27"/>
    <s v="Admin/HR/IT"/>
    <s v="AMCARE NonOcc In"/>
    <s v="AMZN"/>
    <n v="200553205"/>
    <s v="Cabrera,Nancy"/>
    <s v="Romero Sanchez,Gustavo Gabriel"/>
    <n v="0"/>
    <n v="0"/>
    <n v="0"/>
    <n v="0"/>
    <n v="0.27"/>
    <e v="#N/A"/>
    <x v="0"/>
  </r>
  <r>
    <d v="2023-07-17T00:00:00"/>
    <x v="27"/>
    <s v="Admin/HR/IT"/>
    <s v="AMCARE NonOcc In"/>
    <s v="AMZN"/>
    <n v="200562154"/>
    <s v="Reyes Muniz,Cristian"/>
    <s v="Corona Arriaga,Fernando"/>
    <n v="0"/>
    <n v="0"/>
    <n v="0"/>
    <n v="0"/>
    <n v="0.21"/>
    <e v="#N/A"/>
    <x v="42"/>
  </r>
  <r>
    <d v="2023-07-17T00:00:00"/>
    <x v="27"/>
    <s v="Admin/HR/IT"/>
    <s v="AMCARE NonOcc In"/>
    <s v="AMZN"/>
    <n v="200574655"/>
    <s v="Mireles,Dulce"/>
    <s v="Robledo Ugarte,Alejandro"/>
    <n v="0"/>
    <n v="0"/>
    <n v="0"/>
    <n v="0"/>
    <n v="1.07"/>
    <e v="#N/A"/>
    <x v="88"/>
  </r>
  <r>
    <d v="2023-07-17T00:00:00"/>
    <x v="27"/>
    <s v="Admin/HR/IT"/>
    <s v="AMCARE NonOcc In"/>
    <s v="AMZN"/>
    <n v="200594875"/>
    <s v="Maldonado,Jose"/>
    <s v="Piedra,Valentina"/>
    <n v="0"/>
    <n v="0"/>
    <n v="0"/>
    <n v="0"/>
    <n v="0.68"/>
    <e v="#N/A"/>
    <x v="67"/>
  </r>
  <r>
    <d v="2023-07-17T00:00:00"/>
    <x v="27"/>
    <s v="Admin/HR/IT"/>
    <s v="AMCARE NonOcc In"/>
    <s v="AMZN"/>
    <n v="200625517"/>
    <s v="RamÃ­rez,Mindy"/>
    <s v="Robledo Ugarte,Alejandro"/>
    <n v="0"/>
    <n v="0"/>
    <n v="0"/>
    <n v="0"/>
    <n v="1.89"/>
    <e v="#N/A"/>
    <x v="0"/>
  </r>
  <r>
    <d v="2023-07-17T00:00:00"/>
    <x v="27"/>
    <s v="Admin/HR/IT"/>
    <s v="AMCARE NonOcc In"/>
    <s v="TEMP"/>
    <n v="201167501"/>
    <s v="Rodriguez,Ruben"/>
    <s v="Robledo Ugarte,Alejandro"/>
    <n v="0"/>
    <n v="0"/>
    <n v="0"/>
    <n v="0"/>
    <n v="0.28999999999999998"/>
    <e v="#N/A"/>
    <x v="109"/>
  </r>
  <r>
    <d v="2023-07-17T00:00:00"/>
    <x v="27"/>
    <s v="Admin/HR/IT"/>
    <s v="AMCARE NonOcc In"/>
    <s v="TEMP"/>
    <n v="201194235"/>
    <s v="Jaramillo,AdriÃ¡n"/>
    <s v="Romero Sanchez,Gustavo Gabriel"/>
    <n v="0"/>
    <n v="0"/>
    <n v="0"/>
    <n v="0"/>
    <n v="0.39"/>
    <e v="#N/A"/>
    <x v="0"/>
  </r>
  <r>
    <d v="2023-07-17T00:00:00"/>
    <x v="27"/>
    <s v="Admin/HR/IT"/>
    <s v="AMCARE NonOcc In"/>
    <s v="TEMP"/>
    <n v="201204937"/>
    <s v="Vazquez,Carmen"/>
    <s v="Ledezma,Fer"/>
    <n v="0"/>
    <n v="0"/>
    <n v="0"/>
    <n v="0"/>
    <n v="0.99"/>
    <e v="#N/A"/>
    <x v="0"/>
  </r>
  <r>
    <d v="2023-07-17T00:00:00"/>
    <x v="27"/>
    <s v="Admin/HR/IT"/>
    <s v="AMCARE NonOcc In"/>
    <s v="TEMP"/>
    <n v="201295432"/>
    <s v="Ortega,Argenis"/>
    <s v="Bueno Mendoza,Susana"/>
    <n v="0"/>
    <n v="0"/>
    <n v="0"/>
    <n v="0"/>
    <n v="0.24"/>
    <e v="#N/A"/>
    <x v="0"/>
  </r>
  <r>
    <d v="2023-07-18T00:00:00"/>
    <x v="27"/>
    <s v="Admin/HR/IT"/>
    <s v="AMCARE NonOcc In"/>
    <s v="AMZN"/>
    <n v="112912008"/>
    <s v="Espinosa,Consuelo"/>
    <s v="Hernandez,Nataly"/>
    <n v="0"/>
    <n v="0"/>
    <n v="0"/>
    <n v="0"/>
    <n v="0.96"/>
    <e v="#N/A"/>
    <x v="0"/>
  </r>
  <r>
    <d v="2023-07-18T00:00:00"/>
    <x v="27"/>
    <s v="Admin/HR/IT"/>
    <s v="AMCARE NonOcc In"/>
    <s v="AMZN"/>
    <n v="112912049"/>
    <s v="Vazquez Rodriguez,Christian"/>
    <s v="Pizana,Diego"/>
    <n v="0"/>
    <n v="0"/>
    <n v="0"/>
    <n v="0"/>
    <n v="0.18"/>
    <s v="NF-X1900"/>
    <x v="60"/>
  </r>
  <r>
    <d v="2023-07-18T00:00:00"/>
    <x v="27"/>
    <s v="Admin/HR/IT"/>
    <s v="AMCARE NonOcc In"/>
    <s v="AMZN"/>
    <n v="112912163"/>
    <s v="Murillo,Alejandro"/>
    <s v="Romero Sanchez,Gustavo Gabriel"/>
    <n v="0"/>
    <n v="0"/>
    <n v="0"/>
    <n v="0"/>
    <n v="0.62"/>
    <e v="#N/A"/>
    <x v="0"/>
  </r>
  <r>
    <d v="2023-07-18T00:00:00"/>
    <x v="27"/>
    <s v="Admin/HR/IT"/>
    <s v="AMCARE NonOcc In"/>
    <s v="AMZN"/>
    <n v="112912752"/>
    <s v="Valderrama Gomez,Leslie"/>
    <s v="Piedra,Valentina"/>
    <n v="0"/>
    <n v="0"/>
    <n v="0"/>
    <n v="0"/>
    <n v="0.41"/>
    <s v="NF-X1900"/>
    <x v="5"/>
  </r>
  <r>
    <d v="2023-07-18T00:00:00"/>
    <x v="27"/>
    <s v="Admin/HR/IT"/>
    <s v="AMCARE NonOcc In"/>
    <s v="AMZN"/>
    <n v="112981212"/>
    <s v="Zanella Miranda,Alyson"/>
    <s v="Robledo Ugarte,Alejandro"/>
    <n v="0"/>
    <n v="0"/>
    <n v="0"/>
    <n v="0"/>
    <n v="0.06"/>
    <e v="#N/A"/>
    <x v="77"/>
  </r>
  <r>
    <d v="2023-07-18T00:00:00"/>
    <x v="27"/>
    <s v="Admin/HR/IT"/>
    <s v="AMCARE NonOcc In"/>
    <s v="AMZN"/>
    <n v="113003635"/>
    <s v="Barron,Giovanni"/>
    <s v="Robledo Ugarte,Alejandro"/>
    <n v="0"/>
    <n v="0"/>
    <n v="0"/>
    <n v="0"/>
    <n v="0.49"/>
    <e v="#N/A"/>
    <x v="118"/>
  </r>
  <r>
    <d v="2023-07-18T00:00:00"/>
    <x v="27"/>
    <s v="Admin/HR/IT"/>
    <s v="AMCARE NonOcc In"/>
    <s v="AMZN"/>
    <n v="113004017"/>
    <s v="Ramirez,Elizabeth"/>
    <s v="Gomez Aguado,Jorge"/>
    <n v="0"/>
    <n v="0"/>
    <n v="0"/>
    <n v="0"/>
    <n v="0.62"/>
    <e v="#N/A"/>
    <x v="0"/>
  </r>
  <r>
    <d v="2023-07-18T00:00:00"/>
    <x v="27"/>
    <s v="Admin/HR/IT"/>
    <s v="AMCARE NonOcc In"/>
    <s v="AMZN"/>
    <n v="113014084"/>
    <s v="Diaz,Manuel"/>
    <s v="Gomez Aguado,Jorge"/>
    <n v="0"/>
    <n v="0"/>
    <n v="0"/>
    <n v="0"/>
    <n v="0.17"/>
    <e v="#N/A"/>
    <x v="47"/>
  </r>
  <r>
    <d v="2023-07-18T00:00:00"/>
    <x v="27"/>
    <s v="Admin/HR/IT"/>
    <s v="AMCARE NonOcc In"/>
    <s v="AMZN"/>
    <n v="113020476"/>
    <s v="Puente Aguilar,Polette"/>
    <s v="Madrid Molina,Ramon"/>
    <n v="0"/>
    <n v="0"/>
    <n v="0"/>
    <n v="0"/>
    <n v="0.09"/>
    <e v="#N/A"/>
    <x v="19"/>
  </r>
  <r>
    <d v="2023-07-18T00:00:00"/>
    <x v="27"/>
    <s v="Admin/HR/IT"/>
    <s v="AMCARE NonOcc In"/>
    <s v="AMZN"/>
    <n v="200574655"/>
    <s v="Mireles,Dulce"/>
    <s v="Robledo Ugarte,Alejandro"/>
    <n v="0"/>
    <n v="0"/>
    <n v="0"/>
    <n v="0"/>
    <n v="0.19"/>
    <e v="#N/A"/>
    <x v="88"/>
  </r>
  <r>
    <d v="2023-07-18T00:00:00"/>
    <x v="27"/>
    <s v="Admin/HR/IT"/>
    <s v="AMCARE NonOcc In"/>
    <s v="TEMP"/>
    <n v="201198370"/>
    <s v="Hernandez,Briana"/>
    <s v="Ledezma,Fer"/>
    <n v="0"/>
    <n v="0"/>
    <n v="0"/>
    <n v="0"/>
    <n v="0.25"/>
    <e v="#N/A"/>
    <x v="0"/>
  </r>
  <r>
    <d v="2023-07-18T00:00:00"/>
    <x v="27"/>
    <s v="Admin/HR/IT"/>
    <s v="AMCARE NonOcc In"/>
    <s v="TEMP"/>
    <n v="201314835"/>
    <s v="Guzman,Janeth"/>
    <s v="Lopez,Alexa"/>
    <n v="0"/>
    <n v="0"/>
    <n v="0"/>
    <n v="0"/>
    <n v="0.51"/>
    <e v="#N/A"/>
    <x v="0"/>
  </r>
  <r>
    <d v="2023-07-18T00:00:00"/>
    <x v="27"/>
    <s v="Admin/HR/IT"/>
    <s v="AMCARE NonOcc In"/>
    <s v="TEMP"/>
    <n v="201360639"/>
    <s v="Rivera,Yael"/>
    <s v="Garcia Espejel,Brenda Victoria"/>
    <n v="0"/>
    <n v="0"/>
    <n v="0"/>
    <n v="0"/>
    <n v="12.38"/>
    <e v="#N/A"/>
    <x v="174"/>
  </r>
  <r>
    <d v="2023-07-18T00:00:00"/>
    <x v="27"/>
    <s v="Admin/HR/IT"/>
    <s v="AMCARE NonOcc In"/>
    <s v="TEMP"/>
    <n v="201378542"/>
    <s v="Contreras,Evelyn"/>
    <s v="Bueno Mendoza,Susana"/>
    <n v="0"/>
    <n v="0"/>
    <n v="0"/>
    <n v="0"/>
    <n v="0.35"/>
    <e v="#N/A"/>
    <x v="185"/>
  </r>
  <r>
    <d v="2023-07-18T00:00:00"/>
    <x v="27"/>
    <s v="Admin/HR/IT"/>
    <s v="AMCARE NonOcc In"/>
    <s v="TEMP"/>
    <n v="201402060"/>
    <s v="Tovar,Mariana"/>
    <s v="Piedra,Valentina"/>
    <n v="0"/>
    <n v="0"/>
    <n v="0"/>
    <n v="0"/>
    <n v="1.51"/>
    <e v="#N/A"/>
    <x v="0"/>
  </r>
  <r>
    <d v="2023-07-18T00:00:00"/>
    <x v="27"/>
    <s v="Admin/HR/IT"/>
    <s v="AMCARE NonOcc In"/>
    <s v="TEMP"/>
    <n v="201402216"/>
    <s v="Navia,Victor"/>
    <s v="Bueno Mendoza,Susana"/>
    <n v="0"/>
    <n v="0"/>
    <n v="0"/>
    <n v="0"/>
    <n v="0.28999999999999998"/>
    <e v="#N/A"/>
    <x v="0"/>
  </r>
  <r>
    <d v="2023-07-18T00:00:00"/>
    <x v="27"/>
    <s v="Admin/HR/IT"/>
    <s v="AMCARE NonOcc In"/>
    <s v="TEMP"/>
    <n v="201403462"/>
    <s v="Valdovino,Jorge"/>
    <s v="Corona Arriaga,Fernando"/>
    <n v="0"/>
    <n v="0"/>
    <n v="0"/>
    <n v="0"/>
    <n v="0.25"/>
    <e v="#N/A"/>
    <x v="146"/>
  </r>
  <r>
    <d v="2023-07-19T00:00:00"/>
    <x v="27"/>
    <s v="Admin/HR/IT"/>
    <s v="AMCARE NonOcc In"/>
    <s v="AMZN"/>
    <n v="112950795"/>
    <s v="Espinosa Espitia,Ali"/>
    <s v="Munoz,Jonan"/>
    <n v="0"/>
    <n v="0"/>
    <n v="0"/>
    <n v="0"/>
    <n v="0.34"/>
    <s v="DA-X0700"/>
    <x v="78"/>
  </r>
  <r>
    <d v="2023-07-19T00:00:00"/>
    <x v="27"/>
    <s v="Admin/HR/IT"/>
    <s v="AMCARE NonOcc In"/>
    <s v="AMZN"/>
    <n v="112971962"/>
    <s v="Reyes  Montes de oca,Alejandra"/>
    <s v="Ledezma,Fer"/>
    <n v="0"/>
    <n v="0"/>
    <n v="0"/>
    <n v="0"/>
    <n v="0.42"/>
    <s v="DB-X0700"/>
    <x v="26"/>
  </r>
  <r>
    <d v="2023-07-19T00:00:00"/>
    <x v="27"/>
    <s v="Admin/HR/IT"/>
    <s v="AMCARE NonOcc In"/>
    <s v="AMZN"/>
    <n v="112980899"/>
    <s v="Avila Cabrera,Ari"/>
    <s v="Bueno Mendoza,Susana"/>
    <n v="0"/>
    <n v="0"/>
    <n v="0"/>
    <n v="0"/>
    <n v="0.15"/>
    <s v="NF-X1900"/>
    <x v="34"/>
  </r>
  <r>
    <d v="2023-07-19T00:00:00"/>
    <x v="27"/>
    <s v="Admin/HR/IT"/>
    <s v="AMCARE NonOcc In"/>
    <s v="AMZN"/>
    <n v="113014094"/>
    <s v="Mercado,Erika"/>
    <s v="Robledo Ugarte,Alejandro"/>
    <n v="0"/>
    <n v="0"/>
    <n v="0"/>
    <n v="0"/>
    <n v="0.53"/>
    <e v="#N/A"/>
    <x v="49"/>
  </r>
  <r>
    <d v="2023-07-19T00:00:00"/>
    <x v="27"/>
    <s v="Admin/HR/IT"/>
    <s v="AMCARE NonOcc In"/>
    <s v="AMZN"/>
    <n v="113014470"/>
    <s v="Aguilar Ibarra,Lupe"/>
    <s v="Robledo Ugarte,Alejandro"/>
    <n v="0"/>
    <n v="0"/>
    <n v="0"/>
    <n v="0"/>
    <n v="0.19"/>
    <e v="#N/A"/>
    <x v="30"/>
  </r>
  <r>
    <d v="2023-07-19T00:00:00"/>
    <x v="27"/>
    <s v="Admin/HR/IT"/>
    <s v="AMCARE NonOcc In"/>
    <s v="AMZN"/>
    <n v="113101453"/>
    <s v="Isaac,Geovanna"/>
    <s v="Robledo Ugarte,Alejandro"/>
    <n v="0"/>
    <n v="0"/>
    <n v="0"/>
    <n v="0"/>
    <n v="0.63"/>
    <e v="#N/A"/>
    <x v="4"/>
  </r>
  <r>
    <d v="2023-07-19T00:00:00"/>
    <x v="27"/>
    <s v="Admin/HR/IT"/>
    <s v="AMCARE NonOcc In"/>
    <s v="AMZN"/>
    <n v="200404250"/>
    <s v="Hurtado,Caty"/>
    <s v="Romero Sanchez,Gustavo Gabriel"/>
    <n v="0"/>
    <n v="0"/>
    <n v="0"/>
    <n v="0"/>
    <n v="1.23"/>
    <e v="#N/A"/>
    <x v="6"/>
  </r>
  <r>
    <d v="2023-07-19T00:00:00"/>
    <x v="27"/>
    <s v="Admin/HR/IT"/>
    <s v="AMCARE NonOcc In"/>
    <s v="TEMP"/>
    <n v="200552429"/>
    <s v="Lozornio Martinez,Antonio"/>
    <s v="Lopez,Alexa"/>
    <n v="0"/>
    <n v="0"/>
    <n v="0"/>
    <n v="0"/>
    <n v="0.55000000000000004"/>
    <e v="#N/A"/>
    <x v="0"/>
  </r>
  <r>
    <d v="2023-07-19T00:00:00"/>
    <x v="27"/>
    <s v="Admin/HR/IT"/>
    <s v="AMCARE NonOcc In"/>
    <s v="AMZN"/>
    <n v="200584282"/>
    <s v="Lopez Nieto,Denisse"/>
    <s v="Robledo Ugarte,Alejandro"/>
    <n v="0"/>
    <n v="0"/>
    <n v="0"/>
    <n v="0"/>
    <n v="0.3"/>
    <e v="#N/A"/>
    <x v="65"/>
  </r>
  <r>
    <d v="2023-07-19T00:00:00"/>
    <x v="27"/>
    <s v="Admin/HR/IT"/>
    <s v="AMCARE NonOcc In"/>
    <s v="TEMP"/>
    <n v="201166890"/>
    <s v="Caballero,Daniel"/>
    <s v="Romero Sanchez,Gustavo Gabriel"/>
    <n v="0"/>
    <n v="0"/>
    <n v="0"/>
    <n v="0"/>
    <n v="0.53"/>
    <e v="#N/A"/>
    <x v="141"/>
  </r>
  <r>
    <d v="2023-07-19T00:00:00"/>
    <x v="27"/>
    <s v="Admin/HR/IT"/>
    <s v="AMCARE NonOcc In"/>
    <s v="TEMP"/>
    <n v="201186833"/>
    <s v="Jasso,Alexa"/>
    <s v="Piedra,Valentina"/>
    <n v="0"/>
    <n v="0"/>
    <n v="0"/>
    <n v="0"/>
    <n v="0.13"/>
    <e v="#N/A"/>
    <x v="114"/>
  </r>
  <r>
    <d v="2023-07-19T00:00:00"/>
    <x v="27"/>
    <s v="Admin/HR/IT"/>
    <s v="AMCARE NonOcc In"/>
    <s v="TEMP"/>
    <n v="201201993"/>
    <s v="Olmos,Lucia"/>
    <s v="Bueno Mendoza,Susana"/>
    <n v="0"/>
    <n v="0"/>
    <n v="0"/>
    <n v="0"/>
    <n v="0.32"/>
    <e v="#N/A"/>
    <x v="0"/>
  </r>
  <r>
    <d v="2023-07-19T00:00:00"/>
    <x v="27"/>
    <s v="Admin/HR/IT"/>
    <s v="AMCARE NonOcc In"/>
    <s v="TEMP"/>
    <n v="201351399"/>
    <s v="Ramos Montejo,Aida del Socorro"/>
    <s v="Pizana,Diego"/>
    <n v="0"/>
    <n v="0"/>
    <n v="0"/>
    <n v="0"/>
    <n v="0.3"/>
    <e v="#N/A"/>
    <x v="170"/>
  </r>
  <r>
    <d v="2023-07-19T00:00:00"/>
    <x v="27"/>
    <s v="Admin/HR/IT"/>
    <s v="AMCARE NonOcc In"/>
    <s v="TEMP"/>
    <n v="201360639"/>
    <s v="Rivera,Yael"/>
    <s v="Garcia Espejel,Brenda Victoria"/>
    <n v="0"/>
    <n v="0"/>
    <n v="0"/>
    <n v="0"/>
    <n v="2.75"/>
    <e v="#N/A"/>
    <x v="174"/>
  </r>
  <r>
    <d v="2023-07-19T00:00:00"/>
    <x v="27"/>
    <s v="Admin/HR/IT"/>
    <s v="AMCARE NonOcc In"/>
    <s v="TEMP"/>
    <n v="201386201"/>
    <s v="Castillo,Janai"/>
    <s v="Ledezma,Fer"/>
    <n v="0"/>
    <n v="0"/>
    <n v="0"/>
    <n v="0"/>
    <n v="0.82"/>
    <e v="#N/A"/>
    <x v="186"/>
  </r>
  <r>
    <d v="2023-07-19T00:00:00"/>
    <x v="27"/>
    <s v="Admin/HR/IT"/>
    <s v="AMCARE NonOcc In"/>
    <s v="TEMP"/>
    <n v="201401219"/>
    <s v="Moreno,Nayma"/>
    <s v="Bueno Mendoza,Susana"/>
    <n v="0"/>
    <n v="0"/>
    <n v="0"/>
    <n v="0"/>
    <n v="0.15"/>
    <e v="#N/A"/>
    <x v="182"/>
  </r>
  <r>
    <d v="2023-07-19T00:00:00"/>
    <x v="27"/>
    <s v="Admin/HR/IT"/>
    <s v="AMCARE NonOcc In"/>
    <s v="TEMP"/>
    <n v="201402216"/>
    <s v="Navia,Victor"/>
    <s v="Bueno Mendoza,Susana"/>
    <n v="0"/>
    <n v="0"/>
    <n v="0"/>
    <n v="0"/>
    <n v="0.11"/>
    <e v="#N/A"/>
    <x v="0"/>
  </r>
  <r>
    <d v="2023-07-19T00:00:00"/>
    <x v="27"/>
    <s v="Admin/HR/IT"/>
    <s v="AMCARE NonOcc In"/>
    <s v="TEMP"/>
    <n v="201403431"/>
    <s v="EspaÃ±a,Carolina"/>
    <s v="Madrid Molina,Ramon"/>
    <n v="0"/>
    <n v="0"/>
    <n v="0"/>
    <n v="0"/>
    <n v="0.14000000000000001"/>
    <e v="#N/A"/>
    <x v="0"/>
  </r>
  <r>
    <d v="2023-07-20T00:00:00"/>
    <x v="27"/>
    <s v="Admin/HR/IT"/>
    <s v="AMCARE NonOcc In"/>
    <s v="AMZN"/>
    <n v="112950800"/>
    <s v="Muniz,Viri"/>
    <s v="Munoz,Jonan"/>
    <n v="0"/>
    <n v="0"/>
    <n v="0"/>
    <n v="0"/>
    <n v="0.2"/>
    <s v="NF-X1900"/>
    <x v="51"/>
  </r>
  <r>
    <d v="2023-07-20T00:00:00"/>
    <x v="27"/>
    <s v="Admin/HR/IT"/>
    <s v="AMCARE NonOcc In"/>
    <s v="AMZN"/>
    <n v="112971962"/>
    <s v="Reyes  Montes de oca,Alejandra"/>
    <s v="Ledezma,Fer"/>
    <n v="0"/>
    <n v="0"/>
    <n v="0"/>
    <n v="0"/>
    <n v="0.2"/>
    <s v="DB-X0700"/>
    <x v="26"/>
  </r>
  <r>
    <d v="2023-07-20T00:00:00"/>
    <x v="27"/>
    <s v="Admin/HR/IT"/>
    <s v="AMCARE NonOcc In"/>
    <s v="AMZN"/>
    <n v="113014042"/>
    <s v="Cervantes,Rose"/>
    <s v="Madrid Molina,Ramon"/>
    <n v="0"/>
    <n v="0"/>
    <n v="0"/>
    <n v="0"/>
    <n v="0.71"/>
    <e v="#N/A"/>
    <x v="20"/>
  </r>
  <r>
    <d v="2023-07-20T00:00:00"/>
    <x v="27"/>
    <s v="Admin/HR/IT"/>
    <s v="AMCARE NonOcc In"/>
    <s v="AMZN"/>
    <n v="113014403"/>
    <s v="Arias Sanchez,Nora"/>
    <s v="Romero Sanchez,Gustavo Gabriel"/>
    <n v="0"/>
    <n v="0"/>
    <n v="0"/>
    <n v="0"/>
    <n v="1.42"/>
    <e v="#N/A"/>
    <x v="32"/>
  </r>
  <r>
    <d v="2023-07-20T00:00:00"/>
    <x v="27"/>
    <s v="Admin/HR/IT"/>
    <s v="AMCARE NonOcc In"/>
    <s v="AMZN"/>
    <n v="113020476"/>
    <s v="Puente Aguilar,Polette"/>
    <s v="Madrid Molina,Ramon"/>
    <n v="0"/>
    <n v="0"/>
    <n v="0"/>
    <n v="0"/>
    <n v="0.28000000000000003"/>
    <e v="#N/A"/>
    <x v="19"/>
  </r>
  <r>
    <d v="2023-07-20T00:00:00"/>
    <x v="27"/>
    <s v="Admin/HR/IT"/>
    <s v="AMCARE NonOcc In"/>
    <s v="AMZN"/>
    <n v="200552734"/>
    <s v="Santiago Ramirez,Six"/>
    <s v="Madrid Molina,Ramon"/>
    <n v="0"/>
    <n v="0"/>
    <n v="0"/>
    <n v="0"/>
    <n v="0.42"/>
    <e v="#N/A"/>
    <x v="0"/>
  </r>
  <r>
    <d v="2023-07-20T00:00:00"/>
    <x v="27"/>
    <s v="Admin/HR/IT"/>
    <s v="AMCARE NonOcc In"/>
    <s v="AMZN"/>
    <n v="200562154"/>
    <s v="Reyes Muniz,Cristian"/>
    <s v="Corona Arriaga,Fernando"/>
    <n v="0"/>
    <n v="0"/>
    <n v="0"/>
    <n v="0"/>
    <n v="0.45"/>
    <e v="#N/A"/>
    <x v="42"/>
  </r>
  <r>
    <d v="2023-07-20T00:00:00"/>
    <x v="27"/>
    <s v="Admin/HR/IT"/>
    <s v="AMCARE NonOcc In"/>
    <s v="TEMP"/>
    <n v="201159033"/>
    <s v="Arrona,Monserrat"/>
    <s v="Corona Arriaga,Fernando"/>
    <n v="0"/>
    <n v="0"/>
    <n v="0"/>
    <n v="0"/>
    <n v="0.5"/>
    <e v="#N/A"/>
    <x v="179"/>
  </r>
  <r>
    <d v="2023-07-20T00:00:00"/>
    <x v="27"/>
    <s v="Admin/HR/IT"/>
    <s v="AMCARE NonOcc In"/>
    <s v="TEMP"/>
    <n v="201191390"/>
    <s v="GarcÃ­a,jesus"/>
    <s v="Madrid Molina,Ramon"/>
    <n v="0"/>
    <n v="0"/>
    <n v="0"/>
    <n v="0"/>
    <n v="0.13"/>
    <e v="#N/A"/>
    <x v="116"/>
  </r>
  <r>
    <d v="2023-07-20T00:00:00"/>
    <x v="27"/>
    <s v="Admin/HR/IT"/>
    <s v="AMCARE NonOcc In"/>
    <s v="TEMP"/>
    <n v="201341822"/>
    <s v="Rocha,Claudia"/>
    <s v="Corona Arriaga,Fernando"/>
    <n v="0"/>
    <n v="0"/>
    <n v="0"/>
    <n v="0"/>
    <n v="0.14000000000000001"/>
    <e v="#N/A"/>
    <x v="0"/>
  </r>
  <r>
    <d v="2023-07-20T00:00:00"/>
    <x v="27"/>
    <s v="Admin/HR/IT"/>
    <s v="AMCARE NonOcc In"/>
    <s v="TEMP"/>
    <n v="201345774"/>
    <s v="Quijas,Jonathan"/>
    <s v="Robledo Ugarte,Alejandro"/>
    <n v="0"/>
    <n v="0"/>
    <n v="0"/>
    <n v="0"/>
    <n v="0.56000000000000005"/>
    <e v="#N/A"/>
    <x v="154"/>
  </r>
  <r>
    <d v="2023-07-20T00:00:00"/>
    <x v="27"/>
    <s v="Admin/HR/IT"/>
    <s v="AMCARE NonOcc In"/>
    <s v="TEMP"/>
    <n v="201360639"/>
    <s v="Rivera,Yael"/>
    <s v="Garcia Espejel,Brenda Victoria"/>
    <n v="0"/>
    <n v="0"/>
    <n v="0"/>
    <n v="0"/>
    <n v="0.13"/>
    <e v="#N/A"/>
    <x v="174"/>
  </r>
  <r>
    <d v="2023-07-20T00:00:00"/>
    <x v="27"/>
    <s v="Admin/HR/IT"/>
    <s v="AMCARE NonOcc In"/>
    <s v="TEMP"/>
    <n v="201386201"/>
    <s v="Castillo,Janai"/>
    <s v="Ledezma,Fer"/>
    <n v="0"/>
    <n v="0"/>
    <n v="0"/>
    <n v="0"/>
    <n v="0.1"/>
    <e v="#N/A"/>
    <x v="186"/>
  </r>
  <r>
    <d v="2023-07-20T00:00:00"/>
    <x v="27"/>
    <s v="Admin/HR/IT"/>
    <s v="AMCARE NonOcc In"/>
    <s v="TEMP"/>
    <n v="201403462"/>
    <s v="Valdovino,Jorge"/>
    <s v="Corona Arriaga,Fernando"/>
    <n v="0"/>
    <n v="0"/>
    <n v="0"/>
    <n v="0"/>
    <n v="0.15"/>
    <e v="#N/A"/>
    <x v="146"/>
  </r>
  <r>
    <d v="2023-07-21T00:00:00"/>
    <x v="27"/>
    <s v="Admin/HR/IT"/>
    <s v="AMCARE NonOcc In"/>
    <s v="TEMP"/>
    <n v="112912747"/>
    <s v="Velasco,Cristina"/>
    <s v="Lopez,Alexa"/>
    <n v="0"/>
    <n v="0"/>
    <n v="0"/>
    <n v="0"/>
    <n v="0.42"/>
    <e v="#N/A"/>
    <x v="0"/>
  </r>
  <r>
    <d v="2023-07-21T00:00:00"/>
    <x v="27"/>
    <s v="Admin/HR/IT"/>
    <s v="AMCARE NonOcc In"/>
    <s v="AMZN"/>
    <n v="112971953"/>
    <s v="Aguirre Palomino,Ana"/>
    <s v="Pizana,Diego"/>
    <n v="0"/>
    <n v="0"/>
    <n v="0"/>
    <n v="0"/>
    <n v="5.55"/>
    <s v="DB-X0700"/>
    <x v="7"/>
  </r>
  <r>
    <d v="2023-07-21T00:00:00"/>
    <x v="27"/>
    <s v="Admin/HR/IT"/>
    <s v="AMCARE NonOcc In"/>
    <s v="AMZN"/>
    <n v="112971962"/>
    <s v="Reyes  Montes de oca,Alejandra"/>
    <s v="Ledezma,Fer"/>
    <n v="0"/>
    <n v="0"/>
    <n v="0"/>
    <n v="0"/>
    <n v="0.3"/>
    <s v="DB-X0700"/>
    <x v="26"/>
  </r>
  <r>
    <d v="2023-07-21T00:00:00"/>
    <x v="27"/>
    <s v="Admin/HR/IT"/>
    <s v="AMCARE NonOcc In"/>
    <s v="AMZN"/>
    <n v="200562154"/>
    <s v="Reyes Muniz,Cristian"/>
    <s v="Corona Arriaga,Fernando"/>
    <n v="0"/>
    <n v="0"/>
    <n v="0"/>
    <n v="0"/>
    <n v="0.42"/>
    <e v="#N/A"/>
    <x v="42"/>
  </r>
  <r>
    <d v="2023-07-21T00:00:00"/>
    <x v="27"/>
    <s v="Admin/HR/IT"/>
    <s v="AMCARE NonOcc In"/>
    <s v="TEMP"/>
    <n v="201345737"/>
    <s v="Rosales,Paco"/>
    <s v="Ledezma,Fer"/>
    <n v="0"/>
    <n v="0"/>
    <n v="0"/>
    <n v="0"/>
    <n v="0.22"/>
    <e v="#N/A"/>
    <x v="156"/>
  </r>
  <r>
    <d v="2023-07-21T00:00:00"/>
    <x v="27"/>
    <s v="Admin/HR/IT"/>
    <s v="AMCARE NonOcc In"/>
    <s v="TEMP"/>
    <n v="201353234"/>
    <s v="Padilla,Ramon"/>
    <s v="Pizana,Diego"/>
    <n v="0"/>
    <n v="0"/>
    <n v="0"/>
    <n v="0"/>
    <n v="0.3"/>
    <e v="#N/A"/>
    <x v="187"/>
  </r>
  <r>
    <d v="2023-07-22T00:00:00"/>
    <x v="27"/>
    <s v="Admin/HR/IT"/>
    <s v="AMCARE NonOcc In"/>
    <s v="AMZN"/>
    <n v="112912054"/>
    <s v="Rivera Ramirez,Jorge"/>
    <s v="Pizana,Diego"/>
    <n v="0"/>
    <n v="0"/>
    <n v="0"/>
    <n v="0"/>
    <n v="0.17"/>
    <s v="DB-X0700"/>
    <x v="25"/>
  </r>
  <r>
    <d v="2023-07-22T00:00:00"/>
    <x v="27"/>
    <s v="Admin/HR/IT"/>
    <s v="AMCARE NonOcc In"/>
    <s v="TEMP"/>
    <n v="112912747"/>
    <s v="Velasco,Cristina"/>
    <s v="Lopez,Alexa"/>
    <n v="0"/>
    <n v="0"/>
    <n v="0"/>
    <n v="0"/>
    <n v="0.95"/>
    <e v="#N/A"/>
    <x v="0"/>
  </r>
  <r>
    <d v="2023-07-22T00:00:00"/>
    <x v="27"/>
    <s v="Admin/HR/IT"/>
    <s v="AMCARE NonOcc In"/>
    <s v="AMZN"/>
    <n v="112916534"/>
    <s v="Esparza Sanchez,Areli"/>
    <s v="Corona Arriaga,Fernando"/>
    <n v="0"/>
    <n v="0"/>
    <n v="0"/>
    <n v="0"/>
    <n v="1.23"/>
    <s v="DB-X0700"/>
    <x v="40"/>
  </r>
  <r>
    <d v="2023-07-22T00:00:00"/>
    <x v="27"/>
    <s v="Admin/HR/IT"/>
    <s v="AMCARE NonOcc In"/>
    <s v="AMZN"/>
    <n v="112972524"/>
    <s v="Santibanez Garcia,Luisa"/>
    <s v="Rosas Negrete,Sebastian"/>
    <n v="0"/>
    <n v="0"/>
    <n v="0"/>
    <n v="0"/>
    <n v="0.25"/>
    <s v="DB-X0700"/>
    <x v="15"/>
  </r>
  <r>
    <d v="2023-07-22T00:00:00"/>
    <x v="27"/>
    <s v="Admin/HR/IT"/>
    <s v="AMCARE NonOcc In"/>
    <s v="TEMP"/>
    <n v="200525930"/>
    <s v="Salazar,Joana"/>
    <s v="Gomez Aguado,Jorge"/>
    <n v="0"/>
    <n v="0"/>
    <n v="0"/>
    <n v="0"/>
    <n v="0.36"/>
    <e v="#N/A"/>
    <x v="0"/>
  </r>
  <r>
    <d v="2023-07-22T00:00:00"/>
    <x v="27"/>
    <s v="Admin/HR/IT"/>
    <s v="AMCARE NonOcc In"/>
    <s v="AMZN"/>
    <n v="200562154"/>
    <s v="Reyes Muniz,Cristian"/>
    <s v="Corona Arriaga,Fernando"/>
    <n v="0"/>
    <n v="0"/>
    <n v="0"/>
    <n v="0"/>
    <n v="0.37"/>
    <e v="#N/A"/>
    <x v="42"/>
  </r>
  <r>
    <d v="2023-07-22T00:00:00"/>
    <x v="27"/>
    <s v="Admin/HR/IT"/>
    <s v="AMCARE NonOcc In"/>
    <s v="TEMP"/>
    <n v="201374875"/>
    <s v="Velez,Xochitl"/>
    <s v="Lopez,Alexa"/>
    <n v="0"/>
    <n v="0"/>
    <n v="0"/>
    <n v="0"/>
    <n v="0.27"/>
    <e v="#N/A"/>
    <x v="0"/>
  </r>
  <r>
    <d v="2023-07-22T00:00:00"/>
    <x v="27"/>
    <s v="Admin/HR/IT"/>
    <s v="AMCARE NonOcc In"/>
    <s v="TEMP"/>
    <n v="201408141"/>
    <s v="Luna,Alberto"/>
    <s v="Ledezma,Fer"/>
    <n v="0"/>
    <n v="0"/>
    <n v="0"/>
    <n v="0"/>
    <n v="0.4"/>
    <e v="#N/A"/>
    <x v="163"/>
  </r>
  <r>
    <d v="2023-07-23T00:00:00"/>
    <x v="28"/>
    <s v="Admin/HR/IT"/>
    <s v="AMCARE NonOcc In"/>
    <s v="TEMP"/>
    <n v="112912067"/>
    <s v="Rocio,Juan"/>
    <s v="Robledo Ugarte,Alejandro"/>
    <n v="0"/>
    <n v="0"/>
    <n v="0"/>
    <n v="0"/>
    <n v="0.16"/>
    <e v="#N/A"/>
    <x v="0"/>
  </r>
  <r>
    <d v="2023-07-23T00:00:00"/>
    <x v="28"/>
    <s v="Admin/HR/IT"/>
    <s v="AMCARE NonOcc In"/>
    <s v="AMZN"/>
    <n v="112912203"/>
    <s v="Alvarez Olivares,Omar Leonardo"/>
    <s v="Garcia Espejel,Brenda Victoria"/>
    <n v="0"/>
    <n v="0"/>
    <n v="0"/>
    <n v="0"/>
    <n v="0.45"/>
    <s v="DA-X0700"/>
    <x v="94"/>
  </r>
  <r>
    <d v="2023-07-23T00:00:00"/>
    <x v="28"/>
    <s v="Admin/HR/IT"/>
    <s v="AMCARE NonOcc In"/>
    <s v="AMZN"/>
    <n v="112950797"/>
    <s v="Serna,Denisse"/>
    <s v="Bueno Mendoza,Susana"/>
    <n v="0"/>
    <n v="0"/>
    <n v="0"/>
    <n v="0"/>
    <n v="0.45"/>
    <s v="DA-X0700"/>
    <x v="1"/>
  </r>
  <r>
    <d v="2023-07-23T00:00:00"/>
    <x v="28"/>
    <s v="Admin/HR/IT"/>
    <s v="AMCARE NonOcc In"/>
    <s v="AMZN"/>
    <n v="112971962"/>
    <s v="Reyes  Montes de oca,Alejandra"/>
    <s v="Ledezma,Fer"/>
    <n v="0"/>
    <n v="0"/>
    <n v="0"/>
    <n v="0"/>
    <n v="0.16"/>
    <s v="DB-X0700"/>
    <x v="26"/>
  </r>
  <r>
    <d v="2023-07-23T00:00:00"/>
    <x v="28"/>
    <s v="Admin/HR/IT"/>
    <s v="AMCARE NonOcc In"/>
    <s v="AMZN"/>
    <n v="112972215"/>
    <s v="Cruz,Ana"/>
    <s v="Romero Sanchez,Gustavo Gabriel"/>
    <n v="0"/>
    <n v="0"/>
    <n v="0"/>
    <n v="0"/>
    <n v="0.54"/>
    <s v="DB-X0700"/>
    <x v="134"/>
  </r>
  <r>
    <d v="2023-07-23T00:00:00"/>
    <x v="28"/>
    <s v="Admin/HR/IT"/>
    <s v="AMCARE NonOcc In"/>
    <s v="AMZN"/>
    <n v="112981194"/>
    <s v="Camacho Delgado,Karina"/>
    <s v="Piedra,Valentina"/>
    <n v="0"/>
    <n v="0"/>
    <n v="0"/>
    <n v="0"/>
    <n v="0.3"/>
    <s v="NF-X1900"/>
    <x v="70"/>
  </r>
  <r>
    <d v="2023-07-23T00:00:00"/>
    <x v="28"/>
    <s v="Admin/HR/IT"/>
    <s v="AMCARE NonOcc In"/>
    <s v="AMZN"/>
    <n v="113014403"/>
    <s v="Arias Sanchez,Nora"/>
    <s v="Romero Sanchez,Gustavo Gabriel"/>
    <n v="0"/>
    <n v="0"/>
    <n v="0"/>
    <n v="0"/>
    <n v="0.36"/>
    <e v="#N/A"/>
    <x v="32"/>
  </r>
  <r>
    <d v="2023-07-23T00:00:00"/>
    <x v="28"/>
    <s v="Admin/HR/IT"/>
    <s v="AMCARE NonOcc In"/>
    <s v="AMZN"/>
    <n v="113019001"/>
    <s v="Lozano Hernandez,Donny"/>
    <s v="Bueno Mendoza,Susana"/>
    <n v="0"/>
    <n v="0"/>
    <n v="0"/>
    <n v="0"/>
    <n v="0.37"/>
    <e v="#N/A"/>
    <x v="48"/>
  </r>
  <r>
    <d v="2023-07-23T00:00:00"/>
    <x v="28"/>
    <s v="Admin/HR/IT"/>
    <s v="AMCARE NonOcc In"/>
    <s v="AMZN"/>
    <n v="113101453"/>
    <s v="Isaac,Geovanna"/>
    <s v="Robledo Ugarte,Alejandro"/>
    <n v="0"/>
    <n v="0"/>
    <n v="0"/>
    <n v="0"/>
    <n v="0.23"/>
    <e v="#N/A"/>
    <x v="4"/>
  </r>
  <r>
    <d v="2023-07-23T00:00:00"/>
    <x v="28"/>
    <s v="Admin/HR/IT"/>
    <s v="AMCARE NonOcc In"/>
    <s v="TEMP"/>
    <n v="201314835"/>
    <s v="Guzman,Janeth"/>
    <s v="Lopez,Alexa"/>
    <n v="0"/>
    <n v="0"/>
    <n v="0"/>
    <n v="0"/>
    <n v="0.5"/>
    <e v="#N/A"/>
    <x v="0"/>
  </r>
  <r>
    <d v="2023-07-23T00:00:00"/>
    <x v="28"/>
    <s v="Admin/HR/IT"/>
    <s v="AMCARE NonOcc In"/>
    <s v="TEMP"/>
    <n v="201396328"/>
    <s v="Canchola,Alejandro"/>
    <s v="Lopez,Alexa"/>
    <n v="0"/>
    <n v="0"/>
    <n v="0"/>
    <n v="0"/>
    <n v="0.84"/>
    <e v="#N/A"/>
    <x v="188"/>
  </r>
  <r>
    <d v="2023-07-23T00:00:00"/>
    <x v="28"/>
    <s v="Admin/HR/IT"/>
    <s v="AMCARE Occ In"/>
    <s v="AMZN"/>
    <n v="113014403"/>
    <s v="Arias Sanchez,Nora"/>
    <s v="Romero Sanchez,Gustavo Gabriel"/>
    <n v="0"/>
    <n v="0"/>
    <n v="0"/>
    <n v="0"/>
    <n v="0.27"/>
    <e v="#N/A"/>
    <x v="32"/>
  </r>
  <r>
    <d v="2023-07-24T00:00:00"/>
    <x v="28"/>
    <s v="Admin/HR/IT"/>
    <s v="AMCARE NonOcc In"/>
    <s v="AMZN"/>
    <n v="112912663"/>
    <s v="Segura,Lucero"/>
    <s v="Munoz,Jonan"/>
    <n v="0"/>
    <n v="0"/>
    <n v="0"/>
    <n v="0"/>
    <n v="0.19"/>
    <e v="#N/A"/>
    <x v="0"/>
  </r>
  <r>
    <d v="2023-07-24T00:00:00"/>
    <x v="28"/>
    <s v="Admin/HR/IT"/>
    <s v="AMCARE NonOcc In"/>
    <s v="AMZN"/>
    <n v="112920664"/>
    <s v="Alba,Samuel"/>
    <s v="Rosas Negrete,Sebastian"/>
    <n v="0"/>
    <n v="0"/>
    <n v="0"/>
    <n v="0"/>
    <n v="0.34"/>
    <s v="DA-X0700"/>
    <x v="53"/>
  </r>
  <r>
    <d v="2023-07-24T00:00:00"/>
    <x v="28"/>
    <s v="Admin/HR/IT"/>
    <s v="AMCARE NonOcc In"/>
    <s v="AMZN"/>
    <n v="112972215"/>
    <s v="Cruz,Ana"/>
    <s v="Romero Sanchez,Gustavo Gabriel"/>
    <n v="0"/>
    <n v="0"/>
    <n v="0"/>
    <n v="0"/>
    <n v="0.12"/>
    <s v="DB-X0700"/>
    <x v="134"/>
  </r>
  <r>
    <d v="2023-07-24T00:00:00"/>
    <x v="28"/>
    <s v="Admin/HR/IT"/>
    <s v="AMCARE NonOcc In"/>
    <s v="AMZN"/>
    <n v="112981201"/>
    <s v="Ramirez,Andrea"/>
    <s v="Robledo Ugarte,Alejandro"/>
    <n v="0"/>
    <n v="0"/>
    <n v="0"/>
    <n v="0"/>
    <n v="0.59"/>
    <e v="#N/A"/>
    <x v="0"/>
  </r>
  <r>
    <d v="2023-07-24T00:00:00"/>
    <x v="28"/>
    <s v="Admin/HR/IT"/>
    <s v="AMCARE NonOcc In"/>
    <s v="AMZN"/>
    <n v="113014403"/>
    <s v="Arias Sanchez,Nora"/>
    <s v="Romero Sanchez,Gustavo Gabriel"/>
    <n v="0"/>
    <n v="0"/>
    <n v="0"/>
    <n v="0"/>
    <n v="1.1000000000000001"/>
    <e v="#N/A"/>
    <x v="32"/>
  </r>
  <r>
    <d v="2023-07-24T00:00:00"/>
    <x v="28"/>
    <s v="Admin/HR/IT"/>
    <s v="AMCARE NonOcc In"/>
    <s v="AMZN"/>
    <n v="113020463"/>
    <s v="Valtierra,Alejandra"/>
    <s v="Robledo Ugarte,Alejandro"/>
    <n v="0"/>
    <n v="0"/>
    <n v="0"/>
    <n v="0"/>
    <n v="0.22"/>
    <e v="#N/A"/>
    <x v="17"/>
  </r>
  <r>
    <d v="2023-07-24T00:00:00"/>
    <x v="28"/>
    <s v="Admin/HR/IT"/>
    <s v="AMCARE NonOcc In"/>
    <s v="TEMP"/>
    <n v="201162388"/>
    <s v="Rocha,Alfredo"/>
    <s v="Piedra,Valentina"/>
    <n v="0"/>
    <n v="0"/>
    <n v="0"/>
    <n v="0"/>
    <n v="0.3"/>
    <e v="#N/A"/>
    <x v="165"/>
  </r>
  <r>
    <d v="2023-07-24T00:00:00"/>
    <x v="28"/>
    <s v="Admin/HR/IT"/>
    <s v="AMCARE NonOcc In"/>
    <s v="TEMP"/>
    <n v="201354965"/>
    <s v="JimÃ©nez,Aline"/>
    <s v="Lopez,Alexa"/>
    <n v="0"/>
    <n v="0"/>
    <n v="0"/>
    <n v="0"/>
    <n v="0.2"/>
    <e v="#N/A"/>
    <x v="152"/>
  </r>
  <r>
    <d v="2023-07-24T00:00:00"/>
    <x v="28"/>
    <s v="Admin/HR/IT"/>
    <s v="AMCARE NonOcc In"/>
    <s v="TEMP"/>
    <n v="201355525"/>
    <s v="Hernandez,Gael"/>
    <s v="Munoz,Jonan"/>
    <n v="0"/>
    <n v="0"/>
    <n v="0"/>
    <n v="0"/>
    <n v="0.25"/>
    <e v="#N/A"/>
    <x v="0"/>
  </r>
  <r>
    <d v="2023-07-24T00:00:00"/>
    <x v="28"/>
    <s v="Admin/HR/IT"/>
    <s v="AMCARE NonOcc In"/>
    <s v="TEMP"/>
    <n v="201402216"/>
    <s v="Navia,Victor"/>
    <s v="Bueno Mendoza,Susana"/>
    <n v="0"/>
    <n v="0"/>
    <n v="0"/>
    <n v="0"/>
    <n v="0.14000000000000001"/>
    <e v="#N/A"/>
    <x v="0"/>
  </r>
  <r>
    <d v="2023-07-25T00:00:00"/>
    <x v="28"/>
    <s v="Admin/HR/IT"/>
    <s v="AMCARE NonOcc In"/>
    <s v="AMZN"/>
    <n v="112981014"/>
    <s v="Roldan Gutierrez,Pablo"/>
    <s v="Bueno Mendoza,Susana"/>
    <n v="0"/>
    <n v="0"/>
    <n v="0"/>
    <n v="0"/>
    <n v="0.73"/>
    <s v="DJ-X0700"/>
    <x v="29"/>
  </r>
  <r>
    <d v="2023-07-25T00:00:00"/>
    <x v="28"/>
    <s v="Admin/HR/IT"/>
    <s v="AMCARE NonOcc In"/>
    <s v="AMZN"/>
    <n v="112981061"/>
    <s v="Olguin,Claudia"/>
    <s v="Robledo Ugarte,Alejandro"/>
    <n v="0"/>
    <n v="0"/>
    <n v="0"/>
    <n v="0"/>
    <n v="0.2"/>
    <s v="DA-X0700"/>
    <x v="11"/>
  </r>
  <r>
    <d v="2023-07-25T00:00:00"/>
    <x v="28"/>
    <s v="Admin/HR/IT"/>
    <s v="AMCARE NonOcc In"/>
    <s v="AMZN"/>
    <n v="200404250"/>
    <s v="Hurtado,Caty"/>
    <s v="Romero Sanchez,Gustavo Gabriel"/>
    <n v="0"/>
    <n v="0"/>
    <n v="0"/>
    <n v="0"/>
    <n v="0.33"/>
    <e v="#N/A"/>
    <x v="6"/>
  </r>
  <r>
    <d v="2023-07-25T00:00:00"/>
    <x v="28"/>
    <s v="Admin/HR/IT"/>
    <s v="AMCARE NonOcc In"/>
    <s v="TEMP"/>
    <n v="200407440"/>
    <s v="Escamilla,Guillermo"/>
    <s v="Romero Sanchez,Gustavo Gabriel"/>
    <n v="0"/>
    <n v="0"/>
    <n v="0"/>
    <n v="0"/>
    <n v="0.67"/>
    <e v="#N/A"/>
    <x v="0"/>
  </r>
  <r>
    <d v="2023-07-25T00:00:00"/>
    <x v="28"/>
    <s v="Admin/HR/IT"/>
    <s v="AMCARE NonOcc In"/>
    <s v="AMZN"/>
    <n v="200574655"/>
    <s v="Mireles,Dulce"/>
    <s v="Robledo Ugarte,Alejandro"/>
    <n v="0"/>
    <n v="0"/>
    <n v="0"/>
    <n v="0"/>
    <n v="0.23"/>
    <e v="#N/A"/>
    <x v="88"/>
  </r>
  <r>
    <d v="2023-07-25T00:00:00"/>
    <x v="28"/>
    <s v="Admin/HR/IT"/>
    <s v="AMCARE NonOcc In"/>
    <s v="TEMP"/>
    <n v="201329529"/>
    <s v="Padilla,Pablo"/>
    <s v="Lopez,Alexa"/>
    <n v="0"/>
    <n v="0"/>
    <n v="0"/>
    <n v="0"/>
    <n v="0.85"/>
    <e v="#N/A"/>
    <x v="0"/>
  </r>
  <r>
    <d v="2023-07-25T00:00:00"/>
    <x v="28"/>
    <s v="Admin/HR/IT"/>
    <s v="AMCARE NonOcc In"/>
    <s v="TEMP"/>
    <n v="201378452"/>
    <s v="Perez,Omar"/>
    <s v="Romero Sanchez,Gustavo Gabriel"/>
    <n v="0"/>
    <n v="0"/>
    <n v="0"/>
    <n v="0"/>
    <n v="0.57999999999999996"/>
    <e v="#N/A"/>
    <x v="189"/>
  </r>
  <r>
    <d v="2023-07-26T00:00:00"/>
    <x v="28"/>
    <s v="Admin/HR/IT"/>
    <s v="AMCARE NonOcc In"/>
    <s v="AMZN"/>
    <n v="112981013"/>
    <s v="Lopez Neri,Norma"/>
    <s v="Piedra,Valentina"/>
    <n v="0"/>
    <n v="0"/>
    <n v="0"/>
    <n v="0"/>
    <n v="0.21"/>
    <s v="DA-X0700"/>
    <x v="12"/>
  </r>
  <r>
    <d v="2023-07-26T00:00:00"/>
    <x v="28"/>
    <s v="Admin/HR/IT"/>
    <s v="AMCARE NonOcc In"/>
    <s v="TEMP"/>
    <n v="201167501"/>
    <s v="Rodriguez,Ruben"/>
    <s v="Robledo Ugarte,Alejandro"/>
    <n v="0"/>
    <n v="0"/>
    <n v="0"/>
    <n v="0"/>
    <n v="0.35"/>
    <e v="#N/A"/>
    <x v="109"/>
  </r>
  <r>
    <d v="2023-07-26T00:00:00"/>
    <x v="28"/>
    <s v="Admin/HR/IT"/>
    <s v="AMCARE NonOcc In"/>
    <s v="TEMP"/>
    <n v="201186833"/>
    <s v="Jasso,Alexa"/>
    <s v="Piedra,Valentina"/>
    <n v="0"/>
    <n v="0"/>
    <n v="0"/>
    <n v="0"/>
    <n v="0.16"/>
    <e v="#N/A"/>
    <x v="114"/>
  </r>
  <r>
    <d v="2023-07-26T00:00:00"/>
    <x v="28"/>
    <s v="Admin/HR/IT"/>
    <s v="AMCARE NonOcc In"/>
    <s v="TEMP"/>
    <n v="201353293"/>
    <s v="Castillo,Itzayana"/>
    <s v="Munoz,Jonan"/>
    <n v="0"/>
    <n v="0"/>
    <n v="0"/>
    <n v="0"/>
    <n v="0.25"/>
    <e v="#N/A"/>
    <x v="190"/>
  </r>
  <r>
    <d v="2023-07-26T00:00:00"/>
    <x v="28"/>
    <s v="Admin/HR/IT"/>
    <s v="AMCARE NonOcc In"/>
    <s v="TEMP"/>
    <n v="201378542"/>
    <s v="Contreras,Evelyn"/>
    <s v="Bueno Mendoza,Susana"/>
    <n v="0"/>
    <n v="0"/>
    <n v="0"/>
    <n v="0"/>
    <n v="0.22"/>
    <e v="#N/A"/>
    <x v="185"/>
  </r>
  <r>
    <d v="2023-07-27T00:00:00"/>
    <x v="28"/>
    <s v="Admin/HR/IT"/>
    <s v="AMCARE NonOcc In"/>
    <s v="AMZN"/>
    <n v="112912054"/>
    <s v="Rivera Ramirez,Jorge"/>
    <s v="Pizana,Diego"/>
    <n v="0"/>
    <n v="0"/>
    <n v="0"/>
    <n v="0"/>
    <n v="0.21"/>
    <s v="DB-X0700"/>
    <x v="25"/>
  </r>
  <r>
    <d v="2023-07-27T00:00:00"/>
    <x v="28"/>
    <s v="Admin/HR/IT"/>
    <s v="AMCARE NonOcc In"/>
    <s v="AMZN"/>
    <n v="112972521"/>
    <s v="Perez,Ronny"/>
    <s v="Rosas Negrete,Sebastian"/>
    <n v="0"/>
    <n v="0"/>
    <n v="0"/>
    <n v="0"/>
    <n v="0.57999999999999996"/>
    <s v="DB-X0700"/>
    <x v="176"/>
  </r>
  <r>
    <d v="2023-07-27T00:00:00"/>
    <x v="28"/>
    <s v="Admin/HR/IT"/>
    <s v="AMCARE NonOcc In"/>
    <s v="AMZN"/>
    <n v="112981196"/>
    <s v="Gomez,Andrea"/>
    <s v="Piedra,Valentina"/>
    <n v="0"/>
    <n v="0"/>
    <n v="0"/>
    <n v="0"/>
    <n v="0.18"/>
    <e v="#N/A"/>
    <x v="22"/>
  </r>
  <r>
    <d v="2023-07-27T00:00:00"/>
    <x v="28"/>
    <s v="Admin/HR/IT"/>
    <s v="AMCARE NonOcc In"/>
    <s v="AMZN"/>
    <n v="113020476"/>
    <s v="Puente Aguilar,Polette"/>
    <s v="Madrid Molina,Ramon"/>
    <n v="0"/>
    <n v="0"/>
    <n v="0"/>
    <n v="0"/>
    <n v="0.18"/>
    <e v="#N/A"/>
    <x v="19"/>
  </r>
  <r>
    <d v="2023-07-27T00:00:00"/>
    <x v="28"/>
    <s v="Admin/HR/IT"/>
    <s v="AMCARE NonOcc In"/>
    <s v="AMZN"/>
    <n v="200404250"/>
    <s v="Hurtado,Caty"/>
    <s v="Romero Sanchez,Gustavo Gabriel"/>
    <n v="0"/>
    <n v="0"/>
    <n v="0"/>
    <n v="0"/>
    <n v="0.43"/>
    <e v="#N/A"/>
    <x v="6"/>
  </r>
  <r>
    <d v="2023-07-27T00:00:00"/>
    <x v="28"/>
    <s v="Admin/HR/IT"/>
    <s v="AMCARE NonOcc In"/>
    <s v="AMZN"/>
    <n v="200508315"/>
    <s v="Herrera,Aldair"/>
    <s v="Madrid Molina,Ramon"/>
    <n v="0"/>
    <n v="0"/>
    <n v="0"/>
    <n v="0"/>
    <n v="0.13"/>
    <e v="#N/A"/>
    <x v="41"/>
  </r>
  <r>
    <d v="2023-07-27T00:00:00"/>
    <x v="28"/>
    <s v="Admin/HR/IT"/>
    <s v="AMCARE NonOcc In"/>
    <s v="AMZN"/>
    <n v="200562154"/>
    <s v="Reyes Muniz,Cristian"/>
    <s v="Corona Arriaga,Fernando"/>
    <n v="0"/>
    <n v="0"/>
    <n v="0"/>
    <n v="0"/>
    <n v="0.49"/>
    <e v="#N/A"/>
    <x v="42"/>
  </r>
  <r>
    <d v="2023-07-27T00:00:00"/>
    <x v="28"/>
    <s v="Admin/HR/IT"/>
    <s v="AMCARE NonOcc In"/>
    <s v="TEMP"/>
    <n v="201318227"/>
    <s v="Rayas,Hilda"/>
    <s v="Gomez Aguado,Jorge"/>
    <n v="0"/>
    <n v="0"/>
    <n v="0"/>
    <n v="0"/>
    <n v="0.26"/>
    <e v="#N/A"/>
    <x v="0"/>
  </r>
  <r>
    <d v="2023-07-27T00:00:00"/>
    <x v="28"/>
    <s v="Admin/HR/IT"/>
    <s v="AMCARE NonOcc In"/>
    <s v="TEMP"/>
    <n v="201354965"/>
    <s v="JimÃ©nez,Aline"/>
    <s v="Lopez,Alexa"/>
    <n v="0"/>
    <n v="0"/>
    <n v="0"/>
    <n v="0"/>
    <n v="0.24"/>
    <e v="#N/A"/>
    <x v="152"/>
  </r>
  <r>
    <d v="2023-07-28T00:00:00"/>
    <x v="28"/>
    <s v="Admin/HR/IT"/>
    <s v="AMCARE NonOcc In"/>
    <s v="AMZN"/>
    <n v="112920666"/>
    <s v="Rocha,Jose"/>
    <s v="Cortes,Alejandra"/>
    <n v="0"/>
    <n v="0"/>
    <n v="0"/>
    <n v="0"/>
    <n v="0.24"/>
    <s v="D5-X0700"/>
    <x v="3"/>
  </r>
  <r>
    <d v="2023-07-28T00:00:00"/>
    <x v="28"/>
    <s v="Admin/HR/IT"/>
    <s v="AMCARE NonOcc In"/>
    <s v="AMZN"/>
    <n v="112972524"/>
    <s v="Santibanez Garcia,Luisa"/>
    <s v="Rosas Negrete,Sebastian"/>
    <n v="0"/>
    <n v="0"/>
    <n v="0"/>
    <n v="0"/>
    <n v="0.33"/>
    <s v="DB-X0700"/>
    <x v="15"/>
  </r>
  <r>
    <d v="2023-07-28T00:00:00"/>
    <x v="28"/>
    <s v="Admin/HR/IT"/>
    <s v="AMCARE NonOcc In"/>
    <s v="AMZN"/>
    <n v="113101262"/>
    <s v="Tinoco,Cesar"/>
    <s v="Corona Arriaga,Fernando"/>
    <n v="0"/>
    <n v="0"/>
    <n v="0"/>
    <n v="0"/>
    <n v="7.0000000000000007E-2"/>
    <e v="#N/A"/>
    <x v="89"/>
  </r>
  <r>
    <d v="2023-07-28T00:00:00"/>
    <x v="28"/>
    <s v="Admin/HR/IT"/>
    <s v="AMCARE NonOcc In"/>
    <s v="AMZN"/>
    <n v="200562154"/>
    <s v="Reyes Muniz,Cristian"/>
    <s v="Corona Arriaga,Fernando"/>
    <n v="0"/>
    <n v="0"/>
    <n v="0"/>
    <n v="0"/>
    <n v="0.44"/>
    <e v="#N/A"/>
    <x v="42"/>
  </r>
  <r>
    <d v="2023-07-28T00:00:00"/>
    <x v="28"/>
    <s v="Admin/HR/IT"/>
    <s v="AMCARE NonOcc In"/>
    <s v="AMZN"/>
    <n v="200625528"/>
    <s v="Oliva,Lizbeth"/>
    <s v="Piedra,Valentina"/>
    <n v="0"/>
    <n v="0"/>
    <n v="0"/>
    <n v="0"/>
    <n v="0.24"/>
    <e v="#N/A"/>
    <x v="83"/>
  </r>
  <r>
    <d v="2023-07-28T00:00:00"/>
    <x v="28"/>
    <s v="Admin/HR/IT"/>
    <s v="AMCARE NonOcc In"/>
    <s v="TEMP"/>
    <n v="201211157"/>
    <s v="Vargas,Jesse"/>
    <s v="Cortes,Alejandra"/>
    <n v="0"/>
    <n v="0"/>
    <n v="0"/>
    <n v="0"/>
    <n v="0.36"/>
    <e v="#N/A"/>
    <x v="121"/>
  </r>
  <r>
    <d v="2023-07-29T00:00:00"/>
    <x v="28"/>
    <s v="Admin/HR/IT"/>
    <s v="AMCARE NonOcc In"/>
    <s v="TEMP"/>
    <n v="112912747"/>
    <s v="Velasco,Cristina"/>
    <s v="Lopez,Alexa"/>
    <n v="0"/>
    <n v="0"/>
    <n v="0"/>
    <n v="0"/>
    <n v="0.43"/>
    <e v="#N/A"/>
    <x v="0"/>
  </r>
  <r>
    <d v="2023-07-29T00:00:00"/>
    <x v="28"/>
    <s v="Admin/HR/IT"/>
    <s v="AMCARE NonOcc In"/>
    <s v="AMZN"/>
    <n v="112920666"/>
    <s v="Rocha,Jose"/>
    <s v="Cortes,Alejandra"/>
    <n v="0"/>
    <n v="0"/>
    <n v="0"/>
    <n v="0"/>
    <n v="0.1"/>
    <s v="D5-X0700"/>
    <x v="3"/>
  </r>
  <r>
    <d v="2023-07-29T00:00:00"/>
    <x v="28"/>
    <s v="Admin/HR/IT"/>
    <s v="AMCARE NonOcc In"/>
    <s v="AMZN"/>
    <n v="113020476"/>
    <s v="Puente Aguilar,Polette"/>
    <s v="Madrid Molina,Ramon"/>
    <n v="0"/>
    <n v="0"/>
    <n v="0"/>
    <n v="0"/>
    <n v="0.24"/>
    <e v="#N/A"/>
    <x v="19"/>
  </r>
  <r>
    <d v="2023-07-29T00:00:00"/>
    <x v="28"/>
    <s v="Admin/HR/IT"/>
    <s v="AMCARE NonOcc In"/>
    <s v="AMZN"/>
    <n v="113020497"/>
    <s v="Martinez Ruiz,Diana"/>
    <s v="Gomez Aguado,Jorge"/>
    <n v="0"/>
    <n v="0"/>
    <n v="0"/>
    <n v="0"/>
    <n v="0.42"/>
    <e v="#N/A"/>
    <x v="82"/>
  </r>
  <r>
    <d v="2023-07-29T00:00:00"/>
    <x v="28"/>
    <s v="Admin/HR/IT"/>
    <s v="AMCARE NonOcc In"/>
    <s v="AMZN"/>
    <n v="113052151"/>
    <s v="Nieves Mendez,Laura"/>
    <s v="Ledezma,Fer"/>
    <n v="0"/>
    <n v="0"/>
    <n v="0"/>
    <n v="0"/>
    <n v="0.17"/>
    <e v="#N/A"/>
    <x v="56"/>
  </r>
  <r>
    <d v="2023-07-29T00:00:00"/>
    <x v="28"/>
    <s v="Admin/HR/IT"/>
    <s v="AMCARE NonOcc In"/>
    <s v="AMZN"/>
    <n v="200562154"/>
    <s v="Reyes Muniz,Cristian"/>
    <s v="Corona Arriaga,Fernando"/>
    <n v="0"/>
    <n v="0"/>
    <n v="0"/>
    <n v="0"/>
    <n v="0.3"/>
    <e v="#N/A"/>
    <x v="42"/>
  </r>
  <r>
    <d v="2023-07-29T00:00:00"/>
    <x v="28"/>
    <s v="Admin/HR/IT"/>
    <s v="AMCARE NonOcc In"/>
    <s v="AMZN"/>
    <n v="200615883"/>
    <s v="Ibarra Amaro,Adriana"/>
    <s v="Gomez Aguado,Jorge"/>
    <n v="0"/>
    <n v="0"/>
    <n v="0"/>
    <n v="0"/>
    <n v="0.19"/>
    <e v="#N/A"/>
    <x v="0"/>
  </r>
  <r>
    <d v="2023-07-29T00:00:00"/>
    <x v="28"/>
    <s v="Admin/HR/IT"/>
    <s v="AMCARE NonOcc In"/>
    <s v="TEMP"/>
    <n v="201191390"/>
    <s v="GarcÃ­a,jesus"/>
    <s v="Madrid Molina,Ramon"/>
    <n v="0"/>
    <n v="0"/>
    <n v="0"/>
    <n v="0"/>
    <n v="1.28"/>
    <e v="#N/A"/>
    <x v="116"/>
  </r>
  <r>
    <d v="2023-07-29T00:00:00"/>
    <x v="28"/>
    <s v="Admin/HR/IT"/>
    <s v="AMCARE NonOcc In"/>
    <s v="TEMP"/>
    <n v="201403462"/>
    <s v="Valdovino,Jorge"/>
    <s v="Corona Arriaga,Fernando"/>
    <n v="0"/>
    <n v="0"/>
    <n v="0"/>
    <n v="0"/>
    <n v="0.3"/>
    <e v="#N/A"/>
    <x v="146"/>
  </r>
  <r>
    <d v="2023-07-30T00:00:00"/>
    <x v="29"/>
    <s v="Admin/HR/IT"/>
    <s v="AMCARE NonOcc In"/>
    <s v="AMZN"/>
    <n v="112981196"/>
    <s v="Gomez,Andrea"/>
    <s v="Piedra,Valentina"/>
    <n v="0"/>
    <n v="0"/>
    <n v="0"/>
    <n v="0"/>
    <n v="0.31"/>
    <e v="#N/A"/>
    <x v="22"/>
  </r>
  <r>
    <d v="2023-07-30T00:00:00"/>
    <x v="29"/>
    <s v="Admin/HR/IT"/>
    <s v="AMCARE NonOcc In"/>
    <s v="TEMP"/>
    <n v="201353328"/>
    <s v="Mendoza Macias,Zaira"/>
    <s v="Pizana,Diego"/>
    <n v="0"/>
    <n v="0"/>
    <n v="0"/>
    <n v="0"/>
    <n v="0.55000000000000004"/>
    <e v="#N/A"/>
    <x v="150"/>
  </r>
  <r>
    <d v="2023-07-30T00:00:00"/>
    <x v="29"/>
    <s v="Admin/HR/IT"/>
    <s v="AMCARE NonOcc In"/>
    <s v="TEMP"/>
    <n v="201378452"/>
    <s v="Perez,Omar"/>
    <s v="Romero Sanchez,Gustavo Gabriel"/>
    <n v="0"/>
    <n v="0"/>
    <n v="0"/>
    <n v="0"/>
    <n v="1.22"/>
    <e v="#N/A"/>
    <x v="189"/>
  </r>
  <r>
    <d v="2023-07-30T00:00:00"/>
    <x v="29"/>
    <s v="Admin/HR/IT"/>
    <s v="AMCARE NonOcc In"/>
    <s v="TEMP"/>
    <n v="201396328"/>
    <s v="Canchola,Alejandro"/>
    <s v="Lopez,Alexa"/>
    <n v="0"/>
    <n v="0"/>
    <n v="0"/>
    <n v="0"/>
    <n v="1.03"/>
    <e v="#N/A"/>
    <x v="188"/>
  </r>
  <r>
    <d v="2023-07-31T00:00:00"/>
    <x v="29"/>
    <s v="Admin/HR/IT"/>
    <s v="AMCARE NonOcc In"/>
    <s v="AMZN"/>
    <n v="112912752"/>
    <s v="Valderrama Gomez,Leslie"/>
    <s v="Piedra,Valentina"/>
    <n v="0"/>
    <n v="0"/>
    <n v="0"/>
    <n v="0"/>
    <n v="0.11"/>
    <s v="NF-X1900"/>
    <x v="5"/>
  </r>
  <r>
    <d v="2023-07-31T00:00:00"/>
    <x v="29"/>
    <s v="Admin/HR/IT"/>
    <s v="AMCARE NonOcc In"/>
    <s v="AMZN"/>
    <n v="112950800"/>
    <s v="Muniz,Viri"/>
    <s v="Camarena,Grecia"/>
    <n v="0"/>
    <n v="0"/>
    <n v="0"/>
    <n v="0"/>
    <n v="0.17"/>
    <s v="NF-X1900"/>
    <x v="51"/>
  </r>
  <r>
    <d v="2023-07-31T00:00:00"/>
    <x v="29"/>
    <s v="Admin/HR/IT"/>
    <s v="AMCARE NonOcc In"/>
    <s v="AMZN"/>
    <n v="112980899"/>
    <s v="Avila Cabrera,Ari"/>
    <s v="Bueno Mendoza,Susana"/>
    <n v="0"/>
    <n v="0"/>
    <n v="0"/>
    <n v="0"/>
    <n v="0.42"/>
    <s v="NF-X1900"/>
    <x v="34"/>
  </r>
  <r>
    <d v="2023-07-31T00:00:00"/>
    <x v="29"/>
    <s v="Admin/HR/IT"/>
    <s v="AMCARE NonOcc In"/>
    <s v="AMZN"/>
    <n v="112981061"/>
    <s v="Olguin,Claudia"/>
    <s v="Robledo Ugarte,Alejandro"/>
    <n v="0"/>
    <n v="0"/>
    <n v="0"/>
    <n v="0"/>
    <n v="0.34"/>
    <s v="DA-X0700"/>
    <x v="11"/>
  </r>
  <r>
    <d v="2023-07-31T00:00:00"/>
    <x v="29"/>
    <s v="Admin/HR/IT"/>
    <s v="AMCARE NonOcc In"/>
    <s v="AMZN"/>
    <n v="112981196"/>
    <s v="Gomez,Andrea"/>
    <s v="Piedra,Valentina"/>
    <n v="0"/>
    <n v="0"/>
    <n v="0"/>
    <n v="0"/>
    <n v="0.18"/>
    <e v="#N/A"/>
    <x v="22"/>
  </r>
  <r>
    <d v="2023-07-31T00:00:00"/>
    <x v="29"/>
    <s v="Admin/HR/IT"/>
    <s v="AMCARE NonOcc In"/>
    <s v="AMZN"/>
    <n v="113003635"/>
    <s v="Barron,Giovanni"/>
    <s v="Robledo Ugarte,Alejandro"/>
    <n v="0"/>
    <n v="0"/>
    <n v="0"/>
    <n v="0"/>
    <n v="0.35"/>
    <e v="#N/A"/>
    <x v="118"/>
  </r>
  <r>
    <d v="2023-07-31T00:00:00"/>
    <x v="29"/>
    <s v="Admin/HR/IT"/>
    <s v="AMCARE NonOcc In"/>
    <s v="TEMP"/>
    <n v="113013981"/>
    <s v="Espinosa,Ali"/>
    <s v="Bueno Mendoza,Susana"/>
    <n v="0"/>
    <n v="0"/>
    <n v="0"/>
    <n v="0"/>
    <n v="0.18"/>
    <e v="#N/A"/>
    <x v="0"/>
  </r>
  <r>
    <d v="2023-07-31T00:00:00"/>
    <x v="29"/>
    <s v="Admin/HR/IT"/>
    <s v="AMCARE NonOcc In"/>
    <s v="AMZN"/>
    <n v="113101453"/>
    <s v="Isaac,Geovanna"/>
    <s v="Robledo Ugarte,Alejandro"/>
    <n v="0"/>
    <n v="0"/>
    <n v="0"/>
    <n v="0"/>
    <n v="0.19"/>
    <e v="#N/A"/>
    <x v="4"/>
  </r>
  <r>
    <d v="2023-07-31T00:00:00"/>
    <x v="29"/>
    <s v="Admin/HR/IT"/>
    <s v="AMCARE NonOcc In"/>
    <s v="AMZN"/>
    <n v="200404250"/>
    <s v="Hurtado,Caty"/>
    <s v="Romero Sanchez,Gustavo Gabriel"/>
    <n v="0"/>
    <n v="0"/>
    <n v="0"/>
    <n v="0"/>
    <n v="0.48"/>
    <e v="#N/A"/>
    <x v="6"/>
  </r>
  <r>
    <d v="2023-07-31T00:00:00"/>
    <x v="29"/>
    <s v="Admin/HR/IT"/>
    <s v="AMCARE NonOcc In"/>
    <s v="TEMP"/>
    <n v="200407440"/>
    <s v="Escamilla,Guillermo"/>
    <s v="Romero Sanchez,Gustavo Gabriel"/>
    <n v="0"/>
    <n v="0"/>
    <n v="0"/>
    <n v="0"/>
    <n v="0.28000000000000003"/>
    <e v="#N/A"/>
    <x v="0"/>
  </r>
  <r>
    <d v="2023-07-31T00:00:00"/>
    <x v="29"/>
    <s v="Admin/HR/IT"/>
    <s v="AMCARE NonOcc In"/>
    <s v="AMZN"/>
    <n v="200562154"/>
    <s v="Reyes Muniz,Cristian"/>
    <s v="Corona Arriaga,Fernando"/>
    <n v="0"/>
    <n v="0"/>
    <n v="0"/>
    <n v="0"/>
    <n v="0.39"/>
    <e v="#N/A"/>
    <x v="42"/>
  </r>
  <r>
    <d v="2023-07-31T00:00:00"/>
    <x v="29"/>
    <s v="Admin/HR/IT"/>
    <s v="AMCARE NonOcc In"/>
    <s v="TEMP"/>
    <n v="201295432"/>
    <s v="Ortega,Argenis"/>
    <s v="Bueno Mendoza,Susana"/>
    <n v="0"/>
    <n v="0"/>
    <n v="0"/>
    <n v="0"/>
    <n v="0.11"/>
    <e v="#N/A"/>
    <x v="0"/>
  </r>
  <r>
    <d v="2023-07-31T00:00:00"/>
    <x v="29"/>
    <s v="Admin/HR/IT"/>
    <s v="AMCARE NonOcc In"/>
    <s v="TEMP"/>
    <n v="201329529"/>
    <s v="Padilla,Pablo"/>
    <s v="Lopez,Alexa"/>
    <n v="0"/>
    <n v="0"/>
    <n v="0"/>
    <n v="0"/>
    <n v="0.46"/>
    <e v="#N/A"/>
    <x v="0"/>
  </r>
  <r>
    <d v="2023-07-31T00:00:00"/>
    <x v="29"/>
    <s v="Admin/HR/IT"/>
    <s v="AMCARE NonOcc In"/>
    <s v="TEMP"/>
    <n v="201354965"/>
    <s v="JimÃ©nez,Aline"/>
    <s v="Lopez,Alexa"/>
    <n v="0"/>
    <n v="0"/>
    <n v="0"/>
    <n v="0"/>
    <n v="0.8"/>
    <e v="#N/A"/>
    <x v="152"/>
  </r>
  <r>
    <d v="2023-07-31T00:00:00"/>
    <x v="29"/>
    <s v="Admin/HR/IT"/>
    <s v="AMCARE NonOcc In"/>
    <s v="TEMP"/>
    <n v="201368616"/>
    <s v="Lopez,Mari"/>
    <s v="Piedra,Valentina"/>
    <n v="0"/>
    <n v="0"/>
    <n v="0"/>
    <n v="0"/>
    <n v="0.23"/>
    <e v="#N/A"/>
    <x v="0"/>
  </r>
  <r>
    <d v="2023-08-01T00:00:00"/>
    <x v="29"/>
    <s v="Admin/HR/IT"/>
    <s v="AMCARE NonOcc In"/>
    <s v="AMZN"/>
    <n v="112981061"/>
    <s v="Olguin,Claudia"/>
    <s v="Robledo Ugarte,Alejandro"/>
    <n v="0"/>
    <n v="0"/>
    <n v="0"/>
    <n v="0"/>
    <n v="0.19"/>
    <s v="DA-X0700"/>
    <x v="11"/>
  </r>
  <r>
    <d v="2023-08-01T00:00:00"/>
    <x v="29"/>
    <s v="Admin/HR/IT"/>
    <s v="AMCARE NonOcc In"/>
    <s v="AMZN"/>
    <n v="112981196"/>
    <s v="Gomez,Andrea"/>
    <s v="Piedra,Valentina"/>
    <n v="0"/>
    <n v="0"/>
    <n v="0"/>
    <n v="0"/>
    <n v="0.19"/>
    <e v="#N/A"/>
    <x v="22"/>
  </r>
  <r>
    <d v="2023-08-01T00:00:00"/>
    <x v="29"/>
    <s v="Admin/HR/IT"/>
    <s v="AMCARE NonOcc In"/>
    <s v="AMZN"/>
    <n v="113014094"/>
    <s v="Mercado,Erika"/>
    <s v="Robledo Ugarte,Alejandro"/>
    <n v="0"/>
    <n v="0"/>
    <n v="0"/>
    <n v="0"/>
    <n v="0.21"/>
    <e v="#N/A"/>
    <x v="49"/>
  </r>
  <r>
    <d v="2023-08-01T00:00:00"/>
    <x v="29"/>
    <s v="Admin/HR/IT"/>
    <s v="AMCARE NonOcc In"/>
    <s v="AMZN"/>
    <n v="113020463"/>
    <s v="Valtierra,Alejandra"/>
    <s v="Robledo Ugarte,Alejandro"/>
    <n v="0"/>
    <n v="0"/>
    <n v="0"/>
    <n v="0"/>
    <n v="0.37"/>
    <e v="#N/A"/>
    <x v="17"/>
  </r>
  <r>
    <d v="2023-08-01T00:00:00"/>
    <x v="29"/>
    <s v="Admin/HR/IT"/>
    <s v="AMCARE NonOcc In"/>
    <s v="AMZN"/>
    <n v="200404250"/>
    <s v="Hurtado,Caty"/>
    <s v="Romero Sanchez,Gustavo Gabriel"/>
    <n v="0"/>
    <n v="0"/>
    <n v="0"/>
    <n v="0"/>
    <n v="0.48"/>
    <e v="#N/A"/>
    <x v="6"/>
  </r>
  <r>
    <d v="2023-08-01T00:00:00"/>
    <x v="29"/>
    <s v="Admin/HR/IT"/>
    <s v="AMCARE NonOcc In"/>
    <s v="AMZN"/>
    <n v="200514421"/>
    <s v="Padilla Abrego,Angeles"/>
    <s v="Romero Sanchez,Gustavo Gabriel"/>
    <n v="0"/>
    <n v="0"/>
    <n v="0"/>
    <n v="0"/>
    <n v="0.93"/>
    <e v="#N/A"/>
    <x v="18"/>
  </r>
  <r>
    <d v="2023-08-01T00:00:00"/>
    <x v="29"/>
    <s v="Admin/HR/IT"/>
    <s v="AMCARE NonOcc In"/>
    <s v="AMZN"/>
    <n v="200625528"/>
    <s v="Oliva,Lizbeth"/>
    <s v="Piedra,Valentina"/>
    <n v="0"/>
    <n v="0"/>
    <n v="0"/>
    <n v="0"/>
    <n v="0.1"/>
    <e v="#N/A"/>
    <x v="83"/>
  </r>
  <r>
    <d v="2023-08-01T00:00:00"/>
    <x v="29"/>
    <s v="Admin/HR/IT"/>
    <s v="AMCARE NonOcc In"/>
    <s v="AMZN"/>
    <n v="201172306"/>
    <s v="Valdez,CÃ©sar"/>
    <s v="Bueno Mendoza,Susana"/>
    <n v="0"/>
    <n v="0"/>
    <n v="0"/>
    <n v="0"/>
    <n v="0.81"/>
    <e v="#N/A"/>
    <x v="128"/>
  </r>
  <r>
    <d v="2023-08-01T00:00:00"/>
    <x v="29"/>
    <s v="Admin/HR/IT"/>
    <s v="AMCARE NonOcc In"/>
    <s v="AMZN"/>
    <n v="201185653"/>
    <s v="Lopez,Mine"/>
    <s v="Corona Arriaga,Fernando"/>
    <n v="0"/>
    <n v="0"/>
    <n v="0"/>
    <n v="0"/>
    <n v="7.0000000000000007E-2"/>
    <e v="#N/A"/>
    <x v="137"/>
  </r>
  <r>
    <d v="2023-08-01T00:00:00"/>
    <x v="29"/>
    <s v="Admin/HR/IT"/>
    <s v="AMCARE NonOcc In"/>
    <s v="TEMP"/>
    <n v="201338665"/>
    <s v="Reyes,Daniel"/>
    <s v="Lopez,Alexa"/>
    <n v="0"/>
    <n v="0"/>
    <n v="0"/>
    <n v="0"/>
    <n v="0.34"/>
    <e v="#N/A"/>
    <x v="0"/>
  </r>
  <r>
    <d v="2023-08-01T00:00:00"/>
    <x v="29"/>
    <s v="Admin/HR/IT"/>
    <s v="AMCARE NonOcc In"/>
    <s v="TEMP"/>
    <n v="201354965"/>
    <s v="JimÃ©nez,Aline"/>
    <s v="Lopez,Alexa"/>
    <n v="0"/>
    <n v="0"/>
    <n v="0"/>
    <n v="0"/>
    <n v="0.28999999999999998"/>
    <e v="#N/A"/>
    <x v="152"/>
  </r>
  <r>
    <d v="2023-08-01T00:00:00"/>
    <x v="29"/>
    <s v="Admin/HR/IT"/>
    <s v="AMCARE NonOcc In"/>
    <s v="TEMP"/>
    <n v="201355525"/>
    <s v="Hernandez,Gael"/>
    <s v="Camarena,Grecia"/>
    <n v="0"/>
    <n v="0"/>
    <n v="0"/>
    <n v="0"/>
    <n v="0.21"/>
    <e v="#N/A"/>
    <x v="0"/>
  </r>
  <r>
    <d v="2023-08-01T00:00:00"/>
    <x v="29"/>
    <s v="Admin/HR/IT"/>
    <s v="AMCARE NonOcc In"/>
    <s v="TEMP"/>
    <n v="201402060"/>
    <s v="Tovar,Mariana"/>
    <s v="Piedra,Valentina"/>
    <n v="0"/>
    <n v="0"/>
    <n v="0"/>
    <n v="0"/>
    <n v="0.97"/>
    <e v="#N/A"/>
    <x v="0"/>
  </r>
  <r>
    <d v="2023-08-02T00:00:00"/>
    <x v="29"/>
    <s v="Admin/HR/IT"/>
    <s v="AMCARE NonOcc In"/>
    <s v="AMZN"/>
    <n v="112912752"/>
    <s v="Valderrama Gomez,Leslie"/>
    <s v="Piedra,Valentina"/>
    <n v="0"/>
    <n v="0"/>
    <n v="0"/>
    <n v="0"/>
    <n v="0.13"/>
    <s v="NF-X1900"/>
    <x v="5"/>
  </r>
  <r>
    <d v="2023-08-02T00:00:00"/>
    <x v="29"/>
    <s v="Admin/HR/IT"/>
    <s v="AMCARE NonOcc In"/>
    <s v="AMZN"/>
    <n v="112950792"/>
    <s v="Morales Gonzalez,Genesis"/>
    <s v="Bueno Mendoza,Susana"/>
    <n v="0"/>
    <n v="0"/>
    <n v="0"/>
    <n v="0"/>
    <n v="0.22"/>
    <s v="NF-X1900"/>
    <x v="84"/>
  </r>
  <r>
    <d v="2023-08-02T00:00:00"/>
    <x v="29"/>
    <s v="Admin/HR/IT"/>
    <s v="AMCARE NonOcc In"/>
    <s v="AMZN"/>
    <n v="112972524"/>
    <s v="Santibanez Garcia,Luisa"/>
    <s v="Rosas Negrete,Sebastian"/>
    <n v="0"/>
    <n v="0"/>
    <n v="0"/>
    <n v="0"/>
    <n v="0.11"/>
    <s v="DB-X0700"/>
    <x v="15"/>
  </r>
  <r>
    <d v="2023-08-02T00:00:00"/>
    <x v="29"/>
    <s v="Admin/HR/IT"/>
    <s v="AMCARE NonOcc In"/>
    <s v="AMZN"/>
    <n v="112980899"/>
    <s v="Avila Cabrera,Ari"/>
    <s v="Bueno Mendoza,Susana"/>
    <n v="0"/>
    <n v="0"/>
    <n v="0"/>
    <n v="0"/>
    <n v="0.21"/>
    <s v="NF-X1900"/>
    <x v="34"/>
  </r>
  <r>
    <d v="2023-08-02T00:00:00"/>
    <x v="29"/>
    <s v="Admin/HR/IT"/>
    <s v="AMCARE NonOcc In"/>
    <s v="AMZN"/>
    <n v="112981013"/>
    <s v="Lopez Neri,Norma"/>
    <s v="Piedra,Valentina"/>
    <n v="0"/>
    <n v="0"/>
    <n v="0"/>
    <n v="0"/>
    <n v="0.2"/>
    <s v="DA-X0700"/>
    <x v="12"/>
  </r>
  <r>
    <d v="2023-08-02T00:00:00"/>
    <x v="29"/>
    <s v="Admin/HR/IT"/>
    <s v="AMCARE NonOcc In"/>
    <s v="AMZN"/>
    <n v="200404250"/>
    <s v="Hurtado,Caty"/>
    <s v="Romero Sanchez,Gustavo Gabriel"/>
    <n v="0"/>
    <n v="0"/>
    <n v="0"/>
    <n v="0"/>
    <n v="0.24"/>
    <e v="#N/A"/>
    <x v="6"/>
  </r>
  <r>
    <d v="2023-08-02T00:00:00"/>
    <x v="29"/>
    <s v="Admin/HR/IT"/>
    <s v="AMCARE NonOcc In"/>
    <s v="TEMP"/>
    <n v="201320388"/>
    <s v="Pena,Laura"/>
    <s v="Robledo Ugarte,Alejandro"/>
    <n v="0"/>
    <n v="0"/>
    <n v="0"/>
    <n v="0"/>
    <n v="1.86"/>
    <e v="#N/A"/>
    <x v="0"/>
  </r>
  <r>
    <d v="2023-08-02T00:00:00"/>
    <x v="29"/>
    <s v="Admin/HR/IT"/>
    <s v="AMCARE NonOcc In"/>
    <s v="TEMP"/>
    <n v="201336567"/>
    <s v="Reyes,Adriana"/>
    <s v="Lopez,Alexa"/>
    <n v="0"/>
    <n v="0"/>
    <n v="0"/>
    <n v="0"/>
    <n v="0.18"/>
    <e v="#N/A"/>
    <x v="0"/>
  </r>
  <r>
    <d v="2023-08-02T00:00:00"/>
    <x v="29"/>
    <s v="Admin/HR/IT"/>
    <s v="AMCARE NonOcc In"/>
    <s v="TEMP"/>
    <n v="201378452"/>
    <s v="Perez,Omar"/>
    <s v="Romero Sanchez,Gustavo Gabriel"/>
    <n v="0"/>
    <n v="0"/>
    <n v="0"/>
    <n v="0"/>
    <n v="1.1000000000000001"/>
    <e v="#N/A"/>
    <x v="189"/>
  </r>
  <r>
    <d v="2023-08-03T00:00:00"/>
    <x v="29"/>
    <s v="Admin/HR/IT"/>
    <s v="AMCARE NonOcc In"/>
    <s v="TEMP"/>
    <n v="112912747"/>
    <s v="Velasco,Cristina"/>
    <s v="Lopez,Alexa"/>
    <n v="0"/>
    <n v="0"/>
    <n v="0"/>
    <n v="0"/>
    <n v="0.28999999999999998"/>
    <e v="#N/A"/>
    <x v="0"/>
  </r>
  <r>
    <d v="2023-08-03T00:00:00"/>
    <x v="29"/>
    <s v="Admin/HR/IT"/>
    <s v="AMCARE NonOcc In"/>
    <s v="AMZN"/>
    <n v="112971962"/>
    <s v="Reyes  Montes de oca,Alejandra"/>
    <s v="Ledezma,Fer"/>
    <n v="0"/>
    <n v="0"/>
    <n v="0"/>
    <n v="0"/>
    <n v="0.4"/>
    <s v="DB-X0700"/>
    <x v="26"/>
  </r>
  <r>
    <d v="2023-08-03T00:00:00"/>
    <x v="29"/>
    <s v="Admin/HR/IT"/>
    <s v="AMCARE NonOcc In"/>
    <s v="AMZN"/>
    <n v="112972524"/>
    <s v="Santibanez Garcia,Luisa"/>
    <s v="Rosas Negrete,Sebastian"/>
    <n v="0"/>
    <n v="0"/>
    <n v="0"/>
    <n v="0"/>
    <n v="0.52"/>
    <s v="DB-X0700"/>
    <x v="15"/>
  </r>
  <r>
    <d v="2023-08-03T00:00:00"/>
    <x v="29"/>
    <s v="Admin/HR/IT"/>
    <s v="AMCARE NonOcc In"/>
    <s v="AMZN"/>
    <n v="112981061"/>
    <s v="Olguin,Claudia"/>
    <s v="Robledo Ugarte,Alejandro"/>
    <n v="0"/>
    <n v="0"/>
    <n v="0"/>
    <n v="0"/>
    <n v="0.23"/>
    <s v="DA-X0700"/>
    <x v="11"/>
  </r>
  <r>
    <d v="2023-08-03T00:00:00"/>
    <x v="29"/>
    <s v="Admin/HR/IT"/>
    <s v="AMCARE NonOcc In"/>
    <s v="AMZN"/>
    <n v="112981196"/>
    <s v="Gomez,Andrea"/>
    <s v="Piedra,Valentina"/>
    <n v="0"/>
    <n v="0"/>
    <n v="0"/>
    <n v="0"/>
    <n v="0.2"/>
    <e v="#N/A"/>
    <x v="22"/>
  </r>
  <r>
    <d v="2023-08-03T00:00:00"/>
    <x v="29"/>
    <s v="Admin/HR/IT"/>
    <s v="AMCARE NonOcc In"/>
    <s v="AMZN"/>
    <n v="113003510"/>
    <s v="PÃ©rez MÃ©ndez,Cecy"/>
    <s v="Gomez Aguado,Jorge"/>
    <n v="0"/>
    <n v="0"/>
    <n v="0"/>
    <n v="0"/>
    <n v="0.55000000000000004"/>
    <e v="#N/A"/>
    <x v="115"/>
  </r>
  <r>
    <d v="2023-08-03T00:00:00"/>
    <x v="29"/>
    <s v="Admin/HR/IT"/>
    <s v="AMCARE NonOcc In"/>
    <s v="AMZN"/>
    <n v="113014560"/>
    <s v="Lopez Moreno,Americo"/>
    <s v="Ledezma,Fer"/>
    <n v="0"/>
    <n v="0"/>
    <n v="0"/>
    <n v="0"/>
    <n v="0.21"/>
    <e v="#N/A"/>
    <x v="81"/>
  </r>
  <r>
    <d v="2023-08-03T00:00:00"/>
    <x v="29"/>
    <s v="Admin/HR/IT"/>
    <s v="AMCARE NonOcc In"/>
    <s v="AMZN"/>
    <n v="113020476"/>
    <s v="Puente Aguilar,Polette"/>
    <s v="Madrid Molina,Ramon"/>
    <n v="0"/>
    <n v="0"/>
    <n v="0"/>
    <n v="0"/>
    <n v="0.41"/>
    <e v="#N/A"/>
    <x v="19"/>
  </r>
  <r>
    <d v="2023-08-03T00:00:00"/>
    <x v="29"/>
    <s v="Admin/HR/IT"/>
    <s v="AMCARE NonOcc In"/>
    <s v="AMZN"/>
    <n v="200562154"/>
    <s v="Reyes Muniz,Cristian"/>
    <s v="Corona Arriaga,Fernando"/>
    <n v="0"/>
    <n v="0"/>
    <n v="0"/>
    <n v="0"/>
    <n v="0.4"/>
    <e v="#N/A"/>
    <x v="42"/>
  </r>
  <r>
    <d v="2023-08-03T00:00:00"/>
    <x v="29"/>
    <s v="Admin/HR/IT"/>
    <s v="AMCARE NonOcc In"/>
    <s v="AMZN"/>
    <n v="200614224"/>
    <s v="Cruz Hernandez,Cris"/>
    <s v="Ledezma,Fer"/>
    <n v="0"/>
    <n v="0"/>
    <n v="0"/>
    <n v="0"/>
    <n v="0.8"/>
    <e v="#N/A"/>
    <x v="0"/>
  </r>
  <r>
    <d v="2023-08-03T00:00:00"/>
    <x v="29"/>
    <s v="Admin/HR/IT"/>
    <s v="AMCARE NonOcc In"/>
    <s v="AMZN"/>
    <n v="201191390"/>
    <s v="GarcÃ­a,jesus"/>
    <s v="Madrid Molina,Ramon"/>
    <n v="0"/>
    <n v="0"/>
    <n v="0"/>
    <n v="0"/>
    <n v="0.13"/>
    <e v="#N/A"/>
    <x v="116"/>
  </r>
  <r>
    <d v="2023-08-03T00:00:00"/>
    <x v="29"/>
    <s v="Admin/HR/IT"/>
    <s v="AMCARE NonOcc In"/>
    <s v="TEMP"/>
    <n v="201318227"/>
    <s v="Rayas,Hilda"/>
    <s v="Gomez Aguado,Jorge"/>
    <n v="0"/>
    <n v="0"/>
    <n v="0"/>
    <n v="0"/>
    <n v="0.64"/>
    <e v="#N/A"/>
    <x v="0"/>
  </r>
  <r>
    <d v="2023-08-03T00:00:00"/>
    <x v="29"/>
    <s v="Admin/HR/IT"/>
    <s v="AMCARE NonOcc In"/>
    <s v="TEMP"/>
    <n v="201354965"/>
    <s v="JimÃ©nez,Aline"/>
    <s v="Lopez,Alexa"/>
    <n v="0"/>
    <n v="0"/>
    <n v="0"/>
    <n v="0"/>
    <n v="0.09"/>
    <e v="#N/A"/>
    <x v="152"/>
  </r>
  <r>
    <d v="2023-08-03T00:00:00"/>
    <x v="29"/>
    <s v="Admin/HR/IT"/>
    <s v="AMCARE NonOcc In"/>
    <s v="AMZN"/>
    <n v="112912511"/>
    <s v="Elorza,Sergio"/>
    <s v="Gomez Aguado,Jorge"/>
    <n v="0"/>
    <n v="0"/>
    <n v="0"/>
    <n v="0"/>
    <n v="0.66"/>
    <s v="DB-X0700"/>
    <x v="180"/>
  </r>
  <r>
    <d v="2023-08-03T00:00:00"/>
    <x v="29"/>
    <s v="Admin/HR/IT"/>
    <s v="AMCARE NonOcc In"/>
    <s v="TEMP"/>
    <n v="112912747"/>
    <s v="Velasco,Cristina"/>
    <s v="Lopez,Alexa"/>
    <n v="0"/>
    <n v="0"/>
    <n v="0"/>
    <n v="0"/>
    <n v="0.76"/>
    <e v="#N/A"/>
    <x v="0"/>
  </r>
  <r>
    <d v="2023-08-04T00:00:00"/>
    <x v="29"/>
    <s v="Admin/HR/IT"/>
    <s v="AMCARE NonOcc In"/>
    <s v="AMZN"/>
    <n v="112913641"/>
    <s v="Arevalo,Mauricio"/>
    <s v="Gomez Aguado,Jorge"/>
    <n v="0"/>
    <n v="0"/>
    <n v="0"/>
    <n v="0"/>
    <n v="1.01"/>
    <s v="DB-X0700"/>
    <x v="132"/>
  </r>
  <r>
    <d v="2023-08-04T00:00:00"/>
    <x v="29"/>
    <s v="Admin/HR/IT"/>
    <s v="AMCARE NonOcc In"/>
    <s v="AMZN"/>
    <n v="112920666"/>
    <s v="Rocha,Jose"/>
    <s v="Cortes,Alejandra"/>
    <n v="0"/>
    <n v="0"/>
    <n v="0"/>
    <n v="0"/>
    <n v="0.18"/>
    <s v="D5-X0700"/>
    <x v="3"/>
  </r>
  <r>
    <d v="2023-08-04T00:00:00"/>
    <x v="29"/>
    <s v="Admin/HR/IT"/>
    <s v="AMCARE NonOcc In"/>
    <s v="AMZN"/>
    <n v="112950784"/>
    <s v="Rojas,Samuel"/>
    <s v="Pizana,Diego"/>
    <n v="0"/>
    <n v="0"/>
    <n v="0"/>
    <n v="0"/>
    <n v="0.28999999999999998"/>
    <s v="NF-X1900"/>
    <x v="13"/>
  </r>
  <r>
    <d v="2023-08-04T00:00:00"/>
    <x v="29"/>
    <s v="Admin/HR/IT"/>
    <s v="AMCARE NonOcc In"/>
    <s v="AMZN"/>
    <n v="112973049"/>
    <s v="Tavares Parra,Ely"/>
    <s v="Madrid Molina,Ramon"/>
    <n v="0"/>
    <n v="0"/>
    <n v="0"/>
    <n v="0"/>
    <n v="0.13"/>
    <s v="DB-X0700"/>
    <x v="14"/>
  </r>
  <r>
    <d v="2023-08-04T00:00:00"/>
    <x v="29"/>
    <s v="Admin/HR/IT"/>
    <s v="AMCARE NonOcc In"/>
    <s v="AMZN"/>
    <n v="113003510"/>
    <s v="PÃ©rez MÃ©ndez,Cecy"/>
    <s v="Gomez Aguado,Jorge"/>
    <n v="0"/>
    <n v="0"/>
    <n v="0"/>
    <n v="0"/>
    <n v="0.7"/>
    <e v="#N/A"/>
    <x v="115"/>
  </r>
  <r>
    <d v="2023-08-04T00:00:00"/>
    <x v="29"/>
    <s v="Admin/HR/IT"/>
    <s v="AMCARE NonOcc In"/>
    <s v="AMZN"/>
    <n v="113014470"/>
    <s v="Aguilar Ibarra,Lupe"/>
    <s v="Robledo Ugarte,Alejandro"/>
    <n v="0"/>
    <n v="0"/>
    <n v="0"/>
    <n v="0"/>
    <n v="0.63"/>
    <e v="#N/A"/>
    <x v="30"/>
  </r>
  <r>
    <d v="2023-08-04T00:00:00"/>
    <x v="29"/>
    <s v="Admin/HR/IT"/>
    <s v="AMCARE NonOcc In"/>
    <s v="AMZN"/>
    <n v="113014560"/>
    <s v="Lopez Moreno,Americo"/>
    <s v="Ledezma,Fer"/>
    <n v="0"/>
    <n v="0"/>
    <n v="0"/>
    <n v="0"/>
    <n v="0.04"/>
    <e v="#N/A"/>
    <x v="81"/>
  </r>
  <r>
    <d v="2023-08-04T00:00:00"/>
    <x v="29"/>
    <s v="Admin/HR/IT"/>
    <s v="AMCARE NonOcc In"/>
    <s v="AMZN"/>
    <n v="113020497"/>
    <s v="Martinez Ruiz,Diana"/>
    <s v="Gomez Aguado,Jorge"/>
    <n v="0"/>
    <n v="0"/>
    <n v="0"/>
    <n v="0"/>
    <n v="0.66"/>
    <e v="#N/A"/>
    <x v="82"/>
  </r>
  <r>
    <d v="2023-08-04T00:00:00"/>
    <x v="29"/>
    <s v="Admin/HR/IT"/>
    <s v="AMCARE NonOcc In"/>
    <s v="AMZN"/>
    <n v="113044763"/>
    <s v="Urbina Avila,Stephany"/>
    <s v="Gomez Aguado,Jorge"/>
    <n v="0"/>
    <n v="0"/>
    <n v="0"/>
    <n v="0"/>
    <n v="0.64"/>
    <e v="#N/A"/>
    <x v="74"/>
  </r>
  <r>
    <d v="2023-08-04T00:00:00"/>
    <x v="29"/>
    <s v="Admin/HR/IT"/>
    <s v="AMCARE NonOcc In"/>
    <s v="AMZN"/>
    <n v="200562154"/>
    <s v="Reyes Muniz,Cristian"/>
    <s v="Corona Arriaga,Fernando"/>
    <n v="0"/>
    <n v="0"/>
    <n v="0"/>
    <n v="0"/>
    <n v="0.34"/>
    <e v="#N/A"/>
    <x v="42"/>
  </r>
  <r>
    <d v="2023-08-04T00:00:00"/>
    <x v="29"/>
    <s v="Admin/HR/IT"/>
    <s v="AMCARE NonOcc In"/>
    <s v="AMZN"/>
    <n v="200614224"/>
    <s v="Cruz Hernandez,Cris"/>
    <s v="Ledezma,Fer"/>
    <n v="0"/>
    <n v="0"/>
    <n v="0"/>
    <n v="0"/>
    <n v="0.32"/>
    <e v="#N/A"/>
    <x v="0"/>
  </r>
  <r>
    <d v="2023-08-04T00:00:00"/>
    <x v="29"/>
    <s v="Admin/HR/IT"/>
    <s v="AMCARE NonOcc In"/>
    <s v="AMZN"/>
    <n v="201198427"/>
    <s v="Ponce,Paulina"/>
    <s v="Gomez Aguado,Jorge"/>
    <n v="0"/>
    <n v="0"/>
    <n v="0"/>
    <n v="0"/>
    <n v="0.64"/>
    <e v="#N/A"/>
    <x v="148"/>
  </r>
  <r>
    <d v="2023-08-04T00:00:00"/>
    <x v="29"/>
    <s v="Admin/HR/IT"/>
    <s v="AMCARE NonOcc In"/>
    <s v="AMZN"/>
    <n v="201202093"/>
    <s v="Ortega,Elizabeth"/>
    <s v="Romero Sanchez,Gustavo Gabriel"/>
    <n v="0"/>
    <n v="0"/>
    <n v="0"/>
    <n v="0"/>
    <n v="0.06"/>
    <e v="#N/A"/>
    <x v="129"/>
  </r>
  <r>
    <d v="2023-08-04T00:00:00"/>
    <x v="29"/>
    <s v="Admin/HR/IT"/>
    <s v="AMCARE NonOcc In"/>
    <s v="AMZN"/>
    <n v="201223730"/>
    <s v="Sanchiz,Cesarito"/>
    <s v="Corona Arriaga,Fernando"/>
    <n v="0"/>
    <n v="0"/>
    <n v="0"/>
    <n v="0"/>
    <n v="0.72"/>
    <e v="#N/A"/>
    <x v="120"/>
  </r>
  <r>
    <d v="2023-08-04T00:00:00"/>
    <x v="29"/>
    <s v="Admin/HR/IT"/>
    <s v="AMCARE NonOcc In"/>
    <s v="TEMP"/>
    <n v="201295559"/>
    <s v="Flores,Mar"/>
    <s v="Gomez Aguado,Jorge"/>
    <n v="0"/>
    <n v="0"/>
    <n v="0"/>
    <n v="0"/>
    <n v="0.73"/>
    <e v="#N/A"/>
    <x v="181"/>
  </r>
  <r>
    <d v="2023-08-04T00:00:00"/>
    <x v="29"/>
    <s v="Admin/HR/IT"/>
    <s v="AMCARE NonOcc In"/>
    <s v="TEMP"/>
    <n v="201318227"/>
    <s v="Rayas,Hilda"/>
    <s v="Gomez Aguado,Jorge"/>
    <n v="0"/>
    <n v="0"/>
    <n v="0"/>
    <n v="0"/>
    <n v="0.7"/>
    <e v="#N/A"/>
    <x v="0"/>
  </r>
  <r>
    <d v="2023-08-04T00:00:00"/>
    <x v="29"/>
    <s v="Admin/HR/IT"/>
    <s v="AMCARE NonOcc In"/>
    <s v="TEMP"/>
    <n v="201345737"/>
    <s v="Rosales,Paco"/>
    <s v="Ledezma,Fer"/>
    <n v="0"/>
    <n v="0"/>
    <n v="0"/>
    <n v="0"/>
    <n v="0.95"/>
    <e v="#N/A"/>
    <x v="156"/>
  </r>
  <r>
    <d v="2023-08-04T00:00:00"/>
    <x v="29"/>
    <s v="Admin/HR/IT"/>
    <s v="AMCARE NonOcc In"/>
    <s v="TEMP"/>
    <n v="201354965"/>
    <s v="JimÃ©nez,Aline"/>
    <s v="Lopez,Alexa"/>
    <n v="0"/>
    <n v="0"/>
    <n v="0"/>
    <n v="0"/>
    <n v="1.34"/>
    <e v="#N/A"/>
    <x v="152"/>
  </r>
  <r>
    <d v="2023-08-04T00:00:00"/>
    <x v="29"/>
    <s v="Admin/HR/IT"/>
    <s v="AMCARE NonOcc In"/>
    <s v="TEMP"/>
    <n v="201403462"/>
    <s v="Valdovino,Jorge"/>
    <s v="Corona Arriaga,Fernando"/>
    <n v="0"/>
    <n v="0"/>
    <n v="0"/>
    <n v="0"/>
    <n v="0.42"/>
    <e v="#N/A"/>
    <x v="146"/>
  </r>
  <r>
    <d v="2023-08-05T00:00:00"/>
    <x v="29"/>
    <s v="Admin/HR/IT"/>
    <s v="AMCARE NonOcc In"/>
    <s v="TEMP"/>
    <n v="112912747"/>
    <s v="Velasco,Cristina"/>
    <s v="Lopez,Alexa"/>
    <n v="0"/>
    <n v="0"/>
    <n v="0"/>
    <n v="0"/>
    <n v="0.36"/>
    <e v="#N/A"/>
    <x v="0"/>
  </r>
  <r>
    <d v="2023-08-05T00:00:00"/>
    <x v="29"/>
    <s v="Admin/HR/IT"/>
    <s v="AMCARE NonOcc In"/>
    <s v="AMZN"/>
    <n v="113003971"/>
    <s v="Garcia  Ramirez,Gabriel"/>
    <s v="Corona Arriaga,Fernando"/>
    <n v="0"/>
    <n v="0"/>
    <n v="0"/>
    <n v="0"/>
    <n v="0.08"/>
    <e v="#N/A"/>
    <x v="10"/>
  </r>
  <r>
    <d v="2023-08-05T00:00:00"/>
    <x v="29"/>
    <s v="Admin/HR/IT"/>
    <s v="AMCARE NonOcc In"/>
    <s v="AMZN"/>
    <n v="113020476"/>
    <s v="Puente Aguilar,Polette"/>
    <s v="Madrid Molina,Ramon"/>
    <n v="0"/>
    <n v="0"/>
    <n v="0"/>
    <n v="0"/>
    <n v="0.09"/>
    <e v="#N/A"/>
    <x v="19"/>
  </r>
  <r>
    <d v="2023-08-05T00:00:00"/>
    <x v="29"/>
    <s v="Admin/HR/IT"/>
    <s v="AMCARE NonOcc In"/>
    <s v="TEMP"/>
    <n v="200552429"/>
    <s v="Lozornio Martinez,Antonio"/>
    <s v="Lopez,Alexa"/>
    <n v="0"/>
    <n v="0"/>
    <n v="0"/>
    <n v="0"/>
    <n v="0.3"/>
    <e v="#N/A"/>
    <x v="0"/>
  </r>
  <r>
    <d v="2023-08-05T00:00:00"/>
    <x v="29"/>
    <s v="Admin/HR/IT"/>
    <s v="AMCARE NonOcc In"/>
    <s v="TEMP"/>
    <n v="201345737"/>
    <s v="Rosales,Paco"/>
    <s v="Ledezma,Fer"/>
    <n v="0"/>
    <n v="0"/>
    <n v="0"/>
    <n v="0"/>
    <n v="1.0900000000000001"/>
    <e v="#N/A"/>
    <x v="156"/>
  </r>
  <r>
    <d v="2023-08-05T00:00:00"/>
    <x v="29"/>
    <s v="Admin/HR/IT"/>
    <s v="AMCARE NonOcc In"/>
    <s v="TEMP"/>
    <n v="201386201"/>
    <s v="Castillo,Janai"/>
    <s v="Ledezma,Fer"/>
    <n v="0"/>
    <n v="0"/>
    <n v="0"/>
    <n v="0"/>
    <n v="0.56000000000000005"/>
    <e v="#N/A"/>
    <x v="186"/>
  </r>
  <r>
    <d v="2023-08-06T00:00:00"/>
    <x v="30"/>
    <s v="Admin/HR/IT"/>
    <s v="AMCARE NonOcc In"/>
    <s v="AMZN"/>
    <n v="112950802"/>
    <s v="Blee,Fabian"/>
    <s v="Romero Sanchez,Gustavo Gabriel"/>
    <n v="0"/>
    <n v="0"/>
    <n v="0"/>
    <n v="0"/>
    <n v="0.08"/>
    <e v="#N/A"/>
    <x v="0"/>
  </r>
  <r>
    <d v="2023-08-06T00:00:00"/>
    <x v="30"/>
    <s v="Admin/HR/IT"/>
    <s v="AMCARE NonOcc In"/>
    <s v="AMZN"/>
    <n v="112971962"/>
    <s v="Reyes  Montes de oca,Alejandra"/>
    <s v="Ledezma,Fer"/>
    <n v="0"/>
    <n v="0"/>
    <n v="0"/>
    <n v="0"/>
    <n v="0.2"/>
    <s v="DB-X0700"/>
    <x v="26"/>
  </r>
  <r>
    <d v="2023-08-06T00:00:00"/>
    <x v="30"/>
    <s v="Admin/HR/IT"/>
    <s v="AMCARE NonOcc In"/>
    <s v="AMZN"/>
    <n v="112980847"/>
    <s v="Reyes,Jose"/>
    <s v="Bueno Mendoza,Susana"/>
    <n v="0"/>
    <n v="0"/>
    <n v="0"/>
    <n v="0"/>
    <n v="0.24"/>
    <e v="#N/A"/>
    <x v="0"/>
  </r>
  <r>
    <d v="2023-08-06T00:00:00"/>
    <x v="30"/>
    <s v="Admin/HR/IT"/>
    <s v="AMCARE NonOcc In"/>
    <s v="AMZN"/>
    <n v="112980899"/>
    <s v="Avila Cabrera,Ari"/>
    <s v="Camarena,Grecia"/>
    <n v="0"/>
    <n v="0"/>
    <n v="0"/>
    <n v="0"/>
    <n v="0.24"/>
    <s v="NF-X1900"/>
    <x v="34"/>
  </r>
  <r>
    <d v="2023-08-06T00:00:00"/>
    <x v="30"/>
    <s v="Admin/HR/IT"/>
    <s v="AMCARE NonOcc In"/>
    <s v="AMZN"/>
    <n v="112981196"/>
    <s v="Gomez,Andrea"/>
    <s v="Piedra,Valentina"/>
    <n v="0"/>
    <n v="0"/>
    <n v="0"/>
    <n v="0"/>
    <n v="0.24"/>
    <e v="#N/A"/>
    <x v="22"/>
  </r>
  <r>
    <d v="2023-08-06T00:00:00"/>
    <x v="30"/>
    <s v="Admin/HR/IT"/>
    <s v="AMCARE NonOcc In"/>
    <s v="TEMP"/>
    <n v="113010145"/>
    <s v="Hernandez,Adriana"/>
    <s v="Romero Sanchez,Gustavo Gabriel"/>
    <n v="0"/>
    <n v="0"/>
    <n v="0"/>
    <n v="0"/>
    <n v="0.64"/>
    <e v="#N/A"/>
    <x v="0"/>
  </r>
  <r>
    <d v="2023-08-06T00:00:00"/>
    <x v="30"/>
    <s v="Admin/HR/IT"/>
    <s v="AMCARE NonOcc In"/>
    <s v="AMZN"/>
    <n v="113052151"/>
    <s v="Nieves Mendez,Laura"/>
    <s v="Ledezma,Fer"/>
    <n v="0"/>
    <n v="0"/>
    <n v="0"/>
    <n v="0"/>
    <n v="0.13"/>
    <e v="#N/A"/>
    <x v="56"/>
  </r>
  <r>
    <d v="2023-08-06T00:00:00"/>
    <x v="30"/>
    <s v="Admin/HR/IT"/>
    <s v="AMCARE NonOcc In"/>
    <s v="TEMP"/>
    <n v="200407440"/>
    <s v="Escamilla,Guillermo"/>
    <s v="Romero Sanchez,Gustavo Gabriel"/>
    <n v="0"/>
    <n v="0"/>
    <n v="0"/>
    <n v="0"/>
    <n v="0.1"/>
    <e v="#N/A"/>
    <x v="0"/>
  </r>
  <r>
    <d v="2023-08-06T00:00:00"/>
    <x v="30"/>
    <s v="Admin/HR/IT"/>
    <s v="AMCARE NonOcc In"/>
    <s v="TEMP"/>
    <n v="200508323"/>
    <s v="Espejel Lopez,Emmanuel"/>
    <s v="Ledezma,Fer"/>
    <n v="0"/>
    <n v="0"/>
    <n v="0"/>
    <n v="0"/>
    <n v="0.18"/>
    <e v="#N/A"/>
    <x v="177"/>
  </r>
  <r>
    <d v="2023-08-06T00:00:00"/>
    <x v="30"/>
    <s v="Admin/HR/IT"/>
    <s v="AMCARE NonOcc In"/>
    <s v="AMZN"/>
    <n v="201165769"/>
    <s v="Puente,Karen"/>
    <s v="Piedra,Valentina"/>
    <n v="0"/>
    <n v="0"/>
    <n v="0"/>
    <n v="0"/>
    <n v="0.13"/>
    <e v="#N/A"/>
    <x v="113"/>
  </r>
  <r>
    <d v="2023-08-06T00:00:00"/>
    <x v="30"/>
    <s v="Admin/HR/IT"/>
    <s v="AMCARE NonOcc In"/>
    <s v="TEMP"/>
    <n v="201386201"/>
    <s v="Castillo,Janai"/>
    <s v="Ledezma,Fer"/>
    <n v="0"/>
    <n v="0"/>
    <n v="0"/>
    <n v="0"/>
    <n v="0.33"/>
    <e v="#N/A"/>
    <x v="186"/>
  </r>
  <r>
    <d v="2023-08-07T00:00:00"/>
    <x v="30"/>
    <s v="Admin/HR/IT"/>
    <s v="AMCARE NonOcc In"/>
    <s v="AMZN"/>
    <n v="112912745"/>
    <s v="Gomez Meza,Alex"/>
    <s v="Piedra,Valentina"/>
    <n v="0"/>
    <n v="0"/>
    <n v="0"/>
    <n v="0"/>
    <n v="0.86"/>
    <s v="DA-X0700"/>
    <x v="55"/>
  </r>
  <r>
    <d v="2023-08-07T00:00:00"/>
    <x v="30"/>
    <s v="Admin/HR/IT"/>
    <s v="AMCARE NonOcc In"/>
    <s v="AMZN"/>
    <n v="112981014"/>
    <s v="Roldan Gutierrez,Pablo"/>
    <s v="Bueno Mendoza,Susana"/>
    <n v="0"/>
    <n v="0"/>
    <n v="0"/>
    <n v="0"/>
    <n v="0.3"/>
    <s v="DJ-X0700"/>
    <x v="29"/>
  </r>
  <r>
    <d v="2023-08-07T00:00:00"/>
    <x v="30"/>
    <s v="Admin/HR/IT"/>
    <s v="AMCARE NonOcc In"/>
    <s v="AMZN"/>
    <n v="112981061"/>
    <s v="Olguin,Claudia"/>
    <s v="Robledo Ugarte,Alejandro"/>
    <n v="0"/>
    <n v="0"/>
    <n v="0"/>
    <n v="0"/>
    <n v="0.3"/>
    <s v="DA-X0700"/>
    <x v="11"/>
  </r>
  <r>
    <d v="2023-08-07T00:00:00"/>
    <x v="30"/>
    <s v="Admin/HR/IT"/>
    <s v="AMCARE NonOcc In"/>
    <s v="TEMP"/>
    <n v="113013981"/>
    <s v="Espinosa,Ali"/>
    <s v="Bueno Mendoza,Susana"/>
    <n v="0"/>
    <n v="0"/>
    <n v="0"/>
    <n v="0"/>
    <n v="0.19"/>
    <e v="#N/A"/>
    <x v="0"/>
  </r>
  <r>
    <d v="2023-08-07T00:00:00"/>
    <x v="30"/>
    <s v="Admin/HR/IT"/>
    <s v="AMCARE NonOcc In"/>
    <s v="AMZN"/>
    <n v="200404250"/>
    <s v="Hurtado,Caty"/>
    <s v="Romero Sanchez,Gustavo Gabriel"/>
    <n v="0"/>
    <n v="0"/>
    <n v="0"/>
    <n v="0"/>
    <n v="1.1000000000000001"/>
    <e v="#N/A"/>
    <x v="6"/>
  </r>
  <r>
    <d v="2023-08-07T00:00:00"/>
    <x v="30"/>
    <s v="Admin/HR/IT"/>
    <s v="AMCARE NonOcc In"/>
    <s v="AMZN"/>
    <n v="200563038"/>
    <s v="Arias,Elizabeth"/>
    <s v="Gomez Aguado,Jorge"/>
    <n v="0"/>
    <n v="0"/>
    <n v="0"/>
    <n v="0"/>
    <n v="0.19"/>
    <e v="#N/A"/>
    <x v="124"/>
  </r>
  <r>
    <d v="2023-08-07T00:00:00"/>
    <x v="30"/>
    <s v="Admin/HR/IT"/>
    <s v="AMCARE NonOcc In"/>
    <s v="AMZN"/>
    <n v="200564895"/>
    <s v="Mendoza Corona,Brianda"/>
    <s v="Robledo Ugarte,Alejandro"/>
    <n v="0"/>
    <n v="0"/>
    <n v="0"/>
    <n v="0"/>
    <n v="0.14000000000000001"/>
    <e v="#N/A"/>
    <x v="64"/>
  </r>
  <r>
    <d v="2023-08-07T00:00:00"/>
    <x v="30"/>
    <s v="Admin/HR/IT"/>
    <s v="AMCARE NonOcc In"/>
    <s v="AMZN"/>
    <n v="200614224"/>
    <s v="Cruz Hernandez,Cris"/>
    <s v="Ledezma,Fer"/>
    <n v="0"/>
    <n v="0"/>
    <n v="0"/>
    <n v="0"/>
    <n v="1.1100000000000001"/>
    <e v="#N/A"/>
    <x v="0"/>
  </r>
  <r>
    <d v="2023-08-07T00:00:00"/>
    <x v="30"/>
    <s v="Admin/HR/IT"/>
    <s v="AMCARE NonOcc In"/>
    <s v="AMZN"/>
    <n v="201186777"/>
    <s v="Monzon,Berenice"/>
    <s v="Romero Sanchez,Gustavo Gabriel"/>
    <n v="0"/>
    <n v="0"/>
    <n v="0"/>
    <n v="0"/>
    <n v="0.51"/>
    <e v="#N/A"/>
    <x v="107"/>
  </r>
  <r>
    <d v="2023-08-07T00:00:00"/>
    <x v="30"/>
    <s v="Admin/HR/IT"/>
    <s v="AMCARE NonOcc In"/>
    <s v="AMZN"/>
    <n v="201197964"/>
    <s v="Quijas,Matzayani"/>
    <s v="Romero Sanchez,Gustavo Gabriel"/>
    <n v="0"/>
    <n v="0"/>
    <n v="0"/>
    <n v="0"/>
    <n v="0.16"/>
    <e v="#N/A"/>
    <x v="191"/>
  </r>
  <r>
    <d v="2023-08-08T00:00:00"/>
    <x v="30"/>
    <s v="Admin/HR/IT"/>
    <s v="AMCARE NonOcc In"/>
    <s v="AMZN"/>
    <n v="112912049"/>
    <s v="Vazquez Rodriguez,Christian"/>
    <s v="Munoz,Jonan"/>
    <n v="0"/>
    <n v="0"/>
    <n v="0"/>
    <n v="0"/>
    <n v="0.08"/>
    <s v="NF-X1900"/>
    <x v="60"/>
  </r>
  <r>
    <d v="2023-08-08T00:00:00"/>
    <x v="30"/>
    <s v="Admin/HR/IT"/>
    <s v="AMCARE NonOcc In"/>
    <s v="AMZN"/>
    <n v="112912752"/>
    <s v="Valderrama Gomez,Leslie"/>
    <s v="Camarena,Grecia"/>
    <n v="0"/>
    <n v="0"/>
    <n v="0"/>
    <n v="0"/>
    <n v="0.15"/>
    <s v="NF-X1900"/>
    <x v="5"/>
  </r>
  <r>
    <d v="2023-08-08T00:00:00"/>
    <x v="30"/>
    <s v="Admin/HR/IT"/>
    <s v="AMCARE NonOcc In"/>
    <s v="AMZN"/>
    <n v="112950792"/>
    <s v="Morales Gonzalez,Genesis"/>
    <s v="Pizana,Diego"/>
    <n v="0"/>
    <n v="0"/>
    <n v="0"/>
    <n v="0"/>
    <n v="0.56999999999999995"/>
    <s v="NF-X1900"/>
    <x v="84"/>
  </r>
  <r>
    <d v="2023-08-08T00:00:00"/>
    <x v="30"/>
    <s v="Admin/HR/IT"/>
    <s v="AMCARE NonOcc In"/>
    <s v="AMZN"/>
    <n v="112971980"/>
    <s v="Romero,Daniel"/>
    <s v="Cortes,Alejandra"/>
    <n v="0"/>
    <n v="0"/>
    <n v="0"/>
    <n v="0"/>
    <n v="0.17"/>
    <s v="DC-X0700"/>
    <x v="43"/>
  </r>
  <r>
    <d v="2023-08-08T00:00:00"/>
    <x v="30"/>
    <s v="Admin/HR/IT"/>
    <s v="AMCARE NonOcc In"/>
    <s v="AMZN"/>
    <n v="113003635"/>
    <s v="Barron,Giovanni"/>
    <s v="Robledo Ugarte,Alejandro"/>
    <n v="0"/>
    <n v="0"/>
    <n v="0"/>
    <n v="0"/>
    <n v="0.26"/>
    <e v="#N/A"/>
    <x v="118"/>
  </r>
  <r>
    <d v="2023-08-08T00:00:00"/>
    <x v="30"/>
    <s v="Admin/HR/IT"/>
    <s v="AMCARE NonOcc In"/>
    <s v="AMZN"/>
    <n v="113020476"/>
    <s v="Puente Aguilar,Polette"/>
    <s v="Madrid Molina,Ramon"/>
    <n v="0"/>
    <n v="0"/>
    <n v="0"/>
    <n v="0"/>
    <n v="0.19"/>
    <e v="#N/A"/>
    <x v="19"/>
  </r>
  <r>
    <d v="2023-08-08T00:00:00"/>
    <x v="30"/>
    <s v="Admin/HR/IT"/>
    <s v="AMCARE NonOcc In"/>
    <s v="AMZN"/>
    <n v="113020497"/>
    <s v="Martinez Ruiz,Diana"/>
    <s v="Gomez Aguado,Jorge"/>
    <n v="0"/>
    <n v="0"/>
    <n v="0"/>
    <n v="0"/>
    <n v="0.14000000000000001"/>
    <e v="#N/A"/>
    <x v="82"/>
  </r>
  <r>
    <d v="2023-08-08T00:00:00"/>
    <x v="30"/>
    <s v="Admin/HR/IT"/>
    <s v="AMCARE NonOcc In"/>
    <s v="AMZN"/>
    <n v="113101453"/>
    <s v="Isaac,Geovanna"/>
    <s v="Robledo Ugarte,Alejandro"/>
    <n v="0"/>
    <n v="0"/>
    <n v="0"/>
    <n v="0"/>
    <n v="0.11"/>
    <e v="#N/A"/>
    <x v="4"/>
  </r>
  <r>
    <d v="2023-08-08T00:00:00"/>
    <x v="30"/>
    <s v="Admin/HR/IT"/>
    <s v="AMCARE NonOcc In"/>
    <s v="AMZN"/>
    <n v="113103540"/>
    <s v="Delgado,David"/>
    <s v="Gomez Aguado,Jorge"/>
    <n v="0"/>
    <n v="0"/>
    <n v="0"/>
    <n v="0"/>
    <n v="0.24"/>
    <e v="#N/A"/>
    <x v="105"/>
  </r>
  <r>
    <d v="2023-08-08T00:00:00"/>
    <x v="30"/>
    <s v="Admin/HR/IT"/>
    <s v="AMCARE NonOcc In"/>
    <s v="AMZN"/>
    <n v="200404250"/>
    <s v="Hurtado,Caty"/>
    <s v="Romero Sanchez,Gustavo Gabriel"/>
    <n v="0"/>
    <n v="0"/>
    <n v="0"/>
    <n v="0"/>
    <n v="0.48"/>
    <e v="#N/A"/>
    <x v="6"/>
  </r>
  <r>
    <d v="2023-08-08T00:00:00"/>
    <x v="30"/>
    <s v="Admin/HR/IT"/>
    <s v="AMCARE NonOcc In"/>
    <s v="AMZN"/>
    <n v="200614224"/>
    <s v="Cruz Hernandez,Cris"/>
    <s v="Ledezma,Fer"/>
    <n v="0"/>
    <n v="0"/>
    <n v="0"/>
    <n v="0"/>
    <n v="2.91"/>
    <e v="#N/A"/>
    <x v="0"/>
  </r>
  <r>
    <d v="2023-08-08T00:00:00"/>
    <x v="30"/>
    <s v="Admin/HR/IT"/>
    <s v="AMCARE NonOcc In"/>
    <s v="AMZN"/>
    <n v="201172306"/>
    <s v="Valdez,CÃ©sar"/>
    <s v="Bueno Mendoza,Susana"/>
    <n v="0"/>
    <n v="0"/>
    <n v="0"/>
    <n v="0"/>
    <n v="0.11"/>
    <e v="#N/A"/>
    <x v="128"/>
  </r>
  <r>
    <d v="2023-08-08T00:00:00"/>
    <x v="30"/>
    <s v="Admin/HR/IT"/>
    <s v="AMCARE NonOcc In"/>
    <s v="AMZN"/>
    <n v="201202093"/>
    <s v="Ortega,Elizabeth"/>
    <s v="Romero Sanchez,Gustavo Gabriel"/>
    <n v="0"/>
    <n v="0"/>
    <n v="0"/>
    <n v="0"/>
    <n v="0.12"/>
    <e v="#N/A"/>
    <x v="129"/>
  </r>
  <r>
    <d v="2023-08-08T00:00:00"/>
    <x v="30"/>
    <s v="Admin/HR/IT"/>
    <s v="AMCARE NonOcc In"/>
    <s v="TEMP"/>
    <n v="201403462"/>
    <s v="Valdovino,Jorge"/>
    <s v="Corona Arriaga,Fernando"/>
    <n v="0"/>
    <n v="0"/>
    <n v="0"/>
    <n v="0"/>
    <n v="0.18"/>
    <e v="#N/A"/>
    <x v="146"/>
  </r>
  <r>
    <d v="2023-08-09T00:00:00"/>
    <x v="30"/>
    <s v="Admin/HR/IT"/>
    <s v="AMCARE NonOcc In"/>
    <s v="AMZN"/>
    <n v="112920637"/>
    <s v="Tapia,Antonio Torres"/>
    <s v="Cortes,Alejandra"/>
    <n v="0"/>
    <n v="0"/>
    <n v="0"/>
    <n v="0"/>
    <n v="0.14000000000000001"/>
    <s v="DB-X0700"/>
    <x v="38"/>
  </r>
  <r>
    <d v="2023-08-09T00:00:00"/>
    <x v="30"/>
    <s v="Admin/HR/IT"/>
    <s v="AMCARE NonOcc In"/>
    <s v="AMZN"/>
    <n v="112971980"/>
    <s v="Romero,Daniel"/>
    <s v="Cortes,Alejandra"/>
    <n v="0"/>
    <n v="0"/>
    <n v="0"/>
    <n v="0"/>
    <n v="0.3"/>
    <s v="DC-X0700"/>
    <x v="43"/>
  </r>
  <r>
    <d v="2023-08-09T00:00:00"/>
    <x v="30"/>
    <s v="Admin/HR/IT"/>
    <s v="AMCARE NonOcc In"/>
    <s v="AMZN"/>
    <n v="112980899"/>
    <s v="Avila Cabrera,Ari"/>
    <s v="Camarena,Grecia"/>
    <n v="0"/>
    <n v="0"/>
    <n v="0"/>
    <n v="0"/>
    <n v="0.24"/>
    <s v="NF-X1900"/>
    <x v="34"/>
  </r>
  <r>
    <d v="2023-08-09T00:00:00"/>
    <x v="30"/>
    <s v="Admin/HR/IT"/>
    <s v="AMCARE NonOcc In"/>
    <s v="AMZN"/>
    <n v="113014470"/>
    <s v="Aguilar Ibarra,Lupe"/>
    <s v="Robledo Ugarte,Alejandro"/>
    <n v="0"/>
    <n v="0"/>
    <n v="0"/>
    <n v="0"/>
    <n v="0.34"/>
    <e v="#N/A"/>
    <x v="30"/>
  </r>
  <r>
    <d v="2023-08-09T00:00:00"/>
    <x v="30"/>
    <s v="Admin/HR/IT"/>
    <s v="AMCARE NonOcc In"/>
    <s v="AMZN"/>
    <n v="200404250"/>
    <s v="Hurtado,Caty"/>
    <s v="Romero Sanchez,Gustavo Gabriel"/>
    <n v="0"/>
    <n v="0"/>
    <n v="0"/>
    <n v="0"/>
    <n v="0.59"/>
    <e v="#N/A"/>
    <x v="6"/>
  </r>
  <r>
    <d v="2023-08-09T00:00:00"/>
    <x v="30"/>
    <s v="Admin/HR/IT"/>
    <s v="AMCARE NonOcc In"/>
    <s v="AMZN"/>
    <n v="201191390"/>
    <s v="GarcÃ­a,jesus"/>
    <s v="Madrid Molina,Ramon"/>
    <n v="0"/>
    <n v="0"/>
    <n v="0"/>
    <n v="0"/>
    <n v="0.09"/>
    <e v="#N/A"/>
    <x v="116"/>
  </r>
  <r>
    <d v="2023-08-09T00:00:00"/>
    <x v="30"/>
    <s v="Admin/HR/IT"/>
    <s v="AMCARE NonOcc In"/>
    <s v="TEMP"/>
    <n v="201329529"/>
    <s v="Padilla,Pablo"/>
    <s v="Lopez,Alexa"/>
    <n v="0"/>
    <n v="0"/>
    <n v="0"/>
    <n v="0"/>
    <n v="0.16"/>
    <e v="#N/A"/>
    <x v="0"/>
  </r>
  <r>
    <d v="2023-08-09T00:00:00"/>
    <x v="30"/>
    <s v="Admin/HR/IT"/>
    <s v="AMCARE NonOcc In"/>
    <s v="TEMP"/>
    <n v="201345774"/>
    <s v="Quijas,Jonathan"/>
    <s v="Robledo Ugarte,Alejandro"/>
    <n v="0"/>
    <n v="0"/>
    <n v="0"/>
    <n v="0"/>
    <n v="0.22"/>
    <e v="#N/A"/>
    <x v="154"/>
  </r>
  <r>
    <d v="2023-08-09T00:00:00"/>
    <x v="30"/>
    <s v="Admin/HR/IT"/>
    <s v="AMCARE NonOcc In"/>
    <s v="TEMP"/>
    <n v="201386201"/>
    <s v="Castillo,Janai"/>
    <s v="Ledezma,Fer"/>
    <n v="0"/>
    <n v="0"/>
    <n v="0"/>
    <n v="0"/>
    <n v="0.19"/>
    <e v="#N/A"/>
    <x v="186"/>
  </r>
  <r>
    <d v="2023-08-10T00:00:00"/>
    <x v="30"/>
    <s v="Admin/HR/IT"/>
    <s v="AMCARE NonOcc In"/>
    <s v="AMZN"/>
    <n v="112971980"/>
    <s v="Romero,Daniel"/>
    <s v="Cortes,Alejandra"/>
    <n v="0"/>
    <n v="0"/>
    <n v="0"/>
    <n v="0"/>
    <n v="0.31"/>
    <s v="DC-X0700"/>
    <x v="43"/>
  </r>
  <r>
    <d v="2023-08-10T00:00:00"/>
    <x v="30"/>
    <s v="Admin/HR/IT"/>
    <s v="AMCARE NonOcc In"/>
    <s v="AMZN"/>
    <n v="113003635"/>
    <s v="Barron,Giovanni"/>
    <s v="Robledo Ugarte,Alejandro"/>
    <n v="0"/>
    <n v="0"/>
    <n v="0"/>
    <n v="0"/>
    <n v="0.73"/>
    <e v="#N/A"/>
    <x v="118"/>
  </r>
  <r>
    <d v="2023-08-10T00:00:00"/>
    <x v="30"/>
    <s v="Admin/HR/IT"/>
    <s v="AMCARE NonOcc In"/>
    <s v="AMZN"/>
    <n v="113040582"/>
    <s v="HDZ,DEMON"/>
    <s v="Robledo Ugarte,Alejandro"/>
    <n v="0"/>
    <n v="0"/>
    <n v="0"/>
    <n v="0"/>
    <n v="0.23"/>
    <e v="#N/A"/>
    <x v="63"/>
  </r>
  <r>
    <d v="2023-08-10T00:00:00"/>
    <x v="30"/>
    <s v="Admin/HR/IT"/>
    <s v="AMCARE NonOcc In"/>
    <s v="AMZN"/>
    <n v="200404250"/>
    <s v="Hurtado,Caty"/>
    <s v="Romero Sanchez,Gustavo Gabriel"/>
    <n v="0"/>
    <n v="0"/>
    <n v="0"/>
    <n v="0"/>
    <n v="0.4"/>
    <e v="#N/A"/>
    <x v="6"/>
  </r>
  <r>
    <d v="2023-08-10T00:00:00"/>
    <x v="30"/>
    <s v="Admin/HR/IT"/>
    <s v="AMCARE NonOcc In"/>
    <s v="AMZN"/>
    <n v="200562154"/>
    <s v="Reyes Muniz,Cristian"/>
    <s v="Corona Arriaga,Fernando"/>
    <n v="0"/>
    <n v="0"/>
    <n v="0"/>
    <n v="0"/>
    <n v="0.34"/>
    <e v="#N/A"/>
    <x v="42"/>
  </r>
  <r>
    <d v="2023-08-10T00:00:00"/>
    <x v="30"/>
    <s v="Admin/HR/IT"/>
    <s v="AMCARE NonOcc In"/>
    <s v="AMZN"/>
    <n v="200574655"/>
    <s v="Mireles,Dulce"/>
    <s v="Robledo Ugarte,Alejandro"/>
    <n v="0"/>
    <n v="0"/>
    <n v="0"/>
    <n v="0"/>
    <n v="0.13"/>
    <e v="#N/A"/>
    <x v="88"/>
  </r>
  <r>
    <d v="2023-08-10T00:00:00"/>
    <x v="30"/>
    <s v="Admin/HR/IT"/>
    <s v="AMCARE NonOcc In"/>
    <s v="AMZN"/>
    <n v="201172306"/>
    <s v="Valdez,CÃ©sar"/>
    <s v="Bueno Mendoza,Susana"/>
    <n v="0"/>
    <n v="0"/>
    <n v="0"/>
    <n v="0"/>
    <n v="0.14000000000000001"/>
    <e v="#N/A"/>
    <x v="128"/>
  </r>
  <r>
    <d v="2023-08-10T00:00:00"/>
    <x v="30"/>
    <s v="Admin/HR/IT"/>
    <s v="AMCARE NonOcc In"/>
    <s v="AMZN"/>
    <n v="201186833"/>
    <s v="Jasso,Alexa"/>
    <s v="Piedra,Valentina"/>
    <n v="0"/>
    <n v="0"/>
    <n v="0"/>
    <n v="0"/>
    <n v="0.13"/>
    <e v="#N/A"/>
    <x v="114"/>
  </r>
  <r>
    <d v="2023-08-10T00:00:00"/>
    <x v="30"/>
    <s v="Admin/HR/IT"/>
    <s v="AMCARE NonOcc In"/>
    <s v="TEMP"/>
    <n v="201295429"/>
    <s v="Mireles Diaz Lopez,Jazmin"/>
    <s v="Gomez Aguado,Jorge"/>
    <n v="0"/>
    <n v="0"/>
    <n v="0"/>
    <n v="0"/>
    <n v="1.25"/>
    <e v="#N/A"/>
    <x v="147"/>
  </r>
  <r>
    <d v="2023-08-11T00:00:00"/>
    <x v="30"/>
    <s v="Admin/HR/IT"/>
    <s v="AMCARE NonOcc In"/>
    <s v="AMZN"/>
    <n v="112920637"/>
    <s v="Tapia,Antonio Torres"/>
    <s v="Cortes,Alejandra"/>
    <n v="0"/>
    <n v="0"/>
    <n v="0"/>
    <n v="0"/>
    <n v="0.19"/>
    <s v="DB-X0700"/>
    <x v="38"/>
  </r>
  <r>
    <d v="2023-08-11T00:00:00"/>
    <x v="30"/>
    <s v="Admin/HR/IT"/>
    <s v="AMCARE NonOcc In"/>
    <s v="AMZN"/>
    <n v="112920664"/>
    <s v="Alba,Samuel"/>
    <s v="Rosas Negrete,Sebastian"/>
    <n v="0"/>
    <n v="0"/>
    <n v="0"/>
    <n v="0"/>
    <n v="0.02"/>
    <s v="DA-X0700"/>
    <x v="53"/>
  </r>
  <r>
    <d v="2023-08-11T00:00:00"/>
    <x v="30"/>
    <s v="Admin/HR/IT"/>
    <s v="AMCARE NonOcc In"/>
    <s v="AMZN"/>
    <n v="112971988"/>
    <s v="Trejo Tarango,Stephannie Del Rocio"/>
    <s v="Cortes,Alejandra"/>
    <n v="0"/>
    <n v="0"/>
    <n v="0"/>
    <n v="0"/>
    <n v="0.24"/>
    <s v="DB-X0700"/>
    <x v="80"/>
  </r>
  <r>
    <d v="2023-08-11T00:00:00"/>
    <x v="30"/>
    <s v="Admin/HR/IT"/>
    <s v="AMCARE NonOcc In"/>
    <s v="AMZN"/>
    <n v="113020463"/>
    <s v="Valtierra,Alejandra"/>
    <s v="Robledo Ugarte,Alejandro"/>
    <n v="0"/>
    <n v="0"/>
    <n v="0"/>
    <n v="0"/>
    <n v="0.48"/>
    <e v="#N/A"/>
    <x v="17"/>
  </r>
  <r>
    <d v="2023-08-11T00:00:00"/>
    <x v="30"/>
    <s v="Admin/HR/IT"/>
    <s v="AMCARE NonOcc In"/>
    <s v="AMZN"/>
    <n v="113052151"/>
    <s v="Nieves Mendez,Laura"/>
    <s v="Ledezma,Fer"/>
    <n v="0"/>
    <n v="0"/>
    <n v="0"/>
    <n v="0"/>
    <n v="0.23"/>
    <e v="#N/A"/>
    <x v="56"/>
  </r>
  <r>
    <d v="2023-08-11T00:00:00"/>
    <x v="30"/>
    <s v="Admin/HR/IT"/>
    <s v="AMCARE NonOcc In"/>
    <s v="AMZN"/>
    <n v="200562154"/>
    <s v="Reyes Muniz,Cristian"/>
    <s v="Corona Arriaga,Fernando"/>
    <n v="0"/>
    <n v="0"/>
    <n v="0"/>
    <n v="0"/>
    <n v="0.46"/>
    <e v="#N/A"/>
    <x v="42"/>
  </r>
  <r>
    <d v="2023-08-11T00:00:00"/>
    <x v="30"/>
    <s v="Admin/HR/IT"/>
    <s v="AMCARE NonOcc In"/>
    <s v="AMZN"/>
    <n v="201166890"/>
    <s v="Caballero,Daniel"/>
    <s v="Romero Sanchez,Gustavo Gabriel"/>
    <n v="0"/>
    <n v="0"/>
    <n v="0"/>
    <n v="0"/>
    <n v="0.79"/>
    <e v="#N/A"/>
    <x v="141"/>
  </r>
  <r>
    <d v="2023-08-11T00:00:00"/>
    <x v="30"/>
    <s v="Admin/HR/IT"/>
    <s v="AMCARE NonOcc In"/>
    <s v="AMZN"/>
    <n v="201191390"/>
    <s v="GarcÃ­a,jesus"/>
    <s v="Madrid Molina,Ramon"/>
    <n v="0"/>
    <n v="0"/>
    <n v="0"/>
    <n v="0"/>
    <n v="0.18"/>
    <e v="#N/A"/>
    <x v="116"/>
  </r>
  <r>
    <d v="2023-08-11T00:00:00"/>
    <x v="30"/>
    <s v="Admin/HR/IT"/>
    <s v="AMCARE NonOcc In"/>
    <s v="TEMP"/>
    <n v="201341534"/>
    <s v="Becerra,Esmeralda"/>
    <s v="Piedra,Valentina"/>
    <n v="0"/>
    <n v="0"/>
    <n v="0"/>
    <n v="0"/>
    <n v="7.0000000000000007E-2"/>
    <e v="#N/A"/>
    <x v="192"/>
  </r>
  <r>
    <d v="2023-08-11T00:00:00"/>
    <x v="30"/>
    <s v="Admin/HR/IT"/>
    <s v="AMCARE NonOcc In"/>
    <s v="AMZN"/>
    <n v="201353234"/>
    <s v="Padilla,Ramon"/>
    <s v="Munoz,Jonan"/>
    <n v="0"/>
    <n v="0"/>
    <n v="0"/>
    <n v="0"/>
    <n v="0.18"/>
    <e v="#N/A"/>
    <x v="187"/>
  </r>
  <r>
    <d v="2023-08-11T00:00:00"/>
    <x v="30"/>
    <s v="Admin/HR/IT"/>
    <s v="AMCARE NonOcc In"/>
    <s v="AMZN"/>
    <n v="201354965"/>
    <s v="JimÃ©nez,Aline"/>
    <s v="Lopez,Alexa"/>
    <n v="0"/>
    <n v="0"/>
    <n v="0"/>
    <n v="0"/>
    <n v="0.08"/>
    <e v="#N/A"/>
    <x v="152"/>
  </r>
  <r>
    <d v="2023-08-12T00:00:00"/>
    <x v="30"/>
    <s v="Admin/HR/IT"/>
    <s v="AMCARE NonOcc In"/>
    <s v="AMZN"/>
    <n v="112916534"/>
    <s v="Esparza Sanchez,Areli"/>
    <s v="Corona Arriaga,Fernando"/>
    <n v="0"/>
    <n v="0"/>
    <n v="0"/>
    <n v="0"/>
    <n v="0.57999999999999996"/>
    <s v="DB-X0700"/>
    <x v="40"/>
  </r>
  <r>
    <d v="2023-08-12T00:00:00"/>
    <x v="30"/>
    <s v="Admin/HR/IT"/>
    <s v="AMCARE NonOcc In"/>
    <s v="AMZN"/>
    <n v="112920666"/>
    <s v="Rocha,Jose"/>
    <s v="Cortes,Alejandra"/>
    <n v="0"/>
    <n v="0"/>
    <n v="0"/>
    <n v="0"/>
    <n v="0.21"/>
    <s v="D5-X0700"/>
    <x v="3"/>
  </r>
  <r>
    <d v="2023-08-12T00:00:00"/>
    <x v="30"/>
    <s v="Admin/HR/IT"/>
    <s v="AMCARE NonOcc In"/>
    <s v="AMZN"/>
    <n v="112951256"/>
    <s v="Ramirez Vallejo,Kateryne"/>
    <s v="Cortes,Alejandra"/>
    <n v="0"/>
    <n v="0"/>
    <n v="0"/>
    <n v="0"/>
    <n v="1.02"/>
    <s v="DA-X0700"/>
    <x v="27"/>
  </r>
  <r>
    <d v="2023-08-12T00:00:00"/>
    <x v="30"/>
    <s v="Admin/HR/IT"/>
    <s v="AMCARE NonOcc In"/>
    <s v="AMZN"/>
    <n v="112972897"/>
    <s v="Trejo,Adonai"/>
    <s v="Munoz,Jonan"/>
    <n v="0"/>
    <n v="0"/>
    <n v="0"/>
    <n v="0"/>
    <n v="0.73"/>
    <s v="DB-X0700"/>
    <x v="169"/>
  </r>
  <r>
    <d v="2023-08-12T00:00:00"/>
    <x v="30"/>
    <s v="Admin/HR/IT"/>
    <s v="AMCARE NonOcc In"/>
    <s v="AMZN"/>
    <n v="113014092"/>
    <s v="Sanchez,Cristina"/>
    <s v="Madrid Molina,Ramon"/>
    <n v="0"/>
    <n v="0"/>
    <n v="0"/>
    <n v="0"/>
    <n v="0.87"/>
    <e v="#N/A"/>
    <x v="73"/>
  </r>
  <r>
    <d v="2023-08-12T00:00:00"/>
    <x v="30"/>
    <s v="Admin/HR/IT"/>
    <s v="AMCARE NonOcc In"/>
    <s v="AMZN"/>
    <n v="201223730"/>
    <s v="Sanchiz,Cesarito"/>
    <s v="Corona Arriaga,Fernando"/>
    <n v="0"/>
    <n v="0"/>
    <n v="0"/>
    <n v="0"/>
    <n v="0.78"/>
    <e v="#N/A"/>
    <x v="120"/>
  </r>
  <r>
    <d v="2023-08-13T00:00:00"/>
    <x v="31"/>
    <s v="Admin/HR/IT"/>
    <s v="AMCARE NonOcc In"/>
    <s v="AMZN"/>
    <n v="113014078"/>
    <s v="Nunez Lopez,Aldair"/>
    <s v="Romero Sanchez,Gustavo Gabriel"/>
    <n v="0"/>
    <n v="0"/>
    <n v="0"/>
    <n v="0"/>
    <n v="0.52"/>
    <e v="#N/A"/>
    <x v="76"/>
  </r>
  <r>
    <d v="2023-08-14T00:00:00"/>
    <x v="31"/>
    <s v="Admin/HR/IT"/>
    <s v="AMCARE NonOcc In"/>
    <s v="AMZN"/>
    <n v="112971980"/>
    <s v="Romero,Daniel"/>
    <s v="Cortes,Alejandra"/>
    <n v="0"/>
    <n v="0"/>
    <n v="0"/>
    <n v="0"/>
    <n v="0.36"/>
    <s v="DC-X0700"/>
    <x v="43"/>
  </r>
  <r>
    <d v="2023-08-14T00:00:00"/>
    <x v="31"/>
    <s v="Admin/HR/IT"/>
    <s v="AMCARE NonOcc In"/>
    <s v="AMZN"/>
    <n v="113101453"/>
    <s v="Isaac,Geovanna"/>
    <s v="Robledo Ugarte,Alejandro"/>
    <n v="0"/>
    <n v="0"/>
    <n v="0"/>
    <n v="0"/>
    <n v="0.06"/>
    <e v="#N/A"/>
    <x v="4"/>
  </r>
  <r>
    <d v="2023-08-14T00:00:00"/>
    <x v="31"/>
    <s v="Admin/HR/IT"/>
    <s v="AMCARE NonOcc In"/>
    <s v="AMZN"/>
    <n v="200404250"/>
    <s v="Hurtado,Caty"/>
    <s v="Romero Sanchez,Gustavo Gabriel"/>
    <n v="0"/>
    <n v="0"/>
    <n v="0"/>
    <n v="0"/>
    <n v="0.83"/>
    <e v="#N/A"/>
    <x v="6"/>
  </r>
  <r>
    <d v="2023-08-14T00:00:00"/>
    <x v="31"/>
    <s v="Admin/HR/IT"/>
    <s v="AMCARE NonOcc In"/>
    <s v="AMZN"/>
    <n v="201166890"/>
    <s v="Caballero,Daniel"/>
    <s v="Romero Sanchez,Gustavo Gabriel"/>
    <n v="0"/>
    <n v="0"/>
    <n v="0"/>
    <n v="0"/>
    <n v="0.33"/>
    <e v="#N/A"/>
    <x v="141"/>
  </r>
  <r>
    <d v="2023-08-14T00:00:00"/>
    <x v="31"/>
    <s v="Admin/HR/IT"/>
    <s v="AMCARE NonOcc In"/>
    <s v="AMZN"/>
    <n v="201318220"/>
    <s v="Jasso,Raul"/>
    <s v="Bueno Mendoza,Susana"/>
    <n v="0"/>
    <n v="0"/>
    <n v="0"/>
    <n v="0"/>
    <n v="7.0000000000000007E-2"/>
    <e v="#N/A"/>
    <x v="193"/>
  </r>
  <r>
    <d v="2023-08-14T00:00:00"/>
    <x v="31"/>
    <s v="Admin/HR/IT"/>
    <s v="AMCARE NonOcc In"/>
    <s v="AMZN"/>
    <n v="201345774"/>
    <s v="Quijas,Jonathan"/>
    <s v="Robledo Ugarte,Alejandro"/>
    <n v="0"/>
    <n v="0"/>
    <n v="0"/>
    <n v="0"/>
    <n v="0.25"/>
    <e v="#N/A"/>
    <x v="154"/>
  </r>
  <r>
    <d v="2023-08-14T00:00:00"/>
    <x v="31"/>
    <s v="Admin/HR/IT"/>
    <s v="AMCARE NonOcc In"/>
    <s v="AMZN"/>
    <n v="201378614"/>
    <s v="Meza,Fernando"/>
    <s v="Bueno Mendoza,Susana"/>
    <n v="0"/>
    <n v="0"/>
    <n v="0"/>
    <n v="0"/>
    <n v="0.23"/>
    <e v="#N/A"/>
    <x v="0"/>
  </r>
  <r>
    <d v="2023-08-14T00:00:00"/>
    <x v="31"/>
    <s v="Admin/HR/IT"/>
    <s v="AMCARE NonOcc In"/>
    <s v="TEMP"/>
    <n v="201847967"/>
    <s v="Anguiano Castaneda,Gustavo"/>
    <s v="Piedra,Valentina"/>
    <n v="0"/>
    <n v="0"/>
    <n v="0"/>
    <n v="0"/>
    <n v="0.24"/>
    <e v="#N/A"/>
    <x v="194"/>
  </r>
  <r>
    <d v="2023-08-15T00:00:00"/>
    <x v="31"/>
    <s v="Admin/HR/IT"/>
    <s v="AMCARE NonOcc In"/>
    <s v="AMZN"/>
    <n v="113014042"/>
    <s v="Cervantes,Rose"/>
    <s v="Munoz,Jonan"/>
    <n v="0"/>
    <n v="0"/>
    <n v="0"/>
    <n v="0"/>
    <n v="0.15"/>
    <e v="#N/A"/>
    <x v="20"/>
  </r>
  <r>
    <d v="2023-08-15T00:00:00"/>
    <x v="31"/>
    <s v="Admin/HR/IT"/>
    <s v="AMCARE NonOcc In"/>
    <s v="AMZN"/>
    <n v="113101453"/>
    <s v="Isaac,Geovanna"/>
    <s v="Robledo Ugarte,Alejandro"/>
    <n v="0"/>
    <n v="0"/>
    <n v="0"/>
    <n v="0"/>
    <n v="0.19"/>
    <e v="#N/A"/>
    <x v="4"/>
  </r>
  <r>
    <d v="2023-08-15T00:00:00"/>
    <x v="31"/>
    <s v="Admin/HR/IT"/>
    <s v="AMCARE NonOcc In"/>
    <s v="AMZN"/>
    <n v="200534675"/>
    <s v="Munoz Macias,Juan Pablo"/>
    <s v="Ledezma,Fer"/>
    <n v="0"/>
    <n v="0"/>
    <n v="0"/>
    <n v="0"/>
    <n v="0.24"/>
    <e v="#N/A"/>
    <x v="69"/>
  </r>
  <r>
    <d v="2023-08-15T00:00:00"/>
    <x v="31"/>
    <s v="Admin/HR/IT"/>
    <s v="AMCARE NonOcc In"/>
    <s v="AMZN"/>
    <n v="200574655"/>
    <s v="Mireles,Dulce"/>
    <s v="Robledo Ugarte,Alejandro"/>
    <n v="0"/>
    <n v="0"/>
    <n v="0"/>
    <n v="0"/>
    <n v="0.32"/>
    <e v="#N/A"/>
    <x v="88"/>
  </r>
  <r>
    <d v="2023-08-15T00:00:00"/>
    <x v="31"/>
    <s v="Admin/HR/IT"/>
    <s v="AMCARE NonOcc In"/>
    <s v="AMZN"/>
    <n v="200615315"/>
    <s v="Gasca,Daniel"/>
    <s v="Bueno Mendoza,Susana"/>
    <n v="0"/>
    <n v="0"/>
    <n v="0"/>
    <n v="0"/>
    <n v="0.21"/>
    <e v="#N/A"/>
    <x v="164"/>
  </r>
  <r>
    <d v="2023-08-15T00:00:00"/>
    <x v="31"/>
    <s v="Admin/HR/IT"/>
    <s v="AMCARE NonOcc In"/>
    <s v="AMZN"/>
    <n v="201186777"/>
    <s v="Monzon,Berenice"/>
    <s v="Romero Sanchez,Gustavo Gabriel"/>
    <n v="0"/>
    <n v="0"/>
    <n v="0"/>
    <n v="0"/>
    <n v="0.57999999999999996"/>
    <e v="#N/A"/>
    <x v="107"/>
  </r>
  <r>
    <d v="2023-08-15T00:00:00"/>
    <x v="31"/>
    <s v="Admin/HR/IT"/>
    <s v="AMCARE NonOcc In"/>
    <s v="AMZN"/>
    <n v="201186833"/>
    <s v="Jasso,Alexa"/>
    <s v="Piedra,Valentina"/>
    <n v="0"/>
    <n v="0"/>
    <n v="0"/>
    <n v="0"/>
    <n v="0.11"/>
    <e v="#N/A"/>
    <x v="114"/>
  </r>
  <r>
    <d v="2023-08-15T00:00:00"/>
    <x v="31"/>
    <s v="Admin/HR/IT"/>
    <s v="AMCARE NonOcc In"/>
    <s v="AMZN"/>
    <n v="201202093"/>
    <s v="Ortega,Elizabeth"/>
    <s v="Romero Sanchez,Gustavo Gabriel"/>
    <n v="0"/>
    <n v="0"/>
    <n v="0"/>
    <n v="0"/>
    <n v="0.18"/>
    <e v="#N/A"/>
    <x v="129"/>
  </r>
  <r>
    <d v="2023-08-15T00:00:00"/>
    <x v="31"/>
    <s v="Admin/HR/IT"/>
    <s v="AMCARE NonOcc In"/>
    <s v="AMZN"/>
    <n v="201386201"/>
    <s v="Castillo,Janai"/>
    <s v="Ledezma,Fer"/>
    <n v="0"/>
    <n v="0"/>
    <n v="0"/>
    <n v="0"/>
    <n v="0.42"/>
    <e v="#N/A"/>
    <x v="186"/>
  </r>
  <r>
    <d v="2023-08-15T00:00:00"/>
    <x v="31"/>
    <s v="Admin/HR/IT"/>
    <s v="AMCARE NonOcc In"/>
    <s v="AMZN"/>
    <n v="201396328"/>
    <s v="Canchola,Alejandro"/>
    <s v="Lopez,Alexa"/>
    <n v="0"/>
    <n v="0"/>
    <n v="0"/>
    <n v="0"/>
    <n v="0.24"/>
    <e v="#N/A"/>
    <x v="188"/>
  </r>
  <r>
    <d v="2023-08-16T00:00:00"/>
    <x v="31"/>
    <s v="Admin/HR/IT"/>
    <s v="AMCARE NonOcc In"/>
    <s v="AMZN"/>
    <n v="112912745"/>
    <s v="Gomez Meza,Alex"/>
    <s v="Piedra,Valentina"/>
    <n v="0"/>
    <n v="0"/>
    <n v="0"/>
    <n v="0"/>
    <n v="0.37"/>
    <s v="DA-X0700"/>
    <x v="55"/>
  </r>
  <r>
    <d v="2023-08-16T00:00:00"/>
    <x v="31"/>
    <s v="Admin/HR/IT"/>
    <s v="AMCARE NonOcc In"/>
    <s v="AMZN"/>
    <n v="112912983"/>
    <s v="RodrÃ­guez,RocÃ­o"/>
    <s v="Munoz,Jonan"/>
    <n v="0"/>
    <n v="0"/>
    <n v="0"/>
    <n v="0"/>
    <n v="0.18"/>
    <s v="NF-X1900"/>
    <x v="75"/>
  </r>
  <r>
    <d v="2023-08-16T00:00:00"/>
    <x v="31"/>
    <s v="Admin/HR/IT"/>
    <s v="AMCARE NonOcc In"/>
    <s v="AMZN"/>
    <n v="112920655"/>
    <s v="Diaz de LeÃ³n,Paola"/>
    <s v="Cortes,Alejandra"/>
    <n v="0"/>
    <n v="0"/>
    <n v="0"/>
    <n v="0"/>
    <n v="0.16"/>
    <e v="#N/A"/>
    <x v="0"/>
  </r>
  <r>
    <d v="2023-08-16T00:00:00"/>
    <x v="31"/>
    <s v="Admin/HR/IT"/>
    <s v="AMCARE NonOcc In"/>
    <s v="AMZN"/>
    <n v="112972710"/>
    <s v="Cortes Elias,Jessica"/>
    <s v="Cortes,Alejandra"/>
    <n v="0"/>
    <n v="0"/>
    <n v="0"/>
    <n v="0"/>
    <n v="1.2"/>
    <s v="DX-X0700"/>
    <x v="45"/>
  </r>
  <r>
    <d v="2023-08-16T00:00:00"/>
    <x v="31"/>
    <s v="Admin/HR/IT"/>
    <s v="AMCARE NonOcc In"/>
    <s v="AMZN"/>
    <n v="112973049"/>
    <s v="Tavares Parra,Ely"/>
    <s v="Madrid Molina,Ramon"/>
    <n v="0"/>
    <n v="0"/>
    <n v="0"/>
    <n v="0"/>
    <n v="0.23"/>
    <s v="DB-X0700"/>
    <x v="14"/>
  </r>
  <r>
    <d v="2023-08-16T00:00:00"/>
    <x v="31"/>
    <s v="Admin/HR/IT"/>
    <s v="AMCARE NonOcc In"/>
    <s v="AMZN"/>
    <n v="112981061"/>
    <s v="Olguin,Claudia"/>
    <s v="Robledo Ugarte,Alejandro"/>
    <n v="0"/>
    <n v="0"/>
    <n v="0"/>
    <n v="0"/>
    <n v="0.49"/>
    <s v="DA-X0700"/>
    <x v="11"/>
  </r>
  <r>
    <d v="2023-08-16T00:00:00"/>
    <x v="31"/>
    <s v="Admin/HR/IT"/>
    <s v="AMCARE NonOcc In"/>
    <s v="AMZN"/>
    <n v="113014078"/>
    <s v="Nunez Lopez,Aldair"/>
    <s v="Romero Sanchez,Gustavo Gabriel"/>
    <n v="0"/>
    <n v="0"/>
    <n v="0"/>
    <n v="0"/>
    <n v="1.9"/>
    <e v="#N/A"/>
    <x v="76"/>
  </r>
  <r>
    <d v="2023-08-16T00:00:00"/>
    <x v="31"/>
    <s v="Admin/HR/IT"/>
    <s v="AMCARE NonOcc In"/>
    <s v="AMZN"/>
    <n v="113101453"/>
    <s v="Isaac,Geovanna"/>
    <s v="Robledo Ugarte,Alejandro"/>
    <n v="0"/>
    <n v="0"/>
    <n v="0"/>
    <n v="0"/>
    <n v="1.41"/>
    <e v="#N/A"/>
    <x v="4"/>
  </r>
  <r>
    <d v="2023-08-16T00:00:00"/>
    <x v="31"/>
    <s v="Admin/HR/IT"/>
    <s v="AMCARE NonOcc In"/>
    <s v="AMZN"/>
    <n v="200404250"/>
    <s v="Hurtado,Caty"/>
    <s v="Romero Sanchez,Gustavo Gabriel"/>
    <n v="0"/>
    <n v="0"/>
    <n v="0"/>
    <n v="0"/>
    <n v="0.81"/>
    <e v="#N/A"/>
    <x v="6"/>
  </r>
  <r>
    <d v="2023-08-16T00:00:00"/>
    <x v="31"/>
    <s v="Admin/HR/IT"/>
    <s v="AMCARE NonOcc In"/>
    <s v="AMZN"/>
    <n v="200552734"/>
    <s v="Santiago Ramirez,Six"/>
    <s v="Madrid Molina,Ramon"/>
    <n v="0"/>
    <n v="0"/>
    <n v="0"/>
    <n v="0"/>
    <n v="0.08"/>
    <e v="#N/A"/>
    <x v="0"/>
  </r>
  <r>
    <d v="2023-08-16T00:00:00"/>
    <x v="31"/>
    <s v="Admin/HR/IT"/>
    <s v="AMCARE NonOcc In"/>
    <s v="AMZN"/>
    <n v="200564895"/>
    <s v="Mendoza Corona,Brianda"/>
    <s v="Robledo Ugarte,Alejandro"/>
    <n v="0"/>
    <n v="0"/>
    <n v="0"/>
    <n v="0"/>
    <n v="0.24"/>
    <e v="#N/A"/>
    <x v="64"/>
  </r>
  <r>
    <d v="2023-08-16T00:00:00"/>
    <x v="31"/>
    <s v="Admin/HR/IT"/>
    <s v="AMCARE NonOcc In"/>
    <s v="AMZN"/>
    <n v="201167501"/>
    <s v="Rodriguez,Ruben"/>
    <s v="Robledo Ugarte,Alejandro"/>
    <n v="0"/>
    <n v="0"/>
    <n v="0"/>
    <n v="0"/>
    <n v="0.17"/>
    <e v="#N/A"/>
    <x v="109"/>
  </r>
  <r>
    <d v="2023-08-16T00:00:00"/>
    <x v="31"/>
    <s v="Admin/HR/IT"/>
    <s v="AMCARE NonOcc In"/>
    <s v="AMZN"/>
    <n v="201295429"/>
    <s v="Mireles Diaz Lopez,Jazmin"/>
    <s v="Gomez Aguado,Jorge"/>
    <n v="0"/>
    <n v="0"/>
    <n v="0"/>
    <n v="0"/>
    <n v="0.08"/>
    <e v="#N/A"/>
    <x v="147"/>
  </r>
  <r>
    <d v="2023-08-16T00:00:00"/>
    <x v="31"/>
    <s v="Admin/HR/IT"/>
    <s v="AMCARE NonOcc In"/>
    <s v="AMZN"/>
    <n v="201354965"/>
    <s v="JimÃ©nez,Aline"/>
    <s v="Lopez,Alexa"/>
    <n v="0"/>
    <n v="0"/>
    <n v="0"/>
    <n v="0"/>
    <n v="0.14000000000000001"/>
    <e v="#N/A"/>
    <x v="152"/>
  </r>
  <r>
    <d v="2023-08-16T00:00:00"/>
    <x v="31"/>
    <s v="Admin/HR/IT"/>
    <s v="AMCARE NonOcc In"/>
    <s v="AMZN"/>
    <n v="201378614"/>
    <s v="Meza,Fernando"/>
    <s v="Bueno Mendoza,Susana"/>
    <n v="0"/>
    <n v="0"/>
    <n v="0"/>
    <n v="0"/>
    <n v="0.16"/>
    <e v="#N/A"/>
    <x v="0"/>
  </r>
  <r>
    <d v="2023-08-16T00:00:00"/>
    <x v="31"/>
    <s v="Admin/HR/IT"/>
    <s v="AMCARE NonOcc In"/>
    <s v="AMZN"/>
    <n v="201408141"/>
    <s v="Luna,Alberto"/>
    <s v="Munoz,Jonan"/>
    <n v="0"/>
    <n v="0"/>
    <n v="0"/>
    <n v="0"/>
    <n v="0.22"/>
    <e v="#N/A"/>
    <x v="163"/>
  </r>
  <r>
    <d v="2023-08-17T00:00:00"/>
    <x v="31"/>
    <s v="Admin/HR/IT"/>
    <s v="AMCARE NonOcc In"/>
    <s v="AMZN"/>
    <n v="113014560"/>
    <s v="Lopez Moreno,Americo"/>
    <s v="Ledezma,Fer"/>
    <n v="0"/>
    <n v="0"/>
    <n v="0"/>
    <n v="0"/>
    <n v="0.24"/>
    <e v="#N/A"/>
    <x v="81"/>
  </r>
  <r>
    <d v="2023-08-17T00:00:00"/>
    <x v="31"/>
    <s v="Admin/HR/IT"/>
    <s v="AMCARE NonOcc In"/>
    <s v="AMZN"/>
    <n v="200508323"/>
    <s v="Espejel Lopez,Emmanuel"/>
    <s v="Ledezma,Fer"/>
    <n v="0"/>
    <n v="0"/>
    <n v="0"/>
    <n v="0"/>
    <n v="0.53"/>
    <e v="#N/A"/>
    <x v="177"/>
  </r>
  <r>
    <d v="2023-08-17T00:00:00"/>
    <x v="31"/>
    <s v="Admin/HR/IT"/>
    <s v="AMCARE NonOcc In"/>
    <s v="AMZN"/>
    <n v="200562154"/>
    <s v="Reyes Muniz,Cristian"/>
    <s v="Corona Arriaga,Fernando"/>
    <n v="0"/>
    <n v="0"/>
    <n v="0"/>
    <n v="0"/>
    <n v="0.38"/>
    <e v="#N/A"/>
    <x v="42"/>
  </r>
  <r>
    <d v="2023-08-17T00:00:00"/>
    <x v="31"/>
    <s v="Admin/HR/IT"/>
    <s v="AMCARE NonOcc In"/>
    <s v="AMZN"/>
    <n v="200615883"/>
    <s v="Ibarra Amaro,Adriana"/>
    <s v="Gomez Aguado,Jorge"/>
    <n v="0"/>
    <n v="0"/>
    <n v="0"/>
    <n v="0"/>
    <n v="0.43"/>
    <e v="#N/A"/>
    <x v="0"/>
  </r>
  <r>
    <d v="2023-08-17T00:00:00"/>
    <x v="31"/>
    <s v="Admin/HR/IT"/>
    <s v="AMCARE NonOcc In"/>
    <s v="AMZN"/>
    <n v="201159033"/>
    <s v="Arrona,Monserrat"/>
    <s v="Corona Arriaga,Fernando"/>
    <n v="0"/>
    <n v="0"/>
    <n v="0"/>
    <n v="0"/>
    <n v="0.34"/>
    <e v="#N/A"/>
    <x v="179"/>
  </r>
  <r>
    <d v="2023-08-17T00:00:00"/>
    <x v="31"/>
    <s v="Admin/HR/IT"/>
    <s v="AMCARE NonOcc In"/>
    <s v="TEMP"/>
    <n v="201841804"/>
    <s v="Ruiz,Michelle"/>
    <s v="Corona Arriaga,Fernando"/>
    <n v="0"/>
    <n v="0"/>
    <n v="0"/>
    <n v="0"/>
    <n v="0.24"/>
    <e v="#N/A"/>
    <x v="195"/>
  </r>
  <r>
    <d v="2023-08-18T00:00:00"/>
    <x v="31"/>
    <s v="Admin/HR/IT"/>
    <s v="AMCARE NonOcc In"/>
    <s v="AMZN"/>
    <n v="112951256"/>
    <s v="Ramirez Vallejo,Kateryne"/>
    <s v="Cortes,Alejandra"/>
    <n v="0"/>
    <n v="0"/>
    <n v="0"/>
    <n v="0"/>
    <n v="0.42"/>
    <s v="DA-X0700"/>
    <x v="27"/>
  </r>
  <r>
    <d v="2023-08-18T00:00:00"/>
    <x v="31"/>
    <s v="Admin/HR/IT"/>
    <s v="AMCARE NonOcc In"/>
    <s v="AMZN"/>
    <n v="112971962"/>
    <s v="Reyes  Montes de oca,Alejandra"/>
    <s v="Ledezma,Fer"/>
    <n v="0"/>
    <n v="0"/>
    <n v="0"/>
    <n v="0"/>
    <n v="0.12"/>
    <s v="DB-X0700"/>
    <x v="26"/>
  </r>
  <r>
    <d v="2023-08-18T00:00:00"/>
    <x v="31"/>
    <s v="Admin/HR/IT"/>
    <s v="AMCARE NonOcc In"/>
    <s v="AMZN"/>
    <n v="112971980"/>
    <s v="Romero,Daniel"/>
    <s v="Cortes,Alejandra"/>
    <n v="0"/>
    <n v="0"/>
    <n v="0"/>
    <n v="0"/>
    <n v="0.42"/>
    <s v="DC-X0700"/>
    <x v="43"/>
  </r>
  <r>
    <d v="2023-08-18T00:00:00"/>
    <x v="31"/>
    <s v="Admin/HR/IT"/>
    <s v="AMCARE NonOcc In"/>
    <s v="AMZN"/>
    <n v="112971997"/>
    <s v="Nieto,Emili"/>
    <s v="Rosas Negrete,Sebastian"/>
    <n v="0"/>
    <n v="0"/>
    <n v="0"/>
    <n v="0"/>
    <n v="0.05"/>
    <s v="DA-X0700"/>
    <x v="117"/>
  </r>
  <r>
    <d v="2023-08-18T00:00:00"/>
    <x v="31"/>
    <s v="Admin/HR/IT"/>
    <s v="AMCARE NonOcc In"/>
    <s v="AMZN"/>
    <n v="112981013"/>
    <s v="Lopez Neri,Norma"/>
    <s v="Piedra,Valentina"/>
    <n v="0"/>
    <n v="0"/>
    <n v="0"/>
    <n v="0"/>
    <n v="0.02"/>
    <s v="DA-X0700"/>
    <x v="12"/>
  </r>
  <r>
    <d v="2023-08-18T00:00:00"/>
    <x v="31"/>
    <s v="Admin/HR/IT"/>
    <s v="AMCARE NonOcc In"/>
    <s v="AMZN"/>
    <n v="113014074"/>
    <s v="Gutierrez,Gabriela"/>
    <s v="Ledezma,Fer"/>
    <n v="0"/>
    <n v="0"/>
    <n v="0"/>
    <n v="0"/>
    <n v="0.09"/>
    <e v="#N/A"/>
    <x v="0"/>
  </r>
  <r>
    <d v="2023-08-18T00:00:00"/>
    <x v="31"/>
    <s v="Admin/HR/IT"/>
    <s v="AMCARE NonOcc In"/>
    <s v="AMZN"/>
    <n v="200464838"/>
    <s v="Ortiz,Fernando"/>
    <s v="Madrid Molina,Ramon"/>
    <n v="0"/>
    <n v="0"/>
    <n v="0"/>
    <n v="0"/>
    <n v="0.72"/>
    <e v="#N/A"/>
    <x v="28"/>
  </r>
  <r>
    <d v="2023-08-18T00:00:00"/>
    <x v="31"/>
    <s v="Admin/HR/IT"/>
    <s v="AMCARE NonOcc In"/>
    <s v="AMZN"/>
    <n v="200508315"/>
    <s v="Herrera,Aldair"/>
    <s v="Madrid Molina,Ramon"/>
    <n v="0"/>
    <n v="0"/>
    <n v="0"/>
    <n v="0"/>
    <n v="0.15"/>
    <e v="#N/A"/>
    <x v="41"/>
  </r>
  <r>
    <d v="2023-08-18T00:00:00"/>
    <x v="31"/>
    <s v="Admin/HR/IT"/>
    <s v="AMCARE NonOcc In"/>
    <s v="AMZN"/>
    <n v="200552429"/>
    <s v="Lozornio Martinez,Antonio"/>
    <s v="Lopez,Alexa"/>
    <n v="0"/>
    <n v="0"/>
    <n v="0"/>
    <n v="0"/>
    <n v="0"/>
    <e v="#N/A"/>
    <x v="0"/>
  </r>
  <r>
    <d v="2023-08-18T00:00:00"/>
    <x v="31"/>
    <s v="Admin/HR/IT"/>
    <s v="AMCARE NonOcc In"/>
    <s v="AMZN"/>
    <n v="200615883"/>
    <s v="Ibarra Amaro,Adriana"/>
    <s v="Gomez Aguado,Jorge"/>
    <n v="0"/>
    <n v="0"/>
    <n v="0"/>
    <n v="0"/>
    <n v="0.25"/>
    <e v="#N/A"/>
    <x v="0"/>
  </r>
  <r>
    <d v="2023-08-18T00:00:00"/>
    <x v="31"/>
    <s v="Admin/HR/IT"/>
    <s v="AMCARE NonOcc In"/>
    <s v="AMZN"/>
    <n v="201191390"/>
    <s v="GarcÃ­a,jesus"/>
    <s v="Madrid Molina,Ramon"/>
    <n v="0"/>
    <n v="0"/>
    <n v="0"/>
    <n v="0"/>
    <n v="0.87"/>
    <e v="#N/A"/>
    <x v="116"/>
  </r>
  <r>
    <d v="2023-08-18T00:00:00"/>
    <x v="31"/>
    <s v="Admin/HR/IT"/>
    <s v="AMCARE NonOcc In"/>
    <s v="AMZN"/>
    <n v="201386201"/>
    <s v="Castillo,Janai"/>
    <s v="Ledezma,Fer"/>
    <n v="0"/>
    <n v="0"/>
    <n v="0"/>
    <n v="0"/>
    <n v="0.2"/>
    <e v="#N/A"/>
    <x v="186"/>
  </r>
  <r>
    <d v="2023-08-18T00:00:00"/>
    <x v="31"/>
    <s v="Admin/HR/IT"/>
    <s v="AMCARE NonOcc In"/>
    <s v="AMZN"/>
    <n v="201403532"/>
    <s v="Rocha,Horacio"/>
    <s v="Madrid Molina,Ramon"/>
    <n v="0"/>
    <n v="0"/>
    <n v="0"/>
    <n v="0"/>
    <n v="0.13"/>
    <e v="#N/A"/>
    <x v="162"/>
  </r>
  <r>
    <d v="2023-08-18T00:00:00"/>
    <x v="31"/>
    <s v="Admin/HR/IT"/>
    <s v="AMCARE NonOcc In"/>
    <s v="AMZN"/>
    <n v="201406984"/>
    <s v="Perez,Misael"/>
    <s v="Munoz,Jonan"/>
    <n v="0"/>
    <n v="0"/>
    <n v="0"/>
    <n v="0"/>
    <n v="0.23"/>
    <e v="#N/A"/>
    <x v="196"/>
  </r>
  <r>
    <d v="2023-08-18T00:00:00"/>
    <x v="31"/>
    <s v="Admin/HR/IT"/>
    <s v="AMCARE NonOcc In"/>
    <s v="TEMP"/>
    <n v="201841804"/>
    <s v="Ruiz,Michelle"/>
    <s v="Corona Arriaga,Fernando"/>
    <n v="0"/>
    <n v="0"/>
    <n v="0"/>
    <n v="0"/>
    <n v="0.5"/>
    <e v="#N/A"/>
    <x v="195"/>
  </r>
  <r>
    <d v="2023-08-18T00:00:00"/>
    <x v="31"/>
    <s v="Admin/HR/IT"/>
    <s v="AMCARE NonOcc In"/>
    <s v="TEMP"/>
    <n v="201858789"/>
    <s v="HINOJOSA,IGNACIO"/>
    <s v="Corona Arriaga,Fernando"/>
    <n v="0"/>
    <n v="0"/>
    <n v="0"/>
    <n v="0"/>
    <n v="0.08"/>
    <e v="#N/A"/>
    <x v="197"/>
  </r>
  <r>
    <d v="2023-08-19T00:00:00"/>
    <x v="31"/>
    <s v="Admin/HR/IT"/>
    <s v="AMCARE NonOcc In"/>
    <s v="AMZN"/>
    <n v="112972958"/>
    <s v="Gonzalez Gonzalez,Antonio"/>
    <s v="Cortes,Alejandra"/>
    <n v="0"/>
    <n v="0"/>
    <n v="0"/>
    <n v="0"/>
    <n v="7.0000000000000007E-2"/>
    <s v="D5-X0700"/>
    <x v="44"/>
  </r>
  <r>
    <d v="2023-08-19T00:00:00"/>
    <x v="31"/>
    <s v="Admin/HR/IT"/>
    <s v="AMCARE NonOcc In"/>
    <s v="AMZN"/>
    <n v="113020497"/>
    <s v="Martinez Ruiz,Diana"/>
    <s v="Gomez Aguado,Jorge"/>
    <n v="0"/>
    <n v="0"/>
    <n v="0"/>
    <n v="0"/>
    <n v="0.5"/>
    <e v="#N/A"/>
    <x v="82"/>
  </r>
  <r>
    <d v="2023-08-19T00:00:00"/>
    <x v="31"/>
    <s v="Admin/HR/IT"/>
    <s v="AMCARE NonOcc In"/>
    <s v="AMZN"/>
    <n v="200563038"/>
    <s v="Arias,Elizabeth"/>
    <s v="Gomez Aguado,Jorge"/>
    <n v="0"/>
    <n v="0"/>
    <n v="0"/>
    <n v="0"/>
    <n v="0.61"/>
    <e v="#N/A"/>
    <x v="124"/>
  </r>
  <r>
    <d v="2023-08-19T00:00:00"/>
    <x v="31"/>
    <s v="Admin/HR/IT"/>
    <s v="AMCARE NonOcc In"/>
    <s v="AMZN"/>
    <n v="201191198"/>
    <s v="Mojica,Emmanuel"/>
    <s v="Ledezma,Fer"/>
    <n v="0"/>
    <n v="0"/>
    <n v="0"/>
    <n v="0"/>
    <n v="0.52"/>
    <e v="#N/A"/>
    <x v="130"/>
  </r>
  <r>
    <d v="2023-08-19T00:00:00"/>
    <x v="31"/>
    <s v="Admin/HR/IT"/>
    <s v="AMCARE NonOcc In"/>
    <s v="AMZN"/>
    <n v="201191390"/>
    <s v="GarcÃ­a,jesus"/>
    <s v="Madrid Molina,Ramon"/>
    <n v="0"/>
    <n v="0"/>
    <n v="0"/>
    <n v="0"/>
    <n v="0.74"/>
    <e v="#N/A"/>
    <x v="116"/>
  </r>
  <r>
    <d v="2023-08-19T00:00:00"/>
    <x v="31"/>
    <s v="Admin/HR/IT"/>
    <s v="AMCARE NonOcc In"/>
    <s v="AMZN"/>
    <n v="201354965"/>
    <s v="JimÃ©nez,Aline"/>
    <s v="Lopez,Alexa"/>
    <n v="0"/>
    <n v="0"/>
    <n v="0"/>
    <n v="0"/>
    <n v="0.4"/>
    <e v="#N/A"/>
    <x v="152"/>
  </r>
  <r>
    <d v="2023-08-19T00:00:00"/>
    <x v="31"/>
    <s v="Admin/HR/IT"/>
    <s v="AMCARE NonOcc In"/>
    <s v="TEMP"/>
    <n v="201841804"/>
    <s v="Ruiz,Michelle"/>
    <s v="Corona Arriaga,Fernando"/>
    <n v="0"/>
    <n v="0"/>
    <n v="0"/>
    <n v="0"/>
    <n v="0.27"/>
    <e v="#N/A"/>
    <x v="195"/>
  </r>
  <r>
    <d v="2023-08-20T00:00:00"/>
    <x v="32"/>
    <s v="Admin/HR/IT"/>
    <s v="AMCARE NonOcc In"/>
    <s v="AMZN"/>
    <n v="112912050"/>
    <s v="Hernadez Serna,Said"/>
    <s v="Pizana,Diego"/>
    <n v="0"/>
    <n v="0"/>
    <n v="0"/>
    <n v="0"/>
    <n v="0.56999999999999995"/>
    <s v="DA-X0700"/>
    <x v="86"/>
  </r>
  <r>
    <d v="2023-08-20T00:00:00"/>
    <x v="32"/>
    <s v="Admin/HR/IT"/>
    <s v="AMCARE NonOcc In"/>
    <s v="AMZN"/>
    <n v="112912745"/>
    <s v="Gomez Meza,Alex"/>
    <s v="Piedra,Valentina"/>
    <n v="0"/>
    <n v="0"/>
    <n v="0"/>
    <n v="0"/>
    <n v="0.44"/>
    <s v="DA-X0700"/>
    <x v="55"/>
  </r>
  <r>
    <d v="2023-08-20T00:00:00"/>
    <x v="32"/>
    <s v="Admin/HR/IT"/>
    <s v="AMCARE NonOcc In"/>
    <s v="AMZN"/>
    <n v="112980899"/>
    <s v="Avila Cabrera,Ari"/>
    <s v="Camarena,Grecia"/>
    <n v="0"/>
    <n v="0"/>
    <n v="0"/>
    <n v="0"/>
    <n v="0.82"/>
    <s v="NF-X1900"/>
    <x v="34"/>
  </r>
  <r>
    <d v="2023-08-20T00:00:00"/>
    <x v="32"/>
    <s v="Admin/HR/IT"/>
    <s v="AMCARE NonOcc In"/>
    <s v="AMZN"/>
    <n v="113040582"/>
    <s v="HDZ,DEMON"/>
    <s v="Robledo Ugarte,Alejandro"/>
    <n v="0"/>
    <n v="0"/>
    <n v="0"/>
    <n v="0"/>
    <n v="0.32"/>
    <e v="#N/A"/>
    <x v="63"/>
  </r>
  <r>
    <d v="2023-08-20T00:00:00"/>
    <x v="32"/>
    <s v="Admin/HR/IT"/>
    <s v="AMCARE NonOcc In"/>
    <s v="AMZN"/>
    <n v="200574345"/>
    <s v="Contreras,Jony"/>
    <s v="Romero Sanchez,Gustavo Gabriel"/>
    <n v="0"/>
    <n v="0"/>
    <n v="0"/>
    <n v="0"/>
    <n v="0.74"/>
    <e v="#N/A"/>
    <x v="54"/>
  </r>
  <r>
    <d v="2023-08-20T00:00:00"/>
    <x v="32"/>
    <s v="Admin/HR/IT"/>
    <s v="AMCARE NonOcc In"/>
    <s v="AMZN"/>
    <n v="201186833"/>
    <s v="Jasso,Alexa"/>
    <s v="Piedra,Valentina"/>
    <n v="0"/>
    <n v="0"/>
    <n v="0"/>
    <n v="0"/>
    <n v="0.19"/>
    <e v="#N/A"/>
    <x v="114"/>
  </r>
  <r>
    <d v="2023-08-20T00:00:00"/>
    <x v="32"/>
    <s v="Admin/HR/IT"/>
    <s v="AMCARE NonOcc In"/>
    <s v="AMZN"/>
    <n v="201341534"/>
    <s v="Becerra,Esmeralda"/>
    <s v="Piedra,Valentina"/>
    <n v="0"/>
    <n v="0"/>
    <n v="0"/>
    <n v="0"/>
    <n v="1.08"/>
    <e v="#N/A"/>
    <x v="192"/>
  </r>
  <r>
    <d v="2023-08-20T00:00:00"/>
    <x v="32"/>
    <s v="Admin/HR/IT"/>
    <s v="AMCARE NonOcc In"/>
    <s v="TEMP"/>
    <n v="201901324"/>
    <s v="VelÃ¡zquez,Alejandro"/>
    <s v="Pizana,Diego"/>
    <n v="0"/>
    <n v="0"/>
    <n v="0"/>
    <n v="0"/>
    <n v="0.71"/>
    <e v="#N/A"/>
    <x v="198"/>
  </r>
  <r>
    <d v="2023-08-21T00:00:00"/>
    <x v="32"/>
    <s v="Admin/HR/IT"/>
    <s v="AMCARE NonOcc In"/>
    <s v="AMZN"/>
    <n v="112950784"/>
    <s v="Rojas,Samuel"/>
    <s v="Pizana,Diego"/>
    <n v="0"/>
    <n v="0"/>
    <n v="0"/>
    <n v="0"/>
    <n v="0.09"/>
    <s v="NF-X1900"/>
    <x v="13"/>
  </r>
  <r>
    <d v="2023-08-21T00:00:00"/>
    <x v="32"/>
    <s v="Admin/HR/IT"/>
    <s v="AMCARE NonOcc In"/>
    <s v="AMZN"/>
    <n v="112971997"/>
    <s v="Nieto,Emili"/>
    <s v="Rosas Negrete,Sebastian"/>
    <n v="0"/>
    <n v="0"/>
    <n v="0"/>
    <n v="0"/>
    <n v="0.13"/>
    <s v="DA-X0700"/>
    <x v="117"/>
  </r>
  <r>
    <d v="2023-08-21T00:00:00"/>
    <x v="32"/>
    <s v="Admin/HR/IT"/>
    <s v="AMCARE NonOcc In"/>
    <s v="AMZN"/>
    <n v="112981212"/>
    <s v="Zanella Miranda,Alyson"/>
    <s v="Robledo Ugarte,Alejandro"/>
    <n v="0"/>
    <n v="0"/>
    <n v="0"/>
    <n v="0"/>
    <n v="0.61"/>
    <e v="#N/A"/>
    <x v="77"/>
  </r>
  <r>
    <d v="2023-08-21T00:00:00"/>
    <x v="32"/>
    <s v="Admin/HR/IT"/>
    <s v="AMCARE NonOcc In"/>
    <s v="AMZN"/>
    <n v="113020463"/>
    <s v="Valtierra,Alejandra"/>
    <s v="Robledo Ugarte,Alejandro"/>
    <n v="0"/>
    <n v="0"/>
    <n v="0"/>
    <n v="0"/>
    <n v="0.39"/>
    <e v="#N/A"/>
    <x v="17"/>
  </r>
  <r>
    <d v="2023-08-21T00:00:00"/>
    <x v="32"/>
    <s v="Admin/HR/IT"/>
    <s v="AMCARE NonOcc In"/>
    <s v="AMZN"/>
    <n v="200404250"/>
    <s v="Hurtado,Caty"/>
    <s v="Romero Sanchez,Gustavo Gabriel"/>
    <n v="0"/>
    <n v="0"/>
    <n v="0"/>
    <n v="0"/>
    <n v="1.01"/>
    <e v="#N/A"/>
    <x v="6"/>
  </r>
  <r>
    <d v="2023-08-21T00:00:00"/>
    <x v="32"/>
    <s v="Admin/HR/IT"/>
    <s v="AMCARE NonOcc In"/>
    <s v="AMZN"/>
    <n v="200562154"/>
    <s v="Reyes Muniz,Cristian"/>
    <s v="Corona Arriaga,Fernando"/>
    <n v="0"/>
    <n v="0"/>
    <n v="0"/>
    <n v="0"/>
    <n v="0.38"/>
    <e v="#N/A"/>
    <x v="42"/>
  </r>
  <r>
    <d v="2023-08-21T00:00:00"/>
    <x v="32"/>
    <s v="Admin/HR/IT"/>
    <s v="AMCARE NonOcc In"/>
    <s v="AMZN"/>
    <n v="201202093"/>
    <s v="Ortega,Elizabeth"/>
    <s v="Romero Sanchez,Gustavo Gabriel"/>
    <n v="0"/>
    <n v="0"/>
    <n v="0"/>
    <n v="0"/>
    <n v="0.13"/>
    <e v="#N/A"/>
    <x v="129"/>
  </r>
  <r>
    <d v="2023-08-21T00:00:00"/>
    <x v="32"/>
    <s v="Admin/HR/IT"/>
    <s v="AMCARE NonOcc In"/>
    <s v="AMZN"/>
    <n v="201353293"/>
    <s v="Castillo,Itzayana"/>
    <s v="Camarena,Grecia"/>
    <n v="0"/>
    <n v="0"/>
    <n v="0"/>
    <n v="0"/>
    <n v="0.53"/>
    <e v="#N/A"/>
    <x v="190"/>
  </r>
  <r>
    <d v="2023-08-21T00:00:00"/>
    <x v="32"/>
    <s v="Admin/HR/IT"/>
    <s v="AMCARE NonOcc In"/>
    <s v="AMZN"/>
    <n v="201386201"/>
    <s v="Castillo,Janai"/>
    <s v="Ledezma,Fer"/>
    <n v="0"/>
    <n v="0"/>
    <n v="0"/>
    <n v="0"/>
    <n v="0.18"/>
    <e v="#N/A"/>
    <x v="186"/>
  </r>
  <r>
    <d v="2023-08-22T00:00:00"/>
    <x v="32"/>
    <s v="Admin/HR/IT"/>
    <s v="AMCARE NonOcc In"/>
    <s v="TEMP"/>
    <n v="112506531"/>
    <s v="Belmudez,joseph"/>
    <s v="Piedra,Valentina"/>
    <n v="0"/>
    <n v="0"/>
    <n v="0"/>
    <n v="0"/>
    <n v="4.1100000000000003"/>
    <e v="#N/A"/>
    <x v="0"/>
  </r>
  <r>
    <d v="2023-08-22T00:00:00"/>
    <x v="32"/>
    <s v="Admin/HR/IT"/>
    <s v="AMCARE NonOcc In"/>
    <s v="AMZN"/>
    <n v="112912752"/>
    <s v="Valderrama Gomez,Leslie"/>
    <s v="Camarena,Grecia"/>
    <n v="0"/>
    <n v="0"/>
    <n v="0"/>
    <n v="0"/>
    <n v="0.35"/>
    <s v="NF-X1900"/>
    <x v="5"/>
  </r>
  <r>
    <d v="2023-08-22T00:00:00"/>
    <x v="32"/>
    <s v="Admin/HR/IT"/>
    <s v="AMCARE NonOcc In"/>
    <s v="AMZN"/>
    <n v="112980832"/>
    <s v="Cruz Martinez,Salvador"/>
    <s v="Piedra,Valentina"/>
    <n v="0"/>
    <n v="0"/>
    <n v="0"/>
    <n v="0"/>
    <n v="0.73"/>
    <e v="#N/A"/>
    <x v="0"/>
  </r>
  <r>
    <d v="2023-08-22T00:00:00"/>
    <x v="32"/>
    <s v="Admin/HR/IT"/>
    <s v="AMCARE NonOcc In"/>
    <s v="AMZN"/>
    <n v="112980887"/>
    <s v="Rodriguez Mares,Rocio"/>
    <s v="Pizana,Diego"/>
    <n v="0"/>
    <n v="0"/>
    <n v="0"/>
    <n v="0"/>
    <n v="0.14000000000000001"/>
    <e v="#N/A"/>
    <x v="0"/>
  </r>
  <r>
    <d v="2023-08-22T00:00:00"/>
    <x v="32"/>
    <s v="Admin/HR/IT"/>
    <s v="AMCARE NonOcc In"/>
    <s v="AMZN"/>
    <n v="112980899"/>
    <s v="Avila Cabrera,Ari"/>
    <s v="Camarena,Grecia"/>
    <n v="0"/>
    <n v="0"/>
    <n v="0"/>
    <n v="0"/>
    <n v="0.35"/>
    <s v="NF-X1900"/>
    <x v="34"/>
  </r>
  <r>
    <d v="2023-08-22T00:00:00"/>
    <x v="32"/>
    <s v="Admin/HR/IT"/>
    <s v="AMCARE NonOcc In"/>
    <s v="AMZN"/>
    <n v="113014078"/>
    <s v="Nunez Lopez,Aldair"/>
    <s v="Romero Sanchez,Gustavo Gabriel"/>
    <n v="0"/>
    <n v="0"/>
    <n v="0"/>
    <n v="0"/>
    <n v="0.8"/>
    <e v="#N/A"/>
    <x v="76"/>
  </r>
  <r>
    <d v="2023-08-22T00:00:00"/>
    <x v="32"/>
    <s v="Admin/HR/IT"/>
    <s v="AMCARE NonOcc In"/>
    <s v="AMZN"/>
    <n v="113014470"/>
    <s v="Aguilar Ibarra,Lupe"/>
    <s v="Robledo Ugarte,Alejandro"/>
    <n v="0"/>
    <n v="0"/>
    <n v="0"/>
    <n v="0"/>
    <n v="0.22"/>
    <e v="#N/A"/>
    <x v="30"/>
  </r>
  <r>
    <d v="2023-08-22T00:00:00"/>
    <x v="32"/>
    <s v="Admin/HR/IT"/>
    <s v="AMCARE NonOcc In"/>
    <s v="AMZN"/>
    <n v="113014592"/>
    <s v="Picazo,Brenda"/>
    <s v="Romero Sanchez,Gustavo Gabriel"/>
    <n v="0"/>
    <n v="0"/>
    <n v="0"/>
    <n v="0"/>
    <n v="0.18"/>
    <e v="#N/A"/>
    <x v="127"/>
  </r>
  <r>
    <d v="2023-08-22T00:00:00"/>
    <x v="32"/>
    <s v="Admin/HR/IT"/>
    <s v="AMCARE NonOcc In"/>
    <s v="AMZN"/>
    <n v="200574655"/>
    <s v="Mireles,Dulce"/>
    <s v="Robledo Ugarte,Alejandro"/>
    <n v="0"/>
    <n v="0"/>
    <n v="0"/>
    <n v="0"/>
    <n v="0.42"/>
    <e v="#N/A"/>
    <x v="88"/>
  </r>
  <r>
    <d v="2023-08-22T00:00:00"/>
    <x v="32"/>
    <s v="Admin/HR/IT"/>
    <s v="AMCARE NonOcc In"/>
    <s v="AMZN"/>
    <n v="201167501"/>
    <s v="Rodriguez,Ruben"/>
    <s v="Robledo Ugarte,Alejandro"/>
    <n v="0"/>
    <n v="0"/>
    <n v="0"/>
    <n v="0"/>
    <n v="0.11"/>
    <e v="#N/A"/>
    <x v="109"/>
  </r>
  <r>
    <d v="2023-08-22T00:00:00"/>
    <x v="32"/>
    <s v="Admin/HR/IT"/>
    <s v="AMCARE NonOcc In"/>
    <s v="AMZN"/>
    <n v="201318220"/>
    <s v="Jasso,Raul"/>
    <s v="Bueno Mendoza,Susana"/>
    <n v="0"/>
    <n v="0"/>
    <n v="0"/>
    <n v="0"/>
    <n v="0.03"/>
    <e v="#N/A"/>
    <x v="193"/>
  </r>
  <r>
    <d v="2023-08-22T00:00:00"/>
    <x v="32"/>
    <s v="Admin/HR/IT"/>
    <s v="AMCARE NonOcc In"/>
    <s v="AMZN"/>
    <n v="201378614"/>
    <s v="Meza,Fernando"/>
    <s v="Bueno Mendoza,Susana"/>
    <n v="0"/>
    <n v="0"/>
    <n v="0"/>
    <n v="0"/>
    <n v="0.3"/>
    <e v="#N/A"/>
    <x v="0"/>
  </r>
  <r>
    <d v="2023-08-22T00:00:00"/>
    <x v="32"/>
    <s v="Admin/HR/IT"/>
    <s v="AMCARE NonOcc In"/>
    <s v="TEMP"/>
    <n v="201615692"/>
    <s v="Rodriguez,Nat"/>
    <s v="Romero Sanchez,Gustavo Gabriel"/>
    <n v="0"/>
    <n v="0"/>
    <n v="0"/>
    <n v="0"/>
    <n v="1"/>
    <e v="#N/A"/>
    <x v="0"/>
  </r>
  <r>
    <d v="2023-08-22T00:00:00"/>
    <x v="32"/>
    <s v="Admin/HR/IT"/>
    <s v="AMCARE NonOcc In"/>
    <s v="TEMP"/>
    <n v="201874092"/>
    <s v="Solorzano,Harol"/>
    <s v="Piedra,Valentina"/>
    <n v="0"/>
    <n v="0"/>
    <n v="0"/>
    <n v="0"/>
    <n v="0.01"/>
    <e v="#N/A"/>
    <x v="0"/>
  </r>
  <r>
    <d v="2023-08-22T00:00:00"/>
    <x v="32"/>
    <s v="Admin/HR/IT"/>
    <s v="AMCARE Out"/>
    <s v="TEMP"/>
    <n v="201874092"/>
    <s v="Solorzano,Harol"/>
    <s v="Piedra,Valentina"/>
    <n v="0"/>
    <n v="0"/>
    <n v="0"/>
    <n v="0"/>
    <n v="0.28999999999999998"/>
    <e v="#N/A"/>
    <x v="0"/>
  </r>
  <r>
    <d v="2023-08-23T00:00:00"/>
    <x v="32"/>
    <s v="Admin/HR/IT"/>
    <s v="AMCARE NonOcc In"/>
    <s v="AMZN"/>
    <n v="112912054"/>
    <s v="Rivera Ramirez,Jorge"/>
    <s v="Munoz,Jonan"/>
    <n v="0"/>
    <n v="0"/>
    <n v="0"/>
    <n v="0"/>
    <n v="0.17"/>
    <s v="DB-X0700"/>
    <x v="25"/>
  </r>
  <r>
    <d v="2023-08-23T00:00:00"/>
    <x v="32"/>
    <s v="Admin/HR/IT"/>
    <s v="AMCARE NonOcc In"/>
    <s v="AMZN"/>
    <n v="112912745"/>
    <s v="Gomez Meza,Alex"/>
    <s v="Piedra,Valentina"/>
    <n v="0"/>
    <n v="0"/>
    <n v="0"/>
    <n v="0"/>
    <n v="0.06"/>
    <s v="DA-X0700"/>
    <x v="55"/>
  </r>
  <r>
    <d v="2023-08-23T00:00:00"/>
    <x v="32"/>
    <s v="Admin/HR/IT"/>
    <s v="AMCARE NonOcc In"/>
    <s v="AMZN"/>
    <n v="112971962"/>
    <s v="Reyes  Montes de oca,Alejandra"/>
    <s v="Ledezma,Fer"/>
    <n v="0"/>
    <n v="0"/>
    <n v="0"/>
    <n v="0"/>
    <n v="0.52"/>
    <s v="DB-X0700"/>
    <x v="26"/>
  </r>
  <r>
    <d v="2023-08-23T00:00:00"/>
    <x v="32"/>
    <s v="Admin/HR/IT"/>
    <s v="AMCARE NonOcc In"/>
    <s v="AMZN"/>
    <n v="113014470"/>
    <s v="Aguilar Ibarra,Lupe"/>
    <s v="Robledo Ugarte,Alejandro"/>
    <n v="0"/>
    <n v="0"/>
    <n v="0"/>
    <n v="0"/>
    <n v="0.73"/>
    <e v="#N/A"/>
    <x v="30"/>
  </r>
  <r>
    <d v="2023-08-23T00:00:00"/>
    <x v="32"/>
    <s v="Admin/HR/IT"/>
    <s v="AMCARE NonOcc In"/>
    <s v="AMZN"/>
    <n v="113019001"/>
    <s v="Lozano Hernandez,Donny"/>
    <s v="Bueno Mendoza,Susana"/>
    <n v="0"/>
    <n v="0"/>
    <n v="0"/>
    <n v="0"/>
    <n v="0.21"/>
    <e v="#N/A"/>
    <x v="48"/>
  </r>
  <r>
    <d v="2023-08-23T00:00:00"/>
    <x v="32"/>
    <s v="Admin/HR/IT"/>
    <s v="AMCARE NonOcc In"/>
    <s v="AMZN"/>
    <n v="200404250"/>
    <s v="Hurtado,Caty"/>
    <s v="Romero Sanchez,Gustavo Gabriel"/>
    <n v="0"/>
    <n v="0"/>
    <n v="0"/>
    <n v="0"/>
    <n v="0.86"/>
    <e v="#N/A"/>
    <x v="6"/>
  </r>
  <r>
    <d v="2023-08-23T00:00:00"/>
    <x v="32"/>
    <s v="Admin/HR/IT"/>
    <s v="AMCARE NonOcc In"/>
    <s v="AMZN"/>
    <n v="200508323"/>
    <s v="Espejel Lopez,Emmanuel"/>
    <s v="Ledezma,Fer"/>
    <n v="0"/>
    <n v="0"/>
    <n v="0"/>
    <n v="0"/>
    <n v="0.06"/>
    <e v="#N/A"/>
    <x v="177"/>
  </r>
  <r>
    <d v="2023-08-23T00:00:00"/>
    <x v="32"/>
    <s v="Admin/HR/IT"/>
    <s v="AMCARE NonOcc In"/>
    <s v="AMZN"/>
    <n v="200534675"/>
    <s v="Munoz Macias,Juan Pablo"/>
    <s v="Ledezma,Fer"/>
    <n v="0"/>
    <n v="0"/>
    <n v="0"/>
    <n v="0"/>
    <n v="0.39"/>
    <e v="#N/A"/>
    <x v="69"/>
  </r>
  <r>
    <d v="2023-08-23T00:00:00"/>
    <x v="32"/>
    <s v="Admin/HR/IT"/>
    <s v="AMCARE NonOcc In"/>
    <s v="AMZN"/>
    <n v="200620341"/>
    <s v="Camacho Ramirez,Carlos"/>
    <s v="Madrid Molina,Ramon"/>
    <n v="0"/>
    <n v="0"/>
    <n v="0"/>
    <n v="0"/>
    <n v="0.22"/>
    <e v="#N/A"/>
    <x v="0"/>
  </r>
  <r>
    <d v="2023-08-23T00:00:00"/>
    <x v="32"/>
    <s v="Admin/HR/IT"/>
    <s v="AMCARE NonOcc In"/>
    <s v="AMZN"/>
    <n v="201186833"/>
    <s v="Jasso,Alexa"/>
    <s v="Piedra,Valentina"/>
    <n v="0"/>
    <n v="0"/>
    <n v="0"/>
    <n v="0"/>
    <n v="1.25"/>
    <e v="#N/A"/>
    <x v="114"/>
  </r>
  <r>
    <d v="2023-08-23T00:00:00"/>
    <x v="32"/>
    <s v="Admin/HR/IT"/>
    <s v="AMCARE NonOcc In"/>
    <s v="AMZN"/>
    <n v="201191390"/>
    <s v="GarcÃ­a,jesus"/>
    <s v="Madrid Molina,Ramon"/>
    <n v="0"/>
    <n v="0"/>
    <n v="0"/>
    <n v="0"/>
    <n v="1.03"/>
    <e v="#N/A"/>
    <x v="116"/>
  </r>
  <r>
    <d v="2023-08-23T00:00:00"/>
    <x v="32"/>
    <s v="Admin/HR/IT"/>
    <s v="AMCARE NonOcc In"/>
    <s v="AMZN"/>
    <n v="201354965"/>
    <s v="JimÃ©nez,Aline"/>
    <s v="Lopez,Alexa"/>
    <n v="0"/>
    <n v="0"/>
    <n v="0"/>
    <n v="0"/>
    <n v="0.12"/>
    <e v="#N/A"/>
    <x v="152"/>
  </r>
  <r>
    <d v="2023-08-23T00:00:00"/>
    <x v="32"/>
    <s v="Admin/HR/IT"/>
    <s v="AMCARE NonOcc In"/>
    <s v="AMZN"/>
    <n v="201378614"/>
    <s v="Meza,Fernando"/>
    <s v="Bueno Mendoza,Susana"/>
    <n v="0"/>
    <n v="0"/>
    <n v="0"/>
    <n v="0"/>
    <n v="0.18"/>
    <e v="#N/A"/>
    <x v="0"/>
  </r>
  <r>
    <d v="2023-08-23T00:00:00"/>
    <x v="32"/>
    <s v="Admin/HR/IT"/>
    <s v="AMCARE NonOcc In"/>
    <s v="TEMP"/>
    <n v="201880542"/>
    <s v="ORTIZ,CORPUS"/>
    <s v="Romero Sanchez,Gustavo Gabriel"/>
    <n v="0"/>
    <n v="0"/>
    <n v="0"/>
    <n v="0"/>
    <n v="0.16"/>
    <e v="#N/A"/>
    <x v="199"/>
  </r>
  <r>
    <d v="2023-08-23T00:00:00"/>
    <x v="32"/>
    <s v="Admin/HR/IT"/>
    <s v="AMCARE NonOcc In"/>
    <s v="TEMP"/>
    <n v="201891076"/>
    <s v="Olvera,Marilu"/>
    <s v="Romero Sanchez,Gustavo Gabriel"/>
    <n v="0"/>
    <n v="0"/>
    <n v="0"/>
    <n v="0"/>
    <n v="0.45"/>
    <e v="#N/A"/>
    <x v="200"/>
  </r>
  <r>
    <d v="2023-08-23T00:00:00"/>
    <x v="32"/>
    <s v="Admin/HR/IT"/>
    <s v="AMCARE NonOcc In"/>
    <s v="TEMP"/>
    <n v="201901649"/>
    <s v="HernÃ¡ndez,Janet"/>
    <s v="Romero Sanchez,Gustavo Gabriel"/>
    <n v="0"/>
    <n v="0"/>
    <n v="0"/>
    <n v="0"/>
    <n v="0.23"/>
    <e v="#N/A"/>
    <x v="0"/>
  </r>
  <r>
    <d v="2023-08-23T00:00:00"/>
    <x v="32"/>
    <s v="Admin/HR/IT"/>
    <s v="AMCARE NonOcc In"/>
    <s v="TEMP"/>
    <n v="201906503"/>
    <s v="MartÃ­nez,Jennifer"/>
    <s v="Munoz,Jonan"/>
    <n v="0"/>
    <n v="0"/>
    <n v="0"/>
    <n v="0"/>
    <n v="0.08"/>
    <e v="#N/A"/>
    <x v="201"/>
  </r>
  <r>
    <d v="2023-08-24T00:00:00"/>
    <x v="32"/>
    <s v="Admin/HR/IT"/>
    <s v="AMCARE NonOcc In"/>
    <s v="AMZN"/>
    <n v="112912054"/>
    <s v="Rivera Ramirez,Jorge"/>
    <s v="Munoz,Jonan"/>
    <n v="0"/>
    <n v="0"/>
    <n v="0"/>
    <n v="0"/>
    <n v="0.43"/>
    <s v="DB-X0700"/>
    <x v="25"/>
  </r>
  <r>
    <d v="2023-08-24T00:00:00"/>
    <x v="32"/>
    <s v="Admin/HR/IT"/>
    <s v="AMCARE NonOcc In"/>
    <s v="AMZN"/>
    <n v="112920655"/>
    <s v="Diaz de LeÃ³n,Paola"/>
    <s v="Cortes,Alejandra"/>
    <n v="0"/>
    <n v="0"/>
    <n v="0"/>
    <n v="0"/>
    <n v="0.94"/>
    <e v="#N/A"/>
    <x v="0"/>
  </r>
  <r>
    <d v="2023-08-24T00:00:00"/>
    <x v="32"/>
    <s v="Admin/HR/IT"/>
    <s v="AMCARE NonOcc In"/>
    <s v="AMZN"/>
    <n v="112920679"/>
    <s v="Vazquez,Israel"/>
    <s v="Piedra,Valentina"/>
    <n v="0"/>
    <n v="0"/>
    <n v="0"/>
    <n v="0"/>
    <n v="0.96"/>
    <e v="#N/A"/>
    <x v="0"/>
  </r>
  <r>
    <d v="2023-08-24T00:00:00"/>
    <x v="32"/>
    <s v="Admin/HR/IT"/>
    <s v="AMCARE NonOcc In"/>
    <s v="AMZN"/>
    <n v="112980832"/>
    <s v="Cruz Martinez,Salvador"/>
    <s v="Piedra,Valentina"/>
    <n v="0"/>
    <n v="0"/>
    <n v="0"/>
    <n v="0"/>
    <n v="0.69"/>
    <e v="#N/A"/>
    <x v="0"/>
  </r>
  <r>
    <d v="2023-08-24T00:00:00"/>
    <x v="32"/>
    <s v="Admin/HR/IT"/>
    <s v="AMCARE NonOcc In"/>
    <s v="AMZN"/>
    <n v="113003510"/>
    <s v="PÃ©rez MÃ©ndez,Cecy"/>
    <s v="Gomez Aguado,Jorge"/>
    <n v="0"/>
    <n v="0"/>
    <n v="0"/>
    <n v="0"/>
    <n v="0.08"/>
    <e v="#N/A"/>
    <x v="115"/>
  </r>
  <r>
    <d v="2023-08-24T00:00:00"/>
    <x v="32"/>
    <s v="Admin/HR/IT"/>
    <s v="AMCARE NonOcc In"/>
    <s v="AMZN"/>
    <n v="113014560"/>
    <s v="Lopez Moreno,Americo"/>
    <s v="Ledezma,Fer"/>
    <n v="0"/>
    <n v="0"/>
    <n v="0"/>
    <n v="0"/>
    <n v="0.2"/>
    <e v="#N/A"/>
    <x v="81"/>
  </r>
  <r>
    <d v="2023-08-24T00:00:00"/>
    <x v="32"/>
    <s v="Admin/HR/IT"/>
    <s v="AMCARE NonOcc In"/>
    <s v="AMZN"/>
    <n v="113020476"/>
    <s v="Puente Aguilar,Polette"/>
    <s v="Madrid Molina,Ramon"/>
    <n v="0"/>
    <n v="0"/>
    <n v="0"/>
    <n v="0"/>
    <n v="0.51"/>
    <e v="#N/A"/>
    <x v="19"/>
  </r>
  <r>
    <d v="2023-08-24T00:00:00"/>
    <x v="32"/>
    <s v="Admin/HR/IT"/>
    <s v="AMCARE NonOcc In"/>
    <s v="AMZN"/>
    <n v="113138338"/>
    <s v="Cornejo,Cesar"/>
    <s v="Cortes,Alejandra"/>
    <n v="0"/>
    <n v="0"/>
    <n v="0"/>
    <n v="0"/>
    <n v="2.08"/>
    <e v="#N/A"/>
    <x v="39"/>
  </r>
  <r>
    <d v="2023-08-24T00:00:00"/>
    <x v="32"/>
    <s v="Admin/HR/IT"/>
    <s v="AMCARE NonOcc In"/>
    <s v="AMZN"/>
    <n v="200464838"/>
    <s v="Ortiz,Fernando"/>
    <s v="Madrid Molina,Ramon"/>
    <n v="0"/>
    <n v="0"/>
    <n v="0"/>
    <n v="0"/>
    <n v="7.0000000000000007E-2"/>
    <e v="#N/A"/>
    <x v="28"/>
  </r>
  <r>
    <d v="2023-08-24T00:00:00"/>
    <x v="32"/>
    <s v="Admin/HR/IT"/>
    <s v="AMCARE NonOcc In"/>
    <s v="AMZN"/>
    <n v="200562154"/>
    <s v="Reyes Muniz,Cristian"/>
    <s v="Corona Arriaga,Fernando"/>
    <n v="0"/>
    <n v="0"/>
    <n v="0"/>
    <n v="0"/>
    <n v="0.41"/>
    <e v="#N/A"/>
    <x v="42"/>
  </r>
  <r>
    <d v="2023-08-24T00:00:00"/>
    <x v="32"/>
    <s v="Admin/HR/IT"/>
    <s v="AMCARE NonOcc In"/>
    <s v="AMZN"/>
    <n v="201167388"/>
    <s v="Aguirre,Octavio"/>
    <s v="Madrid Molina,Ramon"/>
    <n v="0"/>
    <n v="0"/>
    <n v="0"/>
    <n v="0"/>
    <n v="0.13"/>
    <e v="#N/A"/>
    <x v="159"/>
  </r>
  <r>
    <d v="2023-08-24T00:00:00"/>
    <x v="32"/>
    <s v="Admin/HR/IT"/>
    <s v="AMCARE NonOcc In"/>
    <s v="AMZN"/>
    <n v="201351399"/>
    <s v="Ramos Montejo,Aida del Socorro"/>
    <s v="Cortes,Alejandra"/>
    <n v="0"/>
    <n v="0"/>
    <n v="0"/>
    <n v="0"/>
    <n v="0.19"/>
    <e v="#N/A"/>
    <x v="170"/>
  </r>
  <r>
    <d v="2023-08-24T00:00:00"/>
    <x v="32"/>
    <s v="Admin/HR/IT"/>
    <s v="AMCARE NonOcc In"/>
    <s v="AMZN"/>
    <n v="201354965"/>
    <s v="JimÃ©nez,Aline"/>
    <s v="Lopez,Alexa"/>
    <n v="0"/>
    <n v="0"/>
    <n v="0"/>
    <n v="0"/>
    <n v="0.17"/>
    <e v="#N/A"/>
    <x v="152"/>
  </r>
  <r>
    <d v="2023-08-24T00:00:00"/>
    <x v="32"/>
    <s v="Admin/HR/IT"/>
    <s v="AMCARE NonOcc In"/>
    <s v="TEMP"/>
    <n v="201836048"/>
    <s v="MACIAS,IKER"/>
    <s v="Madrid Molina,Ramon"/>
    <n v="0"/>
    <n v="0"/>
    <n v="0"/>
    <n v="0"/>
    <n v="0.47"/>
    <e v="#N/A"/>
    <x v="0"/>
  </r>
  <r>
    <d v="2023-08-24T00:00:00"/>
    <x v="32"/>
    <s v="Admin/HR/IT"/>
    <s v="AMCARE NonOcc In"/>
    <s v="TEMP"/>
    <n v="201906503"/>
    <s v="MartÃ­nez,Jennifer"/>
    <s v="Munoz,Jonan"/>
    <n v="0"/>
    <n v="0"/>
    <n v="0"/>
    <n v="0"/>
    <n v="0.18"/>
    <e v="#N/A"/>
    <x v="201"/>
  </r>
  <r>
    <d v="2023-08-25T00:00:00"/>
    <x v="32"/>
    <s v="Admin/HR/IT"/>
    <s v="AMCARE NonOcc In"/>
    <s v="AMZN"/>
    <n v="112912054"/>
    <s v="Rivera Ramirez,Jorge"/>
    <s v="Munoz,Jonan"/>
    <n v="0"/>
    <n v="0"/>
    <n v="0"/>
    <n v="0"/>
    <n v="0.38"/>
    <s v="DB-X0700"/>
    <x v="25"/>
  </r>
  <r>
    <d v="2023-08-25T00:00:00"/>
    <x v="32"/>
    <s v="Admin/HR/IT"/>
    <s v="AMCARE NonOcc In"/>
    <s v="AMZN"/>
    <n v="112971962"/>
    <s v="Reyes  Montes de oca,Alejandra"/>
    <s v="Ledezma,Fer"/>
    <n v="0"/>
    <n v="0"/>
    <n v="0"/>
    <n v="0"/>
    <n v="0.11"/>
    <s v="DB-X0700"/>
    <x v="26"/>
  </r>
  <r>
    <d v="2023-08-25T00:00:00"/>
    <x v="32"/>
    <s v="Admin/HR/IT"/>
    <s v="AMCARE NonOcc In"/>
    <s v="AMZN"/>
    <n v="113020497"/>
    <s v="Martinez Ruiz,Diana"/>
    <s v="Gomez Aguado,Jorge"/>
    <n v="0"/>
    <n v="0"/>
    <n v="0"/>
    <n v="0"/>
    <n v="0.43"/>
    <e v="#N/A"/>
    <x v="82"/>
  </r>
  <r>
    <d v="2023-08-25T00:00:00"/>
    <x v="32"/>
    <s v="Admin/HR/IT"/>
    <s v="AMCARE NonOcc In"/>
    <s v="AMZN"/>
    <n v="113138338"/>
    <s v="Cornejo,Cesar"/>
    <s v="Cortes,Alejandra"/>
    <n v="0"/>
    <n v="0"/>
    <n v="0"/>
    <n v="0"/>
    <n v="0.45"/>
    <e v="#N/A"/>
    <x v="39"/>
  </r>
  <r>
    <d v="2023-08-25T00:00:00"/>
    <x v="32"/>
    <s v="Admin/HR/IT"/>
    <s v="AMCARE NonOcc In"/>
    <s v="AMZN"/>
    <n v="200553975"/>
    <s v="Duran Villegas,Juan Diego"/>
    <s v="Pizana,Diego"/>
    <n v="0"/>
    <n v="0"/>
    <n v="0"/>
    <n v="0"/>
    <n v="0.19"/>
    <e v="#N/A"/>
    <x v="35"/>
  </r>
  <r>
    <d v="2023-08-25T00:00:00"/>
    <x v="32"/>
    <s v="Admin/HR/IT"/>
    <s v="AMCARE NonOcc In"/>
    <s v="AMZN"/>
    <n v="200562154"/>
    <s v="Reyes Muniz,Cristian"/>
    <s v="Corona Arriaga,Fernando"/>
    <n v="0"/>
    <n v="0"/>
    <n v="0"/>
    <n v="0"/>
    <n v="0.32"/>
    <e v="#N/A"/>
    <x v="42"/>
  </r>
  <r>
    <d v="2023-08-25T00:00:00"/>
    <x v="32"/>
    <s v="Admin/HR/IT"/>
    <s v="AMCARE NonOcc In"/>
    <s v="AMZN"/>
    <n v="200563038"/>
    <s v="Arias,Elizabeth"/>
    <s v="Gomez Aguado,Jorge"/>
    <n v="0"/>
    <n v="0"/>
    <n v="0"/>
    <n v="0"/>
    <n v="2.13"/>
    <e v="#N/A"/>
    <x v="124"/>
  </r>
  <r>
    <d v="2023-08-25T00:00:00"/>
    <x v="32"/>
    <s v="Admin/HR/IT"/>
    <s v="AMCARE NonOcc In"/>
    <s v="AMZN"/>
    <n v="201185653"/>
    <s v="Lopez,Mine"/>
    <s v="Corona Arriaga,Fernando"/>
    <n v="0"/>
    <n v="0"/>
    <n v="0"/>
    <n v="0"/>
    <n v="0.18"/>
    <e v="#N/A"/>
    <x v="137"/>
  </r>
  <r>
    <d v="2023-08-25T00:00:00"/>
    <x v="32"/>
    <s v="Admin/HR/IT"/>
    <s v="AMCARE NonOcc In"/>
    <s v="AMZN"/>
    <n v="201211157"/>
    <s v="Vargas,Jesse"/>
    <s v="Munoz,Jonan"/>
    <n v="0"/>
    <n v="0"/>
    <n v="0"/>
    <n v="0"/>
    <n v="0.04"/>
    <e v="#N/A"/>
    <x v="121"/>
  </r>
  <r>
    <d v="2023-08-25T00:00:00"/>
    <x v="32"/>
    <s v="Admin/HR/IT"/>
    <s v="AMCARE NonOcc In"/>
    <s v="AMZN"/>
    <n v="201354965"/>
    <s v="JimÃ©nez,Aline"/>
    <s v="Lopez,Alexa"/>
    <n v="0"/>
    <n v="0"/>
    <n v="0"/>
    <n v="0"/>
    <n v="0.27"/>
    <e v="#N/A"/>
    <x v="152"/>
  </r>
  <r>
    <d v="2023-08-25T00:00:00"/>
    <x v="32"/>
    <s v="Admin/HR/IT"/>
    <s v="AMCARE NonOcc In"/>
    <s v="AMZN"/>
    <n v="201363254"/>
    <s v="Frausto,Raziel"/>
    <s v="Munoz,Jonan"/>
    <n v="0"/>
    <n v="0"/>
    <n v="0"/>
    <n v="0"/>
    <n v="0.16"/>
    <e v="#N/A"/>
    <x v="155"/>
  </r>
  <r>
    <d v="2023-08-25T00:00:00"/>
    <x v="32"/>
    <s v="Admin/HR/IT"/>
    <s v="AMCARE NonOcc In"/>
    <s v="TEMP"/>
    <n v="201841804"/>
    <s v="Ruiz,Michelle"/>
    <s v="Corona Arriaga,Fernando"/>
    <n v="0"/>
    <n v="0"/>
    <n v="0"/>
    <n v="0"/>
    <n v="0.3"/>
    <e v="#N/A"/>
    <x v="195"/>
  </r>
  <r>
    <d v="2023-08-25T00:00:00"/>
    <x v="32"/>
    <s v="Admin/HR/IT"/>
    <s v="AMCARE NonOcc In"/>
    <s v="TEMP"/>
    <n v="201906503"/>
    <s v="MartÃ­nez,Jennifer"/>
    <s v="Munoz,Jonan"/>
    <n v="0"/>
    <n v="0"/>
    <n v="0"/>
    <n v="0"/>
    <n v="0.18"/>
    <e v="#N/A"/>
    <x v="201"/>
  </r>
  <r>
    <d v="2023-08-25T00:00:00"/>
    <x v="32"/>
    <s v="Admin/HR/IT"/>
    <s v="AMCARE NonOcc In"/>
    <s v="TEMP"/>
    <n v="201908189"/>
    <s v="Martinez,Francisco"/>
    <s v="Lopez,Alexa"/>
    <n v="0"/>
    <n v="0"/>
    <n v="0"/>
    <n v="0"/>
    <n v="0.28000000000000003"/>
    <e v="#N/A"/>
    <x v="202"/>
  </r>
  <r>
    <d v="2023-08-26T00:00:00"/>
    <x v="32"/>
    <s v="Admin/HR/IT"/>
    <s v="AMCARE NonOcc In"/>
    <s v="AMZN"/>
    <n v="112971962"/>
    <s v="Reyes  Montes de oca,Alejandra"/>
    <s v="Ledezma,Fer"/>
    <n v="0"/>
    <n v="0"/>
    <n v="0"/>
    <n v="0"/>
    <n v="0.28999999999999998"/>
    <s v="DB-X0700"/>
    <x v="26"/>
  </r>
  <r>
    <d v="2023-08-26T00:00:00"/>
    <x v="32"/>
    <s v="Admin/HR/IT"/>
    <s v="AMCARE NonOcc In"/>
    <s v="AMZN"/>
    <n v="113003656"/>
    <s v="Argote,Enrique"/>
    <s v="Gomez Aguado,Jorge"/>
    <n v="0"/>
    <n v="0"/>
    <n v="0"/>
    <n v="0"/>
    <n v="0.45"/>
    <e v="#N/A"/>
    <x v="21"/>
  </r>
  <r>
    <d v="2023-08-26T00:00:00"/>
    <x v="32"/>
    <s v="Admin/HR/IT"/>
    <s v="AMCARE NonOcc In"/>
    <s v="AMZN"/>
    <n v="113003971"/>
    <s v="Garcia  Ramirez,Gabriel"/>
    <s v="Corona Arriaga,Fernando"/>
    <n v="0"/>
    <n v="0"/>
    <n v="0"/>
    <n v="0"/>
    <n v="0.21"/>
    <e v="#N/A"/>
    <x v="10"/>
  </r>
  <r>
    <d v="2023-08-26T00:00:00"/>
    <x v="32"/>
    <s v="Admin/HR/IT"/>
    <s v="AMCARE NonOcc In"/>
    <s v="AMZN"/>
    <n v="200614224"/>
    <s v="Cruz Hernandez,Cris"/>
    <s v="Ledezma,Fer"/>
    <n v="0"/>
    <n v="0"/>
    <n v="0"/>
    <n v="0"/>
    <n v="0.08"/>
    <e v="#N/A"/>
    <x v="0"/>
  </r>
  <r>
    <d v="2023-08-26T00:00:00"/>
    <x v="32"/>
    <s v="Admin/HR/IT"/>
    <s v="AMCARE NonOcc In"/>
    <s v="AMZN"/>
    <n v="201191198"/>
    <s v="Mojica,Emmanuel"/>
    <s v="Ledezma,Fer"/>
    <n v="0"/>
    <n v="0"/>
    <n v="0"/>
    <n v="0"/>
    <n v="0.08"/>
    <e v="#N/A"/>
    <x v="130"/>
  </r>
  <r>
    <d v="2023-08-26T00:00:00"/>
    <x v="32"/>
    <s v="Admin/HR/IT"/>
    <s v="AMCARE NonOcc In"/>
    <s v="AMZN"/>
    <n v="201223730"/>
    <s v="Sanchiz,Cesarito"/>
    <s v="Corona Arriaga,Fernando"/>
    <n v="0"/>
    <n v="0"/>
    <n v="0"/>
    <n v="0"/>
    <n v="0.26"/>
    <e v="#N/A"/>
    <x v="120"/>
  </r>
  <r>
    <d v="2023-08-26T00:00:00"/>
    <x v="32"/>
    <s v="Admin/HR/IT"/>
    <s v="AMCARE NonOcc In"/>
    <s v="AMZN"/>
    <n v="201295429"/>
    <s v="Mireles Diaz Lopez,Jazmin"/>
    <s v="Gomez Aguado,Jorge"/>
    <n v="0"/>
    <n v="0"/>
    <n v="0"/>
    <n v="0"/>
    <n v="0.53"/>
    <e v="#N/A"/>
    <x v="147"/>
  </r>
  <r>
    <d v="2023-08-26T00:00:00"/>
    <x v="32"/>
    <s v="Admin/HR/IT"/>
    <s v="AMCARE NonOcc In"/>
    <s v="TEMP"/>
    <n v="201842039"/>
    <s v="Martinez,Antonio"/>
    <s v="Corona Arriaga,Fernando"/>
    <n v="0"/>
    <n v="0"/>
    <n v="0"/>
    <n v="0"/>
    <n v="0.26"/>
    <e v="#N/A"/>
    <x v="203"/>
  </r>
  <r>
    <d v="2023-08-26T00:00:00"/>
    <x v="32"/>
    <s v="Admin/HR/IT"/>
    <s v="AMCARE NonOcc In"/>
    <s v="TEMP"/>
    <n v="201902769"/>
    <s v="Acevedo,Juan"/>
    <s v="Madrid Molina,Ramon"/>
    <n v="0"/>
    <n v="0"/>
    <n v="0"/>
    <n v="0"/>
    <n v="0.27"/>
    <e v="#N/A"/>
    <x v="0"/>
  </r>
  <r>
    <d v="2023-08-26T00:00:00"/>
    <x v="32"/>
    <s v="Admin/HR/IT"/>
    <s v="AMCARE NonOcc In"/>
    <s v="TEMP"/>
    <n v="201906503"/>
    <s v="MartÃ­nez,Jennifer"/>
    <s v="Munoz,Jonan"/>
    <n v="0"/>
    <n v="0"/>
    <n v="0"/>
    <n v="0"/>
    <n v="0.15"/>
    <e v="#N/A"/>
    <x v="201"/>
  </r>
  <r>
    <d v="2023-08-26T00:00:00"/>
    <x v="32"/>
    <s v="Admin/HR/IT"/>
    <s v="AMCARE NonOcc In"/>
    <s v="TEMP"/>
    <n v="201908189"/>
    <s v="Martinez,Francisco"/>
    <s v="Lopez,Alexa"/>
    <n v="0"/>
    <n v="0"/>
    <n v="0"/>
    <n v="0"/>
    <n v="0.42"/>
    <e v="#N/A"/>
    <x v="202"/>
  </r>
  <r>
    <d v="2023-08-27T00:00:00"/>
    <x v="33"/>
    <s v="Admin/HR/IT"/>
    <s v="AMCARE NonOcc In"/>
    <s v="AMZN"/>
    <n v="112981061"/>
    <s v="Olguin,Claudia"/>
    <s v="Robledo Ugarte,Alejandro"/>
    <n v="0"/>
    <n v="0"/>
    <n v="0"/>
    <n v="0"/>
    <n v="0.28999999999999998"/>
    <s v="DA-X0700"/>
    <x v="11"/>
  </r>
  <r>
    <d v="2023-08-27T00:00:00"/>
    <x v="33"/>
    <s v="Admin/HR/IT"/>
    <s v="AMCARE NonOcc In"/>
    <s v="AMZN"/>
    <n v="113019031"/>
    <s v="Vera Hernandez,Mauricio"/>
    <s v="Robledo Ugarte,Alejandro"/>
    <n v="0"/>
    <n v="0"/>
    <n v="0"/>
    <n v="0"/>
    <n v="0.1"/>
    <e v="#N/A"/>
    <x v="204"/>
  </r>
  <r>
    <d v="2023-08-27T00:00:00"/>
    <x v="33"/>
    <s v="Admin/HR/IT"/>
    <s v="AMCARE NonOcc In"/>
    <s v="AMZN"/>
    <n v="113020463"/>
    <s v="Valtierra,Alejandra"/>
    <s v="Robledo Ugarte,Alejandro"/>
    <n v="0"/>
    <n v="0"/>
    <n v="0"/>
    <n v="0"/>
    <n v="0.37"/>
    <e v="#N/A"/>
    <x v="17"/>
  </r>
  <r>
    <d v="2023-08-27T00:00:00"/>
    <x v="33"/>
    <s v="Admin/HR/IT"/>
    <s v="AMCARE NonOcc In"/>
    <s v="AMZN"/>
    <n v="200570729"/>
    <s v="Rodriguez,Carolina"/>
    <s v="Piedra,Valentina"/>
    <n v="0"/>
    <n v="0"/>
    <n v="0"/>
    <n v="0"/>
    <n v="1.01"/>
    <e v="#N/A"/>
    <x v="93"/>
  </r>
  <r>
    <d v="2023-08-27T00:00:00"/>
    <x v="33"/>
    <s v="Admin/HR/IT"/>
    <s v="AMCARE NonOcc In"/>
    <s v="AMZN"/>
    <n v="200625528"/>
    <s v="Oliva,Lizbeth"/>
    <s v="Piedra,Valentina"/>
    <n v="0"/>
    <n v="0"/>
    <n v="0"/>
    <n v="0"/>
    <n v="0.18"/>
    <e v="#N/A"/>
    <x v="83"/>
  </r>
  <r>
    <d v="2023-08-27T00:00:00"/>
    <x v="33"/>
    <s v="Admin/HR/IT"/>
    <s v="AMCARE NonOcc In"/>
    <s v="AMZN"/>
    <n v="201197964"/>
    <s v="Quijas,Matzayani"/>
    <s v="Romero Sanchez,Gustavo Gabriel"/>
    <n v="0"/>
    <n v="0"/>
    <n v="0"/>
    <n v="0"/>
    <n v="0.19"/>
    <e v="#N/A"/>
    <x v="191"/>
  </r>
  <r>
    <d v="2023-08-27T00:00:00"/>
    <x v="33"/>
    <s v="Admin/HR/IT"/>
    <s v="AMCARE NonOcc In"/>
    <s v="AMZN"/>
    <n v="201345774"/>
    <s v="Quijas,Jonathan"/>
    <s v="Robledo Ugarte,Alejandro"/>
    <n v="0"/>
    <n v="0"/>
    <n v="0"/>
    <n v="0"/>
    <n v="0.11"/>
    <e v="#N/A"/>
    <x v="154"/>
  </r>
  <r>
    <d v="2023-08-28T00:00:00"/>
    <x v="33"/>
    <s v="Admin/HR/IT"/>
    <s v="AMCARE NonOcc In"/>
    <s v="AMZN"/>
    <n v="112971980"/>
    <s v="Romero,Daniel"/>
    <s v="Cortes,Alejandra"/>
    <n v="0"/>
    <n v="0"/>
    <n v="0"/>
    <n v="0"/>
    <n v="0.37"/>
    <s v="DC-X0700"/>
    <x v="43"/>
  </r>
  <r>
    <d v="2023-08-28T00:00:00"/>
    <x v="33"/>
    <s v="Admin/HR/IT"/>
    <s v="AMCARE NonOcc In"/>
    <s v="AMZN"/>
    <n v="113019001"/>
    <s v="Lozano Hernandez,Donny"/>
    <s v="Bueno Mendoza,Susana"/>
    <n v="0"/>
    <n v="0"/>
    <n v="0"/>
    <n v="0"/>
    <n v="0.14000000000000001"/>
    <e v="#N/A"/>
    <x v="48"/>
  </r>
  <r>
    <d v="2023-08-28T00:00:00"/>
    <x v="33"/>
    <s v="Admin/HR/IT"/>
    <s v="AMCARE NonOcc In"/>
    <s v="AMZN"/>
    <n v="113101453"/>
    <s v="Isaac,Geovanna"/>
    <s v="Robledo Ugarte,Alejandro"/>
    <n v="0"/>
    <n v="0"/>
    <n v="0"/>
    <n v="0"/>
    <n v="0.15"/>
    <e v="#N/A"/>
    <x v="4"/>
  </r>
  <r>
    <d v="2023-08-28T00:00:00"/>
    <x v="33"/>
    <s v="Admin/HR/IT"/>
    <s v="AMCARE NonOcc In"/>
    <s v="AMZN"/>
    <n v="200514421"/>
    <s v="Padilla Abrego,Angeles"/>
    <s v="Romero Sanchez,Gustavo Gabriel"/>
    <n v="0"/>
    <n v="0"/>
    <n v="0"/>
    <n v="0"/>
    <n v="0.22"/>
    <e v="#N/A"/>
    <x v="18"/>
  </r>
  <r>
    <d v="2023-08-28T00:00:00"/>
    <x v="33"/>
    <s v="Admin/HR/IT"/>
    <s v="AMCARE NonOcc In"/>
    <s v="AMZN"/>
    <n v="200563038"/>
    <s v="Arias,Elizabeth"/>
    <s v="Gomez Aguado,Jorge"/>
    <n v="0"/>
    <n v="0"/>
    <n v="0"/>
    <n v="0"/>
    <n v="0.17"/>
    <e v="#N/A"/>
    <x v="124"/>
  </r>
  <r>
    <d v="2023-08-28T00:00:00"/>
    <x v="33"/>
    <s v="Admin/HR/IT"/>
    <s v="AMCARE NonOcc In"/>
    <s v="AMZN"/>
    <n v="200594875"/>
    <s v="Maldonado,Jose"/>
    <s v="Piedra,Valentina"/>
    <n v="0"/>
    <n v="0"/>
    <n v="0"/>
    <n v="0"/>
    <n v="0.35"/>
    <e v="#N/A"/>
    <x v="67"/>
  </r>
  <r>
    <d v="2023-08-28T00:00:00"/>
    <x v="33"/>
    <s v="Admin/HR/IT"/>
    <s v="AMCARE NonOcc In"/>
    <s v="AMZN"/>
    <n v="201162225"/>
    <s v="Corona,Israel"/>
    <s v="Piedra,Valentina"/>
    <n v="0"/>
    <n v="0"/>
    <n v="0"/>
    <n v="0"/>
    <n v="0.18"/>
    <e v="#N/A"/>
    <x v="161"/>
  </r>
  <r>
    <d v="2023-08-28T00:00:00"/>
    <x v="33"/>
    <s v="Admin/HR/IT"/>
    <s v="AMCARE NonOcc In"/>
    <s v="AMZN"/>
    <n v="201186833"/>
    <s v="Jasso,Alexa"/>
    <s v="Piedra,Valentina"/>
    <n v="0"/>
    <n v="0"/>
    <n v="0"/>
    <n v="0"/>
    <n v="0.12"/>
    <e v="#N/A"/>
    <x v="114"/>
  </r>
  <r>
    <d v="2023-08-28T00:00:00"/>
    <x v="33"/>
    <s v="Admin/HR/IT"/>
    <s v="AMCARE NonOcc In"/>
    <s v="AMZN"/>
    <n v="201211157"/>
    <s v="Vargas,Jesse"/>
    <s v="Munoz,Jonan"/>
    <n v="0"/>
    <n v="0"/>
    <n v="0"/>
    <n v="0"/>
    <n v="0.21"/>
    <e v="#N/A"/>
    <x v="121"/>
  </r>
  <r>
    <d v="2023-08-28T00:00:00"/>
    <x v="33"/>
    <s v="Admin/HR/IT"/>
    <s v="AMCARE NonOcc In"/>
    <s v="AMZN"/>
    <n v="201318220"/>
    <s v="Jasso,Raul"/>
    <s v="Bueno Mendoza,Susana"/>
    <n v="0"/>
    <n v="0"/>
    <n v="0"/>
    <n v="0"/>
    <n v="0.21"/>
    <e v="#N/A"/>
    <x v="193"/>
  </r>
  <r>
    <d v="2023-08-28T00:00:00"/>
    <x v="33"/>
    <s v="Admin/HR/IT"/>
    <s v="AMCARE NonOcc In"/>
    <s v="AMZN"/>
    <n v="201396328"/>
    <s v="Canchola,Alejandro"/>
    <s v="Lopez,Alexa"/>
    <n v="0"/>
    <n v="0"/>
    <n v="0"/>
    <n v="0"/>
    <n v="0.24"/>
    <e v="#N/A"/>
    <x v="188"/>
  </r>
  <r>
    <d v="2023-08-29T00:00:00"/>
    <x v="33"/>
    <s v="Admin/HR/IT"/>
    <s v="AMCARE NonOcc In"/>
    <s v="AMZN"/>
    <n v="112950840"/>
    <s v="Colorado Reyes,Alex"/>
    <s v="Munoz,Jonan"/>
    <n v="0"/>
    <n v="0"/>
    <n v="0"/>
    <n v="0"/>
    <n v="1.06"/>
    <s v="DC-X0700"/>
    <x v="205"/>
  </r>
  <r>
    <d v="2023-08-29T00:00:00"/>
    <x v="33"/>
    <s v="Admin/HR/IT"/>
    <s v="AMCARE NonOcc In"/>
    <s v="AMZN"/>
    <n v="112980887"/>
    <s v="Rodriguez Mares,Rocio"/>
    <s v="Pizana,Diego"/>
    <n v="0"/>
    <n v="0"/>
    <n v="0"/>
    <n v="0"/>
    <n v="0.25"/>
    <e v="#N/A"/>
    <x v="0"/>
  </r>
  <r>
    <d v="2023-08-29T00:00:00"/>
    <x v="33"/>
    <s v="Admin/HR/IT"/>
    <s v="AMCARE NonOcc In"/>
    <s v="AMZN"/>
    <n v="112981013"/>
    <s v="Lopez Neri,Norma"/>
    <s v="Piedra,Valentina"/>
    <n v="0"/>
    <n v="0"/>
    <n v="0"/>
    <n v="0"/>
    <n v="0.38"/>
    <s v="DA-X0700"/>
    <x v="12"/>
  </r>
  <r>
    <d v="2023-08-29T00:00:00"/>
    <x v="33"/>
    <s v="Admin/HR/IT"/>
    <s v="AMCARE NonOcc In"/>
    <s v="AMZN"/>
    <n v="112981061"/>
    <s v="Olguin,Claudia"/>
    <s v="Robledo Ugarte,Alejandro"/>
    <n v="0"/>
    <n v="0"/>
    <n v="0"/>
    <n v="0"/>
    <n v="0.59"/>
    <s v="DA-X0700"/>
    <x v="11"/>
  </r>
  <r>
    <d v="2023-08-29T00:00:00"/>
    <x v="33"/>
    <s v="Admin/HR/IT"/>
    <s v="AMCARE NonOcc In"/>
    <s v="AMZN"/>
    <n v="113014094"/>
    <s v="Mercado,Erika"/>
    <s v="Robledo Ugarte,Alejandro"/>
    <n v="0"/>
    <n v="0"/>
    <n v="0"/>
    <n v="0"/>
    <n v="0.45"/>
    <e v="#N/A"/>
    <x v="49"/>
  </r>
  <r>
    <d v="2023-08-29T00:00:00"/>
    <x v="33"/>
    <s v="Admin/HR/IT"/>
    <s v="AMCARE NonOcc In"/>
    <s v="AMZN"/>
    <n v="113014403"/>
    <s v="Arias Sanchez,Nora"/>
    <s v="Romero Sanchez,Gustavo Gabriel"/>
    <n v="0"/>
    <n v="0"/>
    <n v="0"/>
    <n v="0"/>
    <n v="0.34"/>
    <e v="#N/A"/>
    <x v="32"/>
  </r>
  <r>
    <d v="2023-08-29T00:00:00"/>
    <x v="33"/>
    <s v="Admin/HR/IT"/>
    <s v="AMCARE NonOcc In"/>
    <s v="AMZN"/>
    <n v="113019001"/>
    <s v="Lozano Hernandez,Donny"/>
    <s v="Bueno Mendoza,Susana"/>
    <n v="0"/>
    <n v="0"/>
    <n v="0"/>
    <n v="0"/>
    <n v="0.45"/>
    <e v="#N/A"/>
    <x v="48"/>
  </r>
  <r>
    <d v="2023-08-29T00:00:00"/>
    <x v="33"/>
    <s v="Admin/HR/IT"/>
    <s v="AMCARE NonOcc In"/>
    <s v="AMZN"/>
    <n v="200404250"/>
    <s v="Hurtado,Caty"/>
    <s v="Romero Sanchez,Gustavo Gabriel"/>
    <n v="0"/>
    <n v="0"/>
    <n v="0"/>
    <n v="0"/>
    <n v="0.47"/>
    <e v="#N/A"/>
    <x v="6"/>
  </r>
  <r>
    <d v="2023-08-29T00:00:00"/>
    <x v="33"/>
    <s v="Admin/HR/IT"/>
    <s v="AMCARE NonOcc In"/>
    <s v="AMZN"/>
    <n v="201166890"/>
    <s v="Caballero,Daniel"/>
    <s v="Romero Sanchez,Gustavo Gabriel"/>
    <n v="0"/>
    <n v="0"/>
    <n v="0"/>
    <n v="0"/>
    <n v="0.04"/>
    <e v="#N/A"/>
    <x v="141"/>
  </r>
  <r>
    <d v="2023-08-29T00:00:00"/>
    <x v="33"/>
    <s v="Admin/HR/IT"/>
    <s v="AMCARE NonOcc In"/>
    <s v="AMZN"/>
    <n v="201172412"/>
    <s v="Castellanos,Adriana"/>
    <s v="Robledo Ugarte,Alejandro"/>
    <n v="0"/>
    <n v="0"/>
    <n v="0"/>
    <n v="0"/>
    <n v="0.15"/>
    <e v="#N/A"/>
    <x v="136"/>
  </r>
  <r>
    <d v="2023-08-29T00:00:00"/>
    <x v="33"/>
    <s v="Admin/HR/IT"/>
    <s v="AMCARE NonOcc In"/>
    <s v="AMZN"/>
    <n v="201219500"/>
    <s v="Mazy,RamsÃ©s"/>
    <s v="Ledezma,Fer"/>
    <n v="0"/>
    <n v="0"/>
    <n v="0"/>
    <n v="0"/>
    <n v="0.17"/>
    <e v="#N/A"/>
    <x v="122"/>
  </r>
  <r>
    <d v="2023-08-29T00:00:00"/>
    <x v="33"/>
    <s v="Admin/HR/IT"/>
    <s v="AMCARE NonOcc In"/>
    <s v="AMZN"/>
    <n v="201298365"/>
    <s v="Hernandez,Lesli"/>
    <s v="Piedra,Valentina"/>
    <n v="0"/>
    <n v="0"/>
    <n v="0"/>
    <n v="0"/>
    <n v="0.62"/>
    <e v="#N/A"/>
    <x v="178"/>
  </r>
  <r>
    <d v="2023-08-29T00:00:00"/>
    <x v="33"/>
    <s v="Admin/HR/IT"/>
    <s v="AMCARE NonOcc In"/>
    <s v="AMZN"/>
    <n v="201345774"/>
    <s v="Quijas,Jonathan"/>
    <s v="Robledo Ugarte,Alejandro"/>
    <n v="0"/>
    <n v="0"/>
    <n v="0"/>
    <n v="0"/>
    <n v="0.03"/>
    <e v="#N/A"/>
    <x v="154"/>
  </r>
  <r>
    <d v="2023-08-29T00:00:00"/>
    <x v="33"/>
    <s v="Admin/HR/IT"/>
    <s v="AMCARE NonOcc In"/>
    <s v="TEMP"/>
    <n v="201858867"/>
    <s v="Cruz Velazquez,Gabriela"/>
    <s v="Corona Arriaga,Fernando"/>
    <n v="0"/>
    <n v="0"/>
    <n v="0"/>
    <n v="0"/>
    <n v="0.31"/>
    <e v="#N/A"/>
    <x v="206"/>
  </r>
  <r>
    <d v="2023-08-29T00:00:00"/>
    <x v="33"/>
    <s v="Admin/HR/IT"/>
    <s v="AMCARE NonOcc In"/>
    <s v="TEMP"/>
    <n v="201891076"/>
    <s v="Olvera,Marilu"/>
    <s v="Romero Sanchez,Gustavo Gabriel"/>
    <n v="0"/>
    <n v="0"/>
    <n v="0"/>
    <n v="0"/>
    <n v="0.28000000000000003"/>
    <e v="#N/A"/>
    <x v="200"/>
  </r>
  <r>
    <d v="2023-08-30T00:00:00"/>
    <x v="33"/>
    <s v="Admin/HR/IT"/>
    <s v="AMCARE NonOcc In"/>
    <s v="AMZN"/>
    <n v="112912506"/>
    <s v="Garcia  Caudillo,Jessica"/>
    <s v="Camarena,Grecia"/>
    <n v="0"/>
    <n v="0"/>
    <n v="0"/>
    <n v="0"/>
    <n v="0.11"/>
    <s v="DA-X0700"/>
    <x v="144"/>
  </r>
  <r>
    <d v="2023-08-30T00:00:00"/>
    <x v="33"/>
    <s v="Admin/HR/IT"/>
    <s v="AMCARE NonOcc In"/>
    <s v="AMZN"/>
    <n v="112912745"/>
    <s v="Gomez Meza,Alex"/>
    <s v="Piedra,Valentina"/>
    <n v="0"/>
    <n v="0"/>
    <n v="0"/>
    <n v="0"/>
    <n v="0.44"/>
    <s v="DA-X0700"/>
    <x v="55"/>
  </r>
  <r>
    <d v="2023-08-30T00:00:00"/>
    <x v="33"/>
    <s v="Admin/HR/IT"/>
    <s v="AMCARE NonOcc In"/>
    <s v="AMZN"/>
    <n v="112971962"/>
    <s v="Reyes  Montes de oca,Alejandra"/>
    <s v="Ledezma,Fer"/>
    <n v="0"/>
    <n v="0"/>
    <n v="0"/>
    <n v="0"/>
    <n v="0.11"/>
    <s v="DB-X0700"/>
    <x v="26"/>
  </r>
  <r>
    <d v="2023-08-30T00:00:00"/>
    <x v="33"/>
    <s v="Admin/HR/IT"/>
    <s v="AMCARE NonOcc In"/>
    <s v="AMZN"/>
    <n v="200404250"/>
    <s v="Hurtado,Caty"/>
    <s v="Romero Sanchez,Gustavo Gabriel"/>
    <n v="0"/>
    <n v="0"/>
    <n v="0"/>
    <n v="0"/>
    <n v="1.58"/>
    <e v="#N/A"/>
    <x v="6"/>
  </r>
  <r>
    <d v="2023-08-30T00:00:00"/>
    <x v="33"/>
    <s v="Admin/HR/IT"/>
    <s v="AMCARE NonOcc In"/>
    <s v="AMZN"/>
    <n v="200615883"/>
    <s v="Ibarra Amaro,Adriana"/>
    <s v="Gomez Aguado,Jorge"/>
    <n v="0"/>
    <n v="0"/>
    <n v="0"/>
    <n v="0"/>
    <n v="0.83"/>
    <e v="#N/A"/>
    <x v="0"/>
  </r>
  <r>
    <d v="2023-08-30T00:00:00"/>
    <x v="33"/>
    <s v="Admin/HR/IT"/>
    <s v="AMCARE NonOcc In"/>
    <s v="AMZN"/>
    <n v="200625339"/>
    <s v="Alcantar Mendez,Diego"/>
    <s v="Gomez Aguado,Jorge"/>
    <n v="0"/>
    <n v="0"/>
    <n v="0"/>
    <n v="0"/>
    <n v="1.32"/>
    <e v="#N/A"/>
    <x v="0"/>
  </r>
  <r>
    <d v="2023-08-30T00:00:00"/>
    <x v="33"/>
    <s v="Admin/HR/IT"/>
    <s v="AMCARE NonOcc In"/>
    <s v="AMZN"/>
    <n v="201191390"/>
    <s v="GarcÃ­a,jesus"/>
    <s v="Madrid Molina,Ramon"/>
    <n v="0"/>
    <n v="0"/>
    <n v="0"/>
    <n v="0"/>
    <n v="0.28000000000000003"/>
    <e v="#N/A"/>
    <x v="116"/>
  </r>
  <r>
    <d v="2023-08-30T00:00:00"/>
    <x v="33"/>
    <s v="Admin/HR/IT"/>
    <s v="AMCARE NonOcc In"/>
    <s v="AMZN"/>
    <n v="201198922"/>
    <s v="Mendez,Joy"/>
    <s v="Gomez Aguado,Jorge"/>
    <n v="0"/>
    <n v="0"/>
    <n v="0"/>
    <n v="0"/>
    <n v="0.4"/>
    <e v="#N/A"/>
    <x v="173"/>
  </r>
  <r>
    <d v="2023-08-30T00:00:00"/>
    <x v="33"/>
    <s v="Admin/HR/IT"/>
    <s v="AMCARE NonOcc In"/>
    <s v="AMZN"/>
    <n v="201228411"/>
    <s v="Hernandez Soriano,Jazmin"/>
    <s v="Corona Arriaga,Fernando"/>
    <n v="0"/>
    <n v="0"/>
    <n v="0"/>
    <n v="0"/>
    <n v="0.68"/>
    <e v="#N/A"/>
    <x v="123"/>
  </r>
  <r>
    <d v="2023-08-30T00:00:00"/>
    <x v="33"/>
    <s v="Admin/HR/IT"/>
    <s v="AMCARE NonOcc In"/>
    <s v="AMZN"/>
    <n v="201294058"/>
    <s v="Alvarez,Erika"/>
    <s v="Bueno Mendoza,Susana"/>
    <n v="0"/>
    <n v="0"/>
    <n v="0"/>
    <n v="0"/>
    <n v="0.13"/>
    <e v="#N/A"/>
    <x v="135"/>
  </r>
  <r>
    <d v="2023-08-30T00:00:00"/>
    <x v="33"/>
    <s v="Admin/HR/IT"/>
    <s v="AMCARE NonOcc In"/>
    <s v="AMZN"/>
    <n v="201318220"/>
    <s v="Jasso,Raul"/>
    <s v="Bueno Mendoza,Susana"/>
    <n v="0"/>
    <n v="0"/>
    <n v="0"/>
    <n v="0"/>
    <n v="1.02"/>
    <e v="#N/A"/>
    <x v="193"/>
  </r>
  <r>
    <d v="2023-08-30T00:00:00"/>
    <x v="33"/>
    <s v="Admin/HR/IT"/>
    <s v="AMCARE NonOcc In"/>
    <s v="AMZN"/>
    <n v="201354965"/>
    <s v="JimÃ©nez,Aline"/>
    <s v="Lopez,Alexa"/>
    <n v="0"/>
    <n v="0"/>
    <n v="0"/>
    <n v="0"/>
    <n v="0.24"/>
    <e v="#N/A"/>
    <x v="152"/>
  </r>
  <r>
    <d v="2023-08-30T00:00:00"/>
    <x v="33"/>
    <s v="Admin/HR/IT"/>
    <s v="AMCARE NonOcc In"/>
    <s v="TEMP"/>
    <n v="201836048"/>
    <s v="MACIAS,IKER"/>
    <s v="Madrid Molina,Ramon"/>
    <n v="0"/>
    <n v="0"/>
    <n v="0"/>
    <n v="0"/>
    <n v="0.7"/>
    <e v="#N/A"/>
    <x v="0"/>
  </r>
  <r>
    <d v="2023-08-31T00:00:00"/>
    <x v="33"/>
    <s v="Admin/HR/IT"/>
    <s v="AMCARE NonOcc In"/>
    <s v="AMZN"/>
    <n v="112912054"/>
    <s v="Rivera Ramirez,Jorge"/>
    <s v="Munoz,Jonan"/>
    <n v="0"/>
    <n v="0"/>
    <n v="0"/>
    <n v="0"/>
    <n v="0.15"/>
    <s v="DB-X0700"/>
    <x v="25"/>
  </r>
  <r>
    <d v="2023-08-31T00:00:00"/>
    <x v="33"/>
    <s v="Admin/HR/IT"/>
    <s v="AMCARE NonOcc In"/>
    <s v="AMZN"/>
    <n v="201162225"/>
    <s v="Corona,Israel"/>
    <s v="Piedra,Valentina"/>
    <n v="0"/>
    <n v="0"/>
    <n v="0"/>
    <n v="0"/>
    <n v="0.83"/>
    <e v="#N/A"/>
    <x v="161"/>
  </r>
  <r>
    <d v="2023-08-31T00:00:00"/>
    <x v="33"/>
    <s v="Admin/HR/IT"/>
    <s v="AMCARE NonOcc In"/>
    <s v="AMZN"/>
    <n v="201165769"/>
    <s v="Puente,Karen"/>
    <s v="Piedra,Valentina"/>
    <n v="0"/>
    <n v="0"/>
    <n v="0"/>
    <n v="0"/>
    <n v="0.15"/>
    <e v="#N/A"/>
    <x v="113"/>
  </r>
  <r>
    <d v="2023-08-31T00:00:00"/>
    <x v="33"/>
    <s v="Admin/HR/IT"/>
    <s v="AMCARE NonOcc In"/>
    <s v="AMZN"/>
    <n v="201191390"/>
    <s v="GarcÃ­a,jesus"/>
    <s v="Madrid Molina,Ramon"/>
    <n v="0"/>
    <n v="0"/>
    <n v="0"/>
    <n v="0"/>
    <n v="1.1100000000000001"/>
    <e v="#N/A"/>
    <x v="116"/>
  </r>
  <r>
    <d v="2023-08-31T00:00:00"/>
    <x v="33"/>
    <s v="Admin/HR/IT"/>
    <s v="AMCARE NonOcc In"/>
    <s v="AMZN"/>
    <n v="201219500"/>
    <s v="Mazy,RamsÃ©s"/>
    <s v="Ledezma,Fer"/>
    <n v="0"/>
    <n v="0"/>
    <n v="0"/>
    <n v="0"/>
    <n v="0.1"/>
    <e v="#N/A"/>
    <x v="122"/>
  </r>
  <r>
    <d v="2023-08-31T00:00:00"/>
    <x v="33"/>
    <s v="Admin/HR/IT"/>
    <s v="AMCARE NonOcc In"/>
    <s v="AMZN"/>
    <n v="201223730"/>
    <s v="Sanchiz,Cesarito"/>
    <s v="Corona Arriaga,Fernando"/>
    <n v="0"/>
    <n v="0"/>
    <n v="0"/>
    <n v="0"/>
    <n v="0.65"/>
    <e v="#N/A"/>
    <x v="120"/>
  </r>
  <r>
    <d v="2023-08-31T00:00:00"/>
    <x v="33"/>
    <s v="Admin/HR/IT"/>
    <s v="AMCARE NonOcc In"/>
    <s v="AMZN"/>
    <n v="201228411"/>
    <s v="Hernandez Soriano,Jazmin"/>
    <s v="Corona Arriaga,Fernando"/>
    <n v="0"/>
    <n v="0"/>
    <n v="0"/>
    <n v="0"/>
    <n v="0.54"/>
    <e v="#N/A"/>
    <x v="123"/>
  </r>
  <r>
    <d v="2023-08-31T00:00:00"/>
    <x v="33"/>
    <s v="Admin/HR/IT"/>
    <s v="AMCARE NonOcc In"/>
    <s v="TEMP"/>
    <n v="201836048"/>
    <s v="MACIAS,IKER"/>
    <s v="Madrid Molina,Ramon"/>
    <n v="0"/>
    <n v="0"/>
    <n v="0"/>
    <n v="0"/>
    <n v="1.21"/>
    <e v="#N/A"/>
    <x v="0"/>
  </r>
  <r>
    <d v="2023-09-01T00:00:00"/>
    <x v="33"/>
    <s v="Admin/HR/IT"/>
    <s v="AMCARE NonOcc In"/>
    <s v="AMZN"/>
    <n v="112912983"/>
    <s v="RodrÃ­guez,RocÃ­o"/>
    <s v="Munoz,Jonan"/>
    <n v="0"/>
    <n v="0"/>
    <n v="0"/>
    <n v="0"/>
    <n v="0.25"/>
    <s v="NF-X1900"/>
    <x v="75"/>
  </r>
  <r>
    <d v="2023-09-01T00:00:00"/>
    <x v="33"/>
    <s v="Admin/HR/IT"/>
    <s v="AMCARE NonOcc In"/>
    <s v="AMZN"/>
    <n v="112916533"/>
    <s v="Torres Lozano,Jorge"/>
    <s v="Gomez Aguado,Jorge"/>
    <n v="0"/>
    <n v="0"/>
    <n v="0"/>
    <n v="0"/>
    <n v="0.21"/>
    <s v="DB-X0700"/>
    <x v="183"/>
  </r>
  <r>
    <d v="2023-09-01T00:00:00"/>
    <x v="33"/>
    <s v="Admin/HR/IT"/>
    <s v="AMCARE NonOcc In"/>
    <s v="AMZN"/>
    <n v="112920654"/>
    <s v="Horta,Julieta"/>
    <s v="Hernandez,Nataly"/>
    <n v="0"/>
    <n v="0"/>
    <n v="0"/>
    <n v="0"/>
    <n v="0.27"/>
    <s v="DB-X0700"/>
    <x v="61"/>
  </r>
  <r>
    <d v="2023-09-01T00:00:00"/>
    <x v="33"/>
    <s v="Admin/HR/IT"/>
    <s v="AMCARE NonOcc In"/>
    <s v="AMZN"/>
    <n v="112950784"/>
    <s v="Rojas,Samuel"/>
    <s v="Pizana,Diego"/>
    <n v="0"/>
    <n v="0"/>
    <n v="0"/>
    <n v="0"/>
    <n v="0.13"/>
    <s v="NF-X1900"/>
    <x v="13"/>
  </r>
  <r>
    <d v="2023-09-01T00:00:00"/>
    <x v="33"/>
    <s v="Admin/HR/IT"/>
    <s v="AMCARE NonOcc In"/>
    <s v="TEMP"/>
    <n v="113003619"/>
    <s v="Villegas,Jesus"/>
    <s v="Madrid Molina,Ramon"/>
    <n v="0"/>
    <n v="0"/>
    <n v="0"/>
    <n v="0"/>
    <n v="0.79"/>
    <e v="#N/A"/>
    <x v="0"/>
  </r>
  <r>
    <d v="2023-09-01T00:00:00"/>
    <x v="33"/>
    <s v="Admin/HR/IT"/>
    <s v="AMCARE NonOcc In"/>
    <s v="AMZN"/>
    <n v="113020476"/>
    <s v="Puente Aguilar,Polette"/>
    <s v="Madrid Molina,Ramon"/>
    <n v="0"/>
    <n v="0"/>
    <n v="0"/>
    <n v="0"/>
    <n v="0.77"/>
    <e v="#N/A"/>
    <x v="19"/>
  </r>
  <r>
    <d v="2023-09-01T00:00:00"/>
    <x v="33"/>
    <s v="Admin/HR/IT"/>
    <s v="AMCARE NonOcc In"/>
    <s v="AMZN"/>
    <n v="201191390"/>
    <s v="GarcÃ­a,jesus"/>
    <s v="Madrid Molina,Ramon"/>
    <n v="0"/>
    <n v="0"/>
    <n v="0"/>
    <n v="0"/>
    <n v="0.75"/>
    <e v="#N/A"/>
    <x v="116"/>
  </r>
  <r>
    <d v="2023-09-01T00:00:00"/>
    <x v="33"/>
    <s v="Admin/HR/IT"/>
    <s v="AMCARE NonOcc In"/>
    <s v="AMZN"/>
    <n v="201219500"/>
    <s v="Mazy,RamsÃ©s"/>
    <s v="Ledezma,Fer"/>
    <n v="0"/>
    <n v="0"/>
    <n v="0"/>
    <n v="0"/>
    <n v="0.23"/>
    <e v="#N/A"/>
    <x v="122"/>
  </r>
  <r>
    <d v="2023-09-01T00:00:00"/>
    <x v="33"/>
    <s v="Admin/HR/IT"/>
    <s v="AMCARE NonOcc In"/>
    <s v="AMZN"/>
    <n v="201223730"/>
    <s v="Sanchiz,Cesarito"/>
    <s v="Corona Arriaga,Fernando"/>
    <n v="0"/>
    <n v="0"/>
    <n v="0"/>
    <n v="0"/>
    <n v="1.35"/>
    <e v="#N/A"/>
    <x v="120"/>
  </r>
  <r>
    <d v="2023-09-01T00:00:00"/>
    <x v="33"/>
    <s v="Admin/HR/IT"/>
    <s v="AMCARE NonOcc In"/>
    <s v="AMZN"/>
    <n v="201228411"/>
    <s v="Hernandez Soriano,Jazmin"/>
    <s v="Corona Arriaga,Fernando"/>
    <n v="0"/>
    <n v="0"/>
    <n v="0"/>
    <n v="0"/>
    <n v="1.34"/>
    <e v="#N/A"/>
    <x v="123"/>
  </r>
  <r>
    <d v="2023-09-01T00:00:00"/>
    <x v="33"/>
    <s v="Admin/HR/IT"/>
    <s v="AMCARE NonOcc In"/>
    <s v="TEMP"/>
    <n v="201320536"/>
    <s v="Ibarra,Miguel"/>
    <s v="Corona Arriaga,Fernando"/>
    <n v="0"/>
    <n v="0"/>
    <n v="0"/>
    <n v="0"/>
    <n v="0.2"/>
    <e v="#N/A"/>
    <x v="139"/>
  </r>
  <r>
    <d v="2023-09-01T00:00:00"/>
    <x v="33"/>
    <s v="Admin/HR/IT"/>
    <s v="AMCARE NonOcc In"/>
    <s v="TEMP"/>
    <n v="201858867"/>
    <s v="Cruz Velazquez,Gabriela"/>
    <s v="Corona Arriaga,Fernando"/>
    <n v="0"/>
    <n v="0"/>
    <n v="0"/>
    <n v="0"/>
    <n v="0.4"/>
    <e v="#N/A"/>
    <x v="206"/>
  </r>
  <r>
    <d v="2023-09-01T00:00:00"/>
    <x v="33"/>
    <s v="Admin/HR/IT"/>
    <s v="AMCARE NonOcc In"/>
    <s v="TEMP"/>
    <n v="201901967"/>
    <s v="Dominguez,Diana"/>
    <s v="Munoz,Jonan"/>
    <n v="0"/>
    <n v="0"/>
    <n v="0"/>
    <n v="0"/>
    <n v="0.21"/>
    <e v="#N/A"/>
    <x v="207"/>
  </r>
  <r>
    <d v="2023-09-01T00:00:00"/>
    <x v="33"/>
    <s v="Admin/HR/IT"/>
    <s v="AMCARE NonOcc In"/>
    <s v="TEMP"/>
    <n v="201903097"/>
    <s v="Oliva,Montserrat"/>
    <s v="Lopez,Alexa"/>
    <n v="0"/>
    <n v="0"/>
    <n v="0"/>
    <n v="0"/>
    <n v="1.25"/>
    <e v="#N/A"/>
    <x v="208"/>
  </r>
  <r>
    <d v="2023-09-01T00:00:00"/>
    <x v="33"/>
    <s v="Admin/HR/IT"/>
    <s v="AMCARE NonOcc In"/>
    <s v="TEMP"/>
    <n v="201906503"/>
    <s v="MartÃ­nez,Jennifer"/>
    <s v="Munoz,Jonan"/>
    <n v="0"/>
    <n v="0"/>
    <n v="0"/>
    <n v="0"/>
    <n v="0.19"/>
    <e v="#N/A"/>
    <x v="201"/>
  </r>
  <r>
    <d v="2023-09-01T00:00:00"/>
    <x v="33"/>
    <s v="Admin/HR/IT"/>
    <s v="AMCARE NonOcc In"/>
    <s v="TEMP"/>
    <n v="201908189"/>
    <s v="Martinez,Francisco"/>
    <s v="Lopez,Alexa"/>
    <n v="0"/>
    <n v="0"/>
    <n v="0"/>
    <n v="0"/>
    <n v="0.68"/>
    <e v="#N/A"/>
    <x v="202"/>
  </r>
  <r>
    <d v="2023-09-02T00:00:00"/>
    <x v="33"/>
    <s v="Admin/HR/IT"/>
    <s v="AMCARE NonOcc In"/>
    <s v="AMZN"/>
    <n v="112971962"/>
    <s v="Reyes  Montes de oca,Alejandra"/>
    <s v="Ledezma,Fer"/>
    <n v="0"/>
    <n v="0"/>
    <n v="0"/>
    <n v="0"/>
    <n v="0.16"/>
    <s v="DB-X0700"/>
    <x v="26"/>
  </r>
  <r>
    <d v="2023-09-02T00:00:00"/>
    <x v="33"/>
    <s v="Admin/HR/IT"/>
    <s v="AMCARE NonOcc In"/>
    <s v="AMZN"/>
    <n v="113003656"/>
    <s v="Argote,Enrique"/>
    <s v="Gomez Aguado,Jorge"/>
    <n v="0"/>
    <n v="0"/>
    <n v="0"/>
    <n v="0"/>
    <n v="0.12"/>
    <e v="#N/A"/>
    <x v="21"/>
  </r>
  <r>
    <d v="2023-09-02T00:00:00"/>
    <x v="33"/>
    <s v="Admin/HR/IT"/>
    <s v="AMCARE NonOcc In"/>
    <s v="AMZN"/>
    <n v="113020497"/>
    <s v="Martinez Ruiz,Diana"/>
    <s v="Gomez Aguado,Jorge"/>
    <n v="0"/>
    <n v="0"/>
    <n v="0"/>
    <n v="0"/>
    <n v="0.39"/>
    <e v="#N/A"/>
    <x v="82"/>
  </r>
  <r>
    <d v="2023-09-02T00:00:00"/>
    <x v="33"/>
    <s v="Admin/HR/IT"/>
    <s v="AMCARE NonOcc In"/>
    <s v="AMZN"/>
    <n v="113101262"/>
    <s v="Tinoco,Cesar"/>
    <s v="Corona Arriaga,Fernando"/>
    <n v="0"/>
    <n v="0"/>
    <n v="0"/>
    <n v="0"/>
    <n v="0.28999999999999998"/>
    <e v="#N/A"/>
    <x v="89"/>
  </r>
  <r>
    <d v="2023-09-02T00:00:00"/>
    <x v="33"/>
    <s v="Admin/HR/IT"/>
    <s v="AMCARE NonOcc In"/>
    <s v="AMZN"/>
    <n v="200526598"/>
    <s v="Tellez Nunez,Enrique"/>
    <s v="Madrid Molina,Ramon"/>
    <n v="0"/>
    <n v="0"/>
    <n v="0"/>
    <n v="0"/>
    <n v="0.32"/>
    <e v="#N/A"/>
    <x v="0"/>
  </r>
  <r>
    <d v="2023-09-02T00:00:00"/>
    <x v="33"/>
    <s v="Admin/HR/IT"/>
    <s v="AMCARE NonOcc In"/>
    <s v="AMZN"/>
    <n v="200614224"/>
    <s v="Cruz Hernandez,Cris"/>
    <s v="Ledezma,Fer"/>
    <n v="0"/>
    <n v="0"/>
    <n v="0"/>
    <n v="0"/>
    <n v="0.25"/>
    <e v="#N/A"/>
    <x v="0"/>
  </r>
  <r>
    <d v="2023-09-02T00:00:00"/>
    <x v="33"/>
    <s v="Admin/HR/IT"/>
    <s v="AMCARE NonOcc In"/>
    <s v="AMZN"/>
    <n v="201191390"/>
    <s v="GarcÃ­a,jesus"/>
    <s v="Madrid Molina,Ramon"/>
    <n v="0"/>
    <n v="0"/>
    <n v="0"/>
    <n v="0"/>
    <n v="0.93"/>
    <e v="#N/A"/>
    <x v="116"/>
  </r>
  <r>
    <d v="2023-09-02T00:00:00"/>
    <x v="33"/>
    <s v="Admin/HR/IT"/>
    <s v="AMCARE NonOcc In"/>
    <s v="AMZN"/>
    <n v="201211157"/>
    <s v="Vargas,Jesse"/>
    <s v="Munoz,Jonan"/>
    <n v="0"/>
    <n v="0"/>
    <n v="0"/>
    <n v="0"/>
    <n v="0.37"/>
    <e v="#N/A"/>
    <x v="121"/>
  </r>
  <r>
    <d v="2023-09-02T00:00:00"/>
    <x v="33"/>
    <s v="Admin/HR/IT"/>
    <s v="AMCARE NonOcc In"/>
    <s v="AMZN"/>
    <n v="201294789"/>
    <s v="Horta,Luz"/>
    <s v="Corona Arriaga,Fernando"/>
    <n v="0"/>
    <n v="0"/>
    <n v="0"/>
    <n v="0"/>
    <n v="0.36"/>
    <e v="#N/A"/>
    <x v="209"/>
  </r>
  <r>
    <d v="2023-09-02T00:00:00"/>
    <x v="33"/>
    <s v="Admin/HR/IT"/>
    <s v="AMCARE NonOcc In"/>
    <s v="AMZN"/>
    <n v="201354965"/>
    <s v="JimÃ©nez,Aline"/>
    <s v="Lopez,Alexa"/>
    <n v="0"/>
    <n v="0"/>
    <n v="0"/>
    <n v="0"/>
    <n v="2.2799999999999998"/>
    <e v="#N/A"/>
    <x v="152"/>
  </r>
  <r>
    <d v="2023-09-02T00:00:00"/>
    <x v="33"/>
    <s v="Admin/HR/IT"/>
    <s v="AMCARE NonOcc In"/>
    <s v="AMZN"/>
    <n v="201363254"/>
    <s v="Frausto,Raziel"/>
    <s v="Munoz,Jonan"/>
    <n v="0"/>
    <n v="0"/>
    <n v="0"/>
    <n v="0"/>
    <n v="1.79"/>
    <e v="#N/A"/>
    <x v="155"/>
  </r>
  <r>
    <d v="2023-09-02T00:00:00"/>
    <x v="33"/>
    <s v="Admin/HR/IT"/>
    <s v="AMCARE NonOcc In"/>
    <s v="TEMP"/>
    <n v="201408478"/>
    <s v="Calderon,David"/>
    <s v="Madrid Molina,Ramon"/>
    <n v="0"/>
    <n v="0"/>
    <n v="0"/>
    <n v="0"/>
    <n v="1.49"/>
    <e v="#N/A"/>
    <x v="160"/>
  </r>
  <r>
    <d v="2023-09-02T00:00:00"/>
    <x v="33"/>
    <s v="Admin/HR/IT"/>
    <s v="AMCARE NonOcc In"/>
    <s v="TEMP"/>
    <n v="201842064"/>
    <s v="Agripino,Andrea"/>
    <s v="Corona Arriaga,Fernando"/>
    <n v="0"/>
    <n v="0"/>
    <n v="0"/>
    <n v="0"/>
    <n v="0.48"/>
    <e v="#N/A"/>
    <x v="210"/>
  </r>
  <r>
    <d v="2023-09-02T00:00:00"/>
    <x v="33"/>
    <s v="Admin/HR/IT"/>
    <s v="AMCARE NonOcc In"/>
    <s v="TEMP"/>
    <n v="201901967"/>
    <s v="Dominguez,Diana"/>
    <s v="Munoz,Jonan"/>
    <n v="0"/>
    <n v="0"/>
    <n v="0"/>
    <n v="0"/>
    <n v="1.0900000000000001"/>
    <e v="#N/A"/>
    <x v="207"/>
  </r>
  <r>
    <d v="2023-09-02T00:00:00"/>
    <x v="33"/>
    <s v="Admin/HR/IT"/>
    <s v="AMCARE NonOcc In"/>
    <s v="TEMP"/>
    <n v="201908189"/>
    <s v="Martinez,Francisco"/>
    <s v="Lopez,Alexa"/>
    <n v="0"/>
    <n v="0"/>
    <n v="0"/>
    <n v="0"/>
    <n v="0.15"/>
    <e v="#N/A"/>
    <x v="202"/>
  </r>
  <r>
    <d v="2023-09-03T00:00:00"/>
    <x v="34"/>
    <s v="Admin/HR/IT"/>
    <s v="AMCARE NonOcc In"/>
    <s v="AMZN"/>
    <n v="112980899"/>
    <s v="Avila Cabrera,Ari"/>
    <s v="Camarena,Grecia"/>
    <n v="0"/>
    <n v="0"/>
    <n v="0"/>
    <n v="0"/>
    <n v="0.19"/>
    <s v="NF-X1900"/>
    <x v="34"/>
  </r>
  <r>
    <d v="2023-09-03T00:00:00"/>
    <x v="34"/>
    <s v="Admin/HR/IT"/>
    <s v="AMCARE NonOcc In"/>
    <s v="AMZN"/>
    <n v="113014036"/>
    <s v="Rodriguez Alcaraz,ToÃ±o"/>
    <s v="Robledo Ugarte,Alejandro"/>
    <n v="0"/>
    <n v="0"/>
    <n v="0"/>
    <n v="0"/>
    <n v="0.22"/>
    <e v="#N/A"/>
    <x v="98"/>
  </r>
  <r>
    <d v="2023-09-03T00:00:00"/>
    <x v="34"/>
    <s v="Admin/HR/IT"/>
    <s v="AMCARE NonOcc In"/>
    <s v="AMZN"/>
    <n v="113014084"/>
    <s v="Diaz,Manuel"/>
    <s v="Gomez Aguado,Jorge"/>
    <n v="0"/>
    <n v="0"/>
    <n v="0"/>
    <n v="0"/>
    <n v="0.15"/>
    <e v="#N/A"/>
    <x v="47"/>
  </r>
  <r>
    <d v="2023-09-03T00:00:00"/>
    <x v="34"/>
    <s v="Admin/HR/IT"/>
    <s v="AMCARE NonOcc In"/>
    <s v="AMZN"/>
    <n v="201166890"/>
    <s v="Caballero,Daniel"/>
    <s v="Romero Sanchez,Gustavo Gabriel"/>
    <n v="0"/>
    <n v="0"/>
    <n v="0"/>
    <n v="0"/>
    <n v="0.56999999999999995"/>
    <e v="#N/A"/>
    <x v="141"/>
  </r>
  <r>
    <d v="2023-09-03T00:00:00"/>
    <x v="34"/>
    <s v="Admin/HR/IT"/>
    <s v="AMCARE NonOcc In"/>
    <s v="AMZN"/>
    <n v="201167501"/>
    <s v="Rodriguez,Ruben"/>
    <s v="Robledo Ugarte,Alejandro"/>
    <n v="0"/>
    <n v="0"/>
    <n v="0"/>
    <n v="0"/>
    <n v="0.16"/>
    <e v="#N/A"/>
    <x v="109"/>
  </r>
  <r>
    <d v="2023-09-03T00:00:00"/>
    <x v="34"/>
    <s v="Admin/HR/IT"/>
    <s v="AMCARE NonOcc In"/>
    <s v="AMZN"/>
    <n v="201186833"/>
    <s v="Jasso,Alexa"/>
    <s v="Piedra,Valentina"/>
    <n v="0"/>
    <n v="0"/>
    <n v="0"/>
    <n v="0"/>
    <n v="0.12"/>
    <e v="#N/A"/>
    <x v="114"/>
  </r>
  <r>
    <d v="2023-09-03T00:00:00"/>
    <x v="34"/>
    <s v="Admin/HR/IT"/>
    <s v="AMCARE NonOcc In"/>
    <s v="AMZN"/>
    <n v="201350949"/>
    <s v="Reyes,Isabel"/>
    <s v="Robledo Ugarte,Alejandro"/>
    <n v="0"/>
    <n v="0"/>
    <n v="0"/>
    <n v="0"/>
    <n v="0.79"/>
    <e v="#N/A"/>
    <x v="211"/>
  </r>
  <r>
    <d v="2023-09-04T00:00:00"/>
    <x v="34"/>
    <s v="Admin/HR/IT"/>
    <s v="AMCARE NonOcc In"/>
    <s v="AMZN"/>
    <n v="112981061"/>
    <s v="Olguin,Claudia"/>
    <s v="Robledo Ugarte,Alejandro"/>
    <n v="0"/>
    <n v="0"/>
    <n v="0"/>
    <n v="0"/>
    <n v="0.21"/>
    <s v="DA-X0700"/>
    <x v="11"/>
  </r>
  <r>
    <d v="2023-09-04T00:00:00"/>
    <x v="34"/>
    <s v="Admin/HR/IT"/>
    <s v="AMCARE NonOcc In"/>
    <s v="AMZN"/>
    <n v="113014403"/>
    <s v="Arias Sanchez,Nora"/>
    <s v="Romero Sanchez,Gustavo Gabriel"/>
    <n v="0"/>
    <n v="0"/>
    <n v="0"/>
    <n v="0"/>
    <n v="0.13"/>
    <e v="#N/A"/>
    <x v="32"/>
  </r>
  <r>
    <d v="2023-09-04T00:00:00"/>
    <x v="34"/>
    <s v="Admin/HR/IT"/>
    <s v="AMCARE NonOcc In"/>
    <s v="AMZN"/>
    <n v="113101453"/>
    <s v="Isaac,Geovanna"/>
    <s v="Robledo Ugarte,Alejandro"/>
    <n v="0"/>
    <n v="0"/>
    <n v="0"/>
    <n v="0"/>
    <n v="0.22"/>
    <e v="#N/A"/>
    <x v="4"/>
  </r>
  <r>
    <d v="2023-09-04T00:00:00"/>
    <x v="34"/>
    <s v="Admin/HR/IT"/>
    <s v="AMCARE NonOcc In"/>
    <s v="AMZN"/>
    <n v="200404250"/>
    <s v="Hurtado,Caty"/>
    <s v="Romero Sanchez,Gustavo Gabriel"/>
    <n v="0"/>
    <n v="0"/>
    <n v="0"/>
    <n v="0"/>
    <n v="0.55000000000000004"/>
    <e v="#N/A"/>
    <x v="6"/>
  </r>
  <r>
    <d v="2023-09-04T00:00:00"/>
    <x v="34"/>
    <s v="Admin/HR/IT"/>
    <s v="AMCARE NonOcc In"/>
    <s v="AMZN"/>
    <n v="200625528"/>
    <s v="Oliva,Lizbeth"/>
    <s v="Piedra,Valentina"/>
    <n v="0"/>
    <n v="0"/>
    <n v="0"/>
    <n v="0"/>
    <n v="0.06"/>
    <e v="#N/A"/>
    <x v="83"/>
  </r>
  <r>
    <d v="2023-09-04T00:00:00"/>
    <x v="34"/>
    <s v="Admin/HR/IT"/>
    <s v="AMCARE NonOcc In"/>
    <s v="AMZN"/>
    <n v="201162477"/>
    <s v="Nava,Victor"/>
    <s v="Piedra,Valentina"/>
    <n v="0"/>
    <n v="0"/>
    <n v="0"/>
    <n v="0"/>
    <n v="0.08"/>
    <e v="#N/A"/>
    <x v="212"/>
  </r>
  <r>
    <d v="2023-09-04T00:00:00"/>
    <x v="34"/>
    <s v="Admin/HR/IT"/>
    <s v="AMCARE NonOcc In"/>
    <s v="AMZN"/>
    <n v="201402212"/>
    <s v="Padron,Karla"/>
    <s v="Lopez,Alexa"/>
    <n v="0"/>
    <n v="0"/>
    <n v="0"/>
    <n v="0"/>
    <n v="0.86"/>
    <e v="#N/A"/>
    <x v="171"/>
  </r>
  <r>
    <d v="2023-09-05T00:00:00"/>
    <x v="34"/>
    <s v="Admin/HR/IT"/>
    <s v="AMCARE NonOcc In"/>
    <s v="AMZN"/>
    <n v="112980887"/>
    <s v="Rodriguez Mares,Rocio"/>
    <s v="Pizana,Diego"/>
    <n v="0"/>
    <n v="0"/>
    <n v="0"/>
    <n v="0"/>
    <n v="0.22"/>
    <e v="#N/A"/>
    <x v="0"/>
  </r>
  <r>
    <d v="2023-09-05T00:00:00"/>
    <x v="34"/>
    <s v="Admin/HR/IT"/>
    <s v="AMCARE NonOcc In"/>
    <s v="AMZN"/>
    <n v="112981212"/>
    <s v="Zanella Miranda,Alyson"/>
    <s v="Robledo Ugarte,Alejandro"/>
    <n v="0"/>
    <n v="0"/>
    <n v="0"/>
    <n v="0"/>
    <n v="0.12"/>
    <e v="#N/A"/>
    <x v="77"/>
  </r>
  <r>
    <d v="2023-09-05T00:00:00"/>
    <x v="34"/>
    <s v="Admin/HR/IT"/>
    <s v="AMCARE NonOcc In"/>
    <s v="AMZN"/>
    <n v="113014078"/>
    <s v="Nunez Lopez,Aldair"/>
    <s v="Romero Sanchez,Gustavo Gabriel"/>
    <n v="0"/>
    <n v="0"/>
    <n v="0"/>
    <n v="0"/>
    <n v="0.24"/>
    <e v="#N/A"/>
    <x v="76"/>
  </r>
  <r>
    <d v="2023-09-05T00:00:00"/>
    <x v="34"/>
    <s v="Admin/HR/IT"/>
    <s v="AMCARE NonOcc In"/>
    <s v="AMZN"/>
    <n v="113101453"/>
    <s v="Isaac,Geovanna"/>
    <s v="Robledo Ugarte,Alejandro"/>
    <n v="0"/>
    <n v="0"/>
    <n v="0"/>
    <n v="0"/>
    <n v="0.11"/>
    <e v="#N/A"/>
    <x v="4"/>
  </r>
  <r>
    <d v="2023-09-05T00:00:00"/>
    <x v="34"/>
    <s v="Admin/HR/IT"/>
    <s v="AMCARE NonOcc In"/>
    <s v="AMZN"/>
    <n v="201162477"/>
    <s v="Nava,Victor"/>
    <s v="Piedra,Valentina"/>
    <n v="0"/>
    <n v="0"/>
    <n v="0"/>
    <n v="0"/>
    <n v="0.11"/>
    <e v="#N/A"/>
    <x v="212"/>
  </r>
  <r>
    <d v="2023-09-05T00:00:00"/>
    <x v="34"/>
    <s v="Admin/HR/IT"/>
    <s v="AMCARE NonOcc In"/>
    <s v="AMZN"/>
    <n v="201191198"/>
    <s v="Mojica,Emmanuel"/>
    <s v="Ledezma,Fer"/>
    <n v="0"/>
    <n v="0"/>
    <n v="0"/>
    <n v="0"/>
    <n v="0.1"/>
    <e v="#N/A"/>
    <x v="130"/>
  </r>
  <r>
    <d v="2023-09-05T00:00:00"/>
    <x v="34"/>
    <s v="Admin/HR/IT"/>
    <s v="AMCARE NonOcc In"/>
    <s v="AMZN"/>
    <n v="201318220"/>
    <s v="Jasso,Raul"/>
    <s v="Bueno Mendoza,Susana"/>
    <n v="0"/>
    <n v="0"/>
    <n v="0"/>
    <n v="0"/>
    <n v="0.32"/>
    <e v="#N/A"/>
    <x v="193"/>
  </r>
  <r>
    <d v="2023-09-05T00:00:00"/>
    <x v="34"/>
    <s v="Admin/HR/IT"/>
    <s v="AMCARE NonOcc In"/>
    <s v="AMZN"/>
    <n v="201341534"/>
    <s v="Becerra,Esmeralda"/>
    <s v="Piedra,Valentina"/>
    <n v="0"/>
    <n v="0"/>
    <n v="0"/>
    <n v="0"/>
    <n v="0.16"/>
    <e v="#N/A"/>
    <x v="192"/>
  </r>
  <r>
    <d v="2023-09-05T00:00:00"/>
    <x v="34"/>
    <s v="Admin/HR/IT"/>
    <s v="AMCARE NonOcc In"/>
    <s v="AMZN"/>
    <n v="201345774"/>
    <s v="Quijas,Jonathan"/>
    <s v="Robledo Ugarte,Alejandro"/>
    <n v="0"/>
    <n v="0"/>
    <n v="0"/>
    <n v="0"/>
    <n v="0.67"/>
    <e v="#N/A"/>
    <x v="154"/>
  </r>
  <r>
    <d v="2023-09-05T00:00:00"/>
    <x v="34"/>
    <s v="Admin/HR/IT"/>
    <s v="AMCARE NonOcc In"/>
    <s v="AMZN"/>
    <n v="201378452"/>
    <s v="Perez,Omar"/>
    <s v="Romero Sanchez,Gustavo Gabriel"/>
    <n v="0"/>
    <n v="0"/>
    <n v="0"/>
    <n v="0"/>
    <n v="0.18"/>
    <e v="#N/A"/>
    <x v="189"/>
  </r>
  <r>
    <d v="2023-09-05T00:00:00"/>
    <x v="34"/>
    <s v="Admin/HR/IT"/>
    <s v="AMCARE NonOcc In"/>
    <s v="TEMP"/>
    <n v="201880542"/>
    <s v="ORTIZ,CORPUS"/>
    <s v="Romero Sanchez,Gustavo Gabriel"/>
    <n v="0"/>
    <n v="0"/>
    <n v="0"/>
    <n v="0"/>
    <n v="0.18"/>
    <e v="#N/A"/>
    <x v="199"/>
  </r>
  <r>
    <d v="2023-09-05T00:00:00"/>
    <x v="34"/>
    <s v="Admin/HR/IT"/>
    <s v="AMCARE NonOcc In"/>
    <s v="TEMP"/>
    <n v="201908189"/>
    <s v="Martinez,Francisco"/>
    <s v="Ledezma,Fer"/>
    <n v="0"/>
    <n v="0"/>
    <n v="0"/>
    <n v="0"/>
    <n v="0.3"/>
    <e v="#N/A"/>
    <x v="202"/>
  </r>
  <r>
    <d v="2023-09-06T00:00:00"/>
    <x v="34"/>
    <s v="Admin/HR/IT"/>
    <s v="AMCARE NonOcc In"/>
    <s v="AMZN"/>
    <n v="112912506"/>
    <s v="Garcia  Caudillo,Jessica"/>
    <s v="Camarena,Grecia"/>
    <n v="0"/>
    <n v="0"/>
    <n v="0"/>
    <n v="0"/>
    <n v="0.19"/>
    <s v="DA-X0700"/>
    <x v="144"/>
  </r>
  <r>
    <d v="2023-09-06T00:00:00"/>
    <x v="34"/>
    <s v="Admin/HR/IT"/>
    <s v="AMCARE NonOcc In"/>
    <s v="TEMP"/>
    <n v="112971959"/>
    <s v="Gonzalez,Xiomara"/>
    <s v="Pizana,Diego"/>
    <n v="0"/>
    <n v="0"/>
    <n v="0"/>
    <n v="0"/>
    <n v="0.25"/>
    <e v="#N/A"/>
    <x v="0"/>
  </r>
  <r>
    <d v="2023-09-06T00:00:00"/>
    <x v="34"/>
    <s v="Admin/HR/IT"/>
    <s v="AMCARE NonOcc In"/>
    <s v="AMZN"/>
    <n v="112972958"/>
    <s v="Gonzalez Gonzalez,Antonio"/>
    <s v="Cortes,Alejandra"/>
    <n v="0"/>
    <n v="0"/>
    <n v="0"/>
    <n v="0"/>
    <n v="0.85"/>
    <s v="D5-X0700"/>
    <x v="44"/>
  </r>
  <r>
    <d v="2023-09-06T00:00:00"/>
    <x v="34"/>
    <s v="Admin/HR/IT"/>
    <s v="AMCARE NonOcc In"/>
    <s v="AMZN"/>
    <n v="112981061"/>
    <s v="Olguin,Claudia"/>
    <s v="Robledo Ugarte,Alejandro"/>
    <n v="0"/>
    <n v="0"/>
    <n v="0"/>
    <n v="0"/>
    <n v="0.13"/>
    <s v="DA-X0700"/>
    <x v="11"/>
  </r>
  <r>
    <d v="2023-09-06T00:00:00"/>
    <x v="34"/>
    <s v="Admin/HR/IT"/>
    <s v="AMCARE NonOcc In"/>
    <s v="TEMP"/>
    <n v="113014081"/>
    <s v="Frausto,Genesis"/>
    <s v="Gomez Aguado,Jorge"/>
    <n v="0"/>
    <n v="0"/>
    <n v="0"/>
    <n v="0"/>
    <n v="0.25"/>
    <e v="#N/A"/>
    <x v="9"/>
  </r>
  <r>
    <d v="2023-09-06T00:00:00"/>
    <x v="34"/>
    <s v="Admin/HR/IT"/>
    <s v="AMCARE NonOcc In"/>
    <s v="AMZN"/>
    <n v="113014094"/>
    <s v="Mercado,Erika"/>
    <s v="Robledo Ugarte,Alejandro"/>
    <n v="0"/>
    <n v="0"/>
    <n v="0"/>
    <n v="0"/>
    <n v="0.12"/>
    <e v="#N/A"/>
    <x v="49"/>
  </r>
  <r>
    <d v="2023-09-06T00:00:00"/>
    <x v="34"/>
    <s v="Admin/HR/IT"/>
    <s v="AMCARE NonOcc In"/>
    <s v="AMZN"/>
    <n v="113019001"/>
    <s v="Lozano Hernandez,Donny"/>
    <s v="Bueno Mendoza,Susana"/>
    <n v="0"/>
    <n v="0"/>
    <n v="0"/>
    <n v="0"/>
    <n v="0.16"/>
    <e v="#N/A"/>
    <x v="48"/>
  </r>
  <r>
    <d v="2023-09-06T00:00:00"/>
    <x v="34"/>
    <s v="Admin/HR/IT"/>
    <s v="AMCARE NonOcc In"/>
    <s v="AMZN"/>
    <n v="113044620"/>
    <s v="Jasso Miranda,Aldo"/>
    <s v="Robledo Ugarte,Alejandro"/>
    <n v="0"/>
    <n v="0"/>
    <n v="0"/>
    <n v="0"/>
    <n v="0.35"/>
    <e v="#N/A"/>
    <x v="52"/>
  </r>
  <r>
    <d v="2023-09-06T00:00:00"/>
    <x v="34"/>
    <s v="Admin/HR/IT"/>
    <s v="AMCARE NonOcc In"/>
    <s v="AMZN"/>
    <n v="113101453"/>
    <s v="Isaac,Geovanna"/>
    <s v="Robledo Ugarte,Alejandro"/>
    <n v="0"/>
    <n v="0"/>
    <n v="0"/>
    <n v="0"/>
    <n v="0.28999999999999998"/>
    <e v="#N/A"/>
    <x v="4"/>
  </r>
  <r>
    <d v="2023-09-06T00:00:00"/>
    <x v="34"/>
    <s v="Admin/HR/IT"/>
    <s v="AMCARE NonOcc In"/>
    <s v="AMZN"/>
    <n v="200404250"/>
    <s v="Hurtado,Caty"/>
    <s v="Romero Sanchez,Gustavo Gabriel"/>
    <n v="0"/>
    <n v="0"/>
    <n v="0"/>
    <n v="0"/>
    <n v="0.35"/>
    <e v="#N/A"/>
    <x v="6"/>
  </r>
  <r>
    <d v="2023-09-06T00:00:00"/>
    <x v="34"/>
    <s v="Admin/HR/IT"/>
    <s v="AMCARE NonOcc In"/>
    <s v="AMZN"/>
    <n v="200574655"/>
    <s v="Mireles,Dulce"/>
    <s v="Corona Arriaga,Fernando"/>
    <n v="0"/>
    <n v="0"/>
    <n v="0"/>
    <n v="0"/>
    <n v="0.17"/>
    <e v="#N/A"/>
    <x v="88"/>
  </r>
  <r>
    <d v="2023-09-06T00:00:00"/>
    <x v="34"/>
    <s v="Admin/HR/IT"/>
    <s v="AMCARE NonOcc In"/>
    <s v="AMZN"/>
    <n v="200615883"/>
    <s v="Ibarra Amaro,Adriana"/>
    <s v="Munoz,Jonan"/>
    <n v="0"/>
    <n v="0"/>
    <n v="0"/>
    <n v="0"/>
    <n v="0.1"/>
    <e v="#N/A"/>
    <x v="0"/>
  </r>
  <r>
    <d v="2023-09-06T00:00:00"/>
    <x v="34"/>
    <s v="Admin/HR/IT"/>
    <s v="AMCARE NonOcc In"/>
    <s v="AMZN"/>
    <n v="201191390"/>
    <s v="GarcÃ­a,jesus"/>
    <s v="Madrid Molina,Ramon"/>
    <n v="0"/>
    <n v="0"/>
    <n v="0"/>
    <n v="0"/>
    <n v="0.45"/>
    <e v="#N/A"/>
    <x v="116"/>
  </r>
  <r>
    <d v="2023-09-06T00:00:00"/>
    <x v="34"/>
    <s v="Admin/HR/IT"/>
    <s v="AMCARE NonOcc In"/>
    <s v="AMZN"/>
    <n v="201198922"/>
    <s v="Mendez,Joy"/>
    <s v="Munoz,Jonan"/>
    <n v="0"/>
    <n v="0"/>
    <n v="0"/>
    <n v="0"/>
    <n v="0.38"/>
    <e v="#N/A"/>
    <x v="173"/>
  </r>
  <r>
    <d v="2023-09-06T00:00:00"/>
    <x v="34"/>
    <s v="Admin/HR/IT"/>
    <s v="AMCARE NonOcc In"/>
    <s v="AMZN"/>
    <n v="201223730"/>
    <s v="Sanchiz,Cesarito"/>
    <s v="Corona Arriaga,Fernando"/>
    <n v="0"/>
    <n v="0"/>
    <n v="0"/>
    <n v="0"/>
    <n v="0.33"/>
    <e v="#N/A"/>
    <x v="120"/>
  </r>
  <r>
    <d v="2023-09-06T00:00:00"/>
    <x v="34"/>
    <s v="Admin/HR/IT"/>
    <s v="AMCARE NonOcc In"/>
    <s v="AMZN"/>
    <n v="201228411"/>
    <s v="Hernandez Soriano,Jazmin"/>
    <s v="Corona Arriaga,Fernando"/>
    <n v="0"/>
    <n v="0"/>
    <n v="0"/>
    <n v="0"/>
    <n v="0.84"/>
    <e v="#N/A"/>
    <x v="123"/>
  </r>
  <r>
    <d v="2023-09-06T00:00:00"/>
    <x v="34"/>
    <s v="Admin/HR/IT"/>
    <s v="AMCARE NonOcc In"/>
    <s v="AMZN"/>
    <n v="201378452"/>
    <s v="Perez,Omar"/>
    <s v="Romero Sanchez,Gustavo Gabriel"/>
    <n v="0"/>
    <n v="0"/>
    <n v="0"/>
    <n v="0"/>
    <n v="0.11"/>
    <e v="#N/A"/>
    <x v="189"/>
  </r>
  <r>
    <d v="2023-09-06T00:00:00"/>
    <x v="34"/>
    <s v="Admin/HR/IT"/>
    <s v="AMCARE NonOcc In"/>
    <s v="AMZN"/>
    <n v="201402212"/>
    <s v="Padron,Karla"/>
    <s v="Rosas Negrete,Sebastian"/>
    <n v="0"/>
    <n v="0"/>
    <n v="0"/>
    <n v="0"/>
    <n v="0.28000000000000003"/>
    <e v="#N/A"/>
    <x v="171"/>
  </r>
  <r>
    <d v="2023-09-06T00:00:00"/>
    <x v="34"/>
    <s v="Admin/HR/IT"/>
    <s v="AMCARE NonOcc In"/>
    <s v="TEMP"/>
    <n v="201836048"/>
    <s v="MACIAS,IKER"/>
    <s v="Lopez,Alexa"/>
    <n v="0"/>
    <n v="0"/>
    <n v="0"/>
    <n v="0"/>
    <n v="0.32"/>
    <e v="#N/A"/>
    <x v="0"/>
  </r>
  <r>
    <d v="2023-09-06T00:00:00"/>
    <x v="34"/>
    <s v="Admin/HR/IT"/>
    <s v="AMCARE NonOcc In"/>
    <s v="TEMP"/>
    <n v="201880542"/>
    <s v="ORTIZ,CORPUS"/>
    <s v="Romero Sanchez,Gustavo Gabriel"/>
    <n v="0"/>
    <n v="0"/>
    <n v="0"/>
    <n v="0"/>
    <n v="0.21"/>
    <e v="#N/A"/>
    <x v="199"/>
  </r>
  <r>
    <d v="2023-09-06T00:00:00"/>
    <x v="34"/>
    <s v="Admin/HR/IT"/>
    <s v="AMCARE NonOcc In"/>
    <s v="TEMP"/>
    <n v="201891076"/>
    <s v="Olvera,Marilu"/>
    <s v="Romero Sanchez,Gustavo Gabriel"/>
    <n v="0"/>
    <n v="0"/>
    <n v="0"/>
    <n v="0"/>
    <n v="0.61"/>
    <e v="#N/A"/>
    <x v="200"/>
  </r>
  <r>
    <d v="2023-09-07T00:00:00"/>
    <x v="34"/>
    <s v="Admin/HR/IT"/>
    <s v="AMCARE NonOcc In"/>
    <s v="AMZN"/>
    <n v="112920638"/>
    <s v="Aguirre,Noe"/>
    <s v="Gomez Aguado,Jorge"/>
    <n v="0"/>
    <n v="0"/>
    <n v="0"/>
    <n v="0"/>
    <n v="1.29"/>
    <s v="DB-X0700"/>
    <x v="213"/>
  </r>
  <r>
    <d v="2023-09-07T00:00:00"/>
    <x v="34"/>
    <s v="Admin/HR/IT"/>
    <s v="AMCARE NonOcc In"/>
    <s v="AMZN"/>
    <n v="112973049"/>
    <s v="Tavares Parra,Ely"/>
    <s v="Piedra,Valentina"/>
    <n v="0"/>
    <n v="0"/>
    <n v="0"/>
    <n v="0"/>
    <n v="1.2"/>
    <s v="DB-X0700"/>
    <x v="14"/>
  </r>
  <r>
    <d v="2023-09-07T00:00:00"/>
    <x v="34"/>
    <s v="Admin/HR/IT"/>
    <s v="AMCARE NonOcc In"/>
    <s v="AMZN"/>
    <n v="113003656"/>
    <s v="Argote,Enrique"/>
    <s v="Munoz,Jonan"/>
    <n v="0"/>
    <n v="0"/>
    <n v="0"/>
    <n v="0"/>
    <n v="0.08"/>
    <e v="#N/A"/>
    <x v="21"/>
  </r>
  <r>
    <d v="2023-09-07T00:00:00"/>
    <x v="34"/>
    <s v="Admin/HR/IT"/>
    <s v="AMCARE NonOcc In"/>
    <s v="AMZN"/>
    <n v="113020476"/>
    <s v="Puente Aguilar,Polette"/>
    <s v="Madrid Molina,Ramon"/>
    <n v="0"/>
    <n v="0"/>
    <n v="0"/>
    <n v="0"/>
    <n v="0.44"/>
    <e v="#N/A"/>
    <x v="19"/>
  </r>
  <r>
    <d v="2023-09-07T00:00:00"/>
    <x v="34"/>
    <s v="Admin/HR/IT"/>
    <s v="AMCARE NonOcc In"/>
    <s v="AMZN"/>
    <n v="113044763"/>
    <s v="Urbina Avila,Stephany"/>
    <s v="Munoz,Jonan"/>
    <n v="0"/>
    <n v="0"/>
    <n v="0"/>
    <n v="0"/>
    <n v="0.16"/>
    <e v="#N/A"/>
    <x v="74"/>
  </r>
  <r>
    <d v="2023-09-07T00:00:00"/>
    <x v="34"/>
    <s v="Admin/HR/IT"/>
    <s v="AMCARE NonOcc In"/>
    <s v="AMZN"/>
    <n v="201162477"/>
    <s v="Nava,Victor"/>
    <s v="Piedra,Valentina"/>
    <n v="0"/>
    <n v="0"/>
    <n v="0"/>
    <n v="0"/>
    <n v="0.09"/>
    <e v="#N/A"/>
    <x v="212"/>
  </r>
  <r>
    <d v="2023-09-07T00:00:00"/>
    <x v="34"/>
    <s v="Admin/HR/IT"/>
    <s v="AMCARE NonOcc In"/>
    <s v="AMZN"/>
    <n v="201191198"/>
    <s v="Mojica,Emmanuel"/>
    <s v="Ledezma,Fer"/>
    <n v="0"/>
    <n v="0"/>
    <n v="0"/>
    <n v="0"/>
    <n v="0.1"/>
    <e v="#N/A"/>
    <x v="130"/>
  </r>
  <r>
    <d v="2023-09-07T00:00:00"/>
    <x v="34"/>
    <s v="Admin/HR/IT"/>
    <s v="AMCARE NonOcc In"/>
    <s v="AMZN"/>
    <n v="201223730"/>
    <s v="Sanchiz,Cesarito"/>
    <s v="Corona Arriaga,Fernando"/>
    <n v="0"/>
    <n v="0"/>
    <n v="0"/>
    <n v="0"/>
    <n v="1.3"/>
    <e v="#N/A"/>
    <x v="120"/>
  </r>
  <r>
    <d v="2023-09-07T00:00:00"/>
    <x v="34"/>
    <s v="Admin/HR/IT"/>
    <s v="AMCARE NonOcc In"/>
    <s v="AMZN"/>
    <n v="201228411"/>
    <s v="Hernandez Soriano,Jazmin"/>
    <s v="Corona Arriaga,Fernando"/>
    <n v="0"/>
    <n v="0"/>
    <n v="0"/>
    <n v="0"/>
    <n v="1.28"/>
    <e v="#N/A"/>
    <x v="123"/>
  </r>
  <r>
    <d v="2023-09-07T00:00:00"/>
    <x v="34"/>
    <s v="Admin/HR/IT"/>
    <s v="AMCARE NonOcc In"/>
    <s v="AMZN"/>
    <n v="201294789"/>
    <s v="Horta,Luz"/>
    <s v="Corona Arriaga,Fernando"/>
    <n v="0"/>
    <n v="0"/>
    <n v="0"/>
    <n v="0"/>
    <n v="0.21"/>
    <e v="#N/A"/>
    <x v="209"/>
  </r>
  <r>
    <d v="2023-09-07T00:00:00"/>
    <x v="34"/>
    <s v="Admin/HR/IT"/>
    <s v="AMCARE NonOcc In"/>
    <s v="TEMP"/>
    <n v="201408478"/>
    <s v="Calderon,David"/>
    <s v="Madrid Molina,Ramon"/>
    <n v="0"/>
    <n v="0"/>
    <n v="0"/>
    <n v="0"/>
    <n v="0.36"/>
    <e v="#N/A"/>
    <x v="160"/>
  </r>
  <r>
    <d v="2023-09-07T00:00:00"/>
    <x v="34"/>
    <s v="Admin/HR/IT"/>
    <s v="AMCARE NonOcc In"/>
    <s v="TEMP"/>
    <n v="201836048"/>
    <s v="MACIAS,IKER"/>
    <s v="Lopez,Alexa"/>
    <n v="0"/>
    <n v="0"/>
    <n v="0"/>
    <n v="0"/>
    <n v="1.1499999999999999"/>
    <e v="#N/A"/>
    <x v="0"/>
  </r>
  <r>
    <d v="2023-09-07T00:00:00"/>
    <x v="34"/>
    <s v="Admin/HR/IT"/>
    <s v="AMCARE NonOcc In"/>
    <s v="TEMP"/>
    <n v="201841804"/>
    <s v="Ruiz,Michelle"/>
    <s v="Ledezma,Fer"/>
    <n v="0"/>
    <n v="0"/>
    <n v="0"/>
    <n v="0"/>
    <n v="0.22"/>
    <e v="#N/A"/>
    <x v="195"/>
  </r>
  <r>
    <d v="2023-09-07T00:00:00"/>
    <x v="34"/>
    <s v="Admin/HR/IT"/>
    <s v="AMCARE NonOcc In"/>
    <s v="TEMP"/>
    <n v="201847940"/>
    <s v="Vallecillo,Jessy"/>
    <s v="Ledezma,Fer"/>
    <n v="0"/>
    <n v="0"/>
    <n v="0"/>
    <n v="0"/>
    <n v="0.9"/>
    <e v="#N/A"/>
    <x v="0"/>
  </r>
  <r>
    <d v="2023-09-07T00:00:00"/>
    <x v="34"/>
    <s v="Admin/HR/IT"/>
    <s v="AMCARE NonOcc In"/>
    <s v="TEMP"/>
    <n v="201902769"/>
    <s v="Acevedo,Juan"/>
    <s v="Madrid Molina,Ramon"/>
    <n v="0"/>
    <n v="0"/>
    <n v="0"/>
    <n v="0"/>
    <n v="0.28000000000000003"/>
    <e v="#N/A"/>
    <x v="0"/>
  </r>
  <r>
    <d v="2023-09-07T00:00:00"/>
    <x v="34"/>
    <s v="Admin/HR/IT"/>
    <s v="AMCARE NonOcc In"/>
    <s v="TEMP"/>
    <n v="201906503"/>
    <s v="MartÃ­nez,Jennifer"/>
    <s v="Gomez Aguado,Jorge"/>
    <n v="0"/>
    <n v="0"/>
    <n v="0"/>
    <n v="0"/>
    <n v="0.26"/>
    <e v="#N/A"/>
    <x v="201"/>
  </r>
  <r>
    <d v="2023-09-07T00:00:00"/>
    <x v="34"/>
    <s v="Admin/HR/IT"/>
    <s v="AMCARE NonOcc In"/>
    <s v="TEMP"/>
    <n v="201908189"/>
    <s v="Martinez,Francisco"/>
    <s v="Ledezma,Fer"/>
    <n v="0"/>
    <n v="0"/>
    <n v="0"/>
    <n v="0"/>
    <n v="0.17"/>
    <e v="#N/A"/>
    <x v="202"/>
  </r>
  <r>
    <d v="2023-09-08T00:00:00"/>
    <x v="34"/>
    <s v="Admin/HR/IT"/>
    <s v="AMCARE NonOcc In"/>
    <s v="AMZN"/>
    <n v="112920654"/>
    <s v="Horta,Julieta"/>
    <s v="Hernandez,Nataly"/>
    <n v="0"/>
    <n v="0"/>
    <n v="0"/>
    <n v="0"/>
    <n v="0.15"/>
    <s v="DB-X0700"/>
    <x v="61"/>
  </r>
  <r>
    <d v="2023-09-08T00:00:00"/>
    <x v="34"/>
    <s v="Admin/HR/IT"/>
    <s v="AMCARE NonOcc In"/>
    <s v="AMZN"/>
    <n v="112950784"/>
    <s v="Rojas,Samuel"/>
    <s v="Pizana,Diego"/>
    <n v="0"/>
    <n v="0"/>
    <n v="0"/>
    <n v="0"/>
    <n v="0.14000000000000001"/>
    <s v="NF-X1900"/>
    <x v="13"/>
  </r>
  <r>
    <d v="2023-09-08T00:00:00"/>
    <x v="34"/>
    <s v="Admin/HR/IT"/>
    <s v="AMCARE NonOcc In"/>
    <s v="AMZN"/>
    <n v="112972215"/>
    <s v="Cruz,Ana"/>
    <s v="Lopez,Alexa"/>
    <n v="0"/>
    <n v="0"/>
    <n v="0"/>
    <n v="0"/>
    <n v="0.48"/>
    <s v="DB-X0700"/>
    <x v="134"/>
  </r>
  <r>
    <d v="2023-09-08T00:00:00"/>
    <x v="34"/>
    <s v="Admin/HR/IT"/>
    <s v="AMCARE NonOcc In"/>
    <s v="AMZN"/>
    <n v="112973049"/>
    <s v="Tavares Parra,Ely"/>
    <s v="Piedra,Valentina"/>
    <n v="0"/>
    <n v="0"/>
    <n v="0"/>
    <n v="0"/>
    <n v="1"/>
    <s v="DB-X0700"/>
    <x v="14"/>
  </r>
  <r>
    <d v="2023-09-08T00:00:00"/>
    <x v="34"/>
    <s v="Admin/HR/IT"/>
    <s v="AMCARE NonOcc In"/>
    <s v="TEMP"/>
    <n v="113003619"/>
    <s v="Villegas,Jesus"/>
    <s v="Madrid Molina,Ramon"/>
    <n v="0"/>
    <n v="0"/>
    <n v="0"/>
    <n v="0"/>
    <n v="0.19"/>
    <e v="#N/A"/>
    <x v="0"/>
  </r>
  <r>
    <d v="2023-09-08T00:00:00"/>
    <x v="34"/>
    <s v="Admin/HR/IT"/>
    <s v="AMCARE NonOcc In"/>
    <s v="AMZN"/>
    <n v="113019031"/>
    <s v="Vera Hernandez,Mauricio"/>
    <s v="Robledo Ugarte,Alejandro"/>
    <n v="0"/>
    <n v="0"/>
    <n v="0"/>
    <n v="0"/>
    <n v="0.1"/>
    <e v="#N/A"/>
    <x v="204"/>
  </r>
  <r>
    <d v="2023-09-08T00:00:00"/>
    <x v="34"/>
    <s v="Admin/HR/IT"/>
    <s v="AMCARE NonOcc In"/>
    <s v="AMZN"/>
    <n v="113020497"/>
    <s v="Martinez Ruiz,Diana"/>
    <s v="Munoz,Jonan"/>
    <n v="0"/>
    <n v="0"/>
    <n v="0"/>
    <n v="0"/>
    <n v="0.09"/>
    <e v="#N/A"/>
    <x v="82"/>
  </r>
  <r>
    <d v="2023-09-08T00:00:00"/>
    <x v="34"/>
    <s v="Admin/HR/IT"/>
    <s v="AMCARE NonOcc In"/>
    <s v="AMZN"/>
    <n v="200509662"/>
    <s v="Chico,Carlos"/>
    <s v="Ledezma,Fer"/>
    <n v="0"/>
    <n v="0"/>
    <n v="0"/>
    <n v="0"/>
    <n v="0.28000000000000003"/>
    <e v="#N/A"/>
    <x v="110"/>
  </r>
  <r>
    <d v="2023-09-08T00:00:00"/>
    <x v="34"/>
    <s v="Admin/HR/IT"/>
    <s v="AMCARE NonOcc In"/>
    <s v="AMZN"/>
    <n v="201186777"/>
    <s v="Monzon,Berenice"/>
    <s v="Romero Sanchez,Gustavo Gabriel"/>
    <n v="0"/>
    <n v="0"/>
    <n v="0"/>
    <n v="0"/>
    <n v="0.56000000000000005"/>
    <e v="#N/A"/>
    <x v="107"/>
  </r>
  <r>
    <d v="2023-09-08T00:00:00"/>
    <x v="34"/>
    <s v="Admin/HR/IT"/>
    <s v="AMCARE NonOcc In"/>
    <s v="AMZN"/>
    <n v="201191390"/>
    <s v="GarcÃ­a,jesus"/>
    <s v="Madrid Molina,Ramon"/>
    <n v="0"/>
    <n v="0"/>
    <n v="0"/>
    <n v="0"/>
    <n v="0.52"/>
    <e v="#N/A"/>
    <x v="116"/>
  </r>
  <r>
    <d v="2023-09-08T00:00:00"/>
    <x v="34"/>
    <s v="Admin/HR/IT"/>
    <s v="AMCARE NonOcc In"/>
    <s v="AMZN"/>
    <n v="201223730"/>
    <s v="Sanchiz,Cesarito"/>
    <s v="Corona Arriaga,Fernando"/>
    <n v="0"/>
    <n v="0"/>
    <n v="0"/>
    <n v="0"/>
    <n v="1.26"/>
    <e v="#N/A"/>
    <x v="120"/>
  </r>
  <r>
    <d v="2023-09-08T00:00:00"/>
    <x v="34"/>
    <s v="Admin/HR/IT"/>
    <s v="AMCARE NonOcc In"/>
    <s v="AMZN"/>
    <n v="201228411"/>
    <s v="Hernandez Soriano,Jazmin"/>
    <s v="Corona Arriaga,Fernando"/>
    <n v="0"/>
    <n v="0"/>
    <n v="0"/>
    <n v="0"/>
    <n v="1.28"/>
    <e v="#N/A"/>
    <x v="123"/>
  </r>
  <r>
    <d v="2023-09-08T00:00:00"/>
    <x v="34"/>
    <s v="Admin/HR/IT"/>
    <s v="AMCARE NonOcc In"/>
    <s v="TEMP"/>
    <n v="201320536"/>
    <s v="Ibarra,Miguel"/>
    <s v="Ledezma,Fer"/>
    <n v="0"/>
    <n v="0"/>
    <n v="0"/>
    <n v="0"/>
    <n v="0.22"/>
    <e v="#N/A"/>
    <x v="139"/>
  </r>
  <r>
    <d v="2023-09-08T00:00:00"/>
    <x v="34"/>
    <s v="Admin/HR/IT"/>
    <s v="AMCARE NonOcc In"/>
    <s v="AMZN"/>
    <n v="201345737"/>
    <s v="Rosales,Paco"/>
    <s v="Lopez,Alexa"/>
    <n v="0"/>
    <n v="0"/>
    <n v="0"/>
    <n v="0"/>
    <n v="0.09"/>
    <e v="#N/A"/>
    <x v="156"/>
  </r>
  <r>
    <d v="2023-09-08T00:00:00"/>
    <x v="34"/>
    <s v="Admin/HR/IT"/>
    <s v="AMCARE NonOcc In"/>
    <s v="TEMP"/>
    <n v="201615299"/>
    <s v="NÃºÃ±ez,Fabian"/>
    <s v="Corona Arriaga,Fernando"/>
    <n v="0"/>
    <n v="0"/>
    <n v="0"/>
    <n v="0"/>
    <n v="0.25"/>
    <e v="#N/A"/>
    <x v="0"/>
  </r>
  <r>
    <d v="2023-09-08T00:00:00"/>
    <x v="34"/>
    <s v="Admin/HR/IT"/>
    <s v="AMCARE NonOcc In"/>
    <s v="TEMP"/>
    <n v="201847940"/>
    <s v="Vallecillo,Jessy"/>
    <s v="Ledezma,Fer"/>
    <n v="0"/>
    <n v="0"/>
    <n v="0"/>
    <n v="0"/>
    <n v="1.4"/>
    <e v="#N/A"/>
    <x v="0"/>
  </r>
  <r>
    <d v="2023-09-08T00:00:00"/>
    <x v="34"/>
    <s v="Admin/HR/IT"/>
    <s v="AMCARE NonOcc In"/>
    <s v="TEMP"/>
    <n v="201901910"/>
    <s v="Flores,Edwin"/>
    <s v="Ledezma,Fer"/>
    <n v="0"/>
    <n v="0"/>
    <n v="0"/>
    <n v="0"/>
    <n v="0.16"/>
    <e v="#N/A"/>
    <x v="214"/>
  </r>
  <r>
    <d v="2023-09-09T00:00:00"/>
    <x v="34"/>
    <s v="Admin/HR/IT"/>
    <s v="AMCARE NonOcc In"/>
    <s v="AMZN"/>
    <n v="112973049"/>
    <s v="Tavares Parra,Ely"/>
    <s v="Piedra,Valentina"/>
    <n v="0"/>
    <n v="0"/>
    <n v="0"/>
    <n v="0"/>
    <n v="0.94"/>
    <s v="DB-X0700"/>
    <x v="14"/>
  </r>
  <r>
    <d v="2023-09-09T00:00:00"/>
    <x v="34"/>
    <s v="Admin/HR/IT"/>
    <s v="AMCARE NonOcc In"/>
    <s v="AMZN"/>
    <n v="113003656"/>
    <s v="Argote,Enrique"/>
    <s v="Munoz,Jonan"/>
    <n v="0"/>
    <n v="0"/>
    <n v="0"/>
    <n v="0"/>
    <n v="0.15"/>
    <e v="#N/A"/>
    <x v="21"/>
  </r>
  <r>
    <d v="2023-09-09T00:00:00"/>
    <x v="34"/>
    <s v="Admin/HR/IT"/>
    <s v="AMCARE NonOcc In"/>
    <s v="AMZN"/>
    <n v="113003971"/>
    <s v="Garcia  Ramirez,Gabriel"/>
    <s v="Corona Arriaga,Fernando"/>
    <n v="0"/>
    <n v="0"/>
    <n v="0"/>
    <n v="0"/>
    <n v="0.48"/>
    <e v="#N/A"/>
    <x v="10"/>
  </r>
  <r>
    <d v="2023-09-09T00:00:00"/>
    <x v="34"/>
    <s v="Admin/HR/IT"/>
    <s v="AMCARE NonOcc In"/>
    <s v="AMZN"/>
    <n v="113004099"/>
    <s v="Partida,Luis"/>
    <s v="Lopez,Alexa"/>
    <n v="0"/>
    <n v="0"/>
    <n v="0"/>
    <n v="0"/>
    <n v="0.19"/>
    <e v="#N/A"/>
    <x v="71"/>
  </r>
  <r>
    <d v="2023-09-09T00:00:00"/>
    <x v="34"/>
    <s v="Admin/HR/IT"/>
    <s v="AMCARE NonOcc In"/>
    <s v="AMZN"/>
    <n v="113019099"/>
    <s v="Rios,Eric"/>
    <s v="Piedra,Valentina"/>
    <n v="0"/>
    <n v="0"/>
    <n v="0"/>
    <n v="0"/>
    <n v="0.61"/>
    <e v="#N/A"/>
    <x v="215"/>
  </r>
  <r>
    <d v="2023-09-09T00:00:00"/>
    <x v="34"/>
    <s v="Admin/HR/IT"/>
    <s v="AMCARE NonOcc In"/>
    <s v="AMZN"/>
    <n v="113020497"/>
    <s v="Martinez Ruiz,Diana"/>
    <s v="Munoz,Jonan"/>
    <n v="0"/>
    <n v="0"/>
    <n v="0"/>
    <n v="0"/>
    <n v="0.11"/>
    <e v="#N/A"/>
    <x v="82"/>
  </r>
  <r>
    <d v="2023-09-09T00:00:00"/>
    <x v="34"/>
    <s v="Admin/HR/IT"/>
    <s v="AMCARE NonOcc In"/>
    <s v="TEMP"/>
    <n v="113044739"/>
    <s v="Reynoso Martinez,Diego"/>
    <s v="Ledezma,Fer"/>
    <n v="0"/>
    <n v="0"/>
    <n v="0"/>
    <n v="0"/>
    <n v="0.16"/>
    <e v="#N/A"/>
    <x v="216"/>
  </r>
  <r>
    <d v="2023-09-09T00:00:00"/>
    <x v="34"/>
    <s v="Admin/HR/IT"/>
    <s v="AMCARE NonOcc In"/>
    <s v="AMZN"/>
    <n v="113103540"/>
    <s v="Delgado,David"/>
    <s v="Munoz,Jonan"/>
    <n v="0"/>
    <n v="0"/>
    <n v="0"/>
    <n v="0"/>
    <n v="0.34"/>
    <e v="#N/A"/>
    <x v="105"/>
  </r>
  <r>
    <d v="2023-09-09T00:00:00"/>
    <x v="34"/>
    <s v="Admin/HR/IT"/>
    <s v="AMCARE NonOcc In"/>
    <s v="AMZN"/>
    <n v="200508315"/>
    <s v="Herrera,Aldair"/>
    <s v="Madrid Molina,Ramon"/>
    <n v="0"/>
    <n v="0"/>
    <n v="0"/>
    <n v="0"/>
    <n v="0.13"/>
    <e v="#N/A"/>
    <x v="41"/>
  </r>
  <r>
    <d v="2023-09-09T00:00:00"/>
    <x v="34"/>
    <s v="Admin/HR/IT"/>
    <s v="AMCARE NonOcc In"/>
    <s v="AMZN"/>
    <n v="201191390"/>
    <s v="GarcÃ­a,jesus"/>
    <s v="Madrid Molina,Ramon"/>
    <n v="0"/>
    <n v="0"/>
    <n v="0"/>
    <n v="0"/>
    <n v="0.75"/>
    <e v="#N/A"/>
    <x v="116"/>
  </r>
  <r>
    <d v="2023-09-09T00:00:00"/>
    <x v="34"/>
    <s v="Admin/HR/IT"/>
    <s v="AMCARE NonOcc In"/>
    <s v="AMZN"/>
    <n v="201223730"/>
    <s v="Sanchiz,Cesarito"/>
    <s v="Corona Arriaga,Fernando"/>
    <n v="0"/>
    <n v="0"/>
    <n v="0"/>
    <n v="0"/>
    <n v="1.55"/>
    <e v="#N/A"/>
    <x v="120"/>
  </r>
  <r>
    <d v="2023-09-09T00:00:00"/>
    <x v="34"/>
    <s v="Admin/HR/IT"/>
    <s v="AMCARE NonOcc In"/>
    <s v="AMZN"/>
    <n v="201228411"/>
    <s v="Hernandez Soriano,Jazmin"/>
    <s v="Corona Arriaga,Fernando"/>
    <n v="0"/>
    <n v="0"/>
    <n v="0"/>
    <n v="0"/>
    <n v="1.58"/>
    <e v="#N/A"/>
    <x v="123"/>
  </r>
  <r>
    <d v="2023-09-09T00:00:00"/>
    <x v="34"/>
    <s v="Admin/HR/IT"/>
    <s v="AMCARE NonOcc In"/>
    <s v="TEMP"/>
    <n v="201836048"/>
    <s v="MACIAS,IKER"/>
    <s v="Lopez,Alexa"/>
    <n v="0"/>
    <n v="0"/>
    <n v="0"/>
    <n v="0"/>
    <n v="0.8"/>
    <e v="#N/A"/>
    <x v="0"/>
  </r>
  <r>
    <d v="2023-09-09T00:00:00"/>
    <x v="34"/>
    <s v="Admin/HR/IT"/>
    <s v="AMCARE NonOcc In"/>
    <s v="TEMP"/>
    <n v="201847940"/>
    <s v="Vallecillo,Jessy"/>
    <s v="Ledezma,Fer"/>
    <n v="0"/>
    <n v="0"/>
    <n v="0"/>
    <n v="0"/>
    <n v="1.78"/>
    <e v="#N/A"/>
    <x v="0"/>
  </r>
  <r>
    <d v="2023-09-09T00:00:00"/>
    <x v="34"/>
    <s v="Admin/HR/IT"/>
    <s v="AMCARE NonOcc In"/>
    <s v="TEMP"/>
    <n v="201858789"/>
    <s v="HINOJOSA,IGNACIO"/>
    <s v="Ledezma,Fer"/>
    <n v="0"/>
    <n v="0"/>
    <n v="0"/>
    <n v="0"/>
    <n v="0.19"/>
    <e v="#N/A"/>
    <x v="197"/>
  </r>
  <r>
    <d v="2023-09-10T00:00:00"/>
    <x v="35"/>
    <s v="Admin/HR/IT"/>
    <s v="AMCARE NonOcc In"/>
    <s v="AMZN"/>
    <n v="112912054"/>
    <s v="Rivera Ramirez,Jorge"/>
    <s v="Gomez Aguado,Jorge"/>
    <n v="0"/>
    <n v="0"/>
    <n v="0"/>
    <n v="0"/>
    <n v="0.23"/>
    <s v="DB-X0700"/>
    <x v="25"/>
  </r>
  <r>
    <d v="2023-09-10T00:00:00"/>
    <x v="35"/>
    <s v="Admin/HR/IT"/>
    <s v="AMCARE NonOcc In"/>
    <s v="TEMP"/>
    <n v="112971959"/>
    <s v="Gonzalez,Xiomara"/>
    <s v="Pizana,Diego"/>
    <n v="0"/>
    <n v="0"/>
    <n v="0"/>
    <n v="0"/>
    <n v="0.23"/>
    <e v="#N/A"/>
    <x v="0"/>
  </r>
  <r>
    <d v="2023-09-10T00:00:00"/>
    <x v="35"/>
    <s v="Admin/HR/IT"/>
    <s v="AMCARE NonOcc In"/>
    <s v="AMZN"/>
    <n v="112971997"/>
    <s v="Nieto,Emili"/>
    <s v="Hernandez,Nataly"/>
    <n v="0"/>
    <n v="0"/>
    <n v="0"/>
    <n v="0"/>
    <n v="0.38"/>
    <s v="DA-X0700"/>
    <x v="117"/>
  </r>
  <r>
    <d v="2023-09-10T00:00:00"/>
    <x v="35"/>
    <s v="Admin/HR/IT"/>
    <s v="AMCARE NonOcc In"/>
    <s v="AMZN"/>
    <n v="112981061"/>
    <s v="Olguin,Claudia"/>
    <s v="Robledo Ugarte,Alejandro"/>
    <n v="0"/>
    <n v="0"/>
    <n v="0"/>
    <n v="0"/>
    <n v="0.41"/>
    <s v="DA-X0700"/>
    <x v="11"/>
  </r>
  <r>
    <d v="2023-09-10T00:00:00"/>
    <x v="35"/>
    <s v="Admin/HR/IT"/>
    <s v="AMCARE NonOcc In"/>
    <s v="AMZN"/>
    <n v="112981196"/>
    <s v="Gomez,Andrea"/>
    <s v="Piedra,Valentina"/>
    <n v="0"/>
    <n v="0"/>
    <n v="0"/>
    <n v="0"/>
    <n v="0.17"/>
    <e v="#N/A"/>
    <x v="22"/>
  </r>
  <r>
    <d v="2023-09-10T00:00:00"/>
    <x v="35"/>
    <s v="Admin/HR/IT"/>
    <s v="AMCARE NonOcc In"/>
    <s v="AMZN"/>
    <n v="112981221"/>
    <s v="Perez Ramirez,Cesar"/>
    <s v="Romero Sanchez,Gustavo Gabriel"/>
    <n v="0"/>
    <n v="0"/>
    <n v="0"/>
    <n v="0"/>
    <n v="0.17"/>
    <e v="#N/A"/>
    <x v="79"/>
  </r>
  <r>
    <d v="2023-09-10T00:00:00"/>
    <x v="35"/>
    <s v="Admin/HR/IT"/>
    <s v="AMCARE NonOcc In"/>
    <s v="AMZN"/>
    <n v="113014470"/>
    <s v="Aguilar Ibarra,Lupe"/>
    <s v="Robledo Ugarte,Alejandro"/>
    <n v="0"/>
    <n v="0"/>
    <n v="0"/>
    <n v="0"/>
    <n v="0.15"/>
    <e v="#N/A"/>
    <x v="30"/>
  </r>
  <r>
    <d v="2023-09-10T00:00:00"/>
    <x v="35"/>
    <s v="Admin/HR/IT"/>
    <s v="AMCARE NonOcc In"/>
    <s v="AMZN"/>
    <n v="113101453"/>
    <s v="Isaac,Geovanna"/>
    <s v="Robledo Ugarte,Alejandro"/>
    <n v="0"/>
    <n v="0"/>
    <n v="0"/>
    <n v="0"/>
    <n v="0.12"/>
    <e v="#N/A"/>
    <x v="4"/>
  </r>
  <r>
    <d v="2023-09-10T00:00:00"/>
    <x v="35"/>
    <s v="Admin/HR/IT"/>
    <s v="AMCARE NonOcc In"/>
    <s v="AMZN"/>
    <n v="200574345"/>
    <s v="Contreras,Jony"/>
    <s v="Romero Sanchez,Gustavo Gabriel"/>
    <n v="0"/>
    <n v="0"/>
    <n v="0"/>
    <n v="0"/>
    <n v="0.48"/>
    <e v="#N/A"/>
    <x v="54"/>
  </r>
  <r>
    <d v="2023-09-10T00:00:00"/>
    <x v="35"/>
    <s v="Admin/HR/IT"/>
    <s v="AMCARE NonOcc In"/>
    <s v="AMZN"/>
    <n v="200625528"/>
    <s v="Oliva,Lizbeth"/>
    <s v="Piedra,Valentina"/>
    <n v="0"/>
    <n v="0"/>
    <n v="0"/>
    <n v="0"/>
    <n v="0.1"/>
    <e v="#N/A"/>
    <x v="83"/>
  </r>
  <r>
    <d v="2023-09-10T00:00:00"/>
    <x v="35"/>
    <s v="Admin/HR/IT"/>
    <s v="AMCARE NonOcc In"/>
    <s v="AMZN"/>
    <n v="201166890"/>
    <s v="Caballero,Daniel"/>
    <s v="Romero Sanchez,Gustavo Gabriel"/>
    <n v="0"/>
    <n v="0"/>
    <n v="0"/>
    <n v="0"/>
    <n v="0.22"/>
    <e v="#N/A"/>
    <x v="141"/>
  </r>
  <r>
    <d v="2023-09-10T00:00:00"/>
    <x v="35"/>
    <s v="Admin/HR/IT"/>
    <s v="AMCARE NonOcc In"/>
    <s v="AMZN"/>
    <n v="201172412"/>
    <s v="Castellanos,Adriana"/>
    <s v="Robledo Ugarte,Alejandro"/>
    <n v="0"/>
    <n v="0"/>
    <n v="0"/>
    <n v="0"/>
    <n v="0.12"/>
    <e v="#N/A"/>
    <x v="136"/>
  </r>
  <r>
    <d v="2023-09-10T00:00:00"/>
    <x v="35"/>
    <s v="Admin/HR/IT"/>
    <s v="AMCARE NonOcc In"/>
    <s v="AMZN"/>
    <n v="201294058"/>
    <s v="Alvarez,Erika"/>
    <s v="Bueno Mendoza,Susana"/>
    <n v="0"/>
    <n v="0"/>
    <n v="0"/>
    <n v="0"/>
    <n v="0.14000000000000001"/>
    <e v="#N/A"/>
    <x v="135"/>
  </r>
  <r>
    <d v="2023-09-10T00:00:00"/>
    <x v="35"/>
    <s v="Admin/HR/IT"/>
    <s v="AMCARE NonOcc In"/>
    <s v="TEMP"/>
    <n v="201901324"/>
    <s v="VelÃ¡zquez,Alejandro"/>
    <s v="Pizana,Diego"/>
    <n v="0"/>
    <n v="0"/>
    <n v="0"/>
    <n v="0"/>
    <n v="0.15"/>
    <e v="#N/A"/>
    <x v="198"/>
  </r>
  <r>
    <d v="2023-09-11T00:00:00"/>
    <x v="35"/>
    <s v="Admin/HR/IT"/>
    <s v="AMCARE NonOcc In"/>
    <s v="AMZN"/>
    <n v="103979960"/>
    <s v="Suchil Angel,Guillermo"/>
    <s v="Robledo Ugarte,Alejandro"/>
    <n v="0"/>
    <n v="0"/>
    <n v="0"/>
    <n v="0"/>
    <n v="0.34"/>
    <e v="#N/A"/>
    <x v="0"/>
  </r>
  <r>
    <d v="2023-09-11T00:00:00"/>
    <x v="35"/>
    <s v="Admin/HR/IT"/>
    <s v="AMCARE NonOcc In"/>
    <s v="AMZN"/>
    <n v="112912752"/>
    <s v="Valderrama Gomez,Leslie"/>
    <s v="Camarena,Grecia"/>
    <n v="0"/>
    <n v="0"/>
    <n v="0"/>
    <n v="0"/>
    <n v="0.48"/>
    <s v="NF-X1900"/>
    <x v="5"/>
  </r>
  <r>
    <d v="2023-09-11T00:00:00"/>
    <x v="35"/>
    <s v="Admin/HR/IT"/>
    <s v="AMCARE NonOcc In"/>
    <s v="AMZN"/>
    <n v="112971962"/>
    <s v="Reyes  Montes de oca,Alejandra"/>
    <s v="Lopez,Alexa"/>
    <n v="0"/>
    <n v="0"/>
    <n v="0"/>
    <n v="0"/>
    <n v="0.1"/>
    <s v="DB-X0700"/>
    <x v="26"/>
  </r>
  <r>
    <d v="2023-09-11T00:00:00"/>
    <x v="35"/>
    <s v="Admin/HR/IT"/>
    <s v="AMCARE NonOcc In"/>
    <s v="AMZN"/>
    <n v="112980899"/>
    <s v="Avila Cabrera,Ari"/>
    <s v="Camarena,Grecia"/>
    <n v="0"/>
    <n v="0"/>
    <n v="0"/>
    <n v="0"/>
    <n v="0.66"/>
    <s v="NF-X1900"/>
    <x v="34"/>
  </r>
  <r>
    <d v="2023-09-11T00:00:00"/>
    <x v="35"/>
    <s v="Admin/HR/IT"/>
    <s v="AMCARE NonOcc In"/>
    <s v="AMZN"/>
    <n v="112981013"/>
    <s v="Lopez Neri,Norma"/>
    <s v="Rosas Negrete,Sebastian"/>
    <n v="0"/>
    <n v="0"/>
    <n v="0"/>
    <n v="0"/>
    <n v="0.27"/>
    <s v="DA-X0700"/>
    <x v="12"/>
  </r>
  <r>
    <d v="2023-09-11T00:00:00"/>
    <x v="35"/>
    <s v="Admin/HR/IT"/>
    <s v="AMCARE NonOcc In"/>
    <s v="AMZN"/>
    <n v="112981194"/>
    <s v="Camacho Delgado,Karina"/>
    <s v="Camarena,Grecia"/>
    <n v="0"/>
    <n v="0"/>
    <n v="0"/>
    <n v="0"/>
    <n v="0.2"/>
    <s v="NF-X1900"/>
    <x v="70"/>
  </r>
  <r>
    <d v="2023-09-11T00:00:00"/>
    <x v="35"/>
    <s v="Admin/HR/IT"/>
    <s v="AMCARE NonOcc In"/>
    <s v="AMZN"/>
    <n v="113014403"/>
    <s v="Arias Sanchez,Nora"/>
    <s v="Rosas Negrete,Sebastian"/>
    <n v="0"/>
    <n v="0"/>
    <n v="0"/>
    <n v="0"/>
    <n v="0.19"/>
    <e v="#N/A"/>
    <x v="32"/>
  </r>
  <r>
    <d v="2023-09-11T00:00:00"/>
    <x v="35"/>
    <s v="Admin/HR/IT"/>
    <s v="AMCARE NonOcc In"/>
    <s v="AMZN"/>
    <n v="200509691"/>
    <s v="Mendoza Jasso,Jesus"/>
    <s v="Bueno Mendoza,Susana"/>
    <n v="0"/>
    <n v="0"/>
    <n v="0"/>
    <n v="0"/>
    <n v="0.05"/>
    <e v="#N/A"/>
    <x v="97"/>
  </r>
  <r>
    <d v="2023-09-11T00:00:00"/>
    <x v="35"/>
    <s v="Admin/HR/IT"/>
    <s v="AMCARE NonOcc In"/>
    <s v="AMZN"/>
    <n v="200562154"/>
    <s v="Reyes Muniz,Cristian"/>
    <s v="Corona Arriaga,Fernando"/>
    <n v="0"/>
    <n v="0"/>
    <n v="0"/>
    <n v="0"/>
    <n v="0.2"/>
    <e v="#N/A"/>
    <x v="42"/>
  </r>
  <r>
    <d v="2023-09-11T00:00:00"/>
    <x v="35"/>
    <s v="Admin/HR/IT"/>
    <s v="AMCARE NonOcc In"/>
    <s v="AMZN"/>
    <n v="200564895"/>
    <s v="Mendoza Corona,Brianda"/>
    <s v="Robledo Ugarte,Alejandro"/>
    <n v="0"/>
    <n v="0"/>
    <n v="0"/>
    <n v="0"/>
    <n v="0.23"/>
    <e v="#N/A"/>
    <x v="64"/>
  </r>
  <r>
    <d v="2023-09-11T00:00:00"/>
    <x v="35"/>
    <s v="Admin/HR/IT"/>
    <s v="AMCARE NonOcc In"/>
    <s v="AMZN"/>
    <n v="200574345"/>
    <s v="Contreras,Jony"/>
    <s v="Romero Sanchez,Gustavo Gabriel"/>
    <n v="0"/>
    <n v="0"/>
    <n v="0"/>
    <n v="0"/>
    <n v="0.14000000000000001"/>
    <e v="#N/A"/>
    <x v="54"/>
  </r>
  <r>
    <d v="2023-09-11T00:00:00"/>
    <x v="35"/>
    <s v="Admin/HR/IT"/>
    <s v="AMCARE NonOcc In"/>
    <s v="AMZN"/>
    <n v="200625528"/>
    <s v="Oliva,Lizbeth"/>
    <s v="Piedra,Valentina"/>
    <n v="0"/>
    <n v="0"/>
    <n v="0"/>
    <n v="0"/>
    <n v="0.21"/>
    <e v="#N/A"/>
    <x v="83"/>
  </r>
  <r>
    <d v="2023-09-11T00:00:00"/>
    <x v="35"/>
    <s v="Admin/HR/IT"/>
    <s v="AMCARE NonOcc In"/>
    <s v="AMZN"/>
    <n v="201186833"/>
    <s v="Jasso,Alexa"/>
    <s v="Rosas Negrete,Sebastian"/>
    <n v="0"/>
    <n v="0"/>
    <n v="0"/>
    <n v="0"/>
    <n v="0.11"/>
    <e v="#N/A"/>
    <x v="114"/>
  </r>
  <r>
    <d v="2023-09-11T00:00:00"/>
    <x v="35"/>
    <s v="Admin/HR/IT"/>
    <s v="AMCARE NonOcc In"/>
    <s v="AMZN"/>
    <n v="201191390"/>
    <s v="GarcÃ­a,jesus"/>
    <s v="Madrid Molina,Ramon"/>
    <n v="0"/>
    <n v="0"/>
    <n v="0"/>
    <n v="0"/>
    <n v="0.64"/>
    <e v="#N/A"/>
    <x v="116"/>
  </r>
  <r>
    <d v="2023-09-11T00:00:00"/>
    <x v="35"/>
    <s v="Admin/HR/IT"/>
    <s v="AMCARE NonOcc In"/>
    <s v="AMZN"/>
    <n v="201197964"/>
    <s v="Quijas,Matzayani"/>
    <s v="Romero Sanchez,Gustavo Gabriel"/>
    <n v="0"/>
    <n v="0"/>
    <n v="0"/>
    <n v="0"/>
    <n v="0.16"/>
    <e v="#N/A"/>
    <x v="191"/>
  </r>
  <r>
    <d v="2023-09-11T00:00:00"/>
    <x v="35"/>
    <s v="Admin/HR/IT"/>
    <s v="AMCARE NonOcc In"/>
    <s v="AMZN"/>
    <n v="201345774"/>
    <s v="Quijas,Jonathan"/>
    <s v="Robledo Ugarte,Alejandro"/>
    <n v="0"/>
    <n v="0"/>
    <n v="0"/>
    <n v="0"/>
    <n v="0.13"/>
    <e v="#N/A"/>
    <x v="154"/>
  </r>
  <r>
    <d v="2023-09-11T00:00:00"/>
    <x v="35"/>
    <s v="Admin/HR/IT"/>
    <s v="AMCARE NonOcc In"/>
    <s v="AMZN"/>
    <n v="201353328"/>
    <s v="Mendoza Macias,Zaira"/>
    <s v="Pizana,Diego"/>
    <n v="0"/>
    <n v="0"/>
    <n v="0"/>
    <n v="0"/>
    <n v="0.71"/>
    <e v="#N/A"/>
    <x v="150"/>
  </r>
  <r>
    <d v="2023-09-11T00:00:00"/>
    <x v="35"/>
    <s v="Admin/HR/IT"/>
    <s v="AMCARE NonOcc In"/>
    <s v="AMZN"/>
    <n v="201386201"/>
    <s v="Castillo,Janai"/>
    <s v="Ledezma,Fer"/>
    <n v="0"/>
    <n v="0"/>
    <n v="0"/>
    <n v="0"/>
    <n v="0.15"/>
    <e v="#N/A"/>
    <x v="186"/>
  </r>
  <r>
    <d v="2023-09-11T00:00:00"/>
    <x v="35"/>
    <s v="Admin/HR/IT"/>
    <s v="AMCARE NonOcc In"/>
    <s v="TEMP"/>
    <n v="201847940"/>
    <s v="Vallecillo,Jessy"/>
    <s v="Ledezma,Fer"/>
    <n v="0"/>
    <n v="0"/>
    <n v="0"/>
    <n v="0"/>
    <n v="0.28999999999999998"/>
    <e v="#N/A"/>
    <x v="0"/>
  </r>
  <r>
    <d v="2023-09-11T00:00:00"/>
    <x v="35"/>
    <s v="Admin/HR/IT"/>
    <s v="AMCARE NonOcc In"/>
    <s v="TEMP"/>
    <n v="201880542"/>
    <s v="ORTIZ,CORPUS"/>
    <s v="Romero Sanchez,Gustavo Gabriel"/>
    <n v="0"/>
    <n v="0"/>
    <n v="0"/>
    <n v="0"/>
    <n v="0.21"/>
    <e v="#N/A"/>
    <x v="199"/>
  </r>
  <r>
    <d v="2023-09-11T00:00:00"/>
    <x v="35"/>
    <s v="Admin/HR/IT"/>
    <s v="AMCARE Occ In"/>
    <s v="TEMP"/>
    <n v="201880542"/>
    <s v="ORTIZ,CORPUS"/>
    <s v="Romero Sanchez,Gustavo Gabriel"/>
    <n v="0"/>
    <n v="0"/>
    <n v="0"/>
    <n v="0"/>
    <n v="0.65"/>
    <e v="#N/A"/>
    <x v="199"/>
  </r>
  <r>
    <d v="2023-09-12T00:00:00"/>
    <x v="35"/>
    <s v="Admin/HR/IT"/>
    <s v="AMCARE NonOcc In"/>
    <s v="AMZN"/>
    <n v="112912745"/>
    <s v="Gomez Meza,Alex"/>
    <s v="Rosas Negrete,Sebastian"/>
    <n v="0"/>
    <n v="0"/>
    <n v="0"/>
    <n v="0"/>
    <n v="0.55000000000000004"/>
    <s v="DA-X0700"/>
    <x v="55"/>
  </r>
  <r>
    <d v="2023-09-12T00:00:00"/>
    <x v="35"/>
    <s v="Admin/HR/IT"/>
    <s v="AMCARE NonOcc In"/>
    <s v="AMZN"/>
    <n v="112920655"/>
    <s v="Diaz de LeÃ³n,Paola"/>
    <s v="Cortes,Alejandra"/>
    <n v="0"/>
    <n v="0"/>
    <n v="0"/>
    <n v="0"/>
    <n v="0.19"/>
    <e v="#N/A"/>
    <x v="0"/>
  </r>
  <r>
    <d v="2023-09-12T00:00:00"/>
    <x v="35"/>
    <s v="Admin/HR/IT"/>
    <s v="AMCARE NonOcc In"/>
    <s v="AMZN"/>
    <n v="112950795"/>
    <s v="Espinosa Espitia,Ali"/>
    <s v="Pizana,Diego"/>
    <n v="0"/>
    <n v="0"/>
    <n v="0"/>
    <n v="0"/>
    <n v="0.41"/>
    <s v="DA-X0700"/>
    <x v="78"/>
  </r>
  <r>
    <d v="2023-09-12T00:00:00"/>
    <x v="35"/>
    <s v="Admin/HR/IT"/>
    <s v="AMCARE NonOcc In"/>
    <s v="TEMP"/>
    <n v="112971959"/>
    <s v="Gonzalez,Xiomara"/>
    <s v="Pizana,Diego"/>
    <n v="0"/>
    <n v="0"/>
    <n v="0"/>
    <n v="0"/>
    <n v="0.15"/>
    <e v="#N/A"/>
    <x v="0"/>
  </r>
  <r>
    <d v="2023-09-12T00:00:00"/>
    <x v="35"/>
    <s v="Admin/HR/IT"/>
    <s v="AMCARE NonOcc In"/>
    <s v="AMZN"/>
    <n v="112971980"/>
    <s v="Romero,Daniel"/>
    <s v="Cortes,Alejandra"/>
    <n v="0"/>
    <n v="0"/>
    <n v="0"/>
    <n v="0"/>
    <n v="0.09"/>
    <s v="DC-X0700"/>
    <x v="43"/>
  </r>
  <r>
    <d v="2023-09-12T00:00:00"/>
    <x v="35"/>
    <s v="Admin/HR/IT"/>
    <s v="AMCARE NonOcc In"/>
    <s v="AMZN"/>
    <n v="112972958"/>
    <s v="Gonzalez Gonzalez,Antonio"/>
    <s v="Cortes,Alejandra"/>
    <n v="0"/>
    <n v="0"/>
    <n v="0"/>
    <n v="0"/>
    <n v="0.03"/>
    <s v="D5-X0700"/>
    <x v="44"/>
  </r>
  <r>
    <d v="2023-09-12T00:00:00"/>
    <x v="35"/>
    <s v="Admin/HR/IT"/>
    <s v="AMCARE NonOcc In"/>
    <s v="AMZN"/>
    <n v="112980812"/>
    <s v="Jacobo,Mary"/>
    <s v="Bueno Mendoza,Susana"/>
    <n v="0"/>
    <n v="0"/>
    <n v="0"/>
    <n v="0"/>
    <n v="0.14000000000000001"/>
    <s v="DA-X0700"/>
    <x v="24"/>
  </r>
  <r>
    <d v="2023-09-12T00:00:00"/>
    <x v="35"/>
    <s v="Admin/HR/IT"/>
    <s v="AMCARE NonOcc In"/>
    <s v="AMZN"/>
    <n v="112981221"/>
    <s v="Perez Ramirez,Cesar"/>
    <s v="Romero Sanchez,Gustavo Gabriel"/>
    <n v="0"/>
    <n v="0"/>
    <n v="0"/>
    <n v="0"/>
    <n v="0.31"/>
    <e v="#N/A"/>
    <x v="79"/>
  </r>
  <r>
    <d v="2023-09-12T00:00:00"/>
    <x v="35"/>
    <s v="Admin/HR/IT"/>
    <s v="AMCARE NonOcc In"/>
    <s v="AMZN"/>
    <n v="113014402"/>
    <s v="Mendoza Estrada,Juan"/>
    <s v="Romero Sanchez,Gustavo Gabriel"/>
    <n v="0"/>
    <n v="0"/>
    <n v="0"/>
    <n v="0"/>
    <n v="0.05"/>
    <e v="#N/A"/>
    <x v="37"/>
  </r>
  <r>
    <d v="2023-09-12T00:00:00"/>
    <x v="35"/>
    <s v="Admin/HR/IT"/>
    <s v="AMCARE NonOcc In"/>
    <s v="AMZN"/>
    <n v="113020476"/>
    <s v="Puente Aguilar,Polette"/>
    <s v="Madrid Molina,Ramon"/>
    <n v="0"/>
    <n v="0"/>
    <n v="0"/>
    <n v="0"/>
    <n v="0.43"/>
    <e v="#N/A"/>
    <x v="19"/>
  </r>
  <r>
    <d v="2023-09-12T00:00:00"/>
    <x v="35"/>
    <s v="Admin/HR/IT"/>
    <s v="AMCARE NonOcc In"/>
    <s v="AMZN"/>
    <n v="200404250"/>
    <s v="Hurtado,Caty"/>
    <s v="Romero Sanchez,Gustavo Gabriel"/>
    <n v="0"/>
    <n v="0"/>
    <n v="0"/>
    <n v="0"/>
    <n v="0.24"/>
    <e v="#N/A"/>
    <x v="6"/>
  </r>
  <r>
    <d v="2023-09-12T00:00:00"/>
    <x v="35"/>
    <s v="Admin/HR/IT"/>
    <s v="AMCARE NonOcc In"/>
    <s v="AMZN"/>
    <n v="200553975"/>
    <s v="Duran Villegas,Juan Diego"/>
    <s v="Pizana,Diego"/>
    <n v="0"/>
    <n v="0"/>
    <n v="0"/>
    <n v="0"/>
    <n v="0.2"/>
    <e v="#N/A"/>
    <x v="35"/>
  </r>
  <r>
    <d v="2023-09-12T00:00:00"/>
    <x v="35"/>
    <s v="Admin/HR/IT"/>
    <s v="AMCARE NonOcc In"/>
    <s v="AMZN"/>
    <n v="200625528"/>
    <s v="Oliva,Lizbeth"/>
    <s v="Piedra,Valentina"/>
    <n v="0"/>
    <n v="0"/>
    <n v="0"/>
    <n v="0"/>
    <n v="0.09"/>
    <e v="#N/A"/>
    <x v="83"/>
  </r>
  <r>
    <d v="2023-09-12T00:00:00"/>
    <x v="35"/>
    <s v="Admin/HR/IT"/>
    <s v="AMCARE NonOcc In"/>
    <s v="AMZN"/>
    <n v="201186833"/>
    <s v="Jasso,Alexa"/>
    <s v="Rosas Negrete,Sebastian"/>
    <n v="0"/>
    <n v="0"/>
    <n v="0"/>
    <n v="0"/>
    <n v="0.09"/>
    <e v="#N/A"/>
    <x v="114"/>
  </r>
  <r>
    <d v="2023-09-12T00:00:00"/>
    <x v="35"/>
    <s v="Admin/HR/IT"/>
    <s v="AMCARE NonOcc In"/>
    <s v="AMZN"/>
    <n v="201191198"/>
    <s v="Mojica,Emmanuel"/>
    <s v="Ledezma,Fer"/>
    <n v="0"/>
    <n v="0"/>
    <n v="0"/>
    <n v="0"/>
    <n v="0.21"/>
    <e v="#N/A"/>
    <x v="130"/>
  </r>
  <r>
    <d v="2023-09-12T00:00:00"/>
    <x v="35"/>
    <s v="Admin/HR/IT"/>
    <s v="AMCARE NonOcc In"/>
    <s v="AMZN"/>
    <n v="201198922"/>
    <s v="Mendez,Joy"/>
    <s v="Munoz,Jonan"/>
    <n v="0"/>
    <n v="0"/>
    <n v="0"/>
    <n v="0"/>
    <n v="0.56000000000000005"/>
    <e v="#N/A"/>
    <x v="173"/>
  </r>
  <r>
    <d v="2023-09-12T00:00:00"/>
    <x v="35"/>
    <s v="Admin/HR/IT"/>
    <s v="AMCARE NonOcc In"/>
    <s v="AMZN"/>
    <n v="201219500"/>
    <s v="Mazy,RamsÃ©s"/>
    <s v="Ledezma,Fer"/>
    <n v="0"/>
    <n v="0"/>
    <n v="0"/>
    <n v="0"/>
    <n v="0.61"/>
    <e v="#N/A"/>
    <x v="122"/>
  </r>
  <r>
    <d v="2023-09-12T00:00:00"/>
    <x v="35"/>
    <s v="Admin/HR/IT"/>
    <s v="AMCARE NonOcc In"/>
    <s v="AMZN"/>
    <n v="201378542"/>
    <s v="Contreras,Evelyn"/>
    <s v="Bueno Mendoza,Susana"/>
    <n v="0"/>
    <n v="0"/>
    <n v="0"/>
    <n v="0"/>
    <n v="0.11"/>
    <e v="#N/A"/>
    <x v="185"/>
  </r>
  <r>
    <d v="2023-09-12T00:00:00"/>
    <x v="35"/>
    <s v="Admin/HR/IT"/>
    <s v="AMCARE NonOcc In"/>
    <s v="AMZN"/>
    <n v="201390638"/>
    <s v="Bernal,Uriel"/>
    <s v="Piedra,Valentina"/>
    <n v="0"/>
    <n v="0"/>
    <n v="0"/>
    <n v="0"/>
    <n v="0.2"/>
    <e v="#N/A"/>
    <x v="217"/>
  </r>
  <r>
    <d v="2023-09-12T00:00:00"/>
    <x v="35"/>
    <s v="Admin/HR/IT"/>
    <s v="AMCARE NonOcc In"/>
    <s v="TEMP"/>
    <n v="201842064"/>
    <s v="Agripino,Andrea"/>
    <s v="Ledezma,Fer"/>
    <n v="0"/>
    <n v="0"/>
    <n v="0"/>
    <n v="0"/>
    <n v="0.16"/>
    <e v="#N/A"/>
    <x v="210"/>
  </r>
  <r>
    <d v="2023-09-12T00:00:00"/>
    <x v="35"/>
    <s v="Admin/HR/IT"/>
    <s v="AMCARE NonOcc In"/>
    <s v="TEMP"/>
    <n v="201858867"/>
    <s v="Cruz Velazquez,Gabriela"/>
    <s v="Corona Arriaga,Fernando"/>
    <n v="0"/>
    <n v="0"/>
    <n v="0"/>
    <n v="0"/>
    <n v="0.27"/>
    <e v="#N/A"/>
    <x v="206"/>
  </r>
  <r>
    <d v="2023-09-12T00:00:00"/>
    <x v="35"/>
    <s v="Admin/HR/IT"/>
    <s v="AMCARE NonOcc In"/>
    <s v="TEMP"/>
    <n v="201880542"/>
    <s v="ORTIZ,CORPUS"/>
    <s v="Romero Sanchez,Gustavo Gabriel"/>
    <n v="0"/>
    <n v="0"/>
    <n v="0"/>
    <n v="0"/>
    <n v="0.42"/>
    <e v="#N/A"/>
    <x v="199"/>
  </r>
  <r>
    <d v="2023-09-13T00:00:00"/>
    <x v="35"/>
    <s v="Admin/HR/IT"/>
    <s v="AMCARE NonOcc In"/>
    <s v="AMZN"/>
    <n v="112912164"/>
    <s v="Ortega,Gabriel"/>
    <s v="Lopez,Alexa"/>
    <n v="0"/>
    <n v="0"/>
    <n v="0"/>
    <n v="0"/>
    <n v="0.51"/>
    <s v="DB-X0700"/>
    <x v="218"/>
  </r>
  <r>
    <d v="2023-09-13T00:00:00"/>
    <x v="35"/>
    <s v="Admin/HR/IT"/>
    <s v="AMCARE NonOcc In"/>
    <s v="TEMP"/>
    <n v="112971959"/>
    <s v="Gonzalez,Xiomara"/>
    <s v="Pizana,Diego"/>
    <n v="0"/>
    <n v="0"/>
    <n v="0"/>
    <n v="0"/>
    <n v="0.2"/>
    <e v="#N/A"/>
    <x v="0"/>
  </r>
  <r>
    <d v="2023-09-13T00:00:00"/>
    <x v="35"/>
    <s v="Admin/HR/IT"/>
    <s v="AMCARE NonOcc In"/>
    <s v="TEMP"/>
    <n v="113003619"/>
    <s v="Villegas,Jesus"/>
    <s v="Madrid Molina,Ramon"/>
    <n v="0"/>
    <n v="0"/>
    <n v="0"/>
    <n v="0"/>
    <n v="0.67"/>
    <e v="#N/A"/>
    <x v="0"/>
  </r>
  <r>
    <d v="2023-09-13T00:00:00"/>
    <x v="35"/>
    <s v="Admin/HR/IT"/>
    <s v="AMCARE NonOcc In"/>
    <s v="AMZN"/>
    <n v="113004099"/>
    <s v="Partida,Luis"/>
    <s v="Lopez,Alexa"/>
    <n v="0"/>
    <n v="0"/>
    <n v="0"/>
    <n v="0"/>
    <n v="0.96"/>
    <e v="#N/A"/>
    <x v="71"/>
  </r>
  <r>
    <d v="2023-09-13T00:00:00"/>
    <x v="35"/>
    <s v="Admin/HR/IT"/>
    <s v="AMCARE NonOcc In"/>
    <s v="AMZN"/>
    <n v="113014403"/>
    <s v="Arias Sanchez,Nora"/>
    <s v="Rosas Negrete,Sebastian"/>
    <n v="0"/>
    <n v="0"/>
    <n v="0"/>
    <n v="0"/>
    <n v="0.19"/>
    <e v="#N/A"/>
    <x v="32"/>
  </r>
  <r>
    <d v="2023-09-13T00:00:00"/>
    <x v="35"/>
    <s v="Admin/HR/IT"/>
    <s v="AMCARE NonOcc In"/>
    <s v="AMZN"/>
    <n v="113014592"/>
    <s v="Picazo,Brenda"/>
    <s v="Romero Sanchez,Gustavo Gabriel"/>
    <n v="0"/>
    <n v="0"/>
    <n v="0"/>
    <n v="0"/>
    <n v="0.23"/>
    <e v="#N/A"/>
    <x v="127"/>
  </r>
  <r>
    <d v="2023-09-13T00:00:00"/>
    <x v="35"/>
    <s v="Admin/HR/IT"/>
    <s v="AMCARE NonOcc In"/>
    <s v="AMZN"/>
    <n v="113019001"/>
    <s v="Lozano Hernandez,Donny"/>
    <s v="Bueno Mendoza,Susana"/>
    <n v="0"/>
    <n v="0"/>
    <n v="0"/>
    <n v="0"/>
    <n v="0.46"/>
    <e v="#N/A"/>
    <x v="48"/>
  </r>
  <r>
    <d v="2023-09-13T00:00:00"/>
    <x v="35"/>
    <s v="Admin/HR/IT"/>
    <s v="AMCARE NonOcc In"/>
    <s v="AMZN"/>
    <n v="113101453"/>
    <s v="Isaac,Geovanna"/>
    <s v="Robledo Ugarte,Alejandro"/>
    <n v="0"/>
    <n v="0"/>
    <n v="0"/>
    <n v="0"/>
    <n v="0.15"/>
    <e v="#N/A"/>
    <x v="4"/>
  </r>
  <r>
    <d v="2023-09-13T00:00:00"/>
    <x v="35"/>
    <s v="Admin/HR/IT"/>
    <s v="AMCARE NonOcc In"/>
    <s v="AMZN"/>
    <n v="113138338"/>
    <s v="Cornejo,Cesar"/>
    <s v="Cortes,Alejandra"/>
    <n v="0"/>
    <n v="0"/>
    <n v="0"/>
    <n v="0"/>
    <n v="0.85"/>
    <e v="#N/A"/>
    <x v="39"/>
  </r>
  <r>
    <d v="2023-09-13T00:00:00"/>
    <x v="35"/>
    <s v="Admin/HR/IT"/>
    <s v="AMCARE NonOcc In"/>
    <s v="AMZN"/>
    <n v="200574345"/>
    <s v="Contreras,Jony"/>
    <s v="Romero Sanchez,Gustavo Gabriel"/>
    <n v="0"/>
    <n v="0"/>
    <n v="0"/>
    <n v="0"/>
    <n v="0.28999999999999998"/>
    <e v="#N/A"/>
    <x v="54"/>
  </r>
  <r>
    <d v="2023-09-13T00:00:00"/>
    <x v="35"/>
    <s v="Admin/HR/IT"/>
    <s v="AMCARE NonOcc In"/>
    <s v="AMZN"/>
    <n v="201167501"/>
    <s v="Rodriguez,Ruben"/>
    <s v="Robledo Ugarte,Alejandro"/>
    <n v="0"/>
    <n v="0"/>
    <n v="0"/>
    <n v="0"/>
    <n v="0.32"/>
    <e v="#N/A"/>
    <x v="109"/>
  </r>
  <r>
    <d v="2023-09-13T00:00:00"/>
    <x v="35"/>
    <s v="Admin/HR/IT"/>
    <s v="AMCARE NonOcc In"/>
    <s v="AMZN"/>
    <n v="201191390"/>
    <s v="GarcÃ­a,jesus"/>
    <s v="Madrid Molina,Ramon"/>
    <n v="0"/>
    <n v="0"/>
    <n v="0"/>
    <n v="0"/>
    <n v="0.56000000000000005"/>
    <e v="#N/A"/>
    <x v="116"/>
  </r>
  <r>
    <d v="2023-09-13T00:00:00"/>
    <x v="35"/>
    <s v="Admin/HR/IT"/>
    <s v="AMCARE NonOcc In"/>
    <s v="AMZN"/>
    <n v="201197964"/>
    <s v="Quijas,Matzayani"/>
    <s v="Romero Sanchez,Gustavo Gabriel"/>
    <n v="0"/>
    <n v="0"/>
    <n v="0"/>
    <n v="0"/>
    <n v="0.11"/>
    <e v="#N/A"/>
    <x v="191"/>
  </r>
  <r>
    <d v="2023-09-13T00:00:00"/>
    <x v="35"/>
    <s v="Admin/HR/IT"/>
    <s v="AMCARE NonOcc In"/>
    <s v="AMZN"/>
    <n v="201223730"/>
    <s v="Sanchiz,Cesarito"/>
    <s v="Corona Arriaga,Fernando"/>
    <n v="0"/>
    <n v="0"/>
    <n v="0"/>
    <n v="0"/>
    <n v="0.88"/>
    <e v="#N/A"/>
    <x v="120"/>
  </r>
  <r>
    <d v="2023-09-13T00:00:00"/>
    <x v="35"/>
    <s v="Admin/HR/IT"/>
    <s v="AMCARE NonOcc In"/>
    <s v="AMZN"/>
    <n v="201228411"/>
    <s v="Hernandez Soriano,Jazmin"/>
    <s v="Corona Arriaga,Fernando"/>
    <n v="0"/>
    <n v="0"/>
    <n v="0"/>
    <n v="0"/>
    <n v="1.31"/>
    <e v="#N/A"/>
    <x v="123"/>
  </r>
  <r>
    <d v="2023-09-13T00:00:00"/>
    <x v="35"/>
    <s v="Admin/HR/IT"/>
    <s v="AMCARE NonOcc In"/>
    <s v="AMZN"/>
    <n v="201345737"/>
    <s v="Rosales,Paco"/>
    <s v="Lopez,Alexa"/>
    <n v="0"/>
    <n v="0"/>
    <n v="0"/>
    <n v="0"/>
    <n v="0.11"/>
    <e v="#N/A"/>
    <x v="156"/>
  </r>
  <r>
    <d v="2023-09-13T00:00:00"/>
    <x v="35"/>
    <s v="Admin/HR/IT"/>
    <s v="AMCARE NonOcc In"/>
    <s v="AMZN"/>
    <n v="201354965"/>
    <s v="JimÃ©nez,Aline"/>
    <s v="Lopez,Alexa"/>
    <n v="0"/>
    <n v="0"/>
    <n v="0"/>
    <n v="0"/>
    <n v="0.44"/>
    <e v="#N/A"/>
    <x v="152"/>
  </r>
  <r>
    <d v="2023-09-13T00:00:00"/>
    <x v="35"/>
    <s v="Admin/HR/IT"/>
    <s v="AMCARE NonOcc In"/>
    <s v="AMZN"/>
    <n v="201360639"/>
    <s v="Rivera,Yael"/>
    <s v="Camarena,Grecia"/>
    <n v="0"/>
    <n v="0"/>
    <n v="0"/>
    <n v="0"/>
    <n v="0.14000000000000001"/>
    <e v="#N/A"/>
    <x v="174"/>
  </r>
  <r>
    <d v="2023-09-13T00:00:00"/>
    <x v="35"/>
    <s v="Admin/HR/IT"/>
    <s v="AMCARE NonOcc In"/>
    <s v="AMZN"/>
    <n v="201378542"/>
    <s v="Contreras,Evelyn"/>
    <s v="Bueno Mendoza,Susana"/>
    <n v="0"/>
    <n v="0"/>
    <n v="0"/>
    <n v="0"/>
    <n v="16.32"/>
    <e v="#N/A"/>
    <x v="185"/>
  </r>
  <r>
    <d v="2023-09-13T00:00:00"/>
    <x v="35"/>
    <s v="Admin/HR/IT"/>
    <s v="AMCARE NonOcc In"/>
    <s v="TEMP"/>
    <n v="201836048"/>
    <s v="MACIAS,IKER"/>
    <s v="Lopez,Alexa"/>
    <n v="0"/>
    <n v="0"/>
    <n v="0"/>
    <n v="0"/>
    <n v="0.02"/>
    <e v="#N/A"/>
    <x v="0"/>
  </r>
  <r>
    <d v="2023-09-13T00:00:00"/>
    <x v="35"/>
    <s v="Admin/HR/IT"/>
    <s v="AMCARE NonOcc In"/>
    <s v="TEMP"/>
    <n v="201880542"/>
    <s v="ORTIZ,CORPUS"/>
    <s v="Romero Sanchez,Gustavo Gabriel"/>
    <n v="0"/>
    <n v="0"/>
    <n v="0"/>
    <n v="0"/>
    <n v="0.13"/>
    <e v="#N/A"/>
    <x v="199"/>
  </r>
  <r>
    <d v="2023-09-13T00:00:00"/>
    <x v="35"/>
    <s v="Admin/HR/IT"/>
    <s v="AMCARE NonOcc In"/>
    <s v="TEMP"/>
    <n v="201891076"/>
    <s v="Olvera,Marilu"/>
    <s v="Romero Sanchez,Gustavo Gabriel"/>
    <n v="0"/>
    <n v="0"/>
    <n v="0"/>
    <n v="0"/>
    <n v="0.39"/>
    <e v="#N/A"/>
    <x v="200"/>
  </r>
  <r>
    <d v="2023-09-14T00:00:00"/>
    <x v="35"/>
    <s v="Admin/HR/IT"/>
    <s v="AMCARE NonOcc In"/>
    <s v="AMZN"/>
    <n v="112912397"/>
    <s v="Neri Zuniga,Ricardo"/>
    <s v="Gomez Aguado,Jorge"/>
    <n v="0"/>
    <n v="0"/>
    <n v="0"/>
    <n v="0"/>
    <n v="0.16"/>
    <s v="D5-X0700"/>
    <x v="59"/>
  </r>
  <r>
    <d v="2023-09-14T00:00:00"/>
    <x v="35"/>
    <s v="Admin/HR/IT"/>
    <s v="AMCARE NonOcc In"/>
    <s v="AMZN"/>
    <n v="112912752"/>
    <s v="Valderrama Gomez,Leslie"/>
    <s v="Camarena,Grecia"/>
    <n v="0"/>
    <n v="0"/>
    <n v="0"/>
    <n v="0"/>
    <n v="0.23"/>
    <s v="NF-X1900"/>
    <x v="5"/>
  </r>
  <r>
    <d v="2023-09-14T00:00:00"/>
    <x v="35"/>
    <s v="Admin/HR/IT"/>
    <s v="AMCARE NonOcc In"/>
    <s v="AMZN"/>
    <n v="112951256"/>
    <s v="Ramirez Vallejo,Kateryne"/>
    <s v="Cortes,Alejandra"/>
    <n v="0"/>
    <n v="0"/>
    <n v="0"/>
    <n v="0"/>
    <n v="0.11"/>
    <s v="DA-X0700"/>
    <x v="27"/>
  </r>
  <r>
    <d v="2023-09-14T00:00:00"/>
    <x v="35"/>
    <s v="Admin/HR/IT"/>
    <s v="AMCARE NonOcc In"/>
    <s v="AMZN"/>
    <n v="112972958"/>
    <s v="Gonzalez Gonzalez,Antonio"/>
    <s v="Cortes,Alejandra"/>
    <n v="0"/>
    <n v="0"/>
    <n v="0"/>
    <n v="0"/>
    <n v="0.39"/>
    <s v="D5-X0700"/>
    <x v="44"/>
  </r>
  <r>
    <d v="2023-09-14T00:00:00"/>
    <x v="35"/>
    <s v="Admin/HR/IT"/>
    <s v="AMCARE NonOcc In"/>
    <s v="AMZN"/>
    <n v="200574655"/>
    <s v="Mireles,Dulce"/>
    <s v="Corona Arriaga,Fernando"/>
    <n v="0"/>
    <n v="0"/>
    <n v="0"/>
    <n v="0"/>
    <n v="0.16"/>
    <e v="#N/A"/>
    <x v="88"/>
  </r>
  <r>
    <d v="2023-09-14T00:00:00"/>
    <x v="35"/>
    <s v="Admin/HR/IT"/>
    <s v="AMCARE NonOcc In"/>
    <s v="AMZN"/>
    <n v="200625528"/>
    <s v="Oliva,Lizbeth"/>
    <s v="Piedra,Valentina"/>
    <n v="0"/>
    <n v="0"/>
    <n v="0"/>
    <n v="0"/>
    <n v="7.0000000000000007E-2"/>
    <e v="#N/A"/>
    <x v="83"/>
  </r>
  <r>
    <d v="2023-09-14T00:00:00"/>
    <x v="35"/>
    <s v="Admin/HR/IT"/>
    <s v="AMCARE NonOcc In"/>
    <s v="AMZN"/>
    <n v="201167388"/>
    <s v="Aguirre,Octavio"/>
    <s v="Madrid Molina,Ramon"/>
    <n v="0"/>
    <n v="0"/>
    <n v="0"/>
    <n v="0"/>
    <n v="0.78"/>
    <e v="#N/A"/>
    <x v="159"/>
  </r>
  <r>
    <d v="2023-09-14T00:00:00"/>
    <x v="35"/>
    <s v="Admin/HR/IT"/>
    <s v="AMCARE NonOcc In"/>
    <s v="AMZN"/>
    <n v="201198922"/>
    <s v="Mendez,Joy"/>
    <s v="Munoz,Jonan"/>
    <n v="0"/>
    <n v="0"/>
    <n v="0"/>
    <n v="0"/>
    <n v="0.14000000000000001"/>
    <e v="#N/A"/>
    <x v="173"/>
  </r>
  <r>
    <d v="2023-09-14T00:00:00"/>
    <x v="35"/>
    <s v="Admin/HR/IT"/>
    <s v="AMCARE NonOcc In"/>
    <s v="AMZN"/>
    <n v="201211157"/>
    <s v="Vargas,Jesse"/>
    <s v="Gomez Aguado,Jorge"/>
    <n v="0"/>
    <n v="0"/>
    <n v="0"/>
    <n v="0"/>
    <n v="0.28000000000000003"/>
    <e v="#N/A"/>
    <x v="121"/>
  </r>
  <r>
    <d v="2023-09-14T00:00:00"/>
    <x v="35"/>
    <s v="Admin/HR/IT"/>
    <s v="AMCARE NonOcc In"/>
    <s v="AMZN"/>
    <n v="201228411"/>
    <s v="Hernandez Soriano,Jazmin"/>
    <s v="Corona Arriaga,Fernando"/>
    <n v="0"/>
    <n v="0"/>
    <n v="0"/>
    <n v="0"/>
    <n v="1.08"/>
    <e v="#N/A"/>
    <x v="123"/>
  </r>
  <r>
    <d v="2023-09-14T00:00:00"/>
    <x v="35"/>
    <s v="Admin/HR/IT"/>
    <s v="AMCARE NonOcc In"/>
    <s v="AMZN"/>
    <n v="201345737"/>
    <s v="Rosales,Paco"/>
    <s v="Lopez,Alexa"/>
    <n v="0"/>
    <n v="0"/>
    <n v="0"/>
    <n v="0"/>
    <n v="0.32"/>
    <e v="#N/A"/>
    <x v="156"/>
  </r>
  <r>
    <d v="2023-09-14T00:00:00"/>
    <x v="35"/>
    <s v="Admin/HR/IT"/>
    <s v="AMCARE NonOcc In"/>
    <s v="AMZN"/>
    <n v="201354965"/>
    <s v="JimÃ©nez,Aline"/>
    <s v="Lopez,Alexa"/>
    <n v="0"/>
    <n v="0"/>
    <n v="0"/>
    <n v="0"/>
    <n v="0.22"/>
    <e v="#N/A"/>
    <x v="152"/>
  </r>
  <r>
    <d v="2023-09-14T00:00:00"/>
    <x v="35"/>
    <s v="Admin/HR/IT"/>
    <s v="AMCARE NonOcc In"/>
    <s v="AMZN"/>
    <n v="201378542"/>
    <s v="Contreras,Evelyn"/>
    <s v="Bueno Mendoza,Susana"/>
    <n v="0"/>
    <n v="0"/>
    <n v="0"/>
    <n v="0"/>
    <n v="7.68"/>
    <e v="#N/A"/>
    <x v="185"/>
  </r>
  <r>
    <d v="2023-09-14T00:00:00"/>
    <x v="35"/>
    <s v="Admin/HR/IT"/>
    <s v="AMCARE NonOcc In"/>
    <s v="TEMP"/>
    <n v="201864225"/>
    <s v="Flores,Ivan"/>
    <s v="Corona Arriaga,Fernando"/>
    <n v="0"/>
    <n v="0"/>
    <n v="0"/>
    <n v="0"/>
    <n v="0.23"/>
    <e v="#N/A"/>
    <x v="219"/>
  </r>
  <r>
    <d v="2023-09-15T00:00:00"/>
    <x v="35"/>
    <s v="Admin/HR/IT"/>
    <s v="AMCARE NonOcc In"/>
    <s v="AMZN"/>
    <n v="107351579"/>
    <s v="Quemada,Jesus"/>
    <s v="Pizana,Diego"/>
    <n v="0"/>
    <n v="0"/>
    <n v="0"/>
    <n v="0"/>
    <n v="0.47"/>
    <s v="NF-X1900"/>
    <x v="220"/>
  </r>
  <r>
    <d v="2023-09-15T00:00:00"/>
    <x v="35"/>
    <s v="Admin/HR/IT"/>
    <s v="AMCARE NonOcc In"/>
    <s v="AMZN"/>
    <n v="112920666"/>
    <s v="Rocha,Jose"/>
    <s v="Cortes,Alejandra"/>
    <n v="0"/>
    <n v="0"/>
    <n v="0"/>
    <n v="0"/>
    <n v="0.92"/>
    <s v="D5-X0700"/>
    <x v="3"/>
  </r>
  <r>
    <d v="2023-09-15T00:00:00"/>
    <x v="35"/>
    <s v="Admin/HR/IT"/>
    <s v="AMCARE NonOcc In"/>
    <s v="AMZN"/>
    <n v="112950784"/>
    <s v="Rojas,Samuel"/>
    <s v="Pizana,Diego"/>
    <n v="0"/>
    <n v="0"/>
    <n v="0"/>
    <n v="0"/>
    <n v="0.26"/>
    <s v="NF-X1900"/>
    <x v="13"/>
  </r>
  <r>
    <d v="2023-09-15T00:00:00"/>
    <x v="35"/>
    <s v="Admin/HR/IT"/>
    <s v="AMCARE NonOcc In"/>
    <s v="TEMP"/>
    <n v="113003619"/>
    <s v="Villegas,Jesus"/>
    <s v="Madrid Molina,Ramon"/>
    <n v="0"/>
    <n v="0"/>
    <n v="0"/>
    <n v="0"/>
    <n v="0.28999999999999998"/>
    <e v="#N/A"/>
    <x v="0"/>
  </r>
  <r>
    <d v="2023-09-15T00:00:00"/>
    <x v="35"/>
    <s v="Admin/HR/IT"/>
    <s v="AMCARE NonOcc In"/>
    <s v="AMZN"/>
    <n v="113020476"/>
    <s v="Puente Aguilar,Polette"/>
    <s v="Madrid Molina,Ramon"/>
    <n v="0"/>
    <n v="0"/>
    <n v="0"/>
    <n v="0"/>
    <n v="0.4"/>
    <e v="#N/A"/>
    <x v="19"/>
  </r>
  <r>
    <d v="2023-09-15T00:00:00"/>
    <x v="35"/>
    <s v="Admin/HR/IT"/>
    <s v="AMCARE NonOcc In"/>
    <s v="AMZN"/>
    <n v="113052151"/>
    <s v="Nieves Mendez,Laura"/>
    <s v="Ledezma,Fer"/>
    <n v="0"/>
    <n v="0"/>
    <n v="0"/>
    <n v="0"/>
    <n v="0.56999999999999995"/>
    <e v="#N/A"/>
    <x v="56"/>
  </r>
  <r>
    <d v="2023-09-15T00:00:00"/>
    <x v="35"/>
    <s v="Admin/HR/IT"/>
    <s v="AMCARE NonOcc In"/>
    <s v="AMZN"/>
    <n v="200574655"/>
    <s v="Mireles,Dulce"/>
    <s v="Corona Arriaga,Fernando"/>
    <n v="0"/>
    <n v="0"/>
    <n v="0"/>
    <n v="0"/>
    <n v="0.28000000000000003"/>
    <e v="#N/A"/>
    <x v="88"/>
  </r>
  <r>
    <d v="2023-09-15T00:00:00"/>
    <x v="35"/>
    <s v="Admin/HR/IT"/>
    <s v="AMCARE NonOcc In"/>
    <s v="AMZN"/>
    <n v="200615801"/>
    <s v="Gongora,Daniel"/>
    <s v="Bueno Mendoza,Susana"/>
    <n v="0"/>
    <n v="0"/>
    <n v="0"/>
    <n v="0"/>
    <n v="1.43"/>
    <e v="#N/A"/>
    <x v="157"/>
  </r>
  <r>
    <d v="2023-09-15T00:00:00"/>
    <x v="35"/>
    <s v="Admin/HR/IT"/>
    <s v="AMCARE NonOcc In"/>
    <s v="AMZN"/>
    <n v="200625528"/>
    <s v="Oliva,Lizbeth"/>
    <s v="Piedra,Valentina"/>
    <n v="0"/>
    <n v="0"/>
    <n v="0"/>
    <n v="0"/>
    <n v="7.0000000000000007E-2"/>
    <e v="#N/A"/>
    <x v="83"/>
  </r>
  <r>
    <d v="2023-09-15T00:00:00"/>
    <x v="35"/>
    <s v="Admin/HR/IT"/>
    <s v="AMCARE NonOcc In"/>
    <s v="AMZN"/>
    <n v="201191390"/>
    <s v="GarcÃ­a,jesus"/>
    <s v="Madrid Molina,Ramon"/>
    <n v="0"/>
    <n v="0"/>
    <n v="0"/>
    <n v="0"/>
    <n v="0.56000000000000005"/>
    <e v="#N/A"/>
    <x v="116"/>
  </r>
  <r>
    <d v="2023-09-15T00:00:00"/>
    <x v="35"/>
    <s v="Admin/HR/IT"/>
    <s v="AMCARE NonOcc In"/>
    <s v="AMZN"/>
    <n v="201223730"/>
    <s v="Sanchiz,Cesarito"/>
    <s v="Corona Arriaga,Fernando"/>
    <n v="0"/>
    <n v="0"/>
    <n v="0"/>
    <n v="0"/>
    <n v="1.1499999999999999"/>
    <e v="#N/A"/>
    <x v="120"/>
  </r>
  <r>
    <d v="2023-09-15T00:00:00"/>
    <x v="35"/>
    <s v="Admin/HR/IT"/>
    <s v="AMCARE NonOcc In"/>
    <s v="AMZN"/>
    <n v="201228411"/>
    <s v="Hernandez Soriano,Jazmin"/>
    <s v="Corona Arriaga,Fernando"/>
    <n v="0"/>
    <n v="0"/>
    <n v="0"/>
    <n v="0"/>
    <n v="1.1399999999999999"/>
    <e v="#N/A"/>
    <x v="123"/>
  </r>
  <r>
    <d v="2023-09-15T00:00:00"/>
    <x v="35"/>
    <s v="Admin/HR/IT"/>
    <s v="AMCARE NonOcc In"/>
    <s v="AMZN"/>
    <n v="201341534"/>
    <s v="Becerra,Esmeralda"/>
    <s v="Piedra,Valentina"/>
    <n v="0"/>
    <n v="0"/>
    <n v="0"/>
    <n v="0"/>
    <n v="2.1800000000000002"/>
    <e v="#N/A"/>
    <x v="192"/>
  </r>
  <r>
    <d v="2023-09-15T00:00:00"/>
    <x v="35"/>
    <s v="Admin/HR/IT"/>
    <s v="AMCARE NonOcc In"/>
    <s v="AMZN"/>
    <n v="201353153"/>
    <s v="Plascencia,Javier"/>
    <s v="Cortes,Alejandra"/>
    <n v="0"/>
    <n v="0"/>
    <n v="0"/>
    <n v="0"/>
    <n v="1.05"/>
    <e v="#N/A"/>
    <x v="221"/>
  </r>
  <r>
    <d v="2023-09-15T00:00:00"/>
    <x v="35"/>
    <s v="Admin/HR/IT"/>
    <s v="AMCARE NonOcc In"/>
    <s v="TEMP"/>
    <n v="201847940"/>
    <s v="Vallecillo,Jessy"/>
    <s v="Ledezma,Fer"/>
    <n v="0"/>
    <n v="0"/>
    <n v="0"/>
    <n v="0"/>
    <n v="0.11"/>
    <e v="#N/A"/>
    <x v="0"/>
  </r>
  <r>
    <d v="2023-09-15T00:00:00"/>
    <x v="35"/>
    <s v="Admin/HR/IT"/>
    <s v="AMCARE NonOcc In"/>
    <s v="TEMP"/>
    <n v="201858789"/>
    <s v="HINOJOSA,IGNACIO"/>
    <s v="Ledezma,Fer"/>
    <n v="0"/>
    <n v="0"/>
    <n v="0"/>
    <n v="0"/>
    <n v="1.25"/>
    <e v="#N/A"/>
    <x v="197"/>
  </r>
  <r>
    <d v="2023-09-16T00:00:00"/>
    <x v="35"/>
    <s v="Admin/HR/IT"/>
    <s v="AMCARE NonOcc In"/>
    <s v="AMZN"/>
    <n v="112920637"/>
    <s v="Tapia,Antonio Torres"/>
    <s v="Cortes,Alejandra"/>
    <n v="0"/>
    <n v="0"/>
    <n v="0"/>
    <n v="0"/>
    <n v="0.91"/>
    <s v="DB-X0700"/>
    <x v="38"/>
  </r>
  <r>
    <d v="2023-09-16T00:00:00"/>
    <x v="35"/>
    <s v="Admin/HR/IT"/>
    <s v="AMCARE NonOcc In"/>
    <s v="AMZN"/>
    <n v="112920655"/>
    <s v="Diaz de LeÃ³n,Paola"/>
    <s v="Cortes,Alejandra"/>
    <n v="0"/>
    <n v="0"/>
    <n v="0"/>
    <n v="0"/>
    <n v="0.24"/>
    <e v="#N/A"/>
    <x v="0"/>
  </r>
  <r>
    <d v="2023-09-16T00:00:00"/>
    <x v="35"/>
    <s v="Admin/HR/IT"/>
    <s v="AMCARE NonOcc In"/>
    <s v="AMZN"/>
    <n v="113014042"/>
    <s v="Cervantes,Rose"/>
    <s v="Gomez Aguado,Jorge"/>
    <n v="0"/>
    <n v="0"/>
    <n v="0"/>
    <n v="0"/>
    <n v="0.3"/>
    <e v="#N/A"/>
    <x v="20"/>
  </r>
  <r>
    <d v="2023-09-16T00:00:00"/>
    <x v="35"/>
    <s v="Admin/HR/IT"/>
    <s v="AMCARE NonOcc In"/>
    <s v="AMZN"/>
    <n v="113014074"/>
    <s v="Gutierrez,Gabriela"/>
    <s v="Lopez,Alexa"/>
    <n v="0"/>
    <n v="0"/>
    <n v="0"/>
    <n v="0"/>
    <n v="0.28999999999999998"/>
    <e v="#N/A"/>
    <x v="0"/>
  </r>
  <r>
    <d v="2023-09-16T00:00:00"/>
    <x v="35"/>
    <s v="Admin/HR/IT"/>
    <s v="AMCARE NonOcc In"/>
    <s v="AMZN"/>
    <n v="113014560"/>
    <s v="Lopez Moreno,Americo"/>
    <s v="Lopez,Alexa"/>
    <n v="0"/>
    <n v="0"/>
    <n v="0"/>
    <n v="0"/>
    <n v="0.1"/>
    <e v="#N/A"/>
    <x v="81"/>
  </r>
  <r>
    <d v="2023-09-16T00:00:00"/>
    <x v="35"/>
    <s v="Admin/HR/IT"/>
    <s v="AMCARE NonOcc In"/>
    <s v="AMZN"/>
    <n v="200614224"/>
    <s v="Cruz Hernandez,Cris"/>
    <s v="Lopez,Alexa"/>
    <n v="0"/>
    <n v="0"/>
    <n v="0"/>
    <n v="0"/>
    <n v="0.47"/>
    <e v="#N/A"/>
    <x v="0"/>
  </r>
  <r>
    <d v="2023-09-16T00:00:00"/>
    <x v="35"/>
    <s v="Admin/HR/IT"/>
    <s v="AMCARE NonOcc In"/>
    <s v="AMZN"/>
    <n v="201198922"/>
    <s v="Mendez,Joy"/>
    <s v="Munoz,Jonan"/>
    <n v="0"/>
    <n v="0"/>
    <n v="0"/>
    <n v="0"/>
    <n v="0.49"/>
    <e v="#N/A"/>
    <x v="173"/>
  </r>
  <r>
    <d v="2023-09-16T00:00:00"/>
    <x v="35"/>
    <s v="Admin/HR/IT"/>
    <s v="AMCARE NonOcc In"/>
    <s v="AMZN"/>
    <n v="201211157"/>
    <s v="Vargas,Jesse"/>
    <s v="Gomez Aguado,Jorge"/>
    <n v="0"/>
    <n v="0"/>
    <n v="0"/>
    <n v="0"/>
    <n v="0.23"/>
    <e v="#N/A"/>
    <x v="121"/>
  </r>
  <r>
    <d v="2023-09-16T00:00:00"/>
    <x v="35"/>
    <s v="Admin/HR/IT"/>
    <s v="AMCARE NonOcc In"/>
    <s v="AMZN"/>
    <n v="201223730"/>
    <s v="Sanchiz,Cesarito"/>
    <s v="Corona Arriaga,Fernando"/>
    <n v="0"/>
    <n v="0"/>
    <n v="0"/>
    <n v="0"/>
    <n v="0.63"/>
    <e v="#N/A"/>
    <x v="120"/>
  </r>
  <r>
    <d v="2023-09-16T00:00:00"/>
    <x v="35"/>
    <s v="Admin/HR/IT"/>
    <s v="AMCARE NonOcc In"/>
    <s v="AMZN"/>
    <n v="201228411"/>
    <s v="Hernandez Soriano,Jazmin"/>
    <s v="Corona Arriaga,Fernando"/>
    <n v="0"/>
    <n v="0"/>
    <n v="0"/>
    <n v="0"/>
    <n v="0.64"/>
    <e v="#N/A"/>
    <x v="123"/>
  </r>
  <r>
    <d v="2023-09-16T00:00:00"/>
    <x v="35"/>
    <s v="Admin/HR/IT"/>
    <s v="AMCARE NonOcc In"/>
    <s v="AMZN"/>
    <n v="201295551"/>
    <s v="Barcenas,Alma"/>
    <s v="Lopez,Alexa"/>
    <n v="0"/>
    <n v="0"/>
    <n v="0"/>
    <n v="0"/>
    <n v="0.06"/>
    <e v="#N/A"/>
    <x v="0"/>
  </r>
  <r>
    <d v="2023-09-16T00:00:00"/>
    <x v="35"/>
    <s v="Admin/HR/IT"/>
    <s v="AMCARE NonOcc In"/>
    <s v="TEMP"/>
    <n v="201842039"/>
    <s v="Martinez,Antonio"/>
    <s v="Corona Arriaga,Fernando"/>
    <n v="0"/>
    <n v="0"/>
    <n v="0"/>
    <n v="0"/>
    <n v="0.13"/>
    <e v="#N/A"/>
    <x v="203"/>
  </r>
  <r>
    <d v="2023-09-16T00:00:00"/>
    <x v="35"/>
    <s v="Admin/HR/IT"/>
    <s v="AMCARE NonOcc In"/>
    <s v="TEMP"/>
    <n v="201903097"/>
    <s v="Oliva,Montserrat"/>
    <s v="Ledezma,Fer"/>
    <n v="0"/>
    <n v="0"/>
    <n v="0"/>
    <n v="0"/>
    <n v="0.92"/>
    <e v="#N/A"/>
    <x v="208"/>
  </r>
  <r>
    <d v="2023-09-17T00:00:00"/>
    <x v="36"/>
    <s v="Admin/HR/IT"/>
    <s v="AMCARE NonOcc In"/>
    <s v="AMZN"/>
    <n v="112912203"/>
    <s v="Alvarez Olivares,Omar Leonardo"/>
    <s v="Pizana,Diego"/>
    <n v="0"/>
    <n v="0"/>
    <n v="0"/>
    <n v="0"/>
    <n v="0.18"/>
    <s v="DA-X0700"/>
    <x v="94"/>
  </r>
  <r>
    <d v="2023-09-17T00:00:00"/>
    <x v="36"/>
    <s v="Admin/HR/IT"/>
    <s v="AMCARE NonOcc In"/>
    <s v="AMZN"/>
    <n v="112950784"/>
    <s v="Rojas,Samuel"/>
    <s v="Pizana,Diego"/>
    <n v="0"/>
    <n v="0"/>
    <n v="0"/>
    <n v="0"/>
    <n v="0.17"/>
    <s v="NF-X1900"/>
    <x v="13"/>
  </r>
  <r>
    <d v="2023-09-17T00:00:00"/>
    <x v="36"/>
    <s v="Admin/HR/IT"/>
    <s v="AMCARE NonOcc In"/>
    <s v="AMZN"/>
    <n v="112971962"/>
    <s v="Reyes  Montes de oca,Alejandra"/>
    <s v="Lopez,Alexa"/>
    <n v="0"/>
    <n v="0"/>
    <n v="0"/>
    <n v="0"/>
    <n v="0.14000000000000001"/>
    <s v="DB-X0700"/>
    <x v="26"/>
  </r>
  <r>
    <d v="2023-09-17T00:00:00"/>
    <x v="36"/>
    <s v="Admin/HR/IT"/>
    <s v="AMCARE NonOcc In"/>
    <s v="AMZN"/>
    <n v="112980887"/>
    <s v="Rodriguez Mares,Rocio"/>
    <s v="Pizana,Diego"/>
    <n v="0"/>
    <n v="0"/>
    <n v="0"/>
    <n v="0"/>
    <n v="0.18"/>
    <e v="#N/A"/>
    <x v="0"/>
  </r>
  <r>
    <d v="2023-09-17T00:00:00"/>
    <x v="36"/>
    <s v="Admin/HR/IT"/>
    <s v="AMCARE NonOcc In"/>
    <s v="AMZN"/>
    <n v="112981194"/>
    <s v="Camacho Delgado,Karina"/>
    <s v="Camarena,Grecia"/>
    <n v="0"/>
    <n v="0"/>
    <n v="0"/>
    <n v="0"/>
    <n v="0.13"/>
    <s v="NF-X1900"/>
    <x v="70"/>
  </r>
  <r>
    <d v="2023-09-17T00:00:00"/>
    <x v="36"/>
    <s v="Admin/HR/IT"/>
    <s v="AMCARE NonOcc In"/>
    <s v="AMZN"/>
    <n v="113014403"/>
    <s v="Arias Sanchez,Nora"/>
    <s v="Rosas Negrete,Sebastian"/>
    <n v="0"/>
    <n v="0"/>
    <n v="0"/>
    <n v="0"/>
    <n v="0.15"/>
    <e v="#N/A"/>
    <x v="32"/>
  </r>
  <r>
    <d v="2023-09-17T00:00:00"/>
    <x v="36"/>
    <s v="Admin/HR/IT"/>
    <s v="AMCARE NonOcc In"/>
    <s v="AMZN"/>
    <n v="113020463"/>
    <s v="Valtierra,Alejandra"/>
    <s v="Robledo Ugarte,Alejandro"/>
    <n v="0"/>
    <n v="0"/>
    <n v="0"/>
    <n v="0"/>
    <n v="0.23"/>
    <e v="#N/A"/>
    <x v="17"/>
  </r>
  <r>
    <d v="2023-09-17T00:00:00"/>
    <x v="36"/>
    <s v="Admin/HR/IT"/>
    <s v="AMCARE NonOcc In"/>
    <s v="AMZN"/>
    <n v="113101453"/>
    <s v="Isaac,Geovanna"/>
    <s v="Robledo Ugarte,Alejandro"/>
    <n v="0"/>
    <n v="0"/>
    <n v="0"/>
    <n v="0"/>
    <n v="0.11"/>
    <e v="#N/A"/>
    <x v="4"/>
  </r>
  <r>
    <d v="2023-09-17T00:00:00"/>
    <x v="36"/>
    <s v="Admin/HR/IT"/>
    <s v="AMCARE NonOcc In"/>
    <s v="AMZN"/>
    <n v="200404250"/>
    <s v="Hurtado,Caty"/>
    <s v="Romero Sanchez,Gustavo Gabriel"/>
    <n v="0"/>
    <n v="0"/>
    <n v="0"/>
    <n v="0"/>
    <n v="0.36"/>
    <e v="#N/A"/>
    <x v="6"/>
  </r>
  <r>
    <d v="2023-09-17T00:00:00"/>
    <x v="36"/>
    <s v="Admin/HR/IT"/>
    <s v="AMCARE NonOcc In"/>
    <s v="AMZN"/>
    <n v="200620341"/>
    <s v="Camacho Ramirez,Carlos"/>
    <s v="Rosas Negrete,Sebastian"/>
    <n v="0"/>
    <n v="0"/>
    <n v="0"/>
    <n v="0"/>
    <n v="0.28000000000000003"/>
    <e v="#N/A"/>
    <x v="0"/>
  </r>
  <r>
    <d v="2023-09-17T00:00:00"/>
    <x v="36"/>
    <s v="Admin/HR/IT"/>
    <s v="AMCARE NonOcc In"/>
    <s v="AMZN"/>
    <n v="201167501"/>
    <s v="Rodriguez,Ruben"/>
    <s v="Robledo Ugarte,Alejandro"/>
    <n v="0"/>
    <n v="0"/>
    <n v="0"/>
    <n v="0"/>
    <n v="0.21"/>
    <e v="#N/A"/>
    <x v="109"/>
  </r>
  <r>
    <d v="2023-09-17T00:00:00"/>
    <x v="36"/>
    <s v="Admin/HR/IT"/>
    <s v="AMCARE NonOcc In"/>
    <s v="AMZN"/>
    <n v="201341534"/>
    <s v="Becerra,Esmeralda"/>
    <s v="Piedra,Valentina"/>
    <n v="0"/>
    <n v="0"/>
    <n v="0"/>
    <n v="0"/>
    <n v="0.18"/>
    <e v="#N/A"/>
    <x v="192"/>
  </r>
  <r>
    <d v="2023-09-17T00:00:00"/>
    <x v="36"/>
    <s v="Admin/HR/IT"/>
    <s v="AMCARE NonOcc In"/>
    <s v="TEMP"/>
    <n v="201882567"/>
    <s v="Valtierra,Salvador"/>
    <s v="Romero Sanchez,Gustavo Gabriel"/>
    <n v="0"/>
    <n v="0"/>
    <n v="0"/>
    <n v="0"/>
    <n v="0.22"/>
    <e v="#N/A"/>
    <x v="222"/>
  </r>
  <r>
    <d v="2023-09-18T00:00:00"/>
    <x v="36"/>
    <s v="Admin/HR/IT"/>
    <s v="AMCARE NonOcc In"/>
    <s v="AMZN"/>
    <n v="103979960"/>
    <s v="Suchil Angel,Guillermo"/>
    <s v="Robledo Ugarte,Alejandro"/>
    <n v="0"/>
    <n v="0"/>
    <n v="0"/>
    <n v="0"/>
    <n v="0.47"/>
    <e v="#N/A"/>
    <x v="0"/>
  </r>
  <r>
    <d v="2023-09-18T00:00:00"/>
    <x v="36"/>
    <s v="Admin/HR/IT"/>
    <s v="AMCARE NonOcc In"/>
    <s v="AMZN"/>
    <n v="112950797"/>
    <s v="Serna,Denisse"/>
    <s v="Pizana,Diego"/>
    <n v="0"/>
    <n v="0"/>
    <n v="0"/>
    <n v="0"/>
    <n v="0.33"/>
    <s v="DA-X0700"/>
    <x v="1"/>
  </r>
  <r>
    <d v="2023-09-18T00:00:00"/>
    <x v="36"/>
    <s v="Admin/HR/IT"/>
    <s v="AMCARE NonOcc In"/>
    <s v="AMZN"/>
    <n v="113013981"/>
    <s v="Espinosa,Ali"/>
    <s v="Bueno Mendoza,Susana"/>
    <n v="0"/>
    <n v="0"/>
    <n v="0"/>
    <n v="0"/>
    <n v="0.39"/>
    <e v="#N/A"/>
    <x v="0"/>
  </r>
  <r>
    <d v="2023-09-18T00:00:00"/>
    <x v="36"/>
    <s v="Admin/HR/IT"/>
    <s v="AMCARE NonOcc In"/>
    <s v="AMZN"/>
    <n v="113014094"/>
    <s v="Mercado,Erika"/>
    <s v="Robledo Ugarte,Alejandro"/>
    <n v="0"/>
    <n v="0"/>
    <n v="0"/>
    <n v="0"/>
    <n v="0.31"/>
    <e v="#N/A"/>
    <x v="49"/>
  </r>
  <r>
    <d v="2023-09-18T00:00:00"/>
    <x v="36"/>
    <s v="Admin/HR/IT"/>
    <s v="AMCARE NonOcc In"/>
    <s v="AMZN"/>
    <n v="113052151"/>
    <s v="Nieves Mendez,Laura"/>
    <s v="Ledezma,Fer"/>
    <n v="0"/>
    <n v="0"/>
    <n v="0"/>
    <n v="0"/>
    <n v="0.23"/>
    <e v="#N/A"/>
    <x v="56"/>
  </r>
  <r>
    <d v="2023-09-18T00:00:00"/>
    <x v="36"/>
    <s v="Admin/HR/IT"/>
    <s v="AMCARE NonOcc In"/>
    <s v="AMZN"/>
    <n v="200563038"/>
    <s v="Arias,Elizabeth"/>
    <s v="Munoz,Jonan"/>
    <n v="0"/>
    <n v="0"/>
    <n v="0"/>
    <n v="0"/>
    <n v="0.34"/>
    <e v="#N/A"/>
    <x v="124"/>
  </r>
  <r>
    <d v="2023-09-18T00:00:00"/>
    <x v="36"/>
    <s v="Admin/HR/IT"/>
    <s v="AMCARE NonOcc In"/>
    <s v="AMZN"/>
    <n v="201165769"/>
    <s v="Puente,Karen"/>
    <s v="Piedra,Valentina"/>
    <n v="0"/>
    <n v="0"/>
    <n v="0"/>
    <n v="0"/>
    <n v="0.17"/>
    <e v="#N/A"/>
    <x v="113"/>
  </r>
  <r>
    <d v="2023-09-18T00:00:00"/>
    <x v="36"/>
    <s v="Admin/HR/IT"/>
    <s v="AMCARE NonOcc In"/>
    <s v="AMZN"/>
    <n v="201167501"/>
    <s v="Rodriguez,Ruben"/>
    <s v="Robledo Ugarte,Alejandro"/>
    <n v="0"/>
    <n v="0"/>
    <n v="0"/>
    <n v="0"/>
    <n v="0.12"/>
    <e v="#N/A"/>
    <x v="109"/>
  </r>
  <r>
    <d v="2023-09-18T00:00:00"/>
    <x v="36"/>
    <s v="Admin/HR/IT"/>
    <s v="AMCARE NonOcc In"/>
    <s v="TEMP"/>
    <n v="201320536"/>
    <s v="Ibarra,Miguel"/>
    <s v="Ledezma,Fer"/>
    <n v="0"/>
    <n v="0"/>
    <n v="0"/>
    <n v="0"/>
    <n v="0.28999999999999998"/>
    <e v="#N/A"/>
    <x v="139"/>
  </r>
  <r>
    <d v="2023-09-18T00:00:00"/>
    <x v="36"/>
    <s v="Admin/HR/IT"/>
    <s v="AMCARE NonOcc In"/>
    <s v="AMZN"/>
    <n v="201341534"/>
    <s v="Becerra,Esmeralda"/>
    <s v="Piedra,Valentina"/>
    <n v="0"/>
    <n v="0"/>
    <n v="0"/>
    <n v="0"/>
    <n v="0.08"/>
    <e v="#N/A"/>
    <x v="192"/>
  </r>
  <r>
    <d v="2023-09-18T00:00:00"/>
    <x v="36"/>
    <s v="Admin/HR/IT"/>
    <s v="AMCARE NonOcc In"/>
    <s v="TEMP"/>
    <n v="201882567"/>
    <s v="Valtierra,Salvador"/>
    <s v="Romero Sanchez,Gustavo Gabriel"/>
    <n v="0"/>
    <n v="0"/>
    <n v="0"/>
    <n v="0"/>
    <n v="0.15"/>
    <e v="#N/A"/>
    <x v="222"/>
  </r>
  <r>
    <d v="2023-09-18T00:00:00"/>
    <x v="36"/>
    <s v="Admin/HR/IT"/>
    <s v="AMCARE NonOcc In"/>
    <s v="TEMP"/>
    <n v="201891076"/>
    <s v="Olvera,Marilu"/>
    <s v="Romero Sanchez,Gustavo Gabriel"/>
    <n v="0"/>
    <n v="0"/>
    <n v="0"/>
    <n v="0"/>
    <n v="0.13"/>
    <e v="#N/A"/>
    <x v="200"/>
  </r>
  <r>
    <d v="2023-09-18T00:00:00"/>
    <x v="36"/>
    <s v="Admin/HR/IT"/>
    <s v="AMCARE NonOcc In"/>
    <s v="TEMP"/>
    <n v="201902140"/>
    <s v="GarcÃ­a,Alma"/>
    <s v="Pizana,Diego"/>
    <n v="0"/>
    <n v="0"/>
    <n v="0"/>
    <n v="0"/>
    <n v="0.18"/>
    <e v="#N/A"/>
    <x v="223"/>
  </r>
  <r>
    <d v="2023-09-18T00:00:00"/>
    <x v="36"/>
    <s v="Admin/HR/IT"/>
    <s v="AMCARE Out"/>
    <s v="AMZN"/>
    <n v="201378542"/>
    <s v="DElgado,David"/>
    <s v="Bueno Mendoza,Susana"/>
    <n v="0"/>
    <n v="0"/>
    <n v="0"/>
    <n v="0"/>
    <n v="0.55000000000000004"/>
    <e v="#N/A"/>
    <x v="185"/>
  </r>
  <r>
    <d v="2023-09-18T00:00:00"/>
    <x v="36"/>
    <s v="Admin/HR/IT"/>
    <s v="AMCARE Out"/>
    <s v="AMZN"/>
    <n v="201401219"/>
    <s v="Moreno,Nayma"/>
    <s v="Bueno Mendoza,Susana"/>
    <n v="0"/>
    <n v="0"/>
    <n v="0"/>
    <n v="0"/>
    <n v="0.19"/>
    <e v="#N/A"/>
    <x v="182"/>
  </r>
  <r>
    <d v="2023-09-19T00:00:00"/>
    <x v="36"/>
    <s v="Admin/HR/IT"/>
    <s v="AMCARE NonOcc In"/>
    <s v="AMZN"/>
    <n v="112912507"/>
    <s v="Velazquez,Charlie"/>
    <s v="Pizana,Diego"/>
    <n v="0"/>
    <n v="0"/>
    <n v="0"/>
    <n v="0"/>
    <n v="0.05"/>
    <s v="DA-X0700"/>
    <x v="102"/>
  </r>
  <r>
    <d v="2023-09-19T00:00:00"/>
    <x v="36"/>
    <s v="Admin/HR/IT"/>
    <s v="AMCARE NonOcc In"/>
    <s v="AMZN"/>
    <n v="112950797"/>
    <s v="Serna,Denisse"/>
    <s v="Pizana,Diego"/>
    <n v="0"/>
    <n v="0"/>
    <n v="0"/>
    <n v="0"/>
    <n v="0.04"/>
    <s v="DA-X0700"/>
    <x v="1"/>
  </r>
  <r>
    <d v="2023-09-19T00:00:00"/>
    <x v="36"/>
    <s v="Admin/HR/IT"/>
    <s v="AMCARE NonOcc In"/>
    <s v="AMZN"/>
    <n v="112980899"/>
    <s v="Avila Cabrera,Ari"/>
    <s v="Camarena,Grecia"/>
    <n v="0"/>
    <n v="0"/>
    <n v="0"/>
    <n v="0"/>
    <n v="0.24"/>
    <s v="NF-X1900"/>
    <x v="34"/>
  </r>
  <r>
    <d v="2023-09-19T00:00:00"/>
    <x v="36"/>
    <s v="Admin/HR/IT"/>
    <s v="AMCARE NonOcc In"/>
    <s v="AMZN"/>
    <n v="113013999"/>
    <s v="Rayas,Ivan"/>
    <s v="Bueno Mendoza,Susana"/>
    <n v="0"/>
    <n v="0"/>
    <n v="0"/>
    <n v="0"/>
    <n v="0.14000000000000001"/>
    <e v="#N/A"/>
    <x v="224"/>
  </r>
  <r>
    <d v="2023-09-19T00:00:00"/>
    <x v="36"/>
    <s v="Admin/HR/IT"/>
    <s v="AMCARE NonOcc In"/>
    <s v="AMZN"/>
    <n v="113019001"/>
    <s v="Lozano Hernandez,Donny"/>
    <s v="Bueno Mendoza,Susana"/>
    <n v="0"/>
    <n v="0"/>
    <n v="0"/>
    <n v="0"/>
    <n v="0.16"/>
    <e v="#N/A"/>
    <x v="48"/>
  </r>
  <r>
    <d v="2023-09-19T00:00:00"/>
    <x v="36"/>
    <s v="Admin/HR/IT"/>
    <s v="AMCARE NonOcc In"/>
    <s v="AMZN"/>
    <n v="113020463"/>
    <s v="Valtierra,Alejandra"/>
    <s v="Robledo Ugarte,Alejandro"/>
    <n v="0"/>
    <n v="0"/>
    <n v="0"/>
    <n v="0"/>
    <n v="0.13"/>
    <e v="#N/A"/>
    <x v="17"/>
  </r>
  <r>
    <d v="2023-09-19T00:00:00"/>
    <x v="36"/>
    <s v="Admin/HR/IT"/>
    <s v="AMCARE NonOcc In"/>
    <s v="AMZN"/>
    <n v="113020476"/>
    <s v="Puente Aguilar,Polette"/>
    <s v="Madrid Molina,Ramon"/>
    <n v="0"/>
    <n v="0"/>
    <n v="0"/>
    <n v="0"/>
    <n v="0.1"/>
    <e v="#N/A"/>
    <x v="19"/>
  </r>
  <r>
    <d v="2023-09-19T00:00:00"/>
    <x v="36"/>
    <s v="Admin/HR/IT"/>
    <s v="AMCARE NonOcc In"/>
    <s v="AMZN"/>
    <n v="201165769"/>
    <s v="Puente,Karen"/>
    <s v="Piedra,Valentina"/>
    <n v="0"/>
    <n v="0"/>
    <n v="0"/>
    <n v="0"/>
    <n v="0.09"/>
    <e v="#N/A"/>
    <x v="113"/>
  </r>
  <r>
    <d v="2023-09-19T00:00:00"/>
    <x v="36"/>
    <s v="Admin/HR/IT"/>
    <s v="AMCARE NonOcc In"/>
    <s v="AMZN"/>
    <n v="201166890"/>
    <s v="Caballero,Daniel"/>
    <s v="Romero Sanchez,Gustavo Gabriel"/>
    <n v="0"/>
    <n v="0"/>
    <n v="0"/>
    <n v="0"/>
    <n v="0.4"/>
    <e v="#N/A"/>
    <x v="141"/>
  </r>
  <r>
    <d v="2023-09-20T00:00:00"/>
    <x v="36"/>
    <s v="Admin/HR/IT"/>
    <s v="AMCARE NonOcc In"/>
    <s v="AMZN"/>
    <n v="112912397"/>
    <s v="Neri Zuniga,Ricardo"/>
    <s v="Gomez Aguado,Jorge"/>
    <n v="0"/>
    <n v="0"/>
    <n v="0"/>
    <n v="0"/>
    <n v="0.44"/>
    <s v="D5-X0700"/>
    <x v="59"/>
  </r>
  <r>
    <d v="2023-09-20T00:00:00"/>
    <x v="36"/>
    <s v="Admin/HR/IT"/>
    <s v="AMCARE NonOcc In"/>
    <s v="AMZN"/>
    <n v="112912507"/>
    <s v="Velazquez,Charlie"/>
    <s v="Pizana,Diego"/>
    <n v="0"/>
    <n v="0"/>
    <n v="0"/>
    <n v="0"/>
    <n v="0.28000000000000003"/>
    <s v="DA-X0700"/>
    <x v="102"/>
  </r>
  <r>
    <d v="2023-09-20T00:00:00"/>
    <x v="36"/>
    <s v="Admin/HR/IT"/>
    <s v="AMCARE NonOcc In"/>
    <s v="AMZN"/>
    <n v="112912752"/>
    <s v="Valderrama Gomez,Leslie"/>
    <s v="Camarena,Grecia"/>
    <n v="0"/>
    <n v="0"/>
    <n v="0"/>
    <n v="0"/>
    <n v="0.27"/>
    <s v="NF-X1900"/>
    <x v="5"/>
  </r>
  <r>
    <d v="2023-09-20T00:00:00"/>
    <x v="36"/>
    <s v="Admin/HR/IT"/>
    <s v="AMCARE NonOcc In"/>
    <s v="AMZN"/>
    <n v="112950797"/>
    <s v="Serna,Denisse"/>
    <s v="Pizana,Diego"/>
    <n v="0"/>
    <n v="0"/>
    <n v="0"/>
    <n v="0"/>
    <n v="0.15"/>
    <s v="DA-X0700"/>
    <x v="1"/>
  </r>
  <r>
    <d v="2023-09-20T00:00:00"/>
    <x v="36"/>
    <s v="Admin/HR/IT"/>
    <s v="AMCARE NonOcc In"/>
    <s v="AMZN"/>
    <n v="112971962"/>
    <s v="Reyes  Montes de oca,Alejandra"/>
    <s v="Lopez,Alexa"/>
    <n v="0"/>
    <n v="0"/>
    <n v="0"/>
    <n v="0"/>
    <n v="0.27"/>
    <s v="DB-X0700"/>
    <x v="26"/>
  </r>
  <r>
    <d v="2023-09-20T00:00:00"/>
    <x v="36"/>
    <s v="Admin/HR/IT"/>
    <s v="AMCARE NonOcc In"/>
    <s v="AMZN"/>
    <n v="112972710"/>
    <s v="Cortes Elias,Jessica"/>
    <s v="Cortes,Alejandra"/>
    <n v="0"/>
    <n v="0"/>
    <n v="0"/>
    <n v="0"/>
    <n v="0.14000000000000001"/>
    <s v="DX-X0700"/>
    <x v="45"/>
  </r>
  <r>
    <d v="2023-09-20T00:00:00"/>
    <x v="36"/>
    <s v="Admin/HR/IT"/>
    <s v="AMCARE NonOcc In"/>
    <s v="AMZN"/>
    <n v="112981061"/>
    <s v="Olguin,Claudia"/>
    <s v="Robledo Ugarte,Alejandro"/>
    <n v="0"/>
    <n v="0"/>
    <n v="0"/>
    <n v="0"/>
    <n v="0.13"/>
    <s v="DA-X0700"/>
    <x v="11"/>
  </r>
  <r>
    <d v="2023-09-20T00:00:00"/>
    <x v="36"/>
    <s v="Admin/HR/IT"/>
    <s v="AMCARE NonOcc In"/>
    <s v="AMZN"/>
    <n v="113003510"/>
    <s v="PÃ©rez MÃ©ndez,Cecy"/>
    <s v="Munoz,Jonan"/>
    <n v="0"/>
    <n v="0"/>
    <n v="0"/>
    <n v="0"/>
    <n v="0.4"/>
    <e v="#N/A"/>
    <x v="115"/>
  </r>
  <r>
    <d v="2023-09-20T00:00:00"/>
    <x v="36"/>
    <s v="Admin/HR/IT"/>
    <s v="AMCARE NonOcc In"/>
    <s v="TEMP"/>
    <n v="113003619"/>
    <s v="Villegas,Jesus"/>
    <s v="Madrid Molina,Ramon"/>
    <n v="0"/>
    <n v="0"/>
    <n v="0"/>
    <n v="0"/>
    <n v="0.19"/>
    <e v="#N/A"/>
    <x v="0"/>
  </r>
  <r>
    <d v="2023-09-20T00:00:00"/>
    <x v="36"/>
    <s v="Admin/HR/IT"/>
    <s v="AMCARE NonOcc In"/>
    <s v="AMZN"/>
    <n v="113014470"/>
    <s v="Aguilar Ibarra,Lupe"/>
    <s v="Robledo Ugarte,Alejandro"/>
    <n v="0"/>
    <n v="0"/>
    <n v="0"/>
    <n v="0"/>
    <n v="0.14000000000000001"/>
    <e v="#N/A"/>
    <x v="30"/>
  </r>
  <r>
    <d v="2023-09-20T00:00:00"/>
    <x v="36"/>
    <s v="Admin/HR/IT"/>
    <s v="AMCARE NonOcc In"/>
    <s v="AMZN"/>
    <n v="113101453"/>
    <s v="Isaac,Geovanna"/>
    <s v="Robledo Ugarte,Alejandro"/>
    <n v="0"/>
    <n v="0"/>
    <n v="0"/>
    <n v="0"/>
    <n v="0.15"/>
    <e v="#N/A"/>
    <x v="4"/>
  </r>
  <r>
    <d v="2023-09-20T00:00:00"/>
    <x v="36"/>
    <s v="Admin/HR/IT"/>
    <s v="AMCARE NonOcc In"/>
    <s v="AMZN"/>
    <n v="200574655"/>
    <s v="Mireles,Dulce"/>
    <s v="Corona Arriaga,Fernando"/>
    <n v="0"/>
    <n v="0"/>
    <n v="0"/>
    <n v="0"/>
    <n v="0.21"/>
    <e v="#N/A"/>
    <x v="88"/>
  </r>
  <r>
    <d v="2023-09-20T00:00:00"/>
    <x v="36"/>
    <s v="Admin/HR/IT"/>
    <s v="AMCARE NonOcc In"/>
    <s v="AMZN"/>
    <n v="201166890"/>
    <s v="Caballero,Daniel"/>
    <s v="Romero Sanchez,Gustavo Gabriel"/>
    <n v="0"/>
    <n v="0"/>
    <n v="0"/>
    <n v="0"/>
    <n v="1.33"/>
    <e v="#N/A"/>
    <x v="141"/>
  </r>
  <r>
    <d v="2023-09-20T00:00:00"/>
    <x v="36"/>
    <s v="Admin/HR/IT"/>
    <s v="AMCARE NonOcc In"/>
    <s v="AMZN"/>
    <n v="201167501"/>
    <s v="Rodriguez,Ruben"/>
    <s v="Robledo Ugarte,Alejandro"/>
    <n v="0"/>
    <n v="0"/>
    <n v="0"/>
    <n v="0"/>
    <n v="0.22"/>
    <e v="#N/A"/>
    <x v="109"/>
  </r>
  <r>
    <d v="2023-09-20T00:00:00"/>
    <x v="36"/>
    <s v="Admin/HR/IT"/>
    <s v="AMCARE NonOcc In"/>
    <s v="AMZN"/>
    <n v="201191390"/>
    <s v="GarcÃ­a,jesus"/>
    <s v="Madrid Molina,Ramon"/>
    <n v="0"/>
    <n v="0"/>
    <n v="0"/>
    <n v="0"/>
    <n v="0.83"/>
    <e v="#N/A"/>
    <x v="116"/>
  </r>
  <r>
    <d v="2023-09-20T00:00:00"/>
    <x v="36"/>
    <s v="Admin/HR/IT"/>
    <s v="AMCARE NonOcc In"/>
    <s v="AMZN"/>
    <n v="201223730"/>
    <s v="Sanchiz,Cesarito"/>
    <s v="Corona Arriaga,Fernando"/>
    <n v="0"/>
    <n v="0"/>
    <n v="0"/>
    <n v="0"/>
    <n v="0.73"/>
    <e v="#N/A"/>
    <x v="120"/>
  </r>
  <r>
    <d v="2023-09-20T00:00:00"/>
    <x v="36"/>
    <s v="Admin/HR/IT"/>
    <s v="AMCARE NonOcc In"/>
    <s v="AMZN"/>
    <n v="201228411"/>
    <s v="Hernandez Soriano,Jazmin"/>
    <s v="Corona Arriaga,Fernando"/>
    <n v="0"/>
    <n v="0"/>
    <n v="0"/>
    <n v="0"/>
    <n v="0.74"/>
    <e v="#N/A"/>
    <x v="123"/>
  </r>
  <r>
    <d v="2023-09-20T00:00:00"/>
    <x v="36"/>
    <s v="Admin/HR/IT"/>
    <s v="AMCARE NonOcc In"/>
    <s v="AMZN"/>
    <n v="201318220"/>
    <s v="Jasso,Raul"/>
    <s v="Bueno Mendoza,Susana"/>
    <n v="0"/>
    <n v="0"/>
    <n v="0"/>
    <n v="0"/>
    <n v="0.33"/>
    <e v="#N/A"/>
    <x v="193"/>
  </r>
  <r>
    <d v="2023-09-20T00:00:00"/>
    <x v="36"/>
    <s v="Admin/HR/IT"/>
    <s v="AMCARE NonOcc In"/>
    <s v="AMZN"/>
    <n v="201354965"/>
    <s v="JimÃ©nez,Aline"/>
    <s v="Lopez,Alexa"/>
    <n v="0"/>
    <n v="0"/>
    <n v="0"/>
    <n v="0"/>
    <n v="0.15"/>
    <e v="#N/A"/>
    <x v="152"/>
  </r>
  <r>
    <d v="2023-09-20T00:00:00"/>
    <x v="36"/>
    <s v="Admin/HR/IT"/>
    <s v="AMCARE NonOcc In"/>
    <s v="AMZN"/>
    <n v="201396328"/>
    <s v="Canchola,Alejandro"/>
    <s v="Rosas Negrete,Sebastian"/>
    <n v="0"/>
    <n v="0"/>
    <n v="0"/>
    <n v="0"/>
    <n v="0.13"/>
    <e v="#N/A"/>
    <x v="188"/>
  </r>
  <r>
    <d v="2023-09-20T00:00:00"/>
    <x v="36"/>
    <s v="Admin/HR/IT"/>
    <s v="AMCARE NonOcc In"/>
    <s v="TEMP"/>
    <n v="201880542"/>
    <s v="ORTIZ,CORPUS"/>
    <s v="Romero Sanchez,Gustavo Gabriel"/>
    <n v="0"/>
    <n v="0"/>
    <n v="0"/>
    <n v="0"/>
    <n v="0.46"/>
    <e v="#N/A"/>
    <x v="199"/>
  </r>
  <r>
    <d v="2023-09-21T00:00:00"/>
    <x v="36"/>
    <s v="Admin/HR/IT"/>
    <s v="AMCARE NonOcc In"/>
    <s v="AMZN"/>
    <n v="112912052"/>
    <s v="Ortiz Cedeno,Omar"/>
    <s v="Cortes,Alejandra"/>
    <n v="0"/>
    <n v="0"/>
    <n v="0"/>
    <n v="0"/>
    <n v="0.45"/>
    <s v="DB-X0700"/>
    <x v="111"/>
  </r>
  <r>
    <d v="2023-09-21T00:00:00"/>
    <x v="36"/>
    <s v="Admin/HR/IT"/>
    <s v="AMCARE NonOcc In"/>
    <s v="AMZN"/>
    <n v="112912661"/>
    <s v="Morales Gonzalez,Francisco"/>
    <s v="Hernandez,Nataly"/>
    <n v="0"/>
    <n v="0"/>
    <n v="0"/>
    <n v="0"/>
    <n v="0.1"/>
    <s v="DA-X0700"/>
    <x v="96"/>
  </r>
  <r>
    <d v="2023-09-21T00:00:00"/>
    <x v="36"/>
    <s v="Admin/HR/IT"/>
    <s v="AMCARE NonOcc In"/>
    <s v="AMZN"/>
    <n v="112920655"/>
    <s v="Diaz de LeÃ³n,Paola"/>
    <s v="Cortes,Alejandra"/>
    <n v="0"/>
    <n v="0"/>
    <n v="0"/>
    <n v="0"/>
    <n v="0.23"/>
    <e v="#N/A"/>
    <x v="0"/>
  </r>
  <r>
    <d v="2023-09-21T00:00:00"/>
    <x v="36"/>
    <s v="Admin/HR/IT"/>
    <s v="AMCARE NonOcc In"/>
    <s v="AMZN"/>
    <n v="112973049"/>
    <s v="Tavares Parra,Ely"/>
    <s v="Piedra,Valentina"/>
    <n v="0"/>
    <n v="0"/>
    <n v="0"/>
    <n v="0"/>
    <n v="0.25"/>
    <s v="DB-X0700"/>
    <x v="14"/>
  </r>
  <r>
    <d v="2023-09-21T00:00:00"/>
    <x v="36"/>
    <s v="Admin/HR/IT"/>
    <s v="AMCARE NonOcc In"/>
    <s v="AMZN"/>
    <n v="112976017"/>
    <s v="Baez Diaz,Ale"/>
    <s v="Ãvila,Arturo"/>
    <n v="0"/>
    <n v="0"/>
    <n v="0"/>
    <n v="0"/>
    <n v="0.04"/>
    <s v="DB-X0700"/>
    <x v="225"/>
  </r>
  <r>
    <d v="2023-09-21T00:00:00"/>
    <x v="36"/>
    <s v="Admin/HR/IT"/>
    <s v="AMCARE NonOcc In"/>
    <s v="AMZN"/>
    <n v="112976043"/>
    <s v="Rivas,Ricardo"/>
    <s v="Ãvila,Arturo"/>
    <n v="0"/>
    <n v="0"/>
    <n v="0"/>
    <n v="0"/>
    <n v="0.13"/>
    <s v="DE-X1024"/>
    <x v="184"/>
  </r>
  <r>
    <d v="2023-09-21T00:00:00"/>
    <x v="36"/>
    <s v="Admin/HR/IT"/>
    <s v="AMCARE NonOcc In"/>
    <s v="AMZN"/>
    <n v="113020476"/>
    <s v="Puente Aguilar,Polette"/>
    <s v="Madrid Molina,Ramon"/>
    <n v="0"/>
    <n v="0"/>
    <n v="0"/>
    <n v="0"/>
    <n v="0.12"/>
    <e v="#N/A"/>
    <x v="19"/>
  </r>
  <r>
    <d v="2023-09-21T00:00:00"/>
    <x v="36"/>
    <s v="Admin/HR/IT"/>
    <s v="AMCARE NonOcc In"/>
    <s v="AMZN"/>
    <n v="113052151"/>
    <s v="Nieves Mendez,Laura"/>
    <s v="Ledezma,Fer"/>
    <n v="0"/>
    <n v="0"/>
    <n v="0"/>
    <n v="0"/>
    <n v="0.42"/>
    <e v="#N/A"/>
    <x v="56"/>
  </r>
  <r>
    <d v="2023-09-21T00:00:00"/>
    <x v="36"/>
    <s v="Admin/HR/IT"/>
    <s v="AMCARE NonOcc In"/>
    <s v="AMZN"/>
    <n v="200464838"/>
    <s v="Ortiz,Fernando"/>
    <s v="Madrid Molina,Ramon"/>
    <n v="0"/>
    <n v="0"/>
    <n v="0"/>
    <n v="0"/>
    <n v="0.08"/>
    <e v="#N/A"/>
    <x v="28"/>
  </r>
  <r>
    <d v="2023-09-21T00:00:00"/>
    <x v="36"/>
    <s v="Admin/HR/IT"/>
    <s v="AMCARE NonOcc In"/>
    <s v="AMZN"/>
    <n v="201191390"/>
    <s v="GarcÃ­a,jesus"/>
    <s v="Madrid Molina,Ramon"/>
    <n v="0"/>
    <n v="0"/>
    <n v="0"/>
    <n v="0"/>
    <n v="0.51"/>
    <e v="#N/A"/>
    <x v="116"/>
  </r>
  <r>
    <d v="2023-09-21T00:00:00"/>
    <x v="36"/>
    <s v="Admin/HR/IT"/>
    <s v="AMCARE NonOcc In"/>
    <s v="AMZN"/>
    <n v="201211157"/>
    <s v="Vargas,Jesse"/>
    <s v="Gomez Aguado,Jorge"/>
    <n v="0"/>
    <n v="0"/>
    <n v="0"/>
    <n v="0"/>
    <n v="1.1599999999999999"/>
    <e v="#N/A"/>
    <x v="121"/>
  </r>
  <r>
    <d v="2023-09-21T00:00:00"/>
    <x v="36"/>
    <s v="Admin/HR/IT"/>
    <s v="AMCARE NonOcc In"/>
    <s v="AMZN"/>
    <n v="201223730"/>
    <s v="Sanchiz,Cesarito"/>
    <s v="Corona Arriaga,Fernando"/>
    <n v="0"/>
    <n v="0"/>
    <n v="0"/>
    <n v="0"/>
    <n v="0.98"/>
    <e v="#N/A"/>
    <x v="120"/>
  </r>
  <r>
    <d v="2023-09-21T00:00:00"/>
    <x v="36"/>
    <s v="Admin/HR/IT"/>
    <s v="AMCARE NonOcc In"/>
    <s v="AMZN"/>
    <n v="201228411"/>
    <s v="Hernandez Soriano,Jazmin"/>
    <s v="Corona Arriaga,Fernando"/>
    <n v="0"/>
    <n v="0"/>
    <n v="0"/>
    <n v="0"/>
    <n v="1.4"/>
    <e v="#N/A"/>
    <x v="123"/>
  </r>
  <r>
    <d v="2023-09-21T00:00:00"/>
    <x v="36"/>
    <s v="Admin/HR/IT"/>
    <s v="AMCARE NonOcc In"/>
    <s v="AMZN"/>
    <n v="201354965"/>
    <s v="JimÃ©nez,Aline"/>
    <s v="Lopez,Alexa"/>
    <n v="0"/>
    <n v="0"/>
    <n v="0"/>
    <n v="0"/>
    <n v="0.4"/>
    <e v="#N/A"/>
    <x v="152"/>
  </r>
  <r>
    <d v="2023-09-21T00:00:00"/>
    <x v="36"/>
    <s v="Admin/HR/IT"/>
    <s v="AMCARE NonOcc In"/>
    <s v="TEMP"/>
    <n v="201858789"/>
    <s v="HINOJOSA,IGNACIO"/>
    <s v="Ledezma,Fer"/>
    <n v="0"/>
    <n v="0"/>
    <n v="0"/>
    <n v="0"/>
    <n v="0.43"/>
    <e v="#N/A"/>
    <x v="197"/>
  </r>
  <r>
    <d v="2023-09-21T00:00:00"/>
    <x v="36"/>
    <s v="Admin/HR/IT"/>
    <s v="AMCARE NonOcc In"/>
    <s v="TEMP"/>
    <n v="201858867"/>
    <s v="Cruz Velazquez,Gabriela"/>
    <s v="Corona Arriaga,Fernando"/>
    <n v="0"/>
    <n v="0"/>
    <n v="0"/>
    <n v="0"/>
    <n v="0.2"/>
    <e v="#N/A"/>
    <x v="206"/>
  </r>
  <r>
    <d v="2023-09-22T00:00:00"/>
    <x v="36"/>
    <s v="Admin/HR/IT"/>
    <s v="AMCARE NonOcc In"/>
    <s v="AMZN"/>
    <n v="112971962"/>
    <s v="Reyes  Montes de oca,Alejandra"/>
    <s v="Lopez,Alexa"/>
    <n v="0"/>
    <n v="0"/>
    <n v="0"/>
    <n v="0"/>
    <n v="0.32"/>
    <s v="DB-X0700"/>
    <x v="26"/>
  </r>
  <r>
    <d v="2023-09-22T00:00:00"/>
    <x v="36"/>
    <s v="Admin/HR/IT"/>
    <s v="AMCARE NonOcc In"/>
    <s v="TEMP"/>
    <n v="113003619"/>
    <s v="Villegas,Jesus"/>
    <s v="Madrid Molina,Ramon"/>
    <n v="0"/>
    <n v="0"/>
    <n v="0"/>
    <n v="0"/>
    <n v="0.1"/>
    <e v="#N/A"/>
    <x v="0"/>
  </r>
  <r>
    <d v="2023-09-22T00:00:00"/>
    <x v="36"/>
    <s v="Admin/HR/IT"/>
    <s v="AMCARE NonOcc In"/>
    <s v="AMZN"/>
    <n v="113003656"/>
    <s v="Argote,Enrique"/>
    <s v="Munoz,Jonan"/>
    <n v="0"/>
    <n v="0"/>
    <n v="0"/>
    <n v="0"/>
    <n v="0.15"/>
    <e v="#N/A"/>
    <x v="21"/>
  </r>
  <r>
    <d v="2023-09-22T00:00:00"/>
    <x v="36"/>
    <s v="Admin/HR/IT"/>
    <s v="AMCARE NonOcc In"/>
    <s v="AMZN"/>
    <n v="200625528"/>
    <s v="Oliva,Lizbeth"/>
    <s v="Piedra,Valentina"/>
    <n v="0"/>
    <n v="0"/>
    <n v="0"/>
    <n v="0"/>
    <n v="0.12"/>
    <e v="#N/A"/>
    <x v="83"/>
  </r>
  <r>
    <d v="2023-09-22T00:00:00"/>
    <x v="36"/>
    <s v="Admin/HR/IT"/>
    <s v="AMCARE NonOcc In"/>
    <s v="AMZN"/>
    <n v="201159033"/>
    <s v="Arrona,Monserrat"/>
    <s v="Corona Arriaga,Fernando"/>
    <n v="0"/>
    <n v="0"/>
    <n v="0"/>
    <n v="0"/>
    <n v="0.23"/>
    <e v="#N/A"/>
    <x v="179"/>
  </r>
  <r>
    <d v="2023-09-22T00:00:00"/>
    <x v="36"/>
    <s v="Admin/HR/IT"/>
    <s v="AMCARE NonOcc In"/>
    <s v="AMZN"/>
    <n v="201219500"/>
    <s v="Mazy,RamsÃ©s"/>
    <s v="Ledezma,Fer"/>
    <n v="0"/>
    <n v="0"/>
    <n v="0"/>
    <n v="0"/>
    <n v="0.17"/>
    <e v="#N/A"/>
    <x v="122"/>
  </r>
  <r>
    <d v="2023-09-22T00:00:00"/>
    <x v="36"/>
    <s v="Admin/HR/IT"/>
    <s v="AMCARE NonOcc In"/>
    <s v="AMZN"/>
    <n v="201223730"/>
    <s v="Sanchiz,Cesarito"/>
    <s v="Corona Arriaga,Fernando"/>
    <n v="0"/>
    <n v="0"/>
    <n v="0"/>
    <n v="0"/>
    <n v="0.67"/>
    <e v="#N/A"/>
    <x v="120"/>
  </r>
  <r>
    <d v="2023-09-22T00:00:00"/>
    <x v="36"/>
    <s v="Admin/HR/IT"/>
    <s v="AMCARE NonOcc In"/>
    <s v="AMZN"/>
    <n v="201228411"/>
    <s v="Hernandez Soriano,Jazmin"/>
    <s v="Corona Arriaga,Fernando"/>
    <n v="0"/>
    <n v="0"/>
    <n v="0"/>
    <n v="0"/>
    <n v="0.65"/>
    <e v="#N/A"/>
    <x v="123"/>
  </r>
  <r>
    <d v="2023-09-22T00:00:00"/>
    <x v="36"/>
    <s v="Admin/HR/IT"/>
    <s v="AMCARE NonOcc In"/>
    <s v="AMZN"/>
    <n v="201298204"/>
    <s v="Gonzalez,Mayra"/>
    <s v="Munoz,Jonan"/>
    <n v="0"/>
    <n v="0"/>
    <n v="0"/>
    <n v="0"/>
    <n v="0.1"/>
    <e v="#N/A"/>
    <x v="0"/>
  </r>
  <r>
    <d v="2023-09-22T00:00:00"/>
    <x v="36"/>
    <s v="Admin/HR/IT"/>
    <s v="AMCARE NonOcc In"/>
    <s v="AMZN"/>
    <n v="201354965"/>
    <s v="JimÃ©nez,Aline"/>
    <s v="Lopez,Alexa"/>
    <n v="0"/>
    <n v="0"/>
    <n v="0"/>
    <n v="0"/>
    <n v="0.88"/>
    <e v="#N/A"/>
    <x v="152"/>
  </r>
  <r>
    <d v="2023-09-22T00:00:00"/>
    <x v="36"/>
    <s v="Admin/HR/IT"/>
    <s v="AMCARE NonOcc In"/>
    <s v="TEMP"/>
    <n v="201842064"/>
    <s v="Agripino,Andrea"/>
    <s v="Ledezma,Fer"/>
    <n v="0"/>
    <n v="0"/>
    <n v="0"/>
    <n v="0"/>
    <n v="0.97"/>
    <e v="#N/A"/>
    <x v="210"/>
  </r>
  <r>
    <d v="2023-09-22T00:00:00"/>
    <x v="36"/>
    <s v="Admin/HR/IT"/>
    <s v="AMCARE NonOcc In"/>
    <s v="TEMP"/>
    <n v="201858867"/>
    <s v="Cruz Velazquez,Gabriela"/>
    <s v="Corona Arriaga,Fernando"/>
    <n v="0"/>
    <n v="0"/>
    <n v="0"/>
    <n v="0"/>
    <n v="0.83"/>
    <e v="#N/A"/>
    <x v="206"/>
  </r>
  <r>
    <d v="2023-09-23T00:00:00"/>
    <x v="36"/>
    <s v="Admin/HR/IT"/>
    <s v="AMCARE NonOcc In"/>
    <s v="AMZN"/>
    <n v="112920654"/>
    <s v="Horta,Julieta"/>
    <s v="Hernandez,Nataly"/>
    <n v="0"/>
    <n v="0"/>
    <n v="0"/>
    <n v="0"/>
    <n v="1.37"/>
    <s v="DB-X0700"/>
    <x v="61"/>
  </r>
  <r>
    <d v="2023-09-23T00:00:00"/>
    <x v="36"/>
    <s v="Admin/HR/IT"/>
    <s v="AMCARE NonOcc In"/>
    <s v="AMZN"/>
    <n v="112972521"/>
    <s v="Perez,Ronny"/>
    <s v="Hernandez,Nataly"/>
    <n v="0"/>
    <n v="0"/>
    <n v="0"/>
    <n v="0"/>
    <n v="0.38"/>
    <s v="DB-X0700"/>
    <x v="176"/>
  </r>
  <r>
    <d v="2023-09-23T00:00:00"/>
    <x v="36"/>
    <s v="Admin/HR/IT"/>
    <s v="AMCARE NonOcc In"/>
    <s v="AMZN"/>
    <n v="112972524"/>
    <s v="Santibanez Garcia,Luisa"/>
    <s v="Hernandez,Nataly"/>
    <n v="0"/>
    <n v="0"/>
    <n v="0"/>
    <n v="0"/>
    <n v="0.41"/>
    <s v="DB-X0700"/>
    <x v="15"/>
  </r>
  <r>
    <d v="2023-09-23T00:00:00"/>
    <x v="36"/>
    <s v="Admin/HR/IT"/>
    <s v="AMCARE NonOcc In"/>
    <s v="AMZN"/>
    <n v="200526598"/>
    <s v="Tellez Nunez,Enrique"/>
    <s v="Madrid Molina,Ramon"/>
    <n v="0"/>
    <n v="0"/>
    <n v="0"/>
    <n v="0"/>
    <s v="ok "/>
    <e v="#N/A"/>
    <x v="0"/>
  </r>
  <r>
    <d v="2023-09-23T00:00:00"/>
    <x v="36"/>
    <s v="Admin/HR/IT"/>
    <s v="AMCARE NonOcc In"/>
    <s v="AMZN"/>
    <n v="200614224"/>
    <s v="Cruz Hernandez,Cris"/>
    <s v="Lopez,Alexa"/>
    <n v="0"/>
    <n v="0"/>
    <n v="0"/>
    <n v="0"/>
    <n v="0.28000000000000003"/>
    <e v="#N/A"/>
    <x v="0"/>
  </r>
  <r>
    <d v="2023-09-23T00:00:00"/>
    <x v="36"/>
    <s v="Admin/HR/IT"/>
    <s v="AMCARE NonOcc In"/>
    <s v="TEMP"/>
    <n v="201408478"/>
    <s v="Calderon,David"/>
    <s v="Madrid Molina,Ramon"/>
    <n v="0"/>
    <n v="0"/>
    <n v="0"/>
    <n v="0"/>
    <n v="0.79"/>
    <e v="#N/A"/>
    <x v="160"/>
  </r>
  <r>
    <d v="2023-09-24T00:00:00"/>
    <x v="37"/>
    <s v="Admin/HR/IT"/>
    <s v="AMCARE NonOcc In"/>
    <s v="AMZN"/>
    <n v="112912506"/>
    <s v="Garcia  Caudillo,Jessica"/>
    <s v="Camarena,Grecia"/>
    <n v="0"/>
    <n v="0"/>
    <n v="0"/>
    <n v="0"/>
    <n v="0.13"/>
    <s v="DA-X0700"/>
    <x v="144"/>
  </r>
  <r>
    <d v="2023-09-24T00:00:00"/>
    <x v="37"/>
    <s v="Admin/HR/IT"/>
    <s v="AMCARE NonOcc In"/>
    <s v="AMZN"/>
    <n v="112950784"/>
    <s v="Rojas,Samuel"/>
    <s v="Pizana,Diego"/>
    <n v="0"/>
    <n v="0"/>
    <n v="0"/>
    <n v="0"/>
    <n v="0.1"/>
    <s v="NF-X1900"/>
    <x v="13"/>
  </r>
  <r>
    <d v="2023-09-24T00:00:00"/>
    <x v="37"/>
    <s v="Admin/HR/IT"/>
    <s v="AMCARE NonOcc In"/>
    <s v="AMZN"/>
    <n v="112950792"/>
    <s v="Morales Gonzalez,Genesis"/>
    <s v="Pizana,Diego"/>
    <n v="0"/>
    <n v="0"/>
    <n v="0"/>
    <n v="0"/>
    <n v="0.75"/>
    <s v="NF-X1900"/>
    <x v="84"/>
  </r>
  <r>
    <d v="2023-09-24T00:00:00"/>
    <x v="37"/>
    <s v="Admin/HR/IT"/>
    <s v="AMCARE NonOcc In"/>
    <s v="AMZN"/>
    <n v="112980986"/>
    <s v="Colchado Garcia,Eser"/>
    <s v="Rosas Negrete,Sebastian"/>
    <n v="0"/>
    <n v="0"/>
    <n v="0"/>
    <n v="0"/>
    <n v="0.16"/>
    <s v="DJ-X0700"/>
    <x v="142"/>
  </r>
  <r>
    <d v="2023-09-24T00:00:00"/>
    <x v="37"/>
    <s v="Admin/HR/IT"/>
    <s v="AMCARE NonOcc In"/>
    <s v="AMZN"/>
    <n v="113014094"/>
    <s v="Mercado,Erika"/>
    <s v="Robledo Ugarte,Alejandro"/>
    <n v="0"/>
    <n v="0"/>
    <n v="0"/>
    <n v="0"/>
    <n v="0.13"/>
    <e v="#N/A"/>
    <x v="49"/>
  </r>
  <r>
    <d v="2023-09-24T00:00:00"/>
    <x v="37"/>
    <s v="Admin/HR/IT"/>
    <s v="AMCARE NonOcc In"/>
    <s v="AMZN"/>
    <n v="200404250"/>
    <s v="Hurtado,Caty"/>
    <s v="Romero Sanchez,Gustavo Gabriel"/>
    <n v="0"/>
    <n v="0"/>
    <n v="0"/>
    <n v="0"/>
    <n v="0.28999999999999998"/>
    <e v="#N/A"/>
    <x v="6"/>
  </r>
  <r>
    <d v="2023-09-24T00:00:00"/>
    <x v="37"/>
    <s v="Admin/HR/IT"/>
    <s v="AMCARE NonOcc In"/>
    <s v="AMZN"/>
    <n v="201197964"/>
    <s v="Quijas,Matzayani"/>
    <s v="Romero Sanchez,Gustavo Gabriel"/>
    <n v="0"/>
    <n v="0"/>
    <n v="0"/>
    <n v="0"/>
    <n v="0.12"/>
    <e v="#N/A"/>
    <x v="191"/>
  </r>
  <r>
    <d v="2023-09-24T00:00:00"/>
    <x v="37"/>
    <s v="Admin/HR/IT"/>
    <s v="AMCARE Out"/>
    <s v="AMZN"/>
    <n v="201401219"/>
    <s v="Moreno,Nayma"/>
    <s v="Bueno Mendoza,Susana"/>
    <n v="0"/>
    <n v="0"/>
    <n v="0"/>
    <n v="0"/>
    <n v="1"/>
    <e v="#N/A"/>
    <x v="182"/>
  </r>
  <r>
    <d v="2023-09-25T00:00:00"/>
    <x v="37"/>
    <s v="Admin/HR/IT"/>
    <s v="AMCARE NonOcc In"/>
    <s v="AMZN"/>
    <n v="112912209"/>
    <s v="Morales,Sarahi"/>
    <s v="Camarena,Grecia"/>
    <n v="0"/>
    <n v="0"/>
    <n v="0"/>
    <n v="0"/>
    <n v="0.4"/>
    <s v="NF-X1900"/>
    <x v="90"/>
  </r>
  <r>
    <d v="2023-09-25T00:00:00"/>
    <x v="37"/>
    <s v="Admin/HR/IT"/>
    <s v="AMCARE NonOcc In"/>
    <s v="AMZN"/>
    <n v="112981013"/>
    <s v="Lopez Neri,Norma"/>
    <s v="Rosas Negrete,Sebastian"/>
    <n v="0"/>
    <n v="0"/>
    <n v="0"/>
    <n v="0"/>
    <n v="0.16"/>
    <s v="DA-X0700"/>
    <x v="12"/>
  </r>
  <r>
    <d v="2023-09-25T00:00:00"/>
    <x v="37"/>
    <s v="Admin/HR/IT"/>
    <s v="AMCARE NonOcc In"/>
    <s v="AMZN"/>
    <n v="113014403"/>
    <s v="Arias Sanchez,Nora"/>
    <s v="Rosas Negrete,Sebastian"/>
    <n v="0"/>
    <n v="0"/>
    <n v="0"/>
    <n v="0"/>
    <n v="0.21"/>
    <e v="#N/A"/>
    <x v="32"/>
  </r>
  <r>
    <d v="2023-09-25T00:00:00"/>
    <x v="37"/>
    <s v="Admin/HR/IT"/>
    <s v="AMCARE NonOcc In"/>
    <s v="AMZN"/>
    <n v="200570729"/>
    <s v="Rodriguez,Carolina"/>
    <s v="Piedra,Valentina"/>
    <n v="0"/>
    <n v="0"/>
    <n v="0"/>
    <n v="0"/>
    <n v="0.21"/>
    <e v="#N/A"/>
    <x v="93"/>
  </r>
  <r>
    <d v="2023-09-25T00:00:00"/>
    <x v="37"/>
    <s v="Admin/HR/IT"/>
    <s v="AMCARE NonOcc In"/>
    <s v="AMZN"/>
    <n v="200620341"/>
    <s v="Camacho Ramirez,Carlos"/>
    <s v="Rosas Negrete,Sebastian"/>
    <n v="0"/>
    <n v="0"/>
    <n v="0"/>
    <n v="0"/>
    <n v="0.17"/>
    <e v="#N/A"/>
    <x v="0"/>
  </r>
  <r>
    <d v="2023-09-25T00:00:00"/>
    <x v="37"/>
    <s v="Admin/HR/IT"/>
    <s v="AMCARE NonOcc In"/>
    <s v="AMZN"/>
    <n v="200625528"/>
    <s v="Oliva,Lizbeth"/>
    <s v="Piedra,Valentina"/>
    <n v="0"/>
    <n v="0"/>
    <n v="0"/>
    <n v="0"/>
    <n v="0.1"/>
    <e v="#N/A"/>
    <x v="83"/>
  </r>
  <r>
    <d v="2023-09-25T00:00:00"/>
    <x v="37"/>
    <s v="Admin/HR/IT"/>
    <s v="AMCARE NonOcc In"/>
    <s v="AMZN"/>
    <n v="201167501"/>
    <s v="Rodriguez,Ruben"/>
    <s v="Robledo Ugarte,Alejandro"/>
    <n v="0"/>
    <n v="0"/>
    <n v="0"/>
    <n v="0"/>
    <n v="0.13"/>
    <e v="#N/A"/>
    <x v="109"/>
  </r>
  <r>
    <d v="2023-09-25T00:00:00"/>
    <x v="37"/>
    <s v="Admin/HR/IT"/>
    <s v="AMCARE Out"/>
    <s v="AMZN"/>
    <n v="201318220"/>
    <s v="Jasso,Raul"/>
    <s v="Bueno Mendoza,Susana"/>
    <n v="0"/>
    <n v="0"/>
    <n v="0"/>
    <n v="0"/>
    <n v="0.66"/>
    <e v="#N/A"/>
    <x v="193"/>
  </r>
  <r>
    <d v="2023-09-26T00:00:00"/>
    <x v="37"/>
    <s v="Admin/HR/IT"/>
    <s v="AMCARE NonOcc In"/>
    <s v="AMZN"/>
    <n v="103979960"/>
    <s v="Suchil Angel,Guillermo"/>
    <s v="Robledo Ugarte,Alejandro"/>
    <n v="0"/>
    <n v="0"/>
    <n v="0"/>
    <n v="0"/>
    <n v="0.99"/>
    <e v="#N/A"/>
    <x v="0"/>
  </r>
  <r>
    <d v="2023-09-26T00:00:00"/>
    <x v="37"/>
    <s v="Admin/HR/IT"/>
    <s v="AMCARE NonOcc In"/>
    <s v="AMZN"/>
    <n v="112912049"/>
    <s v="Vazquez Rodriguez,Christian"/>
    <s v="Gomez Aguado,Jorge"/>
    <n v="0"/>
    <n v="0"/>
    <n v="0"/>
    <n v="0"/>
    <n v="0.16"/>
    <s v="NF-X1900"/>
    <x v="60"/>
  </r>
  <r>
    <d v="2023-09-26T00:00:00"/>
    <x v="37"/>
    <s v="Admin/HR/IT"/>
    <s v="AMCARE NonOcc In"/>
    <s v="AMZN"/>
    <n v="112912752"/>
    <s v="Valderrama Gomez,Leslie"/>
    <s v="Camarena,Grecia"/>
    <n v="0"/>
    <n v="0"/>
    <n v="0"/>
    <n v="0"/>
    <n v="0.19"/>
    <s v="NF-X1900"/>
    <x v="5"/>
  </r>
  <r>
    <d v="2023-09-26T00:00:00"/>
    <x v="37"/>
    <s v="Admin/HR/IT"/>
    <s v="AMCARE NonOcc In"/>
    <s v="AMZN"/>
    <n v="112950784"/>
    <s v="Rojas,Samuel"/>
    <s v="Pizana,Diego"/>
    <n v="0"/>
    <n v="0"/>
    <n v="0"/>
    <n v="0"/>
    <n v="0.16"/>
    <s v="NF-X1900"/>
    <x v="13"/>
  </r>
  <r>
    <d v="2023-09-26T00:00:00"/>
    <x v="37"/>
    <s v="Admin/HR/IT"/>
    <s v="AMCARE NonOcc In"/>
    <s v="AMZN"/>
    <n v="112971980"/>
    <s v="Romero,Daniel"/>
    <s v="Cortes,Alejandra"/>
    <n v="0"/>
    <n v="0"/>
    <n v="0"/>
    <n v="0"/>
    <n v="0.89"/>
    <s v="DC-X0700"/>
    <x v="43"/>
  </r>
  <r>
    <d v="2023-09-26T00:00:00"/>
    <x v="37"/>
    <s v="Admin/HR/IT"/>
    <s v="AMCARE NonOcc In"/>
    <s v="AMZN"/>
    <n v="112972521"/>
    <s v="Perez,Ronny"/>
    <s v="Hernandez,Nataly"/>
    <n v="0"/>
    <n v="0"/>
    <n v="0"/>
    <n v="0"/>
    <n v="0.08"/>
    <s v="DB-X0700"/>
    <x v="176"/>
  </r>
  <r>
    <d v="2023-09-26T00:00:00"/>
    <x v="37"/>
    <s v="Admin/HR/IT"/>
    <s v="AMCARE NonOcc In"/>
    <s v="TEMP"/>
    <n v="113014081"/>
    <s v="Frausto,Genesis"/>
    <s v="Gomez Aguado,Jorge"/>
    <n v="0"/>
    <n v="0"/>
    <n v="0"/>
    <n v="0"/>
    <n v="0.47"/>
    <e v="#N/A"/>
    <x v="9"/>
  </r>
  <r>
    <d v="2023-09-26T00:00:00"/>
    <x v="37"/>
    <s v="Admin/HR/IT"/>
    <s v="AMCARE NonOcc In"/>
    <s v="AMZN"/>
    <n v="200564895"/>
    <s v="Mendoza Corona,Brianda"/>
    <s v="Robledo Ugarte,Alejandro"/>
    <n v="0"/>
    <n v="0"/>
    <n v="0"/>
    <n v="0"/>
    <n v="0.26"/>
    <e v="#N/A"/>
    <x v="64"/>
  </r>
  <r>
    <d v="2023-09-26T00:00:00"/>
    <x v="37"/>
    <s v="Admin/HR/IT"/>
    <s v="AMCARE NonOcc In"/>
    <s v="AMZN"/>
    <n v="200570729"/>
    <s v="Rodriguez,Carolina"/>
    <s v="Piedra,Valentina"/>
    <n v="0"/>
    <n v="0"/>
    <n v="0"/>
    <n v="0"/>
    <n v="0.19"/>
    <e v="#N/A"/>
    <x v="93"/>
  </r>
  <r>
    <d v="2023-09-26T00:00:00"/>
    <x v="37"/>
    <s v="Admin/HR/IT"/>
    <s v="AMCARE NonOcc In"/>
    <s v="AMZN"/>
    <n v="200620341"/>
    <s v="Camacho Ramirez,Carlos"/>
    <s v="Rosas Negrete,Sebastian"/>
    <n v="0"/>
    <n v="0"/>
    <n v="0"/>
    <n v="0"/>
    <n v="0.27"/>
    <e v="#N/A"/>
    <x v="0"/>
  </r>
  <r>
    <d v="2023-09-26T00:00:00"/>
    <x v="37"/>
    <s v="Admin/HR/IT"/>
    <s v="AMCARE NonOcc In"/>
    <s v="AMZN"/>
    <n v="201167501"/>
    <s v="Rodriguez,Ruben"/>
    <s v="Robledo Ugarte,Alejandro"/>
    <n v="0"/>
    <n v="0"/>
    <n v="0"/>
    <n v="0"/>
    <n v="0.27"/>
    <e v="#N/A"/>
    <x v="109"/>
  </r>
  <r>
    <d v="2023-09-26T00:00:00"/>
    <x v="37"/>
    <s v="Admin/HR/IT"/>
    <s v="AMCARE NonOcc In"/>
    <s v="AMZN"/>
    <n v="201186777"/>
    <s v="Monzon,Berenice"/>
    <s v="Romero Sanchez,Gustavo Gabriel"/>
    <n v="0"/>
    <n v="0"/>
    <n v="0"/>
    <n v="0"/>
    <n v="0.2"/>
    <e v="#N/A"/>
    <x v="107"/>
  </r>
  <r>
    <d v="2023-09-26T00:00:00"/>
    <x v="37"/>
    <s v="Admin/HR/IT"/>
    <s v="AMCARE NonOcc In"/>
    <s v="TEMP"/>
    <n v="201880542"/>
    <s v="ORTIZ,CORPUS"/>
    <s v="Romero Sanchez,Gustavo Gabriel"/>
    <n v="0"/>
    <n v="0"/>
    <n v="0"/>
    <n v="0"/>
    <n v="0.28999999999999998"/>
    <e v="#N/A"/>
    <x v="199"/>
  </r>
  <r>
    <d v="2023-09-26T00:00:00"/>
    <x v="37"/>
    <s v="Admin/HR/IT"/>
    <s v="AMCARE Out"/>
    <s v="TEMP"/>
    <n v="201903097"/>
    <s v="Oliva,Montserrat"/>
    <s v="Ledezma,Fer"/>
    <n v="0"/>
    <n v="0"/>
    <n v="0"/>
    <n v="0"/>
    <n v="0.9"/>
    <e v="#N/A"/>
    <x v="208"/>
  </r>
  <r>
    <d v="2023-09-27T00:00:00"/>
    <x v="37"/>
    <s v="Admin/HR/IT"/>
    <s v="AMCARE NonOcc In"/>
    <s v="AMZN"/>
    <n v="112912209"/>
    <s v="Morales,Sarahi"/>
    <s v="Camarena,Grecia"/>
    <n v="0"/>
    <n v="0"/>
    <n v="0"/>
    <n v="0"/>
    <n v="1.19"/>
    <s v="NF-X1900"/>
    <x v="90"/>
  </r>
  <r>
    <d v="2023-09-27T00:00:00"/>
    <x v="37"/>
    <s v="Admin/HR/IT"/>
    <s v="AMCARE NonOcc In"/>
    <s v="AMZN"/>
    <n v="112912752"/>
    <s v="Valderrama Gomez,Leslie"/>
    <s v="Camarena,Grecia"/>
    <n v="0"/>
    <n v="0"/>
    <n v="0"/>
    <n v="0"/>
    <n v="0.52"/>
    <s v="NF-X1900"/>
    <x v="5"/>
  </r>
  <r>
    <d v="2023-09-27T00:00:00"/>
    <x v="37"/>
    <s v="Admin/HR/IT"/>
    <s v="AMCARE NonOcc In"/>
    <s v="AMZN"/>
    <n v="112920637"/>
    <s v="Tapia,Antonio Torres"/>
    <s v="Cortes,Alejandra"/>
    <n v="0"/>
    <n v="0"/>
    <n v="0"/>
    <n v="0"/>
    <n v="0.43"/>
    <s v="DB-X0700"/>
    <x v="38"/>
  </r>
  <r>
    <d v="2023-09-27T00:00:00"/>
    <x v="37"/>
    <s v="Admin/HR/IT"/>
    <s v="AMCARE NonOcc In"/>
    <s v="AMZN"/>
    <n v="112980899"/>
    <s v="Avila Cabrera,Ari"/>
    <s v="Camarena,Grecia"/>
    <n v="0"/>
    <n v="0"/>
    <n v="0"/>
    <n v="0"/>
    <n v="0.31"/>
    <s v="NF-X1900"/>
    <x v="34"/>
  </r>
  <r>
    <d v="2023-09-27T00:00:00"/>
    <x v="37"/>
    <s v="Admin/HR/IT"/>
    <s v="AMCARE NonOcc In"/>
    <s v="AMZN"/>
    <n v="112981061"/>
    <s v="Olguin,Claudia"/>
    <s v="Robledo Ugarte,Alejandro"/>
    <n v="0"/>
    <n v="0"/>
    <n v="0"/>
    <n v="0"/>
    <n v="0.3"/>
    <s v="DA-X0700"/>
    <x v="11"/>
  </r>
  <r>
    <d v="2023-09-27T00:00:00"/>
    <x v="37"/>
    <s v="Admin/HR/IT"/>
    <s v="AMCARE NonOcc In"/>
    <s v="TEMP"/>
    <n v="113003619"/>
    <s v="Villegas,Jesus"/>
    <s v="Madrid Molina,Ramon"/>
    <n v="0"/>
    <n v="0"/>
    <n v="0"/>
    <n v="0"/>
    <n v="0.19"/>
    <e v="#N/A"/>
    <x v="0"/>
  </r>
  <r>
    <d v="2023-09-27T00:00:00"/>
    <x v="37"/>
    <s v="Admin/HR/IT"/>
    <s v="AMCARE NonOcc In"/>
    <s v="AMZN"/>
    <n v="113014592"/>
    <s v="Picazo,Brenda"/>
    <s v="Romero Sanchez,Gustavo Gabriel"/>
    <n v="0"/>
    <n v="0"/>
    <n v="0"/>
    <n v="0"/>
    <n v="0.09"/>
    <e v="#N/A"/>
    <x v="127"/>
  </r>
  <r>
    <d v="2023-09-27T00:00:00"/>
    <x v="37"/>
    <s v="Admin/HR/IT"/>
    <s v="AMCARE NonOcc In"/>
    <s v="AMZN"/>
    <n v="113101453"/>
    <s v="Isaac,Geovanna"/>
    <s v="Robledo Ugarte,Alejandro"/>
    <n v="0"/>
    <n v="0"/>
    <n v="0"/>
    <n v="0"/>
    <n v="0.52"/>
    <e v="#N/A"/>
    <x v="4"/>
  </r>
  <r>
    <d v="2023-09-27T00:00:00"/>
    <x v="37"/>
    <s v="Admin/HR/IT"/>
    <s v="AMCARE NonOcc In"/>
    <s v="AMZN"/>
    <n v="200508315"/>
    <s v="Herrera,Aldair"/>
    <s v="Madrid Molina,Ramon"/>
    <n v="0"/>
    <n v="0"/>
    <n v="0"/>
    <n v="0"/>
    <n v="0.2"/>
    <e v="#N/A"/>
    <x v="41"/>
  </r>
  <r>
    <d v="2023-09-27T00:00:00"/>
    <x v="37"/>
    <s v="Admin/HR/IT"/>
    <s v="AMCARE NonOcc In"/>
    <s v="AMZN"/>
    <n v="200614224"/>
    <s v="Cruz Hernandez,Cris"/>
    <s v="Lopez,Alexa"/>
    <n v="0"/>
    <n v="0"/>
    <n v="0"/>
    <n v="0"/>
    <n v="0.11"/>
    <e v="#N/A"/>
    <x v="0"/>
  </r>
  <r>
    <d v="2023-09-27T00:00:00"/>
    <x v="37"/>
    <s v="Admin/HR/IT"/>
    <s v="AMCARE NonOcc In"/>
    <s v="AMZN"/>
    <n v="201166890"/>
    <s v="Caballero,Daniel"/>
    <s v="Romero Sanchez,Gustavo Gabriel"/>
    <n v="0"/>
    <n v="0"/>
    <n v="0"/>
    <n v="0"/>
    <n v="1.1100000000000001"/>
    <e v="#N/A"/>
    <x v="141"/>
  </r>
  <r>
    <d v="2023-09-27T00:00:00"/>
    <x v="37"/>
    <s v="Admin/HR/IT"/>
    <s v="AMCARE NonOcc In"/>
    <s v="AMZN"/>
    <n v="201167501"/>
    <s v="Rodriguez,Ruben"/>
    <s v="Robledo Ugarte,Alejandro"/>
    <n v="0"/>
    <n v="0"/>
    <n v="0"/>
    <n v="0"/>
    <n v="0.38"/>
    <e v="#N/A"/>
    <x v="109"/>
  </r>
  <r>
    <d v="2023-09-27T00:00:00"/>
    <x v="37"/>
    <s v="Admin/HR/IT"/>
    <s v="AMCARE NonOcc In"/>
    <s v="AMZN"/>
    <n v="201172412"/>
    <s v="Castellanos,Adriana"/>
    <s v="Robledo Ugarte,Alejandro"/>
    <n v="0"/>
    <n v="0"/>
    <n v="0"/>
    <n v="0"/>
    <n v="0.12"/>
    <e v="#N/A"/>
    <x v="136"/>
  </r>
  <r>
    <d v="2023-09-27T00:00:00"/>
    <x v="37"/>
    <s v="Admin/HR/IT"/>
    <s v="AMCARE NonOcc In"/>
    <s v="AMZN"/>
    <n v="201198922"/>
    <s v="Mendez,Joy"/>
    <s v="Munoz,Jonan"/>
    <n v="0"/>
    <n v="0"/>
    <n v="0"/>
    <n v="0"/>
    <n v="0.17"/>
    <e v="#N/A"/>
    <x v="173"/>
  </r>
  <r>
    <d v="2023-09-27T00:00:00"/>
    <x v="37"/>
    <s v="Admin/HR/IT"/>
    <s v="AMCARE NonOcc In"/>
    <s v="AMZN"/>
    <n v="201223730"/>
    <s v="Sanchiz,Cesarito"/>
    <s v="Corona Arriaga,Fernando"/>
    <n v="0"/>
    <n v="0"/>
    <n v="0"/>
    <n v="0"/>
    <n v="0.27"/>
    <e v="#N/A"/>
    <x v="120"/>
  </r>
  <r>
    <d v="2023-09-27T00:00:00"/>
    <x v="37"/>
    <s v="Admin/HR/IT"/>
    <s v="AMCARE NonOcc In"/>
    <s v="AMZN"/>
    <n v="201300426"/>
    <s v="Lira,Adrian"/>
    <s v="Hernandez,Nataly"/>
    <n v="0"/>
    <n v="0"/>
    <n v="0"/>
    <n v="0"/>
    <n v="1.68"/>
    <e v="#N/A"/>
    <x v="167"/>
  </r>
  <r>
    <d v="2023-09-27T00:00:00"/>
    <x v="37"/>
    <s v="Admin/HR/IT"/>
    <s v="AMCARE NonOcc In"/>
    <s v="AMZN"/>
    <n v="201318220"/>
    <s v="Jasso,Raul"/>
    <s v="Bueno Mendoza,Susana"/>
    <n v="0"/>
    <n v="0"/>
    <n v="0"/>
    <n v="0"/>
    <n v="0.5"/>
    <e v="#N/A"/>
    <x v="193"/>
  </r>
  <r>
    <d v="2023-09-27T00:00:00"/>
    <x v="37"/>
    <s v="Admin/HR/IT"/>
    <s v="AMCARE NonOcc In"/>
    <s v="TEMP"/>
    <n v="201891076"/>
    <s v="Olvera,Marilu"/>
    <s v="Romero Sanchez,Gustavo Gabriel"/>
    <n v="0"/>
    <n v="0"/>
    <n v="0"/>
    <n v="0"/>
    <n v="0.2"/>
    <e v="#N/A"/>
    <x v="200"/>
  </r>
  <r>
    <d v="2023-09-27T00:00:00"/>
    <x v="37"/>
    <s v="Admin/HR/IT"/>
    <s v="AMCARE NonOcc In"/>
    <s v="TEMP"/>
    <n v="201901982"/>
    <s v="Vallejo,Jaciel Mario"/>
    <s v="Gomez Aguado,Jorge"/>
    <n v="0"/>
    <n v="0"/>
    <n v="0"/>
    <n v="0"/>
    <n v="0.33"/>
    <e v="#N/A"/>
    <x v="0"/>
  </r>
  <r>
    <d v="2023-09-27T00:00:00"/>
    <x v="37"/>
    <s v="Admin/HR/IT"/>
    <s v="AMCARE NonOcc In"/>
    <s v="TEMP"/>
    <n v="202081527"/>
    <s v="Martinez,Efren"/>
    <s v="Hernandez,Nataly"/>
    <n v="0"/>
    <n v="0"/>
    <n v="0"/>
    <n v="0"/>
    <n v="2.25"/>
    <e v="#N/A"/>
    <x v="226"/>
  </r>
  <r>
    <d v="2023-09-28T00:00:00"/>
    <x v="37"/>
    <s v="Admin/HR/IT"/>
    <s v="AMCARE NonOcc In"/>
    <s v="AMZN"/>
    <n v="111280597"/>
    <s v="Contreras Palma,Ramon Levi"/>
    <s v="Hernandez,Nataly"/>
    <n v="0"/>
    <n v="0"/>
    <n v="0"/>
    <n v="0"/>
    <n v="1.94"/>
    <s v="DB-X0700"/>
    <x v="227"/>
  </r>
  <r>
    <d v="2023-09-28T00:00:00"/>
    <x v="37"/>
    <s v="Admin/HR/IT"/>
    <s v="AMCARE NonOcc In"/>
    <s v="AMZN"/>
    <n v="112920654"/>
    <s v="Horta,Julieta"/>
    <s v="Hernandez,Nataly"/>
    <n v="0"/>
    <n v="0"/>
    <n v="0"/>
    <n v="0"/>
    <n v="0.04"/>
    <s v="DB-X0700"/>
    <x v="61"/>
  </r>
  <r>
    <d v="2023-09-28T00:00:00"/>
    <x v="37"/>
    <s v="Admin/HR/IT"/>
    <s v="AMCARE NonOcc In"/>
    <s v="AMZN"/>
    <n v="112972201"/>
    <s v="Garcia,Andres"/>
    <s v="Gomez Aguado,Jorge"/>
    <n v="0"/>
    <n v="0"/>
    <n v="0"/>
    <n v="0"/>
    <n v="1.85"/>
    <s v="DC-X0700"/>
    <x v="143"/>
  </r>
  <r>
    <d v="2023-09-28T00:00:00"/>
    <x v="37"/>
    <s v="Admin/HR/IT"/>
    <s v="AMCARE NonOcc In"/>
    <s v="AMZN"/>
    <n v="112981212"/>
    <s v="Zanella Miranda,Alyson"/>
    <s v="Robledo Ugarte,Alejandro"/>
    <n v="0"/>
    <n v="0"/>
    <n v="0"/>
    <n v="0"/>
    <n v="1.22"/>
    <e v="#N/A"/>
    <x v="77"/>
  </r>
  <r>
    <d v="2023-09-28T00:00:00"/>
    <x v="37"/>
    <s v="Admin/HR/IT"/>
    <s v="AMCARE NonOcc In"/>
    <s v="AMZN"/>
    <n v="113003971"/>
    <s v="Garcia  Ramirez,Gabriel"/>
    <s v="Corona Arriaga,Fernando"/>
    <n v="0"/>
    <n v="0"/>
    <n v="0"/>
    <n v="0"/>
    <n v="0.28000000000000003"/>
    <e v="#N/A"/>
    <x v="10"/>
  </r>
  <r>
    <d v="2023-09-28T00:00:00"/>
    <x v="37"/>
    <s v="Admin/HR/IT"/>
    <s v="AMCARE NonOcc In"/>
    <s v="AMZN"/>
    <n v="113020476"/>
    <s v="Puente Aguilar,Polette"/>
    <s v="Madrid Molina,Ramon"/>
    <n v="0"/>
    <n v="0"/>
    <n v="0"/>
    <n v="0"/>
    <n v="0.15"/>
    <e v="#N/A"/>
    <x v="19"/>
  </r>
  <r>
    <d v="2023-09-28T00:00:00"/>
    <x v="37"/>
    <s v="Admin/HR/IT"/>
    <s v="AMCARE NonOcc In"/>
    <s v="AMZN"/>
    <n v="201159033"/>
    <s v="Arrona,Monserrat"/>
    <s v="Corona Arriaga,Fernando"/>
    <n v="0"/>
    <n v="0"/>
    <n v="0"/>
    <n v="0"/>
    <n v="0.04"/>
    <e v="#N/A"/>
    <x v="179"/>
  </r>
  <r>
    <d v="2023-09-28T00:00:00"/>
    <x v="37"/>
    <s v="Admin/HR/IT"/>
    <s v="AMCARE NonOcc In"/>
    <s v="AMZN"/>
    <n v="201167388"/>
    <s v="Aguirre,Octavio"/>
    <s v="Madrid Molina,Ramon"/>
    <n v="0"/>
    <n v="0"/>
    <n v="0"/>
    <n v="0"/>
    <n v="0.09"/>
    <e v="#N/A"/>
    <x v="159"/>
  </r>
  <r>
    <d v="2023-09-28T00:00:00"/>
    <x v="37"/>
    <s v="Admin/HR/IT"/>
    <s v="AMCARE NonOcc In"/>
    <s v="AMZN"/>
    <n v="201223730"/>
    <s v="Sanchiz,Cesarito"/>
    <s v="Corona Arriaga,Fernando"/>
    <n v="0"/>
    <n v="0"/>
    <n v="0"/>
    <n v="0"/>
    <n v="0.68"/>
    <e v="#N/A"/>
    <x v="120"/>
  </r>
  <r>
    <d v="2023-09-28T00:00:00"/>
    <x v="37"/>
    <s v="Admin/HR/IT"/>
    <s v="AMCARE NonOcc In"/>
    <s v="AMZN"/>
    <n v="201228411"/>
    <s v="Hernandez Soriano,Jazmin"/>
    <s v="Corona Arriaga,Fernando"/>
    <n v="0"/>
    <n v="0"/>
    <n v="0"/>
    <n v="0"/>
    <n v="0.66"/>
    <e v="#N/A"/>
    <x v="123"/>
  </r>
  <r>
    <d v="2023-09-28T00:00:00"/>
    <x v="37"/>
    <s v="Admin/HR/IT"/>
    <s v="AMCARE NonOcc In"/>
    <s v="TEMP"/>
    <n v="201320536"/>
    <s v="Ibarra,Miguel"/>
    <s v="Ledezma,Fer"/>
    <n v="0"/>
    <n v="0"/>
    <n v="0"/>
    <n v="0"/>
    <n v="0.39"/>
    <e v="#N/A"/>
    <x v="139"/>
  </r>
  <r>
    <d v="2023-09-28T00:00:00"/>
    <x v="37"/>
    <s v="Admin/HR/IT"/>
    <s v="AMCARE NonOcc In"/>
    <s v="AMZN"/>
    <n v="201354965"/>
    <s v="JimÃ©nez,Aline"/>
    <s v="Lopez,Alexa"/>
    <n v="0"/>
    <n v="0"/>
    <n v="0"/>
    <n v="0"/>
    <n v="2.64"/>
    <e v="#N/A"/>
    <x v="152"/>
  </r>
  <r>
    <d v="2023-09-28T00:00:00"/>
    <x v="37"/>
    <s v="Admin/HR/IT"/>
    <s v="AMCARE NonOcc In"/>
    <s v="AMZN"/>
    <n v="201403462"/>
    <s v="Valdovino,Jorge"/>
    <s v="Gomez Aguado,Jorge"/>
    <n v="0"/>
    <n v="0"/>
    <n v="0"/>
    <n v="0"/>
    <n v="1.2"/>
    <e v="#N/A"/>
    <x v="146"/>
  </r>
  <r>
    <d v="2023-09-28T00:00:00"/>
    <x v="37"/>
    <s v="Admin/HR/IT"/>
    <s v="AMCARE NonOcc In"/>
    <s v="TEMP"/>
    <n v="201842039"/>
    <s v="Martinez,Antonio"/>
    <s v="Corona Arriaga,Fernando"/>
    <n v="0"/>
    <n v="0"/>
    <n v="0"/>
    <n v="0"/>
    <n v="0.27"/>
    <e v="#N/A"/>
    <x v="203"/>
  </r>
  <r>
    <d v="2023-09-28T00:00:00"/>
    <x v="37"/>
    <s v="Admin/HR/IT"/>
    <s v="AMCARE NonOcc In"/>
    <s v="TEMP"/>
    <n v="201842064"/>
    <s v="Agripino,Andrea"/>
    <s v="Ledezma,Fer"/>
    <n v="0"/>
    <n v="0"/>
    <n v="0"/>
    <n v="0"/>
    <n v="1.41"/>
    <e v="#N/A"/>
    <x v="210"/>
  </r>
  <r>
    <d v="2023-09-28T00:00:00"/>
    <x v="37"/>
    <s v="Admin/HR/IT"/>
    <s v="AMCARE NonOcc In"/>
    <s v="TEMP"/>
    <n v="201858789"/>
    <s v="HINOJOSA,IGNACIO"/>
    <s v="Ledezma,Fer"/>
    <n v="0"/>
    <n v="0"/>
    <n v="0"/>
    <n v="0"/>
    <n v="0.03"/>
    <e v="#N/A"/>
    <x v="197"/>
  </r>
  <r>
    <d v="2023-09-28T00:00:00"/>
    <x v="37"/>
    <s v="Admin/HR/IT"/>
    <s v="AMCARE NonOcc In"/>
    <s v="TEMP"/>
    <n v="201864225"/>
    <s v="Flores,Ivan"/>
    <s v="Corona Arriaga,Fernando"/>
    <n v="0"/>
    <n v="0"/>
    <n v="0"/>
    <n v="0"/>
    <n v="0.16"/>
    <e v="#N/A"/>
    <x v="219"/>
  </r>
  <r>
    <d v="2023-09-28T00:00:00"/>
    <x v="37"/>
    <s v="Admin/HR/IT"/>
    <s v="AMCARE NonOcc In"/>
    <s v="TEMP"/>
    <n v="201903097"/>
    <s v="Oliva,Montserrat"/>
    <s v="Ledezma,Fer"/>
    <n v="0"/>
    <n v="0"/>
    <n v="0"/>
    <n v="0"/>
    <n v="0.26"/>
    <e v="#N/A"/>
    <x v="208"/>
  </r>
  <r>
    <d v="2023-09-28T00:00:00"/>
    <x v="37"/>
    <s v="Admin/HR/IT"/>
    <s v="AMCARE NonOcc In"/>
    <s v="TEMP"/>
    <n v="202063545"/>
    <s v="GarcÃ­a,Ana"/>
    <s v="Ledezma,Fer"/>
    <n v="0"/>
    <n v="0"/>
    <n v="0"/>
    <n v="0"/>
    <n v="0.42"/>
    <e v="#N/A"/>
    <x v="228"/>
  </r>
  <r>
    <d v="2023-09-29T00:00:00"/>
    <x v="37"/>
    <s v="Admin/HR/IT"/>
    <s v="AMCARE NonOcc In"/>
    <s v="AMZN"/>
    <n v="112912752"/>
    <s v="Valderrama Gomez,Leslie"/>
    <s v="Camarena,Grecia"/>
    <n v="0"/>
    <n v="0"/>
    <n v="0"/>
    <n v="0"/>
    <n v="0.26"/>
    <s v="NF-X1900"/>
    <x v="5"/>
  </r>
  <r>
    <d v="2023-09-29T00:00:00"/>
    <x v="37"/>
    <s v="Admin/HR/IT"/>
    <s v="AMCARE NonOcc In"/>
    <s v="AMZN"/>
    <n v="112950784"/>
    <s v="Rojas,Samuel"/>
    <s v="Pizana,Diego"/>
    <n v="0"/>
    <n v="0"/>
    <n v="0"/>
    <n v="0"/>
    <n v="0.16"/>
    <s v="NF-X1900"/>
    <x v="13"/>
  </r>
  <r>
    <d v="2023-09-29T00:00:00"/>
    <x v="37"/>
    <s v="Admin/HR/IT"/>
    <s v="AMCARE NonOcc In"/>
    <s v="AMZN"/>
    <n v="112972524"/>
    <s v="Santibanez Garcia,Luisa"/>
    <s v="Hernandez,Nataly"/>
    <n v="0"/>
    <n v="0"/>
    <n v="0"/>
    <n v="0"/>
    <n v="1.05"/>
    <s v="DB-X0700"/>
    <x v="15"/>
  </r>
  <r>
    <d v="2023-09-29T00:00:00"/>
    <x v="37"/>
    <s v="Admin/HR/IT"/>
    <s v="AMCARE NonOcc In"/>
    <s v="AMZN"/>
    <n v="112976043"/>
    <s v="Rivas,Ricardo"/>
    <s v="Ãvila,Arturo"/>
    <n v="0"/>
    <n v="0"/>
    <n v="0"/>
    <n v="0"/>
    <n v="0.19"/>
    <s v="DE-X1024"/>
    <x v="184"/>
  </r>
  <r>
    <d v="2023-09-29T00:00:00"/>
    <x v="37"/>
    <s v="Admin/HR/IT"/>
    <s v="AMCARE NonOcc In"/>
    <s v="TEMP"/>
    <n v="113003619"/>
    <s v="Villegas,Jesus"/>
    <s v="Madrid Molina,Ramon"/>
    <n v="0"/>
    <n v="0"/>
    <n v="0"/>
    <n v="0"/>
    <n v="0.33"/>
    <e v="#N/A"/>
    <x v="0"/>
  </r>
  <r>
    <d v="2023-09-29T00:00:00"/>
    <x v="37"/>
    <s v="Admin/HR/IT"/>
    <s v="AMCARE NonOcc In"/>
    <s v="TEMP"/>
    <n v="113019078"/>
    <s v="Ojeda Sierra,Brenda"/>
    <s v="Cortes,Alejandra"/>
    <n v="0"/>
    <n v="0"/>
    <n v="0"/>
    <n v="0"/>
    <n v="0.4"/>
    <e v="#N/A"/>
    <x v="229"/>
  </r>
  <r>
    <d v="2023-09-29T00:00:00"/>
    <x v="37"/>
    <s v="Admin/HR/IT"/>
    <s v="AMCARE NonOcc In"/>
    <s v="AMZN"/>
    <n v="113101453"/>
    <s v="Isaac,Geovanna"/>
    <s v="Robledo Ugarte,Alejandro"/>
    <n v="0"/>
    <n v="0"/>
    <n v="0"/>
    <n v="0"/>
    <n v="0.04"/>
    <e v="#N/A"/>
    <x v="4"/>
  </r>
  <r>
    <d v="2023-09-29T00:00:00"/>
    <x v="37"/>
    <s v="Admin/HR/IT"/>
    <s v="AMCARE NonOcc In"/>
    <s v="AMZN"/>
    <n v="200404250"/>
    <s v="Hurtado,Caty"/>
    <s v="Romero Sanchez,Gustavo Gabriel"/>
    <n v="0"/>
    <n v="0"/>
    <n v="0"/>
    <n v="0"/>
    <n v="0.56000000000000005"/>
    <e v="#N/A"/>
    <x v="6"/>
  </r>
  <r>
    <d v="2023-09-29T00:00:00"/>
    <x v="37"/>
    <s v="Admin/HR/IT"/>
    <s v="AMCARE NonOcc In"/>
    <s v="AMZN"/>
    <n v="200514421"/>
    <s v="Padilla Abrego,Angeles"/>
    <s v="Lopez,Alexa"/>
    <n v="0"/>
    <n v="0"/>
    <n v="0"/>
    <n v="0"/>
    <n v="0.19"/>
    <e v="#N/A"/>
    <x v="18"/>
  </r>
  <r>
    <d v="2023-09-29T00:00:00"/>
    <x v="37"/>
    <s v="Admin/HR/IT"/>
    <s v="AMCARE NonOcc In"/>
    <s v="AMZN"/>
    <n v="200625528"/>
    <s v="Oliva,Lizbeth"/>
    <s v="Piedra,Valentina"/>
    <n v="0"/>
    <n v="0"/>
    <n v="0"/>
    <n v="0"/>
    <n v="0.12"/>
    <e v="#N/A"/>
    <x v="83"/>
  </r>
  <r>
    <d v="2023-09-29T00:00:00"/>
    <x v="37"/>
    <s v="Admin/HR/IT"/>
    <s v="AMCARE NonOcc In"/>
    <s v="AMZN"/>
    <n v="201185299"/>
    <s v="Garcia,Noemi"/>
    <s v="Ledezma,Fer"/>
    <n v="0"/>
    <n v="0"/>
    <n v="0"/>
    <n v="0"/>
    <n v="0.65"/>
    <e v="#N/A"/>
    <x v="138"/>
  </r>
  <r>
    <d v="2023-09-29T00:00:00"/>
    <x v="37"/>
    <s v="Admin/HR/IT"/>
    <s v="AMCARE NonOcc In"/>
    <s v="AMZN"/>
    <n v="201223730"/>
    <s v="Sanchiz,Cesarito"/>
    <s v="Corona Arriaga,Fernando"/>
    <n v="0"/>
    <n v="0"/>
    <n v="0"/>
    <n v="0"/>
    <n v="0.45"/>
    <e v="#N/A"/>
    <x v="120"/>
  </r>
  <r>
    <d v="2023-09-29T00:00:00"/>
    <x v="37"/>
    <s v="Admin/HR/IT"/>
    <s v="AMCARE NonOcc In"/>
    <s v="AMZN"/>
    <n v="201228411"/>
    <s v="Hernandez Soriano,Jazmin"/>
    <s v="Corona Arriaga,Fernando"/>
    <n v="0"/>
    <n v="0"/>
    <n v="0"/>
    <n v="0"/>
    <n v="0.45"/>
    <e v="#N/A"/>
    <x v="123"/>
  </r>
  <r>
    <d v="2023-09-29T00:00:00"/>
    <x v="37"/>
    <s v="Admin/HR/IT"/>
    <s v="AMCARE NonOcc In"/>
    <s v="AMZN"/>
    <n v="201345737"/>
    <s v="Rosales,Paco"/>
    <s v="Lopez,Alexa"/>
    <n v="0"/>
    <n v="0"/>
    <n v="0"/>
    <n v="0"/>
    <n v="0.14000000000000001"/>
    <e v="#N/A"/>
    <x v="156"/>
  </r>
  <r>
    <d v="2023-09-29T00:00:00"/>
    <x v="37"/>
    <s v="Admin/HR/IT"/>
    <s v="AMCARE NonOcc In"/>
    <s v="AMZN"/>
    <n v="201353166"/>
    <s v="Martinez,Lucia"/>
    <s v="Lopez,Alexa"/>
    <n v="0"/>
    <n v="0"/>
    <n v="0"/>
    <n v="0"/>
    <n v="0.38"/>
    <e v="#N/A"/>
    <x v="145"/>
  </r>
  <r>
    <d v="2023-09-29T00:00:00"/>
    <x v="37"/>
    <s v="Admin/HR/IT"/>
    <s v="AMCARE NonOcc In"/>
    <s v="TEMP"/>
    <n v="201408478"/>
    <s v="Calderon,David"/>
    <s v="Madrid Molina,Ramon"/>
    <n v="0"/>
    <n v="0"/>
    <n v="0"/>
    <n v="0"/>
    <n v="0.04"/>
    <e v="#N/A"/>
    <x v="160"/>
  </r>
  <r>
    <d v="2023-09-29T00:00:00"/>
    <x v="37"/>
    <s v="Admin/HR/IT"/>
    <s v="AMCARE NonOcc In"/>
    <s v="TEMP"/>
    <n v="201858867"/>
    <s v="Cruz Velazquez,Gabriela"/>
    <s v="Corona Arriaga,Fernando"/>
    <n v="0"/>
    <n v="0"/>
    <n v="0"/>
    <n v="0"/>
    <n v="0.5"/>
    <e v="#N/A"/>
    <x v="206"/>
  </r>
  <r>
    <d v="2023-09-29T00:00:00"/>
    <x v="37"/>
    <s v="Admin/HR/IT"/>
    <s v="AMCARE NonOcc In"/>
    <s v="TEMP"/>
    <n v="202081527"/>
    <s v="Martinez,Efren"/>
    <s v="Hernandez,Nataly"/>
    <n v="0"/>
    <n v="0"/>
    <n v="0"/>
    <n v="0"/>
    <n v="1.02"/>
    <e v="#N/A"/>
    <x v="226"/>
  </r>
  <r>
    <d v="2023-09-29T00:00:00"/>
    <x v="37"/>
    <s v="Admin/HR/IT"/>
    <s v="AMCARE NonOcc In"/>
    <s v="TEMP"/>
    <n v="202117420"/>
    <s v="Cervera,Israel"/>
    <s v="Cortes,Alejandra"/>
    <n v="0"/>
    <n v="0"/>
    <n v="0"/>
    <n v="0"/>
    <n v="0.08"/>
    <e v="#N/A"/>
    <x v="230"/>
  </r>
  <r>
    <d v="2023-09-29T00:00:00"/>
    <x v="37"/>
    <s v="Admin/HR/IT"/>
    <s v="AMCARE NonOcc In"/>
    <s v="TEMP"/>
    <n v="202120077"/>
    <s v="Aguilar,Mauricio"/>
    <s v="Cortes,Alejandra"/>
    <n v="0"/>
    <n v="0"/>
    <n v="0"/>
    <n v="0"/>
    <n v="0.55000000000000004"/>
    <e v="#N/A"/>
    <x v="231"/>
  </r>
  <r>
    <d v="2023-09-30T00:00:00"/>
    <x v="37"/>
    <s v="Admin/HR/IT"/>
    <s v="AMCARE NonOcc In"/>
    <s v="AMZN"/>
    <n v="112972215"/>
    <s v="Cruz,Ana"/>
    <s v="Lopez,Alexa"/>
    <n v="0"/>
    <n v="0"/>
    <n v="0"/>
    <n v="0"/>
    <n v="0.46"/>
    <s v="DB-X0700"/>
    <x v="134"/>
  </r>
  <r>
    <d v="2023-09-30T00:00:00"/>
    <x v="37"/>
    <s v="Admin/HR/IT"/>
    <s v="AMCARE NonOcc In"/>
    <s v="AMZN"/>
    <n v="112973049"/>
    <s v="Tavares Parra,Ely"/>
    <s v="Piedra,Valentina"/>
    <n v="0"/>
    <n v="0"/>
    <n v="0"/>
    <n v="0"/>
    <n v="0.13"/>
    <s v="DB-X0700"/>
    <x v="14"/>
  </r>
  <r>
    <d v="2023-09-30T00:00:00"/>
    <x v="37"/>
    <s v="Admin/HR/IT"/>
    <s v="AMCARE NonOcc In"/>
    <s v="TEMP"/>
    <n v="113003619"/>
    <s v="Villegas,Jesus"/>
    <s v="Madrid Molina,Ramon"/>
    <n v="0"/>
    <n v="0"/>
    <n v="0"/>
    <n v="0"/>
    <n v="0.53"/>
    <e v="#N/A"/>
    <x v="0"/>
  </r>
  <r>
    <d v="2023-09-30T00:00:00"/>
    <x v="37"/>
    <s v="Admin/HR/IT"/>
    <s v="AMCARE NonOcc In"/>
    <s v="AMZN"/>
    <n v="113020476"/>
    <s v="Puente Aguilar,Polette"/>
    <s v="Madrid Molina,Ramon"/>
    <n v="0"/>
    <n v="0"/>
    <n v="0"/>
    <n v="0"/>
    <n v="0.12"/>
    <e v="#N/A"/>
    <x v="19"/>
  </r>
  <r>
    <d v="2023-09-30T00:00:00"/>
    <x v="37"/>
    <s v="Admin/HR/IT"/>
    <s v="AMCARE NonOcc In"/>
    <s v="AMZN"/>
    <n v="113020667"/>
    <s v="Martinez Becerra,Paulina"/>
    <s v="Munoz,Jonan"/>
    <n v="0"/>
    <n v="0"/>
    <n v="0"/>
    <n v="0"/>
    <n v="0.11"/>
    <e v="#N/A"/>
    <x v="31"/>
  </r>
  <r>
    <d v="2023-09-30T00:00:00"/>
    <x v="37"/>
    <s v="Admin/HR/IT"/>
    <s v="AMCARE NonOcc In"/>
    <s v="AMZN"/>
    <n v="200508323"/>
    <s v="Espejel Lopez,Emmanuel"/>
    <s v="Lopez,Alexa"/>
    <n v="0"/>
    <n v="0"/>
    <n v="0"/>
    <n v="0"/>
    <n v="0.28999999999999998"/>
    <e v="#N/A"/>
    <x v="177"/>
  </r>
  <r>
    <d v="2023-09-30T00:00:00"/>
    <x v="37"/>
    <s v="Admin/HR/IT"/>
    <s v="AMCARE NonOcc In"/>
    <s v="AMZN"/>
    <n v="201185299"/>
    <s v="Garcia,Noemi"/>
    <s v="Ledezma,Fer"/>
    <n v="0"/>
    <n v="0"/>
    <n v="0"/>
    <n v="0"/>
    <n v="0.27"/>
    <e v="#N/A"/>
    <x v="138"/>
  </r>
  <r>
    <d v="2023-09-30T00:00:00"/>
    <x v="37"/>
    <s v="Admin/HR/IT"/>
    <s v="AMCARE NonOcc In"/>
    <s v="AMZN"/>
    <n v="201195215"/>
    <s v="Guzman,Daniel"/>
    <s v="Lopez,Alexa"/>
    <n v="0"/>
    <n v="0"/>
    <n v="0"/>
    <n v="0"/>
    <n v="0.38"/>
    <e v="#N/A"/>
    <x v="172"/>
  </r>
  <r>
    <d v="2023-09-30T00:00:00"/>
    <x v="37"/>
    <s v="Admin/HR/IT"/>
    <s v="AMCARE NonOcc In"/>
    <s v="AMZN"/>
    <n v="201223730"/>
    <s v="Sanchiz,Cesarito"/>
    <s v="Corona Arriaga,Fernando"/>
    <n v="0"/>
    <n v="0"/>
    <n v="0"/>
    <n v="0"/>
    <n v="1.4"/>
    <e v="#N/A"/>
    <x v="120"/>
  </r>
  <r>
    <d v="2023-09-30T00:00:00"/>
    <x v="37"/>
    <s v="Admin/HR/IT"/>
    <s v="AMCARE NonOcc In"/>
    <s v="AMZN"/>
    <n v="201228411"/>
    <s v="Hernandez Soriano,Jazmin"/>
    <s v="Corona Arriaga,Fernando"/>
    <n v="0"/>
    <n v="0"/>
    <n v="0"/>
    <n v="0"/>
    <n v="1.4"/>
    <e v="#N/A"/>
    <x v="123"/>
  </r>
  <r>
    <d v="2023-09-30T00:00:00"/>
    <x v="37"/>
    <s v="Admin/HR/IT"/>
    <s v="AMCARE NonOcc In"/>
    <s v="TEMP"/>
    <n v="201847940"/>
    <s v="Vallecillo,Jessy"/>
    <s v="Ledezma,Fer"/>
    <n v="0"/>
    <n v="0"/>
    <n v="0"/>
    <n v="0"/>
    <n v="0.23"/>
    <e v="#N/A"/>
    <x v="0"/>
  </r>
  <r>
    <d v="2023-09-30T00:00:00"/>
    <x v="37"/>
    <s v="Admin/HR/IT"/>
    <s v="AMCARE NonOcc In"/>
    <s v="TEMP"/>
    <n v="201906503"/>
    <s v="MartÃ­nez,Jennifer"/>
    <s v="Gomez Aguado,Jorge"/>
    <n v="0"/>
    <n v="0"/>
    <n v="0"/>
    <n v="0"/>
    <n v="0.27"/>
    <e v="#N/A"/>
    <x v="201"/>
  </r>
  <r>
    <d v="2023-09-30T00:00:00"/>
    <x v="37"/>
    <s v="Admin/HR/IT"/>
    <s v="AMCARE NonOcc In"/>
    <s v="TEMP"/>
    <n v="202079441"/>
    <s v="Estrada,Daniel"/>
    <s v="Cortes,Alejandra"/>
    <n v="0"/>
    <n v="0"/>
    <n v="0"/>
    <n v="0"/>
    <n v="0.18"/>
    <e v="#N/A"/>
    <x v="232"/>
  </r>
  <r>
    <d v="2023-09-30T00:00:00"/>
    <x v="37"/>
    <s v="Admin/HR/IT"/>
    <s v="AMCARE NonOcc In"/>
    <s v="TEMP"/>
    <n v="202099229"/>
    <s v="Rada,Gabo"/>
    <s v="Cortes,Alejandra"/>
    <n v="0"/>
    <n v="0"/>
    <n v="0"/>
    <n v="0"/>
    <n v="0.19"/>
    <e v="#N/A"/>
    <x v="233"/>
  </r>
  <r>
    <d v="2023-09-30T00:00:00"/>
    <x v="37"/>
    <s v="Admin/HR/IT"/>
    <s v="AMCARE NonOcc In"/>
    <s v="TEMP"/>
    <n v="202120077"/>
    <s v="Aguilar,Mauricio"/>
    <s v="Cortes,Alejandra"/>
    <n v="0"/>
    <n v="0"/>
    <n v="0"/>
    <n v="0"/>
    <n v="0.6"/>
    <e v="#N/A"/>
    <x v="231"/>
  </r>
  <r>
    <d v="2023-10-01T00:00:00"/>
    <x v="38"/>
    <s v="Admin/HR/IT"/>
    <s v="AMCARE NonOcc In"/>
    <s v="AMZN"/>
    <n v="112950784"/>
    <s v="Rojas,Samuel"/>
    <s v="Pizana,Diego"/>
    <n v="0"/>
    <n v="0"/>
    <n v="0"/>
    <n v="0"/>
    <n v="0.13"/>
    <s v="NF-X1900"/>
    <x v="13"/>
  </r>
  <r>
    <d v="2023-10-01T00:00:00"/>
    <x v="38"/>
    <s v="Admin/HR/IT"/>
    <s v="AMCARE NonOcc In"/>
    <s v="AMZN"/>
    <n v="113020667"/>
    <s v="Martinez Becerra,Paulina"/>
    <s v="Munoz,Jonan"/>
    <n v="0"/>
    <n v="0"/>
    <n v="0"/>
    <n v="0"/>
    <n v="0.06"/>
    <e v="#N/A"/>
    <x v="31"/>
  </r>
  <r>
    <d v="2023-10-01T00:00:00"/>
    <x v="38"/>
    <s v="Admin/HR/IT"/>
    <s v="AMCARE NonOcc In"/>
    <s v="AMZN"/>
    <n v="200404250"/>
    <s v="Hurtado,Caty"/>
    <s v="Romero Sanchez,Gustavo Gabriel"/>
    <n v="0"/>
    <n v="0"/>
    <n v="0"/>
    <n v="0"/>
    <n v="0.46"/>
    <e v="#N/A"/>
    <x v="6"/>
  </r>
  <r>
    <d v="2023-10-01T00:00:00"/>
    <x v="38"/>
    <s v="Admin/HR/IT"/>
    <s v="AMCARE NonOcc In"/>
    <s v="AMZN"/>
    <n v="200594806"/>
    <s v="DÃ­az,Huicho"/>
    <s v="Robledo Ugarte,Alejandro"/>
    <n v="0"/>
    <n v="0"/>
    <n v="0"/>
    <n v="0"/>
    <n v="0.13"/>
    <e v="#N/A"/>
    <x v="234"/>
  </r>
  <r>
    <d v="2023-10-01T00:00:00"/>
    <x v="38"/>
    <s v="Admin/HR/IT"/>
    <s v="AMCARE NonOcc In"/>
    <s v="AMZN"/>
    <n v="201165769"/>
    <s v="Puente,Karen"/>
    <s v="Piedra,Valentina"/>
    <n v="0"/>
    <n v="0"/>
    <n v="0"/>
    <n v="0"/>
    <n v="0.28000000000000003"/>
    <e v="#N/A"/>
    <x v="113"/>
  </r>
  <r>
    <d v="2023-10-01T00:00:00"/>
    <x v="38"/>
    <s v="Admin/HR/IT"/>
    <s v="AMCARE NonOcc In"/>
    <s v="AMZN"/>
    <n v="201379035"/>
    <s v="Castro,Fernando"/>
    <s v="Rosas Negrete,Sebastian"/>
    <n v="0"/>
    <n v="0"/>
    <n v="0"/>
    <n v="0"/>
    <n v="0.61"/>
    <e v="#N/A"/>
    <x v="235"/>
  </r>
  <r>
    <d v="2023-10-01T00:00:00"/>
    <x v="38"/>
    <s v="Admin/HR/IT"/>
    <s v="AMCARE NonOcc In"/>
    <s v="TEMP"/>
    <n v="202070029"/>
    <s v="Macias,Salvador"/>
    <s v="Bueno Mendoza,Susana"/>
    <n v="0"/>
    <n v="0"/>
    <n v="0"/>
    <n v="0"/>
    <n v="0.24"/>
    <e v="#N/A"/>
    <x v="0"/>
  </r>
  <r>
    <d v="2023-10-02T00:00:00"/>
    <x v="38"/>
    <s v="Admin/HR/IT"/>
    <s v="AMCARE NonOcc In"/>
    <s v="AMZN"/>
    <n v="112912203"/>
    <s v="Alvarez Olivares,Omar Leonardo"/>
    <s v="Pizana,Diego"/>
    <n v="0"/>
    <n v="0"/>
    <n v="0"/>
    <n v="0"/>
    <n v="0.31"/>
    <s v="DA-X0700"/>
    <x v="94"/>
  </r>
  <r>
    <d v="2023-10-02T00:00:00"/>
    <x v="38"/>
    <s v="Admin/HR/IT"/>
    <s v="AMCARE NonOcc In"/>
    <s v="AMZN"/>
    <n v="112981061"/>
    <s v="Olguin,Claudia"/>
    <s v="Robledo Ugarte,Alejandro"/>
    <n v="0"/>
    <n v="0"/>
    <n v="0"/>
    <n v="0"/>
    <n v="0.21"/>
    <s v="DA-X0700"/>
    <x v="11"/>
  </r>
  <r>
    <d v="2023-10-02T00:00:00"/>
    <x v="38"/>
    <s v="Admin/HR/IT"/>
    <s v="AMCARE NonOcc In"/>
    <s v="AMZN"/>
    <n v="113014470"/>
    <s v="Aguilar Ibarra,Lupe"/>
    <s v="Robledo Ugarte,Alejandro"/>
    <n v="0"/>
    <n v="0"/>
    <n v="0"/>
    <n v="0"/>
    <n v="0.2"/>
    <e v="#N/A"/>
    <x v="30"/>
  </r>
  <r>
    <d v="2023-10-02T00:00:00"/>
    <x v="38"/>
    <s v="Admin/HR/IT"/>
    <s v="AMCARE NonOcc In"/>
    <s v="AMZN"/>
    <n v="113052151"/>
    <s v="Nieves Mendez,Laura"/>
    <s v="Ledezma,Fer"/>
    <n v="0"/>
    <n v="0"/>
    <n v="0"/>
    <n v="0"/>
    <n v="0.16"/>
    <e v="#N/A"/>
    <x v="56"/>
  </r>
  <r>
    <d v="2023-10-02T00:00:00"/>
    <x v="38"/>
    <s v="Admin/HR/IT"/>
    <s v="AMCARE NonOcc In"/>
    <s v="AMZN"/>
    <n v="200534675"/>
    <s v="Munoz Macias,Juan Pablo"/>
    <s v="Rosas Negrete,Sebastian"/>
    <n v="0"/>
    <n v="0"/>
    <n v="0"/>
    <n v="0"/>
    <n v="0.17"/>
    <e v="#N/A"/>
    <x v="69"/>
  </r>
  <r>
    <d v="2023-10-02T00:00:00"/>
    <x v="38"/>
    <s v="Admin/HR/IT"/>
    <s v="AMCARE NonOcc In"/>
    <s v="AMZN"/>
    <n v="201162225"/>
    <s v="Corona,Israel"/>
    <s v="Piedra,Valentina"/>
    <n v="0"/>
    <n v="0"/>
    <n v="0"/>
    <n v="0"/>
    <n v="0.1"/>
    <e v="#N/A"/>
    <x v="161"/>
  </r>
  <r>
    <d v="2023-10-02T00:00:00"/>
    <x v="38"/>
    <s v="Admin/HR/IT"/>
    <s v="AMCARE NonOcc In"/>
    <s v="AMZN"/>
    <n v="201167501"/>
    <s v="Rodriguez,Ruben"/>
    <s v="Robledo Ugarte,Alejandro"/>
    <n v="0"/>
    <n v="0"/>
    <n v="0"/>
    <n v="0"/>
    <n v="0.41"/>
    <e v="#N/A"/>
    <x v="109"/>
  </r>
  <r>
    <d v="2023-10-02T00:00:00"/>
    <x v="38"/>
    <s v="Admin/HR/IT"/>
    <s v="AMCARE NonOcc In"/>
    <s v="AMZN"/>
    <n v="201185299"/>
    <s v="Garcia,Noemi"/>
    <s v="Ledezma,Fer"/>
    <n v="0"/>
    <n v="0"/>
    <n v="0"/>
    <n v="0"/>
    <n v="0.23"/>
    <e v="#N/A"/>
    <x v="138"/>
  </r>
  <r>
    <d v="2023-10-02T00:00:00"/>
    <x v="38"/>
    <s v="Admin/HR/IT"/>
    <s v="AMCARE NonOcc In"/>
    <s v="AMZN"/>
    <n v="201197964"/>
    <s v="Quijas,Matzayani"/>
    <s v="Romero Sanchez,Gustavo Gabriel"/>
    <n v="0"/>
    <n v="0"/>
    <n v="0"/>
    <n v="0"/>
    <n v="0.56999999999999995"/>
    <e v="#N/A"/>
    <x v="191"/>
  </r>
  <r>
    <d v="2023-10-02T00:00:00"/>
    <x v="38"/>
    <s v="Admin/HR/IT"/>
    <s v="AMCARE NonOcc In"/>
    <s v="AMZN"/>
    <n v="201401219"/>
    <s v="Moreno,Nayma"/>
    <s v="Bueno Mendoza,Susana"/>
    <n v="0"/>
    <n v="0"/>
    <n v="0"/>
    <n v="0"/>
    <n v="0.22"/>
    <e v="#N/A"/>
    <x v="182"/>
  </r>
  <r>
    <d v="2023-10-02T00:00:00"/>
    <x v="38"/>
    <s v="Admin/HR/IT"/>
    <s v="AMCARE NonOcc In"/>
    <s v="TEMP"/>
    <n v="201891076"/>
    <s v="Olvera,Marilu"/>
    <s v="Romero Sanchez,Gustavo Gabriel"/>
    <n v="0"/>
    <n v="0"/>
    <n v="0"/>
    <n v="0"/>
    <n v="0.3"/>
    <e v="#N/A"/>
    <x v="200"/>
  </r>
  <r>
    <d v="2023-10-02T00:00:00"/>
    <x v="38"/>
    <s v="Admin/HR/IT"/>
    <s v="AMCARE NonOcc In"/>
    <s v="TEMP"/>
    <n v="202063545"/>
    <s v="GarcÃ­a,Ana"/>
    <s v="Ledezma,Fer"/>
    <n v="0"/>
    <n v="0"/>
    <n v="0"/>
    <n v="0"/>
    <n v="0.32"/>
    <e v="#N/A"/>
    <x v="228"/>
  </r>
  <r>
    <d v="2023-10-02T00:00:00"/>
    <x v="38"/>
    <s v="Admin/HR/IT"/>
    <s v="AMCARE NonOcc In"/>
    <s v="TEMP"/>
    <n v="202099144"/>
    <s v="Morales,Ricardo"/>
    <s v="Ledezma,Fer"/>
    <n v="0"/>
    <n v="0"/>
    <n v="0"/>
    <n v="0"/>
    <n v="0.28000000000000003"/>
    <e v="#N/A"/>
    <x v="236"/>
  </r>
  <r>
    <d v="2023-10-03T00:00:00"/>
    <x v="38"/>
    <s v="Admin/HR/IT"/>
    <s v="AMCARE NonOcc In"/>
    <s v="AMZN"/>
    <n v="112912203"/>
    <s v="Alvarez Olivares,Omar Leonardo"/>
    <s v="Pizana,Diego"/>
    <n v="0"/>
    <n v="0"/>
    <n v="0"/>
    <n v="0"/>
    <n v="0.35"/>
    <s v="DA-X0700"/>
    <x v="94"/>
  </r>
  <r>
    <d v="2023-10-03T00:00:00"/>
    <x v="38"/>
    <s v="Admin/HR/IT"/>
    <s v="AMCARE NonOcc In"/>
    <s v="AMZN"/>
    <n v="112950797"/>
    <s v="Serna,Denisse"/>
    <s v="Pizana,Diego"/>
    <n v="0"/>
    <n v="0"/>
    <n v="0"/>
    <n v="0"/>
    <n v="0.19"/>
    <s v="DA-X0700"/>
    <x v="1"/>
  </r>
  <r>
    <d v="2023-10-03T00:00:00"/>
    <x v="38"/>
    <s v="Admin/HR/IT"/>
    <s v="AMCARE NonOcc In"/>
    <s v="AMZN"/>
    <n v="112955736"/>
    <s v="Cuevas,Lalo"/>
    <s v="Camarena,Grecia"/>
    <n v="0"/>
    <n v="0"/>
    <n v="0"/>
    <n v="0"/>
    <n v="0.23"/>
    <s v="DA-X0700"/>
    <x v="133"/>
  </r>
  <r>
    <d v="2023-10-03T00:00:00"/>
    <x v="38"/>
    <s v="Admin/HR/IT"/>
    <s v="AMCARE NonOcc In"/>
    <s v="AMZN"/>
    <n v="112972958"/>
    <s v="Gonzalez Gonzalez,Antonio"/>
    <s v="Cortes,Alejandra"/>
    <n v="0"/>
    <n v="0"/>
    <n v="0"/>
    <n v="0"/>
    <n v="0.04"/>
    <s v="D5-X0700"/>
    <x v="44"/>
  </r>
  <r>
    <d v="2023-10-03T00:00:00"/>
    <x v="38"/>
    <s v="Admin/HR/IT"/>
    <s v="AMCARE NonOcc In"/>
    <s v="AMZN"/>
    <n v="112980812"/>
    <s v="Jacobo,Mary"/>
    <s v="Bueno Mendoza,Susana"/>
    <n v="0"/>
    <n v="0"/>
    <n v="0"/>
    <n v="0"/>
    <n v="0.28000000000000003"/>
    <s v="DA-X0700"/>
    <x v="24"/>
  </r>
  <r>
    <d v="2023-10-03T00:00:00"/>
    <x v="38"/>
    <s v="Admin/HR/IT"/>
    <s v="AMCARE NonOcc In"/>
    <s v="AMZN"/>
    <n v="113014042"/>
    <s v="Cervantes,Rose"/>
    <s v="Gomez Aguado,Jorge"/>
    <n v="0"/>
    <n v="0"/>
    <n v="0"/>
    <n v="0"/>
    <n v="0.28999999999999998"/>
    <e v="#N/A"/>
    <x v="20"/>
  </r>
  <r>
    <d v="2023-10-03T00:00:00"/>
    <x v="38"/>
    <s v="Admin/HR/IT"/>
    <s v="AMCARE NonOcc In"/>
    <s v="AMZN"/>
    <n v="113014074"/>
    <s v="Gutierrez,Gabriela"/>
    <s v="Lopez,Alexa"/>
    <n v="0"/>
    <n v="0"/>
    <n v="0"/>
    <n v="0"/>
    <n v="0.17"/>
    <e v="#N/A"/>
    <x v="0"/>
  </r>
  <r>
    <d v="2023-10-03T00:00:00"/>
    <x v="38"/>
    <s v="Admin/HR/IT"/>
    <s v="AMCARE NonOcc In"/>
    <s v="AMZN"/>
    <n v="113020476"/>
    <s v="Puente Aguilar,Polette"/>
    <s v="Madrid Molina,Ramon"/>
    <n v="0"/>
    <n v="0"/>
    <n v="0"/>
    <n v="0"/>
    <n v="0.6"/>
    <e v="#N/A"/>
    <x v="19"/>
  </r>
  <r>
    <d v="2023-10-03T00:00:00"/>
    <x v="38"/>
    <s v="Admin/HR/IT"/>
    <s v="AMCARE NonOcc In"/>
    <s v="AMZN"/>
    <n v="200404250"/>
    <s v="Hurtado,Caty"/>
    <s v="Romero Sanchez,Gustavo Gabriel"/>
    <n v="0"/>
    <n v="0"/>
    <n v="0"/>
    <n v="0"/>
    <n v="1.1599999999999999"/>
    <e v="#N/A"/>
    <x v="6"/>
  </r>
  <r>
    <d v="2023-10-03T00:00:00"/>
    <x v="38"/>
    <s v="Admin/HR/IT"/>
    <s v="AMCARE NonOcc In"/>
    <s v="AMZN"/>
    <n v="200625528"/>
    <s v="Oliva,Lizbeth"/>
    <s v="Piedra,Valentina"/>
    <n v="0"/>
    <n v="0"/>
    <n v="0"/>
    <n v="0"/>
    <n v="0.26"/>
    <e v="#N/A"/>
    <x v="83"/>
  </r>
  <r>
    <d v="2023-10-03T00:00:00"/>
    <x v="38"/>
    <s v="Admin/HR/IT"/>
    <s v="AMCARE NonOcc In"/>
    <s v="AMZN"/>
    <n v="201191198"/>
    <s v="Mojica,Emmanuel"/>
    <s v="Ledezma,Fer"/>
    <n v="0"/>
    <n v="0"/>
    <n v="0"/>
    <n v="0"/>
    <n v="0.08"/>
    <e v="#N/A"/>
    <x v="130"/>
  </r>
  <r>
    <d v="2023-10-03T00:00:00"/>
    <x v="38"/>
    <s v="Admin/HR/IT"/>
    <s v="AMCARE NonOcc In"/>
    <s v="AMZN"/>
    <n v="201223730"/>
    <s v="Sanchiz,Cesarito"/>
    <s v="Corona Arriaga,Fernando"/>
    <n v="0"/>
    <n v="0"/>
    <n v="0"/>
    <n v="0"/>
    <n v="0.89"/>
    <e v="#N/A"/>
    <x v="120"/>
  </r>
  <r>
    <d v="2023-10-03T00:00:00"/>
    <x v="38"/>
    <s v="Admin/HR/IT"/>
    <s v="AMCARE NonOcc In"/>
    <s v="AMZN"/>
    <n v="201228411"/>
    <s v="Hernandez Soriano,Jazmin"/>
    <s v="Corona Arriaga,Fernando"/>
    <n v="0"/>
    <n v="0"/>
    <n v="0"/>
    <n v="0"/>
    <n v="0.86"/>
    <e v="#N/A"/>
    <x v="123"/>
  </r>
  <r>
    <d v="2023-10-03T00:00:00"/>
    <x v="38"/>
    <s v="Admin/HR/IT"/>
    <s v="AMCARE NonOcc In"/>
    <s v="AMZN"/>
    <n v="201294058"/>
    <s v="Alvarez,Erika"/>
    <s v="Bueno Mendoza,Susana"/>
    <n v="0"/>
    <n v="0"/>
    <n v="0"/>
    <n v="0"/>
    <n v="0.31"/>
    <e v="#N/A"/>
    <x v="135"/>
  </r>
  <r>
    <d v="2023-10-03T00:00:00"/>
    <x v="38"/>
    <s v="Admin/HR/IT"/>
    <s v="AMCARE NonOcc In"/>
    <s v="AMZN"/>
    <n v="201345737"/>
    <s v="Rosales,Paco"/>
    <s v="Lopez,Alexa"/>
    <n v="0"/>
    <n v="0"/>
    <n v="0"/>
    <n v="0"/>
    <n v="0.19"/>
    <e v="#N/A"/>
    <x v="156"/>
  </r>
  <r>
    <d v="2023-10-03T00:00:00"/>
    <x v="38"/>
    <s v="Admin/HR/IT"/>
    <s v="AMCARE NonOcc In"/>
    <s v="AMZN"/>
    <n v="201396328"/>
    <s v="Canchola,Alejandro"/>
    <s v="Rosas Negrete,Sebastian"/>
    <n v="0"/>
    <n v="0"/>
    <n v="0"/>
    <n v="0"/>
    <n v="0.12"/>
    <e v="#N/A"/>
    <x v="188"/>
  </r>
  <r>
    <d v="2023-10-03T00:00:00"/>
    <x v="38"/>
    <s v="Admin/HR/IT"/>
    <s v="AMCARE NonOcc In"/>
    <s v="AMZN"/>
    <n v="201403462"/>
    <s v="Valdovino,Jorge"/>
    <s v="Gomez Aguado,Jorge"/>
    <n v="0"/>
    <n v="0"/>
    <n v="0"/>
    <n v="0"/>
    <n v="0.46"/>
    <e v="#N/A"/>
    <x v="146"/>
  </r>
  <r>
    <d v="2023-10-03T00:00:00"/>
    <x v="38"/>
    <s v="Admin/HR/IT"/>
    <s v="AMCARE NonOcc In"/>
    <s v="TEMP"/>
    <n v="201842064"/>
    <s v="Agripino,Andrea"/>
    <s v="Ledezma,Fer"/>
    <n v="0"/>
    <n v="0"/>
    <n v="0"/>
    <n v="0"/>
    <n v="0.14000000000000001"/>
    <e v="#N/A"/>
    <x v="210"/>
  </r>
  <r>
    <d v="2023-10-03T00:00:00"/>
    <x v="38"/>
    <s v="Admin/HR/IT"/>
    <s v="AMCARE NonOcc In"/>
    <s v="TEMP"/>
    <n v="201880542"/>
    <s v="ORTIZ,CORPUS"/>
    <s v="Romero Sanchez,Gustavo Gabriel"/>
    <n v="0"/>
    <n v="0"/>
    <n v="0"/>
    <n v="0"/>
    <n v="0.2"/>
    <e v="#N/A"/>
    <x v="199"/>
  </r>
  <r>
    <d v="2023-10-03T00:00:00"/>
    <x v="38"/>
    <s v="Admin/HR/IT"/>
    <s v="AMCARE NonOcc In"/>
    <s v="TEMP"/>
    <n v="202052420"/>
    <s v="Gonzalez,Karla"/>
    <s v="Hernandez,Nataly"/>
    <n v="0"/>
    <n v="0"/>
    <n v="0"/>
    <n v="0"/>
    <n v="0.19"/>
    <e v="#N/A"/>
    <x v="0"/>
  </r>
  <r>
    <d v="2023-10-03T00:00:00"/>
    <x v="38"/>
    <s v="Admin/HR/IT"/>
    <s v="AMCARE NonOcc In"/>
    <s v="TEMP"/>
    <n v="202070029"/>
    <s v="Macias,Salvador"/>
    <s v="Bueno Mendoza,Susana"/>
    <n v="0"/>
    <n v="0"/>
    <n v="0"/>
    <n v="0"/>
    <n v="0.15"/>
    <e v="#N/A"/>
    <x v="0"/>
  </r>
  <r>
    <d v="2023-10-03T00:00:00"/>
    <x v="38"/>
    <s v="Admin/HR/IT"/>
    <s v="AMCARE NonOcc In"/>
    <s v="TEMP"/>
    <n v="202118346"/>
    <s v="Ponce,Jessi"/>
    <s v="Rosas Negrete,Sebastian"/>
    <n v="0"/>
    <n v="0"/>
    <n v="0"/>
    <n v="0"/>
    <n v="0.3"/>
    <e v="#N/A"/>
    <x v="237"/>
  </r>
  <r>
    <d v="2023-10-04T00:00:00"/>
    <x v="38"/>
    <s v="Admin/HR/IT"/>
    <s v="AMCARE NonOcc In"/>
    <s v="AMZN"/>
    <n v="103427877"/>
    <s v="Alanis Hernandez,Patricia"/>
    <s v="Gomez Aguado,Jorge"/>
    <n v="0"/>
    <n v="0"/>
    <n v="0"/>
    <n v="0"/>
    <n v="0.9"/>
    <e v="#N/A"/>
    <x v="0"/>
  </r>
  <r>
    <d v="2023-10-04T00:00:00"/>
    <x v="38"/>
    <s v="Admin/HR/IT"/>
    <s v="AMCARE NonOcc In"/>
    <s v="AMZN"/>
    <n v="112912397"/>
    <s v="Neri Zuniga,Ricardo"/>
    <s v="Gomez Aguado,Jorge"/>
    <n v="0"/>
    <n v="0"/>
    <n v="0"/>
    <n v="0"/>
    <n v="0.15"/>
    <s v="D5-X0700"/>
    <x v="59"/>
  </r>
  <r>
    <d v="2023-10-04T00:00:00"/>
    <x v="38"/>
    <s v="Admin/HR/IT"/>
    <s v="AMCARE NonOcc In"/>
    <s v="AMZN"/>
    <n v="112971997"/>
    <s v="Nieto,Emili"/>
    <s v="Hernandez,Nataly"/>
    <n v="0"/>
    <n v="0"/>
    <n v="0"/>
    <n v="0"/>
    <n v="0.28000000000000003"/>
    <s v="DA-X0700"/>
    <x v="117"/>
  </r>
  <r>
    <d v="2023-10-04T00:00:00"/>
    <x v="38"/>
    <s v="Admin/HR/IT"/>
    <s v="AMCARE NonOcc In"/>
    <s v="AMZN"/>
    <n v="112972802"/>
    <s v="Rodriguez Posada,Emiliano"/>
    <s v="Corona Arriaga,Fernando"/>
    <n v="0"/>
    <n v="0"/>
    <n v="0"/>
    <n v="0"/>
    <n v="0.12"/>
    <s v="DB-X0700"/>
    <x v="238"/>
  </r>
  <r>
    <d v="2023-10-04T00:00:00"/>
    <x v="38"/>
    <s v="Admin/HR/IT"/>
    <s v="AMCARE NonOcc In"/>
    <s v="TEMP"/>
    <n v="113003619"/>
    <s v="Villegas,Jesus"/>
    <s v="Romero Sanchez,Gustavo Gabriel"/>
    <n v="0"/>
    <n v="0"/>
    <n v="0"/>
    <n v="0"/>
    <n v="0.4"/>
    <e v="#N/A"/>
    <x v="0"/>
  </r>
  <r>
    <d v="2023-10-04T00:00:00"/>
    <x v="38"/>
    <s v="Admin/HR/IT"/>
    <s v="AMCARE NonOcc In"/>
    <s v="AMZN"/>
    <n v="113014073"/>
    <s v="Lira Reyes,Rafael"/>
    <s v="Munoz,Jonan"/>
    <n v="0"/>
    <n v="0"/>
    <n v="0"/>
    <n v="0"/>
    <n v="0.38"/>
    <e v="#N/A"/>
    <x v="239"/>
  </r>
  <r>
    <d v="2023-10-04T00:00:00"/>
    <x v="38"/>
    <s v="Admin/HR/IT"/>
    <s v="AMCARE NonOcc In"/>
    <s v="AMZN"/>
    <n v="113014470"/>
    <s v="Aguilar Ibarra,Lupe"/>
    <s v="Robledo Ugarte,Alejandro"/>
    <n v="0"/>
    <n v="0"/>
    <n v="0"/>
    <n v="0"/>
    <n v="0.25"/>
    <e v="#N/A"/>
    <x v="30"/>
  </r>
  <r>
    <d v="2023-10-04T00:00:00"/>
    <x v="38"/>
    <s v="Admin/HR/IT"/>
    <s v="AMCARE NonOcc In"/>
    <s v="TEMP"/>
    <n v="113019111"/>
    <s v="Valdespino,Kelly"/>
    <s v="Pizana,Diego"/>
    <n v="0"/>
    <n v="0"/>
    <n v="0"/>
    <n v="0"/>
    <n v="0.48"/>
    <e v="#N/A"/>
    <x v="68"/>
  </r>
  <r>
    <d v="2023-10-04T00:00:00"/>
    <x v="38"/>
    <s v="Admin/HR/IT"/>
    <s v="AMCARE NonOcc In"/>
    <s v="AMZN"/>
    <n v="201167501"/>
    <s v="Rodriguez,Ruben"/>
    <s v="Robledo Ugarte,Alejandro"/>
    <n v="0"/>
    <n v="0"/>
    <n v="0"/>
    <n v="0"/>
    <n v="0.08"/>
    <e v="#N/A"/>
    <x v="109"/>
  </r>
  <r>
    <d v="2023-10-04T00:00:00"/>
    <x v="38"/>
    <s v="Admin/HR/IT"/>
    <s v="AMCARE NonOcc In"/>
    <s v="AMZN"/>
    <n v="201191198"/>
    <s v="Mojica,Emmanuel"/>
    <s v="Ledezma,Fer"/>
    <n v="0"/>
    <n v="0"/>
    <n v="0"/>
    <n v="0"/>
    <n v="0.14000000000000001"/>
    <e v="#N/A"/>
    <x v="130"/>
  </r>
  <r>
    <d v="2023-10-04T00:00:00"/>
    <x v="38"/>
    <s v="Admin/HR/IT"/>
    <s v="AMCARE NonOcc In"/>
    <s v="AMZN"/>
    <n v="201191390"/>
    <s v="GarcÃ­a,jesus"/>
    <s v="Romero Sanchez,Gustavo Gabriel"/>
    <n v="0"/>
    <n v="0"/>
    <n v="0"/>
    <n v="0"/>
    <n v="0.27"/>
    <e v="#N/A"/>
    <x v="116"/>
  </r>
  <r>
    <d v="2023-10-04T00:00:00"/>
    <x v="38"/>
    <s v="Admin/HR/IT"/>
    <s v="AMCARE NonOcc In"/>
    <s v="AMZN"/>
    <n v="201300426"/>
    <s v="Lira,Adrian"/>
    <s v="Hernandez,Nataly"/>
    <n v="0"/>
    <n v="0"/>
    <n v="0"/>
    <n v="0"/>
    <n v="0.45"/>
    <e v="#N/A"/>
    <x v="167"/>
  </r>
  <r>
    <d v="2023-10-04T00:00:00"/>
    <x v="38"/>
    <s v="Admin/HR/IT"/>
    <s v="AMCARE NonOcc In"/>
    <s v="AMZN"/>
    <n v="201396328"/>
    <s v="Canchola,Alejandro"/>
    <s v="Rosas Negrete,Sebastian"/>
    <n v="0"/>
    <n v="0"/>
    <n v="0"/>
    <n v="0"/>
    <n v="0.3"/>
    <e v="#N/A"/>
    <x v="188"/>
  </r>
  <r>
    <d v="2023-10-04T00:00:00"/>
    <x v="38"/>
    <s v="Admin/HR/IT"/>
    <s v="AMCARE NonOcc In"/>
    <s v="TEMP"/>
    <n v="201842039"/>
    <s v="Martinez,Antonio"/>
    <s v="Corona Arriaga,Fernando"/>
    <n v="0"/>
    <n v="0"/>
    <n v="0"/>
    <n v="0"/>
    <n v="0.11"/>
    <e v="#N/A"/>
    <x v="203"/>
  </r>
  <r>
    <d v="2023-10-04T00:00:00"/>
    <x v="38"/>
    <s v="Admin/HR/IT"/>
    <s v="AMCARE NonOcc In"/>
    <s v="TEMP"/>
    <n v="201880542"/>
    <s v="ORTIZ,CORPUS"/>
    <s v="Bueno Mendoza,Susana"/>
    <n v="0"/>
    <n v="0"/>
    <n v="0"/>
    <n v="0"/>
    <n v="0.28999999999999998"/>
    <e v="#N/A"/>
    <x v="199"/>
  </r>
  <r>
    <d v="2023-10-04T00:00:00"/>
    <x v="38"/>
    <s v="Admin/HR/IT"/>
    <s v="AMCARE NonOcc In"/>
    <s v="TEMP"/>
    <n v="201891076"/>
    <s v="Olvera,Marilu"/>
    <s v="Piedra,Valentina"/>
    <n v="0"/>
    <n v="0"/>
    <n v="0"/>
    <n v="0"/>
    <n v="0.06"/>
    <e v="#N/A"/>
    <x v="200"/>
  </r>
  <r>
    <d v="2023-10-04T00:00:00"/>
    <x v="38"/>
    <s v="Admin/HR/IT"/>
    <s v="AMCARE NonOcc In"/>
    <s v="TEMP"/>
    <n v="202070029"/>
    <s v="Macias,Salvador"/>
    <s v="Bueno Mendoza,Susana"/>
    <n v="0"/>
    <n v="0"/>
    <n v="0"/>
    <n v="0"/>
    <n v="0.13"/>
    <e v="#N/A"/>
    <x v="0"/>
  </r>
  <r>
    <d v="2023-10-04T00:00:00"/>
    <x v="38"/>
    <s v="Admin/HR/IT"/>
    <s v="AMCARE NonOcc In"/>
    <s v="TEMP"/>
    <n v="202081087"/>
    <s v="Martinez,Lilian"/>
    <s v="Cortes,Alejandra"/>
    <n v="0"/>
    <n v="0"/>
    <n v="0"/>
    <n v="0"/>
    <n v="0.25"/>
    <e v="#N/A"/>
    <x v="240"/>
  </r>
  <r>
    <d v="2023-10-04T00:00:00"/>
    <x v="38"/>
    <s v="Admin/HR/IT"/>
    <s v="AMCARE NonOcc In"/>
    <s v="TEMP"/>
    <n v="202137341"/>
    <s v="Bravo,Edgar"/>
    <s v="Rosas Negrete,Sebastian"/>
    <n v="0"/>
    <n v="0"/>
    <n v="0"/>
    <n v="0"/>
    <n v="0.31"/>
    <e v="#N/A"/>
    <x v="241"/>
  </r>
  <r>
    <d v="2023-10-05T00:00:00"/>
    <x v="38"/>
    <s v="Admin/HR/IT"/>
    <s v="AMCARE NonOcc In"/>
    <s v="AMZN"/>
    <n v="112912661"/>
    <s v="Morales Gonzalez,Francisco"/>
    <s v="Hernandez,Nataly"/>
    <n v="0"/>
    <n v="0"/>
    <n v="0"/>
    <n v="0"/>
    <n v="0.2"/>
    <s v="DA-X0700"/>
    <x v="96"/>
  </r>
  <r>
    <d v="2023-10-05T00:00:00"/>
    <x v="38"/>
    <s v="Admin/HR/IT"/>
    <s v="AMCARE NonOcc In"/>
    <s v="AMZN"/>
    <n v="112912983"/>
    <s v="RodrÃ­guez,RocÃ­o"/>
    <s v="Gomez Aguado,Jorge"/>
    <n v="0"/>
    <n v="0"/>
    <n v="0"/>
    <n v="0"/>
    <n v="0.86"/>
    <s v="NF-X1900"/>
    <x v="75"/>
  </r>
  <r>
    <d v="2023-10-05T00:00:00"/>
    <x v="38"/>
    <s v="Admin/HR/IT"/>
    <s v="AMCARE NonOcc In"/>
    <s v="AMZN"/>
    <n v="113003971"/>
    <s v="Garcia  Ramirez,Gabriel"/>
    <s v="Corona Arriaga,Fernando"/>
    <n v="0"/>
    <n v="0"/>
    <n v="0"/>
    <n v="0"/>
    <n v="0.31"/>
    <e v="#N/A"/>
    <x v="10"/>
  </r>
  <r>
    <d v="2023-10-05T00:00:00"/>
    <x v="38"/>
    <s v="Admin/HR/IT"/>
    <s v="AMCARE NonOcc In"/>
    <s v="AMZN"/>
    <n v="113020476"/>
    <s v="Puente Aguilar,Polette"/>
    <s v="Romero Sanchez,Gustavo Gabriel"/>
    <n v="0"/>
    <n v="0"/>
    <n v="0"/>
    <n v="0"/>
    <n v="0.15"/>
    <e v="#N/A"/>
    <x v="19"/>
  </r>
  <r>
    <d v="2023-10-05T00:00:00"/>
    <x v="38"/>
    <s v="Admin/HR/IT"/>
    <s v="AMCARE NonOcc In"/>
    <s v="AMZN"/>
    <n v="200464838"/>
    <s v="Ortiz,Fernando"/>
    <s v="Romero Sanchez,Gustavo Gabriel"/>
    <n v="0"/>
    <n v="0"/>
    <n v="0"/>
    <n v="0"/>
    <n v="0.12"/>
    <e v="#N/A"/>
    <x v="28"/>
  </r>
  <r>
    <d v="2023-10-05T00:00:00"/>
    <x v="38"/>
    <s v="Admin/HR/IT"/>
    <s v="AMCARE NonOcc In"/>
    <s v="AMZN"/>
    <n v="200574655"/>
    <s v="Mireles,Dulce"/>
    <s v="Corona Arriaga,Fernando"/>
    <n v="0"/>
    <n v="0"/>
    <n v="0"/>
    <n v="0"/>
    <n v="1.1599999999999999"/>
    <e v="#N/A"/>
    <x v="88"/>
  </r>
  <r>
    <d v="2023-10-05T00:00:00"/>
    <x v="38"/>
    <s v="Admin/HR/IT"/>
    <s v="AMCARE NonOcc In"/>
    <s v="AMZN"/>
    <n v="201191198"/>
    <s v="Mojica,Emmanuel"/>
    <s v="Ledezma,Fer"/>
    <n v="0"/>
    <n v="0"/>
    <n v="0"/>
    <n v="0"/>
    <n v="0.73"/>
    <e v="#N/A"/>
    <x v="130"/>
  </r>
  <r>
    <d v="2023-10-05T00:00:00"/>
    <x v="38"/>
    <s v="Admin/HR/IT"/>
    <s v="AMCARE NonOcc In"/>
    <s v="AMZN"/>
    <n v="201191390"/>
    <s v="GarcÃ­a,jesus"/>
    <s v="Romero Sanchez,Gustavo Gabriel"/>
    <n v="0"/>
    <n v="0"/>
    <n v="0"/>
    <n v="0"/>
    <n v="0.15"/>
    <e v="#N/A"/>
    <x v="116"/>
  </r>
  <r>
    <d v="2023-10-05T00:00:00"/>
    <x v="38"/>
    <s v="Admin/HR/IT"/>
    <s v="AMCARE NonOcc In"/>
    <s v="AMZN"/>
    <n v="201223730"/>
    <s v="Sanchiz,Cesarito"/>
    <s v="Corona Arriaga,Fernando"/>
    <n v="0"/>
    <n v="0"/>
    <n v="0"/>
    <n v="0"/>
    <n v="0.7"/>
    <e v="#N/A"/>
    <x v="120"/>
  </r>
  <r>
    <d v="2023-10-05T00:00:00"/>
    <x v="38"/>
    <s v="Admin/HR/IT"/>
    <s v="AMCARE NonOcc In"/>
    <s v="AMZN"/>
    <n v="201228411"/>
    <s v="Hernandez Soriano,Jazmin"/>
    <s v="Corona Arriaga,Fernando"/>
    <n v="0"/>
    <n v="0"/>
    <n v="0"/>
    <n v="0"/>
    <n v="0.71"/>
    <e v="#N/A"/>
    <x v="123"/>
  </r>
  <r>
    <d v="2023-10-05T00:00:00"/>
    <x v="38"/>
    <s v="Admin/HR/IT"/>
    <s v="AMCARE NonOcc In"/>
    <s v="TEMP"/>
    <n v="201320536"/>
    <s v="Ibarra,Miguel"/>
    <s v="Ledezma,Fer"/>
    <n v="0"/>
    <n v="0"/>
    <n v="0"/>
    <n v="0"/>
    <n v="0.03"/>
    <e v="#N/A"/>
    <x v="139"/>
  </r>
  <r>
    <d v="2023-10-05T00:00:00"/>
    <x v="38"/>
    <s v="Admin/HR/IT"/>
    <s v="AMCARE NonOcc In"/>
    <s v="AMZN"/>
    <n v="201354965"/>
    <s v="JimÃ©nez,Aline"/>
    <s v="Lopez,Alexa"/>
    <n v="0"/>
    <n v="0"/>
    <n v="0"/>
    <n v="0"/>
    <n v="0.2"/>
    <e v="#N/A"/>
    <x v="152"/>
  </r>
  <r>
    <d v="2023-10-05T00:00:00"/>
    <x v="38"/>
    <s v="Admin/HR/IT"/>
    <s v="AMCARE NonOcc In"/>
    <s v="AMZN"/>
    <n v="201377831"/>
    <s v="Martinez,Fernando"/>
    <s v="Cortes,Alejandra"/>
    <n v="0"/>
    <n v="0"/>
    <n v="0"/>
    <n v="0"/>
    <n v="0.34"/>
    <e v="#N/A"/>
    <x v="0"/>
  </r>
  <r>
    <d v="2023-10-05T00:00:00"/>
    <x v="38"/>
    <s v="Admin/HR/IT"/>
    <s v="AMCARE NonOcc In"/>
    <s v="AMZN"/>
    <n v="201403462"/>
    <s v="Valdovino,Jorge"/>
    <s v="Gomez Aguado,Jorge"/>
    <n v="0"/>
    <n v="0"/>
    <n v="0"/>
    <n v="0"/>
    <n v="0.69"/>
    <e v="#N/A"/>
    <x v="146"/>
  </r>
  <r>
    <d v="2023-10-05T00:00:00"/>
    <x v="38"/>
    <s v="Admin/HR/IT"/>
    <s v="AMCARE NonOcc In"/>
    <s v="TEMP"/>
    <n v="201408478"/>
    <s v="Calderon,David"/>
    <s v="Romero Sanchez,Gustavo Gabriel"/>
    <n v="0"/>
    <n v="0"/>
    <n v="0"/>
    <n v="0"/>
    <n v="0.98"/>
    <e v="#N/A"/>
    <x v="160"/>
  </r>
  <r>
    <d v="2023-10-05T00:00:00"/>
    <x v="38"/>
    <s v="Admin/HR/IT"/>
    <s v="AMCARE NonOcc In"/>
    <s v="TEMP"/>
    <n v="201901910"/>
    <s v="Flores,Edwin"/>
    <s v="Ledezma,Fer"/>
    <n v="0"/>
    <n v="0"/>
    <n v="0"/>
    <n v="0"/>
    <n v="0.48"/>
    <e v="#N/A"/>
    <x v="214"/>
  </r>
  <r>
    <d v="2023-10-05T00:00:00"/>
    <x v="38"/>
    <s v="Admin/HR/IT"/>
    <s v="AMCARE NonOcc In"/>
    <s v="TEMP"/>
    <n v="202063545"/>
    <s v="GarcÃ­a,Ana"/>
    <s v="Ledezma,Fer"/>
    <n v="0"/>
    <n v="0"/>
    <n v="0"/>
    <n v="0"/>
    <n v="0.1"/>
    <e v="#N/A"/>
    <x v="228"/>
  </r>
  <r>
    <d v="2023-10-05T00:00:00"/>
    <x v="38"/>
    <s v="Admin/HR/IT"/>
    <s v="AMCARE NonOcc In"/>
    <s v="TEMP"/>
    <n v="202081527"/>
    <s v="Martinez,Efren"/>
    <s v="Hernandez,Nataly"/>
    <n v="0"/>
    <n v="0"/>
    <n v="0"/>
    <n v="0"/>
    <n v="0.32"/>
    <e v="#N/A"/>
    <x v="226"/>
  </r>
  <r>
    <d v="2023-10-05T00:00:00"/>
    <x v="38"/>
    <s v="Admin/HR/IT"/>
    <s v="AMCARE NonOcc In"/>
    <s v="TEMP"/>
    <n v="202117420"/>
    <s v="Cervera,Israel"/>
    <s v="Cortes,Alejandra"/>
    <n v="0"/>
    <n v="0"/>
    <n v="0"/>
    <n v="0"/>
    <n v="0.13"/>
    <e v="#N/A"/>
    <x v="230"/>
  </r>
  <r>
    <d v="2023-10-05T00:00:00"/>
    <x v="38"/>
    <s v="Admin/HR/IT"/>
    <s v="AMCARE NonOcc In"/>
    <s v="TEMP"/>
    <n v="202120444"/>
    <s v="Hernandez,Alondra"/>
    <s v="Cortes,Alejandra"/>
    <n v="0"/>
    <n v="0"/>
    <n v="0"/>
    <n v="0"/>
    <n v="0.26"/>
    <e v="#N/A"/>
    <x v="242"/>
  </r>
  <r>
    <d v="2023-10-05T00:00:00"/>
    <x v="38"/>
    <s v="Admin/HR/IT"/>
    <s v="AMCARE NonOcc In"/>
    <s v="TEMP"/>
    <n v="202138120"/>
    <s v="Lara,Carlos"/>
    <s v="Corona Arriaga,Fernando"/>
    <n v="0"/>
    <n v="0"/>
    <n v="0"/>
    <n v="0"/>
    <n v="1.86"/>
    <e v="#N/A"/>
    <x v="0"/>
  </r>
  <r>
    <d v="2023-10-05T00:00:00"/>
    <x v="38"/>
    <s v="Admin/HR/IT"/>
    <s v="AMCARE NonOcc In"/>
    <s v="TEMP"/>
    <n v="202173387"/>
    <s v="Sanchez,Angela"/>
    <s v="Robledo Ugarte,Alejandro"/>
    <n v="0"/>
    <n v="0"/>
    <n v="0"/>
    <n v="0"/>
    <n v="0.17"/>
    <e v="#N/A"/>
    <x v="0"/>
  </r>
  <r>
    <d v="2023-10-06T00:00:00"/>
    <x v="38"/>
    <s v="Admin/HR/IT"/>
    <s v="AMCARE NonOcc In"/>
    <s v="AMZN"/>
    <n v="112916534"/>
    <s v="Esparza Sanchez,Areli"/>
    <s v="Corona Arriaga,Fernando"/>
    <n v="0"/>
    <n v="0"/>
    <n v="0"/>
    <n v="0"/>
    <n v="0.17"/>
    <s v="DB-X0700"/>
    <x v="40"/>
  </r>
  <r>
    <d v="2023-10-06T00:00:00"/>
    <x v="38"/>
    <s v="Admin/HR/IT"/>
    <s v="AMCARE NonOcc In"/>
    <s v="AMZN"/>
    <n v="112920655"/>
    <s v="Diaz de LeÃ³n,Paola"/>
    <s v="Cortes,Alejandra"/>
    <n v="0"/>
    <n v="0"/>
    <n v="0"/>
    <n v="0"/>
    <n v="1.06"/>
    <e v="#N/A"/>
    <x v="0"/>
  </r>
  <r>
    <d v="2023-10-06T00:00:00"/>
    <x v="38"/>
    <s v="Admin/HR/IT"/>
    <s v="AMCARE NonOcc In"/>
    <s v="AMZN"/>
    <n v="112950784"/>
    <s v="Rojas,Samuel"/>
    <s v="Pizana,Diego"/>
    <n v="0"/>
    <n v="0"/>
    <n v="0"/>
    <n v="0"/>
    <n v="0.1"/>
    <s v="NF-X1900"/>
    <x v="13"/>
  </r>
  <r>
    <d v="2023-10-06T00:00:00"/>
    <x v="38"/>
    <s v="Admin/HR/IT"/>
    <s v="AMCARE NonOcc In"/>
    <s v="AMZN"/>
    <n v="201211157"/>
    <s v="Vargas,Jesse"/>
    <s v="Gomez Aguado,Jorge"/>
    <n v="0"/>
    <n v="0"/>
    <n v="0"/>
    <n v="0"/>
    <n v="0.25"/>
    <e v="#N/A"/>
    <x v="121"/>
  </r>
  <r>
    <d v="2023-10-06T00:00:00"/>
    <x v="38"/>
    <s v="Admin/HR/IT"/>
    <s v="AMCARE NonOcc In"/>
    <s v="AMZN"/>
    <n v="201223730"/>
    <s v="Sanchiz,Cesarito"/>
    <s v="Corona Arriaga,Fernando"/>
    <n v="0"/>
    <n v="0"/>
    <n v="0"/>
    <n v="0"/>
    <n v="0.79"/>
    <e v="#N/A"/>
    <x v="120"/>
  </r>
  <r>
    <d v="2023-10-06T00:00:00"/>
    <x v="38"/>
    <s v="Admin/HR/IT"/>
    <s v="AMCARE NonOcc In"/>
    <s v="AMZN"/>
    <n v="201228411"/>
    <s v="Hernandez Soriano,Jazmin"/>
    <s v="Corona Arriaga,Fernando"/>
    <n v="0"/>
    <n v="0"/>
    <n v="0"/>
    <n v="0"/>
    <n v="0.79"/>
    <e v="#N/A"/>
    <x v="123"/>
  </r>
  <r>
    <d v="2023-10-06T00:00:00"/>
    <x v="38"/>
    <s v="Admin/HR/IT"/>
    <s v="AMCARE NonOcc In"/>
    <s v="AMZN"/>
    <n v="201345737"/>
    <s v="Rosales,Paco"/>
    <s v="Munoz,Jonan"/>
    <n v="0"/>
    <n v="0"/>
    <n v="0"/>
    <n v="0"/>
    <n v="0.28000000000000003"/>
    <e v="#N/A"/>
    <x v="156"/>
  </r>
  <r>
    <d v="2023-10-06T00:00:00"/>
    <x v="38"/>
    <s v="Admin/HR/IT"/>
    <s v="AMCARE NonOcc In"/>
    <s v="AMZN"/>
    <n v="201350949"/>
    <s v="Reyes,Isabel"/>
    <s v="Robledo Ugarte,Alejandro"/>
    <n v="0"/>
    <n v="0"/>
    <n v="0"/>
    <n v="0"/>
    <n v="0.09"/>
    <e v="#N/A"/>
    <x v="211"/>
  </r>
  <r>
    <d v="2023-10-06T00:00:00"/>
    <x v="38"/>
    <s v="Admin/HR/IT"/>
    <s v="AMCARE NonOcc In"/>
    <s v="AMZN"/>
    <n v="201403462"/>
    <s v="Valdovino,Jorge"/>
    <s v="Gomez Aguado,Jorge"/>
    <n v="0"/>
    <n v="0"/>
    <n v="0"/>
    <n v="0"/>
    <n v="0.64"/>
    <e v="#N/A"/>
    <x v="146"/>
  </r>
  <r>
    <d v="2023-10-06T00:00:00"/>
    <x v="38"/>
    <s v="Admin/HR/IT"/>
    <s v="AMCARE NonOcc In"/>
    <s v="TEMP"/>
    <n v="201847940"/>
    <s v="Vallecillo,Jessy"/>
    <s v="Ledezma,Fer"/>
    <n v="0"/>
    <n v="0"/>
    <n v="0"/>
    <n v="0"/>
    <n v="0.48"/>
    <e v="#N/A"/>
    <x v="0"/>
  </r>
  <r>
    <d v="2023-10-06T00:00:00"/>
    <x v="38"/>
    <s v="Admin/HR/IT"/>
    <s v="AMCARE NonOcc In"/>
    <s v="TEMP"/>
    <n v="201880542"/>
    <s v="ORTIZ,CORPUS"/>
    <s v="Bueno Mendoza,Susana"/>
    <n v="0"/>
    <n v="0"/>
    <n v="0"/>
    <n v="0"/>
    <n v="0.18"/>
    <e v="#N/A"/>
    <x v="199"/>
  </r>
  <r>
    <d v="2023-10-06T00:00:00"/>
    <x v="38"/>
    <s v="Admin/HR/IT"/>
    <s v="AMCARE NonOcc In"/>
    <s v="TEMP"/>
    <n v="201901910"/>
    <s v="Flores,Edwin"/>
    <s v="Ledezma,Fer"/>
    <n v="0"/>
    <n v="0"/>
    <n v="0"/>
    <n v="0"/>
    <n v="0.61"/>
    <e v="#N/A"/>
    <x v="214"/>
  </r>
  <r>
    <d v="2023-10-06T00:00:00"/>
    <x v="38"/>
    <s v="Admin/HR/IT"/>
    <s v="AMCARE NonOcc In"/>
    <s v="TEMP"/>
    <n v="202081527"/>
    <s v="Martinez,Efren"/>
    <s v="Hernandez,Nataly"/>
    <n v="0"/>
    <n v="0"/>
    <n v="0"/>
    <n v="0"/>
    <n v="0.91"/>
    <e v="#N/A"/>
    <x v="226"/>
  </r>
  <r>
    <d v="2023-10-07T00:00:00"/>
    <x v="38"/>
    <s v="Admin/HR/IT"/>
    <s v="AMCARE NonOcc In"/>
    <s v="AMZN"/>
    <n v="112971988"/>
    <s v="Trejo Tarango,Stephannie Del Rocio"/>
    <s v="Cortes,Alejandra"/>
    <n v="0"/>
    <n v="0"/>
    <n v="0"/>
    <n v="0"/>
    <n v="0.21"/>
    <s v="DB-X0700"/>
    <x v="80"/>
  </r>
  <r>
    <d v="2023-10-07T00:00:00"/>
    <x v="38"/>
    <s v="Admin/HR/IT"/>
    <s v="AMCARE NonOcc In"/>
    <s v="AMZN"/>
    <n v="113020476"/>
    <s v="Puente Aguilar,Polette"/>
    <s v="Romero Sanchez,Gustavo Gabriel"/>
    <n v="0"/>
    <n v="0"/>
    <n v="0"/>
    <n v="0"/>
    <n v="0.28999999999999998"/>
    <e v="#N/A"/>
    <x v="19"/>
  </r>
  <r>
    <d v="2023-10-07T00:00:00"/>
    <x v="38"/>
    <s v="Admin/HR/IT"/>
    <s v="AMCARE NonOcc In"/>
    <s v="AMZN"/>
    <n v="200508323"/>
    <s v="Espejel Lopez,Emmanuel"/>
    <s v="Corona Arriaga,Fernando"/>
    <n v="0"/>
    <n v="0"/>
    <n v="0"/>
    <n v="0"/>
    <n v="0.16"/>
    <e v="#N/A"/>
    <x v="177"/>
  </r>
  <r>
    <d v="2023-10-07T00:00:00"/>
    <x v="38"/>
    <s v="Admin/HR/IT"/>
    <s v="AMCARE NonOcc In"/>
    <s v="AMZN"/>
    <n v="200614224"/>
    <s v="Cruz Hernandez,Cris"/>
    <s v="Romero Sanchez,Gustavo Gabriel"/>
    <n v="0"/>
    <n v="0"/>
    <n v="0"/>
    <n v="0"/>
    <n v="0.48"/>
    <e v="#N/A"/>
    <x v="0"/>
  </r>
  <r>
    <d v="2023-10-07T00:00:00"/>
    <x v="38"/>
    <s v="Admin/HR/IT"/>
    <s v="AMCARE NonOcc In"/>
    <s v="AMZN"/>
    <n v="201223730"/>
    <s v="Sanchiz,Cesarito"/>
    <s v="Corona Arriaga,Fernando"/>
    <n v="0"/>
    <n v="0"/>
    <n v="0"/>
    <n v="0"/>
    <n v="0.61"/>
    <e v="#N/A"/>
    <x v="120"/>
  </r>
  <r>
    <d v="2023-10-07T00:00:00"/>
    <x v="38"/>
    <s v="Admin/HR/IT"/>
    <s v="AMCARE NonOcc In"/>
    <s v="AMZN"/>
    <n v="201228411"/>
    <s v="Hernandez Soriano,Jazmin"/>
    <s v="Corona Arriaga,Fernando"/>
    <n v="0"/>
    <n v="0"/>
    <n v="0"/>
    <n v="0"/>
    <n v="1.1299999999999999"/>
    <e v="#N/A"/>
    <x v="123"/>
  </r>
  <r>
    <d v="2023-10-07T00:00:00"/>
    <x v="38"/>
    <s v="Admin/HR/IT"/>
    <s v="AMCARE NonOcc In"/>
    <s v="AMZN"/>
    <n v="201403462"/>
    <s v="Valdovino,Jorge"/>
    <s v="Gomez Aguado,Jorge"/>
    <n v="0"/>
    <n v="0"/>
    <n v="0"/>
    <n v="0"/>
    <n v="0.67"/>
    <e v="#N/A"/>
    <x v="146"/>
  </r>
  <r>
    <d v="2023-10-07T00:00:00"/>
    <x v="38"/>
    <s v="Admin/HR/IT"/>
    <s v="AMCARE NonOcc In"/>
    <s v="TEMP"/>
    <n v="201841804"/>
    <s v="Ruiz,Michelle"/>
    <s v="Ledezma,Fer"/>
    <n v="0"/>
    <n v="0"/>
    <n v="0"/>
    <n v="0"/>
    <n v="1.37"/>
    <e v="#N/A"/>
    <x v="195"/>
  </r>
  <r>
    <d v="2023-10-07T00:00:00"/>
    <x v="38"/>
    <s v="Admin/HR/IT"/>
    <s v="AMCARE NonOcc In"/>
    <s v="TEMP"/>
    <n v="201842039"/>
    <s v="Martinez,Antonio"/>
    <s v="Corona Arriaga,Fernando"/>
    <n v="0"/>
    <n v="0"/>
    <n v="0"/>
    <n v="0"/>
    <n v="0.2"/>
    <e v="#N/A"/>
    <x v="203"/>
  </r>
  <r>
    <d v="2023-10-07T00:00:00"/>
    <x v="38"/>
    <s v="Admin/HR/IT"/>
    <s v="AMCARE NonOcc In"/>
    <s v="TEMP"/>
    <n v="201842064"/>
    <s v="Agripino,Andrea"/>
    <s v="Ledezma,Fer"/>
    <n v="0"/>
    <n v="0"/>
    <n v="0"/>
    <n v="0"/>
    <n v="1.3"/>
    <e v="#N/A"/>
    <x v="210"/>
  </r>
  <r>
    <d v="2023-10-07T00:00:00"/>
    <x v="38"/>
    <s v="Admin/HR/IT"/>
    <s v="AMCARE NonOcc In"/>
    <s v="TEMP"/>
    <n v="201906503"/>
    <s v="MartÃ­nez,Jennifer"/>
    <s v="Gomez Aguado,Jorge"/>
    <n v="0"/>
    <n v="0"/>
    <n v="0"/>
    <n v="0"/>
    <n v="0.21"/>
    <e v="#N/A"/>
    <x v="201"/>
  </r>
  <r>
    <d v="2023-10-07T00:00:00"/>
    <x v="38"/>
    <s v="Admin/HR/IT"/>
    <s v="AMCARE NonOcc In"/>
    <s v="TEMP"/>
    <n v="202062181"/>
    <s v="Trejo,Luis"/>
    <s v="Ledezma,Fer"/>
    <n v="0"/>
    <n v="0"/>
    <n v="0"/>
    <n v="0"/>
    <n v="0.41"/>
    <e v="#N/A"/>
    <x v="243"/>
  </r>
  <r>
    <d v="2023-10-07T00:00:00"/>
    <x v="38"/>
    <s v="Admin/HR/IT"/>
    <s v="AMCARE NonOcc In"/>
    <s v="TEMP"/>
    <n v="202081527"/>
    <s v="Martinez,Efren"/>
    <s v="Hernandez,Nataly"/>
    <n v="0"/>
    <n v="0"/>
    <n v="0"/>
    <n v="0"/>
    <n v="0.33"/>
    <e v="#N/A"/>
    <x v="226"/>
  </r>
  <r>
    <d v="2023-10-07T00:00:00"/>
    <x v="38"/>
    <s v="Admin/HR/IT"/>
    <s v="AMCARE NonOcc In"/>
    <s v="TEMP"/>
    <n v="202103139"/>
    <s v="Luna,Fernanda"/>
    <s v="Romero Sanchez,Gustavo Gabriel"/>
    <n v="0"/>
    <n v="0"/>
    <n v="0"/>
    <n v="0"/>
    <n v="1.25"/>
    <e v="#N/A"/>
    <x v="244"/>
  </r>
  <r>
    <d v="2023-10-07T00:00:00"/>
    <x v="38"/>
    <s v="Admin/HR/IT"/>
    <s v="AMCARE NonOcc In"/>
    <s v="TEMP"/>
    <n v="202120077"/>
    <s v="Aguilar,Mauricio"/>
    <s v="Cortes,Alejandra"/>
    <n v="0"/>
    <n v="0"/>
    <n v="0"/>
    <n v="0"/>
    <n v="0.48"/>
    <e v="#N/A"/>
    <x v="231"/>
  </r>
  <r>
    <d v="2023-10-07T00:00:00"/>
    <x v="38"/>
    <s v="Admin/HR/IT"/>
    <s v="AMCARE NonOcc In"/>
    <s v="TEMP"/>
    <n v="202137109"/>
    <s v="JimÃ©nez,Anneth"/>
    <s v="Hernandez,Nataly"/>
    <n v="0"/>
    <n v="0"/>
    <n v="0"/>
    <n v="0"/>
    <n v="1.1499999999999999"/>
    <e v="#N/A"/>
    <x v="0"/>
  </r>
  <r>
    <d v="2023-10-07T00:00:00"/>
    <x v="38"/>
    <s v="Admin/HR/IT"/>
    <s v="AMCARE NonOcc In"/>
    <s v="TEMP"/>
    <n v="202175649"/>
    <s v="Galvan,Lia"/>
    <s v="Cortes,Alejandra"/>
    <n v="0"/>
    <n v="0"/>
    <n v="0"/>
    <n v="0"/>
    <n v="0.16"/>
    <e v="#N/A"/>
    <x v="245"/>
  </r>
  <r>
    <d v="2023-10-08T00:00:00"/>
    <x v="39"/>
    <s v="Admin/HR/IT"/>
    <s v="AMCARE NonOcc In"/>
    <s v="AMZN"/>
    <n v="112912506"/>
    <s v="Garcia  Caudillo,Jessica"/>
    <s v="Camarena,Grecia"/>
    <n v="0"/>
    <n v="0"/>
    <n v="0"/>
    <n v="0"/>
    <n v="0.24"/>
    <s v="DA-X0700"/>
    <x v="144"/>
  </r>
  <r>
    <d v="2023-10-08T00:00:00"/>
    <x v="39"/>
    <s v="Admin/HR/IT"/>
    <s v="AMCARE NonOcc In"/>
    <s v="AMZN"/>
    <n v="112980844"/>
    <s v="Padilla,Samantha"/>
    <s v="Rosas Negrete,Sebastian"/>
    <n v="0"/>
    <n v="0"/>
    <n v="0"/>
    <n v="0"/>
    <n v="0.18"/>
    <s v="DA-X0700"/>
    <x v="2"/>
  </r>
  <r>
    <d v="2023-10-08T00:00:00"/>
    <x v="39"/>
    <s v="Admin/HR/IT"/>
    <s v="AMCARE NonOcc In"/>
    <s v="AMZN"/>
    <n v="112981196"/>
    <s v="Gomez,Andrea"/>
    <s v="Piedra,Valentina"/>
    <n v="0"/>
    <n v="0"/>
    <n v="0"/>
    <n v="0"/>
    <n v="0.25"/>
    <e v="#N/A"/>
    <x v="22"/>
  </r>
  <r>
    <d v="2023-10-08T00:00:00"/>
    <x v="39"/>
    <s v="Admin/HR/IT"/>
    <s v="AMCARE NonOcc In"/>
    <s v="AMZN"/>
    <n v="113019001"/>
    <s v="Lozano Hernandez,Donny"/>
    <s v="Bueno Mendoza,Susana"/>
    <n v="0"/>
    <n v="0"/>
    <n v="0"/>
    <n v="0"/>
    <n v="0.13"/>
    <e v="#N/A"/>
    <x v="48"/>
  </r>
  <r>
    <d v="2023-10-08T00:00:00"/>
    <x v="39"/>
    <s v="Admin/HR/IT"/>
    <s v="AMCARE NonOcc In"/>
    <s v="TEMP"/>
    <n v="113019111"/>
    <s v="Valdespino,Kelly"/>
    <s v="Pizana,Diego"/>
    <n v="0"/>
    <n v="0"/>
    <n v="0"/>
    <n v="0"/>
    <n v="0.32"/>
    <e v="#N/A"/>
    <x v="68"/>
  </r>
  <r>
    <d v="2023-10-08T00:00:00"/>
    <x v="39"/>
    <s v="Admin/HR/IT"/>
    <s v="AMCARE NonOcc In"/>
    <s v="AMZN"/>
    <n v="201318220"/>
    <s v="Jasso,Raul"/>
    <s v="Bueno Mendoza,Susana"/>
    <n v="0"/>
    <n v="0"/>
    <n v="0"/>
    <n v="0"/>
    <n v="0.09"/>
    <e v="#N/A"/>
    <x v="193"/>
  </r>
  <r>
    <d v="2023-10-08T00:00:00"/>
    <x v="39"/>
    <s v="Admin/HR/IT"/>
    <s v="AMCARE NonOcc In"/>
    <s v="AMZN"/>
    <n v="201390638"/>
    <s v="Bernal,Uriel"/>
    <s v="Piedra,Valentina"/>
    <n v="0"/>
    <n v="0"/>
    <n v="0"/>
    <n v="0"/>
    <n v="0.52"/>
    <e v="#N/A"/>
    <x v="217"/>
  </r>
  <r>
    <d v="2023-10-08T00:00:00"/>
    <x v="39"/>
    <s v="Admin/HR/IT"/>
    <s v="AMCARE NonOcc In"/>
    <s v="TEMP"/>
    <n v="202070029"/>
    <s v="Macias,Salvador"/>
    <s v="Bueno Mendoza,Susana"/>
    <n v="0"/>
    <n v="0"/>
    <n v="0"/>
    <n v="0"/>
    <n v="0.23"/>
    <e v="#N/A"/>
    <x v="0"/>
  </r>
  <r>
    <d v="2023-10-08T00:00:00"/>
    <x v="39"/>
    <s v="Admin/HR/IT"/>
    <s v="AMCARE NonOcc In"/>
    <s v="TEMP"/>
    <n v="202099137"/>
    <s v="Montalvo,Luis antonio"/>
    <s v="Ledezma,Fer"/>
    <n v="0"/>
    <n v="0"/>
    <n v="0"/>
    <n v="0"/>
    <n v="0.46"/>
    <e v="#N/A"/>
    <x v="246"/>
  </r>
  <r>
    <d v="2023-10-09T00:00:00"/>
    <x v="39"/>
    <s v="Admin/HR/IT"/>
    <s v="AMCARE NonOcc In"/>
    <s v="AMZN"/>
    <n v="112920664"/>
    <s v="Alba,Samuel"/>
    <s v="Hernandez,Nataly"/>
    <n v="0"/>
    <n v="0"/>
    <n v="0"/>
    <n v="0"/>
    <n v="0.09"/>
    <s v="DA-X0700"/>
    <x v="53"/>
  </r>
  <r>
    <d v="2023-10-09T00:00:00"/>
    <x v="39"/>
    <s v="Admin/HR/IT"/>
    <s v="AMCARE NonOcc In"/>
    <s v="AMZN"/>
    <n v="112950809"/>
    <s v="Rocha,Luz"/>
    <s v="Camarena,Grecia"/>
    <n v="0"/>
    <n v="0"/>
    <n v="0"/>
    <n v="0"/>
    <n v="0.23"/>
    <s v="DA-X0700"/>
    <x v="36"/>
  </r>
  <r>
    <d v="2023-10-09T00:00:00"/>
    <x v="39"/>
    <s v="Admin/HR/IT"/>
    <s v="AMCARE NonOcc In"/>
    <s v="AMZN"/>
    <n v="113019099"/>
    <s v="Rios,Eric"/>
    <s v="Piedra,Valentina"/>
    <n v="0"/>
    <n v="0"/>
    <n v="0"/>
    <n v="0"/>
    <n v="1.04"/>
    <e v="#N/A"/>
    <x v="215"/>
  </r>
  <r>
    <d v="2023-10-09T00:00:00"/>
    <x v="39"/>
    <s v="Admin/HR/IT"/>
    <s v="AMCARE NonOcc In"/>
    <s v="AMZN"/>
    <n v="201162388"/>
    <s v="Rocha,Alfredo"/>
    <s v="Piedra,Valentina"/>
    <n v="0"/>
    <n v="0"/>
    <n v="0"/>
    <n v="0"/>
    <n v="0.38"/>
    <e v="#N/A"/>
    <x v="165"/>
  </r>
  <r>
    <d v="2023-10-09T00:00:00"/>
    <x v="39"/>
    <s v="Admin/HR/IT"/>
    <s v="AMCARE NonOcc In"/>
    <s v="AMZN"/>
    <n v="201172306"/>
    <s v="Valdez,CÃ©sar"/>
    <s v="Rosas Negrete,Sebastian"/>
    <n v="0"/>
    <n v="0"/>
    <n v="0"/>
    <n v="0"/>
    <n v="0.03"/>
    <e v="#N/A"/>
    <x v="128"/>
  </r>
  <r>
    <d v="2023-10-09T00:00:00"/>
    <x v="39"/>
    <s v="Admin/HR/IT"/>
    <s v="AMCARE NonOcc In"/>
    <s v="TEMP"/>
    <n v="201847876"/>
    <s v="Ramirez,Christian"/>
    <s v="Bueno Mendoza,Susana"/>
    <n v="0"/>
    <n v="0"/>
    <n v="0"/>
    <n v="0"/>
    <n v="0.39"/>
    <e v="#N/A"/>
    <x v="247"/>
  </r>
  <r>
    <d v="2023-10-09T00:00:00"/>
    <x v="39"/>
    <s v="Admin/HR/IT"/>
    <s v="AMCARE NonOcc In"/>
    <s v="TEMP"/>
    <n v="202173806"/>
    <s v="Urenda,Cristopher"/>
    <s v="Bueno Mendoza,Susana"/>
    <n v="0"/>
    <n v="0"/>
    <n v="0"/>
    <n v="0"/>
    <n v="0.36"/>
    <e v="#N/A"/>
    <x v="248"/>
  </r>
  <r>
    <d v="2023-10-10T00:00:00"/>
    <x v="39"/>
    <s v="Admin/HR/IT"/>
    <s v="AMCARE NonOcc In"/>
    <s v="AMZN"/>
    <n v="112950784"/>
    <s v="Rojas,Samuel"/>
    <s v="Pizana,Diego"/>
    <n v="0"/>
    <n v="0"/>
    <n v="0"/>
    <n v="0"/>
    <n v="0.2"/>
    <s v="NF-X1900"/>
    <x v="13"/>
  </r>
  <r>
    <d v="2023-10-10T00:00:00"/>
    <x v="39"/>
    <s v="Admin/HR/IT"/>
    <s v="AMCARE NonOcc In"/>
    <s v="AMZN"/>
    <n v="112950795"/>
    <s v="Espinosa Espitia,Ali"/>
    <s v="Pizana,Diego"/>
    <n v="0"/>
    <n v="0"/>
    <n v="0"/>
    <n v="0"/>
    <n v="0.6"/>
    <s v="DA-X0700"/>
    <x v="78"/>
  </r>
  <r>
    <d v="2023-10-10T00:00:00"/>
    <x v="39"/>
    <s v="Admin/HR/IT"/>
    <s v="AMCARE NonOcc In"/>
    <s v="AMZN"/>
    <n v="113020476"/>
    <s v="Puente Aguilar,Polette"/>
    <s v="Romero Sanchez,Gustavo Gabriel"/>
    <n v="0"/>
    <n v="0"/>
    <n v="0"/>
    <n v="0"/>
    <n v="0.1"/>
    <e v="#N/A"/>
    <x v="19"/>
  </r>
  <r>
    <d v="2023-10-10T00:00:00"/>
    <x v="39"/>
    <s v="Admin/HR/IT"/>
    <s v="AMCARE NonOcc In"/>
    <s v="AMZN"/>
    <n v="200534675"/>
    <s v="Munoz Macias,Juan Pablo"/>
    <s v="Rosas Negrete,Sebastian"/>
    <n v="0"/>
    <n v="0"/>
    <n v="0"/>
    <n v="0"/>
    <n v="0.32"/>
    <e v="#N/A"/>
    <x v="69"/>
  </r>
  <r>
    <d v="2023-10-10T00:00:00"/>
    <x v="39"/>
    <s v="Admin/HR/IT"/>
    <s v="AMCARE NonOcc In"/>
    <s v="AMZN"/>
    <n v="201341534"/>
    <s v="Becerra,Esmeralda"/>
    <s v="Piedra,Valentina"/>
    <n v="0"/>
    <n v="0"/>
    <n v="0"/>
    <n v="0"/>
    <n v="0.03"/>
    <e v="#N/A"/>
    <x v="192"/>
  </r>
  <r>
    <d v="2023-10-10T00:00:00"/>
    <x v="39"/>
    <s v="Admin/HR/IT"/>
    <s v="AMCARE NonOcc In"/>
    <s v="AMZN"/>
    <n v="201350949"/>
    <s v="Reyes,Isabel"/>
    <s v="Robledo Ugarte,Alejandro"/>
    <n v="0"/>
    <n v="0"/>
    <n v="0"/>
    <n v="0"/>
    <n v="0.18"/>
    <e v="#N/A"/>
    <x v="211"/>
  </r>
  <r>
    <d v="2023-10-10T00:00:00"/>
    <x v="39"/>
    <s v="Admin/HR/IT"/>
    <s v="AMCARE NonOcc In"/>
    <s v="AMZN"/>
    <n v="201396328"/>
    <s v="Canchola,Alejandro"/>
    <s v="Rosas Negrete,Sebastian"/>
    <n v="0"/>
    <n v="0"/>
    <n v="0"/>
    <n v="0"/>
    <n v="0.62"/>
    <e v="#N/A"/>
    <x v="188"/>
  </r>
  <r>
    <d v="2023-10-10T00:00:00"/>
    <x v="39"/>
    <s v="Admin/HR/IT"/>
    <s v="AMCARE NonOcc In"/>
    <s v="TEMP"/>
    <n v="201858330"/>
    <s v="Arrona,Pablo"/>
    <s v="Bueno Mendoza,Susana"/>
    <n v="0"/>
    <n v="0"/>
    <n v="0"/>
    <n v="0"/>
    <n v="0.95"/>
    <e v="#N/A"/>
    <x v="249"/>
  </r>
  <r>
    <d v="2023-10-10T00:00:00"/>
    <x v="39"/>
    <s v="Admin/HR/IT"/>
    <s v="AMCARE NonOcc In"/>
    <s v="TEMP"/>
    <n v="201858789"/>
    <s v="HINOJOSA,IGNACIO"/>
    <s v="Ledezma,Fer"/>
    <n v="0"/>
    <n v="0"/>
    <n v="0"/>
    <n v="0"/>
    <n v="0.13"/>
    <e v="#N/A"/>
    <x v="197"/>
  </r>
  <r>
    <d v="2023-10-10T00:00:00"/>
    <x v="39"/>
    <s v="Admin/HR/IT"/>
    <s v="AMCARE NonOcc In"/>
    <s v="TEMP"/>
    <n v="201864225"/>
    <s v="Flores,Ivan"/>
    <s v="Corona Arriaga,Fernando"/>
    <n v="0"/>
    <n v="0"/>
    <n v="0"/>
    <n v="0"/>
    <n v="0.28000000000000003"/>
    <e v="#N/A"/>
    <x v="219"/>
  </r>
  <r>
    <d v="2023-10-10T00:00:00"/>
    <x v="39"/>
    <s v="Admin/HR/IT"/>
    <s v="AMCARE NonOcc In"/>
    <s v="TEMP"/>
    <n v="201903097"/>
    <s v="Oliva,Montserrat"/>
    <s v="Ledezma,Fer"/>
    <n v="0"/>
    <n v="0"/>
    <n v="0"/>
    <n v="0"/>
    <n v="0.24"/>
    <e v="#N/A"/>
    <x v="208"/>
  </r>
  <r>
    <d v="2023-10-10T00:00:00"/>
    <x v="39"/>
    <s v="Admin/HR/IT"/>
    <s v="AMCARE NonOcc In"/>
    <s v="TEMP"/>
    <n v="202084638"/>
    <s v="HernÃ¡ndez,Juan"/>
    <s v="Ledezma,Fer"/>
    <n v="0"/>
    <n v="0"/>
    <n v="0"/>
    <n v="0"/>
    <n v="0.3"/>
    <e v="#N/A"/>
    <x v="250"/>
  </r>
  <r>
    <d v="2023-10-10T00:00:00"/>
    <x v="39"/>
    <s v="Admin/HR/IT"/>
    <s v="AMCARE NonOcc In"/>
    <s v="TEMP"/>
    <n v="202099144"/>
    <s v="Morales,Ricardo"/>
    <s v="Piedra,Valentina"/>
    <n v="0"/>
    <n v="0"/>
    <n v="0"/>
    <n v="0"/>
    <n v="0.23"/>
    <e v="#N/A"/>
    <x v="236"/>
  </r>
  <r>
    <d v="2023-10-10T00:00:00"/>
    <x v="39"/>
    <s v="Admin/HR/IT"/>
    <s v="AMCARE NonOcc In"/>
    <s v="TEMP"/>
    <n v="202130013"/>
    <s v="Rocha,Malinali"/>
    <s v="Camarena,Grecia"/>
    <n v="0"/>
    <n v="0"/>
    <n v="0"/>
    <n v="0"/>
    <n v="0.9"/>
    <e v="#N/A"/>
    <x v="0"/>
  </r>
  <r>
    <d v="2023-10-10T00:00:00"/>
    <x v="39"/>
    <s v="Admin/HR/IT"/>
    <s v="AMCARE NonOcc In"/>
    <s v="TEMP"/>
    <n v="202137341"/>
    <s v="Bravo,Edgar"/>
    <s v="Rosas Negrete,Sebastian"/>
    <n v="0"/>
    <n v="0"/>
    <n v="0"/>
    <n v="0"/>
    <n v="0.26"/>
    <e v="#N/A"/>
    <x v="241"/>
  </r>
  <r>
    <d v="2023-10-10T00:00:00"/>
    <x v="39"/>
    <s v="Admin/HR/IT"/>
    <s v="AMCARE NonOcc In"/>
    <s v="TEMP"/>
    <n v="202165242"/>
    <s v="Gonzalez,Marco"/>
    <s v="Munoz,Jonan"/>
    <n v="0"/>
    <n v="0"/>
    <n v="0"/>
    <n v="0"/>
    <n v="0.4"/>
    <e v="#N/A"/>
    <x v="251"/>
  </r>
  <r>
    <d v="2023-10-10T00:00:00"/>
    <x v="39"/>
    <s v="Admin/HR/IT"/>
    <s v="AMCARE NonOcc In"/>
    <s v="TEMP"/>
    <n v="202173806"/>
    <s v="Urenda,Cristopher"/>
    <s v="Bueno Mendoza,Susana"/>
    <n v="0"/>
    <n v="0"/>
    <n v="0"/>
    <n v="0"/>
    <n v="0.14000000000000001"/>
    <e v="#N/A"/>
    <x v="248"/>
  </r>
  <r>
    <d v="2023-10-10T00:00:00"/>
    <x v="39"/>
    <s v="Admin/HR/IT"/>
    <s v="AMCARE NonOcc In"/>
    <s v="TEMP"/>
    <n v="202188434"/>
    <s v="Rivera,Aidza"/>
    <s v="Hernandez,Nataly"/>
    <n v="0"/>
    <n v="0"/>
    <n v="0"/>
    <n v="0"/>
    <n v="0.34"/>
    <e v="#N/A"/>
    <x v="252"/>
  </r>
  <r>
    <d v="2023-10-10T00:00:00"/>
    <x v="39"/>
    <s v="Admin/HR/IT"/>
    <s v="AMCARE NonOcc In"/>
    <s v="TEMP"/>
    <n v="202194773"/>
    <s v="MonzÃ³n,Rodrigo"/>
    <s v="Rosas Negrete,Sebastian"/>
    <n v="0"/>
    <n v="0"/>
    <n v="0"/>
    <n v="0"/>
    <n v="1.67"/>
    <e v="#N/A"/>
    <x v="253"/>
  </r>
  <r>
    <d v="2023-10-10T00:00:00"/>
    <x v="39"/>
    <s v="Admin/HR/IT"/>
    <s v="AMCARE NonOcc In"/>
    <s v="TEMP"/>
    <n v="202204920"/>
    <s v="Hernandez Solano,Juan Pablo"/>
    <s v="Ledezma,Fer"/>
    <n v="0"/>
    <n v="0"/>
    <n v="0"/>
    <n v="0"/>
    <n v="0.41"/>
    <e v="#N/A"/>
    <x v="254"/>
  </r>
  <r>
    <d v="2023-10-11T00:00:00"/>
    <x v="39"/>
    <s v="Admin/HR/IT"/>
    <s v="AMCARE NonOcc In"/>
    <s v="AMZN"/>
    <n v="112912054"/>
    <s v="Rivera Ramirez,Jorge"/>
    <s v="Gomez Aguado,Jorge"/>
    <n v="0"/>
    <n v="0"/>
    <n v="0"/>
    <n v="0"/>
    <n v="0.23"/>
    <s v="DB-X0700"/>
    <x v="25"/>
  </r>
  <r>
    <d v="2023-10-11T00:00:00"/>
    <x v="39"/>
    <s v="Admin/HR/IT"/>
    <s v="AMCARE NonOcc In"/>
    <s v="AMZN"/>
    <n v="112916534"/>
    <s v="Esparza Sanchez,Areli"/>
    <s v="Corona Arriaga,Fernando"/>
    <n v="0"/>
    <n v="0"/>
    <n v="0"/>
    <n v="0"/>
    <n v="1.2"/>
    <s v="DB-X0700"/>
    <x v="40"/>
  </r>
  <r>
    <d v="2023-10-11T00:00:00"/>
    <x v="39"/>
    <s v="Admin/HR/IT"/>
    <s v="AMCARE NonOcc In"/>
    <s v="AMZN"/>
    <n v="112920637"/>
    <s v="Tapia,Antonio Torres"/>
    <s v="Cortes,Alejandra"/>
    <n v="0"/>
    <n v="0"/>
    <n v="0"/>
    <n v="0"/>
    <n v="0.26"/>
    <s v="DB-X0700"/>
    <x v="38"/>
  </r>
  <r>
    <d v="2023-10-11T00:00:00"/>
    <x v="39"/>
    <s v="Admin/HR/IT"/>
    <s v="AMCARE NonOcc In"/>
    <s v="AMZN"/>
    <n v="112972524"/>
    <s v="Santibanez Garcia,Luisa"/>
    <s v="Hernandez,Nataly"/>
    <n v="0"/>
    <n v="0"/>
    <n v="0"/>
    <n v="0"/>
    <n v="1.37"/>
    <s v="DB-X0700"/>
    <x v="15"/>
  </r>
  <r>
    <d v="2023-10-11T00:00:00"/>
    <x v="39"/>
    <s v="Admin/HR/IT"/>
    <s v="AMCARE NonOcc In"/>
    <s v="AMZN"/>
    <n v="112980899"/>
    <s v="Avila Cabrera,Ari"/>
    <s v="Camarena,Grecia"/>
    <n v="0"/>
    <n v="0"/>
    <n v="0"/>
    <n v="0"/>
    <n v="0.91"/>
    <s v="NF-X1900"/>
    <x v="34"/>
  </r>
  <r>
    <d v="2023-10-11T00:00:00"/>
    <x v="39"/>
    <s v="Admin/HR/IT"/>
    <s v="AMCARE NonOcc In"/>
    <s v="AMZN"/>
    <n v="113014094"/>
    <s v="Mercado,Erika"/>
    <s v="Robledo Ugarte,Alejandro"/>
    <n v="0"/>
    <n v="0"/>
    <n v="0"/>
    <n v="0"/>
    <n v="0.42"/>
    <e v="#N/A"/>
    <x v="49"/>
  </r>
  <r>
    <d v="2023-10-11T00:00:00"/>
    <x v="39"/>
    <s v="Admin/HR/IT"/>
    <s v="AMCARE NonOcc In"/>
    <s v="AMZN"/>
    <n v="113014403"/>
    <s v="Arias Sanchez,Nora"/>
    <s v="Rosas Negrete,Sebastian"/>
    <n v="0"/>
    <n v="0"/>
    <n v="0"/>
    <n v="0"/>
    <n v="0.79"/>
    <e v="#N/A"/>
    <x v="32"/>
  </r>
  <r>
    <d v="2023-10-11T00:00:00"/>
    <x v="39"/>
    <s v="Admin/HR/IT"/>
    <s v="AMCARE NonOcc In"/>
    <s v="AMZN"/>
    <n v="200404250"/>
    <s v="Hurtado,Caty"/>
    <s v="Robledo Ugarte,Alejandro"/>
    <n v="0"/>
    <n v="0"/>
    <n v="0"/>
    <n v="0"/>
    <n v="1.65"/>
    <e v="#N/A"/>
    <x v="6"/>
  </r>
  <r>
    <d v="2023-10-11T00:00:00"/>
    <x v="39"/>
    <s v="Admin/HR/IT"/>
    <s v="AMCARE NonOcc In"/>
    <s v="AMZN"/>
    <n v="201167501"/>
    <s v="Rodriguez,Ruben"/>
    <s v="Robledo Ugarte,Alejandro"/>
    <n v="0"/>
    <n v="0"/>
    <n v="0"/>
    <n v="0"/>
    <n v="0.23"/>
    <e v="#N/A"/>
    <x v="109"/>
  </r>
  <r>
    <d v="2023-10-11T00:00:00"/>
    <x v="39"/>
    <s v="Admin/HR/IT"/>
    <s v="AMCARE NonOcc In"/>
    <s v="AMZN"/>
    <n v="201318220"/>
    <s v="Jasso,Raul"/>
    <s v="Bueno Mendoza,Susana"/>
    <n v="0"/>
    <n v="0"/>
    <n v="0"/>
    <n v="0"/>
    <n v="1.3"/>
    <e v="#N/A"/>
    <x v="193"/>
  </r>
  <r>
    <d v="2023-10-11T00:00:00"/>
    <x v="39"/>
    <s v="Admin/HR/IT"/>
    <s v="AMCARE NonOcc In"/>
    <s v="TEMP"/>
    <n v="201880542"/>
    <s v="ORTIZ,CORPUS"/>
    <s v="Bueno Mendoza,Susana"/>
    <n v="0"/>
    <n v="0"/>
    <n v="0"/>
    <n v="0"/>
    <n v="0.24"/>
    <e v="#N/A"/>
    <x v="199"/>
  </r>
  <r>
    <d v="2023-10-11T00:00:00"/>
    <x v="39"/>
    <s v="Admin/HR/IT"/>
    <s v="AMCARE NonOcc In"/>
    <s v="TEMP"/>
    <n v="201890790"/>
    <s v="Zuniga,Victor"/>
    <s v="Piedra,Valentina"/>
    <n v="0"/>
    <n v="0"/>
    <n v="0"/>
    <n v="0"/>
    <n v="0.24"/>
    <e v="#N/A"/>
    <x v="255"/>
  </r>
  <r>
    <d v="2023-10-11T00:00:00"/>
    <x v="39"/>
    <s v="Admin/HR/IT"/>
    <s v="AMCARE NonOcc In"/>
    <s v="TEMP"/>
    <n v="201902140"/>
    <s v="GarcÃ­a,Alma"/>
    <s v="Pizana,Diego"/>
    <n v="0"/>
    <n v="0"/>
    <n v="0"/>
    <n v="0"/>
    <n v="0.32"/>
    <e v="#N/A"/>
    <x v="223"/>
  </r>
  <r>
    <d v="2023-10-11T00:00:00"/>
    <x v="39"/>
    <s v="Admin/HR/IT"/>
    <s v="AMCARE NonOcc In"/>
    <s v="TEMP"/>
    <n v="202081527"/>
    <s v="Martinez,Efren"/>
    <s v="Hernandez,Nataly"/>
    <n v="0"/>
    <n v="0"/>
    <n v="0"/>
    <n v="0"/>
    <n v="0.85"/>
    <e v="#N/A"/>
    <x v="226"/>
  </r>
  <r>
    <d v="2023-10-11T00:00:00"/>
    <x v="39"/>
    <s v="Admin/HR/IT"/>
    <s v="AMCARE NonOcc In"/>
    <s v="TEMP"/>
    <n v="202120417"/>
    <s v="Hernandez,Jose"/>
    <s v="Cortes,Alejandra"/>
    <n v="0"/>
    <n v="0"/>
    <n v="0"/>
    <n v="0"/>
    <n v="0.53"/>
    <e v="#N/A"/>
    <x v="256"/>
  </r>
  <r>
    <d v="2023-10-11T00:00:00"/>
    <x v="39"/>
    <s v="Admin/HR/IT"/>
    <s v="AMCARE NonOcc In"/>
    <s v="TEMP"/>
    <n v="202137341"/>
    <s v="Bravo,Edgar"/>
    <s v="Rosas Negrete,Sebastian"/>
    <n v="0"/>
    <n v="0"/>
    <n v="0"/>
    <n v="0"/>
    <n v="0.17"/>
    <e v="#N/A"/>
    <x v="241"/>
  </r>
  <r>
    <d v="2023-10-11T00:00:00"/>
    <x v="39"/>
    <s v="Admin/HR/IT"/>
    <s v="AMCARE NonOcc In"/>
    <s v="TEMP"/>
    <n v="202188434"/>
    <s v="Rivera,Aidza"/>
    <s v="Hernandez,Nataly"/>
    <n v="0"/>
    <n v="0"/>
    <n v="0"/>
    <n v="0"/>
    <n v="0.31"/>
    <e v="#N/A"/>
    <x v="252"/>
  </r>
  <r>
    <d v="2023-10-12T00:00:00"/>
    <x v="39"/>
    <s v="Admin/HR/IT"/>
    <s v="AMCARE NonOcc In"/>
    <s v="TEMP"/>
    <n v="107112431"/>
    <s v="Mejia,Alvaro"/>
    <s v="Cortes,Alejandra"/>
    <n v="0"/>
    <n v="0"/>
    <n v="0"/>
    <n v="0"/>
    <n v="0.45"/>
    <e v="#N/A"/>
    <x v="0"/>
  </r>
  <r>
    <d v="2023-10-12T00:00:00"/>
    <x v="39"/>
    <s v="Admin/HR/IT"/>
    <s v="AMCARE NonOcc In"/>
    <s v="AMZN"/>
    <n v="112912054"/>
    <s v="Rivera Ramirez,Jorge"/>
    <s v="Gomez Aguado,Jorge"/>
    <n v="0"/>
    <n v="0"/>
    <n v="0"/>
    <n v="0"/>
    <n v="0.1"/>
    <s v="DB-X0700"/>
    <x v="25"/>
  </r>
  <r>
    <d v="2023-10-12T00:00:00"/>
    <x v="39"/>
    <s v="Admin/HR/IT"/>
    <s v="AMCARE NonOcc In"/>
    <s v="AMZN"/>
    <n v="112912209"/>
    <s v="Morales,Sarahi"/>
    <s v="Camarena,Grecia"/>
    <n v="0"/>
    <n v="0"/>
    <n v="0"/>
    <n v="0"/>
    <n v="0.87"/>
    <s v="NF-X1900"/>
    <x v="90"/>
  </r>
  <r>
    <d v="2023-10-12T00:00:00"/>
    <x v="39"/>
    <s v="Admin/HR/IT"/>
    <s v="AMCARE NonOcc In"/>
    <s v="AMZN"/>
    <n v="112916534"/>
    <s v="Esparza Sanchez,Areli"/>
    <s v="Corona Arriaga,Fernando"/>
    <n v="0"/>
    <n v="0"/>
    <n v="0"/>
    <n v="0"/>
    <n v="0.1"/>
    <s v="DB-X0700"/>
    <x v="40"/>
  </r>
  <r>
    <d v="2023-10-12T00:00:00"/>
    <x v="39"/>
    <s v="Admin/HR/IT"/>
    <s v="AMCARE NonOcc In"/>
    <s v="AMZN"/>
    <n v="112920654"/>
    <s v="Horta,Julieta"/>
    <s v="Hernandez,Nataly"/>
    <n v="0"/>
    <n v="0"/>
    <n v="0"/>
    <n v="0"/>
    <n v="0.09"/>
    <s v="DB-X0700"/>
    <x v="61"/>
  </r>
  <r>
    <d v="2023-10-12T00:00:00"/>
    <x v="39"/>
    <s v="Admin/HR/IT"/>
    <s v="AMCARE NonOcc In"/>
    <s v="AMZN"/>
    <n v="112942473"/>
    <s v="Vargas Lopez,Hilda Cecilia"/>
    <s v="Pizana,Diego"/>
    <n v="0"/>
    <n v="0"/>
    <n v="0"/>
    <n v="0"/>
    <n v="0.01"/>
    <s v="DC-X0700"/>
    <x v="140"/>
  </r>
  <r>
    <d v="2023-10-12T00:00:00"/>
    <x v="39"/>
    <s v="Admin/HR/IT"/>
    <s v="AMCARE NonOcc In"/>
    <s v="AMZN"/>
    <n v="112951256"/>
    <s v="Ramirez Vallejo,Kateryne"/>
    <s v="Cortes,Alejandra"/>
    <n v="0"/>
    <n v="0"/>
    <n v="0"/>
    <n v="0"/>
    <n v="1.08"/>
    <s v="DA-X0700"/>
    <x v="27"/>
  </r>
  <r>
    <d v="2023-10-12T00:00:00"/>
    <x v="39"/>
    <s v="Admin/HR/IT"/>
    <s v="AMCARE NonOcc In"/>
    <s v="AMZN"/>
    <n v="112972524"/>
    <s v="Santibanez Garcia,Luisa"/>
    <s v="Hernandez,Nataly"/>
    <n v="0"/>
    <n v="0"/>
    <n v="0"/>
    <n v="0"/>
    <n v="1.08"/>
    <s v="DB-X0700"/>
    <x v="15"/>
  </r>
  <r>
    <d v="2023-10-12T00:00:00"/>
    <x v="39"/>
    <s v="Admin/HR/IT"/>
    <s v="AMCARE NonOcc In"/>
    <s v="AMZN"/>
    <n v="112973049"/>
    <s v="Tavares Parra,Ely"/>
    <s v="Piedra,Valentina"/>
    <n v="0"/>
    <n v="0"/>
    <n v="0"/>
    <n v="0"/>
    <n v="0.86"/>
    <s v="DB-X0700"/>
    <x v="14"/>
  </r>
  <r>
    <d v="2023-10-12T00:00:00"/>
    <x v="39"/>
    <s v="Admin/HR/IT"/>
    <s v="AMCARE NonOcc In"/>
    <s v="AMZN"/>
    <n v="112976017"/>
    <s v="Baez Diaz,Ale"/>
    <s v="Ãvila,Arturo"/>
    <n v="0"/>
    <n v="0"/>
    <n v="0"/>
    <n v="0"/>
    <n v="2.81"/>
    <s v="DB-X0700"/>
    <x v="225"/>
  </r>
  <r>
    <d v="2023-10-12T00:00:00"/>
    <x v="39"/>
    <s v="Admin/HR/IT"/>
    <s v="AMCARE NonOcc In"/>
    <s v="AMZN"/>
    <n v="112981014"/>
    <s v="Roldan Gutierrez,Pablo"/>
    <s v="Rosas Negrete,Sebastian"/>
    <n v="0"/>
    <n v="0"/>
    <n v="0"/>
    <n v="0"/>
    <n v="0.35"/>
    <s v="DJ-X0700"/>
    <x v="29"/>
  </r>
  <r>
    <d v="2023-10-12T00:00:00"/>
    <x v="39"/>
    <s v="Admin/HR/IT"/>
    <s v="AMCARE NonOcc In"/>
    <s v="AMZN"/>
    <n v="113003971"/>
    <s v="Garcia  Ramirez,Gabriel"/>
    <s v="Corona Arriaga,Fernando"/>
    <n v="0"/>
    <n v="0"/>
    <n v="0"/>
    <n v="0"/>
    <n v="0.47"/>
    <e v="#N/A"/>
    <x v="10"/>
  </r>
  <r>
    <d v="2023-10-12T00:00:00"/>
    <x v="39"/>
    <s v="Admin/HR/IT"/>
    <s v="AMCARE NonOcc In"/>
    <s v="AMZN"/>
    <n v="113020476"/>
    <s v="Puente Aguilar,Polette"/>
    <s v="Romero Sanchez,Gustavo Gabriel"/>
    <n v="0"/>
    <n v="0"/>
    <n v="0"/>
    <n v="0"/>
    <n v="0.02"/>
    <e v="#N/A"/>
    <x v="19"/>
  </r>
  <r>
    <d v="2023-10-12T00:00:00"/>
    <x v="39"/>
    <s v="Admin/HR/IT"/>
    <s v="AMCARE NonOcc In"/>
    <s v="AMZN"/>
    <n v="113052151"/>
    <s v="Nieves Mendez,Laura"/>
    <s v="Ledezma,Fer"/>
    <n v="0"/>
    <n v="0"/>
    <n v="0"/>
    <n v="0"/>
    <n v="0.55000000000000004"/>
    <e v="#N/A"/>
    <x v="56"/>
  </r>
  <r>
    <d v="2023-10-12T00:00:00"/>
    <x v="39"/>
    <s v="Admin/HR/IT"/>
    <s v="AMCARE NonOcc In"/>
    <s v="AMZN"/>
    <n v="200404250"/>
    <s v="Hurtado,Caty"/>
    <s v="Robledo Ugarte,Alejandro"/>
    <n v="0"/>
    <n v="0"/>
    <n v="0"/>
    <n v="0"/>
    <n v="0.42"/>
    <e v="#N/A"/>
    <x v="6"/>
  </r>
  <r>
    <d v="2023-10-12T00:00:00"/>
    <x v="39"/>
    <s v="Admin/HR/IT"/>
    <s v="AMCARE NonOcc In"/>
    <s v="AMZN"/>
    <n v="200562154"/>
    <s v="Reyes Muniz,Cristian"/>
    <s v="Corona Arriaga,Fernando"/>
    <n v="0"/>
    <n v="0"/>
    <n v="0"/>
    <n v="0"/>
    <n v="0.11"/>
    <e v="#N/A"/>
    <x v="42"/>
  </r>
  <r>
    <d v="2023-10-12T00:00:00"/>
    <x v="39"/>
    <s v="Admin/HR/IT"/>
    <s v="AMCARE NonOcc In"/>
    <s v="AMZN"/>
    <n v="200625528"/>
    <s v="Oliva,Lizbeth"/>
    <s v="Piedra,Valentina"/>
    <n v="0"/>
    <n v="0"/>
    <n v="0"/>
    <n v="0"/>
    <n v="0.11"/>
    <e v="#N/A"/>
    <x v="83"/>
  </r>
  <r>
    <d v="2023-10-12T00:00:00"/>
    <x v="39"/>
    <s v="Admin/HR/IT"/>
    <s v="AMCARE NonOcc In"/>
    <s v="AMZN"/>
    <n v="201211157"/>
    <s v="Vargas,Jesse"/>
    <s v="Gomez Aguado,Jorge"/>
    <n v="0"/>
    <n v="0"/>
    <n v="0"/>
    <n v="0"/>
    <n v="0.11"/>
    <e v="#N/A"/>
    <x v="121"/>
  </r>
  <r>
    <d v="2023-10-12T00:00:00"/>
    <x v="39"/>
    <s v="Admin/HR/IT"/>
    <s v="AMCARE NonOcc In"/>
    <s v="AMZN"/>
    <n v="201354944"/>
    <s v="Hernandez,Hugo"/>
    <s v="Pizana,Diego"/>
    <n v="0"/>
    <n v="0"/>
    <n v="0"/>
    <n v="0"/>
    <n v="0.3"/>
    <e v="#N/A"/>
    <x v="151"/>
  </r>
  <r>
    <d v="2023-10-12T00:00:00"/>
    <x v="39"/>
    <s v="Admin/HR/IT"/>
    <s v="AMCARE NonOcc In"/>
    <s v="TEMP"/>
    <n v="201615299"/>
    <s v="Saaavedra,Erick"/>
    <s v="Corona Arriaga,Fernando"/>
    <n v="0"/>
    <n v="0"/>
    <n v="0"/>
    <n v="0"/>
    <n v="0.75"/>
    <e v="#N/A"/>
    <x v="0"/>
  </r>
  <r>
    <d v="2023-10-12T00:00:00"/>
    <x v="39"/>
    <s v="Admin/HR/IT"/>
    <s v="AMCARE NonOcc In"/>
    <s v="TEMP"/>
    <n v="201842064"/>
    <s v="Agripino,Andrea"/>
    <s v="Ledezma,Fer"/>
    <n v="0"/>
    <n v="0"/>
    <n v="0"/>
    <n v="0"/>
    <n v="0.81"/>
    <e v="#N/A"/>
    <x v="210"/>
  </r>
  <r>
    <d v="2023-10-12T00:00:00"/>
    <x v="39"/>
    <s v="Admin/HR/IT"/>
    <s v="AMCARE NonOcc In"/>
    <s v="TEMP"/>
    <n v="201880542"/>
    <s v="ORTIZ,CORPUS"/>
    <s v="Bueno Mendoza,Susana"/>
    <n v="0"/>
    <n v="0"/>
    <n v="0"/>
    <n v="0"/>
    <n v="0.66"/>
    <e v="#N/A"/>
    <x v="199"/>
  </r>
  <r>
    <d v="2023-10-12T00:00:00"/>
    <x v="39"/>
    <s v="Admin/HR/IT"/>
    <s v="AMCARE NonOcc In"/>
    <s v="TEMP"/>
    <n v="202081527"/>
    <s v="Martinez,Efren"/>
    <s v="Hernandez,Nataly"/>
    <n v="0"/>
    <n v="0"/>
    <n v="0"/>
    <n v="0"/>
    <n v="0.03"/>
    <e v="#N/A"/>
    <x v="226"/>
  </r>
  <r>
    <d v="2023-10-12T00:00:00"/>
    <x v="39"/>
    <s v="Admin/HR/IT"/>
    <s v="AMCARE NonOcc In"/>
    <s v="TEMP"/>
    <n v="202099229"/>
    <s v="Rada,Gabo"/>
    <s v="Cortes,Alejandra"/>
    <n v="0"/>
    <n v="0"/>
    <n v="0"/>
    <n v="0"/>
    <n v="0.21"/>
    <e v="#N/A"/>
    <x v="233"/>
  </r>
  <r>
    <d v="2023-10-12T00:00:00"/>
    <x v="39"/>
    <s v="Admin/HR/IT"/>
    <s v="AMCARE NonOcc In"/>
    <s v="TEMP"/>
    <n v="202145314"/>
    <s v="Palomares,Neftali"/>
    <s v="Cortes,Alejandra"/>
    <n v="0"/>
    <n v="0"/>
    <n v="0"/>
    <n v="0"/>
    <n v="0.15"/>
    <e v="#N/A"/>
    <x v="257"/>
  </r>
  <r>
    <d v="2023-10-12T00:00:00"/>
    <x v="39"/>
    <s v="Admin/HR/IT"/>
    <s v="AMCARE NonOcc In"/>
    <s v="TEMP"/>
    <n v="202165242"/>
    <s v="Gonzalez,Marco"/>
    <s v="Munoz,Jonan"/>
    <n v="0"/>
    <n v="0"/>
    <n v="0"/>
    <n v="0"/>
    <n v="0.54"/>
    <e v="#N/A"/>
    <x v="251"/>
  </r>
  <r>
    <d v="2023-10-12T00:00:00"/>
    <x v="39"/>
    <s v="Admin/HR/IT"/>
    <s v="AMCARE NonOcc In"/>
    <s v="TEMP"/>
    <n v="202175671"/>
    <s v="Cruz,Lau"/>
    <s v="Munoz,Jonan"/>
    <n v="0"/>
    <n v="0"/>
    <n v="0"/>
    <n v="0"/>
    <n v="0.34"/>
    <e v="#N/A"/>
    <x v="258"/>
  </r>
  <r>
    <d v="2023-10-13T00:00:00"/>
    <x v="39"/>
    <s v="Admin/HR/IT"/>
    <s v="AMCARE NonOcc In"/>
    <s v="AMZN"/>
    <n v="112971962"/>
    <s v="Reyes  Montes de oca,Alejandra"/>
    <s v="Romero Sanchez,Gustavo Gabriel"/>
    <n v="0"/>
    <n v="0"/>
    <n v="0"/>
    <n v="0"/>
    <n v="0.21"/>
    <s v="DB-X0700"/>
    <x v="26"/>
  </r>
  <r>
    <d v="2023-10-13T00:00:00"/>
    <x v="39"/>
    <s v="Admin/HR/IT"/>
    <s v="AMCARE NonOcc In"/>
    <s v="AMZN"/>
    <n v="112972958"/>
    <s v="Gonzalez Gonzalez,Antonio"/>
    <s v="Cortes,Alejandra"/>
    <n v="0"/>
    <n v="0"/>
    <n v="0"/>
    <n v="0"/>
    <n v="0.97"/>
    <s v="D5-X0700"/>
    <x v="44"/>
  </r>
  <r>
    <d v="2023-10-13T00:00:00"/>
    <x v="39"/>
    <s v="Admin/HR/IT"/>
    <s v="AMCARE NonOcc In"/>
    <s v="AMZN"/>
    <n v="112973049"/>
    <s v="Tavares Parra,Ely"/>
    <s v="Piedra,Valentina"/>
    <n v="0"/>
    <n v="0"/>
    <n v="0"/>
    <n v="0"/>
    <n v="0.21"/>
    <s v="DB-X0700"/>
    <x v="14"/>
  </r>
  <r>
    <d v="2023-10-13T00:00:00"/>
    <x v="39"/>
    <s v="Admin/HR/IT"/>
    <s v="AMCARE NonOcc In"/>
    <s v="AMZN"/>
    <n v="112976043"/>
    <s v="Rivas,Ricardo"/>
    <s v="Ãvila,Arturo"/>
    <n v="0"/>
    <n v="0"/>
    <n v="0"/>
    <n v="0"/>
    <n v="0.12"/>
    <s v="DE-X1024"/>
    <x v="184"/>
  </r>
  <r>
    <d v="2023-10-13T00:00:00"/>
    <x v="39"/>
    <s v="Admin/HR/IT"/>
    <s v="AMCARE NonOcc In"/>
    <s v="AMZN"/>
    <n v="200562154"/>
    <s v="Reyes Muniz,Cristian"/>
    <s v="Corona Arriaga,Fernando"/>
    <n v="0"/>
    <n v="0"/>
    <n v="0"/>
    <n v="0"/>
    <n v="0.25"/>
    <e v="#N/A"/>
    <x v="42"/>
  </r>
  <r>
    <d v="2023-10-13T00:00:00"/>
    <x v="39"/>
    <s v="Admin/HR/IT"/>
    <s v="AMCARE NonOcc In"/>
    <s v="AMZN"/>
    <n v="201185299"/>
    <s v="Garcia,Noemi"/>
    <s v="Ledezma,Fer"/>
    <n v="0"/>
    <n v="0"/>
    <n v="0"/>
    <n v="0"/>
    <n v="0.7"/>
    <e v="#N/A"/>
    <x v="138"/>
  </r>
  <r>
    <d v="2023-10-13T00:00:00"/>
    <x v="39"/>
    <s v="Admin/HR/IT"/>
    <s v="AMCARE NonOcc In"/>
    <s v="AMZN"/>
    <n v="201191198"/>
    <s v="Mojica,Emmanuel"/>
    <s v="Ledezma,Fer"/>
    <n v="0"/>
    <n v="0"/>
    <n v="0"/>
    <n v="0"/>
    <n v="0.23"/>
    <e v="#N/A"/>
    <x v="130"/>
  </r>
  <r>
    <d v="2023-10-13T00:00:00"/>
    <x v="39"/>
    <s v="Admin/HR/IT"/>
    <s v="AMCARE NonOcc In"/>
    <s v="AMZN"/>
    <n v="201211157"/>
    <s v="Vargas,Jesse"/>
    <s v="Gomez Aguado,Jorge"/>
    <n v="0"/>
    <n v="0"/>
    <n v="0"/>
    <n v="0"/>
    <n v="0.41"/>
    <e v="#N/A"/>
    <x v="121"/>
  </r>
  <r>
    <d v="2023-10-13T00:00:00"/>
    <x v="39"/>
    <s v="Admin/HR/IT"/>
    <s v="AMCARE NonOcc In"/>
    <s v="AMZN"/>
    <n v="201223730"/>
    <s v="Sanchiz,Cesarito"/>
    <s v="Corona Arriaga,Fernando"/>
    <n v="0"/>
    <n v="0"/>
    <n v="0"/>
    <n v="0"/>
    <n v="0.6"/>
    <e v="#N/A"/>
    <x v="120"/>
  </r>
  <r>
    <d v="2023-10-13T00:00:00"/>
    <x v="39"/>
    <s v="Admin/HR/IT"/>
    <s v="AMCARE NonOcc In"/>
    <s v="AMZN"/>
    <n v="201228411"/>
    <s v="Hernandez Soriano,Jazmin"/>
    <s v="Corona Arriaga,Fernando"/>
    <n v="0"/>
    <n v="0"/>
    <n v="0"/>
    <n v="0"/>
    <n v="0.57999999999999996"/>
    <e v="#N/A"/>
    <x v="123"/>
  </r>
  <r>
    <d v="2023-10-13T00:00:00"/>
    <x v="39"/>
    <s v="Admin/HR/IT"/>
    <s v="AMCARE NonOcc In"/>
    <s v="AMZN"/>
    <n v="201350949"/>
    <s v="Reyes,Isabel"/>
    <s v="Robledo Ugarte,Alejandro"/>
    <n v="0"/>
    <n v="0"/>
    <n v="0"/>
    <n v="0"/>
    <n v="0.08"/>
    <e v="#N/A"/>
    <x v="211"/>
  </r>
  <r>
    <d v="2023-10-13T00:00:00"/>
    <x v="39"/>
    <s v="Admin/HR/IT"/>
    <s v="AMCARE NonOcc In"/>
    <s v="AMZN"/>
    <n v="201353166"/>
    <s v="Martinez,Lucia"/>
    <s v="Corona Arriaga,Fernando"/>
    <n v="0"/>
    <n v="0"/>
    <n v="0"/>
    <n v="0"/>
    <n v="0.23"/>
    <e v="#N/A"/>
    <x v="145"/>
  </r>
  <r>
    <d v="2023-10-13T00:00:00"/>
    <x v="39"/>
    <s v="Admin/HR/IT"/>
    <s v="AMCARE NonOcc In"/>
    <s v="TEMP"/>
    <n v="201842064"/>
    <s v="Agripino,Andrea"/>
    <s v="Ledezma,Fer"/>
    <n v="0"/>
    <n v="0"/>
    <n v="0"/>
    <n v="0"/>
    <n v="0.2"/>
    <e v="#N/A"/>
    <x v="210"/>
  </r>
  <r>
    <d v="2023-10-13T00:00:00"/>
    <x v="39"/>
    <s v="Admin/HR/IT"/>
    <s v="AMCARE NonOcc In"/>
    <s v="TEMP"/>
    <n v="201901967"/>
    <s v="Dominguez,Diana"/>
    <s v="Gomez Aguado,Jorge"/>
    <n v="0"/>
    <n v="0"/>
    <n v="0"/>
    <n v="0"/>
    <n v="0.62"/>
    <e v="#N/A"/>
    <x v="207"/>
  </r>
  <r>
    <d v="2023-10-13T00:00:00"/>
    <x v="39"/>
    <s v="Admin/HR/IT"/>
    <s v="AMCARE NonOcc In"/>
    <s v="TEMP"/>
    <n v="202079441"/>
    <s v="Estrada,Daniel"/>
    <s v="Cortes,Alejandra"/>
    <n v="0"/>
    <n v="0"/>
    <n v="0"/>
    <n v="0"/>
    <n v="0.76"/>
    <e v="#N/A"/>
    <x v="232"/>
  </r>
  <r>
    <d v="2023-10-13T00:00:00"/>
    <x v="39"/>
    <s v="Admin/HR/IT"/>
    <s v="AMCARE NonOcc In"/>
    <s v="TEMP"/>
    <n v="202137099"/>
    <s v="Fuentes,Ivan"/>
    <s v="Cortes,Alejandra"/>
    <n v="0"/>
    <n v="0"/>
    <n v="0"/>
    <n v="0"/>
    <n v="0.08"/>
    <e v="#N/A"/>
    <x v="259"/>
  </r>
  <r>
    <d v="2023-10-13T00:00:00"/>
    <x v="39"/>
    <s v="Admin/HR/IT"/>
    <s v="AMCARE NonOcc In"/>
    <s v="TEMP"/>
    <n v="202137149"/>
    <s v="Caudillo,Carlos"/>
    <s v="Munoz,Jonan"/>
    <n v="0"/>
    <n v="0"/>
    <n v="0"/>
    <n v="0"/>
    <n v="0.3"/>
    <e v="#N/A"/>
    <x v="260"/>
  </r>
  <r>
    <d v="2023-10-13T00:00:00"/>
    <x v="39"/>
    <s v="Admin/HR/IT"/>
    <s v="AMCARE NonOcc In"/>
    <s v="TEMP"/>
    <n v="202137341"/>
    <s v="Bravo,Edgar"/>
    <s v="Rosas Negrete,Sebastian"/>
    <n v="0"/>
    <n v="0"/>
    <n v="0"/>
    <n v="0"/>
    <n v="0.26"/>
    <e v="#N/A"/>
    <x v="241"/>
  </r>
  <r>
    <d v="2023-10-13T00:00:00"/>
    <x v="39"/>
    <s v="Admin/HR/IT"/>
    <s v="AMCARE NonOcc In"/>
    <s v="TEMP"/>
    <n v="202185231"/>
    <s v="VÃ¡zquez,Daniela"/>
    <s v="Piedra,Valentina"/>
    <n v="0"/>
    <n v="0"/>
    <n v="0"/>
    <n v="0"/>
    <n v="0.2"/>
    <e v="#N/A"/>
    <x v="261"/>
  </r>
  <r>
    <d v="2023-10-14T00:00:00"/>
    <x v="39"/>
    <s v="Admin/HR/IT"/>
    <s v="AMCARE NonOcc In"/>
    <s v="AMZN"/>
    <n v="112971962"/>
    <s v="Reyes  Montes de oca,Alejandra"/>
    <s v="Romero Sanchez,Gustavo Gabriel"/>
    <n v="0"/>
    <n v="0"/>
    <n v="0"/>
    <n v="0"/>
    <n v="0.39"/>
    <s v="DB-X0700"/>
    <x v="26"/>
  </r>
  <r>
    <d v="2023-10-14T00:00:00"/>
    <x v="39"/>
    <s v="Admin/HR/IT"/>
    <s v="AMCARE NonOcc In"/>
    <s v="AMZN"/>
    <n v="112972958"/>
    <s v="Gonzalez Gonzalez,Antonio"/>
    <s v="Cortes,Alejandra"/>
    <n v="0"/>
    <n v="0"/>
    <n v="0"/>
    <n v="0"/>
    <n v="0.36"/>
    <s v="D5-X0700"/>
    <x v="44"/>
  </r>
  <r>
    <d v="2023-10-14T00:00:00"/>
    <x v="39"/>
    <s v="Admin/HR/IT"/>
    <s v="AMCARE NonOcc In"/>
    <s v="AMZN"/>
    <n v="113020476"/>
    <s v="Puente Aguilar,Polette"/>
    <s v="Romero Sanchez,Gustavo Gabriel"/>
    <n v="0"/>
    <n v="0"/>
    <n v="0"/>
    <n v="0"/>
    <n v="0.67"/>
    <e v="#N/A"/>
    <x v="19"/>
  </r>
  <r>
    <d v="2023-10-14T00:00:00"/>
    <x v="39"/>
    <s v="Admin/HR/IT"/>
    <s v="AMCARE NonOcc In"/>
    <s v="AMZN"/>
    <n v="113138338"/>
    <s v="Cornejo,Cesar"/>
    <s v="Cortes,Alejandra"/>
    <n v="0"/>
    <n v="0"/>
    <n v="0"/>
    <n v="0"/>
    <n v="0.62"/>
    <e v="#N/A"/>
    <x v="39"/>
  </r>
  <r>
    <d v="2023-10-14T00:00:00"/>
    <x v="39"/>
    <s v="Admin/HR/IT"/>
    <s v="AMCARE NonOcc In"/>
    <s v="AMZN"/>
    <n v="201185299"/>
    <s v="Garcia,Noemi"/>
    <s v="Ledezma,Fer"/>
    <n v="0"/>
    <n v="0"/>
    <n v="0"/>
    <n v="0"/>
    <n v="0.3"/>
    <e v="#N/A"/>
    <x v="138"/>
  </r>
  <r>
    <d v="2023-10-14T00:00:00"/>
    <x v="39"/>
    <s v="Admin/HR/IT"/>
    <s v="AMCARE NonOcc In"/>
    <s v="AMZN"/>
    <n v="201191390"/>
    <s v="GarcÃ­a,jesus"/>
    <s v="Romero Sanchez,Gustavo Gabriel"/>
    <n v="0"/>
    <n v="0"/>
    <n v="0"/>
    <n v="0"/>
    <n v="0.08"/>
    <e v="#N/A"/>
    <x v="116"/>
  </r>
  <r>
    <d v="2023-10-14T00:00:00"/>
    <x v="39"/>
    <s v="Admin/HR/IT"/>
    <s v="AMCARE NonOcc In"/>
    <s v="AMZN"/>
    <n v="201198922"/>
    <s v="Mendez,Joy"/>
    <s v="Munoz,Jonan"/>
    <n v="0"/>
    <n v="0"/>
    <n v="0"/>
    <n v="0"/>
    <n v="0.17"/>
    <e v="#N/A"/>
    <x v="173"/>
  </r>
  <r>
    <d v="2023-10-14T00:00:00"/>
    <x v="39"/>
    <s v="Admin/HR/IT"/>
    <s v="AMCARE NonOcc In"/>
    <s v="AMZN"/>
    <n v="201211157"/>
    <s v="Vargas,Jesse"/>
    <s v="Gomez Aguado,Jorge"/>
    <n v="0"/>
    <n v="0"/>
    <n v="0"/>
    <n v="0"/>
    <n v="0.69"/>
    <e v="#N/A"/>
    <x v="121"/>
  </r>
  <r>
    <d v="2023-10-14T00:00:00"/>
    <x v="39"/>
    <s v="Admin/HR/IT"/>
    <s v="AMCARE NonOcc In"/>
    <s v="AMZN"/>
    <n v="201223730"/>
    <s v="Sanchiz,Cesarito"/>
    <s v="Corona Arriaga,Fernando"/>
    <n v="0"/>
    <n v="0"/>
    <n v="0"/>
    <n v="0"/>
    <n v="1.06"/>
    <e v="#N/A"/>
    <x v="120"/>
  </r>
  <r>
    <d v="2023-10-14T00:00:00"/>
    <x v="39"/>
    <s v="Admin/HR/IT"/>
    <s v="AMCARE NonOcc In"/>
    <s v="AMZN"/>
    <n v="201228411"/>
    <s v="Hernandez Soriano,Jazmin"/>
    <s v="Corona Arriaga,Fernando"/>
    <n v="0"/>
    <n v="0"/>
    <n v="0"/>
    <n v="0"/>
    <n v="1.0900000000000001"/>
    <e v="#N/A"/>
    <x v="123"/>
  </r>
  <r>
    <d v="2023-10-14T00:00:00"/>
    <x v="39"/>
    <s v="Admin/HR/IT"/>
    <s v="AMCARE NonOcc In"/>
    <s v="AMZN"/>
    <n v="201354965"/>
    <s v="JimÃ©nez,Aline"/>
    <s v="Piedra,Valentina"/>
    <n v="0"/>
    <n v="0"/>
    <n v="0"/>
    <n v="0"/>
    <n v="0.08"/>
    <e v="#N/A"/>
    <x v="152"/>
  </r>
  <r>
    <d v="2023-10-14T00:00:00"/>
    <x v="39"/>
    <s v="Admin/HR/IT"/>
    <s v="AMCARE NonOcc In"/>
    <s v="TEMP"/>
    <n v="201873948"/>
    <s v="Mireles,Karla"/>
    <s v="Porcar Guri,Albert"/>
    <n v="0"/>
    <n v="0"/>
    <n v="0"/>
    <n v="0"/>
    <n v="0.01"/>
    <e v="#N/A"/>
    <x v="0"/>
  </r>
  <r>
    <d v="2023-10-14T00:00:00"/>
    <x v="39"/>
    <s v="Admin/HR/IT"/>
    <s v="AMCARE NonOcc In"/>
    <s v="TEMP"/>
    <n v="202068111"/>
    <s v="PÃ©rez,Ismael"/>
    <s v="Cortes,Alejandra"/>
    <n v="0"/>
    <n v="0"/>
    <n v="0"/>
    <n v="0"/>
    <n v="0.22"/>
    <e v="#N/A"/>
    <x v="262"/>
  </r>
  <r>
    <d v="2023-10-14T00:00:00"/>
    <x v="39"/>
    <s v="Admin/HR/IT"/>
    <s v="AMCARE NonOcc In"/>
    <s v="TEMP"/>
    <n v="202078459"/>
    <s v="Perez,Ana"/>
    <s v="Cortes,Alejandra"/>
    <n v="0"/>
    <n v="0"/>
    <n v="0"/>
    <n v="0"/>
    <n v="0.17"/>
    <e v="#N/A"/>
    <x v="263"/>
  </r>
  <r>
    <d v="2023-10-14T00:00:00"/>
    <x v="39"/>
    <s v="Admin/HR/IT"/>
    <s v="AMCARE NonOcc In"/>
    <s v="TEMP"/>
    <n v="202137099"/>
    <s v="Fuentes,Ivan"/>
    <s v="Cortes,Alejandra"/>
    <n v="0"/>
    <n v="0"/>
    <n v="0"/>
    <n v="0"/>
    <n v="0.37"/>
    <e v="#N/A"/>
    <x v="259"/>
  </r>
  <r>
    <d v="2023-10-15T00:00:00"/>
    <x v="40"/>
    <s v="Admin/HR/IT"/>
    <s v="AMCARE NonOcc In"/>
    <s v="AMZN"/>
    <n v="112950784"/>
    <s v="Rojas,Samuel"/>
    <s v="Pizana,Diego"/>
    <n v="0"/>
    <n v="0"/>
    <n v="0"/>
    <n v="0"/>
    <n v="0.22"/>
    <s v="NF-X1900"/>
    <x v="13"/>
  </r>
  <r>
    <d v="2023-10-15T00:00:00"/>
    <x v="40"/>
    <s v="Admin/HR/IT"/>
    <s v="AMCARE NonOcc In"/>
    <s v="AMZN"/>
    <n v="112951256"/>
    <s v="Ramirez Vallejo,Kateryne"/>
    <s v="Cortes,Alejandra"/>
    <n v="0"/>
    <n v="0"/>
    <n v="0"/>
    <n v="0"/>
    <n v="7.32"/>
    <s v="DA-X0700"/>
    <x v="27"/>
  </r>
  <r>
    <d v="2023-10-15T00:00:00"/>
    <x v="40"/>
    <s v="Admin/HR/IT"/>
    <s v="AMCARE NonOcc In"/>
    <s v="AMZN"/>
    <n v="113019031"/>
    <s v="Vera Hernandez,Mauricio"/>
    <s v="Robledo Ugarte,Alejandro"/>
    <n v="0"/>
    <n v="0"/>
    <n v="0"/>
    <n v="0"/>
    <n v="0.25"/>
    <e v="#N/A"/>
    <x v="204"/>
  </r>
  <r>
    <d v="2023-10-15T00:00:00"/>
    <x v="40"/>
    <s v="Admin/HR/IT"/>
    <s v="AMCARE NonOcc In"/>
    <s v="AMZN"/>
    <n v="200615315"/>
    <s v="Gasca,Daniel"/>
    <s v="Bueno Mendoza,Susana"/>
    <n v="0"/>
    <n v="0"/>
    <n v="0"/>
    <n v="0"/>
    <n v="0.76"/>
    <e v="#N/A"/>
    <x v="164"/>
  </r>
  <r>
    <d v="2023-10-15T00:00:00"/>
    <x v="40"/>
    <s v="Admin/HR/IT"/>
    <s v="AMCARE NonOcc In"/>
    <s v="AMZN"/>
    <n v="201345774"/>
    <s v="Quijas,Jonathan"/>
    <s v="Robledo Ugarte,Alejandro"/>
    <n v="0"/>
    <n v="0"/>
    <n v="0"/>
    <n v="0"/>
    <n v="0.32"/>
    <e v="#N/A"/>
    <x v="154"/>
  </r>
  <r>
    <d v="2023-10-15T00:00:00"/>
    <x v="40"/>
    <s v="Admin/HR/IT"/>
    <s v="AMCARE NonOcc In"/>
    <s v="TEMP"/>
    <n v="201890790"/>
    <s v="Zuniga,Victor"/>
    <s v="Piedra,Valentina"/>
    <n v="0"/>
    <n v="0"/>
    <n v="0"/>
    <n v="0"/>
    <n v="0.16"/>
    <e v="#N/A"/>
    <x v="255"/>
  </r>
  <r>
    <d v="2023-10-15T00:00:00"/>
    <x v="40"/>
    <s v="Admin/HR/IT"/>
    <s v="AMCARE NonOcc In"/>
    <s v="TEMP"/>
    <n v="202068119"/>
    <s v="Castillo,Saul"/>
    <s v="Cortes,Alejandra"/>
    <n v="0"/>
    <n v="0"/>
    <n v="0"/>
    <n v="0"/>
    <n v="0.02"/>
    <e v="#N/A"/>
    <x v="264"/>
  </r>
  <r>
    <d v="2023-10-15T00:00:00"/>
    <x v="40"/>
    <s v="Admin/HR/IT"/>
    <s v="AMCARE NonOcc In"/>
    <s v="TEMP"/>
    <n v="202129214"/>
    <s v="Zuniga,Isaac"/>
    <s v="Pizana,Diego"/>
    <n v="0"/>
    <n v="0"/>
    <n v="0"/>
    <n v="0"/>
    <n v="0.55000000000000004"/>
    <e v="#N/A"/>
    <x v="265"/>
  </r>
  <r>
    <d v="2023-10-15T00:00:00"/>
    <x v="40"/>
    <s v="Admin/HR/IT"/>
    <s v="AMCARE NonOcc In"/>
    <s v="TEMP"/>
    <n v="202137757"/>
    <s v="Bartolo,Daniel Angel"/>
    <s v="Pizana,Diego"/>
    <n v="0"/>
    <n v="0"/>
    <n v="0"/>
    <n v="0"/>
    <n v="0.25"/>
    <e v="#N/A"/>
    <x v="266"/>
  </r>
  <r>
    <d v="2023-10-15T00:00:00"/>
    <x v="40"/>
    <s v="Admin/HR/IT"/>
    <s v="AMCARE NonOcc In"/>
    <s v="TEMP"/>
    <n v="202173806"/>
    <s v="Urenda,Cristopher"/>
    <s v="Bueno Mendoza,Susana"/>
    <n v="0"/>
    <n v="0"/>
    <n v="0"/>
    <n v="0"/>
    <n v="0.17"/>
    <e v="#N/A"/>
    <x v="248"/>
  </r>
  <r>
    <d v="2023-10-15T00:00:00"/>
    <x v="40"/>
    <s v="Admin/HR/IT"/>
    <s v="AMCARE NonOcc In"/>
    <s v="TEMP"/>
    <n v="202173886"/>
    <s v="Hernandez Paniagua,Enrique"/>
    <s v="Hernandez,Nataly"/>
    <n v="0"/>
    <n v="0"/>
    <n v="0"/>
    <n v="0"/>
    <n v="0.56000000000000005"/>
    <e v="#N/A"/>
    <x v="267"/>
  </r>
  <r>
    <d v="2023-10-15T00:00:00"/>
    <x v="40"/>
    <s v="Admin/HR/IT"/>
    <s v="AMCARE NonOcc In"/>
    <s v="TEMP"/>
    <n v="202194928"/>
    <s v="Garcia Castillo,Jose Miguel"/>
    <s v="Rosas Negrete,Sebastian"/>
    <n v="0"/>
    <n v="0"/>
    <n v="0"/>
    <n v="0"/>
    <n v="0.18"/>
    <e v="#N/A"/>
    <x v="268"/>
  </r>
  <r>
    <d v="2023-10-16T00:00:00"/>
    <x v="40"/>
    <s v="Admin/HR/IT"/>
    <s v="AMCARE NonOcc In"/>
    <s v="AMZN"/>
    <n v="112951256"/>
    <s v="Ramirez Vallejo,Kateryne"/>
    <s v="Cortes,Alejandra"/>
    <n v="0"/>
    <n v="0"/>
    <n v="0"/>
    <n v="0"/>
    <n v="24"/>
    <s v="DA-X0700"/>
    <x v="27"/>
  </r>
  <r>
    <d v="2023-10-16T00:00:00"/>
    <x v="40"/>
    <s v="Admin/HR/IT"/>
    <s v="AMCARE NonOcc In"/>
    <s v="AMZN"/>
    <n v="112980899"/>
    <s v="Avila Cabrera,Ari"/>
    <s v="Camarena,Grecia"/>
    <n v="0"/>
    <n v="0"/>
    <n v="0"/>
    <n v="0"/>
    <n v="0.31"/>
    <s v="NF-X1900"/>
    <x v="34"/>
  </r>
  <r>
    <d v="2023-10-16T00:00:00"/>
    <x v="40"/>
    <s v="Admin/HR/IT"/>
    <s v="AMCARE NonOcc In"/>
    <s v="AMZN"/>
    <n v="113014078"/>
    <s v="Nunez Lopez,Aldair"/>
    <s v="Bueno Mendoza,Susana"/>
    <n v="0"/>
    <n v="0"/>
    <n v="0"/>
    <n v="0"/>
    <n v="0.22"/>
    <e v="#N/A"/>
    <x v="76"/>
  </r>
  <r>
    <d v="2023-10-16T00:00:00"/>
    <x v="40"/>
    <s v="Admin/HR/IT"/>
    <s v="AMCARE NonOcc In"/>
    <s v="AMZN"/>
    <n v="200404250"/>
    <s v="Hurtado,Caty"/>
    <s v="Robledo Ugarte,Alejandro"/>
    <n v="0"/>
    <n v="0"/>
    <n v="0"/>
    <n v="0"/>
    <n v="0.63"/>
    <e v="#N/A"/>
    <x v="6"/>
  </r>
  <r>
    <d v="2023-10-16T00:00:00"/>
    <x v="40"/>
    <s v="Admin/HR/IT"/>
    <s v="AMCARE NonOcc In"/>
    <s v="AMZN"/>
    <n v="200562154"/>
    <s v="Reyes Muniz,Cristian"/>
    <s v="Corona Arriaga,Fernando"/>
    <n v="0"/>
    <n v="0"/>
    <n v="0"/>
    <n v="0"/>
    <n v="0.25"/>
    <e v="#N/A"/>
    <x v="42"/>
  </r>
  <r>
    <d v="2023-10-16T00:00:00"/>
    <x v="40"/>
    <s v="Admin/HR/IT"/>
    <s v="AMCARE NonOcc In"/>
    <s v="AMZN"/>
    <n v="200570729"/>
    <s v="Rodriguez,Carolina"/>
    <s v="Piedra,Valentina"/>
    <n v="0"/>
    <n v="0"/>
    <n v="0"/>
    <n v="0"/>
    <n v="0.57999999999999996"/>
    <e v="#N/A"/>
    <x v="93"/>
  </r>
  <r>
    <d v="2023-10-16T00:00:00"/>
    <x v="40"/>
    <s v="Admin/HR/IT"/>
    <s v="AMCARE NonOcc In"/>
    <s v="AMZN"/>
    <n v="200615315"/>
    <s v="Gasca,Daniel"/>
    <s v="Bueno Mendoza,Susana"/>
    <n v="0"/>
    <n v="0"/>
    <n v="0"/>
    <n v="0"/>
    <n v="0.26"/>
    <e v="#N/A"/>
    <x v="164"/>
  </r>
  <r>
    <d v="2023-10-16T00:00:00"/>
    <x v="40"/>
    <s v="Admin/HR/IT"/>
    <s v="AMCARE NonOcc In"/>
    <s v="AMZN"/>
    <n v="200625528"/>
    <s v="Oliva,Lizbeth"/>
    <s v="Piedra,Valentina"/>
    <n v="0"/>
    <n v="0"/>
    <n v="0"/>
    <n v="0"/>
    <n v="0.09"/>
    <e v="#N/A"/>
    <x v="83"/>
  </r>
  <r>
    <d v="2023-10-16T00:00:00"/>
    <x v="40"/>
    <s v="Admin/HR/IT"/>
    <s v="AMCARE NonOcc In"/>
    <s v="AMZN"/>
    <n v="201172306"/>
    <s v="Valdez,CÃ©sar"/>
    <s v="Rosas Negrete,Sebastian"/>
    <n v="0"/>
    <n v="0"/>
    <n v="0"/>
    <n v="0"/>
    <n v="0.04"/>
    <e v="#N/A"/>
    <x v="128"/>
  </r>
  <r>
    <d v="2023-10-16T00:00:00"/>
    <x v="40"/>
    <s v="Admin/HR/IT"/>
    <s v="AMCARE NonOcc In"/>
    <s v="AMZN"/>
    <n v="201186777"/>
    <s v="Monzon,Berenice"/>
    <s v="Piedra,Valentina"/>
    <n v="0"/>
    <n v="0"/>
    <n v="0"/>
    <n v="0"/>
    <n v="0.94"/>
    <e v="#N/A"/>
    <x v="107"/>
  </r>
  <r>
    <d v="2023-10-16T00:00:00"/>
    <x v="40"/>
    <s v="Admin/HR/IT"/>
    <s v="AMCARE NonOcc In"/>
    <s v="AMZN"/>
    <n v="201341534"/>
    <s v="Becerra,Esmeralda"/>
    <s v="Piedra,Valentina"/>
    <n v="0"/>
    <n v="0"/>
    <n v="0"/>
    <n v="0"/>
    <n v="0.18"/>
    <e v="#N/A"/>
    <x v="192"/>
  </r>
  <r>
    <d v="2023-10-16T00:00:00"/>
    <x v="40"/>
    <s v="Admin/HR/IT"/>
    <s v="AMCARE NonOcc In"/>
    <s v="TEMP"/>
    <n v="201848180"/>
    <s v="Pacheco,Jack"/>
    <s v="Piedra,Valentina"/>
    <n v="0"/>
    <n v="0"/>
    <n v="0"/>
    <n v="0"/>
    <n v="1.26"/>
    <e v="#N/A"/>
    <x v="269"/>
  </r>
  <r>
    <d v="2023-10-16T00:00:00"/>
    <x v="40"/>
    <s v="Admin/HR/IT"/>
    <s v="AMCARE NonOcc In"/>
    <s v="TEMP"/>
    <n v="201858330"/>
    <s v="Arrona,Pablo"/>
    <s v="Bueno Mendoza,Susana"/>
    <n v="0"/>
    <n v="0"/>
    <n v="0"/>
    <n v="0"/>
    <n v="0.27"/>
    <e v="#N/A"/>
    <x v="249"/>
  </r>
  <r>
    <d v="2023-10-16T00:00:00"/>
    <x v="40"/>
    <s v="Admin/HR/IT"/>
    <s v="AMCARE NonOcc In"/>
    <s v="TEMP"/>
    <n v="201902140"/>
    <s v="GarcÃ­a,Alma"/>
    <s v="Pizana,Diego"/>
    <n v="0"/>
    <n v="0"/>
    <n v="0"/>
    <n v="0"/>
    <n v="0.44"/>
    <e v="#N/A"/>
    <x v="223"/>
  </r>
  <r>
    <d v="2023-10-16T00:00:00"/>
    <x v="40"/>
    <s v="Admin/HR/IT"/>
    <s v="AMCARE NonOcc In"/>
    <s v="TEMP"/>
    <n v="202063545"/>
    <s v="GarcÃ­a,Ana"/>
    <s v="Morales Beristain,Sugeyt"/>
    <n v="0"/>
    <n v="0"/>
    <n v="0"/>
    <n v="0"/>
    <n v="0.71"/>
    <e v="#N/A"/>
    <x v="228"/>
  </r>
  <r>
    <d v="2023-10-16T00:00:00"/>
    <x v="40"/>
    <s v="Admin/HR/IT"/>
    <s v="AMCARE NonOcc In"/>
    <s v="TEMP"/>
    <n v="202129214"/>
    <s v="Zuniga,Isaac"/>
    <s v="Pizana,Diego"/>
    <n v="0"/>
    <n v="0"/>
    <n v="0"/>
    <n v="0"/>
    <n v="0.8"/>
    <e v="#N/A"/>
    <x v="265"/>
  </r>
  <r>
    <d v="2023-10-16T00:00:00"/>
    <x v="40"/>
    <s v="Admin/HR/IT"/>
    <s v="AMCARE NonOcc In"/>
    <s v="TEMP"/>
    <n v="202130113"/>
    <s v="Rangel,Tania"/>
    <s v="Pizana,Diego"/>
    <n v="0"/>
    <n v="0"/>
    <n v="0"/>
    <n v="0"/>
    <n v="0.28000000000000003"/>
    <e v="#N/A"/>
    <x v="270"/>
  </r>
  <r>
    <d v="2023-10-16T00:00:00"/>
    <x v="40"/>
    <s v="Admin/HR/IT"/>
    <s v="AMCARE NonOcc In"/>
    <s v="TEMP"/>
    <n v="202166026"/>
    <s v="Mares,Ana"/>
    <s v="Bueno Mendoza,Susana"/>
    <n v="0"/>
    <n v="0"/>
    <n v="0"/>
    <n v="0"/>
    <n v="0.8"/>
    <e v="#N/A"/>
    <x v="0"/>
  </r>
  <r>
    <d v="2023-10-16T00:00:00"/>
    <x v="40"/>
    <s v="Admin/HR/IT"/>
    <s v="AMCARE NonOcc In"/>
    <s v="TEMP"/>
    <n v="202188434"/>
    <s v="Rivera,Aidza"/>
    <s v="Hernandez,Nataly"/>
    <n v="0"/>
    <n v="0"/>
    <n v="0"/>
    <n v="0"/>
    <n v="0.61"/>
    <e v="#N/A"/>
    <x v="252"/>
  </r>
  <r>
    <d v="2023-10-16T00:00:00"/>
    <x v="40"/>
    <s v="Admin/HR/IT"/>
    <s v="AMCARE NonOcc In"/>
    <s v="TEMP"/>
    <n v="202219678"/>
    <s v="HernÃ¡ndez,Cinthia"/>
    <s v="Rosas Negrete,Sebastian"/>
    <n v="0"/>
    <n v="0"/>
    <n v="0"/>
    <n v="0"/>
    <n v="0.09"/>
    <e v="#N/A"/>
    <x v="271"/>
  </r>
  <r>
    <d v="2023-10-16T00:00:00"/>
    <x v="40"/>
    <s v="Admin/HR/IT"/>
    <s v="AMCARE NonOcc In"/>
    <s v="TEMP"/>
    <n v="202246652"/>
    <s v="Honojoza,Adriana"/>
    <s v="Piedra,Valentina"/>
    <n v="0"/>
    <n v="0"/>
    <n v="0"/>
    <n v="0"/>
    <n v="0.46"/>
    <e v="#N/A"/>
    <x v="272"/>
  </r>
  <r>
    <d v="2023-10-17T00:00:00"/>
    <x v="40"/>
    <s v="Admin/HR/IT"/>
    <s v="AMCARE NonOcc In"/>
    <s v="AMZN"/>
    <n v="112971962"/>
    <s v="Reyes  Montes de oca,Alejandra"/>
    <s v="Romero Sanchez,Gustavo Gabriel"/>
    <n v="0"/>
    <n v="0"/>
    <n v="0"/>
    <n v="0"/>
    <n v="0.22"/>
    <s v="DB-X0700"/>
    <x v="26"/>
  </r>
  <r>
    <d v="2023-10-17T00:00:00"/>
    <x v="40"/>
    <s v="Admin/HR/IT"/>
    <s v="AMCARE NonOcc In"/>
    <s v="AMZN"/>
    <n v="112981061"/>
    <s v="Olguin,Claudia"/>
    <s v="Corona Arriaga,Fernando"/>
    <n v="0"/>
    <n v="0"/>
    <n v="0"/>
    <n v="0"/>
    <n v="0.19"/>
    <s v="DA-X0700"/>
    <x v="11"/>
  </r>
  <r>
    <d v="2023-10-17T00:00:00"/>
    <x v="40"/>
    <s v="Admin/HR/IT"/>
    <s v="AMCARE NonOcc In"/>
    <s v="AMZN"/>
    <n v="113014078"/>
    <s v="Nunez Lopez,Aldair"/>
    <s v="Bueno Mendoza,Susana"/>
    <n v="0"/>
    <n v="0"/>
    <n v="0"/>
    <n v="0"/>
    <n v="0.23"/>
    <e v="#N/A"/>
    <x v="76"/>
  </r>
  <r>
    <d v="2023-10-17T00:00:00"/>
    <x v="40"/>
    <s v="Admin/HR/IT"/>
    <s v="AMCARE NonOcc In"/>
    <s v="AMZN"/>
    <n v="113019001"/>
    <s v="Lozano Hernandez,Donny"/>
    <s v="Bueno Mendoza,Susana"/>
    <n v="0"/>
    <n v="0"/>
    <n v="0"/>
    <n v="0"/>
    <n v="0.04"/>
    <e v="#N/A"/>
    <x v="48"/>
  </r>
  <r>
    <d v="2023-10-17T00:00:00"/>
    <x v="40"/>
    <s v="Admin/HR/IT"/>
    <s v="AMCARE NonOcc In"/>
    <s v="AMZN"/>
    <n v="200562154"/>
    <s v="Reyes Muniz,Cristian"/>
    <s v="Piedra,Valentina"/>
    <n v="0"/>
    <n v="0"/>
    <n v="0"/>
    <n v="0"/>
    <n v="0.08"/>
    <e v="#N/A"/>
    <x v="42"/>
  </r>
  <r>
    <d v="2023-10-17T00:00:00"/>
    <x v="40"/>
    <s v="Admin/HR/IT"/>
    <s v="AMCARE NonOcc In"/>
    <s v="AMZN"/>
    <n v="201166890"/>
    <s v="Caballero,Daniel"/>
    <s v="Rosas Negrete,Sebastian"/>
    <n v="0"/>
    <n v="0"/>
    <n v="0"/>
    <n v="0"/>
    <n v="0.03"/>
    <e v="#N/A"/>
    <x v="141"/>
  </r>
  <r>
    <d v="2023-10-17T00:00:00"/>
    <x v="40"/>
    <s v="Admin/HR/IT"/>
    <s v="AMCARE NonOcc In"/>
    <s v="AMZN"/>
    <n v="201185299"/>
    <s v="Garcia,Noemi"/>
    <s v="Piedra,Valentina"/>
    <n v="0"/>
    <n v="0"/>
    <n v="0"/>
    <n v="0"/>
    <n v="0.28999999999999998"/>
    <e v="#N/A"/>
    <x v="138"/>
  </r>
  <r>
    <d v="2023-10-17T00:00:00"/>
    <x v="40"/>
    <s v="Admin/HR/IT"/>
    <s v="AMCARE NonOcc In"/>
    <s v="AMZN"/>
    <n v="201186777"/>
    <s v="Monzon,Berenice"/>
    <s v="Bueno Mendoza,Susana"/>
    <n v="0"/>
    <n v="0"/>
    <n v="0"/>
    <n v="0"/>
    <n v="0.2"/>
    <e v="#N/A"/>
    <x v="107"/>
  </r>
  <r>
    <d v="2023-10-17T00:00:00"/>
    <x v="40"/>
    <s v="Admin/HR/IT"/>
    <s v="AMCARE NonOcc In"/>
    <s v="AMZN"/>
    <n v="201191198"/>
    <s v="Mojica,Emmanuel"/>
    <s v="Piedra,Valentina"/>
    <n v="0"/>
    <n v="0"/>
    <n v="0"/>
    <n v="0"/>
    <n v="0.1"/>
    <e v="#N/A"/>
    <x v="130"/>
  </r>
  <r>
    <d v="2023-10-17T00:00:00"/>
    <x v="40"/>
    <s v="Admin/HR/IT"/>
    <s v="AMCARE NonOcc In"/>
    <s v="AMZN"/>
    <n v="201219500"/>
    <s v="Mazy,RamsÃ©s"/>
    <s v="Piedra,Valentina"/>
    <n v="0"/>
    <n v="0"/>
    <n v="0"/>
    <n v="0"/>
    <n v="0.11"/>
    <e v="#N/A"/>
    <x v="122"/>
  </r>
  <r>
    <d v="2023-10-17T00:00:00"/>
    <x v="40"/>
    <s v="Admin/HR/IT"/>
    <s v="AMCARE NonOcc In"/>
    <s v="AMZN"/>
    <n v="201350949"/>
    <s v="Reyes,Isabel"/>
    <s v="Corona Arriaga,Fernando"/>
    <n v="0"/>
    <n v="0"/>
    <n v="0"/>
    <n v="0"/>
    <n v="0.26"/>
    <e v="#N/A"/>
    <x v="211"/>
  </r>
  <r>
    <d v="2023-10-17T00:00:00"/>
    <x v="40"/>
    <s v="Admin/HR/IT"/>
    <s v="AMCARE NonOcc In"/>
    <s v="AMZN"/>
    <n v="201396328"/>
    <s v="Canchola,Alejandro"/>
    <s v="Rosas Negrete,Sebastian"/>
    <n v="0"/>
    <n v="0"/>
    <n v="0"/>
    <n v="0"/>
    <n v="0.39"/>
    <e v="#N/A"/>
    <x v="188"/>
  </r>
  <r>
    <d v="2023-10-17T00:00:00"/>
    <x v="40"/>
    <s v="Admin/HR/IT"/>
    <s v="AMCARE NonOcc In"/>
    <s v="TEMP"/>
    <n v="201880542"/>
    <s v="ORTIZ,CORPUS"/>
    <s v="Bueno Mendoza,Susana"/>
    <n v="0"/>
    <n v="0"/>
    <n v="0"/>
    <n v="0"/>
    <n v="0.53"/>
    <e v="#N/A"/>
    <x v="199"/>
  </r>
  <r>
    <d v="2023-10-17T00:00:00"/>
    <x v="40"/>
    <s v="Admin/HR/IT"/>
    <s v="AMCARE NonOcc In"/>
    <s v="TEMP"/>
    <n v="202052420"/>
    <s v="Gonzalez,Karla"/>
    <s v="Hernandez,Nataly"/>
    <n v="0"/>
    <n v="0"/>
    <n v="0"/>
    <n v="0"/>
    <n v="1.49"/>
    <e v="#N/A"/>
    <x v="0"/>
  </r>
  <r>
    <d v="2023-10-17T00:00:00"/>
    <x v="40"/>
    <s v="Admin/HR/IT"/>
    <s v="AMCARE NonOcc In"/>
    <s v="TEMP"/>
    <n v="202062181"/>
    <s v="Trejo,Luis"/>
    <s v="Rosas Negrete,Sebastian"/>
    <n v="0"/>
    <n v="0"/>
    <n v="0"/>
    <n v="0"/>
    <n v="0.3"/>
    <e v="#N/A"/>
    <x v="243"/>
  </r>
  <r>
    <d v="2023-10-17T00:00:00"/>
    <x v="40"/>
    <s v="Admin/HR/IT"/>
    <s v="AMCARE NonOcc In"/>
    <s v="TEMP"/>
    <n v="202118479"/>
    <s v="Ramirez,Aaron"/>
    <s v="Cortes,Alejandra"/>
    <n v="0"/>
    <n v="0"/>
    <n v="0"/>
    <n v="0"/>
    <n v="0.4"/>
    <e v="#N/A"/>
    <x v="273"/>
  </r>
  <r>
    <d v="2023-10-17T00:00:00"/>
    <x v="40"/>
    <s v="Admin/HR/IT"/>
    <s v="AMCARE NonOcc In"/>
    <s v="TEMP"/>
    <n v="202137341"/>
    <s v="Bravo,Edgar"/>
    <s v="Rosas Negrete,Sebastian"/>
    <n v="0"/>
    <n v="0"/>
    <n v="0"/>
    <n v="0"/>
    <n v="0.19"/>
    <e v="#N/A"/>
    <x v="241"/>
  </r>
  <r>
    <d v="2023-10-17T00:00:00"/>
    <x v="40"/>
    <s v="Admin/HR/IT"/>
    <s v="AMCARE NonOcc In"/>
    <s v="TEMP"/>
    <n v="202165242"/>
    <s v="Gonzalez,Marco"/>
    <s v="Munoz,Jonan"/>
    <n v="0"/>
    <n v="0"/>
    <n v="0"/>
    <n v="0"/>
    <n v="0.72"/>
    <e v="#N/A"/>
    <x v="251"/>
  </r>
  <r>
    <d v="2023-10-17T00:00:00"/>
    <x v="40"/>
    <s v="Admin/HR/IT"/>
    <s v="AMCARE NonOcc In"/>
    <s v="TEMP"/>
    <n v="202167195"/>
    <s v="Aguilar,Antonio"/>
    <s v="Bueno Mendoza,Susana"/>
    <n v="0"/>
    <n v="0"/>
    <n v="0"/>
    <n v="0"/>
    <n v="0.18"/>
    <e v="#N/A"/>
    <x v="0"/>
  </r>
  <r>
    <d v="2023-10-17T00:00:00"/>
    <x v="40"/>
    <s v="Admin/HR/IT"/>
    <s v="AMCARE NonOcc In"/>
    <s v="TEMP"/>
    <n v="202185991"/>
    <s v="VÃ¡zquez,AndrÃ©s"/>
    <s v="Bueno Mendoza,Susana"/>
    <n v="0"/>
    <n v="0"/>
    <n v="0"/>
    <n v="0"/>
    <n v="0.34"/>
    <e v="#N/A"/>
    <x v="274"/>
  </r>
  <r>
    <d v="2023-10-17T00:00:00"/>
    <x v="40"/>
    <s v="Admin/HR/IT"/>
    <s v="AMCARE NonOcc In"/>
    <s v="TEMP"/>
    <n v="202188991"/>
    <s v="Jimenez,Saul"/>
    <s v="Bueno Mendoza,Susana"/>
    <n v="0"/>
    <n v="0"/>
    <n v="0"/>
    <n v="0"/>
    <n v="0.41"/>
    <e v="#N/A"/>
    <x v="275"/>
  </r>
  <r>
    <d v="2023-10-17T00:00:00"/>
    <x v="40"/>
    <s v="Admin/HR/IT"/>
    <s v="AMCARE NonOcc In"/>
    <s v="TEMP"/>
    <n v="202228011"/>
    <s v="Cardenas,Carlos"/>
    <s v="Madrid Molina,Ramon"/>
    <n v="0"/>
    <n v="0"/>
    <n v="0"/>
    <n v="0"/>
    <n v="0.17"/>
    <e v="#N/A"/>
    <x v="276"/>
  </r>
  <r>
    <d v="2023-10-17T00:00:00"/>
    <x v="40"/>
    <s v="Admin/HR/IT"/>
    <s v="AMCARE NonOcc In"/>
    <s v="TEMP"/>
    <n v="202236342"/>
    <s v="Funes,Michelle"/>
    <s v="Pizana,Diego"/>
    <n v="0"/>
    <n v="0"/>
    <n v="0"/>
    <n v="0"/>
    <n v="0.81"/>
    <e v="#N/A"/>
    <x v="277"/>
  </r>
  <r>
    <d v="2023-10-17T00:00:00"/>
    <x v="40"/>
    <s v="Admin/HR/IT"/>
    <s v="AMCARE NonOcc In"/>
    <s v="TEMP"/>
    <n v="202250181"/>
    <s v="Gutierrez,Samuel"/>
    <s v="Corona Arriaga,Fernando"/>
    <n v="0"/>
    <n v="0"/>
    <n v="0"/>
    <n v="0"/>
    <n v="0.21"/>
    <e v="#N/A"/>
    <x v="278"/>
  </r>
  <r>
    <d v="2023-10-18T00:00:00"/>
    <x v="40"/>
    <s v="Admin/HR/IT"/>
    <s v="AMCARE NonOcc In"/>
    <s v="AMZN"/>
    <n v="113014560"/>
    <s v="Lopez Moreno,Americo"/>
    <s v="Romero Sanchez,Gustavo Gabriel"/>
    <n v="0"/>
    <n v="0"/>
    <n v="0"/>
    <n v="0"/>
    <n v="0.57999999999999996"/>
    <e v="#N/A"/>
    <x v="81"/>
  </r>
  <r>
    <d v="2023-10-18T00:00:00"/>
    <x v="40"/>
    <s v="Admin/HR/IT"/>
    <s v="AMCARE NonOcc In"/>
    <s v="AMZN"/>
    <n v="113020667"/>
    <s v="Martinez Becerra,Paulina"/>
    <s v="Munoz,Jonan"/>
    <n v="0"/>
    <n v="0"/>
    <n v="0"/>
    <n v="0"/>
    <n v="0.93"/>
    <e v="#N/A"/>
    <x v="31"/>
  </r>
  <r>
    <d v="2023-10-18T00:00:00"/>
    <x v="40"/>
    <s v="Admin/HR/IT"/>
    <s v="AMCARE NonOcc In"/>
    <s v="AMZN"/>
    <n v="200508323"/>
    <s v="Espejel Lopez,Emmanuel"/>
    <s v="Romero Sanchez,Gustavo Gabriel"/>
    <n v="0"/>
    <n v="0"/>
    <n v="0"/>
    <n v="0"/>
    <n v="0.27"/>
    <e v="#N/A"/>
    <x v="177"/>
  </r>
  <r>
    <d v="2023-10-18T00:00:00"/>
    <x v="40"/>
    <s v="Admin/HR/IT"/>
    <s v="AMCARE NonOcc In"/>
    <s v="AMZN"/>
    <n v="200534675"/>
    <s v="Munoz Macias,Juan Pablo"/>
    <s v="Rosas Negrete,Sebastian"/>
    <n v="0"/>
    <n v="0"/>
    <n v="0"/>
    <n v="0"/>
    <n v="0.33"/>
    <e v="#N/A"/>
    <x v="69"/>
  </r>
  <r>
    <d v="2023-10-18T00:00:00"/>
    <x v="40"/>
    <s v="Admin/HR/IT"/>
    <s v="AMCARE NonOcc In"/>
    <s v="AMZN"/>
    <n v="200562303"/>
    <s v="Hernandez Cruz,Jorge"/>
    <s v="Corona Arriaga,Fernando"/>
    <n v="0"/>
    <n v="0"/>
    <n v="0"/>
    <n v="0"/>
    <n v="0.24"/>
    <e v="#N/A"/>
    <x v="87"/>
  </r>
  <r>
    <d v="2023-10-18T00:00:00"/>
    <x v="40"/>
    <s v="Admin/HR/IT"/>
    <s v="AMCARE NonOcc In"/>
    <s v="AMZN"/>
    <n v="201167501"/>
    <s v="Rodriguez,Ruben"/>
    <s v="Corona Arriaga,Fernando"/>
    <n v="0"/>
    <n v="0"/>
    <n v="0"/>
    <n v="0"/>
    <n v="0.27"/>
    <e v="#N/A"/>
    <x v="109"/>
  </r>
  <r>
    <d v="2023-10-18T00:00:00"/>
    <x v="40"/>
    <s v="Admin/HR/IT"/>
    <s v="AMCARE NonOcc In"/>
    <s v="AMZN"/>
    <n v="201172306"/>
    <s v="Valdez,CÃ©sar"/>
    <s v="Rosas Negrete,Sebastian"/>
    <n v="0"/>
    <n v="0"/>
    <n v="0"/>
    <n v="0"/>
    <n v="0.19"/>
    <e v="#N/A"/>
    <x v="128"/>
  </r>
  <r>
    <d v="2023-10-18T00:00:00"/>
    <x v="40"/>
    <s v="Admin/HR/IT"/>
    <s v="AMCARE NonOcc In"/>
    <s v="AMZN"/>
    <n v="201172412"/>
    <s v="Castellanos,Adriana"/>
    <s v="Corona Arriaga,Fernando"/>
    <n v="0"/>
    <n v="0"/>
    <n v="0"/>
    <n v="0"/>
    <n v="0.1"/>
    <e v="#N/A"/>
    <x v="136"/>
  </r>
  <r>
    <d v="2023-10-18T00:00:00"/>
    <x v="40"/>
    <s v="Admin/HR/IT"/>
    <s v="AMCARE NonOcc In"/>
    <s v="AMZN"/>
    <n v="201295429"/>
    <s v="Mireles Diaz Lopez,Jazmin"/>
    <s v="Munoz,Jonan"/>
    <n v="0"/>
    <n v="0"/>
    <n v="0"/>
    <n v="0"/>
    <n v="0.48"/>
    <e v="#N/A"/>
    <x v="147"/>
  </r>
  <r>
    <d v="2023-10-18T00:00:00"/>
    <x v="40"/>
    <s v="Admin/HR/IT"/>
    <s v="AMCARE NonOcc In"/>
    <s v="AMZN"/>
    <n v="201354965"/>
    <s v="JimÃ©nez,Aline"/>
    <s v="Piedra,Valentina"/>
    <n v="0"/>
    <n v="0"/>
    <n v="0"/>
    <n v="0"/>
    <n v="0.18"/>
    <e v="#N/A"/>
    <x v="152"/>
  </r>
  <r>
    <d v="2023-10-18T00:00:00"/>
    <x v="40"/>
    <s v="Admin/HR/IT"/>
    <s v="AMCARE NonOcc In"/>
    <s v="TEMP"/>
    <n v="201880542"/>
    <s v="ORTIZ,CORPUS"/>
    <s v="Bueno Mendoza,Susana"/>
    <n v="0"/>
    <n v="0"/>
    <n v="0"/>
    <n v="0"/>
    <n v="0.34"/>
    <e v="#N/A"/>
    <x v="199"/>
  </r>
  <r>
    <d v="2023-10-18T00:00:00"/>
    <x v="40"/>
    <s v="Admin/HR/IT"/>
    <s v="AMCARE NonOcc In"/>
    <s v="TEMP"/>
    <n v="202052420"/>
    <s v="Gonzalez,Karla"/>
    <s v="Hernandez,Nataly"/>
    <n v="0"/>
    <n v="0"/>
    <n v="0"/>
    <n v="0"/>
    <n v="0.68"/>
    <e v="#N/A"/>
    <x v="0"/>
  </r>
  <r>
    <d v="2023-10-18T00:00:00"/>
    <x v="40"/>
    <s v="Admin/HR/IT"/>
    <s v="AMCARE NonOcc In"/>
    <s v="TEMP"/>
    <n v="202081527"/>
    <s v="Martinez,Efren"/>
    <s v="Hernandez,Nataly"/>
    <n v="0"/>
    <n v="0"/>
    <n v="0"/>
    <n v="0"/>
    <n v="0.2"/>
    <e v="#N/A"/>
    <x v="226"/>
  </r>
  <r>
    <d v="2023-10-18T00:00:00"/>
    <x v="40"/>
    <s v="Admin/HR/IT"/>
    <s v="AMCARE NonOcc In"/>
    <s v="TEMP"/>
    <n v="202120444"/>
    <s v="Hernandez,Alondra"/>
    <s v="Cortes,Alejandra"/>
    <n v="0"/>
    <n v="0"/>
    <n v="0"/>
    <n v="0"/>
    <n v="0.63"/>
    <e v="#N/A"/>
    <x v="242"/>
  </r>
  <r>
    <d v="2023-10-18T00:00:00"/>
    <x v="40"/>
    <s v="Admin/HR/IT"/>
    <s v="AMCARE NonOcc In"/>
    <s v="TEMP"/>
    <n v="202129214"/>
    <s v="Zuniga,Isaac"/>
    <s v="Madrid Molina,Ramon"/>
    <n v="0"/>
    <n v="0"/>
    <n v="0"/>
    <n v="0"/>
    <n v="0.28000000000000003"/>
    <e v="#N/A"/>
    <x v="265"/>
  </r>
  <r>
    <d v="2023-10-18T00:00:00"/>
    <x v="40"/>
    <s v="Admin/HR/IT"/>
    <s v="AMCARE NonOcc In"/>
    <s v="TEMP"/>
    <n v="202137341"/>
    <s v="Bravo,Edgar"/>
    <s v="Rosas Negrete,Sebastian"/>
    <n v="0"/>
    <n v="0"/>
    <n v="0"/>
    <n v="0"/>
    <n v="0.16"/>
    <e v="#N/A"/>
    <x v="241"/>
  </r>
  <r>
    <d v="2023-10-18T00:00:00"/>
    <x v="40"/>
    <s v="Admin/HR/IT"/>
    <s v="AMCARE NonOcc In"/>
    <s v="TEMP"/>
    <n v="202188434"/>
    <s v="Rivera,Aidza"/>
    <s v="Hernandez,Nataly"/>
    <n v="0"/>
    <n v="0"/>
    <n v="0"/>
    <n v="0"/>
    <n v="1.03"/>
    <e v="#N/A"/>
    <x v="252"/>
  </r>
  <r>
    <d v="2023-10-18T00:00:00"/>
    <x v="40"/>
    <s v="Admin/HR/IT"/>
    <s v="AMCARE NonOcc In"/>
    <s v="TEMP"/>
    <n v="202219678"/>
    <s v="HernÃ¡ndez,Cinthia"/>
    <s v="Rosas Negrete,Sebastian"/>
    <n v="0"/>
    <n v="0"/>
    <n v="0"/>
    <n v="0"/>
    <n v="1.05"/>
    <e v="#N/A"/>
    <x v="271"/>
  </r>
  <r>
    <d v="2023-10-18T00:00:00"/>
    <x v="40"/>
    <s v="Admin/HR/IT"/>
    <s v="AMCARE NonOcc In"/>
    <s v="TEMP"/>
    <n v="202245845"/>
    <s v="Medina,Angel"/>
    <s v="Rosas Negrete,Sebastian"/>
    <n v="0"/>
    <n v="0"/>
    <n v="0"/>
    <n v="0"/>
    <n v="0.25"/>
    <e v="#N/A"/>
    <x v="279"/>
  </r>
  <r>
    <d v="2023-10-18T00:00:00"/>
    <x v="40"/>
    <s v="Admin/HR/IT"/>
    <s v="AMCARE NonOcc In"/>
    <s v="TEMP"/>
    <n v="202265858"/>
    <s v="Salmeron,Alexa"/>
    <s v="Corona Arriaga,Fernando"/>
    <n v="0"/>
    <n v="0"/>
    <n v="0"/>
    <n v="0"/>
    <n v="0.83"/>
    <e v="#N/A"/>
    <x v="280"/>
  </r>
  <r>
    <d v="2023-10-18T00:00:00"/>
    <x v="40"/>
    <s v="Admin/HR/IT"/>
    <s v="AMCARE NonOcc In"/>
    <s v="TEMP"/>
    <n v="202287922"/>
    <s v="Andrade,Gema"/>
    <s v="Camarena,Grecia"/>
    <n v="0"/>
    <n v="0"/>
    <n v="0"/>
    <n v="0"/>
    <n v="0.52"/>
    <e v="#N/A"/>
    <x v="281"/>
  </r>
  <r>
    <d v="2023-10-19T00:00:00"/>
    <x v="40"/>
    <s v="Admin/HR/IT"/>
    <s v="AMCARE NonOcc In"/>
    <s v="AMZN"/>
    <n v="112972958"/>
    <s v="Gonzalez Gonzalez,Antonio"/>
    <s v="Pizana,Diego"/>
    <n v="0"/>
    <n v="0"/>
    <n v="0"/>
    <n v="0"/>
    <n v="0.63"/>
    <s v="D5-X0700"/>
    <x v="44"/>
  </r>
  <r>
    <d v="2023-10-19T00:00:00"/>
    <x v="40"/>
    <s v="Admin/HR/IT"/>
    <s v="AMCARE NonOcc In"/>
    <s v="AMZN"/>
    <n v="112981061"/>
    <s v="Olguin,Claudia"/>
    <s v="Corona Arriaga,Fernando"/>
    <n v="0"/>
    <n v="0"/>
    <n v="0"/>
    <n v="0"/>
    <n v="0.43"/>
    <s v="DA-X0700"/>
    <x v="11"/>
  </r>
  <r>
    <d v="2023-10-19T00:00:00"/>
    <x v="40"/>
    <s v="Admin/HR/IT"/>
    <s v="AMCARE NonOcc In"/>
    <s v="AMZN"/>
    <n v="200464838"/>
    <s v="Ortiz,Fernando"/>
    <s v="Romero Sanchez,Gustavo Gabriel"/>
    <n v="0"/>
    <n v="0"/>
    <n v="0"/>
    <n v="0"/>
    <n v="0.09"/>
    <e v="#N/A"/>
    <x v="28"/>
  </r>
  <r>
    <d v="2023-10-19T00:00:00"/>
    <x v="40"/>
    <s v="Admin/HR/IT"/>
    <s v="AMCARE NonOcc In"/>
    <s v="AMZN"/>
    <n v="200562154"/>
    <s v="Reyes Muniz,Cristian"/>
    <s v="Piedra,Valentina"/>
    <n v="0"/>
    <n v="0"/>
    <n v="0"/>
    <n v="0"/>
    <n v="0.17"/>
    <e v="#N/A"/>
    <x v="42"/>
  </r>
  <r>
    <d v="2023-10-19T00:00:00"/>
    <x v="40"/>
    <s v="Admin/HR/IT"/>
    <s v="AMCARE NonOcc In"/>
    <s v="AMZN"/>
    <n v="200563038"/>
    <s v="Arias,Elizabeth"/>
    <s v="Munoz,Jonan"/>
    <n v="0"/>
    <n v="0"/>
    <n v="0"/>
    <n v="0"/>
    <n v="0.97"/>
    <e v="#N/A"/>
    <x v="124"/>
  </r>
  <r>
    <d v="2023-10-19T00:00:00"/>
    <x v="40"/>
    <s v="Admin/HR/IT"/>
    <s v="AMCARE NonOcc In"/>
    <s v="AMZN"/>
    <n v="201165769"/>
    <s v="Puente,Karen"/>
    <s v="Bueno Mendoza,Susana"/>
    <n v="0"/>
    <n v="0"/>
    <n v="0"/>
    <n v="0"/>
    <n v="0.13"/>
    <e v="#N/A"/>
    <x v="113"/>
  </r>
  <r>
    <d v="2023-10-19T00:00:00"/>
    <x v="40"/>
    <s v="Admin/HR/IT"/>
    <s v="AMCARE NonOcc In"/>
    <s v="AMZN"/>
    <n v="201406984"/>
    <s v="Perez,Misael"/>
    <s v="Pizana,Diego"/>
    <n v="0"/>
    <n v="0"/>
    <n v="0"/>
    <n v="0"/>
    <n v="0.02"/>
    <e v="#N/A"/>
    <x v="196"/>
  </r>
  <r>
    <d v="2023-10-19T00:00:00"/>
    <x v="40"/>
    <s v="Admin/HR/IT"/>
    <s v="AMCARE NonOcc In"/>
    <s v="TEMP"/>
    <n v="201858867"/>
    <s v="Cruz Velazquez,Gabriela"/>
    <s v="Piedra,Valentina"/>
    <n v="0"/>
    <n v="0"/>
    <n v="0"/>
    <n v="0"/>
    <n v="0.33"/>
    <e v="#N/A"/>
    <x v="206"/>
  </r>
  <r>
    <d v="2023-10-19T00:00:00"/>
    <x v="40"/>
    <s v="Admin/HR/IT"/>
    <s v="AMCARE NonOcc In"/>
    <s v="TEMP"/>
    <n v="201864225"/>
    <s v="Flores,Ivan"/>
    <s v="Piedra,Valentina"/>
    <n v="0"/>
    <n v="0"/>
    <n v="0"/>
    <n v="0"/>
    <n v="0.74"/>
    <e v="#N/A"/>
    <x v="219"/>
  </r>
  <r>
    <d v="2023-10-19T00:00:00"/>
    <x v="40"/>
    <s v="Admin/HR/IT"/>
    <s v="AMCARE NonOcc In"/>
    <s v="TEMP"/>
    <n v="201873948"/>
    <s v="Mireles,Karla"/>
    <s v="Porcar Guri,Albert"/>
    <n v="0"/>
    <n v="0"/>
    <n v="0"/>
    <n v="0"/>
    <n v="0.49"/>
    <e v="#N/A"/>
    <x v="0"/>
  </r>
  <r>
    <d v="2023-10-19T00:00:00"/>
    <x v="40"/>
    <s v="Admin/HR/IT"/>
    <s v="AMCARE NonOcc In"/>
    <s v="TEMP"/>
    <n v="202068119"/>
    <s v="Castillo,Saul"/>
    <s v="Porcar Guri,Albert"/>
    <n v="0"/>
    <n v="0"/>
    <n v="0"/>
    <n v="0"/>
    <n v="7.0000000000000007E-2"/>
    <e v="#N/A"/>
    <x v="264"/>
  </r>
  <r>
    <d v="2023-10-19T00:00:00"/>
    <x v="40"/>
    <s v="Admin/HR/IT"/>
    <s v="AMCARE NonOcc In"/>
    <s v="TEMP"/>
    <n v="202120077"/>
    <s v="Aguilar,Mauricio"/>
    <s v="Cortes,Alejandra"/>
    <n v="0"/>
    <n v="0"/>
    <n v="0"/>
    <n v="0"/>
    <n v="0.16"/>
    <e v="#N/A"/>
    <x v="231"/>
  </r>
  <r>
    <d v="2023-10-19T00:00:00"/>
    <x v="40"/>
    <s v="Admin/HR/IT"/>
    <s v="AMCARE NonOcc In"/>
    <s v="TEMP"/>
    <n v="202165242"/>
    <s v="Gonzalez,Marco"/>
    <s v="Munoz,Jonan"/>
    <n v="0"/>
    <n v="0"/>
    <n v="0"/>
    <n v="0"/>
    <n v="1.29"/>
    <e v="#N/A"/>
    <x v="251"/>
  </r>
  <r>
    <d v="2023-10-19T00:00:00"/>
    <x v="40"/>
    <s v="Admin/HR/IT"/>
    <s v="AMCARE NonOcc In"/>
    <s v="TEMP"/>
    <n v="202266131"/>
    <s v="Guadian,Gaby"/>
    <s v="Corona Arriaga,Fernando"/>
    <n v="0"/>
    <n v="0"/>
    <n v="0"/>
    <n v="0"/>
    <n v="0.16"/>
    <e v="#N/A"/>
    <x v="282"/>
  </r>
  <r>
    <d v="2023-10-19T00:00:00"/>
    <x v="40"/>
    <s v="Admin/HR/IT"/>
    <s v="AMCARE NonOcc In"/>
    <s v="TEMP"/>
    <n v="202274001"/>
    <s v="Reynoso,Esmeralda"/>
    <s v="Munoz,Jonan"/>
    <n v="0"/>
    <n v="0"/>
    <n v="0"/>
    <n v="0"/>
    <n v="1.66"/>
    <e v="#N/A"/>
    <x v="283"/>
  </r>
  <r>
    <d v="2023-10-20T00:00:00"/>
    <x v="40"/>
    <s v="Admin/HR/IT"/>
    <s v="AMCARE NonOcc In"/>
    <s v="TEMP"/>
    <n v="202282620"/>
    <s v="Martinez,Mariana"/>
    <s v="Camarena,Grecia"/>
    <n v="0"/>
    <n v="0"/>
    <n v="0"/>
    <n v="0"/>
    <n v="0.34"/>
    <e v="#N/A"/>
    <x v="284"/>
  </r>
  <r>
    <d v="2023-10-20T00:00:00"/>
    <x v="40"/>
    <s v="Admin/HR/IT"/>
    <s v="AMCARE NonOcc In"/>
    <s v="AMZN"/>
    <n v="112950784"/>
    <s v="Rojas,Samuel"/>
    <s v="Pizana,Diego"/>
    <n v="0"/>
    <n v="0"/>
    <n v="0"/>
    <n v="0"/>
    <n v="0.1"/>
    <s v="NF-X1900"/>
    <x v="13"/>
  </r>
  <r>
    <d v="2023-10-20T00:00:00"/>
    <x v="40"/>
    <s v="Admin/HR/IT"/>
    <s v="AMCARE NonOcc In"/>
    <s v="AMZN"/>
    <n v="112972524"/>
    <s v="Santibanez Garcia,Luisa"/>
    <s v="Hernandez,Nataly"/>
    <n v="0"/>
    <n v="0"/>
    <n v="0"/>
    <n v="0"/>
    <n v="0.41"/>
    <s v="DB-X0700"/>
    <x v="15"/>
  </r>
  <r>
    <d v="2023-10-20T00:00:00"/>
    <x v="40"/>
    <s v="Admin/HR/IT"/>
    <s v="AMCARE NonOcc In"/>
    <s v="TEMP"/>
    <n v="113014081"/>
    <s v="Frausto,Genesis"/>
    <s v="Porcar Guri,Albert"/>
    <n v="0"/>
    <n v="0"/>
    <n v="0"/>
    <n v="0"/>
    <n v="0.94"/>
    <e v="#N/A"/>
    <x v="9"/>
  </r>
  <r>
    <d v="2023-10-20T00:00:00"/>
    <x v="40"/>
    <s v="Admin/HR/IT"/>
    <s v="AMCARE NonOcc In"/>
    <s v="AMZN"/>
    <n v="113020476"/>
    <s v="Puente Aguilar,Polette"/>
    <s v="Romero Sanchez,Gustavo Gabriel"/>
    <n v="0"/>
    <n v="0"/>
    <n v="0"/>
    <n v="0"/>
    <n v="0.45"/>
    <e v="#N/A"/>
    <x v="19"/>
  </r>
  <r>
    <d v="2023-10-20T00:00:00"/>
    <x v="40"/>
    <s v="Admin/HR/IT"/>
    <s v="AMCARE NonOcc In"/>
    <s v="AMZN"/>
    <n v="201211157"/>
    <s v="Vargas,Jesse"/>
    <s v="Pizana,Diego"/>
    <n v="0"/>
    <n v="0"/>
    <n v="0"/>
    <n v="0"/>
    <n v="0.45"/>
    <e v="#N/A"/>
    <x v="121"/>
  </r>
  <r>
    <d v="2023-10-20T00:00:00"/>
    <x v="40"/>
    <s v="Admin/HR/IT"/>
    <s v="AMCARE NonOcc In"/>
    <s v="AMZN"/>
    <n v="201223730"/>
    <s v="Sanchiz,Cesarito"/>
    <s v="Romero Sanchez,Gustavo Gabriel"/>
    <n v="0"/>
    <n v="0"/>
    <n v="0"/>
    <n v="0"/>
    <n v="1.2"/>
    <e v="#N/A"/>
    <x v="120"/>
  </r>
  <r>
    <d v="2023-10-20T00:00:00"/>
    <x v="40"/>
    <s v="Admin/HR/IT"/>
    <s v="AMCARE NonOcc In"/>
    <s v="AMZN"/>
    <n v="201228411"/>
    <s v="Hernandez Soriano,Jazmin"/>
    <s v="Romero Sanchez,Gustavo Gabriel"/>
    <n v="0"/>
    <n v="0"/>
    <n v="0"/>
    <n v="0"/>
    <n v="1.37"/>
    <e v="#N/A"/>
    <x v="123"/>
  </r>
  <r>
    <d v="2023-10-20T00:00:00"/>
    <x v="40"/>
    <s v="Admin/HR/IT"/>
    <s v="AMCARE NonOcc In"/>
    <s v="TEMP"/>
    <n v="201906503"/>
    <s v="MartÃ­nez,Jennifer"/>
    <s v="Porcar Guri,Albert"/>
    <n v="0"/>
    <n v="0"/>
    <n v="0"/>
    <n v="0"/>
    <n v="0.15"/>
    <e v="#N/A"/>
    <x v="201"/>
  </r>
  <r>
    <d v="2023-10-20T00:00:00"/>
    <x v="40"/>
    <s v="Admin/HR/IT"/>
    <s v="AMCARE NonOcc In"/>
    <s v="TEMP"/>
    <n v="202068119"/>
    <s v="Castillo,Saul"/>
    <s v="Porcar Guri,Albert"/>
    <n v="0"/>
    <n v="0"/>
    <n v="0"/>
    <n v="0"/>
    <n v="0.02"/>
    <e v="#N/A"/>
    <x v="264"/>
  </r>
  <r>
    <d v="2023-10-20T00:00:00"/>
    <x v="40"/>
    <s v="Admin/HR/IT"/>
    <s v="AMCARE NonOcc In"/>
    <s v="TEMP"/>
    <n v="202081527"/>
    <s v="Martinez,Efren"/>
    <s v="Hernandez,Nataly"/>
    <n v="0"/>
    <n v="0"/>
    <n v="0"/>
    <n v="0"/>
    <n v="0.56000000000000005"/>
    <e v="#N/A"/>
    <x v="226"/>
  </r>
  <r>
    <d v="2023-10-20T00:00:00"/>
    <x v="40"/>
    <s v="Admin/HR/IT"/>
    <s v="AMCARE NonOcc In"/>
    <s v="TEMP"/>
    <n v="202165242"/>
    <s v="Gonzalez,Marco"/>
    <s v="Munoz,Jonan"/>
    <n v="0"/>
    <n v="0"/>
    <n v="0"/>
    <n v="0"/>
    <n v="0.72"/>
    <e v="#N/A"/>
    <x v="251"/>
  </r>
  <r>
    <d v="2023-10-20T00:00:00"/>
    <x v="40"/>
    <s v="Admin/HR/IT"/>
    <s v="AMCARE NonOcc In"/>
    <s v="TEMP"/>
    <n v="202185231"/>
    <s v="VÃ¡zquez,Daniela"/>
    <s v="Piedra,Valentina"/>
    <n v="0"/>
    <n v="0"/>
    <n v="0"/>
    <n v="0"/>
    <n v="0.12"/>
    <e v="#N/A"/>
    <x v="261"/>
  </r>
  <r>
    <d v="2023-10-20T00:00:00"/>
    <x v="40"/>
    <s v="Admin/HR/IT"/>
    <s v="AMCARE NonOcc In"/>
    <s v="TEMP"/>
    <n v="202189084"/>
    <s v="Zuniga,Sebastian"/>
    <s v="Bueno Mendoza,Susana"/>
    <n v="0"/>
    <n v="0"/>
    <n v="0"/>
    <n v="0"/>
    <n v="0.11"/>
    <e v="#N/A"/>
    <x v="285"/>
  </r>
  <r>
    <d v="2023-10-20T00:00:00"/>
    <x v="40"/>
    <s v="Admin/HR/IT"/>
    <s v="AMCARE NonOcc In"/>
    <s v="TEMP"/>
    <n v="202189809"/>
    <s v="Luna,Mario"/>
    <s v="Piedra,Valentina"/>
    <n v="0"/>
    <n v="0"/>
    <n v="0"/>
    <n v="0"/>
    <n v="1.1299999999999999"/>
    <e v="#N/A"/>
    <x v="286"/>
  </r>
  <r>
    <d v="2023-10-20T00:00:00"/>
    <x v="40"/>
    <s v="Admin/HR/IT"/>
    <s v="AMCARE NonOcc In"/>
    <s v="TEMP"/>
    <n v="202309038"/>
    <s v="Segura,Antonio"/>
    <s v="Pizana,Diego"/>
    <n v="0"/>
    <n v="0"/>
    <n v="0"/>
    <n v="0"/>
    <n v="0.15"/>
    <e v="#N/A"/>
    <x v="287"/>
  </r>
  <r>
    <d v="2023-10-21T00:00:00"/>
    <x v="40"/>
    <s v="Admin/HR/IT"/>
    <s v="AMCARE NonOcc In"/>
    <s v="AMZN"/>
    <n v="112971962"/>
    <s v="Reyes  Montes de oca,Alejandra"/>
    <s v="Romero Sanchez,Gustavo Gabriel"/>
    <n v="0"/>
    <n v="0"/>
    <n v="0"/>
    <n v="0"/>
    <n v="0.34"/>
    <s v="DB-X0700"/>
    <x v="26"/>
  </r>
  <r>
    <d v="2023-10-21T00:00:00"/>
    <x v="40"/>
    <s v="Admin/HR/IT"/>
    <s v="AMCARE NonOcc In"/>
    <s v="AMZN"/>
    <n v="112972215"/>
    <s v="Cruz,Ana"/>
    <s v="Romero Sanchez,Gustavo Gabriel"/>
    <n v="0"/>
    <n v="0"/>
    <n v="0"/>
    <n v="0"/>
    <n v="1.19"/>
    <s v="DB-X0700"/>
    <x v="134"/>
  </r>
  <r>
    <d v="2023-10-21T00:00:00"/>
    <x v="40"/>
    <s v="Admin/HR/IT"/>
    <s v="AMCARE NonOcc In"/>
    <s v="AMZN"/>
    <n v="113003510"/>
    <s v="PÃ©rez MÃ©ndez,Cecy"/>
    <s v="Munoz,Jonan"/>
    <n v="0"/>
    <n v="0"/>
    <n v="0"/>
    <n v="0"/>
    <n v="0.11"/>
    <e v="#N/A"/>
    <x v="115"/>
  </r>
  <r>
    <d v="2023-10-21T00:00:00"/>
    <x v="40"/>
    <s v="Admin/HR/IT"/>
    <s v="AMCARE NonOcc In"/>
    <s v="TEMP"/>
    <n v="113014081"/>
    <s v="Frausto,Genesis"/>
    <s v="Porcar Guri,Albert"/>
    <n v="0"/>
    <n v="0"/>
    <n v="0"/>
    <n v="0"/>
    <n v="0.61"/>
    <e v="#N/A"/>
    <x v="9"/>
  </r>
  <r>
    <d v="2023-10-21T00:00:00"/>
    <x v="40"/>
    <s v="Admin/HR/IT"/>
    <s v="AMCARE NonOcc In"/>
    <s v="AMZN"/>
    <n v="113014560"/>
    <s v="Lopez Moreno,Americo"/>
    <s v="Romero Sanchez,Gustavo Gabriel"/>
    <n v="0"/>
    <n v="0"/>
    <n v="0"/>
    <n v="0"/>
    <n v="1.72"/>
    <e v="#N/A"/>
    <x v="81"/>
  </r>
  <r>
    <d v="2023-10-21T00:00:00"/>
    <x v="40"/>
    <s v="Admin/HR/IT"/>
    <s v="AMCARE NonOcc In"/>
    <s v="AMZN"/>
    <n v="113101262"/>
    <s v="Tinoco,Cesar"/>
    <s v="Romero Sanchez,Gustavo Gabriel"/>
    <n v="0"/>
    <n v="0"/>
    <n v="0"/>
    <n v="0"/>
    <n v="0.86"/>
    <e v="#N/A"/>
    <x v="89"/>
  </r>
  <r>
    <d v="2023-10-21T00:00:00"/>
    <x v="40"/>
    <s v="Admin/HR/IT"/>
    <s v="AMCARE NonOcc In"/>
    <s v="AMZN"/>
    <n v="200562154"/>
    <s v="Reyes Muniz,Cristian"/>
    <s v="Piedra,Valentina"/>
    <n v="0"/>
    <n v="0"/>
    <n v="0"/>
    <n v="0"/>
    <n v="0.15"/>
    <e v="#N/A"/>
    <x v="42"/>
  </r>
  <r>
    <d v="2023-10-21T00:00:00"/>
    <x v="40"/>
    <s v="Admin/HR/IT"/>
    <s v="AMCARE NonOcc In"/>
    <s v="AMZN"/>
    <n v="200574655"/>
    <s v="Mireles,Dulce"/>
    <s v="Romero Sanchez,Gustavo Gabriel"/>
    <n v="0"/>
    <n v="0"/>
    <n v="0"/>
    <n v="0"/>
    <n v="0.15"/>
    <e v="#N/A"/>
    <x v="88"/>
  </r>
  <r>
    <d v="2023-10-21T00:00:00"/>
    <x v="40"/>
    <s v="Admin/HR/IT"/>
    <s v="AMCARE NonOcc In"/>
    <s v="AMZN"/>
    <n v="201223730"/>
    <s v="Sanchiz,Cesarito"/>
    <s v="Romero Sanchez,Gustavo Gabriel"/>
    <n v="0"/>
    <n v="0"/>
    <n v="0"/>
    <n v="0"/>
    <n v="0.47"/>
    <e v="#N/A"/>
    <x v="120"/>
  </r>
  <r>
    <d v="2023-10-21T00:00:00"/>
    <x v="40"/>
    <s v="Admin/HR/IT"/>
    <s v="AMCARE NonOcc In"/>
    <s v="AMZN"/>
    <n v="201228411"/>
    <s v="Hernandez Soriano,Jazmin"/>
    <s v="Romero Sanchez,Gustavo Gabriel"/>
    <n v="0"/>
    <n v="0"/>
    <n v="0"/>
    <n v="0"/>
    <n v="1.46"/>
    <e v="#N/A"/>
    <x v="123"/>
  </r>
  <r>
    <d v="2023-10-21T00:00:00"/>
    <x v="40"/>
    <s v="Admin/HR/IT"/>
    <s v="AMCARE NonOcc In"/>
    <s v="TEMP"/>
    <n v="201906503"/>
    <s v="MartÃ­nez,Jennifer"/>
    <s v="Porcar Guri,Albert"/>
    <n v="0"/>
    <n v="0"/>
    <n v="0"/>
    <n v="0"/>
    <n v="0.16"/>
    <e v="#N/A"/>
    <x v="201"/>
  </r>
  <r>
    <d v="2023-10-21T00:00:00"/>
    <x v="40"/>
    <s v="Admin/HR/IT"/>
    <s v="AMCARE NonOcc In"/>
    <s v="TEMP"/>
    <n v="202165242"/>
    <s v="Gonzalez,Marco"/>
    <s v="Munoz,Jonan"/>
    <n v="0"/>
    <n v="0"/>
    <n v="0"/>
    <n v="0"/>
    <n v="0.24"/>
    <e v="#N/A"/>
    <x v="251"/>
  </r>
  <r>
    <d v="2023-10-21T00:00:00"/>
    <x v="40"/>
    <s v="Admin/HR/IT"/>
    <s v="AMCARE NonOcc In"/>
    <s v="TEMP"/>
    <n v="202189809"/>
    <s v="Luna,Mario"/>
    <s v="Piedra,Valentina"/>
    <n v="0"/>
    <n v="0"/>
    <n v="0"/>
    <n v="0"/>
    <n v="0.7"/>
    <e v="#N/A"/>
    <x v="286"/>
  </r>
  <r>
    <d v="2023-10-21T00:00:00"/>
    <x v="40"/>
    <s v="Admin/HR/IT"/>
    <s v="AMCARE NonOcc In"/>
    <s v="TEMP"/>
    <n v="202235589"/>
    <s v="Cienega,Fatima"/>
    <s v="Romero Sanchez,Gustavo Gabriel"/>
    <n v="0"/>
    <n v="0"/>
    <n v="0"/>
    <n v="0"/>
    <n v="0.28000000000000003"/>
    <e v="#N/A"/>
    <x v="288"/>
  </r>
  <r>
    <d v="2023-10-21T00:00:00"/>
    <x v="40"/>
    <s v="Admin/HR/IT"/>
    <s v="AMCARE NonOcc In"/>
    <s v="TEMP"/>
    <n v="202279474"/>
    <s v="Torres Parga,Ma. Felicitas"/>
    <s v="Munoz,Jonan"/>
    <n v="0"/>
    <n v="0"/>
    <n v="0"/>
    <n v="0"/>
    <n v="0.13"/>
    <e v="#N/A"/>
    <x v="289"/>
  </r>
  <r>
    <d v="2023-10-22T00:00:00"/>
    <x v="41"/>
    <s v="Admin/HR/IT"/>
    <s v="AMCARE NonOcc In"/>
    <s v="AMZN"/>
    <n v="112912050"/>
    <s v="Hernadez Serna,Said"/>
    <s v="Madrid Molina,Ramon"/>
    <n v="0"/>
    <n v="0"/>
    <n v="0"/>
    <n v="0"/>
    <n v="0.14000000000000001"/>
    <s v="DA-X0700"/>
    <x v="86"/>
  </r>
  <r>
    <d v="2023-10-22T00:00:00"/>
    <x v="41"/>
    <s v="Admin/HR/IT"/>
    <s v="AMCARE NonOcc In"/>
    <s v="AMZN"/>
    <n v="112950818"/>
    <s v="Sanchez Banuelos,Edith"/>
    <s v="Madrid Molina,Ramon"/>
    <n v="0"/>
    <n v="0"/>
    <n v="0"/>
    <n v="0"/>
    <n v="0.26"/>
    <s v="DA-X0700"/>
    <x v="95"/>
  </r>
  <r>
    <d v="2023-10-22T00:00:00"/>
    <x v="41"/>
    <s v="Admin/HR/IT"/>
    <s v="AMCARE NonOcc In"/>
    <s v="AMZN"/>
    <n v="112981061"/>
    <s v="Olguin,Claudia"/>
    <s v="Corona Arriaga,Fernando"/>
    <n v="0"/>
    <n v="0"/>
    <n v="0"/>
    <n v="0"/>
    <n v="0.47"/>
    <s v="DA-X0700"/>
    <x v="11"/>
  </r>
  <r>
    <d v="2023-10-22T00:00:00"/>
    <x v="41"/>
    <s v="Admin/HR/IT"/>
    <s v="AMCARE NonOcc In"/>
    <s v="AMZN"/>
    <n v="201162225"/>
    <s v="Corona,Israel"/>
    <s v="Bueno Mendoza,Susana"/>
    <n v="0"/>
    <n v="0"/>
    <n v="0"/>
    <n v="0"/>
    <n v="0.08"/>
    <e v="#N/A"/>
    <x v="161"/>
  </r>
  <r>
    <d v="2023-10-22T00:00:00"/>
    <x v="41"/>
    <s v="Admin/HR/IT"/>
    <s v="AMCARE NonOcc In"/>
    <s v="AMZN"/>
    <n v="201360639"/>
    <s v="Rivera,Yael"/>
    <s v="Porcar Guri,Albert"/>
    <n v="0"/>
    <n v="0"/>
    <n v="0"/>
    <n v="0"/>
    <n v="0.45"/>
    <e v="#N/A"/>
    <x v="174"/>
  </r>
  <r>
    <d v="2023-10-22T00:00:00"/>
    <x v="41"/>
    <s v="Admin/HR/IT"/>
    <s v="AMCARE NonOcc In"/>
    <s v="TEMP"/>
    <n v="201408478"/>
    <s v="Calderon,David"/>
    <s v="Romero Sanchez,Gustavo Gabriel"/>
    <n v="0"/>
    <n v="0"/>
    <n v="0"/>
    <n v="0"/>
    <n v="7.0000000000000007E-2"/>
    <e v="#N/A"/>
    <x v="160"/>
  </r>
  <r>
    <d v="2023-10-22T00:00:00"/>
    <x v="41"/>
    <s v="Admin/HR/IT"/>
    <s v="AMCARE NonOcc In"/>
    <s v="TEMP"/>
    <n v="201858330"/>
    <s v="Arrona,Pablo"/>
    <s v="Bueno Mendoza,Susana"/>
    <n v="0"/>
    <n v="0"/>
    <n v="0"/>
    <n v="0"/>
    <n v="0.13"/>
    <e v="#N/A"/>
    <x v="249"/>
  </r>
  <r>
    <d v="2023-10-22T00:00:00"/>
    <x v="41"/>
    <s v="Admin/HR/IT"/>
    <s v="AMCARE NonOcc In"/>
    <s v="TEMP"/>
    <n v="202052420"/>
    <s v="Gonzalez,Karla"/>
    <s v="Hernandez,Nataly"/>
    <n v="0"/>
    <n v="0"/>
    <n v="0"/>
    <n v="0"/>
    <n v="0.2"/>
    <e v="#N/A"/>
    <x v="0"/>
  </r>
  <r>
    <d v="2023-10-22T00:00:00"/>
    <x v="41"/>
    <s v="Admin/HR/IT"/>
    <s v="AMCARE NonOcc In"/>
    <s v="TEMP"/>
    <n v="202099137"/>
    <s v="Montalvo,Luis antonio"/>
    <s v="Corona Arriaga,Fernando"/>
    <n v="0"/>
    <n v="0"/>
    <n v="0"/>
    <n v="0"/>
    <n v="0.17"/>
    <e v="#N/A"/>
    <x v="246"/>
  </r>
  <r>
    <d v="2023-10-22T00:00:00"/>
    <x v="41"/>
    <s v="Admin/HR/IT"/>
    <s v="AMCARE NonOcc In"/>
    <s v="TEMP"/>
    <n v="202130113"/>
    <s v="Rangel,Tania"/>
    <s v="Camarena,Grecia"/>
    <n v="0"/>
    <n v="0"/>
    <n v="0"/>
    <n v="0"/>
    <n v="0.21"/>
    <e v="#N/A"/>
    <x v="270"/>
  </r>
  <r>
    <d v="2023-10-22T00:00:00"/>
    <x v="41"/>
    <s v="Admin/HR/IT"/>
    <s v="AMCARE NonOcc In"/>
    <s v="TEMP"/>
    <n v="202173806"/>
    <s v="Urenda,Cristopher"/>
    <s v="Bueno Mendoza,Susana"/>
    <n v="0"/>
    <n v="0"/>
    <n v="0"/>
    <n v="0"/>
    <n v="0.13"/>
    <e v="#N/A"/>
    <x v="248"/>
  </r>
  <r>
    <d v="2023-10-22T00:00:00"/>
    <x v="41"/>
    <s v="Admin/HR/IT"/>
    <s v="AMCARE NonOcc In"/>
    <s v="TEMP"/>
    <n v="202245845"/>
    <s v="Medina,Angel"/>
    <s v="Rosas Negrete,Sebastian"/>
    <n v="0"/>
    <n v="0"/>
    <n v="0"/>
    <n v="0"/>
    <n v="0.13"/>
    <e v="#N/A"/>
    <x v="279"/>
  </r>
  <r>
    <d v="2023-10-23T00:00:00"/>
    <x v="41"/>
    <s v="Admin/HR/IT"/>
    <s v="AMCARE NonOcc In"/>
    <s v="AMZN"/>
    <n v="112912752"/>
    <s v="Valderrama Gomez,Leslie"/>
    <s v="Porcar Guri,Albert"/>
    <n v="0"/>
    <n v="0"/>
    <n v="0"/>
    <n v="0"/>
    <n v="0.18"/>
    <s v="NF-X1900"/>
    <x v="5"/>
  </r>
  <r>
    <d v="2023-10-23T00:00:00"/>
    <x v="41"/>
    <s v="Admin/HR/IT"/>
    <s v="AMCARE NonOcc In"/>
    <s v="AMZN"/>
    <n v="112950800"/>
    <s v="Muniz,Viri"/>
    <s v="Porcar Guri,Albert"/>
    <n v="0"/>
    <n v="0"/>
    <n v="0"/>
    <n v="0"/>
    <n v="0.34"/>
    <s v="NF-X1900"/>
    <x v="51"/>
  </r>
  <r>
    <d v="2023-10-23T00:00:00"/>
    <x v="41"/>
    <s v="Admin/HR/IT"/>
    <s v="AMCARE NonOcc In"/>
    <s v="AMZN"/>
    <n v="113014470"/>
    <s v="Aguilar Ibarra,Lupe"/>
    <s v="Corona Arriaga,Fernando"/>
    <n v="0"/>
    <n v="0"/>
    <n v="0"/>
    <n v="0"/>
    <n v="0.11"/>
    <e v="#N/A"/>
    <x v="30"/>
  </r>
  <r>
    <d v="2023-10-23T00:00:00"/>
    <x v="41"/>
    <s v="Admin/HR/IT"/>
    <s v="AMCARE NonOcc In"/>
    <s v="AMZN"/>
    <n v="200534675"/>
    <s v="Munoz Macias,Juan Pablo"/>
    <s v="Rosas Negrete,Sebastian"/>
    <n v="0"/>
    <n v="0"/>
    <n v="0"/>
    <n v="0"/>
    <n v="0.19"/>
    <e v="#N/A"/>
    <x v="69"/>
  </r>
  <r>
    <d v="2023-10-23T00:00:00"/>
    <x v="41"/>
    <s v="Admin/HR/IT"/>
    <s v="AMCARE NonOcc In"/>
    <s v="AMZN"/>
    <n v="200562154"/>
    <s v="Reyes Muniz,Cristian"/>
    <s v="Piedra,Valentina"/>
    <n v="0"/>
    <n v="0"/>
    <n v="0"/>
    <n v="0"/>
    <n v="0.13"/>
    <e v="#N/A"/>
    <x v="42"/>
  </r>
  <r>
    <d v="2023-10-23T00:00:00"/>
    <x v="41"/>
    <s v="Admin/HR/IT"/>
    <s v="AMCARE NonOcc In"/>
    <s v="AMZN"/>
    <n v="201186777"/>
    <s v="Monzon,Berenice"/>
    <s v="Bueno Mendoza,Susana"/>
    <n v="0"/>
    <n v="0"/>
    <n v="0"/>
    <n v="0"/>
    <n v="0.75"/>
    <e v="#N/A"/>
    <x v="107"/>
  </r>
  <r>
    <d v="2023-10-23T00:00:00"/>
    <x v="41"/>
    <s v="Admin/HR/IT"/>
    <s v="AMCARE NonOcc In"/>
    <s v="AMZN"/>
    <n v="201197964"/>
    <s v="Quijas,Matzayani"/>
    <s v="Rosas Negrete,Sebastian"/>
    <n v="0"/>
    <n v="0"/>
    <n v="0"/>
    <n v="0"/>
    <n v="0.71"/>
    <e v="#N/A"/>
    <x v="191"/>
  </r>
  <r>
    <d v="2023-10-23T00:00:00"/>
    <x v="41"/>
    <s v="Admin/HR/IT"/>
    <s v="AMCARE NonOcc In"/>
    <s v="AMZN"/>
    <n v="201345774"/>
    <s v="Quijas,Jonathan"/>
    <s v="Corona Arriaga,Fernando"/>
    <n v="0"/>
    <n v="0"/>
    <n v="0"/>
    <n v="0"/>
    <n v="1.26"/>
    <e v="#N/A"/>
    <x v="154"/>
  </r>
  <r>
    <d v="2023-10-23T00:00:00"/>
    <x v="41"/>
    <s v="Admin/HR/IT"/>
    <s v="AMCARE NonOcc In"/>
    <s v="AMZN"/>
    <n v="201353085"/>
    <s v="Garcia,Elva"/>
    <s v="Rosas Negrete,Sebastian"/>
    <n v="0"/>
    <n v="0"/>
    <n v="0"/>
    <n v="0"/>
    <n v="0.21"/>
    <e v="#N/A"/>
    <x v="290"/>
  </r>
  <r>
    <d v="2023-10-23T00:00:00"/>
    <x v="41"/>
    <s v="Admin/HR/IT"/>
    <s v="AMCARE NonOcc In"/>
    <s v="AMZN"/>
    <n v="201353328"/>
    <s v="Mendoza Macias,Zaira"/>
    <s v="Madrid Molina,Ramon"/>
    <n v="0"/>
    <n v="0"/>
    <n v="0"/>
    <n v="0"/>
    <n v="0.37"/>
    <e v="#N/A"/>
    <x v="150"/>
  </r>
  <r>
    <d v="2023-10-23T00:00:00"/>
    <x v="41"/>
    <s v="Admin/HR/IT"/>
    <s v="AMCARE NonOcc In"/>
    <s v="AMZN"/>
    <n v="201378452"/>
    <s v="Perez,Omar"/>
    <s v="Bueno Mendoza,Susana"/>
    <n v="0"/>
    <n v="0"/>
    <n v="0"/>
    <n v="0"/>
    <n v="0.08"/>
    <e v="#N/A"/>
    <x v="189"/>
  </r>
  <r>
    <d v="2023-10-23T00:00:00"/>
    <x v="41"/>
    <s v="Admin/HR/IT"/>
    <s v="AMCARE NonOcc In"/>
    <s v="TEMP"/>
    <n v="201858867"/>
    <s v="Cruz Velazquez,Gabriela"/>
    <s v="Piedra,Valentina"/>
    <n v="0"/>
    <n v="0"/>
    <n v="0"/>
    <n v="0"/>
    <n v="0.23"/>
    <e v="#N/A"/>
    <x v="206"/>
  </r>
  <r>
    <d v="2023-10-23T00:00:00"/>
    <x v="41"/>
    <s v="Admin/HR/IT"/>
    <s v="AMCARE NonOcc In"/>
    <s v="TEMP"/>
    <n v="202137341"/>
    <s v="Bravo,Edgar"/>
    <s v="Rosas Negrete,Sebastian"/>
    <n v="0"/>
    <n v="0"/>
    <n v="0"/>
    <n v="0"/>
    <n v="0.15"/>
    <e v="#N/A"/>
    <x v="241"/>
  </r>
  <r>
    <d v="2023-10-23T00:00:00"/>
    <x v="41"/>
    <s v="Admin/HR/IT"/>
    <s v="AMCARE NonOcc In"/>
    <s v="TEMP"/>
    <n v="202159583"/>
    <s v="Lara,Oswaldo"/>
    <s v="Corona Arriaga,Fernando"/>
    <n v="0"/>
    <n v="0"/>
    <n v="0"/>
    <n v="0"/>
    <n v="0.15"/>
    <e v="#N/A"/>
    <x v="291"/>
  </r>
  <r>
    <d v="2023-10-23T00:00:00"/>
    <x v="41"/>
    <s v="Admin/HR/IT"/>
    <s v="AMCARE NonOcc In"/>
    <s v="TEMP"/>
    <n v="202167308"/>
    <s v="Alcocer,Carlos"/>
    <s v="Bueno Mendoza,Susana"/>
    <n v="0"/>
    <n v="0"/>
    <n v="0"/>
    <n v="0"/>
    <n v="0.11"/>
    <e v="#N/A"/>
    <x v="292"/>
  </r>
  <r>
    <d v="2023-10-23T00:00:00"/>
    <x v="41"/>
    <s v="Admin/HR/IT"/>
    <s v="AMCARE NonOcc In"/>
    <s v="TEMP"/>
    <n v="202175649"/>
    <s v="Galvan,Lia"/>
    <s v="Pizana,Diego"/>
    <n v="0"/>
    <n v="0"/>
    <n v="0"/>
    <n v="0"/>
    <n v="0.46"/>
    <e v="#N/A"/>
    <x v="245"/>
  </r>
  <r>
    <d v="2023-10-23T00:00:00"/>
    <x v="41"/>
    <s v="Admin/HR/IT"/>
    <s v="AMCARE NonOcc In"/>
    <s v="TEMP"/>
    <n v="202185991"/>
    <s v="VÃ¡zquez,AndrÃ©s"/>
    <s v="Bueno Mendoza,Susana"/>
    <n v="0"/>
    <n v="0"/>
    <n v="0"/>
    <n v="0"/>
    <n v="0.13"/>
    <e v="#N/A"/>
    <x v="274"/>
  </r>
  <r>
    <d v="2023-10-23T00:00:00"/>
    <x v="41"/>
    <s v="Admin/HR/IT"/>
    <s v="AMCARE NonOcc In"/>
    <s v="TEMP"/>
    <n v="202246652"/>
    <s v="Honojoza,Adriana"/>
    <s v="Corona Arriaga,Fernando"/>
    <n v="0"/>
    <n v="0"/>
    <n v="0"/>
    <n v="0"/>
    <n v="0.33"/>
    <e v="#N/A"/>
    <x v="272"/>
  </r>
  <r>
    <d v="2023-10-23T00:00:00"/>
    <x v="41"/>
    <s v="Admin/HR/IT"/>
    <s v="AMCARE NonOcc In"/>
    <s v="TEMP"/>
    <n v="202323538"/>
    <s v="Santillan,Mildred"/>
    <s v="Madrid Molina,Ramon"/>
    <n v="0"/>
    <n v="0"/>
    <n v="0"/>
    <n v="0"/>
    <n v="0.3"/>
    <e v="#N/A"/>
    <x v="293"/>
  </r>
  <r>
    <d v="2023-10-24T00:00:00"/>
    <x v="41"/>
    <s v="Admin/HR/IT"/>
    <s v="AMCARE NonOcc In"/>
    <s v="AMZN"/>
    <n v="112920666"/>
    <s v="Rocha,Jose"/>
    <s v="Pizana,Diego"/>
    <n v="0"/>
    <n v="0"/>
    <n v="0"/>
    <n v="0"/>
    <n v="7.0000000000000007E-2"/>
    <s v="D5-X0700"/>
    <x v="3"/>
  </r>
  <r>
    <d v="2023-10-24T00:00:00"/>
    <x v="41"/>
    <s v="Admin/HR/IT"/>
    <s v="AMCARE NonOcc In"/>
    <s v="AMZN"/>
    <n v="112972798"/>
    <s v="Alonso Soto,Omar"/>
    <s v="Pizana,Diego"/>
    <n v="0"/>
    <n v="0"/>
    <n v="0"/>
    <n v="0"/>
    <n v="0.46"/>
    <s v="D5-X0700"/>
    <x v="294"/>
  </r>
  <r>
    <d v="2023-10-24T00:00:00"/>
    <x v="41"/>
    <s v="Admin/HR/IT"/>
    <s v="AMCARE NonOcc In"/>
    <s v="AMZN"/>
    <n v="112981061"/>
    <s v="Olguin,Claudia"/>
    <s v="Corona Arriaga,Fernando"/>
    <n v="0"/>
    <n v="0"/>
    <n v="0"/>
    <n v="0"/>
    <n v="0.12"/>
    <s v="DA-X0700"/>
    <x v="11"/>
  </r>
  <r>
    <d v="2023-10-24T00:00:00"/>
    <x v="41"/>
    <s v="Admin/HR/IT"/>
    <s v="AMCARE NonOcc In"/>
    <s v="AMZN"/>
    <n v="113014592"/>
    <s v="Picazo,Brenda"/>
    <s v="Corona Arriaga,Fernando"/>
    <n v="0"/>
    <n v="0"/>
    <n v="0"/>
    <n v="0"/>
    <n v="0.36"/>
    <e v="#N/A"/>
    <x v="127"/>
  </r>
  <r>
    <d v="2023-10-24T00:00:00"/>
    <x v="41"/>
    <s v="Admin/HR/IT"/>
    <s v="AMCARE NonOcc In"/>
    <s v="AMZN"/>
    <n v="200404250"/>
    <s v="Hurtado,Caty"/>
    <s v="Corona Arriaga,Fernando"/>
    <n v="0"/>
    <n v="0"/>
    <n v="0"/>
    <n v="0"/>
    <n v="1.48"/>
    <e v="#N/A"/>
    <x v="6"/>
  </r>
  <r>
    <d v="2023-10-24T00:00:00"/>
    <x v="41"/>
    <s v="Admin/HR/IT"/>
    <s v="AMCARE NonOcc In"/>
    <s v="AMZN"/>
    <n v="200625528"/>
    <s v="Oliva,Lizbeth"/>
    <s v="Bueno Mendoza,Susana"/>
    <n v="0"/>
    <n v="0"/>
    <n v="0"/>
    <n v="0"/>
    <n v="0.45"/>
    <e v="#N/A"/>
    <x v="83"/>
  </r>
  <r>
    <d v="2023-10-24T00:00:00"/>
    <x v="41"/>
    <s v="Admin/HR/IT"/>
    <s v="AMCARE NonOcc In"/>
    <s v="AMZN"/>
    <n v="201167501"/>
    <s v="Rodriguez,Ruben"/>
    <s v="Corona Arriaga,Fernando"/>
    <n v="0"/>
    <n v="0"/>
    <n v="0"/>
    <n v="0"/>
    <n v="0.25"/>
    <e v="#N/A"/>
    <x v="109"/>
  </r>
  <r>
    <d v="2023-10-24T00:00:00"/>
    <x v="41"/>
    <s v="Admin/HR/IT"/>
    <s v="AMCARE NonOcc In"/>
    <s v="AMZN"/>
    <n v="201191198"/>
    <s v="Mojica,Emmanuel"/>
    <s v="Piedra,Valentina"/>
    <n v="0"/>
    <n v="0"/>
    <n v="0"/>
    <n v="0"/>
    <n v="1.75"/>
    <e v="#N/A"/>
    <x v="130"/>
  </r>
  <r>
    <d v="2023-10-24T00:00:00"/>
    <x v="41"/>
    <s v="Admin/HR/IT"/>
    <s v="AMCARE NonOcc In"/>
    <s v="AMZN"/>
    <n v="201197964"/>
    <s v="Quijas,Matzayani"/>
    <s v="Rosas Negrete,Sebastian"/>
    <n v="0"/>
    <n v="0"/>
    <n v="0"/>
    <n v="0"/>
    <n v="0.73"/>
    <e v="#N/A"/>
    <x v="191"/>
  </r>
  <r>
    <d v="2023-10-24T00:00:00"/>
    <x v="41"/>
    <s v="Admin/HR/IT"/>
    <s v="AMCARE NonOcc In"/>
    <s v="AMZN"/>
    <n v="201345774"/>
    <s v="Quijas,Jonathan"/>
    <s v="Corona Arriaga,Fernando"/>
    <n v="0"/>
    <n v="0"/>
    <n v="0"/>
    <n v="0"/>
    <n v="0.22"/>
    <e v="#N/A"/>
    <x v="154"/>
  </r>
  <r>
    <d v="2023-10-24T00:00:00"/>
    <x v="41"/>
    <s v="Admin/HR/IT"/>
    <s v="AMCARE NonOcc In"/>
    <s v="AMZN"/>
    <n v="201378542"/>
    <s v="Contreras,Evelyn"/>
    <s v="Bueno Mendoza,Susana"/>
    <n v="0"/>
    <n v="0"/>
    <n v="0"/>
    <n v="0"/>
    <n v="0.32"/>
    <e v="#N/A"/>
    <x v="185"/>
  </r>
  <r>
    <d v="2023-10-24T00:00:00"/>
    <x v="41"/>
    <s v="Admin/HR/IT"/>
    <s v="AMCARE NonOcc In"/>
    <s v="TEMP"/>
    <n v="201858867"/>
    <s v="Cruz Velazquez,Gabriela"/>
    <s v="Piedra,Valentina"/>
    <n v="0"/>
    <n v="0"/>
    <n v="0"/>
    <n v="0"/>
    <n v="0.14000000000000001"/>
    <e v="#N/A"/>
    <x v="206"/>
  </r>
  <r>
    <d v="2023-10-24T00:00:00"/>
    <x v="41"/>
    <s v="Admin/HR/IT"/>
    <s v="AMCARE NonOcc In"/>
    <s v="TEMP"/>
    <n v="201891076"/>
    <s v="Olvera,Marilu"/>
    <s v="Corona Arriaga,Fernando"/>
    <n v="0"/>
    <n v="0"/>
    <n v="0"/>
    <n v="0"/>
    <n v="0.84"/>
    <e v="#N/A"/>
    <x v="200"/>
  </r>
  <r>
    <d v="2023-10-24T00:00:00"/>
    <x v="41"/>
    <s v="Admin/HR/IT"/>
    <s v="AMCARE NonOcc In"/>
    <s v="TEMP"/>
    <n v="201901910"/>
    <s v="Flores,Edwin"/>
    <s v="Piedra,Valentina"/>
    <n v="0"/>
    <n v="0"/>
    <n v="0"/>
    <n v="0"/>
    <n v="0.43"/>
    <e v="#N/A"/>
    <x v="214"/>
  </r>
  <r>
    <d v="2023-10-24T00:00:00"/>
    <x v="41"/>
    <s v="Admin/HR/IT"/>
    <s v="AMCARE NonOcc In"/>
    <s v="TEMP"/>
    <n v="202129214"/>
    <s v="Zuniga,Isaac"/>
    <s v="Manzanares Navarro,Sandra"/>
    <n v="0"/>
    <n v="0"/>
    <n v="0"/>
    <n v="0"/>
    <n v="2.17"/>
    <e v="#N/A"/>
    <x v="265"/>
  </r>
  <r>
    <d v="2023-10-24T00:00:00"/>
    <x v="41"/>
    <s v="Admin/HR/IT"/>
    <s v="AMCARE NonOcc In"/>
    <s v="TEMP"/>
    <n v="202130113"/>
    <s v="Rangel,Tania"/>
    <s v="Camarena,Grecia"/>
    <n v="0"/>
    <n v="0"/>
    <n v="0"/>
    <n v="0"/>
    <n v="0.23"/>
    <e v="#N/A"/>
    <x v="270"/>
  </r>
  <r>
    <d v="2023-10-24T00:00:00"/>
    <x v="41"/>
    <s v="Admin/HR/IT"/>
    <s v="AMCARE NonOcc In"/>
    <s v="TEMP"/>
    <n v="202163986"/>
    <s v="Franco,Jose"/>
    <s v="Rosas Negrete,Sebastian"/>
    <n v="0"/>
    <n v="0"/>
    <n v="0"/>
    <n v="0"/>
    <n v="0.15"/>
    <e v="#N/A"/>
    <x v="295"/>
  </r>
  <r>
    <d v="2023-10-24T00:00:00"/>
    <x v="41"/>
    <s v="Admin/HR/IT"/>
    <s v="AMCARE NonOcc In"/>
    <s v="TEMP"/>
    <n v="202165242"/>
    <s v="Gonzalez,Marco"/>
    <s v="Munoz,Jonan"/>
    <n v="0"/>
    <n v="0"/>
    <n v="0"/>
    <n v="0"/>
    <n v="1.36"/>
    <e v="#N/A"/>
    <x v="251"/>
  </r>
  <r>
    <d v="2023-10-24T00:00:00"/>
    <x v="41"/>
    <s v="Admin/HR/IT"/>
    <s v="AMCARE NonOcc In"/>
    <s v="TEMP"/>
    <n v="202225896"/>
    <s v="Reyes,Josue"/>
    <s v="Rosas Negrete,Sebastian"/>
    <n v="0"/>
    <n v="0"/>
    <n v="0"/>
    <n v="0"/>
    <n v="1.65"/>
    <e v="#N/A"/>
    <x v="296"/>
  </r>
  <r>
    <d v="2023-10-24T00:00:00"/>
    <x v="41"/>
    <s v="Admin/HR/IT"/>
    <s v="AMCARE NonOcc In"/>
    <s v="TEMP"/>
    <n v="202226099"/>
    <s v="Luna,Barby"/>
    <s v="Pizana,Diego"/>
    <n v="0"/>
    <n v="0"/>
    <n v="0"/>
    <n v="0"/>
    <n v="0.38"/>
    <e v="#N/A"/>
    <x v="297"/>
  </r>
  <r>
    <d v="2023-10-24T00:00:00"/>
    <x v="41"/>
    <s v="Admin/HR/IT"/>
    <s v="AMCARE NonOcc In"/>
    <s v="TEMP"/>
    <n v="202250323"/>
    <s v="Esqueda,Soledad"/>
    <s v="Corona Arriaga,Fernando"/>
    <n v="0"/>
    <n v="0"/>
    <n v="0"/>
    <n v="0"/>
    <n v="0.11"/>
    <e v="#N/A"/>
    <x v="298"/>
  </r>
  <r>
    <d v="2023-10-24T00:00:00"/>
    <x v="41"/>
    <s v="Admin/HR/IT"/>
    <s v="AMCARE NonOcc In"/>
    <s v="TEMP"/>
    <n v="202265921"/>
    <s v="Perea,Mauricio"/>
    <s v="Rosas Negrete,Sebastian"/>
    <n v="0"/>
    <n v="0"/>
    <n v="0"/>
    <n v="0"/>
    <n v="0.18"/>
    <e v="#N/A"/>
    <x v="299"/>
  </r>
  <r>
    <d v="2023-10-24T00:00:00"/>
    <x v="41"/>
    <s v="Admin/HR/IT"/>
    <s v="AMCARE NonOcc In"/>
    <s v="TEMP"/>
    <n v="202273970"/>
    <s v="Medina,Jafet"/>
    <s v="Pizana,Diego"/>
    <n v="0"/>
    <n v="0"/>
    <n v="0"/>
    <n v="0"/>
    <n v="0.26"/>
    <e v="#N/A"/>
    <x v="300"/>
  </r>
  <r>
    <d v="2023-10-24T00:00:00"/>
    <x v="41"/>
    <s v="Admin/HR/IT"/>
    <s v="AMCARE NonOcc In"/>
    <s v="TEMP"/>
    <n v="202329948"/>
    <s v="Duran,Lucy"/>
    <s v="Piedra,Valentina"/>
    <n v="0"/>
    <n v="0"/>
    <n v="0"/>
    <n v="0"/>
    <n v="3.54"/>
    <e v="#N/A"/>
    <x v="0"/>
  </r>
  <r>
    <d v="2023-10-25T00:00:00"/>
    <x v="41"/>
    <s v="Admin/HR/IT"/>
    <s v="AMCARE NonOcc In"/>
    <s v="AMZN"/>
    <n v="103427877"/>
    <s v="Alanis Hernandez,Patricia"/>
    <s v="Cortes,Alejandra"/>
    <n v="0"/>
    <n v="0"/>
    <n v="0"/>
    <n v="0"/>
    <n v="0.78"/>
    <e v="#N/A"/>
    <x v="0"/>
  </r>
  <r>
    <d v="2023-10-25T00:00:00"/>
    <x v="41"/>
    <s v="Admin/HR/IT"/>
    <s v="AMCARE NonOcc In"/>
    <s v="TEMP"/>
    <n v="112971933"/>
    <s v="Rodriguez Vazquez,Cris"/>
    <s v="Hernandez,Nataly"/>
    <n v="0"/>
    <n v="0"/>
    <n v="0"/>
    <n v="0"/>
    <n v="0.33"/>
    <s v="DB-X0700"/>
    <x v="301"/>
  </r>
  <r>
    <d v="2023-10-25T00:00:00"/>
    <x v="41"/>
    <s v="Admin/HR/IT"/>
    <s v="AMCARE NonOcc In"/>
    <s v="AMZN"/>
    <n v="113014094"/>
    <s v="Mercado,Erika"/>
    <s v="Corona Arriaga,Fernando"/>
    <n v="0"/>
    <n v="0"/>
    <n v="0"/>
    <n v="0"/>
    <n v="0.09"/>
    <e v="#N/A"/>
    <x v="49"/>
  </r>
  <r>
    <d v="2023-10-25T00:00:00"/>
    <x v="41"/>
    <s v="Admin/HR/IT"/>
    <s v="AMCARE NonOcc In"/>
    <s v="AMZN"/>
    <n v="113101453"/>
    <s v="Isaac,Geovanna"/>
    <s v="Corona Arriaga,Fernando"/>
    <n v="0"/>
    <n v="0"/>
    <n v="0"/>
    <n v="0"/>
    <n v="0.27"/>
    <e v="#N/A"/>
    <x v="4"/>
  </r>
  <r>
    <d v="2023-10-25T00:00:00"/>
    <x v="41"/>
    <s v="Admin/HR/IT"/>
    <s v="AMCARE NonOcc In"/>
    <s v="AMZN"/>
    <n v="201167501"/>
    <s v="Rodriguez,Ruben"/>
    <s v="Corona Arriaga,Fernando"/>
    <n v="0"/>
    <n v="0"/>
    <n v="0"/>
    <n v="0"/>
    <n v="0.96"/>
    <e v="#N/A"/>
    <x v="109"/>
  </r>
  <r>
    <d v="2023-10-25T00:00:00"/>
    <x v="41"/>
    <s v="Admin/HR/IT"/>
    <s v="AMCARE NonOcc In"/>
    <s v="AMZN"/>
    <n v="201191217"/>
    <s v="Duran,Esteban"/>
    <s v="Bueno Mendoza,Susana"/>
    <n v="0"/>
    <n v="0"/>
    <n v="0"/>
    <n v="0"/>
    <n v="0.22"/>
    <e v="#N/A"/>
    <x v="166"/>
  </r>
  <r>
    <d v="2023-10-25T00:00:00"/>
    <x v="41"/>
    <s v="Admin/HR/IT"/>
    <s v="AMCARE NonOcc In"/>
    <s v="AMZN"/>
    <n v="201223730"/>
    <s v="Sanchiz,Cesarito"/>
    <s v="Romero Sanchez,Gustavo Gabriel"/>
    <n v="0"/>
    <n v="0"/>
    <n v="0"/>
    <n v="0"/>
    <n v="0.49"/>
    <e v="#N/A"/>
    <x v="120"/>
  </r>
  <r>
    <d v="2023-10-25T00:00:00"/>
    <x v="41"/>
    <s v="Admin/HR/IT"/>
    <s v="AMCARE NonOcc In"/>
    <s v="AMZN"/>
    <n v="201228411"/>
    <s v="Hernandez Soriano,Jazmin"/>
    <s v="Romero Sanchez,Gustavo Gabriel"/>
    <n v="0"/>
    <n v="0"/>
    <n v="0"/>
    <n v="0"/>
    <n v="0.67"/>
    <e v="#N/A"/>
    <x v="123"/>
  </r>
  <r>
    <d v="2023-10-25T00:00:00"/>
    <x v="41"/>
    <s v="Admin/HR/IT"/>
    <s v="AMCARE NonOcc In"/>
    <s v="AMZN"/>
    <n v="201295429"/>
    <s v="Mireles Diaz Lopez,Jazmin"/>
    <s v="Munoz,Jonan"/>
    <n v="0"/>
    <n v="0"/>
    <n v="0"/>
    <n v="0"/>
    <n v="7.0000000000000007E-2"/>
    <e v="#N/A"/>
    <x v="147"/>
  </r>
  <r>
    <d v="2023-10-25T00:00:00"/>
    <x v="41"/>
    <s v="Admin/HR/IT"/>
    <s v="AMCARE NonOcc In"/>
    <s v="AMZN"/>
    <n v="201295559"/>
    <s v="Flores,Mar"/>
    <s v="Munoz,Jonan"/>
    <n v="0"/>
    <n v="0"/>
    <n v="0"/>
    <n v="0"/>
    <n v="0.21"/>
    <e v="#N/A"/>
    <x v="181"/>
  </r>
  <r>
    <d v="2023-10-25T00:00:00"/>
    <x v="41"/>
    <s v="Admin/HR/IT"/>
    <s v="AMCARE NonOcc In"/>
    <s v="TEMP"/>
    <n v="201320536"/>
    <s v="Ibarra,Miguel"/>
    <s v="Piedra,Valentina"/>
    <n v="0"/>
    <n v="0"/>
    <n v="0"/>
    <n v="0"/>
    <n v="0.02"/>
    <e v="#N/A"/>
    <x v="139"/>
  </r>
  <r>
    <d v="2023-10-25T00:00:00"/>
    <x v="41"/>
    <s v="Admin/HR/IT"/>
    <s v="AMCARE NonOcc In"/>
    <s v="AMZN"/>
    <n v="201345774"/>
    <s v="Quijas,Jonathan"/>
    <s v="Corona Arriaga,Fernando"/>
    <n v="0"/>
    <n v="0"/>
    <n v="0"/>
    <n v="0"/>
    <n v="0.43"/>
    <e v="#N/A"/>
    <x v="154"/>
  </r>
  <r>
    <d v="2023-10-25T00:00:00"/>
    <x v="41"/>
    <s v="Admin/HR/IT"/>
    <s v="AMCARE NonOcc In"/>
    <s v="TEMP"/>
    <n v="201880542"/>
    <s v="ORTIZ,CORPUS"/>
    <s v="Bueno Mendoza,Susana"/>
    <n v="0"/>
    <n v="0"/>
    <n v="0"/>
    <n v="0"/>
    <n v="0.43"/>
    <e v="#N/A"/>
    <x v="199"/>
  </r>
  <r>
    <d v="2023-10-25T00:00:00"/>
    <x v="41"/>
    <s v="Admin/HR/IT"/>
    <s v="AMCARE NonOcc In"/>
    <s v="TEMP"/>
    <n v="201882567"/>
    <s v="Valtierra,Salvador"/>
    <s v="Corona Arriaga,Fernando"/>
    <n v="0"/>
    <n v="0"/>
    <n v="0"/>
    <n v="0"/>
    <n v="0.2"/>
    <e v="#N/A"/>
    <x v="222"/>
  </r>
  <r>
    <d v="2023-10-25T00:00:00"/>
    <x v="41"/>
    <s v="Admin/HR/IT"/>
    <s v="AMCARE NonOcc In"/>
    <s v="TEMP"/>
    <n v="201890790"/>
    <s v="Zuniga,Victor"/>
    <s v="Corona Arriaga,Fernando"/>
    <n v="0"/>
    <n v="0"/>
    <n v="0"/>
    <n v="0"/>
    <n v="0.26"/>
    <e v="#N/A"/>
    <x v="255"/>
  </r>
  <r>
    <d v="2023-10-25T00:00:00"/>
    <x v="41"/>
    <s v="Admin/HR/IT"/>
    <s v="AMCARE NonOcc In"/>
    <s v="TEMP"/>
    <n v="201892022"/>
    <s v="Silva,Karla"/>
    <s v="Manzanares Navarro,Sandra"/>
    <n v="0"/>
    <n v="0"/>
    <n v="0"/>
    <n v="0"/>
    <n v="0.66"/>
    <e v="#N/A"/>
    <x v="302"/>
  </r>
  <r>
    <d v="2023-10-25T00:00:00"/>
    <x v="41"/>
    <s v="Admin/HR/IT"/>
    <s v="AMCARE NonOcc In"/>
    <s v="TEMP"/>
    <n v="201901967"/>
    <s v="Dominguez,Diana"/>
    <s v="Manzanares Navarro,Sandra"/>
    <n v="0"/>
    <n v="0"/>
    <n v="0"/>
    <n v="0"/>
    <n v="0.16"/>
    <e v="#N/A"/>
    <x v="207"/>
  </r>
  <r>
    <d v="2023-10-25T00:00:00"/>
    <x v="41"/>
    <s v="Admin/HR/IT"/>
    <s v="AMCARE NonOcc In"/>
    <s v="TEMP"/>
    <n v="202103139"/>
    <s v="Luna,Fernanda"/>
    <s v="Romero Sanchez,Gustavo Gabriel"/>
    <n v="0"/>
    <n v="0"/>
    <n v="0"/>
    <n v="0"/>
    <n v="0.27"/>
    <e v="#N/A"/>
    <x v="244"/>
  </r>
  <r>
    <d v="2023-10-25T00:00:00"/>
    <x v="41"/>
    <s v="Admin/HR/IT"/>
    <s v="AMCARE NonOcc In"/>
    <s v="TEMP"/>
    <n v="202117420"/>
    <s v="Cervera,Israel"/>
    <s v="Manzanares Navarro,Sandra"/>
    <n v="0"/>
    <n v="0"/>
    <n v="0"/>
    <n v="0"/>
    <n v="0.21"/>
    <e v="#N/A"/>
    <x v="230"/>
  </r>
  <r>
    <d v="2023-10-25T00:00:00"/>
    <x v="41"/>
    <s v="Admin/HR/IT"/>
    <s v="AMCARE NonOcc In"/>
    <s v="TEMP"/>
    <n v="202213411"/>
    <s v="Vela,Jose"/>
    <s v="Rosas Negrete,Sebastian"/>
    <n v="0"/>
    <n v="0"/>
    <n v="0"/>
    <n v="0"/>
    <n v="0.95"/>
    <e v="#N/A"/>
    <x v="303"/>
  </r>
  <r>
    <d v="2023-10-25T00:00:00"/>
    <x v="41"/>
    <s v="Admin/HR/IT"/>
    <s v="AMCARE NonOcc In"/>
    <s v="TEMP"/>
    <n v="202287922"/>
    <s v="Andrade,Gema"/>
    <s v="Porcar Guri,Albert"/>
    <n v="0"/>
    <n v="0"/>
    <n v="0"/>
    <n v="0"/>
    <n v="0.23"/>
    <e v="#N/A"/>
    <x v="281"/>
  </r>
  <r>
    <d v="2023-10-26T00:00:00"/>
    <x v="41"/>
    <s v="Admin/HR/IT"/>
    <s v="AMCARE NonOcc In"/>
    <s v="AMZN"/>
    <n v="112912054"/>
    <s v="Rivera Ramirez,Jorge"/>
    <s v="Porcar Guri,Albert"/>
    <n v="0"/>
    <n v="0"/>
    <n v="0"/>
    <n v="0"/>
    <n v="0.19"/>
    <s v="DB-X0700"/>
    <x v="25"/>
  </r>
  <r>
    <d v="2023-10-26T00:00:00"/>
    <x v="41"/>
    <s v="Admin/HR/IT"/>
    <s v="AMCARE NonOcc In"/>
    <s v="TEMP"/>
    <n v="112971933"/>
    <s v="Rodriguez Vazquez,Cris"/>
    <s v="Hernandez,Nataly"/>
    <n v="0"/>
    <n v="0"/>
    <n v="0"/>
    <n v="0"/>
    <n v="0.44"/>
    <s v="DB-X0700"/>
    <x v="301"/>
  </r>
  <r>
    <d v="2023-10-26T00:00:00"/>
    <x v="41"/>
    <s v="Admin/HR/IT"/>
    <s v="AMCARE NonOcc In"/>
    <s v="AMZN"/>
    <n v="112971962"/>
    <s v="Reyes  Montes de oca,Alejandra"/>
    <s v="Romero Sanchez,Gustavo Gabriel"/>
    <n v="0"/>
    <n v="0"/>
    <n v="0"/>
    <n v="0"/>
    <n v="0.79"/>
    <s v="DB-X0700"/>
    <x v="26"/>
  </r>
  <r>
    <d v="2023-10-26T00:00:00"/>
    <x v="41"/>
    <s v="Admin/HR/IT"/>
    <s v="AMCARE NonOcc In"/>
    <s v="AMZN"/>
    <n v="112973049"/>
    <s v="Tavares Parra,Ely"/>
    <s v="Piedra,Valentina"/>
    <n v="0"/>
    <n v="0"/>
    <n v="0"/>
    <n v="0"/>
    <n v="0.71"/>
    <s v="DB-X0700"/>
    <x v="14"/>
  </r>
  <r>
    <d v="2023-10-26T00:00:00"/>
    <x v="41"/>
    <s v="Admin/HR/IT"/>
    <s v="AMCARE NonOcc In"/>
    <s v="TEMP"/>
    <n v="113014081"/>
    <s v="Frausto,Genesis"/>
    <s v="Porcar Guri,Albert"/>
    <n v="0"/>
    <n v="0"/>
    <n v="0"/>
    <n v="0"/>
    <n v="0.2"/>
    <e v="#N/A"/>
    <x v="9"/>
  </r>
  <r>
    <d v="2023-10-26T00:00:00"/>
    <x v="41"/>
    <s v="Admin/HR/IT"/>
    <s v="AMCARE NonOcc In"/>
    <s v="AMZN"/>
    <n v="200514421"/>
    <s v="Padilla Abrego,Angeles"/>
    <s v="Munoz,Jonan"/>
    <n v="0"/>
    <n v="0"/>
    <n v="0"/>
    <n v="0"/>
    <n v="0.2"/>
    <e v="#N/A"/>
    <x v="18"/>
  </r>
  <r>
    <d v="2023-10-26T00:00:00"/>
    <x v="41"/>
    <s v="Admin/HR/IT"/>
    <s v="AMCARE NonOcc In"/>
    <s v="AMZN"/>
    <n v="201185653"/>
    <s v="Lopez,Mine"/>
    <s v="Piedra,Valentina"/>
    <n v="0"/>
    <n v="0"/>
    <n v="0"/>
    <n v="0"/>
    <n v="0.17"/>
    <e v="#N/A"/>
    <x v="137"/>
  </r>
  <r>
    <d v="2023-10-26T00:00:00"/>
    <x v="41"/>
    <s v="Admin/HR/IT"/>
    <s v="AMCARE NonOcc In"/>
    <s v="AMZN"/>
    <n v="201191198"/>
    <s v="Mojica,Emmanuel"/>
    <s v="Piedra,Valentina"/>
    <n v="0"/>
    <n v="0"/>
    <n v="0"/>
    <n v="0"/>
    <n v="1.07"/>
    <e v="#N/A"/>
    <x v="130"/>
  </r>
  <r>
    <d v="2023-10-26T00:00:00"/>
    <x v="41"/>
    <s v="Admin/HR/IT"/>
    <s v="AMCARE NonOcc In"/>
    <s v="AMZN"/>
    <n v="201191390"/>
    <s v="GarcÃ­a,jesus"/>
    <s v="Romero Sanchez,Gustavo Gabriel"/>
    <n v="0"/>
    <n v="0"/>
    <n v="0"/>
    <n v="0"/>
    <n v="1.07"/>
    <e v="#N/A"/>
    <x v="116"/>
  </r>
  <r>
    <d v="2023-10-26T00:00:00"/>
    <x v="41"/>
    <s v="Admin/HR/IT"/>
    <s v="AMCARE NonOcc In"/>
    <s v="AMZN"/>
    <n v="201353085"/>
    <s v="Garcia,Elva"/>
    <s v="Rosas Negrete,Sebastian"/>
    <n v="0"/>
    <n v="0"/>
    <n v="0"/>
    <n v="0"/>
    <n v="0.22"/>
    <e v="#N/A"/>
    <x v="290"/>
  </r>
  <r>
    <d v="2023-10-26T00:00:00"/>
    <x v="41"/>
    <s v="Admin/HR/IT"/>
    <s v="AMCARE NonOcc In"/>
    <s v="TEMP"/>
    <n v="201835860"/>
    <s v="Urrutia,Oscar"/>
    <s v="Romero Sanchez,Gustavo Gabriel"/>
    <n v="0"/>
    <n v="0"/>
    <n v="0"/>
    <n v="0"/>
    <n v="0.6"/>
    <e v="#N/A"/>
    <x v="304"/>
  </r>
  <r>
    <d v="2023-10-26T00:00:00"/>
    <x v="41"/>
    <s v="Admin/HR/IT"/>
    <s v="AMCARE NonOcc In"/>
    <s v="TEMP"/>
    <n v="202062181"/>
    <s v="Trejo,Luis"/>
    <s v="Rosas Negrete,Sebastian"/>
    <n v="0"/>
    <n v="0"/>
    <n v="0"/>
    <n v="0"/>
    <n v="0.24"/>
    <e v="#N/A"/>
    <x v="243"/>
  </r>
  <r>
    <d v="2023-10-26T00:00:00"/>
    <x v="41"/>
    <s v="Admin/HR/IT"/>
    <s v="AMCARE NonOcc In"/>
    <s v="TEMP"/>
    <n v="202081087"/>
    <s v="Martinez,Lilian"/>
    <s v="Cortes,Alejandra"/>
    <n v="0"/>
    <n v="0"/>
    <n v="0"/>
    <n v="0"/>
    <n v="0.23"/>
    <e v="#N/A"/>
    <x v="240"/>
  </r>
  <r>
    <d v="2023-10-26T00:00:00"/>
    <x v="41"/>
    <s v="Admin/HR/IT"/>
    <s v="AMCARE NonOcc In"/>
    <s v="TEMP"/>
    <n v="202084638"/>
    <s v="HernÃ¡ndez,Juan"/>
    <s v="Corona Arriaga,Fernando"/>
    <n v="0"/>
    <n v="0"/>
    <n v="0"/>
    <n v="0"/>
    <n v="0.82"/>
    <e v="#N/A"/>
    <x v="250"/>
  </r>
  <r>
    <d v="2023-10-26T00:00:00"/>
    <x v="41"/>
    <s v="Admin/HR/IT"/>
    <s v="AMCARE NonOcc In"/>
    <s v="TEMP"/>
    <n v="202117420"/>
    <s v="Cervera,Israel"/>
    <s v="Manzanares Navarro,Sandra"/>
    <n v="0"/>
    <n v="0"/>
    <n v="0"/>
    <n v="0"/>
    <n v="0.18"/>
    <e v="#N/A"/>
    <x v="230"/>
  </r>
  <r>
    <d v="2023-10-26T00:00:00"/>
    <x v="41"/>
    <s v="Admin/HR/IT"/>
    <s v="AMCARE NonOcc In"/>
    <s v="TEMP"/>
    <n v="202120444"/>
    <s v="Hernandez,Alondra"/>
    <s v="Cortes,Alejandra"/>
    <n v="0"/>
    <n v="0"/>
    <n v="0"/>
    <n v="0"/>
    <n v="0.47"/>
    <e v="#N/A"/>
    <x v="242"/>
  </r>
  <r>
    <d v="2023-10-26T00:00:00"/>
    <x v="41"/>
    <s v="Admin/HR/IT"/>
    <s v="AMCARE NonOcc In"/>
    <s v="TEMP"/>
    <n v="202165115"/>
    <s v="Bermudez,Giovanni"/>
    <s v="Munoz,Jonan"/>
    <n v="0"/>
    <n v="0"/>
    <n v="0"/>
    <n v="0"/>
    <n v="0.36"/>
    <e v="#N/A"/>
    <x v="305"/>
  </r>
  <r>
    <d v="2023-10-26T00:00:00"/>
    <x v="41"/>
    <s v="Admin/HR/IT"/>
    <s v="AMCARE NonOcc In"/>
    <s v="TEMP"/>
    <n v="202165242"/>
    <s v="Gonzalez,Marco"/>
    <s v="Munoz,Jonan"/>
    <n v="0"/>
    <n v="0"/>
    <n v="0"/>
    <n v="0"/>
    <n v="1.32"/>
    <e v="#N/A"/>
    <x v="251"/>
  </r>
  <r>
    <d v="2023-10-26T00:00:00"/>
    <x v="41"/>
    <s v="Admin/HR/IT"/>
    <s v="AMCARE NonOcc In"/>
    <s v="TEMP"/>
    <n v="202185231"/>
    <s v="VÃ¡zquez,Daniela"/>
    <s v="Piedra,Valentina"/>
    <n v="0"/>
    <n v="0"/>
    <n v="0"/>
    <n v="0"/>
    <n v="0.36"/>
    <e v="#N/A"/>
    <x v="261"/>
  </r>
  <r>
    <d v="2023-10-26T00:00:00"/>
    <x v="41"/>
    <s v="Admin/HR/IT"/>
    <s v="AMCARE NonOcc In"/>
    <s v="TEMP"/>
    <n v="202238732"/>
    <s v="Ponc,Diana"/>
    <s v="Pizana,Diego"/>
    <n v="0"/>
    <n v="0"/>
    <n v="0"/>
    <n v="0"/>
    <n v="0.4"/>
    <e v="#N/A"/>
    <x v="306"/>
  </r>
  <r>
    <d v="2023-10-26T00:00:00"/>
    <x v="41"/>
    <s v="Admin/HR/IT"/>
    <s v="AMCARE NonOcc In"/>
    <s v="TEMP"/>
    <n v="202287945"/>
    <s v="Lara,Ricardo"/>
    <s v="Pizana,Diego"/>
    <n v="0"/>
    <n v="0"/>
    <n v="0"/>
    <n v="0"/>
    <n v="0.3"/>
    <e v="#N/A"/>
    <x v="307"/>
  </r>
  <r>
    <d v="2023-10-26T00:00:00"/>
    <x v="41"/>
    <s v="Admin/HR/IT"/>
    <s v="AMCARE NonOcc In"/>
    <s v="TEMP"/>
    <n v="202291384"/>
    <s v="Vela,Sergio"/>
    <s v="Romero Sanchez,Gustavo Gabriel"/>
    <n v="0"/>
    <n v="0"/>
    <n v="0"/>
    <n v="0"/>
    <n v="0.19"/>
    <e v="#N/A"/>
    <x v="308"/>
  </r>
  <r>
    <d v="2023-10-26T00:00:00"/>
    <x v="41"/>
    <s v="Admin/HR/IT"/>
    <s v="AMCARE NonOcc In"/>
    <s v="TEMP"/>
    <n v="202304940"/>
    <s v="Jasso,Lily"/>
    <s v="Rosas Negrete,Sebastian"/>
    <n v="0"/>
    <n v="0"/>
    <n v="0"/>
    <n v="0"/>
    <n v="1.01"/>
    <e v="#N/A"/>
    <x v="309"/>
  </r>
  <r>
    <d v="2023-10-26T00:00:00"/>
    <x v="41"/>
    <s v="Admin/HR/IT"/>
    <s v="AMCARE NonOcc In"/>
    <s v="TEMP"/>
    <n v="202334920"/>
    <s v="Ramirez,Rocio"/>
    <s v="Piedra,Valentina"/>
    <n v="0"/>
    <n v="0"/>
    <n v="0"/>
    <n v="0"/>
    <n v="1.1200000000000001"/>
    <e v="#N/A"/>
    <x v="310"/>
  </r>
  <r>
    <d v="2023-10-26T00:00:00"/>
    <x v="41"/>
    <s v="Admin/HR/IT"/>
    <s v="AMCARE NonOcc In"/>
    <s v="TEMP"/>
    <n v="202369419"/>
    <s v="Fabian,Ary"/>
    <s v="Romero Sanchez,Gustavo Gabriel"/>
    <n v="0"/>
    <n v="0"/>
    <n v="0"/>
    <n v="0"/>
    <n v="0.14000000000000001"/>
    <e v="#N/A"/>
    <x v="311"/>
  </r>
  <r>
    <d v="2023-10-26T00:00:00"/>
    <x v="41"/>
    <s v="Admin/HR/IT"/>
    <s v="AMCARE Occ In"/>
    <s v="TEMP"/>
    <n v="202129214"/>
    <s v="Zuniga,Isaac"/>
    <s v="Manzanares Navarro,Sandra"/>
    <n v="0"/>
    <n v="0"/>
    <n v="0"/>
    <n v="0"/>
    <n v="1.35"/>
    <e v="#N/A"/>
    <x v="265"/>
  </r>
  <r>
    <d v="2023-10-27T00:00:00"/>
    <x v="41"/>
    <s v="Admin/HR/IT"/>
    <s v="AMCARE NonOcc In"/>
    <s v="AMZN"/>
    <n v="112971962"/>
    <s v="Reyes  Montes de oca,Alejandra"/>
    <s v="Romero Sanchez,Gustavo Gabriel"/>
    <n v="0"/>
    <n v="0"/>
    <n v="0"/>
    <n v="0"/>
    <n v="0.55000000000000004"/>
    <s v="DB-X0700"/>
    <x v="26"/>
  </r>
  <r>
    <d v="2023-10-27T00:00:00"/>
    <x v="41"/>
    <s v="Admin/HR/IT"/>
    <s v="AMCARE NonOcc In"/>
    <s v="AMZN"/>
    <n v="112973049"/>
    <s v="Tavares Parra,Ely"/>
    <s v="Piedra,Valentina"/>
    <n v="0"/>
    <n v="0"/>
    <n v="0"/>
    <n v="0"/>
    <n v="0.99"/>
    <s v="DB-X0700"/>
    <x v="14"/>
  </r>
  <r>
    <d v="2023-10-27T00:00:00"/>
    <x v="41"/>
    <s v="Admin/HR/IT"/>
    <s v="AMCARE NonOcc In"/>
    <s v="AMZN"/>
    <n v="112980812"/>
    <s v="Jacobo,Mary"/>
    <s v="Bueno Mendoza,Susana"/>
    <n v="0"/>
    <n v="0"/>
    <n v="0"/>
    <n v="0"/>
    <n v="1.19"/>
    <s v="DA-X0700"/>
    <x v="24"/>
  </r>
  <r>
    <d v="2023-10-27T00:00:00"/>
    <x v="41"/>
    <s v="Admin/HR/IT"/>
    <s v="AMCARE NonOcc In"/>
    <s v="AMZN"/>
    <n v="113003656"/>
    <s v="Argote,Enrique"/>
    <s v="Munoz,Jonan"/>
    <n v="0"/>
    <n v="0"/>
    <n v="0"/>
    <n v="0"/>
    <n v="0.69"/>
    <e v="#N/A"/>
    <x v="21"/>
  </r>
  <r>
    <d v="2023-10-27T00:00:00"/>
    <x v="41"/>
    <s v="Admin/HR/IT"/>
    <s v="AMCARE NonOcc In"/>
    <s v="TEMP"/>
    <n v="113014081"/>
    <s v="Frausto,Genesis"/>
    <s v="Porcar Guri,Albert"/>
    <n v="0"/>
    <n v="0"/>
    <n v="0"/>
    <n v="0"/>
    <n v="1.57"/>
    <e v="#N/A"/>
    <x v="9"/>
  </r>
  <r>
    <d v="2023-10-27T00:00:00"/>
    <x v="41"/>
    <s v="Admin/HR/IT"/>
    <s v="AMCARE NonOcc In"/>
    <s v="TEMP"/>
    <n v="200609384"/>
    <s v="HernÃ¡ndez,Gisela"/>
    <s v="Piedra,Valentina"/>
    <n v="0"/>
    <n v="0"/>
    <n v="0"/>
    <n v="0"/>
    <n v="0.08"/>
    <e v="#N/A"/>
    <x v="33"/>
  </r>
  <r>
    <d v="2023-10-27T00:00:00"/>
    <x v="41"/>
    <s v="Admin/HR/IT"/>
    <s v="AMCARE NonOcc In"/>
    <s v="AMZN"/>
    <n v="201191390"/>
    <s v="GarcÃ­a,jesus"/>
    <s v="Romero Sanchez,Gustavo Gabriel"/>
    <n v="0"/>
    <n v="0"/>
    <n v="0"/>
    <n v="0"/>
    <n v="0.77"/>
    <e v="#N/A"/>
    <x v="116"/>
  </r>
  <r>
    <d v="2023-10-27T00:00:00"/>
    <x v="41"/>
    <s v="Admin/HR/IT"/>
    <s v="AMCARE NonOcc In"/>
    <s v="TEMP"/>
    <n v="201221772"/>
    <s v="Olmos,Dari"/>
    <s v="Munoz,Jonan"/>
    <n v="0"/>
    <n v="0"/>
    <n v="0"/>
    <n v="0"/>
    <n v="1.62"/>
    <e v="#N/A"/>
    <x v="119"/>
  </r>
  <r>
    <d v="2023-10-27T00:00:00"/>
    <x v="41"/>
    <s v="Admin/HR/IT"/>
    <s v="AMCARE NonOcc In"/>
    <s v="AMZN"/>
    <n v="201294058"/>
    <s v="Alvarez,Erika"/>
    <s v="Bueno Mendoza,Susana"/>
    <n v="0"/>
    <n v="0"/>
    <n v="0"/>
    <n v="0"/>
    <n v="0.24"/>
    <e v="#N/A"/>
    <x v="135"/>
  </r>
  <r>
    <d v="2023-10-27T00:00:00"/>
    <x v="41"/>
    <s v="Admin/HR/IT"/>
    <s v="AMCARE NonOcc In"/>
    <s v="TEMP"/>
    <n v="201858867"/>
    <s v="Cruz Velazquez,Gabriela"/>
    <s v="Piedra,Valentina"/>
    <n v="0"/>
    <n v="0"/>
    <n v="0"/>
    <n v="0"/>
    <n v="0.76"/>
    <e v="#N/A"/>
    <x v="206"/>
  </r>
  <r>
    <d v="2023-10-27T00:00:00"/>
    <x v="41"/>
    <s v="Admin/HR/IT"/>
    <s v="AMCARE NonOcc In"/>
    <s v="TEMP"/>
    <n v="201903097"/>
    <s v="Oliva,Montserrat"/>
    <s v="Piedra,Valentina"/>
    <n v="0"/>
    <n v="0"/>
    <n v="0"/>
    <n v="0"/>
    <n v="0.69"/>
    <e v="#N/A"/>
    <x v="208"/>
  </r>
  <r>
    <d v="2023-10-27T00:00:00"/>
    <x v="41"/>
    <s v="Admin/HR/IT"/>
    <s v="AMCARE NonOcc In"/>
    <s v="TEMP"/>
    <n v="202117420"/>
    <s v="Cervera,Israel"/>
    <s v="Manzanares Navarro,Sandra"/>
    <n v="0"/>
    <n v="0"/>
    <n v="0"/>
    <n v="0"/>
    <n v="0.34"/>
    <e v="#N/A"/>
    <x v="230"/>
  </r>
  <r>
    <d v="2023-10-27T00:00:00"/>
    <x v="41"/>
    <s v="Admin/HR/IT"/>
    <s v="AMCARE NonOcc In"/>
    <s v="TEMP"/>
    <n v="202120077"/>
    <s v="Aguilar,Mauricio"/>
    <s v="Cortes,Alejandra"/>
    <n v="0"/>
    <n v="0"/>
    <n v="0"/>
    <n v="0"/>
    <n v="0.25"/>
    <e v="#N/A"/>
    <x v="231"/>
  </r>
  <r>
    <d v="2023-10-27T00:00:00"/>
    <x v="41"/>
    <s v="Admin/HR/IT"/>
    <s v="AMCARE NonOcc In"/>
    <s v="TEMP"/>
    <n v="202120444"/>
    <s v="Hernandez,Alondra"/>
    <s v="Cortes,Alejandra"/>
    <n v="0"/>
    <n v="0"/>
    <n v="0"/>
    <n v="0"/>
    <n v="17.03"/>
    <e v="#N/A"/>
    <x v="242"/>
  </r>
  <r>
    <d v="2023-10-27T00:00:00"/>
    <x v="41"/>
    <s v="Admin/HR/IT"/>
    <s v="AMCARE NonOcc In"/>
    <s v="TEMP"/>
    <n v="202129214"/>
    <s v="Zuniga,Isaac"/>
    <s v="Manzanares Navarro,Sandra"/>
    <n v="0"/>
    <n v="0"/>
    <n v="0"/>
    <n v="0"/>
    <n v="1.98"/>
    <e v="#N/A"/>
    <x v="265"/>
  </r>
  <r>
    <d v="2023-10-27T00:00:00"/>
    <x v="41"/>
    <s v="Admin/HR/IT"/>
    <s v="AMCARE NonOcc In"/>
    <s v="TEMP"/>
    <n v="202133678"/>
    <s v="Sanchez,Daniel"/>
    <s v="Pizana,Diego"/>
    <n v="0"/>
    <n v="0"/>
    <n v="0"/>
    <n v="0"/>
    <n v="0.44"/>
    <e v="#N/A"/>
    <x v="312"/>
  </r>
  <r>
    <d v="2023-10-27T00:00:00"/>
    <x v="41"/>
    <s v="Admin/HR/IT"/>
    <s v="AMCARE NonOcc In"/>
    <s v="TEMP"/>
    <n v="202137341"/>
    <s v="Bravo,Edgar"/>
    <s v="Rosas Negrete,Sebastian"/>
    <n v="0"/>
    <n v="0"/>
    <n v="0"/>
    <n v="0"/>
    <n v="0.11"/>
    <e v="#N/A"/>
    <x v="241"/>
  </r>
  <r>
    <d v="2023-10-27T00:00:00"/>
    <x v="41"/>
    <s v="Admin/HR/IT"/>
    <s v="AMCARE NonOcc In"/>
    <s v="TEMP"/>
    <n v="202159550"/>
    <s v="Mora,Isabel"/>
    <s v="Piedra,Valentina"/>
    <n v="0"/>
    <n v="0"/>
    <n v="0"/>
    <n v="0"/>
    <n v="0.28000000000000003"/>
    <e v="#N/A"/>
    <x v="313"/>
  </r>
  <r>
    <d v="2023-10-27T00:00:00"/>
    <x v="41"/>
    <s v="Admin/HR/IT"/>
    <s v="AMCARE NonOcc In"/>
    <s v="TEMP"/>
    <n v="202165242"/>
    <s v="Gonzalez,Marco"/>
    <s v="Munoz,Jonan"/>
    <n v="0"/>
    <n v="0"/>
    <n v="0"/>
    <n v="0"/>
    <n v="1.03"/>
    <e v="#N/A"/>
    <x v="251"/>
  </r>
  <r>
    <d v="2023-10-27T00:00:00"/>
    <x v="41"/>
    <s v="Admin/HR/IT"/>
    <s v="AMCARE NonOcc In"/>
    <s v="TEMP"/>
    <n v="202166026"/>
    <s v="Mares,Ana"/>
    <s v="Bueno Mendoza,Susana"/>
    <n v="0"/>
    <n v="0"/>
    <n v="0"/>
    <n v="0"/>
    <n v="1.08"/>
    <e v="#N/A"/>
    <x v="0"/>
  </r>
  <r>
    <d v="2023-10-27T00:00:00"/>
    <x v="41"/>
    <s v="Admin/HR/IT"/>
    <s v="AMCARE NonOcc In"/>
    <s v="TEMP"/>
    <n v="202167572"/>
    <s v="Castillo,Ana"/>
    <s v="Piedra,Valentina"/>
    <n v="0"/>
    <n v="0"/>
    <n v="0"/>
    <n v="0"/>
    <n v="0.61"/>
    <e v="#N/A"/>
    <x v="314"/>
  </r>
  <r>
    <d v="2023-10-27T00:00:00"/>
    <x v="41"/>
    <s v="Admin/HR/IT"/>
    <s v="AMCARE NonOcc In"/>
    <s v="TEMP"/>
    <n v="202209099"/>
    <s v="Vargas,Leo"/>
    <s v="Piedra,Valentina"/>
    <n v="0"/>
    <n v="0"/>
    <n v="0"/>
    <n v="0"/>
    <n v="1.61"/>
    <e v="#N/A"/>
    <x v="315"/>
  </r>
  <r>
    <d v="2023-10-27T00:00:00"/>
    <x v="41"/>
    <s v="Admin/HR/IT"/>
    <s v="AMCARE NonOcc In"/>
    <s v="TEMP"/>
    <n v="202227928"/>
    <s v="Mares,Pablo"/>
    <s v="Romero Sanchez,Gustavo Gabriel"/>
    <n v="0"/>
    <n v="0"/>
    <n v="0"/>
    <n v="0"/>
    <n v="0.88"/>
    <e v="#N/A"/>
    <x v="316"/>
  </r>
  <r>
    <d v="2023-10-27T00:00:00"/>
    <x v="41"/>
    <s v="Admin/HR/IT"/>
    <s v="AMCARE NonOcc In"/>
    <s v="TEMP"/>
    <n v="202235589"/>
    <s v="Cienega,Fatima"/>
    <s v="Romero Sanchez,Gustavo Gabriel"/>
    <n v="0"/>
    <n v="0"/>
    <n v="0"/>
    <n v="0"/>
    <n v="0.33"/>
    <e v="#N/A"/>
    <x v="288"/>
  </r>
  <r>
    <d v="2023-10-27T00:00:00"/>
    <x v="41"/>
    <s v="Admin/HR/IT"/>
    <s v="AMCARE NonOcc In"/>
    <s v="TEMP"/>
    <n v="202291219"/>
    <s v="Aguilar,Carlos"/>
    <s v="Piedra,Valentina"/>
    <n v="0"/>
    <n v="0"/>
    <n v="0"/>
    <n v="0"/>
    <n v="0.24"/>
    <e v="#N/A"/>
    <x v="317"/>
  </r>
  <r>
    <d v="2023-10-27T00:00:00"/>
    <x v="41"/>
    <s v="Admin/HR/IT"/>
    <s v="AMCARE NonOcc In"/>
    <s v="TEMP"/>
    <n v="202291384"/>
    <s v="Vela,Sergio"/>
    <s v="Romero Sanchez,Gustavo Gabriel"/>
    <n v="0"/>
    <n v="0"/>
    <n v="0"/>
    <n v="0"/>
    <n v="0.49"/>
    <e v="#N/A"/>
    <x v="308"/>
  </r>
  <r>
    <d v="2023-10-27T00:00:00"/>
    <x v="41"/>
    <s v="Admin/HR/IT"/>
    <s v="AMCARE NonOcc In"/>
    <s v="TEMP"/>
    <n v="202291460"/>
    <s v="Ornelas,Ana"/>
    <s v="Corona Arriaga,Fernando"/>
    <n v="0"/>
    <n v="0"/>
    <n v="0"/>
    <n v="0"/>
    <n v="0.47"/>
    <e v="#N/A"/>
    <x v="318"/>
  </r>
  <r>
    <d v="2023-10-27T00:00:00"/>
    <x v="41"/>
    <s v="Admin/HR/IT"/>
    <s v="AMCARE NonOcc In"/>
    <s v="TEMP"/>
    <n v="202341246"/>
    <s v="Loera,Sofia"/>
    <s v="Romero Sanchez,Gustavo Gabriel"/>
    <n v="0"/>
    <n v="0"/>
    <n v="0"/>
    <n v="0"/>
    <n v="7.95"/>
    <e v="#N/A"/>
    <x v="319"/>
  </r>
  <r>
    <d v="2023-10-27T00:00:00"/>
    <x v="41"/>
    <s v="Admin/HR/IT"/>
    <s v="AMCARE NonOcc In"/>
    <s v="TEMP"/>
    <n v="202353921"/>
    <s v="Arechar Ortiz,Lindi Noemi"/>
    <s v="Corona Arriaga,Fernando"/>
    <n v="0"/>
    <n v="0"/>
    <n v="0"/>
    <n v="0"/>
    <n v="0.25"/>
    <e v="#N/A"/>
    <x v="320"/>
  </r>
  <r>
    <d v="2023-10-28T00:00:00"/>
    <x v="41"/>
    <s v="Admin/HR/IT"/>
    <s v="AMCARE NonOcc In"/>
    <s v="AMZN"/>
    <n v="112971962"/>
    <s v="Reyes  Montes de oca,Alejandra"/>
    <s v="Romero Sanchez,Gustavo Gabriel"/>
    <n v="0"/>
    <n v="0"/>
    <n v="0"/>
    <n v="0"/>
    <n v="0.64"/>
    <s v="DB-X0700"/>
    <x v="26"/>
  </r>
  <r>
    <d v="2023-10-28T00:00:00"/>
    <x v="41"/>
    <s v="Admin/HR/IT"/>
    <s v="AMCARE NonOcc In"/>
    <s v="AMZN"/>
    <n v="112972215"/>
    <s v="Cruz,Ana"/>
    <s v="Romero Sanchez,Gustavo Gabriel"/>
    <n v="0"/>
    <n v="0"/>
    <n v="0"/>
    <n v="0"/>
    <n v="0.28000000000000003"/>
    <s v="DB-X0700"/>
    <x v="134"/>
  </r>
  <r>
    <d v="2023-10-28T00:00:00"/>
    <x v="41"/>
    <s v="Admin/HR/IT"/>
    <s v="AMCARE NonOcc In"/>
    <s v="AMZN"/>
    <n v="112973049"/>
    <s v="Tavares Parra,Ely"/>
    <s v="Piedra,Valentina"/>
    <n v="0"/>
    <n v="0"/>
    <n v="0"/>
    <n v="0"/>
    <n v="0.15"/>
    <s v="DB-X0700"/>
    <x v="14"/>
  </r>
  <r>
    <d v="2023-10-28T00:00:00"/>
    <x v="41"/>
    <s v="Admin/HR/IT"/>
    <s v="AMCARE NonOcc In"/>
    <s v="AMZN"/>
    <n v="113003510"/>
    <s v="PÃ©rez MÃ©ndez,Cecy"/>
    <s v="Munoz,Jonan"/>
    <n v="0"/>
    <n v="0"/>
    <n v="0"/>
    <n v="0"/>
    <n v="0.26"/>
    <e v="#N/A"/>
    <x v="115"/>
  </r>
  <r>
    <d v="2023-10-28T00:00:00"/>
    <x v="41"/>
    <s v="Admin/HR/IT"/>
    <s v="AMCARE NonOcc In"/>
    <s v="AMZN"/>
    <n v="201219500"/>
    <s v="Mazy,RamsÃ©s"/>
    <s v="Piedra,Valentina"/>
    <n v="0"/>
    <n v="0"/>
    <n v="0"/>
    <n v="0"/>
    <n v="1.17"/>
    <e v="#N/A"/>
    <x v="122"/>
  </r>
  <r>
    <d v="2023-10-28T00:00:00"/>
    <x v="41"/>
    <s v="Admin/HR/IT"/>
    <s v="AMCARE NonOcc In"/>
    <s v="TEMP"/>
    <n v="201320536"/>
    <s v="Ibarra,Miguel"/>
    <s v="Piedra,Valentina"/>
    <n v="0"/>
    <n v="0"/>
    <n v="0"/>
    <n v="0"/>
    <n v="0.28999999999999998"/>
    <e v="#N/A"/>
    <x v="139"/>
  </r>
  <r>
    <d v="2023-10-28T00:00:00"/>
    <x v="41"/>
    <s v="Admin/HR/IT"/>
    <s v="AMCARE NonOcc In"/>
    <s v="TEMP"/>
    <n v="201842064"/>
    <s v="Agripino,Andrea"/>
    <s v="Piedra,Valentina"/>
    <n v="0"/>
    <n v="0"/>
    <n v="0"/>
    <n v="0"/>
    <n v="0.67"/>
    <e v="#N/A"/>
    <x v="210"/>
  </r>
  <r>
    <d v="2023-10-28T00:00:00"/>
    <x v="41"/>
    <s v="Admin/HR/IT"/>
    <s v="AMCARE NonOcc In"/>
    <s v="TEMP"/>
    <n v="201903097"/>
    <s v="Oliva,Montserrat"/>
    <s v="Piedra,Valentina"/>
    <n v="0"/>
    <n v="0"/>
    <n v="0"/>
    <n v="0"/>
    <n v="0.21"/>
    <e v="#N/A"/>
    <x v="208"/>
  </r>
  <r>
    <d v="2023-10-28T00:00:00"/>
    <x v="41"/>
    <s v="Admin/HR/IT"/>
    <s v="AMCARE NonOcc In"/>
    <s v="TEMP"/>
    <n v="202081527"/>
    <s v="Martinez,Efren"/>
    <s v="Hernandez,Nataly"/>
    <n v="0"/>
    <n v="0"/>
    <n v="0"/>
    <n v="0"/>
    <n v="0.15"/>
    <e v="#N/A"/>
    <x v="226"/>
  </r>
  <r>
    <d v="2023-10-28T00:00:00"/>
    <x v="41"/>
    <s v="Admin/HR/IT"/>
    <s v="AMCARE NonOcc In"/>
    <s v="TEMP"/>
    <n v="202117751"/>
    <s v="Romero,Jhonatan"/>
    <s v="Camarena,Grecia"/>
    <n v="0"/>
    <n v="0"/>
    <n v="0"/>
    <n v="0"/>
    <n v="0.75"/>
    <e v="#N/A"/>
    <x v="321"/>
  </r>
  <r>
    <d v="2023-10-28T00:00:00"/>
    <x v="41"/>
    <s v="Admin/HR/IT"/>
    <s v="AMCARE NonOcc In"/>
    <s v="TEMP"/>
    <n v="202118504"/>
    <s v="Guerrero,Alvaro"/>
    <s v="AlarcÃ³n,Irving"/>
    <n v="0"/>
    <n v="0"/>
    <n v="0"/>
    <n v="0"/>
    <n v="0.06"/>
    <e v="#N/A"/>
    <x v="322"/>
  </r>
  <r>
    <d v="2023-10-28T00:00:00"/>
    <x v="41"/>
    <s v="Admin/HR/IT"/>
    <s v="AMCARE NonOcc In"/>
    <s v="TEMP"/>
    <n v="202120444"/>
    <s v="Hernandez,Alondra"/>
    <s v="Camarena,Grecia"/>
    <n v="0"/>
    <n v="0"/>
    <n v="0"/>
    <n v="0"/>
    <n v="7.09"/>
    <e v="#N/A"/>
    <x v="242"/>
  </r>
  <r>
    <d v="2023-10-28T00:00:00"/>
    <x v="41"/>
    <s v="Admin/HR/IT"/>
    <s v="AMCARE NonOcc In"/>
    <s v="TEMP"/>
    <n v="202165242"/>
    <s v="Gonzalez,Marco"/>
    <s v="Munoz,Jonan"/>
    <n v="0"/>
    <n v="0"/>
    <n v="0"/>
    <n v="0"/>
    <n v="0.06"/>
    <e v="#N/A"/>
    <x v="251"/>
  </r>
  <r>
    <d v="2023-10-28T00:00:00"/>
    <x v="41"/>
    <s v="Admin/HR/IT"/>
    <s v="AMCARE NonOcc In"/>
    <s v="TEMP"/>
    <n v="202175671"/>
    <s v="Cruz,Lau"/>
    <s v="Munoz,Jonan"/>
    <n v="0"/>
    <n v="0"/>
    <n v="0"/>
    <n v="0"/>
    <n v="0.41"/>
    <e v="#N/A"/>
    <x v="258"/>
  </r>
  <r>
    <d v="2023-10-28T00:00:00"/>
    <x v="41"/>
    <s v="Admin/HR/IT"/>
    <s v="AMCARE NonOcc In"/>
    <s v="TEMP"/>
    <n v="202219558"/>
    <s v="Cortes,Ricardo"/>
    <s v="Munoz,Jonan"/>
    <n v="0"/>
    <n v="0"/>
    <n v="0"/>
    <n v="0"/>
    <n v="0.55000000000000004"/>
    <e v="#N/A"/>
    <x v="323"/>
  </r>
  <r>
    <d v="2023-10-28T00:00:00"/>
    <x v="41"/>
    <s v="Admin/HR/IT"/>
    <s v="AMCARE NonOcc In"/>
    <s v="TEMP"/>
    <n v="202235589"/>
    <s v="Cienega,Fatima"/>
    <s v="Romero Sanchez,Gustavo Gabriel"/>
    <n v="0"/>
    <n v="0"/>
    <n v="0"/>
    <n v="0"/>
    <n v="0"/>
    <e v="#N/A"/>
    <x v="288"/>
  </r>
  <r>
    <d v="2023-10-28T00:00:00"/>
    <x v="41"/>
    <s v="Admin/HR/IT"/>
    <s v="AMCARE NonOcc In"/>
    <s v="TEMP"/>
    <n v="202291384"/>
    <s v="Vela,Sergio"/>
    <s v="Romero Sanchez,Gustavo Gabriel"/>
    <n v="0"/>
    <n v="0"/>
    <n v="0"/>
    <n v="0"/>
    <n v="3.04"/>
    <e v="#N/A"/>
    <x v="308"/>
  </r>
  <r>
    <d v="2023-10-28T00:00:00"/>
    <x v="41"/>
    <s v="Admin/HR/IT"/>
    <s v="AMCARE NonOcc In"/>
    <s v="TEMP"/>
    <n v="202341246"/>
    <s v="Loera,Sofia"/>
    <s v="Romero Sanchez,Gustavo Gabriel"/>
    <n v="0"/>
    <n v="0"/>
    <n v="0"/>
    <n v="0"/>
    <n v="1.97"/>
    <e v="#N/A"/>
    <x v="319"/>
  </r>
  <r>
    <d v="2023-10-28T00:00:00"/>
    <x v="41"/>
    <s v="Admin/HR/IT"/>
    <s v="AMCARE NonOcc In"/>
    <s v="TEMP"/>
    <n v="202353921"/>
    <s v="Arechar Ortiz,Lindi Noemi"/>
    <s v="Corona Arriaga,Fernando"/>
    <n v="0"/>
    <n v="0"/>
    <n v="0"/>
    <n v="0"/>
    <n v="0.19"/>
    <e v="#N/A"/>
    <x v="320"/>
  </r>
  <r>
    <d v="2023-10-28T00:00:00"/>
    <x v="41"/>
    <s v="Admin/HR/IT"/>
    <s v="AMCARE NonOcc In"/>
    <s v="TEMP"/>
    <n v="202369419"/>
    <s v="Fabian,Ary"/>
    <s v="Romero Sanchez,Gustavo Gabriel"/>
    <n v="0"/>
    <n v="0"/>
    <n v="0"/>
    <n v="0"/>
    <n v="0.63"/>
    <e v="#N/A"/>
    <x v="311"/>
  </r>
  <r>
    <d v="2023-10-29T00:00:00"/>
    <x v="42"/>
    <s v="Admin/HR/IT"/>
    <s v="AMCARE NonOcc In"/>
    <s v="AMZN"/>
    <n v="112981014"/>
    <s v="Roldan Gutierrez,Pablo"/>
    <s v="Rosas Negrete,Sebastian"/>
    <n v="0"/>
    <n v="0"/>
    <n v="0"/>
    <n v="0"/>
    <n v="0.84"/>
    <s v="DJ-X0700"/>
    <x v="29"/>
  </r>
  <r>
    <d v="2023-10-29T00:00:00"/>
    <x v="42"/>
    <s v="Admin/HR/IT"/>
    <s v="AMCARE NonOcc In"/>
    <s v="AMZN"/>
    <n v="112981061"/>
    <s v="Olguin,Claudia"/>
    <s v="Corona Arriaga,Fernando"/>
    <n v="0"/>
    <n v="0"/>
    <n v="0"/>
    <n v="0"/>
    <n v="0.28000000000000003"/>
    <s v="DA-X0700"/>
    <x v="11"/>
  </r>
  <r>
    <d v="2023-10-29T00:00:00"/>
    <x v="42"/>
    <s v="Admin/HR/IT"/>
    <s v="AMCARE NonOcc In"/>
    <s v="AMZN"/>
    <n v="200404250"/>
    <s v="Hurtado,Caty"/>
    <s v="Corona Arriaga,Fernando"/>
    <n v="0"/>
    <n v="0"/>
    <n v="0"/>
    <n v="0"/>
    <n v="0.26"/>
    <e v="#N/A"/>
    <x v="6"/>
  </r>
  <r>
    <d v="2023-10-29T00:00:00"/>
    <x v="42"/>
    <s v="Admin/HR/IT"/>
    <s v="AMCARE NonOcc In"/>
    <s v="AMZN"/>
    <n v="201353085"/>
    <s v="Garcia,Elva"/>
    <s v="Rosas Negrete,Sebastian"/>
    <n v="0"/>
    <n v="0"/>
    <n v="0"/>
    <n v="0"/>
    <n v="0.14000000000000001"/>
    <e v="#N/A"/>
    <x v="290"/>
  </r>
  <r>
    <d v="2023-10-29T00:00:00"/>
    <x v="42"/>
    <s v="Admin/HR/IT"/>
    <s v="AMCARE NonOcc In"/>
    <s v="TEMP"/>
    <n v="201880542"/>
    <s v="ORTIZ,CORPUS"/>
    <s v="Bueno Mendoza,Susana"/>
    <n v="0"/>
    <n v="0"/>
    <n v="0"/>
    <n v="0"/>
    <n v="0.26"/>
    <e v="#N/A"/>
    <x v="199"/>
  </r>
  <r>
    <d v="2023-10-29T00:00:00"/>
    <x v="42"/>
    <s v="Admin/HR/IT"/>
    <s v="AMCARE NonOcc In"/>
    <s v="TEMP"/>
    <n v="202063545"/>
    <s v="GarcÃ­a,Ana"/>
    <s v="Rosas Negrete,Sebastian"/>
    <n v="0"/>
    <n v="0"/>
    <n v="0"/>
    <n v="0"/>
    <n v="1.49"/>
    <e v="#N/A"/>
    <x v="228"/>
  </r>
  <r>
    <d v="2023-10-29T00:00:00"/>
    <x v="42"/>
    <s v="Admin/HR/IT"/>
    <s v="AMCARE NonOcc In"/>
    <s v="TEMP"/>
    <n v="202118346"/>
    <s v="Ponce,Jessi"/>
    <s v="Rosas Negrete,Sebastian"/>
    <n v="0"/>
    <n v="0"/>
    <n v="0"/>
    <n v="0"/>
    <n v="0.89"/>
    <e v="#N/A"/>
    <x v="237"/>
  </r>
  <r>
    <d v="2023-10-29T00:00:00"/>
    <x v="42"/>
    <s v="Admin/HR/IT"/>
    <s v="AMCARE NonOcc In"/>
    <s v="TEMP"/>
    <n v="202137341"/>
    <s v="Bravo,Edgar"/>
    <s v="Rosas Negrete,Sebastian"/>
    <n v="0"/>
    <n v="0"/>
    <n v="0"/>
    <n v="0"/>
    <n v="7.0000000000000007E-2"/>
    <e v="#N/A"/>
    <x v="241"/>
  </r>
  <r>
    <d v="2023-10-29T00:00:00"/>
    <x v="42"/>
    <s v="Admin/HR/IT"/>
    <s v="AMCARE NonOcc In"/>
    <s v="TEMP"/>
    <n v="202137757"/>
    <s v="Bartolo,Daniel Angel"/>
    <s v="Madrid Molina,Ramon"/>
    <n v="0"/>
    <n v="0"/>
    <n v="0"/>
    <n v="0"/>
    <n v="0.98"/>
    <e v="#N/A"/>
    <x v="266"/>
  </r>
  <r>
    <d v="2023-10-29T00:00:00"/>
    <x v="42"/>
    <s v="Admin/HR/IT"/>
    <s v="AMCARE NonOcc In"/>
    <s v="TEMP"/>
    <n v="202265858"/>
    <s v="Salmeron,Alexa"/>
    <s v="Corona Arriaga,Fernando"/>
    <n v="0"/>
    <n v="0"/>
    <n v="0"/>
    <n v="0"/>
    <n v="0.44"/>
    <e v="#N/A"/>
    <x v="280"/>
  </r>
  <r>
    <d v="2023-10-29T00:00:00"/>
    <x v="42"/>
    <s v="Admin/HR/IT"/>
    <s v="AMCARE NonOcc In"/>
    <s v="TEMP"/>
    <n v="202291188"/>
    <s v="Alvarez,Fernanda"/>
    <s v="Madrid Molina,Ramon"/>
    <n v="0"/>
    <n v="0"/>
    <n v="0"/>
    <n v="0"/>
    <n v="2.14"/>
    <e v="#N/A"/>
    <x v="324"/>
  </r>
  <r>
    <d v="2023-10-29T00:00:00"/>
    <x v="42"/>
    <s v="Admin/HR/IT"/>
    <s v="AMCARE NonOcc In"/>
    <s v="TEMP"/>
    <n v="202329407"/>
    <s v="Medel,Sandra"/>
    <s v="Madrid Molina,Ramon"/>
    <n v="0"/>
    <n v="0"/>
    <n v="0"/>
    <n v="0"/>
    <n v="0.41"/>
    <e v="#N/A"/>
    <x v="325"/>
  </r>
  <r>
    <d v="2023-10-29T00:00:00"/>
    <x v="42"/>
    <s v="Admin/HR/IT"/>
    <s v="AMCARE NonOcc In"/>
    <s v="TEMP"/>
    <n v="202334621"/>
    <s v="Ramos,Karla"/>
    <s v="Rosas Negrete,Sebastian"/>
    <n v="0"/>
    <n v="0"/>
    <n v="0"/>
    <n v="0"/>
    <n v="0.56999999999999995"/>
    <e v="#N/A"/>
    <x v="326"/>
  </r>
  <r>
    <d v="2023-10-29T00:00:00"/>
    <x v="42"/>
    <s v="Admin/HR/IT"/>
    <s v="AMCARE NonOcc In"/>
    <s v="TEMP"/>
    <n v="202385714"/>
    <s v="Ojeda,Edgar"/>
    <s v="Rosas Negrete,Sebastian"/>
    <n v="0"/>
    <n v="0"/>
    <n v="0"/>
    <n v="0"/>
    <n v="0.32"/>
    <e v="#N/A"/>
    <x v="327"/>
  </r>
  <r>
    <d v="2023-10-30T00:00:00"/>
    <x v="42"/>
    <s v="Admin/HR/IT"/>
    <s v="AMCARE NonOcc In"/>
    <s v="AMZN"/>
    <n v="112950809"/>
    <s v="Rocha,Luz"/>
    <s v="Madrid Molina,Ramon"/>
    <n v="0"/>
    <n v="0"/>
    <n v="0"/>
    <n v="0"/>
    <n v="0.93"/>
    <s v="DA-X0700"/>
    <x v="36"/>
  </r>
  <r>
    <d v="2023-10-30T00:00:00"/>
    <x v="42"/>
    <s v="Admin/HR/IT"/>
    <s v="AMCARE NonOcc In"/>
    <s v="AMZN"/>
    <n v="112976014"/>
    <s v="Rivas,Carlos"/>
    <s v="Madrid Molina,Ramon"/>
    <n v="0"/>
    <n v="0"/>
    <n v="0"/>
    <n v="0"/>
    <n v="0.87"/>
    <s v="DA-X0700"/>
    <x v="92"/>
  </r>
  <r>
    <d v="2023-10-30T00:00:00"/>
    <x v="42"/>
    <s v="Admin/HR/IT"/>
    <s v="AMCARE NonOcc In"/>
    <s v="AMZN"/>
    <n v="112981061"/>
    <s v="Olguin,Claudia"/>
    <s v="Corona Arriaga,Fernando"/>
    <n v="0"/>
    <n v="0"/>
    <n v="0"/>
    <n v="0"/>
    <n v="1.25"/>
    <s v="DA-X0700"/>
    <x v="11"/>
  </r>
  <r>
    <d v="2023-10-30T00:00:00"/>
    <x v="42"/>
    <s v="Admin/HR/IT"/>
    <s v="AMCARE NonOcc In"/>
    <s v="AMZN"/>
    <n v="200404250"/>
    <s v="Hurtado,Caty"/>
    <s v="Corona Arriaga,Fernando"/>
    <n v="0"/>
    <n v="0"/>
    <n v="0"/>
    <n v="0"/>
    <n v="0.92"/>
    <e v="#N/A"/>
    <x v="6"/>
  </r>
  <r>
    <d v="2023-10-30T00:00:00"/>
    <x v="42"/>
    <s v="Admin/HR/IT"/>
    <s v="AMCARE NonOcc In"/>
    <s v="AMZN"/>
    <n v="201167501"/>
    <s v="Rodriguez,Ruben"/>
    <s v="Corona Arriaga,Fernando"/>
    <n v="0"/>
    <n v="0"/>
    <n v="0"/>
    <n v="0"/>
    <n v="0.38"/>
    <e v="#N/A"/>
    <x v="109"/>
  </r>
  <r>
    <d v="2023-10-30T00:00:00"/>
    <x v="42"/>
    <s v="Admin/HR/IT"/>
    <s v="AMCARE NonOcc In"/>
    <s v="AMZN"/>
    <n v="201172306"/>
    <s v="Valdez,CÃ©sar"/>
    <s v="Rosas Negrete,Sebastian"/>
    <n v="0"/>
    <n v="0"/>
    <n v="0"/>
    <n v="0"/>
    <n v="0.08"/>
    <e v="#N/A"/>
    <x v="128"/>
  </r>
  <r>
    <d v="2023-10-30T00:00:00"/>
    <x v="42"/>
    <s v="Admin/HR/IT"/>
    <s v="AMCARE NonOcc In"/>
    <s v="AMZN"/>
    <n v="201197964"/>
    <s v="Quijas,Matzayani"/>
    <s v="Rosas Negrete,Sebastian"/>
    <n v="0"/>
    <n v="0"/>
    <n v="0"/>
    <n v="0"/>
    <n v="0.38"/>
    <e v="#N/A"/>
    <x v="191"/>
  </r>
  <r>
    <d v="2023-10-30T00:00:00"/>
    <x v="42"/>
    <s v="Admin/HR/IT"/>
    <s v="AMCARE NonOcc In"/>
    <s v="TEMP"/>
    <n v="202063545"/>
    <s v="GarcÃ­a,Ana"/>
    <s v="Rosas Negrete,Sebastian"/>
    <n v="0"/>
    <n v="0"/>
    <n v="0"/>
    <n v="0"/>
    <n v="0"/>
    <e v="#N/A"/>
    <x v="228"/>
  </r>
  <r>
    <d v="2023-10-30T00:00:00"/>
    <x v="42"/>
    <s v="Admin/HR/IT"/>
    <s v="AMCARE NonOcc In"/>
    <s v="TEMP"/>
    <n v="202063602"/>
    <s v="Valdes,Octavio"/>
    <s v="Hernandez,Nataly"/>
    <n v="0"/>
    <n v="0"/>
    <n v="0"/>
    <n v="0"/>
    <n v="0.32"/>
    <e v="#N/A"/>
    <x v="328"/>
  </r>
  <r>
    <d v="2023-10-30T00:00:00"/>
    <x v="42"/>
    <s v="Admin/HR/IT"/>
    <s v="AMCARE NonOcc In"/>
    <s v="TEMP"/>
    <n v="202188434"/>
    <s v="Rivera,Aidza"/>
    <s v="Hernandez,Nataly"/>
    <n v="0"/>
    <n v="0"/>
    <n v="0"/>
    <n v="0"/>
    <n v="0.87"/>
    <e v="#N/A"/>
    <x v="252"/>
  </r>
  <r>
    <d v="2023-10-30T00:00:00"/>
    <x v="42"/>
    <s v="Admin/HR/IT"/>
    <s v="AMCARE NonOcc In"/>
    <s v="TEMP"/>
    <n v="202188991"/>
    <s v="Jimenez,Saul"/>
    <s v="Bueno Mendoza,Susana"/>
    <n v="0"/>
    <n v="0"/>
    <n v="0"/>
    <n v="0"/>
    <n v="0.42"/>
    <e v="#N/A"/>
    <x v="275"/>
  </r>
  <r>
    <d v="2023-10-30T00:00:00"/>
    <x v="42"/>
    <s v="Admin/HR/IT"/>
    <s v="AMCARE NonOcc In"/>
    <s v="TEMP"/>
    <n v="202249806"/>
    <s v="Valtierra,Saul Angel"/>
    <s v="Rosas Negrete,Sebastian"/>
    <n v="0"/>
    <n v="0"/>
    <n v="0"/>
    <n v="0"/>
    <n v="0.32"/>
    <e v="#N/A"/>
    <x v="329"/>
  </r>
  <r>
    <d v="2023-10-30T00:00:00"/>
    <x v="42"/>
    <s v="Admin/HR/IT"/>
    <s v="AMCARE NonOcc In"/>
    <s v="TEMP"/>
    <n v="202250323"/>
    <s v="Esqueda,Soledad"/>
    <s v="Corona Arriaga,Fernando"/>
    <n v="0"/>
    <n v="0"/>
    <n v="0"/>
    <n v="0"/>
    <n v="0.21"/>
    <e v="#N/A"/>
    <x v="298"/>
  </r>
  <r>
    <d v="2023-10-30T00:00:00"/>
    <x v="42"/>
    <s v="Admin/HR/IT"/>
    <s v="AMCARE NonOcc In"/>
    <s v="TEMP"/>
    <n v="202266131"/>
    <s v="Guadian,Gaby"/>
    <s v="Corona Arriaga,Fernando"/>
    <n v="0"/>
    <n v="0"/>
    <n v="0"/>
    <n v="0"/>
    <n v="0.38"/>
    <e v="#N/A"/>
    <x v="282"/>
  </r>
  <r>
    <d v="2023-10-30T00:00:00"/>
    <x v="42"/>
    <s v="Admin/HR/IT"/>
    <s v="AMCARE NonOcc In"/>
    <s v="TEMP"/>
    <n v="202273994"/>
    <s v="Villalobos,Adrian"/>
    <s v="Corona Arriaga,Fernando"/>
    <n v="0"/>
    <n v="0"/>
    <n v="0"/>
    <n v="0"/>
    <n v="0.5"/>
    <e v="#N/A"/>
    <x v="330"/>
  </r>
  <r>
    <d v="2023-10-30T00:00:00"/>
    <x v="42"/>
    <s v="Admin/HR/IT"/>
    <s v="AMCARE NonOcc In"/>
    <s v="TEMP"/>
    <n v="202283406"/>
    <s v="Vazquez,Angelica"/>
    <s v="Rosas Negrete,Sebastian"/>
    <n v="0"/>
    <n v="0"/>
    <n v="0"/>
    <n v="0"/>
    <n v="0.13"/>
    <e v="#N/A"/>
    <x v="331"/>
  </r>
  <r>
    <d v="2023-10-30T00:00:00"/>
    <x v="42"/>
    <s v="Admin/HR/IT"/>
    <s v="AMCARE NonOcc In"/>
    <s v="TEMP"/>
    <n v="202287922"/>
    <s v="Andrade,Gema"/>
    <s v="Madrid Molina,Ramon"/>
    <n v="0"/>
    <n v="0"/>
    <n v="0"/>
    <n v="0"/>
    <n v="0.36"/>
    <e v="#N/A"/>
    <x v="281"/>
  </r>
  <r>
    <d v="2023-10-30T00:00:00"/>
    <x v="42"/>
    <s v="Admin/HR/IT"/>
    <s v="AMCARE NonOcc In"/>
    <s v="TEMP"/>
    <n v="202291208"/>
    <s v="Perez,Quique"/>
    <s v="Bueno Mendoza,Susana"/>
    <n v="0"/>
    <n v="0"/>
    <n v="0"/>
    <n v="0"/>
    <n v="0.08"/>
    <e v="#N/A"/>
    <x v="332"/>
  </r>
  <r>
    <d v="2023-10-30T00:00:00"/>
    <x v="42"/>
    <s v="Admin/HR/IT"/>
    <s v="AMCARE NonOcc In"/>
    <s v="TEMP"/>
    <n v="202291254"/>
    <s v="Castro,Edgar"/>
    <s v="Corona Arriaga,Fernando"/>
    <n v="0"/>
    <n v="0"/>
    <n v="0"/>
    <n v="0"/>
    <n v="0.54"/>
    <e v="#N/A"/>
    <x v="333"/>
  </r>
  <r>
    <d v="2023-10-31T00:00:00"/>
    <x v="42"/>
    <s v="Admin/HR/IT"/>
    <s v="AMCARE NonOcc In"/>
    <s v="AMZN"/>
    <n v="112920666"/>
    <s v="Rocha,Jose"/>
    <s v="Manzanares Navarro,Sandra"/>
    <n v="0"/>
    <n v="0"/>
    <n v="0"/>
    <n v="0"/>
    <n v="0.72"/>
    <s v="D5-X0700"/>
    <x v="3"/>
  </r>
  <r>
    <d v="2023-10-31T00:00:00"/>
    <x v="42"/>
    <s v="Admin/HR/IT"/>
    <s v="AMCARE NonOcc In"/>
    <s v="AMZN"/>
    <n v="112950809"/>
    <s v="Rocha,Luz"/>
    <s v="Madrid Molina,Ramon"/>
    <n v="0"/>
    <n v="0"/>
    <n v="0"/>
    <n v="0"/>
    <n v="1.1299999999999999"/>
    <s v="DA-X0700"/>
    <x v="36"/>
  </r>
  <r>
    <d v="2023-10-31T00:00:00"/>
    <x v="42"/>
    <s v="Admin/HR/IT"/>
    <s v="AMCARE NonOcc In"/>
    <s v="AMZN"/>
    <n v="113020476"/>
    <s v="Puente Aguilar,Polette"/>
    <s v="Romero Sanchez,Gustavo Gabriel"/>
    <n v="0"/>
    <n v="0"/>
    <n v="0"/>
    <n v="0"/>
    <n v="0.54"/>
    <e v="#N/A"/>
    <x v="19"/>
  </r>
  <r>
    <d v="2023-10-31T00:00:00"/>
    <x v="42"/>
    <s v="Admin/HR/IT"/>
    <s v="AMCARE NonOcc In"/>
    <s v="AMZN"/>
    <n v="113044620"/>
    <s v="Jasso Miranda,Aldo"/>
    <s v="Corona Arriaga,Fernando"/>
    <n v="0"/>
    <n v="0"/>
    <n v="0"/>
    <n v="0"/>
    <n v="0.25"/>
    <e v="#N/A"/>
    <x v="52"/>
  </r>
  <r>
    <d v="2023-10-31T00:00:00"/>
    <x v="42"/>
    <s v="Admin/HR/IT"/>
    <s v="AMCARE NonOcc In"/>
    <s v="AMZN"/>
    <n v="200404250"/>
    <s v="Hurtado,Caty"/>
    <s v="Corona Arriaga,Fernando"/>
    <n v="0"/>
    <n v="0"/>
    <n v="0"/>
    <n v="0"/>
    <n v="0.46"/>
    <e v="#N/A"/>
    <x v="6"/>
  </r>
  <r>
    <d v="2023-10-31T00:00:00"/>
    <x v="42"/>
    <s v="Admin/HR/IT"/>
    <s v="AMCARE NonOcc In"/>
    <s v="AMZN"/>
    <n v="200594875"/>
    <s v="Maldonado,Jose"/>
    <s v="Bueno Mendoza,Susana"/>
    <n v="0"/>
    <n v="0"/>
    <n v="0"/>
    <n v="0"/>
    <n v="0.59"/>
    <e v="#N/A"/>
    <x v="67"/>
  </r>
  <r>
    <d v="2023-10-31T00:00:00"/>
    <x v="42"/>
    <s v="Admin/HR/IT"/>
    <s v="AMCARE NonOcc In"/>
    <s v="AMZN"/>
    <n v="200625528"/>
    <s v="Oliva,Lizbeth"/>
    <s v="Bueno Mendoza,Susana"/>
    <n v="0"/>
    <n v="0"/>
    <n v="0"/>
    <n v="0"/>
    <n v="0.08"/>
    <e v="#N/A"/>
    <x v="83"/>
  </r>
  <r>
    <d v="2023-10-31T00:00:00"/>
    <x v="42"/>
    <s v="Admin/HR/IT"/>
    <s v="AMCARE NonOcc In"/>
    <s v="AMZN"/>
    <n v="201167501"/>
    <s v="Rodriguez,Ruben"/>
    <s v="Corona Arriaga,Fernando"/>
    <n v="0"/>
    <n v="0"/>
    <n v="0"/>
    <n v="0"/>
    <n v="0.32"/>
    <e v="#N/A"/>
    <x v="109"/>
  </r>
  <r>
    <d v="2023-10-31T00:00:00"/>
    <x v="42"/>
    <s v="Admin/HR/IT"/>
    <s v="AMCARE NonOcc In"/>
    <s v="AMZN"/>
    <n v="201172412"/>
    <s v="Castellanos,Adriana"/>
    <s v="Corona Arriaga,Fernando"/>
    <n v="0"/>
    <n v="0"/>
    <n v="0"/>
    <n v="0"/>
    <n v="0.13"/>
    <e v="#N/A"/>
    <x v="136"/>
  </r>
  <r>
    <d v="2023-10-31T00:00:00"/>
    <x v="42"/>
    <s v="Admin/HR/IT"/>
    <s v="AMCARE NonOcc In"/>
    <s v="AMZN"/>
    <n v="201197964"/>
    <s v="Quijas,Matzayani"/>
    <s v="Rosas Negrete,Sebastian"/>
    <n v="0"/>
    <n v="0"/>
    <n v="0"/>
    <n v="0"/>
    <n v="0.31"/>
    <e v="#N/A"/>
    <x v="191"/>
  </r>
  <r>
    <d v="2023-10-31T00:00:00"/>
    <x v="42"/>
    <s v="Admin/HR/IT"/>
    <s v="AMCARE NonOcc In"/>
    <s v="AMZN"/>
    <n v="201345774"/>
    <s v="Quijas,Jonathan"/>
    <s v="Corona Arriaga,Fernando"/>
    <n v="0"/>
    <n v="0"/>
    <n v="0"/>
    <n v="0"/>
    <n v="0.41"/>
    <e v="#N/A"/>
    <x v="154"/>
  </r>
  <r>
    <d v="2023-10-31T00:00:00"/>
    <x v="42"/>
    <s v="Admin/HR/IT"/>
    <s v="AMCARE NonOcc In"/>
    <s v="AMZN"/>
    <n v="201353085"/>
    <s v="Garcia,Elva"/>
    <s v="Rosas Negrete,Sebastian"/>
    <n v="0"/>
    <n v="0"/>
    <n v="0"/>
    <n v="0"/>
    <n v="0.08"/>
    <e v="#N/A"/>
    <x v="290"/>
  </r>
  <r>
    <d v="2023-10-31T00:00:00"/>
    <x v="42"/>
    <s v="Admin/HR/IT"/>
    <s v="AMCARE NonOcc In"/>
    <s v="AMZN"/>
    <n v="201402212"/>
    <s v="Padron,Karla"/>
    <s v="Rosas Negrete,Sebastian"/>
    <n v="0"/>
    <n v="0"/>
    <n v="0"/>
    <n v="0"/>
    <n v="0.46"/>
    <e v="#N/A"/>
    <x v="171"/>
  </r>
  <r>
    <d v="2023-10-31T00:00:00"/>
    <x v="42"/>
    <s v="Admin/HR/IT"/>
    <s v="AMCARE NonOcc In"/>
    <s v="TEMP"/>
    <n v="201842039"/>
    <s v="Martinez,Antonio"/>
    <s v="Piedra,Valentina"/>
    <n v="0"/>
    <n v="0"/>
    <n v="0"/>
    <n v="0"/>
    <n v="0.25"/>
    <e v="#N/A"/>
    <x v="203"/>
  </r>
  <r>
    <d v="2023-10-31T00:00:00"/>
    <x v="42"/>
    <s v="Admin/HR/IT"/>
    <s v="AMCARE NonOcc In"/>
    <s v="TEMP"/>
    <n v="201848180"/>
    <s v="Pacheco,Jack"/>
    <s v="Corona Arriaga,Fernando"/>
    <n v="0"/>
    <n v="0"/>
    <n v="0"/>
    <n v="0"/>
    <n v="0.47"/>
    <e v="#N/A"/>
    <x v="269"/>
  </r>
  <r>
    <d v="2023-10-31T00:00:00"/>
    <x v="42"/>
    <s v="Admin/HR/IT"/>
    <s v="AMCARE NonOcc In"/>
    <s v="TEMP"/>
    <n v="201880542"/>
    <s v="ORTIZ,CORPUS"/>
    <s v="Bueno Mendoza,Susana"/>
    <n v="0"/>
    <n v="0"/>
    <n v="0"/>
    <n v="0"/>
    <n v="4.5"/>
    <e v="#N/A"/>
    <x v="199"/>
  </r>
  <r>
    <d v="2023-10-31T00:00:00"/>
    <x v="42"/>
    <s v="Admin/HR/IT"/>
    <s v="AMCARE NonOcc In"/>
    <s v="TEMP"/>
    <n v="202062181"/>
    <s v="Trejo,Luis"/>
    <s v="Rosas Negrete,Sebastian"/>
    <n v="0"/>
    <n v="0"/>
    <n v="0"/>
    <n v="0"/>
    <n v="0.55000000000000004"/>
    <e v="#N/A"/>
    <x v="243"/>
  </r>
  <r>
    <d v="2023-10-31T00:00:00"/>
    <x v="42"/>
    <s v="Admin/HR/IT"/>
    <s v="AMCARE NonOcc In"/>
    <s v="TEMP"/>
    <n v="202129193"/>
    <s v="Hernandez Montiel,Angelica Teresa"/>
    <s v="Madrid Molina,Ramon"/>
    <n v="0"/>
    <n v="0"/>
    <n v="0"/>
    <n v="0"/>
    <n v="1.1100000000000001"/>
    <e v="#N/A"/>
    <x v="334"/>
  </r>
  <r>
    <d v="2023-10-31T00:00:00"/>
    <x v="42"/>
    <s v="Admin/HR/IT"/>
    <s v="AMCARE NonOcc In"/>
    <s v="TEMP"/>
    <n v="202129214"/>
    <s v="Zuniga,Isaac"/>
    <s v="Manzanares Navarro,Sandra"/>
    <n v="0"/>
    <n v="0"/>
    <n v="0"/>
    <n v="0"/>
    <n v="0.22"/>
    <e v="#N/A"/>
    <x v="265"/>
  </r>
  <r>
    <d v="2023-10-31T00:00:00"/>
    <x v="42"/>
    <s v="Admin/HR/IT"/>
    <s v="AMCARE NonOcc In"/>
    <s v="TEMP"/>
    <n v="202165115"/>
    <s v="Bermudez,Giovanni"/>
    <s v="Munoz,Jonan"/>
    <n v="0"/>
    <n v="0"/>
    <n v="0"/>
    <n v="0"/>
    <n v="0.83"/>
    <e v="#N/A"/>
    <x v="305"/>
  </r>
  <r>
    <d v="2023-10-31T00:00:00"/>
    <x v="42"/>
    <s v="Admin/HR/IT"/>
    <s v="AMCARE NonOcc In"/>
    <s v="TEMP"/>
    <n v="202165242"/>
    <s v="Gonzalez,Marco"/>
    <s v="Munoz,Jonan"/>
    <n v="0"/>
    <n v="0"/>
    <n v="0"/>
    <n v="0"/>
    <n v="1.55"/>
    <e v="#N/A"/>
    <x v="251"/>
  </r>
  <r>
    <d v="2023-10-31T00:00:00"/>
    <x v="42"/>
    <s v="Admin/HR/IT"/>
    <s v="AMCARE NonOcc In"/>
    <s v="TEMP"/>
    <n v="202188434"/>
    <s v="Rivera,Aidza"/>
    <s v="Hernandez,Nataly"/>
    <n v="0"/>
    <n v="0"/>
    <n v="0"/>
    <n v="0"/>
    <n v="0.22"/>
    <e v="#N/A"/>
    <x v="252"/>
  </r>
  <r>
    <d v="2023-10-31T00:00:00"/>
    <x v="42"/>
    <s v="Admin/HR/IT"/>
    <s v="AMCARE NonOcc In"/>
    <s v="TEMP"/>
    <n v="202225896"/>
    <s v="Reyes,Josue"/>
    <s v="Rosas Negrete,Sebastian"/>
    <n v="0"/>
    <n v="0"/>
    <n v="0"/>
    <n v="0"/>
    <n v="0.77"/>
    <e v="#N/A"/>
    <x v="296"/>
  </r>
  <r>
    <d v="2023-10-31T00:00:00"/>
    <x v="42"/>
    <s v="Admin/HR/IT"/>
    <s v="AMCARE NonOcc In"/>
    <s v="TEMP"/>
    <n v="202226202"/>
    <s v="Moreno,Nayeli Naye"/>
    <s v="Rosas Negrete,Sebastian"/>
    <n v="0"/>
    <n v="0"/>
    <n v="0"/>
    <n v="0"/>
    <n v="0.23"/>
    <e v="#N/A"/>
    <x v="335"/>
  </r>
  <r>
    <d v="2023-10-31T00:00:00"/>
    <x v="42"/>
    <s v="Admin/HR/IT"/>
    <s v="AMCARE NonOcc In"/>
    <s v="TEMP"/>
    <n v="202229509"/>
    <s v="Barajas,Victor"/>
    <s v="Munoz,Jonan"/>
    <n v="0"/>
    <n v="0"/>
    <n v="0"/>
    <n v="0"/>
    <n v="0.2"/>
    <e v="#N/A"/>
    <x v="336"/>
  </r>
  <r>
    <d v="2023-10-31T00:00:00"/>
    <x v="42"/>
    <s v="Admin/HR/IT"/>
    <s v="AMCARE NonOcc In"/>
    <s v="TEMP"/>
    <n v="202237281"/>
    <s v="Belmonte,Oscar Martin"/>
    <s v="Pizana,Diego"/>
    <n v="0"/>
    <n v="0"/>
    <n v="0"/>
    <n v="0"/>
    <n v="0.28999999999999998"/>
    <e v="#N/A"/>
    <x v="337"/>
  </r>
  <r>
    <d v="2023-10-31T00:00:00"/>
    <x v="42"/>
    <s v="Admin/HR/IT"/>
    <s v="AMCARE NonOcc In"/>
    <s v="TEMP"/>
    <n v="202266131"/>
    <s v="Guadian,Gaby"/>
    <s v="Corona Arriaga,Fernando"/>
    <n v="0"/>
    <n v="0"/>
    <n v="0"/>
    <n v="0"/>
    <n v="0.04"/>
    <e v="#N/A"/>
    <x v="282"/>
  </r>
  <r>
    <d v="2023-10-31T00:00:00"/>
    <x v="42"/>
    <s v="Admin/HR/IT"/>
    <s v="AMCARE NonOcc In"/>
    <s v="TEMP"/>
    <n v="202273994"/>
    <s v="Villalobos,Adrian"/>
    <s v="Corona Arriaga,Fernando"/>
    <n v="0"/>
    <n v="0"/>
    <n v="0"/>
    <n v="0"/>
    <n v="0.14000000000000001"/>
    <e v="#N/A"/>
    <x v="330"/>
  </r>
  <r>
    <d v="2023-10-31T00:00:00"/>
    <x v="42"/>
    <s v="Admin/HR/IT"/>
    <s v="AMCARE NonOcc In"/>
    <s v="TEMP"/>
    <n v="202334621"/>
    <s v="Ramos,Karla"/>
    <s v="Rosas Negrete,Sebastian"/>
    <n v="0"/>
    <n v="0"/>
    <n v="0"/>
    <n v="0"/>
    <n v="0.74"/>
    <e v="#N/A"/>
    <x v="326"/>
  </r>
  <r>
    <d v="2023-10-31T00:00:00"/>
    <x v="42"/>
    <s v="Admin/HR/IT"/>
    <s v="AMCARE NonOcc In"/>
    <s v="TEMP"/>
    <n v="202334751"/>
    <s v="Marquez,Luz Maria"/>
    <s v="Madrid Molina,Ramon"/>
    <n v="0"/>
    <n v="0"/>
    <n v="0"/>
    <n v="0"/>
    <n v="0.43"/>
    <e v="#N/A"/>
    <x v="338"/>
  </r>
  <r>
    <d v="2023-10-31T00:00:00"/>
    <x v="42"/>
    <s v="Admin/HR/IT"/>
    <s v="AMCARE NonOcc In"/>
    <s v="TEMP"/>
    <n v="202334920"/>
    <s v="Ramirez,Rocio"/>
    <s v="Piedra,Valentina"/>
    <n v="0"/>
    <n v="0"/>
    <n v="0"/>
    <n v="0"/>
    <n v="0.44"/>
    <e v="#N/A"/>
    <x v="310"/>
  </r>
  <r>
    <d v="2023-11-01T00:00:00"/>
    <x v="42"/>
    <s v="Admin/HR/IT"/>
    <s v="AMCARE NonOcc In"/>
    <s v="AMZN"/>
    <n v="112912511"/>
    <s v="Elorza,Sergio"/>
    <s v="Munoz,Jonan"/>
    <n v="0"/>
    <n v="0"/>
    <n v="0"/>
    <n v="0"/>
    <n v="0.5"/>
    <s v="DB-X0700"/>
    <x v="180"/>
  </r>
  <r>
    <d v="2023-11-01T00:00:00"/>
    <x v="42"/>
    <s v="Admin/HR/IT"/>
    <s v="AMCARE NonOcc In"/>
    <s v="AMZN"/>
    <n v="112912752"/>
    <s v="Valderrama Gomez,Leslie"/>
    <s v="Camarena,Grecia"/>
    <n v="0"/>
    <n v="0"/>
    <n v="0"/>
    <n v="0"/>
    <n v="0.36"/>
    <s v="NF-X1900"/>
    <x v="5"/>
  </r>
  <r>
    <d v="2023-11-01T00:00:00"/>
    <x v="42"/>
    <s v="Admin/HR/IT"/>
    <s v="AMCARE NonOcc In"/>
    <s v="AMZN"/>
    <n v="112950784"/>
    <s v="Rojas,Samuel"/>
    <s v="Camarena,Grecia"/>
    <n v="0"/>
    <n v="0"/>
    <n v="0"/>
    <n v="0"/>
    <n v="0.13"/>
    <s v="NF-X1900"/>
    <x v="13"/>
  </r>
  <r>
    <d v="2023-11-01T00:00:00"/>
    <x v="42"/>
    <s v="Admin/HR/IT"/>
    <s v="AMCARE NonOcc In"/>
    <s v="AMZN"/>
    <n v="112971988"/>
    <s v="Trejo Tarango,Stephannie Del Rocio"/>
    <s v="AlarcÃ³n,Irving"/>
    <n v="0"/>
    <n v="0"/>
    <n v="0"/>
    <n v="0"/>
    <n v="0.5"/>
    <s v="DB-X0700"/>
    <x v="80"/>
  </r>
  <r>
    <d v="2023-11-01T00:00:00"/>
    <x v="42"/>
    <s v="Admin/HR/IT"/>
    <s v="AMCARE NonOcc In"/>
    <s v="AMZN"/>
    <n v="200463510"/>
    <s v="Macias,Rodrigo"/>
    <s v="Romero Sanchez,Gustavo Gabriel"/>
    <n v="0"/>
    <n v="0"/>
    <n v="0"/>
    <n v="0"/>
    <n v="0.76"/>
    <e v="#N/A"/>
    <x v="62"/>
  </r>
  <r>
    <d v="2023-11-01T00:00:00"/>
    <x v="42"/>
    <s v="Admin/HR/IT"/>
    <s v="AMCARE NonOcc In"/>
    <s v="AMZN"/>
    <n v="200508323"/>
    <s v="Espejel Lopez,Emmanuel"/>
    <s v="Romero Sanchez,Gustavo Gabriel"/>
    <n v="0"/>
    <n v="0"/>
    <n v="0"/>
    <n v="0"/>
    <n v="0.4"/>
    <e v="#N/A"/>
    <x v="177"/>
  </r>
  <r>
    <d v="2023-11-01T00:00:00"/>
    <x v="42"/>
    <s v="Admin/HR/IT"/>
    <s v="AMCARE NonOcc In"/>
    <s v="AMZN"/>
    <n v="200625528"/>
    <s v="Oliva,Lizbeth"/>
    <s v="Bueno Mendoza,Susana"/>
    <n v="0"/>
    <n v="0"/>
    <n v="0"/>
    <n v="0"/>
    <n v="0.1"/>
    <e v="#N/A"/>
    <x v="83"/>
  </r>
  <r>
    <d v="2023-11-01T00:00:00"/>
    <x v="42"/>
    <s v="Admin/HR/IT"/>
    <s v="AMCARE NonOcc In"/>
    <s v="AMZN"/>
    <n v="201166890"/>
    <s v="Caballero,Daniel"/>
    <s v="Rosas Negrete,Sebastian"/>
    <n v="0"/>
    <n v="0"/>
    <n v="0"/>
    <n v="0"/>
    <n v="0.63"/>
    <e v="#N/A"/>
    <x v="141"/>
  </r>
  <r>
    <d v="2023-11-01T00:00:00"/>
    <x v="42"/>
    <s v="Admin/HR/IT"/>
    <s v="AMCARE NonOcc In"/>
    <s v="AMZN"/>
    <n v="201197964"/>
    <s v="Quijas,Matzayani"/>
    <s v="Rosas Negrete,Sebastian"/>
    <n v="0"/>
    <n v="0"/>
    <n v="0"/>
    <n v="0"/>
    <n v="0.48"/>
    <e v="#N/A"/>
    <x v="191"/>
  </r>
  <r>
    <d v="2023-11-01T00:00:00"/>
    <x v="42"/>
    <s v="Admin/HR/IT"/>
    <s v="AMCARE NonOcc In"/>
    <s v="AMZN"/>
    <n v="201341534"/>
    <s v="Becerra,Esmeralda"/>
    <s v="Bueno Mendoza,Susana"/>
    <n v="0"/>
    <n v="0"/>
    <n v="0"/>
    <n v="0"/>
    <n v="0.12"/>
    <e v="#N/A"/>
    <x v="192"/>
  </r>
  <r>
    <d v="2023-11-01T00:00:00"/>
    <x v="42"/>
    <s v="Admin/HR/IT"/>
    <s v="AMCARE NonOcc In"/>
    <s v="AMZN"/>
    <n v="201386201"/>
    <s v="Castillo,Janai"/>
    <s v="Bueno Mendoza,Susana"/>
    <n v="0"/>
    <n v="0"/>
    <n v="0"/>
    <n v="0"/>
    <n v="0.31"/>
    <e v="#N/A"/>
    <x v="186"/>
  </r>
  <r>
    <d v="2023-11-01T00:00:00"/>
    <x v="42"/>
    <s v="Admin/HR/IT"/>
    <s v="AMCARE NonOcc In"/>
    <s v="TEMP"/>
    <n v="201837318"/>
    <s v="Echeveste,Mauricio"/>
    <s v="Bueno Mendoza,Susana"/>
    <n v="0"/>
    <n v="0"/>
    <n v="0"/>
    <n v="0"/>
    <n v="0.28000000000000003"/>
    <e v="#N/A"/>
    <x v="339"/>
  </r>
  <r>
    <d v="2023-11-01T00:00:00"/>
    <x v="42"/>
    <s v="Admin/HR/IT"/>
    <s v="AMCARE NonOcc In"/>
    <s v="TEMP"/>
    <n v="201880542"/>
    <s v="ORTIZ,CORPUS"/>
    <s v="Bueno Mendoza,Susana"/>
    <n v="0"/>
    <n v="0"/>
    <n v="0"/>
    <n v="0"/>
    <n v="2.61"/>
    <e v="#N/A"/>
    <x v="199"/>
  </r>
  <r>
    <d v="2023-11-01T00:00:00"/>
    <x v="42"/>
    <s v="Admin/HR/IT"/>
    <s v="AMCARE NonOcc In"/>
    <s v="TEMP"/>
    <n v="201906503"/>
    <s v="MartÃ­nez,Jennifer"/>
    <s v="AlarcÃ³n,Irving"/>
    <n v="0"/>
    <n v="0"/>
    <n v="0"/>
    <n v="0"/>
    <n v="0.16"/>
    <e v="#N/A"/>
    <x v="201"/>
  </r>
  <r>
    <d v="2023-11-01T00:00:00"/>
    <x v="42"/>
    <s v="Admin/HR/IT"/>
    <s v="AMCARE NonOcc In"/>
    <s v="TEMP"/>
    <n v="202117751"/>
    <s v="Romero,Jhonatan"/>
    <s v="Camarena,Grecia"/>
    <n v="0"/>
    <n v="0"/>
    <n v="0"/>
    <n v="0"/>
    <n v="0.22"/>
    <e v="#N/A"/>
    <x v="321"/>
  </r>
  <r>
    <d v="2023-11-01T00:00:00"/>
    <x v="42"/>
    <s v="Admin/HR/IT"/>
    <s v="AMCARE NonOcc In"/>
    <s v="TEMP"/>
    <n v="202130113"/>
    <s v="Rangel,Tania"/>
    <s v="Madrid Molina,Ramon"/>
    <n v="0"/>
    <n v="0"/>
    <n v="0"/>
    <n v="0"/>
    <n v="0.14000000000000001"/>
    <e v="#N/A"/>
    <x v="270"/>
  </r>
  <r>
    <d v="2023-11-01T00:00:00"/>
    <x v="42"/>
    <s v="Admin/HR/IT"/>
    <s v="AMCARE NonOcc In"/>
    <s v="TEMP"/>
    <n v="202137341"/>
    <s v="Bravo,Edgar"/>
    <s v="Rosas Negrete,Sebastian"/>
    <n v="0"/>
    <n v="0"/>
    <n v="0"/>
    <n v="0"/>
    <n v="0.11"/>
    <e v="#N/A"/>
    <x v="241"/>
  </r>
  <r>
    <d v="2023-11-01T00:00:00"/>
    <x v="42"/>
    <s v="Admin/HR/IT"/>
    <s v="AMCARE NonOcc In"/>
    <s v="TEMP"/>
    <n v="202145314"/>
    <s v="Palomares,Neftali"/>
    <s v="Camarena,Grecia"/>
    <n v="0"/>
    <n v="0"/>
    <n v="0"/>
    <n v="0"/>
    <n v="0.25"/>
    <e v="#N/A"/>
    <x v="257"/>
  </r>
  <r>
    <d v="2023-11-01T00:00:00"/>
    <x v="42"/>
    <s v="Admin/HR/IT"/>
    <s v="AMCARE NonOcc In"/>
    <s v="TEMP"/>
    <n v="202173806"/>
    <s v="Urenda,Cristopher"/>
    <s v="Bueno Mendoza,Susana"/>
    <n v="0"/>
    <n v="0"/>
    <n v="0"/>
    <n v="0"/>
    <n v="0.99"/>
    <e v="#N/A"/>
    <x v="248"/>
  </r>
  <r>
    <d v="2023-11-01T00:00:00"/>
    <x v="42"/>
    <s v="Admin/HR/IT"/>
    <s v="AMCARE NonOcc In"/>
    <s v="TEMP"/>
    <n v="202185991"/>
    <s v="VÃ¡zquez,AndrÃ©s"/>
    <s v="Bueno Mendoza,Susana"/>
    <n v="0"/>
    <n v="0"/>
    <n v="0"/>
    <n v="0"/>
    <n v="0.27"/>
    <e v="#N/A"/>
    <x v="274"/>
  </r>
  <r>
    <d v="2023-11-01T00:00:00"/>
    <x v="42"/>
    <s v="Admin/HR/IT"/>
    <s v="AMCARE NonOcc In"/>
    <s v="TEMP"/>
    <n v="202194885"/>
    <s v="Bermejo,Israel"/>
    <s v="Piedra,Valentina"/>
    <n v="0"/>
    <n v="0"/>
    <n v="0"/>
    <n v="0"/>
    <n v="0.34"/>
    <e v="#N/A"/>
    <x v="340"/>
  </r>
  <r>
    <d v="2023-11-01T00:00:00"/>
    <x v="42"/>
    <s v="Admin/HR/IT"/>
    <s v="AMCARE NonOcc In"/>
    <s v="TEMP"/>
    <n v="202225994"/>
    <s v="Jauregui,IvÃ¡n"/>
    <s v="Rosas Negrete,Sebastian"/>
    <n v="0"/>
    <n v="0"/>
    <n v="0"/>
    <n v="0"/>
    <n v="1.04"/>
    <e v="#N/A"/>
    <x v="341"/>
  </r>
  <r>
    <d v="2023-11-01T00:00:00"/>
    <x v="42"/>
    <s v="Admin/HR/IT"/>
    <s v="AMCARE NonOcc In"/>
    <s v="TEMP"/>
    <n v="202227928"/>
    <s v="Mares,Pablo"/>
    <s v="Romero Sanchez,Gustavo Gabriel"/>
    <n v="0"/>
    <n v="0"/>
    <n v="0"/>
    <n v="0"/>
    <n v="0.22"/>
    <e v="#N/A"/>
    <x v="316"/>
  </r>
  <r>
    <d v="2023-11-01T00:00:00"/>
    <x v="42"/>
    <s v="Admin/HR/IT"/>
    <s v="AMCARE NonOcc In"/>
    <s v="TEMP"/>
    <n v="202247877"/>
    <s v="Santibanez,Mariano"/>
    <s v="Rosas Negrete,Sebastian"/>
    <n v="0"/>
    <n v="0"/>
    <n v="0"/>
    <n v="0"/>
    <n v="0.44"/>
    <e v="#N/A"/>
    <x v="342"/>
  </r>
  <r>
    <d v="2023-11-01T00:00:00"/>
    <x v="42"/>
    <s v="Admin/HR/IT"/>
    <s v="AMCARE NonOcc In"/>
    <s v="TEMP"/>
    <n v="202254886"/>
    <s v="Mendoza,Jared"/>
    <s v="Munoz,Jonan"/>
    <n v="0"/>
    <n v="0"/>
    <n v="0"/>
    <n v="0"/>
    <n v="2.67"/>
    <e v="#N/A"/>
    <x v="343"/>
  </r>
  <r>
    <d v="2023-11-01T00:00:00"/>
    <x v="42"/>
    <s v="Admin/HR/IT"/>
    <s v="AMCARE NonOcc In"/>
    <s v="TEMP"/>
    <n v="202288018"/>
    <s v="Gallegos,Leonardo"/>
    <s v="Camarena,Grecia"/>
    <n v="0"/>
    <n v="0"/>
    <n v="0"/>
    <n v="0"/>
    <n v="0.49"/>
    <e v="#N/A"/>
    <x v="344"/>
  </r>
  <r>
    <d v="2023-11-01T00:00:00"/>
    <x v="42"/>
    <s v="Admin/HR/IT"/>
    <s v="AMCARE NonOcc In"/>
    <s v="TEMP"/>
    <n v="202308885"/>
    <s v="Adona,Erika"/>
    <s v="Lopez,Alexa"/>
    <n v="0"/>
    <n v="0"/>
    <n v="0"/>
    <n v="0"/>
    <n v="0.18"/>
    <e v="#N/A"/>
    <x v="345"/>
  </r>
  <r>
    <d v="2023-11-01T00:00:00"/>
    <x v="42"/>
    <s v="Admin/HR/IT"/>
    <s v="AMCARE NonOcc In"/>
    <s v="TEMP"/>
    <n v="202329548"/>
    <s v="Hernandez,Gustavo"/>
    <s v="Madrid Molina,Ramon"/>
    <n v="0"/>
    <n v="0"/>
    <n v="0"/>
    <n v="0"/>
    <n v="0.93"/>
    <e v="#N/A"/>
    <x v="346"/>
  </r>
  <r>
    <d v="2023-11-01T00:00:00"/>
    <x v="42"/>
    <s v="Admin/HR/IT"/>
    <s v="AMCARE NonOcc In"/>
    <s v="TEMP"/>
    <n v="202334866"/>
    <s v="Villalpando Hernandez,Kelvin"/>
    <s v="Madrid Molina,Ramon"/>
    <n v="0"/>
    <n v="0"/>
    <n v="0"/>
    <n v="0"/>
    <n v="2.0699999999999998"/>
    <e v="#N/A"/>
    <x v="347"/>
  </r>
  <r>
    <d v="2023-11-01T00:00:00"/>
    <x v="42"/>
    <s v="Admin/HR/IT"/>
    <s v="AMCARE NonOcc In"/>
    <s v="TEMP"/>
    <n v="202408362"/>
    <s v="Paz,Alhe"/>
    <s v="Pizana,Diego"/>
    <n v="0"/>
    <n v="0"/>
    <n v="0"/>
    <n v="0"/>
    <n v="0.33"/>
    <e v="#N/A"/>
    <x v="348"/>
  </r>
  <r>
    <d v="2023-11-01T00:00:00"/>
    <x v="42"/>
    <s v="Admin/HR/IT"/>
    <s v="AMCARE NonOcc In"/>
    <s v="TEMP"/>
    <n v="202409832"/>
    <s v="Martinez,Vero"/>
    <s v="Hernandez,Nataly"/>
    <n v="0"/>
    <n v="0"/>
    <n v="0"/>
    <n v="0"/>
    <n v="0.23"/>
    <e v="#N/A"/>
    <x v="349"/>
  </r>
  <r>
    <d v="2023-11-01T00:00:00"/>
    <x v="42"/>
    <s v="Admin/HR/IT"/>
    <s v="AMCARE NonOcc In"/>
    <s v="TEMP"/>
    <n v="202410548"/>
    <s v="Ramirez,Ceci"/>
    <s v="Pizana,Diego"/>
    <n v="0"/>
    <n v="0"/>
    <n v="0"/>
    <n v="0"/>
    <n v="0.16"/>
    <e v="#N/A"/>
    <x v="350"/>
  </r>
  <r>
    <d v="2023-11-01T00:00:00"/>
    <x v="42"/>
    <s v="Admin/HR/IT"/>
    <s v="AMCARE NonOcc In"/>
    <s v="TEMP"/>
    <n v="202442798"/>
    <s v="Loredo Segura,Antonio"/>
    <s v="Pizana,Diego"/>
    <n v="0"/>
    <n v="0"/>
    <n v="0"/>
    <n v="0"/>
    <n v="0.04"/>
    <e v="#N/A"/>
    <x v="351"/>
  </r>
  <r>
    <d v="2023-11-02T00:00:00"/>
    <x v="42"/>
    <s v="Admin/HR/IT"/>
    <s v="AMCARE NonOcc In"/>
    <s v="AMZN"/>
    <n v="112912983"/>
    <s v="RodrÃ­guez,RocÃ­o"/>
    <s v="Camarena,Grecia"/>
    <n v="0"/>
    <n v="0"/>
    <n v="0"/>
    <n v="0"/>
    <n v="0.09"/>
    <s v="NF-X1900"/>
    <x v="75"/>
  </r>
  <r>
    <d v="2023-11-02T00:00:00"/>
    <x v="42"/>
    <s v="Admin/HR/IT"/>
    <s v="AMCARE NonOcc In"/>
    <s v="AMZN"/>
    <n v="112971988"/>
    <s v="Trejo Tarango,Stephannie Del Rocio"/>
    <s v="AlarcÃ³n,Irving"/>
    <n v="0"/>
    <n v="0"/>
    <n v="0"/>
    <n v="0"/>
    <n v="0.74"/>
    <s v="DB-X0700"/>
    <x v="80"/>
  </r>
  <r>
    <d v="2023-11-02T00:00:00"/>
    <x v="42"/>
    <s v="Admin/HR/IT"/>
    <s v="AMCARE NonOcc In"/>
    <s v="AMZN"/>
    <n v="113020476"/>
    <s v="Puente Aguilar,Polette"/>
    <s v="Romero Sanchez,Gustavo Gabriel"/>
    <n v="0"/>
    <n v="0"/>
    <n v="0"/>
    <n v="0"/>
    <n v="0.37"/>
    <e v="#N/A"/>
    <x v="19"/>
  </r>
  <r>
    <d v="2023-11-02T00:00:00"/>
    <x v="42"/>
    <s v="Admin/HR/IT"/>
    <s v="AMCARE NonOcc In"/>
    <s v="AMZN"/>
    <n v="113138338"/>
    <s v="Cornejo,Cesar"/>
    <s v="Camarena,Grecia"/>
    <n v="0"/>
    <n v="0"/>
    <n v="0"/>
    <n v="0"/>
    <n v="0.64"/>
    <e v="#N/A"/>
    <x v="39"/>
  </r>
  <r>
    <d v="2023-11-02T00:00:00"/>
    <x v="42"/>
    <s v="Admin/HR/IT"/>
    <s v="AMCARE NonOcc In"/>
    <s v="AMZN"/>
    <n v="201167388"/>
    <s v="Aguirre,Octavio"/>
    <s v="Romero Sanchez,Gustavo Gabriel"/>
    <n v="0"/>
    <n v="0"/>
    <n v="0"/>
    <n v="0"/>
    <n v="0.32"/>
    <e v="#N/A"/>
    <x v="159"/>
  </r>
  <r>
    <d v="2023-11-02T00:00:00"/>
    <x v="42"/>
    <s v="Admin/HR/IT"/>
    <s v="AMCARE NonOcc In"/>
    <s v="AMZN"/>
    <n v="201223730"/>
    <s v="Sanchiz,Cesarito"/>
    <s v="Romero Sanchez,Gustavo Gabriel"/>
    <n v="0"/>
    <n v="0"/>
    <n v="0"/>
    <n v="0"/>
    <n v="1.06"/>
    <e v="#N/A"/>
    <x v="120"/>
  </r>
  <r>
    <d v="2023-11-02T00:00:00"/>
    <x v="42"/>
    <s v="Admin/HR/IT"/>
    <s v="AMCARE NonOcc In"/>
    <s v="AMZN"/>
    <n v="201228411"/>
    <s v="Hernandez Soriano,Jazmin"/>
    <s v="Romero Sanchez,Gustavo Gabriel"/>
    <n v="0"/>
    <n v="0"/>
    <n v="0"/>
    <n v="0"/>
    <n v="1.1399999999999999"/>
    <e v="#N/A"/>
    <x v="123"/>
  </r>
  <r>
    <d v="2023-11-02T00:00:00"/>
    <x v="42"/>
    <s v="Admin/HR/IT"/>
    <s v="AMCARE NonOcc In"/>
    <s v="AMZN"/>
    <n v="201353234"/>
    <s v="Padilla,Ramon"/>
    <s v="AlarcÃ³n,Irving"/>
    <n v="0"/>
    <n v="0"/>
    <n v="0"/>
    <n v="0"/>
    <n v="0.41"/>
    <e v="#N/A"/>
    <x v="187"/>
  </r>
  <r>
    <d v="2023-11-02T00:00:00"/>
    <x v="42"/>
    <s v="Admin/HR/IT"/>
    <s v="AMCARE NonOcc In"/>
    <s v="TEMP"/>
    <n v="201408478"/>
    <s v="Calderon,David"/>
    <s v="Romero Sanchez,Gustavo Gabriel"/>
    <n v="0"/>
    <n v="0"/>
    <n v="0"/>
    <n v="0"/>
    <n v="0.32"/>
    <e v="#N/A"/>
    <x v="160"/>
  </r>
  <r>
    <d v="2023-11-02T00:00:00"/>
    <x v="42"/>
    <s v="Admin/HR/IT"/>
    <s v="AMCARE NonOcc In"/>
    <s v="TEMP"/>
    <n v="201842064"/>
    <s v="Agripino,Andrea"/>
    <s v="Piedra,Valentina"/>
    <n v="0"/>
    <n v="0"/>
    <n v="0"/>
    <n v="0"/>
    <n v="0.46"/>
    <e v="#N/A"/>
    <x v="210"/>
  </r>
  <r>
    <d v="2023-11-02T00:00:00"/>
    <x v="42"/>
    <s v="Admin/HR/IT"/>
    <s v="AMCARE NonOcc In"/>
    <s v="TEMP"/>
    <n v="202062181"/>
    <s v="Trejo,Luis"/>
    <s v="Rosas Negrete,Sebastian"/>
    <n v="0"/>
    <n v="0"/>
    <n v="0"/>
    <n v="0"/>
    <n v="0.11"/>
    <e v="#N/A"/>
    <x v="243"/>
  </r>
  <r>
    <d v="2023-11-02T00:00:00"/>
    <x v="42"/>
    <s v="Admin/HR/IT"/>
    <s v="AMCARE NonOcc In"/>
    <s v="TEMP"/>
    <n v="202129214"/>
    <s v="Zuniga,Isaac"/>
    <s v="Manzanares Navarro,Sandra"/>
    <n v="0"/>
    <n v="0"/>
    <n v="0"/>
    <n v="0"/>
    <n v="0.33"/>
    <e v="#N/A"/>
    <x v="265"/>
  </r>
  <r>
    <d v="2023-11-02T00:00:00"/>
    <x v="42"/>
    <s v="Admin/HR/IT"/>
    <s v="AMCARE NonOcc In"/>
    <s v="TEMP"/>
    <n v="202147405"/>
    <s v="Perez,Andy"/>
    <s v="Manzanares Navarro,Sandra"/>
    <n v="0"/>
    <n v="0"/>
    <n v="0"/>
    <n v="0"/>
    <n v="0.42"/>
    <e v="#N/A"/>
    <x v="352"/>
  </r>
  <r>
    <d v="2023-11-02T00:00:00"/>
    <x v="42"/>
    <s v="Admin/HR/IT"/>
    <s v="AMCARE NonOcc In"/>
    <s v="TEMP"/>
    <n v="202165242"/>
    <s v="Gonzalez,Marco"/>
    <s v="Munoz,Jonan"/>
    <n v="0"/>
    <n v="0"/>
    <n v="0"/>
    <n v="0"/>
    <n v="0.22"/>
    <e v="#N/A"/>
    <x v="251"/>
  </r>
  <r>
    <d v="2023-11-02T00:00:00"/>
    <x v="42"/>
    <s v="Admin/HR/IT"/>
    <s v="AMCARE NonOcc In"/>
    <s v="TEMP"/>
    <n v="202173223"/>
    <s v="Arenas,Itzel"/>
    <s v="Rosas Negrete,Sebastian"/>
    <n v="0"/>
    <n v="0"/>
    <n v="0"/>
    <n v="0"/>
    <n v="0.69"/>
    <e v="#N/A"/>
    <x v="353"/>
  </r>
  <r>
    <d v="2023-11-02T00:00:00"/>
    <x v="42"/>
    <s v="Admin/HR/IT"/>
    <s v="AMCARE NonOcc In"/>
    <s v="TEMP"/>
    <n v="202185231"/>
    <s v="VÃ¡zquez,Daniela"/>
    <s v="Piedra,Valentina"/>
    <n v="0"/>
    <n v="0"/>
    <n v="0"/>
    <n v="0"/>
    <n v="0.28000000000000003"/>
    <e v="#N/A"/>
    <x v="261"/>
  </r>
  <r>
    <d v="2023-11-02T00:00:00"/>
    <x v="42"/>
    <s v="Admin/HR/IT"/>
    <s v="AMCARE NonOcc In"/>
    <s v="TEMP"/>
    <n v="202226099"/>
    <s v="Luna,Barby"/>
    <s v="Camarena,Grecia"/>
    <n v="0"/>
    <n v="0"/>
    <n v="0"/>
    <n v="0"/>
    <n v="0.23"/>
    <e v="#N/A"/>
    <x v="297"/>
  </r>
  <r>
    <d v="2023-11-02T00:00:00"/>
    <x v="42"/>
    <s v="Admin/HR/IT"/>
    <s v="AMCARE NonOcc In"/>
    <s v="TEMP"/>
    <n v="202250181"/>
    <s v="Gutierrez,Samuel"/>
    <s v="Corona Arriaga,Fernando"/>
    <n v="0"/>
    <n v="0"/>
    <n v="0"/>
    <n v="0"/>
    <n v="0.26"/>
    <e v="#N/A"/>
    <x v="278"/>
  </r>
  <r>
    <d v="2023-11-02T00:00:00"/>
    <x v="42"/>
    <s v="Admin/HR/IT"/>
    <s v="AMCARE NonOcc In"/>
    <s v="TEMP"/>
    <n v="202282459"/>
    <s v="VelÃ¡zquez,Alexis"/>
    <s v="Romero Sanchez,Gustavo Gabriel"/>
    <n v="0"/>
    <n v="0"/>
    <n v="0"/>
    <n v="0"/>
    <n v="0.19"/>
    <e v="#N/A"/>
    <x v="354"/>
  </r>
  <r>
    <d v="2023-11-02T00:00:00"/>
    <x v="42"/>
    <s v="Admin/HR/IT"/>
    <s v="AMCARE NonOcc In"/>
    <s v="TEMP"/>
    <n v="202291384"/>
    <s v="Vela,Sergio"/>
    <s v="Romero Sanchez,Gustavo Gabriel"/>
    <n v="0"/>
    <n v="0"/>
    <n v="0"/>
    <n v="0"/>
    <n v="2.68"/>
    <e v="#N/A"/>
    <x v="308"/>
  </r>
  <r>
    <d v="2023-11-02T00:00:00"/>
    <x v="42"/>
    <s v="Admin/HR/IT"/>
    <s v="AMCARE NonOcc In"/>
    <s v="TEMP"/>
    <n v="202323975"/>
    <s v="Hernandez,Alejandro"/>
    <s v="Piedra,Valentina"/>
    <n v="0"/>
    <n v="0"/>
    <n v="0"/>
    <n v="0"/>
    <n v="0.46"/>
    <e v="#N/A"/>
    <x v="355"/>
  </r>
  <r>
    <d v="2023-11-02T00:00:00"/>
    <x v="42"/>
    <s v="Admin/HR/IT"/>
    <s v="AMCARE NonOcc In"/>
    <s v="TEMP"/>
    <n v="202334621"/>
    <s v="Ramos,Karla"/>
    <s v="Rosas Negrete,Sebastian"/>
    <n v="0"/>
    <n v="0"/>
    <n v="0"/>
    <n v="0"/>
    <n v="0.15"/>
    <e v="#N/A"/>
    <x v="326"/>
  </r>
  <r>
    <d v="2023-11-02T00:00:00"/>
    <x v="42"/>
    <s v="Admin/HR/IT"/>
    <s v="AMCARE NonOcc In"/>
    <s v="TEMP"/>
    <n v="202334920"/>
    <s v="Ramirez,Rocio"/>
    <s v="Piedra,Valentina"/>
    <n v="0"/>
    <n v="0"/>
    <n v="0"/>
    <n v="0"/>
    <n v="0.62"/>
    <e v="#N/A"/>
    <x v="310"/>
  </r>
  <r>
    <d v="2023-11-02T00:00:00"/>
    <x v="42"/>
    <s v="Admin/HR/IT"/>
    <s v="AMCARE NonOcc In"/>
    <s v="TEMP"/>
    <n v="202353921"/>
    <s v="Arechar Ortiz,Lindi Noemi"/>
    <s v="Corona Arriaga,Fernando"/>
    <n v="0"/>
    <n v="0"/>
    <n v="0"/>
    <n v="0"/>
    <n v="0.2"/>
    <e v="#N/A"/>
    <x v="320"/>
  </r>
  <r>
    <d v="2023-11-02T00:00:00"/>
    <x v="42"/>
    <s v="Admin/HR/IT"/>
    <s v="AMCARE NonOcc In"/>
    <s v="TEMP"/>
    <n v="202417687"/>
    <s v="Cordova,Edith"/>
    <s v="Manzanares Navarro,Sandra"/>
    <n v="0"/>
    <n v="0"/>
    <n v="0"/>
    <n v="0"/>
    <n v="0.31"/>
    <e v="#N/A"/>
    <x v="356"/>
  </r>
  <r>
    <d v="2023-11-02T00:00:00"/>
    <x v="42"/>
    <s v="Admin/HR/IT"/>
    <s v="AMCARE NonOcc In"/>
    <s v="TEMP"/>
    <n v="202435705"/>
    <s v="LaO Blanco,Ivan"/>
    <s v="Cortes,Alejandra"/>
    <n v="0"/>
    <n v="0"/>
    <n v="0"/>
    <n v="0"/>
    <n v="0.62"/>
    <e v="#N/A"/>
    <x v="357"/>
  </r>
  <r>
    <d v="2023-11-03T00:00:00"/>
    <x v="42"/>
    <s v="Admin/HR/IT"/>
    <s v="AMCARE NonOcc In"/>
    <s v="AMZN"/>
    <n v="112972215"/>
    <s v="Cruz,Ana"/>
    <s v="Romero Sanchez,Gustavo Gabriel"/>
    <n v="0"/>
    <n v="0"/>
    <n v="0"/>
    <n v="0"/>
    <n v="0.34"/>
    <s v="DB-X0700"/>
    <x v="134"/>
  </r>
  <r>
    <d v="2023-11-03T00:00:00"/>
    <x v="42"/>
    <s v="Admin/HR/IT"/>
    <s v="AMCARE NonOcc In"/>
    <s v="AMZN"/>
    <n v="113014560"/>
    <s v="Lopez Moreno,Americo"/>
    <s v="Romero Sanchez,Gustavo Gabriel"/>
    <n v="0"/>
    <n v="0"/>
    <n v="0"/>
    <n v="0"/>
    <n v="0.04"/>
    <e v="#N/A"/>
    <x v="81"/>
  </r>
  <r>
    <d v="2023-11-03T00:00:00"/>
    <x v="42"/>
    <s v="Admin/HR/IT"/>
    <s v="AMCARE NonOcc In"/>
    <s v="AMZN"/>
    <n v="113020476"/>
    <s v="Puente Aguilar,Polette"/>
    <s v="Romero Sanchez,Gustavo Gabriel"/>
    <n v="0"/>
    <n v="0"/>
    <n v="0"/>
    <n v="0"/>
    <n v="0.62"/>
    <e v="#N/A"/>
    <x v="19"/>
  </r>
  <r>
    <d v="2023-11-03T00:00:00"/>
    <x v="42"/>
    <s v="Admin/HR/IT"/>
    <s v="AMCARE NonOcc In"/>
    <s v="AMZN"/>
    <n v="113052151"/>
    <s v="Nieves Mendez,Laura"/>
    <s v="Piedra,Valentina"/>
    <n v="0"/>
    <n v="0"/>
    <n v="0"/>
    <n v="0"/>
    <n v="0.39"/>
    <e v="#N/A"/>
    <x v="56"/>
  </r>
  <r>
    <d v="2023-11-03T00:00:00"/>
    <x v="42"/>
    <s v="Admin/HR/IT"/>
    <s v="AMCARE NonOcc In"/>
    <s v="AMZN"/>
    <n v="200508315"/>
    <s v="Herrera,Aldair"/>
    <s v="Romero Sanchez,Gustavo Gabriel"/>
    <n v="0"/>
    <n v="0"/>
    <n v="0"/>
    <n v="0"/>
    <n v="0.49"/>
    <e v="#N/A"/>
    <x v="41"/>
  </r>
  <r>
    <d v="2023-11-03T00:00:00"/>
    <x v="42"/>
    <s v="Admin/HR/IT"/>
    <s v="AMCARE NonOcc In"/>
    <s v="AMZN"/>
    <n v="200508323"/>
    <s v="Espejel Lopez,Emmanuel"/>
    <s v="Romero Sanchez,Gustavo Gabriel"/>
    <n v="0"/>
    <n v="0"/>
    <n v="0"/>
    <n v="0"/>
    <n v="0.16"/>
    <e v="#N/A"/>
    <x v="177"/>
  </r>
  <r>
    <d v="2023-11-03T00:00:00"/>
    <x v="42"/>
    <s v="Admin/HR/IT"/>
    <s v="AMCARE NonOcc In"/>
    <s v="AMZN"/>
    <n v="201185299"/>
    <s v="Garcia,Noemi"/>
    <s v="Piedra,Valentina"/>
    <n v="0"/>
    <n v="0"/>
    <n v="0"/>
    <n v="0"/>
    <n v="0.18"/>
    <e v="#N/A"/>
    <x v="138"/>
  </r>
  <r>
    <d v="2023-11-03T00:00:00"/>
    <x v="42"/>
    <s v="Admin/HR/IT"/>
    <s v="AMCARE NonOcc In"/>
    <s v="AMZN"/>
    <n v="201191198"/>
    <s v="Mojica,Emmanuel"/>
    <s v="Piedra,Valentina"/>
    <n v="0"/>
    <n v="0"/>
    <n v="0"/>
    <n v="0"/>
    <n v="0.99"/>
    <e v="#N/A"/>
    <x v="130"/>
  </r>
  <r>
    <d v="2023-11-03T00:00:00"/>
    <x v="42"/>
    <s v="Admin/HR/IT"/>
    <s v="AMCARE NonOcc In"/>
    <s v="AMZN"/>
    <n v="201191390"/>
    <s v="GarcÃ­a,jesus"/>
    <s v="Romero Sanchez,Gustavo Gabriel"/>
    <n v="0"/>
    <n v="0"/>
    <n v="0"/>
    <n v="0"/>
    <n v="1.02"/>
    <e v="#N/A"/>
    <x v="116"/>
  </r>
  <r>
    <d v="2023-11-03T00:00:00"/>
    <x v="42"/>
    <s v="Admin/HR/IT"/>
    <s v="AMCARE NonOcc In"/>
    <s v="AMZN"/>
    <n v="201223730"/>
    <s v="Sanchiz,Cesarito"/>
    <s v="Romero Sanchez,Gustavo Gabriel"/>
    <n v="0"/>
    <n v="0"/>
    <n v="0"/>
    <n v="0"/>
    <n v="0.69"/>
    <e v="#N/A"/>
    <x v="120"/>
  </r>
  <r>
    <d v="2023-11-03T00:00:00"/>
    <x v="42"/>
    <s v="Admin/HR/IT"/>
    <s v="AMCARE NonOcc In"/>
    <s v="AMZN"/>
    <n v="201228411"/>
    <s v="Hernandez Soriano,Jazmin"/>
    <s v="Romero Sanchez,Gustavo Gabriel"/>
    <n v="0"/>
    <n v="0"/>
    <n v="0"/>
    <n v="0"/>
    <n v="0.68"/>
    <e v="#N/A"/>
    <x v="123"/>
  </r>
  <r>
    <d v="2023-11-03T00:00:00"/>
    <x v="42"/>
    <s v="Admin/HR/IT"/>
    <s v="AMCARE NonOcc In"/>
    <s v="AMZN"/>
    <n v="201353234"/>
    <s v="Padilla,Ramon"/>
    <s v="AlarcÃ³n,Irving"/>
    <n v="0"/>
    <n v="0"/>
    <n v="0"/>
    <n v="0"/>
    <n v="0.19"/>
    <e v="#N/A"/>
    <x v="187"/>
  </r>
  <r>
    <d v="2023-11-03T00:00:00"/>
    <x v="42"/>
    <s v="Admin/HR/IT"/>
    <s v="AMCARE NonOcc In"/>
    <s v="TEMP"/>
    <n v="201365023"/>
    <s v="Centeno,Ara"/>
    <s v="Romero Sanchez,Gustavo Gabriel"/>
    <n v="0"/>
    <n v="0"/>
    <n v="0"/>
    <n v="0"/>
    <n v="1.98"/>
    <e v="#N/A"/>
    <x v="358"/>
  </r>
  <r>
    <d v="2023-11-03T00:00:00"/>
    <x v="42"/>
    <s v="Admin/HR/IT"/>
    <s v="AMCARE NonOcc In"/>
    <s v="TEMP"/>
    <n v="201408478"/>
    <s v="Calderon,David"/>
    <s v="Romero Sanchez,Gustavo Gabriel"/>
    <n v="0"/>
    <n v="0"/>
    <n v="0"/>
    <n v="0"/>
    <n v="0.75"/>
    <e v="#N/A"/>
    <x v="160"/>
  </r>
  <r>
    <d v="2023-11-03T00:00:00"/>
    <x v="42"/>
    <s v="Admin/HR/IT"/>
    <s v="AMCARE NonOcc In"/>
    <s v="TEMP"/>
    <n v="201842039"/>
    <s v="Martinez,Antonio"/>
    <s v="Piedra,Valentina"/>
    <n v="0"/>
    <n v="0"/>
    <n v="0"/>
    <n v="0"/>
    <n v="0.16"/>
    <e v="#N/A"/>
    <x v="203"/>
  </r>
  <r>
    <d v="2023-11-03T00:00:00"/>
    <x v="42"/>
    <s v="Admin/HR/IT"/>
    <s v="AMCARE NonOcc In"/>
    <s v="TEMP"/>
    <n v="201842064"/>
    <s v="Agripino,Andrea"/>
    <s v="Piedra,Valentina"/>
    <n v="0"/>
    <n v="0"/>
    <n v="0"/>
    <n v="0"/>
    <n v="0.3"/>
    <e v="#N/A"/>
    <x v="210"/>
  </r>
  <r>
    <d v="2023-11-03T00:00:00"/>
    <x v="42"/>
    <s v="Admin/HR/IT"/>
    <s v="AMCARE NonOcc In"/>
    <s v="TEMP"/>
    <n v="201858867"/>
    <s v="Cruz Velazquez,Gabriela"/>
    <s v="Piedra,Valentina"/>
    <n v="0"/>
    <n v="0"/>
    <n v="0"/>
    <n v="0"/>
    <n v="0.39"/>
    <e v="#N/A"/>
    <x v="206"/>
  </r>
  <r>
    <d v="2023-11-03T00:00:00"/>
    <x v="42"/>
    <s v="Admin/HR/IT"/>
    <s v="AMCARE NonOcc In"/>
    <s v="TEMP"/>
    <n v="201903097"/>
    <s v="Oliva,Montserrat"/>
    <s v="Piedra,Valentina"/>
    <n v="0"/>
    <n v="0"/>
    <n v="0"/>
    <n v="0"/>
    <n v="0.3"/>
    <e v="#N/A"/>
    <x v="208"/>
  </r>
  <r>
    <d v="2023-11-03T00:00:00"/>
    <x v="42"/>
    <s v="Admin/HR/IT"/>
    <s v="AMCARE NonOcc In"/>
    <s v="TEMP"/>
    <n v="201908189"/>
    <s v="Martinez,Francisco"/>
    <s v="Piedra,Valentina"/>
    <n v="0"/>
    <n v="0"/>
    <n v="0"/>
    <n v="0"/>
    <n v="0.2"/>
    <e v="#N/A"/>
    <x v="202"/>
  </r>
  <r>
    <d v="2023-11-03T00:00:00"/>
    <x v="42"/>
    <s v="Admin/HR/IT"/>
    <s v="AMCARE NonOcc In"/>
    <s v="TEMP"/>
    <n v="202117420"/>
    <s v="Cervera,Israel"/>
    <s v="Manzanares Navarro,Sandra"/>
    <n v="0"/>
    <n v="0"/>
    <n v="0"/>
    <n v="0"/>
    <n v="0.74"/>
    <e v="#N/A"/>
    <x v="230"/>
  </r>
  <r>
    <d v="2023-11-03T00:00:00"/>
    <x v="42"/>
    <s v="Admin/HR/IT"/>
    <s v="AMCARE NonOcc In"/>
    <s v="TEMP"/>
    <n v="202189809"/>
    <s v="Luna,Mario"/>
    <s v="Piedra,Valentina"/>
    <n v="0"/>
    <n v="0"/>
    <n v="0"/>
    <n v="0"/>
    <n v="0.22"/>
    <e v="#N/A"/>
    <x v="286"/>
  </r>
  <r>
    <d v="2023-11-03T00:00:00"/>
    <x v="42"/>
    <s v="Admin/HR/IT"/>
    <s v="AMCARE NonOcc In"/>
    <s v="TEMP"/>
    <n v="202194885"/>
    <s v="Bermejo,Israel"/>
    <s v="Piedra,Valentina"/>
    <n v="0"/>
    <n v="0"/>
    <n v="0"/>
    <n v="0"/>
    <n v="1.87"/>
    <e v="#N/A"/>
    <x v="340"/>
  </r>
  <r>
    <d v="2023-11-03T00:00:00"/>
    <x v="42"/>
    <s v="Admin/HR/IT"/>
    <s v="AMCARE NonOcc In"/>
    <s v="TEMP"/>
    <n v="202246028"/>
    <s v="Garcia,Rodrigo"/>
    <s v="Munoz,Jonan"/>
    <n v="0"/>
    <n v="0"/>
    <n v="0"/>
    <n v="0"/>
    <n v="0.66"/>
    <e v="#N/A"/>
    <x v="359"/>
  </r>
  <r>
    <d v="2023-11-03T00:00:00"/>
    <x v="42"/>
    <s v="Admin/HR/IT"/>
    <s v="AMCARE NonOcc In"/>
    <s v="TEMP"/>
    <n v="202253745"/>
    <s v="Rodriguez,Gaby"/>
    <s v="Camarena,Grecia"/>
    <n v="0"/>
    <n v="0"/>
    <n v="0"/>
    <n v="0"/>
    <n v="0.18"/>
    <e v="#N/A"/>
    <x v="360"/>
  </r>
  <r>
    <d v="2023-11-03T00:00:00"/>
    <x v="42"/>
    <s v="Admin/HR/IT"/>
    <s v="AMCARE NonOcc In"/>
    <s v="TEMP"/>
    <n v="202289699"/>
    <s v="Araujo,Hisela"/>
    <s v="Corona Arriaga,Fernando"/>
    <n v="0"/>
    <n v="0"/>
    <n v="0"/>
    <n v="0"/>
    <n v="0.16"/>
    <e v="#N/A"/>
    <x v="361"/>
  </r>
  <r>
    <d v="2023-11-03T00:00:00"/>
    <x v="42"/>
    <s v="Admin/HR/IT"/>
    <s v="AMCARE NonOcc In"/>
    <s v="TEMP"/>
    <n v="202291219"/>
    <s v="Aguilar,Carlos"/>
    <s v="Piedra,Valentina"/>
    <n v="0"/>
    <n v="0"/>
    <n v="0"/>
    <n v="0"/>
    <n v="0.7"/>
    <e v="#N/A"/>
    <x v="317"/>
  </r>
  <r>
    <d v="2023-11-03T00:00:00"/>
    <x v="42"/>
    <s v="Admin/HR/IT"/>
    <s v="AMCARE NonOcc In"/>
    <s v="TEMP"/>
    <n v="202291384"/>
    <s v="Vela,Sergio"/>
    <s v="Romero Sanchez,Gustavo Gabriel"/>
    <n v="0"/>
    <n v="0"/>
    <n v="0"/>
    <n v="0"/>
    <n v="0.14000000000000001"/>
    <e v="#N/A"/>
    <x v="308"/>
  </r>
  <r>
    <d v="2023-11-03T00:00:00"/>
    <x v="42"/>
    <s v="Admin/HR/IT"/>
    <s v="AMCARE NonOcc In"/>
    <s v="TEMP"/>
    <n v="202291460"/>
    <s v="Ornelas,Ana"/>
    <s v="Corona Arriaga,Fernando"/>
    <n v="0"/>
    <n v="0"/>
    <n v="0"/>
    <n v="0"/>
    <n v="0.32"/>
    <e v="#N/A"/>
    <x v="318"/>
  </r>
  <r>
    <d v="2023-11-03T00:00:00"/>
    <x v="42"/>
    <s v="Admin/HR/IT"/>
    <s v="AMCARE NonOcc In"/>
    <s v="TEMP"/>
    <n v="202308885"/>
    <s v="Adona,Erika"/>
    <s v="Lopez,Alexa"/>
    <n v="0"/>
    <n v="0"/>
    <n v="0"/>
    <n v="0"/>
    <n v="0.45"/>
    <e v="#N/A"/>
    <x v="345"/>
  </r>
  <r>
    <d v="2023-11-03T00:00:00"/>
    <x v="42"/>
    <s v="Admin/HR/IT"/>
    <s v="AMCARE NonOcc In"/>
    <s v="TEMP"/>
    <n v="202334620"/>
    <s v="Vera,Alejandro"/>
    <s v="Piedra,Valentina"/>
    <n v="0"/>
    <n v="0"/>
    <n v="0"/>
    <n v="0"/>
    <n v="0.37"/>
    <e v="#N/A"/>
    <x v="362"/>
  </r>
  <r>
    <d v="2023-11-03T00:00:00"/>
    <x v="42"/>
    <s v="Admin/HR/IT"/>
    <s v="AMCARE NonOcc In"/>
    <s v="TEMP"/>
    <n v="202334920"/>
    <s v="Ramirez,Rocio"/>
    <s v="Piedra,Valentina"/>
    <n v="0"/>
    <n v="0"/>
    <n v="0"/>
    <n v="0"/>
    <n v="0.19"/>
    <e v="#N/A"/>
    <x v="310"/>
  </r>
  <r>
    <d v="2023-11-03T00:00:00"/>
    <x v="42"/>
    <s v="Admin/HR/IT"/>
    <s v="AMCARE NonOcc In"/>
    <s v="TEMP"/>
    <n v="202353921"/>
    <s v="Arechar Ortiz,Lindi Noemi"/>
    <s v="Corona Arriaga,Fernando"/>
    <n v="0"/>
    <n v="0"/>
    <n v="0"/>
    <n v="0"/>
    <n v="0.15"/>
    <e v="#N/A"/>
    <x v="320"/>
  </r>
  <r>
    <d v="2023-11-03T00:00:00"/>
    <x v="42"/>
    <s v="Admin/HR/IT"/>
    <s v="AMCARE Occ In"/>
    <s v="TEMP"/>
    <n v="201365023"/>
    <s v="Centeno,Ara"/>
    <s v="Romero Sanchez,Gustavo Gabriel"/>
    <n v="0"/>
    <n v="0"/>
    <n v="0"/>
    <n v="0"/>
    <n v="2.5"/>
    <e v="#N/A"/>
    <x v="358"/>
  </r>
  <r>
    <d v="2023-11-04T00:00:00"/>
    <x v="42"/>
    <s v="Admin/HR/IT"/>
    <s v="AMCARE NonOcc In"/>
    <s v="TEMP"/>
    <n v="113014081"/>
    <s v="Frausto,Genesis"/>
    <s v="AlarcÃ³n,Irving"/>
    <n v="0"/>
    <n v="0"/>
    <n v="0"/>
    <n v="0"/>
    <n v="0.34"/>
    <e v="#N/A"/>
    <x v="9"/>
  </r>
  <r>
    <d v="2023-11-04T00:00:00"/>
    <x v="42"/>
    <s v="Admin/HR/IT"/>
    <s v="AMCARE NonOcc In"/>
    <s v="AMZN"/>
    <n v="113020476"/>
    <s v="Puente Aguilar,Polette"/>
    <s v="Romero Sanchez,Gustavo Gabriel"/>
    <n v="0"/>
    <n v="0"/>
    <n v="0"/>
    <n v="0"/>
    <n v="0.31"/>
    <e v="#N/A"/>
    <x v="19"/>
  </r>
  <r>
    <d v="2023-11-04T00:00:00"/>
    <x v="42"/>
    <s v="Admin/HR/IT"/>
    <s v="AMCARE NonOcc In"/>
    <s v="AMZN"/>
    <n v="200508323"/>
    <s v="Espejel Lopez,Emmanuel"/>
    <s v="Romero Sanchez,Gustavo Gabriel"/>
    <n v="0"/>
    <n v="0"/>
    <n v="0"/>
    <n v="0"/>
    <n v="0.1"/>
    <e v="#N/A"/>
    <x v="177"/>
  </r>
  <r>
    <d v="2023-11-04T00:00:00"/>
    <x v="42"/>
    <s v="Admin/HR/IT"/>
    <s v="AMCARE NonOcc In"/>
    <s v="AMZN"/>
    <n v="201167388"/>
    <s v="Aguirre,Octavio"/>
    <s v="Romero Sanchez,Gustavo Gabriel"/>
    <n v="0"/>
    <n v="0"/>
    <n v="0"/>
    <n v="0"/>
    <n v="0.14000000000000001"/>
    <e v="#N/A"/>
    <x v="159"/>
  </r>
  <r>
    <d v="2023-11-04T00:00:00"/>
    <x v="42"/>
    <s v="Admin/HR/IT"/>
    <s v="AMCARE NonOcc In"/>
    <s v="AMZN"/>
    <n v="201223730"/>
    <s v="Sanchiz,Cesarito"/>
    <s v="Romero Sanchez,Gustavo Gabriel"/>
    <n v="0"/>
    <n v="0"/>
    <n v="0"/>
    <n v="0"/>
    <n v="1.42"/>
    <e v="#N/A"/>
    <x v="120"/>
  </r>
  <r>
    <d v="2023-11-04T00:00:00"/>
    <x v="42"/>
    <s v="Admin/HR/IT"/>
    <s v="AMCARE NonOcc In"/>
    <s v="AMZN"/>
    <n v="201228411"/>
    <s v="Hernandez Soriano,Jazmin"/>
    <s v="Romero Sanchez,Gustavo Gabriel"/>
    <n v="0"/>
    <n v="0"/>
    <n v="0"/>
    <n v="0"/>
    <n v="1.44"/>
    <e v="#N/A"/>
    <x v="123"/>
  </r>
  <r>
    <d v="2023-11-04T00:00:00"/>
    <x v="42"/>
    <s v="Admin/HR/IT"/>
    <s v="AMCARE NonOcc In"/>
    <s v="TEMP"/>
    <n v="201294217"/>
    <s v="Montes,Bibiana"/>
    <s v="Cortes,Alejandra"/>
    <n v="0"/>
    <n v="0"/>
    <n v="0"/>
    <n v="0"/>
    <n v="0.72"/>
    <e v="#N/A"/>
    <x v="131"/>
  </r>
  <r>
    <d v="2023-11-04T00:00:00"/>
    <x v="42"/>
    <s v="Admin/HR/IT"/>
    <s v="AMCARE NonOcc In"/>
    <s v="TEMP"/>
    <n v="201320536"/>
    <s v="Ibarra,Miguel"/>
    <s v="Piedra,Valentina"/>
    <n v="0"/>
    <n v="0"/>
    <n v="0"/>
    <n v="0"/>
    <n v="0.64"/>
    <e v="#N/A"/>
    <x v="139"/>
  </r>
  <r>
    <d v="2023-11-04T00:00:00"/>
    <x v="42"/>
    <s v="Admin/HR/IT"/>
    <s v="AMCARE NonOcc In"/>
    <s v="AMZN"/>
    <n v="201353234"/>
    <s v="Padilla,Ramon"/>
    <s v="AlarcÃ³n,Irving"/>
    <n v="0"/>
    <n v="0"/>
    <n v="0"/>
    <n v="0"/>
    <n v="0.52"/>
    <e v="#N/A"/>
    <x v="187"/>
  </r>
  <r>
    <d v="2023-11-04T00:00:00"/>
    <x v="42"/>
    <s v="Admin/HR/IT"/>
    <s v="AMCARE NonOcc In"/>
    <s v="TEMP"/>
    <n v="201365023"/>
    <s v="Centeno,Ara"/>
    <s v="Romero Sanchez,Gustavo Gabriel"/>
    <n v="0"/>
    <n v="0"/>
    <n v="0"/>
    <n v="0"/>
    <n v="0.68"/>
    <e v="#N/A"/>
    <x v="358"/>
  </r>
  <r>
    <d v="2023-11-04T00:00:00"/>
    <x v="42"/>
    <s v="Admin/HR/IT"/>
    <s v="AMCARE NonOcc In"/>
    <s v="TEMP"/>
    <n v="201858867"/>
    <s v="Cruz Velazquez,Gabriela"/>
    <s v="Piedra,Valentina"/>
    <n v="0"/>
    <n v="0"/>
    <n v="0"/>
    <n v="0"/>
    <n v="0.49"/>
    <e v="#N/A"/>
    <x v="206"/>
  </r>
  <r>
    <d v="2023-11-04T00:00:00"/>
    <x v="42"/>
    <s v="Admin/HR/IT"/>
    <s v="AMCARE NonOcc In"/>
    <s v="TEMP"/>
    <n v="202165242"/>
    <s v="Gonzalez,Marco"/>
    <s v="Munoz,Jonan"/>
    <n v="0"/>
    <n v="0"/>
    <n v="0"/>
    <n v="0"/>
    <n v="0.64"/>
    <e v="#N/A"/>
    <x v="251"/>
  </r>
  <r>
    <d v="2023-11-04T00:00:00"/>
    <x v="42"/>
    <s v="Admin/HR/IT"/>
    <s v="AMCARE NonOcc In"/>
    <s v="TEMP"/>
    <n v="202165417"/>
    <s v="Moreno,Gonzalo"/>
    <s v="Romero Sanchez,Gustavo Gabriel"/>
    <n v="0"/>
    <n v="0"/>
    <n v="0"/>
    <n v="0"/>
    <n v="0.05"/>
    <e v="#N/A"/>
    <x v="363"/>
  </r>
  <r>
    <d v="2023-11-04T00:00:00"/>
    <x v="42"/>
    <s v="Admin/HR/IT"/>
    <s v="AMCARE NonOcc In"/>
    <s v="TEMP"/>
    <n v="202175671"/>
    <s v="Cruz,Lau"/>
    <s v="Munoz,Jonan"/>
    <n v="0"/>
    <n v="0"/>
    <n v="0"/>
    <n v="0"/>
    <n v="0.3"/>
    <e v="#N/A"/>
    <x v="258"/>
  </r>
  <r>
    <d v="2023-11-04T00:00:00"/>
    <x v="42"/>
    <s v="Admin/HR/IT"/>
    <s v="AMCARE NonOcc In"/>
    <s v="TEMP"/>
    <n v="202185231"/>
    <s v="VÃ¡zquez,Daniela"/>
    <s v="Piedra,Valentina"/>
    <n v="0"/>
    <n v="0"/>
    <n v="0"/>
    <n v="0"/>
    <n v="1.46"/>
    <e v="#N/A"/>
    <x v="261"/>
  </r>
  <r>
    <d v="2023-11-04T00:00:00"/>
    <x v="42"/>
    <s v="Admin/HR/IT"/>
    <s v="AMCARE NonOcc In"/>
    <s v="TEMP"/>
    <n v="202219558"/>
    <s v="Cortes,Ricardo"/>
    <s v="Munoz,Jonan"/>
    <n v="0"/>
    <n v="0"/>
    <n v="0"/>
    <n v="0"/>
    <n v="0.13"/>
    <e v="#N/A"/>
    <x v="323"/>
  </r>
  <r>
    <d v="2023-11-04T00:00:00"/>
    <x v="42"/>
    <s v="Admin/HR/IT"/>
    <s v="AMCARE NonOcc In"/>
    <s v="TEMP"/>
    <n v="202246028"/>
    <s v="Garcia,Rodrigo"/>
    <s v="Munoz,Jonan"/>
    <n v="0"/>
    <n v="0"/>
    <n v="0"/>
    <n v="0"/>
    <n v="0.69"/>
    <e v="#N/A"/>
    <x v="359"/>
  </r>
  <r>
    <d v="2023-11-04T00:00:00"/>
    <x v="42"/>
    <s v="Admin/HR/IT"/>
    <s v="AMCARE NonOcc In"/>
    <s v="TEMP"/>
    <n v="202341246"/>
    <s v="Loera,Sofia"/>
    <s v="Romero Sanchez,Gustavo Gabriel"/>
    <n v="0"/>
    <n v="0"/>
    <n v="0"/>
    <n v="0"/>
    <n v="0.09"/>
    <e v="#N/A"/>
    <x v="319"/>
  </r>
  <r>
    <d v="2023-11-04T00:00:00"/>
    <x v="42"/>
    <s v="Admin/HR/IT"/>
    <s v="AMCARE NonOcc In"/>
    <s v="TEMP"/>
    <n v="202353810"/>
    <s v="Trujillo,Luis"/>
    <s v="Corona Arriaga,Fernando"/>
    <n v="0"/>
    <n v="0"/>
    <n v="0"/>
    <n v="0"/>
    <n v="0.35"/>
    <e v="#N/A"/>
    <x v="364"/>
  </r>
  <r>
    <d v="2023-11-04T00:00:00"/>
    <x v="42"/>
    <s v="Admin/HR/IT"/>
    <s v="AMCARE NonOcc In"/>
    <s v="TEMP"/>
    <n v="202353921"/>
    <s v="Arechar Ortiz,Lindi Noemi"/>
    <s v="Corona Arriaga,Fernando"/>
    <n v="0"/>
    <n v="0"/>
    <n v="0"/>
    <n v="0"/>
    <n v="0.35"/>
    <e v="#N/A"/>
    <x v="320"/>
  </r>
  <r>
    <d v="2023-11-04T00:00:00"/>
    <x v="42"/>
    <s v="Admin/HR/IT"/>
    <s v="AMCARE NonOcc In"/>
    <s v="TEMP"/>
    <n v="202369419"/>
    <s v="Fabian,Ary"/>
    <s v="Romero Sanchez,Gustavo Gabriel"/>
    <n v="0"/>
    <n v="0"/>
    <n v="0"/>
    <n v="0"/>
    <n v="0.09"/>
    <e v="#N/A"/>
    <x v="311"/>
  </r>
  <r>
    <d v="2023-11-04T00:00:00"/>
    <x v="42"/>
    <s v="Admin/HR/IT"/>
    <s v="AMCARE NonOcc In"/>
    <s v="TEMP"/>
    <n v="202369438"/>
    <s v="Aranda,Reyna"/>
    <s v="Romero Sanchez,Gustavo Gabriel"/>
    <n v="0"/>
    <n v="0"/>
    <n v="0"/>
    <n v="0"/>
    <n v="0.23"/>
    <e v="#N/A"/>
    <x v="365"/>
  </r>
  <r>
    <d v="2023-11-04T00:00:00"/>
    <x v="42"/>
    <s v="Admin/HR/IT"/>
    <s v="AMCARE NonOcc In"/>
    <s v="TEMP"/>
    <n v="202396758"/>
    <s v="Mack,Jose"/>
    <s v="Cortes,Alejandra"/>
    <n v="0"/>
    <n v="0"/>
    <n v="0"/>
    <n v="0"/>
    <n v="0.21"/>
    <e v="#N/A"/>
    <x v="366"/>
  </r>
  <r>
    <d v="2023-11-04T00:00:00"/>
    <x v="42"/>
    <s v="Admin/HR/IT"/>
    <s v="AMCARE NonOcc In"/>
    <s v="TEMP"/>
    <n v="202410680"/>
    <s v="Ramirez,Emiliano"/>
    <s v="Cortes,Alejandra"/>
    <n v="0"/>
    <n v="0"/>
    <n v="0"/>
    <n v="0"/>
    <n v="0.75"/>
    <e v="#N/A"/>
    <x v="367"/>
  </r>
  <r>
    <d v="2023-11-04T00:00:00"/>
    <x v="42"/>
    <s v="Admin/HR/IT"/>
    <s v="AMCARE Out"/>
    <s v="TEMP"/>
    <n v="202165417"/>
    <s v="Moreno,Gonzalo"/>
    <s v="Romero Sanchez,Gustavo Gabriel"/>
    <n v="0"/>
    <n v="0"/>
    <n v="0"/>
    <n v="0"/>
    <n v="0.25"/>
    <e v="#N/A"/>
    <x v="363"/>
  </r>
  <r>
    <d v="2023-11-05T00:00:00"/>
    <x v="43"/>
    <s v="Admin/HR/IT"/>
    <s v="AMCARE NonOcc In"/>
    <s v="AMZN"/>
    <n v="112912506"/>
    <s v="Garcia  Caudillo,Jessica"/>
    <s v="Madrid Molina,Ramon"/>
    <n v="0"/>
    <n v="0"/>
    <n v="0"/>
    <n v="0"/>
    <n v="0.16"/>
    <s v="DA-X0700"/>
    <x v="144"/>
  </r>
  <r>
    <d v="2023-11-05T00:00:00"/>
    <x v="43"/>
    <s v="Admin/HR/IT"/>
    <s v="AMCARE NonOcc In"/>
    <s v="AMZN"/>
    <n v="112980812"/>
    <s v="Jacobo,Mary"/>
    <s v="Bueno Mendoza,Susana"/>
    <n v="0"/>
    <n v="0"/>
    <n v="0"/>
    <n v="0"/>
    <n v="0.19"/>
    <s v="DA-X0700"/>
    <x v="24"/>
  </r>
  <r>
    <d v="2023-11-05T00:00:00"/>
    <x v="43"/>
    <s v="Admin/HR/IT"/>
    <s v="AMCARE NonOcc In"/>
    <s v="AMZN"/>
    <n v="113014078"/>
    <s v="Nunez Lopez,Aldair"/>
    <s v="Bueno Mendoza,Susana"/>
    <n v="0"/>
    <n v="0"/>
    <n v="0"/>
    <n v="0"/>
    <n v="0.68"/>
    <e v="#N/A"/>
    <x v="76"/>
  </r>
  <r>
    <d v="2023-11-05T00:00:00"/>
    <x v="43"/>
    <s v="Admin/HR/IT"/>
    <s v="AMCARE NonOcc In"/>
    <s v="AMZN"/>
    <n v="113020463"/>
    <s v="Valtierra,Alejandra"/>
    <s v="Corona Arriaga,Fernando"/>
    <n v="0"/>
    <n v="0"/>
    <n v="0"/>
    <n v="0"/>
    <n v="0.37"/>
    <e v="#N/A"/>
    <x v="17"/>
  </r>
  <r>
    <d v="2023-11-05T00:00:00"/>
    <x v="43"/>
    <s v="Admin/HR/IT"/>
    <s v="AMCARE NonOcc In"/>
    <s v="AMZN"/>
    <n v="113101453"/>
    <s v="Isaac,Geovanna"/>
    <s v="Corona Arriaga,Fernando"/>
    <n v="0"/>
    <n v="0"/>
    <n v="0"/>
    <n v="0"/>
    <n v="0.41"/>
    <e v="#N/A"/>
    <x v="4"/>
  </r>
  <r>
    <d v="2023-11-05T00:00:00"/>
    <x v="43"/>
    <s v="Admin/HR/IT"/>
    <s v="AMCARE NonOcc In"/>
    <s v="AMZN"/>
    <n v="200534675"/>
    <s v="Munoz Macias,Juan Pablo"/>
    <s v="Rosas Negrete,Sebastian"/>
    <n v="0"/>
    <n v="0"/>
    <n v="0"/>
    <n v="0"/>
    <n v="0.19"/>
    <e v="#N/A"/>
    <x v="69"/>
  </r>
  <r>
    <d v="2023-11-05T00:00:00"/>
    <x v="43"/>
    <s v="Admin/HR/IT"/>
    <s v="AMCARE NonOcc In"/>
    <s v="AMZN"/>
    <n v="200574345"/>
    <s v="Contreras,Jony"/>
    <s v="Corona Arriaga,Fernando"/>
    <n v="0"/>
    <n v="0"/>
    <n v="0"/>
    <n v="0"/>
    <n v="0.43"/>
    <e v="#N/A"/>
    <x v="54"/>
  </r>
  <r>
    <d v="2023-11-05T00:00:00"/>
    <x v="43"/>
    <s v="Admin/HR/IT"/>
    <s v="AMCARE NonOcc In"/>
    <s v="AMZN"/>
    <n v="200625528"/>
    <s v="Oliva,Lizbeth"/>
    <s v="Bueno Mendoza,Susana"/>
    <n v="0"/>
    <n v="0"/>
    <n v="0"/>
    <n v="0"/>
    <n v="0.25"/>
    <e v="#N/A"/>
    <x v="83"/>
  </r>
  <r>
    <d v="2023-11-05T00:00:00"/>
    <x v="43"/>
    <s v="Admin/HR/IT"/>
    <s v="AMCARE NonOcc In"/>
    <s v="AMZN"/>
    <n v="201162477"/>
    <s v="Nava,Victor"/>
    <s v="Bueno Mendoza,Susana"/>
    <n v="0"/>
    <n v="0"/>
    <n v="0"/>
    <n v="0"/>
    <n v="0.03"/>
    <e v="#N/A"/>
    <x v="212"/>
  </r>
  <r>
    <d v="2023-11-05T00:00:00"/>
    <x v="43"/>
    <s v="Admin/HR/IT"/>
    <s v="AMCARE NonOcc In"/>
    <s v="AMZN"/>
    <n v="201165769"/>
    <s v="Puente,Karen"/>
    <s v="Bueno Mendoza,Susana"/>
    <n v="0"/>
    <n v="0"/>
    <n v="0"/>
    <n v="0"/>
    <n v="1.03"/>
    <e v="#N/A"/>
    <x v="113"/>
  </r>
  <r>
    <d v="2023-11-05T00:00:00"/>
    <x v="43"/>
    <s v="Admin/HR/IT"/>
    <s v="AMCARE NonOcc In"/>
    <s v="AMZN"/>
    <n v="201166890"/>
    <s v="Caballero,Daniel"/>
    <s v="Rosas Negrete,Sebastian"/>
    <n v="0"/>
    <n v="0"/>
    <n v="0"/>
    <n v="0"/>
    <n v="0.19"/>
    <e v="#N/A"/>
    <x v="141"/>
  </r>
  <r>
    <d v="2023-11-05T00:00:00"/>
    <x v="43"/>
    <s v="Admin/HR/IT"/>
    <s v="AMCARE NonOcc In"/>
    <s v="AMZN"/>
    <n v="201197964"/>
    <s v="Quijas,Matzayani"/>
    <s v="Rosas Negrete,Sebastian"/>
    <n v="0"/>
    <n v="0"/>
    <n v="0"/>
    <n v="0"/>
    <n v="0.37"/>
    <e v="#N/A"/>
    <x v="191"/>
  </r>
  <r>
    <d v="2023-11-05T00:00:00"/>
    <x v="43"/>
    <s v="Admin/HR/IT"/>
    <s v="AMCARE NonOcc In"/>
    <s v="AMZN"/>
    <n v="201345774"/>
    <s v="Quijas,Jonathan"/>
    <s v="Corona Arriaga,Fernando"/>
    <n v="0"/>
    <n v="0"/>
    <n v="0"/>
    <n v="0"/>
    <n v="0.35"/>
    <e v="#N/A"/>
    <x v="154"/>
  </r>
  <r>
    <d v="2023-11-05T00:00:00"/>
    <x v="43"/>
    <s v="Admin/HR/IT"/>
    <s v="AMCARE NonOcc In"/>
    <s v="AMZN"/>
    <n v="201390638"/>
    <s v="Bernal,Uriel"/>
    <s v="Corona Arriaga,Fernando"/>
    <n v="0"/>
    <n v="0"/>
    <n v="0"/>
    <n v="0"/>
    <n v="0.28999999999999998"/>
    <e v="#N/A"/>
    <x v="217"/>
  </r>
  <r>
    <d v="2023-11-05T00:00:00"/>
    <x v="43"/>
    <s v="Admin/HR/IT"/>
    <s v="AMCARE NonOcc In"/>
    <s v="TEMP"/>
    <n v="202129193"/>
    <s v="Hernandez Montiel,Angelica Teresa"/>
    <s v="Madrid Molina,Ramon"/>
    <n v="0"/>
    <n v="0"/>
    <n v="0"/>
    <n v="0"/>
    <n v="0.51"/>
    <e v="#N/A"/>
    <x v="334"/>
  </r>
  <r>
    <d v="2023-11-05T00:00:00"/>
    <x v="43"/>
    <s v="Admin/HR/IT"/>
    <s v="AMCARE NonOcc In"/>
    <s v="TEMP"/>
    <n v="202219678"/>
    <s v="HernÃ¡ndez,Cinthia"/>
    <s v="Rosas Negrete,Sebastian"/>
    <n v="0"/>
    <n v="0"/>
    <n v="0"/>
    <n v="0"/>
    <n v="0.22"/>
    <e v="#N/A"/>
    <x v="271"/>
  </r>
  <r>
    <d v="2023-11-05T00:00:00"/>
    <x v="43"/>
    <s v="Admin/HR/IT"/>
    <s v="AMCARE NonOcc In"/>
    <s v="TEMP"/>
    <n v="202265870"/>
    <s v="Hidalgo,Alexander"/>
    <s v="Corona Arriaga,Fernando"/>
    <n v="0"/>
    <n v="0"/>
    <n v="0"/>
    <n v="0"/>
    <n v="0.3"/>
    <e v="#N/A"/>
    <x v="368"/>
  </r>
  <r>
    <d v="2023-11-05T00:00:00"/>
    <x v="43"/>
    <s v="Admin/HR/IT"/>
    <s v="AMCARE NonOcc In"/>
    <s v="TEMP"/>
    <n v="202364552"/>
    <s v="Rocha,Apolo"/>
    <s v="Cortes,Alejandra"/>
    <n v="0"/>
    <n v="0"/>
    <n v="0"/>
    <n v="0"/>
    <n v="1.1200000000000001"/>
    <e v="#N/A"/>
    <x v="369"/>
  </r>
  <r>
    <d v="2023-11-05T00:00:00"/>
    <x v="43"/>
    <s v="Admin/HR/IT"/>
    <s v="AMCARE NonOcc In"/>
    <s v="TEMP"/>
    <n v="202442794"/>
    <s v="Gonzalez,Flor"/>
    <s v="Hernandez,Nataly"/>
    <n v="0"/>
    <n v="0"/>
    <n v="0"/>
    <n v="0"/>
    <n v="0.28000000000000003"/>
    <e v="#N/A"/>
    <x v="370"/>
  </r>
  <r>
    <d v="2023-11-05T00:00:00"/>
    <x v="43"/>
    <s v="Admin/HR/IT"/>
    <s v="AMCARE NonOcc In"/>
    <s v="TEMP"/>
    <n v="202513042"/>
    <s v="Aguilar,Mary"/>
    <s v="Madrid Molina,Ramon"/>
    <n v="0"/>
    <n v="0"/>
    <n v="0"/>
    <n v="0"/>
    <n v="0.45"/>
    <e v="#N/A"/>
    <x v="371"/>
  </r>
  <r>
    <d v="2023-11-06T00:00:00"/>
    <x v="43"/>
    <s v="Admin/HR/IT"/>
    <s v="AMCARE NonOcc In"/>
    <s v="AMZN"/>
    <n v="103979960"/>
    <s v="Suchil Angel,Guillermo"/>
    <s v="Corona Arriaga,Fernando"/>
    <n v="0"/>
    <n v="0"/>
    <n v="0"/>
    <n v="0"/>
    <n v="0.03"/>
    <e v="#N/A"/>
    <x v="0"/>
  </r>
  <r>
    <d v="2023-11-06T00:00:00"/>
    <x v="43"/>
    <s v="Admin/HR/IT"/>
    <s v="AMCARE NonOcc In"/>
    <s v="AMZN"/>
    <n v="112912506"/>
    <s v="Garcia  Caudillo,Jessica"/>
    <s v="Madrid Molina,Ramon"/>
    <n v="0"/>
    <n v="0"/>
    <n v="0"/>
    <n v="0"/>
    <n v="0.03"/>
    <s v="DA-X0700"/>
    <x v="144"/>
  </r>
  <r>
    <d v="2023-11-06T00:00:00"/>
    <x v="43"/>
    <s v="Admin/HR/IT"/>
    <s v="AMCARE NonOcc In"/>
    <s v="AMZN"/>
    <n v="112981196"/>
    <s v="Gomez,Andrea"/>
    <s v="Bueno Mendoza,Susana"/>
    <n v="0"/>
    <n v="0"/>
    <n v="0"/>
    <n v="0"/>
    <n v="0.18"/>
    <e v="#N/A"/>
    <x v="22"/>
  </r>
  <r>
    <d v="2023-11-06T00:00:00"/>
    <x v="43"/>
    <s v="Admin/HR/IT"/>
    <s v="AMCARE NonOcc In"/>
    <s v="AMZN"/>
    <n v="113044763"/>
    <s v="Urbina Avila,Stephany"/>
    <s v="Munoz,Jonan"/>
    <n v="0"/>
    <n v="0"/>
    <n v="0"/>
    <n v="0"/>
    <n v="0.14000000000000001"/>
    <e v="#N/A"/>
    <x v="74"/>
  </r>
  <r>
    <d v="2023-11-06T00:00:00"/>
    <x v="43"/>
    <s v="Admin/HR/IT"/>
    <s v="AMCARE NonOcc In"/>
    <s v="AMZN"/>
    <n v="200563038"/>
    <s v="Arias,Elizabeth"/>
    <s v="Munoz,Jonan"/>
    <n v="0"/>
    <n v="0"/>
    <n v="0"/>
    <n v="0"/>
    <n v="0.34"/>
    <e v="#N/A"/>
    <x v="124"/>
  </r>
  <r>
    <d v="2023-11-06T00:00:00"/>
    <x v="43"/>
    <s v="Admin/HR/IT"/>
    <s v="AMCARE NonOcc In"/>
    <s v="AMZN"/>
    <n v="200574345"/>
    <s v="Contreras,Jony"/>
    <s v="Corona Arriaga,Fernando"/>
    <n v="0"/>
    <n v="0"/>
    <n v="0"/>
    <n v="0"/>
    <n v="1.1299999999999999"/>
    <e v="#N/A"/>
    <x v="54"/>
  </r>
  <r>
    <d v="2023-11-06T00:00:00"/>
    <x v="43"/>
    <s v="Admin/HR/IT"/>
    <s v="AMCARE NonOcc In"/>
    <s v="AMZN"/>
    <n v="201197964"/>
    <s v="Quijas,Matzayani"/>
    <s v="Rosas Negrete,Sebastian"/>
    <n v="0"/>
    <n v="0"/>
    <n v="0"/>
    <n v="0"/>
    <n v="0.24"/>
    <e v="#N/A"/>
    <x v="191"/>
  </r>
  <r>
    <d v="2023-11-06T00:00:00"/>
    <x v="43"/>
    <s v="Admin/HR/IT"/>
    <s v="AMCARE NonOcc In"/>
    <s v="AMZN"/>
    <n v="201386201"/>
    <s v="Castillo,Janai"/>
    <s v="Bueno Mendoza,Susana"/>
    <n v="0"/>
    <n v="0"/>
    <n v="0"/>
    <n v="0"/>
    <n v="0.64"/>
    <e v="#N/A"/>
    <x v="186"/>
  </r>
  <r>
    <d v="2023-11-06T00:00:00"/>
    <x v="43"/>
    <s v="Admin/HR/IT"/>
    <s v="AMCARE NonOcc In"/>
    <s v="AMZN"/>
    <n v="201841831"/>
    <s v="Hurtado,Isis"/>
    <s v="Piedra,Valentina"/>
    <n v="0"/>
    <n v="0"/>
    <n v="0"/>
    <n v="0"/>
    <n v="0.12"/>
    <e v="#N/A"/>
    <x v="372"/>
  </r>
  <r>
    <d v="2023-11-06T00:00:00"/>
    <x v="43"/>
    <s v="Admin/HR/IT"/>
    <s v="AMCARE NonOcc In"/>
    <s v="AMZN"/>
    <n v="201858605"/>
    <s v="Morales,Emmanuel"/>
    <s v="Bueno Mendoza,Susana"/>
    <n v="0"/>
    <n v="0"/>
    <n v="0"/>
    <n v="0"/>
    <n v="0.28000000000000003"/>
    <e v="#N/A"/>
    <x v="373"/>
  </r>
  <r>
    <d v="2023-11-06T00:00:00"/>
    <x v="43"/>
    <s v="Admin/HR/IT"/>
    <s v="AMCARE NonOcc In"/>
    <s v="TEMP"/>
    <n v="201880542"/>
    <s v="ORTIZ,CORPUS"/>
    <s v="Bueno Mendoza,Susana"/>
    <n v="0"/>
    <n v="0"/>
    <n v="0"/>
    <n v="0"/>
    <n v="0.78"/>
    <e v="#N/A"/>
    <x v="199"/>
  </r>
  <r>
    <d v="2023-11-06T00:00:00"/>
    <x v="43"/>
    <s v="Admin/HR/IT"/>
    <s v="AMCARE NonOcc In"/>
    <s v="TEMP"/>
    <n v="201890790"/>
    <s v="Zuniga,Victor"/>
    <s v="Corona Arriaga,Fernando"/>
    <n v="0"/>
    <n v="0"/>
    <n v="0"/>
    <n v="0"/>
    <n v="0.17"/>
    <e v="#N/A"/>
    <x v="255"/>
  </r>
  <r>
    <d v="2023-11-06T00:00:00"/>
    <x v="43"/>
    <s v="Admin/HR/IT"/>
    <s v="AMCARE NonOcc In"/>
    <s v="TEMP"/>
    <n v="202063545"/>
    <s v="GarcÃ­a,Ana"/>
    <s v="Rosas Negrete,Sebastian"/>
    <n v="0"/>
    <n v="0"/>
    <n v="0"/>
    <n v="0"/>
    <n v="0.8"/>
    <e v="#N/A"/>
    <x v="228"/>
  </r>
  <r>
    <d v="2023-11-06T00:00:00"/>
    <x v="43"/>
    <s v="Admin/HR/IT"/>
    <s v="AMCARE NonOcc In"/>
    <s v="TEMP"/>
    <n v="202137341"/>
    <s v="Bravo,Edgar"/>
    <s v="Rosas Negrete,Sebastian"/>
    <n v="0"/>
    <n v="0"/>
    <n v="0"/>
    <n v="0"/>
    <n v="0.34"/>
    <e v="#N/A"/>
    <x v="241"/>
  </r>
  <r>
    <d v="2023-11-06T00:00:00"/>
    <x v="43"/>
    <s v="Admin/HR/IT"/>
    <s v="AMCARE NonOcc In"/>
    <s v="TEMP"/>
    <n v="202185991"/>
    <s v="VÃ¡zquez,AndrÃ©s"/>
    <s v="Bueno Mendoza,Susana"/>
    <n v="0"/>
    <n v="0"/>
    <n v="0"/>
    <n v="0"/>
    <n v="0.22"/>
    <e v="#N/A"/>
    <x v="274"/>
  </r>
  <r>
    <d v="2023-11-06T00:00:00"/>
    <x v="43"/>
    <s v="Admin/HR/IT"/>
    <s v="AMCARE NonOcc In"/>
    <s v="TEMP"/>
    <n v="202206867"/>
    <s v="Toledo,Eva"/>
    <s v="Rosas Negrete,Sebastian"/>
    <n v="0"/>
    <n v="0"/>
    <n v="0"/>
    <n v="0"/>
    <n v="0.1"/>
    <e v="#N/A"/>
    <x v="374"/>
  </r>
  <r>
    <d v="2023-11-06T00:00:00"/>
    <x v="43"/>
    <s v="Admin/HR/IT"/>
    <s v="AMCARE NonOcc In"/>
    <s v="TEMP"/>
    <n v="202225896"/>
    <s v="Reyes,Josue"/>
    <s v="Rosas Negrete,Sebastian"/>
    <n v="0"/>
    <n v="0"/>
    <n v="0"/>
    <n v="0"/>
    <n v="0.23"/>
    <e v="#N/A"/>
    <x v="296"/>
  </r>
  <r>
    <d v="2023-11-06T00:00:00"/>
    <x v="43"/>
    <s v="Admin/HR/IT"/>
    <s v="AMCARE NonOcc In"/>
    <s v="TEMP"/>
    <n v="202250323"/>
    <s v="Esqueda,Soledad"/>
    <s v="Corona Arriaga,Fernando"/>
    <n v="0"/>
    <n v="0"/>
    <n v="0"/>
    <n v="0"/>
    <n v="0.69"/>
    <e v="#N/A"/>
    <x v="298"/>
  </r>
  <r>
    <d v="2023-11-06T00:00:00"/>
    <x v="43"/>
    <s v="Admin/HR/IT"/>
    <s v="AMCARE NonOcc In"/>
    <s v="TEMP"/>
    <n v="202265858"/>
    <s v="Salmeron,Alexa"/>
    <s v="Corona Arriaga,Fernando"/>
    <n v="0"/>
    <n v="0"/>
    <n v="0"/>
    <n v="0"/>
    <n v="0.19"/>
    <e v="#N/A"/>
    <x v="280"/>
  </r>
  <r>
    <d v="2023-11-06T00:00:00"/>
    <x v="43"/>
    <s v="Admin/HR/IT"/>
    <s v="AMCARE NonOcc In"/>
    <s v="TEMP"/>
    <n v="202283406"/>
    <s v="Vazquez,Angelica"/>
    <s v="Rosas Negrete,Sebastian"/>
    <n v="0"/>
    <n v="0"/>
    <n v="0"/>
    <n v="0"/>
    <n v="0.12"/>
    <e v="#N/A"/>
    <x v="331"/>
  </r>
  <r>
    <d v="2023-11-06T00:00:00"/>
    <x v="43"/>
    <s v="Admin/HR/IT"/>
    <s v="AMCARE NonOcc In"/>
    <s v="TEMP"/>
    <n v="202287922"/>
    <s v="Andrade,Gema"/>
    <s v="Madrid Molina,Ramon"/>
    <n v="0"/>
    <n v="0"/>
    <n v="0"/>
    <n v="0"/>
    <n v="0.23"/>
    <e v="#N/A"/>
    <x v="281"/>
  </r>
  <r>
    <d v="2023-11-06T00:00:00"/>
    <x v="43"/>
    <s v="Admin/HR/IT"/>
    <s v="AMCARE NonOcc In"/>
    <s v="TEMP"/>
    <n v="202291188"/>
    <s v="Alvarez,Fernanda"/>
    <s v="Madrid Molina,Ramon"/>
    <n v="0"/>
    <n v="0"/>
    <n v="0"/>
    <n v="0"/>
    <n v="0.9"/>
    <e v="#N/A"/>
    <x v="324"/>
  </r>
  <r>
    <d v="2023-11-06T00:00:00"/>
    <x v="43"/>
    <s v="Admin/HR/IT"/>
    <s v="AMCARE NonOcc In"/>
    <s v="TEMP"/>
    <n v="202334621"/>
    <s v="Ramos,Karla"/>
    <s v="Rosas Negrete,Sebastian"/>
    <n v="0"/>
    <n v="0"/>
    <n v="0"/>
    <n v="0"/>
    <n v="0.21"/>
    <e v="#N/A"/>
    <x v="326"/>
  </r>
  <r>
    <d v="2023-11-06T00:00:00"/>
    <x v="43"/>
    <s v="Admin/HR/IT"/>
    <s v="AMCARE NonOcc In"/>
    <s v="TEMP"/>
    <n v="202334866"/>
    <s v="Villalpando Hernandez,Kelvin"/>
    <s v="Madrid Molina,Ramon"/>
    <n v="0"/>
    <n v="0"/>
    <n v="0"/>
    <n v="0"/>
    <n v="0.25"/>
    <e v="#N/A"/>
    <x v="347"/>
  </r>
  <r>
    <d v="2023-11-06T00:00:00"/>
    <x v="43"/>
    <s v="Admin/HR/IT"/>
    <s v="AMCARE NonOcc In"/>
    <s v="TEMP"/>
    <n v="202353921"/>
    <s v="Arechar Ortiz,Lindi Noemi"/>
    <s v="Corona Arriaga,Fernando"/>
    <n v="0"/>
    <n v="0"/>
    <n v="0"/>
    <n v="0"/>
    <n v="0.16"/>
    <e v="#N/A"/>
    <x v="320"/>
  </r>
  <r>
    <d v="2023-11-06T00:00:00"/>
    <x v="43"/>
    <s v="Admin/HR/IT"/>
    <s v="AMCARE NonOcc In"/>
    <s v="TEMP"/>
    <n v="202437991"/>
    <s v="Villalpando,Cristopher"/>
    <s v="Madrid Molina,Ramon"/>
    <n v="0"/>
    <n v="0"/>
    <n v="0"/>
    <n v="0"/>
    <n v="0.32"/>
    <e v="#N/A"/>
    <x v="375"/>
  </r>
  <r>
    <d v="2023-11-06T00:00:00"/>
    <x v="43"/>
    <s v="Admin/HR/IT"/>
    <s v="AMCARE NonOcc In"/>
    <s v="TEMP"/>
    <n v="202479908"/>
    <s v="Marquez,Diana"/>
    <s v="Camarena,Grecia"/>
    <n v="0"/>
    <n v="0"/>
    <n v="0"/>
    <n v="0"/>
    <n v="0.23"/>
    <e v="#N/A"/>
    <x v="376"/>
  </r>
  <r>
    <d v="2023-11-06T00:00:00"/>
    <x v="43"/>
    <s v="Admin/HR/IT"/>
    <s v="AMCARE NonOcc In"/>
    <s v="TEMP"/>
    <n v="202484094"/>
    <s v="Gonzalez,Andrea"/>
    <s v="Camarena,Grecia"/>
    <n v="0"/>
    <n v="0"/>
    <n v="0"/>
    <n v="0"/>
    <n v="0.09"/>
    <e v="#N/A"/>
    <x v="377"/>
  </r>
  <r>
    <d v="2023-11-06T00:00:00"/>
    <x v="43"/>
    <s v="Admin/HR/IT"/>
    <s v="AMCARE NonOcc In"/>
    <s v="TEMP"/>
    <n v="202484145"/>
    <s v="Campos,Susana"/>
    <s v="Madrid Molina,Ramon"/>
    <n v="0"/>
    <n v="0"/>
    <n v="0"/>
    <n v="0"/>
    <n v="0.62"/>
    <e v="#N/A"/>
    <x v="378"/>
  </r>
  <r>
    <d v="2023-11-06T00:00:00"/>
    <x v="43"/>
    <s v="Admin/HR/IT"/>
    <s v="AMCARE NonOcc In"/>
    <s v="TEMP"/>
    <n v="202507047"/>
    <s v="MartÃ­nez,Jesus"/>
    <s v="Madrid Molina,Ramon"/>
    <n v="0"/>
    <n v="0"/>
    <n v="0"/>
    <n v="0"/>
    <n v="0.2"/>
    <e v="#N/A"/>
    <x v="379"/>
  </r>
  <r>
    <d v="2023-11-06T00:00:00"/>
    <x v="43"/>
    <s v="Admin/HR/IT"/>
    <s v="AMCARE NonOcc In"/>
    <s v="TEMP"/>
    <n v="202510583"/>
    <s v="Jimenez Becerra,Juan Carlos"/>
    <s v="Madrid Molina,Ramon"/>
    <n v="0"/>
    <n v="0"/>
    <n v="0"/>
    <n v="0"/>
    <n v="0.04"/>
    <e v="#N/A"/>
    <x v="380"/>
  </r>
  <r>
    <d v="2023-11-07T00:00:00"/>
    <x v="43"/>
    <s v="Admin/HR/IT"/>
    <s v="AMCARE NonOcc In"/>
    <s v="AMZN"/>
    <n v="112912752"/>
    <s v="Valderrama Gomez,Leslie"/>
    <s v="Camarena,Grecia"/>
    <n v="0"/>
    <n v="0"/>
    <n v="0"/>
    <n v="0"/>
    <n v="0.62"/>
    <s v="NF-X1900"/>
    <x v="5"/>
  </r>
  <r>
    <d v="2023-11-07T00:00:00"/>
    <x v="43"/>
    <s v="Admin/HR/IT"/>
    <s v="AMCARE NonOcc In"/>
    <s v="AMZN"/>
    <n v="112980899"/>
    <s v="Avila Cabrera,Ari"/>
    <s v="Camarena,Grecia"/>
    <n v="0"/>
    <n v="0"/>
    <n v="0"/>
    <n v="0"/>
    <n v="0.18"/>
    <s v="NF-X1900"/>
    <x v="34"/>
  </r>
  <r>
    <d v="2023-11-07T00:00:00"/>
    <x v="43"/>
    <s v="Admin/HR/IT"/>
    <s v="AMCARE NonOcc In"/>
    <s v="AMZN"/>
    <n v="112981194"/>
    <s v="Camacho Delgado,Karina"/>
    <s v="Camarena,Grecia"/>
    <n v="0"/>
    <n v="0"/>
    <n v="0"/>
    <n v="0"/>
    <n v="0.18"/>
    <s v="NF-X1900"/>
    <x v="70"/>
  </r>
  <r>
    <d v="2023-11-07T00:00:00"/>
    <x v="43"/>
    <s v="Admin/HR/IT"/>
    <s v="AMCARE NonOcc In"/>
    <s v="AMZN"/>
    <n v="200404250"/>
    <s v="Hurtado,Caty"/>
    <s v="Corona Arriaga,Fernando"/>
    <n v="0"/>
    <n v="0"/>
    <n v="0"/>
    <n v="0"/>
    <n v="0.11"/>
    <e v="#N/A"/>
    <x v="6"/>
  </r>
  <r>
    <d v="2023-11-07T00:00:00"/>
    <x v="43"/>
    <s v="Admin/HR/IT"/>
    <s v="AMCARE NonOcc In"/>
    <s v="AMZN"/>
    <n v="200625528"/>
    <s v="Oliva,Lizbeth"/>
    <s v="Bueno Mendoza,Susana"/>
    <n v="0"/>
    <n v="0"/>
    <n v="0"/>
    <n v="0"/>
    <n v="0.9"/>
    <e v="#N/A"/>
    <x v="83"/>
  </r>
  <r>
    <d v="2023-11-07T00:00:00"/>
    <x v="43"/>
    <s v="Admin/HR/IT"/>
    <s v="AMCARE NonOcc In"/>
    <s v="AMZN"/>
    <n v="201167501"/>
    <s v="Rodriguez,Ruben"/>
    <s v="Corona Arriaga,Fernando"/>
    <n v="0"/>
    <n v="0"/>
    <n v="0"/>
    <n v="0"/>
    <n v="0.85"/>
    <e v="#N/A"/>
    <x v="109"/>
  </r>
  <r>
    <d v="2023-11-07T00:00:00"/>
    <x v="43"/>
    <s v="Admin/HR/IT"/>
    <s v="AMCARE NonOcc In"/>
    <s v="AMZN"/>
    <n v="201191198"/>
    <s v="Mojica,Emmanuel"/>
    <s v="Piedra,Valentina"/>
    <n v="0"/>
    <n v="0"/>
    <n v="0"/>
    <n v="0"/>
    <n v="0.01"/>
    <e v="#N/A"/>
    <x v="130"/>
  </r>
  <r>
    <d v="2023-11-07T00:00:00"/>
    <x v="43"/>
    <s v="Admin/HR/IT"/>
    <s v="AMCARE NonOcc In"/>
    <s v="AMZN"/>
    <n v="201197964"/>
    <s v="Quijas,Matzayani"/>
    <s v="Rosas Negrete,Sebastian"/>
    <n v="0"/>
    <n v="0"/>
    <n v="0"/>
    <n v="0"/>
    <n v="0.04"/>
    <e v="#N/A"/>
    <x v="191"/>
  </r>
  <r>
    <d v="2023-11-07T00:00:00"/>
    <x v="43"/>
    <s v="Admin/HR/IT"/>
    <s v="AMCARE NonOcc In"/>
    <s v="AMZN"/>
    <n v="201202093"/>
    <s v="Ortega,Elizabeth"/>
    <s v="Hernandez,Evelyn"/>
    <n v="0"/>
    <n v="0"/>
    <n v="0"/>
    <n v="0"/>
    <n v="7.0000000000000007E-2"/>
    <e v="#N/A"/>
    <x v="129"/>
  </r>
  <r>
    <d v="2023-11-07T00:00:00"/>
    <x v="43"/>
    <s v="Admin/HR/IT"/>
    <s v="AMCARE NonOcc In"/>
    <s v="AMZN"/>
    <n v="201842039"/>
    <s v="Martinez,Antonio"/>
    <s v="Piedra,Valentina"/>
    <n v="0"/>
    <n v="0"/>
    <n v="0"/>
    <n v="0"/>
    <n v="0.14000000000000001"/>
    <e v="#N/A"/>
    <x v="203"/>
  </r>
  <r>
    <d v="2023-11-07T00:00:00"/>
    <x v="43"/>
    <s v="Admin/HR/IT"/>
    <s v="AMCARE NonOcc In"/>
    <s v="AMZN"/>
    <n v="201858330"/>
    <s v="Arrona,Pablo"/>
    <s v="Bueno Mendoza,Susana"/>
    <n v="0"/>
    <n v="0"/>
    <n v="0"/>
    <n v="0"/>
    <n v="0.17"/>
    <e v="#N/A"/>
    <x v="249"/>
  </r>
  <r>
    <d v="2023-11-07T00:00:00"/>
    <x v="43"/>
    <s v="Admin/HR/IT"/>
    <s v="AMCARE NonOcc In"/>
    <s v="TEMP"/>
    <n v="202130113"/>
    <s v="Rangel,Tania"/>
    <s v="Madrid Molina,Ramon"/>
    <n v="0"/>
    <n v="0"/>
    <n v="0"/>
    <n v="0"/>
    <n v="0.28000000000000003"/>
    <e v="#N/A"/>
    <x v="270"/>
  </r>
  <r>
    <d v="2023-11-07T00:00:00"/>
    <x v="43"/>
    <s v="Admin/HR/IT"/>
    <s v="AMCARE NonOcc In"/>
    <s v="TEMP"/>
    <n v="202163986"/>
    <s v="Franco,Jose"/>
    <s v="Rosas Negrete,Sebastian"/>
    <n v="0"/>
    <n v="0"/>
    <n v="0"/>
    <n v="0"/>
    <n v="0.18"/>
    <e v="#N/A"/>
    <x v="295"/>
  </r>
  <r>
    <d v="2023-11-07T00:00:00"/>
    <x v="43"/>
    <s v="Admin/HR/IT"/>
    <s v="AMCARE NonOcc In"/>
    <s v="TEMP"/>
    <n v="202165242"/>
    <s v="Gonzalez,Marco"/>
    <s v="Munoz,Jonan"/>
    <n v="0"/>
    <n v="0"/>
    <n v="0"/>
    <n v="0"/>
    <n v="0.21"/>
    <e v="#N/A"/>
    <x v="251"/>
  </r>
  <r>
    <d v="2023-11-07T00:00:00"/>
    <x v="43"/>
    <s v="Admin/HR/IT"/>
    <s v="AMCARE NonOcc In"/>
    <s v="TEMP"/>
    <n v="202166757"/>
    <s v="Cortes,Axel"/>
    <s v="Hernandez,Nataly"/>
    <n v="0"/>
    <n v="0"/>
    <n v="0"/>
    <n v="0"/>
    <n v="0.67"/>
    <e v="#N/A"/>
    <x v="381"/>
  </r>
  <r>
    <d v="2023-11-07T00:00:00"/>
    <x v="43"/>
    <s v="Admin/HR/IT"/>
    <s v="AMCARE NonOcc In"/>
    <s v="TEMP"/>
    <n v="202167361"/>
    <s v="Gil Rico,Frida Ernestina"/>
    <s v="Bueno Mendoza,Susana"/>
    <n v="0"/>
    <n v="0"/>
    <n v="0"/>
    <n v="0"/>
    <n v="0.22"/>
    <e v="#N/A"/>
    <x v="382"/>
  </r>
  <r>
    <d v="2023-11-07T00:00:00"/>
    <x v="43"/>
    <s v="Admin/HR/IT"/>
    <s v="AMCARE NonOcc In"/>
    <s v="TEMP"/>
    <n v="202236342"/>
    <s v="Funes,Michelle"/>
    <s v="Camarena,Grecia"/>
    <n v="0"/>
    <n v="0"/>
    <n v="0"/>
    <n v="0"/>
    <n v="0.24"/>
    <e v="#N/A"/>
    <x v="277"/>
  </r>
  <r>
    <d v="2023-11-07T00:00:00"/>
    <x v="43"/>
    <s v="Admin/HR/IT"/>
    <s v="AMCARE NonOcc In"/>
    <s v="TEMP"/>
    <n v="202245845"/>
    <s v="Medina,Angel"/>
    <s v="Rosas Negrete,Sebastian"/>
    <n v="0"/>
    <n v="0"/>
    <n v="0"/>
    <n v="0"/>
    <n v="0.18"/>
    <e v="#N/A"/>
    <x v="279"/>
  </r>
  <r>
    <d v="2023-11-07T00:00:00"/>
    <x v="43"/>
    <s v="Admin/HR/IT"/>
    <s v="AMCARE NonOcc In"/>
    <s v="TEMP"/>
    <n v="202253767"/>
    <s v="Romero,Francisco"/>
    <s v="Camarena,Grecia"/>
    <n v="0"/>
    <n v="0"/>
    <n v="0"/>
    <n v="0"/>
    <n v="7.0000000000000007E-2"/>
    <e v="#N/A"/>
    <x v="383"/>
  </r>
  <r>
    <d v="2023-11-07T00:00:00"/>
    <x v="43"/>
    <s v="Admin/HR/IT"/>
    <s v="AMCARE NonOcc In"/>
    <s v="TEMP"/>
    <n v="202266131"/>
    <s v="Guadian,Gaby"/>
    <s v="Corona Arriaga,Fernando"/>
    <n v="0"/>
    <n v="0"/>
    <n v="0"/>
    <n v="0"/>
    <n v="0.18"/>
    <e v="#N/A"/>
    <x v="282"/>
  </r>
  <r>
    <d v="2023-11-07T00:00:00"/>
    <x v="43"/>
    <s v="Admin/HR/IT"/>
    <s v="AMCARE NonOcc In"/>
    <s v="TEMP"/>
    <n v="202273970"/>
    <s v="Medina,Jafet"/>
    <s v="Camarena,Grecia"/>
    <n v="0"/>
    <n v="0"/>
    <n v="0"/>
    <n v="0"/>
    <n v="0.21"/>
    <e v="#N/A"/>
    <x v="300"/>
  </r>
  <r>
    <d v="2023-11-07T00:00:00"/>
    <x v="43"/>
    <s v="Admin/HR/IT"/>
    <s v="AMCARE NonOcc In"/>
    <s v="TEMP"/>
    <n v="202291188"/>
    <s v="Alvarez,Fernanda"/>
    <s v="Madrid Molina,Ramon"/>
    <n v="0"/>
    <n v="0"/>
    <n v="0"/>
    <n v="0"/>
    <n v="0.23"/>
    <e v="#N/A"/>
    <x v="324"/>
  </r>
  <r>
    <d v="2023-11-07T00:00:00"/>
    <x v="43"/>
    <s v="Admin/HR/IT"/>
    <s v="AMCARE NonOcc In"/>
    <s v="TEMP"/>
    <n v="202291208"/>
    <s v="Perez,Quique"/>
    <s v="Bueno Mendoza,Susana"/>
    <n v="0"/>
    <n v="0"/>
    <n v="0"/>
    <n v="0"/>
    <n v="0.28000000000000003"/>
    <e v="#N/A"/>
    <x v="332"/>
  </r>
  <r>
    <d v="2023-11-07T00:00:00"/>
    <x v="43"/>
    <s v="Admin/HR/IT"/>
    <s v="AMCARE NonOcc In"/>
    <s v="TEMP"/>
    <n v="202291219"/>
    <s v="Aguilar,Carlos"/>
    <s v="Piedra,Valentina"/>
    <n v="0"/>
    <n v="0"/>
    <n v="0"/>
    <n v="0"/>
    <n v="0.12"/>
    <e v="#N/A"/>
    <x v="317"/>
  </r>
  <r>
    <d v="2023-11-07T00:00:00"/>
    <x v="43"/>
    <s v="Admin/HR/IT"/>
    <s v="AMCARE NonOcc In"/>
    <s v="TEMP"/>
    <n v="202323975"/>
    <s v="Hernandez,Alejandro"/>
    <s v="Piedra,Valentina"/>
    <n v="0"/>
    <n v="0"/>
    <n v="0"/>
    <n v="0"/>
    <n v="0.24"/>
    <e v="#N/A"/>
    <x v="355"/>
  </r>
  <r>
    <d v="2023-11-07T00:00:00"/>
    <x v="43"/>
    <s v="Admin/HR/IT"/>
    <s v="AMCARE NonOcc In"/>
    <s v="TEMP"/>
    <n v="202334621"/>
    <s v="Ramos,Karla"/>
    <s v="Rosas Negrete,Sebastian"/>
    <n v="0"/>
    <n v="0"/>
    <n v="0"/>
    <n v="0"/>
    <n v="0.23"/>
    <e v="#N/A"/>
    <x v="326"/>
  </r>
  <r>
    <d v="2023-11-07T00:00:00"/>
    <x v="43"/>
    <s v="Admin/HR/IT"/>
    <s v="AMCARE NonOcc In"/>
    <s v="TEMP"/>
    <n v="202334920"/>
    <s v="Ramirez,Rocio"/>
    <s v="Piedra,Valentina"/>
    <n v="0"/>
    <n v="0"/>
    <n v="0"/>
    <n v="0"/>
    <n v="0.47"/>
    <e v="#N/A"/>
    <x v="310"/>
  </r>
  <r>
    <d v="2023-11-07T00:00:00"/>
    <x v="43"/>
    <s v="Admin/HR/IT"/>
    <s v="AMCARE NonOcc In"/>
    <s v="TEMP"/>
    <n v="202368491"/>
    <s v="Collazo,Yahir"/>
    <s v="Camarena,Grecia"/>
    <n v="0"/>
    <n v="0"/>
    <n v="0"/>
    <n v="0"/>
    <n v="0.26"/>
    <e v="#N/A"/>
    <x v="384"/>
  </r>
  <r>
    <d v="2023-11-07T00:00:00"/>
    <x v="43"/>
    <s v="Admin/HR/IT"/>
    <s v="AMCARE NonOcc In"/>
    <s v="TEMP"/>
    <n v="202442798"/>
    <s v="Loredo Segura,Antonio"/>
    <s v="Pizana,Diego"/>
    <n v="0"/>
    <n v="0"/>
    <n v="0"/>
    <n v="0"/>
    <n v="0.18"/>
    <e v="#N/A"/>
    <x v="351"/>
  </r>
  <r>
    <d v="2023-11-07T00:00:00"/>
    <x v="43"/>
    <s v="Admin/HR/IT"/>
    <s v="AMCARE NonOcc In"/>
    <s v="TEMP"/>
    <n v="202479923"/>
    <s v="Arredondo,Grecia"/>
    <s v="Camarena,Grecia"/>
    <n v="0"/>
    <n v="0"/>
    <n v="0"/>
    <n v="0"/>
    <n v="0.41"/>
    <e v="#N/A"/>
    <x v="385"/>
  </r>
  <r>
    <d v="2023-11-07T00:00:00"/>
    <x v="43"/>
    <s v="Admin/HR/IT"/>
    <s v="AMCARE NonOcc In"/>
    <s v="TEMP"/>
    <n v="202484082"/>
    <s v="Silva,Carlos"/>
    <s v="Bueno Mendoza,Susana"/>
    <n v="0"/>
    <n v="0"/>
    <n v="0"/>
    <n v="0"/>
    <n v="0.48"/>
    <e v="#N/A"/>
    <x v="386"/>
  </r>
  <r>
    <d v="2023-11-07T00:00:00"/>
    <x v="43"/>
    <s v="Admin/HR/IT"/>
    <s v="AMCARE NonOcc In"/>
    <s v="TEMP"/>
    <n v="202507047"/>
    <s v="MartÃ­nez,Jesus"/>
    <s v="Madrid Molina,Ramon"/>
    <n v="0"/>
    <n v="0"/>
    <n v="0"/>
    <n v="0"/>
    <n v="1.87"/>
    <e v="#N/A"/>
    <x v="379"/>
  </r>
  <r>
    <d v="2023-11-08T00:00:00"/>
    <x v="43"/>
    <s v="Admin/HR/IT"/>
    <s v="AMCARE NonOcc In"/>
    <s v="AMZN"/>
    <n v="112912752"/>
    <s v="Valderrama Gomez,Leslie"/>
    <s v="Camarena,Grecia"/>
    <n v="0"/>
    <n v="0"/>
    <n v="0"/>
    <n v="0"/>
    <n v="0.12"/>
    <s v="NF-X1900"/>
    <x v="5"/>
  </r>
  <r>
    <d v="2023-11-08T00:00:00"/>
    <x v="43"/>
    <s v="Admin/HR/IT"/>
    <s v="AMCARE NonOcc In"/>
    <s v="AMZN"/>
    <n v="112976017"/>
    <s v="Baez Diaz,Ale"/>
    <s v="Ãvila,Arturo"/>
    <n v="0"/>
    <n v="0"/>
    <n v="0"/>
    <n v="0"/>
    <n v="0.02"/>
    <s v="DB-X0700"/>
    <x v="225"/>
  </r>
  <r>
    <d v="2023-11-08T00:00:00"/>
    <x v="43"/>
    <s v="Admin/HR/IT"/>
    <s v="AMCARE NonOcc In"/>
    <s v="AMZN"/>
    <n v="112980812"/>
    <s v="Jacobo,Mary"/>
    <s v="Bueno Mendoza,Susana"/>
    <n v="0"/>
    <n v="0"/>
    <n v="0"/>
    <n v="0"/>
    <n v="1.54"/>
    <s v="DA-X0700"/>
    <x v="24"/>
  </r>
  <r>
    <d v="2023-11-08T00:00:00"/>
    <x v="43"/>
    <s v="Admin/HR/IT"/>
    <s v="AMCARE NonOcc In"/>
    <s v="AMZN"/>
    <n v="113014078"/>
    <s v="Nunez Lopez,Aldair"/>
    <s v="Bueno Mendoza,Susana"/>
    <n v="0"/>
    <n v="0"/>
    <n v="0"/>
    <n v="0"/>
    <n v="0.19"/>
    <e v="#N/A"/>
    <x v="76"/>
  </r>
  <r>
    <d v="2023-11-08T00:00:00"/>
    <x v="43"/>
    <s v="Admin/HR/IT"/>
    <s v="AMCARE NonOcc In"/>
    <s v="AMZN"/>
    <n v="113014094"/>
    <s v="Mercado,Erika"/>
    <s v="Corona Arriaga,Fernando"/>
    <n v="0"/>
    <n v="0"/>
    <n v="0"/>
    <n v="0"/>
    <n v="0.26"/>
    <e v="#N/A"/>
    <x v="49"/>
  </r>
  <r>
    <d v="2023-11-08T00:00:00"/>
    <x v="43"/>
    <s v="Admin/HR/IT"/>
    <s v="AMCARE NonOcc In"/>
    <s v="TEMP"/>
    <n v="113019078"/>
    <s v="Ojeda Sierra,Brenda"/>
    <s v="AlarcÃ³n,Irving"/>
    <n v="0"/>
    <n v="0"/>
    <n v="0"/>
    <n v="0"/>
    <n v="1.68"/>
    <e v="#N/A"/>
    <x v="229"/>
  </r>
  <r>
    <d v="2023-11-08T00:00:00"/>
    <x v="43"/>
    <s v="Admin/HR/IT"/>
    <s v="AMCARE NonOcc In"/>
    <s v="AMZN"/>
    <n v="200508323"/>
    <s v="Espejel Lopez,Emmanuel"/>
    <s v="Romero Sanchez,Gustavo Gabriel"/>
    <n v="0"/>
    <n v="0"/>
    <n v="0"/>
    <n v="0"/>
    <n v="0.15"/>
    <e v="#N/A"/>
    <x v="177"/>
  </r>
  <r>
    <d v="2023-11-08T00:00:00"/>
    <x v="43"/>
    <s v="Admin/HR/IT"/>
    <s v="AMCARE NonOcc In"/>
    <s v="AMZN"/>
    <n v="201167501"/>
    <s v="Rodriguez,Ruben"/>
    <s v="Corona Arriaga,Fernando"/>
    <n v="0"/>
    <n v="0"/>
    <n v="0"/>
    <n v="0"/>
    <n v="0.28999999999999998"/>
    <e v="#N/A"/>
    <x v="109"/>
  </r>
  <r>
    <d v="2023-11-08T00:00:00"/>
    <x v="43"/>
    <s v="Admin/HR/IT"/>
    <s v="AMCARE NonOcc In"/>
    <s v="AMZN"/>
    <n v="201202093"/>
    <s v="Ortega,Elizabeth"/>
    <s v="Hernandez,Evelyn"/>
    <n v="0"/>
    <n v="0"/>
    <n v="0"/>
    <n v="0"/>
    <n v="0.23"/>
    <e v="#N/A"/>
    <x v="129"/>
  </r>
  <r>
    <d v="2023-11-08T00:00:00"/>
    <x v="43"/>
    <s v="Admin/HR/IT"/>
    <s v="AMCARE NonOcc In"/>
    <s v="AMZN"/>
    <n v="201345774"/>
    <s v="Quijas,Jonathan"/>
    <s v="Corona Arriaga,Fernando"/>
    <n v="0"/>
    <n v="0"/>
    <n v="0"/>
    <n v="0"/>
    <n v="0.28999999999999998"/>
    <e v="#N/A"/>
    <x v="154"/>
  </r>
  <r>
    <d v="2023-11-08T00:00:00"/>
    <x v="43"/>
    <s v="Admin/HR/IT"/>
    <s v="AMCARE NonOcc In"/>
    <s v="AMZN"/>
    <n v="201353234"/>
    <s v="Padilla,Ramon"/>
    <s v="AlarcÃ³n,Irving"/>
    <n v="0"/>
    <n v="0"/>
    <n v="0"/>
    <n v="0"/>
    <n v="0.79"/>
    <e v="#N/A"/>
    <x v="187"/>
  </r>
  <r>
    <d v="2023-11-08T00:00:00"/>
    <x v="43"/>
    <s v="Admin/HR/IT"/>
    <s v="AMCARE NonOcc In"/>
    <s v="AMZN"/>
    <n v="201378452"/>
    <s v="Perez,Omar"/>
    <s v="Bueno Mendoza,Susana"/>
    <n v="0"/>
    <n v="0"/>
    <n v="0"/>
    <n v="0"/>
    <n v="0.25"/>
    <e v="#N/A"/>
    <x v="189"/>
  </r>
  <r>
    <d v="2023-11-08T00:00:00"/>
    <x v="43"/>
    <s v="Admin/HR/IT"/>
    <s v="AMCARE NonOcc In"/>
    <s v="AMZN"/>
    <n v="201396328"/>
    <s v="Canchola,Alejandro"/>
    <s v="Rosas Negrete,Sebastian"/>
    <n v="0"/>
    <n v="0"/>
    <n v="0"/>
    <n v="0"/>
    <n v="0.12"/>
    <e v="#N/A"/>
    <x v="188"/>
  </r>
  <r>
    <d v="2023-11-08T00:00:00"/>
    <x v="43"/>
    <s v="Admin/HR/IT"/>
    <s v="AMCARE NonOcc In"/>
    <s v="AMZN"/>
    <n v="201858330"/>
    <s v="Arrona,Pablo"/>
    <s v="Bueno Mendoza,Susana"/>
    <n v="0"/>
    <n v="0"/>
    <n v="0"/>
    <n v="0"/>
    <n v="0.32"/>
    <e v="#N/A"/>
    <x v="249"/>
  </r>
  <r>
    <d v="2023-11-08T00:00:00"/>
    <x v="43"/>
    <s v="Admin/HR/IT"/>
    <s v="AMCARE NonOcc In"/>
    <s v="TEMP"/>
    <n v="201880542"/>
    <s v="ORTIZ,CORPUS"/>
    <s v="Bueno Mendoza,Susana"/>
    <n v="0"/>
    <n v="0"/>
    <n v="0"/>
    <n v="0"/>
    <n v="0.1"/>
    <e v="#N/A"/>
    <x v="199"/>
  </r>
  <r>
    <d v="2023-11-08T00:00:00"/>
    <x v="43"/>
    <s v="Admin/HR/IT"/>
    <s v="AMCARE NonOcc In"/>
    <s v="TEMP"/>
    <n v="201901967"/>
    <s v="Dominguez,Diana"/>
    <s v="AlarcÃ³n,Irving"/>
    <n v="0"/>
    <n v="0"/>
    <n v="0"/>
    <n v="0"/>
    <n v="0.23"/>
    <e v="#N/A"/>
    <x v="207"/>
  </r>
  <r>
    <d v="2023-11-08T00:00:00"/>
    <x v="43"/>
    <s v="Admin/HR/IT"/>
    <s v="AMCARE NonOcc In"/>
    <s v="TEMP"/>
    <n v="202118504"/>
    <s v="Guerrero,Alvaro"/>
    <s v="AlarcÃ³n,Irving"/>
    <n v="0"/>
    <n v="0"/>
    <n v="0"/>
    <n v="0"/>
    <n v="0.12"/>
    <e v="#N/A"/>
    <x v="322"/>
  </r>
  <r>
    <d v="2023-11-08T00:00:00"/>
    <x v="43"/>
    <s v="Admin/HR/IT"/>
    <s v="AMCARE NonOcc In"/>
    <s v="TEMP"/>
    <n v="202166757"/>
    <s v="Cortes,Axel"/>
    <s v="Hernandez,Nataly"/>
    <n v="0"/>
    <n v="0"/>
    <n v="0"/>
    <n v="0"/>
    <n v="0.32"/>
    <e v="#N/A"/>
    <x v="381"/>
  </r>
  <r>
    <d v="2023-11-08T00:00:00"/>
    <x v="43"/>
    <s v="Admin/HR/IT"/>
    <s v="AMCARE NonOcc In"/>
    <s v="TEMP"/>
    <n v="202206867"/>
    <s v="Toledo,Eva"/>
    <s v="Rosas Negrete,Sebastian"/>
    <n v="0"/>
    <n v="0"/>
    <n v="0"/>
    <n v="0"/>
    <n v="0.19"/>
    <e v="#N/A"/>
    <x v="374"/>
  </r>
  <r>
    <d v="2023-11-08T00:00:00"/>
    <x v="43"/>
    <s v="Admin/HR/IT"/>
    <s v="AMCARE NonOcc In"/>
    <s v="TEMP"/>
    <n v="202209099"/>
    <s v="Vargas,Leo"/>
    <s v="Piedra,Valentina"/>
    <n v="0"/>
    <n v="0"/>
    <n v="0"/>
    <n v="0"/>
    <n v="0.27"/>
    <e v="#N/A"/>
    <x v="315"/>
  </r>
  <r>
    <d v="2023-11-08T00:00:00"/>
    <x v="43"/>
    <s v="Admin/HR/IT"/>
    <s v="AMCARE NonOcc In"/>
    <s v="TEMP"/>
    <n v="202235770"/>
    <s v="Gutierrez,Javier"/>
    <s v="Bueno Mendoza,Susana"/>
    <n v="0"/>
    <n v="0"/>
    <n v="0"/>
    <n v="0"/>
    <n v="0.23"/>
    <e v="#N/A"/>
    <x v="387"/>
  </r>
  <r>
    <d v="2023-11-08T00:00:00"/>
    <x v="43"/>
    <s v="Admin/HR/IT"/>
    <s v="AMCARE NonOcc In"/>
    <s v="TEMP"/>
    <n v="202245845"/>
    <s v="Medina,Angel"/>
    <s v="Rosas Negrete,Sebastian"/>
    <n v="0"/>
    <n v="0"/>
    <n v="0"/>
    <n v="0"/>
    <n v="0.99"/>
    <e v="#N/A"/>
    <x v="279"/>
  </r>
  <r>
    <d v="2023-11-08T00:00:00"/>
    <x v="43"/>
    <s v="Admin/HR/IT"/>
    <s v="AMCARE NonOcc In"/>
    <s v="TEMP"/>
    <n v="202250323"/>
    <s v="Esqueda,Soledad"/>
    <s v="Corona Arriaga,Fernando"/>
    <n v="0"/>
    <n v="0"/>
    <n v="0"/>
    <n v="0"/>
    <n v="0.46"/>
    <e v="#N/A"/>
    <x v="298"/>
  </r>
  <r>
    <d v="2023-11-08T00:00:00"/>
    <x v="43"/>
    <s v="Admin/HR/IT"/>
    <s v="AMCARE NonOcc In"/>
    <s v="TEMP"/>
    <n v="202253767"/>
    <s v="Romero,Francisco"/>
    <s v="Camarena,Grecia"/>
    <n v="0"/>
    <n v="0"/>
    <n v="0"/>
    <n v="0"/>
    <n v="0.09"/>
    <e v="#N/A"/>
    <x v="383"/>
  </r>
  <r>
    <d v="2023-11-08T00:00:00"/>
    <x v="43"/>
    <s v="Admin/HR/IT"/>
    <s v="AMCARE NonOcc In"/>
    <s v="TEMP"/>
    <n v="202282409"/>
    <s v="RodrÃ­guez,Isabel"/>
    <s v="Romero Sanchez,Gustavo Gabriel"/>
    <n v="0"/>
    <n v="0"/>
    <n v="0"/>
    <n v="0"/>
    <n v="1.0900000000000001"/>
    <e v="#N/A"/>
    <x v="388"/>
  </r>
  <r>
    <d v="2023-11-08T00:00:00"/>
    <x v="43"/>
    <s v="Admin/HR/IT"/>
    <s v="AMCARE NonOcc In"/>
    <s v="TEMP"/>
    <n v="202282538"/>
    <s v="Chibli,Arturo"/>
    <s v="Bueno Mendoza,Susana"/>
    <n v="0"/>
    <n v="0"/>
    <n v="0"/>
    <n v="0"/>
    <n v="0.17"/>
    <e v="#N/A"/>
    <x v="389"/>
  </r>
  <r>
    <d v="2023-11-08T00:00:00"/>
    <x v="43"/>
    <s v="Admin/HR/IT"/>
    <s v="AMCARE NonOcc In"/>
    <s v="TEMP"/>
    <n v="202370186"/>
    <s v="Barbosa,Montserrat"/>
    <s v="Romero Sanchez,Gustavo Gabriel"/>
    <n v="0"/>
    <n v="0"/>
    <n v="0"/>
    <n v="0"/>
    <n v="0.2"/>
    <e v="#N/A"/>
    <x v="390"/>
  </r>
  <r>
    <d v="2023-11-08T00:00:00"/>
    <x v="43"/>
    <s v="Admin/HR/IT"/>
    <s v="AMCARE NonOcc In"/>
    <s v="TEMP"/>
    <n v="202437991"/>
    <s v="Villalpando,Cristopher"/>
    <s v="Madrid Molina,Ramon"/>
    <n v="0"/>
    <n v="0"/>
    <n v="0"/>
    <n v="0"/>
    <n v="0.46"/>
    <e v="#N/A"/>
    <x v="375"/>
  </r>
  <r>
    <d v="2023-11-08T00:00:00"/>
    <x v="43"/>
    <s v="Admin/HR/IT"/>
    <s v="AMCARE NonOcc In"/>
    <s v="TEMP"/>
    <n v="202442798"/>
    <s v="Loredo Segura,Antonio"/>
    <s v="Pizana,Diego"/>
    <n v="0"/>
    <n v="0"/>
    <n v="0"/>
    <n v="0"/>
    <n v="0.13"/>
    <e v="#N/A"/>
    <x v="351"/>
  </r>
  <r>
    <d v="2023-11-08T00:00:00"/>
    <x v="43"/>
    <s v="Admin/HR/IT"/>
    <s v="AMCARE NonOcc In"/>
    <s v="TEMP"/>
    <n v="202484082"/>
    <s v="Silva,Carlos"/>
    <s v="Bueno Mendoza,Susana"/>
    <n v="0"/>
    <n v="0"/>
    <n v="0"/>
    <n v="0"/>
    <n v="0.16"/>
    <e v="#N/A"/>
    <x v="386"/>
  </r>
  <r>
    <d v="2023-11-08T00:00:00"/>
    <x v="43"/>
    <s v="Admin/HR/IT"/>
    <s v="AMCARE NonOcc In"/>
    <s v="TEMP"/>
    <n v="202518715"/>
    <s v="Sandoval,Cecilia"/>
    <s v="Camarena,Grecia"/>
    <n v="0"/>
    <n v="0"/>
    <n v="0"/>
    <n v="0"/>
    <n v="0.27"/>
    <e v="#N/A"/>
    <x v="391"/>
  </r>
  <r>
    <d v="2023-11-08T00:00:00"/>
    <x v="43"/>
    <s v="Admin/HR/IT"/>
    <s v="AMCARE NonOcc In"/>
    <s v="TEMP"/>
    <n v="202518724"/>
    <s v="Lozornio,Christopher"/>
    <s v="Camarena,Grecia"/>
    <n v="0"/>
    <n v="0"/>
    <n v="0"/>
    <n v="0"/>
    <n v="0.22"/>
    <e v="#N/A"/>
    <x v="392"/>
  </r>
  <r>
    <d v="2023-11-09T00:00:00"/>
    <x v="43"/>
    <s v="Admin/HR/IT"/>
    <s v="AMCARE NonOcc In"/>
    <s v="AMZN"/>
    <n v="112920666"/>
    <s v="Rocha,Jose"/>
    <s v="Manzanares Navarro,Sandra"/>
    <n v="0"/>
    <n v="0"/>
    <n v="0"/>
    <n v="0"/>
    <n v="0.16"/>
    <s v="D5-X0700"/>
    <x v="3"/>
  </r>
  <r>
    <d v="2023-11-09T00:00:00"/>
    <x v="43"/>
    <s v="Admin/HR/IT"/>
    <s v="AMCARE NonOcc In"/>
    <s v="AMZN"/>
    <n v="113004099"/>
    <s v="Partida,Luis"/>
    <s v="Romero Sanchez,Gustavo Gabriel"/>
    <n v="0"/>
    <n v="0"/>
    <n v="0"/>
    <n v="0"/>
    <n v="0.13"/>
    <e v="#N/A"/>
    <x v="71"/>
  </r>
  <r>
    <d v="2023-11-09T00:00:00"/>
    <x v="43"/>
    <s v="Admin/HR/IT"/>
    <s v="AMCARE NonOcc In"/>
    <s v="AMZN"/>
    <n v="113014042"/>
    <s v="Cervantes,Rose"/>
    <s v="Manzanares Navarro,Sandra"/>
    <n v="0"/>
    <n v="0"/>
    <n v="0"/>
    <n v="0"/>
    <n v="0.26"/>
    <e v="#N/A"/>
    <x v="20"/>
  </r>
  <r>
    <d v="2023-11-09T00:00:00"/>
    <x v="43"/>
    <s v="Admin/HR/IT"/>
    <s v="AMCARE NonOcc In"/>
    <s v="AMZN"/>
    <n v="113014092"/>
    <s v="Sanchez,Cristina"/>
    <s v="Romero Sanchez,Gustavo Gabriel"/>
    <n v="0"/>
    <n v="0"/>
    <n v="0"/>
    <n v="0"/>
    <n v="0.23"/>
    <e v="#N/A"/>
    <x v="73"/>
  </r>
  <r>
    <d v="2023-11-09T00:00:00"/>
    <x v="43"/>
    <s v="Admin/HR/IT"/>
    <s v="AMCARE NonOcc In"/>
    <s v="AMZN"/>
    <n v="113020476"/>
    <s v="Puente Aguilar,Polette"/>
    <s v="Romero Sanchez,Gustavo Gabriel"/>
    <n v="0"/>
    <n v="0"/>
    <n v="0"/>
    <n v="0"/>
    <n v="0.18"/>
    <e v="#N/A"/>
    <x v="19"/>
  </r>
  <r>
    <d v="2023-11-09T00:00:00"/>
    <x v="43"/>
    <s v="Admin/HR/IT"/>
    <s v="AMCARE NonOcc In"/>
    <s v="AMZN"/>
    <n v="201159033"/>
    <s v="Arrona,Monserrat"/>
    <s v="Piedra,Valentina"/>
    <n v="0"/>
    <n v="0"/>
    <n v="0"/>
    <n v="0"/>
    <n v="0.62"/>
    <e v="#N/A"/>
    <x v="179"/>
  </r>
  <r>
    <d v="2023-11-09T00:00:00"/>
    <x v="43"/>
    <s v="Admin/HR/IT"/>
    <s v="AMCARE NonOcc In"/>
    <s v="AMZN"/>
    <n v="201185299"/>
    <s v="Garcia,Noemi"/>
    <s v="Piedra,Valentina"/>
    <n v="0"/>
    <n v="0"/>
    <n v="0"/>
    <n v="0"/>
    <n v="0.18"/>
    <e v="#N/A"/>
    <x v="138"/>
  </r>
  <r>
    <d v="2023-11-09T00:00:00"/>
    <x v="43"/>
    <s v="Admin/HR/IT"/>
    <s v="AMCARE NonOcc In"/>
    <s v="AMZN"/>
    <n v="201353166"/>
    <s v="Martinez,Lucia"/>
    <s v="Romero Sanchez,Gustavo Gabriel"/>
    <n v="0"/>
    <n v="0"/>
    <n v="0"/>
    <n v="0"/>
    <n v="0.14000000000000001"/>
    <e v="#N/A"/>
    <x v="145"/>
  </r>
  <r>
    <d v="2023-11-09T00:00:00"/>
    <x v="43"/>
    <s v="Admin/HR/IT"/>
    <s v="AMCARE NonOcc In"/>
    <s v="TEMP"/>
    <n v="201365023"/>
    <s v="Centeno,Ara"/>
    <s v="Romero Sanchez,Gustavo Gabriel"/>
    <n v="0"/>
    <n v="0"/>
    <n v="0"/>
    <n v="0"/>
    <n v="0.3"/>
    <e v="#N/A"/>
    <x v="358"/>
  </r>
  <r>
    <d v="2023-11-09T00:00:00"/>
    <x v="43"/>
    <s v="Admin/HR/IT"/>
    <s v="AMCARE NonOcc In"/>
    <s v="AMZN"/>
    <n v="201408478"/>
    <s v="Calderon,David"/>
    <s v="Romero Sanchez,Gustavo Gabriel"/>
    <n v="0"/>
    <n v="0"/>
    <n v="0"/>
    <n v="0"/>
    <n v="0.25"/>
    <e v="#N/A"/>
    <x v="160"/>
  </r>
  <r>
    <d v="2023-11-09T00:00:00"/>
    <x v="43"/>
    <s v="Admin/HR/IT"/>
    <s v="AMCARE NonOcc In"/>
    <s v="AMZN"/>
    <n v="201858867"/>
    <s v="Cruz Velazquez,Gabriela"/>
    <s v="Piedra,Valentina"/>
    <n v="0"/>
    <n v="0"/>
    <n v="0"/>
    <n v="0"/>
    <n v="0.56999999999999995"/>
    <e v="#N/A"/>
    <x v="206"/>
  </r>
  <r>
    <d v="2023-11-09T00:00:00"/>
    <x v="43"/>
    <s v="Admin/HR/IT"/>
    <s v="AMCARE NonOcc In"/>
    <s v="TEMP"/>
    <n v="201901910"/>
    <s v="Flores,Edwin"/>
    <s v="Piedra,Valentina"/>
    <n v="0"/>
    <n v="0"/>
    <n v="0"/>
    <n v="0"/>
    <n v="0.25"/>
    <e v="#N/A"/>
    <x v="214"/>
  </r>
  <r>
    <d v="2023-11-09T00:00:00"/>
    <x v="43"/>
    <s v="Admin/HR/IT"/>
    <s v="AMCARE NonOcc In"/>
    <s v="TEMP"/>
    <n v="201903097"/>
    <s v="Oliva,Montserrat"/>
    <s v="Piedra,Valentina"/>
    <n v="0"/>
    <n v="0"/>
    <n v="0"/>
    <n v="0"/>
    <n v="0.33"/>
    <e v="#N/A"/>
    <x v="208"/>
  </r>
  <r>
    <d v="2023-11-09T00:00:00"/>
    <x v="43"/>
    <s v="Admin/HR/IT"/>
    <s v="AMCARE NonOcc In"/>
    <s v="TEMP"/>
    <n v="202068119"/>
    <s v="Castillo,Saul"/>
    <s v="Manzanares Navarro,Sandra"/>
    <n v="0"/>
    <n v="0"/>
    <n v="0"/>
    <n v="0"/>
    <n v="0.17"/>
    <e v="#N/A"/>
    <x v="264"/>
  </r>
  <r>
    <d v="2023-11-09T00:00:00"/>
    <x v="43"/>
    <s v="Admin/HR/IT"/>
    <s v="AMCARE NonOcc In"/>
    <s v="TEMP"/>
    <n v="202081087"/>
    <s v="Martinez,Lilian"/>
    <s v="AlarcÃ³n,Irving"/>
    <n v="0"/>
    <n v="0"/>
    <n v="0"/>
    <n v="0"/>
    <n v="0.2"/>
    <e v="#N/A"/>
    <x v="240"/>
  </r>
  <r>
    <d v="2023-11-09T00:00:00"/>
    <x v="43"/>
    <s v="Admin/HR/IT"/>
    <s v="AMCARE NonOcc In"/>
    <s v="TEMP"/>
    <n v="202081527"/>
    <s v="Martinez,Efren"/>
    <s v="Hernandez,Nataly"/>
    <n v="0"/>
    <n v="0"/>
    <n v="0"/>
    <n v="0"/>
    <n v="0.26"/>
    <e v="#N/A"/>
    <x v="226"/>
  </r>
  <r>
    <d v="2023-11-09T00:00:00"/>
    <x v="43"/>
    <s v="Admin/HR/IT"/>
    <s v="AMCARE NonOcc In"/>
    <s v="TEMP"/>
    <n v="202165242"/>
    <s v="Gonzalez,Marco"/>
    <s v="Munoz,Jonan"/>
    <n v="0"/>
    <n v="0"/>
    <n v="0"/>
    <n v="0"/>
    <n v="0.13"/>
    <e v="#N/A"/>
    <x v="251"/>
  </r>
  <r>
    <d v="2023-11-09T00:00:00"/>
    <x v="43"/>
    <s v="Admin/HR/IT"/>
    <s v="AMCARE NonOcc In"/>
    <s v="TEMP"/>
    <n v="202165417"/>
    <s v="Moreno,Gonzalo"/>
    <s v="Romero Sanchez,Gustavo Gabriel"/>
    <n v="0"/>
    <n v="0"/>
    <n v="0"/>
    <n v="0"/>
    <n v="1.01"/>
    <e v="#N/A"/>
    <x v="363"/>
  </r>
  <r>
    <d v="2023-11-09T00:00:00"/>
    <x v="43"/>
    <s v="Admin/HR/IT"/>
    <s v="AMCARE NonOcc In"/>
    <s v="TEMP"/>
    <n v="202206014"/>
    <s v="Cuellar,Karina"/>
    <s v="Piedra,Valentina"/>
    <n v="0"/>
    <n v="0"/>
    <n v="0"/>
    <n v="0"/>
    <n v="1.34"/>
    <e v="#N/A"/>
    <x v="393"/>
  </r>
  <r>
    <d v="2023-11-09T00:00:00"/>
    <x v="43"/>
    <s v="Admin/HR/IT"/>
    <s v="AMCARE NonOcc In"/>
    <s v="TEMP"/>
    <n v="202253767"/>
    <s v="Romero,Francisco"/>
    <s v="Camarena,Grecia"/>
    <n v="0"/>
    <n v="0"/>
    <n v="0"/>
    <n v="0"/>
    <n v="0.24"/>
    <e v="#N/A"/>
    <x v="383"/>
  </r>
  <r>
    <d v="2023-11-09T00:00:00"/>
    <x v="43"/>
    <s v="Admin/HR/IT"/>
    <s v="AMCARE NonOcc In"/>
    <s v="TEMP"/>
    <n v="202265877"/>
    <s v="Orozco Martinez,Fiorella Giovanna"/>
    <s v="Cortes,Alejandra"/>
    <n v="0"/>
    <n v="0"/>
    <n v="0"/>
    <n v="0"/>
    <n v="0.25"/>
    <e v="#N/A"/>
    <x v="394"/>
  </r>
  <r>
    <d v="2023-11-09T00:00:00"/>
    <x v="43"/>
    <s v="Admin/HR/IT"/>
    <s v="AMCARE NonOcc In"/>
    <s v="TEMP"/>
    <n v="202266131"/>
    <s v="Guadian,Gaby"/>
    <s v="Corona Arriaga,Fernando"/>
    <n v="0"/>
    <n v="0"/>
    <n v="0"/>
    <n v="0"/>
    <n v="0.33"/>
    <e v="#N/A"/>
    <x v="282"/>
  </r>
  <r>
    <d v="2023-11-09T00:00:00"/>
    <x v="43"/>
    <s v="Admin/HR/IT"/>
    <s v="AMCARE NonOcc In"/>
    <s v="TEMP"/>
    <n v="202304940"/>
    <s v="Jasso,Lily"/>
    <s v="Rosas Negrete,Sebastian"/>
    <n v="0"/>
    <n v="0"/>
    <n v="0"/>
    <n v="0"/>
    <n v="0.16"/>
    <e v="#N/A"/>
    <x v="309"/>
  </r>
  <r>
    <d v="2023-11-09T00:00:00"/>
    <x v="43"/>
    <s v="Admin/HR/IT"/>
    <s v="AMCARE NonOcc In"/>
    <s v="TEMP"/>
    <n v="202334621"/>
    <s v="Ramos,Karla"/>
    <s v="Rosas Negrete,Sebastian"/>
    <n v="0"/>
    <n v="0"/>
    <n v="0"/>
    <n v="0"/>
    <n v="0.15"/>
    <e v="#N/A"/>
    <x v="326"/>
  </r>
  <r>
    <d v="2023-11-09T00:00:00"/>
    <x v="43"/>
    <s v="Admin/HR/IT"/>
    <s v="AMCARE NonOcc In"/>
    <s v="TEMP"/>
    <n v="202353921"/>
    <s v="Arechar Ortiz,Lindi Noemi"/>
    <s v="Corona Arriaga,Fernando"/>
    <n v="0"/>
    <n v="0"/>
    <n v="0"/>
    <n v="0"/>
    <n v="0.12"/>
    <e v="#N/A"/>
    <x v="320"/>
  </r>
  <r>
    <d v="2023-11-09T00:00:00"/>
    <x v="43"/>
    <s v="Admin/HR/IT"/>
    <s v="AMCARE NonOcc In"/>
    <s v="TEMP"/>
    <n v="202354007"/>
    <s v="Carreras,Karina"/>
    <s v="Piedra,Valentina"/>
    <n v="0"/>
    <n v="0"/>
    <n v="0"/>
    <n v="0"/>
    <n v="0.16"/>
    <e v="#N/A"/>
    <x v="395"/>
  </r>
  <r>
    <d v="2023-11-09T00:00:00"/>
    <x v="43"/>
    <s v="Admin/HR/IT"/>
    <s v="AMCARE NonOcc In"/>
    <s v="TEMP"/>
    <n v="202370186"/>
    <s v="Barbosa,Montserrat"/>
    <s v="Romero Sanchez,Gustavo Gabriel"/>
    <n v="0"/>
    <n v="0"/>
    <n v="0"/>
    <n v="0"/>
    <n v="0.87"/>
    <e v="#N/A"/>
    <x v="390"/>
  </r>
  <r>
    <d v="2023-11-09T00:00:00"/>
    <x v="43"/>
    <s v="Admin/HR/IT"/>
    <s v="AMCARE NonOcc In"/>
    <s v="TEMP"/>
    <n v="202410665"/>
    <s v="Osvaldo,Erik"/>
    <s v="Cortes,Alejandra"/>
    <n v="0"/>
    <n v="0"/>
    <n v="0"/>
    <n v="0"/>
    <n v="1.1000000000000001"/>
    <e v="#N/A"/>
    <x v="396"/>
  </r>
  <r>
    <d v="2023-11-09T00:00:00"/>
    <x v="43"/>
    <s v="Admin/HR/IT"/>
    <s v="AMCARE NonOcc In"/>
    <s v="TEMP"/>
    <n v="202410739"/>
    <s v="Hernandez,Carmen"/>
    <s v="Camarena,Grecia"/>
    <n v="0"/>
    <n v="0"/>
    <n v="0"/>
    <n v="0"/>
    <n v="0.26"/>
    <e v="#N/A"/>
    <x v="397"/>
  </r>
  <r>
    <d v="2023-11-09T00:00:00"/>
    <x v="43"/>
    <s v="Admin/HR/IT"/>
    <s v="AMCARE NonOcc In"/>
    <s v="TEMP"/>
    <n v="202417927"/>
    <s v="Valdivia,Jazmin"/>
    <s v="Cortes,Alejandra"/>
    <n v="0"/>
    <n v="0"/>
    <n v="0"/>
    <n v="0"/>
    <n v="0.15"/>
    <e v="#N/A"/>
    <x v="398"/>
  </r>
  <r>
    <d v="2023-11-09T00:00:00"/>
    <x v="43"/>
    <s v="Admin/HR/IT"/>
    <s v="AMCARE NonOcc In"/>
    <s v="TEMP"/>
    <n v="202479923"/>
    <s v="Arredondo,Grecia"/>
    <s v="Camarena,Grecia"/>
    <n v="0"/>
    <n v="0"/>
    <n v="0"/>
    <n v="0"/>
    <n v="0.56999999999999995"/>
    <e v="#N/A"/>
    <x v="385"/>
  </r>
  <r>
    <d v="2023-11-10T00:00:00"/>
    <x v="43"/>
    <s v="Admin/HR/IT"/>
    <s v="AMCARE NonOcc In"/>
    <s v="AMZN"/>
    <n v="112916534"/>
    <s v="Esparza Sanchez,Areli"/>
    <s v="Romero Sanchez,Gustavo Gabriel"/>
    <n v="0"/>
    <n v="0"/>
    <n v="0"/>
    <n v="0"/>
    <n v="0.37"/>
    <s v="DB-X0700"/>
    <x v="40"/>
  </r>
  <r>
    <d v="2023-11-10T00:00:00"/>
    <x v="43"/>
    <s v="Admin/HR/IT"/>
    <s v="AMCARE NonOcc In"/>
    <s v="AMZN"/>
    <n v="112920666"/>
    <s v="Rocha,Jose"/>
    <s v="Manzanares Navarro,Sandra"/>
    <n v="0"/>
    <n v="0"/>
    <n v="0"/>
    <n v="0"/>
    <n v="0.95"/>
    <s v="D5-X0700"/>
    <x v="3"/>
  </r>
  <r>
    <d v="2023-11-10T00:00:00"/>
    <x v="43"/>
    <s v="Admin/HR/IT"/>
    <s v="AMCARE NonOcc In"/>
    <s v="AMZN"/>
    <n v="112972194"/>
    <s v="Vela Angeles,Fernanda"/>
    <s v="AlarcÃ³n,Irving"/>
    <n v="0"/>
    <n v="0"/>
    <n v="0"/>
    <n v="0"/>
    <n v="0.11"/>
    <s v="DB-X0700"/>
    <x v="46"/>
  </r>
  <r>
    <d v="2023-11-10T00:00:00"/>
    <x v="43"/>
    <s v="Admin/HR/IT"/>
    <s v="AMCARE NonOcc In"/>
    <s v="AMZN"/>
    <n v="113020476"/>
    <s v="Puente Aguilar,Polette"/>
    <s v="Romero Sanchez,Gustavo Gabriel"/>
    <n v="0"/>
    <n v="0"/>
    <n v="0"/>
    <n v="0"/>
    <n v="0.17"/>
    <e v="#N/A"/>
    <x v="19"/>
  </r>
  <r>
    <d v="2023-11-10T00:00:00"/>
    <x v="43"/>
    <s v="Admin/HR/IT"/>
    <s v="AMCARE NonOcc In"/>
    <s v="AMZN"/>
    <n v="200508323"/>
    <s v="Espejel Lopez,Emmanuel"/>
    <s v="Romero Sanchez,Gustavo Gabriel"/>
    <n v="0"/>
    <n v="0"/>
    <n v="0"/>
    <n v="0"/>
    <n v="0.16"/>
    <e v="#N/A"/>
    <x v="177"/>
  </r>
  <r>
    <d v="2023-11-10T00:00:00"/>
    <x v="43"/>
    <s v="Admin/HR/IT"/>
    <s v="AMCARE NonOcc In"/>
    <s v="AMZN"/>
    <n v="201185653"/>
    <s v="Lopez,Mine"/>
    <s v="Piedra,Valentina"/>
    <n v="0"/>
    <n v="0"/>
    <n v="0"/>
    <n v="0"/>
    <n v="0.4"/>
    <e v="#N/A"/>
    <x v="137"/>
  </r>
  <r>
    <d v="2023-11-10T00:00:00"/>
    <x v="43"/>
    <s v="Admin/HR/IT"/>
    <s v="AMCARE NonOcc In"/>
    <s v="AMZN"/>
    <n v="201219500"/>
    <s v="Mazy,RamsÃ©s"/>
    <s v="Piedra,Valentina"/>
    <n v="0"/>
    <n v="0"/>
    <n v="0"/>
    <n v="0"/>
    <n v="0.18"/>
    <e v="#N/A"/>
    <x v="122"/>
  </r>
  <r>
    <d v="2023-11-10T00:00:00"/>
    <x v="43"/>
    <s v="Admin/HR/IT"/>
    <s v="AMCARE NonOcc In"/>
    <s v="AMZN"/>
    <n v="201223730"/>
    <s v="Sanchiz,Cesarito"/>
    <s v="Romero Sanchez,Gustavo Gabriel"/>
    <n v="0"/>
    <n v="0"/>
    <n v="0"/>
    <n v="0"/>
    <n v="1.07"/>
    <e v="#N/A"/>
    <x v="120"/>
  </r>
  <r>
    <d v="2023-11-10T00:00:00"/>
    <x v="43"/>
    <s v="Admin/HR/IT"/>
    <s v="AMCARE NonOcc In"/>
    <s v="AMZN"/>
    <n v="201228411"/>
    <s v="Hernandez Soriano,Jazmin"/>
    <s v="Romero Sanchez,Gustavo Gabriel"/>
    <n v="0"/>
    <n v="0"/>
    <n v="0"/>
    <n v="0"/>
    <n v="1.1100000000000001"/>
    <e v="#N/A"/>
    <x v="123"/>
  </r>
  <r>
    <d v="2023-11-10T00:00:00"/>
    <x v="43"/>
    <s v="Admin/HR/IT"/>
    <s v="AMCARE NonOcc In"/>
    <s v="AMZN"/>
    <n v="201320536"/>
    <s v="Ibarra,Miguel"/>
    <s v="Piedra,Valentina"/>
    <n v="0"/>
    <n v="0"/>
    <n v="0"/>
    <n v="0"/>
    <n v="0.12"/>
    <e v="#N/A"/>
    <x v="139"/>
  </r>
  <r>
    <d v="2023-11-10T00:00:00"/>
    <x v="43"/>
    <s v="Admin/HR/IT"/>
    <s v="AMCARE NonOcc In"/>
    <s v="AMZN"/>
    <n v="201842039"/>
    <s v="Martinez,Antonio"/>
    <s v="Piedra,Valentina"/>
    <n v="0"/>
    <n v="0"/>
    <n v="0"/>
    <n v="0"/>
    <n v="2.09"/>
    <e v="#N/A"/>
    <x v="203"/>
  </r>
  <r>
    <d v="2023-11-10T00:00:00"/>
    <x v="43"/>
    <s v="Admin/HR/IT"/>
    <s v="AMCARE NonOcc In"/>
    <s v="AMZN"/>
    <n v="201858867"/>
    <s v="Cruz Velazquez,Gabriela"/>
    <s v="Piedra,Valentina"/>
    <n v="0"/>
    <n v="0"/>
    <n v="0"/>
    <n v="0"/>
    <n v="0.63"/>
    <e v="#N/A"/>
    <x v="206"/>
  </r>
  <r>
    <d v="2023-11-10T00:00:00"/>
    <x v="43"/>
    <s v="Admin/HR/IT"/>
    <s v="AMCARE NonOcc In"/>
    <s v="AMZN"/>
    <n v="201901910"/>
    <s v="Flores,Edwin"/>
    <s v="Piedra,Valentina"/>
    <n v="0"/>
    <n v="0"/>
    <n v="0"/>
    <n v="0"/>
    <n v="0.08"/>
    <e v="#N/A"/>
    <x v="214"/>
  </r>
  <r>
    <d v="2023-11-10T00:00:00"/>
    <x v="43"/>
    <s v="Admin/HR/IT"/>
    <s v="AMCARE NonOcc In"/>
    <s v="TEMP"/>
    <n v="202081527"/>
    <s v="Martinez,Efren"/>
    <s v="Hernandez,Nataly"/>
    <n v="0"/>
    <n v="0"/>
    <n v="0"/>
    <n v="0"/>
    <n v="1.63"/>
    <e v="#N/A"/>
    <x v="226"/>
  </r>
  <r>
    <d v="2023-11-10T00:00:00"/>
    <x v="43"/>
    <s v="Admin/HR/IT"/>
    <s v="AMCARE NonOcc In"/>
    <s v="TEMP"/>
    <n v="202120077"/>
    <s v="Aguilar,Mauricio"/>
    <s v="AlarcÃ³n,Irving"/>
    <n v="0"/>
    <n v="0"/>
    <n v="0"/>
    <n v="0"/>
    <n v="0.2"/>
    <e v="#N/A"/>
    <x v="231"/>
  </r>
  <r>
    <d v="2023-11-10T00:00:00"/>
    <x v="43"/>
    <s v="Admin/HR/IT"/>
    <s v="AMCARE NonOcc In"/>
    <s v="TEMP"/>
    <n v="202159550"/>
    <s v="Mora,Isabel"/>
    <s v="Piedra,Valentina"/>
    <n v="0"/>
    <n v="0"/>
    <n v="0"/>
    <n v="0"/>
    <n v="0.13"/>
    <e v="#N/A"/>
    <x v="313"/>
  </r>
  <r>
    <d v="2023-11-10T00:00:00"/>
    <x v="43"/>
    <s v="Admin/HR/IT"/>
    <s v="AMCARE NonOcc In"/>
    <s v="TEMP"/>
    <n v="202165242"/>
    <s v="Gonzalez,Marco"/>
    <s v="Munoz,Jonan"/>
    <n v="0"/>
    <n v="0"/>
    <n v="0"/>
    <n v="0"/>
    <n v="0.88"/>
    <e v="#N/A"/>
    <x v="251"/>
  </r>
  <r>
    <d v="2023-11-10T00:00:00"/>
    <x v="43"/>
    <s v="Admin/HR/IT"/>
    <s v="AMCARE NonOcc In"/>
    <s v="TEMP"/>
    <n v="202174029"/>
    <s v="Cortes,Beto"/>
    <s v="Manzanares Navarro,Sandra"/>
    <n v="0"/>
    <n v="0"/>
    <n v="0"/>
    <n v="0"/>
    <n v="0.81"/>
    <e v="#N/A"/>
    <x v="399"/>
  </r>
  <r>
    <d v="2023-11-10T00:00:00"/>
    <x v="43"/>
    <s v="Admin/HR/IT"/>
    <s v="AMCARE NonOcc In"/>
    <s v="TEMP"/>
    <n v="202185231"/>
    <s v="VÃ¡zquez,Daniela"/>
    <s v="Piedra,Valentina"/>
    <n v="0"/>
    <n v="0"/>
    <n v="0"/>
    <n v="0"/>
    <n v="0.17"/>
    <e v="#N/A"/>
    <x v="261"/>
  </r>
  <r>
    <d v="2023-11-10T00:00:00"/>
    <x v="43"/>
    <s v="Admin/HR/IT"/>
    <s v="AMCARE NonOcc In"/>
    <s v="TEMP"/>
    <n v="202194885"/>
    <s v="Bermejo,Israel"/>
    <s v="Piedra,Valentina"/>
    <n v="0"/>
    <n v="0"/>
    <n v="0"/>
    <n v="0"/>
    <n v="0.19"/>
    <e v="#N/A"/>
    <x v="340"/>
  </r>
  <r>
    <d v="2023-11-10T00:00:00"/>
    <x v="43"/>
    <s v="Admin/HR/IT"/>
    <s v="AMCARE NonOcc In"/>
    <s v="TEMP"/>
    <n v="202195532"/>
    <s v="Rico,Brandon"/>
    <s v="Piedra,Valentina"/>
    <n v="0"/>
    <n v="0"/>
    <n v="0"/>
    <n v="0"/>
    <n v="1.04"/>
    <e v="#N/A"/>
    <x v="400"/>
  </r>
  <r>
    <d v="2023-11-10T00:00:00"/>
    <x v="43"/>
    <s v="Admin/HR/IT"/>
    <s v="AMCARE NonOcc In"/>
    <s v="TEMP"/>
    <n v="202238583"/>
    <s v="chicangana,jaiver"/>
    <s v="Munoz,Jonan"/>
    <n v="0"/>
    <n v="0"/>
    <n v="0"/>
    <n v="0"/>
    <n v="0.2"/>
    <e v="#N/A"/>
    <x v="401"/>
  </r>
  <r>
    <d v="2023-11-10T00:00:00"/>
    <x v="43"/>
    <s v="Admin/HR/IT"/>
    <s v="AMCARE NonOcc In"/>
    <s v="TEMP"/>
    <n v="202254886"/>
    <s v="Mendoza,Jared"/>
    <s v="Munoz,Jonan"/>
    <n v="0"/>
    <n v="0"/>
    <n v="0"/>
    <n v="0"/>
    <n v="0.45"/>
    <e v="#N/A"/>
    <x v="343"/>
  </r>
  <r>
    <d v="2023-11-10T00:00:00"/>
    <x v="43"/>
    <s v="Admin/HR/IT"/>
    <s v="AMCARE NonOcc In"/>
    <s v="TEMP"/>
    <n v="202265859"/>
    <s v="Velazquez,Tadeo"/>
    <s v="Cortes,Alejandra"/>
    <n v="0"/>
    <n v="0"/>
    <n v="0"/>
    <n v="0"/>
    <n v="0.52"/>
    <e v="#N/A"/>
    <x v="402"/>
  </r>
  <r>
    <d v="2023-11-10T00:00:00"/>
    <x v="43"/>
    <s v="Admin/HR/IT"/>
    <s v="AMCARE NonOcc In"/>
    <s v="TEMP"/>
    <n v="202364552"/>
    <s v="Rocha,Apolo"/>
    <s v="Cortes,Alejandra"/>
    <n v="0"/>
    <n v="0"/>
    <n v="0"/>
    <n v="0"/>
    <n v="0.2"/>
    <e v="#N/A"/>
    <x v="369"/>
  </r>
  <r>
    <d v="2023-11-10T00:00:00"/>
    <x v="43"/>
    <s v="Admin/HR/IT"/>
    <s v="AMCARE NonOcc In"/>
    <s v="TEMP"/>
    <n v="202417687"/>
    <s v="Cordova,Edith"/>
    <s v="Manzanares Navarro,Sandra"/>
    <n v="0"/>
    <n v="0"/>
    <n v="0"/>
    <n v="0"/>
    <n v="1.21"/>
    <e v="#N/A"/>
    <x v="356"/>
  </r>
  <r>
    <d v="2023-11-10T00:00:00"/>
    <x v="43"/>
    <s v="Admin/HR/IT"/>
    <s v="AMCARE NonOcc In"/>
    <s v="TEMP"/>
    <n v="202417927"/>
    <s v="Valdivia,Jazmin"/>
    <s v="Cortes,Alejandra"/>
    <n v="0"/>
    <n v="0"/>
    <n v="0"/>
    <n v="0"/>
    <n v="0.28999999999999998"/>
    <e v="#N/A"/>
    <x v="398"/>
  </r>
  <r>
    <d v="2023-11-10T00:00:00"/>
    <x v="43"/>
    <s v="Admin/HR/IT"/>
    <s v="AMCARE NonOcc In"/>
    <s v="TEMP"/>
    <n v="202421453"/>
    <s v="Checo,Sergio"/>
    <s v="Cortes,Alejandra"/>
    <n v="0"/>
    <n v="0"/>
    <n v="0"/>
    <n v="0"/>
    <n v="0.36"/>
    <e v="#N/A"/>
    <x v="403"/>
  </r>
  <r>
    <d v="2023-11-11T00:00:00"/>
    <x v="43"/>
    <s v="Admin/HR/IT"/>
    <s v="AMCARE NonOcc In"/>
    <s v="AMZN"/>
    <n v="112972194"/>
    <s v="Vela Angeles,Fernanda"/>
    <s v="AlarcÃ³n,Irving"/>
    <n v="0"/>
    <n v="0"/>
    <n v="0"/>
    <n v="0"/>
    <n v="0.1"/>
    <s v="DB-X0700"/>
    <x v="46"/>
  </r>
  <r>
    <d v="2023-11-11T00:00:00"/>
    <x v="43"/>
    <s v="Admin/HR/IT"/>
    <s v="AMCARE NonOcc In"/>
    <s v="AMZN"/>
    <n v="112972524"/>
    <s v="Santibanez Garcia,Luisa"/>
    <s v="Hernandez,Nataly"/>
    <n v="0"/>
    <n v="0"/>
    <n v="0"/>
    <n v="0"/>
    <n v="0.62"/>
    <s v="DB-X0700"/>
    <x v="15"/>
  </r>
  <r>
    <d v="2023-11-11T00:00:00"/>
    <x v="43"/>
    <s v="Admin/HR/IT"/>
    <s v="AMCARE NonOcc In"/>
    <s v="AMZN"/>
    <n v="113014042"/>
    <s v="Cervantes,Rose"/>
    <s v="Manzanares Navarro,Sandra"/>
    <n v="0"/>
    <n v="0"/>
    <n v="0"/>
    <n v="0"/>
    <n v="0.17"/>
    <e v="#N/A"/>
    <x v="20"/>
  </r>
  <r>
    <d v="2023-11-11T00:00:00"/>
    <x v="43"/>
    <s v="Admin/HR/IT"/>
    <s v="AMCARE NonOcc In"/>
    <s v="AMZN"/>
    <n v="113014092"/>
    <s v="Sanchez,Cristina"/>
    <s v="Romero Sanchez,Gustavo Gabriel"/>
    <n v="0"/>
    <n v="0"/>
    <n v="0"/>
    <n v="0"/>
    <n v="0.92"/>
    <e v="#N/A"/>
    <x v="73"/>
  </r>
  <r>
    <d v="2023-11-11T00:00:00"/>
    <x v="43"/>
    <s v="Admin/HR/IT"/>
    <s v="AMCARE NonOcc In"/>
    <s v="AMZN"/>
    <n v="113020476"/>
    <s v="Puente Aguilar,Polette"/>
    <s v="Romero Sanchez,Gustavo Gabriel"/>
    <n v="0"/>
    <n v="0"/>
    <n v="0"/>
    <n v="0"/>
    <n v="0.56000000000000005"/>
    <e v="#N/A"/>
    <x v="19"/>
  </r>
  <r>
    <d v="2023-11-11T00:00:00"/>
    <x v="43"/>
    <s v="Admin/HR/IT"/>
    <s v="AMCARE NonOcc In"/>
    <s v="AMZN"/>
    <n v="113052151"/>
    <s v="Nieves Mendez,Laura"/>
    <s v="Piedra,Valentina"/>
    <n v="0"/>
    <n v="0"/>
    <n v="0"/>
    <n v="0"/>
    <n v="0.41"/>
    <e v="#N/A"/>
    <x v="56"/>
  </r>
  <r>
    <d v="2023-11-11T00:00:00"/>
    <x v="43"/>
    <s v="Admin/HR/IT"/>
    <s v="AMCARE NonOcc In"/>
    <s v="AMZN"/>
    <n v="113103540"/>
    <s v="Delgado,David"/>
    <s v="Munoz,Jonan"/>
    <n v="0"/>
    <n v="0"/>
    <n v="0"/>
    <n v="0"/>
    <n v="0.06"/>
    <e v="#N/A"/>
    <x v="105"/>
  </r>
  <r>
    <d v="2023-11-11T00:00:00"/>
    <x v="43"/>
    <s v="Admin/HR/IT"/>
    <s v="AMCARE NonOcc In"/>
    <s v="AMZN"/>
    <n v="200508323"/>
    <s v="Espejel Lopez,Emmanuel"/>
    <s v="Romero Sanchez,Gustavo Gabriel"/>
    <n v="0"/>
    <n v="0"/>
    <n v="0"/>
    <n v="0"/>
    <n v="0.2"/>
    <e v="#N/A"/>
    <x v="177"/>
  </r>
  <r>
    <d v="2023-11-11T00:00:00"/>
    <x v="43"/>
    <s v="Admin/HR/IT"/>
    <s v="AMCARE NonOcc In"/>
    <s v="AMZN"/>
    <n v="200563038"/>
    <s v="Arias,Elizabeth"/>
    <s v="Munoz,Jonan"/>
    <n v="0"/>
    <n v="0"/>
    <n v="0"/>
    <n v="0"/>
    <n v="0.13"/>
    <e v="#N/A"/>
    <x v="124"/>
  </r>
  <r>
    <d v="2023-11-11T00:00:00"/>
    <x v="43"/>
    <s v="Admin/HR/IT"/>
    <s v="AMCARE NonOcc In"/>
    <s v="AMZN"/>
    <n v="201191198"/>
    <s v="Mojica,Emmanuel"/>
    <s v="Piedra,Valentina"/>
    <n v="0"/>
    <n v="0"/>
    <n v="0"/>
    <n v="0"/>
    <n v="1.5"/>
    <e v="#N/A"/>
    <x v="130"/>
  </r>
  <r>
    <d v="2023-11-11T00:00:00"/>
    <x v="43"/>
    <s v="Admin/HR/IT"/>
    <s v="AMCARE NonOcc In"/>
    <s v="AMZN"/>
    <n v="201223730"/>
    <s v="Sanchiz,Cesarito"/>
    <s v="Romero Sanchez,Gustavo Gabriel"/>
    <n v="0"/>
    <n v="0"/>
    <n v="0"/>
    <n v="0"/>
    <n v="0.75"/>
    <e v="#N/A"/>
    <x v="120"/>
  </r>
  <r>
    <d v="2023-11-11T00:00:00"/>
    <x v="43"/>
    <s v="Admin/HR/IT"/>
    <s v="AMCARE NonOcc In"/>
    <s v="AMZN"/>
    <n v="201228411"/>
    <s v="Hernandez Soriano,Jazmin"/>
    <s v="Romero Sanchez,Gustavo Gabriel"/>
    <n v="0"/>
    <n v="0"/>
    <n v="0"/>
    <n v="0"/>
    <n v="0.75"/>
    <e v="#N/A"/>
    <x v="123"/>
  </r>
  <r>
    <d v="2023-11-11T00:00:00"/>
    <x v="43"/>
    <s v="Admin/HR/IT"/>
    <s v="AMCARE NonOcc In"/>
    <s v="AMZN"/>
    <n v="201295429"/>
    <s v="Mireles Diaz Lopez,Jazmin"/>
    <s v="Munoz,Jonan"/>
    <n v="0"/>
    <n v="0"/>
    <n v="0"/>
    <n v="0"/>
    <n v="0.5"/>
    <e v="#N/A"/>
    <x v="147"/>
  </r>
  <r>
    <d v="2023-11-11T00:00:00"/>
    <x v="43"/>
    <s v="Admin/HR/IT"/>
    <s v="AMCARE NonOcc In"/>
    <s v="AMZN"/>
    <n v="201345737"/>
    <s v="Rosales,Paco"/>
    <s v="Munoz,Jonan"/>
    <n v="0"/>
    <n v="0"/>
    <n v="0"/>
    <n v="0"/>
    <n v="0.51"/>
    <e v="#N/A"/>
    <x v="156"/>
  </r>
  <r>
    <d v="2023-11-11T00:00:00"/>
    <x v="43"/>
    <s v="Admin/HR/IT"/>
    <s v="AMCARE NonOcc In"/>
    <s v="AMZN"/>
    <n v="201403462"/>
    <s v="Valdovino,Jorge"/>
    <s v="Manzanares Navarro,Sandra"/>
    <n v="0"/>
    <n v="0"/>
    <n v="0"/>
    <n v="0"/>
    <n v="0.62"/>
    <e v="#N/A"/>
    <x v="146"/>
  </r>
  <r>
    <d v="2023-11-11T00:00:00"/>
    <x v="43"/>
    <s v="Admin/HR/IT"/>
    <s v="AMCARE NonOcc In"/>
    <s v="AMZN"/>
    <n v="201842039"/>
    <s v="Martinez,Antonio"/>
    <s v="Piedra,Valentina"/>
    <n v="0"/>
    <n v="0"/>
    <n v="0"/>
    <n v="0"/>
    <n v="0.16"/>
    <e v="#N/A"/>
    <x v="203"/>
  </r>
  <r>
    <d v="2023-11-11T00:00:00"/>
    <x v="43"/>
    <s v="Admin/HR/IT"/>
    <s v="AMCARE NonOcc In"/>
    <s v="AMZN"/>
    <n v="201858789"/>
    <s v="HINOJOSA,IGNACIO"/>
    <s v="Piedra,Valentina"/>
    <n v="0"/>
    <n v="0"/>
    <n v="0"/>
    <n v="0"/>
    <n v="0.39"/>
    <e v="#N/A"/>
    <x v="197"/>
  </r>
  <r>
    <d v="2023-11-11T00:00:00"/>
    <x v="43"/>
    <s v="Admin/HR/IT"/>
    <s v="AMCARE NonOcc In"/>
    <s v="AMZN"/>
    <n v="201864225"/>
    <s v="Flores,Ivan"/>
    <s v="Piedra,Valentina"/>
    <n v="0"/>
    <n v="0"/>
    <n v="0"/>
    <n v="0"/>
    <n v="0.14000000000000001"/>
    <e v="#N/A"/>
    <x v="219"/>
  </r>
  <r>
    <d v="2023-11-11T00:00:00"/>
    <x v="43"/>
    <s v="Admin/HR/IT"/>
    <s v="AMCARE NonOcc In"/>
    <s v="TEMP"/>
    <n v="202133678"/>
    <s v="Sanchez,Daniel"/>
    <s v="Romero Sanchez,Gustavo Gabriel"/>
    <n v="0"/>
    <n v="0"/>
    <n v="0"/>
    <n v="0"/>
    <n v="0.51"/>
    <e v="#N/A"/>
    <x v="312"/>
  </r>
  <r>
    <d v="2023-11-11T00:00:00"/>
    <x v="43"/>
    <s v="Admin/HR/IT"/>
    <s v="AMCARE NonOcc In"/>
    <s v="TEMP"/>
    <n v="202137022"/>
    <s v="Sanchez,Brenda"/>
    <s v="Cortes,Alejandra"/>
    <n v="0"/>
    <n v="0"/>
    <n v="0"/>
    <n v="0"/>
    <n v="0.23"/>
    <e v="#N/A"/>
    <x v="404"/>
  </r>
  <r>
    <d v="2023-11-11T00:00:00"/>
    <x v="43"/>
    <s v="Admin/HR/IT"/>
    <s v="AMCARE NonOcc In"/>
    <s v="TEMP"/>
    <n v="202137149"/>
    <s v="Caudillo,Carlos"/>
    <s v="Munoz,Jonan"/>
    <n v="0"/>
    <n v="0"/>
    <n v="0"/>
    <n v="0"/>
    <n v="0.32"/>
    <e v="#N/A"/>
    <x v="260"/>
  </r>
  <r>
    <d v="2023-11-11T00:00:00"/>
    <x v="43"/>
    <s v="Admin/HR/IT"/>
    <s v="AMCARE NonOcc In"/>
    <s v="TEMP"/>
    <n v="202165242"/>
    <s v="Gonzalez,Marco"/>
    <s v="Munoz,Jonan"/>
    <n v="0"/>
    <n v="0"/>
    <n v="0"/>
    <n v="0"/>
    <n v="0.04"/>
    <e v="#N/A"/>
    <x v="251"/>
  </r>
  <r>
    <d v="2023-11-11T00:00:00"/>
    <x v="43"/>
    <s v="Admin/HR/IT"/>
    <s v="AMCARE NonOcc In"/>
    <s v="TEMP"/>
    <n v="202165417"/>
    <s v="Moreno,Gonzalo"/>
    <s v="Romero Sanchez,Gustavo Gabriel"/>
    <n v="0"/>
    <n v="0"/>
    <n v="0"/>
    <n v="0"/>
    <n v="0.19"/>
    <e v="#N/A"/>
    <x v="363"/>
  </r>
  <r>
    <d v="2023-11-11T00:00:00"/>
    <x v="43"/>
    <s v="Admin/HR/IT"/>
    <s v="AMCARE NonOcc In"/>
    <s v="TEMP"/>
    <n v="202185231"/>
    <s v="VÃ¡zquez,Daniela"/>
    <s v="Piedra,Valentina"/>
    <n v="0"/>
    <n v="0"/>
    <n v="0"/>
    <n v="0"/>
    <n v="0.34"/>
    <e v="#N/A"/>
    <x v="261"/>
  </r>
  <r>
    <d v="2023-11-11T00:00:00"/>
    <x v="43"/>
    <s v="Admin/HR/IT"/>
    <s v="AMCARE NonOcc In"/>
    <s v="TEMP"/>
    <n v="202194885"/>
    <s v="Bermejo,Israel"/>
    <s v="Piedra,Valentina"/>
    <n v="0"/>
    <n v="0"/>
    <n v="0"/>
    <n v="0"/>
    <n v="0.96"/>
    <e v="#N/A"/>
    <x v="340"/>
  </r>
  <r>
    <d v="2023-11-11T00:00:00"/>
    <x v="43"/>
    <s v="Admin/HR/IT"/>
    <s v="AMCARE NonOcc In"/>
    <s v="TEMP"/>
    <n v="202219546"/>
    <s v="Espinoza,Ana"/>
    <s v="Munoz,Jonan"/>
    <n v="0"/>
    <n v="0"/>
    <n v="0"/>
    <n v="0"/>
    <n v="0.26"/>
    <e v="#N/A"/>
    <x v="405"/>
  </r>
  <r>
    <d v="2023-11-11T00:00:00"/>
    <x v="43"/>
    <s v="Admin/HR/IT"/>
    <s v="AMCARE NonOcc In"/>
    <s v="TEMP"/>
    <n v="202274001"/>
    <s v="Reynoso,Esmeralda"/>
    <s v="Munoz,Jonan"/>
    <n v="0"/>
    <n v="0"/>
    <n v="0"/>
    <n v="0"/>
    <n v="0.34"/>
    <e v="#N/A"/>
    <x v="283"/>
  </r>
  <r>
    <d v="2023-11-11T00:00:00"/>
    <x v="43"/>
    <s v="Admin/HR/IT"/>
    <s v="AMCARE NonOcc In"/>
    <s v="TEMP"/>
    <n v="202282801"/>
    <s v="Flores,Fer"/>
    <s v="Cortes,Alejandra"/>
    <n v="0"/>
    <n v="0"/>
    <n v="0"/>
    <n v="0"/>
    <n v="0.15"/>
    <e v="#N/A"/>
    <x v="406"/>
  </r>
  <r>
    <d v="2023-11-11T00:00:00"/>
    <x v="43"/>
    <s v="Admin/HR/IT"/>
    <s v="AMCARE NonOcc In"/>
    <s v="TEMP"/>
    <n v="202353921"/>
    <s v="Arechar Ortiz,Lindi Noemi"/>
    <s v="Corona Arriaga,Fernando"/>
    <n v="0"/>
    <n v="0"/>
    <n v="0"/>
    <n v="0"/>
    <n v="0.18"/>
    <e v="#N/A"/>
    <x v="320"/>
  </r>
  <r>
    <d v="2023-11-11T00:00:00"/>
    <x v="43"/>
    <s v="Admin/HR/IT"/>
    <s v="AMCARE NonOcc In"/>
    <s v="TEMP"/>
    <n v="202373445"/>
    <s v="Aranda,Cesar"/>
    <s v="Piedra,Valentina"/>
    <n v="0"/>
    <n v="0"/>
    <n v="0"/>
    <n v="0"/>
    <n v="0.7"/>
    <e v="#N/A"/>
    <x v="407"/>
  </r>
  <r>
    <d v="2023-11-11T00:00:00"/>
    <x v="43"/>
    <s v="Admin/HR/IT"/>
    <s v="AMCARE NonOcc In"/>
    <s v="TEMP"/>
    <n v="202408077"/>
    <s v="Zuniga,Rosario"/>
    <s v="Munoz,Jonan"/>
    <n v="0"/>
    <n v="0"/>
    <n v="0"/>
    <n v="0"/>
    <n v="0.18"/>
    <e v="#N/A"/>
    <x v="408"/>
  </r>
  <r>
    <d v="2023-11-11T00:00:00"/>
    <x v="43"/>
    <s v="Admin/HR/IT"/>
    <s v="AMCARE NonOcc In"/>
    <s v="TEMP"/>
    <n v="202408564"/>
    <s v="Manriquez,Cristina"/>
    <s v="Munoz,Jonan"/>
    <n v="0"/>
    <n v="0"/>
    <n v="0"/>
    <n v="0"/>
    <n v="0.18"/>
    <e v="#N/A"/>
    <x v="409"/>
  </r>
  <r>
    <d v="2023-11-11T00:00:00"/>
    <x v="43"/>
    <s v="Admin/HR/IT"/>
    <s v="AMCARE NonOcc In"/>
    <s v="TEMP"/>
    <n v="202417370"/>
    <s v="Hernandez,Enrique"/>
    <s v="Cortes,Alejandra"/>
    <n v="0"/>
    <n v="0"/>
    <n v="0"/>
    <n v="0"/>
    <n v="0.67"/>
    <e v="#N/A"/>
    <x v="410"/>
  </r>
  <r>
    <d v="2023-11-11T00:00:00"/>
    <x v="43"/>
    <s v="Admin/HR/IT"/>
    <s v="AMCARE NonOcc In"/>
    <s v="TEMP"/>
    <n v="202421453"/>
    <s v="Checo,Sergio"/>
    <s v="Cortes,Alejandra"/>
    <n v="0"/>
    <n v="0"/>
    <n v="0"/>
    <n v="0"/>
    <n v="0.28000000000000003"/>
    <e v="#N/A"/>
    <x v="403"/>
  </r>
  <r>
    <d v="2023-11-12T00:00:00"/>
    <x v="44"/>
    <s v="Admin/HR/IT"/>
    <s v="AMCARE NonOcc In"/>
    <s v="TEMP"/>
    <n v="112912984"/>
    <s v="Ortiz,Isaac"/>
    <s v="Pizana,Diego"/>
    <n v="0"/>
    <n v="0"/>
    <n v="0"/>
    <n v="0"/>
    <n v="0.11"/>
    <s v="DJ-X0700"/>
    <x v="411"/>
  </r>
  <r>
    <d v="2023-11-12T00:00:00"/>
    <x v="44"/>
    <s v="Admin/HR/IT"/>
    <s v="AMCARE NonOcc In"/>
    <s v="AMZN"/>
    <n v="112920654"/>
    <s v="Horta,Julieta"/>
    <s v="Hernandez,Nataly"/>
    <n v="0"/>
    <n v="0"/>
    <n v="0"/>
    <n v="0"/>
    <n v="0.04"/>
    <s v="DB-X0700"/>
    <x v="61"/>
  </r>
  <r>
    <d v="2023-11-12T00:00:00"/>
    <x v="44"/>
    <s v="Admin/HR/IT"/>
    <s v="AMCARE NonOcc In"/>
    <s v="AMZN"/>
    <n v="112981014"/>
    <s v="Roldan Gutierrez,Pablo"/>
    <s v="Lopez,Alexa"/>
    <n v="0"/>
    <n v="0"/>
    <n v="0"/>
    <n v="0"/>
    <n v="0.25"/>
    <s v="DJ-X0700"/>
    <x v="29"/>
  </r>
  <r>
    <d v="2023-11-12T00:00:00"/>
    <x v="44"/>
    <s v="Admin/HR/IT"/>
    <s v="AMCARE NonOcc In"/>
    <s v="AMZN"/>
    <n v="113101453"/>
    <s v="Isaac,Geovanna"/>
    <s v="Corona Arriaga,Fernando"/>
    <n v="0"/>
    <n v="0"/>
    <n v="0"/>
    <n v="0"/>
    <n v="0.15"/>
    <e v="#N/A"/>
    <x v="4"/>
  </r>
  <r>
    <d v="2023-11-12T00:00:00"/>
    <x v="44"/>
    <s v="Admin/HR/IT"/>
    <s v="AMCARE NonOcc In"/>
    <s v="AMZN"/>
    <n v="200564895"/>
    <s v="Mendoza Corona,Brianda"/>
    <s v="Corona Arriaga,Fernando"/>
    <n v="0"/>
    <n v="0"/>
    <n v="0"/>
    <n v="0"/>
    <n v="0.1"/>
    <e v="#N/A"/>
    <x v="64"/>
  </r>
  <r>
    <d v="2023-11-12T00:00:00"/>
    <x v="44"/>
    <s v="Admin/HR/IT"/>
    <s v="AMCARE NonOcc In"/>
    <s v="AMZN"/>
    <n v="200625528"/>
    <s v="Oliva,Lizbeth"/>
    <s v="Bueno Mendoza,Susana"/>
    <n v="0"/>
    <n v="0"/>
    <n v="0"/>
    <n v="0"/>
    <n v="0.12"/>
    <e v="#N/A"/>
    <x v="83"/>
  </r>
  <r>
    <d v="2023-11-12T00:00:00"/>
    <x v="44"/>
    <s v="Admin/HR/IT"/>
    <s v="AMCARE NonOcc In"/>
    <s v="AMZN"/>
    <n v="201197964"/>
    <s v="Quijas,Matzayani"/>
    <s v="Rosas Negrete,Sebastian"/>
    <n v="0"/>
    <n v="0"/>
    <n v="0"/>
    <n v="0"/>
    <n v="0.74"/>
    <e v="#N/A"/>
    <x v="191"/>
  </r>
  <r>
    <d v="2023-11-12T00:00:00"/>
    <x v="44"/>
    <s v="Admin/HR/IT"/>
    <s v="AMCARE NonOcc In"/>
    <s v="AMZN"/>
    <n v="201300426"/>
    <s v="Lira,Adrian"/>
    <s v="Hernandez,Nataly"/>
    <n v="0"/>
    <n v="0"/>
    <n v="0"/>
    <n v="0"/>
    <n v="0.57999999999999996"/>
    <e v="#N/A"/>
    <x v="167"/>
  </r>
  <r>
    <d v="2023-11-12T00:00:00"/>
    <x v="44"/>
    <s v="Admin/HR/IT"/>
    <s v="AMCARE NonOcc In"/>
    <s v="AMZN"/>
    <n v="201353085"/>
    <s v="Garcia,Elva"/>
    <s v="Lopez,Alexa"/>
    <n v="0"/>
    <n v="0"/>
    <n v="0"/>
    <n v="0"/>
    <n v="0.2"/>
    <e v="#N/A"/>
    <x v="290"/>
  </r>
  <r>
    <d v="2023-11-12T00:00:00"/>
    <x v="44"/>
    <s v="Admin/HR/IT"/>
    <s v="AMCARE NonOcc In"/>
    <s v="AMZN"/>
    <n v="201390638"/>
    <s v="Bernal,Uriel"/>
    <s v="Corona Arriaga,Fernando"/>
    <n v="0"/>
    <n v="0"/>
    <n v="0"/>
    <n v="0"/>
    <n v="0.53"/>
    <e v="#N/A"/>
    <x v="217"/>
  </r>
  <r>
    <d v="2023-11-12T00:00:00"/>
    <x v="44"/>
    <s v="Admin/HR/IT"/>
    <s v="AMCARE NonOcc In"/>
    <s v="AMZN"/>
    <n v="201890790"/>
    <s v="Zuniga,Victor"/>
    <s v="Corona Arriaga,Fernando"/>
    <n v="0"/>
    <n v="0"/>
    <n v="0"/>
    <n v="0"/>
    <n v="0.26"/>
    <e v="#N/A"/>
    <x v="255"/>
  </r>
  <r>
    <d v="2023-11-12T00:00:00"/>
    <x v="44"/>
    <s v="Admin/HR/IT"/>
    <s v="AMCARE NonOcc In"/>
    <s v="TEMP"/>
    <n v="201901324"/>
    <s v="VelÃ¡zquez,Alejandro"/>
    <s v="Madrid Molina,Ramon"/>
    <n v="0"/>
    <n v="0"/>
    <n v="0"/>
    <n v="0"/>
    <n v="0.25"/>
    <e v="#N/A"/>
    <x v="198"/>
  </r>
  <r>
    <d v="2023-11-12T00:00:00"/>
    <x v="44"/>
    <s v="Admin/HR/IT"/>
    <s v="AMCARE NonOcc In"/>
    <s v="TEMP"/>
    <n v="202167308"/>
    <s v="Alcocer,Carlos"/>
    <s v="Bueno Mendoza,Susana"/>
    <n v="0"/>
    <n v="0"/>
    <n v="0"/>
    <n v="0"/>
    <n v="0.82"/>
    <e v="#N/A"/>
    <x v="292"/>
  </r>
  <r>
    <d v="2023-11-12T00:00:00"/>
    <x v="44"/>
    <s v="Admin/HR/IT"/>
    <s v="AMCARE NonOcc In"/>
    <s v="TEMP"/>
    <n v="202176797"/>
    <s v="Castro,Eduardo"/>
    <s v="Bueno Mendoza,Susana"/>
    <n v="0"/>
    <n v="0"/>
    <n v="0"/>
    <n v="0"/>
    <n v="0.21"/>
    <e v="#N/A"/>
    <x v="412"/>
  </r>
  <r>
    <d v="2023-11-12T00:00:00"/>
    <x v="44"/>
    <s v="Admin/HR/IT"/>
    <s v="AMCARE NonOcc In"/>
    <s v="TEMP"/>
    <n v="202188434"/>
    <s v="Rivera,Aidza"/>
    <s v="Hernandez,Nataly"/>
    <n v="0"/>
    <n v="0"/>
    <n v="0"/>
    <n v="0"/>
    <n v="0.59"/>
    <e v="#N/A"/>
    <x v="252"/>
  </r>
  <r>
    <d v="2023-11-12T00:00:00"/>
    <x v="44"/>
    <s v="Admin/HR/IT"/>
    <s v="AMCARE NonOcc In"/>
    <s v="TEMP"/>
    <n v="202219678"/>
    <s v="HernÃ¡ndez,Cinthia"/>
    <s v="Rosas Negrete,Sebastian"/>
    <n v="0"/>
    <n v="0"/>
    <n v="0"/>
    <n v="0"/>
    <n v="1.02"/>
    <e v="#N/A"/>
    <x v="271"/>
  </r>
  <r>
    <d v="2023-11-12T00:00:00"/>
    <x v="44"/>
    <s v="Admin/HR/IT"/>
    <s v="AMCARE NonOcc In"/>
    <s v="TEMP"/>
    <n v="202235929"/>
    <s v="Villegas,Meylli"/>
    <s v="Pizana,Diego"/>
    <n v="0"/>
    <n v="0"/>
    <n v="0"/>
    <n v="0"/>
    <n v="0.62"/>
    <e v="#N/A"/>
    <x v="413"/>
  </r>
  <r>
    <d v="2023-11-12T00:00:00"/>
    <x v="44"/>
    <s v="Admin/HR/IT"/>
    <s v="AMCARE NonOcc In"/>
    <s v="TEMP"/>
    <n v="202308823"/>
    <s v="Perez,Roberto"/>
    <s v="Rosas Negrete,Sebastian"/>
    <n v="0"/>
    <n v="0"/>
    <n v="0"/>
    <n v="0"/>
    <n v="0.25"/>
    <e v="#N/A"/>
    <x v="414"/>
  </r>
  <r>
    <d v="2023-11-12T00:00:00"/>
    <x v="44"/>
    <s v="Admin/HR/IT"/>
    <s v="AMCARE NonOcc In"/>
    <s v="TEMP"/>
    <n v="202350464"/>
    <s v="Garcia,Joselyn"/>
    <s v="Madrid Molina,Ramon"/>
    <n v="0"/>
    <n v="0"/>
    <n v="0"/>
    <n v="0"/>
    <n v="0.15"/>
    <e v="#N/A"/>
    <x v="415"/>
  </r>
  <r>
    <d v="2023-11-12T00:00:00"/>
    <x v="44"/>
    <s v="Admin/HR/IT"/>
    <s v="AMCARE NonOcc In"/>
    <s v="TEMP"/>
    <n v="202364552"/>
    <s v="Rocha,Apolo"/>
    <s v="Cortes,Alejandra"/>
    <n v="0"/>
    <n v="0"/>
    <n v="0"/>
    <n v="0"/>
    <n v="1.73"/>
    <e v="#N/A"/>
    <x v="369"/>
  </r>
  <r>
    <d v="2023-11-12T00:00:00"/>
    <x v="44"/>
    <s v="Admin/HR/IT"/>
    <s v="AMCARE NonOcc In"/>
    <s v="TEMP"/>
    <n v="202480064"/>
    <s v="Hernandez Murillo,Cesar Daniel"/>
    <s v="Camarena,Grecia"/>
    <n v="0"/>
    <n v="0"/>
    <n v="0"/>
    <n v="0"/>
    <n v="0.16"/>
    <e v="#N/A"/>
    <x v="416"/>
  </r>
  <r>
    <d v="2023-11-13T00:00:00"/>
    <x v="44"/>
    <s v="Admin/HR/IT"/>
    <s v="AMCARE NonOcc In"/>
    <s v="AMZN"/>
    <n v="113014078"/>
    <s v="Nunez Lopez,Aldair"/>
    <s v="Bueno Mendoza,Susana"/>
    <n v="0"/>
    <n v="0"/>
    <n v="0"/>
    <n v="0"/>
    <n v="0.12"/>
    <e v="#N/A"/>
    <x v="76"/>
  </r>
  <r>
    <d v="2023-11-13T00:00:00"/>
    <x v="44"/>
    <s v="Admin/HR/IT"/>
    <s v="AMCARE NonOcc In"/>
    <s v="AMZN"/>
    <n v="113019099"/>
    <s v="Rios,Eric"/>
    <s v="Piedra,Valentina"/>
    <n v="0"/>
    <n v="0"/>
    <n v="0"/>
    <n v="0"/>
    <n v="0.1"/>
    <e v="#N/A"/>
    <x v="215"/>
  </r>
  <r>
    <d v="2023-11-13T00:00:00"/>
    <x v="44"/>
    <s v="Admin/HR/IT"/>
    <s v="AMCARE NonOcc In"/>
    <s v="AMZN"/>
    <n v="113101453"/>
    <s v="Isaac,Geovanna"/>
    <s v="Corona Arriaga,Fernando"/>
    <n v="0"/>
    <n v="0"/>
    <n v="0"/>
    <n v="0"/>
    <n v="0.15"/>
    <e v="#N/A"/>
    <x v="4"/>
  </r>
  <r>
    <d v="2023-11-13T00:00:00"/>
    <x v="44"/>
    <s v="Admin/HR/IT"/>
    <s v="AMCARE NonOcc In"/>
    <s v="AMZN"/>
    <n v="200562303"/>
    <s v="Hernandez Cruz,Jorge"/>
    <s v="Corona Arriaga,Fernando"/>
    <n v="0"/>
    <n v="0"/>
    <n v="0"/>
    <n v="0"/>
    <n v="0.28000000000000003"/>
    <e v="#N/A"/>
    <x v="87"/>
  </r>
  <r>
    <d v="2023-11-13T00:00:00"/>
    <x v="44"/>
    <s v="Admin/HR/IT"/>
    <s v="AMCARE NonOcc In"/>
    <s v="AMZN"/>
    <n v="200570729"/>
    <s v="Rodriguez,Carolina"/>
    <s v="Lopez,Alexa"/>
    <n v="0"/>
    <n v="0"/>
    <n v="0"/>
    <n v="0"/>
    <n v="0.04"/>
    <e v="#N/A"/>
    <x v="93"/>
  </r>
  <r>
    <d v="2023-11-13T00:00:00"/>
    <x v="44"/>
    <s v="Admin/HR/IT"/>
    <s v="AMCARE NonOcc In"/>
    <s v="AMZN"/>
    <n v="201202093"/>
    <s v="Ortega,Elizabeth"/>
    <s v="Romero Sanchez,Gustavo Gabriel"/>
    <n v="0"/>
    <n v="0"/>
    <n v="0"/>
    <n v="0"/>
    <n v="0.42"/>
    <e v="#N/A"/>
    <x v="129"/>
  </r>
  <r>
    <d v="2023-11-13T00:00:00"/>
    <x v="44"/>
    <s v="Admin/HR/IT"/>
    <s v="AMCARE NonOcc In"/>
    <s v="AMZN"/>
    <n v="201320536"/>
    <s v="Ibarra,Miguel"/>
    <s v="Piedra,Valentina"/>
    <n v="0"/>
    <n v="0"/>
    <n v="0"/>
    <n v="0"/>
    <n v="0.53"/>
    <e v="#N/A"/>
    <x v="139"/>
  </r>
  <r>
    <d v="2023-11-13T00:00:00"/>
    <x v="44"/>
    <s v="Admin/HR/IT"/>
    <s v="AMCARE NonOcc In"/>
    <s v="AMZN"/>
    <n v="201402212"/>
    <s v="Padron,Karla"/>
    <s v="Rosas Negrete,Sebastian"/>
    <n v="0"/>
    <n v="0"/>
    <n v="0"/>
    <n v="0"/>
    <n v="0.25"/>
    <e v="#N/A"/>
    <x v="171"/>
  </r>
  <r>
    <d v="2023-11-13T00:00:00"/>
    <x v="44"/>
    <s v="Admin/HR/IT"/>
    <s v="AMCARE NonOcc In"/>
    <s v="AMZN"/>
    <n v="201841804"/>
    <s v="Ruiz,Michelle"/>
    <s v="Piedra,Valentina"/>
    <n v="0"/>
    <n v="0"/>
    <n v="0"/>
    <n v="0"/>
    <n v="0.75"/>
    <e v="#N/A"/>
    <x v="195"/>
  </r>
  <r>
    <d v="2023-11-13T00:00:00"/>
    <x v="44"/>
    <s v="Admin/HR/IT"/>
    <s v="AMCARE NonOcc In"/>
    <s v="AMZN"/>
    <n v="201848180"/>
    <s v="Pacheco,Jack"/>
    <s v="Corona Arriaga,Fernando"/>
    <n v="0"/>
    <n v="0"/>
    <n v="0"/>
    <n v="0"/>
    <n v="0.04"/>
    <e v="#N/A"/>
    <x v="269"/>
  </r>
  <r>
    <d v="2023-11-13T00:00:00"/>
    <x v="44"/>
    <s v="Admin/HR/IT"/>
    <s v="AMCARE NonOcc In"/>
    <s v="AMZN"/>
    <n v="201858330"/>
    <s v="Arrona,Pablo"/>
    <s v="Bueno Mendoza,Susana"/>
    <n v="0"/>
    <n v="0"/>
    <n v="0"/>
    <n v="0"/>
    <n v="0.15"/>
    <e v="#N/A"/>
    <x v="249"/>
  </r>
  <r>
    <d v="2023-11-13T00:00:00"/>
    <x v="44"/>
    <s v="Admin/HR/IT"/>
    <s v="AMCARE NonOcc In"/>
    <s v="TEMP"/>
    <n v="201901324"/>
    <s v="VelÃ¡zquez,Alejandro"/>
    <s v="Madrid Molina,Ramon"/>
    <n v="0"/>
    <n v="0"/>
    <n v="0"/>
    <n v="0"/>
    <n v="0.45"/>
    <e v="#N/A"/>
    <x v="198"/>
  </r>
  <r>
    <d v="2023-11-13T00:00:00"/>
    <x v="44"/>
    <s v="Admin/HR/IT"/>
    <s v="AMCARE NonOcc In"/>
    <s v="TEMP"/>
    <n v="202173728"/>
    <s v="Cob,Perla"/>
    <s v="Manzanares Navarro,Sandra"/>
    <n v="0"/>
    <n v="0"/>
    <n v="0"/>
    <n v="0"/>
    <n v="0.03"/>
    <e v="#N/A"/>
    <x v="417"/>
  </r>
  <r>
    <d v="2023-11-13T00:00:00"/>
    <x v="44"/>
    <s v="Admin/HR/IT"/>
    <s v="AMCARE NonOcc In"/>
    <s v="TEMP"/>
    <n v="202186227"/>
    <s v="Aguilar,Karen"/>
    <s v="Bueno Mendoza,Susana"/>
    <n v="0"/>
    <n v="0"/>
    <n v="0"/>
    <n v="0"/>
    <n v="0.46"/>
    <e v="#N/A"/>
    <x v="418"/>
  </r>
  <r>
    <d v="2023-11-13T00:00:00"/>
    <x v="44"/>
    <s v="Admin/HR/IT"/>
    <s v="AMCARE NonOcc In"/>
    <s v="TEMP"/>
    <n v="202188434"/>
    <s v="Rivera,Aidza"/>
    <s v="Bueno Mendoza,Susana"/>
    <n v="0"/>
    <n v="0"/>
    <n v="0"/>
    <n v="0"/>
    <n v="0.28000000000000003"/>
    <e v="#N/A"/>
    <x v="252"/>
  </r>
  <r>
    <d v="2023-11-13T00:00:00"/>
    <x v="44"/>
    <s v="Admin/HR/IT"/>
    <s v="AMCARE NonOcc In"/>
    <s v="TEMP"/>
    <n v="202189809"/>
    <s v="Luna,Mario"/>
    <s v="Piedra,Valentina"/>
    <n v="0"/>
    <n v="0"/>
    <n v="0"/>
    <n v="0"/>
    <n v="0.79"/>
    <e v="#N/A"/>
    <x v="286"/>
  </r>
  <r>
    <d v="2023-11-13T00:00:00"/>
    <x v="44"/>
    <s v="Admin/HR/IT"/>
    <s v="AMCARE NonOcc In"/>
    <s v="TEMP"/>
    <n v="202225994"/>
    <s v="Jauregui,IvÃ¡n"/>
    <s v="Rosas Negrete,Sebastian"/>
    <n v="0"/>
    <n v="0"/>
    <n v="0"/>
    <n v="0"/>
    <n v="0.06"/>
    <e v="#N/A"/>
    <x v="341"/>
  </r>
  <r>
    <d v="2023-11-13T00:00:00"/>
    <x v="44"/>
    <s v="Admin/HR/IT"/>
    <s v="AMCARE NonOcc In"/>
    <s v="TEMP"/>
    <n v="202253584"/>
    <s v="Armenta,Alan"/>
    <s v="Rosas Negrete,Sebastian"/>
    <n v="0"/>
    <n v="0"/>
    <n v="0"/>
    <n v="0"/>
    <n v="0.27"/>
    <e v="#N/A"/>
    <x v="419"/>
  </r>
  <r>
    <d v="2023-11-13T00:00:00"/>
    <x v="44"/>
    <s v="Admin/HR/IT"/>
    <s v="AMCARE NonOcc In"/>
    <s v="TEMP"/>
    <n v="202265858"/>
    <s v="Salmeron,Alexa"/>
    <s v="Corona Arriaga,Fernando"/>
    <n v="0"/>
    <n v="0"/>
    <n v="0"/>
    <n v="0"/>
    <n v="0.38"/>
    <e v="#N/A"/>
    <x v="280"/>
  </r>
  <r>
    <d v="2023-11-13T00:00:00"/>
    <x v="44"/>
    <s v="Admin/HR/IT"/>
    <s v="AMCARE NonOcc In"/>
    <s v="TEMP"/>
    <n v="202265870"/>
    <s v="Hidalgo,Alexander"/>
    <s v="Corona Arriaga,Fernando"/>
    <n v="0"/>
    <n v="0"/>
    <n v="0"/>
    <n v="0"/>
    <n v="0.42"/>
    <e v="#N/A"/>
    <x v="368"/>
  </r>
  <r>
    <d v="2023-11-13T00:00:00"/>
    <x v="44"/>
    <s v="Admin/HR/IT"/>
    <s v="AMCARE NonOcc In"/>
    <s v="TEMP"/>
    <n v="202304940"/>
    <s v="Jasso,Lily"/>
    <s v="Lopez,Alexa"/>
    <n v="0"/>
    <n v="0"/>
    <n v="0"/>
    <n v="0"/>
    <n v="0.28000000000000003"/>
    <e v="#N/A"/>
    <x v="309"/>
  </r>
  <r>
    <d v="2023-11-13T00:00:00"/>
    <x v="44"/>
    <s v="Admin/HR/IT"/>
    <s v="AMCARE NonOcc In"/>
    <s v="TEMP"/>
    <n v="202334621"/>
    <s v="Ramos,Karla"/>
    <s v="Lopez,Alexa"/>
    <n v="0"/>
    <n v="0"/>
    <n v="0"/>
    <n v="0"/>
    <n v="0.14000000000000001"/>
    <e v="#N/A"/>
    <x v="326"/>
  </r>
  <r>
    <d v="2023-11-13T00:00:00"/>
    <x v="44"/>
    <s v="Admin/HR/IT"/>
    <s v="AMCARE NonOcc In"/>
    <s v="TEMP"/>
    <n v="202385959"/>
    <s v="Teran,Denisse"/>
    <s v="Manzanares Navarro,Sandra"/>
    <n v="0"/>
    <n v="0"/>
    <n v="0"/>
    <n v="0"/>
    <n v="0.28000000000000003"/>
    <e v="#N/A"/>
    <x v="420"/>
  </r>
  <r>
    <d v="2023-11-13T00:00:00"/>
    <x v="44"/>
    <s v="Admin/HR/IT"/>
    <s v="AMCARE NonOcc In"/>
    <s v="TEMP"/>
    <n v="202417687"/>
    <s v="Cordova,Edith"/>
    <s v="Manzanares Navarro,Sandra"/>
    <n v="0"/>
    <n v="0"/>
    <n v="0"/>
    <n v="0"/>
    <n v="0.2"/>
    <e v="#N/A"/>
    <x v="356"/>
  </r>
  <r>
    <d v="2023-11-13T00:00:00"/>
    <x v="44"/>
    <s v="Admin/HR/IT"/>
    <s v="AMCARE NonOcc In"/>
    <s v="TEMP"/>
    <n v="202421791"/>
    <s v="AviÃ±a,Ramses"/>
    <s v="Pizana,Diego"/>
    <n v="0"/>
    <n v="0"/>
    <n v="0"/>
    <n v="0"/>
    <n v="0.04"/>
    <e v="#N/A"/>
    <x v="421"/>
  </r>
  <r>
    <d v="2023-11-13T00:00:00"/>
    <x v="44"/>
    <s v="Admin/HR/IT"/>
    <s v="AMCARE NonOcc In"/>
    <s v="TEMP"/>
    <n v="202479908"/>
    <s v="Marquez,Diana"/>
    <s v="Camarena,Grecia"/>
    <n v="0"/>
    <n v="0"/>
    <n v="0"/>
    <n v="0"/>
    <n v="0.81"/>
    <e v="#N/A"/>
    <x v="376"/>
  </r>
  <r>
    <d v="2023-11-13T00:00:00"/>
    <x v="44"/>
    <s v="Admin/HR/IT"/>
    <s v="AMCARE NonOcc In"/>
    <s v="TEMP"/>
    <n v="202479923"/>
    <s v="Arredondo,Grecia"/>
    <s v="Camarena,Grecia"/>
    <n v="0"/>
    <n v="0"/>
    <n v="0"/>
    <n v="0"/>
    <n v="0.97"/>
    <e v="#N/A"/>
    <x v="385"/>
  </r>
  <r>
    <d v="2023-11-13T00:00:00"/>
    <x v="44"/>
    <s v="Admin/HR/IT"/>
    <s v="AMCARE NonOcc In"/>
    <s v="TEMP"/>
    <n v="202480098"/>
    <s v="Ibarra,Alexa"/>
    <s v="Bueno Mendoza,Susana"/>
    <n v="0"/>
    <n v="0"/>
    <n v="0"/>
    <n v="0"/>
    <n v="0.6"/>
    <e v="#N/A"/>
    <x v="422"/>
  </r>
  <r>
    <d v="2023-11-13T00:00:00"/>
    <x v="44"/>
    <s v="Admin/HR/IT"/>
    <s v="AMCARE NonOcc In"/>
    <s v="TEMP"/>
    <n v="202518716"/>
    <s v="Araujo,Patricio"/>
    <s v="Camarena,Grecia"/>
    <n v="0"/>
    <n v="0"/>
    <n v="0"/>
    <n v="0"/>
    <n v="0.32"/>
    <e v="#N/A"/>
    <x v="423"/>
  </r>
  <r>
    <d v="2023-11-14T00:00:00"/>
    <x v="44"/>
    <s v="Admin/HR/IT"/>
    <s v="AMCARE NonOcc In"/>
    <s v="AMZN"/>
    <n v="112912661"/>
    <s v="Morales Gonzalez,Francisco"/>
    <s v="Hernandez,Nataly"/>
    <n v="0"/>
    <n v="0"/>
    <n v="0"/>
    <n v="0"/>
    <n v="0.27"/>
    <s v="DA-X0700"/>
    <x v="96"/>
  </r>
  <r>
    <d v="2023-11-14T00:00:00"/>
    <x v="44"/>
    <s v="Admin/HR/IT"/>
    <s v="AMCARE NonOcc In"/>
    <s v="AMZN"/>
    <n v="112912752"/>
    <s v="Valderrama Gomez,Leslie"/>
    <s v="Camarena,Grecia"/>
    <n v="0"/>
    <n v="0"/>
    <n v="0"/>
    <n v="0"/>
    <n v="0.4"/>
    <s v="NF-X1900"/>
    <x v="5"/>
  </r>
  <r>
    <d v="2023-11-14T00:00:00"/>
    <x v="44"/>
    <s v="Admin/HR/IT"/>
    <s v="AMCARE NonOcc In"/>
    <s v="AMZN"/>
    <n v="112950795"/>
    <s v="Espinosa Espitia,Ali"/>
    <s v="Madrid Molina,Ramon"/>
    <n v="0"/>
    <n v="0"/>
    <n v="0"/>
    <n v="0"/>
    <n v="0.31"/>
    <s v="DA-X0700"/>
    <x v="78"/>
  </r>
  <r>
    <d v="2023-11-14T00:00:00"/>
    <x v="44"/>
    <s v="Admin/HR/IT"/>
    <s v="AMCARE NonOcc In"/>
    <s v="AMZN"/>
    <n v="112980899"/>
    <s v="Avila Cabrera,Ari"/>
    <s v="Camarena,Grecia"/>
    <n v="0"/>
    <n v="0"/>
    <n v="0"/>
    <n v="0"/>
    <n v="0.4"/>
    <s v="NF-X1900"/>
    <x v="34"/>
  </r>
  <r>
    <d v="2023-11-14T00:00:00"/>
    <x v="44"/>
    <s v="Admin/HR/IT"/>
    <s v="AMCARE NonOcc In"/>
    <s v="AMZN"/>
    <n v="112981014"/>
    <s v="Roldan Gutierrez,Pablo"/>
    <s v="Lopez,Alexa"/>
    <n v="0"/>
    <n v="0"/>
    <n v="0"/>
    <n v="0"/>
    <n v="0.34"/>
    <s v="DJ-X0700"/>
    <x v="29"/>
  </r>
  <r>
    <d v="2023-11-14T00:00:00"/>
    <x v="44"/>
    <s v="Admin/HR/IT"/>
    <s v="AMCARE NonOcc In"/>
    <s v="AMZN"/>
    <n v="113014078"/>
    <s v="Nunez Lopez,Aldair"/>
    <s v="Bueno Mendoza,Susana"/>
    <n v="0"/>
    <n v="0"/>
    <n v="0"/>
    <n v="0"/>
    <n v="0.17"/>
    <e v="#N/A"/>
    <x v="76"/>
  </r>
  <r>
    <d v="2023-11-14T00:00:00"/>
    <x v="44"/>
    <s v="Admin/HR/IT"/>
    <s v="AMCARE NonOcc In"/>
    <s v="AMZN"/>
    <n v="113014094"/>
    <s v="Mercado,Erika"/>
    <s v="Corona Arriaga,Fernando"/>
    <n v="0"/>
    <n v="0"/>
    <n v="0"/>
    <n v="0"/>
    <n v="0.19"/>
    <e v="#N/A"/>
    <x v="49"/>
  </r>
  <r>
    <d v="2023-11-14T00:00:00"/>
    <x v="44"/>
    <s v="Admin/HR/IT"/>
    <s v="AMCARE NonOcc In"/>
    <s v="AMZN"/>
    <n v="113019001"/>
    <s v="Lozano Hernandez,Donny"/>
    <s v="Bueno Mendoza,Susana"/>
    <n v="0"/>
    <n v="0"/>
    <n v="0"/>
    <n v="0"/>
    <n v="7.0000000000000007E-2"/>
    <e v="#N/A"/>
    <x v="48"/>
  </r>
  <r>
    <d v="2023-11-14T00:00:00"/>
    <x v="44"/>
    <s v="Admin/HR/IT"/>
    <s v="AMCARE NonOcc In"/>
    <s v="AMZN"/>
    <n v="113020463"/>
    <s v="Valtierra,Alejandra"/>
    <s v="Corona Arriaga,Fernando"/>
    <n v="0"/>
    <n v="0"/>
    <n v="0"/>
    <n v="0"/>
    <n v="0.48"/>
    <e v="#N/A"/>
    <x v="17"/>
  </r>
  <r>
    <d v="2023-11-14T00:00:00"/>
    <x v="44"/>
    <s v="Admin/HR/IT"/>
    <s v="AMCARE NonOcc In"/>
    <s v="AMZN"/>
    <n v="200534675"/>
    <s v="Munoz Macias,Juan Pablo"/>
    <s v="Rosas Negrete,Sebastian"/>
    <n v="0"/>
    <n v="0"/>
    <n v="0"/>
    <n v="0"/>
    <n v="0.41"/>
    <e v="#N/A"/>
    <x v="69"/>
  </r>
  <r>
    <d v="2023-11-14T00:00:00"/>
    <x v="44"/>
    <s v="Admin/HR/IT"/>
    <s v="AMCARE NonOcc In"/>
    <s v="AMZN"/>
    <n v="200562303"/>
    <s v="Hernandez Cruz,Jorge"/>
    <s v="Corona Arriaga,Fernando"/>
    <n v="0"/>
    <n v="0"/>
    <n v="0"/>
    <n v="0"/>
    <n v="0.46"/>
    <e v="#N/A"/>
    <x v="87"/>
  </r>
  <r>
    <d v="2023-11-14T00:00:00"/>
    <x v="44"/>
    <s v="Admin/HR/IT"/>
    <s v="AMCARE NonOcc In"/>
    <s v="AMZN"/>
    <n v="201159033"/>
    <s v="Arrona,Monserrat"/>
    <s v="Piedra,Valentina"/>
    <n v="0"/>
    <n v="0"/>
    <n v="0"/>
    <n v="0"/>
    <n v="0.12"/>
    <e v="#N/A"/>
    <x v="179"/>
  </r>
  <r>
    <d v="2023-11-14T00:00:00"/>
    <x v="44"/>
    <s v="Admin/HR/IT"/>
    <s v="AMCARE NonOcc In"/>
    <s v="AMZN"/>
    <n v="201167501"/>
    <s v="Rodriguez,Ruben"/>
    <s v="Corona Arriaga,Fernando"/>
    <n v="0"/>
    <n v="0"/>
    <n v="0"/>
    <n v="0"/>
    <n v="0.17"/>
    <e v="#N/A"/>
    <x v="109"/>
  </r>
  <r>
    <d v="2023-11-14T00:00:00"/>
    <x v="44"/>
    <s v="Admin/HR/IT"/>
    <s v="AMCARE NonOcc In"/>
    <s v="AMZN"/>
    <n v="201318220"/>
    <s v="Jasso,Raul"/>
    <s v="Bueno Mendoza,Susana"/>
    <n v="0"/>
    <n v="0"/>
    <n v="0"/>
    <n v="0"/>
    <n v="0.53"/>
    <e v="#N/A"/>
    <x v="193"/>
  </r>
  <r>
    <d v="2023-11-14T00:00:00"/>
    <x v="44"/>
    <s v="Admin/HR/IT"/>
    <s v="AMCARE NonOcc In"/>
    <s v="AMZN"/>
    <n v="201842039"/>
    <s v="Martinez,Antonio"/>
    <s v="Piedra,Valentina"/>
    <n v="0"/>
    <n v="0"/>
    <n v="0"/>
    <n v="0"/>
    <n v="0.32"/>
    <e v="#N/A"/>
    <x v="203"/>
  </r>
  <r>
    <d v="2023-11-14T00:00:00"/>
    <x v="44"/>
    <s v="Admin/HR/IT"/>
    <s v="AMCARE NonOcc In"/>
    <s v="AMZN"/>
    <n v="201858867"/>
    <s v="Cruz Velazquez,Gabriela"/>
    <s v="Piedra,Valentina"/>
    <n v="0"/>
    <n v="0"/>
    <n v="0"/>
    <n v="0"/>
    <n v="0.48"/>
    <e v="#N/A"/>
    <x v="206"/>
  </r>
  <r>
    <d v="2023-11-14T00:00:00"/>
    <x v="44"/>
    <s v="Admin/HR/IT"/>
    <s v="AMCARE NonOcc In"/>
    <s v="AMZN"/>
    <n v="201864225"/>
    <s v="Flores,Ivan"/>
    <s v="Piedra,Valentina"/>
    <n v="0"/>
    <n v="0"/>
    <n v="0"/>
    <n v="0"/>
    <n v="0.28999999999999998"/>
    <e v="#N/A"/>
    <x v="219"/>
  </r>
  <r>
    <d v="2023-11-14T00:00:00"/>
    <x v="44"/>
    <s v="Admin/HR/IT"/>
    <s v="AMCARE NonOcc In"/>
    <s v="TEMP"/>
    <n v="202080758"/>
    <s v="Centeno,Claudio"/>
    <s v="Madrid Molina,Ramon"/>
    <n v="0"/>
    <n v="0"/>
    <n v="0"/>
    <n v="0"/>
    <n v="0.02"/>
    <e v="#N/A"/>
    <x v="424"/>
  </r>
  <r>
    <d v="2023-11-14T00:00:00"/>
    <x v="44"/>
    <s v="Admin/HR/IT"/>
    <s v="AMCARE NonOcc In"/>
    <s v="TEMP"/>
    <n v="202165242"/>
    <s v="Gonzalez,Marco"/>
    <s v="Munoz,Jonan"/>
    <n v="0"/>
    <n v="0"/>
    <n v="0"/>
    <n v="0"/>
    <n v="0.18"/>
    <e v="#N/A"/>
    <x v="251"/>
  </r>
  <r>
    <d v="2023-11-14T00:00:00"/>
    <x v="44"/>
    <s v="Admin/HR/IT"/>
    <s v="AMCARE NonOcc In"/>
    <s v="TEMP"/>
    <n v="202167361"/>
    <s v="Gil Rico,Frida Ernestina"/>
    <s v="Bueno Mendoza,Susana"/>
    <n v="0"/>
    <n v="0"/>
    <n v="0"/>
    <n v="0"/>
    <n v="0.15"/>
    <e v="#N/A"/>
    <x v="382"/>
  </r>
  <r>
    <d v="2023-11-14T00:00:00"/>
    <x v="44"/>
    <s v="Admin/HR/IT"/>
    <s v="AMCARE NonOcc In"/>
    <s v="TEMP"/>
    <n v="202175835"/>
    <s v="Gonzalez,Abraham"/>
    <s v="Munoz,Jonan"/>
    <n v="0"/>
    <n v="0"/>
    <n v="0"/>
    <n v="0"/>
    <n v="0.28999999999999998"/>
    <e v="#N/A"/>
    <x v="425"/>
  </r>
  <r>
    <d v="2023-11-14T00:00:00"/>
    <x v="44"/>
    <s v="Admin/HR/IT"/>
    <s v="AMCARE NonOcc In"/>
    <s v="TEMP"/>
    <n v="202185222"/>
    <s v="Jaime,Alejandro"/>
    <s v="Hernandez,Nataly"/>
    <n v="0"/>
    <n v="0"/>
    <n v="0"/>
    <n v="0"/>
    <n v="0.68"/>
    <e v="#N/A"/>
    <x v="426"/>
  </r>
  <r>
    <d v="2023-11-14T00:00:00"/>
    <x v="44"/>
    <s v="Admin/HR/IT"/>
    <s v="AMCARE NonOcc In"/>
    <s v="TEMP"/>
    <n v="202188434"/>
    <s v="Rivera,Aidza"/>
    <s v="Bueno Mendoza,Susana"/>
    <n v="0"/>
    <n v="0"/>
    <n v="0"/>
    <n v="0"/>
    <n v="1.47"/>
    <e v="#N/A"/>
    <x v="252"/>
  </r>
  <r>
    <d v="2023-11-14T00:00:00"/>
    <x v="44"/>
    <s v="Admin/HR/IT"/>
    <s v="AMCARE NonOcc In"/>
    <s v="TEMP"/>
    <n v="202188991"/>
    <s v="Jimenez,Saul"/>
    <s v="Bueno Mendoza,Susana"/>
    <n v="0"/>
    <n v="0"/>
    <n v="0"/>
    <n v="0"/>
    <n v="0.25"/>
    <e v="#N/A"/>
    <x v="275"/>
  </r>
  <r>
    <d v="2023-11-14T00:00:00"/>
    <x v="44"/>
    <s v="Admin/HR/IT"/>
    <s v="AMCARE NonOcc In"/>
    <s v="TEMP"/>
    <n v="202189092"/>
    <s v="Carpio,Gabriel"/>
    <s v="Munoz,Jonan"/>
    <n v="0"/>
    <n v="0"/>
    <n v="0"/>
    <n v="0"/>
    <n v="0.12"/>
    <e v="#N/A"/>
    <x v="427"/>
  </r>
  <r>
    <d v="2023-11-14T00:00:00"/>
    <x v="44"/>
    <s v="Admin/HR/IT"/>
    <s v="AMCARE NonOcc In"/>
    <s v="TEMP"/>
    <n v="202194973"/>
    <s v="Huerta,Blanca"/>
    <s v="Corona Arriaga,Fernando"/>
    <n v="0"/>
    <n v="0"/>
    <n v="0"/>
    <n v="0"/>
    <n v="0.23"/>
    <e v="#N/A"/>
    <x v="428"/>
  </r>
  <r>
    <d v="2023-11-14T00:00:00"/>
    <x v="44"/>
    <s v="Admin/HR/IT"/>
    <s v="AMCARE NonOcc In"/>
    <s v="TEMP"/>
    <n v="202225994"/>
    <s v="Jauregui,IvÃ¡n"/>
    <s v="Rosas Negrete,Sebastian"/>
    <n v="0"/>
    <n v="0"/>
    <n v="0"/>
    <n v="0"/>
    <n v="0.13"/>
    <e v="#N/A"/>
    <x v="341"/>
  </r>
  <r>
    <d v="2023-11-14T00:00:00"/>
    <x v="44"/>
    <s v="Admin/HR/IT"/>
    <s v="AMCARE NonOcc In"/>
    <s v="TEMP"/>
    <n v="202237267"/>
    <s v="Marquez,Abraham"/>
    <s v="Pizana,Diego"/>
    <n v="0"/>
    <n v="0"/>
    <n v="0"/>
    <n v="0"/>
    <n v="0.18"/>
    <e v="#N/A"/>
    <x v="429"/>
  </r>
  <r>
    <d v="2023-11-14T00:00:00"/>
    <x v="44"/>
    <s v="Admin/HR/IT"/>
    <s v="AMCARE NonOcc In"/>
    <s v="TEMP"/>
    <n v="202237290"/>
    <s v="Quiroz,Patricio"/>
    <s v="Pizana,Diego"/>
    <n v="0"/>
    <n v="0"/>
    <n v="0"/>
    <n v="0"/>
    <n v="0.25"/>
    <e v="#N/A"/>
    <x v="430"/>
  </r>
  <r>
    <d v="2023-11-14T00:00:00"/>
    <x v="44"/>
    <s v="Admin/HR/IT"/>
    <s v="AMCARE NonOcc In"/>
    <s v="TEMP"/>
    <n v="202249806"/>
    <s v="Valtierra,Saul Angel"/>
    <s v="Rosas Negrete,Sebastian"/>
    <n v="0"/>
    <n v="0"/>
    <n v="0"/>
    <n v="0"/>
    <n v="0.11"/>
    <e v="#N/A"/>
    <x v="329"/>
  </r>
  <r>
    <d v="2023-11-14T00:00:00"/>
    <x v="44"/>
    <s v="Admin/HR/IT"/>
    <s v="AMCARE NonOcc In"/>
    <s v="TEMP"/>
    <n v="202265858"/>
    <s v="Salmeron,Alexa"/>
    <s v="Corona Arriaga,Fernando"/>
    <n v="0"/>
    <n v="0"/>
    <n v="0"/>
    <n v="0"/>
    <n v="0.27"/>
    <e v="#N/A"/>
    <x v="280"/>
  </r>
  <r>
    <d v="2023-11-14T00:00:00"/>
    <x v="44"/>
    <s v="Admin/HR/IT"/>
    <s v="AMCARE NonOcc In"/>
    <s v="TEMP"/>
    <n v="202283406"/>
    <s v="Vazquez,Angelica"/>
    <s v="Rosas Negrete,Sebastian"/>
    <n v="0"/>
    <n v="0"/>
    <n v="0"/>
    <n v="0"/>
    <n v="0.09"/>
    <e v="#N/A"/>
    <x v="331"/>
  </r>
  <r>
    <d v="2023-11-14T00:00:00"/>
    <x v="44"/>
    <s v="Admin/HR/IT"/>
    <s v="AMCARE NonOcc In"/>
    <s v="TEMP"/>
    <n v="202287922"/>
    <s v="Andrade,Gema"/>
    <s v="Lopez,Alexa"/>
    <n v="0"/>
    <n v="0"/>
    <n v="0"/>
    <n v="0"/>
    <n v="0.34"/>
    <e v="#N/A"/>
    <x v="281"/>
  </r>
  <r>
    <d v="2023-11-14T00:00:00"/>
    <x v="44"/>
    <s v="Admin/HR/IT"/>
    <s v="AMCARE NonOcc In"/>
    <s v="TEMP"/>
    <n v="202323890"/>
    <s v="Castillo,Pablo"/>
    <s v="Rosas Negrete,Sebastian"/>
    <n v="0"/>
    <n v="0"/>
    <n v="0"/>
    <n v="0"/>
    <n v="0.36"/>
    <e v="#N/A"/>
    <x v="431"/>
  </r>
  <r>
    <d v="2023-11-14T00:00:00"/>
    <x v="44"/>
    <s v="Admin/HR/IT"/>
    <s v="AMCARE NonOcc In"/>
    <s v="TEMP"/>
    <n v="202323975"/>
    <s v="Hernandez,Alejandro"/>
    <s v="Piedra,Valentina"/>
    <n v="0"/>
    <n v="0"/>
    <n v="0"/>
    <n v="0"/>
    <n v="0.32"/>
    <e v="#N/A"/>
    <x v="355"/>
  </r>
  <r>
    <d v="2023-11-14T00:00:00"/>
    <x v="44"/>
    <s v="Admin/HR/IT"/>
    <s v="AMCARE NonOcc In"/>
    <s v="TEMP"/>
    <n v="202329407"/>
    <s v="Medel,Sandra"/>
    <s v="Madrid Molina,Ramon"/>
    <n v="0"/>
    <n v="0"/>
    <n v="0"/>
    <n v="0"/>
    <n v="0.3"/>
    <e v="#N/A"/>
    <x v="325"/>
  </r>
  <r>
    <d v="2023-11-14T00:00:00"/>
    <x v="44"/>
    <s v="Admin/HR/IT"/>
    <s v="AMCARE NonOcc In"/>
    <s v="TEMP"/>
    <n v="202334620"/>
    <s v="Vera,Alejandro"/>
    <s v="Piedra,Valentina"/>
    <n v="0"/>
    <n v="0"/>
    <n v="0"/>
    <n v="0"/>
    <n v="0.21"/>
    <e v="#N/A"/>
    <x v="362"/>
  </r>
  <r>
    <d v="2023-11-14T00:00:00"/>
    <x v="44"/>
    <s v="Admin/HR/IT"/>
    <s v="AMCARE NonOcc In"/>
    <s v="TEMP"/>
    <n v="202389824"/>
    <s v="Brito,Ernesto"/>
    <s v="Lopez,Alexa"/>
    <n v="0"/>
    <n v="0"/>
    <n v="0"/>
    <n v="0"/>
    <n v="0.19"/>
    <e v="#N/A"/>
    <x v="432"/>
  </r>
  <r>
    <d v="2023-11-14T00:00:00"/>
    <x v="44"/>
    <s v="Admin/HR/IT"/>
    <s v="AMCARE NonOcc In"/>
    <s v="TEMP"/>
    <n v="202490913"/>
    <s v="Valadez,Frida"/>
    <s v="Madrid Molina,Ramon"/>
    <n v="0"/>
    <n v="0"/>
    <n v="0"/>
    <n v="0"/>
    <n v="0.28999999999999998"/>
    <e v="#N/A"/>
    <x v="433"/>
  </r>
  <r>
    <d v="2023-11-14T00:00:00"/>
    <x v="44"/>
    <s v="Admin/HR/IT"/>
    <s v="AMCARE NonOcc In"/>
    <s v="TEMP"/>
    <n v="202518714"/>
    <s v="Urrutia,JesÃºs"/>
    <s v="Madrid Molina,Ramon"/>
    <n v="0"/>
    <n v="0"/>
    <n v="0"/>
    <n v="0"/>
    <n v="7.0000000000000007E-2"/>
    <e v="#N/A"/>
    <x v="434"/>
  </r>
  <r>
    <d v="2023-11-15T00:00:00"/>
    <x v="44"/>
    <s v="Adm+C4345:M4432in/HR/IT"/>
    <s v="AMCARE NonOcc In"/>
    <s v="AMZN"/>
    <n v="112950795"/>
    <s v="Espinosa Espitia,Ali"/>
    <s v="Madrid Molina,Ramon"/>
    <n v="0"/>
    <n v="0"/>
    <n v="0"/>
    <n v="0"/>
    <n v="0.19"/>
    <s v="DA-X0700"/>
    <x v="78"/>
  </r>
  <r>
    <d v="2023-11-15T00:00:00"/>
    <x v="44"/>
    <s v="Admin/HR/IT"/>
    <s v="AMCARE NonOcc In"/>
    <s v="AMZN"/>
    <n v="112981013"/>
    <s v="Lopez Neri,Norma"/>
    <s v="Rosas Negrete,Sebastian"/>
    <n v="0"/>
    <n v="0"/>
    <n v="0"/>
    <n v="0"/>
    <n v="0.19"/>
    <s v="DA-X0700"/>
    <x v="12"/>
  </r>
  <r>
    <d v="2023-11-15T00:00:00"/>
    <x v="44"/>
    <s v="Admin/HR/IT"/>
    <s v="AMCARE NonOcc In"/>
    <s v="AMZN"/>
    <n v="113014078"/>
    <s v="Nunez Lopez,Aldair"/>
    <s v="Bueno Mendoza,Susana"/>
    <n v="0"/>
    <n v="0"/>
    <n v="0"/>
    <n v="0"/>
    <n v="1.18"/>
    <e v="#N/A"/>
    <x v="76"/>
  </r>
  <r>
    <d v="2023-11-15T00:00:00"/>
    <x v="44"/>
    <s v="Admin/HR/IT"/>
    <s v="AMCARE NonOcc In"/>
    <s v="AMZN"/>
    <n v="113014094"/>
    <s v="Mercado,Erika"/>
    <s v="Corona Arriaga,Fernando"/>
    <n v="0"/>
    <n v="0"/>
    <n v="0"/>
    <n v="0"/>
    <n v="0.19"/>
    <e v="#N/A"/>
    <x v="49"/>
  </r>
  <r>
    <d v="2023-11-15T00:00:00"/>
    <x v="44"/>
    <s v="Admin/HR/IT"/>
    <s v="AMCARE NonOcc In"/>
    <s v="AMZN"/>
    <n v="113014560"/>
    <s v="Lopez Moreno,Americo"/>
    <s v="Romero Sanchez,Gustavo Gabriel"/>
    <n v="0"/>
    <n v="0"/>
    <n v="0"/>
    <n v="0"/>
    <n v="0.33"/>
    <e v="#N/A"/>
    <x v="81"/>
  </r>
  <r>
    <d v="2023-11-15T00:00:00"/>
    <x v="44"/>
    <s v="Admin/HR/IT"/>
    <s v="AMCARE NonOcc In"/>
    <s v="AMZN"/>
    <n v="200404250"/>
    <s v="Hurtado,Caty"/>
    <s v="Corona Arriaga,Fernando"/>
    <n v="0"/>
    <n v="0"/>
    <n v="0"/>
    <n v="0"/>
    <n v="0.33"/>
    <e v="#N/A"/>
    <x v="6"/>
  </r>
  <r>
    <d v="2023-11-15T00:00:00"/>
    <x v="44"/>
    <s v="Admin/HR/IT"/>
    <s v="AMCARE NonOcc In"/>
    <s v="AMZN"/>
    <n v="200508323"/>
    <s v="Espejel Lopez,Emmanuel"/>
    <s v="Romero Sanchez,Gustavo Gabriel"/>
    <n v="0"/>
    <n v="0"/>
    <n v="0"/>
    <n v="0"/>
    <n v="0.13"/>
    <e v="#N/A"/>
    <x v="177"/>
  </r>
  <r>
    <d v="2023-11-15T00:00:00"/>
    <x v="44"/>
    <s v="Admin/HR/IT"/>
    <s v="AMCARE NonOcc In"/>
    <s v="AMZN"/>
    <n v="200564895"/>
    <s v="Mendoza Corona,Brianda"/>
    <s v="Corona Arriaga,Fernando"/>
    <n v="0"/>
    <n v="0"/>
    <n v="0"/>
    <n v="0"/>
    <n v="0.16"/>
    <e v="#N/A"/>
    <x v="64"/>
  </r>
  <r>
    <d v="2023-11-15T00:00:00"/>
    <x v="44"/>
    <s v="Admin/HR/IT"/>
    <s v="AMCARE NonOcc In"/>
    <s v="AMZN"/>
    <n v="200574345"/>
    <s v="Contreras,Jony"/>
    <s v="Corona Arriaga,Fernando"/>
    <n v="0"/>
    <n v="0"/>
    <n v="0"/>
    <n v="0"/>
    <n v="0.67"/>
    <e v="#N/A"/>
    <x v="54"/>
  </r>
  <r>
    <d v="2023-11-15T00:00:00"/>
    <x v="44"/>
    <s v="Admin/HR/IT"/>
    <s v="AMCARE NonOcc In"/>
    <s v="AMZN"/>
    <n v="201167501"/>
    <s v="Rodriguez,Ruben"/>
    <s v="Corona Arriaga,Fernando"/>
    <n v="0"/>
    <n v="0"/>
    <n v="0"/>
    <n v="0"/>
    <n v="0.19"/>
    <e v="#N/A"/>
    <x v="109"/>
  </r>
  <r>
    <d v="2023-11-15T00:00:00"/>
    <x v="44"/>
    <s v="Admin/HR/IT"/>
    <s v="AMCARE NonOcc In"/>
    <s v="AMZN"/>
    <n v="201198922"/>
    <s v="Mendez,Joy"/>
    <s v="Munoz,Jonan"/>
    <n v="0"/>
    <n v="0"/>
    <n v="0"/>
    <n v="0"/>
    <n v="0.26"/>
    <e v="#N/A"/>
    <x v="173"/>
  </r>
  <r>
    <d v="2023-11-15T00:00:00"/>
    <x v="44"/>
    <s v="Admin/HR/IT"/>
    <s v="AMCARE NonOcc In"/>
    <s v="AMZN"/>
    <n v="201341534"/>
    <s v="Becerra,Esmeralda"/>
    <s v="Bueno Mendoza,Susana"/>
    <n v="0"/>
    <n v="0"/>
    <n v="0"/>
    <n v="0"/>
    <n v="0.18"/>
    <e v="#N/A"/>
    <x v="192"/>
  </r>
  <r>
    <d v="2023-11-15T00:00:00"/>
    <x v="44"/>
    <s v="Admin/HR/IT"/>
    <s v="AMCARE NonOcc In"/>
    <s v="AMZN"/>
    <n v="201354965"/>
    <s v="JimÃ©nez,Aline"/>
    <s v="Piedra,Valentina"/>
    <n v="0"/>
    <n v="0"/>
    <n v="0"/>
    <n v="0"/>
    <n v="0.08"/>
    <e v="#N/A"/>
    <x v="152"/>
  </r>
  <r>
    <d v="2023-11-15T00:00:00"/>
    <x v="44"/>
    <s v="Admin/HR/IT"/>
    <s v="AMCARE NonOcc In"/>
    <s v="AMZN"/>
    <n v="201880542"/>
    <s v="ORTIZ,CORPUS"/>
    <s v="Bueno Mendoza,Susana"/>
    <n v="0"/>
    <n v="0"/>
    <n v="0"/>
    <n v="0"/>
    <n v="0.99"/>
    <e v="#N/A"/>
    <x v="199"/>
  </r>
  <r>
    <d v="2023-11-15T00:00:00"/>
    <x v="44"/>
    <s v="Admin/HR/IT"/>
    <s v="AMCARE NonOcc In"/>
    <s v="AMZN"/>
    <n v="201882567"/>
    <s v="Valtierra,Salvador"/>
    <s v="Corona Arriaga,Fernando"/>
    <n v="0"/>
    <n v="0"/>
    <n v="0"/>
    <n v="0"/>
    <n v="0.22"/>
    <e v="#N/A"/>
    <x v="222"/>
  </r>
  <r>
    <d v="2023-11-15T00:00:00"/>
    <x v="44"/>
    <s v="Admin/HR/IT"/>
    <s v="AMCARE NonOcc In"/>
    <s v="TEMP"/>
    <n v="202068103"/>
    <s v="BarrÃ³n,Noe"/>
    <s v="AlarcÃ³n,Irving"/>
    <n v="0"/>
    <n v="0"/>
    <n v="0"/>
    <n v="0"/>
    <n v="0.14000000000000001"/>
    <e v="#N/A"/>
    <x v="435"/>
  </r>
  <r>
    <d v="2023-11-15T00:00:00"/>
    <x v="44"/>
    <s v="Admin/HR/IT"/>
    <s v="AMCARE NonOcc In"/>
    <s v="TEMP"/>
    <n v="202068119"/>
    <s v="Castillo,Saul"/>
    <s v="Manzanares Navarro,Sandra"/>
    <n v="0"/>
    <n v="0"/>
    <n v="0"/>
    <n v="0"/>
    <n v="0.02"/>
    <e v="#N/A"/>
    <x v="264"/>
  </r>
  <r>
    <d v="2023-11-15T00:00:00"/>
    <x v="44"/>
    <s v="Admin/HR/IT"/>
    <s v="AMCARE NonOcc In"/>
    <s v="TEMP"/>
    <n v="202070021"/>
    <s v="PatiÃ±o,Max"/>
    <s v="Madrid Molina,Ramon"/>
    <n v="0"/>
    <n v="0"/>
    <n v="0"/>
    <n v="0"/>
    <n v="0.17"/>
    <e v="#N/A"/>
    <x v="436"/>
  </r>
  <r>
    <d v="2023-11-15T00:00:00"/>
    <x v="44"/>
    <s v="Admin/HR/IT"/>
    <s v="AMCARE NonOcc In"/>
    <s v="TEMP"/>
    <n v="202081087"/>
    <s v="Martinez,Lilian"/>
    <s v="AlarcÃ³n,Irving"/>
    <n v="0"/>
    <n v="0"/>
    <n v="0"/>
    <n v="0"/>
    <n v="0.13"/>
    <e v="#N/A"/>
    <x v="240"/>
  </r>
  <r>
    <d v="2023-11-15T00:00:00"/>
    <x v="44"/>
    <s v="Admin/HR/IT"/>
    <s v="AMCARE NonOcc In"/>
    <s v="TEMP"/>
    <n v="202118346"/>
    <s v="Ponce,Jessi"/>
    <s v="Rosas Negrete,Sebastian"/>
    <n v="0"/>
    <n v="0"/>
    <n v="0"/>
    <n v="0"/>
    <n v="0.08"/>
    <e v="#N/A"/>
    <x v="237"/>
  </r>
  <r>
    <d v="2023-11-15T00:00:00"/>
    <x v="44"/>
    <s v="Admin/HR/IT"/>
    <s v="AMCARE NonOcc In"/>
    <s v="TEMP"/>
    <n v="202120362"/>
    <s v="Aguilar Franco,Viridiana"/>
    <s v="AlarcÃ³n,Irving"/>
    <n v="0"/>
    <n v="0"/>
    <n v="0"/>
    <n v="0"/>
    <n v="1.32"/>
    <e v="#N/A"/>
    <x v="437"/>
  </r>
  <r>
    <d v="2023-11-15T00:00:00"/>
    <x v="44"/>
    <s v="Admin/HR/IT"/>
    <s v="AMCARE NonOcc In"/>
    <s v="TEMP"/>
    <n v="202137341"/>
    <s v="Bravo,Edgar"/>
    <s v="Rosas Negrete,Sebastian"/>
    <n v="0"/>
    <n v="0"/>
    <n v="0"/>
    <n v="0"/>
    <n v="0.36"/>
    <e v="#N/A"/>
    <x v="241"/>
  </r>
  <r>
    <d v="2023-11-15T00:00:00"/>
    <x v="44"/>
    <s v="Admin/HR/IT"/>
    <s v="AMCARE NonOcc In"/>
    <s v="TEMP"/>
    <n v="202167308"/>
    <s v="Alcocer,Carlos"/>
    <s v="Bueno Mendoza,Susana"/>
    <n v="0"/>
    <n v="0"/>
    <n v="0"/>
    <n v="0"/>
    <n v="0.18"/>
    <e v="#N/A"/>
    <x v="292"/>
  </r>
  <r>
    <d v="2023-11-15T00:00:00"/>
    <x v="44"/>
    <s v="Admin/HR/IT"/>
    <s v="AMCARE NonOcc In"/>
    <s v="TEMP"/>
    <n v="202190946"/>
    <s v="Gonzalez,Caro"/>
    <s v="Bueno Mendoza,Susana"/>
    <n v="0"/>
    <n v="0"/>
    <n v="0"/>
    <n v="0"/>
    <n v="0.14000000000000001"/>
    <e v="#N/A"/>
    <x v="438"/>
  </r>
  <r>
    <d v="2023-11-15T00:00:00"/>
    <x v="44"/>
    <s v="Admin/HR/IT"/>
    <s v="AMCARE NonOcc In"/>
    <s v="TEMP"/>
    <n v="202194928"/>
    <s v="Garcia Castillo,Jose Miguel"/>
    <s v="Rosas Negrete,Sebastian"/>
    <n v="0"/>
    <n v="0"/>
    <n v="0"/>
    <n v="0"/>
    <n v="0.26"/>
    <e v="#N/A"/>
    <x v="268"/>
  </r>
  <r>
    <d v="2023-11-15T00:00:00"/>
    <x v="44"/>
    <s v="Admin/HR/IT"/>
    <s v="AMCARE NonOcc In"/>
    <s v="TEMP"/>
    <n v="202219558"/>
    <s v="Cortes,Ricardo"/>
    <s v="Munoz,Jonan"/>
    <n v="0"/>
    <n v="0"/>
    <n v="0"/>
    <n v="0"/>
    <n v="0.32"/>
    <e v="#N/A"/>
    <x v="323"/>
  </r>
  <r>
    <d v="2023-11-15T00:00:00"/>
    <x v="44"/>
    <s v="Admin/HR/IT"/>
    <s v="AMCARE NonOcc In"/>
    <s v="TEMP"/>
    <n v="202265858"/>
    <s v="Salmeron,Alexa"/>
    <s v="Corona Arriaga,Fernando"/>
    <n v="0"/>
    <n v="0"/>
    <n v="0"/>
    <n v="0"/>
    <n v="0.19"/>
    <e v="#N/A"/>
    <x v="280"/>
  </r>
  <r>
    <d v="2023-11-15T00:00:00"/>
    <x v="44"/>
    <s v="Admin/HR/IT"/>
    <s v="AMCARE NonOcc In"/>
    <s v="TEMP"/>
    <n v="202273970"/>
    <s v="Medina,Jafet"/>
    <s v="Camarena,Grecia"/>
    <n v="0"/>
    <n v="0"/>
    <n v="0"/>
    <n v="0"/>
    <n v="0.12"/>
    <e v="#N/A"/>
    <x v="300"/>
  </r>
  <r>
    <d v="2023-11-15T00:00:00"/>
    <x v="44"/>
    <s v="Admin/HR/IT"/>
    <s v="AMCARE NonOcc In"/>
    <s v="TEMP"/>
    <n v="202282459"/>
    <s v="VelÃ¡zquez,Alexis"/>
    <s v="Romero Sanchez,Gustavo Gabriel"/>
    <n v="0"/>
    <n v="0"/>
    <n v="0"/>
    <n v="0"/>
    <n v="0.37"/>
    <e v="#N/A"/>
    <x v="354"/>
  </r>
  <r>
    <d v="2023-11-15T00:00:00"/>
    <x v="44"/>
    <s v="Admin/HR/IT"/>
    <s v="AMCARE NonOcc In"/>
    <s v="TEMP"/>
    <n v="202287533"/>
    <s v="Hernandez,Antonio"/>
    <s v="Lopez,Alexa"/>
    <n v="0"/>
    <n v="0"/>
    <n v="0"/>
    <n v="0"/>
    <n v="0.3"/>
    <e v="#N/A"/>
    <x v="439"/>
  </r>
  <r>
    <d v="2023-11-15T00:00:00"/>
    <x v="44"/>
    <s v="Admin/HR/IT"/>
    <s v="AMCARE NonOcc In"/>
    <s v="TEMP"/>
    <n v="202287922"/>
    <s v="Andrade,Gema"/>
    <s v="Lopez,Alexa"/>
    <n v="0"/>
    <n v="0"/>
    <n v="0"/>
    <n v="0"/>
    <n v="0.33"/>
    <e v="#N/A"/>
    <x v="281"/>
  </r>
  <r>
    <d v="2023-11-15T00:00:00"/>
    <x v="44"/>
    <s v="Admin/HR/IT"/>
    <s v="AMCARE NonOcc In"/>
    <s v="TEMP"/>
    <n v="202329407"/>
    <s v="Medel,Sandra"/>
    <s v="Madrid Molina,Ramon"/>
    <n v="0"/>
    <n v="0"/>
    <n v="0"/>
    <n v="0"/>
    <n v="0.34"/>
    <e v="#N/A"/>
    <x v="325"/>
  </r>
  <r>
    <d v="2023-11-15T00:00:00"/>
    <x v="44"/>
    <s v="Admin/HR/IT"/>
    <s v="AMCARE NonOcc In"/>
    <s v="TEMP"/>
    <n v="202334751"/>
    <s v="Marquez,Luz Maria"/>
    <s v="Madrid Molina,Ramon"/>
    <n v="0"/>
    <n v="0"/>
    <n v="0"/>
    <n v="0"/>
    <n v="0.34"/>
    <e v="#N/A"/>
    <x v="338"/>
  </r>
  <r>
    <d v="2023-11-15T00:00:00"/>
    <x v="44"/>
    <s v="Admin/HR/IT"/>
    <s v="AMCARE NonOcc In"/>
    <s v="TEMP"/>
    <n v="202350464"/>
    <s v="Garcia,Joselyn"/>
    <s v="Madrid Molina,Ramon"/>
    <n v="0"/>
    <n v="0"/>
    <n v="0"/>
    <n v="0"/>
    <n v="1.1200000000000001"/>
    <e v="#N/A"/>
    <x v="415"/>
  </r>
  <r>
    <d v="2023-11-15T00:00:00"/>
    <x v="44"/>
    <s v="Admin/HR/IT"/>
    <s v="AMCARE NonOcc In"/>
    <s v="TEMP"/>
    <n v="202374145"/>
    <s v="Gascon,Abraham"/>
    <s v="Cortes,Alejandra"/>
    <n v="0"/>
    <n v="0"/>
    <n v="0"/>
    <n v="0"/>
    <n v="0.27"/>
    <e v="#N/A"/>
    <x v="440"/>
  </r>
  <r>
    <d v="2023-11-15T00:00:00"/>
    <x v="44"/>
    <s v="Admin/HR/IT"/>
    <s v="AMCARE NonOcc In"/>
    <s v="TEMP"/>
    <n v="202417673"/>
    <s v="LÃ³pez,Valeria"/>
    <s v="Cortes,Alejandra"/>
    <n v="0"/>
    <n v="0"/>
    <n v="0"/>
    <n v="0"/>
    <n v="0.3"/>
    <e v="#N/A"/>
    <x v="441"/>
  </r>
  <r>
    <d v="2023-11-15T00:00:00"/>
    <x v="44"/>
    <s v="Admin/HR/IT"/>
    <s v="AMCARE NonOcc In"/>
    <s v="TEMP"/>
    <n v="202421453"/>
    <s v="Checo,Sergio"/>
    <s v="Cortes,Alejandra"/>
    <n v="0"/>
    <n v="0"/>
    <n v="0"/>
    <n v="0"/>
    <n v="0.7"/>
    <e v="#N/A"/>
    <x v="403"/>
  </r>
  <r>
    <d v="2023-11-15T00:00:00"/>
    <x v="44"/>
    <s v="Admin/HR/IT"/>
    <s v="AMCARE NonOcc In"/>
    <s v="TEMP"/>
    <n v="202442784"/>
    <s v="Vera,Ana"/>
    <s v="Pizana,Diego"/>
    <n v="0"/>
    <n v="0"/>
    <n v="0"/>
    <n v="0"/>
    <n v="0.16"/>
    <e v="#N/A"/>
    <x v="442"/>
  </r>
  <r>
    <d v="2023-11-15T00:00:00"/>
    <x v="44"/>
    <s v="Admin/HR/IT"/>
    <s v="AMCARE NonOcc In"/>
    <s v="TEMP"/>
    <n v="202479830"/>
    <s v="Medina,Montserrat"/>
    <s v="Bueno Mendoza,Susana"/>
    <n v="0"/>
    <n v="0"/>
    <n v="0"/>
    <n v="0"/>
    <n v="1.22"/>
    <e v="#N/A"/>
    <x v="443"/>
  </r>
  <r>
    <d v="2023-11-15T00:00:00"/>
    <x v="44"/>
    <s v="Admin/HR/IT"/>
    <s v="AMCARE NonOcc In"/>
    <s v="TEMP"/>
    <n v="202479893"/>
    <s v="Torres,Luza"/>
    <s v="Bueno Mendoza,Susana"/>
    <n v="0"/>
    <n v="0"/>
    <n v="0"/>
    <n v="0"/>
    <n v="0.66"/>
    <e v="#N/A"/>
    <x v="444"/>
  </r>
  <r>
    <d v="2023-11-15T00:00:00"/>
    <x v="44"/>
    <s v="Admin/HR/IT"/>
    <s v="AMCARE NonOcc In"/>
    <s v="TEMP"/>
    <n v="202479901"/>
    <s v="Torres,Delia"/>
    <s v="Camarena,Grecia"/>
    <n v="0"/>
    <n v="0"/>
    <n v="0"/>
    <n v="0"/>
    <n v="1.1299999999999999"/>
    <e v="#N/A"/>
    <x v="445"/>
  </r>
  <r>
    <d v="2023-11-15T00:00:00"/>
    <x v="44"/>
    <s v="Admin/HR/IT"/>
    <s v="AMCARE NonOcc In"/>
    <s v="TEMP"/>
    <n v="202518715"/>
    <s v="Sandoval,Cecilia"/>
    <s v="Camarena,Grecia"/>
    <n v="0"/>
    <n v="0"/>
    <n v="0"/>
    <n v="0"/>
    <n v="0.45"/>
    <e v="#N/A"/>
    <x v="391"/>
  </r>
  <r>
    <d v="2023-11-15T00:00:00"/>
    <x v="44"/>
    <s v="Admin/HR/IT"/>
    <s v="AMCARE NonOcc In"/>
    <s v="TEMP"/>
    <n v="202538455"/>
    <s v="sandoval,israel"/>
    <s v="Pizana,Diego"/>
    <n v="0"/>
    <n v="0"/>
    <n v="0"/>
    <n v="0"/>
    <n v="1.4"/>
    <e v="#N/A"/>
    <x v="0"/>
  </r>
  <r>
    <d v="2023-11-16T00:00:00"/>
    <x v="44"/>
    <s v="Admin/HR/IT"/>
    <s v="AMCARE NonOcc In"/>
    <s v="AMZN"/>
    <n v="103979960"/>
    <s v="Suchil Angel,Guillermo"/>
    <s v="Corona Arriaga,Fernando"/>
    <n v="0"/>
    <n v="0"/>
    <n v="0"/>
    <n v="0"/>
    <n v="0.18"/>
    <e v="#N/A"/>
    <x v="0"/>
  </r>
  <r>
    <d v="2023-11-16T00:00:00"/>
    <x v="44"/>
    <s v="Admin/HR/IT"/>
    <s v="AMCARE NonOcc In"/>
    <s v="TEMP"/>
    <n v="112912984"/>
    <s v="Ortiz,Isaac"/>
    <s v="Pizana,Diego"/>
    <n v="0"/>
    <n v="0"/>
    <n v="0"/>
    <n v="0"/>
    <n v="0.08"/>
    <s v="DJ-X0700"/>
    <x v="411"/>
  </r>
  <r>
    <d v="2023-11-16T00:00:00"/>
    <x v="44"/>
    <s v="Admin/HR/IT"/>
    <s v="AMCARE NonOcc In"/>
    <s v="AMZN"/>
    <n v="112971962"/>
    <s v="Reyes  Montes de oca,Alejandra"/>
    <s v="Romero Sanchez,Gustavo Gabriel"/>
    <n v="0"/>
    <n v="0"/>
    <n v="0"/>
    <n v="0"/>
    <n v="0.19"/>
    <s v="DB-X0700"/>
    <x v="26"/>
  </r>
  <r>
    <d v="2023-11-16T00:00:00"/>
    <x v="44"/>
    <s v="Admin/HR/IT"/>
    <s v="AMCARE NonOcc In"/>
    <s v="AMZN"/>
    <n v="112972215"/>
    <s v="Cruz,Ana"/>
    <s v="Romero Sanchez,Gustavo Gabriel"/>
    <n v="0"/>
    <n v="0"/>
    <n v="0"/>
    <n v="0"/>
    <n v="0.15"/>
    <s v="DB-X0700"/>
    <x v="134"/>
  </r>
  <r>
    <d v="2023-11-16T00:00:00"/>
    <x v="44"/>
    <s v="Admin/HR/IT"/>
    <s v="AMCARE NonOcc In"/>
    <s v="AMZN"/>
    <n v="113014560"/>
    <s v="Lopez Moreno,Americo"/>
    <s v="Romero Sanchez,Gustavo Gabriel"/>
    <n v="0"/>
    <n v="0"/>
    <n v="0"/>
    <n v="0"/>
    <n v="0.27"/>
    <e v="#N/A"/>
    <x v="81"/>
  </r>
  <r>
    <d v="2023-11-16T00:00:00"/>
    <x v="44"/>
    <s v="Admin/HR/IT"/>
    <s v="AMCARE NonOcc In"/>
    <s v="AMZN"/>
    <n v="113020476"/>
    <s v="Puente Aguilar,Polette"/>
    <s v="Lopez,Alexa"/>
    <n v="0"/>
    <n v="0"/>
    <n v="0"/>
    <n v="0"/>
    <n v="0.09"/>
    <e v="#N/A"/>
    <x v="19"/>
  </r>
  <r>
    <d v="2023-11-16T00:00:00"/>
    <x v="44"/>
    <s v="Admin/HR/IT"/>
    <s v="AMCARE NonOcc In"/>
    <s v="AMZN"/>
    <n v="113052151"/>
    <s v="Nieves Mendez,Laura"/>
    <s v="Piedra,Valentina"/>
    <n v="0"/>
    <n v="0"/>
    <n v="0"/>
    <n v="0"/>
    <n v="0.14000000000000001"/>
    <e v="#N/A"/>
    <x v="56"/>
  </r>
  <r>
    <d v="2023-11-16T00:00:00"/>
    <x v="44"/>
    <s v="Admin/HR/IT"/>
    <s v="AMCARE NonOcc In"/>
    <s v="AMZN"/>
    <n v="201172306"/>
    <s v="Valdez,CÃ©sar"/>
    <s v="Lopez,Alexa"/>
    <n v="0"/>
    <n v="0"/>
    <n v="0"/>
    <n v="0"/>
    <n v="0.09"/>
    <e v="#N/A"/>
    <x v="128"/>
  </r>
  <r>
    <d v="2023-11-16T00:00:00"/>
    <x v="44"/>
    <s v="Admin/HR/IT"/>
    <s v="AMCARE NonOcc In"/>
    <s v="AMZN"/>
    <n v="201191390"/>
    <s v="GarcÃ­a,jesus"/>
    <s v="Romero Sanchez,Gustavo Gabriel"/>
    <n v="0"/>
    <n v="0"/>
    <n v="0"/>
    <n v="0"/>
    <n v="0.08"/>
    <e v="#N/A"/>
    <x v="116"/>
  </r>
  <r>
    <d v="2023-11-16T00:00:00"/>
    <x v="44"/>
    <s v="Admin/HR/IT"/>
    <s v="AMCARE NonOcc In"/>
    <s v="AMZN"/>
    <n v="201354965"/>
    <s v="JimÃ©nez,Aline"/>
    <s v="Piedra,Valentina"/>
    <n v="0"/>
    <n v="0"/>
    <n v="0"/>
    <n v="0"/>
    <n v="0.47"/>
    <e v="#N/A"/>
    <x v="152"/>
  </r>
  <r>
    <d v="2023-11-16T00:00:00"/>
    <x v="44"/>
    <s v="Admin/HR/IT"/>
    <s v="AMCARE NonOcc In"/>
    <s v="TEMP"/>
    <n v="201365023"/>
    <s v="Centeno,Ara"/>
    <s v="Romero Sanchez,Gustavo Gabriel"/>
    <n v="0"/>
    <n v="0"/>
    <n v="0"/>
    <n v="0"/>
    <n v="1.27"/>
    <e v="#N/A"/>
    <x v="358"/>
  </r>
  <r>
    <d v="2023-11-16T00:00:00"/>
    <x v="44"/>
    <s v="Admin/HR/IT"/>
    <s v="AMCARE NonOcc In"/>
    <s v="AMZN"/>
    <n v="201406984"/>
    <s v="Perez,Misael"/>
    <s v="Manzanares Navarro,Sandra"/>
    <n v="0"/>
    <n v="0"/>
    <n v="0"/>
    <n v="0"/>
    <n v="0.56999999999999995"/>
    <e v="#N/A"/>
    <x v="196"/>
  </r>
  <r>
    <d v="2023-11-16T00:00:00"/>
    <x v="44"/>
    <s v="Admin/HR/IT"/>
    <s v="AMCARE NonOcc In"/>
    <s v="AMZN"/>
    <n v="201841804"/>
    <s v="Ruiz,Michelle"/>
    <s v="Piedra,Valentina"/>
    <n v="0"/>
    <n v="0"/>
    <n v="0"/>
    <n v="0"/>
    <n v="0.22"/>
    <e v="#N/A"/>
    <x v="195"/>
  </r>
  <r>
    <d v="2023-11-16T00:00:00"/>
    <x v="44"/>
    <s v="Admin/HR/IT"/>
    <s v="AMCARE NonOcc In"/>
    <s v="AMZN"/>
    <n v="201858789"/>
    <s v="HINOJOSA,IGNACIO"/>
    <s v="Piedra,Valentina"/>
    <n v="0"/>
    <n v="0"/>
    <n v="0"/>
    <n v="0"/>
    <n v="0.27"/>
    <e v="#N/A"/>
    <x v="197"/>
  </r>
  <r>
    <d v="2023-11-16T00:00:00"/>
    <x v="44"/>
    <s v="Admin/HR/IT"/>
    <s v="AMCARE NonOcc In"/>
    <s v="AMZN"/>
    <n v="201858867"/>
    <s v="Cruz Velazquez,Gabriela"/>
    <s v="Piedra,Valentina"/>
    <n v="0"/>
    <n v="0"/>
    <n v="0"/>
    <n v="0"/>
    <n v="0.12"/>
    <e v="#N/A"/>
    <x v="206"/>
  </r>
  <r>
    <d v="2023-11-16T00:00:00"/>
    <x v="44"/>
    <s v="Admin/HR/IT"/>
    <s v="AMCARE NonOcc In"/>
    <s v="TEMP"/>
    <n v="201901967"/>
    <s v="Dominguez,Diana"/>
    <s v="AlarcÃ³n,Irving"/>
    <n v="0"/>
    <n v="0"/>
    <n v="0"/>
    <n v="0"/>
    <n v="0.26"/>
    <e v="#N/A"/>
    <x v="207"/>
  </r>
  <r>
    <d v="2023-11-16T00:00:00"/>
    <x v="44"/>
    <s v="Admin/HR/IT"/>
    <s v="AMCARE NonOcc In"/>
    <s v="TEMP"/>
    <n v="202062181"/>
    <s v="Trejo,Luis"/>
    <s v="Lopez,Alexa"/>
    <n v="0"/>
    <n v="0"/>
    <n v="0"/>
    <n v="0"/>
    <n v="0.22"/>
    <e v="#N/A"/>
    <x v="243"/>
  </r>
  <r>
    <d v="2023-11-16T00:00:00"/>
    <x v="44"/>
    <s v="Admin/HR/IT"/>
    <s v="AMCARE NonOcc In"/>
    <s v="TEMP"/>
    <n v="202117420"/>
    <s v="Cervera,Israel"/>
    <s v="Manzanares Navarro,Sandra"/>
    <n v="0"/>
    <n v="0"/>
    <n v="0"/>
    <n v="0"/>
    <n v="0.4"/>
    <e v="#N/A"/>
    <x v="230"/>
  </r>
  <r>
    <d v="2023-11-16T00:00:00"/>
    <x v="44"/>
    <s v="Admin/HR/IT"/>
    <s v="AMCARE NonOcc In"/>
    <s v="TEMP"/>
    <n v="202120417"/>
    <s v="Hernandez,Jose"/>
    <s v="Manzanares Navarro,Sandra"/>
    <n v="0"/>
    <n v="0"/>
    <n v="0"/>
    <n v="0"/>
    <n v="0.19"/>
    <e v="#N/A"/>
    <x v="256"/>
  </r>
  <r>
    <d v="2023-11-16T00:00:00"/>
    <x v="44"/>
    <s v="Admin/HR/IT"/>
    <s v="AMCARE NonOcc In"/>
    <s v="TEMP"/>
    <n v="202137149"/>
    <s v="Caudillo,Carlos"/>
    <s v="Munoz,Jonan"/>
    <n v="0"/>
    <n v="0"/>
    <n v="0"/>
    <n v="0"/>
    <n v="0.09"/>
    <e v="#N/A"/>
    <x v="260"/>
  </r>
  <r>
    <d v="2023-11-16T00:00:00"/>
    <x v="44"/>
    <s v="Admin/HR/IT"/>
    <s v="AMCARE NonOcc In"/>
    <s v="TEMP"/>
    <n v="202165242"/>
    <s v="Gonzalez,Marco"/>
    <s v="Munoz,Jonan"/>
    <n v="0"/>
    <n v="0"/>
    <n v="0"/>
    <n v="0"/>
    <n v="0.16"/>
    <e v="#N/A"/>
    <x v="251"/>
  </r>
  <r>
    <d v="2023-11-16T00:00:00"/>
    <x v="44"/>
    <s v="Admin/HR/IT"/>
    <s v="AMCARE NonOcc In"/>
    <s v="TEMP"/>
    <n v="202175649"/>
    <s v="Galvan,Lia"/>
    <s v="Manzanares Navarro,Sandra"/>
    <n v="0"/>
    <n v="0"/>
    <n v="0"/>
    <n v="0"/>
    <n v="0.09"/>
    <e v="#N/A"/>
    <x v="245"/>
  </r>
  <r>
    <d v="2023-11-16T00:00:00"/>
    <x v="44"/>
    <s v="Admin/HR/IT"/>
    <s v="AMCARE NonOcc In"/>
    <s v="TEMP"/>
    <n v="202194885"/>
    <s v="Bermejo,Israel"/>
    <s v="Piedra,Valentina"/>
    <n v="0"/>
    <n v="0"/>
    <n v="0"/>
    <n v="0"/>
    <n v="0.69"/>
    <e v="#N/A"/>
    <x v="340"/>
  </r>
  <r>
    <d v="2023-11-16T00:00:00"/>
    <x v="44"/>
    <s v="Admin/HR/IT"/>
    <s v="AMCARE NonOcc In"/>
    <s v="TEMP"/>
    <n v="202229859"/>
    <s v="DÃ­az,Gus"/>
    <s v="Pizana,Diego"/>
    <n v="0"/>
    <n v="0"/>
    <n v="0"/>
    <n v="0"/>
    <n v="0.22"/>
    <e v="#N/A"/>
    <x v="446"/>
  </r>
  <r>
    <d v="2023-11-16T00:00:00"/>
    <x v="44"/>
    <s v="Admin/HR/IT"/>
    <s v="AMCARE NonOcc In"/>
    <s v="TEMP"/>
    <n v="202237223"/>
    <s v="Nunez Gonzalez,Gabriela"/>
    <s v="Camarena,Grecia"/>
    <n v="0"/>
    <n v="0"/>
    <n v="0"/>
    <n v="0"/>
    <n v="0.25"/>
    <e v="#N/A"/>
    <x v="447"/>
  </r>
  <r>
    <d v="2023-11-16T00:00:00"/>
    <x v="44"/>
    <s v="Admin/HR/IT"/>
    <s v="AMCARE NonOcc In"/>
    <s v="TEMP"/>
    <n v="202274001"/>
    <s v="Reynoso,Esmeralda"/>
    <s v="Lopez,Alexa"/>
    <n v="0"/>
    <n v="0"/>
    <n v="0"/>
    <n v="0"/>
    <n v="0.63"/>
    <e v="#N/A"/>
    <x v="283"/>
  </r>
  <r>
    <d v="2023-11-16T00:00:00"/>
    <x v="44"/>
    <s v="Admin/HR/IT"/>
    <s v="AMCARE NonOcc In"/>
    <s v="TEMP"/>
    <n v="202288453"/>
    <s v="Aguirre,Gerardo"/>
    <s v="Camarena,Grecia"/>
    <n v="0"/>
    <n v="0"/>
    <n v="0"/>
    <n v="0"/>
    <n v="0.21"/>
    <e v="#N/A"/>
    <x v="448"/>
  </r>
  <r>
    <d v="2023-11-16T00:00:00"/>
    <x v="44"/>
    <s v="Admin/HR/IT"/>
    <s v="AMCARE NonOcc In"/>
    <s v="TEMP"/>
    <n v="202304940"/>
    <s v="Jasso,Lily"/>
    <s v="Lopez,Alexa"/>
    <n v="0"/>
    <n v="0"/>
    <n v="0"/>
    <n v="0"/>
    <n v="0.33"/>
    <e v="#N/A"/>
    <x v="309"/>
  </r>
  <r>
    <d v="2023-11-16T00:00:00"/>
    <x v="44"/>
    <s v="Admin/HR/IT"/>
    <s v="AMCARE NonOcc In"/>
    <s v="TEMP"/>
    <n v="202320279"/>
    <s v="Oliva,Aldair"/>
    <s v="Piedra,Valentina"/>
    <n v="0"/>
    <n v="0"/>
    <n v="0"/>
    <n v="0"/>
    <n v="0.42"/>
    <e v="#N/A"/>
    <x v="449"/>
  </r>
  <r>
    <d v="2023-11-16T00:00:00"/>
    <x v="44"/>
    <s v="Admin/HR/IT"/>
    <s v="AMCARE NonOcc In"/>
    <s v="TEMP"/>
    <n v="202353921"/>
    <s v="Arechar Ortiz,Lindi Noemi"/>
    <s v="Piedra,Valentina"/>
    <n v="0"/>
    <n v="0"/>
    <n v="0"/>
    <n v="0"/>
    <n v="0.12"/>
    <e v="#N/A"/>
    <x v="320"/>
  </r>
  <r>
    <d v="2023-11-16T00:00:00"/>
    <x v="44"/>
    <s v="Admin/HR/IT"/>
    <s v="AMCARE NonOcc In"/>
    <s v="TEMP"/>
    <n v="202369419"/>
    <s v="Fabian,Ary"/>
    <s v="Romero Sanchez,Gustavo Gabriel"/>
    <n v="0"/>
    <n v="0"/>
    <n v="0"/>
    <n v="0"/>
    <n v="0.12"/>
    <e v="#N/A"/>
    <x v="311"/>
  </r>
  <r>
    <d v="2023-11-16T00:00:00"/>
    <x v="44"/>
    <s v="Admin/HR/IT"/>
    <s v="AMCARE NonOcc In"/>
    <s v="TEMP"/>
    <n v="202407947"/>
    <s v="Morales Afanador,Alberto"/>
    <s v="Munoz,Jonan"/>
    <n v="0"/>
    <n v="0"/>
    <n v="0"/>
    <n v="0"/>
    <n v="0.7"/>
    <e v="#N/A"/>
    <x v="450"/>
  </r>
  <r>
    <d v="2023-11-16T00:00:00"/>
    <x v="44"/>
    <s v="Admin/HR/IT"/>
    <s v="AMCARE NonOcc In"/>
    <s v="TEMP"/>
    <n v="202410665"/>
    <s v="Osvaldo,Erik"/>
    <s v="Cortes,Alejandra"/>
    <n v="0"/>
    <n v="0"/>
    <n v="0"/>
    <n v="0"/>
    <n v="0.16"/>
    <e v="#N/A"/>
    <x v="396"/>
  </r>
  <r>
    <d v="2023-11-16T00:00:00"/>
    <x v="44"/>
    <s v="Admin/HR/IT"/>
    <s v="AMCARE NonOcc In"/>
    <s v="TEMP"/>
    <n v="202421453"/>
    <s v="Checo,Sergio"/>
    <s v="Cortes,Alejandra"/>
    <n v="0"/>
    <n v="0"/>
    <n v="0"/>
    <n v="0"/>
    <n v="0.74"/>
    <e v="#N/A"/>
    <x v="403"/>
  </r>
  <r>
    <d v="2023-11-16T00:00:00"/>
    <x v="44"/>
    <s v="Admin/HR/IT"/>
    <s v="AMCARE NonOcc In"/>
    <s v="TEMP"/>
    <n v="202442581"/>
    <s v="Araiza,Yocktan"/>
    <s v="Piedra,Valentina"/>
    <n v="0"/>
    <n v="0"/>
    <n v="0"/>
    <n v="0"/>
    <n v="0.11"/>
    <e v="#N/A"/>
    <x v="451"/>
  </r>
  <r>
    <d v="2023-11-16T00:00:00"/>
    <x v="44"/>
    <s v="Admin/HR/IT"/>
    <s v="AMCARE NonOcc In"/>
    <s v="TEMP"/>
    <n v="202479908"/>
    <s v="Marquez,Diana"/>
    <s v="Camarena,Grecia"/>
    <n v="0"/>
    <n v="0"/>
    <n v="0"/>
    <n v="0"/>
    <n v="0.06"/>
    <e v="#N/A"/>
    <x v="376"/>
  </r>
  <r>
    <d v="2023-11-17T00:00:00"/>
    <x v="44"/>
    <s v="Admin/HR/IT"/>
    <s v="AMCARE NonOcc In"/>
    <s v="AMZN"/>
    <n v="112912049"/>
    <s v="Vazquez Rodriguez,Christian"/>
    <s v="Camarena,Grecia"/>
    <n v="0"/>
    <n v="0"/>
    <n v="0"/>
    <n v="0"/>
    <n v="0.03"/>
    <s v="NF-X1900"/>
    <x v="60"/>
  </r>
  <r>
    <d v="2023-11-17T00:00:00"/>
    <x v="44"/>
    <s v="Admin/HR/IT"/>
    <s v="AMCARE NonOcc In"/>
    <s v="AMZN"/>
    <n v="112920666"/>
    <s v="Rocha,Jose"/>
    <s v="Manzanares Navarro,Sandra"/>
    <n v="0"/>
    <n v="0"/>
    <n v="0"/>
    <n v="0"/>
    <n v="0.12"/>
    <s v="D5-X0700"/>
    <x v="3"/>
  </r>
  <r>
    <d v="2023-11-17T00:00:00"/>
    <x v="44"/>
    <s v="Admin/HR/IT"/>
    <s v="AMCARE NonOcc In"/>
    <s v="AMZN"/>
    <n v="112976017"/>
    <s v="Baez Diaz,Ale"/>
    <s v="Ãvila,Arturo"/>
    <n v="0"/>
    <n v="0"/>
    <n v="0"/>
    <n v="0"/>
    <n v="0.38"/>
    <s v="DB-X0700"/>
    <x v="225"/>
  </r>
  <r>
    <d v="2023-11-17T00:00:00"/>
    <x v="44"/>
    <s v="Admin/HR/IT"/>
    <s v="AMCARE NonOcc In"/>
    <s v="AMZN"/>
    <n v="112981014"/>
    <s v="Roldan Gutierrez,Pablo"/>
    <s v="Lopez,Alexa"/>
    <n v="0"/>
    <n v="0"/>
    <n v="0"/>
    <n v="0"/>
    <n v="0.18"/>
    <s v="DJ-X0700"/>
    <x v="29"/>
  </r>
  <r>
    <d v="2023-11-17T00:00:00"/>
    <x v="44"/>
    <s v="Admin/HR/IT"/>
    <s v="AMCARE NonOcc In"/>
    <s v="AMZN"/>
    <n v="113101453"/>
    <s v="Isaac,Geovanna"/>
    <s v="Corona Arriaga,Fernando"/>
    <n v="0"/>
    <n v="0"/>
    <n v="0"/>
    <n v="0"/>
    <n v="0.17"/>
    <e v="#N/A"/>
    <x v="4"/>
  </r>
  <r>
    <d v="2023-11-17T00:00:00"/>
    <x v="44"/>
    <s v="Admin/HR/IT"/>
    <s v="AMCARE NonOcc In"/>
    <s v="AMZN"/>
    <n v="200404250"/>
    <s v="Hurtado,Caty"/>
    <s v="Corona Arriaga,Fernando"/>
    <n v="0"/>
    <n v="0"/>
    <n v="0"/>
    <n v="0"/>
    <n v="0.53"/>
    <e v="#N/A"/>
    <x v="6"/>
  </r>
  <r>
    <d v="2023-11-17T00:00:00"/>
    <x v="44"/>
    <s v="Admin/HR/IT"/>
    <s v="AMCARE NonOcc In"/>
    <s v="AMZN"/>
    <n v="200562303"/>
    <s v="Hernandez Cruz,Jorge"/>
    <s v="Corona Arriaga,Fernando"/>
    <n v="0"/>
    <n v="0"/>
    <n v="0"/>
    <n v="0"/>
    <n v="1.1200000000000001"/>
    <e v="#N/A"/>
    <x v="87"/>
  </r>
  <r>
    <d v="2023-11-17T00:00:00"/>
    <x v="44"/>
    <s v="Admin/HR/IT"/>
    <s v="AMCARE NonOcc In"/>
    <s v="AMZN"/>
    <n v="201165769"/>
    <s v="Puente,Karen"/>
    <s v="Lopez,Alexa"/>
    <n v="0"/>
    <n v="0"/>
    <n v="0"/>
    <n v="0"/>
    <n v="0.36"/>
    <e v="#N/A"/>
    <x v="113"/>
  </r>
  <r>
    <d v="2023-11-17T00:00:00"/>
    <x v="44"/>
    <s v="Admin/HR/IT"/>
    <s v="AMCARE NonOcc In"/>
    <s v="AMZN"/>
    <n v="201172306"/>
    <s v="Valdez,CÃ©sar"/>
    <s v="Lopez,Alexa"/>
    <n v="0"/>
    <n v="0"/>
    <n v="0"/>
    <n v="0"/>
    <n v="0.2"/>
    <e v="#N/A"/>
    <x v="128"/>
  </r>
  <r>
    <d v="2023-11-17T00:00:00"/>
    <x v="44"/>
    <s v="Admin/HR/IT"/>
    <s v="AMCARE NonOcc In"/>
    <s v="AMZN"/>
    <n v="201185299"/>
    <s v="Garcia,Noemi"/>
    <s v="Piedra,Valentina"/>
    <n v="0"/>
    <n v="0"/>
    <n v="0"/>
    <n v="0"/>
    <n v="0.15"/>
    <e v="#N/A"/>
    <x v="138"/>
  </r>
  <r>
    <d v="2023-11-17T00:00:00"/>
    <x v="44"/>
    <s v="Admin/HR/IT"/>
    <s v="AMCARE NonOcc In"/>
    <s v="AMZN"/>
    <n v="201191198"/>
    <s v="Mojica,Emmanuel"/>
    <s v="Piedra,Valentina"/>
    <n v="0"/>
    <n v="0"/>
    <n v="0"/>
    <n v="0"/>
    <n v="1.02"/>
    <e v="#N/A"/>
    <x v="130"/>
  </r>
  <r>
    <d v="2023-11-17T00:00:00"/>
    <x v="44"/>
    <s v="Admin/HR/IT"/>
    <s v="AMCARE NonOcc In"/>
    <s v="AMZN"/>
    <n v="201198922"/>
    <s v="Mendez,Joy"/>
    <s v="Munoz,Jonan"/>
    <n v="0"/>
    <n v="0"/>
    <n v="0"/>
    <n v="0"/>
    <n v="0.27"/>
    <e v="#N/A"/>
    <x v="173"/>
  </r>
  <r>
    <d v="2023-11-17T00:00:00"/>
    <x v="44"/>
    <s v="Admin/HR/IT"/>
    <s v="AMCARE NonOcc In"/>
    <s v="AMZN"/>
    <n v="201378452"/>
    <s v="Perez,Omar"/>
    <s v="Bueno Mendoza,Susana"/>
    <n v="0"/>
    <n v="0"/>
    <n v="0"/>
    <n v="0"/>
    <n v="0.36"/>
    <e v="#N/A"/>
    <x v="189"/>
  </r>
  <r>
    <d v="2023-11-17T00:00:00"/>
    <x v="44"/>
    <s v="Admin/HR/IT"/>
    <s v="AMCARE NonOcc In"/>
    <s v="AMZN"/>
    <n v="201403462"/>
    <s v="Valdovino,Jorge"/>
    <s v="Manzanares Navarro,Sandra"/>
    <n v="0"/>
    <n v="0"/>
    <n v="0"/>
    <n v="0"/>
    <n v="0.47"/>
    <e v="#N/A"/>
    <x v="146"/>
  </r>
  <r>
    <d v="2023-11-17T00:00:00"/>
    <x v="44"/>
    <s v="Admin/HR/IT"/>
    <s v="AMCARE NonOcc In"/>
    <s v="AMZN"/>
    <n v="201864225"/>
    <s v="Flores,Ivan"/>
    <s v="Piedra,Valentina"/>
    <n v="0"/>
    <n v="0"/>
    <n v="0"/>
    <n v="0"/>
    <n v="0.46"/>
    <e v="#N/A"/>
    <x v="219"/>
  </r>
  <r>
    <d v="2023-11-17T00:00:00"/>
    <x v="44"/>
    <s v="Admin/HR/IT"/>
    <s v="AMCARE NonOcc In"/>
    <s v="AMZN"/>
    <n v="201901910"/>
    <s v="Flores,Edwin"/>
    <s v="Piedra,Valentina"/>
    <n v="0"/>
    <n v="0"/>
    <n v="0"/>
    <n v="0"/>
    <n v="0.09"/>
    <e v="#N/A"/>
    <x v="214"/>
  </r>
  <r>
    <d v="2023-11-17T00:00:00"/>
    <x v="44"/>
    <s v="Admin/HR/IT"/>
    <s v="AMCARE NonOcc In"/>
    <s v="TEMP"/>
    <n v="201901967"/>
    <s v="Dominguez,Diana"/>
    <s v="AlarcÃ³n,Irving"/>
    <n v="0"/>
    <n v="0"/>
    <n v="0"/>
    <n v="0"/>
    <n v="0.32"/>
    <e v="#N/A"/>
    <x v="207"/>
  </r>
  <r>
    <d v="2023-11-17T00:00:00"/>
    <x v="44"/>
    <s v="Admin/HR/IT"/>
    <s v="AMCARE NonOcc In"/>
    <s v="AMZN"/>
    <n v="201903097"/>
    <s v="Oliva,Montserrat"/>
    <s v="Piedra,Valentina"/>
    <n v="0"/>
    <n v="0"/>
    <n v="0"/>
    <n v="0"/>
    <n v="0.08"/>
    <e v="#N/A"/>
    <x v="208"/>
  </r>
  <r>
    <d v="2023-11-17T00:00:00"/>
    <x v="44"/>
    <s v="Admin/HR/IT"/>
    <s v="AMCARE NonOcc In"/>
    <s v="TEMP"/>
    <n v="202063545"/>
    <s v="GarcÃ­a,Ana"/>
    <s v="Lopez,Alexa"/>
    <n v="0"/>
    <n v="0"/>
    <n v="0"/>
    <n v="0"/>
    <n v="0.75"/>
    <e v="#N/A"/>
    <x v="228"/>
  </r>
  <r>
    <d v="2023-11-17T00:00:00"/>
    <x v="44"/>
    <s v="Admin/HR/IT"/>
    <s v="AMCARE NonOcc In"/>
    <s v="TEMP"/>
    <n v="202068111"/>
    <s v="PÃ©rez,Ismael"/>
    <s v="AlarcÃ³n,Irving"/>
    <n v="0"/>
    <n v="0"/>
    <n v="0"/>
    <n v="0"/>
    <n v="0.09"/>
    <e v="#N/A"/>
    <x v="262"/>
  </r>
  <r>
    <d v="2023-11-17T00:00:00"/>
    <x v="44"/>
    <s v="Admin/HR/IT"/>
    <s v="AMCARE NonOcc In"/>
    <s v="TEMP"/>
    <n v="202117420"/>
    <s v="Cervera,Israel"/>
    <s v="Manzanares Navarro,Sandra"/>
    <n v="0"/>
    <n v="0"/>
    <n v="0"/>
    <n v="0"/>
    <n v="0.33"/>
    <e v="#N/A"/>
    <x v="230"/>
  </r>
  <r>
    <d v="2023-11-17T00:00:00"/>
    <x v="44"/>
    <s v="Admin/HR/IT"/>
    <s v="AMCARE NonOcc In"/>
    <s v="TEMP"/>
    <n v="202120077"/>
    <s v="Aguilar,Mauricio"/>
    <s v="Munoz,Jonan"/>
    <n v="0"/>
    <n v="0"/>
    <n v="0"/>
    <n v="0"/>
    <n v="0.18"/>
    <e v="#N/A"/>
    <x v="231"/>
  </r>
  <r>
    <d v="2023-11-17T00:00:00"/>
    <x v="44"/>
    <s v="Admin/HR/IT"/>
    <s v="AMCARE NonOcc In"/>
    <s v="TEMP"/>
    <n v="202154904"/>
    <s v="Almaguer,Mauricio"/>
    <s v="Romero Sanchez,Gustavo Gabriel"/>
    <n v="0"/>
    <n v="0"/>
    <n v="0"/>
    <n v="0"/>
    <n v="0.16"/>
    <e v="#N/A"/>
    <x v="452"/>
  </r>
  <r>
    <d v="2023-11-17T00:00:00"/>
    <x v="44"/>
    <s v="Admin/HR/IT"/>
    <s v="AMCARE NonOcc In"/>
    <s v="TEMP"/>
    <n v="202194885"/>
    <s v="Bermejo,Israel"/>
    <s v="Piedra,Valentina"/>
    <n v="0"/>
    <n v="0"/>
    <n v="0"/>
    <n v="0"/>
    <n v="0.67"/>
    <e v="#N/A"/>
    <x v="340"/>
  </r>
  <r>
    <d v="2023-11-17T00:00:00"/>
    <x v="44"/>
    <s v="Admin/HR/IT"/>
    <s v="AMCARE NonOcc In"/>
    <s v="TEMP"/>
    <n v="202254886"/>
    <s v="Mendoza,Jared"/>
    <s v="Munoz,Jonan"/>
    <n v="0"/>
    <n v="0"/>
    <n v="0"/>
    <n v="0"/>
    <n v="1.52"/>
    <e v="#N/A"/>
    <x v="343"/>
  </r>
  <r>
    <d v="2023-11-17T00:00:00"/>
    <x v="44"/>
    <s v="Admin/HR/IT"/>
    <s v="AMCARE NonOcc In"/>
    <s v="TEMP"/>
    <n v="202291384"/>
    <s v="Vela,Sergio"/>
    <s v="Romero Sanchez,Gustavo Gabriel"/>
    <n v="0"/>
    <n v="0"/>
    <n v="0"/>
    <n v="0"/>
    <n v="0.13"/>
    <e v="#N/A"/>
    <x v="308"/>
  </r>
  <r>
    <d v="2023-11-17T00:00:00"/>
    <x v="44"/>
    <s v="Admin/HR/IT"/>
    <s v="AMCARE NonOcc In"/>
    <s v="TEMP"/>
    <n v="202323975"/>
    <s v="Hernandez,Alejandro"/>
    <s v="Piedra,Valentina"/>
    <n v="0"/>
    <n v="0"/>
    <n v="0"/>
    <n v="0"/>
    <n v="0.14000000000000001"/>
    <e v="#N/A"/>
    <x v="355"/>
  </r>
  <r>
    <d v="2023-11-17T00:00:00"/>
    <x v="44"/>
    <s v="Admin/HR/IT"/>
    <s v="AMCARE NonOcc In"/>
    <s v="TEMP"/>
    <n v="202364552"/>
    <s v="Rocha,Apolo"/>
    <s v="Cortes,Alejandra"/>
    <n v="0"/>
    <n v="0"/>
    <n v="0"/>
    <n v="0"/>
    <n v="0.69"/>
    <e v="#N/A"/>
    <x v="369"/>
  </r>
  <r>
    <d v="2023-11-17T00:00:00"/>
    <x v="44"/>
    <s v="Admin/HR/IT"/>
    <s v="AMCARE NonOcc In"/>
    <s v="TEMP"/>
    <n v="202375403"/>
    <s v="Galvan,Antonio"/>
    <s v="Manzanares Navarro,Sandra"/>
    <n v="0"/>
    <n v="0"/>
    <n v="0"/>
    <n v="0"/>
    <n v="1.78"/>
    <e v="#N/A"/>
    <x v="453"/>
  </r>
  <r>
    <d v="2023-11-17T00:00:00"/>
    <x v="44"/>
    <s v="Admin/HR/IT"/>
    <s v="AMCARE NonOcc In"/>
    <s v="TEMP"/>
    <n v="202407947"/>
    <s v="Morales Afanador,Alberto"/>
    <s v="Munoz,Jonan"/>
    <n v="0"/>
    <n v="0"/>
    <n v="0"/>
    <n v="0"/>
    <n v="0.44"/>
    <e v="#N/A"/>
    <x v="450"/>
  </r>
  <r>
    <d v="2023-11-17T00:00:00"/>
    <x v="44"/>
    <s v="Admin/HR/IT"/>
    <s v="AMCARE NonOcc In"/>
    <s v="TEMP"/>
    <n v="202417673"/>
    <s v="LÃ³pez,Valeria"/>
    <s v="Cortes,Alejandra"/>
    <n v="0"/>
    <n v="0"/>
    <n v="0"/>
    <n v="0"/>
    <n v="0.19"/>
    <e v="#N/A"/>
    <x v="441"/>
  </r>
  <r>
    <d v="2023-11-17T00:00:00"/>
    <x v="44"/>
    <s v="Admin/HR/IT"/>
    <s v="AMCARE NonOcc In"/>
    <s v="TEMP"/>
    <n v="202417687"/>
    <s v="Cordova,Edith"/>
    <s v="Manzanares Navarro,Sandra"/>
    <n v="0"/>
    <n v="0"/>
    <n v="0"/>
    <n v="0"/>
    <n v="0.22"/>
    <e v="#N/A"/>
    <x v="356"/>
  </r>
  <r>
    <d v="2023-11-17T00:00:00"/>
    <x v="44"/>
    <s v="Admin/HR/IT"/>
    <s v="AMCARE NonOcc In"/>
    <s v="TEMP"/>
    <n v="202421453"/>
    <s v="Checo,Sergio"/>
    <s v="Cortes,Alejandra"/>
    <n v="0"/>
    <n v="0"/>
    <n v="0"/>
    <n v="0"/>
    <n v="0.28000000000000003"/>
    <e v="#N/A"/>
    <x v="403"/>
  </r>
  <r>
    <d v="2023-11-17T00:00:00"/>
    <x v="44"/>
    <s v="Admin/HR/IT"/>
    <s v="AMCARE NonOcc In"/>
    <s v="TEMP"/>
    <n v="202442581"/>
    <s v="Araiza,Yocktan"/>
    <s v="Piedra,Valentina"/>
    <n v="0"/>
    <n v="0"/>
    <n v="0"/>
    <n v="0"/>
    <n v="0.21"/>
    <e v="#N/A"/>
    <x v="451"/>
  </r>
  <r>
    <d v="2023-11-17T00:00:00"/>
    <x v="44"/>
    <s v="Admin/HR/IT"/>
    <s v="AMCARE NonOcc In"/>
    <s v="TEMP"/>
    <n v="202510544"/>
    <s v="Morales,Eduardo"/>
    <s v="Madrid Molina,Ramon"/>
    <n v="0"/>
    <n v="0"/>
    <n v="0"/>
    <n v="0"/>
    <n v="0.38"/>
    <e v="#N/A"/>
    <x v="454"/>
  </r>
  <r>
    <d v="2023-11-17T00:00:00"/>
    <x v="44"/>
    <s v="Admin/HR/IT"/>
    <s v="AMCARE NonOcc In"/>
    <s v="TEMP"/>
    <n v="202518714"/>
    <s v="Urrutia,JesÃºs"/>
    <s v="Madrid Molina,Ramon"/>
    <n v="0"/>
    <n v="0"/>
    <n v="0"/>
    <n v="0"/>
    <n v="0.32"/>
    <e v="#N/A"/>
    <x v="434"/>
  </r>
  <r>
    <d v="2023-11-18T00:00:00"/>
    <x v="44"/>
    <s v="Admin/HR/IT"/>
    <s v="AMCARE NonOcc In"/>
    <s v="AMZN"/>
    <n v="112973049"/>
    <s v="Tavares Parra,Ely"/>
    <s v="Piedra,Valentina"/>
    <n v="0"/>
    <n v="0"/>
    <n v="0"/>
    <n v="0"/>
    <n v="0.83"/>
    <s v="DB-X0700"/>
    <x v="14"/>
  </r>
  <r>
    <d v="2023-11-18T00:00:00"/>
    <x v="44"/>
    <s v="Admin/HR/IT"/>
    <s v="AMCARE NonOcc In"/>
    <s v="TEMP"/>
    <n v="112980843"/>
    <s v="Santos,Israel"/>
    <s v="Bueno Mendoza,Susana"/>
    <n v="0"/>
    <n v="0"/>
    <n v="0"/>
    <n v="0"/>
    <n v="0.12"/>
    <s v="DA-X0700"/>
    <x v="85"/>
  </r>
  <r>
    <d v="2023-11-18T00:00:00"/>
    <x v="44"/>
    <s v="Admin/HR/IT"/>
    <s v="AMCARE NonOcc In"/>
    <s v="AMZN"/>
    <n v="113003510"/>
    <s v="PÃ©rez MÃ©ndez,Cecy"/>
    <s v="Munoz,Jonan"/>
    <n v="0"/>
    <n v="0"/>
    <n v="0"/>
    <n v="0"/>
    <n v="0.1"/>
    <e v="#N/A"/>
    <x v="115"/>
  </r>
  <r>
    <d v="2023-11-18T00:00:00"/>
    <x v="44"/>
    <s v="Admin/HR/IT"/>
    <s v="AMCARE NonOcc In"/>
    <s v="AMZN"/>
    <n v="113014092"/>
    <s v="Sanchez,Cristina"/>
    <s v="Lopez,Alexa"/>
    <n v="0"/>
    <n v="0"/>
    <n v="0"/>
    <n v="0"/>
    <n v="0.08"/>
    <e v="#N/A"/>
    <x v="73"/>
  </r>
  <r>
    <d v="2023-11-18T00:00:00"/>
    <x v="44"/>
    <s v="Admin/HR/IT"/>
    <s v="AMCARE NonOcc In"/>
    <s v="AMZN"/>
    <n v="113020497"/>
    <s v="Martinez Ruiz,Diana"/>
    <s v="Munoz,Jonan"/>
    <n v="0"/>
    <n v="0"/>
    <n v="0"/>
    <n v="0"/>
    <n v="0.3"/>
    <e v="#N/A"/>
    <x v="82"/>
  </r>
  <r>
    <d v="2023-11-18T00:00:00"/>
    <x v="44"/>
    <s v="Admin/HR/IT"/>
    <s v="AMCARE NonOcc In"/>
    <s v="AMZN"/>
    <n v="200508323"/>
    <s v="Espejel Lopez,Emmanuel"/>
    <s v="Romero Sanchez,Gustavo Gabriel"/>
    <n v="0"/>
    <n v="0"/>
    <n v="0"/>
    <n v="0"/>
    <n v="3.98"/>
    <e v="#N/A"/>
    <x v="177"/>
  </r>
  <r>
    <d v="2023-11-18T00:00:00"/>
    <x v="44"/>
    <s v="Admin/HR/IT"/>
    <s v="AMCARE NonOcc In"/>
    <s v="AMZN"/>
    <n v="200564895"/>
    <s v="Mendoza Corona,Brianda"/>
    <s v="Corona Arriaga,Fernando"/>
    <n v="0"/>
    <n v="0"/>
    <n v="0"/>
    <n v="0"/>
    <n v="0.08"/>
    <e v="#N/A"/>
    <x v="64"/>
  </r>
  <r>
    <d v="2023-11-18T00:00:00"/>
    <x v="44"/>
    <s v="Admin/HR/IT"/>
    <s v="AMCARE NonOcc In"/>
    <s v="AMZN"/>
    <n v="201198922"/>
    <s v="Mendez,Joy"/>
    <s v="Munoz,Jonan"/>
    <n v="0"/>
    <n v="0"/>
    <n v="0"/>
    <n v="0"/>
    <n v="0.18"/>
    <e v="#N/A"/>
    <x v="173"/>
  </r>
  <r>
    <d v="2023-11-18T00:00:00"/>
    <x v="44"/>
    <s v="Admin/HR/IT"/>
    <s v="AMCARE NonOcc In"/>
    <s v="AMZN"/>
    <n v="201223730"/>
    <s v="Sanchiz,Cesarito"/>
    <s v="Romero Sanchez,Gustavo Gabriel"/>
    <n v="0"/>
    <n v="0"/>
    <n v="0"/>
    <n v="0"/>
    <n v="0.19"/>
    <e v="#N/A"/>
    <x v="120"/>
  </r>
  <r>
    <d v="2023-11-18T00:00:00"/>
    <x v="44"/>
    <s v="Admin/HR/IT"/>
    <s v="AMCARE NonOcc In"/>
    <s v="AMZN"/>
    <n v="201228411"/>
    <s v="Hernandez Soriano,Jazmin"/>
    <s v="Romero Sanchez,Gustavo Gabriel"/>
    <n v="0"/>
    <n v="0"/>
    <n v="0"/>
    <n v="0"/>
    <n v="0.18"/>
    <e v="#N/A"/>
    <x v="123"/>
  </r>
  <r>
    <d v="2023-11-18T00:00:00"/>
    <x v="44"/>
    <s v="Admin/HR/IT"/>
    <s v="AMCARE NonOcc In"/>
    <s v="AMZN"/>
    <n v="201354965"/>
    <s v="JimÃ©nez,Aline"/>
    <s v="Piedra,Valentina"/>
    <n v="0"/>
    <n v="0"/>
    <n v="0"/>
    <n v="0"/>
    <n v="0.14000000000000001"/>
    <e v="#N/A"/>
    <x v="152"/>
  </r>
  <r>
    <d v="2023-11-18T00:00:00"/>
    <x v="44"/>
    <s v="Admin/HR/IT"/>
    <s v="AMCARE NonOcc In"/>
    <s v="AMZN"/>
    <n v="201396328"/>
    <s v="Canchola,Alejandro"/>
    <s v="Rosas Negrete,Sebastian"/>
    <n v="0"/>
    <n v="0"/>
    <n v="0"/>
    <n v="0"/>
    <n v="0.2"/>
    <e v="#N/A"/>
    <x v="188"/>
  </r>
  <r>
    <d v="2023-11-18T00:00:00"/>
    <x v="44"/>
    <s v="Admin/HR/IT"/>
    <s v="AMCARE NonOcc In"/>
    <s v="AMZN"/>
    <n v="201403462"/>
    <s v="Valdovino,Jorge"/>
    <s v="Manzanares Navarro,Sandra"/>
    <n v="0"/>
    <n v="0"/>
    <n v="0"/>
    <n v="0"/>
    <n v="0.05"/>
    <e v="#N/A"/>
    <x v="146"/>
  </r>
  <r>
    <d v="2023-11-18T00:00:00"/>
    <x v="44"/>
    <s v="Admin/HR/IT"/>
    <s v="AMCARE NonOcc In"/>
    <s v="TEMP"/>
    <n v="202062181"/>
    <s v="Trejo,Luis"/>
    <s v="Lopez,Alexa"/>
    <n v="0"/>
    <n v="0"/>
    <n v="0"/>
    <n v="0"/>
    <n v="0.8"/>
    <e v="#N/A"/>
    <x v="243"/>
  </r>
  <r>
    <d v="2023-11-18T00:00:00"/>
    <x v="44"/>
    <s v="Admin/HR/IT"/>
    <s v="AMCARE NonOcc In"/>
    <s v="TEMP"/>
    <n v="202117420"/>
    <s v="Cervera,Israel"/>
    <s v="Manzanares Navarro,Sandra"/>
    <n v="0"/>
    <n v="0"/>
    <n v="0"/>
    <n v="0"/>
    <n v="0.27"/>
    <e v="#N/A"/>
    <x v="230"/>
  </r>
  <r>
    <d v="2023-11-18T00:00:00"/>
    <x v="44"/>
    <s v="Admin/HR/IT"/>
    <s v="AMCARE NonOcc In"/>
    <s v="TEMP"/>
    <n v="202117472"/>
    <s v="Munoz,Gabriel"/>
    <s v="Hernandez,Nataly"/>
    <n v="0"/>
    <n v="0"/>
    <n v="0"/>
    <n v="0"/>
    <n v="0.09"/>
    <e v="#N/A"/>
    <x v="455"/>
  </r>
  <r>
    <d v="2023-11-18T00:00:00"/>
    <x v="44"/>
    <s v="Admin/HR/IT"/>
    <s v="AMCARE NonOcc In"/>
    <s v="TEMP"/>
    <n v="202129731"/>
    <s v="Flores,Christian"/>
    <s v="Romero Sanchez,Gustavo Gabriel"/>
    <n v="0"/>
    <n v="0"/>
    <n v="0"/>
    <n v="0"/>
    <n v="0.11"/>
    <e v="#N/A"/>
    <x v="456"/>
  </r>
  <r>
    <d v="2023-11-18T00:00:00"/>
    <x v="44"/>
    <s v="Admin/HR/IT"/>
    <s v="AMCARE NonOcc In"/>
    <s v="TEMP"/>
    <n v="202159550"/>
    <s v="Mora,Isabel"/>
    <s v="Piedra,Valentina"/>
    <n v="0"/>
    <n v="0"/>
    <n v="0"/>
    <n v="0"/>
    <n v="0.32"/>
    <e v="#N/A"/>
    <x v="313"/>
  </r>
  <r>
    <d v="2023-11-18T00:00:00"/>
    <x v="44"/>
    <s v="Admin/HR/IT"/>
    <s v="AMCARE NonOcc In"/>
    <s v="TEMP"/>
    <n v="202165242"/>
    <s v="Gonzalez,Marco"/>
    <s v="Munoz,Jonan"/>
    <n v="0"/>
    <n v="0"/>
    <n v="0"/>
    <n v="0"/>
    <n v="0.57999999999999996"/>
    <e v="#N/A"/>
    <x v="251"/>
  </r>
  <r>
    <d v="2023-11-18T00:00:00"/>
    <x v="44"/>
    <s v="Admin/HR/IT"/>
    <s v="AMCARE NonOcc In"/>
    <s v="TEMP"/>
    <n v="202175671"/>
    <s v="Cruz,Lau"/>
    <s v="Munoz,Jonan"/>
    <n v="0"/>
    <n v="0"/>
    <n v="0"/>
    <n v="0"/>
    <n v="0.37"/>
    <e v="#N/A"/>
    <x v="258"/>
  </r>
  <r>
    <d v="2023-11-18T00:00:00"/>
    <x v="44"/>
    <s v="Admin/HR/IT"/>
    <s v="AMCARE NonOcc In"/>
    <s v="TEMP"/>
    <n v="202188991"/>
    <s v="Jimenez,Saul"/>
    <s v="Bueno Mendoza,Susana"/>
    <n v="0"/>
    <n v="0"/>
    <n v="0"/>
    <n v="0"/>
    <n v="0.34"/>
    <e v="#N/A"/>
    <x v="275"/>
  </r>
  <r>
    <d v="2023-11-18T00:00:00"/>
    <x v="44"/>
    <s v="Admin/HR/IT"/>
    <s v="AMCARE NonOcc In"/>
    <s v="TEMP"/>
    <n v="202194928"/>
    <s v="Garcia Castillo,Jose Miguel"/>
    <s v="Rosas Negrete,Sebastian"/>
    <n v="0"/>
    <n v="0"/>
    <n v="0"/>
    <n v="0"/>
    <n v="0.19"/>
    <e v="#N/A"/>
    <x v="268"/>
  </r>
  <r>
    <d v="2023-11-18T00:00:00"/>
    <x v="44"/>
    <s v="Admin/HR/IT"/>
    <s v="AMCARE NonOcc In"/>
    <s v="TEMP"/>
    <n v="202254886"/>
    <s v="Mendoza,Jared"/>
    <s v="Munoz,Jonan"/>
    <n v="0"/>
    <n v="0"/>
    <n v="0"/>
    <n v="0"/>
    <n v="0.04"/>
    <e v="#N/A"/>
    <x v="343"/>
  </r>
  <r>
    <d v="2023-11-18T00:00:00"/>
    <x v="44"/>
    <s v="Admin/HR/IT"/>
    <s v="AMCARE NonOcc In"/>
    <s v="TEMP"/>
    <n v="202274001"/>
    <s v="Reynoso,Esmeralda"/>
    <s v="Lopez,Alexa"/>
    <n v="0"/>
    <n v="0"/>
    <n v="0"/>
    <n v="0"/>
    <n v="0.32"/>
    <e v="#N/A"/>
    <x v="283"/>
  </r>
  <r>
    <d v="2023-11-18T00:00:00"/>
    <x v="44"/>
    <s v="Admin/HR/IT"/>
    <s v="AMCARE NonOcc In"/>
    <s v="TEMP"/>
    <n v="202279474"/>
    <s v="Torres Parga,Ma Felicitas"/>
    <s v="Munoz,Jonan"/>
    <n v="0"/>
    <n v="0"/>
    <n v="0"/>
    <n v="0"/>
    <n v="0.13"/>
    <e v="#N/A"/>
    <x v="289"/>
  </r>
  <r>
    <d v="2023-11-18T00:00:00"/>
    <x v="44"/>
    <s v="Admin/HR/IT"/>
    <s v="AMCARE NonOcc In"/>
    <s v="TEMP"/>
    <n v="202291460"/>
    <s v="Ornelas,Ana"/>
    <s v="Lopez,Alexa"/>
    <n v="0"/>
    <n v="0"/>
    <n v="0"/>
    <n v="0"/>
    <n v="0.06"/>
    <e v="#N/A"/>
    <x v="318"/>
  </r>
  <r>
    <d v="2023-11-18T00:00:00"/>
    <x v="44"/>
    <s v="Admin/HR/IT"/>
    <s v="AMCARE NonOcc In"/>
    <s v="TEMP"/>
    <n v="202353921"/>
    <s v="Arechar Ortiz,Lindi Noemi"/>
    <s v="Piedra,Valentina"/>
    <n v="0"/>
    <n v="0"/>
    <n v="0"/>
    <n v="0"/>
    <n v="0.1"/>
    <e v="#N/A"/>
    <x v="320"/>
  </r>
  <r>
    <d v="2023-11-18T00:00:00"/>
    <x v="44"/>
    <s v="Admin/HR/IT"/>
    <s v="AMCARE NonOcc In"/>
    <s v="TEMP"/>
    <n v="202408564"/>
    <s v="Manriquez,Cristina"/>
    <s v="Munoz,Jonan"/>
    <n v="0"/>
    <n v="0"/>
    <n v="0"/>
    <n v="0"/>
    <n v="0.16"/>
    <e v="#N/A"/>
    <x v="409"/>
  </r>
  <r>
    <d v="2023-11-18T00:00:00"/>
    <x v="44"/>
    <s v="Admin/HR/IT"/>
    <s v="AMCARE NonOcc In"/>
    <s v="TEMP"/>
    <n v="202417752"/>
    <s v="Anguiano,Daniel"/>
    <s v="Cortes,Alejandra"/>
    <n v="0"/>
    <n v="0"/>
    <n v="0"/>
    <n v="0"/>
    <n v="0.18"/>
    <e v="#N/A"/>
    <x v="457"/>
  </r>
  <r>
    <d v="2023-11-18T00:00:00"/>
    <x v="44"/>
    <s v="Admin/HR/IT"/>
    <s v="AMCARE NonOcc In"/>
    <s v="TEMP"/>
    <n v="202417927"/>
    <s v="Valdivia,Jazmin"/>
    <s v="Cortes,Alejandra"/>
    <n v="0"/>
    <n v="0"/>
    <n v="0"/>
    <n v="0"/>
    <n v="0.03"/>
    <e v="#N/A"/>
    <x v="398"/>
  </r>
  <r>
    <d v="2023-11-18T00:00:00"/>
    <x v="44"/>
    <s v="Admin/HR/IT"/>
    <s v="AMCARE NonOcc In"/>
    <s v="TEMP"/>
    <n v="202421453"/>
    <s v="Checo,Sergio"/>
    <s v="Cortes,Alejandra"/>
    <n v="0"/>
    <n v="0"/>
    <n v="0"/>
    <n v="0"/>
    <n v="0.51"/>
    <e v="#N/A"/>
    <x v="403"/>
  </r>
  <r>
    <d v="2023-11-18T00:00:00"/>
    <x v="44"/>
    <s v="Admin/HR/IT"/>
    <s v="AMCARE NonOcc In"/>
    <s v="TEMP"/>
    <n v="202442581"/>
    <s v="Araiza,Yocktan"/>
    <s v="Piedra,Valentina"/>
    <n v="0"/>
    <n v="0"/>
    <n v="0"/>
    <n v="0"/>
    <n v="0.15"/>
    <e v="#N/A"/>
    <x v="451"/>
  </r>
  <r>
    <d v="2023-11-18T00:00:00"/>
    <x v="44"/>
    <s v="Admin/HR/IT"/>
    <s v="AMCARE Out"/>
    <s v="TEMP"/>
    <n v="202417927"/>
    <s v="Valdivia,Jazmin"/>
    <s v="Cortes,Alejandra"/>
    <n v="0"/>
    <n v="0"/>
    <n v="0"/>
    <n v="0"/>
    <n v="0.36"/>
    <e v="#N/A"/>
    <x v="398"/>
  </r>
  <r>
    <s v="nV"/>
    <x v="45"/>
    <s v="Admin/HR/IT"/>
    <s v="AMCARE NonOcc In"/>
    <s v="AMZN"/>
    <n v="112912014"/>
    <s v="Ramos,Sofia"/>
    <s v="Madrid Molina,Ramon"/>
    <n v="0"/>
    <n v="0"/>
    <n v="0"/>
    <n v="0"/>
    <n v="0.19"/>
    <s v="DA-X0700"/>
    <x v="104"/>
  </r>
  <r>
    <d v="2023-11-19T00:00:00"/>
    <x v="45"/>
    <s v="Admin/HR/IT"/>
    <s v="AMCARE NonOcc In"/>
    <s v="AMZN"/>
    <n v="112912506"/>
    <s v="Garcia  Caudillo,Jessica"/>
    <s v="Madrid Molina,Ramon"/>
    <n v="0"/>
    <n v="0"/>
    <n v="0"/>
    <n v="0"/>
    <n v="0.18"/>
    <s v="DA-X0700"/>
    <x v="144"/>
  </r>
  <r>
    <d v="2023-11-19T00:00:00"/>
    <x v="45"/>
    <s v="Admin/HR/IT"/>
    <s v="AMCARE NonOcc In"/>
    <s v="AMZN"/>
    <n v="112981196"/>
    <s v="Gomez,Andrea"/>
    <s v="Lopez,Alexa"/>
    <n v="0"/>
    <n v="0"/>
    <n v="0"/>
    <n v="0"/>
    <n v="0.05"/>
    <e v="#N/A"/>
    <x v="22"/>
  </r>
  <r>
    <d v="2023-11-19T00:00:00"/>
    <x v="45"/>
    <s v="Admin/HR/IT"/>
    <s v="AMCARE NonOcc In"/>
    <s v="AMZN"/>
    <n v="113004013"/>
    <s v="Garcia,Manuel"/>
    <s v="Velazquez Bustamante,Alejandro"/>
    <n v="0"/>
    <n v="0"/>
    <n v="0"/>
    <n v="0"/>
    <n v="1.17"/>
    <e v="#N/A"/>
    <x v="458"/>
  </r>
  <r>
    <d v="2023-11-19T00:00:00"/>
    <x v="45"/>
    <s v="Admin/HR/IT"/>
    <s v="AMCARE NonOcc In"/>
    <s v="AMZN"/>
    <n v="113014560"/>
    <s v="Lopez Moreno,Americo"/>
    <s v="Romero Sanchez,Gustavo Gabriel"/>
    <n v="0"/>
    <n v="0"/>
    <n v="0"/>
    <n v="0"/>
    <n v="0.25"/>
    <e v="#N/A"/>
    <x v="81"/>
  </r>
  <r>
    <d v="2023-11-19T00:00:00"/>
    <x v="45"/>
    <s v="Admin/HR/IT"/>
    <s v="AMCARE NonOcc In"/>
    <s v="AMZN"/>
    <n v="200404250"/>
    <s v="Hurtado,Caty"/>
    <s v="Corona Arriaga,Fernando"/>
    <n v="0"/>
    <n v="0"/>
    <n v="0"/>
    <n v="0"/>
    <n v="0.45"/>
    <e v="#N/A"/>
    <x v="6"/>
  </r>
  <r>
    <d v="2023-11-19T00:00:00"/>
    <x v="45"/>
    <s v="Admin/HR/IT"/>
    <s v="AMCARE NonOcc In"/>
    <s v="AMZN"/>
    <n v="200534675"/>
    <s v="Munoz Macias,Juan Pablo"/>
    <s v="Rosas Negrete,Sebastian"/>
    <n v="0"/>
    <n v="0"/>
    <n v="0"/>
    <n v="0"/>
    <n v="0.1"/>
    <e v="#N/A"/>
    <x v="69"/>
  </r>
  <r>
    <d v="2023-11-19T00:00:00"/>
    <x v="45"/>
    <s v="Admin/HR/IT"/>
    <s v="AMCARE NonOcc In"/>
    <s v="AMZN"/>
    <n v="200564895"/>
    <s v="Mendoza Corona,Brianda"/>
    <s v="Corona Arriaga,Fernando"/>
    <n v="0"/>
    <n v="0"/>
    <n v="0"/>
    <n v="0"/>
    <n v="0.2"/>
    <e v="#N/A"/>
    <x v="64"/>
  </r>
  <r>
    <d v="2023-11-19T00:00:00"/>
    <x v="45"/>
    <s v="Admin/HR/IT"/>
    <s v="AMCARE NonOcc In"/>
    <s v="AMZN"/>
    <n v="200625528"/>
    <s v="Oliva,Lizbeth"/>
    <s v="Bueno Mendoza,Susana"/>
    <n v="0"/>
    <n v="0"/>
    <n v="0"/>
    <n v="0"/>
    <n v="0.05"/>
    <e v="#N/A"/>
    <x v="83"/>
  </r>
  <r>
    <d v="2023-11-19T00:00:00"/>
    <x v="45"/>
    <s v="Admin/HR/IT"/>
    <s v="AMCARE NonOcc In"/>
    <s v="AMZN"/>
    <n v="201166890"/>
    <s v="Caballero,Daniel"/>
    <s v="Rosas Negrete,Sebastian"/>
    <n v="0"/>
    <n v="0"/>
    <n v="0"/>
    <n v="0"/>
    <n v="0.22"/>
    <e v="#N/A"/>
    <x v="141"/>
  </r>
  <r>
    <d v="2023-11-19T00:00:00"/>
    <x v="45"/>
    <s v="Admin/HR/IT"/>
    <s v="AMCARE NonOcc In"/>
    <s v="AMZN"/>
    <n v="201167501"/>
    <s v="Rodriguez,Ruben"/>
    <s v="Corona Arriaga,Fernando"/>
    <n v="0"/>
    <n v="0"/>
    <n v="0"/>
    <n v="0"/>
    <n v="0.62"/>
    <e v="#N/A"/>
    <x v="109"/>
  </r>
  <r>
    <d v="2023-11-19T00:00:00"/>
    <x v="45"/>
    <s v="Admin/HR/IT"/>
    <s v="AMCARE NonOcc In"/>
    <s v="AMZN"/>
    <n v="201186777"/>
    <s v="Monzon,Berenice"/>
    <s v="Lopez,Alexa"/>
    <n v="0"/>
    <n v="0"/>
    <n v="0"/>
    <n v="0"/>
    <n v="0.18"/>
    <e v="#N/A"/>
    <x v="107"/>
  </r>
  <r>
    <d v="2023-11-19T00:00:00"/>
    <x v="45"/>
    <s v="Admin/HR/IT"/>
    <s v="AMCARE NonOcc In"/>
    <s v="AMZN"/>
    <n v="201191390"/>
    <s v="GarcÃ­a,jesus"/>
    <s v="Romero Sanchez,Gustavo Gabriel"/>
    <n v="0"/>
    <n v="0"/>
    <n v="0"/>
    <n v="0"/>
    <n v="0.3"/>
    <e v="#N/A"/>
    <x v="116"/>
  </r>
  <r>
    <d v="2023-11-19T00:00:00"/>
    <x v="45"/>
    <s v="Admin/HR/IT"/>
    <s v="AMCARE NonOcc In"/>
    <s v="AMZN"/>
    <n v="201197964"/>
    <s v="Quijas,Matzayani"/>
    <s v="Rosas Negrete,Sebastian"/>
    <n v="0"/>
    <n v="0"/>
    <n v="0"/>
    <n v="0"/>
    <n v="0.6"/>
    <e v="#N/A"/>
    <x v="191"/>
  </r>
  <r>
    <d v="2023-11-19T00:00:00"/>
    <x v="45"/>
    <s v="Admin/HR/IT"/>
    <s v="AMCARE NonOcc In"/>
    <s v="AMZN"/>
    <n v="201198922"/>
    <s v="Mendez,Joy"/>
    <s v="Munoz,Jonan"/>
    <n v="0"/>
    <n v="0"/>
    <n v="0"/>
    <n v="0"/>
    <n v="0.09"/>
    <e v="#N/A"/>
    <x v="173"/>
  </r>
  <r>
    <d v="2023-11-19T00:00:00"/>
    <x v="45"/>
    <s v="Admin/HR/IT"/>
    <s v="AMCARE NonOcc In"/>
    <s v="AMZN"/>
    <n v="201219500"/>
    <s v="Mazy,RamsÃ©s"/>
    <s v="Piedra,Valentina"/>
    <n v="0"/>
    <n v="0"/>
    <n v="0"/>
    <n v="0"/>
    <n v="0.21"/>
    <e v="#N/A"/>
    <x v="122"/>
  </r>
  <r>
    <d v="2023-11-19T00:00:00"/>
    <x v="45"/>
    <s v="Admin/HR/IT"/>
    <s v="AMCARE NonOcc In"/>
    <s v="TEMP"/>
    <n v="201294217"/>
    <s v="Montes,Bibiana"/>
    <s v="Cortes,Alejandra"/>
    <n v="0"/>
    <n v="0"/>
    <n v="0"/>
    <n v="0"/>
    <n v="0.18"/>
    <e v="#N/A"/>
    <x v="131"/>
  </r>
  <r>
    <d v="2023-11-19T00:00:00"/>
    <x v="45"/>
    <s v="Admin/HR/IT"/>
    <s v="AMCARE NonOcc In"/>
    <s v="AMZN"/>
    <n v="201347361"/>
    <s v="Hernandez,Joshua"/>
    <s v="Munoz,Jonan"/>
    <n v="0"/>
    <n v="0"/>
    <n v="0"/>
    <n v="0"/>
    <n v="0.19"/>
    <e v="#N/A"/>
    <x v="459"/>
  </r>
  <r>
    <d v="2023-11-19T00:00:00"/>
    <x v="45"/>
    <s v="Admin/HR/IT"/>
    <s v="AMCARE NonOcc In"/>
    <s v="AMZN"/>
    <n v="201396328"/>
    <s v="Canchola,Alejandro"/>
    <s v="Rosas Negrete,Sebastian"/>
    <n v="0"/>
    <n v="0"/>
    <n v="0"/>
    <n v="0"/>
    <n v="0.19"/>
    <e v="#N/A"/>
    <x v="188"/>
  </r>
  <r>
    <d v="2023-11-19T00:00:00"/>
    <x v="45"/>
    <s v="Admin/HR/IT"/>
    <s v="AMCARE NonOcc In"/>
    <s v="AMZN"/>
    <n v="201880542"/>
    <s v="ORTIZ,CORPUS"/>
    <s v="Bueno Mendoza,Susana"/>
    <n v="0"/>
    <n v="0"/>
    <n v="0"/>
    <n v="0"/>
    <n v="0.2"/>
    <e v="#N/A"/>
    <x v="199"/>
  </r>
  <r>
    <d v="2023-11-19T00:00:00"/>
    <x v="45"/>
    <s v="Admin/HR/IT"/>
    <s v="AMCARE NonOcc In"/>
    <s v="AMZN"/>
    <n v="201882567"/>
    <s v="Valtierra,Salvador"/>
    <s v="Corona Arriaga,Fernando"/>
    <n v="0"/>
    <n v="0"/>
    <n v="0"/>
    <n v="0"/>
    <n v="0.21"/>
    <e v="#N/A"/>
    <x v="222"/>
  </r>
  <r>
    <d v="2023-11-19T00:00:00"/>
    <x v="45"/>
    <s v="Admin/HR/IT"/>
    <s v="AMCARE NonOcc In"/>
    <s v="TEMP"/>
    <n v="202109486"/>
    <s v="Medina,Abigail"/>
    <s v="Corona Arriaga,Fernando"/>
    <n v="0"/>
    <n v="0"/>
    <n v="0"/>
    <n v="0"/>
    <n v="0.1"/>
    <e v="#N/A"/>
    <x v="460"/>
  </r>
  <r>
    <d v="2023-11-19T00:00:00"/>
    <x v="45"/>
    <s v="Admin/HR/IT"/>
    <s v="AMCARE NonOcc In"/>
    <s v="TEMP"/>
    <n v="202118346"/>
    <s v="Ponce,Jessi"/>
    <s v="Rosas Negrete,Sebastian"/>
    <n v="0"/>
    <n v="0"/>
    <n v="0"/>
    <n v="0"/>
    <n v="0.14000000000000001"/>
    <e v="#N/A"/>
    <x v="237"/>
  </r>
  <r>
    <d v="2023-11-19T00:00:00"/>
    <x v="45"/>
    <s v="Admin/HR/IT"/>
    <s v="AMCARE NonOcc In"/>
    <s v="TEMP"/>
    <n v="202129193"/>
    <s v="Hernandez Montiel,Angelica Teresa"/>
    <s v="Madrid Molina,Ramon"/>
    <n v="0"/>
    <n v="0"/>
    <n v="0"/>
    <n v="0"/>
    <n v="0.57999999999999996"/>
    <e v="#N/A"/>
    <x v="334"/>
  </r>
  <r>
    <d v="2023-11-19T00:00:00"/>
    <x v="45"/>
    <s v="Admin/HR/IT"/>
    <s v="AMCARE NonOcc In"/>
    <s v="TEMP"/>
    <n v="202159550"/>
    <s v="Mora,Isabel"/>
    <s v="Piedra,Valentina"/>
    <n v="0"/>
    <n v="0"/>
    <n v="0"/>
    <n v="0"/>
    <n v="0.17"/>
    <e v="#N/A"/>
    <x v="313"/>
  </r>
  <r>
    <d v="2023-11-19T00:00:00"/>
    <x v="45"/>
    <s v="Admin/HR/IT"/>
    <s v="AMCARE NonOcc In"/>
    <s v="TEMP"/>
    <n v="202175835"/>
    <s v="Gonzalez,Abraham"/>
    <s v="Munoz,Jonan"/>
    <n v="0"/>
    <n v="0"/>
    <n v="0"/>
    <n v="0"/>
    <n v="0.16"/>
    <e v="#N/A"/>
    <x v="425"/>
  </r>
  <r>
    <d v="2023-11-19T00:00:00"/>
    <x v="45"/>
    <s v="Admin/HR/IT"/>
    <s v="AMCARE NonOcc In"/>
    <s v="TEMP"/>
    <n v="202225994"/>
    <s v="Jauregui,IvÃ¡n"/>
    <s v="Rosas Negrete,Sebastian"/>
    <n v="0"/>
    <n v="0"/>
    <n v="0"/>
    <n v="0"/>
    <n v="0.73"/>
    <e v="#N/A"/>
    <x v="341"/>
  </r>
  <r>
    <d v="2023-11-19T00:00:00"/>
    <x v="45"/>
    <s v="Admin/HR/IT"/>
    <s v="AMCARE NonOcc In"/>
    <s v="TEMP"/>
    <n v="202254886"/>
    <s v="Mendoza,Jared"/>
    <s v="Munoz,Jonan"/>
    <n v="0"/>
    <n v="0"/>
    <n v="0"/>
    <n v="0"/>
    <n v="0.37"/>
    <e v="#N/A"/>
    <x v="343"/>
  </r>
  <r>
    <d v="2023-11-19T00:00:00"/>
    <x v="45"/>
    <s v="Admin/HR/IT"/>
    <s v="AMCARE NonOcc In"/>
    <s v="TEMP"/>
    <n v="202287922"/>
    <s v="Andrade,Gema"/>
    <s v="Lopez,Alexa"/>
    <n v="0"/>
    <n v="0"/>
    <n v="0"/>
    <n v="0"/>
    <n v="0.19"/>
    <e v="#N/A"/>
    <x v="281"/>
  </r>
  <r>
    <d v="2023-11-19T00:00:00"/>
    <x v="45"/>
    <s v="Admin/HR/IT"/>
    <s v="AMCARE NonOcc In"/>
    <s v="TEMP"/>
    <n v="202291188"/>
    <s v="Alvarez,Fernanda"/>
    <s v="Madrid Molina,Ramon"/>
    <n v="0"/>
    <n v="0"/>
    <n v="0"/>
    <n v="0"/>
    <n v="0.94"/>
    <e v="#N/A"/>
    <x v="324"/>
  </r>
  <r>
    <d v="2023-11-19T00:00:00"/>
    <x v="45"/>
    <s v="Admin/HR/IT"/>
    <s v="AMCARE NonOcc In"/>
    <s v="TEMP"/>
    <n v="202291418"/>
    <s v="Ibarra,Sandra"/>
    <s v="Madrid Molina,Ramon"/>
    <n v="0"/>
    <n v="0"/>
    <n v="0"/>
    <n v="0"/>
    <n v="0.3"/>
    <e v="#N/A"/>
    <x v="461"/>
  </r>
  <r>
    <d v="2023-11-19T00:00:00"/>
    <x v="45"/>
    <s v="Admin/HR/IT"/>
    <s v="AMCARE NonOcc In"/>
    <s v="TEMP"/>
    <n v="202334621"/>
    <s v="Ramos,Karla"/>
    <s v="Lopez,Alexa"/>
    <n v="0"/>
    <n v="0"/>
    <n v="0"/>
    <n v="0"/>
    <n v="0.24"/>
    <e v="#N/A"/>
    <x v="326"/>
  </r>
  <r>
    <d v="2023-11-19T00:00:00"/>
    <x v="45"/>
    <s v="Admin/HR/IT"/>
    <s v="AMCARE NonOcc In"/>
    <s v="TEMP"/>
    <n v="202353921"/>
    <s v="Arechar Ortiz,Lindi Noemi"/>
    <s v="Piedra,Valentina"/>
    <n v="0"/>
    <n v="0"/>
    <n v="0"/>
    <n v="0"/>
    <n v="0.63"/>
    <e v="#N/A"/>
    <x v="320"/>
  </r>
  <r>
    <d v="2023-11-19T00:00:00"/>
    <x v="45"/>
    <s v="Admin/HR/IT"/>
    <s v="AMCARE NonOcc In"/>
    <s v="TEMP"/>
    <n v="202369419"/>
    <s v="Fabian,Ary"/>
    <s v="Romero Sanchez,Gustavo Gabriel"/>
    <n v="0"/>
    <n v="0"/>
    <n v="0"/>
    <n v="0"/>
    <n v="0.22"/>
    <e v="#N/A"/>
    <x v="311"/>
  </r>
  <r>
    <d v="2023-11-19T00:00:00"/>
    <x v="45"/>
    <s v="Admin/HR/IT"/>
    <s v="AMCARE NonOcc In"/>
    <s v="TEMP"/>
    <n v="202408564"/>
    <s v="Manriquez,Cristina"/>
    <s v="Munoz,Jonan"/>
    <n v="0"/>
    <n v="0"/>
    <n v="0"/>
    <n v="0"/>
    <n v="0.38"/>
    <e v="#N/A"/>
    <x v="409"/>
  </r>
  <r>
    <d v="2023-11-19T00:00:00"/>
    <x v="45"/>
    <s v="Admin/HR/IT"/>
    <s v="AMCARE NonOcc In"/>
    <s v="TEMP"/>
    <n v="202421453"/>
    <s v="Checo,Sergio"/>
    <s v="Cortes,Alejandra"/>
    <n v="0"/>
    <n v="0"/>
    <n v="0"/>
    <n v="0"/>
    <n v="0.57999999999999996"/>
    <e v="#N/A"/>
    <x v="403"/>
  </r>
  <r>
    <d v="2023-11-19T00:00:00"/>
    <x v="45"/>
    <s v="Admin/HR/IT"/>
    <s v="AMCARE NonOcc In"/>
    <s v="TEMP"/>
    <n v="202432521"/>
    <s v="Samarron Prado,Luis Gerardo"/>
    <s v="Pizana,Diego"/>
    <n v="0"/>
    <n v="0"/>
    <n v="0"/>
    <n v="0"/>
    <n v="0.14000000000000001"/>
    <e v="#N/A"/>
    <x v="462"/>
  </r>
  <r>
    <d v="2023-11-19T00:00:00"/>
    <x v="45"/>
    <s v="Admin/HR/IT"/>
    <s v="AMCARE NonOcc In"/>
    <s v="TEMP"/>
    <n v="202442581"/>
    <s v="Araiza,Yocktan"/>
    <s v="Piedra,Valentina"/>
    <n v="0"/>
    <n v="0"/>
    <n v="0"/>
    <n v="0"/>
    <n v="1.54"/>
    <e v="#N/A"/>
    <x v="451"/>
  </r>
  <r>
    <d v="2023-11-19T00:00:00"/>
    <x v="45"/>
    <s v="Admin/HR/IT"/>
    <s v="AMCARE NonOcc In"/>
    <s v="TEMP"/>
    <n v="202442761"/>
    <s v="Vallejo,Sarahi"/>
    <s v="Pizana,Diego"/>
    <n v="0"/>
    <n v="0"/>
    <n v="0"/>
    <n v="0"/>
    <n v="0.13"/>
    <e v="#N/A"/>
    <x v="463"/>
  </r>
  <r>
    <d v="2023-11-19T00:00:00"/>
    <x v="45"/>
    <s v="Admin/HR/IT"/>
    <s v="AMCARE NonOcc In"/>
    <s v="TEMP"/>
    <n v="202512055"/>
    <s v="Alvarez,Ricardo"/>
    <s v="Camarena,Grecia"/>
    <n v="0"/>
    <n v="0"/>
    <n v="0"/>
    <n v="0"/>
    <n v="0.38"/>
    <e v="#N/A"/>
    <x v="464"/>
  </r>
  <r>
    <d v="2023-11-19T00:00:00"/>
    <x v="45"/>
    <s v="Admin/HR/IT"/>
    <s v="AMCARE NonOcc In"/>
    <s v="TEMP"/>
    <n v="202513047"/>
    <s v="GÃ³mez,Alexis"/>
    <s v="Camarena,Grecia"/>
    <n v="0"/>
    <n v="0"/>
    <n v="0"/>
    <n v="0"/>
    <n v="0.33"/>
    <e v="#N/A"/>
    <x v="465"/>
  </r>
  <r>
    <d v="2023-11-19T00:00:00"/>
    <x v="45"/>
    <s v="Admin/HR/IT"/>
    <s v="AMCARE NonOcc In"/>
    <s v="TEMP"/>
    <n v="202534146"/>
    <s v="Mendoza,Delia"/>
    <s v="Munoz,Jonan"/>
    <n v="0"/>
    <n v="0"/>
    <n v="0"/>
    <n v="0"/>
    <n v="0.14000000000000001"/>
    <e v="#N/A"/>
    <x v="0"/>
  </r>
  <r>
    <d v="2023-11-20T00:00:00"/>
    <x v="45"/>
    <s v="Admin/HR/IT"/>
    <s v="AMCARE NonOcc In"/>
    <s v="AMZN"/>
    <n v="112912014"/>
    <s v="Ramos,Sofia"/>
    <s v="Madrid Molina,Ramon"/>
    <n v="0"/>
    <n v="0"/>
    <n v="0"/>
    <n v="0"/>
    <n v="0.2"/>
    <s v="DA-X0700"/>
    <x v="104"/>
  </r>
  <r>
    <d v="2023-11-20T00:00:00"/>
    <x v="45"/>
    <s v="Admin/HR/IT"/>
    <s v="AMCARE NonOcc In"/>
    <s v="AMZN"/>
    <n v="112912050"/>
    <s v="Hernadez Serna,Said"/>
    <s v="Madrid Molina,Ramon"/>
    <n v="0"/>
    <n v="0"/>
    <n v="0"/>
    <n v="0"/>
    <n v="0.15"/>
    <s v="DA-X0700"/>
    <x v="86"/>
  </r>
  <r>
    <d v="2023-11-20T00:00:00"/>
    <x v="45"/>
    <s v="Admin/HR/IT"/>
    <s v="AMCARE NonOcc In"/>
    <s v="AMZN"/>
    <n v="112912506"/>
    <s v="Garcia  Caudillo,Jessica"/>
    <s v="Madrid Molina,Ramon"/>
    <n v="0"/>
    <n v="0"/>
    <n v="0"/>
    <n v="0"/>
    <n v="0.01"/>
    <s v="DA-X0700"/>
    <x v="144"/>
  </r>
  <r>
    <d v="2023-11-20T00:00:00"/>
    <x v="45"/>
    <s v="Admin/HR/IT"/>
    <s v="AMCARE NonOcc In"/>
    <s v="TEMP"/>
    <n v="112912984"/>
    <s v="Ortiz,Isaac"/>
    <s v="Pizana,Diego"/>
    <n v="0"/>
    <n v="0"/>
    <n v="0"/>
    <n v="0"/>
    <n v="0.36"/>
    <s v="DJ-X0700"/>
    <x v="411"/>
  </r>
  <r>
    <d v="2023-11-20T00:00:00"/>
    <x v="45"/>
    <s v="Admin/HR/IT"/>
    <s v="AMCARE NonOcc In"/>
    <s v="AMZN"/>
    <n v="112950784"/>
    <s v="Rojas,Samuel"/>
    <s v="Camarena,Grecia"/>
    <n v="0"/>
    <n v="0"/>
    <n v="0"/>
    <n v="0"/>
    <n v="0.28000000000000003"/>
    <s v="NF-X1900"/>
    <x v="13"/>
  </r>
  <r>
    <d v="2023-11-20T00:00:00"/>
    <x v="45"/>
    <s v="Admin/HR/IT"/>
    <s v="AMCARE NonOcc In"/>
    <s v="AMZN"/>
    <n v="112981196"/>
    <s v="Gomez,Andrea"/>
    <s v="Lopez,Alexa"/>
    <n v="0"/>
    <n v="0"/>
    <n v="0"/>
    <n v="0"/>
    <n v="0.08"/>
    <e v="#N/A"/>
    <x v="22"/>
  </r>
  <r>
    <d v="2023-11-20T00:00:00"/>
    <x v="45"/>
    <s v="Admin/HR/IT"/>
    <s v="AMCARE NonOcc In"/>
    <s v="AMZN"/>
    <n v="113020497"/>
    <s v="Martinez Ruiz,Diana"/>
    <s v="Munoz,Jonan"/>
    <n v="0"/>
    <n v="0"/>
    <n v="0"/>
    <n v="0"/>
    <n v="0.05"/>
    <e v="#N/A"/>
    <x v="82"/>
  </r>
  <r>
    <d v="2023-11-20T00:00:00"/>
    <x v="45"/>
    <s v="Admin/HR/IT"/>
    <s v="AMCARE NonOcc In"/>
    <s v="AMZN"/>
    <n v="113044763"/>
    <s v="Urbina Avila,Stephany"/>
    <s v="Munoz,Jonan"/>
    <n v="0"/>
    <n v="0"/>
    <n v="0"/>
    <n v="0"/>
    <n v="0.22"/>
    <e v="#N/A"/>
    <x v="74"/>
  </r>
  <r>
    <d v="2023-11-20T00:00:00"/>
    <x v="45"/>
    <s v="Admin/HR/IT"/>
    <s v="AMCARE NonOcc In"/>
    <s v="AMZN"/>
    <n v="200404250"/>
    <s v="Hurtado,Caty"/>
    <s v="Corona Arriaga,Fernando"/>
    <n v="0"/>
    <n v="0"/>
    <n v="0"/>
    <n v="0"/>
    <n v="0.16"/>
    <e v="#N/A"/>
    <x v="6"/>
  </r>
  <r>
    <d v="2023-11-20T00:00:00"/>
    <x v="45"/>
    <s v="Admin/HR/IT"/>
    <s v="AMCARE NonOcc In"/>
    <s v="AMZN"/>
    <n v="200509662"/>
    <s v="Chico,Carlos"/>
    <s v="Bueno Mendoza,Susana"/>
    <n v="0"/>
    <n v="0"/>
    <n v="0"/>
    <n v="0"/>
    <n v="0.12"/>
    <e v="#N/A"/>
    <x v="110"/>
  </r>
  <r>
    <d v="2023-11-20T00:00:00"/>
    <x v="45"/>
    <s v="Admin/HR/IT"/>
    <s v="AMCARE NonOcc In"/>
    <s v="AMZN"/>
    <n v="201165769"/>
    <s v="Puente,Karen"/>
    <s v="Lopez,Alexa"/>
    <n v="0"/>
    <n v="0"/>
    <n v="0"/>
    <n v="0"/>
    <n v="0.22"/>
    <e v="#N/A"/>
    <x v="113"/>
  </r>
  <r>
    <d v="2023-11-20T00:00:00"/>
    <x v="45"/>
    <s v="Admin/HR/IT"/>
    <s v="AMCARE NonOcc In"/>
    <s v="AMZN"/>
    <n v="201166890"/>
    <s v="Caballero,Daniel"/>
    <s v="Rosas Negrete,Sebastian"/>
    <n v="0"/>
    <n v="0"/>
    <n v="0"/>
    <n v="0"/>
    <n v="0.19"/>
    <e v="#N/A"/>
    <x v="141"/>
  </r>
  <r>
    <d v="2023-11-20T00:00:00"/>
    <x v="45"/>
    <s v="Admin/HR/IT"/>
    <s v="AMCARE NonOcc In"/>
    <s v="AMZN"/>
    <n v="201167501"/>
    <s v="Rodriguez,Ruben"/>
    <s v="Corona Arriaga,Fernando"/>
    <n v="0"/>
    <n v="0"/>
    <n v="0"/>
    <n v="0"/>
    <n v="0.15"/>
    <e v="#N/A"/>
    <x v="109"/>
  </r>
  <r>
    <d v="2023-11-20T00:00:00"/>
    <x v="45"/>
    <s v="Admin/HR/IT"/>
    <s v="AMCARE NonOcc In"/>
    <s v="AMZN"/>
    <n v="201202093"/>
    <s v="Ortega,Elizabeth"/>
    <s v="Romero Sanchez,Gustavo Gabriel"/>
    <n v="0"/>
    <n v="0"/>
    <n v="0"/>
    <n v="0"/>
    <n v="0.23"/>
    <e v="#N/A"/>
    <x v="129"/>
  </r>
  <r>
    <d v="2023-11-20T00:00:00"/>
    <x v="45"/>
    <s v="Admin/HR/IT"/>
    <s v="AMCARE NonOcc In"/>
    <s v="AMZN"/>
    <n v="201347331"/>
    <s v="Castillo,Fernando"/>
    <s v="Madrid Molina,Ramon"/>
    <n v="0"/>
    <n v="0"/>
    <n v="0"/>
    <n v="0"/>
    <n v="0.03"/>
    <e v="#N/A"/>
    <x v="466"/>
  </r>
  <r>
    <d v="2023-11-20T00:00:00"/>
    <x v="45"/>
    <s v="Admin/HR/IT"/>
    <s v="AMCARE NonOcc In"/>
    <s v="AMZN"/>
    <n v="201378542"/>
    <s v="Contreras,Evelyn"/>
    <s v="Bueno Mendoza,Susana"/>
    <n v="0"/>
    <n v="0"/>
    <n v="0"/>
    <n v="0"/>
    <n v="0.14000000000000001"/>
    <e v="#N/A"/>
    <x v="185"/>
  </r>
  <r>
    <d v="2023-11-20T00:00:00"/>
    <x v="45"/>
    <s v="Admin/HR/IT"/>
    <s v="AMCARE NonOcc In"/>
    <s v="TEMP"/>
    <n v="202062181"/>
    <s v="Trejo,Luis"/>
    <s v="Lopez,Alexa"/>
    <n v="0"/>
    <n v="0"/>
    <n v="0"/>
    <n v="0"/>
    <n v="0.45"/>
    <e v="#N/A"/>
    <x v="243"/>
  </r>
  <r>
    <d v="2023-11-20T00:00:00"/>
    <x v="45"/>
    <s v="Admin/HR/IT"/>
    <s v="AMCARE NonOcc In"/>
    <s v="TEMP"/>
    <n v="202063545"/>
    <s v="GarcÃ­a,Ana"/>
    <s v="Lopez,Alexa"/>
    <n v="0"/>
    <n v="0"/>
    <n v="0"/>
    <n v="0"/>
    <n v="0.42"/>
    <e v="#N/A"/>
    <x v="228"/>
  </r>
  <r>
    <d v="2023-11-20T00:00:00"/>
    <x v="45"/>
    <s v="Admin/HR/IT"/>
    <s v="AMCARE NonOcc In"/>
    <s v="TEMP"/>
    <n v="202099131"/>
    <s v="Castillo,Enedina"/>
    <s v="Lopez,Alexa"/>
    <n v="0"/>
    <n v="0"/>
    <n v="0"/>
    <n v="0"/>
    <n v="0.17"/>
    <e v="#N/A"/>
    <x v="467"/>
  </r>
  <r>
    <d v="2023-11-20T00:00:00"/>
    <x v="45"/>
    <s v="Admin/HR/IT"/>
    <s v="AMCARE NonOcc In"/>
    <s v="TEMP"/>
    <n v="202129193"/>
    <s v="Hernandez Montiel,Angelica Teresa"/>
    <s v="Madrid Molina,Ramon"/>
    <n v="0"/>
    <n v="0"/>
    <n v="0"/>
    <n v="0"/>
    <n v="0.52"/>
    <e v="#N/A"/>
    <x v="334"/>
  </r>
  <r>
    <d v="2023-11-20T00:00:00"/>
    <x v="45"/>
    <s v="Admin/HR/IT"/>
    <s v="AMCARE NonOcc In"/>
    <s v="TEMP"/>
    <n v="202137988"/>
    <s v="Torres,Aylen Aylen"/>
    <s v="Lopez,Alexa"/>
    <n v="0"/>
    <n v="0"/>
    <n v="0"/>
    <n v="0"/>
    <n v="0.22"/>
    <e v="#N/A"/>
    <x v="468"/>
  </r>
  <r>
    <d v="2023-11-20T00:00:00"/>
    <x v="45"/>
    <s v="Admin/HR/IT"/>
    <s v="AMCARE NonOcc In"/>
    <s v="TEMP"/>
    <n v="202145314"/>
    <s v="Palomares,Neftali"/>
    <s v="Camarena,Grecia"/>
    <n v="0"/>
    <n v="0"/>
    <n v="0"/>
    <n v="0"/>
    <n v="0.26"/>
    <e v="#N/A"/>
    <x v="257"/>
  </r>
  <r>
    <d v="2023-11-20T00:00:00"/>
    <x v="45"/>
    <s v="Admin/HR/IT"/>
    <s v="AMCARE NonOcc In"/>
    <s v="TEMP"/>
    <n v="202166757"/>
    <s v="Cortes,Axel"/>
    <s v="Bueno Mendoza,Susana"/>
    <n v="0"/>
    <n v="0"/>
    <n v="0"/>
    <n v="0"/>
    <n v="0.17"/>
    <e v="#N/A"/>
    <x v="381"/>
  </r>
  <r>
    <d v="2023-11-20T00:00:00"/>
    <x v="45"/>
    <s v="Admin/HR/IT"/>
    <s v="AMCARE NonOcc In"/>
    <s v="TEMP"/>
    <n v="202190946"/>
    <s v="Gonzalez,Caro"/>
    <s v="Bueno Mendoza,Susana"/>
    <n v="0"/>
    <n v="0"/>
    <n v="0"/>
    <n v="0"/>
    <n v="0.11"/>
    <e v="#N/A"/>
    <x v="438"/>
  </r>
  <r>
    <d v="2023-11-20T00:00:00"/>
    <x v="45"/>
    <s v="Admin/HR/IT"/>
    <s v="AMCARE NonOcc In"/>
    <s v="TEMP"/>
    <n v="202206014"/>
    <s v="Cuellar,Karina"/>
    <s v="Corona Arriaga,Fernando"/>
    <n v="0"/>
    <n v="0"/>
    <n v="0"/>
    <n v="0"/>
    <n v="0.25"/>
    <e v="#N/A"/>
    <x v="393"/>
  </r>
  <r>
    <d v="2023-11-20T00:00:00"/>
    <x v="45"/>
    <s v="Admin/HR/IT"/>
    <s v="AMCARE NonOcc In"/>
    <s v="TEMP"/>
    <n v="202226202"/>
    <s v="Moreno,Nayeli Naye"/>
    <s v="Rosas Negrete,Sebastian"/>
    <n v="0"/>
    <n v="0"/>
    <n v="0"/>
    <n v="0"/>
    <n v="0.23"/>
    <e v="#N/A"/>
    <x v="335"/>
  </r>
  <r>
    <d v="2023-11-20T00:00:00"/>
    <x v="45"/>
    <s v="Admin/HR/IT"/>
    <s v="AMCARE NonOcc In"/>
    <s v="TEMP"/>
    <n v="202245845"/>
    <s v="Medina,Angel"/>
    <s v="Rosas Negrete,Sebastian"/>
    <n v="0"/>
    <n v="0"/>
    <n v="0"/>
    <n v="0"/>
    <n v="0.55000000000000004"/>
    <e v="#N/A"/>
    <x v="279"/>
  </r>
  <r>
    <d v="2023-11-20T00:00:00"/>
    <x v="45"/>
    <s v="Admin/HR/IT"/>
    <s v="AMCARE NonOcc In"/>
    <s v="TEMP"/>
    <n v="202245854"/>
    <s v="Manzo GonzÃ¡lez,Luis Fernando"/>
    <s v="Camarena,Grecia"/>
    <n v="0"/>
    <n v="0"/>
    <n v="0"/>
    <n v="0"/>
    <n v="0.28999999999999998"/>
    <e v="#N/A"/>
    <x v="469"/>
  </r>
  <r>
    <d v="2023-11-20T00:00:00"/>
    <x v="45"/>
    <s v="Admin/HR/IT"/>
    <s v="AMCARE NonOcc In"/>
    <s v="TEMP"/>
    <n v="202265921"/>
    <s v="Perea,Mauricio"/>
    <s v="Rosas Negrete,Sebastian"/>
    <n v="0"/>
    <n v="0"/>
    <n v="0"/>
    <n v="0"/>
    <n v="0.16"/>
    <e v="#N/A"/>
    <x v="299"/>
  </r>
  <r>
    <d v="2023-11-20T00:00:00"/>
    <x v="45"/>
    <s v="Admin/HR/IT"/>
    <s v="AMCARE NonOcc In"/>
    <s v="TEMP"/>
    <n v="202287922"/>
    <s v="Andrade,Gema"/>
    <s v="Lopez,Alexa"/>
    <n v="0"/>
    <n v="0"/>
    <n v="0"/>
    <n v="0"/>
    <n v="0.38"/>
    <e v="#N/A"/>
    <x v="281"/>
  </r>
  <r>
    <d v="2023-11-20T00:00:00"/>
    <x v="45"/>
    <s v="Admin/HR/IT"/>
    <s v="AMCARE NonOcc In"/>
    <s v="TEMP"/>
    <n v="202289699"/>
    <s v="Araujo,Hisela"/>
    <s v="Lopez,Alexa"/>
    <n v="0"/>
    <n v="0"/>
    <n v="0"/>
    <n v="0"/>
    <n v="0.32"/>
    <e v="#N/A"/>
    <x v="361"/>
  </r>
  <r>
    <d v="2023-11-20T00:00:00"/>
    <x v="45"/>
    <s v="Admin/HR/IT"/>
    <s v="AMCARE NonOcc In"/>
    <s v="TEMP"/>
    <n v="202304949"/>
    <s v="Barajas,Claudia"/>
    <s v="Madrid Molina,Ramon"/>
    <n v="0"/>
    <n v="0"/>
    <n v="0"/>
    <n v="0"/>
    <n v="0.25"/>
    <e v="#N/A"/>
    <x v="470"/>
  </r>
  <r>
    <d v="2023-11-20T00:00:00"/>
    <x v="45"/>
    <s v="Admin/HR/IT"/>
    <s v="AMCARE NonOcc In"/>
    <s v="TEMP"/>
    <n v="202353921"/>
    <s v="Arechar Ortiz,Lindi Noemi"/>
    <s v="Piedra,Valentina"/>
    <n v="0"/>
    <n v="0"/>
    <n v="0"/>
    <n v="0"/>
    <n v="0.39"/>
    <e v="#N/A"/>
    <x v="320"/>
  </r>
  <r>
    <d v="2023-11-20T00:00:00"/>
    <x v="45"/>
    <s v="Admin/HR/IT"/>
    <s v="AMCARE NonOcc In"/>
    <s v="TEMP"/>
    <n v="202432341"/>
    <s v="ALATORRE,ABRAHAM"/>
    <s v="Madrid Molina,Ramon"/>
    <n v="0"/>
    <n v="0"/>
    <n v="0"/>
    <n v="0"/>
    <n v="0.38"/>
    <e v="#N/A"/>
    <x v="471"/>
  </r>
  <r>
    <d v="2023-11-20T00:00:00"/>
    <x v="45"/>
    <s v="Admin/HR/IT"/>
    <s v="AMCARE NonOcc In"/>
    <s v="TEMP"/>
    <n v="202479923"/>
    <s v="Arredondo,Grecia"/>
    <s v="Camarena,Grecia"/>
    <n v="0"/>
    <n v="0"/>
    <n v="0"/>
    <n v="0"/>
    <n v="0.2"/>
    <e v="#N/A"/>
    <x v="385"/>
  </r>
  <r>
    <d v="2023-11-20T00:00:00"/>
    <x v="45"/>
    <s v="Admin/HR/IT"/>
    <s v="AMCARE NonOcc In"/>
    <s v="TEMP"/>
    <n v="202507047"/>
    <s v="MartÃ­nez,Jesus"/>
    <s v="Madrid Molina,Ramon"/>
    <n v="0"/>
    <n v="0"/>
    <n v="0"/>
    <n v="0"/>
    <n v="1.27"/>
    <e v="#N/A"/>
    <x v="379"/>
  </r>
  <r>
    <d v="2023-11-20T00:00:00"/>
    <x v="45"/>
    <s v="Admin/HR/IT"/>
    <s v="AMCARE NonOcc In"/>
    <s v="TEMP"/>
    <n v="202510583"/>
    <s v="Jimenez Becerra,Juan Carlos"/>
    <s v="Madrid Molina,Ramon"/>
    <n v="0"/>
    <n v="0"/>
    <n v="0"/>
    <n v="0"/>
    <n v="0.45"/>
    <e v="#N/A"/>
    <x v="380"/>
  </r>
  <r>
    <d v="2023-11-20T00:00:00"/>
    <x v="45"/>
    <s v="Admin/HR/IT"/>
    <s v="AMCARE NonOcc In"/>
    <s v="TEMP"/>
    <n v="202513047"/>
    <s v="GÃ³mez,Alexis"/>
    <s v="Camarena,Grecia"/>
    <n v="0"/>
    <n v="0"/>
    <n v="0"/>
    <n v="0"/>
    <n v="0.22"/>
    <e v="#N/A"/>
    <x v="465"/>
  </r>
  <r>
    <d v="2023-11-21T00:00:00"/>
    <x v="45"/>
    <s v="Admin/HR/IT"/>
    <s v="AMCARE NonOcc In"/>
    <s v="AMZN"/>
    <n v="112912511"/>
    <s v="Elorza,Sergio"/>
    <s v="Munoz,Jonan"/>
    <n v="0"/>
    <n v="0"/>
    <n v="0"/>
    <n v="0"/>
    <n v="0.1"/>
    <s v="DB-X0700"/>
    <x v="180"/>
  </r>
  <r>
    <d v="2023-11-21T00:00:00"/>
    <x v="45"/>
    <s v="Admin/HR/IT"/>
    <s v="AMCARE NonOcc In"/>
    <s v="AMZN"/>
    <n v="112912745"/>
    <s v="Gomez Meza,Alex"/>
    <s v="Rosas Negrete,Sebastian"/>
    <n v="0"/>
    <n v="0"/>
    <n v="0"/>
    <n v="0"/>
    <n v="0.15"/>
    <s v="DA-X0700"/>
    <x v="55"/>
  </r>
  <r>
    <d v="2023-11-21T00:00:00"/>
    <x v="45"/>
    <s v="Admin/HR/IT"/>
    <s v="AMCARE NonOcc In"/>
    <s v="AMZN"/>
    <n v="112916534"/>
    <s v="Esparza Sanchez,Areli"/>
    <s v="Romero Sanchez,Gustavo Gabriel"/>
    <n v="0"/>
    <n v="0"/>
    <n v="0"/>
    <n v="0"/>
    <n v="0.22"/>
    <s v="DB-X0700"/>
    <x v="40"/>
  </r>
  <r>
    <d v="2023-11-21T00:00:00"/>
    <x v="45"/>
    <s v="Admin/HR/IT"/>
    <s v="AMCARE NonOcc In"/>
    <s v="AMZN"/>
    <n v="112950784"/>
    <s v="Rojas,Samuel"/>
    <s v="Camarena,Grecia"/>
    <n v="0"/>
    <n v="0"/>
    <n v="0"/>
    <n v="0"/>
    <n v="0.22"/>
    <s v="NF-X1900"/>
    <x v="13"/>
  </r>
  <r>
    <d v="2023-11-21T00:00:00"/>
    <x v="45"/>
    <s v="Admin/HR/IT"/>
    <s v="AMCARE NonOcc In"/>
    <s v="TEMP"/>
    <n v="112980843"/>
    <s v="Santos,Israel"/>
    <s v="Bueno Mendoza,Susana"/>
    <n v="0"/>
    <n v="0"/>
    <n v="0"/>
    <n v="0"/>
    <n v="0.13"/>
    <s v="DA-X0700"/>
    <x v="85"/>
  </r>
  <r>
    <d v="2023-11-21T00:00:00"/>
    <x v="45"/>
    <s v="Admin/HR/IT"/>
    <s v="AMCARE NonOcc In"/>
    <s v="AMZN"/>
    <n v="112981014"/>
    <s v="Roldan Gutierrez,Pablo"/>
    <s v="Lopez,Alexa"/>
    <n v="0"/>
    <n v="0"/>
    <n v="0"/>
    <n v="0"/>
    <n v="0.03"/>
    <s v="DJ-X0700"/>
    <x v="29"/>
  </r>
  <r>
    <d v="2023-11-21T00:00:00"/>
    <x v="45"/>
    <s v="Admin/HR/IT"/>
    <s v="AMCARE NonOcc In"/>
    <s v="AMZN"/>
    <n v="112981194"/>
    <s v="Camacho Delgado,Karina"/>
    <s v="Camarena,Grecia"/>
    <n v="0"/>
    <n v="0"/>
    <n v="0"/>
    <n v="0"/>
    <n v="0.16"/>
    <s v="NF-X1900"/>
    <x v="70"/>
  </r>
  <r>
    <d v="2023-11-21T00:00:00"/>
    <x v="45"/>
    <s v="Admin/HR/IT"/>
    <s v="AMCARE NonOcc In"/>
    <s v="AMZN"/>
    <n v="200404250"/>
    <s v="Hurtado,Caty"/>
    <s v="Corona Arriaga,Fernando"/>
    <n v="0"/>
    <n v="0"/>
    <n v="0"/>
    <n v="0"/>
    <n v="0.3"/>
    <e v="#N/A"/>
    <x v="6"/>
  </r>
  <r>
    <d v="2023-11-21T00:00:00"/>
    <x v="45"/>
    <s v="Admin/HR/IT"/>
    <s v="AMCARE NonOcc In"/>
    <s v="AMZN"/>
    <n v="200574345"/>
    <s v="Contreras,Jony"/>
    <s v="Corona Arriaga,Fernando"/>
    <n v="0"/>
    <n v="0"/>
    <n v="0"/>
    <n v="0"/>
    <n v="0.11"/>
    <e v="#N/A"/>
    <x v="54"/>
  </r>
  <r>
    <d v="2023-11-21T00:00:00"/>
    <x v="45"/>
    <s v="Admin/HR/IT"/>
    <s v="AMCARE NonOcc In"/>
    <s v="AMZN"/>
    <n v="201167501"/>
    <s v="Rodriguez,Ruben"/>
    <s v="Corona Arriaga,Fernando"/>
    <n v="0"/>
    <n v="0"/>
    <n v="0"/>
    <n v="0"/>
    <n v="0.09"/>
    <e v="#N/A"/>
    <x v="109"/>
  </r>
  <r>
    <d v="2023-11-21T00:00:00"/>
    <x v="45"/>
    <s v="Admin/HR/IT"/>
    <s v="AMCARE NonOcc In"/>
    <s v="AMZN"/>
    <n v="201202093"/>
    <s v="Ortega,Elizabeth"/>
    <s v="Romero Sanchez,Gustavo Gabriel"/>
    <n v="0"/>
    <n v="0"/>
    <n v="0"/>
    <n v="0"/>
    <n v="0.03"/>
    <e v="#N/A"/>
    <x v="129"/>
  </r>
  <r>
    <d v="2023-11-21T00:00:00"/>
    <x v="45"/>
    <s v="Admin/HR/IT"/>
    <s v="AMCARE NonOcc In"/>
    <s v="AMZN"/>
    <n v="201223730"/>
    <s v="Sanchiz,Cesarito"/>
    <s v="Romero Sanchez,Gustavo Gabriel"/>
    <n v="0"/>
    <n v="0"/>
    <n v="0"/>
    <n v="0"/>
    <n v="0.15"/>
    <e v="#N/A"/>
    <x v="120"/>
  </r>
  <r>
    <d v="2023-11-21T00:00:00"/>
    <x v="45"/>
    <s v="Admin/HR/IT"/>
    <s v="AMCARE NonOcc In"/>
    <s v="AMZN"/>
    <n v="201228411"/>
    <s v="Hernandez Soriano,Jazmin"/>
    <s v="Romero Sanchez,Gustavo Gabriel"/>
    <n v="0"/>
    <n v="0"/>
    <n v="0"/>
    <n v="0"/>
    <n v="0.14000000000000001"/>
    <e v="#N/A"/>
    <x v="123"/>
  </r>
  <r>
    <d v="2023-11-21T00:00:00"/>
    <x v="45"/>
    <s v="Admin/HR/IT"/>
    <s v="AMCARE NonOcc In"/>
    <s v="AMZN"/>
    <n v="201378452"/>
    <s v="Perez,Omar"/>
    <s v="Bueno Mendoza,Susana"/>
    <n v="0"/>
    <n v="0"/>
    <n v="0"/>
    <n v="0"/>
    <n v="0.37"/>
    <e v="#N/A"/>
    <x v="189"/>
  </r>
  <r>
    <d v="2023-11-21T00:00:00"/>
    <x v="45"/>
    <s v="Admin/HR/IT"/>
    <s v="AMCARE NonOcc In"/>
    <s v="AMZN"/>
    <n v="201842064"/>
    <s v="Agripino,Andrea"/>
    <s v="Piedra,Valentina"/>
    <n v="0"/>
    <n v="0"/>
    <n v="0"/>
    <n v="0"/>
    <n v="0.19"/>
    <e v="#N/A"/>
    <x v="210"/>
  </r>
  <r>
    <d v="2023-11-21T00:00:00"/>
    <x v="45"/>
    <s v="Admin/HR/IT"/>
    <s v="AMCARE NonOcc In"/>
    <s v="AMZN"/>
    <n v="201858867"/>
    <s v="Cruz Velazquez,Gabriela"/>
    <s v="Piedra,Valentina"/>
    <n v="0"/>
    <n v="0"/>
    <n v="0"/>
    <n v="0"/>
    <n v="0.47"/>
    <e v="#N/A"/>
    <x v="206"/>
  </r>
  <r>
    <d v="2023-11-21T00:00:00"/>
    <x v="45"/>
    <s v="Admin/HR/IT"/>
    <s v="AMCARE NonOcc In"/>
    <s v="AMZN"/>
    <n v="201890790"/>
    <s v="Zuniga,Victor"/>
    <s v="Corona Arriaga,Fernando"/>
    <n v="0"/>
    <n v="0"/>
    <n v="0"/>
    <n v="0"/>
    <n v="0.17"/>
    <e v="#N/A"/>
    <x v="255"/>
  </r>
  <r>
    <d v="2023-11-21T00:00:00"/>
    <x v="45"/>
    <s v="Admin/HR/IT"/>
    <s v="AMCARE NonOcc In"/>
    <s v="AMZN"/>
    <n v="201901910"/>
    <s v="Flores,Edwin"/>
    <s v="Piedra,Valentina"/>
    <n v="0"/>
    <n v="0"/>
    <n v="0"/>
    <n v="0"/>
    <n v="7.0000000000000007E-2"/>
    <e v="#N/A"/>
    <x v="214"/>
  </r>
  <r>
    <d v="2023-11-21T00:00:00"/>
    <x v="45"/>
    <s v="Admin/HR/IT"/>
    <s v="AMCARE NonOcc In"/>
    <s v="TEMP"/>
    <n v="202118346"/>
    <s v="Ponce,Jessi"/>
    <s v="Rosas Negrete,Sebastian"/>
    <n v="0"/>
    <n v="0"/>
    <n v="0"/>
    <n v="0"/>
    <n v="0.11"/>
    <e v="#N/A"/>
    <x v="237"/>
  </r>
  <r>
    <d v="2023-11-21T00:00:00"/>
    <x v="45"/>
    <s v="Admin/HR/IT"/>
    <s v="AMCARE NonOcc In"/>
    <s v="TEMP"/>
    <n v="202129193"/>
    <s v="Hernandez Montiel,Angelica Teresa"/>
    <s v="Madrid Molina,Ramon"/>
    <n v="0"/>
    <n v="0"/>
    <n v="0"/>
    <n v="0"/>
    <n v="0.28000000000000003"/>
    <e v="#N/A"/>
    <x v="334"/>
  </r>
  <r>
    <d v="2023-11-21T00:00:00"/>
    <x v="45"/>
    <s v="Admin/HR/IT"/>
    <s v="AMCARE NonOcc In"/>
    <s v="TEMP"/>
    <n v="202133575"/>
    <s v="Alcantar,Andres"/>
    <s v="Rosas Negrete,Sebastian"/>
    <n v="0"/>
    <n v="0"/>
    <n v="0"/>
    <n v="0"/>
    <n v="0.14000000000000001"/>
    <e v="#N/A"/>
    <x v="472"/>
  </r>
  <r>
    <d v="2023-11-21T00:00:00"/>
    <x v="45"/>
    <s v="Admin/HR/IT"/>
    <s v="AMCARE NonOcc In"/>
    <s v="TEMP"/>
    <n v="202137341"/>
    <s v="Bravo,Edgar"/>
    <s v="Rosas Negrete,Sebastian"/>
    <n v="0"/>
    <n v="0"/>
    <n v="0"/>
    <n v="0"/>
    <n v="0.25"/>
    <e v="#N/A"/>
    <x v="241"/>
  </r>
  <r>
    <d v="2023-11-21T00:00:00"/>
    <x v="45"/>
    <s v="Admin/HR/IT"/>
    <s v="AMCARE NonOcc In"/>
    <s v="TEMP"/>
    <n v="202165242"/>
    <s v="Gonzalez,Marco"/>
    <s v="Munoz,Jonan"/>
    <n v="0"/>
    <n v="0"/>
    <n v="0"/>
    <n v="0"/>
    <n v="0.23"/>
    <e v="#N/A"/>
    <x v="251"/>
  </r>
  <r>
    <d v="2023-11-21T00:00:00"/>
    <x v="45"/>
    <s v="Admin/HR/IT"/>
    <s v="AMCARE NonOcc In"/>
    <s v="TEMP"/>
    <n v="202175671"/>
    <s v="Cruz,Lau"/>
    <s v="Munoz,Jonan"/>
    <n v="0"/>
    <n v="0"/>
    <n v="0"/>
    <n v="0"/>
    <n v="1.24"/>
    <e v="#N/A"/>
    <x v="258"/>
  </r>
  <r>
    <d v="2023-11-21T00:00:00"/>
    <x v="45"/>
    <s v="Admin/HR/IT"/>
    <s v="AMCARE NonOcc In"/>
    <s v="TEMP"/>
    <n v="202189092"/>
    <s v="Carpio,Gabriel"/>
    <s v="Munoz,Jonan"/>
    <n v="0"/>
    <n v="0"/>
    <n v="0"/>
    <n v="0"/>
    <n v="0.41"/>
    <e v="#N/A"/>
    <x v="427"/>
  </r>
  <r>
    <d v="2023-11-21T00:00:00"/>
    <x v="45"/>
    <s v="Admin/HR/IT"/>
    <s v="AMCARE NonOcc In"/>
    <s v="TEMP"/>
    <n v="202253767"/>
    <s v="Romero,Francisco"/>
    <s v="Camarena,Grecia"/>
    <n v="0"/>
    <n v="0"/>
    <n v="0"/>
    <n v="0"/>
    <n v="0.13"/>
    <e v="#N/A"/>
    <x v="383"/>
  </r>
  <r>
    <d v="2023-11-21T00:00:00"/>
    <x v="45"/>
    <s v="Admin/HR/IT"/>
    <s v="AMCARE NonOcc In"/>
    <s v="TEMP"/>
    <n v="202265870"/>
    <s v="Hidalgo,Alexander"/>
    <s v="Corona Arriaga,Fernando"/>
    <n v="0"/>
    <n v="0"/>
    <n v="0"/>
    <n v="0"/>
    <n v="0.19"/>
    <e v="#N/A"/>
    <x v="368"/>
  </r>
  <r>
    <d v="2023-11-21T00:00:00"/>
    <x v="45"/>
    <s v="Admin/HR/IT"/>
    <s v="AMCARE NonOcc In"/>
    <s v="TEMP"/>
    <n v="202265921"/>
    <s v="Perea,Mauricio"/>
    <s v="Rosas Negrete,Sebastian"/>
    <n v="0"/>
    <n v="0"/>
    <n v="0"/>
    <n v="0"/>
    <n v="0.33"/>
    <e v="#N/A"/>
    <x v="299"/>
  </r>
  <r>
    <d v="2023-11-21T00:00:00"/>
    <x v="45"/>
    <s v="Admin/HR/IT"/>
    <s v="AMCARE NonOcc In"/>
    <s v="TEMP"/>
    <n v="202288453"/>
    <s v="Aguirre,Gerardo"/>
    <s v="Camarena,Grecia"/>
    <n v="0"/>
    <n v="0"/>
    <n v="0"/>
    <n v="0"/>
    <n v="0.18"/>
    <e v="#N/A"/>
    <x v="448"/>
  </r>
  <r>
    <d v="2023-11-21T00:00:00"/>
    <x v="45"/>
    <s v="Admin/HR/IT"/>
    <s v="AMCARE NonOcc In"/>
    <s v="TEMP"/>
    <n v="202291418"/>
    <s v="Ibarra,Sandra"/>
    <s v="Madrid Molina,Ramon"/>
    <n v="0"/>
    <n v="0"/>
    <n v="0"/>
    <n v="0"/>
    <n v="0.28999999999999998"/>
    <e v="#N/A"/>
    <x v="461"/>
  </r>
  <r>
    <d v="2023-11-21T00:00:00"/>
    <x v="45"/>
    <s v="Admin/HR/IT"/>
    <s v="AMCARE NonOcc In"/>
    <s v="TEMP"/>
    <n v="202304949"/>
    <s v="Barajas,Claudia"/>
    <s v="Madrid Molina,Ramon"/>
    <n v="0"/>
    <n v="0"/>
    <n v="0"/>
    <n v="0"/>
    <n v="0.25"/>
    <e v="#N/A"/>
    <x v="470"/>
  </r>
  <r>
    <d v="2023-11-21T00:00:00"/>
    <x v="45"/>
    <s v="Admin/HR/IT"/>
    <s v="AMCARE NonOcc In"/>
    <s v="TEMP"/>
    <n v="202408362"/>
    <s v="Paz,Alhe"/>
    <s v="Pizana,Diego"/>
    <n v="0"/>
    <n v="0"/>
    <n v="0"/>
    <n v="0"/>
    <n v="0.27"/>
    <e v="#N/A"/>
    <x v="348"/>
  </r>
  <r>
    <d v="2023-11-21T00:00:00"/>
    <x v="45"/>
    <s v="Admin/HR/IT"/>
    <s v="AMCARE NonOcc In"/>
    <s v="TEMP"/>
    <n v="202442761"/>
    <s v="Vallejo,Sarahi"/>
    <s v="Pizana,Diego"/>
    <n v="0"/>
    <n v="0"/>
    <n v="0"/>
    <n v="0"/>
    <n v="0.13"/>
    <e v="#N/A"/>
    <x v="463"/>
  </r>
  <r>
    <d v="2023-11-21T00:00:00"/>
    <x v="45"/>
    <s v="Admin/HR/IT"/>
    <s v="AMCARE NonOcc In"/>
    <s v="TEMP"/>
    <n v="202474285"/>
    <s v="Vargas,David"/>
    <s v="Camarena,Grecia"/>
    <n v="0"/>
    <n v="0"/>
    <n v="0"/>
    <n v="0"/>
    <n v="0.5"/>
    <e v="#N/A"/>
    <x v="473"/>
  </r>
  <r>
    <d v="2023-11-21T00:00:00"/>
    <x v="45"/>
    <s v="Admin/HR/IT"/>
    <s v="AMCARE NonOcc In"/>
    <s v="TEMP"/>
    <n v="202480064"/>
    <s v="Hernandez Murillo,Cesar Daniel"/>
    <s v="Camarena,Grecia"/>
    <n v="0"/>
    <n v="0"/>
    <n v="0"/>
    <n v="0"/>
    <n v="0.05"/>
    <e v="#N/A"/>
    <x v="416"/>
  </r>
  <r>
    <d v="2023-11-21T00:00:00"/>
    <x v="45"/>
    <s v="Admin/HR/IT"/>
    <s v="AMCARE NonOcc In"/>
    <s v="TEMP"/>
    <n v="202480065"/>
    <s v="Estrada,Tere"/>
    <s v="Camarena,Grecia"/>
    <n v="0"/>
    <n v="0"/>
    <n v="0"/>
    <n v="0"/>
    <n v="0.4"/>
    <e v="#N/A"/>
    <x v="474"/>
  </r>
  <r>
    <d v="2023-11-21T00:00:00"/>
    <x v="45"/>
    <s v="Admin/HR/IT"/>
    <s v="AMCARE NonOcc In"/>
    <s v="TEMP"/>
    <n v="202480098"/>
    <s v="Ibarra,Alexa"/>
    <s v="Bueno Mendoza,Susana"/>
    <n v="0"/>
    <n v="0"/>
    <n v="0"/>
    <n v="0"/>
    <n v="0.1"/>
    <e v="#N/A"/>
    <x v="422"/>
  </r>
  <r>
    <d v="2023-11-21T00:00:00"/>
    <x v="45"/>
    <s v="Admin/HR/IT"/>
    <s v="AMCARE NonOcc In"/>
    <s v="TEMP"/>
    <n v="202484078"/>
    <s v="Lopez Rodriguez,Juan Antonio"/>
    <s v="Camarena,Grecia"/>
    <n v="0"/>
    <n v="0"/>
    <n v="0"/>
    <n v="0"/>
    <n v="0.19"/>
    <e v="#N/A"/>
    <x v="475"/>
  </r>
  <r>
    <d v="2023-11-21T00:00:00"/>
    <x v="45"/>
    <s v="Admin/HR/IT"/>
    <s v="AMCARE NonOcc In"/>
    <s v="TEMP"/>
    <n v="202512055"/>
    <s v="Alvarez,Ricardo"/>
    <s v="Camarena,Grecia"/>
    <n v="0"/>
    <n v="0"/>
    <n v="0"/>
    <n v="0"/>
    <n v="0.44"/>
    <e v="#N/A"/>
    <x v="464"/>
  </r>
  <r>
    <d v="2023-11-21T00:00:00"/>
    <x v="45"/>
    <s v="Admin/HR/IT"/>
    <s v="AMCARE NonOcc In"/>
    <s v="TEMP"/>
    <n v="202534151"/>
    <s v="Lira,Arath"/>
    <s v="Pizana,Diego"/>
    <n v="0"/>
    <n v="0"/>
    <n v="0"/>
    <n v="0"/>
    <n v="1.02"/>
    <e v="#N/A"/>
    <x v="0"/>
  </r>
  <r>
    <m/>
    <x v="46"/>
    <m/>
    <m/>
    <m/>
    <m/>
    <m/>
    <m/>
    <m/>
    <m/>
    <m/>
    <m/>
    <m/>
    <m/>
    <x v="47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2">
  <r>
    <x v="0"/>
    <x v="0"/>
    <s v="Admin/HR/IT"/>
    <s v="AMCARE NonOcc In"/>
    <s v="AMZN"/>
    <n v="112981009"/>
    <s v="Ceja Sanchez,Jonathan"/>
    <s v="Ledezma,Fer"/>
    <n v="0"/>
    <n v="0"/>
    <n v="0"/>
    <n v="0"/>
    <n v="1.08"/>
    <e v="#N/A"/>
    <e v="#N/A"/>
  </r>
  <r>
    <x v="0"/>
    <x v="0"/>
    <s v="Admin/HR/IT"/>
    <s v="AMCARE NonOcc In"/>
    <s v="AMZN"/>
    <n v="112950797"/>
    <s v="Serna,Denisse"/>
    <s v="Madrid Molina,Ramon"/>
    <n v="0"/>
    <n v="0"/>
    <n v="0"/>
    <n v="0"/>
    <n v="0.32"/>
    <s v="DA-X0700"/>
    <s v="hesdenis"/>
  </r>
  <r>
    <x v="0"/>
    <x v="0"/>
    <s v="Admin/HR/IT"/>
    <s v="AMCARE NonOcc In"/>
    <s v="AMZN"/>
    <n v="112912210"/>
    <s v="Fuentes,Jacob"/>
    <s v="Madrid Molina,Ramon"/>
    <n v="0"/>
    <n v="0"/>
    <n v="0"/>
    <n v="0"/>
    <n v="0.03"/>
    <e v="#N/A"/>
    <e v="#N/A"/>
  </r>
  <r>
    <x v="0"/>
    <x v="0"/>
    <s v="Admin/HR/IT"/>
    <s v="AMCARE NonOcc In"/>
    <s v="AMZN"/>
    <n v="113014195"/>
    <s v="Gomez Gutierrez,Vero"/>
    <s v="Madrid Molina,Ramon"/>
    <n v="0"/>
    <n v="0"/>
    <n v="0"/>
    <n v="0"/>
    <n v="0.13"/>
    <e v="#N/A"/>
    <e v="#N/A"/>
  </r>
  <r>
    <x v="0"/>
    <x v="0"/>
    <s v="Admin/HR/IT"/>
    <s v="AMCARE NonOcc In"/>
    <s v="TEMP"/>
    <n v="200502532"/>
    <s v="Zuniga Saucedo,Estefania"/>
    <s v="Madrid Molina,Ramon"/>
    <n v="0"/>
    <n v="0"/>
    <n v="0"/>
    <n v="0"/>
    <n v="0.22"/>
    <e v="#N/A"/>
    <e v="#N/A"/>
  </r>
  <r>
    <x v="0"/>
    <x v="0"/>
    <s v="Admin/HR/IT"/>
    <s v="AMCARE NonOcc In"/>
    <s v="AMZN"/>
    <n v="112980844"/>
    <s v="Padilla,Samantha"/>
    <s v="Hernandez,Nataly"/>
    <n v="0"/>
    <n v="0"/>
    <n v="0"/>
    <n v="0"/>
    <n v="0.36"/>
    <s v="DA-X0700"/>
    <s v="samajpad"/>
  </r>
  <r>
    <x v="0"/>
    <x v="0"/>
    <s v="Admin/HR/IT"/>
    <s v="AMCARE NonOcc In"/>
    <s v="AMZN"/>
    <n v="112912663"/>
    <s v="Segura,Lucero"/>
    <s v="Porcar Guri,Albert"/>
    <n v="0"/>
    <n v="0"/>
    <n v="0"/>
    <n v="0"/>
    <n v="0.16"/>
    <e v="#N/A"/>
    <e v="#N/A"/>
  </r>
  <r>
    <x v="0"/>
    <x v="0"/>
    <s v="Admin/HR/IT"/>
    <s v="AMCARE NonOcc In"/>
    <s v="TEMP"/>
    <n v="200564823"/>
    <s v="Garcia Infante,Sergio"/>
    <s v="Olmos,Carmen"/>
    <n v="0"/>
    <n v="0"/>
    <n v="0"/>
    <n v="0"/>
    <n v="0.88"/>
    <e v="#N/A"/>
    <e v="#N/A"/>
  </r>
  <r>
    <x v="1"/>
    <x v="0"/>
    <s v="Admin/HR/IT"/>
    <s v="AMCARE NonOcc In"/>
    <s v="TEMP"/>
    <n v="200574329"/>
    <s v="Llamas,Jonathan"/>
    <s v="Gomez Aguado,Jorge"/>
    <n v="0"/>
    <n v="0"/>
    <n v="0"/>
    <n v="0"/>
    <n v="0.25"/>
    <e v="#N/A"/>
    <e v="#N/A"/>
  </r>
  <r>
    <x v="1"/>
    <x v="0"/>
    <s v="Admin/HR/IT"/>
    <s v="AMCARE NonOcc In"/>
    <s v="AMZN"/>
    <n v="112912008"/>
    <s v="Espinosa,Consuelo"/>
    <s v="Rosas Negrete,Sebastian"/>
    <n v="0"/>
    <n v="0"/>
    <n v="0"/>
    <n v="0"/>
    <n v="0.13"/>
    <e v="#N/A"/>
    <e v="#N/A"/>
  </r>
  <r>
    <x v="1"/>
    <x v="0"/>
    <s v="Admin/HR/IT"/>
    <s v="AMCARE NonOcc In"/>
    <s v="AMZN"/>
    <n v="113014472"/>
    <s v="Ramirez Munoz,Alfredo"/>
    <s v="Corona Arriaga,Fernando"/>
    <n v="0"/>
    <n v="0"/>
    <n v="0"/>
    <n v="0"/>
    <n v="1.67"/>
    <e v="#N/A"/>
    <e v="#N/A"/>
  </r>
  <r>
    <x v="1"/>
    <x v="0"/>
    <s v="Admin/HR/IT"/>
    <s v="AMCARE NonOcc In"/>
    <s v="TEMP"/>
    <n v="200589316"/>
    <s v="Torres Zuniga,Daniel"/>
    <s v="Corona Arriaga,Fernando"/>
    <n v="0"/>
    <n v="0"/>
    <n v="0"/>
    <n v="0"/>
    <n v="0.11"/>
    <e v="#N/A"/>
    <e v="#N/A"/>
  </r>
  <r>
    <x v="1"/>
    <x v="0"/>
    <s v="Admin/HR/IT"/>
    <s v="AMCARE NonOcc In"/>
    <s v="AMZN"/>
    <n v="113014045"/>
    <s v="Jaime Perez,Ana"/>
    <s v="Gomez Aguado,Jorge"/>
    <n v="0"/>
    <n v="0"/>
    <n v="0"/>
    <n v="0"/>
    <n v="0.12"/>
    <e v="#N/A"/>
    <e v="#N/A"/>
  </r>
  <r>
    <x v="1"/>
    <x v="0"/>
    <s v="Admin/HR/IT"/>
    <s v="AMCARE NonOcc In"/>
    <s v="AMZN"/>
    <n v="112920666"/>
    <s v="Rocha,Jose"/>
    <s v="Garcia Espejel,Brenda Victoria"/>
    <n v="0"/>
    <n v="0"/>
    <n v="0"/>
    <n v="0"/>
    <n v="0.14000000000000001"/>
    <s v="D5-X0700"/>
    <s v="jorochai"/>
  </r>
  <r>
    <x v="1"/>
    <x v="0"/>
    <s v="Admin/HR/IT"/>
    <s v="AMCARE NonOcc In"/>
    <s v="AMZN"/>
    <n v="113014011"/>
    <s v="Robledo Barrientos,Logan"/>
    <s v="Robledo Ugarte,Alejandro"/>
    <n v="0"/>
    <n v="0"/>
    <n v="0"/>
    <n v="0"/>
    <n v="0.92"/>
    <e v="#N/A"/>
    <e v="#N/A"/>
  </r>
  <r>
    <x v="1"/>
    <x v="0"/>
    <s v="Admin/HR/IT"/>
    <s v="AMCARE NonOcc In"/>
    <s v="AMZN"/>
    <n v="113101453"/>
    <s v="Isaac,Geovanna"/>
    <s v="Gomez Aguado,Jorge"/>
    <n v="0"/>
    <n v="0"/>
    <n v="0"/>
    <n v="0"/>
    <n v="0.14000000000000001"/>
    <e v="#N/A"/>
    <s v="qisgeova"/>
  </r>
  <r>
    <x v="1"/>
    <x v="0"/>
    <s v="Admin/HR/IT"/>
    <s v="AMCARE NonOcc In"/>
    <s v="AMZN"/>
    <n v="113018997"/>
    <s v="Rodriguez Ponce,Gaby"/>
    <s v="Ledezma,Fer"/>
    <n v="0"/>
    <n v="0"/>
    <n v="0"/>
    <n v="0"/>
    <n v="1.62"/>
    <e v="#N/A"/>
    <e v="#N/A"/>
  </r>
  <r>
    <x v="1"/>
    <x v="0"/>
    <s v="Admin/HR/IT"/>
    <s v="AMCARE NonOcc In"/>
    <s v="AMZN"/>
    <n v="112980844"/>
    <s v="Padilla,Samantha"/>
    <s v="Hernandez,Nataly"/>
    <n v="0"/>
    <n v="0"/>
    <n v="0"/>
    <n v="0"/>
    <n v="0.35"/>
    <s v="DA-X0700"/>
    <s v="samajpad"/>
  </r>
  <r>
    <x v="1"/>
    <x v="0"/>
    <s v="Admin/HR/IT"/>
    <s v="AMCARE NonOcc In"/>
    <s v="AMZN"/>
    <n v="112980862"/>
    <s v="Tecla,Alejandro"/>
    <s v="Robledo Ugarte,Alejandro"/>
    <n v="0"/>
    <n v="0"/>
    <n v="0"/>
    <n v="0"/>
    <n v="0.17"/>
    <e v="#N/A"/>
    <e v="#N/A"/>
  </r>
  <r>
    <x v="1"/>
    <x v="0"/>
    <s v="Admin/HR/IT"/>
    <s v="AMCARE NonOcc In"/>
    <s v="AMZN"/>
    <n v="112912752"/>
    <s v="Valderrama Gomez,Leslie"/>
    <s v="Hernandez,Nataly"/>
    <n v="0"/>
    <n v="0"/>
    <n v="0"/>
    <n v="0"/>
    <n v="0.28999999999999998"/>
    <s v="NF-X1900"/>
    <s v="valderle"/>
  </r>
  <r>
    <x v="1"/>
    <x v="0"/>
    <s v="Admin/HR/IT"/>
    <s v="AMCARE NonOcc In"/>
    <s v="TEMP"/>
    <n v="200620341"/>
    <s v="Camacho Ramirez,Carlos"/>
    <s v="Madrid Molina,Ramon"/>
    <n v="0"/>
    <n v="0"/>
    <n v="0"/>
    <n v="0"/>
    <n v="0.36"/>
    <e v="#N/A"/>
    <e v="#N/A"/>
  </r>
  <r>
    <x v="1"/>
    <x v="0"/>
    <s v="Admin/HR/IT"/>
    <s v="AMCARE NonOcc In"/>
    <s v="AMZN"/>
    <n v="200404250"/>
    <s v="Hurtado,Caty"/>
    <s v="Robledo Ugarte,Alejandro"/>
    <n v="0"/>
    <n v="0"/>
    <n v="0"/>
    <n v="0"/>
    <n v="0"/>
    <e v="#N/A"/>
    <s v="xcathurt"/>
  </r>
  <r>
    <x v="2"/>
    <x v="0"/>
    <s v="Admin/HR/IT"/>
    <s v="AMCARE NonOcc In"/>
    <s v="AMZN"/>
    <n v="112971953"/>
    <s v="Aguirre Palomino,Ana"/>
    <s v="Lopez,Alexa"/>
    <n v="0"/>
    <n v="0"/>
    <n v="0"/>
    <n v="0"/>
    <n v="0.32"/>
    <s v="DB-X0700"/>
    <s v="anzpalom"/>
  </r>
  <r>
    <x v="2"/>
    <x v="0"/>
    <s v="Admin/HR/IT"/>
    <s v="AMCARE NonOcc In"/>
    <s v="AMZN"/>
    <n v="112971953"/>
    <s v="Aguirre Palomino,Ana"/>
    <s v="Lopez,Alexa"/>
    <n v="0"/>
    <n v="0"/>
    <n v="0"/>
    <n v="0"/>
    <n v="0.32"/>
    <s v="DB-X0700"/>
    <s v="anzpalom"/>
  </r>
  <r>
    <x v="2"/>
    <x v="0"/>
    <s v="Admin/HR/IT"/>
    <s v="AMCARE NonOcc In"/>
    <s v="TEMP"/>
    <n v="200513583"/>
    <s v="Herrada,Carlos"/>
    <s v="Olmos,Carmen"/>
    <n v="0"/>
    <n v="0"/>
    <n v="0"/>
    <n v="0"/>
    <n v="0.32"/>
    <e v="#N/A"/>
    <s v="caherras"/>
  </r>
  <r>
    <x v="2"/>
    <x v="0"/>
    <s v="Admin/HR/IT"/>
    <s v="AMCARE NonOcc In"/>
    <s v="AMZN"/>
    <n v="112912008"/>
    <s v="Espinosa,Consuelo"/>
    <s v="Rosas Negrete,Sebastian"/>
    <n v="0"/>
    <n v="0"/>
    <n v="0"/>
    <n v="0"/>
    <n v="0.14000000000000001"/>
    <e v="#N/A"/>
    <e v="#N/A"/>
  </r>
  <r>
    <x v="2"/>
    <x v="0"/>
    <s v="Admin/HR/IT"/>
    <s v="AMCARE NonOcc In"/>
    <s v="AMZN"/>
    <n v="113014060"/>
    <s v="Diaz Sandoval,Geovanni"/>
    <s v="Gomez Aguado,Jorge"/>
    <n v="0"/>
    <n v="0"/>
    <n v="0"/>
    <n v="0"/>
    <n v="0.34"/>
    <e v="#N/A"/>
    <e v="#N/A"/>
  </r>
  <r>
    <x v="2"/>
    <x v="0"/>
    <s v="Admin/HR/IT"/>
    <s v="AMCARE NonOcc In"/>
    <s v="TEMP"/>
    <n v="200514471"/>
    <s v="MARTNEZ,EMILIANO"/>
    <s v="Gomez Aguado,Jorge"/>
    <n v="0"/>
    <n v="0"/>
    <n v="0"/>
    <n v="0"/>
    <n v="0.42"/>
    <e v="#N/A"/>
    <e v="#N/A"/>
  </r>
  <r>
    <x v="2"/>
    <x v="0"/>
    <s v="Admin/HR/IT"/>
    <s v="AMCARE NonOcc In"/>
    <s v="AMZN"/>
    <n v="113014081"/>
    <s v="Frausto,Genesis"/>
    <s v="Gomez,Abinadab"/>
    <n v="0"/>
    <n v="0"/>
    <n v="0"/>
    <n v="0"/>
    <n v="0.25"/>
    <e v="#N/A"/>
    <s v="fraugene"/>
  </r>
  <r>
    <x v="2"/>
    <x v="0"/>
    <s v="Admin/HR/IT"/>
    <s v="AMCARE NonOcc In"/>
    <s v="AMZN"/>
    <n v="113003971"/>
    <s v="Garcia  Ramirez,Gabriel"/>
    <s v="Piedra,Valentina"/>
    <n v="0"/>
    <n v="0"/>
    <n v="0"/>
    <n v="0"/>
    <n v="0.2"/>
    <e v="#N/A"/>
    <s v="garamird"/>
  </r>
  <r>
    <x v="2"/>
    <x v="0"/>
    <s v="Admin/HR/IT"/>
    <s v="AMCARE NonOcc In"/>
    <s v="AMZN"/>
    <n v="112912210"/>
    <s v="Fuentes,Jacob"/>
    <s v="Madrid Molina,Ramon"/>
    <n v="0"/>
    <n v="0"/>
    <n v="0"/>
    <n v="0"/>
    <n v="0.31"/>
    <e v="#N/A"/>
    <e v="#N/A"/>
  </r>
  <r>
    <x v="2"/>
    <x v="0"/>
    <s v="Admin/HR/IT"/>
    <s v="AMCARE NonOcc In"/>
    <s v="AMZN"/>
    <n v="113014113"/>
    <s v="Sanchez Villegas,Benjamin"/>
    <s v="Gomez,Abinadab"/>
    <n v="0"/>
    <n v="0"/>
    <n v="0"/>
    <n v="0"/>
    <n v="0.27"/>
    <e v="#N/A"/>
    <e v="#N/A"/>
  </r>
  <r>
    <x v="2"/>
    <x v="0"/>
    <s v="Admin/HR/IT"/>
    <s v="AMCARE NonOcc In"/>
    <s v="AMZN"/>
    <n v="112981061"/>
    <s v="Olguin,Claudia"/>
    <s v="Robledo Ugarte,Alejandro"/>
    <n v="0"/>
    <n v="0"/>
    <n v="0"/>
    <n v="0"/>
    <n v="0.15"/>
    <s v="DA-X0700"/>
    <s v="mclaudol"/>
  </r>
  <r>
    <x v="2"/>
    <x v="0"/>
    <s v="Admin/HR/IT"/>
    <s v="AMCARE NonOcc In"/>
    <s v="AMZN"/>
    <n v="112981013"/>
    <s v="Lopez Neri,Norma"/>
    <s v="Ledezma,Fer"/>
    <n v="0"/>
    <n v="0"/>
    <n v="0"/>
    <n v="0"/>
    <n v="0.94"/>
    <s v="DA-X0700"/>
    <s v="normaelo"/>
  </r>
  <r>
    <x v="2"/>
    <x v="0"/>
    <s v="Admin/HR/IT"/>
    <s v="AMCARE NonOcc In"/>
    <s v="AMZN"/>
    <n v="113014178"/>
    <s v="Olvera Munoz,Isabel"/>
    <s v="Gomez,Abinadab"/>
    <n v="0"/>
    <n v="0"/>
    <n v="0"/>
    <n v="0"/>
    <n v="0.13"/>
    <e v="#N/A"/>
    <e v="#N/A"/>
  </r>
  <r>
    <x v="2"/>
    <x v="0"/>
    <s v="Admin/HR/IT"/>
    <s v="AMCARE NonOcc In"/>
    <s v="AMZN"/>
    <n v="103427877"/>
    <s v="Alanis Hernandez,Patricia"/>
    <s v="Pizana,Diego"/>
    <n v="0"/>
    <n v="0"/>
    <n v="0"/>
    <n v="0"/>
    <n v="0.83"/>
    <e v="#N/A"/>
    <e v="#N/A"/>
  </r>
  <r>
    <x v="2"/>
    <x v="0"/>
    <s v="Admin/HR/IT"/>
    <s v="AMCARE NonOcc In"/>
    <s v="TEMP"/>
    <n v="200536194"/>
    <s v="Delgado,Bryan"/>
    <s v="Olmos,Carmen"/>
    <n v="0"/>
    <n v="0"/>
    <n v="0"/>
    <n v="0"/>
    <n v="0.95"/>
    <e v="#N/A"/>
    <e v="#N/A"/>
  </r>
  <r>
    <x v="2"/>
    <x v="0"/>
    <s v="Admin/HR/IT"/>
    <s v="AMCARE NonOcc In"/>
    <s v="AMZN"/>
    <n v="113020655"/>
    <s v="Salazar Segura,Raul"/>
    <s v="Gomez,Abinadab"/>
    <n v="0"/>
    <n v="0"/>
    <n v="0"/>
    <n v="0"/>
    <n v="1.49"/>
    <e v="#N/A"/>
    <e v="#N/A"/>
  </r>
  <r>
    <x v="2"/>
    <x v="0"/>
    <s v="Admin/HR/IT"/>
    <s v="AMCARE NonOcc In"/>
    <s v="AMZN"/>
    <n v="112950784"/>
    <s v="Rojas,Samuel"/>
    <s v="Gomez Aguado,Jorge"/>
    <n v="0"/>
    <n v="0"/>
    <n v="0"/>
    <n v="0"/>
    <n v="0.15"/>
    <s v="NF-X1900"/>
    <s v="sarojast"/>
  </r>
  <r>
    <x v="2"/>
    <x v="0"/>
    <s v="Admin/HR/IT"/>
    <s v="AMCARE NonOcc In"/>
    <s v="AMZN"/>
    <n v="112980862"/>
    <s v="Tecla,Alejandro"/>
    <s v="Robledo Ugarte,Alejandro"/>
    <n v="0"/>
    <n v="0"/>
    <n v="0"/>
    <n v="0"/>
    <n v="0.12"/>
    <e v="#N/A"/>
    <e v="#N/A"/>
  </r>
  <r>
    <x v="2"/>
    <x v="0"/>
    <s v="Admin/HR/IT"/>
    <s v="AMCARE NonOcc In"/>
    <s v="AMZN"/>
    <n v="112912752"/>
    <s v="Valderrama Gomez,Leslie"/>
    <s v="Hernandez,Nataly"/>
    <n v="0"/>
    <n v="0"/>
    <n v="0"/>
    <n v="0"/>
    <n v="0.21"/>
    <s v="NF-X1900"/>
    <s v="valderle"/>
  </r>
  <r>
    <x v="2"/>
    <x v="0"/>
    <s v="Admin/HR/IT"/>
    <s v="AMCARE NonOcc In"/>
    <s v="AMZN"/>
    <n v="112912163"/>
    <s v="Murillo,Alejandro"/>
    <s v="Gomez Aguado,Jorge"/>
    <n v="0"/>
    <n v="0"/>
    <n v="0"/>
    <n v="0"/>
    <n v="0.21"/>
    <e v="#N/A"/>
    <e v="#N/A"/>
  </r>
  <r>
    <x v="2"/>
    <x v="0"/>
    <s v="Admin/HR/IT"/>
    <s v="AMCARE NonOcc In"/>
    <s v="AMZN"/>
    <n v="200404250"/>
    <s v="Hurtado,Caty"/>
    <s v="Robledo Ugarte,Alejandro"/>
    <n v="0"/>
    <n v="0"/>
    <n v="0"/>
    <n v="0"/>
    <n v="0.49"/>
    <e v="#N/A"/>
    <s v="xcathurt"/>
  </r>
  <r>
    <x v="2"/>
    <x v="0"/>
    <s v="Admin/HR/IT"/>
    <s v="AMCARE NonOcc In"/>
    <s v="AMZN"/>
    <n v="112912666"/>
    <s v="Balderas Diaz,Issa"/>
    <s v="Porcar Guri,Albert"/>
    <n v="0"/>
    <n v="0"/>
    <n v="0"/>
    <n v="0"/>
    <n v="0.4"/>
    <e v="#N/A"/>
    <e v="#N/A"/>
  </r>
  <r>
    <x v="2"/>
    <x v="0"/>
    <s v="Admin/HR/IT"/>
    <s v="AMCARE NonOcc In"/>
    <s v="AMZN"/>
    <n v="112912509"/>
    <s v="Gutierrez Portillo,Joceline"/>
    <s v="Porcar Guri,Albert"/>
    <n v="0"/>
    <n v="0"/>
    <n v="0"/>
    <n v="0"/>
    <n v="0.64"/>
    <e v="#N/A"/>
    <e v="#N/A"/>
  </r>
  <r>
    <x v="2"/>
    <x v="0"/>
    <s v="Admin/HR/IT"/>
    <s v="AMCARE NonOcc In"/>
    <s v="AMZN"/>
    <n v="112984097"/>
    <s v="Aguilera,Yaremi"/>
    <s v="Gomez Aguado,Jorge"/>
    <n v="0"/>
    <n v="0"/>
    <n v="0"/>
    <n v="0"/>
    <n v="0.08"/>
    <e v="#N/A"/>
    <e v="#N/A"/>
  </r>
  <r>
    <x v="2"/>
    <x v="0"/>
    <s v="Admin/HR/IT"/>
    <s v="AMCARE NonOcc In"/>
    <s v="AMZN"/>
    <n v="112984097"/>
    <s v="Aguilera,Yaremi"/>
    <s v="Gomez Aguado,Jorge"/>
    <n v="0"/>
    <n v="0"/>
    <n v="0"/>
    <n v="0"/>
    <n v="0.1"/>
    <e v="#N/A"/>
    <e v="#N/A"/>
  </r>
  <r>
    <x v="2"/>
    <x v="0"/>
    <s v="Admin/HR/IT"/>
    <s v="AMCARE NonOcc In"/>
    <s v="TEMP"/>
    <n v="200509428"/>
    <s v="Guevara Ramirez,Zayra Lorena"/>
    <s v="Gomez Aguado,Jorge"/>
    <n v="0"/>
    <n v="0"/>
    <n v="0"/>
    <n v="0"/>
    <n v="0.62"/>
    <e v="#N/A"/>
    <e v="#N/A"/>
  </r>
  <r>
    <x v="3"/>
    <x v="0"/>
    <s v="Admin/HR/IT"/>
    <s v="AMCARE NonOcc In"/>
    <s v="AMZN"/>
    <n v="112973049"/>
    <s v="Tavares Parra,Ely"/>
    <s v="Piedra,Valentina"/>
    <n v="0"/>
    <n v="0"/>
    <n v="0"/>
    <n v="0"/>
    <n v="1.37"/>
    <s v="DB-X0700"/>
    <s v="afatimae"/>
  </r>
  <r>
    <x v="3"/>
    <x v="0"/>
    <s v="Admin/HR/IT"/>
    <s v="AMCARE NonOcc In"/>
    <s v="AMZN"/>
    <n v="112912666"/>
    <s v="Balderas Diaz,Issa"/>
    <s v="Porcar Guri,Albert"/>
    <n v="0"/>
    <n v="0"/>
    <n v="0"/>
    <n v="0"/>
    <n v="0.4"/>
    <e v="#N/A"/>
    <e v="#N/A"/>
  </r>
  <r>
    <x v="3"/>
    <x v="0"/>
    <s v="Admin/HR/IT"/>
    <s v="AMCARE NonOcc In"/>
    <s v="TEMP"/>
    <n v="200614224"/>
    <s v="Cruz Hernandez,Cris"/>
    <s v="Romero Sanchez,Gustavo Gabriel"/>
    <n v="0"/>
    <n v="0"/>
    <n v="0"/>
    <n v="0"/>
    <n v="0.13"/>
    <e v="#N/A"/>
    <e v="#N/A"/>
  </r>
  <r>
    <x v="3"/>
    <x v="0"/>
    <s v="Admin/HR/IT"/>
    <s v="AMCARE NonOcc In"/>
    <s v="AMZN"/>
    <n v="112972524"/>
    <s v="Santibanez Garcia,Luisa"/>
    <s v="Lopez,Alexa"/>
    <n v="0"/>
    <n v="0"/>
    <n v="0"/>
    <n v="0"/>
    <n v="0.36"/>
    <s v="DB-X0700"/>
    <s v="csantibl"/>
  </r>
  <r>
    <x v="3"/>
    <x v="0"/>
    <s v="Admin/HR/IT"/>
    <s v="AMCARE NonOcc In"/>
    <s v="AMZN"/>
    <n v="113014006"/>
    <s v="Reyes Andrade,Diego"/>
    <s v="Gomez Aguado,Jorge"/>
    <n v="0"/>
    <n v="0"/>
    <n v="0"/>
    <n v="0"/>
    <n v="0.25"/>
    <e v="#N/A"/>
    <e v="#N/A"/>
  </r>
  <r>
    <x v="3"/>
    <x v="0"/>
    <s v="Admin/HR/IT"/>
    <s v="AMCARE NonOcc In"/>
    <s v="AMZN"/>
    <n v="112984442"/>
    <s v="Garcia,Mauricio Antonio De la lama"/>
    <s v="Piedra,Valentina"/>
    <n v="0"/>
    <n v="0"/>
    <n v="0"/>
    <n v="0"/>
    <n v="0.56999999999999995"/>
    <e v="#N/A"/>
    <e v="#N/A"/>
  </r>
  <r>
    <x v="3"/>
    <x v="0"/>
    <s v="Admin/HR/IT"/>
    <s v="AMCARE NonOcc In"/>
    <s v="AMZN"/>
    <n v="113014452"/>
    <s v="Gutierrez,Geisel"/>
    <s v="Gomez Aguado,Jorge"/>
    <n v="0"/>
    <n v="0"/>
    <n v="0"/>
    <n v="0"/>
    <n v="0.49"/>
    <e v="#N/A"/>
    <e v="#N/A"/>
  </r>
  <r>
    <x v="3"/>
    <x v="0"/>
    <s v="Admin/HR/IT"/>
    <s v="AMCARE NonOcc In"/>
    <s v="AMZN"/>
    <n v="112971965"/>
    <s v="Hernandez,Andrea"/>
    <s v="Olmos,Carmen"/>
    <n v="0"/>
    <n v="0"/>
    <n v="0"/>
    <n v="0"/>
    <n v="0.22"/>
    <e v="#N/A"/>
    <e v="#N/A"/>
  </r>
  <r>
    <x v="3"/>
    <x v="0"/>
    <s v="Admin/HR/IT"/>
    <s v="AMCARE NonOcc In"/>
    <s v="AMZN"/>
    <n v="112920666"/>
    <s v="Rocha,Jose"/>
    <s v="Garcia Espejel,Brenda Victoria"/>
    <n v="0"/>
    <n v="0"/>
    <n v="0"/>
    <n v="0"/>
    <n v="0.12"/>
    <s v="D5-X0700"/>
    <s v="jorochai"/>
  </r>
  <r>
    <x v="3"/>
    <x v="0"/>
    <s v="Admin/HR/IT"/>
    <s v="AMCARE NonOcc In"/>
    <s v="AMZN"/>
    <n v="112912675"/>
    <s v="Alejandri Villagomez,Alejandra"/>
    <s v="Gutierrez,Hector"/>
    <n v="0"/>
    <n v="0"/>
    <n v="0"/>
    <n v="0"/>
    <n v="0.81"/>
    <e v="#N/A"/>
    <e v="#N/A"/>
  </r>
  <r>
    <x v="3"/>
    <x v="0"/>
    <s v="Admin/HR/IT"/>
    <s v="AMCARE NonOcc In"/>
    <s v="AMZN"/>
    <n v="112971972"/>
    <s v="Rojas,Luis"/>
    <s v="Garcia Espejel,Brenda Victoria"/>
    <n v="0"/>
    <n v="0"/>
    <n v="0"/>
    <n v="0"/>
    <n v="0.85"/>
    <s v="D5-X0700"/>
    <s v="luriverr"/>
  </r>
  <r>
    <x v="3"/>
    <x v="0"/>
    <s v="Admin/HR/IT"/>
    <s v="AMCARE NonOcc In"/>
    <s v="TEMP"/>
    <n v="200514885"/>
    <s v="Sanchez Garcia,Adriana"/>
    <s v="Gomez Aguado,Jorge"/>
    <n v="0"/>
    <n v="0"/>
    <n v="0"/>
    <n v="0"/>
    <n v="0.74"/>
    <e v="#N/A"/>
    <e v="#N/A"/>
  </r>
  <r>
    <x v="3"/>
    <x v="0"/>
    <s v="Admin/HR/IT"/>
    <s v="AMCARE NonOcc In"/>
    <s v="AMZN"/>
    <n v="112972791"/>
    <s v="Jasso Sanchez,Montserrat"/>
    <s v="Garcia Espejel,Brenda Victoria"/>
    <n v="0"/>
    <n v="0"/>
    <n v="0"/>
    <n v="0"/>
    <n v="0.14000000000000001"/>
    <e v="#N/A"/>
    <e v="#N/A"/>
  </r>
  <r>
    <x v="3"/>
    <x v="0"/>
    <s v="Admin/HR/IT"/>
    <s v="AMCARE NonOcc In"/>
    <s v="AMZN"/>
    <n v="112912163"/>
    <s v="Murillo,Alejandro"/>
    <s v="Gomez Aguado,Jorge"/>
    <n v="0"/>
    <n v="0"/>
    <n v="0"/>
    <n v="0"/>
    <n v="0.21"/>
    <e v="#N/A"/>
    <e v="#N/A"/>
  </r>
  <r>
    <x v="3"/>
    <x v="0"/>
    <s v="Admin/HR/IT"/>
    <s v="AMCARE NonOcc In"/>
    <s v="AMZN"/>
    <n v="113020463"/>
    <s v="Valtierra,Alejandra"/>
    <s v="Gomez,Abinadab"/>
    <n v="0"/>
    <n v="0"/>
    <n v="0"/>
    <n v="0"/>
    <n v="0.27"/>
    <e v="#N/A"/>
    <s v="myriamav"/>
  </r>
  <r>
    <x v="3"/>
    <x v="0"/>
    <s v="Admin/HR/IT"/>
    <s v="AMCARE NonOcc In"/>
    <s v="TEMP"/>
    <n v="200514421"/>
    <s v="Padilla Abrego,Angeles"/>
    <s v="Robledo Ugarte,Alejandro"/>
    <n v="0"/>
    <n v="0"/>
    <n v="0"/>
    <n v="0"/>
    <n v="0.2"/>
    <e v="#N/A"/>
    <s v="padillms"/>
  </r>
  <r>
    <x v="3"/>
    <x v="0"/>
    <s v="Admin/HR/IT"/>
    <s v="AMCARE NonOcc In"/>
    <s v="AMZN"/>
    <n v="113020476"/>
    <s v="Puente Aguilar,Polette"/>
    <s v="Olmos,Carmen"/>
    <n v="0"/>
    <n v="0"/>
    <n v="0"/>
    <n v="0"/>
    <n v="0.09"/>
    <e v="#N/A"/>
    <s v="polettpu"/>
  </r>
  <r>
    <x v="3"/>
    <x v="0"/>
    <s v="Admin/HR/IT"/>
    <s v="AMCARE NonOcc In"/>
    <s v="AMZN"/>
    <n v="113101453"/>
    <s v="Isaac,Geovanna"/>
    <s v="Gomez Aguado,Jorge"/>
    <n v="0"/>
    <n v="0"/>
    <n v="0"/>
    <n v="0"/>
    <n v="0.11"/>
    <e v="#N/A"/>
    <s v="qisgeova"/>
  </r>
  <r>
    <x v="3"/>
    <x v="0"/>
    <s v="Admin/HR/IT"/>
    <s v="AMCARE NonOcc In"/>
    <s v="TEMP"/>
    <n v="200625517"/>
    <s v="RamÃ­rez,Miranda"/>
    <s v="Corona Arriaga,Fernando"/>
    <n v="0"/>
    <n v="0"/>
    <n v="0"/>
    <n v="0"/>
    <n v="0.43"/>
    <e v="#N/A"/>
    <e v="#N/A"/>
  </r>
  <r>
    <x v="3"/>
    <x v="0"/>
    <s v="Admin/HR/IT"/>
    <s v="AMCARE NonOcc In"/>
    <s v="AMZN"/>
    <n v="113014042"/>
    <s v="Cervantes,Rose"/>
    <s v="Olmos,Carmen"/>
    <n v="0"/>
    <n v="0"/>
    <n v="0"/>
    <n v="0"/>
    <n v="0.37"/>
    <e v="#N/A"/>
    <s v="rfcervan"/>
  </r>
  <r>
    <x v="3"/>
    <x v="0"/>
    <s v="Admin/HR/IT"/>
    <s v="AMCARE NonOcc In"/>
    <s v="AMZN"/>
    <n v="113003656"/>
    <s v="Argote,Enrique"/>
    <s v="Romero Sanchez,Gustavo Gabriel"/>
    <n v="0"/>
    <n v="0"/>
    <n v="0"/>
    <n v="0"/>
    <n v="1.91"/>
    <e v="#N/A"/>
    <s v="uargoten"/>
  </r>
  <r>
    <x v="3"/>
    <x v="0"/>
    <s v="Admin/HR/IT"/>
    <s v="AMCARE NonOcc In"/>
    <s v="AMZN"/>
    <n v="112981196"/>
    <s v="Gomez,Andrea"/>
    <s v="Madrid Molina,Ramon"/>
    <n v="0"/>
    <n v="0"/>
    <n v="0"/>
    <n v="0"/>
    <n v="0.39"/>
    <e v="#N/A"/>
    <s v="vandgome"/>
  </r>
  <r>
    <x v="3"/>
    <x v="0"/>
    <s v="Admin/HR/IT"/>
    <s v="AMCARE NonOcc In"/>
    <s v="AMZN"/>
    <n v="112912509"/>
    <s v="Gutierrez Portillo,Joceline"/>
    <s v="Porcar Guri,Albert"/>
    <n v="0"/>
    <n v="0"/>
    <n v="0"/>
    <n v="0"/>
    <n v="0.64"/>
    <e v="#N/A"/>
    <e v="#N/A"/>
  </r>
  <r>
    <x v="3"/>
    <x v="0"/>
    <s v="Admin/HR/IT"/>
    <s v="AMCARE NonOcc In"/>
    <s v="TEMP"/>
    <n v="200564823"/>
    <s v="Garcia Infante,Sergio"/>
    <s v="Olmos,Carmen"/>
    <n v="0"/>
    <n v="0"/>
    <n v="0"/>
    <n v="0"/>
    <n v="2.0699999999999998"/>
    <e v="#N/A"/>
    <e v="#N/A"/>
  </r>
  <r>
    <x v="3"/>
    <x v="0"/>
    <s v="Admin/HR/IT"/>
    <s v="AMCARE NonOcc In"/>
    <s v="AMZN"/>
    <n v="200404250"/>
    <s v="Hurtado,Caty"/>
    <s v="Robledo Ugarte,Alejandro"/>
    <n v="0"/>
    <n v="0"/>
    <n v="0"/>
    <n v="0"/>
    <n v="0.48"/>
    <e v="#N/A"/>
    <s v="xcathurt"/>
  </r>
  <r>
    <x v="3"/>
    <x v="0"/>
    <s v="Admin/HR/IT"/>
    <s v="AMCARE NonOcc In"/>
    <s v="AMZN"/>
    <n v="112984097"/>
    <s v="Aguilera,Yaremi"/>
    <s v="Gomez Aguado,Jorge"/>
    <n v="0"/>
    <n v="0"/>
    <n v="0"/>
    <n v="0"/>
    <n v="0.1"/>
    <e v="#N/A"/>
    <e v="#N/A"/>
  </r>
  <r>
    <x v="3"/>
    <x v="0"/>
    <s v="Admin/HR/IT"/>
    <s v="AMCARE NonOcc In"/>
    <s v="AMZN"/>
    <n v="112984971"/>
    <s v="Zagal,Adrian"/>
    <s v="Gutierrez,Hector"/>
    <n v="0"/>
    <n v="0"/>
    <n v="0"/>
    <n v="0"/>
    <n v="0.28000000000000003"/>
    <e v="#N/A"/>
    <e v="#N/A"/>
  </r>
  <r>
    <x v="4"/>
    <x v="0"/>
    <s v="Admin/HR/IT"/>
    <s v="AMCARE NonOcc In"/>
    <s v="AMZN"/>
    <n v="112973049"/>
    <s v="Tavares Parra,Ely"/>
    <s v="Piedra,Valentina"/>
    <n v="0"/>
    <n v="0"/>
    <n v="0"/>
    <n v="0"/>
    <n v="0.21"/>
    <s v="DB-X0700"/>
    <s v="afatimae"/>
  </r>
  <r>
    <x v="4"/>
    <x v="0"/>
    <s v="Admin/HR/IT"/>
    <s v="AMCARE NonOcc In"/>
    <s v="AMZN"/>
    <n v="112971953"/>
    <s v="Aguirre Palomino,Ana"/>
    <s v="Lopez,Alexa"/>
    <n v="0"/>
    <n v="0"/>
    <n v="0"/>
    <n v="0"/>
    <n v="0.44"/>
    <s v="DB-X0700"/>
    <s v="anzpalom"/>
  </r>
  <r>
    <x v="4"/>
    <x v="0"/>
    <s v="Admin/HR/IT"/>
    <s v="AMCARE NonOcc In"/>
    <s v="TEMP"/>
    <n v="200565283"/>
    <s v="Cabrera Sanchez,Eber"/>
    <s v="Gutierrez,Hector"/>
    <n v="0"/>
    <n v="0"/>
    <n v="0"/>
    <n v="0"/>
    <n v="0.28999999999999998"/>
    <e v="#N/A"/>
    <e v="#N/A"/>
  </r>
  <r>
    <x v="4"/>
    <x v="0"/>
    <s v="Admin/HR/IT"/>
    <s v="AMCARE NonOcc In"/>
    <s v="TEMP"/>
    <n v="200614224"/>
    <s v="Cruz Hernandez,Cris"/>
    <s v="Romero Sanchez,Gustavo Gabriel"/>
    <n v="0"/>
    <n v="0"/>
    <n v="0"/>
    <n v="0"/>
    <n v="0.14000000000000001"/>
    <e v="#N/A"/>
    <e v="#N/A"/>
  </r>
  <r>
    <x v="4"/>
    <x v="0"/>
    <s v="Admin/HR/IT"/>
    <s v="AMCARE NonOcc In"/>
    <s v="AMZN"/>
    <n v="112984928"/>
    <s v="Espinoza,Francisco"/>
    <s v="Gutierrez,Hector"/>
    <n v="0"/>
    <n v="0"/>
    <n v="0"/>
    <n v="0"/>
    <n v="0.11"/>
    <e v="#N/A"/>
    <e v="#N/A"/>
  </r>
  <r>
    <x v="4"/>
    <x v="0"/>
    <s v="Admin/HR/IT"/>
    <s v="AMCARE NonOcc In"/>
    <s v="TEMP"/>
    <n v="200589316"/>
    <s v="Torres Zuniga,Daniel"/>
    <s v="Corona Arriaga,Fernando"/>
    <n v="0"/>
    <n v="0"/>
    <n v="0"/>
    <n v="0"/>
    <n v="0.21"/>
    <e v="#N/A"/>
    <e v="#N/A"/>
  </r>
  <r>
    <x v="4"/>
    <x v="0"/>
    <s v="Admin/HR/IT"/>
    <s v="AMCARE NonOcc In"/>
    <s v="AMZN"/>
    <n v="111434478"/>
    <s v="Gutierrez,Pame"/>
    <s v="Camarena,Grecia"/>
    <n v="0"/>
    <n v="0"/>
    <n v="0"/>
    <n v="0"/>
    <n v="0.77"/>
    <s v="DA-X0700"/>
    <s v="juanapam"/>
  </r>
  <r>
    <x v="4"/>
    <x v="0"/>
    <s v="Admin/HR/IT"/>
    <s v="AMCARE NonOcc In"/>
    <s v="AMZN"/>
    <n v="112912675"/>
    <s v="Alejandri Villagomez,Alejandra"/>
    <s v="Gutierrez,Hector"/>
    <n v="0"/>
    <n v="0"/>
    <n v="0"/>
    <n v="0"/>
    <n v="1.44"/>
    <e v="#N/A"/>
    <e v="#N/A"/>
  </r>
  <r>
    <x v="4"/>
    <x v="0"/>
    <s v="Admin/HR/IT"/>
    <s v="AMCARE NonOcc In"/>
    <s v="AMZN"/>
    <n v="113014011"/>
    <s v="Robledo Barrientos,Logan"/>
    <s v="Robledo Ugarte,Alejandro"/>
    <n v="0"/>
    <n v="0"/>
    <n v="0"/>
    <n v="0"/>
    <n v="0.79"/>
    <e v="#N/A"/>
    <e v="#N/A"/>
  </r>
  <r>
    <x v="4"/>
    <x v="0"/>
    <s v="Admin/HR/IT"/>
    <s v="AMCARE NonOcc In"/>
    <s v="AMZN"/>
    <n v="112980812"/>
    <s v="Jacobo,Mary"/>
    <s v="Romero Sanchez,Gustavo Gabriel"/>
    <n v="0"/>
    <n v="0"/>
    <n v="0"/>
    <n v="0"/>
    <n v="0.46"/>
    <s v="DA-X0700"/>
    <s v="maryjacp"/>
  </r>
  <r>
    <x v="4"/>
    <x v="0"/>
    <s v="Admin/HR/IT"/>
    <s v="AMCARE NonOcc In"/>
    <s v="AMZN"/>
    <n v="112912054"/>
    <s v="Rivera Ramirez,Jorge"/>
    <s v="Pizana,Diego"/>
    <n v="0"/>
    <n v="0"/>
    <n v="0"/>
    <n v="0"/>
    <n v="0.24"/>
    <s v="DB-X0700"/>
    <s v="privejor"/>
  </r>
  <r>
    <x v="4"/>
    <x v="0"/>
    <s v="Admin/HR/IT"/>
    <s v="AMCARE NonOcc In"/>
    <s v="TEMP"/>
    <n v="200625517"/>
    <s v="RamÃ­rez,Miranda"/>
    <s v="Corona Arriaga,Fernando"/>
    <n v="0"/>
    <n v="0"/>
    <n v="0"/>
    <n v="0"/>
    <n v="0.22"/>
    <e v="#N/A"/>
    <e v="#N/A"/>
  </r>
  <r>
    <x v="4"/>
    <x v="0"/>
    <s v="Admin/HR/IT"/>
    <s v="AMCARE NonOcc In"/>
    <s v="TEMP"/>
    <n v="200564823"/>
    <s v="Garcia Infante,Sergio"/>
    <s v="Olmos,Carmen"/>
    <n v="0"/>
    <n v="0"/>
    <n v="0"/>
    <n v="0"/>
    <n v="0.75"/>
    <e v="#N/A"/>
    <e v="#N/A"/>
  </r>
  <r>
    <x v="5"/>
    <x v="0"/>
    <s v="Admin/HR/IT"/>
    <s v="AMCARE NonOcc In"/>
    <s v="AMZN"/>
    <n v="112973049"/>
    <s v="Tavares Parra,Ely"/>
    <s v="Piedra,Valentina"/>
    <n v="0"/>
    <n v="0"/>
    <n v="0"/>
    <n v="0"/>
    <n v="0.53"/>
    <s v="DB-X0700"/>
    <s v="afatimae"/>
  </r>
  <r>
    <x v="5"/>
    <x v="0"/>
    <s v="Admin/HR/IT"/>
    <s v="AMCARE NonOcc In"/>
    <s v="TEMP"/>
    <n v="200563210"/>
    <s v="Becerra Pardo,Arlet"/>
    <s v="Romero Sanchez,Gustavo Gabriel"/>
    <n v="0"/>
    <n v="0"/>
    <n v="0"/>
    <n v="0"/>
    <n v="2.21"/>
    <e v="#N/A"/>
    <e v="#N/A"/>
  </r>
  <r>
    <x v="5"/>
    <x v="0"/>
    <s v="Admin/HR/IT"/>
    <s v="AMCARE NonOcc In"/>
    <s v="TEMP"/>
    <n v="200564835"/>
    <s v="Pardo,Fabian Oswaldo"/>
    <s v="Gutierrez,Hector"/>
    <n v="0"/>
    <n v="0"/>
    <n v="0"/>
    <n v="0"/>
    <n v="0.11"/>
    <e v="#N/A"/>
    <e v="#N/A"/>
  </r>
  <r>
    <x v="5"/>
    <x v="0"/>
    <s v="Admin/HR/IT"/>
    <s v="AMCARE NonOcc In"/>
    <s v="TEMP"/>
    <n v="200564835"/>
    <s v="Pardo,Fabian Oswaldo"/>
    <s v="Gutierrez,Hector"/>
    <n v="0"/>
    <n v="0"/>
    <n v="0"/>
    <n v="0"/>
    <n v="0.2"/>
    <e v="#N/A"/>
    <e v="#N/A"/>
  </r>
  <r>
    <x v="5"/>
    <x v="0"/>
    <s v="Admin/HR/IT"/>
    <s v="AMCARE NonOcc In"/>
    <s v="AMZN"/>
    <n v="112971962"/>
    <s v="Reyes  Montes de oca,Alejandra"/>
    <s v="Corona Arriaga,Fernando"/>
    <n v="0"/>
    <n v="0"/>
    <n v="0"/>
    <n v="0"/>
    <n v="0.43"/>
    <s v="DB-X0700"/>
    <s v="creyesal"/>
  </r>
  <r>
    <x v="5"/>
    <x v="0"/>
    <s v="Admin/HR/IT"/>
    <s v="AMCARE NonOcc In"/>
    <s v="TEMP"/>
    <n v="200508371"/>
    <s v="Perez,Georgina"/>
    <s v="Olmos,Carmen"/>
    <n v="0"/>
    <n v="0"/>
    <n v="0"/>
    <n v="0"/>
    <n v="1.73"/>
    <e v="#N/A"/>
    <e v="#N/A"/>
  </r>
  <r>
    <x v="5"/>
    <x v="0"/>
    <s v="Admin/HR/IT"/>
    <s v="AMCARE NonOcc In"/>
    <s v="AMZN"/>
    <n v="112984928"/>
    <s v="Espinoza,Francisco"/>
    <s v="Gutierrez,Hector"/>
    <n v="0"/>
    <n v="0"/>
    <n v="0"/>
    <n v="0"/>
    <n v="0.08"/>
    <e v="#N/A"/>
    <e v="#N/A"/>
  </r>
  <r>
    <x v="5"/>
    <x v="0"/>
    <s v="Admin/HR/IT"/>
    <s v="AMCARE NonOcc In"/>
    <s v="AMZN"/>
    <n v="112984442"/>
    <s v="Garcia,Mauricio Antonio De la lama"/>
    <s v="Piedra,Valentina"/>
    <n v="0"/>
    <n v="0"/>
    <n v="0"/>
    <n v="0"/>
    <n v="1.5"/>
    <e v="#N/A"/>
    <e v="#N/A"/>
  </r>
  <r>
    <x v="5"/>
    <x v="0"/>
    <s v="Admin/HR/IT"/>
    <s v="AMCARE NonOcc In"/>
    <s v="AMZN"/>
    <n v="112951256"/>
    <s v="Ramirez Vallejo,Kateryne"/>
    <s v="Camarena,Grecia"/>
    <n v="0"/>
    <n v="0"/>
    <n v="0"/>
    <n v="0"/>
    <n v="0.5"/>
    <s v="DA-X0700"/>
    <s v="grkatery"/>
  </r>
  <r>
    <x v="5"/>
    <x v="0"/>
    <s v="Admin/HR/IT"/>
    <s v="AMCARE NonOcc In"/>
    <s v="AMZN"/>
    <n v="112912175"/>
    <s v="Padilla,Jandy"/>
    <s v="Gomez Aguado,Jorge"/>
    <n v="0"/>
    <n v="0"/>
    <n v="0"/>
    <n v="0"/>
    <n v="0.72"/>
    <e v="#N/A"/>
    <e v="#N/A"/>
  </r>
  <r>
    <x v="5"/>
    <x v="0"/>
    <s v="Admin/HR/IT"/>
    <s v="AMCARE NonOcc In"/>
    <s v="AMZN"/>
    <n v="111434478"/>
    <s v="Gutierrez,Pame"/>
    <s v="Camarena,Grecia"/>
    <n v="0"/>
    <n v="0"/>
    <n v="0"/>
    <n v="0"/>
    <n v="0.08"/>
    <s v="DA-X0700"/>
    <s v="juanapam"/>
  </r>
  <r>
    <x v="5"/>
    <x v="0"/>
    <s v="Admin/HR/IT"/>
    <s v="AMCARE NonOcc In"/>
    <s v="AMZN"/>
    <n v="112912675"/>
    <s v="Alejandri Villagomez,Alejandra"/>
    <s v="Gutierrez,Hector"/>
    <n v="0"/>
    <n v="0"/>
    <n v="0"/>
    <n v="0"/>
    <n v="0.48"/>
    <e v="#N/A"/>
    <e v="#N/A"/>
  </r>
  <r>
    <x v="5"/>
    <x v="0"/>
    <s v="Admin/HR/IT"/>
    <s v="AMCARE NonOcc In"/>
    <s v="AMZN"/>
    <n v="112912675"/>
    <s v="Alejandri Villagomez,Alejandra"/>
    <s v="Gutierrez,Hector"/>
    <n v="0"/>
    <n v="0"/>
    <n v="0"/>
    <n v="0"/>
    <n v="0.35"/>
    <e v="#N/A"/>
    <e v="#N/A"/>
  </r>
  <r>
    <x v="5"/>
    <x v="0"/>
    <s v="Admin/HR/IT"/>
    <s v="AMCARE NonOcc In"/>
    <s v="AMZN"/>
    <n v="113014011"/>
    <s v="Robledo Barrientos,Logan"/>
    <s v="Robledo Ugarte,Alejandro"/>
    <n v="0"/>
    <n v="0"/>
    <n v="0"/>
    <n v="0"/>
    <n v="0.46"/>
    <e v="#N/A"/>
    <e v="#N/A"/>
  </r>
  <r>
    <x v="5"/>
    <x v="0"/>
    <s v="Admin/HR/IT"/>
    <s v="AMCARE NonOcc In"/>
    <s v="AMZN"/>
    <n v="112525692"/>
    <s v="Ovalle Gomez,Mayte"/>
    <s v="Garcia Espejel,Brenda Victoria"/>
    <n v="0"/>
    <n v="0"/>
    <n v="0"/>
    <n v="0"/>
    <n v="0.38"/>
    <e v="#N/A"/>
    <e v="#N/A"/>
  </r>
  <r>
    <x v="5"/>
    <x v="0"/>
    <s v="Admin/HR/IT"/>
    <s v="AMCARE NonOcc In"/>
    <s v="AMZN"/>
    <n v="200464838"/>
    <s v="Ortiz,Fernando"/>
    <s v="Gutierrez,Hector"/>
    <n v="0"/>
    <n v="0"/>
    <n v="0"/>
    <n v="0"/>
    <n v="1.36"/>
    <e v="#N/A"/>
    <s v="ortfernj"/>
  </r>
  <r>
    <x v="5"/>
    <x v="0"/>
    <s v="Admin/HR/IT"/>
    <s v="AMCARE NonOcc In"/>
    <s v="AMZN"/>
    <n v="113020476"/>
    <s v="Puente Aguilar,Polette"/>
    <s v="Olmos,Carmen"/>
    <n v="0"/>
    <n v="0"/>
    <n v="0"/>
    <n v="0"/>
    <n v="0.61"/>
    <e v="#N/A"/>
    <s v="polettpu"/>
  </r>
  <r>
    <x v="5"/>
    <x v="0"/>
    <s v="Admin/HR/IT"/>
    <s v="AMCARE NonOcc In"/>
    <s v="TEMP"/>
    <n v="200554743"/>
    <s v="Rivera Hernandez,Liliana"/>
    <s v="Olmos,Carmen"/>
    <n v="0"/>
    <n v="0"/>
    <n v="0"/>
    <n v="0"/>
    <n v="1.36"/>
    <e v="#N/A"/>
    <e v="#N/A"/>
  </r>
  <r>
    <x v="5"/>
    <x v="0"/>
    <s v="Admin/HR/IT"/>
    <s v="AMCARE NonOcc In"/>
    <s v="TEMP"/>
    <n v="200536194"/>
    <s v="Delgado,Bryan"/>
    <s v="Olmos,Carmen"/>
    <n v="0"/>
    <n v="0"/>
    <n v="0"/>
    <n v="0"/>
    <n v="0.25"/>
    <e v="#N/A"/>
    <e v="#N/A"/>
  </r>
  <r>
    <x v="5"/>
    <x v="0"/>
    <s v="Admin/HR/IT"/>
    <s v="AMCARE NonOcc In"/>
    <s v="TEMP"/>
    <n v="200625517"/>
    <s v="RamÃ­rez,Miranda"/>
    <s v="Corona Arriaga,Fernando"/>
    <n v="0"/>
    <n v="0"/>
    <n v="0"/>
    <n v="0"/>
    <n v="0.33"/>
    <e v="#N/A"/>
    <e v="#N/A"/>
  </r>
  <r>
    <x v="5"/>
    <x v="0"/>
    <s v="Admin/HR/IT"/>
    <s v="AMCARE NonOcc In"/>
    <s v="AMZN"/>
    <n v="112980835"/>
    <s v="Rojas  Cuellar,Jacqueline"/>
    <s v="Corona Arriaga,Fernando"/>
    <n v="0"/>
    <n v="0"/>
    <n v="0"/>
    <n v="0"/>
    <n v="0.28000000000000003"/>
    <e v="#N/A"/>
    <e v="#N/A"/>
  </r>
  <r>
    <x v="5"/>
    <x v="0"/>
    <s v="Admin/HR/IT"/>
    <s v="AMCARE NonOcc In"/>
    <s v="TEMP"/>
    <n v="200564823"/>
    <s v="Garcia Infante,Sergio"/>
    <s v="Olmos,Carmen"/>
    <n v="0"/>
    <n v="0"/>
    <n v="0"/>
    <n v="0"/>
    <n v="1.41"/>
    <e v="#N/A"/>
    <e v="#N/A"/>
  </r>
  <r>
    <x v="6"/>
    <x v="1"/>
    <s v="Admin/HR/IT"/>
    <s v="AMCARE NonOcc In"/>
    <s v="AMZN"/>
    <n v="113003691"/>
    <s v="Angeles,Fernando"/>
    <s v="Corona Arriaga,Fernando"/>
    <n v="0"/>
    <n v="0"/>
    <n v="0"/>
    <n v="0"/>
    <n v="0.12"/>
    <e v="#N/A"/>
    <e v="#N/A"/>
  </r>
  <r>
    <x v="6"/>
    <x v="1"/>
    <s v="Admin/HR/IT"/>
    <s v="AMCARE NonOcc In"/>
    <s v="TEMP"/>
    <n v="200563210"/>
    <s v="Becerra Pardo,Arlet"/>
    <s v="Romero Sanchez,Gustavo Gabriel"/>
    <n v="0"/>
    <n v="0"/>
    <n v="0"/>
    <n v="0"/>
    <n v="0.34"/>
    <e v="#N/A"/>
    <e v="#N/A"/>
  </r>
  <r>
    <x v="6"/>
    <x v="1"/>
    <s v="Admin/HR/IT"/>
    <s v="AMCARE NonOcc In"/>
    <s v="AMZN"/>
    <n v="112912008"/>
    <s v="Espinosa,Consuelo"/>
    <s v="Rosas Negrete,Sebastian"/>
    <n v="0"/>
    <n v="0"/>
    <n v="0"/>
    <n v="0"/>
    <n v="0.34"/>
    <e v="#N/A"/>
    <e v="#N/A"/>
  </r>
  <r>
    <x v="6"/>
    <x v="1"/>
    <s v="Admin/HR/IT"/>
    <s v="AMCARE NonOcc In"/>
    <s v="TEMP"/>
    <n v="200534518"/>
    <s v="Flores,Alejandro"/>
    <s v="Ledezma,Fer"/>
    <n v="0"/>
    <n v="0"/>
    <n v="0"/>
    <n v="0"/>
    <n v="1.49"/>
    <e v="#N/A"/>
    <e v="#N/A"/>
  </r>
  <r>
    <x v="6"/>
    <x v="1"/>
    <s v="Admin/HR/IT"/>
    <s v="AMCARE NonOcc In"/>
    <s v="AMZN"/>
    <n v="112912210"/>
    <s v="Fuentes,Jacob"/>
    <s v="Madrid Molina,Ramon"/>
    <n v="0"/>
    <n v="0"/>
    <n v="0"/>
    <n v="0"/>
    <n v="0.22"/>
    <e v="#N/A"/>
    <e v="#N/A"/>
  </r>
  <r>
    <x v="6"/>
    <x v="1"/>
    <s v="Admin/HR/IT"/>
    <s v="AMCARE NonOcc In"/>
    <s v="AMZN"/>
    <n v="112991231"/>
    <s v="Lino,Luisa"/>
    <s v="Ledezma,Fer"/>
    <n v="0"/>
    <n v="0"/>
    <n v="0"/>
    <n v="0"/>
    <n v="0.16"/>
    <e v="#N/A"/>
    <e v="#N/A"/>
  </r>
  <r>
    <x v="6"/>
    <x v="1"/>
    <s v="Admin/HR/IT"/>
    <s v="AMCARE NonOcc In"/>
    <s v="AMZN"/>
    <n v="112972794"/>
    <s v="Sanchez,Diego Saldana"/>
    <s v="Porcar Guri,Albert"/>
    <n v="0"/>
    <n v="0"/>
    <n v="0"/>
    <n v="0"/>
    <n v="0.81"/>
    <e v="#N/A"/>
    <e v="#N/A"/>
  </r>
  <r>
    <x v="6"/>
    <x v="1"/>
    <s v="Admin/HR/IT"/>
    <s v="AMCARE NonOcc In"/>
    <s v="AMZN"/>
    <n v="112912459"/>
    <s v="Maldonado Hernandez,Miguel"/>
    <s v="Porcar Guri,Albert"/>
    <n v="0"/>
    <n v="0"/>
    <n v="0"/>
    <n v="0"/>
    <n v="1.01"/>
    <e v="#N/A"/>
    <e v="#N/A"/>
  </r>
  <r>
    <x v="6"/>
    <x v="1"/>
    <s v="Admin/HR/IT"/>
    <s v="AMCARE NonOcc In"/>
    <s v="AMZN"/>
    <n v="113014046"/>
    <s v="Reyes Andrade,Oscar"/>
    <s v="Hernandez,Nataly"/>
    <n v="0"/>
    <n v="0"/>
    <n v="0"/>
    <n v="0"/>
    <n v="0.25"/>
    <e v="#N/A"/>
    <e v="#N/A"/>
  </r>
  <r>
    <x v="6"/>
    <x v="1"/>
    <s v="Admin/HR/IT"/>
    <s v="AMCARE NonOcc In"/>
    <s v="AMZN"/>
    <n v="112981014"/>
    <s v="Roldan Gutierrez,Pablo"/>
    <s v="Hernandez,Nataly"/>
    <n v="0"/>
    <n v="0"/>
    <n v="0"/>
    <n v="0"/>
    <n v="0.23"/>
    <s v="DJ-X0700"/>
    <s v="rpabloul"/>
  </r>
  <r>
    <x v="6"/>
    <x v="1"/>
    <s v="Admin/HR/IT"/>
    <s v="AMCARE NonOcc In"/>
    <s v="AMZN"/>
    <n v="112980844"/>
    <s v="Padilla,Samantha"/>
    <s v="Hernandez,Nataly"/>
    <n v="0"/>
    <n v="0"/>
    <n v="0"/>
    <n v="0"/>
    <n v="1.19"/>
    <s v="DA-X0700"/>
    <s v="samajpad"/>
  </r>
  <r>
    <x v="7"/>
    <x v="1"/>
    <s v="Admin/HR/IT"/>
    <s v="AMCARE NonOcc In"/>
    <s v="AMZN"/>
    <n v="113003691"/>
    <s v="Angeles,Fernando"/>
    <s v="Corona Arriaga,Fernando"/>
    <n v="0"/>
    <n v="0"/>
    <n v="0"/>
    <n v="0"/>
    <n v="0.21"/>
    <e v="#N/A"/>
    <e v="#N/A"/>
  </r>
  <r>
    <x v="7"/>
    <x v="1"/>
    <s v="Admin/HR/IT"/>
    <s v="AMCARE NonOcc In"/>
    <s v="AMZN"/>
    <n v="103979960"/>
    <s v="Suchil Angel,Guillermo"/>
    <s v="Gomez,Abinadab"/>
    <n v="0"/>
    <n v="0"/>
    <n v="0"/>
    <n v="0"/>
    <n v="0.17"/>
    <e v="#N/A"/>
    <e v="#N/A"/>
  </r>
  <r>
    <x v="7"/>
    <x v="1"/>
    <s v="Admin/HR/IT"/>
    <s v="AMCARE NonOcc In"/>
    <s v="AMZN"/>
    <n v="112912008"/>
    <s v="Espinosa,Consuelo"/>
    <s v="Rosas Negrete,Sebastian"/>
    <n v="0"/>
    <n v="0"/>
    <n v="0"/>
    <n v="0"/>
    <n v="0.13"/>
    <e v="#N/A"/>
    <e v="#N/A"/>
  </r>
  <r>
    <x v="7"/>
    <x v="1"/>
    <s v="Admin/HR/IT"/>
    <s v="AMCARE NonOcc In"/>
    <s v="AMZN"/>
    <n v="113014081"/>
    <s v="Frausto,Genesis"/>
    <s v="Gomez,Abinadab"/>
    <n v="0"/>
    <n v="0"/>
    <n v="0"/>
    <n v="0"/>
    <n v="0.13"/>
    <e v="#N/A"/>
    <s v="fraugene"/>
  </r>
  <r>
    <x v="7"/>
    <x v="1"/>
    <s v="Admin/HR/IT"/>
    <s v="AMCARE NonOcc In"/>
    <s v="AMZN"/>
    <n v="112984442"/>
    <s v="Garcia,Mauricio Antonio De la lama"/>
    <s v="Piedra,Valentina"/>
    <n v="0"/>
    <n v="0"/>
    <n v="0"/>
    <n v="0"/>
    <n v="1.2"/>
    <e v="#N/A"/>
    <e v="#N/A"/>
  </r>
  <r>
    <x v="7"/>
    <x v="1"/>
    <s v="Admin/HR/IT"/>
    <s v="AMCARE NonOcc In"/>
    <s v="AMZN"/>
    <n v="112991231"/>
    <s v="Lino,Luisa"/>
    <s v="Ledezma,Fer"/>
    <n v="0"/>
    <n v="0"/>
    <n v="0"/>
    <n v="0"/>
    <n v="0.82"/>
    <e v="#N/A"/>
    <e v="#N/A"/>
  </r>
  <r>
    <x v="7"/>
    <x v="1"/>
    <s v="Admin/HR/IT"/>
    <s v="AMCARE NonOcc In"/>
    <s v="AMZN"/>
    <n v="113014470"/>
    <s v="Aguilar Ibarra,Lupe"/>
    <s v="Gomez,Abinadab"/>
    <n v="0"/>
    <n v="0"/>
    <n v="0"/>
    <n v="0"/>
    <n v="0.22"/>
    <e v="#N/A"/>
    <s v="lupaguin"/>
  </r>
  <r>
    <x v="7"/>
    <x v="1"/>
    <s v="Admin/HR/IT"/>
    <s v="AMCARE NonOcc In"/>
    <s v="TEMP"/>
    <n v="200514885"/>
    <s v="Sanchez Garcia,Adriana"/>
    <s v="Gomez Aguado,Jorge"/>
    <n v="0"/>
    <n v="0"/>
    <n v="0"/>
    <n v="0"/>
    <n v="0.32"/>
    <e v="#N/A"/>
    <e v="#N/A"/>
  </r>
  <r>
    <x v="7"/>
    <x v="1"/>
    <s v="Admin/HR/IT"/>
    <s v="AMCARE NonOcc In"/>
    <s v="TEMP"/>
    <n v="200588981"/>
    <s v="Romero,Maria"/>
    <s v="Gomez,Abinadab"/>
    <n v="0"/>
    <n v="0"/>
    <n v="0"/>
    <n v="0"/>
    <n v="0.06"/>
    <e v="#N/A"/>
    <e v="#N/A"/>
  </r>
  <r>
    <x v="7"/>
    <x v="1"/>
    <s v="Admin/HR/IT"/>
    <s v="AMCARE NonOcc In"/>
    <s v="AMZN"/>
    <n v="113020667"/>
    <s v="Martinez Becerra,Paulina"/>
    <s v="Gomez,Abinadab"/>
    <n v="0"/>
    <n v="0"/>
    <n v="0"/>
    <n v="0"/>
    <n v="0.17"/>
    <e v="#N/A"/>
    <s v="mavpauli"/>
  </r>
  <r>
    <x v="7"/>
    <x v="1"/>
    <s v="Admin/HR/IT"/>
    <s v="AMCARE NonOcc In"/>
    <s v="TEMP"/>
    <n v="200625027"/>
    <s v="Rodriguez Gonzalez,Neidy"/>
    <s v="Gomez Aguado,Jorge"/>
    <n v="0"/>
    <n v="0"/>
    <n v="0"/>
    <n v="0"/>
    <n v="0.22"/>
    <e v="#N/A"/>
    <e v="#N/A"/>
  </r>
  <r>
    <x v="7"/>
    <x v="1"/>
    <s v="Admin/HR/IT"/>
    <s v="AMCARE NonOcc In"/>
    <s v="AMZN"/>
    <n v="113014007"/>
    <s v="Negrete Gallardo,Tony"/>
    <s v="Gomez,Abinadab"/>
    <n v="0"/>
    <n v="0"/>
    <n v="0"/>
    <n v="0"/>
    <n v="0.65"/>
    <e v="#N/A"/>
    <e v="#N/A"/>
  </r>
  <r>
    <x v="7"/>
    <x v="1"/>
    <s v="Admin/HR/IT"/>
    <s v="AMCARE NonOcc In"/>
    <s v="TEMP"/>
    <n v="200514421"/>
    <s v="Padilla Abrego,Angeles"/>
    <s v="Robledo Ugarte,Alejandro"/>
    <n v="0"/>
    <n v="0"/>
    <n v="0"/>
    <n v="0"/>
    <n v="1.31"/>
    <e v="#N/A"/>
    <s v="padillms"/>
  </r>
  <r>
    <x v="7"/>
    <x v="1"/>
    <s v="Admin/HR/IT"/>
    <s v="AMCARE NonOcc In"/>
    <s v="AMZN"/>
    <n v="113101453"/>
    <s v="Isaac,Geovanna"/>
    <s v="Gomez Aguado,Jorge"/>
    <n v="0"/>
    <n v="0"/>
    <n v="0"/>
    <n v="0"/>
    <n v="0.06"/>
    <e v="#N/A"/>
    <s v="qisgeova"/>
  </r>
  <r>
    <x v="7"/>
    <x v="1"/>
    <s v="Admin/HR/IT"/>
    <s v="AMCARE NonOcc In"/>
    <s v="AMZN"/>
    <n v="113014403"/>
    <s v="Arias Sanchez,Nora"/>
    <s v="Gomez,Abinadab"/>
    <n v="0"/>
    <n v="0"/>
    <n v="0"/>
    <n v="0"/>
    <n v="0.19"/>
    <e v="#N/A"/>
    <s v="wnoraria"/>
  </r>
  <r>
    <x v="7"/>
    <x v="1"/>
    <s v="Admin/HR/IT"/>
    <s v="AMCARE NonOcc In"/>
    <s v="AMZN"/>
    <n v="200404250"/>
    <s v="Hurtado,Caty"/>
    <s v="Robledo Ugarte,Alejandro"/>
    <n v="0"/>
    <n v="0"/>
    <n v="0"/>
    <n v="0"/>
    <n v="0.53"/>
    <e v="#N/A"/>
    <s v="xcathurt"/>
  </r>
  <r>
    <x v="8"/>
    <x v="1"/>
    <s v="Admin/HR/IT"/>
    <s v="AMCARE NonOcc In"/>
    <s v="TEMP"/>
    <n v="200513485"/>
    <s v="Alfaro Escobar,Angel"/>
    <s v="Madrid Molina,Ramon"/>
    <n v="0"/>
    <n v="0"/>
    <n v="0"/>
    <n v="0"/>
    <n v="0.13"/>
    <e v="#N/A"/>
    <e v="#N/A"/>
  </r>
  <r>
    <x v="8"/>
    <x v="1"/>
    <s v="Admin/HR/IT"/>
    <s v="AMCARE NonOcc In"/>
    <s v="TEMP"/>
    <n v="200565197"/>
    <s v="Avila,Mary"/>
    <s v="Robledo Ugarte,Alejandro"/>
    <n v="0"/>
    <n v="0"/>
    <n v="0"/>
    <n v="0"/>
    <n v="0.08"/>
    <e v="#N/A"/>
    <e v="#N/A"/>
  </r>
  <r>
    <x v="8"/>
    <x v="1"/>
    <s v="Admin/HR/IT"/>
    <s v="AMCARE NonOcc In"/>
    <s v="AMZN"/>
    <n v="112971965"/>
    <s v="Hernandez,Andrea"/>
    <s v="Olmos,Carmen"/>
    <n v="0"/>
    <n v="0"/>
    <n v="0"/>
    <n v="0"/>
    <n v="0.13"/>
    <e v="#N/A"/>
    <e v="#N/A"/>
  </r>
  <r>
    <x v="8"/>
    <x v="1"/>
    <s v="Admin/HR/IT"/>
    <s v="AMCARE NonOcc In"/>
    <s v="AMZN"/>
    <n v="113040583"/>
    <s v="Palomo,Lizbeth"/>
    <s v="Gutierrez,Hector"/>
    <n v="0"/>
    <n v="0"/>
    <n v="0"/>
    <n v="0"/>
    <n v="1.62"/>
    <e v="#N/A"/>
    <e v="#N/A"/>
  </r>
  <r>
    <x v="8"/>
    <x v="1"/>
    <s v="Admin/HR/IT"/>
    <s v="AMCARE NonOcc In"/>
    <s v="AMZN"/>
    <n v="112991231"/>
    <s v="Lino,Luisa"/>
    <s v="Ledezma,Fer"/>
    <n v="0"/>
    <n v="0"/>
    <n v="0"/>
    <n v="0"/>
    <n v="0.24"/>
    <e v="#N/A"/>
    <e v="#N/A"/>
  </r>
  <r>
    <x v="8"/>
    <x v="1"/>
    <s v="Admin/HR/IT"/>
    <s v="AMCARE NonOcc In"/>
    <s v="AMZN"/>
    <n v="113020667"/>
    <s v="Martinez Becerra,Paulina"/>
    <s v="Gomez,Abinadab"/>
    <n v="0"/>
    <n v="0"/>
    <n v="0"/>
    <n v="0"/>
    <n v="0.11"/>
    <e v="#N/A"/>
    <s v="mavpauli"/>
  </r>
  <r>
    <x v="8"/>
    <x v="1"/>
    <s v="Admin/HR/IT"/>
    <s v="AMCARE NonOcc In"/>
    <s v="AMZN"/>
    <n v="112981061"/>
    <s v="Olguin,Claudia"/>
    <s v="Robledo Ugarte,Alejandro"/>
    <n v="0"/>
    <n v="0"/>
    <n v="0"/>
    <n v="0"/>
    <n v="0.14000000000000001"/>
    <s v="DA-X0700"/>
    <s v="mclaudol"/>
  </r>
  <r>
    <x v="8"/>
    <x v="1"/>
    <s v="Admin/HR/IT"/>
    <s v="AMCARE NonOcc In"/>
    <s v="AMZN"/>
    <n v="112912163"/>
    <s v="Murillo,Alejandro"/>
    <s v="Gomez Aguado,Jorge"/>
    <n v="0"/>
    <n v="0"/>
    <n v="0"/>
    <n v="0"/>
    <n v="0.18"/>
    <e v="#N/A"/>
    <e v="#N/A"/>
  </r>
  <r>
    <x v="8"/>
    <x v="1"/>
    <s v="Admin/HR/IT"/>
    <s v="AMCARE NonOcc In"/>
    <s v="AMZN"/>
    <n v="112912459"/>
    <s v="Maldonado Hernandez,Miguel"/>
    <s v="Porcar Guri,Albert"/>
    <n v="0"/>
    <n v="0"/>
    <n v="0"/>
    <n v="0"/>
    <n v="0.56000000000000005"/>
    <e v="#N/A"/>
    <e v="#N/A"/>
  </r>
  <r>
    <x v="8"/>
    <x v="1"/>
    <s v="Admin/HR/IT"/>
    <s v="AMCARE NonOcc In"/>
    <s v="TEMP"/>
    <n v="200609384"/>
    <s v="Hernandez Olvera,Gisela"/>
    <s v="Gomez,Abinadab"/>
    <n v="0"/>
    <n v="0"/>
    <n v="0"/>
    <n v="0"/>
    <n v="0.21"/>
    <e v="#N/A"/>
    <s v="ohergise"/>
  </r>
  <r>
    <x v="8"/>
    <x v="1"/>
    <s v="Admin/HR/IT"/>
    <s v="AMCARE NonOcc In"/>
    <s v="AMZN"/>
    <n v="113020476"/>
    <s v="Puente Aguilar,Polette"/>
    <s v="Olmos,Carmen"/>
    <n v="0"/>
    <n v="0"/>
    <n v="0"/>
    <n v="0"/>
    <n v="0.13"/>
    <e v="#N/A"/>
    <s v="polettpu"/>
  </r>
  <r>
    <x v="8"/>
    <x v="1"/>
    <s v="Admin/HR/IT"/>
    <s v="AMCARE NonOcc In"/>
    <s v="TEMP"/>
    <n v="200625517"/>
    <s v="RamÃ­rez,Miranda"/>
    <s v="Corona Arriaga,Fernando"/>
    <n v="0"/>
    <n v="0"/>
    <n v="0"/>
    <n v="0"/>
    <n v="0.17"/>
    <e v="#N/A"/>
    <e v="#N/A"/>
  </r>
  <r>
    <x v="8"/>
    <x v="1"/>
    <s v="Admin/HR/IT"/>
    <s v="AMCARE NonOcc In"/>
    <s v="AMZN"/>
    <n v="113014046"/>
    <s v="Reyes Andrade,Oscar"/>
    <s v="Hernandez,Nataly"/>
    <n v="0"/>
    <n v="0"/>
    <n v="0"/>
    <n v="0"/>
    <n v="1.25"/>
    <e v="#N/A"/>
    <e v="#N/A"/>
  </r>
  <r>
    <x v="8"/>
    <x v="1"/>
    <s v="Admin/HR/IT"/>
    <s v="AMCARE NonOcc In"/>
    <s v="AMZN"/>
    <n v="112912752"/>
    <s v="Valderrama Gomez,Leslie"/>
    <s v="Hernandez,Nataly"/>
    <n v="0"/>
    <n v="0"/>
    <n v="0"/>
    <n v="0"/>
    <n v="0.14000000000000001"/>
    <s v="NF-X1900"/>
    <s v="valderle"/>
  </r>
  <r>
    <x v="9"/>
    <x v="1"/>
    <s v="Admin/HR/IT"/>
    <s v="AMCARE NonOcc In"/>
    <s v="AMZN"/>
    <n v="112980899"/>
    <s v="Avila Cabrera,Ari"/>
    <s v="Ledezma,Fer"/>
    <n v="0"/>
    <n v="0"/>
    <n v="0"/>
    <n v="0"/>
    <n v="0.95"/>
    <s v="NF-X1900"/>
    <s v="aravilac"/>
  </r>
  <r>
    <x v="9"/>
    <x v="1"/>
    <s v="Admin/HR/IT"/>
    <s v="AMCARE NonOcc In"/>
    <s v="AMZN"/>
    <n v="112971962"/>
    <s v="Reyes  Montes de oca,Alejandra"/>
    <s v="Corona Arriaga,Fernando"/>
    <n v="0"/>
    <n v="0"/>
    <n v="0"/>
    <n v="0"/>
    <n v="0.28000000000000003"/>
    <s v="DB-X0700"/>
    <s v="creyesal"/>
  </r>
  <r>
    <x v="9"/>
    <x v="1"/>
    <s v="Admin/HR/IT"/>
    <s v="AMCARE NonOcc In"/>
    <s v="TEMP"/>
    <n v="200508371"/>
    <s v="Perez,Georgina"/>
    <s v="Olmos,Carmen"/>
    <n v="0"/>
    <n v="0"/>
    <n v="0"/>
    <n v="0"/>
    <n v="0.24"/>
    <e v="#N/A"/>
    <e v="#N/A"/>
  </r>
  <r>
    <x v="9"/>
    <x v="1"/>
    <s v="Admin/HR/IT"/>
    <s v="AMCARE NonOcc In"/>
    <s v="AMZN"/>
    <n v="113014081"/>
    <s v="Frausto,Genesis"/>
    <s v="Gomez,Abinadab"/>
    <n v="0"/>
    <n v="0"/>
    <n v="0"/>
    <n v="0"/>
    <n v="0.2"/>
    <e v="#N/A"/>
    <s v="fraugene"/>
  </r>
  <r>
    <x v="9"/>
    <x v="1"/>
    <s v="Admin/HR/IT"/>
    <s v="AMCARE NonOcc In"/>
    <s v="AMZN"/>
    <n v="113003971"/>
    <s v="Garcia  Ramirez,Gabriel"/>
    <s v="Piedra,Valentina"/>
    <n v="0"/>
    <n v="0"/>
    <n v="0"/>
    <n v="0"/>
    <n v="0.56999999999999995"/>
    <e v="#N/A"/>
    <s v="garamird"/>
  </r>
  <r>
    <x v="9"/>
    <x v="1"/>
    <s v="Admin/HR/IT"/>
    <s v="AMCARE NonOcc In"/>
    <s v="AMZN"/>
    <n v="112912210"/>
    <s v="Fuentes,Jacob"/>
    <s v="Madrid Molina,Ramon"/>
    <n v="0"/>
    <n v="0"/>
    <n v="0"/>
    <n v="0"/>
    <n v="3.3"/>
    <e v="#N/A"/>
    <e v="#N/A"/>
  </r>
  <r>
    <x v="9"/>
    <x v="1"/>
    <s v="Admin/HR/IT"/>
    <s v="Safety"/>
    <s v="AMZN"/>
    <n v="111434478"/>
    <s v="Gutierrez,Pame"/>
    <s v="Camarena,Grecia"/>
    <n v="0"/>
    <n v="0"/>
    <n v="0"/>
    <n v="0"/>
    <n v="1.36"/>
    <s v="DA-X0700"/>
    <s v="juanapam"/>
  </r>
  <r>
    <x v="9"/>
    <x v="1"/>
    <s v="Admin/HR/IT"/>
    <s v="AMCARE NonOcc In"/>
    <s v="TEMP"/>
    <n v="200553975"/>
    <s v="Duran Villegas,Juan Diego"/>
    <s v="Gutierrez,Hector"/>
    <n v="0"/>
    <n v="0"/>
    <n v="0"/>
    <n v="0"/>
    <n v="0.12"/>
    <e v="#N/A"/>
    <s v="juandidu"/>
  </r>
  <r>
    <x v="9"/>
    <x v="1"/>
    <s v="Admin/HR/IT"/>
    <s v="AMCARE NonOcc In"/>
    <s v="AMZN"/>
    <n v="112980842"/>
    <s v="Ornelas,Karla"/>
    <s v="Ledezma,Fer"/>
    <n v="0"/>
    <n v="0"/>
    <n v="0"/>
    <n v="0"/>
    <n v="0.25"/>
    <e v="#N/A"/>
    <e v="#N/A"/>
  </r>
  <r>
    <x v="9"/>
    <x v="1"/>
    <s v="Admin/HR/IT"/>
    <s v="AMCARE NonOcc In"/>
    <s v="AMZN"/>
    <n v="112912675"/>
    <s v="Alejandri Villagomez,Alejandra"/>
    <s v="Gutierrez,Hector"/>
    <n v="0"/>
    <n v="0"/>
    <n v="0"/>
    <n v="0"/>
    <n v="0.36"/>
    <e v="#N/A"/>
    <e v="#N/A"/>
  </r>
  <r>
    <x v="9"/>
    <x v="1"/>
    <s v="Admin/HR/IT"/>
    <s v="Safety"/>
    <s v="AMZN"/>
    <n v="112950809"/>
    <s v="Rocha,Luz"/>
    <s v="Munoz,Jonan"/>
    <n v="0"/>
    <n v="0"/>
    <n v="0"/>
    <n v="0"/>
    <n v="0.19"/>
    <s v="DA-X0700"/>
    <s v="lurochae"/>
  </r>
  <r>
    <x v="9"/>
    <x v="1"/>
    <s v="Admin/HR/IT"/>
    <s v="AMCARE NonOcc In"/>
    <s v="TEMP"/>
    <n v="200562868"/>
    <s v="Martinez Alvarez,Arturo"/>
    <s v="Madrid Molina,Ramon"/>
    <n v="0"/>
    <n v="0"/>
    <n v="0"/>
    <n v="0"/>
    <n v="0.13"/>
    <e v="#N/A"/>
    <e v="#N/A"/>
  </r>
  <r>
    <x v="9"/>
    <x v="1"/>
    <s v="Admin/HR/IT"/>
    <s v="AMCARE NonOcc In"/>
    <s v="AMZN"/>
    <n v="112525692"/>
    <s v="Ovalle Gomez,Mayte"/>
    <s v="Garcia Espejel,Brenda Victoria"/>
    <n v="0"/>
    <n v="0"/>
    <n v="0"/>
    <n v="0"/>
    <n v="0.27"/>
    <e v="#N/A"/>
    <e v="#N/A"/>
  </r>
  <r>
    <x v="9"/>
    <x v="1"/>
    <s v="Admin/HR/IT"/>
    <s v="AMCARE NonOcc In"/>
    <s v="TEMP"/>
    <n v="200625517"/>
    <s v="RamÃ­rez,Miranda"/>
    <s v="Corona Arriaga,Fernando"/>
    <n v="0"/>
    <n v="0"/>
    <n v="0"/>
    <n v="0"/>
    <n v="1.41"/>
    <e v="#N/A"/>
    <e v="#N/A"/>
  </r>
  <r>
    <x v="9"/>
    <x v="1"/>
    <s v="Admin/HR/IT"/>
    <s v="AMCARE NonOcc In"/>
    <s v="AMZN"/>
    <n v="113014046"/>
    <s v="Reyes Andrade,Oscar"/>
    <s v="Hernandez,Nataly"/>
    <n v="0"/>
    <n v="0"/>
    <n v="0"/>
    <n v="0"/>
    <n v="0.23"/>
    <e v="#N/A"/>
    <e v="#N/A"/>
  </r>
  <r>
    <x v="9"/>
    <x v="1"/>
    <s v="Admin/HR/IT"/>
    <s v="AMCARE NonOcc In"/>
    <s v="AMZN"/>
    <n v="112950784"/>
    <s v="Rojas,Samuel"/>
    <s v="Gomez Aguado,Jorge"/>
    <n v="0"/>
    <n v="0"/>
    <n v="0"/>
    <n v="0"/>
    <n v="0.25"/>
    <s v="NF-X1900"/>
    <s v="sarojast"/>
  </r>
  <r>
    <x v="9"/>
    <x v="1"/>
    <s v="Admin/HR/IT"/>
    <s v="AMCARE NonOcc In"/>
    <s v="AMZN"/>
    <n v="113014402"/>
    <s v="Mendoza Estrada,Juan"/>
    <s v="Gomez Aguado,Jorge"/>
    <n v="0"/>
    <n v="0"/>
    <n v="0"/>
    <n v="0"/>
    <n v="0.19"/>
    <e v="#N/A"/>
    <s v="umendoju"/>
  </r>
  <r>
    <x v="9"/>
    <x v="1"/>
    <s v="Admin/HR/IT"/>
    <s v="AMCARE NonOcc In"/>
    <s v="AMZN"/>
    <n v="200404250"/>
    <s v="Hurtado,Caty"/>
    <s v="Robledo Ugarte,Alejandro"/>
    <n v="0"/>
    <n v="0"/>
    <n v="0"/>
    <n v="0"/>
    <n v="0.47"/>
    <e v="#N/A"/>
    <s v="xcathurt"/>
  </r>
  <r>
    <x v="9"/>
    <x v="1"/>
    <s v="Admin/HR/IT"/>
    <s v="AMCARE NonOcc In"/>
    <s v="AMZN"/>
    <n v="112984097"/>
    <s v="Aguilera,Yaremi"/>
    <s v="Gomez Aguado,Jorge"/>
    <n v="0"/>
    <n v="0"/>
    <n v="0"/>
    <n v="0"/>
    <n v="0.54"/>
    <e v="#N/A"/>
    <e v="#N/A"/>
  </r>
  <r>
    <x v="10"/>
    <x v="1"/>
    <s v="Admin/HR/IT"/>
    <s v="AMCARE NonOcc In"/>
    <s v="AMZN"/>
    <n v="112920637"/>
    <s v="Tapia,Antonio Torres"/>
    <s v="Pizana,Diego"/>
    <n v="0"/>
    <n v="0"/>
    <n v="0"/>
    <n v="0"/>
    <n v="1.22"/>
    <s v="DB-X0700"/>
    <s v="antonitq"/>
  </r>
  <r>
    <x v="10"/>
    <x v="1"/>
    <s v="Admin/HR/IT"/>
    <s v="AMCARE NonOcc In"/>
    <s v="TEMP"/>
    <n v="200563238"/>
    <s v="Becerra Pardo,Miguel"/>
    <s v="Piedra,Valentina"/>
    <n v="0"/>
    <n v="0"/>
    <n v="0"/>
    <n v="0"/>
    <n v="0.46"/>
    <e v="#N/A"/>
    <e v="#N/A"/>
  </r>
  <r>
    <x v="10"/>
    <x v="1"/>
    <s v="Admin/HR/IT"/>
    <s v="AMCARE NonOcc In"/>
    <s v="TEMP"/>
    <n v="200565283"/>
    <s v="Cabrera Sanchez,Eber"/>
    <s v="Gutierrez,Hector"/>
    <n v="0"/>
    <n v="0"/>
    <n v="0"/>
    <n v="0"/>
    <n v="0.4"/>
    <e v="#N/A"/>
    <e v="#N/A"/>
  </r>
  <r>
    <x v="10"/>
    <x v="1"/>
    <s v="Admin/HR/IT"/>
    <s v="AMCARE NonOcc In"/>
    <s v="AMZN"/>
    <n v="113138338"/>
    <s v="Cornejo,Cesar"/>
    <s v="Camarena,Grecia"/>
    <n v="0"/>
    <n v="0"/>
    <n v="0"/>
    <n v="0"/>
    <n v="1.68"/>
    <e v="#N/A"/>
    <s v="cescornh"/>
  </r>
  <r>
    <x v="10"/>
    <x v="1"/>
    <s v="Admin/HR/IT"/>
    <s v="AMCARE NonOcc In"/>
    <s v="AMZN"/>
    <n v="113138338"/>
    <s v="Cornejo,Cesar"/>
    <s v="Camarena,Grecia"/>
    <n v="0"/>
    <n v="0"/>
    <n v="0"/>
    <n v="0"/>
    <n v="4.5"/>
    <e v="#N/A"/>
    <s v="cescornh"/>
  </r>
  <r>
    <x v="10"/>
    <x v="1"/>
    <s v="Admin/HR/IT"/>
    <s v="AMCARE NonOcc In"/>
    <s v="AMZN"/>
    <n v="112971962"/>
    <s v="Reyes  Montes de oca,Alejandra"/>
    <s v="Corona Arriaga,Fernando"/>
    <n v="0"/>
    <n v="0"/>
    <n v="0"/>
    <n v="0"/>
    <n v="0.28000000000000003"/>
    <s v="DB-X0700"/>
    <s v="creyesal"/>
  </r>
  <r>
    <x v="10"/>
    <x v="1"/>
    <s v="Admin/HR/IT"/>
    <s v="AMCARE NonOcc In"/>
    <s v="AMZN"/>
    <n v="112950802"/>
    <s v="Blee,Fabian"/>
    <s v="Porcar Guri,Albert"/>
    <n v="0"/>
    <n v="0"/>
    <n v="0"/>
    <n v="0"/>
    <n v="0.15"/>
    <e v="#N/A"/>
    <e v="#N/A"/>
  </r>
  <r>
    <x v="10"/>
    <x v="1"/>
    <s v="Admin/HR/IT"/>
    <s v="AMCARE NonOcc In"/>
    <s v="TEMP"/>
    <n v="200508371"/>
    <s v="Perez,Georgina"/>
    <s v="Olmos,Carmen"/>
    <n v="0"/>
    <n v="0"/>
    <n v="0"/>
    <n v="0"/>
    <n v="0.18"/>
    <e v="#N/A"/>
    <e v="#N/A"/>
  </r>
  <r>
    <x v="10"/>
    <x v="1"/>
    <s v="Admin/HR/IT"/>
    <s v="AMCARE NonOcc In"/>
    <s v="AMZN"/>
    <n v="112916534"/>
    <s v="Esparza Sanchez,Areli"/>
    <s v="Gutierrez,Hector"/>
    <n v="0"/>
    <n v="0"/>
    <n v="0"/>
    <n v="0"/>
    <n v="1.42"/>
    <s v="DB-X0700"/>
    <s v="earelili"/>
  </r>
  <r>
    <x v="10"/>
    <x v="1"/>
    <s v="Admin/HR/IT"/>
    <s v="AMCARE NonOcc In"/>
    <s v="TEMP"/>
    <n v="200526598"/>
    <s v="Tellez Nunez,Enrique"/>
    <s v="Piedra,Valentina"/>
    <n v="0"/>
    <n v="0"/>
    <n v="0"/>
    <n v="0"/>
    <n v="0.39"/>
    <e v="#N/A"/>
    <e v="#N/A"/>
  </r>
  <r>
    <x v="10"/>
    <x v="1"/>
    <s v="Admin/HR/IT"/>
    <s v="AMCARE NonOcc In"/>
    <s v="AMZN"/>
    <n v="113014081"/>
    <s v="Frausto,Genesis"/>
    <s v="Gomez,Abinadab"/>
    <n v="0"/>
    <n v="0"/>
    <n v="0"/>
    <n v="0"/>
    <n v="0.2"/>
    <e v="#N/A"/>
    <s v="fraugene"/>
  </r>
  <r>
    <x v="10"/>
    <x v="1"/>
    <s v="Admin/HR/IT"/>
    <s v="AMCARE NonOcc In"/>
    <s v="AMZN"/>
    <n v="112984928"/>
    <s v="Espinoza,Francisco"/>
    <s v="Gutierrez,Hector"/>
    <n v="0"/>
    <n v="0"/>
    <n v="0"/>
    <n v="0"/>
    <n v="0.43"/>
    <e v="#N/A"/>
    <e v="#N/A"/>
  </r>
  <r>
    <x v="10"/>
    <x v="1"/>
    <s v="Admin/HR/IT"/>
    <s v="AMCARE NonOcc In"/>
    <s v="AMZN"/>
    <n v="112951256"/>
    <s v="Ramirez Vallejo,Kateryne"/>
    <s v="Camarena,Grecia"/>
    <n v="0"/>
    <n v="0"/>
    <n v="0"/>
    <n v="0"/>
    <n v="0.03"/>
    <s v="DA-X0700"/>
    <s v="grkatery"/>
  </r>
  <r>
    <x v="10"/>
    <x v="1"/>
    <s v="Admin/HR/IT"/>
    <s v="AMCARE NonOcc In"/>
    <s v="TEMP"/>
    <n v="200589316"/>
    <s v="Torres Zuniga,Daniel"/>
    <s v="Corona Arriaga,Fernando"/>
    <n v="0"/>
    <n v="0"/>
    <n v="0"/>
    <n v="0"/>
    <n v="0.17"/>
    <e v="#N/A"/>
    <e v="#N/A"/>
  </r>
  <r>
    <x v="10"/>
    <x v="1"/>
    <s v="Admin/HR/IT"/>
    <s v="AMCARE NonOcc In"/>
    <s v="AMZN"/>
    <n v="113040583"/>
    <s v="Palomo,Lizbeth"/>
    <s v="Gutierrez,Hector"/>
    <n v="0"/>
    <n v="0"/>
    <n v="0"/>
    <n v="0"/>
    <n v="1.1499999999999999"/>
    <e v="#N/A"/>
    <e v="#N/A"/>
  </r>
  <r>
    <x v="10"/>
    <x v="1"/>
    <s v="Admin/HR/IT"/>
    <s v="AMCARE NonOcc In"/>
    <s v="AMZN"/>
    <n v="112912675"/>
    <s v="Alejandri Villagomez,Alejandra"/>
    <s v="Gutierrez,Hector"/>
    <n v="0"/>
    <n v="0"/>
    <n v="0"/>
    <n v="0"/>
    <n v="0.65"/>
    <e v="#N/A"/>
    <e v="#N/A"/>
  </r>
  <r>
    <x v="10"/>
    <x v="1"/>
    <s v="Admin/HR/IT"/>
    <s v="AMCARE NonOcc In"/>
    <s v="AMZN"/>
    <n v="200407907"/>
    <s v="BaÃ±os Lopez,Mario"/>
    <s v="Robledo Ugarte,Alejandro"/>
    <n v="0"/>
    <n v="0"/>
    <n v="0"/>
    <n v="0"/>
    <n v="0.28000000000000003"/>
    <e v="#N/A"/>
    <e v="#N/A"/>
  </r>
  <r>
    <x v="10"/>
    <x v="1"/>
    <s v="Admin/HR/IT"/>
    <s v="AMCARE NonOcc In"/>
    <s v="AMZN"/>
    <n v="112912163"/>
    <s v="Murillo,Alejandro"/>
    <s v="Gomez Aguado,Jorge"/>
    <n v="0"/>
    <n v="0"/>
    <n v="0"/>
    <n v="0"/>
    <n v="0.26"/>
    <e v="#N/A"/>
    <e v="#N/A"/>
  </r>
  <r>
    <x v="10"/>
    <x v="1"/>
    <s v="Admin/HR/IT"/>
    <s v="AMCARE NonOcc In"/>
    <s v="TEMP"/>
    <n v="200554743"/>
    <s v="Rivera Hernandez,Liliana"/>
    <s v="Olmos,Carmen"/>
    <n v="0"/>
    <n v="0"/>
    <n v="0"/>
    <n v="0"/>
    <n v="0.17"/>
    <e v="#N/A"/>
    <e v="#N/A"/>
  </r>
  <r>
    <x v="10"/>
    <x v="1"/>
    <s v="Admin/HR/IT"/>
    <s v="AMCARE NonOcc In"/>
    <s v="TEMP"/>
    <n v="200536194"/>
    <s v="Delgado,Bryan"/>
    <s v="Olmos,Carmen"/>
    <n v="0"/>
    <n v="0"/>
    <n v="0"/>
    <n v="0"/>
    <n v="0.3"/>
    <e v="#N/A"/>
    <e v="#N/A"/>
  </r>
  <r>
    <x v="10"/>
    <x v="1"/>
    <s v="Admin/HR/IT"/>
    <s v="AMCARE NonOcc In"/>
    <s v="AMZN"/>
    <n v="113014042"/>
    <s v="Cervantes,Rose"/>
    <s v="Olmos,Carmen"/>
    <n v="0"/>
    <n v="0"/>
    <n v="0"/>
    <n v="0"/>
    <n v="1.1599999999999999"/>
    <e v="#N/A"/>
    <s v="rfcervan"/>
  </r>
  <r>
    <x v="10"/>
    <x v="1"/>
    <s v="Admin/HR/IT"/>
    <s v="AMCARE NonOcc In"/>
    <s v="AMZN"/>
    <n v="112980832"/>
    <s v="Cruz Martinez,Salvador"/>
    <s v="Madrid Molina,Ramon"/>
    <n v="0"/>
    <n v="0"/>
    <n v="0"/>
    <n v="0"/>
    <n v="0.23"/>
    <e v="#N/A"/>
    <e v="#N/A"/>
  </r>
  <r>
    <x v="10"/>
    <x v="1"/>
    <s v="Admin/HR/IT"/>
    <s v="AMCARE NonOcc In"/>
    <s v="AMZN"/>
    <n v="112950784"/>
    <s v="Rojas,Samuel"/>
    <s v="Gomez Aguado,Jorge"/>
    <n v="0"/>
    <n v="0"/>
    <n v="0"/>
    <n v="0"/>
    <n v="0.25"/>
    <s v="NF-X1900"/>
    <s v="sarojast"/>
  </r>
  <r>
    <x v="10"/>
    <x v="1"/>
    <s v="Admin/HR/IT"/>
    <s v="AMCARE NonOcc In"/>
    <s v="AMZN"/>
    <n v="112912753"/>
    <s v="Padilla Abrego,Selene"/>
    <s v="Gomez Aguado,Jorge"/>
    <n v="0"/>
    <n v="0"/>
    <n v="0"/>
    <n v="0"/>
    <n v="0.05"/>
    <e v="#N/A"/>
    <e v="#N/A"/>
  </r>
  <r>
    <x v="10"/>
    <x v="1"/>
    <s v="Admin/HR/IT"/>
    <s v="AMCARE NonOcc In"/>
    <s v="TEMP"/>
    <n v="200508315"/>
    <s v="Herrera,Aldair"/>
    <s v="Olmos,Carmen"/>
    <n v="0"/>
    <n v="0"/>
    <n v="0"/>
    <n v="0"/>
    <n v="0.19"/>
    <e v="#N/A"/>
    <s v="taldaher"/>
  </r>
  <r>
    <x v="10"/>
    <x v="1"/>
    <s v="Admin/HR/IT"/>
    <s v="AMCARE NonOcc In"/>
    <s v="AMZN"/>
    <n v="112980862"/>
    <s v="Tecla,Alejandro"/>
    <s v="Robledo Ugarte,Alejandro"/>
    <n v="0"/>
    <n v="0"/>
    <n v="0"/>
    <n v="0"/>
    <n v="0.37"/>
    <e v="#N/A"/>
    <e v="#N/A"/>
  </r>
  <r>
    <x v="10"/>
    <x v="1"/>
    <s v="Admin/HR/IT"/>
    <s v="AMCARE NonOcc In"/>
    <s v="AMZN"/>
    <n v="200404250"/>
    <s v="Hurtado,Caty"/>
    <s v="Robledo Ugarte,Alejandro"/>
    <n v="0"/>
    <n v="0"/>
    <n v="0"/>
    <n v="0"/>
    <n v="0.47"/>
    <e v="#N/A"/>
    <s v="xcathurt"/>
  </r>
  <r>
    <x v="10"/>
    <x v="1"/>
    <s v="Admin/HR/IT"/>
    <s v="AMCARE NonOcc In"/>
    <s v="AMZN"/>
    <n v="200404250"/>
    <s v="Hurtado,Caty"/>
    <s v="Robledo Ugarte,Alejandro"/>
    <n v="0"/>
    <n v="0"/>
    <n v="0"/>
    <n v="0"/>
    <n v="0.56000000000000005"/>
    <e v="#N/A"/>
    <s v="xcathurt"/>
  </r>
  <r>
    <x v="10"/>
    <x v="1"/>
    <s v="Admin/HR/IT"/>
    <s v="AMCARE NonOcc In"/>
    <s v="AMZN"/>
    <n v="112984097"/>
    <s v="Aguilera,Yaremi"/>
    <s v="Gomez Aguado,Jorge"/>
    <n v="0"/>
    <n v="0"/>
    <n v="0"/>
    <n v="0"/>
    <n v="0.54"/>
    <e v="#N/A"/>
    <e v="#N/A"/>
  </r>
  <r>
    <x v="10"/>
    <x v="1"/>
    <s v="Admin/HR/IT"/>
    <s v="AMCARE NonOcc In"/>
    <s v="TEMP"/>
    <n v="200509428"/>
    <s v="Guevara Ramirez,Zayra Lorena"/>
    <s v="Gomez Aguado,Jorge"/>
    <n v="0"/>
    <n v="0"/>
    <n v="0"/>
    <n v="0"/>
    <n v="0.32"/>
    <e v="#N/A"/>
    <e v="#N/A"/>
  </r>
  <r>
    <x v="11"/>
    <x v="1"/>
    <s v="Admin/HR/IT"/>
    <s v="AMCARE NonOcc In"/>
    <s v="AMZN"/>
    <n v="112973049"/>
    <s v="Tavares Parra,Ely"/>
    <s v="Piedra,Valentina"/>
    <n v="0"/>
    <n v="0"/>
    <n v="0"/>
    <n v="0"/>
    <n v="0.46"/>
    <s v="DB-X0700"/>
    <s v="afatimae"/>
  </r>
  <r>
    <x v="11"/>
    <x v="1"/>
    <s v="Admin/HR/IT"/>
    <s v="AMCARE NonOcc In"/>
    <s v="TEMP"/>
    <n v="200563210"/>
    <s v="Becerra Pardo,Arlet"/>
    <s v="Romero Sanchez,Gustavo Gabriel"/>
    <n v="0"/>
    <n v="0"/>
    <n v="0"/>
    <n v="0"/>
    <n v="0.09"/>
    <e v="#N/A"/>
    <e v="#N/A"/>
  </r>
  <r>
    <x v="11"/>
    <x v="1"/>
    <s v="Admin/HR/IT"/>
    <s v="AMCARE NonOcc In"/>
    <s v="AMZN"/>
    <n v="111188907"/>
    <s v="Espina Miranda,Estrella"/>
    <s v="Lopez,Alexa"/>
    <n v="0"/>
    <n v="0"/>
    <n v="0"/>
    <n v="0"/>
    <n v="0.26"/>
    <e v="#N/A"/>
    <e v="#N/A"/>
  </r>
  <r>
    <x v="11"/>
    <x v="1"/>
    <s v="Admin/HR/IT"/>
    <s v="AMCARE NonOcc In"/>
    <s v="AMZN"/>
    <n v="112916534"/>
    <s v="Esparza Sanchez,Areli"/>
    <s v="Gutierrez,Hector"/>
    <n v="0"/>
    <n v="0"/>
    <n v="0"/>
    <n v="0"/>
    <n v="0.54"/>
    <s v="DB-X0700"/>
    <s v="earelili"/>
  </r>
  <r>
    <x v="11"/>
    <x v="1"/>
    <s v="Admin/HR/IT"/>
    <s v="AMCARE Occ In"/>
    <s v="AMZN"/>
    <n v="112916534"/>
    <s v="Esparza Sanchez,Areli"/>
    <s v="Gutierrez,Hector"/>
    <n v="0"/>
    <n v="0"/>
    <n v="0"/>
    <n v="0"/>
    <n v="1.49"/>
    <s v="DB-X0700"/>
    <s v="earelili"/>
  </r>
  <r>
    <x v="11"/>
    <x v="1"/>
    <s v="Admin/HR/IT"/>
    <s v="AMCARE NonOcc In"/>
    <s v="AMZN"/>
    <n v="112980845"/>
    <s v="Guevara,Irma Martinez"/>
    <s v="Camarena,Grecia"/>
    <n v="0"/>
    <n v="0"/>
    <n v="0"/>
    <n v="0"/>
    <n v="0.39"/>
    <e v="#N/A"/>
    <e v="#N/A"/>
  </r>
  <r>
    <x v="11"/>
    <x v="1"/>
    <s v="Admin/HR/IT"/>
    <s v="AMCARE NonOcc In"/>
    <s v="AMZN"/>
    <n v="113141911"/>
    <s v="Larrazolo Pena,Ireri"/>
    <s v="Camarena,Grecia"/>
    <n v="0"/>
    <n v="0"/>
    <n v="0"/>
    <n v="0"/>
    <n v="0.47"/>
    <e v="#N/A"/>
    <e v="#N/A"/>
  </r>
  <r>
    <x v="11"/>
    <x v="1"/>
    <s v="Admin/HR/IT"/>
    <s v="AMCARE NonOcc In"/>
    <s v="TEMP"/>
    <n v="200589316"/>
    <s v="Torres Zuniga,Daniel"/>
    <s v="Corona Arriaga,Fernando"/>
    <n v="0"/>
    <n v="0"/>
    <n v="0"/>
    <n v="0"/>
    <n v="0.37"/>
    <e v="#N/A"/>
    <e v="#N/A"/>
  </r>
  <r>
    <x v="11"/>
    <x v="1"/>
    <s v="Admin/HR/IT"/>
    <s v="AMCARE NonOcc In"/>
    <s v="TEMP"/>
    <n v="109227086"/>
    <s v="Tavares,Alejandra"/>
    <s v="Gomez Aguado,Jorge"/>
    <n v="0"/>
    <n v="0"/>
    <n v="0"/>
    <n v="0"/>
    <n v="0.26"/>
    <e v="#N/A"/>
    <e v="#N/A"/>
  </r>
  <r>
    <x v="11"/>
    <x v="1"/>
    <s v="Admin/HR/IT"/>
    <s v="AMCARE NonOcc In"/>
    <s v="AMZN"/>
    <n v="113040583"/>
    <s v="Palomo,Lizbeth"/>
    <s v="Gutierrez,Hector"/>
    <n v="0"/>
    <n v="0"/>
    <n v="0"/>
    <n v="0"/>
    <n v="0.36"/>
    <e v="#N/A"/>
    <e v="#N/A"/>
  </r>
  <r>
    <x v="11"/>
    <x v="1"/>
    <s v="Admin/HR/IT"/>
    <s v="AMCARE NonOcc In"/>
    <s v="AMZN"/>
    <n v="112912675"/>
    <s v="Alejandri Villagomez,Alejandra"/>
    <s v="Gutierrez,Hector"/>
    <n v="0"/>
    <n v="0"/>
    <n v="0"/>
    <n v="0"/>
    <n v="0.19"/>
    <e v="#N/A"/>
    <e v="#N/A"/>
  </r>
  <r>
    <x v="11"/>
    <x v="1"/>
    <s v="Admin/HR/IT"/>
    <s v="AMCARE NonOcc In"/>
    <s v="AMZN"/>
    <n v="112980846"/>
    <s v="Mojica  Gallardo,Jonathan"/>
    <s v="Ledezma,Fer"/>
    <n v="0"/>
    <n v="0"/>
    <n v="0"/>
    <n v="0"/>
    <n v="0.39"/>
    <e v="#N/A"/>
    <e v="#N/A"/>
  </r>
  <r>
    <x v="11"/>
    <x v="1"/>
    <s v="Admin/HR/IT"/>
    <s v="AMCARE NonOcc In"/>
    <s v="TEMP"/>
    <n v="200562154"/>
    <s v="Reyes Muniz,Cristian"/>
    <s v="Piedra,Valentina"/>
    <n v="0"/>
    <n v="0"/>
    <n v="0"/>
    <n v="0"/>
    <n v="0.31"/>
    <e v="#N/A"/>
    <s v="reyesmcw"/>
  </r>
  <r>
    <x v="11"/>
    <x v="1"/>
    <s v="Admin/HR/IT"/>
    <s v="AMCARE NonOcc In"/>
    <s v="TEMP"/>
    <n v="200564845"/>
    <s v="Barron,Abraham"/>
    <s v="Romero Sanchez,Gustavo Gabriel"/>
    <n v="0"/>
    <n v="0"/>
    <n v="0"/>
    <n v="0"/>
    <n v="0.19"/>
    <e v="#N/A"/>
    <e v="#N/A"/>
  </r>
  <r>
    <x v="12"/>
    <x v="1"/>
    <s v="Admin/HR/IT"/>
    <s v="AMCARE NonOcc In"/>
    <s v="AMZN"/>
    <n v="113003679"/>
    <s v="Ibarra,Jose"/>
    <s v="Romero Sanchez,Gustavo Gabriel"/>
    <n v="0"/>
    <n v="0"/>
    <n v="0"/>
    <n v="0"/>
    <n v="0.38"/>
    <e v="#N/A"/>
    <e v="#N/A"/>
  </r>
  <r>
    <x v="12"/>
    <x v="1"/>
    <s v="Admin/HR/IT"/>
    <s v="AMCARE NonOcc In"/>
    <s v="TEMP"/>
    <n v="200562154"/>
    <s v="Reyes Muniz,Cristian"/>
    <s v="Piedra,Valentina"/>
    <n v="0"/>
    <n v="0"/>
    <n v="0"/>
    <n v="0"/>
    <n v="0.42"/>
    <e v="#N/A"/>
    <s v="reyesmcw"/>
  </r>
  <r>
    <x v="12"/>
    <x v="1"/>
    <s v="Admin/HR/IT"/>
    <s v="AMCARE NonOcc In"/>
    <s v="AMZN"/>
    <n v="113040583"/>
    <s v="Palomo,Lizbeth"/>
    <s v="Gutierrez,Hector"/>
    <n v="0"/>
    <n v="0"/>
    <n v="0"/>
    <n v="0"/>
    <n v="0.6"/>
    <e v="#N/A"/>
    <e v="#N/A"/>
  </r>
  <r>
    <x v="12"/>
    <x v="1"/>
    <s v="Admin/HR/IT"/>
    <s v="AMCARE NonOcc In"/>
    <s v="AMZN"/>
    <n v="113014042"/>
    <s v="Cervantes,Rose"/>
    <s v="Olmos,Carmen"/>
    <n v="0"/>
    <n v="0"/>
    <n v="0"/>
    <n v="0"/>
    <n v="0.34"/>
    <e v="#N/A"/>
    <s v="rfcervan"/>
  </r>
  <r>
    <x v="12"/>
    <x v="1"/>
    <s v="Admin/HR/IT"/>
    <s v="AMCARE NonOcc In"/>
    <s v="AMZN"/>
    <n v="113141911"/>
    <s v="Larrazolo Pena,Ireri"/>
    <s v="Camarena,Grecia"/>
    <n v="0"/>
    <n v="0"/>
    <n v="0"/>
    <n v="0"/>
    <n v="0.98"/>
    <e v="#N/A"/>
    <e v="#N/A"/>
  </r>
  <r>
    <x v="12"/>
    <x v="1"/>
    <s v="Admin/HR/IT"/>
    <s v="AMCARE NonOcc In"/>
    <s v="AMZN"/>
    <n v="113019083"/>
    <s v="Contreras,Marco"/>
    <s v="Romero Sanchez,Gustavo Gabriel"/>
    <n v="0"/>
    <n v="0"/>
    <n v="0"/>
    <n v="0"/>
    <n v="0.17"/>
    <e v="#N/A"/>
    <e v="#N/A"/>
  </r>
  <r>
    <x v="12"/>
    <x v="1"/>
    <s v="Admin/HR/IT"/>
    <s v="AMCARE NonOcc In"/>
    <s v="AMZN"/>
    <n v="112971980"/>
    <s v="Romero,Daniel"/>
    <s v="Pizana,Diego"/>
    <n v="0"/>
    <n v="0"/>
    <n v="0"/>
    <n v="0"/>
    <n v="0.6"/>
    <s v="DC-X0700"/>
    <s v="cdanirom"/>
  </r>
  <r>
    <x v="12"/>
    <x v="1"/>
    <s v="Admin/HR/IT"/>
    <s v="AMCARE NonOcc In"/>
    <s v="AMZN"/>
    <n v="112972958"/>
    <s v="Gonzalez Gonzalez,Antonio"/>
    <s v="Porcar Guri,Albert"/>
    <n v="0"/>
    <n v="0"/>
    <n v="0"/>
    <n v="0"/>
    <n v="0.09"/>
    <s v="D5-X0700"/>
    <s v="ugonzgui"/>
  </r>
  <r>
    <x v="12"/>
    <x v="1"/>
    <s v="Admin/HR/IT"/>
    <s v="AMCARE NonOcc In"/>
    <s v="AMZN"/>
    <n v="112912675"/>
    <s v="Alejandri Villagomez,Alejandra"/>
    <s v="Gutierrez,Hector"/>
    <n v="0"/>
    <n v="0"/>
    <n v="0"/>
    <n v="0"/>
    <n v="0.86"/>
    <e v="#N/A"/>
    <e v="#N/A"/>
  </r>
  <r>
    <x v="12"/>
    <x v="1"/>
    <s v="Admin/HR/IT"/>
    <s v="AMCARE NonOcc In"/>
    <s v="AMZN"/>
    <n v="112984928"/>
    <s v="Espinoza,Francisco"/>
    <s v="Gutierrez,Hector"/>
    <n v="0"/>
    <n v="0"/>
    <n v="0"/>
    <n v="0"/>
    <n v="0.23"/>
    <e v="#N/A"/>
    <e v="#N/A"/>
  </r>
  <r>
    <x v="13"/>
    <x v="2"/>
    <s v="Admin/HR/IT"/>
    <s v="AMCARE NonOcc In"/>
    <s v="AMZN"/>
    <n v="112972710"/>
    <s v="Cortes Elias,Jessica"/>
    <s v="Camarena,Grecia"/>
    <n v="0"/>
    <n v="0"/>
    <n v="0"/>
    <n v="0"/>
    <n v="0.15"/>
    <s v="DX-X0700"/>
    <s v="cortesjj"/>
  </r>
  <r>
    <x v="13"/>
    <x v="2"/>
    <s v="Admin/HR/IT"/>
    <s v="AMCARE NonOcc In"/>
    <s v="AMZN"/>
    <n v="113014081"/>
    <s v="Frausto,Genesis"/>
    <s v="Gomez,Abinadab"/>
    <n v="0"/>
    <n v="0"/>
    <n v="0"/>
    <n v="0"/>
    <n v="0.44"/>
    <e v="#N/A"/>
    <s v="fraugene"/>
  </r>
  <r>
    <x v="13"/>
    <x v="2"/>
    <s v="Admin/HR/IT"/>
    <s v="AMCARE NonOcc In"/>
    <s v="AMZN"/>
    <n v="112976013"/>
    <s v="Garcia,Roberto"/>
    <s v="Munoz,Jonan"/>
    <n v="0"/>
    <n v="0"/>
    <n v="0"/>
    <n v="0"/>
    <n v="0.9"/>
    <e v="#N/A"/>
    <e v="#N/A"/>
  </r>
  <r>
    <x v="13"/>
    <x v="2"/>
    <s v="Admin/HR/IT"/>
    <s v="AMCARE NonOcc In"/>
    <s v="AMZN"/>
    <n v="113141911"/>
    <s v="Larrazolo Pena,Ireri"/>
    <s v="Camarena,Grecia"/>
    <n v="0"/>
    <n v="0"/>
    <n v="0"/>
    <n v="0"/>
    <n v="2.35"/>
    <e v="#N/A"/>
    <e v="#N/A"/>
  </r>
  <r>
    <x v="13"/>
    <x v="2"/>
    <s v="Admin/HR/IT"/>
    <s v="AMCARE NonOcc In"/>
    <s v="AMZN"/>
    <n v="113003679"/>
    <s v="Ibarra,Jose"/>
    <s v="Romero Sanchez,Gustavo Gabriel"/>
    <n v="0"/>
    <n v="0"/>
    <n v="0"/>
    <n v="0"/>
    <n v="1"/>
    <e v="#N/A"/>
    <e v="#N/A"/>
  </r>
  <r>
    <x v="13"/>
    <x v="2"/>
    <s v="Admin/HR/IT"/>
    <s v="AMCARE NonOcc In"/>
    <s v="AMZN"/>
    <n v="112912663"/>
    <s v="Segura,Lucero"/>
    <s v="Munoz,Jonan"/>
    <n v="0"/>
    <n v="0"/>
    <n v="0"/>
    <n v="0"/>
    <n v="0.31"/>
    <e v="#N/A"/>
    <e v="#N/A"/>
  </r>
  <r>
    <x v="13"/>
    <x v="2"/>
    <s v="Admin/HR/IT"/>
    <s v="AMCARE NonOcc In"/>
    <s v="AMZN"/>
    <n v="113014091"/>
    <s v="Talco Torres,Cristian"/>
    <s v="Romero Sanchez,Gustavo Gabriel"/>
    <n v="0"/>
    <n v="0"/>
    <n v="0"/>
    <n v="0"/>
    <n v="0.28000000000000003"/>
    <e v="#N/A"/>
    <e v="#N/A"/>
  </r>
  <r>
    <x v="13"/>
    <x v="2"/>
    <s v="Admin/HR/IT"/>
    <s v="AMCARE NonOcc In"/>
    <s v="AMZN"/>
    <n v="112972194"/>
    <s v="Vela Angeles,Fernanda"/>
    <s v="Camarena,Grecia"/>
    <n v="0"/>
    <n v="0"/>
    <n v="0"/>
    <n v="0"/>
    <n v="0.76"/>
    <s v="DB-X0700"/>
    <s v="velaangl"/>
  </r>
  <r>
    <x v="13"/>
    <x v="2"/>
    <s v="Admin/HR/IT"/>
    <s v="AMCARE NonOcc In"/>
    <s v="AMZN"/>
    <n v="112912509"/>
    <s v="Gutierrez Portillo,Joceline"/>
    <s v="Madrid Molina,Ramon"/>
    <n v="0"/>
    <n v="0"/>
    <n v="0"/>
    <n v="0"/>
    <n v="0.17"/>
    <e v="#N/A"/>
    <e v="#N/A"/>
  </r>
  <r>
    <x v="13"/>
    <x v="2"/>
    <s v="Admin/HR/IT"/>
    <s v="AMCARE NonOcc In"/>
    <s v="TEMP"/>
    <n v="200620341"/>
    <s v="Camacho Ramirez,Carlos"/>
    <s v="Madrid Molina,Ramon"/>
    <n v="0"/>
    <n v="0"/>
    <n v="0"/>
    <n v="0"/>
    <n v="0.83"/>
    <e v="#N/A"/>
    <e v="#N/A"/>
  </r>
  <r>
    <x v="13"/>
    <x v="2"/>
    <s v="Admin/HR/IT"/>
    <s v="AMCARE NonOcc In"/>
    <s v="TEMP"/>
    <n v="200509428"/>
    <s v="Guevara Ramirez,Zayra Lorena"/>
    <s v="Gomez Aguado,Jorge"/>
    <n v="0"/>
    <n v="0"/>
    <n v="0"/>
    <n v="0"/>
    <n v="0.14000000000000001"/>
    <e v="#N/A"/>
    <e v="#N/A"/>
  </r>
  <r>
    <x v="14"/>
    <x v="2"/>
    <s v="Admin/HR/IT"/>
    <s v="AMCARE NonOcc In"/>
    <s v="AMZN"/>
    <n v="112981204"/>
    <s v="Martinez  Trueba,Angel"/>
    <s v="Gomez Aguado,Jorge"/>
    <n v="0"/>
    <n v="0"/>
    <n v="0"/>
    <n v="0"/>
    <n v="0.87"/>
    <e v="#N/A"/>
    <e v="#N/A"/>
  </r>
  <r>
    <x v="14"/>
    <x v="2"/>
    <s v="Admin/HR/IT"/>
    <s v="AMCARE NonOcc In"/>
    <s v="AMZN"/>
    <n v="112980899"/>
    <s v="Avila Cabrera,Ari"/>
    <s v="Ledezma,Fer"/>
    <n v="0"/>
    <n v="0"/>
    <n v="0"/>
    <n v="0"/>
    <n v="0.4"/>
    <s v="NF-X1900"/>
    <s v="aravilac"/>
  </r>
  <r>
    <x v="14"/>
    <x v="2"/>
    <s v="Admin/HR/IT"/>
    <s v="AMCARE NonOcc In"/>
    <s v="AMZN"/>
    <n v="112981009"/>
    <s v="Ceja Sanchez,Jonathan"/>
    <s v="Ledezma,Fer"/>
    <n v="0"/>
    <n v="0"/>
    <n v="0"/>
    <n v="0"/>
    <n v="0.19"/>
    <e v="#N/A"/>
    <e v="#N/A"/>
  </r>
  <r>
    <x v="14"/>
    <x v="2"/>
    <s v="Admin/HR/IT"/>
    <s v="AMCARE NonOcc In"/>
    <s v="AMZN"/>
    <n v="113014084"/>
    <s v="Diaz,Manuel"/>
    <s v="Corona Arriaga,Fernando"/>
    <n v="0"/>
    <n v="0"/>
    <n v="0"/>
    <n v="0"/>
    <n v="0.14000000000000001"/>
    <e v="#N/A"/>
    <s v="dnmanuel"/>
  </r>
  <r>
    <x v="14"/>
    <x v="2"/>
    <s v="Admin/HR/IT"/>
    <s v="AMCARE NonOcc In"/>
    <s v="AMZN"/>
    <n v="113019001"/>
    <s v="Lozano Hernandez,Donny"/>
    <s v="Hernandez,Nataly"/>
    <n v="0"/>
    <n v="0"/>
    <n v="0"/>
    <n v="0"/>
    <n v="0.17"/>
    <e v="#N/A"/>
    <s v="dolozane"/>
  </r>
  <r>
    <x v="14"/>
    <x v="2"/>
    <s v="Admin/HR/IT"/>
    <s v="AMCARE NonOcc In"/>
    <s v="AMZN"/>
    <n v="113014094"/>
    <s v="Mercado,Erika"/>
    <s v="Gomez Aguado,Jorge"/>
    <n v="0"/>
    <n v="0"/>
    <n v="0"/>
    <n v="0"/>
    <n v="0.22"/>
    <e v="#N/A"/>
    <s v="erikaadm"/>
  </r>
  <r>
    <x v="14"/>
    <x v="2"/>
    <s v="Admin/HR/IT"/>
    <s v="AMCARE NonOcc In"/>
    <s v="TEMP"/>
    <n v="200534518"/>
    <s v="Flores,Alejandro"/>
    <s v="Ledezma,Fer"/>
    <n v="0"/>
    <n v="0"/>
    <n v="0"/>
    <n v="0"/>
    <n v="0.2"/>
    <e v="#N/A"/>
    <e v="#N/A"/>
  </r>
  <r>
    <x v="14"/>
    <x v="2"/>
    <s v="Admin/HR/IT"/>
    <s v="AMCARE NonOcc In"/>
    <s v="AMZN"/>
    <n v="112950797"/>
    <s v="Serna,Denisse"/>
    <s v="Madrid Molina,Ramon"/>
    <n v="0"/>
    <n v="0"/>
    <n v="0"/>
    <n v="0"/>
    <n v="0.34"/>
    <s v="DA-X0700"/>
    <s v="hesdenis"/>
  </r>
  <r>
    <x v="14"/>
    <x v="2"/>
    <s v="Admin/HR/IT"/>
    <s v="AMCARE NonOcc In"/>
    <s v="AMZN"/>
    <n v="112991231"/>
    <s v="Lino,Luisa"/>
    <s v="Ledezma,Fer"/>
    <n v="0"/>
    <n v="0"/>
    <n v="0"/>
    <n v="0"/>
    <n v="0.36"/>
    <e v="#N/A"/>
    <e v="#N/A"/>
  </r>
  <r>
    <x v="14"/>
    <x v="2"/>
    <s v="Admin/HR/IT"/>
    <s v="AMCARE NonOcc In"/>
    <s v="TEMP"/>
    <n v="200620024"/>
    <s v="Navarro,Miriam"/>
    <s v="Robledo Ugarte,Alejandro"/>
    <n v="0"/>
    <n v="0"/>
    <n v="0"/>
    <n v="0"/>
    <n v="0.71"/>
    <e v="#N/A"/>
    <e v="#N/A"/>
  </r>
  <r>
    <x v="14"/>
    <x v="2"/>
    <s v="Admin/HR/IT"/>
    <s v="AMCARE NonOcc In"/>
    <s v="AMZN"/>
    <n v="113014178"/>
    <s v="Olvera Munoz,Isabel"/>
    <s v="Gomez,Abinadab"/>
    <n v="0"/>
    <n v="0"/>
    <n v="0"/>
    <n v="0"/>
    <n v="0.17"/>
    <e v="#N/A"/>
    <e v="#N/A"/>
  </r>
  <r>
    <x v="14"/>
    <x v="2"/>
    <s v="Admin/HR/IT"/>
    <s v="AMCARE NonOcc In"/>
    <s v="AMZN"/>
    <n v="200464838"/>
    <s v="Ortiz,Fernando"/>
    <s v="Gutierrez,Hector"/>
    <n v="0"/>
    <n v="0"/>
    <n v="0"/>
    <n v="0"/>
    <n v="1.08"/>
    <e v="#N/A"/>
    <s v="ortfernj"/>
  </r>
  <r>
    <x v="14"/>
    <x v="2"/>
    <s v="Admin/HR/IT"/>
    <s v="AMCARE NonOcc In"/>
    <s v="AMZN"/>
    <n v="112991248"/>
    <s v="Cabrera Velazquez,Sandy"/>
    <s v="Gutierrez,Hector"/>
    <n v="0"/>
    <n v="0"/>
    <n v="0"/>
    <n v="0"/>
    <n v="0.23"/>
    <e v="#N/A"/>
    <e v="#N/A"/>
  </r>
  <r>
    <x v="14"/>
    <x v="2"/>
    <s v="Admin/HR/IT"/>
    <s v="AMCARE NonOcc In"/>
    <s v="AMZN"/>
    <n v="112912753"/>
    <s v="Padilla Abrego,Selene"/>
    <s v="Gomez Aguado,Jorge"/>
    <n v="0"/>
    <n v="0"/>
    <n v="0"/>
    <n v="0"/>
    <n v="0.04"/>
    <e v="#N/A"/>
    <e v="#N/A"/>
  </r>
  <r>
    <x v="14"/>
    <x v="2"/>
    <s v="Admin/HR/IT"/>
    <s v="AMCARE NonOcc In"/>
    <s v="AMZN"/>
    <n v="112912201"/>
    <s v="Castillo Falcon,Sheyla"/>
    <s v="Madrid Molina,Ramon"/>
    <n v="0"/>
    <n v="0"/>
    <n v="0"/>
    <n v="0"/>
    <n v="0.23"/>
    <e v="#N/A"/>
    <e v="#N/A"/>
  </r>
  <r>
    <x v="14"/>
    <x v="2"/>
    <s v="Admin/HR/IT"/>
    <s v="AMCARE NonOcc In"/>
    <s v="AMZN"/>
    <n v="112971976"/>
    <s v="Soto,Victoria"/>
    <s v="Cortes,Alejandra"/>
    <n v="0"/>
    <n v="0"/>
    <n v="0"/>
    <n v="0"/>
    <n v="0.63"/>
    <s v="DB-X0700"/>
    <s v="sotodelv"/>
  </r>
  <r>
    <x v="14"/>
    <x v="2"/>
    <s v="Admin/HR/IT"/>
    <s v="AMCARE NonOcc In"/>
    <s v="AMZN"/>
    <n v="112950800"/>
    <s v="Muniz,Viri"/>
    <s v="Munoz,Jonan"/>
    <n v="0"/>
    <n v="0"/>
    <n v="0"/>
    <n v="0"/>
    <n v="0.23"/>
    <s v="NF-X1900"/>
    <s v="virimuni"/>
  </r>
  <r>
    <x v="14"/>
    <x v="2"/>
    <s v="Admin/HR/IT"/>
    <s v="AMCARE NonOcc In"/>
    <s v="AMZN"/>
    <n v="200404250"/>
    <s v="Hurtado,Caty"/>
    <s v="Robledo Ugarte,Alejandro"/>
    <n v="0"/>
    <n v="0"/>
    <n v="0"/>
    <n v="0"/>
    <n v="0.67"/>
    <e v="#N/A"/>
    <s v="xcathurt"/>
  </r>
  <r>
    <x v="15"/>
    <x v="2"/>
    <s v="Admin/HR/IT"/>
    <s v="AMCARE NonOcc In"/>
    <s v="AMZN"/>
    <n v="113044620"/>
    <s v="Jasso Miranda,Aldo"/>
    <s v="Gomez,Abinadab"/>
    <n v="0"/>
    <n v="0"/>
    <n v="0"/>
    <n v="0"/>
    <n v="0.93"/>
    <e v="#N/A"/>
    <s v="aldojasw"/>
  </r>
  <r>
    <x v="15"/>
    <x v="2"/>
    <s v="Admin/HR/IT"/>
    <s v="AMCARE NonOcc In"/>
    <s v="TEMP"/>
    <n v="200589316"/>
    <s v="Torres Zuniga,Daniel"/>
    <s v="Corona Arriaga,Fernando"/>
    <n v="0"/>
    <n v="0"/>
    <n v="0"/>
    <n v="0"/>
    <n v="2.52"/>
    <e v="#N/A"/>
    <e v="#N/A"/>
  </r>
  <r>
    <x v="15"/>
    <x v="2"/>
    <s v="Admin/HR/IT"/>
    <s v="AMCARE NonOcc In"/>
    <s v="AMZN"/>
    <n v="112912175"/>
    <s v="Padilla,Jandy"/>
    <s v="Gomez Aguado,Jorge"/>
    <n v="0"/>
    <n v="0"/>
    <n v="0"/>
    <n v="0"/>
    <n v="0.46"/>
    <e v="#N/A"/>
    <e v="#N/A"/>
  </r>
  <r>
    <x v="15"/>
    <x v="2"/>
    <s v="Admin/HR/IT"/>
    <s v="AMCARE NonOcc In"/>
    <s v="TEMP"/>
    <n v="109227086"/>
    <s v="Tavares,Alejandra"/>
    <s v="Madrid Molina,Ramon"/>
    <n v="0"/>
    <n v="0"/>
    <n v="0"/>
    <n v="0"/>
    <n v="1.1200000000000001"/>
    <e v="#N/A"/>
    <e v="#N/A"/>
  </r>
  <r>
    <x v="15"/>
    <x v="2"/>
    <s v="Admin/HR/IT"/>
    <s v="AMCARE NonOcc In"/>
    <s v="AMZN"/>
    <n v="112912074"/>
    <s v="Hernandez Gutierrez,Lizeth"/>
    <s v="Pizana,Diego"/>
    <n v="0"/>
    <n v="0"/>
    <n v="0"/>
    <n v="0"/>
    <n v="0.46"/>
    <e v="#N/A"/>
    <e v="#N/A"/>
  </r>
  <r>
    <x v="15"/>
    <x v="2"/>
    <s v="Admin/HR/IT"/>
    <s v="AMCARE NonOcc In"/>
    <s v="AMZN"/>
    <n v="111202227"/>
    <s v="Loya Torres,Omar"/>
    <s v="Garcia Espejel,Brenda Victoria"/>
    <n v="0"/>
    <n v="0"/>
    <n v="0"/>
    <n v="0"/>
    <n v="0.26"/>
    <e v="#N/A"/>
    <e v="#N/A"/>
  </r>
  <r>
    <x v="15"/>
    <x v="2"/>
    <s v="Admin/HR/IT"/>
    <s v="AMCARE NonOcc In"/>
    <s v="TEMP"/>
    <n v="200514421"/>
    <s v="Padilla Abrego,Angeles"/>
    <s v="Hernandez,Nataly"/>
    <n v="0"/>
    <n v="0"/>
    <n v="0"/>
    <n v="0"/>
    <n v="0.19"/>
    <e v="#N/A"/>
    <s v="padillms"/>
  </r>
  <r>
    <x v="15"/>
    <x v="2"/>
    <s v="Admin/HR/IT"/>
    <s v="AMCARE NonOcc In"/>
    <s v="AMZN"/>
    <n v="112920664"/>
    <s v="Alba,Samuel"/>
    <s v="Rosas Negrete,Sebastian"/>
    <n v="0"/>
    <n v="0"/>
    <n v="0"/>
    <n v="0"/>
    <n v="0.33"/>
    <s v="DA-X0700"/>
    <s v="samualbg"/>
  </r>
  <r>
    <x v="15"/>
    <x v="2"/>
    <s v="Admin/HR/IT"/>
    <s v="AMCARE NonOcc In"/>
    <s v="AMZN"/>
    <n v="112980862"/>
    <s v="Tecla,Alejandro"/>
    <s v="Hernandez,Nataly"/>
    <n v="0"/>
    <n v="0"/>
    <n v="0"/>
    <n v="0"/>
    <n v="0.6"/>
    <e v="#N/A"/>
    <e v="#N/A"/>
  </r>
  <r>
    <x v="15"/>
    <x v="2"/>
    <s v="Admin/HR/IT"/>
    <s v="AMCARE NonOcc In"/>
    <s v="AMZN"/>
    <n v="200404250"/>
    <s v="Hurtado,Caty"/>
    <s v="Robledo Ugarte,Alejandro"/>
    <n v="0"/>
    <n v="0"/>
    <n v="0"/>
    <n v="0"/>
    <n v="0.65"/>
    <e v="#N/A"/>
    <s v="xcathurt"/>
  </r>
  <r>
    <x v="16"/>
    <x v="2"/>
    <s v="Admin/HR/IT"/>
    <s v="AMCARE NonOcc In"/>
    <s v="AMZN"/>
    <n v="112973049"/>
    <s v="Tavares Parra,Ely"/>
    <s v="Romero Sanchez,Gustavo Gabriel"/>
    <n v="0"/>
    <n v="0"/>
    <n v="0"/>
    <n v="0"/>
    <n v="0.06"/>
    <s v="DB-X0700"/>
    <s v="afatimae"/>
  </r>
  <r>
    <x v="16"/>
    <x v="2"/>
    <s v="Admin/HR/IT"/>
    <s v="AMCARE NonOcc In"/>
    <s v="AMZN"/>
    <n v="112980899"/>
    <s v="Avila Cabrera,Ari"/>
    <s v="Gomez,Abinadab"/>
    <n v="0"/>
    <n v="0"/>
    <n v="0"/>
    <n v="0"/>
    <n v="1.78"/>
    <s v="NF-X1900"/>
    <s v="aravilac"/>
  </r>
  <r>
    <x v="16"/>
    <x v="2"/>
    <s v="Admin/HR/IT"/>
    <s v="AMCARE NonOcc In"/>
    <s v="AMZN"/>
    <n v="112971980"/>
    <s v="Romero,Daniel"/>
    <s v="Pizana,Diego"/>
    <n v="0"/>
    <n v="0"/>
    <n v="0"/>
    <n v="0"/>
    <n v="0.46"/>
    <s v="DC-X0700"/>
    <s v="cdanirom"/>
  </r>
  <r>
    <x v="16"/>
    <x v="2"/>
    <s v="Admin/HR/IT"/>
    <s v="AMCARE NonOcc In"/>
    <s v="TEMP"/>
    <n v="200574345"/>
    <s v="Contreras,Jony"/>
    <s v="Hernandez,Nataly"/>
    <n v="0"/>
    <n v="0"/>
    <n v="0"/>
    <n v="0"/>
    <n v="0.09"/>
    <e v="#N/A"/>
    <s v="contrexj"/>
  </r>
  <r>
    <x v="16"/>
    <x v="2"/>
    <s v="Admin/HR/IT"/>
    <s v="AMCARE NonOcc In"/>
    <s v="AMZN"/>
    <n v="112972524"/>
    <s v="Santibanez Garcia,Luisa"/>
    <s v="Lopez,Alexa"/>
    <n v="0"/>
    <n v="0"/>
    <n v="0"/>
    <n v="0"/>
    <n v="0.52"/>
    <s v="DB-X0700"/>
    <s v="csantibl"/>
  </r>
  <r>
    <x v="16"/>
    <x v="2"/>
    <s v="Admin/HR/IT"/>
    <s v="AMCARE NonOcc In"/>
    <s v="TEMP"/>
    <n v="200508371"/>
    <s v="Perez,Georgina"/>
    <s v="Romero Sanchez,Gustavo Gabriel"/>
    <n v="0"/>
    <n v="0"/>
    <n v="0"/>
    <n v="0"/>
    <n v="0.12"/>
    <e v="#N/A"/>
    <e v="#N/A"/>
  </r>
  <r>
    <x v="16"/>
    <x v="2"/>
    <s v="Admin/HR/IT"/>
    <s v="AMCARE NonOcc In"/>
    <s v="AMZN"/>
    <n v="113014194"/>
    <s v="Flores Lopez,Ricardo"/>
    <s v="Hernandez,Nataly"/>
    <n v="0"/>
    <n v="0"/>
    <n v="0"/>
    <n v="0"/>
    <n v="0.34"/>
    <e v="#N/A"/>
    <e v="#N/A"/>
  </r>
  <r>
    <x v="16"/>
    <x v="2"/>
    <s v="Admin/HR/IT"/>
    <s v="AMCARE NonOcc In"/>
    <s v="AMZN"/>
    <n v="113019039"/>
    <s v="Hernandez Oropeza,Gabriel"/>
    <s v="Gomez Aguado,Jorge"/>
    <n v="0"/>
    <n v="0"/>
    <n v="0"/>
    <n v="0"/>
    <n v="0.89"/>
    <e v="#N/A"/>
    <e v="#N/A"/>
  </r>
  <r>
    <x v="16"/>
    <x v="2"/>
    <s v="Admin/HR/IT"/>
    <s v="AMCARE NonOcc In"/>
    <s v="AMZN"/>
    <n v="113141911"/>
    <s v="Larrazolo Pena,Ireri"/>
    <s v="Camarena,Grecia"/>
    <n v="0"/>
    <n v="0"/>
    <n v="0"/>
    <n v="0"/>
    <n v="2.2000000000000002"/>
    <e v="#N/A"/>
    <e v="#N/A"/>
  </r>
  <r>
    <x v="16"/>
    <x v="2"/>
    <s v="Admin/HR/IT"/>
    <s v="AMCARE NonOcc In"/>
    <s v="TEMP"/>
    <n v="109227086"/>
    <s v="Tavares,Alejandra"/>
    <s v="Madrid Molina,Ramon"/>
    <n v="0"/>
    <n v="0"/>
    <n v="0"/>
    <n v="0"/>
    <n v="0.26"/>
    <e v="#N/A"/>
    <e v="#N/A"/>
  </r>
  <r>
    <x v="16"/>
    <x v="2"/>
    <s v="Admin/HR/IT"/>
    <s v="AMCARE NonOcc In"/>
    <s v="AMZN"/>
    <n v="113003631"/>
    <s v="Ortega,Elizabeth"/>
    <s v="Gomez Aguado,Jorge"/>
    <n v="0"/>
    <n v="0"/>
    <n v="0"/>
    <n v="0"/>
    <n v="8.9499999999999993"/>
    <e v="#N/A"/>
    <e v="#N/A"/>
  </r>
  <r>
    <x v="16"/>
    <x v="2"/>
    <s v="Admin/HR/IT"/>
    <s v="AMCARE NonOcc In"/>
    <s v="TEMP"/>
    <n v="200588981"/>
    <s v="Romero,Maria"/>
    <s v="Ledezma,Fer"/>
    <n v="0"/>
    <n v="0"/>
    <n v="0"/>
    <n v="0"/>
    <n v="0.48"/>
    <e v="#N/A"/>
    <e v="#N/A"/>
  </r>
  <r>
    <x v="16"/>
    <x v="2"/>
    <s v="Admin/HR/IT"/>
    <s v="AMCARE NonOcc In"/>
    <s v="AMZN"/>
    <n v="112980812"/>
    <s v="Jacobo,Mary"/>
    <s v="Piedra,Valentina"/>
    <n v="0"/>
    <n v="0"/>
    <n v="0"/>
    <n v="0"/>
    <n v="0.09"/>
    <s v="DA-X0700"/>
    <s v="maryjacp"/>
  </r>
  <r>
    <x v="16"/>
    <x v="2"/>
    <s v="Admin/HR/IT"/>
    <s v="AMCARE NonOcc In"/>
    <s v="AMZN"/>
    <n v="112981061"/>
    <s v="Olguin,Claudia"/>
    <s v="Hernandez,Nataly"/>
    <n v="0"/>
    <n v="0"/>
    <n v="0"/>
    <n v="0"/>
    <n v="0.23"/>
    <s v="DA-X0700"/>
    <s v="mclaudol"/>
  </r>
  <r>
    <x v="16"/>
    <x v="2"/>
    <s v="Admin/HR/IT"/>
    <s v="AMCARE NonOcc In"/>
    <s v="AMZN"/>
    <n v="112525692"/>
    <s v="Ovalle Gomez,Mayte"/>
    <s v="Garcia Espejel,Brenda Victoria"/>
    <n v="0"/>
    <n v="0"/>
    <n v="0"/>
    <n v="0"/>
    <n v="0.18"/>
    <e v="#N/A"/>
    <e v="#N/A"/>
  </r>
  <r>
    <x v="16"/>
    <x v="2"/>
    <s v="Admin/HR/IT"/>
    <s v="AMCARE NonOcc In"/>
    <s v="AMZN"/>
    <n v="112912163"/>
    <s v="Murillo,Alejandro"/>
    <s v="Madrid Molina,Ramon"/>
    <n v="0"/>
    <n v="0"/>
    <n v="0"/>
    <n v="0"/>
    <n v="0.23"/>
    <e v="#N/A"/>
    <e v="#N/A"/>
  </r>
  <r>
    <x v="16"/>
    <x v="2"/>
    <s v="Admin/HR/IT"/>
    <s v="AMCARE NonOcc In"/>
    <s v="AMZN"/>
    <n v="112912745"/>
    <s v="Gomez Meza,Alex"/>
    <s v="Robledo Ugarte,Alejandro"/>
    <n v="0"/>
    <n v="0"/>
    <n v="0"/>
    <n v="0"/>
    <n v="1.58"/>
    <s v="DA-X0700"/>
    <s v="nalexgom"/>
  </r>
  <r>
    <x v="16"/>
    <x v="2"/>
    <s v="Admin/HR/IT"/>
    <s v="AMCARE NonOcc In"/>
    <s v="TEMP"/>
    <n v="200514421"/>
    <s v="Padilla Abrego,Angeles"/>
    <s v="Hernandez,Nataly"/>
    <n v="0"/>
    <n v="0"/>
    <n v="0"/>
    <n v="0"/>
    <n v="1"/>
    <e v="#N/A"/>
    <s v="padillms"/>
  </r>
  <r>
    <x v="16"/>
    <x v="2"/>
    <s v="Admin/HR/IT"/>
    <s v="AMCARE NonOcc In"/>
    <s v="AMZN"/>
    <n v="113101453"/>
    <s v="Isaac,Geovanna"/>
    <s v="Madrid Molina,Ramon"/>
    <n v="0"/>
    <n v="0"/>
    <n v="0"/>
    <n v="0"/>
    <n v="0.22"/>
    <e v="#N/A"/>
    <s v="qisgeova"/>
  </r>
  <r>
    <x v="16"/>
    <x v="2"/>
    <s v="Admin/HR/IT"/>
    <s v="AMCARE NonOcc In"/>
    <s v="AMZN"/>
    <n v="113014046"/>
    <s v="Reyes Andrade,Oscar"/>
    <s v="Gomez Aguado,Jorge"/>
    <n v="0"/>
    <n v="0"/>
    <n v="0"/>
    <n v="0"/>
    <n v="0.34"/>
    <e v="#N/A"/>
    <e v="#N/A"/>
  </r>
  <r>
    <x v="16"/>
    <x v="2"/>
    <s v="Admin/HR/IT"/>
    <s v="AMCARE NonOcc In"/>
    <s v="AMZN"/>
    <n v="112950784"/>
    <s v="Rojas,Samuel"/>
    <s v="Hernandez,Nataly"/>
    <n v="0"/>
    <n v="0"/>
    <n v="0"/>
    <n v="0"/>
    <n v="0.13"/>
    <s v="NF-X1900"/>
    <s v="sarojast"/>
  </r>
  <r>
    <x v="16"/>
    <x v="2"/>
    <s v="Admin/HR/IT"/>
    <s v="AMCARE NonOcc In"/>
    <s v="AMZN"/>
    <n v="112980862"/>
    <s v="Tecla,Alejandro"/>
    <s v="Hernandez,Nataly"/>
    <n v="0"/>
    <n v="0"/>
    <n v="0"/>
    <n v="0"/>
    <n v="1.31"/>
    <e v="#N/A"/>
    <e v="#N/A"/>
  </r>
  <r>
    <x v="16"/>
    <x v="2"/>
    <s v="Admin/HR/IT"/>
    <s v="AMCARE NonOcc In"/>
    <s v="AMZN"/>
    <n v="113014402"/>
    <s v="Mendoza Estrada,Juan"/>
    <s v="Madrid Molina,Ramon"/>
    <n v="0"/>
    <n v="0"/>
    <n v="0"/>
    <n v="0"/>
    <n v="0.32"/>
    <e v="#N/A"/>
    <s v="umendoju"/>
  </r>
  <r>
    <x v="16"/>
    <x v="2"/>
    <s v="Admin/HR/IT"/>
    <s v="AMCARE NonOcc In"/>
    <s v="AMZN"/>
    <n v="112912509"/>
    <s v="Gutierrez Portillo,Joceline"/>
    <s v="Madrid Molina,Ramon"/>
    <n v="0"/>
    <n v="0"/>
    <n v="0"/>
    <n v="0"/>
    <n v="1.1200000000000001"/>
    <e v="#N/A"/>
    <e v="#N/A"/>
  </r>
  <r>
    <x v="16"/>
    <x v="2"/>
    <s v="Admin/HR/IT"/>
    <s v="AMCARE NonOcc In"/>
    <s v="AMZN"/>
    <n v="112912509"/>
    <s v="Gutierrez Portillo,Joceline"/>
    <s v="Madrid Molina,Ramon"/>
    <n v="0"/>
    <n v="0"/>
    <n v="0"/>
    <n v="0"/>
    <n v="1.92"/>
    <e v="#N/A"/>
    <e v="#N/A"/>
  </r>
  <r>
    <x v="16"/>
    <x v="2"/>
    <s v="Admin/HR/IT"/>
    <s v="AMCARE NonOcc In"/>
    <s v="AMZN"/>
    <n v="200404250"/>
    <s v="Hurtado,Caty"/>
    <s v="Hernandez,Nataly"/>
    <n v="0"/>
    <n v="0"/>
    <n v="0"/>
    <n v="0"/>
    <n v="0.74"/>
    <e v="#N/A"/>
    <s v="xcathurt"/>
  </r>
  <r>
    <x v="16"/>
    <x v="2"/>
    <s v="Admin/HR/IT"/>
    <s v="AMCARE NonOcc In"/>
    <s v="AMZN"/>
    <n v="112984097"/>
    <s v="Aguilera,Yaremi"/>
    <s v="Madrid Molina,Ramon"/>
    <n v="0"/>
    <n v="0"/>
    <n v="0"/>
    <n v="0"/>
    <n v="0.11"/>
    <e v="#N/A"/>
    <e v="#N/A"/>
  </r>
  <r>
    <x v="16"/>
    <x v="2"/>
    <s v="Admin/HR/IT"/>
    <s v="AMCARE NonOcc In"/>
    <s v="TEMP"/>
    <n v="200509428"/>
    <s v="Guevara Ramirez,Zayra Lorena"/>
    <s v="Madrid Molina,Ramon"/>
    <n v="0"/>
    <n v="0"/>
    <n v="0"/>
    <n v="0"/>
    <n v="0.68"/>
    <e v="#N/A"/>
    <e v="#N/A"/>
  </r>
  <r>
    <x v="16"/>
    <x v="2"/>
    <s v="Admin/HR/IT"/>
    <s v="AMCARE NonOcc In"/>
    <s v="TEMP"/>
    <n v="109227086"/>
    <s v="Tavares,Alejandra"/>
    <s v="Madrid Molina,Ramon"/>
    <n v="0"/>
    <n v="0"/>
    <n v="0"/>
    <n v="0"/>
    <n v="0.26"/>
    <e v="#N/A"/>
    <e v="#N/A"/>
  </r>
  <r>
    <x v="17"/>
    <x v="2"/>
    <s v="Admin/HR/IT"/>
    <s v="AMCARE NonOcc In"/>
    <s v="TEMP"/>
    <n v="200564835"/>
    <s v="Pardo,Fabian Oswaldo"/>
    <s v="Corona Arriaga,Fernando"/>
    <n v="0"/>
    <n v="0"/>
    <n v="0"/>
    <n v="0"/>
    <n v="0.08"/>
    <e v="#N/A"/>
    <e v="#N/A"/>
  </r>
  <r>
    <x v="17"/>
    <x v="2"/>
    <s v="Admin/HR/IT"/>
    <s v="AMCARE NonOcc In"/>
    <s v="AMZN"/>
    <n v="112971980"/>
    <s v="Romero,Daniel"/>
    <s v="Pizana,Diego"/>
    <n v="0"/>
    <n v="0"/>
    <n v="0"/>
    <n v="0"/>
    <n v="0.21"/>
    <s v="DC-X0700"/>
    <s v="cdanirom"/>
  </r>
  <r>
    <x v="17"/>
    <x v="2"/>
    <s v="Admin/HR/IT"/>
    <s v="AMCARE NonOcc In"/>
    <s v="AMZN"/>
    <n v="112984442"/>
    <s v="Garcia,Mauricio Antonio De la lama"/>
    <s v="Gomez,Abinadab"/>
    <n v="0"/>
    <n v="0"/>
    <n v="0"/>
    <n v="0"/>
    <n v="1.62"/>
    <e v="#N/A"/>
    <e v="#N/A"/>
  </r>
  <r>
    <x v="17"/>
    <x v="2"/>
    <s v="Admin/HR/IT"/>
    <s v="AMCARE NonOcc In"/>
    <s v="AMZN"/>
    <n v="112976013"/>
    <s v="Garcia,Roberto"/>
    <s v="Munoz,Jonan"/>
    <n v="0"/>
    <n v="0"/>
    <n v="0"/>
    <n v="0"/>
    <n v="0.48"/>
    <e v="#N/A"/>
    <e v="#N/A"/>
  </r>
  <r>
    <x v="17"/>
    <x v="2"/>
    <s v="Admin/HR/IT"/>
    <s v="AMCARE NonOcc In"/>
    <s v="AMZN"/>
    <n v="113141911"/>
    <s v="Larrazolo Pena,Ireri"/>
    <s v="Camarena,Grecia"/>
    <n v="0"/>
    <n v="0"/>
    <n v="0"/>
    <n v="0"/>
    <n v="1.48"/>
    <e v="#N/A"/>
    <e v="#N/A"/>
  </r>
  <r>
    <x v="17"/>
    <x v="2"/>
    <s v="Admin/HR/IT"/>
    <s v="AMCARE NonOcc In"/>
    <s v="AMZN"/>
    <n v="112920666"/>
    <s v="Rocha,Jose"/>
    <s v="Garcia Espejel,Brenda Victoria"/>
    <n v="0"/>
    <n v="0"/>
    <n v="0"/>
    <n v="0"/>
    <n v="0.13"/>
    <s v="D5-X0700"/>
    <s v="jorochai"/>
  </r>
  <r>
    <x v="17"/>
    <x v="2"/>
    <s v="Admin/HR/IT"/>
    <s v="AMCARE NonOcc In"/>
    <s v="AMZN"/>
    <n v="111434478"/>
    <s v="Gutierrez,Pame"/>
    <s v="Camarena,Grecia"/>
    <n v="0"/>
    <n v="0"/>
    <n v="0"/>
    <n v="0"/>
    <n v="1.84"/>
    <s v="DA-X0700"/>
    <s v="juanapam"/>
  </r>
  <r>
    <x v="17"/>
    <x v="2"/>
    <s v="Admin/HR/IT"/>
    <s v="AMCARE NonOcc In"/>
    <s v="AMZN"/>
    <n v="113003631"/>
    <s v="Ortega,Elizabeth"/>
    <s v="Gomez Aguado,Jorge"/>
    <n v="0"/>
    <n v="0"/>
    <n v="0"/>
    <n v="0"/>
    <n v="7.67"/>
    <e v="#N/A"/>
    <e v="#N/A"/>
  </r>
  <r>
    <x v="17"/>
    <x v="2"/>
    <s v="Admin/HR/IT"/>
    <s v="AMCARE NonOcc In"/>
    <s v="AMZN"/>
    <n v="113014011"/>
    <s v="Robledo Barrientos,Logan"/>
    <s v="Hernandez,Nataly"/>
    <n v="0"/>
    <n v="0"/>
    <n v="0"/>
    <n v="0"/>
    <n v="0.24"/>
    <e v="#N/A"/>
    <e v="#N/A"/>
  </r>
  <r>
    <x v="17"/>
    <x v="2"/>
    <s v="Admin/HR/IT"/>
    <s v="AMCARE NonOcc In"/>
    <s v="AMZN"/>
    <n v="113014072"/>
    <s v="Rivera,Mariana"/>
    <s v="Corona Arriaga,Fernando"/>
    <n v="0"/>
    <n v="0"/>
    <n v="0"/>
    <n v="0"/>
    <n v="0.83"/>
    <e v="#N/A"/>
    <e v="#N/A"/>
  </r>
  <r>
    <x v="17"/>
    <x v="2"/>
    <s v="Admin/HR/IT"/>
    <s v="AMCARE NonOcc In"/>
    <s v="AMZN"/>
    <n v="113052151"/>
    <s v="Nieves Mendez,Laura"/>
    <s v="Gutierrez,Hector"/>
    <n v="0"/>
    <n v="0"/>
    <n v="0"/>
    <n v="0"/>
    <n v="0.15"/>
    <e v="#N/A"/>
    <s v="nilaurab"/>
  </r>
  <r>
    <x v="17"/>
    <x v="2"/>
    <s v="Admin/HR/IT"/>
    <s v="AMCARE NonOcc In"/>
    <s v="AMZN"/>
    <n v="200464838"/>
    <s v="Ortiz,Fernando"/>
    <s v="Corona Arriaga,Fernando"/>
    <n v="0"/>
    <n v="0"/>
    <n v="0"/>
    <n v="0"/>
    <n v="0.08"/>
    <e v="#N/A"/>
    <s v="ortfernj"/>
  </r>
  <r>
    <x v="17"/>
    <x v="2"/>
    <s v="Admin/HR/IT"/>
    <s v="AMCARE NonOcc In"/>
    <s v="AMZN"/>
    <n v="113003614"/>
    <s v="Palomino,Mariano"/>
    <s v="Romero Sanchez,Gustavo Gabriel"/>
    <n v="0"/>
    <n v="0"/>
    <n v="0"/>
    <n v="0"/>
    <n v="0.53"/>
    <e v="#N/A"/>
    <s v="ppalmari"/>
  </r>
  <r>
    <x v="17"/>
    <x v="2"/>
    <s v="Admin/HR/IT"/>
    <s v="AMCARE NonOcc In"/>
    <s v="TEMP"/>
    <n v="200554743"/>
    <s v="Rivera Hernandez,Liliana"/>
    <s v="Romero Sanchez,Gustavo Gabriel"/>
    <n v="0"/>
    <n v="0"/>
    <n v="0"/>
    <n v="0"/>
    <n v="0.36"/>
    <e v="#N/A"/>
    <e v="#N/A"/>
  </r>
  <r>
    <x v="17"/>
    <x v="2"/>
    <s v="Admin/HR/IT"/>
    <s v="AMCARE NonOcc In"/>
    <s v="TEMP"/>
    <n v="200615937"/>
    <s v="Martinez Gonzalez,Erik"/>
    <s v="Gomez Aguado,Jorge"/>
    <n v="0"/>
    <n v="0"/>
    <n v="0"/>
    <n v="0"/>
    <n v="0.11"/>
    <e v="#N/A"/>
    <e v="#N/A"/>
  </r>
  <r>
    <x v="17"/>
    <x v="2"/>
    <s v="Admin/HR/IT"/>
    <s v="AMCARE NonOcc In"/>
    <s v="AMZN"/>
    <n v="112980878"/>
    <s v="Romero Escobar,Gerardo"/>
    <s v="Ledezma,Fer"/>
    <n v="0"/>
    <n v="0"/>
    <n v="0"/>
    <n v="0"/>
    <n v="0.09"/>
    <e v="#N/A"/>
    <e v="#N/A"/>
  </r>
  <r>
    <x v="17"/>
    <x v="2"/>
    <s v="Admin/HR/IT"/>
    <s v="AMCARE NonOcc In"/>
    <s v="AMZN"/>
    <n v="112991248"/>
    <s v="Cabrera Velazquez,Sandy"/>
    <s v="Corona Arriaga,Fernando"/>
    <n v="0"/>
    <n v="0"/>
    <n v="0"/>
    <n v="0"/>
    <n v="0.13"/>
    <e v="#N/A"/>
    <e v="#N/A"/>
  </r>
  <r>
    <x v="17"/>
    <x v="2"/>
    <s v="Admin/HR/IT"/>
    <s v="AMCARE NonOcc In"/>
    <s v="TEMP"/>
    <n v="200552734"/>
    <s v="Santiago Ramirez,Six"/>
    <s v="Romero Sanchez,Gustavo Gabriel"/>
    <n v="0"/>
    <n v="0"/>
    <n v="0"/>
    <n v="0"/>
    <n v="1.1299999999999999"/>
    <e v="#N/A"/>
    <e v="#N/A"/>
  </r>
  <r>
    <x v="17"/>
    <x v="2"/>
    <s v="Admin/HR/IT"/>
    <s v="AMCARE NonOcc In"/>
    <s v="TEMP"/>
    <n v="200508315"/>
    <s v="Herrera,Aldair"/>
    <s v="Romero Sanchez,Gustavo Gabriel"/>
    <n v="0"/>
    <n v="0"/>
    <n v="0"/>
    <n v="0"/>
    <n v="0.12"/>
    <e v="#N/A"/>
    <s v="taldaher"/>
  </r>
  <r>
    <x v="17"/>
    <x v="2"/>
    <s v="Admin/HR/IT"/>
    <s v="AMCARE NonOcc In"/>
    <s v="AMZN"/>
    <n v="112980862"/>
    <s v="Tecla,Alejandro"/>
    <s v="Hernandez,Nataly"/>
    <n v="0"/>
    <n v="0"/>
    <n v="0"/>
    <n v="0"/>
    <n v="0.7"/>
    <e v="#N/A"/>
    <e v="#N/A"/>
  </r>
  <r>
    <x v="17"/>
    <x v="2"/>
    <s v="Admin/HR/IT"/>
    <s v="AMCARE NonOcc In"/>
    <s v="TEMP"/>
    <n v="200585084"/>
    <s v="Villafranca,Tessa"/>
    <s v="Olmos,Carmen"/>
    <n v="0"/>
    <n v="0"/>
    <n v="0"/>
    <n v="0"/>
    <n v="0.68"/>
    <e v="#N/A"/>
    <s v="tessajvi"/>
  </r>
  <r>
    <x v="17"/>
    <x v="2"/>
    <s v="Admin/HR/IT"/>
    <s v="AMCARE NonOcc In"/>
    <s v="AMZN"/>
    <n v="112912397"/>
    <s v="Neri Zuniga,Ricardo"/>
    <s v="Camarena,Grecia"/>
    <n v="0"/>
    <n v="0"/>
    <n v="0"/>
    <n v="0"/>
    <n v="0.13"/>
    <s v="D5-X0700"/>
    <s v="tjuandne"/>
  </r>
  <r>
    <x v="17"/>
    <x v="2"/>
    <s v="Admin/HR/IT"/>
    <s v="AMCARE NonOcc In"/>
    <s v="AMZN"/>
    <n v="112980835"/>
    <s v="Rojas  Cuellar,Jacqueline"/>
    <s v="Gutierrez,Hector"/>
    <n v="0"/>
    <n v="0"/>
    <n v="0"/>
    <n v="0"/>
    <n v="0.28000000000000003"/>
    <e v="#N/A"/>
    <e v="#N/A"/>
  </r>
  <r>
    <x v="17"/>
    <x v="2"/>
    <s v="Admin/HR/IT"/>
    <s v="AMCARE NonOcc In"/>
    <s v="AMZN"/>
    <n v="200404250"/>
    <s v="Hurtado,Caty"/>
    <s v="Hernandez,Nataly"/>
    <n v="0"/>
    <n v="0"/>
    <n v="0"/>
    <n v="0"/>
    <n v="1.02"/>
    <e v="#N/A"/>
    <s v="xcathurt"/>
  </r>
  <r>
    <x v="17"/>
    <x v="2"/>
    <s v="Admin/HR/IT"/>
    <s v="AMCARE NonOcc In"/>
    <s v="AMZN"/>
    <n v="112912049"/>
    <s v="Vazquez Rodriguez,Christian"/>
    <s v="Pizana,Diego"/>
    <n v="0"/>
    <n v="0"/>
    <n v="0"/>
    <n v="0"/>
    <n v="0.75"/>
    <s v="NF-X1900"/>
    <s v="zchvazqu"/>
  </r>
  <r>
    <x v="18"/>
    <x v="2"/>
    <s v="Admin/HR/IT"/>
    <s v="AMCARE NonOcc In"/>
    <s v="TEMP"/>
    <n v="200614224"/>
    <s v="Cruz Hernandez,Cris"/>
    <s v="Piedra,Valentina"/>
    <n v="0"/>
    <n v="0"/>
    <n v="0"/>
    <n v="0"/>
    <n v="1.03"/>
    <e v="#N/A"/>
    <e v="#N/A"/>
  </r>
  <r>
    <x v="18"/>
    <x v="2"/>
    <s v="Admin/HR/IT"/>
    <s v="AMCARE NonOcc In"/>
    <s v="TEMP"/>
    <n v="200508371"/>
    <s v="Perez,Georgina"/>
    <s v="Romero Sanchez,Gustavo Gabriel"/>
    <n v="0"/>
    <n v="0"/>
    <n v="0"/>
    <n v="0"/>
    <n v="1.52"/>
    <e v="#N/A"/>
    <e v="#N/A"/>
  </r>
  <r>
    <x v="18"/>
    <x v="2"/>
    <s v="Admin/HR/IT"/>
    <s v="AMCARE NonOcc In"/>
    <s v="AMZN"/>
    <n v="113003971"/>
    <s v="Garcia  Ramirez,Gabriel"/>
    <s v="Corona Arriaga,Fernando"/>
    <n v="0"/>
    <n v="0"/>
    <n v="0"/>
    <n v="0"/>
    <n v="0.11"/>
    <e v="#N/A"/>
    <s v="garamird"/>
  </r>
  <r>
    <x v="18"/>
    <x v="2"/>
    <s v="Admin/HR/IT"/>
    <s v="AMCARE NonOcc In"/>
    <s v="AMZN"/>
    <n v="113040583"/>
    <s v="Palomo,Lizbeth"/>
    <s v="Gomez,Abinadab"/>
    <n v="0"/>
    <n v="0"/>
    <n v="0"/>
    <n v="0"/>
    <n v="2.21"/>
    <e v="#N/A"/>
    <e v="#N/A"/>
  </r>
  <r>
    <x v="18"/>
    <x v="2"/>
    <s v="Admin/HR/IT"/>
    <s v="AMCARE NonOcc In"/>
    <s v="AMZN"/>
    <n v="112980846"/>
    <s v="Mojica  Gallardo,Jonathan"/>
    <s v="Robledo Ugarte,Alejandro"/>
    <n v="0"/>
    <n v="0"/>
    <n v="0"/>
    <n v="0"/>
    <n v="0.5"/>
    <e v="#N/A"/>
    <e v="#N/A"/>
  </r>
  <r>
    <x v="18"/>
    <x v="2"/>
    <s v="Admin/HR/IT"/>
    <s v="AMCARE NonOcc In"/>
    <s v="AMZN"/>
    <n v="113020463"/>
    <s v="Valtierra,Alejandra"/>
    <s v="Ledezma,Fer"/>
    <n v="0"/>
    <n v="0"/>
    <n v="0"/>
    <n v="0"/>
    <n v="0.39"/>
    <e v="#N/A"/>
    <s v="myriamav"/>
  </r>
  <r>
    <x v="18"/>
    <x v="2"/>
    <s v="Admin/HR/IT"/>
    <s v="AMCARE NonOcc In"/>
    <s v="AMZN"/>
    <n v="113020476"/>
    <s v="Puente Aguilar,Polette"/>
    <s v="Romero Sanchez,Gustavo Gabriel"/>
    <n v="0"/>
    <n v="0"/>
    <n v="0"/>
    <n v="0"/>
    <n v="0"/>
    <e v="#N/A"/>
    <s v="polettpu"/>
  </r>
  <r>
    <x v="18"/>
    <x v="2"/>
    <s v="Admin/HR/IT"/>
    <s v="AMCARE NonOcc In"/>
    <s v="TEMP"/>
    <n v="200554743"/>
    <s v="Rivera Hernandez,Liliana"/>
    <s v="Romero Sanchez,Gustavo Gabriel"/>
    <n v="0"/>
    <n v="0"/>
    <n v="0"/>
    <n v="0"/>
    <n v="1.84"/>
    <e v="#N/A"/>
    <e v="#N/A"/>
  </r>
  <r>
    <x v="18"/>
    <x v="2"/>
    <s v="Admin/HR/IT"/>
    <s v="AMCARE NonOcc In"/>
    <s v="AMZN"/>
    <n v="112920654"/>
    <s v="Horta,Julieta"/>
    <s v="Lopez,Alexa"/>
    <n v="0"/>
    <n v="0"/>
    <n v="0"/>
    <n v="0"/>
    <n v="0.18"/>
    <s v="DB-X0700"/>
    <s v="qhojulie"/>
  </r>
  <r>
    <x v="18"/>
    <x v="2"/>
    <s v="Admin/HR/IT"/>
    <s v="AMCARE NonOcc In"/>
    <s v="AMZN"/>
    <n v="113014042"/>
    <s v="Cervantes,Rose"/>
    <s v="Gomez,Abinadab"/>
    <n v="0"/>
    <n v="0"/>
    <n v="0"/>
    <n v="0"/>
    <n v="0.63"/>
    <e v="#N/A"/>
    <s v="rfcervan"/>
  </r>
  <r>
    <x v="18"/>
    <x v="2"/>
    <s v="Admin/HR/IT"/>
    <s v="AMCARE NonOcc In"/>
    <s v="AMZN"/>
    <n v="200463510"/>
    <s v="Macias,Rodrigo"/>
    <s v="Romero Sanchez,Gustavo Gabriel"/>
    <n v="0"/>
    <n v="0"/>
    <n v="0"/>
    <n v="0"/>
    <n v="0.12"/>
    <e v="#N/A"/>
    <s v="rodrmacj"/>
  </r>
  <r>
    <x v="18"/>
    <x v="2"/>
    <s v="Admin/HR/IT"/>
    <s v="AMCARE NonOcc In"/>
    <s v="TEMP"/>
    <n v="200552734"/>
    <m/>
    <s v="Romero Sanchez,Gustavo Gabriel"/>
    <n v="0"/>
    <n v="0"/>
    <n v="0"/>
    <n v="0"/>
    <n v="1.37"/>
    <e v="#N/A"/>
    <e v="#N/A"/>
  </r>
  <r>
    <x v="18"/>
    <x v="2"/>
    <s v="Admin/HR/IT"/>
    <s v="AMCARE NonOcc In"/>
    <s v="AMZN"/>
    <n v="113003627"/>
    <s v="Zavala,Diego"/>
    <s v="Gutierrez,Hector"/>
    <n v="0"/>
    <n v="0"/>
    <n v="0"/>
    <n v="0"/>
    <n v="0.24"/>
    <e v="#N/A"/>
    <e v="#N/A"/>
  </r>
  <r>
    <x v="19"/>
    <x v="2"/>
    <s v="Admin/HR/IT"/>
    <s v="AMCARE NonOcc In"/>
    <s v="TEMP"/>
    <n v="200615883"/>
    <s v="Ibarra Amaro,Adriana"/>
    <s v="Piedra,Valentina"/>
    <n v="0"/>
    <n v="0"/>
    <n v="0"/>
    <n v="0"/>
    <n v="0.45"/>
    <e v="#N/A"/>
    <e v="#N/A"/>
  </r>
  <r>
    <x v="19"/>
    <x v="2"/>
    <s v="Admin/HR/IT"/>
    <s v="AMCARE NonOcc In"/>
    <s v="AMZN"/>
    <n v="112971953"/>
    <s v="Aguirre Palomino,Ana"/>
    <s v="Lopez,Alexa"/>
    <n v="0"/>
    <n v="0"/>
    <n v="0"/>
    <n v="0"/>
    <n v="0.91"/>
    <s v="DB-X0700"/>
    <s v="anzpalom"/>
  </r>
  <r>
    <x v="19"/>
    <x v="2"/>
    <s v="Admin/HR/IT"/>
    <s v="AMCARE NonOcc In"/>
    <s v="TEMP"/>
    <n v="200614224"/>
    <s v="Cruz Hernandez,Cris"/>
    <s v="Piedra,Valentina"/>
    <n v="0"/>
    <n v="0"/>
    <n v="0"/>
    <n v="0"/>
    <n v="0.21"/>
    <e v="#N/A"/>
    <e v="#N/A"/>
  </r>
  <r>
    <x v="19"/>
    <x v="2"/>
    <s v="Admin/HR/IT"/>
    <s v="AMCARE NonOcc In"/>
    <s v="AMZN"/>
    <n v="113019083"/>
    <s v="Contreras,Marco"/>
    <s v="Piedra,Valentina"/>
    <n v="0"/>
    <n v="0"/>
    <n v="0"/>
    <n v="0"/>
    <n v="0.17"/>
    <e v="#N/A"/>
    <e v="#N/A"/>
  </r>
  <r>
    <x v="19"/>
    <x v="2"/>
    <s v="Admin/HR/IT"/>
    <s v="AMCARE NonOcc In"/>
    <s v="AMZN"/>
    <n v="112971962"/>
    <s v="Reyes  Montes de oca,Alejandra"/>
    <s v="Gutierrez,Hector"/>
    <n v="0"/>
    <n v="0"/>
    <n v="0"/>
    <n v="0"/>
    <n v="0.55000000000000004"/>
    <s v="DB-X0700"/>
    <s v="creyesal"/>
  </r>
  <r>
    <x v="19"/>
    <x v="2"/>
    <s v="Admin/HR/IT"/>
    <s v="AMCARE NonOcc In"/>
    <s v="AMZN"/>
    <n v="113040582"/>
    <s v="HERNANDEZ,GERARDO"/>
    <s v="Gutierrez,Hector"/>
    <n v="0"/>
    <n v="0"/>
    <n v="0"/>
    <n v="0"/>
    <n v="0.28999999999999998"/>
    <e v="#N/A"/>
    <s v="hgerardr"/>
  </r>
  <r>
    <x v="19"/>
    <x v="2"/>
    <s v="Admin/HR/IT"/>
    <s v="AMCARE NonOcc In"/>
    <s v="TEMP"/>
    <n v="200589316"/>
    <s v="Torres Zuniga,Daniel"/>
    <s v="Olmos,Carmen"/>
    <n v="0"/>
    <n v="0"/>
    <n v="0"/>
    <n v="0"/>
    <n v="0.27"/>
    <e v="#N/A"/>
    <e v="#N/A"/>
  </r>
  <r>
    <x v="19"/>
    <x v="2"/>
    <s v="Admin/HR/IT"/>
    <s v="AMCARE NonOcc In"/>
    <s v="AMZN"/>
    <n v="112980812"/>
    <s v="Jacobo,Mary"/>
    <s v="Piedra,Valentina"/>
    <n v="0"/>
    <n v="0"/>
    <n v="0"/>
    <n v="0"/>
    <n v="0.37"/>
    <s v="DA-X0700"/>
    <s v="maryjacp"/>
  </r>
  <r>
    <x v="19"/>
    <x v="2"/>
    <s v="Admin/HR/IT"/>
    <s v="AMCARE NonOcc In"/>
    <s v="AMZN"/>
    <n v="112980812"/>
    <s v="Jacobo,Mary"/>
    <s v="Piedra,Valentina"/>
    <n v="0"/>
    <n v="0"/>
    <n v="0"/>
    <n v="0"/>
    <n v="0.76"/>
    <s v="DA-X0700"/>
    <s v="maryjacp"/>
  </r>
  <r>
    <x v="19"/>
    <x v="2"/>
    <s v="Admin/HR/IT"/>
    <s v="AMCARE NonOcc In"/>
    <s v="AMZN"/>
    <n v="113020463"/>
    <s v="Valtierra,Alejandra"/>
    <s v="Ledezma,Fer"/>
    <n v="0"/>
    <n v="0"/>
    <n v="0"/>
    <n v="0"/>
    <n v="0.39"/>
    <e v="#N/A"/>
    <s v="myriamav"/>
  </r>
  <r>
    <x v="19"/>
    <x v="2"/>
    <s v="Admin/HR/IT"/>
    <s v="AMCARE NonOcc In"/>
    <s v="AMZN"/>
    <n v="111202227"/>
    <s v="Loya Torres,Omar"/>
    <s v="Garcia Espejel,Brenda Victoria"/>
    <n v="0"/>
    <n v="0"/>
    <n v="0"/>
    <n v="0"/>
    <n v="1.04"/>
    <e v="#N/A"/>
    <e v="#N/A"/>
  </r>
  <r>
    <x v="19"/>
    <x v="2"/>
    <s v="Admin/HR/IT"/>
    <s v="AMCARE NonOcc In"/>
    <s v="AMZN"/>
    <n v="112920655"/>
    <s v="Diaz de LeÃ³n,Paola"/>
    <s v="Pizana,Diego"/>
    <n v="0"/>
    <n v="0"/>
    <n v="0"/>
    <n v="0"/>
    <n v="0.37"/>
    <e v="#N/A"/>
    <e v="#N/A"/>
  </r>
  <r>
    <x v="19"/>
    <x v="2"/>
    <s v="Admin/HR/IT"/>
    <s v="AMCARE NonOcc In"/>
    <s v="AMZN"/>
    <n v="112972895"/>
    <s v="Perez Vargas,Carlos"/>
    <s v="Lopez,Alexa"/>
    <n v="0"/>
    <n v="0"/>
    <n v="0"/>
    <n v="0"/>
    <n v="0.45"/>
    <e v="#N/A"/>
    <e v="#N/A"/>
  </r>
  <r>
    <x v="19"/>
    <x v="2"/>
    <s v="Admin/HR/IT"/>
    <s v="AMCARE NonOcc In"/>
    <s v="TEMP"/>
    <n v="200625517"/>
    <s v="RamÃ­rez,Miranda"/>
    <s v="Gutierrez,Hector"/>
    <n v="0"/>
    <n v="0"/>
    <n v="0"/>
    <n v="0"/>
    <n v="0.98"/>
    <e v="#N/A"/>
    <e v="#N/A"/>
  </r>
  <r>
    <x v="19"/>
    <x v="2"/>
    <s v="Admin/HR/IT"/>
    <s v="AMCARE NonOcc In"/>
    <s v="TEMP"/>
    <n v="200562154"/>
    <s v="Reyes Muniz,Cristian"/>
    <s v="Gomez,Abinadab"/>
    <n v="0"/>
    <n v="0"/>
    <n v="0"/>
    <n v="0"/>
    <n v="0.48"/>
    <e v="#N/A"/>
    <s v="reyesmcw"/>
  </r>
  <r>
    <x v="19"/>
    <x v="2"/>
    <s v="Admin/HR/IT"/>
    <s v="AMCARE NonOcc In"/>
    <s v="AMZN"/>
    <n v="113014042"/>
    <s v="Cervantes,Rose"/>
    <s v="Gomez,Abinadab"/>
    <n v="0"/>
    <n v="0"/>
    <n v="0"/>
    <n v="0"/>
    <n v="0.16"/>
    <e v="#N/A"/>
    <s v="rfcervan"/>
  </r>
  <r>
    <x v="19"/>
    <x v="2"/>
    <s v="Admin/HR/IT"/>
    <s v="AMCARE NonOcc In"/>
    <s v="AMZN"/>
    <n v="112972608"/>
    <s v="Hernandez Romo,Sam"/>
    <s v="Pizana,Diego"/>
    <n v="0"/>
    <n v="0"/>
    <n v="0"/>
    <n v="0"/>
    <n v="1.1499999999999999"/>
    <e v="#N/A"/>
    <e v="#N/A"/>
  </r>
  <r>
    <x v="19"/>
    <x v="2"/>
    <s v="Admin/HR/IT"/>
    <s v="AMCARE NonOcc In"/>
    <s v="TEMP"/>
    <n v="200564845"/>
    <s v="Barron,Abraham"/>
    <s v="Piedra,Valentina"/>
    <n v="0"/>
    <n v="0"/>
    <n v="0"/>
    <n v="0"/>
    <n v="0.2"/>
    <e v="#N/A"/>
    <e v="#N/A"/>
  </r>
  <r>
    <x v="19"/>
    <x v="2"/>
    <s v="Admin/HR/IT"/>
    <s v="AMCARE NonOcc In"/>
    <s v="AMZN"/>
    <n v="113003627"/>
    <s v="Zavala,Diego"/>
    <s v="Gutierrez,Hector"/>
    <n v="0"/>
    <n v="0"/>
    <n v="0"/>
    <n v="0"/>
    <n v="0.7"/>
    <e v="#N/A"/>
    <e v="#N/A"/>
  </r>
  <r>
    <x v="20"/>
    <x v="3"/>
    <s v="Admin/HR/IT"/>
    <s v="AMCARE NonOcc In"/>
    <s v="AMZN"/>
    <n v="112980899"/>
    <s v="Avila Cabrera,Ari"/>
    <s v="Gomez,Abinadab"/>
    <n v="0"/>
    <n v="0"/>
    <n v="0"/>
    <n v="0"/>
    <n v="0.33"/>
    <s v="NF-X1900"/>
    <s v="aravilac"/>
  </r>
  <r>
    <x v="20"/>
    <x v="3"/>
    <s v="Admin/HR/IT"/>
    <s v="AMCARE NonOcc In"/>
    <s v="AMZN"/>
    <n v="113019001"/>
    <s v="Lozano Hernandez,Donny"/>
    <s v="Robledo Ugarte,Alejandro"/>
    <n v="0"/>
    <n v="0"/>
    <n v="0"/>
    <n v="0"/>
    <n v="0.1"/>
    <e v="#N/A"/>
    <s v="dolozane"/>
  </r>
  <r>
    <x v="20"/>
    <x v="3"/>
    <s v="Admin/HR/IT"/>
    <s v="AMCARE NonOcc In"/>
    <s v="TEMP"/>
    <n v="200534518"/>
    <s v="Flores,Alejandro"/>
    <s v="Gomez,Abinadab"/>
    <n v="0"/>
    <n v="0"/>
    <n v="0"/>
    <n v="0"/>
    <n v="0.35"/>
    <e v="#N/A"/>
    <e v="#N/A"/>
  </r>
  <r>
    <x v="20"/>
    <x v="3"/>
    <s v="Admin/HR/IT"/>
    <s v="AMCARE NonOcc In"/>
    <s v="TEMP"/>
    <n v="200564895"/>
    <s v="Mendoza Corona,Brianda"/>
    <s v="Ledezma,Fer"/>
    <n v="0"/>
    <n v="0"/>
    <n v="0"/>
    <n v="0"/>
    <n v="0.57999999999999996"/>
    <e v="#N/A"/>
    <s v="hmendobr"/>
  </r>
  <r>
    <x v="20"/>
    <x v="3"/>
    <s v="Admin/HR/IT"/>
    <s v="AMCARE NonOcc In"/>
    <s v="AMZN"/>
    <n v="112920679"/>
    <s v="Vazquez,Israel"/>
    <s v="Munoz,Jonan"/>
    <n v="0"/>
    <n v="0"/>
    <n v="0"/>
    <n v="0"/>
    <n v="0.6"/>
    <e v="#N/A"/>
    <e v="#N/A"/>
  </r>
  <r>
    <x v="20"/>
    <x v="3"/>
    <s v="Admin/HR/IT"/>
    <s v="AMCARE NonOcc In"/>
    <s v="TEMP"/>
    <n v="200584282"/>
    <s v="Lopez Nieto,Denisse"/>
    <s v="Ledezma,Fer"/>
    <n v="0"/>
    <n v="0"/>
    <n v="0"/>
    <n v="0"/>
    <n v="0.48"/>
    <e v="#N/A"/>
    <s v="ldianade"/>
  </r>
  <r>
    <x v="20"/>
    <x v="3"/>
    <s v="Admin/HR/IT"/>
    <s v="AMCARE NonOcc In"/>
    <s v="AMZN"/>
    <n v="112980812"/>
    <s v="Jacobo,Mary"/>
    <s v="Piedra,Valentina"/>
    <n v="0"/>
    <n v="0"/>
    <n v="0"/>
    <n v="0"/>
    <n v="0.33"/>
    <s v="DA-X0700"/>
    <s v="maryjacp"/>
  </r>
  <r>
    <x v="20"/>
    <x v="3"/>
    <s v="Admin/HR/IT"/>
    <s v="AMCARE NonOcc In"/>
    <s v="TEMP"/>
    <n v="112912007"/>
    <s v="Robledo Barrientos,Alondra"/>
    <s v="Robledo Ugarte,Alejandro"/>
    <n v="0"/>
    <n v="0"/>
    <n v="0"/>
    <n v="0"/>
    <n v="0.76"/>
    <e v="#N/A"/>
    <e v="#N/A"/>
  </r>
  <r>
    <x v="20"/>
    <x v="3"/>
    <s v="Admin/HR/IT"/>
    <s v="AMCARE NonOcc In"/>
    <s v="AMZN"/>
    <n v="112981014"/>
    <s v="Roldan Gutierrez,Pablo"/>
    <s v="Robledo Ugarte,Alejandro"/>
    <n v="0"/>
    <n v="0"/>
    <n v="0"/>
    <n v="0"/>
    <n v="0.15"/>
    <s v="DJ-X0700"/>
    <s v="rpabloul"/>
  </r>
  <r>
    <x v="20"/>
    <x v="3"/>
    <s v="Admin/HR/IT"/>
    <s v="AMCARE NonOcc In"/>
    <s v="AMZN"/>
    <n v="112980844"/>
    <s v="Padilla,Samantha"/>
    <s v="Robledo Ugarte,Alejandro"/>
    <n v="0"/>
    <n v="0"/>
    <n v="0"/>
    <n v="0"/>
    <n v="0.09"/>
    <s v="DA-X0700"/>
    <s v="samajpad"/>
  </r>
  <r>
    <x v="20"/>
    <x v="3"/>
    <s v="Admin/HR/IT"/>
    <s v="AMCARE NonOcc In"/>
    <s v="AMZN"/>
    <n v="112984097"/>
    <s v="Aguilera,Yaremi"/>
    <s v="Madrid Molina,Ramon"/>
    <n v="0"/>
    <n v="0"/>
    <n v="0"/>
    <n v="0"/>
    <n v="0.38"/>
    <e v="#N/A"/>
    <e v="#N/A"/>
  </r>
  <r>
    <x v="21"/>
    <x v="3"/>
    <s v="Admin/HR/IT"/>
    <s v="AMCARE NonOcc In"/>
    <s v="TEMP"/>
    <n v="112912007"/>
    <s v="Robledo Barrientos,Alondra"/>
    <s v="Robledo Ugarte,Alejandro"/>
    <n v="0"/>
    <n v="0"/>
    <n v="0"/>
    <n v="0"/>
    <n v="0.84"/>
    <e v="#N/A"/>
    <e v="#N/A"/>
  </r>
  <r>
    <x v="21"/>
    <x v="3"/>
    <s v="Admin/HR/IT"/>
    <s v="AMCARE NonOcc In"/>
    <s v="AMZN"/>
    <n v="112912201"/>
    <s v="Castillo Falcon,Sheyla"/>
    <s v="Madrid Molina,Ramon"/>
    <n v="0"/>
    <n v="0"/>
    <n v="0"/>
    <n v="0"/>
    <n v="0.24"/>
    <e v="#N/A"/>
    <e v="#N/A"/>
  </r>
  <r>
    <x v="21"/>
    <x v="3"/>
    <s v="Admin/HR/IT"/>
    <s v="AMCARE NonOcc In"/>
    <s v="AMZN"/>
    <n v="112912752"/>
    <s v="Valderrama Gomez,Leslie"/>
    <s v="Gomez,Abinadab"/>
    <n v="0"/>
    <n v="0"/>
    <n v="0"/>
    <n v="0"/>
    <n v="0.14000000000000001"/>
    <s v="NF-X1900"/>
    <s v="valderle"/>
  </r>
  <r>
    <x v="21"/>
    <x v="3"/>
    <s v="Admin/HR/IT"/>
    <s v="AMCARE NonOcc In"/>
    <s v="AMZN"/>
    <n v="112980847"/>
    <s v="Reyes,Jose"/>
    <s v="Robledo Ugarte,Alejandro"/>
    <n v="0"/>
    <n v="0"/>
    <n v="0"/>
    <n v="0"/>
    <n v="0.48"/>
    <e v="#N/A"/>
    <e v="#N/A"/>
  </r>
  <r>
    <x v="21"/>
    <x v="3"/>
    <s v="Admin/HR/IT"/>
    <s v="AMCARE NonOcc In"/>
    <s v="AMZN"/>
    <n v="112980862"/>
    <s v="Tecla,Alejandro"/>
    <s v="Hernandez,Nataly"/>
    <n v="0"/>
    <n v="0"/>
    <n v="0"/>
    <n v="0"/>
    <n v="0.84"/>
    <e v="#N/A"/>
    <e v="#N/A"/>
  </r>
  <r>
    <x v="21"/>
    <x v="3"/>
    <s v="Admin/HR/IT"/>
    <s v="AMCARE NonOcc In"/>
    <s v="AMZN"/>
    <n v="113003631"/>
    <s v="Ortega,Elizabeth"/>
    <s v="Gomez Aguado,Jorge"/>
    <n v="0"/>
    <n v="0"/>
    <n v="0"/>
    <n v="0"/>
    <n v="0.28999999999999998"/>
    <e v="#N/A"/>
    <e v="#N/A"/>
  </r>
  <r>
    <x v="21"/>
    <x v="3"/>
    <s v="Admin/HR/IT"/>
    <s v="AMCARE NonOcc In"/>
    <s v="AMZN"/>
    <n v="113014011"/>
    <s v="Robledo Barrientos,Logan"/>
    <s v="Hernandez,Nataly"/>
    <n v="0"/>
    <n v="0"/>
    <n v="0"/>
    <n v="0"/>
    <n v="0.67"/>
    <e v="#N/A"/>
    <e v="#N/A"/>
  </r>
  <r>
    <x v="21"/>
    <x v="3"/>
    <s v="Admin/HR/IT"/>
    <s v="AMCARE NonOcc In"/>
    <s v="AMZN"/>
    <n v="113014194"/>
    <s v="Flores Lopez,Ricardo"/>
    <s v="Hernandez,Nataly"/>
    <n v="0"/>
    <n v="0"/>
    <n v="0"/>
    <n v="0"/>
    <n v="0.42"/>
    <e v="#N/A"/>
    <e v="#N/A"/>
  </r>
  <r>
    <x v="21"/>
    <x v="3"/>
    <s v="Admin/HR/IT"/>
    <s v="AMCARE NonOcc In"/>
    <s v="AMZN"/>
    <n v="113018997"/>
    <s v="Rodriguez Ponce,Gaby"/>
    <s v="Gomez,Abinadab"/>
    <n v="0"/>
    <n v="0"/>
    <n v="0"/>
    <n v="0"/>
    <n v="1.73"/>
    <e v="#N/A"/>
    <e v="#N/A"/>
  </r>
  <r>
    <x v="21"/>
    <x v="3"/>
    <s v="Admin/HR/IT"/>
    <s v="AMCARE NonOcc In"/>
    <s v="AMZN"/>
    <n v="113019055"/>
    <s v="Lopez Gutierrez,Jorge"/>
    <s v="Hernandez,Nataly"/>
    <n v="0"/>
    <n v="0"/>
    <n v="0"/>
    <n v="0"/>
    <n v="0.57999999999999996"/>
    <e v="#N/A"/>
    <s v="jhlopezg"/>
  </r>
  <r>
    <x v="21"/>
    <x v="3"/>
    <s v="Admin/HR/IT"/>
    <s v="AMCARE NonOcc In"/>
    <s v="AMZN"/>
    <n v="113101453"/>
    <s v="Isaac,Geovanna"/>
    <s v="Madrid Molina,Ramon"/>
    <n v="0"/>
    <n v="0"/>
    <n v="0"/>
    <n v="0"/>
    <n v="0.13"/>
    <e v="#N/A"/>
    <s v="qisgeova"/>
  </r>
  <r>
    <x v="21"/>
    <x v="3"/>
    <s v="Admin/HR/IT"/>
    <s v="AMCARE NonOcc In"/>
    <s v="AMZN"/>
    <n v="200404250"/>
    <s v="Hurtado,Caty"/>
    <s v="Hernandez,Nataly"/>
    <n v="0"/>
    <n v="0"/>
    <n v="0"/>
    <n v="0"/>
    <n v="0.55000000000000004"/>
    <e v="#N/A"/>
    <s v="xcathurt"/>
  </r>
  <r>
    <x v="21"/>
    <x v="3"/>
    <s v="Admin/HR/IT"/>
    <s v="AMCARE NonOcc In"/>
    <s v="TEMP"/>
    <n v="200554743"/>
    <s v="Rivera Hernandez,Liliana"/>
    <s v="Romero Sanchez,Gustavo Gabriel"/>
    <n v="0"/>
    <n v="0"/>
    <n v="0"/>
    <n v="0"/>
    <n v="0.39"/>
    <e v="#N/A"/>
    <e v="#N/A"/>
  </r>
  <r>
    <x v="21"/>
    <x v="3"/>
    <s v="Admin/HR/IT"/>
    <s v="AMCARE NonOcc In"/>
    <s v="TEMP"/>
    <n v="200564895"/>
    <s v="Mendoza Corona,Brianda"/>
    <s v="Ledezma,Fer"/>
    <n v="0"/>
    <n v="0"/>
    <n v="0"/>
    <n v="0"/>
    <n v="0.22"/>
    <e v="#N/A"/>
    <s v="hmendobr"/>
  </r>
  <r>
    <x v="21"/>
    <x v="3"/>
    <s v="Admin/HR/IT"/>
    <s v="AMCARE NonOcc In"/>
    <s v="TEMP"/>
    <n v="200584282"/>
    <s v="Lopez Nieto,Denisse"/>
    <s v="Ledezma,Fer"/>
    <n v="0"/>
    <n v="0"/>
    <n v="0"/>
    <n v="0"/>
    <n v="0.25"/>
    <e v="#N/A"/>
    <s v="ldianade"/>
  </r>
  <r>
    <x v="21"/>
    <x v="3"/>
    <s v="Admin/HR/IT"/>
    <s v="AMCARE NonOcc In"/>
    <s v="TEMP"/>
    <n v="200594875"/>
    <s v="Maldonado,Jose"/>
    <s v="Robledo Ugarte,Alejandro"/>
    <n v="0"/>
    <n v="0"/>
    <n v="0"/>
    <n v="0"/>
    <n v="0.14000000000000001"/>
    <e v="#N/A"/>
    <s v="jwmaldon"/>
  </r>
  <r>
    <x v="22"/>
    <x v="3"/>
    <s v="Admin/HR/IT"/>
    <s v="AMCARE NonOcc In"/>
    <s v="AMZN"/>
    <n v="112912163"/>
    <s v="Murillo,Alejandro"/>
    <s v="Madrid Molina,Ramon"/>
    <n v="0"/>
    <n v="0"/>
    <n v="0"/>
    <n v="0"/>
    <n v="0.21"/>
    <e v="#N/A"/>
    <e v="#N/A"/>
  </r>
  <r>
    <x v="22"/>
    <x v="3"/>
    <s v="Admin/HR/IT"/>
    <s v="AMCARE NonOcc In"/>
    <s v="AMZN"/>
    <n v="112912464"/>
    <s v="Garcia Nicasio,Luis"/>
    <s v="Garcia Espejel,Brenda Victoria"/>
    <n v="0"/>
    <n v="0"/>
    <n v="0"/>
    <n v="0"/>
    <n v="4.0999999999999996"/>
    <e v="#N/A"/>
    <e v="#N/A"/>
  </r>
  <r>
    <x v="22"/>
    <x v="3"/>
    <s v="Admin/HR/IT"/>
    <s v="AMCARE NonOcc In"/>
    <s v="AMZN"/>
    <n v="112912752"/>
    <s v="Valderrama Gomez,Leslie"/>
    <s v="Gomez,Abinadab"/>
    <n v="0"/>
    <n v="0"/>
    <n v="0"/>
    <n v="0"/>
    <n v="0.21"/>
    <s v="NF-X1900"/>
    <s v="valderle"/>
  </r>
  <r>
    <x v="22"/>
    <x v="3"/>
    <s v="Admin/HR/IT"/>
    <s v="AMCARE NonOcc In"/>
    <s v="AMZN"/>
    <n v="112981201"/>
    <s v="Ramirez,Andrea"/>
    <s v="Ledezma,Fer"/>
    <n v="0"/>
    <n v="0"/>
    <n v="0"/>
    <n v="0"/>
    <n v="0.44"/>
    <e v="#N/A"/>
    <e v="#N/A"/>
  </r>
  <r>
    <x v="22"/>
    <x v="3"/>
    <s v="Admin/HR/IT"/>
    <s v="AMCARE NonOcc In"/>
    <s v="AMZN"/>
    <n v="112984097"/>
    <s v="Aguilera,Yaremi"/>
    <s v="Madrid Molina,Ramon"/>
    <n v="0"/>
    <n v="0"/>
    <n v="0"/>
    <n v="0"/>
    <n v="0.13"/>
    <e v="#N/A"/>
    <e v="#N/A"/>
  </r>
  <r>
    <x v="22"/>
    <x v="3"/>
    <s v="Admin/HR/IT"/>
    <s v="AMCARE NonOcc In"/>
    <s v="AMZN"/>
    <n v="113014011"/>
    <s v="Robledo Barrientos,Logan"/>
    <s v="Hernandez,Nataly"/>
    <n v="0"/>
    <n v="0"/>
    <n v="0"/>
    <n v="0"/>
    <n v="0.8"/>
    <e v="#N/A"/>
    <e v="#N/A"/>
  </r>
  <r>
    <x v="22"/>
    <x v="3"/>
    <s v="Admin/HR/IT"/>
    <s v="AMCARE NonOcc In"/>
    <s v="AMZN"/>
    <n v="113014046"/>
    <s v="Reyes Andrade,Oscar"/>
    <s v="Gomez Aguado,Jorge"/>
    <n v="0"/>
    <n v="0"/>
    <n v="0"/>
    <n v="0"/>
    <n v="0.25"/>
    <e v="#N/A"/>
    <e v="#N/A"/>
  </r>
  <r>
    <x v="22"/>
    <x v="3"/>
    <s v="Admin/HR/IT"/>
    <s v="AMCARE NonOcc In"/>
    <s v="AMZN"/>
    <n v="113014094"/>
    <s v="Mercado,Erika"/>
    <s v="Madrid Molina,Ramon"/>
    <n v="0"/>
    <n v="0"/>
    <n v="0"/>
    <n v="0"/>
    <n v="0.15"/>
    <e v="#N/A"/>
    <s v="erikaadm"/>
  </r>
  <r>
    <x v="22"/>
    <x v="3"/>
    <s v="Admin/HR/IT"/>
    <s v="AMCARE NonOcc In"/>
    <s v="AMZN"/>
    <n v="113014113"/>
    <s v="Sanchez Villegas,Benjamin"/>
    <s v="Ledezma,Fer"/>
    <n v="0"/>
    <n v="0"/>
    <n v="0"/>
    <n v="0"/>
    <n v="0.31"/>
    <e v="#N/A"/>
    <e v="#N/A"/>
  </r>
  <r>
    <x v="22"/>
    <x v="3"/>
    <s v="Admin/HR/IT"/>
    <s v="AMCARE NonOcc In"/>
    <s v="AMZN"/>
    <n v="113014402"/>
    <s v="Mendoza Estrada,Juan"/>
    <s v="Madrid Molina,Ramon"/>
    <n v="0"/>
    <n v="0"/>
    <n v="0"/>
    <n v="0"/>
    <n v="0.84"/>
    <e v="#N/A"/>
    <s v="umendoju"/>
  </r>
  <r>
    <x v="22"/>
    <x v="3"/>
    <s v="Admin/HR/IT"/>
    <s v="AMCARE NonOcc In"/>
    <s v="AMZN"/>
    <n v="113018997"/>
    <s v="Rodriguez Ponce,Gaby"/>
    <s v="Gomez,Abinadab"/>
    <n v="0"/>
    <n v="0"/>
    <n v="0"/>
    <n v="0"/>
    <n v="0.54"/>
    <e v="#N/A"/>
    <e v="#N/A"/>
  </r>
  <r>
    <x v="22"/>
    <x v="3"/>
    <s v="Admin/HR/IT"/>
    <s v="AMCARE NonOcc In"/>
    <s v="AMZN"/>
    <n v="113019111"/>
    <s v="Valdespino,Kelly"/>
    <s v="Ledezma,Fer"/>
    <n v="0"/>
    <n v="0"/>
    <n v="0"/>
    <n v="0"/>
    <n v="0.15"/>
    <e v="#N/A"/>
    <s v="valdkell"/>
  </r>
  <r>
    <x v="22"/>
    <x v="3"/>
    <s v="Admin/HR/IT"/>
    <s v="AMCARE NonOcc In"/>
    <s v="AMZN"/>
    <n v="200404250"/>
    <s v="Hurtado,Caty"/>
    <s v="Hernandez,Nataly"/>
    <n v="0"/>
    <n v="0"/>
    <n v="0"/>
    <n v="0"/>
    <n v="0.52"/>
    <e v="#N/A"/>
    <s v="xcathurt"/>
  </r>
  <r>
    <x v="22"/>
    <x v="3"/>
    <s v="Admin/HR/IT"/>
    <s v="AMCARE NonOcc In"/>
    <s v="TEMP"/>
    <n v="200534675"/>
    <s v="Munoz Macias,Juan Pablo"/>
    <s v="Piedra,Valentina"/>
    <n v="0"/>
    <n v="0"/>
    <n v="0"/>
    <n v="0"/>
    <n v="0.43"/>
    <e v="#N/A"/>
    <s v="juanpmun"/>
  </r>
  <r>
    <x v="22"/>
    <x v="3"/>
    <s v="Admin/HR/IT"/>
    <s v="AMCARE NonOcc In"/>
    <s v="TEMP"/>
    <n v="200564895"/>
    <s v="Mendoza Corona,Brianda"/>
    <s v="Ledezma,Fer"/>
    <n v="0"/>
    <n v="0"/>
    <n v="0"/>
    <n v="0"/>
    <n v="0.26"/>
    <e v="#N/A"/>
    <s v="hmendobr"/>
  </r>
  <r>
    <x v="22"/>
    <x v="3"/>
    <s v="Admin/HR/IT"/>
    <s v="AMCARE NonOcc In"/>
    <s v="TEMP"/>
    <n v="200625027"/>
    <s v="Rodriguez Gonzalez,Neidy"/>
    <s v="Madrid Molina,Ramon"/>
    <n v="0"/>
    <n v="0"/>
    <n v="0"/>
    <n v="0"/>
    <n v="0.03"/>
    <e v="#N/A"/>
    <e v="#N/A"/>
  </r>
  <r>
    <x v="23"/>
    <x v="3"/>
    <s v="Admin/HR/IT"/>
    <s v="AMCARE NonOcc In"/>
    <s v="AMZN"/>
    <n v="112912675"/>
    <s v="Alejandri Villagomez,Alejandra"/>
    <s v="Corona Arriaga,Fernando"/>
    <n v="0"/>
    <n v="0"/>
    <n v="0"/>
    <n v="0"/>
    <n v="0.2"/>
    <e v="#N/A"/>
    <e v="#N/A"/>
  </r>
  <r>
    <x v="23"/>
    <x v="3"/>
    <s v="Admin/HR/IT"/>
    <s v="AMCARE NonOcc In"/>
    <s v="AMZN"/>
    <n v="112912677"/>
    <s v="Gonzalez,Gustavo"/>
    <s v="Camarena,Grecia"/>
    <n v="0"/>
    <n v="0"/>
    <n v="0"/>
    <n v="0"/>
    <n v="0.01"/>
    <e v="#N/A"/>
    <e v="#N/A"/>
  </r>
  <r>
    <x v="23"/>
    <x v="3"/>
    <s v="Admin/HR/IT"/>
    <s v="AMCARE NonOcc In"/>
    <s v="AMZN"/>
    <n v="112912752"/>
    <s v="Valderrama Gomez,Leslie"/>
    <s v="Gomez,Abinadab"/>
    <n v="0"/>
    <n v="0"/>
    <n v="0"/>
    <n v="0"/>
    <n v="0.49"/>
    <s v="NF-X1900"/>
    <s v="valderle"/>
  </r>
  <r>
    <x v="23"/>
    <x v="3"/>
    <s v="Admin/HR/IT"/>
    <s v="AMCARE NonOcc In"/>
    <s v="AMZN"/>
    <n v="112951256"/>
    <s v="Ramirez Vallejo,Kateryne"/>
    <s v="Camarena,Grecia"/>
    <n v="0"/>
    <n v="0"/>
    <n v="0"/>
    <n v="0"/>
    <n v="0.21"/>
    <s v="DA-X0700"/>
    <s v="grkatery"/>
  </r>
  <r>
    <x v="23"/>
    <x v="3"/>
    <s v="Admin/HR/IT"/>
    <s v="AMCARE NonOcc In"/>
    <s v="AMZN"/>
    <n v="112971953"/>
    <s v="Aguirre Palomino,Ana"/>
    <s v="Lopez,Alexa"/>
    <n v="0"/>
    <n v="0"/>
    <n v="0"/>
    <n v="0"/>
    <n v="0.22"/>
    <s v="DB-X0700"/>
    <s v="anzpalom"/>
  </r>
  <r>
    <x v="23"/>
    <x v="3"/>
    <s v="Admin/HR/IT"/>
    <s v="AMCARE NonOcc In"/>
    <s v="AMZN"/>
    <n v="112980899"/>
    <s v="Avila Cabrera,Ari"/>
    <s v="Gomez,Abinadab"/>
    <n v="0"/>
    <n v="0"/>
    <n v="0"/>
    <n v="0"/>
    <n v="0.28999999999999998"/>
    <s v="NF-X1900"/>
    <s v="aravilac"/>
  </r>
  <r>
    <x v="23"/>
    <x v="3"/>
    <s v="Admin/HR/IT"/>
    <s v="AMCARE NonOcc In"/>
    <s v="AMZN"/>
    <n v="112981013"/>
    <s v="Lopez Neri,Norma"/>
    <s v="Robledo Ugarte,Alejandro"/>
    <n v="0"/>
    <n v="0"/>
    <n v="0"/>
    <n v="0"/>
    <n v="0.28000000000000003"/>
    <s v="DA-X0700"/>
    <s v="normaelo"/>
  </r>
  <r>
    <x v="23"/>
    <x v="3"/>
    <s v="Admin/HR/IT"/>
    <s v="AMCARE NonOcc In"/>
    <s v="AMZN"/>
    <n v="112981194"/>
    <s v="Camacho Delgado,Karina"/>
    <s v="Gomez,Abinadab"/>
    <n v="0"/>
    <n v="0"/>
    <n v="0"/>
    <n v="0"/>
    <n v="0.13"/>
    <s v="NF-X1900"/>
    <s v="csandrak"/>
  </r>
  <r>
    <x v="23"/>
    <x v="3"/>
    <s v="Admin/HR/IT"/>
    <s v="AMCARE NonOcc In"/>
    <s v="AMZN"/>
    <n v="113003637"/>
    <s v="Aguilera Calderon,Jose Maria"/>
    <s v="Romero Sanchez,Gustavo Gabriel"/>
    <n v="0"/>
    <n v="0"/>
    <n v="0"/>
    <n v="0"/>
    <n v="0.28999999999999998"/>
    <e v="#N/A"/>
    <e v="#N/A"/>
  </r>
  <r>
    <x v="23"/>
    <x v="3"/>
    <s v="Admin/HR/IT"/>
    <s v="AMCARE NonOcc In"/>
    <s v="AMZN"/>
    <n v="113004099"/>
    <s v="Partida,Luis"/>
    <s v="Romero Sanchez,Gustavo Gabriel"/>
    <n v="0"/>
    <n v="0"/>
    <n v="0"/>
    <n v="0"/>
    <n v="0.11"/>
    <e v="#N/A"/>
    <s v="partilum"/>
  </r>
  <r>
    <x v="23"/>
    <x v="3"/>
    <s v="Admin/HR/IT"/>
    <s v="AMCARE NonOcc In"/>
    <s v="AMZN"/>
    <n v="113141911"/>
    <s v="Larrazolo Pena,Ireri"/>
    <s v="Camarena,Grecia"/>
    <n v="0"/>
    <n v="0"/>
    <n v="0"/>
    <n v="0"/>
    <n v="0.66"/>
    <e v="#N/A"/>
    <e v="#N/A"/>
  </r>
  <r>
    <x v="23"/>
    <x v="3"/>
    <s v="Admin/HR/IT"/>
    <s v="AMCARE NonOcc In"/>
    <s v="AMZN"/>
    <n v="200463510"/>
    <s v="Macias,Rodrigo"/>
    <s v="Romero Sanchez,Gustavo Gabriel"/>
    <n v="0"/>
    <n v="0"/>
    <n v="0"/>
    <n v="0"/>
    <n v="0.14000000000000001"/>
    <e v="#N/A"/>
    <s v="rodrmacj"/>
  </r>
  <r>
    <x v="23"/>
    <x v="3"/>
    <s v="Admin/HR/IT"/>
    <s v="AMCARE NonOcc In"/>
    <s v="TEMP"/>
    <n v="200562868"/>
    <s v="Martinez Alvarez,Arturo"/>
    <s v="Gomez Aguado,Jorge"/>
    <n v="0"/>
    <n v="0"/>
    <n v="0"/>
    <n v="0"/>
    <n v="0.55000000000000004"/>
    <e v="#N/A"/>
    <e v="#N/A"/>
  </r>
  <r>
    <x v="23"/>
    <x v="3"/>
    <s v="Admin/HR/IT"/>
    <s v="AMCARE NonOcc In"/>
    <s v="TEMP"/>
    <n v="200620341"/>
    <s v="Camacho Ramirez,Carlos"/>
    <s v="Gomez Aguado,Jorge"/>
    <n v="0"/>
    <n v="0"/>
    <n v="0"/>
    <n v="0"/>
    <n v="0.42"/>
    <e v="#N/A"/>
    <e v="#N/A"/>
  </r>
  <r>
    <x v="23"/>
    <x v="3"/>
    <s v="Admin/HR/IT"/>
    <s v="AMCARE NonOcc In"/>
    <s v="AMZN"/>
    <n v="112920665"/>
    <s v="Rangel,Aguirre"/>
    <s v="Gutierrez,Hector"/>
    <n v="0"/>
    <n v="0"/>
    <n v="0"/>
    <n v="0"/>
    <n v="0.2"/>
    <s v="DB-X0700"/>
    <s v="aguirrak"/>
  </r>
  <r>
    <x v="23"/>
    <x v="3"/>
    <s v="Admin/HR/IT"/>
    <s v="AMCARE NonOcc In"/>
    <s v="AMZN"/>
    <n v="112980835"/>
    <s v="Rojas  Cuellar,Jacqueline"/>
    <s v="Gutierrez,Hector"/>
    <n v="0"/>
    <n v="0"/>
    <n v="0"/>
    <n v="0"/>
    <n v="0.46"/>
    <e v="#N/A"/>
    <e v="#N/A"/>
  </r>
  <r>
    <x v="23"/>
    <x v="3"/>
    <s v="Admin/HR/IT"/>
    <s v="AMCARE NonOcc In"/>
    <s v="AMZN"/>
    <n v="113014011"/>
    <s v="Robledo Barrientos,Logan"/>
    <s v="Hernandez,Nataly"/>
    <n v="0"/>
    <n v="0"/>
    <n v="0"/>
    <n v="0"/>
    <n v="0.97"/>
    <e v="#N/A"/>
    <e v="#N/A"/>
  </r>
  <r>
    <x v="23"/>
    <x v="3"/>
    <s v="Admin/HR/IT"/>
    <s v="AMCARE NonOcc In"/>
    <s v="AMZN"/>
    <n v="113014081"/>
    <s v="Frausto,Genesis"/>
    <s v="Ledezma,Fer"/>
    <n v="0"/>
    <n v="0"/>
    <n v="0"/>
    <n v="0"/>
    <n v="7.0000000000000007E-2"/>
    <e v="#N/A"/>
    <s v="fraugene"/>
  </r>
  <r>
    <x v="23"/>
    <x v="3"/>
    <s v="Admin/HR/IT"/>
    <s v="AMCARE NonOcc In"/>
    <s v="AMZN"/>
    <n v="200404250"/>
    <s v="Hurtado,Caty"/>
    <s v="Hernandez,Nataly"/>
    <n v="0"/>
    <n v="0"/>
    <n v="0"/>
    <n v="0"/>
    <n v="0.51"/>
    <e v="#N/A"/>
    <s v="xcathurt"/>
  </r>
  <r>
    <x v="23"/>
    <x v="3"/>
    <s v="Admin/HR/IT"/>
    <s v="AMCARE NonOcc In"/>
    <s v="TEMP"/>
    <n v="200588981"/>
    <s v="Romero,Maria"/>
    <s v="Ledezma,Fer"/>
    <n v="0"/>
    <n v="0"/>
    <n v="0"/>
    <n v="0"/>
    <n v="0.54"/>
    <e v="#N/A"/>
    <e v="#N/A"/>
  </r>
  <r>
    <x v="24"/>
    <x v="3"/>
    <s v="Admin/HR/IT"/>
    <s v="AMCARE NonOcc In"/>
    <s v="AMZN"/>
    <n v="112912464"/>
    <s v="Garcia Nicasio,Luis"/>
    <s v="Garcia Espejel,Brenda Victoria"/>
    <n v="0"/>
    <n v="0"/>
    <n v="0"/>
    <n v="0"/>
    <n v="1.28"/>
    <e v="#N/A"/>
    <e v="#N/A"/>
  </r>
  <r>
    <x v="24"/>
    <x v="3"/>
    <s v="Admin/HR/IT"/>
    <s v="AMCARE NonOcc In"/>
    <s v="AMZN"/>
    <n v="112912509"/>
    <s v="Gutierrez Portillo,Joceline"/>
    <s v="Madrid Molina,Ramon"/>
    <n v="0"/>
    <n v="0"/>
    <n v="0"/>
    <n v="0"/>
    <n v="0.39"/>
    <e v="#N/A"/>
    <e v="#N/A"/>
  </r>
  <r>
    <x v="24"/>
    <x v="3"/>
    <s v="Admin/HR/IT"/>
    <s v="AMCARE NonOcc In"/>
    <s v="AMZN"/>
    <n v="112980835"/>
    <s v="Rojas  Cuellar,Jacqueline"/>
    <s v="Gutierrez,Hector"/>
    <n v="0"/>
    <n v="0"/>
    <n v="0"/>
    <n v="0"/>
    <n v="1.61"/>
    <e v="#N/A"/>
    <e v="#N/A"/>
  </r>
  <r>
    <x v="24"/>
    <x v="3"/>
    <s v="Admin/HR/IT"/>
    <s v="AMCARE NonOcc In"/>
    <s v="AMZN"/>
    <n v="113014081"/>
    <s v="Frausto,Genesis"/>
    <s v="Ledezma,Fer"/>
    <n v="0"/>
    <n v="0"/>
    <n v="0"/>
    <n v="0"/>
    <n v="0.41"/>
    <e v="#N/A"/>
    <s v="fraugene"/>
  </r>
  <r>
    <x v="24"/>
    <x v="3"/>
    <s v="Admin/HR/IT"/>
    <s v="AMCARE NonOcc In"/>
    <s v="AMZN"/>
    <n v="113052151"/>
    <s v="Nieves Mendez,Laura"/>
    <s v="Gutierrez,Hector"/>
    <n v="0"/>
    <n v="0"/>
    <n v="0"/>
    <n v="0"/>
    <n v="0.23"/>
    <e v="#N/A"/>
    <s v="nilaurab"/>
  </r>
  <r>
    <x v="24"/>
    <x v="3"/>
    <s v="Admin/HR/IT"/>
    <s v="AMCARE NonOcc In"/>
    <s v="AMZN"/>
    <n v="200404250"/>
    <s v="Hurtado,Caty"/>
    <s v="Hernandez,Nataly"/>
    <n v="0"/>
    <n v="0"/>
    <n v="0"/>
    <n v="0"/>
    <n v="0.63"/>
    <e v="#N/A"/>
    <s v="xcathurt"/>
  </r>
  <r>
    <x v="24"/>
    <x v="3"/>
    <s v="Admin/HR/IT"/>
    <s v="Safety"/>
    <s v="AMZN"/>
    <n v="113040574"/>
    <s v="Hernandez Miranda,Reyna"/>
    <s v="Olmos,Carmen"/>
    <n v="0"/>
    <n v="0"/>
    <n v="0"/>
    <n v="0"/>
    <n v="0.25"/>
    <e v="#N/A"/>
    <e v="#N/A"/>
  </r>
  <r>
    <x v="24"/>
    <x v="3"/>
    <s v="Admin/HR/IT"/>
    <s v="AMCARE NonOcc In"/>
    <s v="AMZN"/>
    <n v="112971953"/>
    <s v="Aguirre Palomino,Ana"/>
    <s v="Lopez,Alexa"/>
    <n v="0"/>
    <n v="0"/>
    <n v="0"/>
    <n v="0"/>
    <n v="0.28000000000000003"/>
    <s v="DB-X0700"/>
    <s v="anzpalom"/>
  </r>
  <r>
    <x v="24"/>
    <x v="3"/>
    <s v="Admin/HR/IT"/>
    <s v="AMCARE NonOcc In"/>
    <s v="AMZN"/>
    <n v="112972524"/>
    <s v="Santibanez Garcia,Luisa"/>
    <s v="Lopez,Alexa"/>
    <n v="0"/>
    <n v="0"/>
    <n v="0"/>
    <n v="0"/>
    <n v="0.12"/>
    <s v="DB-X0700"/>
    <s v="csantibl"/>
  </r>
  <r>
    <x v="24"/>
    <x v="3"/>
    <s v="Admin/HR/IT"/>
    <s v="AMCARE NonOcc In"/>
    <s v="AMZN"/>
    <n v="112984442"/>
    <s v="Garcia,Mauricio Antonio De la lama"/>
    <s v="Gomez,Abinadab"/>
    <n v="0"/>
    <n v="0"/>
    <n v="0"/>
    <n v="0"/>
    <n v="0.32"/>
    <e v="#N/A"/>
    <e v="#N/A"/>
  </r>
  <r>
    <x v="24"/>
    <x v="3"/>
    <s v="Admin/HR/IT"/>
    <s v="AMCARE NonOcc In"/>
    <s v="AMZN"/>
    <n v="113020476"/>
    <s v="Puente Aguilar,Polette"/>
    <s v="Romero Sanchez,Gustavo Gabriel"/>
    <n v="0"/>
    <n v="0"/>
    <n v="0"/>
    <n v="0"/>
    <n v="0.15"/>
    <e v="#N/A"/>
    <s v="polettpu"/>
  </r>
  <r>
    <x v="24"/>
    <x v="3"/>
    <s v="Admin/HR/IT"/>
    <s v="AMCARE NonOcc In"/>
    <s v="AMZN"/>
    <n v="200464838"/>
    <s v="Ortiz,Fernando"/>
    <s v="Corona Arriaga,Fernando"/>
    <n v="0"/>
    <n v="0"/>
    <n v="0"/>
    <n v="0"/>
    <n v="0.1"/>
    <e v="#N/A"/>
    <s v="ortfernj"/>
  </r>
  <r>
    <x v="24"/>
    <x v="3"/>
    <s v="Admin/HR/IT"/>
    <s v="AMCARE NonOcc In"/>
    <s v="TEMP"/>
    <n v="200508315"/>
    <s v="Herrera,Aldair"/>
    <s v="Romero Sanchez,Gustavo Gabriel"/>
    <n v="0"/>
    <n v="0"/>
    <n v="0"/>
    <n v="0"/>
    <n v="0.45"/>
    <e v="#N/A"/>
    <s v="taldaher"/>
  </r>
  <r>
    <x v="25"/>
    <x v="3"/>
    <s v="Admin/HR/IT"/>
    <s v="AMCARE NonOcc In"/>
    <s v="AMZN"/>
    <n v="112912663"/>
    <s v="Segura,Lucero"/>
    <s v="Munoz,Jonan"/>
    <n v="0"/>
    <n v="0"/>
    <n v="0"/>
    <n v="0"/>
    <n v="0.84"/>
    <e v="#N/A"/>
    <e v="#N/A"/>
  </r>
  <r>
    <x v="25"/>
    <x v="3"/>
    <s v="Admin/HR/IT"/>
    <s v="AMCARE NonOcc In"/>
    <s v="AMZN"/>
    <n v="112971955"/>
    <s v="Perez Rodriguez,Luis"/>
    <s v="Garcia Espejel,Brenda Victoria"/>
    <n v="0"/>
    <n v="0"/>
    <n v="0"/>
    <n v="0"/>
    <n v="0.78"/>
    <e v="#N/A"/>
    <e v="#N/A"/>
  </r>
  <r>
    <x v="25"/>
    <x v="3"/>
    <s v="Admin/HR/IT"/>
    <s v="AMCARE NonOcc In"/>
    <s v="AMZN"/>
    <n v="112984442"/>
    <s v="Garcia,Mauricio Antonio De la lama"/>
    <s v="Gomez,Abinadab"/>
    <n v="0"/>
    <n v="0"/>
    <n v="0"/>
    <n v="0"/>
    <n v="0.18"/>
    <e v="#N/A"/>
    <e v="#N/A"/>
  </r>
  <r>
    <x v="25"/>
    <x v="3"/>
    <s v="Admin/HR/IT"/>
    <s v="AMCARE NonOcc In"/>
    <s v="AMZN"/>
    <n v="113003637"/>
    <s v="Aguilera Calderon,Jose Maria"/>
    <s v="Romero Sanchez,Gustavo Gabriel"/>
    <n v="0"/>
    <n v="0"/>
    <n v="0"/>
    <n v="0"/>
    <n v="1.1100000000000001"/>
    <e v="#N/A"/>
    <e v="#N/A"/>
  </r>
  <r>
    <x v="25"/>
    <x v="3"/>
    <s v="Admin/HR/IT"/>
    <s v="AMCARE NonOcc In"/>
    <s v="AMZN"/>
    <n v="113014092"/>
    <s v="Sanchez,Cristina"/>
    <s v="Romero Sanchez,Gustavo Gabriel"/>
    <n v="0"/>
    <n v="0"/>
    <n v="0"/>
    <n v="0"/>
    <n v="0.62"/>
    <e v="#N/A"/>
    <s v="rsanccri"/>
  </r>
  <r>
    <x v="25"/>
    <x v="3"/>
    <s v="Admin/HR/IT"/>
    <s v="AMCARE NonOcc In"/>
    <s v="AMZN"/>
    <n v="113020476"/>
    <s v="Puente Aguilar,Polette"/>
    <s v="Romero Sanchez,Gustavo Gabriel"/>
    <n v="0"/>
    <n v="0"/>
    <n v="0"/>
    <n v="0"/>
    <n v="0.33"/>
    <e v="#N/A"/>
    <s v="polettpu"/>
  </r>
  <r>
    <x v="25"/>
    <x v="3"/>
    <s v="Admin/HR/IT"/>
    <s v="AMCARE NonOcc In"/>
    <s v="AMZN"/>
    <n v="113044763"/>
    <s v="Urbina Avila,Stephany"/>
    <s v="Piedra,Valentina"/>
    <n v="0"/>
    <n v="0"/>
    <n v="0"/>
    <n v="0"/>
    <n v="0.11"/>
    <e v="#N/A"/>
    <s v="urbistep"/>
  </r>
  <r>
    <x v="25"/>
    <x v="3"/>
    <s v="Admin/HR/IT"/>
    <s v="AMCARE NonOcc In"/>
    <s v="TEMP"/>
    <n v="200508315"/>
    <s v="Herrera,Aldair"/>
    <s v="Romero Sanchez,Gustavo Gabriel"/>
    <n v="0"/>
    <n v="0"/>
    <n v="0"/>
    <n v="0"/>
    <n v="0.52"/>
    <e v="#N/A"/>
    <s v="taldaher"/>
  </r>
  <r>
    <x v="25"/>
    <x v="3"/>
    <s v="Admin/HR/IT"/>
    <s v="AMCARE NonOcc In"/>
    <s v="TEMP"/>
    <n v="200615883"/>
    <s v="Ibarra Amaro,Adriana"/>
    <s v="Piedra,Valentina"/>
    <n v="0"/>
    <n v="0"/>
    <n v="0"/>
    <n v="0"/>
    <n v="0.72"/>
    <e v="#N/A"/>
    <e v="#N/A"/>
  </r>
  <r>
    <x v="26"/>
    <x v="3"/>
    <s v="Admin/HR/IT"/>
    <s v="AMCARE NonOcc In"/>
    <s v="TEMP"/>
    <n v="200589316"/>
    <s v="Torres Zuniga,Daniel"/>
    <s v="Olmos,Carmen"/>
    <n v="0"/>
    <n v="0"/>
    <n v="0"/>
    <n v="0"/>
    <n v="0.08"/>
    <e v="#N/A"/>
    <e v="#N/A"/>
  </r>
  <r>
    <x v="26"/>
    <x v="3"/>
    <s v="Admin/HR/IT"/>
    <s v="AMCARE NonOcc In"/>
    <s v="AMZN"/>
    <n v="103427877"/>
    <s v="Alanis Hernandez,Patricia"/>
    <s v="Pizana,Diego"/>
    <n v="0"/>
    <n v="0"/>
    <n v="0"/>
    <n v="0"/>
    <n v="2.14"/>
    <e v="#N/A"/>
    <e v="#N/A"/>
  </r>
  <r>
    <x v="26"/>
    <x v="3"/>
    <s v="Admin/HR/IT"/>
    <s v="AMCARE NonOcc In"/>
    <s v="AMZN"/>
    <n v="112912983"/>
    <s v="RodrÃ­guez,RocÃ­o"/>
    <s v="Camarena,Grecia"/>
    <n v="0"/>
    <n v="0"/>
    <n v="0"/>
    <n v="0"/>
    <n v="0.14000000000000001"/>
    <s v="NF-X1900"/>
    <s v="wrocirod"/>
  </r>
  <r>
    <x v="26"/>
    <x v="3"/>
    <s v="Admin/HR/IT"/>
    <s v="AMCARE NonOcc In"/>
    <s v="AMZN"/>
    <n v="113003627"/>
    <s v="Zavala,Diego"/>
    <s v="Gutierrez,Hector"/>
    <n v="0"/>
    <n v="0"/>
    <n v="0"/>
    <n v="0"/>
    <n v="0.27"/>
    <e v="#N/A"/>
    <e v="#N/A"/>
  </r>
  <r>
    <x v="26"/>
    <x v="3"/>
    <s v="Admin/HR/IT"/>
    <s v="AMCARE NonOcc In"/>
    <s v="AMZN"/>
    <n v="113003691"/>
    <s v="Angeles,Fernando"/>
    <s v="Gutierrez,Hector"/>
    <n v="0"/>
    <n v="0"/>
    <n v="0"/>
    <n v="0"/>
    <n v="0.28999999999999998"/>
    <e v="#N/A"/>
    <e v="#N/A"/>
  </r>
  <r>
    <x v="26"/>
    <x v="3"/>
    <s v="Admin/HR/IT"/>
    <s v="AMCARE NonOcc In"/>
    <s v="AMZN"/>
    <n v="113003692"/>
    <s v="Vega,Bruno"/>
    <s v="Morales Beristain,Sugeyt"/>
    <n v="0"/>
    <n v="0"/>
    <n v="0"/>
    <n v="0"/>
    <n v="0.97"/>
    <e v="#N/A"/>
    <e v="#N/A"/>
  </r>
  <r>
    <x v="26"/>
    <x v="3"/>
    <s v="Admin/HR/IT"/>
    <s v="AMCARE NonOcc In"/>
    <s v="AMZN"/>
    <n v="113004099"/>
    <s v="Partida,Luis"/>
    <s v="Romero Sanchez,Gustavo Gabriel"/>
    <n v="0"/>
    <n v="0"/>
    <n v="0"/>
    <n v="0"/>
    <n v="0.69"/>
    <e v="#N/A"/>
    <s v="partilum"/>
  </r>
  <r>
    <x v="26"/>
    <x v="3"/>
    <s v="Admin/HR/IT"/>
    <s v="AMCARE NonOcc In"/>
    <s v="AMZN"/>
    <n v="113014072"/>
    <s v="Rivera,Mariana"/>
    <s v="Corona Arriaga,Fernando"/>
    <n v="0"/>
    <n v="0"/>
    <n v="0"/>
    <n v="0"/>
    <n v="0.21"/>
    <e v="#N/A"/>
    <e v="#N/A"/>
  </r>
  <r>
    <x v="26"/>
    <x v="3"/>
    <s v="Admin/HR/IT"/>
    <s v="AMCARE NonOcc In"/>
    <s v="AMZN"/>
    <n v="113040582"/>
    <s v="HERNANDEZ,GERARDO"/>
    <s v="Gutierrez,Hector"/>
    <n v="0"/>
    <n v="0"/>
    <n v="0"/>
    <n v="0"/>
    <n v="0.28999999999999998"/>
    <e v="#N/A"/>
    <s v="hgerardr"/>
  </r>
  <r>
    <x v="26"/>
    <x v="3"/>
    <s v="Admin/HR/IT"/>
    <s v="AMCARE NonOcc In"/>
    <s v="TEMP"/>
    <n v="200552734"/>
    <s v="Santiago Ramirez,Six"/>
    <s v="Romero Sanchez,Gustavo Gabriel"/>
    <n v="0"/>
    <n v="0"/>
    <n v="0"/>
    <n v="0"/>
    <n v="3.8"/>
    <e v="#N/A"/>
    <e v="#N/A"/>
  </r>
  <r>
    <x v="26"/>
    <x v="3"/>
    <s v="Admin/HR/IT"/>
    <s v="AMCARE NonOcc In"/>
    <s v="TEMP"/>
    <n v="200562154"/>
    <s v="Reyes Muniz,Cristian"/>
    <s v="Gomez,Abinadab"/>
    <n v="0"/>
    <n v="0"/>
    <n v="0"/>
    <n v="0"/>
    <n v="0.61"/>
    <e v="#N/A"/>
    <s v="reyesmcw"/>
  </r>
  <r>
    <x v="26"/>
    <x v="3"/>
    <s v="Admin/HR/IT"/>
    <s v="AMCARE NonOcc In"/>
    <s v="TEMP"/>
    <n v="200562268"/>
    <s v="Sanchez,Esiquio"/>
    <s v="Romero Sanchez,Gustavo Gabriel"/>
    <n v="0"/>
    <n v="0"/>
    <n v="0"/>
    <n v="0"/>
    <n v="0.6"/>
    <e v="#N/A"/>
    <e v="#N/A"/>
  </r>
  <r>
    <x v="26"/>
    <x v="3"/>
    <s v="Admin/HR/IT"/>
    <s v="AMCARE NonOcc In"/>
    <s v="TEMP"/>
    <n v="200589316"/>
    <s v="Torres Zuniga,Daniel"/>
    <s v="Morales Beristain,Sugeyt"/>
    <n v="0"/>
    <n v="0"/>
    <n v="0"/>
    <n v="0"/>
    <n v="0.08"/>
    <e v="#N/A"/>
    <e v="#N/A"/>
  </r>
  <r>
    <x v="26"/>
    <x v="3"/>
    <s v="Admin/HR/IT"/>
    <s v="AMCARE NonOcc In"/>
    <s v="TEMP"/>
    <n v="200614224"/>
    <s v="Cruz Hernandez,Cris"/>
    <s v="Piedra,Valentina"/>
    <n v="0"/>
    <n v="0"/>
    <n v="0"/>
    <n v="0"/>
    <n v="0.6"/>
    <e v="#N/A"/>
    <e v="#N/A"/>
  </r>
  <r>
    <x v="27"/>
    <x v="4"/>
    <s v="Admin/HR/IT"/>
    <s v="AMCARE NonOcc In"/>
    <s v="AMZN"/>
    <n v="112912663"/>
    <s v="Segura,Lucero"/>
    <s v="Munoz,Jonan"/>
    <n v="0"/>
    <n v="0"/>
    <n v="0"/>
    <n v="0"/>
    <n v="0.61"/>
    <e v="#N/A"/>
    <e v="#N/A"/>
  </r>
  <r>
    <x v="27"/>
    <x v="4"/>
    <s v="Admin/HR/IT"/>
    <s v="AMCARE NonOcc In"/>
    <s v="AMZN"/>
    <n v="112950800"/>
    <s v="Muniz,Viri"/>
    <s v="Munoz,Jonan"/>
    <n v="0"/>
    <n v="0"/>
    <n v="0"/>
    <n v="0"/>
    <n v="0.21"/>
    <s v="NF-X1900"/>
    <s v="virimuni"/>
  </r>
  <r>
    <x v="27"/>
    <x v="4"/>
    <s v="Admin/HR/IT"/>
    <s v="AMCARE NonOcc In"/>
    <s v="AMZN"/>
    <n v="113003692"/>
    <s v="Vega,Bruno"/>
    <s v="Morales Beristain,Sugeyt"/>
    <n v="0"/>
    <n v="0"/>
    <n v="0"/>
    <n v="0"/>
    <n v="0.15"/>
    <e v="#N/A"/>
    <e v="#N/A"/>
  </r>
  <r>
    <x v="27"/>
    <x v="4"/>
    <s v="Admin/HR/IT"/>
    <s v="AMCARE NonOcc In"/>
    <s v="AMZN"/>
    <n v="113014078"/>
    <s v="Nunez Lopez,Aldair"/>
    <s v="Hernandez,Nataly"/>
    <n v="0"/>
    <n v="0"/>
    <n v="0"/>
    <n v="0"/>
    <n v="0.37"/>
    <e v="#N/A"/>
    <s v="dnaldair"/>
  </r>
  <r>
    <x v="27"/>
    <x v="4"/>
    <s v="Admin/HR/IT"/>
    <s v="AMCARE NonOcc In"/>
    <s v="TEMP"/>
    <n v="200562251"/>
    <s v="Garcia Martinez,Alejandro"/>
    <s v="Gomez Aguado,Jorge"/>
    <n v="0"/>
    <n v="0"/>
    <n v="0"/>
    <n v="0"/>
    <n v="0.16"/>
    <e v="#N/A"/>
    <e v="#N/A"/>
  </r>
  <r>
    <x v="27"/>
    <x v="4"/>
    <s v="Admin/HR/IT"/>
    <s v="AMCARE NonOcc In"/>
    <s v="TEMP"/>
    <n v="200589316"/>
    <s v="Torres Zuniga,Daniel"/>
    <s v="Morales Beristain,Sugeyt"/>
    <n v="0"/>
    <n v="0"/>
    <n v="0"/>
    <n v="0"/>
    <n v="0.99"/>
    <e v="#N/A"/>
    <e v="#N/A"/>
  </r>
  <r>
    <x v="27"/>
    <x v="4"/>
    <s v="Admin/HR/IT"/>
    <s v="AMCARE NonOcc In"/>
    <s v="TEMP"/>
    <n v="200620024"/>
    <s v="Navarro,Miriam"/>
    <s v="Hernandez,Nataly"/>
    <n v="0"/>
    <n v="0"/>
    <n v="0"/>
    <n v="0"/>
    <n v="0.14000000000000001"/>
    <e v="#N/A"/>
    <e v="#N/A"/>
  </r>
  <r>
    <x v="28"/>
    <x v="4"/>
    <s v="Admin/HR/IT"/>
    <s v="AMCARE NonOcc In"/>
    <s v="AMZN"/>
    <n v="112976013"/>
    <s v="Garcia,Roberto"/>
    <s v="Munoz,Jonan"/>
    <n v="0"/>
    <n v="0"/>
    <n v="0"/>
    <n v="0"/>
    <n v="0.73"/>
    <e v="#N/A"/>
    <e v="#N/A"/>
  </r>
  <r>
    <x v="28"/>
    <x v="4"/>
    <s v="Admin/HR/IT"/>
    <s v="AMCARE NonOcc In"/>
    <s v="AMZN"/>
    <n v="112980862"/>
    <s v="Tecla,Alejandro"/>
    <s v="Hernandez,Nataly"/>
    <n v="0"/>
    <n v="0"/>
    <n v="0"/>
    <n v="0"/>
    <n v="0.16"/>
    <e v="#N/A"/>
    <e v="#N/A"/>
  </r>
  <r>
    <x v="28"/>
    <x v="4"/>
    <s v="Admin/HR/IT"/>
    <s v="AMCARE NonOcc In"/>
    <s v="AMZN"/>
    <n v="112980899"/>
    <s v="Avila Cabrera,Ari"/>
    <s v="Gomez,Abinadab"/>
    <n v="0"/>
    <n v="0"/>
    <n v="0"/>
    <n v="0"/>
    <n v="0.48"/>
    <s v="NF-X1900"/>
    <s v="aravilac"/>
  </r>
  <r>
    <x v="28"/>
    <x v="4"/>
    <s v="Admin/HR/IT"/>
    <s v="AMCARE NonOcc In"/>
    <s v="AMZN"/>
    <n v="112981014"/>
    <s v="Roldan Gutierrez,Pablo"/>
    <s v="Robledo Ugarte,Alejandro"/>
    <n v="0"/>
    <n v="0"/>
    <n v="0"/>
    <n v="0"/>
    <n v="0.3"/>
    <s v="DJ-X0700"/>
    <s v="rpabloul"/>
  </r>
  <r>
    <x v="28"/>
    <x v="4"/>
    <s v="Admin/HR/IT"/>
    <s v="AMCARE NonOcc In"/>
    <s v="AMZN"/>
    <n v="112981202"/>
    <s v="Zuniga Vazquez,Carlos"/>
    <s v="Gomez Aguado,Jorge"/>
    <n v="0"/>
    <n v="0"/>
    <n v="0"/>
    <n v="0"/>
    <n v="0.77"/>
    <e v="#N/A"/>
    <e v="#N/A"/>
  </r>
  <r>
    <x v="28"/>
    <x v="4"/>
    <s v="Admin/HR/IT"/>
    <s v="AMCARE NonOcc In"/>
    <s v="AMZN"/>
    <n v="112981212"/>
    <s v="Zanella Miranda,Alyson"/>
    <s v="Gutierrez,Hector"/>
    <n v="0"/>
    <n v="0"/>
    <n v="0"/>
    <n v="0"/>
    <n v="0.08"/>
    <e v="#N/A"/>
    <s v="alysonza"/>
  </r>
  <r>
    <x v="28"/>
    <x v="4"/>
    <s v="Admin/HR/IT"/>
    <s v="AMCARE NonOcc In"/>
    <s v="AMZN"/>
    <n v="112984442"/>
    <s v="Garcia,Mauricio Antonio De la lama"/>
    <s v="Gomez,Abinadab"/>
    <n v="0"/>
    <n v="0"/>
    <n v="0"/>
    <n v="0"/>
    <n v="0.33"/>
    <e v="#N/A"/>
    <e v="#N/A"/>
  </r>
  <r>
    <x v="28"/>
    <x v="4"/>
    <s v="Admin/HR/IT"/>
    <s v="AMCARE NonOcc In"/>
    <s v="AMZN"/>
    <n v="113014011"/>
    <s v="Robledo Barrientos,Logan"/>
    <s v="Hernandez,Nataly"/>
    <n v="0"/>
    <n v="0"/>
    <n v="0"/>
    <n v="0"/>
    <n v="0.28999999999999998"/>
    <e v="#N/A"/>
    <e v="#N/A"/>
  </r>
  <r>
    <x v="28"/>
    <x v="4"/>
    <s v="Admin/HR/IT"/>
    <s v="AMCARE NonOcc In"/>
    <s v="AMZN"/>
    <n v="113014113"/>
    <s v="Sanchez Villegas,Benjamin"/>
    <s v="Ledezma,Fer"/>
    <n v="0"/>
    <n v="0"/>
    <n v="0"/>
    <n v="0"/>
    <n v="0.28999999999999998"/>
    <e v="#N/A"/>
    <e v="#N/A"/>
  </r>
  <r>
    <x v="28"/>
    <x v="4"/>
    <s v="Admin/HR/IT"/>
    <s v="AMCARE NonOcc In"/>
    <s v="AMZN"/>
    <n v="113101453"/>
    <s v="Isaac,Geovanna"/>
    <s v="Madrid Molina,Ramon"/>
    <n v="0"/>
    <n v="0"/>
    <n v="0"/>
    <n v="0"/>
    <n v="0.26"/>
    <e v="#N/A"/>
    <s v="qisgeova"/>
  </r>
  <r>
    <x v="28"/>
    <x v="4"/>
    <s v="Admin/HR/IT"/>
    <s v="AMCARE NonOcc In"/>
    <s v="AMZN"/>
    <n v="200404250"/>
    <s v="Hurtado,Caty"/>
    <s v="Hernandez,Nataly"/>
    <n v="0"/>
    <n v="0"/>
    <n v="0"/>
    <n v="0"/>
    <n v="0.74"/>
    <e v="#N/A"/>
    <s v="xcathurt"/>
  </r>
  <r>
    <x v="28"/>
    <x v="4"/>
    <s v="Admin/HR/IT"/>
    <s v="AMCARE NonOcc In"/>
    <s v="TEMP"/>
    <n v="200514471"/>
    <s v="MARTNEZ,EMILIANO"/>
    <s v="Madrid Molina,Ramon"/>
    <n v="0"/>
    <n v="0"/>
    <n v="0"/>
    <n v="0"/>
    <n v="0.24"/>
    <e v="#N/A"/>
    <e v="#N/A"/>
  </r>
  <r>
    <x v="28"/>
    <x v="4"/>
    <s v="Admin/HR/IT"/>
    <s v="AMCARE NonOcc In"/>
    <s v="TEMP"/>
    <n v="200574329"/>
    <s v="Llamas,Jonathan"/>
    <s v="Madrid Molina,Ramon"/>
    <n v="0"/>
    <n v="0"/>
    <n v="0"/>
    <n v="0"/>
    <n v="0.32"/>
    <e v="#N/A"/>
    <e v="#N/A"/>
  </r>
  <r>
    <x v="28"/>
    <x v="4"/>
    <s v="Admin/HR/IT"/>
    <s v="AMCARE NonOcc In"/>
    <s v="TEMP"/>
    <n v="200620341"/>
    <s v="Camacho Ramirez,Carlos"/>
    <s v="Gomez Aguado,Jorge"/>
    <n v="0"/>
    <n v="0"/>
    <n v="0"/>
    <n v="0"/>
    <n v="0.72"/>
    <e v="#N/A"/>
    <e v="#N/A"/>
  </r>
  <r>
    <x v="29"/>
    <x v="4"/>
    <s v="Admin/HR/IT"/>
    <s v="AMCARE NonOcc In"/>
    <s v="TEMP"/>
    <n v="112912007"/>
    <s v="Robledo Barrientos,Alondra"/>
    <s v="Robledo Ugarte,Alejandro"/>
    <n v="0"/>
    <n v="0"/>
    <n v="0"/>
    <n v="0"/>
    <n v="0.38"/>
    <e v="#N/A"/>
    <e v="#N/A"/>
  </r>
  <r>
    <x v="29"/>
    <x v="4"/>
    <s v="Admin/HR/IT"/>
    <s v="AMCARE NonOcc In"/>
    <s v="AMZN"/>
    <n v="112912175"/>
    <s v="Padilla,Jandy"/>
    <s v="Hernandez,Nataly"/>
    <n v="0"/>
    <n v="0"/>
    <n v="0"/>
    <n v="0"/>
    <n v="0.35"/>
    <e v="#N/A"/>
    <e v="#N/A"/>
  </r>
  <r>
    <x v="29"/>
    <x v="4"/>
    <s v="Admin/HR/IT"/>
    <s v="AMCARE NonOcc In"/>
    <s v="AMZN"/>
    <n v="112912753"/>
    <s v="Padilla Abrego,Selene"/>
    <s v="Madrid Molina,Ramon"/>
    <n v="0"/>
    <n v="0"/>
    <n v="0"/>
    <n v="0"/>
    <n v="0.19"/>
    <e v="#N/A"/>
    <e v="#N/A"/>
  </r>
  <r>
    <x v="29"/>
    <x v="4"/>
    <s v="Admin/HR/IT"/>
    <s v="AMCARE NonOcc In"/>
    <s v="AMZN"/>
    <n v="112980846"/>
    <s v="Mojica  Gallardo,Jonathan"/>
    <s v="Robledo Ugarte,Alejandro"/>
    <n v="0"/>
    <n v="0"/>
    <n v="0"/>
    <n v="0"/>
    <n v="0.21"/>
    <e v="#N/A"/>
    <e v="#N/A"/>
  </r>
  <r>
    <x v="29"/>
    <x v="4"/>
    <s v="Admin/HR/IT"/>
    <s v="AMCARE NonOcc In"/>
    <s v="AMZN"/>
    <n v="112980847"/>
    <s v="Reyes,Jose"/>
    <s v="Robledo Ugarte,Alejandro"/>
    <n v="0"/>
    <n v="0"/>
    <n v="0"/>
    <n v="0"/>
    <n v="0.24"/>
    <e v="#N/A"/>
    <e v="#N/A"/>
  </r>
  <r>
    <x v="29"/>
    <x v="4"/>
    <s v="Admin/HR/IT"/>
    <s v="AMCARE NonOcc In"/>
    <s v="AMZN"/>
    <n v="112980862"/>
    <s v="Tecla,Alejandro"/>
    <s v="Hernandez,Nataly"/>
    <n v="0"/>
    <n v="0"/>
    <n v="0"/>
    <n v="0"/>
    <n v="0.47"/>
    <e v="#N/A"/>
    <e v="#N/A"/>
  </r>
  <r>
    <x v="29"/>
    <x v="4"/>
    <s v="Admin/HR/IT"/>
    <s v="AMCARE NonOcc In"/>
    <s v="AMZN"/>
    <n v="112981061"/>
    <s v="Olguin,Claudia"/>
    <s v="Hernandez,Nataly"/>
    <n v="0"/>
    <n v="0"/>
    <n v="0"/>
    <n v="0"/>
    <n v="0.56999999999999995"/>
    <s v="DA-X0700"/>
    <s v="mclaudol"/>
  </r>
  <r>
    <x v="29"/>
    <x v="4"/>
    <s v="Admin/HR/IT"/>
    <s v="AMCARE NonOcc In"/>
    <s v="AMZN"/>
    <n v="112991231"/>
    <s v="Lino,Luisa"/>
    <s v="Robledo Ugarte,Alejandro"/>
    <n v="0"/>
    <n v="0"/>
    <n v="0"/>
    <n v="0"/>
    <n v="0.56000000000000005"/>
    <e v="#N/A"/>
    <e v="#N/A"/>
  </r>
  <r>
    <x v="29"/>
    <x v="4"/>
    <s v="Admin/HR/IT"/>
    <s v="AMCARE NonOcc In"/>
    <s v="AMZN"/>
    <n v="112991321"/>
    <s v="Torres,Axel"/>
    <s v="Robledo Ugarte,Alejandro"/>
    <n v="0"/>
    <n v="0"/>
    <n v="0"/>
    <n v="0"/>
    <n v="0.31"/>
    <e v="#N/A"/>
    <e v="#N/A"/>
  </r>
  <r>
    <x v="29"/>
    <x v="4"/>
    <s v="Admin/HR/IT"/>
    <s v="AMCARE NonOcc In"/>
    <s v="AMZN"/>
    <n v="113014042"/>
    <s v="Cervantes,Rose"/>
    <s v="Gomez,Abinadab"/>
    <n v="0"/>
    <n v="0"/>
    <n v="0"/>
    <n v="0"/>
    <n v="0.11"/>
    <e v="#N/A"/>
    <s v="rfcervan"/>
  </r>
  <r>
    <x v="29"/>
    <x v="4"/>
    <s v="Admin/HR/IT"/>
    <s v="AMCARE NonOcc In"/>
    <s v="AMZN"/>
    <n v="113020463"/>
    <s v="Valtierra,Alejandra"/>
    <s v="Ledezma,Fer"/>
    <n v="0"/>
    <n v="0"/>
    <n v="0"/>
    <n v="0"/>
    <n v="0.27"/>
    <e v="#N/A"/>
    <s v="myriamav"/>
  </r>
  <r>
    <x v="29"/>
    <x v="4"/>
    <s v="Admin/HR/IT"/>
    <s v="AMCARE NonOcc In"/>
    <s v="AMZN"/>
    <n v="200404250"/>
    <s v="Hurtado,Caty"/>
    <s v="Hernandez,Nataly"/>
    <n v="0"/>
    <n v="0"/>
    <n v="0"/>
    <n v="0"/>
    <n v="0.09"/>
    <e v="#N/A"/>
    <s v="xcathurt"/>
  </r>
  <r>
    <x v="29"/>
    <x v="4"/>
    <s v="Admin/HR/IT"/>
    <s v="AMCARE NonOcc In"/>
    <s v="TEMP"/>
    <n v="200509428"/>
    <s v="Guevara Ramirez,Zayra Lorena"/>
    <s v="Madrid Molina,Ramon"/>
    <n v="0"/>
    <n v="0"/>
    <n v="0"/>
    <n v="0"/>
    <n v="0.23"/>
    <e v="#N/A"/>
    <e v="#N/A"/>
  </r>
  <r>
    <x v="29"/>
    <x v="4"/>
    <s v="Admin/HR/IT"/>
    <s v="AMCARE NonOcc In"/>
    <s v="TEMP"/>
    <n v="200514471"/>
    <s v="MARTNEZ,EMILIANO"/>
    <s v="Madrid Molina,Ramon"/>
    <n v="0"/>
    <n v="0"/>
    <n v="0"/>
    <n v="0"/>
    <n v="0.21"/>
    <e v="#N/A"/>
    <e v="#N/A"/>
  </r>
  <r>
    <x v="29"/>
    <x v="4"/>
    <s v="Admin/HR/IT"/>
    <s v="AMCARE NonOcc In"/>
    <s v="TEMP"/>
    <n v="200588981"/>
    <s v="Romero,Maria"/>
    <s v="Ledezma,Fer"/>
    <n v="0"/>
    <n v="0"/>
    <n v="0"/>
    <n v="0"/>
    <n v="0.27"/>
    <e v="#N/A"/>
    <e v="#N/A"/>
  </r>
  <r>
    <x v="30"/>
    <x v="4"/>
    <s v="Admin/HR/IT"/>
    <s v="AMCARE NonOcc In"/>
    <s v="TEMP"/>
    <n v="109227086"/>
    <s v="Tavares,Alejandra"/>
    <s v="Hernandez,Nataly"/>
    <n v="0"/>
    <n v="0"/>
    <n v="0"/>
    <n v="0"/>
    <n v="0.65"/>
    <e v="#N/A"/>
    <e v="#N/A"/>
  </r>
  <r>
    <x v="30"/>
    <x v="4"/>
    <s v="Admin/HR/IT"/>
    <s v="AMCARE NonOcc In"/>
    <s v="AMZN"/>
    <n v="112912509"/>
    <s v="Gutierrez Portillo,Joceline"/>
    <s v="Corona Arriaga,Fernando"/>
    <n v="0"/>
    <n v="0"/>
    <n v="0"/>
    <n v="0"/>
    <n v="0.32"/>
    <e v="#N/A"/>
    <e v="#N/A"/>
  </r>
  <r>
    <x v="30"/>
    <x v="4"/>
    <s v="Admin/HR/IT"/>
    <s v="AMCARE NonOcc In"/>
    <s v="AMZN"/>
    <n v="112916534"/>
    <s v="Esparza Sanchez,Areli"/>
    <s v="Gomez,Abinadab"/>
    <n v="0"/>
    <n v="0"/>
    <n v="0"/>
    <n v="0"/>
    <n v="0.18"/>
    <s v="DB-X0700"/>
    <s v="earelili"/>
  </r>
  <r>
    <x v="30"/>
    <x v="4"/>
    <s v="Admin/HR/IT"/>
    <s v="AMCARE NonOcc In"/>
    <s v="AMZN"/>
    <n v="112920654"/>
    <s v="Horta,Julieta"/>
    <s v="Lopez,Alexa"/>
    <n v="0"/>
    <n v="0"/>
    <n v="0"/>
    <n v="0"/>
    <n v="1.08"/>
    <s v="DB-X0700"/>
    <s v="qhojulie"/>
  </r>
  <r>
    <x v="30"/>
    <x v="4"/>
    <s v="Admin/HR/IT"/>
    <s v="AMCARE NonOcc In"/>
    <s v="AMZN"/>
    <n v="112920664"/>
    <s v="Alba,Samuel"/>
    <s v="Rosas Negrete,Sebastian"/>
    <n v="0"/>
    <n v="0"/>
    <n v="0"/>
    <n v="0"/>
    <n v="0.09"/>
    <s v="DA-X0700"/>
    <s v="samualbg"/>
  </r>
  <r>
    <x v="30"/>
    <x v="4"/>
    <s v="Admin/HR/IT"/>
    <s v="AMCARE NonOcc In"/>
    <s v="AMZN"/>
    <n v="112950784"/>
    <s v="Rojas,Samuel"/>
    <s v="Piedra,Valentina"/>
    <n v="0"/>
    <n v="0"/>
    <n v="0"/>
    <n v="0"/>
    <n v="5.0999999999999996"/>
    <s v="NF-X1900"/>
    <s v="sarojast"/>
  </r>
  <r>
    <x v="30"/>
    <x v="4"/>
    <s v="Admin/HR/IT"/>
    <s v="AMCARE NonOcc In"/>
    <s v="AMZN"/>
    <n v="112950795"/>
    <s v="Espinosa Espitia,Ali"/>
    <s v="Munoz,Jonan"/>
    <n v="0"/>
    <n v="0"/>
    <n v="0"/>
    <n v="0"/>
    <n v="0.13"/>
    <s v="DA-X0700"/>
    <s v="oespiali"/>
  </r>
  <r>
    <x v="30"/>
    <x v="4"/>
    <s v="Admin/HR/IT"/>
    <s v="AMCARE NonOcc In"/>
    <s v="AMZN"/>
    <n v="112971980"/>
    <s v="Romero,Daniel"/>
    <s v="Pizana,Diego"/>
    <n v="0"/>
    <n v="0"/>
    <n v="0"/>
    <n v="0"/>
    <n v="0.3"/>
    <s v="DC-X0700"/>
    <s v="cdanirom"/>
  </r>
  <r>
    <x v="30"/>
    <x v="4"/>
    <s v="Admin/HR/IT"/>
    <s v="AMCARE NonOcc In"/>
    <s v="AMZN"/>
    <n v="112980899"/>
    <s v="Avila Cabrera,Ari"/>
    <s v="Robledo Ugarte,Alejandro"/>
    <n v="0"/>
    <n v="0"/>
    <n v="0"/>
    <n v="0"/>
    <n v="0.18"/>
    <s v="NF-X1900"/>
    <s v="aravilac"/>
  </r>
  <r>
    <x v="30"/>
    <x v="4"/>
    <s v="Admin/HR/IT"/>
    <s v="AMCARE NonOcc In"/>
    <s v="AMZN"/>
    <n v="112981221"/>
    <s v="Perez Ramirez,Cesar"/>
    <s v="Piedra,Valentina"/>
    <n v="0"/>
    <n v="0"/>
    <n v="0"/>
    <n v="0"/>
    <n v="1.61"/>
    <e v="#N/A"/>
    <s v="spercesa"/>
  </r>
  <r>
    <x v="30"/>
    <x v="4"/>
    <s v="Admin/HR/IT"/>
    <s v="AMCARE NonOcc In"/>
    <s v="AMZN"/>
    <n v="112991231"/>
    <s v="Lino,Luisa"/>
    <s v="Robledo Ugarte,Alejandro"/>
    <n v="0"/>
    <n v="0"/>
    <n v="0"/>
    <n v="0"/>
    <n v="0.31"/>
    <e v="#N/A"/>
    <e v="#N/A"/>
  </r>
  <r>
    <x v="30"/>
    <x v="4"/>
    <s v="Admin/HR/IT"/>
    <s v="AMCARE NonOcc In"/>
    <s v="AMZN"/>
    <n v="113003627"/>
    <s v="Zavala,Diego"/>
    <s v="Ledezma,Fer"/>
    <n v="0"/>
    <n v="0"/>
    <n v="0"/>
    <n v="0"/>
    <n v="0.65"/>
    <e v="#N/A"/>
    <e v="#N/A"/>
  </r>
  <r>
    <x v="30"/>
    <x v="4"/>
    <s v="Admin/HR/IT"/>
    <s v="AMCARE NonOcc In"/>
    <s v="TEMP"/>
    <n v="200574329"/>
    <s v="Llamas,Jonathan"/>
    <s v="Corona Arriaga,Fernando"/>
    <n v="0"/>
    <n v="0"/>
    <n v="0"/>
    <n v="0"/>
    <n v="0.14000000000000001"/>
    <e v="#N/A"/>
    <e v="#N/A"/>
  </r>
  <r>
    <x v="31"/>
    <x v="4"/>
    <s v="Admin/HR/IT"/>
    <s v="AMCARE NonOcc In"/>
    <s v="TEMP"/>
    <n v="200565197"/>
    <s v="Avila,Mary"/>
    <s v="Piedra,Valentina"/>
    <n v="0"/>
    <n v="0"/>
    <n v="0"/>
    <n v="0"/>
    <n v="0.22"/>
    <e v="#N/A"/>
    <e v="#N/A"/>
  </r>
  <r>
    <x v="31"/>
    <x v="4"/>
    <s v="Admin/HR/IT"/>
    <s v="AMCARE NonOcc In"/>
    <s v="TEMP"/>
    <n v="200514471"/>
    <s v="MARTNEZ,EMILIANO"/>
    <s v="Corona Arriaga,Fernando"/>
    <n v="0"/>
    <n v="0"/>
    <n v="0"/>
    <n v="0"/>
    <n v="0.28999999999999998"/>
    <e v="#N/A"/>
    <e v="#N/A"/>
  </r>
  <r>
    <x v="31"/>
    <x v="4"/>
    <s v="Admin/HR/IT"/>
    <s v="AMCARE NonOcc In"/>
    <s v="AMZN"/>
    <n v="112971988"/>
    <s v="Trejo Tarango,Stephannie Del Rocio"/>
    <s v="Cortes,Alejandra"/>
    <n v="0"/>
    <n v="0"/>
    <n v="0"/>
    <n v="0"/>
    <n v="0.27"/>
    <s v="DB-X0700"/>
    <s v="fadtrejo"/>
  </r>
  <r>
    <x v="31"/>
    <x v="4"/>
    <s v="Admin/HR/IT"/>
    <s v="AMCARE NonOcc In"/>
    <s v="AMZN"/>
    <n v="113014194"/>
    <s v="Flores Lopez,Ricardo"/>
    <s v="Corona Arriaga,Fernando"/>
    <n v="0"/>
    <n v="0"/>
    <n v="0"/>
    <n v="0"/>
    <n v="0.25"/>
    <e v="#N/A"/>
    <e v="#N/A"/>
  </r>
  <r>
    <x v="31"/>
    <x v="4"/>
    <s v="Admin/HR/IT"/>
    <s v="AMCARE NonOcc In"/>
    <s v="AMZN"/>
    <n v="112984442"/>
    <s v="Garcia,Mauricio Antonio De la lama"/>
    <s v="Gomez,Abinadab"/>
    <n v="0"/>
    <n v="0"/>
    <n v="0"/>
    <n v="0"/>
    <n v="0.54"/>
    <e v="#N/A"/>
    <e v="#N/A"/>
  </r>
  <r>
    <x v="31"/>
    <x v="4"/>
    <s v="Admin/HR/IT"/>
    <s v="AMCARE NonOcc In"/>
    <s v="AMZN"/>
    <n v="112920666"/>
    <s v="Rocha,Jose"/>
    <s v="Cortes,Alejandra"/>
    <n v="0"/>
    <n v="0"/>
    <n v="0"/>
    <n v="0"/>
    <n v="0.1"/>
    <s v="D5-X0700"/>
    <s v="jorochai"/>
  </r>
  <r>
    <x v="31"/>
    <x v="4"/>
    <s v="Admin/HR/IT"/>
    <s v="AMCARE NonOcc In"/>
    <s v="AMZN"/>
    <n v="111434478"/>
    <s v="Gutierrez,Pame"/>
    <s v="Camarena,Grecia"/>
    <n v="0"/>
    <n v="0"/>
    <n v="0"/>
    <n v="0"/>
    <n v="0.91"/>
    <s v="DA-X0700"/>
    <s v="juanapam"/>
  </r>
  <r>
    <x v="31"/>
    <x v="4"/>
    <s v="Admin/HR/IT"/>
    <s v="Safety"/>
    <s v="AMZN"/>
    <n v="111434478"/>
    <s v="Gutierrez,Pame"/>
    <s v="Camarena,Grecia"/>
    <n v="0"/>
    <n v="0"/>
    <n v="0"/>
    <n v="0"/>
    <n v="1.7"/>
    <s v="DA-X0700"/>
    <s v="juanapam"/>
  </r>
  <r>
    <x v="31"/>
    <x v="4"/>
    <s v="Admin/HR/IT"/>
    <s v="AMCARE NonOcc In"/>
    <s v="AMZN"/>
    <n v="112912074"/>
    <s v="Hernandez Gutierrez,Lizeth"/>
    <s v="Pizana,Diego"/>
    <n v="0"/>
    <n v="0"/>
    <n v="0"/>
    <n v="0"/>
    <n v="1.52"/>
    <e v="#N/A"/>
    <e v="#N/A"/>
  </r>
  <r>
    <x v="31"/>
    <x v="4"/>
    <s v="Admin/HR/IT"/>
    <s v="AMCARE NonOcc In"/>
    <s v="AMZN"/>
    <n v="112912163"/>
    <s v="Murillo,Alejandro"/>
    <s v="Piedra,Valentina"/>
    <n v="0"/>
    <n v="0"/>
    <n v="0"/>
    <n v="0"/>
    <n v="0.21"/>
    <e v="#N/A"/>
    <e v="#N/A"/>
  </r>
  <r>
    <x v="31"/>
    <x v="4"/>
    <s v="Admin/HR/IT"/>
    <s v="AMCARE NonOcc In"/>
    <s v="TEMP"/>
    <n v="200514421"/>
    <s v="Padilla Abrego,Angeles"/>
    <s v="Piedra,Valentina"/>
    <n v="0"/>
    <n v="0"/>
    <n v="0"/>
    <n v="0"/>
    <n v="0.39"/>
    <e v="#N/A"/>
    <s v="padillms"/>
  </r>
  <r>
    <x v="31"/>
    <x v="4"/>
    <s v="Admin/HR/IT"/>
    <s v="AMCARE NonOcc In"/>
    <s v="AMZN"/>
    <n v="113020476"/>
    <s v="Puente Aguilar,Polette"/>
    <s v="Romero Sanchez,Gustavo Gabriel"/>
    <n v="0"/>
    <n v="0"/>
    <n v="0"/>
    <n v="0"/>
    <n v="1.9"/>
    <e v="#N/A"/>
    <s v="polettpu"/>
  </r>
  <r>
    <x v="31"/>
    <x v="4"/>
    <s v="Admin/HR/IT"/>
    <s v="AMCARE NonOcc In"/>
    <s v="TEMP"/>
    <n v="200554743"/>
    <s v="Rivera Hernandez,Liliana"/>
    <s v="Romero Sanchez,Gustavo Gabriel"/>
    <n v="0"/>
    <n v="0"/>
    <n v="0"/>
    <n v="0"/>
    <n v="0.79"/>
    <e v="#N/A"/>
    <e v="#N/A"/>
  </r>
  <r>
    <x v="31"/>
    <x v="4"/>
    <s v="Admin/HR/IT"/>
    <s v="AMCARE NonOcc In"/>
    <s v="AMZN"/>
    <n v="112972801"/>
    <s v="Garcia,Rea"/>
    <s v="Camarena,Grecia"/>
    <n v="0"/>
    <n v="0"/>
    <n v="0"/>
    <n v="0"/>
    <n v="0.46"/>
    <e v="#N/A"/>
    <e v="#N/A"/>
  </r>
  <r>
    <x v="31"/>
    <x v="4"/>
    <s v="Admin/HR/IT"/>
    <s v="AMCARE NonOcc In"/>
    <s v="AMZN"/>
    <n v="112981014"/>
    <s v="Roldan Gutierrez,Pablo"/>
    <s v="Robledo Ugarte,Alejandro"/>
    <n v="0"/>
    <n v="0"/>
    <n v="0"/>
    <n v="0"/>
    <n v="0.46"/>
    <s v="DJ-X0700"/>
    <s v="rpabloul"/>
  </r>
  <r>
    <x v="31"/>
    <x v="4"/>
    <s v="Admin/HR/IT"/>
    <s v="AMCARE NonOcc In"/>
    <s v="AMZN"/>
    <n v="112991248"/>
    <s v="Cabrera Velazquez,Sandy"/>
    <s v="Romero Sanchez,Gustavo Gabriel"/>
    <n v="0"/>
    <n v="0"/>
    <n v="0"/>
    <n v="0"/>
    <n v="1.1399999999999999"/>
    <e v="#N/A"/>
    <e v="#N/A"/>
  </r>
  <r>
    <x v="31"/>
    <x v="4"/>
    <s v="Admin/HR/IT"/>
    <s v="AMCARE NonOcc In"/>
    <s v="AMZN"/>
    <n v="112932733"/>
    <s v="Quiroga,Silvia"/>
    <s v="Romero Sanchez,Gustavo Gabriel"/>
    <n v="0"/>
    <n v="0"/>
    <n v="0"/>
    <n v="0"/>
    <n v="0.31"/>
    <e v="#N/A"/>
    <e v="#N/A"/>
  </r>
  <r>
    <x v="31"/>
    <x v="4"/>
    <s v="Admin/HR/IT"/>
    <s v="AMCARE NonOcc In"/>
    <s v="AMZN"/>
    <n v="112981221"/>
    <s v="Perez Ramirez,Cesar"/>
    <s v="Piedra,Valentina"/>
    <n v="0"/>
    <n v="0"/>
    <n v="0"/>
    <n v="0"/>
    <n v="0.28000000000000003"/>
    <e v="#N/A"/>
    <s v="spercesa"/>
  </r>
  <r>
    <x v="31"/>
    <x v="4"/>
    <s v="Admin/HR/IT"/>
    <s v="AMCARE NonOcc In"/>
    <s v="AMZN"/>
    <n v="113003609"/>
    <s v="Ornelas Valdes,Carlos"/>
    <s v="Gomez,Abinadab"/>
    <n v="0"/>
    <n v="0"/>
    <n v="0"/>
    <n v="0"/>
    <n v="14.03"/>
    <e v="#N/A"/>
    <e v="#N/A"/>
  </r>
  <r>
    <x v="31"/>
    <x v="4"/>
    <s v="Admin/HR/IT"/>
    <s v="AMCARE NonOcc In"/>
    <s v="AMZN"/>
    <n v="113019111"/>
    <s v="Valdespino,Kelly"/>
    <s v="Hernandez,Nataly"/>
    <n v="0"/>
    <n v="0"/>
    <n v="0"/>
    <n v="0"/>
    <n v="0.08"/>
    <e v="#N/A"/>
    <s v="valdkell"/>
  </r>
  <r>
    <x v="31"/>
    <x v="4"/>
    <s v="Admin/HR/IT"/>
    <s v="AMCARE NonOcc In"/>
    <s v="AMZN"/>
    <n v="200404250"/>
    <s v="Hurtado,Caty"/>
    <s v="Piedra,Valentina"/>
    <n v="0"/>
    <n v="0"/>
    <n v="0"/>
    <n v="0"/>
    <n v="0.71"/>
    <e v="#N/A"/>
    <s v="xcathurt"/>
  </r>
  <r>
    <x v="31"/>
    <x v="4"/>
    <s v="Admin/HR/IT"/>
    <s v="AMCARE NonOcc In"/>
    <s v="AMZN"/>
    <n v="113014560"/>
    <s v="Lopez Moreno,Americo"/>
    <s v="Ledezma,Fer"/>
    <n v="0"/>
    <n v="0"/>
    <n v="0"/>
    <n v="0"/>
    <n v="0"/>
    <e v="#N/A"/>
    <s v="zlopamer"/>
  </r>
  <r>
    <x v="32"/>
    <x v="4"/>
    <s v="Admin/HR/IT"/>
    <s v="AMCARE NonOcc In"/>
    <s v="TEMP"/>
    <n v="109227086"/>
    <s v="Tavares,Alejandra"/>
    <s v="Hernandez,Nataly"/>
    <n v="0"/>
    <n v="0"/>
    <n v="0"/>
    <n v="0"/>
    <n v="1.56"/>
    <e v="#N/A"/>
    <e v="#N/A"/>
  </r>
  <r>
    <x v="32"/>
    <x v="4"/>
    <s v="Admin/HR/IT"/>
    <s v="AMCARE NonOcc In"/>
    <s v="AMZN"/>
    <n v="111188907"/>
    <s v="Espina Miranda,Estrella"/>
    <s v="Lopez,Alexa"/>
    <n v="0"/>
    <n v="0"/>
    <n v="0"/>
    <n v="0"/>
    <n v="0.35"/>
    <e v="#N/A"/>
    <e v="#N/A"/>
  </r>
  <r>
    <x v="32"/>
    <x v="4"/>
    <s v="Admin/HR/IT"/>
    <s v="AMCARE NonOcc In"/>
    <s v="AMZN"/>
    <n v="111434478"/>
    <s v="Gutierrez,Pame"/>
    <s v="Camarena,Grecia"/>
    <n v="0"/>
    <n v="0"/>
    <n v="0"/>
    <n v="0"/>
    <n v="0.78"/>
    <s v="DA-X0700"/>
    <s v="juanapam"/>
  </r>
  <r>
    <x v="32"/>
    <x v="4"/>
    <s v="Admin/HR/IT"/>
    <s v="AMCARE NonOcc In"/>
    <s v="AMZN"/>
    <n v="112912046"/>
    <s v="Aguilar,Victor Manuel"/>
    <s v="Munoz,Jonan"/>
    <n v="0"/>
    <n v="0"/>
    <n v="0"/>
    <n v="0"/>
    <n v="0.24"/>
    <e v="#N/A"/>
    <e v="#N/A"/>
  </r>
  <r>
    <x v="32"/>
    <x v="4"/>
    <s v="Admin/HR/IT"/>
    <s v="AMCARE NonOcc In"/>
    <s v="AMZN"/>
    <n v="112920655"/>
    <s v="Diaz de LeÃ³n,Paola"/>
    <s v="Pizana,Diego"/>
    <n v="0"/>
    <n v="0"/>
    <n v="0"/>
    <n v="0"/>
    <n v="0.62"/>
    <e v="#N/A"/>
    <e v="#N/A"/>
  </r>
  <r>
    <x v="32"/>
    <x v="4"/>
    <s v="Admin/HR/IT"/>
    <s v="AMCARE NonOcc In"/>
    <s v="AMZN"/>
    <n v="112971953"/>
    <s v="Aguirre Palomino,Ana"/>
    <s v="Lopez,Alexa"/>
    <n v="0"/>
    <n v="0"/>
    <n v="0"/>
    <n v="0"/>
    <n v="8.0500000000000007"/>
    <s v="DB-X0700"/>
    <s v="anzpalom"/>
  </r>
  <r>
    <x v="32"/>
    <x v="4"/>
    <s v="Admin/HR/IT"/>
    <s v="AMCARE NonOcc In"/>
    <s v="AMZN"/>
    <n v="112971980"/>
    <s v="Romero,Daniel"/>
    <s v="Pizana,Diego"/>
    <n v="0"/>
    <n v="0"/>
    <n v="0"/>
    <n v="0"/>
    <n v="0.21"/>
    <s v="DC-X0700"/>
    <s v="cdanirom"/>
  </r>
  <r>
    <x v="32"/>
    <x v="4"/>
    <s v="Admin/HR/IT"/>
    <s v="AMCARE NonOcc In"/>
    <s v="AMZN"/>
    <n v="113014011"/>
    <s v="Robledo Barrientos,Logan"/>
    <s v="Hernandez,Nataly"/>
    <n v="0"/>
    <n v="0"/>
    <n v="0"/>
    <n v="0"/>
    <n v="0.86"/>
    <e v="#N/A"/>
    <e v="#N/A"/>
  </r>
  <r>
    <x v="32"/>
    <x v="4"/>
    <s v="Admin/HR/IT"/>
    <s v="AMCARE NonOcc In"/>
    <s v="AMZN"/>
    <n v="113020497"/>
    <s v="Martinez Ruiz,Diana"/>
    <s v="Piedra,Valentina"/>
    <n v="0"/>
    <n v="0"/>
    <n v="0"/>
    <n v="0"/>
    <n v="0.39"/>
    <e v="#N/A"/>
    <s v="diamartd"/>
  </r>
  <r>
    <x v="32"/>
    <x v="4"/>
    <s v="Admin/HR/IT"/>
    <s v="AMCARE NonOcc In"/>
    <s v="AMZN"/>
    <n v="113141911"/>
    <s v="Larrazolo Pena,Ireri"/>
    <s v="Camarena,Grecia"/>
    <n v="0"/>
    <n v="0"/>
    <n v="0"/>
    <n v="0"/>
    <n v="0.44"/>
    <e v="#N/A"/>
    <e v="#N/A"/>
  </r>
  <r>
    <x v="32"/>
    <x v="4"/>
    <s v="Admin/HR/IT"/>
    <s v="AMCARE NonOcc In"/>
    <s v="TEMP"/>
    <n v="200534675"/>
    <s v="Munoz Macias,Juan Pablo"/>
    <s v="Ledezma,Fer"/>
    <n v="0"/>
    <n v="0"/>
    <n v="0"/>
    <n v="0"/>
    <n v="0.24"/>
    <e v="#N/A"/>
    <s v="juanpmun"/>
  </r>
  <r>
    <x v="32"/>
    <x v="4"/>
    <s v="Admin/HR/IT"/>
    <s v="AMCARE NonOcc In"/>
    <s v="TEMP"/>
    <n v="200564835"/>
    <s v="Pardo,Fabian Oswaldo"/>
    <s v="Gomez,Abinadab"/>
    <n v="0"/>
    <n v="0"/>
    <n v="0"/>
    <n v="0"/>
    <n v="0.16"/>
    <e v="#N/A"/>
    <e v="#N/A"/>
  </r>
  <r>
    <x v="32"/>
    <x v="4"/>
    <s v="Admin/HR/IT"/>
    <s v="AMCARE NonOcc In"/>
    <s v="TEMP"/>
    <n v="200564845"/>
    <s v="Barron,Abraham"/>
    <s v="Piedra,Valentina"/>
    <n v="0"/>
    <n v="0"/>
    <n v="0"/>
    <n v="0"/>
    <n v="0.12"/>
    <e v="#N/A"/>
    <e v="#N/A"/>
  </r>
  <r>
    <x v="32"/>
    <x v="4"/>
    <s v="Admin/HR/IT"/>
    <s v="AMCARE NonOcc In"/>
    <s v="TEMP"/>
    <n v="200625528"/>
    <s v="Oliva,Lizbeth"/>
    <s v="Gomez Aguado,Jorge"/>
    <n v="0"/>
    <n v="0"/>
    <n v="0"/>
    <n v="0"/>
    <n v="0.21"/>
    <e v="#N/A"/>
    <s v="olivlizb"/>
  </r>
  <r>
    <x v="33"/>
    <x v="4"/>
    <s v="Admin/HR/IT"/>
    <s v="AMCARE NonOcc In"/>
    <s v="AMZN"/>
    <n v="112912983"/>
    <s v="RodrÃ­guez,RocÃ­o"/>
    <s v="Camarena,Grecia"/>
    <n v="0"/>
    <n v="0"/>
    <n v="0"/>
    <n v="0"/>
    <n v="0.14000000000000001"/>
    <s v="NF-X1900"/>
    <s v="wrocirod"/>
  </r>
  <r>
    <x v="33"/>
    <x v="4"/>
    <s v="Admin/HR/IT"/>
    <s v="AMCARE NonOcc In"/>
    <s v="AMZN"/>
    <n v="112916497"/>
    <s v="Ascencio Mendez,Israel Isaias"/>
    <s v="Lopez,Alexa"/>
    <n v="0"/>
    <n v="0"/>
    <n v="0"/>
    <n v="0"/>
    <n v="0.42"/>
    <e v="#N/A"/>
    <e v="#N/A"/>
  </r>
  <r>
    <x v="33"/>
    <x v="4"/>
    <s v="Admin/HR/IT"/>
    <s v="AMCARE NonOcc In"/>
    <s v="AMZN"/>
    <n v="112920654"/>
    <s v="Horta,Julieta"/>
    <s v="Lopez,Alexa"/>
    <n v="0"/>
    <n v="0"/>
    <n v="0"/>
    <n v="0"/>
    <n v="0.24"/>
    <s v="DB-X0700"/>
    <s v="qhojulie"/>
  </r>
  <r>
    <x v="33"/>
    <x v="4"/>
    <s v="Admin/HR/IT"/>
    <s v="AMCARE NonOcc In"/>
    <s v="AMZN"/>
    <n v="112971953"/>
    <s v="Aguirre Palomino,Ana"/>
    <s v="Lopez,Alexa"/>
    <n v="0"/>
    <n v="0"/>
    <n v="0"/>
    <n v="0"/>
    <n v="0.97"/>
    <s v="DB-X0700"/>
    <s v="anzpalom"/>
  </r>
  <r>
    <x v="33"/>
    <x v="4"/>
    <s v="Admin/HR/IT"/>
    <s v="AMCARE NonOcc In"/>
    <s v="AMZN"/>
    <n v="112972958"/>
    <s v="Gonzalez Gonzalez,Antonio"/>
    <s v="Cortes,Alejandra"/>
    <n v="0"/>
    <n v="0"/>
    <n v="0"/>
    <n v="0"/>
    <n v="0.45"/>
    <s v="D5-X0700"/>
    <s v="ugonzgui"/>
  </r>
  <r>
    <x v="33"/>
    <x v="4"/>
    <s v="Admin/HR/IT"/>
    <s v="AMCARE NonOcc In"/>
    <s v="AMZN"/>
    <n v="112991248"/>
    <s v="Cabrera Velazquez,Sandy"/>
    <s v="Romero Sanchez,Gustavo Gabriel"/>
    <n v="0"/>
    <n v="0"/>
    <n v="0"/>
    <n v="0"/>
    <n v="0.13"/>
    <e v="#N/A"/>
    <e v="#N/A"/>
  </r>
  <r>
    <x v="33"/>
    <x v="4"/>
    <s v="Admin/HR/IT"/>
    <s v="AMCARE NonOcc In"/>
    <s v="AMZN"/>
    <n v="113003609"/>
    <s v="Ornelas Valdes,Carlos"/>
    <s v="Gomez,Abinadab"/>
    <n v="0"/>
    <n v="0"/>
    <n v="0"/>
    <n v="0"/>
    <n v="0.11"/>
    <e v="#N/A"/>
    <e v="#N/A"/>
  </r>
  <r>
    <x v="34"/>
    <x v="5"/>
    <s v="Admin/HR/IT"/>
    <s v="AMCARE NonOcc In"/>
    <s v="AMZN"/>
    <n v="112533782"/>
    <s v="Galindo,Mirian"/>
    <s v="Gomez Aguado,Jorge"/>
    <n v="0"/>
    <n v="0"/>
    <n v="0"/>
    <n v="0"/>
    <n v="0.14000000000000001"/>
    <e v="#N/A"/>
    <e v="#N/A"/>
  </r>
  <r>
    <x v="34"/>
    <x v="5"/>
    <s v="Admin/HR/IT"/>
    <s v="AMCARE NonOcc In"/>
    <s v="AMZN"/>
    <n v="112950792"/>
    <s v="Morales Gonzalez,Genesis"/>
    <s v="Robledo Ugarte,Alejandro"/>
    <n v="0"/>
    <n v="0"/>
    <n v="0"/>
    <n v="0"/>
    <n v="0.16"/>
    <s v="NF-X1900"/>
    <s v="genevmor"/>
  </r>
  <r>
    <x v="34"/>
    <x v="5"/>
    <s v="Admin/HR/IT"/>
    <s v="AMCARE NonOcc In"/>
    <s v="AMZN"/>
    <n v="112980842"/>
    <s v="Ornelas,Karla"/>
    <s v="Robledo Ugarte,Alejandro"/>
    <n v="0"/>
    <n v="0"/>
    <n v="0"/>
    <n v="0"/>
    <n v="1.01"/>
    <e v="#N/A"/>
    <e v="#N/A"/>
  </r>
  <r>
    <x v="34"/>
    <x v="5"/>
    <s v="Admin/HR/IT"/>
    <s v="AMCARE NonOcc In"/>
    <s v="AMZN"/>
    <n v="112980843"/>
    <s v="Santos,Israel"/>
    <s v="Robledo Ugarte,Alejandro"/>
    <n v="0"/>
    <n v="0"/>
    <n v="0"/>
    <n v="0"/>
    <n v="0.17"/>
    <s v="DA-X0700"/>
    <s v="lsisrael"/>
  </r>
  <r>
    <x v="34"/>
    <x v="5"/>
    <s v="Admin/HR/IT"/>
    <s v="AMCARE NonOcc In"/>
    <s v="AMZN"/>
    <n v="113003691"/>
    <s v="Angeles,Fernando"/>
    <s v="Ledezma,Fer"/>
    <n v="0"/>
    <n v="0"/>
    <n v="0"/>
    <n v="0"/>
    <n v="0.16"/>
    <e v="#N/A"/>
    <e v="#N/A"/>
  </r>
  <r>
    <x v="34"/>
    <x v="5"/>
    <s v="Admin/HR/IT"/>
    <s v="AMCARE NonOcc In"/>
    <s v="AMZN"/>
    <n v="113018997"/>
    <s v="Rodriguez Ponce,Gaby"/>
    <s v="Robledo Ugarte,Alejandro"/>
    <n v="0"/>
    <n v="0"/>
    <n v="0"/>
    <n v="0"/>
    <n v="0.79"/>
    <e v="#N/A"/>
    <e v="#N/A"/>
  </r>
  <r>
    <x v="34"/>
    <x v="5"/>
    <s v="Admin/HR/IT"/>
    <s v="AMCARE NonOcc In"/>
    <s v="AMZN"/>
    <n v="113019083"/>
    <s v="Contreras,Marco"/>
    <s v="Madrid Molina,Ramon"/>
    <n v="0"/>
    <n v="0"/>
    <n v="0"/>
    <n v="0"/>
    <n v="0.1"/>
    <e v="#N/A"/>
    <e v="#N/A"/>
  </r>
  <r>
    <x v="34"/>
    <x v="5"/>
    <s v="Admin/HR/IT"/>
    <s v="AMCARE NonOcc In"/>
    <s v="AMZN"/>
    <n v="200404250"/>
    <s v="Hurtado,Caty"/>
    <s v="Piedra,Valentina"/>
    <n v="0"/>
    <n v="0"/>
    <n v="0"/>
    <n v="0"/>
    <n v="7.0000000000000007E-2"/>
    <e v="#N/A"/>
    <s v="xcathurt"/>
  </r>
  <r>
    <x v="34"/>
    <x v="5"/>
    <s v="Admin/HR/IT"/>
    <s v="AMCARE NonOcc In"/>
    <s v="TEMP"/>
    <n v="200615883"/>
    <s v="Ibarra Amaro,Adriana"/>
    <s v="Madrid Molina,Ramon"/>
    <n v="0"/>
    <n v="0"/>
    <n v="0"/>
    <n v="0"/>
    <n v="0.69"/>
    <e v="#N/A"/>
    <e v="#N/A"/>
  </r>
  <r>
    <x v="35"/>
    <x v="5"/>
    <s v="Admin/HR/IT"/>
    <s v="AMCARE NonOcc In"/>
    <s v="TEMP"/>
    <n v="109227086"/>
    <s v="Tavares,Alejandra"/>
    <s v="Hernandez,Nataly"/>
    <n v="0"/>
    <n v="0"/>
    <n v="0"/>
    <n v="0"/>
    <n v="0.54"/>
    <e v="#N/A"/>
    <e v="#N/A"/>
  </r>
  <r>
    <x v="35"/>
    <x v="5"/>
    <s v="Admin/HR/IT"/>
    <s v="AMCARE NonOcc In"/>
    <s v="AMZN"/>
    <n v="112912046"/>
    <s v="Aguilar,Victor Manuel"/>
    <s v="Munoz,Jonan"/>
    <n v="0"/>
    <n v="0"/>
    <n v="0"/>
    <n v="0"/>
    <n v="0.34"/>
    <e v="#N/A"/>
    <e v="#N/A"/>
  </r>
  <r>
    <x v="35"/>
    <x v="5"/>
    <s v="Admin/HR/IT"/>
    <s v="AMCARE NonOcc In"/>
    <s v="AMZN"/>
    <n v="112912050"/>
    <s v="Hernadez Serna,Said"/>
    <s v="Camarena,Grecia"/>
    <n v="0"/>
    <n v="0"/>
    <n v="0"/>
    <n v="0"/>
    <n v="2.14"/>
    <s v="DA-X0700"/>
    <s v="shernadt"/>
  </r>
  <r>
    <x v="35"/>
    <x v="5"/>
    <s v="Admin/HR/IT"/>
    <s v="AMCARE NonOcc In"/>
    <s v="AMZN"/>
    <n v="112912752"/>
    <s v="Valderrama Gomez,Leslie"/>
    <s v="Robledo Ugarte,Alejandro"/>
    <n v="0"/>
    <n v="0"/>
    <n v="0"/>
    <n v="0"/>
    <n v="0.06"/>
    <s v="NF-X1900"/>
    <s v="valderle"/>
  </r>
  <r>
    <x v="35"/>
    <x v="5"/>
    <s v="Admin/HR/IT"/>
    <s v="AMCARE NonOcc In"/>
    <s v="AMZN"/>
    <n v="112971965"/>
    <s v="Hernandez,Andrea"/>
    <s v="Romero Sanchez,Gustavo Gabriel"/>
    <n v="0"/>
    <n v="0"/>
    <n v="0"/>
    <n v="0"/>
    <n v="0.01"/>
    <e v="#N/A"/>
    <e v="#N/A"/>
  </r>
  <r>
    <x v="35"/>
    <x v="5"/>
    <s v="Admin/HR/IT"/>
    <s v="AMCARE NonOcc In"/>
    <s v="AMZN"/>
    <n v="112980842"/>
    <s v="Ornelas,Karla"/>
    <s v="Robledo Ugarte,Alejandro"/>
    <n v="0"/>
    <n v="0"/>
    <n v="0"/>
    <n v="0"/>
    <n v="0.28000000000000003"/>
    <e v="#N/A"/>
    <e v="#N/A"/>
  </r>
  <r>
    <x v="35"/>
    <x v="5"/>
    <s v="Admin/HR/IT"/>
    <s v="AMCARE NonOcc In"/>
    <s v="AMZN"/>
    <n v="112980843"/>
    <s v="Santos,Israel"/>
    <s v="Robledo Ugarte,Alejandro"/>
    <n v="0"/>
    <n v="0"/>
    <n v="0"/>
    <n v="0"/>
    <n v="0.13"/>
    <s v="DA-X0700"/>
    <s v="lsisrael"/>
  </r>
  <r>
    <x v="35"/>
    <x v="5"/>
    <s v="Admin/HR/IT"/>
    <s v="AMCARE NonOcc In"/>
    <s v="AMZN"/>
    <n v="112980847"/>
    <s v="Reyes,Jose"/>
    <s v="Robledo Ugarte,Alejandro"/>
    <n v="0"/>
    <n v="0"/>
    <n v="0"/>
    <n v="0"/>
    <n v="0.85"/>
    <e v="#N/A"/>
    <e v="#N/A"/>
  </r>
  <r>
    <x v="35"/>
    <x v="5"/>
    <s v="Admin/HR/IT"/>
    <s v="AMCARE NonOcc In"/>
    <s v="AMZN"/>
    <n v="112981221"/>
    <s v="Perez Ramirez,Cesar"/>
    <s v="Piedra,Valentina"/>
    <n v="0"/>
    <n v="0"/>
    <n v="0"/>
    <n v="0"/>
    <n v="0.28000000000000003"/>
    <e v="#N/A"/>
    <s v="spercesa"/>
  </r>
  <r>
    <x v="35"/>
    <x v="5"/>
    <s v="Admin/HR/IT"/>
    <s v="AMCARE NonOcc In"/>
    <s v="AMZN"/>
    <n v="113003631"/>
    <s v="Ortega,Elizabeth"/>
    <s v="Gomez Aguado,Jorge"/>
    <n v="0"/>
    <n v="0"/>
    <n v="0"/>
    <n v="0"/>
    <n v="0.1"/>
    <e v="#N/A"/>
    <e v="#N/A"/>
  </r>
  <r>
    <x v="35"/>
    <x v="5"/>
    <s v="Admin/HR/IT"/>
    <s v="AMCARE NonOcc In"/>
    <s v="AMZN"/>
    <n v="113014081"/>
    <s v="Frausto,Genesis"/>
    <s v="Piedra,Valentina"/>
    <n v="0"/>
    <n v="0"/>
    <n v="0"/>
    <n v="0"/>
    <n v="0.2"/>
    <e v="#N/A"/>
    <s v="fraugene"/>
  </r>
  <r>
    <x v="35"/>
    <x v="5"/>
    <s v="Admin/HR/IT"/>
    <s v="AMCARE NonOcc In"/>
    <s v="AMZN"/>
    <n v="113040582"/>
    <s v="HDZ,DEMON"/>
    <s v="Madrid Molina,Ramon"/>
    <n v="0"/>
    <n v="0"/>
    <n v="0"/>
    <n v="0"/>
    <n v="0.53"/>
    <e v="#N/A"/>
    <s v="hgerardr"/>
  </r>
  <r>
    <x v="35"/>
    <x v="5"/>
    <s v="Admin/HR/IT"/>
    <s v="AMCARE NonOcc In"/>
    <s v="AMZN"/>
    <n v="200404250"/>
    <s v="Hurtado,Caty"/>
    <s v="Piedra,Valentina"/>
    <n v="0"/>
    <n v="0"/>
    <n v="0"/>
    <n v="0"/>
    <n v="0.47"/>
    <e v="#N/A"/>
    <s v="xcathurt"/>
  </r>
  <r>
    <x v="36"/>
    <x v="5"/>
    <s v="Admin/HR/IT"/>
    <s v="AMCARE NonOcc In"/>
    <s v="AMZN"/>
    <n v="200406187"/>
    <s v="Sanchez,Alan"/>
    <s v="Hernandez,Nataly"/>
    <n v="0"/>
    <n v="0"/>
    <n v="0"/>
    <n v="0"/>
    <n v="0.43"/>
    <e v="#N/A"/>
    <e v="#N/A"/>
  </r>
  <r>
    <x v="35"/>
    <x v="5"/>
    <s v="Admin/HR/IT"/>
    <s v="AMCARE NonOcc In"/>
    <s v="AMZN"/>
    <n v="200408196"/>
    <s v="Hernandez Lara,Maggie"/>
    <s v="Piedra,Valentina"/>
    <n v="0"/>
    <n v="0"/>
    <n v="0"/>
    <n v="0"/>
    <n v="1.1599999999999999"/>
    <e v="#N/A"/>
    <e v="#N/A"/>
  </r>
  <r>
    <x v="35"/>
    <x v="5"/>
    <s v="Admin/HR/IT"/>
    <s v="AMCARE NonOcc In"/>
    <s v="TEMP"/>
    <n v="200509428"/>
    <s v="Guevara Ramirez,Zayra Lorena"/>
    <s v="Corona Arriaga,Fernando"/>
    <n v="0"/>
    <n v="0"/>
    <n v="0"/>
    <n v="0"/>
    <n v="0.24"/>
    <e v="#N/A"/>
    <e v="#N/A"/>
  </r>
  <r>
    <x v="35"/>
    <x v="5"/>
    <s v="Admin/HR/IT"/>
    <s v="AMCARE NonOcc In"/>
    <s v="TEMP"/>
    <n v="200574329"/>
    <s v="Llamas,Jonathan"/>
    <s v="Corona Arriaga,Fernando"/>
    <n v="0"/>
    <n v="0"/>
    <n v="0"/>
    <n v="0"/>
    <n v="0.39"/>
    <e v="#N/A"/>
    <e v="#N/A"/>
  </r>
  <r>
    <x v="37"/>
    <x v="5"/>
    <s v="Admin/HR/IT"/>
    <s v="AMCARE NonOcc In"/>
    <s v="AMZN"/>
    <n v="106386523"/>
    <s v="Martinez,Leonardo"/>
    <s v="Gomez Aguado,Jorge"/>
    <n v="0"/>
    <n v="0"/>
    <n v="0"/>
    <n v="0"/>
    <n v="0.52"/>
    <e v="#N/A"/>
    <e v="#N/A"/>
  </r>
  <r>
    <x v="37"/>
    <x v="5"/>
    <s v="Admin/HR/IT"/>
    <s v="AMCARE NonOcc In"/>
    <s v="AMZN"/>
    <n v="112912074"/>
    <s v="Hernandez Gutierrez,Lizeth"/>
    <s v="Pizana,Diego"/>
    <n v="0"/>
    <n v="0"/>
    <n v="0"/>
    <n v="0"/>
    <n v="0.11"/>
    <e v="#N/A"/>
    <e v="#N/A"/>
  </r>
  <r>
    <x v="37"/>
    <x v="5"/>
    <s v="Admin/HR/IT"/>
    <s v="AMCARE NonOcc In"/>
    <s v="AMZN"/>
    <n v="112976013"/>
    <s v="Garcia,Roberto"/>
    <s v="Munoz,Jonan"/>
    <n v="0"/>
    <n v="0"/>
    <n v="0"/>
    <n v="0"/>
    <n v="0.62"/>
    <e v="#N/A"/>
    <e v="#N/A"/>
  </r>
  <r>
    <x v="37"/>
    <x v="5"/>
    <s v="Admin/HR/IT"/>
    <s v="AMCARE NonOcc In"/>
    <s v="AMZN"/>
    <n v="112980842"/>
    <s v="Ornelas,Karla"/>
    <s v="Robledo Ugarte,Alejandro"/>
    <n v="0"/>
    <n v="0"/>
    <n v="0"/>
    <n v="0"/>
    <n v="0.43"/>
    <e v="#N/A"/>
    <e v="#N/A"/>
  </r>
  <r>
    <x v="37"/>
    <x v="5"/>
    <s v="Admin/HR/IT"/>
    <s v="AMCARE NonOcc In"/>
    <s v="AMZN"/>
    <n v="112980844"/>
    <s v="Padilla,Samantha"/>
    <s v="Robledo Ugarte,Alejandro"/>
    <n v="0"/>
    <n v="0"/>
    <n v="0"/>
    <n v="0"/>
    <n v="0.87"/>
    <s v="DA-X0700"/>
    <s v="samajpad"/>
  </r>
  <r>
    <x v="37"/>
    <x v="5"/>
    <s v="Admin/HR/IT"/>
    <s v="AMCARE NonOcc In"/>
    <s v="AMZN"/>
    <n v="112980899"/>
    <s v="Avila Cabrera,Ari"/>
    <s v="Robledo Ugarte,Alejandro"/>
    <n v="0"/>
    <n v="0"/>
    <n v="0"/>
    <n v="0"/>
    <n v="0.61"/>
    <s v="NF-X1900"/>
    <s v="aravilac"/>
  </r>
  <r>
    <x v="37"/>
    <x v="5"/>
    <s v="Admin/HR/IT"/>
    <s v="AMCARE NonOcc In"/>
    <s v="AMZN"/>
    <n v="113014094"/>
    <s v="Mercado,Erika"/>
    <s v="Corona Arriaga,Fernando"/>
    <n v="0"/>
    <n v="0"/>
    <n v="0"/>
    <n v="0"/>
    <n v="0.43"/>
    <e v="#N/A"/>
    <s v="erikaadm"/>
  </r>
  <r>
    <x v="37"/>
    <x v="5"/>
    <s v="Admin/HR/IT"/>
    <s v="AMCARE NonOcc In"/>
    <s v="AMZN"/>
    <n v="113019001"/>
    <s v="Lozano Hernandez,Donny"/>
    <s v="Robledo Ugarte,Alejandro"/>
    <n v="0"/>
    <n v="0"/>
    <n v="0"/>
    <n v="0"/>
    <n v="0.12"/>
    <e v="#N/A"/>
    <s v="dolozane"/>
  </r>
  <r>
    <x v="37"/>
    <x v="5"/>
    <s v="Admin/HR/IT"/>
    <s v="AMCARE NonOcc In"/>
    <s v="AMZN"/>
    <n v="113019039"/>
    <s v="Hernandez Oropeza,Gabriel"/>
    <s v="Gomez Aguado,Jorge"/>
    <n v="0"/>
    <n v="0"/>
    <n v="0"/>
    <n v="0"/>
    <n v="0.97"/>
    <e v="#N/A"/>
    <e v="#N/A"/>
  </r>
  <r>
    <x v="37"/>
    <x v="5"/>
    <s v="Admin/HR/IT"/>
    <s v="AMCARE NonOcc In"/>
    <s v="AMZN"/>
    <n v="113040582"/>
    <s v="HDZ,DEMON"/>
    <s v="Madrid Molina,Ramon"/>
    <n v="0"/>
    <n v="0"/>
    <n v="0"/>
    <n v="0"/>
    <n v="0.33"/>
    <e v="#N/A"/>
    <s v="hgerardr"/>
  </r>
  <r>
    <x v="37"/>
    <x v="5"/>
    <s v="Admin/HR/IT"/>
    <s v="AMCARE NonOcc In"/>
    <s v="AMZN"/>
    <n v="200404250"/>
    <s v="Hurtado,Caty"/>
    <s v="Piedra,Valentina"/>
    <n v="0"/>
    <n v="0"/>
    <n v="0"/>
    <n v="0"/>
    <n v="0.35"/>
    <e v="#N/A"/>
    <s v="xcathurt"/>
  </r>
  <r>
    <x v="37"/>
    <x v="5"/>
    <s v="Admin/HR/IT"/>
    <s v="AMCARE NonOcc In"/>
    <s v="TEMP"/>
    <n v="200509428"/>
    <s v="Guevara Ramirez,Zayra Lorena"/>
    <s v="Corona Arriaga,Fernando"/>
    <n v="0"/>
    <n v="0"/>
    <n v="0"/>
    <n v="0"/>
    <n v="0.22"/>
    <e v="#N/A"/>
    <e v="#N/A"/>
  </r>
  <r>
    <x v="37"/>
    <x v="5"/>
    <s v="Admin/HR/IT"/>
    <s v="AMCARE NonOcc In"/>
    <s v="TEMP"/>
    <n v="200562303"/>
    <s v="Hernandez Cruz,Jorge"/>
    <s v="Hernandez,Nataly"/>
    <n v="0"/>
    <n v="0"/>
    <n v="0"/>
    <n v="0"/>
    <n v="0.32"/>
    <e v="#N/A"/>
    <s v="hejorgea"/>
  </r>
  <r>
    <x v="37"/>
    <x v="5"/>
    <s v="Admin/HR/IT"/>
    <s v="AMCARE NonOcc In"/>
    <s v="TEMP"/>
    <n v="200564845"/>
    <s v="Barron,Abraham"/>
    <s v="Piedra,Valentina"/>
    <n v="0"/>
    <n v="0"/>
    <n v="0"/>
    <n v="0"/>
    <n v="0.16"/>
    <e v="#N/A"/>
    <e v="#N/A"/>
  </r>
  <r>
    <x v="37"/>
    <x v="5"/>
    <s v="Admin/HR/IT"/>
    <s v="AMCARE NonOcc In"/>
    <s v="TEMP"/>
    <n v="200574329"/>
    <s v="Llamas,Jonathan"/>
    <s v="Corona Arriaga,Fernando"/>
    <n v="0"/>
    <n v="0"/>
    <n v="0"/>
    <n v="0"/>
    <n v="0.19"/>
    <e v="#N/A"/>
    <e v="#N/A"/>
  </r>
  <r>
    <x v="37"/>
    <x v="5"/>
    <s v="Admin/HR/IT"/>
    <s v="AMCARE NonOcc In"/>
    <s v="TEMP"/>
    <n v="200574655"/>
    <s v="Mireles,Dulce"/>
    <s v="Corona Arriaga,Fernando"/>
    <n v="0"/>
    <n v="0"/>
    <n v="0"/>
    <n v="0"/>
    <n v="1.1299999999999999"/>
    <e v="#N/A"/>
    <s v="dulceami"/>
  </r>
  <r>
    <x v="37"/>
    <x v="5"/>
    <s v="Admin/HR/IT"/>
    <s v="AMCARE NonOcc In"/>
    <s v="TEMP"/>
    <n v="200589316"/>
    <s v="Torres Zuniga,Daniel"/>
    <s v="Madrid Molina,Ramon"/>
    <n v="0"/>
    <n v="0"/>
    <n v="0"/>
    <n v="0"/>
    <n v="0.14000000000000001"/>
    <e v="#N/A"/>
    <e v="#N/A"/>
  </r>
  <r>
    <x v="37"/>
    <x v="5"/>
    <s v="Admin/HR/IT"/>
    <s v="AMCARE NonOcc In"/>
    <s v="TEMP"/>
    <n v="200620341"/>
    <s v="Camacho Ramirez,Carlos"/>
    <s v="Gomez Aguado,Jorge"/>
    <n v="0"/>
    <n v="0"/>
    <n v="0"/>
    <n v="0"/>
    <n v="0.18"/>
    <e v="#N/A"/>
    <e v="#N/A"/>
  </r>
  <r>
    <x v="37"/>
    <x v="5"/>
    <s v="Admin/HR/IT"/>
    <s v="AMCARE NonOcc In"/>
    <s v="TEMP"/>
    <n v="200625517"/>
    <s v="RamÃ­rez,Miranda"/>
    <s v="Hernandez,Nataly"/>
    <n v="0"/>
    <n v="0"/>
    <n v="0"/>
    <n v="0"/>
    <n v="0.28999999999999998"/>
    <e v="#N/A"/>
    <e v="#N/A"/>
  </r>
  <r>
    <x v="38"/>
    <x v="5"/>
    <s v="Admin/HR/IT"/>
    <s v="AMCARE NonOcc In"/>
    <s v="AMZN"/>
    <n v="112525692"/>
    <s v="Ovalle Gomez,Mayte"/>
    <s v="Cortes,Alejandra"/>
    <n v="0"/>
    <n v="0"/>
    <n v="0"/>
    <n v="0"/>
    <n v="1.02"/>
    <e v="#N/A"/>
    <e v="#N/A"/>
  </r>
  <r>
    <x v="38"/>
    <x v="5"/>
    <s v="Admin/HR/IT"/>
    <s v="AMCARE NonOcc In"/>
    <s v="AMZN"/>
    <n v="112912201"/>
    <s v="Castillo Falcon,Sheyla"/>
    <s v="Corona Arriaga,Fernando"/>
    <n v="0"/>
    <n v="0"/>
    <n v="0"/>
    <n v="0"/>
    <n v="0.26"/>
    <e v="#N/A"/>
    <e v="#N/A"/>
  </r>
  <r>
    <x v="38"/>
    <x v="5"/>
    <s v="Admin/HR/IT"/>
    <s v="AMCARE NonOcc In"/>
    <s v="AMZN"/>
    <n v="112912752"/>
    <s v="Valderrama Gomez,Leslie"/>
    <s v="Robledo Ugarte,Alejandro"/>
    <n v="0"/>
    <n v="0"/>
    <n v="0"/>
    <n v="0"/>
    <n v="0.25"/>
    <s v="NF-X1900"/>
    <s v="valderle"/>
  </r>
  <r>
    <x v="38"/>
    <x v="5"/>
    <s v="Admin/HR/IT"/>
    <s v="AMCARE NonOcc In"/>
    <s v="AMZN"/>
    <n v="112920664"/>
    <s v="Alba,Samuel"/>
    <s v="Rosas Negrete,Sebastian"/>
    <n v="0"/>
    <n v="0"/>
    <n v="0"/>
    <n v="0"/>
    <n v="0.17"/>
    <s v="DA-X0700"/>
    <s v="samualbg"/>
  </r>
  <r>
    <x v="38"/>
    <x v="5"/>
    <s v="Admin/HR/IT"/>
    <s v="AMCARE NonOcc In"/>
    <s v="AMZN"/>
    <n v="112971953"/>
    <s v="Aguirre Palomino,Ana"/>
    <s v="Pizana,Diego"/>
    <n v="0"/>
    <n v="0"/>
    <n v="0"/>
    <n v="0"/>
    <n v="1.95"/>
    <s v="DB-X0700"/>
    <s v="anzpalom"/>
  </r>
  <r>
    <x v="38"/>
    <x v="5"/>
    <s v="Admin/HR/IT"/>
    <s v="AMCARE NonOcc In"/>
    <s v="AMZN"/>
    <n v="112973049"/>
    <s v="Tavares Parra,Ely"/>
    <s v="Romero Sanchez,Gustavo Gabriel"/>
    <n v="0"/>
    <n v="0"/>
    <n v="0"/>
    <n v="0"/>
    <n v="0.4"/>
    <s v="DB-X0700"/>
    <s v="afatimae"/>
  </r>
  <r>
    <x v="38"/>
    <x v="5"/>
    <s v="Admin/HR/IT"/>
    <s v="AMCARE NonOcc In"/>
    <s v="AMZN"/>
    <n v="112980842"/>
    <s v="Ornelas,Karla"/>
    <s v="Robledo Ugarte,Alejandro"/>
    <n v="0"/>
    <n v="0"/>
    <n v="0"/>
    <n v="0"/>
    <n v="0.56999999999999995"/>
    <e v="#N/A"/>
    <e v="#N/A"/>
  </r>
  <r>
    <x v="38"/>
    <x v="5"/>
    <s v="Admin/HR/IT"/>
    <s v="AMCARE NonOcc In"/>
    <s v="AMZN"/>
    <n v="113003631"/>
    <s v="Ortega,Elizabeth"/>
    <s v="Gomez Aguado,Jorge"/>
    <n v="0"/>
    <n v="0"/>
    <n v="0"/>
    <n v="0"/>
    <n v="0.13"/>
    <e v="#N/A"/>
    <e v="#N/A"/>
  </r>
  <r>
    <x v="38"/>
    <x v="5"/>
    <s v="Admin/HR/IT"/>
    <s v="AMCARE NonOcc In"/>
    <s v="AMZN"/>
    <n v="113003692"/>
    <s v="Vega,Bruno"/>
    <s v="Ledezma,Fer"/>
    <n v="0"/>
    <n v="0"/>
    <n v="0"/>
    <n v="0"/>
    <n v="0.15"/>
    <e v="#N/A"/>
    <e v="#N/A"/>
  </r>
  <r>
    <x v="38"/>
    <x v="5"/>
    <s v="Admin/HR/IT"/>
    <s v="AMCARE NonOcc In"/>
    <s v="AMZN"/>
    <n v="113101262"/>
    <s v="Tinoco,Cesar"/>
    <s v="Gomez,Abinadab"/>
    <n v="0"/>
    <n v="0"/>
    <n v="0"/>
    <n v="0"/>
    <n v="0.12"/>
    <e v="#N/A"/>
    <s v="cetinocr"/>
  </r>
  <r>
    <x v="38"/>
    <x v="5"/>
    <s v="Admin/HR/IT"/>
    <s v="AMCARE NonOcc In"/>
    <s v="AMZN"/>
    <n v="200404250"/>
    <s v="Hurtado,Caty"/>
    <s v="Piedra,Valentina"/>
    <n v="0"/>
    <n v="0"/>
    <n v="0"/>
    <n v="0"/>
    <n v="0.4"/>
    <e v="#N/A"/>
    <s v="xcathurt"/>
  </r>
  <r>
    <x v="38"/>
    <x v="5"/>
    <s v="Admin/HR/IT"/>
    <s v="AMCARE NonOcc In"/>
    <s v="AMZN"/>
    <n v="200408196"/>
    <s v="Hernandez Lara,Maggie"/>
    <s v="Piedra,Valentina"/>
    <n v="0"/>
    <n v="0"/>
    <n v="0"/>
    <n v="0"/>
    <n v="0.41"/>
    <e v="#N/A"/>
    <e v="#N/A"/>
  </r>
  <r>
    <x v="38"/>
    <x v="5"/>
    <s v="Admin/HR/IT"/>
    <s v="AMCARE NonOcc In"/>
    <s v="TEMP"/>
    <n v="200562251"/>
    <s v="Garcia Martinez,Alejandro"/>
    <s v="Gomez Aguado,Jorge"/>
    <n v="0"/>
    <n v="0"/>
    <n v="0"/>
    <n v="0"/>
    <n v="1.1299999999999999"/>
    <e v="#N/A"/>
    <e v="#N/A"/>
  </r>
  <r>
    <x v="38"/>
    <x v="5"/>
    <s v="Admin/HR/IT"/>
    <s v="AMCARE NonOcc In"/>
    <s v="TEMP"/>
    <n v="200562868"/>
    <s v="Martinez Alvarez,Arturo"/>
    <s v="Gomez Aguado,Jorge"/>
    <n v="0"/>
    <n v="0"/>
    <n v="0"/>
    <n v="0"/>
    <n v="0.39"/>
    <e v="#N/A"/>
    <e v="#N/A"/>
  </r>
  <r>
    <x v="38"/>
    <x v="5"/>
    <s v="Admin/HR/IT"/>
    <s v="AMCARE NonOcc In"/>
    <s v="TEMP"/>
    <n v="200620341"/>
    <s v="Camacho Ramirez,Carlos"/>
    <s v="Gomez Aguado,Jorge"/>
    <n v="0"/>
    <n v="0"/>
    <n v="0"/>
    <n v="0"/>
    <n v="0.37"/>
    <e v="#N/A"/>
    <e v="#N/A"/>
  </r>
  <r>
    <x v="39"/>
    <x v="5"/>
    <s v="Admin/HR/IT"/>
    <s v="AMCARE NonOcc In"/>
    <s v="AMZN"/>
    <n v="103427877"/>
    <s v="Alanis Hernandez,Patricia"/>
    <s v="Pizana,Diego"/>
    <n v="0"/>
    <n v="0"/>
    <n v="0"/>
    <n v="0"/>
    <n v="0.26"/>
    <e v="#N/A"/>
    <e v="#N/A"/>
  </r>
  <r>
    <x v="39"/>
    <x v="5"/>
    <s v="Admin/HR/IT"/>
    <s v="AMCARE NonOcc In"/>
    <s v="TEMP"/>
    <n v="109227086"/>
    <s v="Tavares,Alejandra"/>
    <s v="Hernandez,Nataly"/>
    <n v="0"/>
    <n v="0"/>
    <n v="0"/>
    <n v="0"/>
    <n v="0.51"/>
    <e v="#N/A"/>
    <e v="#N/A"/>
  </r>
  <r>
    <x v="39"/>
    <x v="5"/>
    <s v="Admin/HR/IT"/>
    <s v="AMCARE NonOcc In"/>
    <s v="AMZN"/>
    <n v="111434478"/>
    <s v="Gutierrez,Pame"/>
    <s v="Camarena,Grecia"/>
    <n v="0"/>
    <n v="0"/>
    <n v="0"/>
    <n v="0"/>
    <n v="0.92"/>
    <s v="DA-X0700"/>
    <s v="juanapam"/>
  </r>
  <r>
    <x v="39"/>
    <x v="5"/>
    <s v="Admin/HR/IT"/>
    <s v="AMCARE NonOcc In"/>
    <s v="AMZN"/>
    <n v="112912201"/>
    <s v="Castillo Falcon,Sheyla"/>
    <s v="Corona Arriaga,Fernando"/>
    <n v="0"/>
    <n v="0"/>
    <n v="0"/>
    <n v="0"/>
    <n v="0.38"/>
    <e v="#N/A"/>
    <e v="#N/A"/>
  </r>
  <r>
    <x v="39"/>
    <x v="5"/>
    <s v="Admin/HR/IT"/>
    <s v="AMCARE NonOcc In"/>
    <s v="AMZN"/>
    <n v="112912464"/>
    <s v="Garcia Nicasio,Luis"/>
    <s v="Cortes,Alejandra"/>
    <n v="0"/>
    <n v="0"/>
    <n v="0"/>
    <n v="0"/>
    <n v="0.47"/>
    <e v="#N/A"/>
    <e v="#N/A"/>
  </r>
  <r>
    <x v="39"/>
    <x v="5"/>
    <s v="Admin/HR/IT"/>
    <s v="AMCARE NonOcc In"/>
    <s v="AMZN"/>
    <n v="112912675"/>
    <s v="Alejandri Villagomez,Alejandra"/>
    <s v="Gomez,Abinadab"/>
    <n v="0"/>
    <n v="0"/>
    <n v="0"/>
    <n v="0"/>
    <n v="0.44"/>
    <e v="#N/A"/>
    <e v="#N/A"/>
  </r>
  <r>
    <x v="39"/>
    <x v="5"/>
    <s v="Admin/HR/IT"/>
    <s v="AMCARE NonOcc In"/>
    <s v="AMZN"/>
    <n v="112912985"/>
    <s v="Serna Aguilar,Roberto"/>
    <s v="Cortes,Alejandra"/>
    <n v="0"/>
    <n v="0"/>
    <n v="0"/>
    <n v="0"/>
    <n v="0.13"/>
    <e v="#N/A"/>
    <e v="#N/A"/>
  </r>
  <r>
    <x v="39"/>
    <x v="5"/>
    <s v="Admin/HR/IT"/>
    <s v="AMCARE NonOcc In"/>
    <s v="AMZN"/>
    <n v="112916493"/>
    <s v="Ascencio,Israel"/>
    <s v="Lopez,Alexa"/>
    <n v="0"/>
    <n v="0"/>
    <n v="0"/>
    <n v="0"/>
    <n v="1.3"/>
    <e v="#N/A"/>
    <e v="#N/A"/>
  </r>
  <r>
    <x v="39"/>
    <x v="5"/>
    <s v="Admin/HR/IT"/>
    <s v="AMCARE NonOcc In"/>
    <s v="AMZN"/>
    <n v="112920655"/>
    <s v="Diaz de LeÃ³n,Paola"/>
    <s v="Pizana,Diego"/>
    <n v="0"/>
    <n v="0"/>
    <n v="0"/>
    <n v="0"/>
    <n v="1.01"/>
    <e v="#N/A"/>
    <e v="#N/A"/>
  </r>
  <r>
    <x v="39"/>
    <x v="5"/>
    <s v="Admin/HR/IT"/>
    <s v="AMCARE NonOcc In"/>
    <s v="AMZN"/>
    <n v="112981061"/>
    <s v="Olguin,Claudia"/>
    <s v="Corona Arriaga,Fernando"/>
    <n v="0"/>
    <n v="0"/>
    <n v="0"/>
    <n v="0"/>
    <n v="0.18"/>
    <s v="DA-X0700"/>
    <s v="mclaudol"/>
  </r>
  <r>
    <x v="39"/>
    <x v="5"/>
    <s v="Admin/HR/IT"/>
    <s v="AMCARE NonOcc In"/>
    <s v="AMZN"/>
    <n v="112984442"/>
    <s v="Garcia,Mauricio Antonio De la lama"/>
    <s v="Gomez,Abinadab"/>
    <n v="0"/>
    <n v="0"/>
    <n v="0"/>
    <n v="0"/>
    <n v="0.36"/>
    <e v="#N/A"/>
    <e v="#N/A"/>
  </r>
  <r>
    <x v="39"/>
    <x v="5"/>
    <s v="Admin/HR/IT"/>
    <s v="AMCARE NonOcc In"/>
    <s v="AMZN"/>
    <n v="113003691"/>
    <s v="Angeles,Fernando"/>
    <s v="Ledezma,Fer"/>
    <n v="0"/>
    <n v="0"/>
    <n v="0"/>
    <n v="0"/>
    <n v="0.37"/>
    <e v="#N/A"/>
    <e v="#N/A"/>
  </r>
  <r>
    <x v="39"/>
    <x v="5"/>
    <s v="Admin/HR/IT"/>
    <s v="AMCARE NonOcc In"/>
    <s v="AMZN"/>
    <n v="113052151"/>
    <s v="Nieves Mendez,Laura"/>
    <s v="Ledezma,Fer"/>
    <n v="0"/>
    <n v="0"/>
    <n v="0"/>
    <n v="0"/>
    <n v="0.17"/>
    <e v="#N/A"/>
    <s v="nilaurab"/>
  </r>
  <r>
    <x v="39"/>
    <x v="5"/>
    <s v="Admin/HR/IT"/>
    <s v="AMCARE NonOcc In"/>
    <s v="AMZN"/>
    <n v="200404250"/>
    <s v="Hurtado,Caty"/>
    <s v="Piedra,Valentina"/>
    <n v="0"/>
    <n v="0"/>
    <n v="0"/>
    <n v="0"/>
    <n v="1.0900000000000001"/>
    <e v="#N/A"/>
    <s v="xcathurt"/>
  </r>
  <r>
    <x v="39"/>
    <x v="5"/>
    <s v="Admin/HR/IT"/>
    <s v="AMCARE NonOcc In"/>
    <s v="TEMP"/>
    <n v="200514078"/>
    <s v="Mora Hernandez,Alya"/>
    <s v="Robledo Ugarte,Alejandro"/>
    <n v="0"/>
    <n v="0"/>
    <n v="0"/>
    <n v="0"/>
    <n v="0.22"/>
    <e v="#N/A"/>
    <e v="#N/A"/>
  </r>
  <r>
    <x v="39"/>
    <x v="5"/>
    <s v="Admin/HR/IT"/>
    <s v="AMCARE NonOcc In"/>
    <s v="TEMP"/>
    <n v="200625517"/>
    <s v="RamÃ­rez,Miranda"/>
    <s v="Hernandez,Nataly"/>
    <n v="0"/>
    <n v="0"/>
    <n v="0"/>
    <n v="0"/>
    <n v="0.15"/>
    <e v="#N/A"/>
    <e v="#N/A"/>
  </r>
  <r>
    <x v="40"/>
    <x v="5"/>
    <s v="Admin/HR/IT"/>
    <s v="AMCARE NonOcc In"/>
    <s v="AMZN"/>
    <n v="111434478"/>
    <s v="Gutierrez,Pame"/>
    <s v="Camarena,Grecia"/>
    <n v="0"/>
    <n v="0"/>
    <n v="0"/>
    <n v="0"/>
    <n v="0.51"/>
    <s v="DA-X0700"/>
    <s v="juanapam"/>
  </r>
  <r>
    <x v="40"/>
    <x v="5"/>
    <s v="Admin/HR/IT"/>
    <s v="AMCARE NonOcc In"/>
    <s v="AMZN"/>
    <n v="112912046"/>
    <s v="Aguilar,Victor Manuel"/>
    <s v="Munoz,Jonan"/>
    <n v="0"/>
    <n v="0"/>
    <n v="0"/>
    <n v="0"/>
    <n v="0.16"/>
    <e v="#N/A"/>
    <e v="#N/A"/>
  </r>
  <r>
    <x v="40"/>
    <x v="5"/>
    <s v="Admin/HR/IT"/>
    <s v="AMCARE NonOcc In"/>
    <s v="AMZN"/>
    <n v="112912675"/>
    <s v="Alejandri Villagomez,Alejandra"/>
    <s v="Gomez,Abinadab"/>
    <n v="0"/>
    <n v="0"/>
    <n v="0"/>
    <n v="0"/>
    <n v="0.56999999999999995"/>
    <e v="#N/A"/>
    <e v="#N/A"/>
  </r>
  <r>
    <x v="40"/>
    <x v="5"/>
    <s v="Admin/HR/IT"/>
    <s v="AMCARE NonOcc In"/>
    <s v="AMZN"/>
    <n v="112912677"/>
    <s v="Gonzalez,Gustavo"/>
    <s v="Camarena,Grecia"/>
    <n v="0"/>
    <n v="0"/>
    <n v="0"/>
    <n v="0"/>
    <n v="1.1299999999999999"/>
    <e v="#N/A"/>
    <e v="#N/A"/>
  </r>
  <r>
    <x v="40"/>
    <x v="5"/>
    <s v="Admin/HR/IT"/>
    <s v="AMCARE NonOcc In"/>
    <s v="AMZN"/>
    <n v="112912985"/>
    <s v="Serna Aguilar,Roberto"/>
    <s v="Cortes,Alejandra"/>
    <n v="0"/>
    <n v="0"/>
    <n v="0"/>
    <n v="0"/>
    <n v="0.21"/>
    <e v="#N/A"/>
    <e v="#N/A"/>
  </r>
  <r>
    <x v="40"/>
    <x v="5"/>
    <s v="Admin/HR/IT"/>
    <s v="AMCARE NonOcc In"/>
    <s v="AMZN"/>
    <n v="112971953"/>
    <s v="Aguirre Palomino,Ana"/>
    <s v="Pizana,Diego"/>
    <n v="0"/>
    <n v="0"/>
    <n v="0"/>
    <n v="0"/>
    <n v="2.39"/>
    <s v="DB-X0700"/>
    <s v="anzpalom"/>
  </r>
  <r>
    <x v="40"/>
    <x v="5"/>
    <s v="Admin/HR/IT"/>
    <s v="AMCARE NonOcc In"/>
    <s v="AMZN"/>
    <n v="112972801"/>
    <s v="Garcia,Rea"/>
    <s v="Camarena,Grecia"/>
    <n v="0"/>
    <n v="0"/>
    <n v="0"/>
    <n v="0"/>
    <n v="0.44"/>
    <e v="#N/A"/>
    <e v="#N/A"/>
  </r>
  <r>
    <x v="40"/>
    <x v="5"/>
    <s v="Admin/HR/IT"/>
    <s v="AMCARE NonOcc In"/>
    <s v="AMZN"/>
    <n v="112973049"/>
    <s v="Tavares Parra,Ely"/>
    <s v="Romero Sanchez,Gustavo Gabriel"/>
    <n v="0"/>
    <n v="0"/>
    <n v="0"/>
    <n v="0"/>
    <n v="7.0000000000000007E-2"/>
    <s v="DB-X0700"/>
    <s v="afatimae"/>
  </r>
  <r>
    <x v="40"/>
    <x v="5"/>
    <s v="Admin/HR/IT"/>
    <s v="AMCARE NonOcc In"/>
    <s v="AMZN"/>
    <n v="112984442"/>
    <s v="Garcia,Mauricio Antonio De la lama"/>
    <s v="Gomez,Abinadab"/>
    <n v="0"/>
    <n v="0"/>
    <n v="0"/>
    <n v="0"/>
    <n v="1.06"/>
    <e v="#N/A"/>
    <e v="#N/A"/>
  </r>
  <r>
    <x v="40"/>
    <x v="5"/>
    <s v="Admin/HR/IT"/>
    <s v="AMCARE NonOcc In"/>
    <s v="AMZN"/>
    <n v="113019042"/>
    <s v="Gallegos Godinez,Eloy"/>
    <s v="Hernandez,Nataly"/>
    <n v="0"/>
    <n v="0"/>
    <n v="0"/>
    <n v="0"/>
    <n v="0.75"/>
    <e v="#N/A"/>
    <e v="#N/A"/>
  </r>
  <r>
    <x v="40"/>
    <x v="5"/>
    <s v="Admin/HR/IT"/>
    <s v="AMCARE NonOcc In"/>
    <s v="AMZN"/>
    <n v="113019083"/>
    <s v="Contreras,Marco"/>
    <s v="Madrid Molina,Ramon"/>
    <n v="0"/>
    <n v="0"/>
    <n v="0"/>
    <n v="0"/>
    <n v="1.03"/>
    <e v="#N/A"/>
    <e v="#N/A"/>
  </r>
  <r>
    <x v="40"/>
    <x v="5"/>
    <s v="Admin/HR/IT"/>
    <s v="AMCARE NonOcc In"/>
    <s v="TEMP"/>
    <n v="200552734"/>
    <s v="Santiago Ramirez,Six"/>
    <s v="Romero Sanchez,Gustavo Gabriel"/>
    <n v="0"/>
    <n v="0"/>
    <n v="0"/>
    <n v="0"/>
    <n v="0.34"/>
    <e v="#N/A"/>
    <e v="#N/A"/>
  </r>
  <r>
    <x v="40"/>
    <x v="5"/>
    <s v="Admin/HR/IT"/>
    <s v="AMCARE NonOcc In"/>
    <s v="TEMP"/>
    <n v="200589316"/>
    <s v="Torres Zuniga,Daniel"/>
    <s v="Madrid Molina,Ramon"/>
    <n v="0"/>
    <n v="0"/>
    <n v="0"/>
    <n v="0"/>
    <n v="0.34"/>
    <e v="#N/A"/>
    <e v="#N/A"/>
  </r>
  <r>
    <x v="40"/>
    <x v="5"/>
    <s v="Admin/HR/IT"/>
    <s v="AMCARE NonOcc In"/>
    <s v="TEMP"/>
    <n v="200625517"/>
    <s v="RamÃ­rez,Miranda"/>
    <s v="Hernandez,Nataly"/>
    <n v="0"/>
    <n v="0"/>
    <n v="0"/>
    <n v="0"/>
    <n v="0.2"/>
    <e v="#N/A"/>
    <e v="#N/A"/>
  </r>
  <r>
    <x v="41"/>
    <x v="5"/>
    <s v="Admin/HR/IT"/>
    <s v="AMCARE NonOcc In"/>
    <s v="AMZN"/>
    <n v="111434478"/>
    <s v="Gutierrez,Pame"/>
    <s v="Camarena,Grecia"/>
    <n v="0"/>
    <n v="0"/>
    <n v="0"/>
    <n v="0"/>
    <n v="1.18"/>
    <s v="DA-X0700"/>
    <s v="juanapam"/>
  </r>
  <r>
    <x v="41"/>
    <x v="5"/>
    <s v="Admin/HR/IT"/>
    <s v="AMCARE NonOcc In"/>
    <s v="AMZN"/>
    <n v="112932733"/>
    <s v="Quiroga,Silvia"/>
    <s v="Romero Sanchez,Gustavo Gabriel"/>
    <n v="0"/>
    <n v="0"/>
    <n v="0"/>
    <n v="0"/>
    <n v="0.77"/>
    <e v="#N/A"/>
    <e v="#N/A"/>
  </r>
  <r>
    <x v="41"/>
    <x v="5"/>
    <s v="Admin/HR/IT"/>
    <s v="AMCARE NonOcc In"/>
    <s v="AMZN"/>
    <n v="112971988"/>
    <s v="Trejo Tarango,Stephannie Del Rocio"/>
    <s v="Cortes,Alejandra"/>
    <n v="0"/>
    <n v="0"/>
    <n v="0"/>
    <n v="0"/>
    <n v="0.66"/>
    <s v="DB-X0700"/>
    <s v="fadtrejo"/>
  </r>
  <r>
    <x v="41"/>
    <x v="5"/>
    <s v="Admin/HR/IT"/>
    <s v="AMCARE NonOcc In"/>
    <s v="AMZN"/>
    <n v="112981212"/>
    <s v="Zanella Miranda,Alyson"/>
    <s v="Ledezma,Fer"/>
    <n v="0"/>
    <n v="0"/>
    <n v="0"/>
    <n v="0"/>
    <n v="0.13"/>
    <e v="#N/A"/>
    <s v="alysonza"/>
  </r>
  <r>
    <x v="41"/>
    <x v="5"/>
    <s v="Admin/HR/IT"/>
    <s v="AMCARE NonOcc In"/>
    <s v="AMZN"/>
    <n v="113014042"/>
    <s v="Cervantes,Rose"/>
    <s v="Romero Sanchez,Gustavo Gabriel"/>
    <n v="0"/>
    <n v="0"/>
    <n v="0"/>
    <n v="0"/>
    <n v="0.53"/>
    <e v="#N/A"/>
    <s v="rfcervan"/>
  </r>
  <r>
    <x v="41"/>
    <x v="5"/>
    <s v="Admin/HR/IT"/>
    <s v="AMCARE NonOcc In"/>
    <s v="AMZN"/>
    <n v="113040583"/>
    <s v="Palomo,Lizbeth"/>
    <s v="Romero Sanchez,Gustavo Gabriel"/>
    <n v="0"/>
    <n v="0"/>
    <n v="0"/>
    <n v="0"/>
    <n v="0.51"/>
    <e v="#N/A"/>
    <e v="#N/A"/>
  </r>
  <r>
    <x v="41"/>
    <x v="5"/>
    <s v="Admin/HR/IT"/>
    <s v="AMCARE NonOcc In"/>
    <s v="AMZN"/>
    <n v="113052151"/>
    <s v="Nieves Mendez,Laura"/>
    <s v="Ledezma,Fer"/>
    <n v="0"/>
    <n v="0"/>
    <n v="0"/>
    <n v="0"/>
    <n v="0.19"/>
    <e v="#N/A"/>
    <s v="nilaurab"/>
  </r>
  <r>
    <x v="41"/>
    <x v="5"/>
    <s v="Admin/HR/IT"/>
    <s v="AMCARE NonOcc In"/>
    <s v="TEMP"/>
    <n v="200534675"/>
    <s v="Munoz Macias,Juan Pablo"/>
    <s v="Ledezma,Fer"/>
    <n v="0"/>
    <n v="0"/>
    <n v="0"/>
    <n v="0"/>
    <n v="0.03"/>
    <e v="#N/A"/>
    <s v="juanpmun"/>
  </r>
  <r>
    <x v="41"/>
    <x v="5"/>
    <s v="Admin/HR/IT"/>
    <s v="AMCARE NonOcc In"/>
    <s v="TEMP"/>
    <n v="200564845"/>
    <s v="Barron,Abraham"/>
    <s v="Piedra,Valentina"/>
    <n v="0"/>
    <n v="0"/>
    <n v="0"/>
    <n v="0"/>
    <n v="0.2"/>
    <e v="#N/A"/>
    <e v="#N/A"/>
  </r>
  <r>
    <x v="41"/>
    <x v="5"/>
    <s v="Admin/HR/IT"/>
    <s v="AMCARE NonOcc In"/>
    <s v="TEMP"/>
    <n v="200589316"/>
    <s v="Torres Zuniga,Daniel"/>
    <s v="Madrid Molina,Ramon"/>
    <n v="0"/>
    <n v="0"/>
    <n v="0"/>
    <n v="0"/>
    <n v="0.14000000000000001"/>
    <e v="#N/A"/>
    <e v="#N/A"/>
  </r>
  <r>
    <x v="42"/>
    <x v="6"/>
    <s v="Admin/HR/IT"/>
    <s v="AMCARE NonOcc In"/>
    <s v="AMZN"/>
    <n v="112912209"/>
    <s v="Morales,Sarahi"/>
    <s v="Munoz,Jonan"/>
    <n v="0"/>
    <n v="0"/>
    <n v="0"/>
    <n v="0"/>
    <n v="0.23"/>
    <s v="NF-X1900"/>
    <s v="moralefs"/>
  </r>
  <r>
    <x v="42"/>
    <x v="6"/>
    <s v="Admin/HR/IT"/>
    <s v="AMCARE NonOcc In"/>
    <s v="AMZN"/>
    <n v="112912752"/>
    <s v="Valderrama Gomez,Leslie"/>
    <s v="Robledo Ugarte,Alejandro"/>
    <n v="0"/>
    <n v="0"/>
    <n v="0"/>
    <n v="0"/>
    <n v="0.78"/>
    <s v="NF-X1900"/>
    <s v="valderle"/>
  </r>
  <r>
    <x v="42"/>
    <x v="6"/>
    <s v="Admin/HR/IT"/>
    <s v="AMCARE NonOcc In"/>
    <s v="AMZN"/>
    <n v="112950792"/>
    <s v="Morales Gonzalez,Genesis"/>
    <s v="Robledo Ugarte,Alejandro"/>
    <n v="0"/>
    <n v="0"/>
    <n v="0"/>
    <n v="0"/>
    <n v="0.79"/>
    <s v="NF-X1900"/>
    <s v="genevmor"/>
  </r>
  <r>
    <x v="42"/>
    <x v="6"/>
    <s v="Admin/HR/IT"/>
    <s v="AMCARE NonOcc In"/>
    <s v="AMZN"/>
    <n v="113014071"/>
    <s v="Perez Rodriguez,Gonzalo"/>
    <s v="Gomez Aguado,Jorge"/>
    <n v="0"/>
    <n v="0"/>
    <n v="0"/>
    <n v="0"/>
    <n v="0.25"/>
    <e v="#N/A"/>
    <s v="gperezrp"/>
  </r>
  <r>
    <x v="42"/>
    <x v="6"/>
    <s v="Admin/HR/IT"/>
    <s v="AMCARE NonOcc In"/>
    <s v="AMZN"/>
    <n v="113019055"/>
    <s v="Lopez Gutierrez,Jorge"/>
    <s v="Hernandez,Nataly"/>
    <n v="0"/>
    <n v="0"/>
    <n v="0"/>
    <n v="0"/>
    <n v="0.12"/>
    <e v="#N/A"/>
    <s v="jhlopezg"/>
  </r>
  <r>
    <x v="42"/>
    <x v="6"/>
    <s v="Admin/HR/IT"/>
    <s v="AMCARE NonOcc In"/>
    <s v="TEMP"/>
    <n v="200514421"/>
    <s v="Padilla Abrego,Angeles"/>
    <s v="Piedra,Valentina"/>
    <n v="0"/>
    <n v="0"/>
    <n v="0"/>
    <n v="0"/>
    <n v="1"/>
    <e v="#N/A"/>
    <s v="padillms"/>
  </r>
  <r>
    <x v="42"/>
    <x v="6"/>
    <s v="Admin/HR/IT"/>
    <s v="AMCARE NonOcc In"/>
    <s v="TEMP"/>
    <n v="200534518"/>
    <s v="Flores,Alejandro"/>
    <s v="Robledo Ugarte,Alejandro"/>
    <n v="0"/>
    <n v="0"/>
    <n v="0"/>
    <n v="0"/>
    <n v="0.34"/>
    <e v="#N/A"/>
    <e v="#N/A"/>
  </r>
  <r>
    <x v="42"/>
    <x v="6"/>
    <s v="Admin/HR/IT"/>
    <s v="AMCARE NonOcc In"/>
    <s v="TEMP"/>
    <n v="200564845"/>
    <s v="Barron,Abraham"/>
    <s v="Piedra,Valentina"/>
    <n v="0"/>
    <n v="0"/>
    <n v="0"/>
    <n v="0"/>
    <n v="0.36"/>
    <e v="#N/A"/>
    <e v="#N/A"/>
  </r>
  <r>
    <x v="42"/>
    <x v="6"/>
    <s v="Admin/HR/IT"/>
    <s v="AMCARE NonOcc In"/>
    <s v="TEMP"/>
    <n v="200589316"/>
    <s v="Torres Zuniga,Daniel"/>
    <s v="Madrid Molina,Ramon"/>
    <n v="0"/>
    <n v="0"/>
    <n v="0"/>
    <n v="0"/>
    <n v="0.4"/>
    <e v="#N/A"/>
    <e v="#N/A"/>
  </r>
  <r>
    <x v="42"/>
    <x v="6"/>
    <s v="Admin/HR/IT"/>
    <s v="AMCARE NonOcc In"/>
    <s v="TEMP"/>
    <n v="200625528"/>
    <s v="Oliva,Lizbeth"/>
    <s v="Gomez Aguado,Jorge"/>
    <n v="0"/>
    <n v="0"/>
    <n v="0"/>
    <n v="0"/>
    <n v="0.16"/>
    <e v="#N/A"/>
    <s v="olivlizb"/>
  </r>
  <r>
    <x v="43"/>
    <x v="6"/>
    <s v="Admin/HR/IT"/>
    <s v="AMCARE NonOcc In"/>
    <s v="TEMP"/>
    <n v="109227086"/>
    <s v="Tavares,Alejandra"/>
    <s v="Hernandez,Nataly"/>
    <n v="0"/>
    <n v="0"/>
    <n v="0"/>
    <n v="0"/>
    <n v="0.45"/>
    <e v="#N/A"/>
    <e v="#N/A"/>
  </r>
  <r>
    <x v="43"/>
    <x v="6"/>
    <s v="Admin/HR/IT"/>
    <s v="AMCARE NonOcc In"/>
    <s v="AMZN"/>
    <n v="112912663"/>
    <s v="Segura,Lucero"/>
    <s v="Munoz,Jonan"/>
    <n v="0"/>
    <n v="0"/>
    <n v="0"/>
    <n v="0"/>
    <n v="1.27"/>
    <e v="#N/A"/>
    <e v="#N/A"/>
  </r>
  <r>
    <x v="43"/>
    <x v="6"/>
    <s v="Admin/HR/IT"/>
    <s v="AMCARE NonOcc In"/>
    <s v="AMZN"/>
    <n v="112950817"/>
    <s v="Mancilla Reynoso,Roberto"/>
    <s v="Munoz,Jonan"/>
    <n v="0"/>
    <n v="0"/>
    <n v="0"/>
    <n v="0"/>
    <n v="0.75"/>
    <e v="#N/A"/>
    <e v="#N/A"/>
  </r>
  <r>
    <x v="43"/>
    <x v="6"/>
    <s v="Admin/HR/IT"/>
    <s v="AMCARE NonOcc In"/>
    <s v="AMZN"/>
    <n v="112976014"/>
    <s v="Rivas,Carlos"/>
    <s v="Munoz,Jonan"/>
    <n v="0"/>
    <n v="0"/>
    <n v="0"/>
    <n v="0"/>
    <n v="1.21"/>
    <s v="DA-X0700"/>
    <s v="carhriva"/>
  </r>
  <r>
    <x v="43"/>
    <x v="6"/>
    <s v="Admin/HR/IT"/>
    <s v="AMCARE NonOcc In"/>
    <s v="AMZN"/>
    <n v="112980899"/>
    <s v="Avila Cabrera,Ari"/>
    <s v="Robledo Ugarte,Alejandro"/>
    <n v="0"/>
    <n v="0"/>
    <n v="0"/>
    <n v="0"/>
    <n v="0.28999999999999998"/>
    <s v="NF-X1900"/>
    <s v="aravilac"/>
  </r>
  <r>
    <x v="43"/>
    <x v="6"/>
    <s v="Admin/HR/IT"/>
    <s v="AMCARE NonOcc In"/>
    <s v="AMZN"/>
    <n v="112981061"/>
    <s v="Olguin,Claudia"/>
    <s v="Corona Arriaga,Fernando"/>
    <n v="0"/>
    <n v="0"/>
    <n v="0"/>
    <n v="0"/>
    <n v="0.17"/>
    <s v="DA-X0700"/>
    <s v="mclaudol"/>
  </r>
  <r>
    <x v="43"/>
    <x v="6"/>
    <s v="Admin/HR/IT"/>
    <s v="AMCARE NonOcc In"/>
    <s v="AMZN"/>
    <n v="112991321"/>
    <s v="Torres,Axel"/>
    <s v="Gomez,Abinadab"/>
    <n v="0"/>
    <n v="0"/>
    <n v="0"/>
    <n v="0"/>
    <n v="1.21"/>
    <e v="#N/A"/>
    <e v="#N/A"/>
  </r>
  <r>
    <x v="43"/>
    <x v="6"/>
    <s v="Admin/HR/IT"/>
    <s v="AMCARE NonOcc In"/>
    <s v="AMZN"/>
    <n v="113014092"/>
    <s v="Sanchez,Cristina"/>
    <s v="Romero Sanchez,Gustavo Gabriel"/>
    <n v="0"/>
    <n v="0"/>
    <n v="0"/>
    <n v="0"/>
    <n v="0.37"/>
    <e v="#N/A"/>
    <s v="rsanccri"/>
  </r>
  <r>
    <x v="43"/>
    <x v="6"/>
    <s v="Admin/HR/IT"/>
    <s v="AMCARE NonOcc In"/>
    <s v="AMZN"/>
    <n v="113014113"/>
    <s v="Sanchez Villegas,Benjamin"/>
    <s v="Corona Arriaga,Fernando"/>
    <n v="0"/>
    <n v="0"/>
    <n v="0"/>
    <n v="0"/>
    <n v="0.62"/>
    <e v="#N/A"/>
    <e v="#N/A"/>
  </r>
  <r>
    <x v="43"/>
    <x v="6"/>
    <s v="Admin/HR/IT"/>
    <s v="AMCARE NonOcc In"/>
    <s v="AMZN"/>
    <n v="113014401"/>
    <s v="Meza,Landin"/>
    <s v="Ledezma,Fer"/>
    <n v="0"/>
    <n v="0"/>
    <n v="0"/>
    <n v="0"/>
    <n v="0"/>
    <e v="#N/A"/>
    <e v="#N/A"/>
  </r>
  <r>
    <x v="43"/>
    <x v="6"/>
    <s v="Admin/HR/IT"/>
    <s v="AMCARE NonOcc In"/>
    <s v="AMZN"/>
    <n v="113019039"/>
    <s v="Hernandez Oropeza,Gabriel"/>
    <s v="Gomez Aguado,Jorge"/>
    <n v="0"/>
    <n v="0"/>
    <n v="0"/>
    <n v="0"/>
    <n v="0.7"/>
    <e v="#N/A"/>
    <e v="#N/A"/>
  </r>
  <r>
    <x v="43"/>
    <x v="6"/>
    <s v="Admin/HR/IT"/>
    <s v="AMCARE NonOcc In"/>
    <s v="AMZN"/>
    <n v="200404250"/>
    <s v="Hurtado,Caty"/>
    <s v="Piedra,Valentina"/>
    <n v="0"/>
    <n v="0"/>
    <n v="0"/>
    <n v="0"/>
    <n v="0.88"/>
    <e v="#N/A"/>
    <s v="xcathurt"/>
  </r>
  <r>
    <x v="43"/>
    <x v="6"/>
    <s v="Admin/HR/IT"/>
    <s v="AMCARE NonOcc In"/>
    <s v="TEMP"/>
    <n v="200570729"/>
    <s v="Rodriguez,Carolina"/>
    <s v="Gomez Aguado,Jorge"/>
    <n v="0"/>
    <n v="0"/>
    <n v="0"/>
    <n v="0"/>
    <n v="0.23"/>
    <e v="#N/A"/>
    <s v="srodcaro"/>
  </r>
  <r>
    <x v="43"/>
    <x v="6"/>
    <s v="Admin/HR/IT"/>
    <s v="AMCARE NonOcc In"/>
    <s v="TEMP"/>
    <n v="200625027"/>
    <s v="Rodriguez Gonzalez,Neidy"/>
    <s v="Hernandez,Nataly"/>
    <n v="0"/>
    <n v="0"/>
    <n v="0"/>
    <n v="0"/>
    <n v="0.32"/>
    <e v="#N/A"/>
    <e v="#N/A"/>
  </r>
  <r>
    <x v="44"/>
    <x v="6"/>
    <s v="Admin/HR/IT"/>
    <s v="AMCARE NonOcc In"/>
    <s v="TEMP"/>
    <n v="109227086"/>
    <s v="Tavares,Alejandra"/>
    <s v="Hernandez,Nataly"/>
    <n v="0"/>
    <n v="0"/>
    <n v="0"/>
    <n v="0"/>
    <n v="0.2"/>
    <e v="#N/A"/>
    <e v="#N/A"/>
  </r>
  <r>
    <x v="44"/>
    <x v="6"/>
    <s v="Admin/HR/IT"/>
    <s v="AMCARE NonOcc In"/>
    <s v="AMZN"/>
    <n v="112912008"/>
    <s v="Espinosa,Consuelo"/>
    <s v="Rosas Negrete,Sebastian"/>
    <n v="0"/>
    <n v="0"/>
    <n v="0"/>
    <n v="0"/>
    <n v="4.71"/>
    <e v="#N/A"/>
    <e v="#N/A"/>
  </r>
  <r>
    <x v="44"/>
    <x v="6"/>
    <s v="Admin/HR/IT"/>
    <s v="AMCARE NonOcc In"/>
    <s v="AMZN"/>
    <n v="112912049"/>
    <s v="Vazquez Rodriguez,Christian"/>
    <s v="Pizana,Diego"/>
    <n v="0"/>
    <n v="0"/>
    <n v="0"/>
    <n v="0"/>
    <n v="0.56000000000000005"/>
    <s v="NF-X1900"/>
    <s v="zchvazqu"/>
  </r>
  <r>
    <x v="44"/>
    <x v="6"/>
    <s v="Admin/HR/IT"/>
    <s v="AMCARE NonOcc In"/>
    <s v="AMZN"/>
    <n v="112912074"/>
    <s v="Hernandez Gutierrez,Lizeth"/>
    <s v="Pizana,Diego"/>
    <n v="0"/>
    <n v="0"/>
    <n v="0"/>
    <n v="0"/>
    <n v="1.18"/>
    <e v="#N/A"/>
    <e v="#N/A"/>
  </r>
  <r>
    <x v="44"/>
    <x v="6"/>
    <s v="Admin/HR/IT"/>
    <s v="AMCARE NonOcc In"/>
    <s v="AMZN"/>
    <n v="112912752"/>
    <s v="Valderrama Gomez,Leslie"/>
    <s v="Robledo Ugarte,Alejandro"/>
    <n v="0"/>
    <n v="0"/>
    <n v="0"/>
    <n v="0"/>
    <n v="0.42"/>
    <s v="NF-X1900"/>
    <s v="valderle"/>
  </r>
  <r>
    <x v="44"/>
    <x v="6"/>
    <s v="Admin/HR/IT"/>
    <s v="AMCARE NonOcc In"/>
    <s v="AMZN"/>
    <n v="112950784"/>
    <s v="Rojas,Samuel"/>
    <s v="Piedra,Valentina"/>
    <n v="0"/>
    <n v="0"/>
    <n v="0"/>
    <n v="0"/>
    <n v="0.09"/>
    <s v="NF-X1900"/>
    <s v="sarojast"/>
  </r>
  <r>
    <x v="44"/>
    <x v="6"/>
    <s v="Admin/HR/IT"/>
    <s v="AMCARE NonOcc In"/>
    <s v="AMZN"/>
    <n v="112981009"/>
    <s v="Ceja Sanchez,Jonathan"/>
    <s v="Robledo Ugarte,Alejandro"/>
    <n v="0"/>
    <n v="0"/>
    <n v="0"/>
    <n v="0"/>
    <n v="0.2"/>
    <e v="#N/A"/>
    <e v="#N/A"/>
  </r>
  <r>
    <x v="44"/>
    <x v="6"/>
    <s v="Admin/HR/IT"/>
    <s v="AMCARE NonOcc In"/>
    <s v="AMZN"/>
    <n v="112984097"/>
    <s v="Aguilera,Yaremi"/>
    <s v="Corona Arriaga,Fernando"/>
    <n v="0"/>
    <n v="0"/>
    <n v="0"/>
    <n v="0"/>
    <n v="7.0000000000000007E-2"/>
    <e v="#N/A"/>
    <e v="#N/A"/>
  </r>
  <r>
    <x v="44"/>
    <x v="6"/>
    <s v="Admin/HR/IT"/>
    <s v="AMCARE NonOcc In"/>
    <s v="AMZN"/>
    <n v="113014081"/>
    <s v="Frausto,Genesis"/>
    <s v="Piedra,Valentina"/>
    <n v="0"/>
    <n v="0"/>
    <n v="0"/>
    <n v="0"/>
    <n v="0.21"/>
    <e v="#N/A"/>
    <s v="fraugene"/>
  </r>
  <r>
    <x v="44"/>
    <x v="6"/>
    <s v="Admin/HR/IT"/>
    <s v="AMCARE NonOcc In"/>
    <s v="AMZN"/>
    <n v="113020463"/>
    <s v="Valtierra,Alejandra"/>
    <s v="Hernandez,Nataly"/>
    <n v="0"/>
    <n v="0"/>
    <n v="0"/>
    <n v="0"/>
    <n v="0.28999999999999998"/>
    <e v="#N/A"/>
    <s v="myriamav"/>
  </r>
  <r>
    <x v="44"/>
    <x v="6"/>
    <s v="Admin/HR/IT"/>
    <s v="AMCARE NonOcc In"/>
    <s v="AMZN"/>
    <n v="200404250"/>
    <s v="Hurtado,Caty"/>
    <s v="Piedra,Valentina"/>
    <n v="0"/>
    <n v="0"/>
    <n v="0"/>
    <n v="0"/>
    <n v="1.35"/>
    <e v="#N/A"/>
    <s v="xcathurt"/>
  </r>
  <r>
    <x v="44"/>
    <x v="6"/>
    <s v="Admin/HR/IT"/>
    <s v="AMCARE NonOcc In"/>
    <s v="TEMP"/>
    <n v="200509428"/>
    <s v="Guevara Ramirez,Zayra Lorena"/>
    <s v="Corona Arriaga,Fernando"/>
    <n v="0"/>
    <n v="0"/>
    <n v="0"/>
    <n v="0"/>
    <n v="0.17"/>
    <e v="#N/A"/>
    <e v="#N/A"/>
  </r>
  <r>
    <x v="44"/>
    <x v="6"/>
    <s v="Admin/HR/IT"/>
    <s v="AMCARE NonOcc In"/>
    <s v="TEMP"/>
    <n v="200514078"/>
    <s v="Mora Hernandez,Alya"/>
    <s v="Robledo Ugarte,Alejandro"/>
    <n v="0"/>
    <n v="0"/>
    <n v="0"/>
    <n v="0"/>
    <n v="1.23"/>
    <e v="#N/A"/>
    <e v="#N/A"/>
  </r>
  <r>
    <x v="44"/>
    <x v="6"/>
    <s v="Admin/HR/IT"/>
    <s v="AMCARE NonOcc In"/>
    <s v="TEMP"/>
    <n v="200594875"/>
    <s v="Maldonado,Jose"/>
    <s v="Gomez Aguado,Jorge"/>
    <n v="0"/>
    <n v="0"/>
    <n v="0"/>
    <n v="0"/>
    <n v="0.27"/>
    <e v="#N/A"/>
    <s v="jwmaldon"/>
  </r>
  <r>
    <x v="44"/>
    <x v="6"/>
    <s v="Admin/HR/IT"/>
    <s v="AMCARE NonOcc In"/>
    <s v="TEMP"/>
    <n v="200625027"/>
    <s v="Rodriguez Gonzalez,Neidy"/>
    <s v="Hernandez,Nataly"/>
    <n v="0"/>
    <n v="0"/>
    <n v="0"/>
    <n v="0"/>
    <n v="0.16"/>
    <e v="#N/A"/>
    <e v="#N/A"/>
  </r>
  <r>
    <x v="44"/>
    <x v="6"/>
    <s v="Admin/HR/IT"/>
    <s v="AMCARE NonOcc In"/>
    <s v="TEMP"/>
    <n v="200625528"/>
    <s v="Oliva,Lizbeth"/>
    <s v="Gomez Aguado,Jorge"/>
    <n v="0"/>
    <n v="0"/>
    <n v="0"/>
    <n v="0"/>
    <n v="0.13"/>
    <e v="#N/A"/>
    <s v="olivlizb"/>
  </r>
  <r>
    <x v="45"/>
    <x v="6"/>
    <s v="Admin/HR/IT"/>
    <s v="AMCARE NonOcc In"/>
    <s v="AMZN"/>
    <n v="112912675"/>
    <s v="Alejandri Villagomez,Alejandra"/>
    <s v="Gomez,Abinadab"/>
    <n v="0"/>
    <n v="0"/>
    <n v="0"/>
    <n v="0"/>
    <n v="0.96"/>
    <e v="#N/A"/>
    <e v="#N/A"/>
  </r>
  <r>
    <x v="45"/>
    <x v="6"/>
    <s v="Admin/HR/IT"/>
    <s v="AMCARE NonOcc In"/>
    <s v="AMZN"/>
    <n v="113003631"/>
    <s v="Ortega,Elizabeth"/>
    <s v="Gomez Aguado,Jorge"/>
    <n v="0"/>
    <n v="0"/>
    <n v="0"/>
    <n v="0"/>
    <n v="0.15"/>
    <e v="#N/A"/>
    <e v="#N/A"/>
  </r>
  <r>
    <x v="45"/>
    <x v="6"/>
    <s v="Admin/HR/IT"/>
    <s v="AMCARE NonOcc In"/>
    <s v="AMZN"/>
    <n v="113014560"/>
    <s v="Lopez Moreno,Americo"/>
    <s v="Ledezma,Fer"/>
    <n v="0"/>
    <n v="0"/>
    <n v="0"/>
    <n v="0"/>
    <n v="0.27"/>
    <e v="#N/A"/>
    <s v="zlopamer"/>
  </r>
  <r>
    <x v="45"/>
    <x v="6"/>
    <s v="Admin/HR/IT"/>
    <s v="AMCARE NonOcc In"/>
    <s v="AMZN"/>
    <n v="113019083"/>
    <s v="Contreras,Marco"/>
    <s v="Madrid Molina,Ramon"/>
    <n v="0"/>
    <n v="0"/>
    <n v="0"/>
    <n v="0"/>
    <n v="0.18"/>
    <e v="#N/A"/>
    <e v="#N/A"/>
  </r>
  <r>
    <x v="45"/>
    <x v="6"/>
    <s v="Admin/HR/IT"/>
    <s v="AMCARE NonOcc In"/>
    <s v="TEMP"/>
    <n v="200615883"/>
    <s v="Ibarra Amaro,Adriana"/>
    <s v="Madrid Molina,Ramon"/>
    <n v="0"/>
    <n v="0"/>
    <n v="0"/>
    <n v="0"/>
    <n v="0.19"/>
    <e v="#N/A"/>
    <e v="#N/A"/>
  </r>
  <r>
    <x v="46"/>
    <x v="6"/>
    <s v="Admin/HR/IT"/>
    <s v="AMCARE NonOcc In"/>
    <s v="AMZN"/>
    <n v="112912983"/>
    <s v="RodrÃ­guez,RocÃ­o"/>
    <s v="Camarena,Grecia"/>
    <n v="0"/>
    <n v="0"/>
    <n v="0"/>
    <n v="0"/>
    <n v="0.19"/>
    <s v="NF-X1900"/>
    <s v="wrocirod"/>
  </r>
  <r>
    <x v="46"/>
    <x v="6"/>
    <s v="Admin/HR/IT"/>
    <s v="AMCARE NonOcc In"/>
    <s v="AMZN"/>
    <n v="112946339"/>
    <s v="Andrade,Emmanuel"/>
    <s v="Corona Arriaga,Fernando"/>
    <n v="0"/>
    <n v="0"/>
    <n v="0"/>
    <n v="0"/>
    <n v="0.1"/>
    <e v="#N/A"/>
    <e v="#N/A"/>
  </r>
  <r>
    <x v="46"/>
    <x v="6"/>
    <s v="Admin/HR/IT"/>
    <s v="AMCARE NonOcc In"/>
    <s v="AMZN"/>
    <n v="112971955"/>
    <s v="Perez Rodriguez,Luis"/>
    <s v="Cortes,Alejandra"/>
    <n v="0"/>
    <n v="0"/>
    <n v="0"/>
    <n v="0"/>
    <n v="0.49"/>
    <e v="#N/A"/>
    <e v="#N/A"/>
  </r>
  <r>
    <x v="46"/>
    <x v="6"/>
    <s v="Admin/HR/IT"/>
    <s v="AMCARE NonOcc In"/>
    <s v="AMZN"/>
    <n v="112971961"/>
    <s v="Lopez,Jason"/>
    <s v="Camarena,Grecia"/>
    <n v="0"/>
    <n v="0"/>
    <n v="0"/>
    <n v="0"/>
    <n v="0.14000000000000001"/>
    <e v="#N/A"/>
    <e v="#N/A"/>
  </r>
  <r>
    <x v="46"/>
    <x v="6"/>
    <s v="Admin/HR/IT"/>
    <s v="AMCARE NonOcc In"/>
    <s v="AMZN"/>
    <n v="112980812"/>
    <s v="Jacobo,Mary"/>
    <s v="Ledezma,Fer"/>
    <n v="0"/>
    <n v="0"/>
    <n v="0"/>
    <n v="0"/>
    <n v="0.62"/>
    <s v="DA-X0700"/>
    <s v="maryjacp"/>
  </r>
  <r>
    <x v="46"/>
    <x v="6"/>
    <s v="Admin/HR/IT"/>
    <s v="AMCARE NonOcc In"/>
    <s v="AMZN"/>
    <n v="113014081"/>
    <s v="Frausto,Genesis"/>
    <s v="Piedra,Valentina"/>
    <n v="0"/>
    <n v="0"/>
    <n v="0"/>
    <n v="0"/>
    <n v="2.04"/>
    <e v="#N/A"/>
    <s v="fraugene"/>
  </r>
  <r>
    <x v="46"/>
    <x v="6"/>
    <s v="Admin/HR/IT"/>
    <s v="AMCARE NonOcc In"/>
    <s v="AMZN"/>
    <n v="113014560"/>
    <s v="Lopez Moreno,Americo"/>
    <s v="Ledezma,Fer"/>
    <n v="0"/>
    <n v="0"/>
    <n v="0"/>
    <n v="0"/>
    <n v="0.25"/>
    <e v="#N/A"/>
    <s v="zlopamer"/>
  </r>
  <r>
    <x v="46"/>
    <x v="6"/>
    <s v="Admin/HR/IT"/>
    <s v="AMCARE NonOcc In"/>
    <s v="AMZN"/>
    <n v="113019083"/>
    <s v="Contreras,Marco"/>
    <s v="Madrid Molina,Ramon"/>
    <n v="0"/>
    <n v="0"/>
    <n v="0"/>
    <n v="0"/>
    <n v="0.51"/>
    <e v="#N/A"/>
    <e v="#N/A"/>
  </r>
  <r>
    <x v="46"/>
    <x v="6"/>
    <s v="Admin/HR/IT"/>
    <s v="AMCARE NonOcc In"/>
    <s v="AMZN"/>
    <n v="113044763"/>
    <s v="Urbina Avila,Stephany"/>
    <s v="Hernandez,Nataly"/>
    <n v="0"/>
    <n v="0"/>
    <n v="0"/>
    <n v="0"/>
    <n v="0.14000000000000001"/>
    <e v="#N/A"/>
    <s v="urbistep"/>
  </r>
  <r>
    <x v="46"/>
    <x v="6"/>
    <s v="Admin/HR/IT"/>
    <s v="AMCARE NonOcc In"/>
    <s v="AMZN"/>
    <n v="113052151"/>
    <s v="Nieves Mendez,Laura"/>
    <s v="Ledezma,Fer"/>
    <n v="0"/>
    <n v="0"/>
    <n v="0"/>
    <n v="0"/>
    <n v="0.6"/>
    <e v="#N/A"/>
    <s v="nilaurab"/>
  </r>
  <r>
    <x v="46"/>
    <x v="6"/>
    <s v="Admin/HR/IT"/>
    <s v="AMCARE NonOcc In"/>
    <s v="AMZN"/>
    <n v="200404250"/>
    <s v="Hurtado,Caty"/>
    <s v="Piedra,Valentina"/>
    <n v="0"/>
    <n v="0"/>
    <n v="0"/>
    <n v="0"/>
    <n v="0.38"/>
    <e v="#N/A"/>
    <s v="xcathurt"/>
  </r>
  <r>
    <x v="46"/>
    <x v="6"/>
    <s v="Admin/HR/IT"/>
    <s v="AMCARE NonOcc In"/>
    <s v="TEMP"/>
    <n v="200508371"/>
    <s v="Perez,Georgina"/>
    <s v="Romero Sanchez,Gustavo Gabriel"/>
    <n v="0"/>
    <n v="0"/>
    <n v="0"/>
    <n v="0"/>
    <n v="0.54"/>
    <e v="#N/A"/>
    <e v="#N/A"/>
  </r>
  <r>
    <x v="46"/>
    <x v="6"/>
    <s v="Admin/HR/IT"/>
    <s v="AMCARE NonOcc In"/>
    <s v="TEMP"/>
    <n v="200514421"/>
    <s v="Padilla Abrego,Angeles"/>
    <s v="Piedra,Valentina"/>
    <n v="0"/>
    <n v="0"/>
    <n v="0"/>
    <n v="0"/>
    <n v="0.24"/>
    <e v="#N/A"/>
    <s v="padillms"/>
  </r>
  <r>
    <x v="46"/>
    <x v="6"/>
    <s v="Admin/HR/IT"/>
    <s v="AMCARE NonOcc In"/>
    <s v="TEMP"/>
    <n v="200564895"/>
    <s v="Mendoza Corona,Brianda"/>
    <s v="Corona Arriaga,Fernando"/>
    <n v="0"/>
    <n v="0"/>
    <n v="0"/>
    <n v="0"/>
    <n v="0.16"/>
    <e v="#N/A"/>
    <s v="hmendobr"/>
  </r>
  <r>
    <x v="47"/>
    <x v="6"/>
    <s v="Admin/HR/IT"/>
    <s v="AMCARE NonOcc In"/>
    <s v="TEMP"/>
    <n v="109227086"/>
    <s v="Tavares,Alejandra"/>
    <s v="Hernandez,Nataly"/>
    <n v="0"/>
    <n v="0"/>
    <n v="0"/>
    <n v="0"/>
    <n v="1.65"/>
    <e v="#N/A"/>
    <e v="#N/A"/>
  </r>
  <r>
    <x v="47"/>
    <x v="6"/>
    <s v="Admin/HR/IT"/>
    <s v="AMCARE NonOcc In"/>
    <s v="AMZN"/>
    <n v="112912675"/>
    <s v="Alejandri Villagomez,Alejandra"/>
    <s v="Gomez,Abinadab"/>
    <n v="0"/>
    <n v="0"/>
    <n v="0"/>
    <n v="0"/>
    <n v="0.41"/>
    <e v="#N/A"/>
    <e v="#N/A"/>
  </r>
  <r>
    <x v="47"/>
    <x v="6"/>
    <s v="Admin/HR/IT"/>
    <s v="AMCARE NonOcc In"/>
    <s v="AMZN"/>
    <n v="112912677"/>
    <s v="Gonzalez,Gustavo"/>
    <s v="Camarena,Grecia"/>
    <n v="0"/>
    <n v="0"/>
    <n v="0"/>
    <n v="0"/>
    <n v="0.76"/>
    <e v="#N/A"/>
    <e v="#N/A"/>
  </r>
  <r>
    <x v="47"/>
    <x v="6"/>
    <s v="Admin/HR/IT"/>
    <s v="AMCARE NonOcc In"/>
    <s v="AMZN"/>
    <n v="112972608"/>
    <s v="Hernandez Romo,Sam"/>
    <s v="Pizana,Diego"/>
    <n v="0"/>
    <n v="0"/>
    <n v="0"/>
    <n v="0"/>
    <n v="0.17"/>
    <e v="#N/A"/>
    <e v="#N/A"/>
  </r>
  <r>
    <x v="47"/>
    <x v="6"/>
    <s v="Admin/HR/IT"/>
    <s v="AMCARE NonOcc In"/>
    <s v="AMZN"/>
    <n v="112981212"/>
    <s v="Zanella Miranda,Alyson"/>
    <s v="Ledezma,Fer"/>
    <n v="0"/>
    <n v="0"/>
    <n v="0"/>
    <n v="0"/>
    <n v="0.23"/>
    <e v="#N/A"/>
    <s v="alysonza"/>
  </r>
  <r>
    <x v="47"/>
    <x v="6"/>
    <s v="Admin/HR/IT"/>
    <s v="AMCARE NonOcc In"/>
    <s v="AMZN"/>
    <n v="113019042"/>
    <s v="Gallegos Godinez,Eloy"/>
    <s v="Hernandez,Nataly"/>
    <n v="0"/>
    <n v="0"/>
    <n v="0"/>
    <n v="0"/>
    <n v="0.34"/>
    <e v="#N/A"/>
    <e v="#N/A"/>
  </r>
  <r>
    <x v="47"/>
    <x v="6"/>
    <s v="Admin/HR/IT"/>
    <s v="AMCARE NonOcc In"/>
    <s v="AMZN"/>
    <n v="113019083"/>
    <s v="Contreras,Marco"/>
    <s v="Madrid Molina,Ramon"/>
    <n v="0"/>
    <n v="0"/>
    <n v="0"/>
    <n v="0"/>
    <n v="0.27"/>
    <e v="#N/A"/>
    <e v="#N/A"/>
  </r>
  <r>
    <x v="47"/>
    <x v="6"/>
    <s v="Admin/HR/IT"/>
    <s v="AMCARE NonOcc In"/>
    <s v="AMZN"/>
    <n v="113020497"/>
    <s v="Martinez Ruiz,Diana"/>
    <s v="Piedra,Valentina"/>
    <n v="0"/>
    <n v="0"/>
    <n v="0"/>
    <n v="0"/>
    <n v="0.54"/>
    <e v="#N/A"/>
    <s v="diamartd"/>
  </r>
  <r>
    <x v="47"/>
    <x v="6"/>
    <s v="Admin/HR/IT"/>
    <s v="AMCARE NonOcc In"/>
    <s v="AMZN"/>
    <n v="113040582"/>
    <s v="HDZ,DEMON"/>
    <s v="Madrid Molina,Ramon"/>
    <n v="0"/>
    <n v="0"/>
    <n v="0"/>
    <n v="0"/>
    <n v="0.17"/>
    <e v="#N/A"/>
    <s v="hgerardr"/>
  </r>
  <r>
    <x v="47"/>
    <x v="6"/>
    <s v="Admin/HR/IT"/>
    <s v="AMCARE NonOcc In"/>
    <s v="TEMP"/>
    <n v="200508371"/>
    <s v="Perez,Georgina"/>
    <s v="Romero Sanchez,Gustavo Gabriel"/>
    <n v="0"/>
    <n v="0"/>
    <n v="0"/>
    <n v="0"/>
    <n v="1.24"/>
    <e v="#N/A"/>
    <e v="#N/A"/>
  </r>
  <r>
    <x v="47"/>
    <x v="6"/>
    <s v="Admin/HR/IT"/>
    <s v="AMCARE NonOcc In"/>
    <s v="TEMP"/>
    <n v="200614224"/>
    <s v="Cruz Hernandez,Cris"/>
    <s v="Ledezma,Fer"/>
    <n v="0"/>
    <n v="0"/>
    <n v="0"/>
    <n v="0"/>
    <n v="0.15"/>
    <e v="#N/A"/>
    <e v="#N/A"/>
  </r>
  <r>
    <x v="48"/>
    <x v="6"/>
    <s v="Admin/HR/IT"/>
    <s v="AMCARE NonOcc In"/>
    <s v="AMZN"/>
    <n v="111434478"/>
    <s v="Gutierrez,Pame"/>
    <s v="Camarena,Grecia"/>
    <n v="0"/>
    <n v="0"/>
    <n v="0"/>
    <n v="0"/>
    <n v="1.78"/>
    <s v="DA-X0700"/>
    <s v="juanapam"/>
  </r>
  <r>
    <x v="48"/>
    <x v="6"/>
    <s v="Admin/HR/IT"/>
    <s v="AMCARE NonOcc In"/>
    <s v="AMZN"/>
    <n v="112912175"/>
    <s v="Padilla,Jandy"/>
    <s v="Hernandez,Nataly"/>
    <n v="0"/>
    <n v="0"/>
    <n v="0"/>
    <n v="0"/>
    <n v="0.91"/>
    <e v="#N/A"/>
    <e v="#N/A"/>
  </r>
  <r>
    <x v="48"/>
    <x v="6"/>
    <s v="Admin/HR/IT"/>
    <s v="AMCARE NonOcc In"/>
    <s v="AMZN"/>
    <n v="112912677"/>
    <s v="Gonzalez,Gustavo"/>
    <s v="Camarena,Grecia"/>
    <n v="0"/>
    <n v="0"/>
    <n v="0"/>
    <n v="0"/>
    <n v="1.68"/>
    <e v="#N/A"/>
    <e v="#N/A"/>
  </r>
  <r>
    <x v="48"/>
    <x v="6"/>
    <s v="Admin/HR/IT"/>
    <s v="AMCARE NonOcc In"/>
    <s v="AMZN"/>
    <n v="112981212"/>
    <s v="Zanella Miranda,Alyson"/>
    <s v="Ledezma,Fer"/>
    <n v="0"/>
    <n v="0"/>
    <n v="0"/>
    <n v="0"/>
    <n v="0.41"/>
    <e v="#N/A"/>
    <s v="alysonza"/>
  </r>
  <r>
    <x v="48"/>
    <x v="6"/>
    <s v="Admin/HR/IT"/>
    <s v="AMCARE NonOcc In"/>
    <s v="AMZN"/>
    <n v="112984442"/>
    <s v="Garcia,Mauricio Antonio De la lama"/>
    <s v="Gomez,Abinadab"/>
    <n v="0"/>
    <n v="0"/>
    <n v="0"/>
    <n v="0"/>
    <n v="0.37"/>
    <e v="#N/A"/>
    <e v="#N/A"/>
  </r>
  <r>
    <x v="49"/>
    <x v="7"/>
    <s v="Admin/HR/IT"/>
    <s v="AMCARE NonOcc In"/>
    <s v="AMZN"/>
    <n v="112912008"/>
    <s v="Espinosa,Consuelo"/>
    <s v="Rosas Negrete,Sebastian"/>
    <n v="0"/>
    <n v="0"/>
    <n v="0"/>
    <n v="0"/>
    <n v="0.28999999999999998"/>
    <e v="#N/A"/>
    <e v="#N/A"/>
  </r>
  <r>
    <x v="49"/>
    <x v="7"/>
    <s v="Admin/HR/IT"/>
    <s v="AMCARE NonOcc In"/>
    <s v="AMZN"/>
    <n v="112912203"/>
    <s v="Alvarez Olivares,Omar Leonardo"/>
    <s v="Garcia Espejel,Brenda Victoria"/>
    <n v="0"/>
    <n v="0"/>
    <n v="0"/>
    <n v="0"/>
    <n v="0.33"/>
    <s v="DA-X0700"/>
    <s v="omarleoa"/>
  </r>
  <r>
    <x v="49"/>
    <x v="7"/>
    <s v="Admin/HR/IT"/>
    <s v="AMCARE NonOcc In"/>
    <s v="AMZN"/>
    <n v="112912663"/>
    <s v="Segura,Lucero"/>
    <s v="Munoz,Jonan"/>
    <n v="0"/>
    <n v="0"/>
    <n v="0"/>
    <n v="0"/>
    <n v="0.22"/>
    <e v="#N/A"/>
    <e v="#N/A"/>
  </r>
  <r>
    <x v="49"/>
    <x v="7"/>
    <s v="Admin/HR/IT"/>
    <s v="AMCARE NonOcc In"/>
    <s v="AMZN"/>
    <n v="112950809"/>
    <s v="Rocha,Luz"/>
    <s v="Munoz,Jonan"/>
    <n v="0"/>
    <n v="0"/>
    <n v="0"/>
    <n v="0"/>
    <n v="14.83"/>
    <s v="DA-X0700"/>
    <s v="lurochae"/>
  </r>
  <r>
    <x v="49"/>
    <x v="7"/>
    <s v="Admin/HR/IT"/>
    <s v="AMCARE NonOcc In"/>
    <s v="AMZN"/>
    <n v="112950818"/>
    <s v="Sanchez Banuelos,Edith"/>
    <s v="Gomez Aguado,Jorge"/>
    <n v="0"/>
    <n v="0"/>
    <n v="0"/>
    <n v="0"/>
    <n v="0.25"/>
    <s v="DA-X0700"/>
    <s v="xedithsa"/>
  </r>
  <r>
    <x v="49"/>
    <x v="7"/>
    <s v="Admin/HR/IT"/>
    <s v="AMCARE NonOcc In"/>
    <s v="AMZN"/>
    <n v="112980844"/>
    <s v="Padilla,Samantha"/>
    <s v="Robledo Ugarte,Alejandro"/>
    <n v="0"/>
    <n v="0"/>
    <n v="0"/>
    <n v="0"/>
    <n v="0.73"/>
    <s v="DA-X0700"/>
    <s v="samajpad"/>
  </r>
  <r>
    <x v="49"/>
    <x v="7"/>
    <s v="Admin/HR/IT"/>
    <s v="AMCARE NonOcc In"/>
    <s v="AMZN"/>
    <n v="112981212"/>
    <s v="Zanella Miranda,Alyson"/>
    <s v="Ledezma,Fer"/>
    <n v="0"/>
    <n v="0"/>
    <n v="0"/>
    <n v="0"/>
    <n v="0.64"/>
    <e v="#N/A"/>
    <s v="alysonza"/>
  </r>
  <r>
    <x v="49"/>
    <x v="7"/>
    <s v="Admin/HR/IT"/>
    <s v="AMCARE NonOcc In"/>
    <s v="TEMP"/>
    <n v="200509428"/>
    <s v="Guevara Ramirez,Zayra Lorena"/>
    <s v="Corona Arriaga,Fernando"/>
    <n v="0"/>
    <n v="0"/>
    <n v="0"/>
    <n v="0"/>
    <n v="0.63"/>
    <e v="#N/A"/>
    <e v="#N/A"/>
  </r>
  <r>
    <x v="49"/>
    <x v="7"/>
    <s v="Admin/HR/IT"/>
    <s v="AMCARE NonOcc In"/>
    <s v="TEMP"/>
    <n v="200564845"/>
    <s v="Barron,Abraham"/>
    <s v="Piedra,Valentina"/>
    <n v="0"/>
    <n v="0"/>
    <n v="0"/>
    <n v="0"/>
    <n v="0.37"/>
    <e v="#N/A"/>
    <e v="#N/A"/>
  </r>
  <r>
    <x v="49"/>
    <x v="7"/>
    <s v="Admin/HR/IT"/>
    <s v="AMCARE NonOcc In"/>
    <s v="TEMP"/>
    <n v="200625528"/>
    <s v="Oliva,Lizbeth"/>
    <s v="Gomez Aguado,Jorge"/>
    <n v="0"/>
    <n v="0"/>
    <n v="0"/>
    <n v="0"/>
    <n v="0.2"/>
    <e v="#N/A"/>
    <s v="olivlizb"/>
  </r>
  <r>
    <x v="50"/>
    <x v="7"/>
    <s v="Admin/HR/IT"/>
    <s v="AMCARE NonOcc In"/>
    <s v="AMZN"/>
    <n v="112912008"/>
    <s v="Espinosa,Consuelo"/>
    <s v="Rosas Negrete,Sebastian"/>
    <n v="0"/>
    <n v="0"/>
    <n v="0"/>
    <n v="0"/>
    <n v="1.97"/>
    <e v="#N/A"/>
    <e v="#N/A"/>
  </r>
  <r>
    <x v="50"/>
    <x v="7"/>
    <s v="Admin/HR/IT"/>
    <s v="AMCARE NonOcc In"/>
    <s v="AMZN"/>
    <n v="112912661"/>
    <s v="Morales Gonzalez,Francisco"/>
    <s v="Rosas Negrete,Sebastian"/>
    <n v="0"/>
    <n v="0"/>
    <n v="0"/>
    <n v="0"/>
    <n v="0.18"/>
    <s v="DA-X0700"/>
    <s v="franmorb"/>
  </r>
  <r>
    <x v="50"/>
    <x v="7"/>
    <s v="Admin/HR/IT"/>
    <s v="AMCARE NonOcc In"/>
    <s v="AMZN"/>
    <n v="112912745"/>
    <s v="Gomez Meza,Alex"/>
    <s v="Robledo Ugarte,Alejandro"/>
    <n v="0"/>
    <n v="0"/>
    <n v="0"/>
    <n v="0"/>
    <n v="0.54"/>
    <s v="DA-X0700"/>
    <s v="nalexgom"/>
  </r>
  <r>
    <x v="50"/>
    <x v="7"/>
    <s v="Admin/HR/IT"/>
    <s v="AMCARE NonOcc In"/>
    <s v="AMZN"/>
    <n v="112950795"/>
    <s v="Espinosa Espitia,Ali"/>
    <s v="Munoz,Jonan"/>
    <n v="0"/>
    <n v="0"/>
    <n v="0"/>
    <n v="0"/>
    <n v="0.49"/>
    <s v="DA-X0700"/>
    <s v="oespiali"/>
  </r>
  <r>
    <x v="50"/>
    <x v="7"/>
    <s v="Admin/HR/IT"/>
    <s v="AMCARE NonOcc In"/>
    <s v="AMZN"/>
    <n v="112950809"/>
    <s v="Rocha,Luz"/>
    <s v="Munoz,Jonan"/>
    <n v="0"/>
    <n v="0"/>
    <n v="0"/>
    <n v="0"/>
    <n v="7.92"/>
    <s v="DA-X0700"/>
    <s v="lurochae"/>
  </r>
  <r>
    <x v="50"/>
    <x v="7"/>
    <s v="Admin/HR/IT"/>
    <s v="AMCARE NonOcc In"/>
    <s v="AMZN"/>
    <n v="113003631"/>
    <s v="Ortega,Elizabeth"/>
    <s v="Gomez Aguado,Jorge"/>
    <n v="0"/>
    <n v="0"/>
    <n v="0"/>
    <n v="0"/>
    <n v="0.13"/>
    <e v="#N/A"/>
    <e v="#N/A"/>
  </r>
  <r>
    <x v="50"/>
    <x v="7"/>
    <s v="Admin/HR/IT"/>
    <s v="AMCARE NonOcc In"/>
    <s v="AMZN"/>
    <n v="113019042"/>
    <s v="Gallegos Godinez,Eloy"/>
    <s v="Hernandez,Nataly"/>
    <n v="0"/>
    <n v="0"/>
    <n v="0"/>
    <n v="0"/>
    <n v="0.72"/>
    <e v="#N/A"/>
    <e v="#N/A"/>
  </r>
  <r>
    <x v="50"/>
    <x v="7"/>
    <s v="Admin/HR/IT"/>
    <s v="AMCARE NonOcc In"/>
    <s v="AMZN"/>
    <n v="113101453"/>
    <s v="Isaac,Geovanna"/>
    <s v="Corona Arriaga,Fernando"/>
    <n v="0"/>
    <n v="0"/>
    <n v="0"/>
    <n v="0"/>
    <n v="0.17"/>
    <e v="#N/A"/>
    <s v="qisgeova"/>
  </r>
  <r>
    <x v="50"/>
    <x v="7"/>
    <s v="Admin/HR/IT"/>
    <s v="AMCARE NonOcc In"/>
    <s v="AMZN"/>
    <n v="200404250"/>
    <s v="Hurtado,Caty"/>
    <s v="Piedra,Valentina"/>
    <n v="0"/>
    <n v="0"/>
    <n v="0"/>
    <n v="0"/>
    <n v="0.46"/>
    <e v="#N/A"/>
    <s v="xcathurt"/>
  </r>
  <r>
    <x v="50"/>
    <x v="7"/>
    <s v="Admin/HR/IT"/>
    <s v="AMCARE NonOcc In"/>
    <s v="TEMP"/>
    <n v="200625517"/>
    <s v="RamÃ­rez,Miranda"/>
    <s v="Corona Arriaga,Fernando"/>
    <n v="0"/>
    <n v="0"/>
    <n v="0"/>
    <n v="0"/>
    <n v="0.33"/>
    <e v="#N/A"/>
    <e v="#N/A"/>
  </r>
  <r>
    <x v="50"/>
    <x v="7"/>
    <s v="Admin/HR/IT"/>
    <s v="AMCARE NonOcc In"/>
    <s v="TEMP"/>
    <n v="200625528"/>
    <s v="Oliva,Lizbeth"/>
    <s v="Gomez Aguado,Jorge"/>
    <n v="0"/>
    <n v="0"/>
    <n v="0"/>
    <n v="0"/>
    <n v="0.13"/>
    <e v="#N/A"/>
    <s v="olivlizb"/>
  </r>
  <r>
    <x v="51"/>
    <x v="7"/>
    <s v="Admin/HR/IT"/>
    <s v="AMCARE NonOcc In"/>
    <s v="TEMP"/>
    <n v="200574345"/>
    <s v="Contreras,Jony"/>
    <s v="Piedra,Valentina"/>
    <n v="0"/>
    <n v="0"/>
    <n v="0"/>
    <n v="0"/>
    <n v="0.33"/>
    <e v="#N/A"/>
    <s v="contrexj"/>
  </r>
  <r>
    <x v="51"/>
    <x v="7"/>
    <s v="Admin/HR/IT"/>
    <s v="AMCARE NonOcc In"/>
    <s v="AMZN"/>
    <n v="113014078"/>
    <s v="Nunez Lopez,Aldair"/>
    <s v="Hernandez,Nataly"/>
    <n v="0"/>
    <n v="0"/>
    <n v="0"/>
    <n v="0"/>
    <n v="0.17"/>
    <e v="#N/A"/>
    <s v="dnaldair"/>
  </r>
  <r>
    <x v="51"/>
    <x v="7"/>
    <s v="Admin/HR/IT"/>
    <s v="AMCARE NonOcc In"/>
    <s v="AMZN"/>
    <n v="113019001"/>
    <s v="Lozano Hernandez,Donny"/>
    <s v="Robledo Ugarte,Alejandro"/>
    <n v="0"/>
    <n v="0"/>
    <n v="0"/>
    <n v="0"/>
    <n v="0.45"/>
    <e v="#N/A"/>
    <s v="dolozane"/>
  </r>
  <r>
    <x v="51"/>
    <x v="7"/>
    <s v="Admin/HR/IT"/>
    <s v="AMCARE NonOcc In"/>
    <s v="AMZN"/>
    <n v="112976013"/>
    <s v="Garcia,Roberto"/>
    <s v="Munoz,Jonan"/>
    <n v="0"/>
    <n v="0"/>
    <n v="0"/>
    <n v="0"/>
    <n v="0.55000000000000004"/>
    <e v="#N/A"/>
    <e v="#N/A"/>
  </r>
  <r>
    <x v="51"/>
    <x v="7"/>
    <s v="Admin/HR/IT"/>
    <s v="AMCARE NonOcc In"/>
    <s v="TEMP"/>
    <n v="200589316"/>
    <s v="Torres Zuniga,Daniel"/>
    <s v="Madrid Molina,Ramon"/>
    <n v="0"/>
    <n v="0"/>
    <n v="0"/>
    <n v="0"/>
    <n v="0.87"/>
    <e v="#N/A"/>
    <e v="#N/A"/>
  </r>
  <r>
    <x v="51"/>
    <x v="7"/>
    <s v="Admin/HR/IT"/>
    <s v="AMCARE NonOcc In"/>
    <s v="AMZN"/>
    <n v="112981201"/>
    <s v="Ramirez,Andrea"/>
    <s v="Corona Arriaga,Fernando"/>
    <n v="0"/>
    <n v="0"/>
    <n v="0"/>
    <n v="0"/>
    <n v="0.8"/>
    <e v="#N/A"/>
    <e v="#N/A"/>
  </r>
  <r>
    <x v="51"/>
    <x v="7"/>
    <s v="Admin/HR/IT"/>
    <s v="AMCARE NonOcc In"/>
    <s v="AMZN"/>
    <n v="112912175"/>
    <s v="Padilla,Jandy"/>
    <s v="Hernandez,Nataly"/>
    <n v="0"/>
    <n v="0"/>
    <n v="0"/>
    <n v="0"/>
    <n v="0.46"/>
    <e v="#N/A"/>
    <e v="#N/A"/>
  </r>
  <r>
    <x v="51"/>
    <x v="7"/>
    <s v="Admin/HR/IT"/>
    <s v="AMCARE NonOcc In"/>
    <s v="TEMP"/>
    <n v="200509691"/>
    <s v="Mendoza Jasso,Jesus"/>
    <s v="Robledo Ugarte,Alejandro"/>
    <n v="0"/>
    <n v="0"/>
    <n v="0"/>
    <n v="0"/>
    <n v="0.23"/>
    <e v="#N/A"/>
    <s v="josedmef"/>
  </r>
  <r>
    <x v="51"/>
    <x v="7"/>
    <s v="Admin/HR/IT"/>
    <s v="AMCARE NonOcc In"/>
    <s v="AMZN"/>
    <n v="111434478"/>
    <s v="Gutierrez,Pame"/>
    <s v="Garcia Espejel,Brenda Victoria"/>
    <n v="0"/>
    <n v="0"/>
    <n v="0"/>
    <n v="0"/>
    <n v="0.19"/>
    <s v="DA-X0700"/>
    <s v="juanapam"/>
  </r>
  <r>
    <x v="51"/>
    <x v="7"/>
    <s v="Admin/HR/IT"/>
    <s v="AMCARE NonOcc In"/>
    <s v="TEMP"/>
    <n v="109227086"/>
    <s v="Tavares,Alejandra"/>
    <s v="Hernandez,Nataly"/>
    <n v="0"/>
    <n v="0"/>
    <n v="0"/>
    <n v="0"/>
    <n v="2.87"/>
    <e v="#N/A"/>
    <e v="#N/A"/>
  </r>
  <r>
    <x v="51"/>
    <x v="7"/>
    <s v="Admin/HR/IT"/>
    <s v="AMCARE NonOcc In"/>
    <s v="AMZN"/>
    <n v="113014011"/>
    <s v="Robledo Barrientos,Logan"/>
    <s v="Hernandez,Nataly"/>
    <n v="0"/>
    <n v="0"/>
    <n v="0"/>
    <n v="0"/>
    <n v="0.38"/>
    <e v="#N/A"/>
    <e v="#N/A"/>
  </r>
  <r>
    <x v="51"/>
    <x v="7"/>
    <s v="Admin/HR/IT"/>
    <s v="AMCARE NonOcc In"/>
    <s v="AMZN"/>
    <n v="112980843"/>
    <s v="Santos,Israel"/>
    <s v="Robledo Ugarte,Alejandro"/>
    <n v="0"/>
    <n v="0"/>
    <n v="0"/>
    <n v="0"/>
    <n v="0.28999999999999998"/>
    <s v="DA-X0700"/>
    <s v="lsisrael"/>
  </r>
  <r>
    <x v="51"/>
    <x v="7"/>
    <s v="Admin/HR/IT"/>
    <s v="AMCARE NonOcc In"/>
    <s v="AMZN"/>
    <n v="112981061"/>
    <s v="Olguin,Claudia"/>
    <s v="Corona Arriaga,Fernando"/>
    <n v="0"/>
    <n v="0"/>
    <n v="0"/>
    <n v="0"/>
    <n v="0.2"/>
    <s v="DA-X0700"/>
    <s v="mclaudol"/>
  </r>
  <r>
    <x v="51"/>
    <x v="7"/>
    <s v="Admin/HR/IT"/>
    <s v="AMCARE NonOcc In"/>
    <s v="AMZN"/>
    <n v="113020463"/>
    <s v="Valtierra,Alejandra"/>
    <s v="Hernandez,Nataly"/>
    <n v="0"/>
    <n v="0"/>
    <n v="0"/>
    <n v="0"/>
    <n v="0.19"/>
    <e v="#N/A"/>
    <s v="myriamav"/>
  </r>
  <r>
    <x v="51"/>
    <x v="7"/>
    <s v="Admin/HR/IT"/>
    <s v="AMCARE NonOcc In"/>
    <s v="AMZN"/>
    <n v="112950795"/>
    <s v="Espinosa Espitia,Ali"/>
    <s v="Munoz,Jonan"/>
    <n v="0"/>
    <n v="0"/>
    <n v="0"/>
    <n v="0"/>
    <n v="0.32"/>
    <s v="DA-X0700"/>
    <s v="oespiali"/>
  </r>
  <r>
    <x v="51"/>
    <x v="7"/>
    <s v="Admin/HR/IT"/>
    <s v="AMCARE NonOcc In"/>
    <s v="TEMP"/>
    <n v="200514421"/>
    <s v="Padilla Abrego,Angeles"/>
    <s v="Piedra,Valentina"/>
    <n v="0"/>
    <n v="0"/>
    <n v="0"/>
    <n v="0"/>
    <n v="0.16"/>
    <e v="#N/A"/>
    <s v="padillms"/>
  </r>
  <r>
    <x v="51"/>
    <x v="7"/>
    <s v="Admin/HR/IT"/>
    <s v="AMCARE NonOcc In"/>
    <s v="AMZN"/>
    <n v="113014036"/>
    <s v="Rodriguez Alcaraz,ToÃ±o"/>
    <s v="Corona Arriaga,Fernando"/>
    <n v="0"/>
    <n v="0"/>
    <n v="0"/>
    <n v="0"/>
    <n v="0.71"/>
    <e v="#N/A"/>
    <s v="ronjosea"/>
  </r>
  <r>
    <x v="51"/>
    <x v="7"/>
    <s v="Admin/HR/IT"/>
    <s v="AMCARE NonOcc In"/>
    <s v="AMZN"/>
    <n v="112912752"/>
    <s v="Valderrama Gomez,Leslie"/>
    <s v="Robledo Ugarte,Alejandro"/>
    <n v="0"/>
    <n v="0"/>
    <n v="0"/>
    <n v="0"/>
    <n v="0.39"/>
    <s v="NF-X1900"/>
    <s v="valderle"/>
  </r>
  <r>
    <x v="51"/>
    <x v="7"/>
    <s v="Admin/HR/IT"/>
    <s v="AMCARE NonOcc In"/>
    <s v="AMZN"/>
    <n v="112912046"/>
    <s v="Aguilar,Victor Manuel"/>
    <s v="Munoz,Jonan"/>
    <n v="0"/>
    <n v="0"/>
    <n v="0"/>
    <n v="0"/>
    <n v="0.16"/>
    <e v="#N/A"/>
    <e v="#N/A"/>
  </r>
  <r>
    <x v="51"/>
    <x v="7"/>
    <s v="Admin/HR/IT"/>
    <s v="AMCARE NonOcc In"/>
    <s v="AMZN"/>
    <n v="112950800"/>
    <s v="Muniz,Viri"/>
    <s v="Munoz,Jonan"/>
    <n v="0"/>
    <n v="0"/>
    <n v="0"/>
    <n v="0"/>
    <n v="0.19"/>
    <s v="NF-X1900"/>
    <s v="virimuni"/>
  </r>
  <r>
    <x v="51"/>
    <x v="7"/>
    <s v="Admin/HR/IT"/>
    <s v="AMCARE NonOcc In"/>
    <s v="AMZN"/>
    <n v="200404250"/>
    <s v="Hurtado,Caty"/>
    <s v="Piedra,Valentina"/>
    <n v="0"/>
    <n v="0"/>
    <n v="0"/>
    <n v="0"/>
    <n v="1.26"/>
    <e v="#N/A"/>
    <s v="xcathurt"/>
  </r>
  <r>
    <x v="52"/>
    <x v="7"/>
    <s v="Admin/HR/IT"/>
    <s v="AMCARE NonOcc In"/>
    <s v="TEMP"/>
    <n v="109227086"/>
    <s v="Tavares,Alejandra"/>
    <s v="Hernandez,Nataly"/>
    <n v="0"/>
    <n v="0"/>
    <n v="0"/>
    <n v="0"/>
    <n v="1.46"/>
    <e v="#N/A"/>
    <e v="#N/A"/>
  </r>
  <r>
    <x v="52"/>
    <x v="7"/>
    <s v="Admin/HR/IT"/>
    <s v="AMCARE NonOcc In"/>
    <s v="AMZN"/>
    <n v="112950800"/>
    <s v="Muniz,Viri"/>
    <s v="Munoz,Jonan"/>
    <n v="0"/>
    <n v="0"/>
    <n v="0"/>
    <n v="0"/>
    <n v="0.13"/>
    <s v="NF-X1900"/>
    <s v="virimuni"/>
  </r>
  <r>
    <x v="52"/>
    <x v="7"/>
    <s v="Admin/HR/IT"/>
    <s v="AMCARE NonOcc In"/>
    <s v="AMZN"/>
    <n v="112950819"/>
    <s v="Rios Olmos,Isaac"/>
    <s v="Garcia Espejel,Brenda Victoria"/>
    <n v="0"/>
    <n v="0"/>
    <n v="0"/>
    <n v="0"/>
    <n v="0.13"/>
    <s v="DA-X0700"/>
    <s v="riojoeli"/>
  </r>
  <r>
    <x v="52"/>
    <x v="7"/>
    <s v="Admin/HR/IT"/>
    <s v="AMCARE NonOcc In"/>
    <s v="AMZN"/>
    <n v="112972608"/>
    <s v="Hernandez Romo,Sam"/>
    <s v="Pizana,Diego"/>
    <n v="0"/>
    <n v="0"/>
    <n v="0"/>
    <n v="0"/>
    <n v="0.09"/>
    <e v="#N/A"/>
    <e v="#N/A"/>
  </r>
  <r>
    <x v="52"/>
    <x v="7"/>
    <s v="Admin/HR/IT"/>
    <s v="AMCARE NonOcc In"/>
    <s v="AMZN"/>
    <n v="112980844"/>
    <s v="Padilla,Samantha"/>
    <s v="Robledo Ugarte,Alejandro"/>
    <n v="0"/>
    <n v="0"/>
    <n v="0"/>
    <n v="0"/>
    <n v="0.73"/>
    <s v="DA-X0700"/>
    <s v="samajpad"/>
  </r>
  <r>
    <x v="52"/>
    <x v="7"/>
    <s v="Admin/HR/IT"/>
    <s v="AMCARE NonOcc In"/>
    <s v="AMZN"/>
    <n v="112981061"/>
    <s v="Olguin,Claudia"/>
    <s v="Corona Arriaga,Fernando"/>
    <n v="0"/>
    <n v="0"/>
    <n v="0"/>
    <n v="0"/>
    <n v="0.2"/>
    <s v="DA-X0700"/>
    <s v="mclaudol"/>
  </r>
  <r>
    <x v="52"/>
    <x v="7"/>
    <s v="Admin/HR/IT"/>
    <s v="AMCARE NonOcc In"/>
    <s v="AMZN"/>
    <n v="112981201"/>
    <s v="Ramirez,Andrea"/>
    <s v="Corona Arriaga,Fernando"/>
    <n v="0"/>
    <n v="0"/>
    <n v="0"/>
    <n v="0"/>
    <n v="0.91"/>
    <e v="#N/A"/>
    <e v="#N/A"/>
  </r>
  <r>
    <x v="52"/>
    <x v="7"/>
    <s v="Admin/HR/IT"/>
    <s v="AMCARE NonOcc In"/>
    <s v="AMZN"/>
    <n v="113014011"/>
    <s v="Robledo Barrientos,Logan"/>
    <s v="Hernandez,Nataly"/>
    <n v="0"/>
    <n v="0"/>
    <n v="0"/>
    <n v="0"/>
    <n v="0.38"/>
    <e v="#N/A"/>
    <e v="#N/A"/>
  </r>
  <r>
    <x v="52"/>
    <x v="7"/>
    <s v="Admin/HR/IT"/>
    <s v="AMCARE NonOcc In"/>
    <s v="AMZN"/>
    <n v="113014036"/>
    <s v="Rodriguez Alcaraz,ToÃ±o"/>
    <s v="Corona Arriaga,Fernando"/>
    <n v="0"/>
    <n v="0"/>
    <n v="0"/>
    <n v="0"/>
    <n v="0.71"/>
    <e v="#N/A"/>
    <s v="ronjosea"/>
  </r>
  <r>
    <x v="52"/>
    <x v="7"/>
    <s v="Admin/HR/IT"/>
    <s v="AMCARE NonOcc In"/>
    <s v="AMZN"/>
    <n v="113020463"/>
    <s v="Valtierra,Alejandra"/>
    <s v="Hernandez,Nataly"/>
    <n v="0"/>
    <n v="0"/>
    <n v="0"/>
    <n v="0"/>
    <n v="0.19"/>
    <e v="#N/A"/>
    <s v="myriamav"/>
  </r>
  <r>
    <x v="52"/>
    <x v="7"/>
    <s v="Admin/HR/IT"/>
    <s v="AMCARE NonOcc In"/>
    <s v="AMZN"/>
    <n v="200404250"/>
    <s v="Hurtado,Caty"/>
    <s v="Piedra,Valentina"/>
    <n v="0"/>
    <n v="0"/>
    <n v="0"/>
    <n v="0"/>
    <n v="0.44"/>
    <e v="#N/A"/>
    <s v="xcathurt"/>
  </r>
  <r>
    <x v="52"/>
    <x v="7"/>
    <s v="Admin/HR/IT"/>
    <s v="AMCARE NonOcc In"/>
    <s v="TEMP"/>
    <n v="200508371"/>
    <s v="Perez,Georgina"/>
    <s v="Romero Sanchez,Gustavo Gabriel"/>
    <n v="0"/>
    <n v="0"/>
    <n v="0"/>
    <n v="0"/>
    <n v="0.21"/>
    <e v="#N/A"/>
    <e v="#N/A"/>
  </r>
  <r>
    <x v="52"/>
    <x v="7"/>
    <s v="Admin/HR/IT"/>
    <s v="AMCARE NonOcc In"/>
    <s v="TEMP"/>
    <n v="200514421"/>
    <s v="Padilla Abrego,Angeles"/>
    <s v="Piedra,Valentina"/>
    <n v="0"/>
    <n v="0"/>
    <n v="0"/>
    <n v="0"/>
    <n v="0.16"/>
    <e v="#N/A"/>
    <s v="padillms"/>
  </r>
  <r>
    <x v="52"/>
    <x v="7"/>
    <s v="Admin/HR/IT"/>
    <s v="AMCARE NonOcc In"/>
    <s v="TEMP"/>
    <n v="200574345"/>
    <s v="Contreras,Jony"/>
    <s v="Piedra,Valentina"/>
    <n v="0"/>
    <n v="0"/>
    <n v="0"/>
    <n v="0"/>
    <n v="0.33"/>
    <e v="#N/A"/>
    <s v="contrexj"/>
  </r>
  <r>
    <x v="53"/>
    <x v="7"/>
    <s v="Admin/HR/IT"/>
    <s v="AMCARE NonOcc In"/>
    <s v="AMZN"/>
    <n v="103260242"/>
    <s v="Ayala,Mariela"/>
    <s v="Ledezma,Fer"/>
    <n v="0"/>
    <n v="0"/>
    <n v="0"/>
    <n v="0"/>
    <n v="1"/>
    <e v="#N/A"/>
    <e v="#N/A"/>
  </r>
  <r>
    <x v="53"/>
    <x v="7"/>
    <s v="Admin/HR/IT"/>
    <s v="AMCARE NonOcc In"/>
    <s v="AMZN"/>
    <n v="111434478"/>
    <s v="Gutierrez,Pame"/>
    <s v="Garcia Espejel,Brenda Victoria"/>
    <n v="0"/>
    <n v="0"/>
    <n v="0"/>
    <n v="0"/>
    <n v="1.78"/>
    <s v="DA-X0700"/>
    <s v="juanapam"/>
  </r>
  <r>
    <x v="53"/>
    <x v="7"/>
    <s v="Admin/HR/IT"/>
    <s v="AMCARE NonOcc In"/>
    <s v="AMZN"/>
    <n v="112912753"/>
    <s v="Padilla Abrego,Selene"/>
    <s v="Piedra,Valentina"/>
    <n v="0"/>
    <n v="0"/>
    <n v="0"/>
    <n v="0"/>
    <n v="0.2"/>
    <e v="#N/A"/>
    <e v="#N/A"/>
  </r>
  <r>
    <x v="53"/>
    <x v="7"/>
    <s v="Admin/HR/IT"/>
    <s v="AMCARE NonOcc In"/>
    <s v="AMZN"/>
    <n v="112973049"/>
    <s v="Tavares Parra,Ely"/>
    <s v="Romero Sanchez,Gustavo Gabriel"/>
    <n v="0"/>
    <n v="0"/>
    <n v="0"/>
    <n v="0"/>
    <n v="0.44"/>
    <s v="DB-X0700"/>
    <s v="afatimae"/>
  </r>
  <r>
    <x v="53"/>
    <x v="7"/>
    <s v="Admin/HR/IT"/>
    <s v="AMCARE NonOcc In"/>
    <s v="AMZN"/>
    <n v="112980835"/>
    <s v="Rojas  Cuellar,Jacqueline"/>
    <s v="Ledezma,Fer"/>
    <n v="0"/>
    <n v="0"/>
    <n v="0"/>
    <n v="0"/>
    <n v="0.16"/>
    <e v="#N/A"/>
    <e v="#N/A"/>
  </r>
  <r>
    <x v="53"/>
    <x v="7"/>
    <s v="Admin/HR/IT"/>
    <s v="AMCARE NonOcc In"/>
    <s v="AMZN"/>
    <n v="112980878"/>
    <s v="Romero Escobar,Gerardo"/>
    <s v="Piedra,Valentina"/>
    <n v="0"/>
    <n v="0"/>
    <n v="0"/>
    <n v="0"/>
    <n v="0.4"/>
    <e v="#N/A"/>
    <e v="#N/A"/>
  </r>
  <r>
    <x v="53"/>
    <x v="7"/>
    <s v="Admin/HR/IT"/>
    <s v="AMCARE NonOcc In"/>
    <s v="AMZN"/>
    <n v="112984097"/>
    <s v="Aguilera,Yaremi"/>
    <s v="Corona Arriaga,Fernando"/>
    <n v="0"/>
    <n v="0"/>
    <n v="0"/>
    <n v="0"/>
    <n v="0.21"/>
    <e v="#N/A"/>
    <e v="#N/A"/>
  </r>
  <r>
    <x v="53"/>
    <x v="7"/>
    <s v="Admin/HR/IT"/>
    <s v="AMCARE NonOcc In"/>
    <s v="AMZN"/>
    <n v="113014008"/>
    <s v="Berrones Ramirez,Fidel"/>
    <s v="Madrid Molina,Ramon"/>
    <n v="0"/>
    <n v="0"/>
    <n v="0"/>
    <n v="0"/>
    <n v="0.13"/>
    <e v="#N/A"/>
    <e v="#N/A"/>
  </r>
  <r>
    <x v="53"/>
    <x v="7"/>
    <s v="Admin/HR/IT"/>
    <s v="AMCARE NonOcc In"/>
    <s v="AMZN"/>
    <n v="113018997"/>
    <s v="Rodriguez Ponce,Gaby"/>
    <s v="Robledo Ugarte,Alejandro"/>
    <n v="0"/>
    <n v="0"/>
    <n v="0"/>
    <n v="0"/>
    <n v="0.23"/>
    <e v="#N/A"/>
    <e v="#N/A"/>
  </r>
  <r>
    <x v="53"/>
    <x v="7"/>
    <s v="Admin/HR/IT"/>
    <s v="AMCARE NonOcc In"/>
    <s v="AMZN"/>
    <n v="113052151"/>
    <s v="Nieves Mendez,Laura"/>
    <s v="Ledezma,Fer"/>
    <n v="0"/>
    <n v="0"/>
    <n v="0"/>
    <n v="0"/>
    <n v="0.51"/>
    <e v="#N/A"/>
    <s v="nilaurab"/>
  </r>
  <r>
    <x v="53"/>
    <x v="7"/>
    <s v="Admin/HR/IT"/>
    <s v="AMCARE NonOcc In"/>
    <s v="AMZN"/>
    <n v="200404250"/>
    <s v="Hurtado,Caty"/>
    <s v="Piedra,Valentina"/>
    <n v="0"/>
    <n v="0"/>
    <n v="0"/>
    <n v="0"/>
    <n v="0.55000000000000004"/>
    <e v="#N/A"/>
    <s v="xcathurt"/>
  </r>
  <r>
    <x v="53"/>
    <x v="7"/>
    <s v="Admin/HR/IT"/>
    <s v="AMCARE NonOcc In"/>
    <s v="TEMP"/>
    <n v="200508315"/>
    <s v="Herrera,Aldair"/>
    <s v="Romero Sanchez,Gustavo Gabriel"/>
    <n v="0"/>
    <n v="0"/>
    <n v="0"/>
    <n v="0"/>
    <n v="0.2"/>
    <e v="#N/A"/>
    <s v="taldaher"/>
  </r>
  <r>
    <x v="53"/>
    <x v="7"/>
    <s v="Admin/HR/IT"/>
    <s v="AMCARE NonOcc In"/>
    <s v="TEMP"/>
    <n v="200564895"/>
    <s v="Mendoza Corona,Brianda"/>
    <s v="Corona Arriaga,Fernando"/>
    <n v="0"/>
    <n v="0"/>
    <n v="0"/>
    <n v="0"/>
    <n v="0.17"/>
    <e v="#N/A"/>
    <s v="hmendobr"/>
  </r>
  <r>
    <x v="53"/>
    <x v="7"/>
    <s v="Admin/HR/IT"/>
    <s v="AMCARE NonOcc In"/>
    <s v="TEMP"/>
    <n v="200574655"/>
    <s v="Mireles,Dulce"/>
    <s v="Corona Arriaga,Fernando"/>
    <n v="0"/>
    <n v="0"/>
    <n v="0"/>
    <n v="0"/>
    <n v="0.47"/>
    <e v="#N/A"/>
    <s v="dulceami"/>
  </r>
  <r>
    <x v="53"/>
    <x v="7"/>
    <s v="Admin/HR/IT"/>
    <s v="AMCARE NonOcc In"/>
    <s v="TEMP"/>
    <n v="200589316"/>
    <s v="Torres Zuniga,Daniel"/>
    <s v="Madrid Molina,Ramon"/>
    <n v="0"/>
    <n v="0"/>
    <n v="0"/>
    <n v="0"/>
    <n v="0.24"/>
    <e v="#N/A"/>
    <e v="#N/A"/>
  </r>
  <r>
    <x v="53"/>
    <x v="7"/>
    <s v="Admin/HR/IT"/>
    <s v="AMCARE NonOcc In"/>
    <s v="TEMP"/>
    <n v="200615883"/>
    <s v="Ibarra Amaro,Adriana"/>
    <s v="Madrid Molina,Ramon"/>
    <n v="0"/>
    <n v="0"/>
    <n v="0"/>
    <n v="0"/>
    <n v="0.4"/>
    <e v="#N/A"/>
    <e v="#N/A"/>
  </r>
  <r>
    <x v="53"/>
    <x v="7"/>
    <s v="Admin/HR/IT"/>
    <s v="AMCARE NonOcc In"/>
    <s v="TEMP"/>
    <n v="200615937"/>
    <s v="Martinez Gonzalez,Erik"/>
    <s v="Gomez Aguado,Jorge"/>
    <n v="0"/>
    <n v="0"/>
    <n v="0"/>
    <n v="0"/>
    <n v="0.14000000000000001"/>
    <e v="#N/A"/>
    <e v="#N/A"/>
  </r>
  <r>
    <x v="54"/>
    <x v="7"/>
    <s v="Admin/HR/IT"/>
    <s v="AMCARE NonOcc In"/>
    <s v="TEMP"/>
    <n v="109227086"/>
    <s v="Tavares,Alejandra"/>
    <s v="Hernandez,Nataly"/>
    <n v="0"/>
    <n v="0"/>
    <n v="0"/>
    <n v="0"/>
    <n v="0.48"/>
    <e v="#N/A"/>
    <e v="#N/A"/>
  </r>
  <r>
    <x v="54"/>
    <x v="7"/>
    <s v="Admin/HR/IT"/>
    <s v="AMCARE NonOcc In"/>
    <s v="AMZN"/>
    <n v="112912675"/>
    <s v="Alejandri Villagomez,Alejandra"/>
    <s v="Gomez,Abinadab"/>
    <n v="0"/>
    <n v="0"/>
    <n v="0"/>
    <n v="0"/>
    <n v="0.23"/>
    <e v="#N/A"/>
    <e v="#N/A"/>
  </r>
  <r>
    <x v="54"/>
    <x v="7"/>
    <s v="Admin/HR/IT"/>
    <s v="AMCARE NonOcc In"/>
    <s v="AMZN"/>
    <n v="112972523"/>
    <s v="Briones,Neto"/>
    <s v="Pizana,Diego"/>
    <n v="0"/>
    <n v="0"/>
    <n v="0"/>
    <n v="0"/>
    <n v="0.27"/>
    <e v="#N/A"/>
    <e v="#N/A"/>
  </r>
  <r>
    <x v="54"/>
    <x v="7"/>
    <s v="Admin/HR/IT"/>
    <s v="AMCARE NonOcc In"/>
    <s v="AMZN"/>
    <n v="112980844"/>
    <s v="Padilla,Samantha"/>
    <s v="Robledo Ugarte,Alejandro"/>
    <n v="0"/>
    <n v="0"/>
    <n v="0"/>
    <n v="0"/>
    <n v="0.09"/>
    <s v="DA-X0700"/>
    <s v="samajpad"/>
  </r>
  <r>
    <x v="54"/>
    <x v="7"/>
    <s v="Admin/HR/IT"/>
    <s v="AMCARE NonOcc In"/>
    <s v="AMZN"/>
    <n v="112980878"/>
    <s v="Romero Escobar,Gerardo"/>
    <s v="Piedra,Valentina"/>
    <n v="0"/>
    <n v="0"/>
    <n v="0"/>
    <n v="0"/>
    <n v="0.16"/>
    <e v="#N/A"/>
    <e v="#N/A"/>
  </r>
  <r>
    <x v="54"/>
    <x v="7"/>
    <s v="Admin/HR/IT"/>
    <s v="AMCARE NonOcc In"/>
    <s v="AMZN"/>
    <n v="113020463"/>
    <s v="Valtierra,Alejandra"/>
    <s v="Hernandez,Nataly"/>
    <n v="0"/>
    <n v="0"/>
    <n v="0"/>
    <n v="0"/>
    <n v="1.27"/>
    <e v="#N/A"/>
    <s v="myriamav"/>
  </r>
  <r>
    <x v="54"/>
    <x v="7"/>
    <s v="Admin/HR/IT"/>
    <s v="AMCARE NonOcc In"/>
    <s v="AMZN"/>
    <n v="113052151"/>
    <s v="Nieves Mendez,Laura"/>
    <s v="Ledezma,Fer"/>
    <n v="0"/>
    <n v="0"/>
    <n v="0"/>
    <n v="0"/>
    <n v="0.11"/>
    <e v="#N/A"/>
    <s v="nilaurab"/>
  </r>
  <r>
    <x v="54"/>
    <x v="7"/>
    <s v="Admin/HR/IT"/>
    <s v="AMCARE NonOcc In"/>
    <s v="AMZN"/>
    <n v="200404250"/>
    <s v="Hurtado,Caty"/>
    <s v="Piedra,Valentina"/>
    <n v="0"/>
    <n v="0"/>
    <n v="0"/>
    <n v="0"/>
    <n v="0.49"/>
    <e v="#N/A"/>
    <s v="xcathurt"/>
  </r>
  <r>
    <x v="54"/>
    <x v="7"/>
    <s v="Admin/HR/IT"/>
    <s v="AMCARE NonOcc In"/>
    <s v="TEMP"/>
    <n v="200564845"/>
    <s v="Barron,Abraham"/>
    <s v="Piedra,Valentina"/>
    <n v="0"/>
    <n v="0"/>
    <n v="0"/>
    <n v="0"/>
    <n v="0.11"/>
    <e v="#N/A"/>
    <e v="#N/A"/>
  </r>
  <r>
    <x v="54"/>
    <x v="7"/>
    <s v="Admin/HR/IT"/>
    <s v="AMCARE NonOcc In"/>
    <s v="TEMP"/>
    <n v="200589316"/>
    <s v="Torres Zuniga,Daniel"/>
    <s v="Madrid Molina,Ramon"/>
    <n v="0"/>
    <n v="0"/>
    <n v="0"/>
    <n v="0"/>
    <n v="0.13"/>
    <e v="#N/A"/>
    <e v="#N/A"/>
  </r>
  <r>
    <x v="54"/>
    <x v="7"/>
    <s v="Admin/HR/IT"/>
    <s v="AMCARE NonOcc In"/>
    <s v="TEMP"/>
    <n v="200614224"/>
    <s v="Cruz Hernandez,Cris"/>
    <s v="Ledezma,Fer"/>
    <n v="0"/>
    <n v="0"/>
    <n v="0"/>
    <n v="0"/>
    <n v="0.12"/>
    <e v="#N/A"/>
    <e v="#N/A"/>
  </r>
  <r>
    <x v="54"/>
    <x v="7"/>
    <s v="Admin/HR/IT"/>
    <s v="AMCARE NonOcc In"/>
    <s v="TEMP"/>
    <n v="200625027"/>
    <s v="Rodriguez Gonzalez,Neidy"/>
    <s v="Hernandez,Nataly"/>
    <n v="0"/>
    <n v="0"/>
    <n v="0"/>
    <n v="0"/>
    <n v="0.46"/>
    <e v="#N/A"/>
    <e v="#N/A"/>
  </r>
  <r>
    <x v="55"/>
    <x v="7"/>
    <s v="Admin/HR/IT"/>
    <s v="AMCARE NonOcc In"/>
    <s v="AMZN"/>
    <n v="112912049"/>
    <s v="Vazquez Rodriguez,Christian"/>
    <s v="Pizana,Diego"/>
    <n v="0"/>
    <n v="0"/>
    <n v="0"/>
    <n v="0"/>
    <n v="0.6"/>
    <s v="NF-X1900"/>
    <s v="zchvazqu"/>
  </r>
  <r>
    <x v="55"/>
    <x v="7"/>
    <s v="Admin/HR/IT"/>
    <s v="AMCARE NonOcc In"/>
    <s v="AMZN"/>
    <n v="112912074"/>
    <s v="Hernandez Gutierrez,Lizeth"/>
    <s v="Pizana,Diego"/>
    <n v="0"/>
    <n v="0"/>
    <n v="0"/>
    <n v="0"/>
    <n v="0.93"/>
    <e v="#N/A"/>
    <e v="#N/A"/>
  </r>
  <r>
    <x v="55"/>
    <x v="7"/>
    <s v="Admin/HR/IT"/>
    <s v="AMCARE NonOcc In"/>
    <s v="AMZN"/>
    <n v="112971965"/>
    <s v="Hernandez,Andrea"/>
    <s v="Romero Sanchez,Gustavo Gabriel"/>
    <n v="0"/>
    <n v="0"/>
    <n v="0"/>
    <n v="0"/>
    <n v="0.21"/>
    <e v="#N/A"/>
    <e v="#N/A"/>
  </r>
  <r>
    <x v="55"/>
    <x v="7"/>
    <s v="Admin/HR/IT"/>
    <s v="AMCARE NonOcc In"/>
    <s v="AMZN"/>
    <n v="112984442"/>
    <s v="Garcia,Mauricio Antonio De la lama"/>
    <s v="Gomez,Abinadab"/>
    <n v="0"/>
    <n v="0"/>
    <n v="0"/>
    <n v="0"/>
    <n v="0.86"/>
    <e v="#N/A"/>
    <e v="#N/A"/>
  </r>
  <r>
    <x v="56"/>
    <x v="8"/>
    <s v="Admin/HR/IT"/>
    <s v="AMCARE NonOcc In"/>
    <s v="AMZN"/>
    <n v="111261444"/>
    <s v="NÃºÃ±ez,Fernando"/>
    <s v="Madrid Molina,Ramon"/>
    <n v="0"/>
    <n v="0"/>
    <n v="0"/>
    <n v="0"/>
    <n v="0.11"/>
    <s v="DB-X0700"/>
    <s v="luisfegu"/>
  </r>
  <r>
    <x v="56"/>
    <x v="8"/>
    <s v="Admin/HR/IT"/>
    <s v="AMCARE NonOcc In"/>
    <s v="AMZN"/>
    <n v="111434478"/>
    <s v="Gutierrez,Pame"/>
    <s v="Garcia Espejel,Brenda Victoria"/>
    <n v="0"/>
    <n v="0"/>
    <n v="0"/>
    <n v="0"/>
    <n v="0.21"/>
    <s v="DA-X0700"/>
    <s v="juanapam"/>
  </r>
  <r>
    <x v="56"/>
    <x v="8"/>
    <s v="Admin/HR/IT"/>
    <s v="AMCARE NonOcc In"/>
    <s v="AMZN"/>
    <n v="112912752"/>
    <s v="Valderrama Gomez,Leslie"/>
    <s v="Robledo Ugarte,Alejandro"/>
    <n v="0"/>
    <n v="0"/>
    <n v="0"/>
    <n v="0"/>
    <n v="0.28999999999999998"/>
    <s v="NF-X1900"/>
    <s v="valderle"/>
  </r>
  <r>
    <x v="56"/>
    <x v="8"/>
    <s v="Admin/HR/IT"/>
    <s v="AMCARE NonOcc In"/>
    <s v="AMZN"/>
    <n v="112980847"/>
    <s v="Reyes,Jose"/>
    <s v="Robledo Ugarte,Alejandro"/>
    <n v="0"/>
    <n v="0"/>
    <n v="0"/>
    <n v="0"/>
    <n v="1.1299999999999999"/>
    <e v="#N/A"/>
    <e v="#N/A"/>
  </r>
  <r>
    <x v="56"/>
    <x v="8"/>
    <s v="Admin/HR/IT"/>
    <s v="AMCARE NonOcc In"/>
    <s v="AMZN"/>
    <n v="112980899"/>
    <s v="Avila Cabrera,Ari"/>
    <s v="Robledo Ugarte,Alejandro"/>
    <n v="0"/>
    <n v="0"/>
    <n v="0"/>
    <n v="0"/>
    <n v="0.27"/>
    <s v="NF-X1900"/>
    <s v="aravilac"/>
  </r>
  <r>
    <x v="56"/>
    <x v="8"/>
    <s v="Admin/HR/IT"/>
    <s v="AMCARE NonOcc In"/>
    <s v="AMZN"/>
    <n v="112981196"/>
    <s v="Gomez,Andrea"/>
    <s v="Gomez Aguado,Jorge"/>
    <n v="0"/>
    <n v="0"/>
    <n v="0"/>
    <n v="0"/>
    <n v="0.65"/>
    <e v="#N/A"/>
    <s v="vandgome"/>
  </r>
  <r>
    <x v="56"/>
    <x v="8"/>
    <s v="Admin/HR/IT"/>
    <s v="AMCARE NonOcc In"/>
    <s v="AMZN"/>
    <n v="113019083"/>
    <s v="Contreras,Marco"/>
    <s v="Madrid Molina,Ramon"/>
    <n v="0"/>
    <n v="0"/>
    <n v="0"/>
    <n v="0"/>
    <n v="0.09"/>
    <e v="#N/A"/>
    <e v="#N/A"/>
  </r>
  <r>
    <x v="56"/>
    <x v="8"/>
    <s v="Admin/HR/IT"/>
    <s v="AMCARE NonOcc In"/>
    <s v="TEMP"/>
    <n v="200589316"/>
    <s v="Torres Zuniga,Daniel"/>
    <s v="Madrid Molina,Ramon"/>
    <n v="0"/>
    <n v="0"/>
    <n v="0"/>
    <n v="0"/>
    <n v="0.33"/>
    <e v="#N/A"/>
    <e v="#N/A"/>
  </r>
  <r>
    <x v="56"/>
    <x v="8"/>
    <s v="Admin/HR/IT"/>
    <s v="AMCARE NonOcc In"/>
    <s v="TEMP"/>
    <n v="200625517"/>
    <s v="RamÃ­rez,Miranda"/>
    <s v="Corona Arriaga,Fernando"/>
    <n v="0"/>
    <n v="0"/>
    <n v="0"/>
    <n v="0"/>
    <n v="0.65"/>
    <e v="#N/A"/>
    <e v="#N/A"/>
  </r>
  <r>
    <x v="56"/>
    <x v="8"/>
    <s v="Admin/HR/IT"/>
    <s v="AMCARE NonOcc In"/>
    <s v="TEMP"/>
    <n v="200625528"/>
    <s v="Oliva,Lizbeth"/>
    <s v="Gomez Aguado,Jorge"/>
    <n v="0"/>
    <n v="0"/>
    <n v="0"/>
    <n v="0"/>
    <n v="0.09"/>
    <e v="#N/A"/>
    <s v="olivlizb"/>
  </r>
  <r>
    <x v="57"/>
    <x v="8"/>
    <s v="Admin/HR/IT"/>
    <s v="AMCARE NonOcc In"/>
    <s v="AMZN"/>
    <n v="112912008"/>
    <s v="Espinosa,Consuelo"/>
    <s v="Rosas Negrete,Sebastian"/>
    <n v="0"/>
    <n v="0"/>
    <n v="0"/>
    <n v="0"/>
    <n v="0.08"/>
    <e v="#N/A"/>
    <e v="#N/A"/>
  </r>
  <r>
    <x v="57"/>
    <x v="8"/>
    <s v="Admin/HR/IT"/>
    <s v="AMCARE NonOcc In"/>
    <s v="AMZN"/>
    <n v="112912983"/>
    <s v="RodrÃ­guez,RocÃ­o"/>
    <s v="Camarena,Grecia"/>
    <n v="0"/>
    <n v="0"/>
    <n v="0"/>
    <n v="0"/>
    <n v="0.56000000000000005"/>
    <s v="NF-X1900"/>
    <s v="wrocirod"/>
  </r>
  <r>
    <x v="57"/>
    <x v="8"/>
    <s v="Admin/HR/IT"/>
    <s v="AMCARE NonOcc In"/>
    <s v="AMZN"/>
    <n v="112950784"/>
    <s v="Rojas,Samuel"/>
    <s v="Piedra,Valentina"/>
    <n v="0"/>
    <n v="0"/>
    <n v="0"/>
    <n v="0"/>
    <n v="1.24"/>
    <s v="NF-X1900"/>
    <s v="sarojast"/>
  </r>
  <r>
    <x v="57"/>
    <x v="8"/>
    <s v="Admin/HR/IT"/>
    <s v="AMCARE NonOcc In"/>
    <s v="AMZN"/>
    <n v="200404250"/>
    <s v="Hurtado,Caty"/>
    <s v="Piedra,Valentina"/>
    <n v="0"/>
    <n v="0"/>
    <n v="0"/>
    <n v="0"/>
    <n v="0.4"/>
    <e v="#N/A"/>
    <s v="xcathurt"/>
  </r>
  <r>
    <x v="57"/>
    <x v="8"/>
    <s v="Admin/HR/IT"/>
    <s v="AMCARE NonOcc In"/>
    <s v="AMZN"/>
    <n v="200408196"/>
    <s v="Hernandez Lara,Maggie"/>
    <s v="Piedra,Valentina"/>
    <n v="0"/>
    <n v="0"/>
    <n v="0"/>
    <n v="0"/>
    <n v="0.39"/>
    <e v="#N/A"/>
    <e v="#N/A"/>
  </r>
  <r>
    <x v="57"/>
    <x v="8"/>
    <s v="Admin/HR/IT"/>
    <s v="AMCARE NonOcc In"/>
    <s v="TEMP"/>
    <n v="200514421"/>
    <s v="Padilla Abrego,Angeles"/>
    <s v="Piedra,Valentina"/>
    <n v="0"/>
    <n v="0"/>
    <n v="0"/>
    <n v="0"/>
    <n v="0.39"/>
    <e v="#N/A"/>
    <s v="padillms"/>
  </r>
  <r>
    <x v="57"/>
    <x v="8"/>
    <s v="Admin/HR/IT"/>
    <s v="AMCARE NonOcc In"/>
    <s v="TEMP"/>
    <n v="200589316"/>
    <s v="Torres Zuniga,Daniel"/>
    <s v="Madrid Molina,Ramon"/>
    <n v="0"/>
    <n v="0"/>
    <n v="0"/>
    <n v="0"/>
    <n v="0.18"/>
    <e v="#N/A"/>
    <e v="#N/A"/>
  </r>
  <r>
    <x v="57"/>
    <x v="8"/>
    <s v="Admin/HR/IT"/>
    <s v="AMCARE NonOcc In"/>
    <s v="TEMP"/>
    <n v="200625517"/>
    <s v="RamÃ­rez,Miranda"/>
    <s v="Corona Arriaga,Fernando"/>
    <n v="0"/>
    <n v="0"/>
    <n v="0"/>
    <n v="0"/>
    <n v="0.3"/>
    <e v="#N/A"/>
    <e v="#N/A"/>
  </r>
  <r>
    <x v="58"/>
    <x v="8"/>
    <s v="Admin/HR/IT"/>
    <s v="AMCARE NonOcc In"/>
    <s v="AMZN"/>
    <n v="111434478"/>
    <s v="Gutierrez,Pame"/>
    <s v="Garcia Espejel,Brenda Victoria"/>
    <n v="0"/>
    <n v="0"/>
    <n v="0"/>
    <n v="0"/>
    <n v="1.59"/>
    <s v="DA-X0700"/>
    <s v="juanapam"/>
  </r>
  <r>
    <x v="58"/>
    <x v="8"/>
    <s v="Admin/HR/IT"/>
    <s v="AMCARE NonOcc In"/>
    <s v="AMZN"/>
    <n v="112912201"/>
    <s v="Castillo Falcon,Sheyla"/>
    <s v="Corona Arriaga,Fernando"/>
    <n v="0"/>
    <n v="0"/>
    <n v="0"/>
    <n v="0"/>
    <n v="0.28999999999999998"/>
    <e v="#N/A"/>
    <e v="#N/A"/>
  </r>
  <r>
    <x v="58"/>
    <x v="8"/>
    <s v="Admin/HR/IT"/>
    <s v="AMCARE NonOcc In"/>
    <s v="AMZN"/>
    <n v="112912983"/>
    <s v="RodrÃ­guez,RocÃ­o"/>
    <s v="Camarena,Grecia"/>
    <n v="0"/>
    <n v="0"/>
    <n v="0"/>
    <n v="0"/>
    <n v="0.71"/>
    <s v="NF-X1900"/>
    <s v="wrocirod"/>
  </r>
  <r>
    <x v="58"/>
    <x v="8"/>
    <s v="Admin/HR/IT"/>
    <s v="AMCARE NonOcc In"/>
    <s v="AMZN"/>
    <n v="112920655"/>
    <s v="Diaz de LeÃ³n,Paola"/>
    <s v="Pizana,Diego"/>
    <n v="0"/>
    <n v="0"/>
    <n v="0"/>
    <n v="0"/>
    <n v="0.8"/>
    <e v="#N/A"/>
    <e v="#N/A"/>
  </r>
  <r>
    <x v="58"/>
    <x v="8"/>
    <s v="Admin/HR/IT"/>
    <s v="AMCARE NonOcc In"/>
    <s v="AMZN"/>
    <n v="112971955"/>
    <s v="Perez Rodriguez,Luis"/>
    <s v="Cortes,Alejandra"/>
    <n v="0"/>
    <n v="0"/>
    <n v="0"/>
    <n v="0"/>
    <n v="0.5"/>
    <e v="#N/A"/>
    <e v="#N/A"/>
  </r>
  <r>
    <x v="58"/>
    <x v="8"/>
    <s v="Admin/HR/IT"/>
    <s v="AMCARE NonOcc In"/>
    <s v="AMZN"/>
    <n v="112980899"/>
    <s v="Avila Cabrera,Ari"/>
    <s v="Robledo Ugarte,Alejandro"/>
    <n v="0"/>
    <n v="0"/>
    <n v="0"/>
    <n v="0"/>
    <n v="0.44"/>
    <s v="NF-X1900"/>
    <s v="aravilac"/>
  </r>
  <r>
    <x v="58"/>
    <x v="8"/>
    <s v="Admin/HR/IT"/>
    <s v="AMCARE NonOcc In"/>
    <s v="AMZN"/>
    <n v="112981212"/>
    <s v="Zanella Miranda,Alyson"/>
    <s v="Ledezma,Fer"/>
    <n v="0"/>
    <n v="0"/>
    <n v="0"/>
    <n v="0"/>
    <n v="0.18"/>
    <e v="#N/A"/>
    <s v="alysonza"/>
  </r>
  <r>
    <x v="58"/>
    <x v="8"/>
    <s v="Admin/HR/IT"/>
    <s v="AMCARE NonOcc In"/>
    <s v="AMZN"/>
    <n v="113003609"/>
    <s v="Ornelas Valdes,Carlos"/>
    <s v="Gomez,Abinadab"/>
    <n v="0"/>
    <n v="0"/>
    <n v="0"/>
    <n v="0"/>
    <n v="1.59"/>
    <e v="#N/A"/>
    <e v="#N/A"/>
  </r>
  <r>
    <x v="58"/>
    <x v="8"/>
    <s v="Admin/HR/IT"/>
    <s v="AMCARE NonOcc In"/>
    <s v="AMZN"/>
    <n v="113014470"/>
    <s v="Aguilar Ibarra,Lupe"/>
    <s v="Hernandez,Nataly"/>
    <n v="0"/>
    <n v="0"/>
    <n v="0"/>
    <n v="0"/>
    <n v="0.47"/>
    <e v="#N/A"/>
    <s v="lupaguin"/>
  </r>
  <r>
    <x v="58"/>
    <x v="8"/>
    <s v="Admin/HR/IT"/>
    <s v="AMCARE NonOcc In"/>
    <s v="AMZN"/>
    <n v="113019042"/>
    <s v="Gallegos Godinez,Eloy"/>
    <s v="Hernandez,Nataly"/>
    <n v="0"/>
    <n v="0"/>
    <n v="0"/>
    <n v="0"/>
    <n v="0.54"/>
    <e v="#N/A"/>
    <e v="#N/A"/>
  </r>
  <r>
    <x v="58"/>
    <x v="8"/>
    <s v="Admin/HR/IT"/>
    <s v="AMCARE NonOcc In"/>
    <s v="AMZN"/>
    <n v="113101453"/>
    <s v="Isaac,Geovanna"/>
    <s v="Corona Arriaga,Fernando"/>
    <n v="0"/>
    <n v="0"/>
    <n v="0"/>
    <n v="0"/>
    <n v="7.0000000000000007E-2"/>
    <e v="#N/A"/>
    <s v="qisgeova"/>
  </r>
  <r>
    <x v="58"/>
    <x v="8"/>
    <s v="Admin/HR/IT"/>
    <s v="AMCARE NonOcc In"/>
    <s v="AMZN"/>
    <n v="200404250"/>
    <s v="Hurtado,Caty"/>
    <s v="Piedra,Valentina"/>
    <n v="0"/>
    <n v="0"/>
    <n v="0"/>
    <n v="0"/>
    <n v="0.51"/>
    <e v="#N/A"/>
    <s v="xcathurt"/>
  </r>
  <r>
    <x v="58"/>
    <x v="8"/>
    <s v="Admin/HR/IT"/>
    <s v="AMCARE NonOcc In"/>
    <s v="TEMP"/>
    <n v="200565197"/>
    <s v="Avila,Mary"/>
    <s v="Piedra,Valentina"/>
    <n v="0"/>
    <n v="0"/>
    <n v="0"/>
    <n v="0"/>
    <n v="0.15"/>
    <e v="#N/A"/>
    <e v="#N/A"/>
  </r>
  <r>
    <x v="58"/>
    <x v="8"/>
    <s v="Admin/HR/IT"/>
    <s v="AMCARE NonOcc In"/>
    <s v="TEMP"/>
    <n v="200620024"/>
    <s v="Navarro,Miriam"/>
    <s v="Piedra,Valentina"/>
    <n v="0"/>
    <n v="0"/>
    <n v="0"/>
    <n v="0"/>
    <n v="0.44"/>
    <e v="#N/A"/>
    <e v="#N/A"/>
  </r>
  <r>
    <x v="59"/>
    <x v="8"/>
    <s v="Admin/HR/IT"/>
    <s v="AMCARE NonOcc In"/>
    <s v="TEMP"/>
    <n v="109227086"/>
    <s v="Tavares,Alejandra"/>
    <s v="Hernandez,Nataly"/>
    <n v="0"/>
    <n v="0"/>
    <n v="0"/>
    <n v="0"/>
    <n v="0.11"/>
    <e v="#N/A"/>
    <e v="#N/A"/>
  </r>
  <r>
    <x v="59"/>
    <x v="8"/>
    <s v="Admin/HR/IT"/>
    <s v="AMCARE NonOcc In"/>
    <s v="AMZN"/>
    <n v="112912163"/>
    <s v="Murillo,Alejandro"/>
    <s v="Piedra,Valentina"/>
    <n v="0"/>
    <n v="0"/>
    <n v="0"/>
    <n v="0"/>
    <n v="0.18"/>
    <e v="#N/A"/>
    <e v="#N/A"/>
  </r>
  <r>
    <x v="59"/>
    <x v="8"/>
    <s v="Admin/HR/IT"/>
    <s v="AMCARE NonOcc In"/>
    <s v="AMZN"/>
    <n v="112912743"/>
    <s v="Reyes Romo,Eduardo"/>
    <s v="Piedra,Valentina"/>
    <n v="0"/>
    <n v="0"/>
    <n v="0"/>
    <n v="0"/>
    <n v="0.19"/>
    <e v="#N/A"/>
    <e v="#N/A"/>
  </r>
  <r>
    <x v="59"/>
    <x v="8"/>
    <s v="Admin/HR/IT"/>
    <s v="AMCARE NonOcc In"/>
    <s v="AMZN"/>
    <n v="112912753"/>
    <s v="Padilla Abrego,Selene"/>
    <s v="Piedra,Valentina"/>
    <n v="0"/>
    <n v="0"/>
    <n v="0"/>
    <n v="0"/>
    <n v="0.32"/>
    <e v="#N/A"/>
    <e v="#N/A"/>
  </r>
  <r>
    <x v="59"/>
    <x v="8"/>
    <s v="Admin/HR/IT"/>
    <s v="AMCARE NonOcc In"/>
    <s v="AMZN"/>
    <n v="112984097"/>
    <s v="Aguilera,Yaremi"/>
    <s v="Corona Arriaga,Fernando"/>
    <n v="0"/>
    <n v="0"/>
    <n v="0"/>
    <n v="0"/>
    <n v="0.54"/>
    <e v="#N/A"/>
    <e v="#N/A"/>
  </r>
  <r>
    <x v="59"/>
    <x v="8"/>
    <s v="Admin/HR/IT"/>
    <s v="AMCARE NonOcc In"/>
    <s v="AMZN"/>
    <n v="113003609"/>
    <s v="Ornelas Valdes,Carlos"/>
    <s v="Gomez,Abinadab"/>
    <n v="0"/>
    <n v="0"/>
    <n v="0"/>
    <n v="0"/>
    <n v="0.45"/>
    <e v="#N/A"/>
    <e v="#N/A"/>
  </r>
  <r>
    <x v="59"/>
    <x v="8"/>
    <s v="Admin/HR/IT"/>
    <s v="AMCARE NonOcc In"/>
    <s v="AMZN"/>
    <n v="113014470"/>
    <s v="Aguilar Ibarra,Lupe"/>
    <s v="Hernandez,Nataly"/>
    <n v="0"/>
    <n v="0"/>
    <n v="0"/>
    <n v="0"/>
    <n v="0.37"/>
    <e v="#N/A"/>
    <s v="lupaguin"/>
  </r>
  <r>
    <x v="59"/>
    <x v="8"/>
    <s v="Admin/HR/IT"/>
    <s v="AMCARE NonOcc In"/>
    <s v="AMZN"/>
    <n v="113101453"/>
    <s v="Isaac,Geovanna"/>
    <s v="Corona Arriaga,Fernando"/>
    <n v="0"/>
    <n v="0"/>
    <n v="0"/>
    <n v="0"/>
    <n v="0.2"/>
    <e v="#N/A"/>
    <s v="qisgeova"/>
  </r>
  <r>
    <x v="59"/>
    <x v="8"/>
    <s v="Admin/HR/IT"/>
    <s v="AMCARE NonOcc In"/>
    <s v="AMZN"/>
    <n v="200404250"/>
    <s v="Hurtado,Caty"/>
    <s v="Piedra,Valentina"/>
    <n v="0"/>
    <n v="0"/>
    <n v="0"/>
    <n v="0"/>
    <n v="0.54"/>
    <e v="#N/A"/>
    <s v="xcathurt"/>
  </r>
  <r>
    <x v="59"/>
    <x v="8"/>
    <s v="Admin/HR/IT"/>
    <s v="AMCARE NonOcc In"/>
    <s v="TEMP"/>
    <n v="200508315"/>
    <s v="Herrera,Aldair"/>
    <s v="Romero Sanchez,Gustavo Gabriel"/>
    <n v="0"/>
    <n v="0"/>
    <n v="0"/>
    <n v="0"/>
    <n v="0.51"/>
    <e v="#N/A"/>
    <s v="taldaher"/>
  </r>
  <r>
    <x v="59"/>
    <x v="8"/>
    <s v="Admin/HR/IT"/>
    <s v="AMCARE NonOcc In"/>
    <s v="TEMP"/>
    <n v="200508371"/>
    <s v="Perez,Georgina"/>
    <s v="Romero Sanchez,Gustavo Gabriel"/>
    <n v="0"/>
    <n v="0"/>
    <n v="0"/>
    <n v="0"/>
    <n v="0.56999999999999995"/>
    <e v="#N/A"/>
    <e v="#N/A"/>
  </r>
  <r>
    <x v="59"/>
    <x v="8"/>
    <s v="Admin/HR/IT"/>
    <s v="AMCARE NonOcc In"/>
    <s v="TEMP"/>
    <n v="200562303"/>
    <s v="Hernandez Cruz,Jorge"/>
    <s v="Hernandez,Nataly"/>
    <n v="0"/>
    <n v="0"/>
    <n v="0"/>
    <n v="0"/>
    <n v="0.74"/>
    <e v="#N/A"/>
    <s v="hejorgea"/>
  </r>
  <r>
    <x v="59"/>
    <x v="8"/>
    <s v="Admin/HR/IT"/>
    <s v="AMCARE NonOcc In"/>
    <s v="TEMP"/>
    <n v="200574329"/>
    <s v="Llamas,Jonathan"/>
    <s v="Corona Arriaga,Fernando"/>
    <n v="0"/>
    <n v="0"/>
    <n v="0"/>
    <n v="0"/>
    <n v="0.21"/>
    <e v="#N/A"/>
    <e v="#N/A"/>
  </r>
  <r>
    <x v="60"/>
    <x v="8"/>
    <s v="Admin/HR/IT"/>
    <s v="AMCARE NonOcc In"/>
    <s v="TEMP"/>
    <n v="109227086"/>
    <s v="Tavares,Alejandra"/>
    <s v="Hernandez,Nataly"/>
    <n v="0"/>
    <n v="0"/>
    <n v="0"/>
    <n v="0"/>
    <n v="3.04"/>
    <e v="#N/A"/>
    <e v="#N/A"/>
  </r>
  <r>
    <x v="60"/>
    <x v="8"/>
    <s v="Admin/HR/IT"/>
    <s v="AMCARE NonOcc In"/>
    <s v="AMZN"/>
    <n v="112912201"/>
    <s v="Castillo Falcon,Sheyla"/>
    <s v="Corona Arriaga,Fernando"/>
    <n v="0"/>
    <n v="0"/>
    <n v="0"/>
    <n v="0"/>
    <n v="0.16"/>
    <e v="#N/A"/>
    <e v="#N/A"/>
  </r>
  <r>
    <x v="60"/>
    <x v="8"/>
    <s v="Admin/HR/IT"/>
    <s v="AMCARE NonOcc In"/>
    <s v="AMZN"/>
    <n v="112912677"/>
    <s v="Gonzalez,Gustavo"/>
    <s v="Camarena,Grecia"/>
    <n v="0"/>
    <n v="0"/>
    <n v="0"/>
    <n v="0"/>
    <n v="0.08"/>
    <e v="#N/A"/>
    <e v="#N/A"/>
  </r>
  <r>
    <x v="60"/>
    <x v="8"/>
    <s v="Admin/HR/IT"/>
    <s v="AMCARE NonOcc In"/>
    <s v="AMZN"/>
    <n v="112912743"/>
    <s v="Reyes Romo,Eduardo"/>
    <s v="Piedra,Valentina"/>
    <n v="0"/>
    <n v="0"/>
    <n v="0"/>
    <n v="0"/>
    <n v="0.18"/>
    <e v="#N/A"/>
    <e v="#N/A"/>
  </r>
  <r>
    <x v="60"/>
    <x v="8"/>
    <s v="Admin/HR/IT"/>
    <s v="AMCARE NonOcc In"/>
    <s v="AMZN"/>
    <n v="112951256"/>
    <s v="Ramirez Vallejo,Kateryne"/>
    <s v="Camarena,Grecia"/>
    <n v="0"/>
    <n v="0"/>
    <n v="0"/>
    <n v="0"/>
    <n v="1.1399999999999999"/>
    <s v="DA-X0700"/>
    <s v="grkatery"/>
  </r>
  <r>
    <x v="60"/>
    <x v="8"/>
    <s v="Admin/HR/IT"/>
    <s v="AMCARE NonOcc In"/>
    <s v="AMZN"/>
    <n v="112971955"/>
    <s v="Perez Rodriguez,Luis"/>
    <s v="Cortes,Alejandra"/>
    <n v="0"/>
    <n v="0"/>
    <n v="0"/>
    <n v="0"/>
    <n v="0.4"/>
    <e v="#N/A"/>
    <e v="#N/A"/>
  </r>
  <r>
    <x v="60"/>
    <x v="8"/>
    <s v="Admin/HR/IT"/>
    <s v="AMCARE NonOcc In"/>
    <s v="AMZN"/>
    <n v="112971961"/>
    <s v="Lopez,Jason"/>
    <s v="Camarena,Grecia"/>
    <n v="0"/>
    <n v="0"/>
    <n v="0"/>
    <n v="0"/>
    <n v="1.07"/>
    <e v="#N/A"/>
    <e v="#N/A"/>
  </r>
  <r>
    <x v="60"/>
    <x v="8"/>
    <s v="Admin/HR/IT"/>
    <s v="AMCARE NonOcc In"/>
    <s v="AMZN"/>
    <n v="112980832"/>
    <s v="Cruz Martinez,Salvador"/>
    <s v="Gomez Aguado,Jorge"/>
    <n v="0"/>
    <n v="0"/>
    <n v="0"/>
    <n v="0"/>
    <n v="0.02"/>
    <e v="#N/A"/>
    <e v="#N/A"/>
  </r>
  <r>
    <x v="60"/>
    <x v="8"/>
    <s v="Admin/HR/IT"/>
    <s v="AMCARE NonOcc In"/>
    <s v="AMZN"/>
    <n v="112980844"/>
    <s v="Padilla,Samantha"/>
    <s v="Robledo Ugarte,Alejandro"/>
    <n v="0"/>
    <n v="0"/>
    <n v="0"/>
    <n v="0"/>
    <n v="0.24"/>
    <s v="DA-X0700"/>
    <s v="samajpad"/>
  </r>
  <r>
    <x v="60"/>
    <x v="8"/>
    <s v="Admin/HR/IT"/>
    <s v="AMCARE NonOcc In"/>
    <s v="AMZN"/>
    <n v="112981014"/>
    <s v="Roldan Gutierrez,Pablo"/>
    <s v="Robledo Ugarte,Alejandro"/>
    <n v="0"/>
    <n v="0"/>
    <n v="0"/>
    <n v="0"/>
    <n v="0.16"/>
    <s v="DJ-X0700"/>
    <s v="rpabloul"/>
  </r>
  <r>
    <x v="60"/>
    <x v="8"/>
    <s v="Admin/HR/IT"/>
    <s v="AMCARE NonOcc In"/>
    <s v="AMZN"/>
    <n v="113014011"/>
    <s v="Robledo Barrientos,Logan"/>
    <s v="Hernandez,Nataly"/>
    <n v="0"/>
    <n v="0"/>
    <n v="0"/>
    <n v="0"/>
    <n v="0.09"/>
    <e v="#N/A"/>
    <e v="#N/A"/>
  </r>
  <r>
    <x v="60"/>
    <x v="8"/>
    <s v="Admin/HR/IT"/>
    <s v="AMCARE NonOcc In"/>
    <s v="AMZN"/>
    <n v="113020476"/>
    <s v="Puente Aguilar,Polette"/>
    <s v="Romero Sanchez,Gustavo Gabriel"/>
    <n v="0"/>
    <n v="0"/>
    <n v="0"/>
    <n v="0"/>
    <n v="0.67"/>
    <e v="#N/A"/>
    <s v="polettpu"/>
  </r>
  <r>
    <x v="60"/>
    <x v="8"/>
    <s v="Admin/HR/IT"/>
    <s v="AMCARE NonOcc In"/>
    <s v="AMZN"/>
    <n v="113052151"/>
    <s v="Nieves Mendez,Laura"/>
    <s v="Ledezma,Fer"/>
    <n v="0"/>
    <n v="0"/>
    <n v="0"/>
    <n v="0"/>
    <n v="0.26"/>
    <e v="#N/A"/>
    <s v="nilaurab"/>
  </r>
  <r>
    <x v="60"/>
    <x v="8"/>
    <s v="Admin/HR/IT"/>
    <s v="AMCARE NonOcc In"/>
    <s v="AMZN"/>
    <n v="113101453"/>
    <s v="Isaac,Geovanna"/>
    <s v="Corona Arriaga,Fernando"/>
    <n v="0"/>
    <n v="0"/>
    <n v="0"/>
    <n v="0"/>
    <n v="0.14000000000000001"/>
    <e v="#N/A"/>
    <s v="qisgeova"/>
  </r>
  <r>
    <x v="60"/>
    <x v="8"/>
    <s v="Admin/HR/IT"/>
    <s v="AMCARE NonOcc In"/>
    <s v="AMZN"/>
    <n v="200404250"/>
    <s v="Hurtado,Caty"/>
    <s v="Piedra,Valentina"/>
    <n v="0"/>
    <n v="0"/>
    <n v="0"/>
    <n v="0"/>
    <n v="0.54"/>
    <e v="#N/A"/>
    <s v="xcathurt"/>
  </r>
  <r>
    <x v="60"/>
    <x v="8"/>
    <s v="Admin/HR/IT"/>
    <s v="AMCARE NonOcc In"/>
    <s v="TEMP"/>
    <n v="200552734"/>
    <s v="Santiago Ramirez,Six"/>
    <s v="Romero Sanchez,Gustavo Gabriel"/>
    <n v="0"/>
    <n v="0"/>
    <n v="0"/>
    <n v="0"/>
    <n v="0.56000000000000005"/>
    <e v="#N/A"/>
    <e v="#N/A"/>
  </r>
  <r>
    <x v="60"/>
    <x v="8"/>
    <s v="Admin/HR/IT"/>
    <s v="AMCARE NonOcc In"/>
    <s v="TEMP"/>
    <n v="200565197"/>
    <s v="Avila,Mary"/>
    <s v="Piedra,Valentina"/>
    <n v="0"/>
    <n v="0"/>
    <n v="0"/>
    <n v="0"/>
    <n v="0.25"/>
    <e v="#N/A"/>
    <e v="#N/A"/>
  </r>
  <r>
    <x v="61"/>
    <x v="8"/>
    <s v="Admin/HR/IT"/>
    <s v="AMCARE NonOcc In"/>
    <s v="AMZN"/>
    <n v="103979960"/>
    <s v="Suchil Angel,Guillermo"/>
    <s v="Hernandez,Nataly"/>
    <n v="0"/>
    <n v="0"/>
    <n v="0"/>
    <n v="0"/>
    <n v="0.26"/>
    <e v="#N/A"/>
    <e v="#N/A"/>
  </r>
  <r>
    <x v="61"/>
    <x v="8"/>
    <s v="Admin/HR/IT"/>
    <s v="AMCARE NonOcc In"/>
    <s v="TEMP"/>
    <n v="109227086"/>
    <s v="Tavares,Alejandra"/>
    <s v="Hernandez,Nataly"/>
    <n v="0"/>
    <n v="0"/>
    <n v="0"/>
    <n v="0"/>
    <n v="0.21"/>
    <e v="#N/A"/>
    <e v="#N/A"/>
  </r>
  <r>
    <x v="61"/>
    <x v="8"/>
    <s v="Admin/HR/IT"/>
    <s v="AMCARE NonOcc In"/>
    <s v="AMZN"/>
    <n v="112912663"/>
    <s v="Segura,Lucero"/>
    <s v="Munoz,Jonan"/>
    <n v="0"/>
    <n v="0"/>
    <n v="0"/>
    <n v="0"/>
    <n v="0.19"/>
    <e v="#N/A"/>
    <e v="#N/A"/>
  </r>
  <r>
    <x v="61"/>
    <x v="8"/>
    <s v="Admin/HR/IT"/>
    <s v="AMCARE NonOcc In"/>
    <s v="AMZN"/>
    <n v="112980843"/>
    <s v="Santos,Israel"/>
    <s v="Robledo Ugarte,Alejandro"/>
    <n v="0"/>
    <n v="0"/>
    <n v="0"/>
    <n v="0"/>
    <n v="0.26"/>
    <s v="DA-X0700"/>
    <s v="lsisrael"/>
  </r>
  <r>
    <x v="61"/>
    <x v="8"/>
    <s v="Admin/HR/IT"/>
    <s v="AMCARE NonOcc In"/>
    <s v="AMZN"/>
    <n v="112984442"/>
    <s v="Garcia,Mauricio Antonio De la lama"/>
    <s v="Gomez,Abinadab"/>
    <n v="0"/>
    <n v="0"/>
    <n v="0"/>
    <n v="0"/>
    <n v="0.72"/>
    <e v="#N/A"/>
    <e v="#N/A"/>
  </r>
  <r>
    <x v="61"/>
    <x v="8"/>
    <s v="Admin/HR/IT"/>
    <s v="AMCARE NonOcc In"/>
    <s v="AMZN"/>
    <n v="113003971"/>
    <s v="Garcia  Ramirez,Gabriel"/>
    <s v="Gomez,Abinadab"/>
    <n v="0"/>
    <n v="0"/>
    <n v="0"/>
    <n v="0"/>
    <n v="0.13"/>
    <e v="#N/A"/>
    <s v="garamird"/>
  </r>
  <r>
    <x v="61"/>
    <x v="8"/>
    <s v="Admin/HR/IT"/>
    <s v="AMCARE NonOcc In"/>
    <s v="AMZN"/>
    <n v="113014007"/>
    <s v="Negrete Gallardo,Tony"/>
    <s v="Madrid Molina,Ramon"/>
    <n v="0"/>
    <n v="0"/>
    <n v="0"/>
    <n v="0"/>
    <n v="0.7"/>
    <e v="#N/A"/>
    <e v="#N/A"/>
  </r>
  <r>
    <x v="61"/>
    <x v="8"/>
    <s v="Admin/HR/IT"/>
    <s v="AMCARE NonOcc In"/>
    <s v="AMZN"/>
    <n v="113019042"/>
    <s v="Gallegos Godinez,Eloy"/>
    <s v="Hernandez,Nataly"/>
    <n v="0"/>
    <n v="0"/>
    <n v="0"/>
    <n v="0"/>
    <n v="0.28000000000000003"/>
    <e v="#N/A"/>
    <e v="#N/A"/>
  </r>
  <r>
    <x v="61"/>
    <x v="8"/>
    <s v="Admin/HR/IT"/>
    <s v="AMCARE NonOcc In"/>
    <s v="AMZN"/>
    <n v="200404250"/>
    <s v="Hurtado,Caty"/>
    <s v="Piedra,Valentina"/>
    <n v="0"/>
    <n v="0"/>
    <n v="0"/>
    <n v="0"/>
    <n v="0.61"/>
    <e v="#N/A"/>
    <s v="xcathurt"/>
  </r>
  <r>
    <x v="61"/>
    <x v="8"/>
    <s v="Admin/HR/IT"/>
    <s v="AMCARE NonOcc In"/>
    <s v="TEMP"/>
    <n v="200614224"/>
    <s v="Cruz Hernandez,Cris"/>
    <s v="Ledezma,Fer"/>
    <n v="0"/>
    <n v="0"/>
    <n v="0"/>
    <n v="0"/>
    <n v="0.16"/>
    <e v="#N/A"/>
    <e v="#N/A"/>
  </r>
  <r>
    <x v="61"/>
    <x v="8"/>
    <s v="Admin/HR/IT"/>
    <s v="AMCARE NonOcc In"/>
    <s v="TEMP"/>
    <n v="200625528"/>
    <s v="Oliva,Lizbeth"/>
    <s v="Gomez Aguado,Jorge"/>
    <n v="0"/>
    <n v="0"/>
    <n v="0"/>
    <n v="0"/>
    <n v="0.28999999999999998"/>
    <e v="#N/A"/>
    <s v="olivlizb"/>
  </r>
  <r>
    <x v="61"/>
    <x v="8"/>
    <s v="Admin/HR/IT"/>
    <s v="AMCARE NonOcc In"/>
    <s v="TEMP"/>
    <n v="201159079"/>
    <s v="Oliva,Nancy"/>
    <s v="Morales Beristain,Sugeyt"/>
    <n v="0"/>
    <n v="0"/>
    <n v="0"/>
    <n v="0"/>
    <n v="1.61"/>
    <e v="#N/A"/>
    <e v="#N/A"/>
  </r>
  <r>
    <x v="62"/>
    <x v="8"/>
    <s v="Admin/HR/IT"/>
    <s v="AMCARE NonOcc In"/>
    <s v="AMZN"/>
    <n v="113003679"/>
    <s v="Ibarra,Jose"/>
    <s v="Madrid Molina,Ramon"/>
    <n v="0"/>
    <n v="0"/>
    <n v="0"/>
    <n v="0"/>
    <n v="0.21"/>
    <e v="#N/A"/>
    <e v="#N/A"/>
  </r>
  <r>
    <x v="62"/>
    <x v="8"/>
    <s v="Admin/HR/IT"/>
    <s v="AMCARE NonOcc In"/>
    <s v="AMZN"/>
    <n v="113040582"/>
    <s v="HDZ,DEMON"/>
    <s v="Madrid Molina,Ramon"/>
    <n v="0"/>
    <n v="0"/>
    <n v="0"/>
    <n v="0"/>
    <n v="0.02"/>
    <e v="#N/A"/>
    <s v="hgerardr"/>
  </r>
  <r>
    <x v="62"/>
    <x v="8"/>
    <s v="Admin/HR/IT"/>
    <s v="AMCARE NonOcc In"/>
    <s v="TEMP"/>
    <n v="200589316"/>
    <s v="Torres Zuniga,Daniel"/>
    <s v="Madrid Molina,Ramon"/>
    <n v="0"/>
    <n v="0"/>
    <n v="0"/>
    <n v="0"/>
    <n v="0.56000000000000005"/>
    <e v="#N/A"/>
    <e v="#N/A"/>
  </r>
  <r>
    <x v="62"/>
    <x v="8"/>
    <s v="Admin/HR/IT"/>
    <s v="AMCARE NonOcc In"/>
    <s v="TEMP"/>
    <n v="201159079"/>
    <s v="Oliva,Nancy"/>
    <s v="Morales Beristain,Sugeyt"/>
    <n v="0"/>
    <n v="0"/>
    <n v="0"/>
    <n v="0"/>
    <n v="0.92"/>
    <e v="#N/A"/>
    <e v="#N/A"/>
  </r>
  <r>
    <x v="63"/>
    <x v="9"/>
    <s v="Admin/HR/IT"/>
    <s v="AMCARE NonOcc In"/>
    <s v="AMZN"/>
    <n v="112971980"/>
    <s v="Romero,Daniel"/>
    <s v="Pizana,Diego"/>
    <n v="0"/>
    <n v="0"/>
    <n v="0"/>
    <n v="0"/>
    <n v="0.2"/>
    <s v="DC-X0700"/>
    <s v="cdanirom"/>
  </r>
  <r>
    <x v="63"/>
    <x v="9"/>
    <s v="Admin/HR/IT"/>
    <s v="AMCARE NonOcc In"/>
    <s v="AMZN"/>
    <n v="112980832"/>
    <s v="Cruz Martinez,Salvador"/>
    <s v="Gomez Aguado,Jorge"/>
    <n v="0"/>
    <n v="0"/>
    <n v="0"/>
    <n v="0"/>
    <n v="0.5"/>
    <e v="#N/A"/>
    <e v="#N/A"/>
  </r>
  <r>
    <x v="63"/>
    <x v="9"/>
    <s v="Admin/HR/IT"/>
    <s v="AMCARE NonOcc In"/>
    <s v="AMZN"/>
    <n v="112981212"/>
    <s v="Zanella Miranda,Alyson"/>
    <s v="Ledezma,Fer"/>
    <n v="0"/>
    <n v="0"/>
    <n v="0"/>
    <n v="0"/>
    <n v="0.28999999999999998"/>
    <e v="#N/A"/>
    <s v="alysonza"/>
  </r>
  <r>
    <x v="63"/>
    <x v="9"/>
    <s v="Admin/HR/IT"/>
    <s v="AMCARE NonOcc In"/>
    <s v="AMZN"/>
    <n v="112984097"/>
    <s v="Aguilera,Yaremi"/>
    <s v="Corona Arriaga,Fernando"/>
    <n v="0"/>
    <n v="0"/>
    <n v="0"/>
    <n v="0"/>
    <n v="0.26"/>
    <e v="#N/A"/>
    <e v="#N/A"/>
  </r>
  <r>
    <x v="63"/>
    <x v="9"/>
    <s v="Admin/HR/IT"/>
    <s v="AMCARE NonOcc In"/>
    <s v="AMZN"/>
    <n v="113003679"/>
    <s v="Ibarra,Jose"/>
    <s v="Madrid Molina,Ramon"/>
    <n v="0"/>
    <n v="0"/>
    <n v="0"/>
    <n v="0"/>
    <n v="0.21"/>
    <e v="#N/A"/>
    <e v="#N/A"/>
  </r>
  <r>
    <x v="63"/>
    <x v="9"/>
    <s v="Admin/HR/IT"/>
    <s v="AMCARE NonOcc In"/>
    <s v="AMZN"/>
    <n v="113014011"/>
    <s v="Robledo Barrientos,Logan"/>
    <s v="Hernandez,Nataly"/>
    <n v="0"/>
    <n v="0"/>
    <n v="0"/>
    <n v="0"/>
    <n v="0.94"/>
    <e v="#N/A"/>
    <e v="#N/A"/>
  </r>
  <r>
    <x v="63"/>
    <x v="9"/>
    <s v="Admin/HR/IT"/>
    <s v="AMCARE NonOcc In"/>
    <s v="AMZN"/>
    <n v="113014081"/>
    <s v="Frausto,Genesis"/>
    <s v="Piedra,Valentina"/>
    <n v="0"/>
    <n v="0"/>
    <n v="0"/>
    <n v="0"/>
    <n v="0.31"/>
    <e v="#N/A"/>
    <s v="fraugene"/>
  </r>
  <r>
    <x v="63"/>
    <x v="9"/>
    <s v="Admin/HR/IT"/>
    <s v="AMCARE NonOcc In"/>
    <s v="AMZN"/>
    <n v="113014472"/>
    <s v="Ramirez Munoz,Alfredo"/>
    <s v="Madrid Molina,Ramon"/>
    <n v="0"/>
    <n v="0"/>
    <n v="0"/>
    <n v="0"/>
    <n v="0.61"/>
    <e v="#N/A"/>
    <e v="#N/A"/>
  </r>
  <r>
    <x v="63"/>
    <x v="9"/>
    <s v="Admin/HR/IT"/>
    <s v="AMCARE NonOcc In"/>
    <s v="TEMP"/>
    <n v="200534675"/>
    <s v="Munoz Macias,Juan Pablo"/>
    <s v="Ledezma,Fer"/>
    <n v="0"/>
    <n v="0"/>
    <n v="0"/>
    <n v="0"/>
    <n v="0.17"/>
    <e v="#N/A"/>
    <s v="juanpmun"/>
  </r>
  <r>
    <x v="63"/>
    <x v="9"/>
    <s v="Admin/HR/IT"/>
    <s v="AMCARE NonOcc In"/>
    <s v="TEMP"/>
    <n v="200564845"/>
    <s v="Barron,Abraham"/>
    <s v="Piedra,Valentina"/>
    <n v="0"/>
    <n v="0"/>
    <n v="0"/>
    <n v="0"/>
    <n v="0.31"/>
    <e v="#N/A"/>
    <e v="#N/A"/>
  </r>
  <r>
    <x v="63"/>
    <x v="9"/>
    <s v="Admin/HR/IT"/>
    <s v="AMCARE NonOcc In"/>
    <s v="TEMP"/>
    <n v="200589316"/>
    <s v="Torres Zuniga,Daniel"/>
    <s v="Madrid Molina,Ramon"/>
    <n v="0"/>
    <n v="0"/>
    <n v="0"/>
    <n v="0"/>
    <n v="0.31"/>
    <e v="#N/A"/>
    <e v="#N/A"/>
  </r>
  <r>
    <x v="64"/>
    <x v="9"/>
    <s v="Admin/HR/IT"/>
    <s v="AMCARE NonOcc In"/>
    <s v="AMZN"/>
    <n v="112912459"/>
    <s v="Maldonado Hernandez,Miguel"/>
    <s v="Madrid Molina,Ramon"/>
    <n v="0"/>
    <n v="0"/>
    <n v="0"/>
    <n v="0"/>
    <n v="0.28999999999999998"/>
    <e v="#N/A"/>
    <e v="#N/A"/>
  </r>
  <r>
    <x v="64"/>
    <x v="9"/>
    <s v="Admin/HR/IT"/>
    <s v="AMCARE NonOcc In"/>
    <s v="AMZN"/>
    <n v="112912674"/>
    <s v="Rodriguez Zamora,Rocio"/>
    <s v="Garcia Espejel,Brenda Victoria"/>
    <n v="0"/>
    <n v="0"/>
    <n v="0"/>
    <n v="0"/>
    <n v="0.62"/>
    <s v="DA-X0700"/>
    <s v="rociodro"/>
  </r>
  <r>
    <x v="64"/>
    <x v="9"/>
    <s v="Admin/HR/IT"/>
    <s v="AMCARE NonOcc In"/>
    <s v="AMZN"/>
    <n v="112980843"/>
    <s v="Santos,Israel"/>
    <s v="Robledo Ugarte,Alejandro"/>
    <n v="0"/>
    <n v="0"/>
    <n v="0"/>
    <n v="0"/>
    <n v="0.16"/>
    <s v="DA-X0700"/>
    <s v="lsisrael"/>
  </r>
  <r>
    <x v="64"/>
    <x v="9"/>
    <s v="Admin/HR/IT"/>
    <s v="AMCARE NonOcc In"/>
    <s v="AMZN"/>
    <n v="112980899"/>
    <s v="Avila Cabrera,Ari"/>
    <s v="Robledo Ugarte,Alejandro"/>
    <n v="0"/>
    <n v="0"/>
    <n v="0"/>
    <n v="0"/>
    <n v="0.51"/>
    <s v="NF-X1900"/>
    <s v="aravilac"/>
  </r>
  <r>
    <x v="64"/>
    <x v="9"/>
    <s v="Admin/HR/IT"/>
    <s v="AMCARE NonOcc In"/>
    <s v="AMZN"/>
    <n v="112981205"/>
    <s v="Cano,Leilani"/>
    <s v="Corona Arriaga,Fernando"/>
    <n v="0"/>
    <n v="0"/>
    <n v="0"/>
    <n v="0"/>
    <n v="0.18"/>
    <e v="#N/A"/>
    <e v="#N/A"/>
  </r>
  <r>
    <x v="64"/>
    <x v="9"/>
    <s v="Admin/HR/IT"/>
    <s v="AMCARE NonOcc In"/>
    <s v="AMZN"/>
    <n v="113014011"/>
    <s v="Robledo Barrientos,Logan"/>
    <s v="Hernandez,Nataly"/>
    <n v="0"/>
    <n v="0"/>
    <n v="0"/>
    <n v="0"/>
    <n v="0.54"/>
    <e v="#N/A"/>
    <e v="#N/A"/>
  </r>
  <r>
    <x v="64"/>
    <x v="9"/>
    <s v="Admin/HR/IT"/>
    <s v="AMCARE NonOcc In"/>
    <s v="AMZN"/>
    <n v="113014081"/>
    <s v="Frausto,Genesis"/>
    <s v="Piedra,Valentina"/>
    <n v="0"/>
    <n v="0"/>
    <n v="0"/>
    <n v="0"/>
    <n v="0.17"/>
    <e v="#N/A"/>
    <s v="fraugene"/>
  </r>
  <r>
    <x v="64"/>
    <x v="9"/>
    <s v="Admin/HR/IT"/>
    <s v="AMCARE NonOcc In"/>
    <s v="AMZN"/>
    <n v="113019042"/>
    <s v="Gallegos Godinez,Eloy"/>
    <s v="Hernandez,Nataly"/>
    <n v="0"/>
    <n v="0"/>
    <n v="0"/>
    <n v="0"/>
    <n v="0.19"/>
    <e v="#N/A"/>
    <e v="#N/A"/>
  </r>
  <r>
    <x v="64"/>
    <x v="9"/>
    <s v="Admin/HR/IT"/>
    <s v="AMCARE NonOcc In"/>
    <s v="AMZN"/>
    <n v="113040582"/>
    <s v="HDZ,DEMON"/>
    <s v="Madrid Molina,Ramon"/>
    <n v="0"/>
    <n v="0"/>
    <n v="0"/>
    <n v="0"/>
    <n v="0.23"/>
    <e v="#N/A"/>
    <s v="hgerardr"/>
  </r>
  <r>
    <x v="64"/>
    <x v="9"/>
    <s v="Admin/HR/IT"/>
    <s v="AMCARE NonOcc In"/>
    <s v="AMZN"/>
    <n v="113101453"/>
    <s v="Isaac,Geovanna"/>
    <s v="Corona Arriaga,Fernando"/>
    <n v="0"/>
    <n v="0"/>
    <n v="0"/>
    <n v="0"/>
    <n v="0.37"/>
    <e v="#N/A"/>
    <s v="qisgeova"/>
  </r>
  <r>
    <x v="64"/>
    <x v="9"/>
    <s v="Admin/HR/IT"/>
    <s v="AMCARE NonOcc In"/>
    <s v="AMZN"/>
    <n v="200404250"/>
    <s v="Hurtado,Caty"/>
    <s v="Piedra,Valentina"/>
    <n v="0"/>
    <n v="0"/>
    <n v="0"/>
    <n v="0"/>
    <n v="1.25"/>
    <e v="#N/A"/>
    <s v="xcathurt"/>
  </r>
  <r>
    <x v="64"/>
    <x v="9"/>
    <s v="Admin/HR/IT"/>
    <s v="AMCARE NonOcc In"/>
    <s v="TEMP"/>
    <n v="200534675"/>
    <s v="Munoz Macias,Juan Pablo"/>
    <s v="Ledezma,Fer"/>
    <n v="0"/>
    <n v="0"/>
    <n v="0"/>
    <n v="0"/>
    <n v="0.12"/>
    <e v="#N/A"/>
    <s v="juanpmun"/>
  </r>
  <r>
    <x v="64"/>
    <x v="9"/>
    <s v="Admin/HR/IT"/>
    <s v="AMCARE NonOcc In"/>
    <s v="TEMP"/>
    <n v="200564845"/>
    <s v="Barron,Abraham"/>
    <s v="Piedra,Valentina"/>
    <n v="0"/>
    <n v="0"/>
    <n v="0"/>
    <n v="0"/>
    <n v="0.27"/>
    <e v="#N/A"/>
    <e v="#N/A"/>
  </r>
  <r>
    <x v="65"/>
    <x v="9"/>
    <s v="Admin/HR/IT"/>
    <s v="AMCARE NonOcc In"/>
    <s v="TEMP"/>
    <n v="109227086"/>
    <s v="Tavares,Alejandra"/>
    <s v="Hernandez,Nataly"/>
    <n v="0"/>
    <n v="0"/>
    <n v="0"/>
    <n v="0"/>
    <n v="0.22"/>
    <e v="#N/A"/>
    <e v="#N/A"/>
  </r>
  <r>
    <x v="65"/>
    <x v="9"/>
    <s v="Admin/HR/IT"/>
    <s v="AMCARE NonOcc In"/>
    <s v="AMZN"/>
    <n v="111434478"/>
    <s v="Gutierrez,Pame"/>
    <s v="Garcia Espejel,Brenda Victoria"/>
    <n v="0"/>
    <n v="0"/>
    <n v="0"/>
    <n v="0"/>
    <n v="0.73"/>
    <s v="DA-X0700"/>
    <s v="juanapam"/>
  </r>
  <r>
    <x v="65"/>
    <x v="9"/>
    <s v="Admin/HR/IT"/>
    <s v="AMCARE NonOcc In"/>
    <s v="AMZN"/>
    <n v="112912397"/>
    <s v="Neri Zuniga,Ricardo"/>
    <s v="Camarena,Grecia"/>
    <n v="0"/>
    <n v="0"/>
    <n v="0"/>
    <n v="0"/>
    <n v="0.42"/>
    <s v="D5-X0700"/>
    <s v="tjuandne"/>
  </r>
  <r>
    <x v="65"/>
    <x v="9"/>
    <s v="Admin/HR/IT"/>
    <s v="AMCARE NonOcc In"/>
    <s v="AMZN"/>
    <n v="112912459"/>
    <s v="Maldonado Hernandez,Miguel"/>
    <s v="Madrid Molina,Ramon"/>
    <n v="0"/>
    <n v="0"/>
    <n v="0"/>
    <n v="0"/>
    <n v="0.49"/>
    <e v="#N/A"/>
    <e v="#N/A"/>
  </r>
  <r>
    <x v="65"/>
    <x v="9"/>
    <s v="Admin/HR/IT"/>
    <s v="AMCARE NonOcc In"/>
    <s v="AMZN"/>
    <n v="112912507"/>
    <s v="Velazquez,Charlie"/>
    <s v="Munoz,Jonan"/>
    <n v="0"/>
    <n v="0"/>
    <n v="0"/>
    <n v="0"/>
    <n v="0.24"/>
    <s v="DA-X0700"/>
    <s v="hvcharli"/>
  </r>
  <r>
    <x v="65"/>
    <x v="9"/>
    <s v="Admin/HR/IT"/>
    <s v="AMCARE NonOcc In"/>
    <s v="AMZN"/>
    <n v="112912663"/>
    <s v="Segura,Lucero"/>
    <s v="Munoz,Jonan"/>
    <n v="0"/>
    <n v="0"/>
    <n v="0"/>
    <n v="0"/>
    <n v="0.56000000000000005"/>
    <e v="#N/A"/>
    <e v="#N/A"/>
  </r>
  <r>
    <x v="65"/>
    <x v="9"/>
    <s v="Admin/HR/IT"/>
    <s v="AMCARE NonOcc In"/>
    <s v="AMZN"/>
    <n v="112920664"/>
    <s v="Alba,Samuel"/>
    <s v="Rosas Negrete,Sebastian"/>
    <n v="0"/>
    <n v="0"/>
    <n v="0"/>
    <n v="0"/>
    <n v="0.34"/>
    <s v="DA-X0700"/>
    <s v="samualbg"/>
  </r>
  <r>
    <x v="65"/>
    <x v="9"/>
    <s v="Admin/HR/IT"/>
    <s v="AMCARE NonOcc In"/>
    <s v="AMZN"/>
    <n v="112971965"/>
    <s v="Hernandez,Andrea"/>
    <s v="Romero Sanchez,Gustavo Gabriel"/>
    <n v="0"/>
    <n v="0"/>
    <n v="0"/>
    <n v="0"/>
    <n v="0.63"/>
    <e v="#N/A"/>
    <e v="#N/A"/>
  </r>
  <r>
    <x v="65"/>
    <x v="9"/>
    <s v="Admin/HR/IT"/>
    <s v="AMCARE NonOcc In"/>
    <s v="AMZN"/>
    <n v="112981196"/>
    <s v="Gomez,Andrea"/>
    <s v="Gomez Aguado,Jorge"/>
    <n v="0"/>
    <n v="0"/>
    <n v="0"/>
    <n v="0"/>
    <n v="0.15"/>
    <e v="#N/A"/>
    <s v="vandgome"/>
  </r>
  <r>
    <x v="65"/>
    <x v="9"/>
    <s v="Admin/HR/IT"/>
    <s v="AMCARE NonOcc In"/>
    <s v="AMZN"/>
    <n v="112981205"/>
    <s v="Cano,Leilani"/>
    <s v="Corona Arriaga,Fernando"/>
    <n v="0"/>
    <n v="0"/>
    <n v="0"/>
    <n v="0"/>
    <n v="0.72"/>
    <e v="#N/A"/>
    <e v="#N/A"/>
  </r>
  <r>
    <x v="65"/>
    <x v="9"/>
    <s v="Admin/HR/IT"/>
    <s v="AMCARE NonOcc In"/>
    <s v="AMZN"/>
    <n v="113014081"/>
    <s v="Frausto,Genesis"/>
    <s v="Piedra,Valentina"/>
    <n v="0"/>
    <n v="0"/>
    <n v="0"/>
    <n v="0"/>
    <n v="0.09"/>
    <e v="#N/A"/>
    <s v="fraugene"/>
  </r>
  <r>
    <x v="65"/>
    <x v="9"/>
    <s v="Admin/HR/IT"/>
    <s v="AMCARE NonOcc In"/>
    <s v="AMZN"/>
    <n v="113019042"/>
    <s v="Gallegos Godinez,Eloy"/>
    <s v="Hernandez,Nataly"/>
    <n v="0"/>
    <n v="0"/>
    <n v="0"/>
    <n v="0"/>
    <n v="0.67"/>
    <e v="#N/A"/>
    <e v="#N/A"/>
  </r>
  <r>
    <x v="65"/>
    <x v="9"/>
    <s v="Admin/HR/IT"/>
    <s v="AMCARE NonOcc In"/>
    <s v="AMZN"/>
    <n v="113020497"/>
    <s v="Martinez Ruiz,Diana"/>
    <s v="Piedra,Valentina"/>
    <n v="0"/>
    <n v="0"/>
    <n v="0"/>
    <n v="0"/>
    <n v="0.74"/>
    <e v="#N/A"/>
    <s v="diamartd"/>
  </r>
  <r>
    <x v="65"/>
    <x v="9"/>
    <s v="Admin/HR/IT"/>
    <s v="AMCARE NonOcc In"/>
    <s v="AMZN"/>
    <n v="200404250"/>
    <s v="Hurtado,Caty"/>
    <s v="Piedra,Valentina"/>
    <n v="0"/>
    <n v="0"/>
    <n v="0"/>
    <n v="0"/>
    <n v="0.96"/>
    <e v="#N/A"/>
    <s v="xcathurt"/>
  </r>
  <r>
    <x v="65"/>
    <x v="9"/>
    <s v="Admin/HR/IT"/>
    <s v="AMCARE NonOcc In"/>
    <s v="TEMP"/>
    <n v="200514421"/>
    <s v="Padilla Abrego,Angeles"/>
    <s v="Piedra,Valentina"/>
    <n v="0"/>
    <n v="0"/>
    <n v="0"/>
    <n v="0"/>
    <n v="1.72"/>
    <e v="#N/A"/>
    <s v="padillms"/>
  </r>
  <r>
    <x v="65"/>
    <x v="9"/>
    <s v="Admin/HR/IT"/>
    <s v="AMCARE NonOcc In"/>
    <s v="TEMP"/>
    <n v="200553205"/>
    <s v="Cabrera,Nancy"/>
    <s v="Piedra,Valentina"/>
    <n v="0"/>
    <n v="0"/>
    <n v="0"/>
    <n v="0"/>
    <n v="0.61"/>
    <e v="#N/A"/>
    <e v="#N/A"/>
  </r>
  <r>
    <x v="65"/>
    <x v="9"/>
    <s v="Admin/HR/IT"/>
    <s v="AMCARE NonOcc In"/>
    <s v="TEMP"/>
    <n v="200625517"/>
    <s v="RamÃ­rez,Miranda"/>
    <s v="Corona Arriaga,Fernando"/>
    <n v="0"/>
    <n v="0"/>
    <n v="0"/>
    <n v="0"/>
    <n v="0.4"/>
    <e v="#N/A"/>
    <e v="#N/A"/>
  </r>
  <r>
    <x v="66"/>
    <x v="9"/>
    <s v="Admin/HR/IT"/>
    <s v="AMCARE NonOcc In"/>
    <s v="AMZN"/>
    <n v="112912163"/>
    <s v="Murillo,Alejandro"/>
    <s v="Piedra,Valentina"/>
    <n v="0"/>
    <n v="0"/>
    <n v="0"/>
    <n v="0"/>
    <n v="0.4"/>
    <e v="#N/A"/>
    <e v="#N/A"/>
  </r>
  <r>
    <x v="66"/>
    <x v="9"/>
    <s v="Admin/HR/IT"/>
    <s v="AMCARE NonOcc In"/>
    <s v="AMZN"/>
    <n v="112972524"/>
    <s v="Santibanez Garcia,Luisa"/>
    <s v="Lopez,Alexa"/>
    <n v="0"/>
    <n v="0"/>
    <n v="0"/>
    <n v="0"/>
    <n v="0.43"/>
    <s v="DB-X0700"/>
    <s v="csantibl"/>
  </r>
  <r>
    <x v="66"/>
    <x v="9"/>
    <s v="Admin/HR/IT"/>
    <s v="AMCARE NonOcc In"/>
    <s v="AMZN"/>
    <n v="112980844"/>
    <s v="Padilla,Samantha"/>
    <s v="Robledo Ugarte,Alejandro"/>
    <n v="0"/>
    <n v="0"/>
    <n v="0"/>
    <n v="0"/>
    <n v="0.71"/>
    <s v="DA-X0700"/>
    <s v="samajpad"/>
  </r>
  <r>
    <x v="66"/>
    <x v="9"/>
    <s v="Admin/HR/IT"/>
    <s v="AMCARE NonOcc In"/>
    <s v="AMZN"/>
    <n v="112981204"/>
    <s v="Martinez  Trueba,Angel"/>
    <s v="Corona Arriaga,Fernando"/>
    <n v="0"/>
    <n v="0"/>
    <n v="0"/>
    <n v="0"/>
    <n v="0.13"/>
    <e v="#N/A"/>
    <e v="#N/A"/>
  </r>
  <r>
    <x v="66"/>
    <x v="9"/>
    <s v="Admin/HR/IT"/>
    <s v="AMCARE NonOcc In"/>
    <s v="AMZN"/>
    <n v="113003631"/>
    <s v="Ortega,Elizabeth"/>
    <s v="Gomez Aguado,Jorge"/>
    <n v="0"/>
    <n v="0"/>
    <n v="0"/>
    <n v="0"/>
    <n v="0.2"/>
    <e v="#N/A"/>
    <e v="#N/A"/>
  </r>
  <r>
    <x v="66"/>
    <x v="9"/>
    <s v="Admin/HR/IT"/>
    <s v="AMCARE NonOcc In"/>
    <s v="AMZN"/>
    <n v="113003656"/>
    <s v="Argote,Enrique"/>
    <s v="Madrid Molina,Ramon"/>
    <n v="0"/>
    <n v="0"/>
    <n v="0"/>
    <n v="0"/>
    <n v="0.11"/>
    <e v="#N/A"/>
    <s v="uargoten"/>
  </r>
  <r>
    <x v="66"/>
    <x v="9"/>
    <s v="Admin/HR/IT"/>
    <s v="AMCARE NonOcc In"/>
    <s v="AMZN"/>
    <n v="113019042"/>
    <s v="Gallegos Godinez,Eloy"/>
    <s v="Hernandez,Nataly"/>
    <n v="0"/>
    <n v="0"/>
    <n v="0"/>
    <n v="0"/>
    <n v="0.81"/>
    <e v="#N/A"/>
    <e v="#N/A"/>
  </r>
  <r>
    <x v="66"/>
    <x v="9"/>
    <s v="Admin/HR/IT"/>
    <s v="AMCARE NonOcc In"/>
    <s v="AMZN"/>
    <n v="200404250"/>
    <s v="Hurtado,Caty"/>
    <s v="Piedra,Valentina"/>
    <n v="0"/>
    <n v="0"/>
    <n v="0"/>
    <n v="0"/>
    <n v="0.41"/>
    <e v="#N/A"/>
    <s v="xcathurt"/>
  </r>
  <r>
    <x v="66"/>
    <x v="9"/>
    <s v="Admin/HR/IT"/>
    <s v="AMCARE NonOcc In"/>
    <s v="TEMP"/>
    <n v="200514421"/>
    <s v="Padilla Abrego,Angeles"/>
    <s v="Piedra,Valentina"/>
    <n v="0"/>
    <n v="0"/>
    <n v="0"/>
    <n v="0"/>
    <n v="2"/>
    <e v="#N/A"/>
    <s v="padillms"/>
  </r>
  <r>
    <x v="66"/>
    <x v="9"/>
    <s v="Admin/HR/IT"/>
    <s v="AMCARE NonOcc In"/>
    <s v="TEMP"/>
    <n v="200574345"/>
    <s v="Contreras,Jony"/>
    <s v="Piedra,Valentina"/>
    <n v="0"/>
    <n v="0"/>
    <n v="0"/>
    <n v="0"/>
    <n v="0.41"/>
    <e v="#N/A"/>
    <s v="contrexj"/>
  </r>
  <r>
    <x v="66"/>
    <x v="9"/>
    <s v="Admin/HR/IT"/>
    <s v="AMCARE NonOcc In"/>
    <s v="TEMP"/>
    <n v="200620341"/>
    <s v="Camacho Ramirez,Carlos"/>
    <s v="Gomez Aguado,Jorge"/>
    <n v="0"/>
    <n v="0"/>
    <n v="0"/>
    <n v="0"/>
    <n v="0.23"/>
    <e v="#N/A"/>
    <e v="#N/A"/>
  </r>
  <r>
    <x v="66"/>
    <x v="9"/>
    <s v="Admin/HR/IT"/>
    <s v="AMCARE NonOcc In"/>
    <s v="TEMP"/>
    <n v="200625517"/>
    <s v="RamÃ­rez,Miranda"/>
    <s v="Corona Arriaga,Fernando"/>
    <n v="0"/>
    <n v="0"/>
    <n v="0"/>
    <n v="0"/>
    <n v="0.22"/>
    <e v="#N/A"/>
    <e v="#N/A"/>
  </r>
  <r>
    <x v="67"/>
    <x v="9"/>
    <s v="Admin/HR/IT"/>
    <s v="AMCARE NonOcc In"/>
    <s v="AMZN"/>
    <n v="112912074"/>
    <s v="Hernandez Gutierrez,Lizeth"/>
    <s v="Pizana,Diego"/>
    <n v="0"/>
    <n v="0"/>
    <n v="0"/>
    <n v="0"/>
    <n v="0.46"/>
    <e v="#N/A"/>
    <e v="#N/A"/>
  </r>
  <r>
    <x v="67"/>
    <x v="9"/>
    <s v="Admin/HR/IT"/>
    <s v="AMCARE NonOcc In"/>
    <s v="AMZN"/>
    <n v="112912163"/>
    <s v="Murillo,Alejandro"/>
    <s v="Piedra,Valentina"/>
    <n v="0"/>
    <n v="0"/>
    <n v="0"/>
    <n v="0"/>
    <n v="1.78"/>
    <e v="#N/A"/>
    <e v="#N/A"/>
  </r>
  <r>
    <x v="67"/>
    <x v="9"/>
    <s v="Admin/HR/IT"/>
    <s v="AMCARE NonOcc In"/>
    <s v="AMZN"/>
    <n v="112912753"/>
    <s v="Padilla Abrego,Selene"/>
    <s v="Piedra,Valentina"/>
    <n v="0"/>
    <n v="0"/>
    <n v="0"/>
    <n v="0"/>
    <n v="0.16"/>
    <e v="#N/A"/>
    <e v="#N/A"/>
  </r>
  <r>
    <x v="67"/>
    <x v="9"/>
    <s v="Admin/HR/IT"/>
    <s v="AMCARE NonOcc In"/>
    <s v="AMZN"/>
    <n v="112972524"/>
    <s v="Santibanez Garcia,Luisa"/>
    <s v="Lopez,Alexa"/>
    <n v="0"/>
    <n v="0"/>
    <n v="0"/>
    <n v="0"/>
    <n v="0.13"/>
    <s v="DB-X0700"/>
    <s v="csantibl"/>
  </r>
  <r>
    <x v="67"/>
    <x v="9"/>
    <s v="Admin/HR/IT"/>
    <s v="AMCARE NonOcc In"/>
    <s v="AMZN"/>
    <n v="112981061"/>
    <s v="Olguin,Claudia"/>
    <s v="Corona Arriaga,Fernando"/>
    <n v="0"/>
    <n v="0"/>
    <n v="0"/>
    <n v="0"/>
    <n v="0.3"/>
    <s v="DA-X0700"/>
    <s v="mclaudol"/>
  </r>
  <r>
    <x v="67"/>
    <x v="9"/>
    <s v="Admin/HR/IT"/>
    <s v="AMCARE NonOcc In"/>
    <s v="AMZN"/>
    <n v="112984442"/>
    <s v="Garcia,Mauricio Antonio De la lama"/>
    <s v="Gomez,Abinadab"/>
    <n v="0"/>
    <n v="0"/>
    <n v="0"/>
    <n v="0"/>
    <n v="0.37"/>
    <e v="#N/A"/>
    <e v="#N/A"/>
  </r>
  <r>
    <x v="67"/>
    <x v="9"/>
    <s v="Admin/HR/IT"/>
    <s v="AMCARE NonOcc In"/>
    <s v="AMZN"/>
    <n v="113014081"/>
    <s v="Frausto,Genesis"/>
    <s v="Piedra,Valentina"/>
    <n v="0"/>
    <n v="0"/>
    <n v="0"/>
    <n v="0"/>
    <n v="0.17"/>
    <e v="#N/A"/>
    <s v="fraugene"/>
  </r>
  <r>
    <x v="67"/>
    <x v="9"/>
    <s v="Admin/HR/IT"/>
    <s v="AMCARE NonOcc In"/>
    <s v="AMZN"/>
    <n v="113014092"/>
    <s v="Sanchez,Cristina"/>
    <s v="Romero Sanchez,Gustavo Gabriel"/>
    <n v="0"/>
    <n v="0"/>
    <n v="0"/>
    <n v="0"/>
    <n v="0.15"/>
    <e v="#N/A"/>
    <s v="rsanccri"/>
  </r>
  <r>
    <x v="67"/>
    <x v="9"/>
    <s v="Admin/HR/IT"/>
    <s v="AMCARE NonOcc In"/>
    <s v="AMZN"/>
    <n v="113014113"/>
    <s v="Sanchez Villegas,Benjamin"/>
    <s v="Corona Arriaga,Fernando"/>
    <n v="0"/>
    <n v="0"/>
    <n v="0"/>
    <n v="0"/>
    <n v="0.54"/>
    <e v="#N/A"/>
    <e v="#N/A"/>
  </r>
  <r>
    <x v="67"/>
    <x v="9"/>
    <s v="Admin/HR/IT"/>
    <s v="AMCARE NonOcc In"/>
    <s v="AMZN"/>
    <n v="113052151"/>
    <s v="Nieves Mendez,Laura"/>
    <s v="Ledezma,Fer"/>
    <n v="0"/>
    <n v="0"/>
    <n v="0"/>
    <n v="0"/>
    <n v="0.2"/>
    <e v="#N/A"/>
    <s v="nilaurab"/>
  </r>
  <r>
    <x v="67"/>
    <x v="9"/>
    <s v="Admin/HR/IT"/>
    <s v="AMCARE NonOcc In"/>
    <s v="AMZN"/>
    <n v="200404250"/>
    <s v="Hurtado,Caty"/>
    <s v="Piedra,Valentina"/>
    <n v="0"/>
    <n v="0"/>
    <n v="0"/>
    <n v="0"/>
    <n v="0.44"/>
    <e v="#N/A"/>
    <s v="xcathurt"/>
  </r>
  <r>
    <x v="68"/>
    <x v="9"/>
    <s v="Admin/HR/IT"/>
    <s v="AMCARE NonOcc In"/>
    <s v="AMZN"/>
    <n v="112485255"/>
    <s v="Rocha,Ceci"/>
    <s v="Madrid Molina,Ramon"/>
    <n v="0"/>
    <n v="0"/>
    <n v="0"/>
    <n v="0"/>
    <n v="0.27"/>
    <s v="DB-X0700"/>
    <s v="anacecor"/>
  </r>
  <r>
    <x v="68"/>
    <x v="9"/>
    <s v="Admin/HR/IT"/>
    <s v="AMCARE NonOcc In"/>
    <s v="AMZN"/>
    <n v="112912663"/>
    <s v="Segura,Lucero"/>
    <s v="Munoz,Jonan"/>
    <n v="0"/>
    <n v="0"/>
    <n v="0"/>
    <n v="0"/>
    <n v="0.19"/>
    <e v="#N/A"/>
    <e v="#N/A"/>
  </r>
  <r>
    <x v="68"/>
    <x v="9"/>
    <s v="Admin/HR/IT"/>
    <s v="AMCARE NonOcc In"/>
    <s v="AMZN"/>
    <n v="112912677"/>
    <s v="Gonzalez,Gustavo"/>
    <s v="Camarena,Grecia"/>
    <n v="0"/>
    <n v="0"/>
    <n v="0"/>
    <n v="0"/>
    <n v="0.22"/>
    <e v="#N/A"/>
    <e v="#N/A"/>
  </r>
  <r>
    <x v="69"/>
    <x v="9"/>
    <s v="Admin/HR/IT"/>
    <s v="AMCARE NonOcc In"/>
    <s v="AMZN"/>
    <n v="112971980"/>
    <s v="Romero,Daniel"/>
    <s v="Pizana,Diego"/>
    <n v="0"/>
    <n v="0"/>
    <n v="0"/>
    <n v="0"/>
    <n v="0.24"/>
    <s v="DC-X0700"/>
    <s v="cdanirom"/>
  </r>
  <r>
    <x v="68"/>
    <x v="9"/>
    <s v="Admin/HR/IT"/>
    <s v="AMCARE NonOcc In"/>
    <s v="AMZN"/>
    <n v="112976013"/>
    <s v="Garcia,Roberto"/>
    <s v="Munoz,Jonan"/>
    <n v="0"/>
    <n v="0"/>
    <n v="0"/>
    <n v="0"/>
    <n v="0.35"/>
    <e v="#N/A"/>
    <e v="#N/A"/>
  </r>
  <r>
    <x v="68"/>
    <x v="9"/>
    <s v="Admin/HR/IT"/>
    <s v="AMCARE NonOcc In"/>
    <s v="AMZN"/>
    <n v="112984442"/>
    <s v="Garcia,Mauricio Antonio De la lama"/>
    <s v="Gomez,Abinadab"/>
    <n v="0"/>
    <n v="0"/>
    <n v="0"/>
    <n v="0"/>
    <n v="0.26"/>
    <e v="#N/A"/>
    <e v="#N/A"/>
  </r>
  <r>
    <x v="68"/>
    <x v="9"/>
    <s v="Admin/HR/IT"/>
    <s v="AMCARE NonOcc In"/>
    <s v="AMZN"/>
    <n v="113014042"/>
    <s v="Cervantes,Rose"/>
    <s v="Romero Sanchez,Gustavo Gabriel"/>
    <n v="0"/>
    <n v="0"/>
    <n v="0"/>
    <n v="0"/>
    <n v="0.46"/>
    <e v="#N/A"/>
    <s v="rfcervan"/>
  </r>
  <r>
    <x v="68"/>
    <x v="9"/>
    <s v="Admin/HR/IT"/>
    <s v="AMCARE NonOcc In"/>
    <s v="AMZN"/>
    <n v="113014072"/>
    <s v="Rivera,Mariana"/>
    <s v="Romero Sanchez,Gustavo Gabriel"/>
    <n v="0"/>
    <n v="0"/>
    <n v="0"/>
    <n v="0"/>
    <n v="1.08"/>
    <e v="#N/A"/>
    <e v="#N/A"/>
  </r>
  <r>
    <x v="68"/>
    <x v="9"/>
    <s v="Admin/HR/IT"/>
    <s v="AMCARE NonOcc In"/>
    <s v="AMZN"/>
    <n v="113019042"/>
    <s v="Gallegos Godinez,Eloy"/>
    <s v="Hernandez,Nataly"/>
    <n v="0"/>
    <n v="0"/>
    <n v="0"/>
    <n v="0"/>
    <n v="0.55000000000000004"/>
    <e v="#N/A"/>
    <e v="#N/A"/>
  </r>
  <r>
    <x v="68"/>
    <x v="9"/>
    <s v="Admin/HR/IT"/>
    <s v="AMCARE NonOcc In"/>
    <s v="AMZN"/>
    <n v="200404250"/>
    <s v="Hurtado,Caty"/>
    <s v="Piedra,Valentina"/>
    <n v="0"/>
    <n v="0"/>
    <n v="0"/>
    <n v="0"/>
    <n v="0.5"/>
    <e v="#N/A"/>
    <s v="xcathurt"/>
  </r>
  <r>
    <x v="68"/>
    <x v="9"/>
    <s v="Admin/HR/IT"/>
    <s v="AMCARE NonOcc In"/>
    <s v="TEMP"/>
    <n v="200615883"/>
    <s v="Ibarra Amaro,Adriana"/>
    <s v="Madrid Molina,Ramon"/>
    <n v="0"/>
    <n v="0"/>
    <n v="0"/>
    <n v="0"/>
    <n v="0.65"/>
    <e v="#N/A"/>
    <e v="#N/A"/>
  </r>
  <r>
    <x v="68"/>
    <x v="9"/>
    <s v="Admin/HR/IT"/>
    <s v="AMCARE NonOcc In"/>
    <s v="TEMP"/>
    <n v="201190781"/>
    <s v="HernÃ¡ndez,Fausto"/>
    <s v="Hernandez Padilla,Daniel"/>
    <n v="0"/>
    <n v="0"/>
    <n v="0"/>
    <n v="0"/>
    <n v="0.38"/>
    <e v="#N/A"/>
    <e v="#N/A"/>
  </r>
  <r>
    <x v="70"/>
    <x v="9"/>
    <s v="Admin/HR/IT"/>
    <s v="AMCARE NonOcc In"/>
    <s v="AMZN"/>
    <n v="112912675"/>
    <s v="Alejandri Villagomez,Alejandra"/>
    <s v="Gomez,Abinadab"/>
    <n v="0"/>
    <n v="0"/>
    <n v="0"/>
    <n v="0"/>
    <n v="0.92"/>
    <e v="#N/A"/>
    <e v="#N/A"/>
  </r>
  <r>
    <x v="70"/>
    <x v="9"/>
    <s v="Admin/HR/IT"/>
    <s v="AMCARE NonOcc In"/>
    <s v="AMZN"/>
    <n v="112912983"/>
    <s v="RodrÃ­guez,RocÃ­o"/>
    <s v="Camarena,Grecia"/>
    <n v="0"/>
    <n v="0"/>
    <n v="0"/>
    <n v="0"/>
    <n v="0.14000000000000001"/>
    <s v="NF-X1900"/>
    <s v="wrocirod"/>
  </r>
  <r>
    <x v="70"/>
    <x v="9"/>
    <s v="Admin/HR/IT"/>
    <s v="AMCARE NonOcc In"/>
    <s v="AMZN"/>
    <n v="112916534"/>
    <s v="Esparza Sanchez,Areli"/>
    <s v="Gomez,Abinadab"/>
    <n v="0"/>
    <n v="0"/>
    <n v="0"/>
    <n v="0"/>
    <n v="0.02"/>
    <s v="DB-X0700"/>
    <s v="earelili"/>
  </r>
  <r>
    <x v="70"/>
    <x v="9"/>
    <s v="Admin/HR/IT"/>
    <s v="AMCARE NonOcc In"/>
    <s v="AMZN"/>
    <n v="112951256"/>
    <s v="Ramirez Vallejo,Kateryne"/>
    <s v="Camarena,Grecia"/>
    <n v="0"/>
    <n v="0"/>
    <n v="0"/>
    <n v="0"/>
    <n v="0.51"/>
    <s v="DA-X0700"/>
    <s v="grkatery"/>
  </r>
  <r>
    <x v="70"/>
    <x v="9"/>
    <s v="Admin/HR/IT"/>
    <s v="AMCARE NonOcc In"/>
    <s v="AMZN"/>
    <n v="112972958"/>
    <s v="Gonzalez Gonzalez,Antonio"/>
    <s v="Cortes,Alejandra"/>
    <n v="0"/>
    <n v="0"/>
    <n v="0"/>
    <n v="0"/>
    <n v="0.21"/>
    <s v="D5-X0700"/>
    <s v="ugonzgui"/>
  </r>
  <r>
    <x v="70"/>
    <x v="9"/>
    <s v="Admin/HR/IT"/>
    <s v="AMCARE NonOcc In"/>
    <s v="AMZN"/>
    <n v="112984442"/>
    <s v="Garcia,Mauricio Antonio De la lama"/>
    <s v="Gomez,Abinadab"/>
    <n v="0"/>
    <n v="0"/>
    <n v="0"/>
    <n v="0"/>
    <n v="0.38"/>
    <e v="#N/A"/>
    <e v="#N/A"/>
  </r>
  <r>
    <x v="70"/>
    <x v="9"/>
    <s v="Admin/HR/IT"/>
    <s v="AMCARE NonOcc In"/>
    <s v="AMZN"/>
    <n v="113014072"/>
    <s v="Rivera,Mariana"/>
    <s v="Romero Sanchez,Gustavo Gabriel"/>
    <n v="0"/>
    <n v="0"/>
    <n v="0"/>
    <n v="0"/>
    <n v="0.11"/>
    <e v="#N/A"/>
    <e v="#N/A"/>
  </r>
  <r>
    <x v="70"/>
    <x v="9"/>
    <s v="Admin/HR/IT"/>
    <s v="AMCARE NonOcc In"/>
    <s v="AMZN"/>
    <n v="113138338"/>
    <s v="Cornejo,Cesar"/>
    <s v="Camarena,Grecia"/>
    <n v="0"/>
    <n v="0"/>
    <n v="0"/>
    <n v="0"/>
    <n v="1.86"/>
    <e v="#N/A"/>
    <s v="cescornh"/>
  </r>
  <r>
    <x v="70"/>
    <x v="9"/>
    <s v="Admin/HR/IT"/>
    <s v="AMCARE NonOcc In"/>
    <s v="TEMP"/>
    <n v="200552734"/>
    <s v="Santiago Ramirez,Six"/>
    <s v="Romero Sanchez,Gustavo Gabriel"/>
    <n v="0"/>
    <n v="0"/>
    <n v="0"/>
    <n v="0"/>
    <n v="0.45"/>
    <e v="#N/A"/>
    <e v="#N/A"/>
  </r>
  <r>
    <x v="70"/>
    <x v="9"/>
    <s v="Admin/HR/IT"/>
    <s v="AMCARE NonOcc In"/>
    <s v="TEMP"/>
    <n v="200589316"/>
    <s v="Torres Zuniga,Daniel"/>
    <s v="Madrid Molina,Ramon"/>
    <n v="0"/>
    <n v="0"/>
    <n v="0"/>
    <n v="0"/>
    <n v="0.86"/>
    <e v="#N/A"/>
    <e v="#N/A"/>
  </r>
  <r>
    <x v="70"/>
    <x v="9"/>
    <s v="Admin/HR/IT"/>
    <s v="AMCARE NonOcc In"/>
    <s v="TEMP"/>
    <n v="200615883"/>
    <s v="Ibarra Amaro,Adriana"/>
    <s v="Madrid Molina,Ramon"/>
    <n v="0"/>
    <n v="0"/>
    <n v="0"/>
    <n v="0"/>
    <n v="0.98"/>
    <e v="#N/A"/>
    <e v="#N/A"/>
  </r>
  <r>
    <x v="70"/>
    <x v="9"/>
    <s v="Admin/HR/IT"/>
    <s v="AMCARE NonOcc In"/>
    <s v="TEMP"/>
    <n v="201167363"/>
    <s v="Santos,AdriÃ¡n"/>
    <s v="Morales Beristain,Sugeyt"/>
    <n v="0"/>
    <n v="0"/>
    <n v="0"/>
    <n v="0"/>
    <n v="0.74"/>
    <e v="#N/A"/>
    <e v="#N/A"/>
  </r>
  <r>
    <x v="70"/>
    <x v="9"/>
    <s v="Admin/HR/IT"/>
    <s v="AMCARE NonOcc In"/>
    <s v="TEMP"/>
    <n v="201167517"/>
    <s v="Espinoza Lopez,Magdal"/>
    <s v="Ledezma,Fer"/>
    <n v="0"/>
    <n v="0"/>
    <n v="0"/>
    <n v="0"/>
    <n v="0.47"/>
    <e v="#N/A"/>
    <e v="#N/A"/>
  </r>
  <r>
    <x v="71"/>
    <x v="10"/>
    <s v="Admin/HR/IT"/>
    <s v="AMCARE NonOcc In"/>
    <s v="AMZN"/>
    <n v="112912163"/>
    <s v="Murillo,Alejandro"/>
    <s v="Piedra,Valentina"/>
    <n v="0"/>
    <n v="0"/>
    <n v="0"/>
    <n v="0"/>
    <n v="0.51"/>
    <e v="#N/A"/>
    <e v="#N/A"/>
  </r>
  <r>
    <x v="71"/>
    <x v="10"/>
    <s v="Admin/HR/IT"/>
    <s v="AMCARE NonOcc In"/>
    <s v="AMZN"/>
    <n v="112912459"/>
    <s v="Maldonado Hernandez,Miguel"/>
    <s v="Madrid Molina,Ramon"/>
    <n v="0"/>
    <n v="0"/>
    <n v="0"/>
    <n v="0"/>
    <n v="0.6"/>
    <e v="#N/A"/>
    <e v="#N/A"/>
  </r>
  <r>
    <x v="71"/>
    <x v="10"/>
    <s v="Admin/HR/IT"/>
    <s v="AMCARE NonOcc In"/>
    <s v="AMZN"/>
    <n v="112980844"/>
    <s v="Padilla,Samantha"/>
    <s v="Robledo Ugarte,Alejandro"/>
    <n v="0"/>
    <n v="0"/>
    <n v="0"/>
    <n v="0"/>
    <n v="0.08"/>
    <s v="DA-X0700"/>
    <s v="samajpad"/>
  </r>
  <r>
    <x v="71"/>
    <x v="10"/>
    <s v="Admin/HR/IT"/>
    <s v="AMCARE NonOcc In"/>
    <s v="AMZN"/>
    <n v="112981013"/>
    <s v="Lopez Neri,Norma"/>
    <s v="Robledo Ugarte,Alejandro"/>
    <n v="0"/>
    <n v="0"/>
    <n v="0"/>
    <n v="0"/>
    <n v="0.53"/>
    <s v="DA-X0700"/>
    <s v="normaelo"/>
  </r>
  <r>
    <x v="71"/>
    <x v="10"/>
    <s v="Admin/HR/IT"/>
    <s v="AMCARE NonOcc In"/>
    <s v="TEMP"/>
    <n v="200615883"/>
    <s v="Ibarra Amaro,Adriana"/>
    <s v="Madrid Molina,Ramon"/>
    <n v="0"/>
    <n v="0"/>
    <n v="0"/>
    <n v="0"/>
    <n v="1.47"/>
    <e v="#N/A"/>
    <e v="#N/A"/>
  </r>
  <r>
    <x v="71"/>
    <x v="10"/>
    <s v="Admin/HR/IT"/>
    <s v="AMCARE NonOcc In"/>
    <s v="TEMP"/>
    <n v="200620341"/>
    <s v="Camacho Ramirez,Carlos"/>
    <s v="Gomez Aguado,Jorge"/>
    <n v="0"/>
    <n v="0"/>
    <n v="0"/>
    <n v="0"/>
    <n v="0.09"/>
    <e v="#N/A"/>
    <e v="#N/A"/>
  </r>
  <r>
    <x v="71"/>
    <x v="10"/>
    <s v="Admin/HR/IT"/>
    <s v="AMCARE NonOcc In"/>
    <s v="TEMP"/>
    <n v="201160146"/>
    <s v="Avila,priscila"/>
    <s v="Morales Beristain,Sugeyt"/>
    <n v="0"/>
    <n v="0"/>
    <n v="0"/>
    <n v="0"/>
    <n v="0.59"/>
    <e v="#N/A"/>
    <e v="#N/A"/>
  </r>
  <r>
    <x v="71"/>
    <x v="10"/>
    <s v="Admin/HR/IT"/>
    <s v="AMCARE NonOcc In"/>
    <s v="TEMP"/>
    <n v="201167363"/>
    <s v="Santos,AdriÃ¡n"/>
    <s v="Morales Beristain,Sugeyt"/>
    <n v="0"/>
    <n v="0"/>
    <n v="0"/>
    <n v="0"/>
    <n v="0.23"/>
    <e v="#N/A"/>
    <e v="#N/A"/>
  </r>
  <r>
    <x v="72"/>
    <x v="10"/>
    <s v="Admin/HR/IT"/>
    <s v="AMCARE NonOcc In"/>
    <s v="AMZN"/>
    <n v="112912014"/>
    <s v="Ramos,Sofia"/>
    <s v="Garcia Espejel,Brenda Victoria"/>
    <n v="0"/>
    <n v="0"/>
    <n v="0"/>
    <n v="0"/>
    <n v="0.25"/>
    <s v="DA-X0700"/>
    <s v="ravsofia"/>
  </r>
  <r>
    <x v="72"/>
    <x v="10"/>
    <s v="Admin/HR/IT"/>
    <s v="AMCARE NonOcc In"/>
    <s v="AMZN"/>
    <n v="112912163"/>
    <s v="Murillo,Alejandro"/>
    <s v="Piedra,Valentina"/>
    <n v="0"/>
    <n v="0"/>
    <n v="0"/>
    <n v="0"/>
    <n v="1.21"/>
    <e v="#N/A"/>
    <e v="#N/A"/>
  </r>
  <r>
    <x v="72"/>
    <x v="10"/>
    <s v="Admin/HR/IT"/>
    <s v="AMCARE NonOcc In"/>
    <s v="AMZN"/>
    <n v="112912459"/>
    <s v="Maldonado Hernandez,Miguel"/>
    <s v="Madrid Molina,Ramon"/>
    <n v="0"/>
    <n v="0"/>
    <n v="0"/>
    <n v="0"/>
    <n v="0.59"/>
    <e v="#N/A"/>
    <e v="#N/A"/>
  </r>
  <r>
    <x v="72"/>
    <x v="10"/>
    <s v="Admin/HR/IT"/>
    <s v="AMCARE NonOcc In"/>
    <s v="AMZN"/>
    <n v="112912983"/>
    <s v="RodrÃ­guez,RocÃ­o"/>
    <s v="Camarena,Grecia"/>
    <n v="0"/>
    <n v="0"/>
    <n v="0"/>
    <n v="0"/>
    <n v="0.18"/>
    <s v="NF-X1900"/>
    <s v="wrocirod"/>
  </r>
  <r>
    <x v="72"/>
    <x v="10"/>
    <s v="Admin/HR/IT"/>
    <s v="AMCARE NonOcc In"/>
    <s v="AMZN"/>
    <n v="112972609"/>
    <s v="Lopez  Lares,Christian"/>
    <s v="Camarena,Grecia"/>
    <n v="0"/>
    <n v="0"/>
    <n v="0"/>
    <n v="0"/>
    <n v="0.23"/>
    <e v="#N/A"/>
    <e v="#N/A"/>
  </r>
  <r>
    <x v="72"/>
    <x v="10"/>
    <s v="Admin/HR/IT"/>
    <s v="AMCARE NonOcc In"/>
    <s v="AMZN"/>
    <n v="112981013"/>
    <s v="Lopez Neri,Norma"/>
    <s v="Robledo Ugarte,Alejandro"/>
    <n v="0"/>
    <n v="0"/>
    <n v="0"/>
    <n v="0"/>
    <n v="17"/>
    <s v="DA-X0700"/>
    <s v="normaelo"/>
  </r>
  <r>
    <x v="72"/>
    <x v="10"/>
    <s v="Admin/HR/IT"/>
    <s v="AMCARE NonOcc In"/>
    <s v="AMZN"/>
    <n v="112984442"/>
    <s v="Garcia,Mauricio Antonio De la lama"/>
    <s v="Gomez,Abinadab"/>
    <n v="0"/>
    <n v="0"/>
    <n v="0"/>
    <n v="0"/>
    <n v="0.34"/>
    <e v="#N/A"/>
    <e v="#N/A"/>
  </r>
  <r>
    <x v="72"/>
    <x v="10"/>
    <s v="Admin/HR/IT"/>
    <s v="AMCARE NonOcc In"/>
    <s v="AMZN"/>
    <n v="113014081"/>
    <s v="Frausto,Genesis"/>
    <s v="Piedra,Valentina"/>
    <n v="0"/>
    <n v="0"/>
    <n v="0"/>
    <n v="0"/>
    <n v="0.24"/>
    <e v="#N/A"/>
    <s v="fraugene"/>
  </r>
  <r>
    <x v="72"/>
    <x v="10"/>
    <s v="Admin/HR/IT"/>
    <s v="AMCARE NonOcc In"/>
    <s v="AMZN"/>
    <n v="113014113"/>
    <s v="Sanchez Villegas,Benjamin"/>
    <s v="Corona Arriaga,Fernando"/>
    <n v="0"/>
    <n v="0"/>
    <n v="0"/>
    <n v="0"/>
    <n v="0.85"/>
    <e v="#N/A"/>
    <e v="#N/A"/>
  </r>
  <r>
    <x v="72"/>
    <x v="10"/>
    <s v="Admin/HR/IT"/>
    <s v="AMCARE NonOcc In"/>
    <s v="AMZN"/>
    <n v="113103540"/>
    <s v="Delgado,David"/>
    <s v="Piedra,Valentina"/>
    <n v="0"/>
    <n v="0"/>
    <n v="0"/>
    <n v="0"/>
    <n v="1.99"/>
    <e v="#N/A"/>
    <s v="delgadax"/>
  </r>
  <r>
    <x v="72"/>
    <x v="10"/>
    <s v="Admin/HR/IT"/>
    <s v="AMCARE NonOcc In"/>
    <s v="AMZN"/>
    <n v="200404250"/>
    <s v="Hurtado,Caty"/>
    <s v="Piedra,Valentina"/>
    <n v="0"/>
    <n v="0"/>
    <n v="0"/>
    <n v="0"/>
    <n v="0.5"/>
    <e v="#N/A"/>
    <s v="xcathurt"/>
  </r>
  <r>
    <x v="72"/>
    <x v="10"/>
    <s v="Admin/HR/IT"/>
    <s v="AMCARE NonOcc In"/>
    <s v="TEMP"/>
    <n v="200553205"/>
    <s v="Cabrera,Nancy"/>
    <s v="Piedra,Valentina"/>
    <n v="0"/>
    <n v="0"/>
    <n v="0"/>
    <n v="0"/>
    <n v="0.12"/>
    <e v="#N/A"/>
    <e v="#N/A"/>
  </r>
  <r>
    <x v="72"/>
    <x v="10"/>
    <s v="Admin/HR/IT"/>
    <s v="AMCARE NonOcc In"/>
    <s v="TEMP"/>
    <n v="200570729"/>
    <s v="Rodriguez,Carolina"/>
    <s v="Gomez Aguado,Jorge"/>
    <n v="0"/>
    <n v="0"/>
    <n v="0"/>
    <n v="0"/>
    <n v="0.2"/>
    <e v="#N/A"/>
    <s v="srodcaro"/>
  </r>
  <r>
    <x v="73"/>
    <x v="10"/>
    <s v="Admin/HR/IT"/>
    <s v="AMCARE NonOcc In"/>
    <s v="AMZN"/>
    <n v="112920679"/>
    <s v="Vazquez,Israel"/>
    <s v="Munoz,Jonan"/>
    <n v="0"/>
    <n v="0"/>
    <n v="0"/>
    <n v="0"/>
    <n v="1.54"/>
    <e v="#N/A"/>
    <e v="#N/A"/>
  </r>
  <r>
    <x v="73"/>
    <x v="10"/>
    <s v="Admin/HR/IT"/>
    <s v="AMCARE NonOcc In"/>
    <s v="AMZN"/>
    <n v="112976013"/>
    <s v="Garcia,Roberto"/>
    <s v="Munoz,Jonan"/>
    <n v="0"/>
    <n v="0"/>
    <n v="0"/>
    <n v="0"/>
    <n v="0.14000000000000001"/>
    <e v="#N/A"/>
    <e v="#N/A"/>
  </r>
  <r>
    <x v="73"/>
    <x v="10"/>
    <s v="Admin/HR/IT"/>
    <s v="AMCARE NonOcc In"/>
    <s v="AMZN"/>
    <n v="112981013"/>
    <s v="Lopez Neri,Norma"/>
    <s v="Robledo Ugarte,Alejandro"/>
    <n v="0"/>
    <n v="0"/>
    <n v="0"/>
    <n v="0"/>
    <n v="7.26"/>
    <s v="DA-X0700"/>
    <s v="normaelo"/>
  </r>
  <r>
    <x v="73"/>
    <x v="10"/>
    <s v="Admin/HR/IT"/>
    <s v="AMCARE NonOcc In"/>
    <s v="AMZN"/>
    <n v="112981204"/>
    <s v="Martinez  Trueba,Angel"/>
    <s v="Corona Arriaga,Fernando"/>
    <n v="0"/>
    <n v="0"/>
    <n v="0"/>
    <n v="0"/>
    <n v="0.28999999999999998"/>
    <e v="#N/A"/>
    <e v="#N/A"/>
  </r>
  <r>
    <x v="73"/>
    <x v="10"/>
    <s v="Admin/HR/IT"/>
    <s v="AMCARE NonOcc In"/>
    <s v="AMZN"/>
    <n v="113014011"/>
    <s v="Robledo Barrientos,Logan"/>
    <s v="Hernandez,Nataly"/>
    <n v="0"/>
    <n v="0"/>
    <n v="0"/>
    <n v="0"/>
    <n v="0.09"/>
    <e v="#N/A"/>
    <e v="#N/A"/>
  </r>
  <r>
    <x v="73"/>
    <x v="10"/>
    <s v="Admin/HR/IT"/>
    <s v="AMCARE NonOcc In"/>
    <s v="AMZN"/>
    <n v="113014081"/>
    <s v="Frausto,Genesis"/>
    <s v="Piedra,Valentina"/>
    <n v="0"/>
    <n v="0"/>
    <n v="0"/>
    <n v="0"/>
    <n v="0.62"/>
    <e v="#N/A"/>
    <s v="fraugene"/>
  </r>
  <r>
    <x v="73"/>
    <x v="10"/>
    <s v="Admin/HR/IT"/>
    <s v="AMCARE NonOcc In"/>
    <s v="AMZN"/>
    <n v="113014094"/>
    <s v="Mercado,Erika"/>
    <s v="Corona Arriaga,Fernando"/>
    <n v="0"/>
    <n v="0"/>
    <n v="0"/>
    <n v="0"/>
    <n v="0.55000000000000004"/>
    <e v="#N/A"/>
    <s v="erikaadm"/>
  </r>
  <r>
    <x v="73"/>
    <x v="10"/>
    <s v="Admin/HR/IT"/>
    <s v="AMCARE NonOcc In"/>
    <s v="AMZN"/>
    <n v="113019042"/>
    <s v="Gallegos Godinez,Eloy"/>
    <s v="Hernandez,Nataly"/>
    <n v="0"/>
    <n v="0"/>
    <n v="0"/>
    <n v="0"/>
    <n v="0.91"/>
    <e v="#N/A"/>
    <e v="#N/A"/>
  </r>
  <r>
    <x v="73"/>
    <x v="10"/>
    <s v="Admin/HR/IT"/>
    <s v="AMCARE NonOcc In"/>
    <s v="AMZN"/>
    <n v="113020463"/>
    <s v="Valtierra,Alejandra"/>
    <s v="Hernandez,Nataly"/>
    <n v="0"/>
    <n v="0"/>
    <n v="0"/>
    <n v="0"/>
    <n v="0.8"/>
    <e v="#N/A"/>
    <s v="myriamav"/>
  </r>
  <r>
    <x v="73"/>
    <x v="10"/>
    <s v="Admin/HR/IT"/>
    <s v="AMCARE NonOcc In"/>
    <s v="AMZN"/>
    <n v="200404250"/>
    <s v="Hurtado,Caty"/>
    <s v="Piedra,Valentina"/>
    <n v="0"/>
    <n v="0"/>
    <n v="0"/>
    <n v="0"/>
    <n v="0.43"/>
    <e v="#N/A"/>
    <s v="xcathurt"/>
  </r>
  <r>
    <x v="73"/>
    <x v="10"/>
    <s v="Admin/HR/IT"/>
    <s v="AMCARE NonOcc In"/>
    <s v="TEMP"/>
    <n v="200589316"/>
    <s v="Torres Zuniga,Daniel"/>
    <s v="Madrid Molina,Ramon"/>
    <n v="0"/>
    <n v="0"/>
    <n v="0"/>
    <n v="0"/>
    <n v="1.01"/>
    <e v="#N/A"/>
    <e v="#N/A"/>
  </r>
  <r>
    <x v="74"/>
    <x v="10"/>
    <s v="Admin/HR/IT"/>
    <s v="AMCARE NonOcc In"/>
    <s v="AMZN"/>
    <n v="111261444"/>
    <s v="NÃºÃ±ez,Fernando"/>
    <s v="Madrid Molina,Ramon"/>
    <n v="0"/>
    <n v="0"/>
    <n v="0"/>
    <n v="0"/>
    <n v="0.38"/>
    <s v="DB-X0700"/>
    <s v="luisfegu"/>
  </r>
  <r>
    <x v="74"/>
    <x v="10"/>
    <s v="Admin/HR/IT"/>
    <s v="AMCARE NonOcc In"/>
    <s v="AMZN"/>
    <n v="111434478"/>
    <s v="Gutierrez,Pame"/>
    <s v="Garcia Espejel,Brenda Victoria"/>
    <n v="0"/>
    <n v="0"/>
    <n v="0"/>
    <n v="0"/>
    <n v="0.65"/>
    <s v="DA-X0700"/>
    <s v="juanapam"/>
  </r>
  <r>
    <x v="74"/>
    <x v="10"/>
    <s v="Admin/HR/IT"/>
    <s v="AMCARE NonOcc In"/>
    <s v="AMZN"/>
    <n v="112912163"/>
    <s v="Murillo,Alejandro"/>
    <s v="Piedra,Valentina"/>
    <n v="0"/>
    <n v="0"/>
    <n v="0"/>
    <n v="0"/>
    <n v="0.4"/>
    <e v="#N/A"/>
    <e v="#N/A"/>
  </r>
  <r>
    <x v="74"/>
    <x v="10"/>
    <s v="Admin/HR/IT"/>
    <s v="AMCARE NonOcc In"/>
    <s v="AMZN"/>
    <n v="112912459"/>
    <s v="Maldonado Hernandez,Miguel"/>
    <s v="Madrid Molina,Ramon"/>
    <n v="0"/>
    <n v="0"/>
    <n v="0"/>
    <n v="0"/>
    <n v="0.4"/>
    <e v="#N/A"/>
    <e v="#N/A"/>
  </r>
  <r>
    <x v="74"/>
    <x v="10"/>
    <s v="Admin/HR/IT"/>
    <s v="AMCARE NonOcc In"/>
    <s v="AMZN"/>
    <n v="112912663"/>
    <s v="Segura,Lucero"/>
    <s v="Munoz,Jonan"/>
    <n v="0"/>
    <n v="0"/>
    <n v="0"/>
    <n v="0"/>
    <n v="0.09"/>
    <e v="#N/A"/>
    <e v="#N/A"/>
  </r>
  <r>
    <x v="74"/>
    <x v="10"/>
    <s v="Admin/HR/IT"/>
    <s v="AMCARE NonOcc In"/>
    <s v="AMZN"/>
    <n v="112912752"/>
    <s v="Valderrama Gomez,Leslie"/>
    <s v="Robledo Ugarte,Alejandro"/>
    <n v="0"/>
    <n v="0"/>
    <n v="0"/>
    <n v="0"/>
    <n v="0.65"/>
    <s v="NF-X1900"/>
    <s v="valderle"/>
  </r>
  <r>
    <x v="74"/>
    <x v="10"/>
    <s v="Admin/HR/IT"/>
    <s v="AMCARE NonOcc In"/>
    <s v="AMZN"/>
    <n v="112920654"/>
    <s v="Horta,Julieta"/>
    <s v="Lopez,Alexa"/>
    <n v="0"/>
    <n v="0"/>
    <n v="0"/>
    <n v="0"/>
    <n v="0.21"/>
    <s v="DB-X0700"/>
    <s v="qhojulie"/>
  </r>
  <r>
    <x v="74"/>
    <x v="10"/>
    <s v="Admin/HR/IT"/>
    <s v="AMCARE NonOcc In"/>
    <s v="AMZN"/>
    <n v="112950800"/>
    <s v="Muniz,Viri"/>
    <s v="Munoz,Jonan"/>
    <n v="0"/>
    <n v="0"/>
    <n v="0"/>
    <n v="0"/>
    <n v="0.44"/>
    <s v="NF-X1900"/>
    <s v="virimuni"/>
  </r>
  <r>
    <x v="74"/>
    <x v="10"/>
    <s v="Admin/HR/IT"/>
    <s v="AMCARE NonOcc In"/>
    <s v="AMZN"/>
    <n v="112980842"/>
    <s v="Ornelas,Karla"/>
    <s v="Piedra,Valentina"/>
    <n v="0"/>
    <n v="0"/>
    <n v="0"/>
    <n v="0"/>
    <n v="0.48"/>
    <e v="#N/A"/>
    <e v="#N/A"/>
  </r>
  <r>
    <x v="74"/>
    <x v="10"/>
    <s v="Admin/HR/IT"/>
    <s v="AMCARE NonOcc In"/>
    <s v="AMZN"/>
    <n v="112980899"/>
    <s v="Avila Cabrera,Ari"/>
    <s v="Robledo Ugarte,Alejandro"/>
    <n v="0"/>
    <n v="0"/>
    <n v="0"/>
    <n v="0"/>
    <n v="1.44"/>
    <s v="NF-X1900"/>
    <s v="aravilac"/>
  </r>
  <r>
    <x v="74"/>
    <x v="10"/>
    <s v="Admin/HR/IT"/>
    <s v="AMCARE NonOcc In"/>
    <s v="AMZN"/>
    <n v="112981061"/>
    <s v="Olguin,Claudia"/>
    <s v="Corona Arriaga,Fernando"/>
    <n v="0"/>
    <n v="0"/>
    <n v="0"/>
    <n v="0"/>
    <n v="0.59"/>
    <s v="DA-X0700"/>
    <s v="mclaudol"/>
  </r>
  <r>
    <x v="74"/>
    <x v="10"/>
    <s v="Admin/HR/IT"/>
    <s v="AMCARE NonOcc In"/>
    <s v="AMZN"/>
    <n v="112981201"/>
    <s v="Ramirez,Andrea"/>
    <s v="Corona Arriaga,Fernando"/>
    <n v="0"/>
    <n v="0"/>
    <n v="0"/>
    <n v="0"/>
    <n v="0.82"/>
    <e v="#N/A"/>
    <e v="#N/A"/>
  </r>
  <r>
    <x v="74"/>
    <x v="10"/>
    <s v="Admin/HR/IT"/>
    <s v="AMCARE NonOcc In"/>
    <s v="AMZN"/>
    <n v="112984097"/>
    <s v="Aguilera,Yaremi"/>
    <s v="Corona Arriaga,Fernando"/>
    <n v="0"/>
    <n v="0"/>
    <n v="0"/>
    <n v="0"/>
    <n v="0.76"/>
    <e v="#N/A"/>
    <e v="#N/A"/>
  </r>
  <r>
    <x v="74"/>
    <x v="10"/>
    <s v="Admin/HR/IT"/>
    <s v="AMCARE NonOcc In"/>
    <s v="AMZN"/>
    <n v="113014006"/>
    <s v="Reyes Andrade,Diego"/>
    <s v="Corona Arriaga,Fernando"/>
    <n v="0"/>
    <n v="0"/>
    <n v="0"/>
    <n v="0"/>
    <n v="0.25"/>
    <e v="#N/A"/>
    <e v="#N/A"/>
  </r>
  <r>
    <x v="74"/>
    <x v="10"/>
    <s v="Admin/HR/IT"/>
    <s v="AMCARE NonOcc In"/>
    <s v="AMZN"/>
    <n v="113014081"/>
    <s v="Frausto,Genesis"/>
    <s v="Piedra,Valentina"/>
    <n v="0"/>
    <n v="0"/>
    <n v="0"/>
    <n v="0"/>
    <n v="0.66"/>
    <e v="#N/A"/>
    <s v="fraugene"/>
  </r>
  <r>
    <x v="74"/>
    <x v="10"/>
    <s v="Admin/HR/IT"/>
    <s v="AMCARE NonOcc In"/>
    <s v="AMZN"/>
    <n v="113044620"/>
    <s v="Jasso Miranda,Aldo"/>
    <s v="Corona Arriaga,Fernando"/>
    <n v="0"/>
    <n v="0"/>
    <n v="0"/>
    <n v="0"/>
    <n v="0.12"/>
    <e v="#N/A"/>
    <s v="aldojasw"/>
  </r>
  <r>
    <x v="74"/>
    <x v="10"/>
    <s v="Admin/HR/IT"/>
    <s v="AMCARE NonOcc In"/>
    <s v="AMZN"/>
    <n v="200404250"/>
    <s v="Hurtado,Caty"/>
    <s v="Piedra,Valentina"/>
    <n v="0"/>
    <n v="0"/>
    <n v="0"/>
    <n v="0"/>
    <n v="0.47"/>
    <e v="#N/A"/>
    <s v="xcathurt"/>
  </r>
  <r>
    <x v="74"/>
    <x v="10"/>
    <s v="Admin/HR/IT"/>
    <s v="AMCARE NonOcc In"/>
    <s v="TEMP"/>
    <n v="200508371"/>
    <s v="Perez,Georgina"/>
    <s v="Romero Sanchez,Gustavo Gabriel"/>
    <n v="0"/>
    <n v="0"/>
    <n v="0"/>
    <n v="0"/>
    <n v="0.64"/>
    <e v="#N/A"/>
    <e v="#N/A"/>
  </r>
  <r>
    <x v="74"/>
    <x v="10"/>
    <s v="Admin/HR/IT"/>
    <s v="AMCARE NonOcc In"/>
    <s v="TEMP"/>
    <n v="200552734"/>
    <s v="Santiago Ramirez,Six"/>
    <s v="Romero Sanchez,Gustavo Gabriel"/>
    <n v="0"/>
    <n v="0"/>
    <n v="0"/>
    <n v="0"/>
    <n v="1.4"/>
    <e v="#N/A"/>
    <e v="#N/A"/>
  </r>
  <r>
    <x v="74"/>
    <x v="10"/>
    <s v="Admin/HR/IT"/>
    <s v="AMCARE NonOcc In"/>
    <s v="TEMP"/>
    <n v="200625528"/>
    <s v="Oliva,Lizbeth"/>
    <s v="Gomez Aguado,Jorge"/>
    <n v="0"/>
    <n v="0"/>
    <n v="0"/>
    <n v="0"/>
    <n v="0.16"/>
    <e v="#N/A"/>
    <s v="olivlizb"/>
  </r>
  <r>
    <x v="74"/>
    <x v="10"/>
    <s v="Admin/HR/IT"/>
    <s v="AMCARE NonOcc In"/>
    <s v="TEMP"/>
    <n v="201159079"/>
    <s v="Oliva,Nancy"/>
    <s v="Morales Beristain,Sugeyt"/>
    <n v="0"/>
    <n v="0"/>
    <n v="0"/>
    <n v="0"/>
    <n v="1.84"/>
    <e v="#N/A"/>
    <e v="#N/A"/>
  </r>
  <r>
    <x v="74"/>
    <x v="10"/>
    <s v="Admin/HR/IT"/>
    <s v="AMCARE NonOcc In"/>
    <s v="TEMP"/>
    <n v="201160146"/>
    <s v="Avila,priscila"/>
    <s v="Morales Beristain,Sugeyt"/>
    <n v="0"/>
    <n v="0"/>
    <n v="0"/>
    <n v="0"/>
    <n v="0.11"/>
    <e v="#N/A"/>
    <e v="#N/A"/>
  </r>
  <r>
    <x v="74"/>
    <x v="10"/>
    <s v="Admin/HR/IT"/>
    <s v="AMCARE NonOcc In"/>
    <s v="TEMP"/>
    <n v="201167517"/>
    <s v="Espinoza Lopez,Magdal"/>
    <s v="Ledezma,Fer"/>
    <n v="0"/>
    <n v="0"/>
    <n v="0"/>
    <n v="0"/>
    <n v="0.4"/>
    <e v="#N/A"/>
    <e v="#N/A"/>
  </r>
  <r>
    <x v="75"/>
    <x v="10"/>
    <s v="Admin/HR/IT"/>
    <s v="AMCARE NonOcc In"/>
    <s v="AMZN"/>
    <n v="112912163"/>
    <s v="Murillo,Alejandro"/>
    <s v="Piedra,Valentina"/>
    <n v="0"/>
    <n v="0"/>
    <n v="0"/>
    <n v="0"/>
    <n v="0.4"/>
    <e v="#N/A"/>
    <e v="#N/A"/>
  </r>
  <r>
    <x v="75"/>
    <x v="10"/>
    <s v="Admin/HR/IT"/>
    <s v="AMCARE NonOcc In"/>
    <s v="AMZN"/>
    <n v="112912459"/>
    <s v="Maldonado Hernandez,Miguel"/>
    <s v="Madrid Molina,Ramon"/>
    <n v="0"/>
    <n v="0"/>
    <n v="0"/>
    <n v="0"/>
    <n v="1.26"/>
    <e v="#N/A"/>
    <e v="#N/A"/>
  </r>
  <r>
    <x v="75"/>
    <x v="10"/>
    <s v="Admin/HR/IT"/>
    <s v="AMCARE NonOcc In"/>
    <s v="AMZN"/>
    <n v="112916497"/>
    <s v="Ascencio Mendez,Israel Isaias"/>
    <s v="Lopez,Alexa"/>
    <n v="0"/>
    <n v="0"/>
    <n v="0"/>
    <n v="0"/>
    <n v="0.72"/>
    <e v="#N/A"/>
    <e v="#N/A"/>
  </r>
  <r>
    <x v="75"/>
    <x v="10"/>
    <s v="Admin/HR/IT"/>
    <s v="AMCARE NonOcc In"/>
    <s v="AMZN"/>
    <n v="112971965"/>
    <s v="Hernandez,Andrea"/>
    <s v="Romero Sanchez,Gustavo Gabriel"/>
    <n v="0"/>
    <n v="0"/>
    <n v="0"/>
    <n v="0"/>
    <n v="0.36"/>
    <e v="#N/A"/>
    <e v="#N/A"/>
  </r>
  <r>
    <x v="75"/>
    <x v="10"/>
    <s v="Admin/HR/IT"/>
    <s v="AMCARE NonOcc In"/>
    <s v="AMZN"/>
    <n v="112981201"/>
    <s v="Ramirez,Andrea"/>
    <s v="Corona Arriaga,Fernando"/>
    <n v="0"/>
    <n v="0"/>
    <n v="0"/>
    <n v="0"/>
    <n v="0.48"/>
    <e v="#N/A"/>
    <e v="#N/A"/>
  </r>
  <r>
    <x v="75"/>
    <x v="10"/>
    <s v="Admin/HR/IT"/>
    <s v="AMCARE NonOcc In"/>
    <s v="AMZN"/>
    <n v="112984097"/>
    <s v="Aguilera,Yaremi"/>
    <s v="Corona Arriaga,Fernando"/>
    <n v="0"/>
    <n v="0"/>
    <n v="0"/>
    <n v="0"/>
    <n v="0.55000000000000004"/>
    <e v="#N/A"/>
    <e v="#N/A"/>
  </r>
  <r>
    <x v="75"/>
    <x v="10"/>
    <s v="Admin/HR/IT"/>
    <s v="AMCARE NonOcc In"/>
    <s v="AMZN"/>
    <n v="112984442"/>
    <s v="Garcia,Mauricio Antonio De la lama"/>
    <s v="Gomez,Abinadab"/>
    <n v="0"/>
    <n v="0"/>
    <n v="0"/>
    <n v="0"/>
    <n v="0.24"/>
    <e v="#N/A"/>
    <e v="#N/A"/>
  </r>
  <r>
    <x v="75"/>
    <x v="10"/>
    <s v="Admin/HR/IT"/>
    <s v="AMCARE NonOcc In"/>
    <s v="AMZN"/>
    <n v="113014007"/>
    <s v="Negrete Gallardo,Tony"/>
    <s v="Madrid Molina,Ramon"/>
    <n v="0"/>
    <n v="0"/>
    <n v="0"/>
    <n v="0"/>
    <n v="0.52"/>
    <e v="#N/A"/>
    <e v="#N/A"/>
  </r>
  <r>
    <x v="75"/>
    <x v="10"/>
    <s v="Admin/HR/IT"/>
    <s v="AMCARE NonOcc In"/>
    <s v="AMZN"/>
    <n v="113014081"/>
    <s v="Frausto,Genesis"/>
    <s v="Piedra,Valentina"/>
    <n v="0"/>
    <n v="0"/>
    <n v="0"/>
    <n v="0"/>
    <n v="0.5"/>
    <e v="#N/A"/>
    <s v="fraugene"/>
  </r>
  <r>
    <x v="75"/>
    <x v="10"/>
    <s v="Admin/HR/IT"/>
    <s v="AMCARE NonOcc In"/>
    <s v="AMZN"/>
    <n v="113014092"/>
    <s v="Sanchez,Cristina"/>
    <s v="Romero Sanchez,Gustavo Gabriel"/>
    <n v="0"/>
    <n v="0"/>
    <n v="0"/>
    <n v="0"/>
    <n v="0.73"/>
    <e v="#N/A"/>
    <s v="rsanccri"/>
  </r>
  <r>
    <x v="75"/>
    <x v="10"/>
    <s v="Admin/HR/IT"/>
    <s v="AMCARE NonOcc In"/>
    <s v="AMZN"/>
    <n v="113014113"/>
    <s v="Sanchez Villegas,Benjamin"/>
    <s v="Corona Arriaga,Fernando"/>
    <n v="0"/>
    <n v="0"/>
    <n v="0"/>
    <n v="0"/>
    <n v="0.37"/>
    <e v="#N/A"/>
    <e v="#N/A"/>
  </r>
  <r>
    <x v="75"/>
    <x v="10"/>
    <s v="Admin/HR/IT"/>
    <s v="AMCARE NonOcc In"/>
    <s v="AMZN"/>
    <n v="113019042"/>
    <s v="Gallegos Godinez,Eloy"/>
    <s v="Hernandez,Nataly"/>
    <n v="0"/>
    <n v="0"/>
    <n v="0"/>
    <n v="0"/>
    <n v="0.28999999999999998"/>
    <e v="#N/A"/>
    <e v="#N/A"/>
  </r>
  <r>
    <x v="75"/>
    <x v="10"/>
    <s v="Admin/HR/IT"/>
    <s v="AMCARE NonOcc In"/>
    <s v="AMZN"/>
    <n v="113052151"/>
    <s v="Nieves Mendez,Laura"/>
    <s v="Ledezma,Fer"/>
    <n v="0"/>
    <n v="0"/>
    <n v="0"/>
    <n v="0"/>
    <n v="0.18"/>
    <e v="#N/A"/>
    <s v="nilaurab"/>
  </r>
  <r>
    <x v="75"/>
    <x v="10"/>
    <s v="Admin/HR/IT"/>
    <s v="AMCARE NonOcc In"/>
    <s v="AMZN"/>
    <n v="200404250"/>
    <s v="Hurtado,Caty"/>
    <s v="Piedra,Valentina"/>
    <n v="0"/>
    <n v="0"/>
    <n v="0"/>
    <n v="0"/>
    <n v="0.46"/>
    <e v="#N/A"/>
    <s v="xcathurt"/>
  </r>
  <r>
    <x v="75"/>
    <x v="10"/>
    <s v="Admin/HR/IT"/>
    <s v="AMCARE NonOcc In"/>
    <s v="AMZN"/>
    <n v="200407907"/>
    <s v="BaÃ±os Lopez,Mario"/>
    <s v="Piedra,Valentina"/>
    <n v="0"/>
    <n v="0"/>
    <n v="0"/>
    <n v="0"/>
    <n v="0.24"/>
    <e v="#N/A"/>
    <e v="#N/A"/>
  </r>
  <r>
    <x v="75"/>
    <x v="10"/>
    <s v="Admin/HR/IT"/>
    <s v="AMCARE NonOcc In"/>
    <s v="TEMP"/>
    <n v="200564845"/>
    <s v="Barron,Abraham"/>
    <s v="Madrid Molina,Ramon"/>
    <n v="0"/>
    <n v="0"/>
    <n v="0"/>
    <n v="0"/>
    <n v="0.15"/>
    <e v="#N/A"/>
    <e v="#N/A"/>
  </r>
  <r>
    <x v="75"/>
    <x v="10"/>
    <s v="Admin/HR/IT"/>
    <s v="AMCARE NonOcc In"/>
    <s v="TEMP"/>
    <n v="200589316"/>
    <s v="Torres Zuniga,Daniel"/>
    <s v="Madrid Molina,Ramon"/>
    <n v="0"/>
    <n v="0"/>
    <n v="0"/>
    <n v="0"/>
    <n v="0.17"/>
    <e v="#N/A"/>
    <e v="#N/A"/>
  </r>
  <r>
    <x v="76"/>
    <x v="10"/>
    <s v="Admin/HR/IT"/>
    <s v="AMCARE NonOcc In"/>
    <s v="AMZN"/>
    <n v="112912464"/>
    <s v="Garcia Nicasio,Luis"/>
    <s v="Cortes,Alejandra"/>
    <n v="0"/>
    <n v="0"/>
    <n v="0"/>
    <n v="0"/>
    <n v="1.82"/>
    <e v="#N/A"/>
    <e v="#N/A"/>
  </r>
  <r>
    <x v="76"/>
    <x v="10"/>
    <s v="Admin/HR/IT"/>
    <s v="AMCARE NonOcc In"/>
    <s v="AMZN"/>
    <n v="112971980"/>
    <s v="Romero,Daniel"/>
    <s v="Pizana,Diego"/>
    <n v="0"/>
    <n v="0"/>
    <n v="0"/>
    <n v="0"/>
    <n v="0.28999999999999998"/>
    <s v="DC-X0700"/>
    <s v="cdanirom"/>
  </r>
  <r>
    <x v="76"/>
    <x v="10"/>
    <s v="Admin/HR/IT"/>
    <s v="AMCARE NonOcc In"/>
    <s v="AMZN"/>
    <n v="112984442"/>
    <s v="Garcia,Mauricio Antonio De la lama"/>
    <s v="Gomez,Abinadab"/>
    <n v="0"/>
    <n v="0"/>
    <n v="0"/>
    <n v="0"/>
    <n v="0.82"/>
    <e v="#N/A"/>
    <e v="#N/A"/>
  </r>
  <r>
    <x v="76"/>
    <x v="10"/>
    <s v="Admin/HR/IT"/>
    <s v="AMCARE NonOcc In"/>
    <s v="AMZN"/>
    <n v="113003674"/>
    <s v="Gasca Vazquez,Carlos"/>
    <s v="Gomez,Abinadab"/>
    <n v="0"/>
    <n v="0"/>
    <n v="0"/>
    <n v="0"/>
    <n v="0.78"/>
    <e v="#N/A"/>
    <s v="jcarlgas"/>
  </r>
  <r>
    <x v="76"/>
    <x v="10"/>
    <s v="Admin/HR/IT"/>
    <s v="AMCARE NonOcc In"/>
    <s v="AMZN"/>
    <n v="113014042"/>
    <s v="Cervantes,Rose"/>
    <s v="Romero Sanchez,Gustavo Gabriel"/>
    <n v="0"/>
    <n v="0"/>
    <n v="0"/>
    <n v="0"/>
    <n v="0.44"/>
    <e v="#N/A"/>
    <s v="rfcervan"/>
  </r>
  <r>
    <x v="76"/>
    <x v="10"/>
    <s v="Admin/HR/IT"/>
    <s v="AMCARE NonOcc In"/>
    <s v="AMZN"/>
    <n v="113020667"/>
    <s v="Martinez Becerra,Paulina"/>
    <s v="Madrid Molina,Ramon"/>
    <n v="0"/>
    <n v="0"/>
    <n v="0"/>
    <n v="0"/>
    <n v="0.2"/>
    <e v="#N/A"/>
    <s v="mavpauli"/>
  </r>
  <r>
    <x v="76"/>
    <x v="10"/>
    <s v="Admin/HR/IT"/>
    <s v="AMCARE NonOcc In"/>
    <s v="TEMP"/>
    <n v="200589316"/>
    <s v="Torres Zuniga,Daniel"/>
    <s v="Madrid Molina,Ramon"/>
    <n v="0"/>
    <n v="0"/>
    <n v="0"/>
    <n v="0"/>
    <n v="0.11"/>
    <e v="#N/A"/>
    <e v="#N/A"/>
  </r>
  <r>
    <x v="76"/>
    <x v="10"/>
    <s v="Admin/HR/IT"/>
    <s v="AMCARE NonOcc In"/>
    <s v="TEMP"/>
    <n v="200614224"/>
    <s v="Cruz Hernandez,Cris"/>
    <s v="Ledezma,Fer"/>
    <n v="0"/>
    <n v="0"/>
    <n v="0"/>
    <n v="0"/>
    <n v="0.55000000000000004"/>
    <e v="#N/A"/>
    <e v="#N/A"/>
  </r>
  <r>
    <x v="76"/>
    <x v="10"/>
    <s v="Admin/HR/IT"/>
    <s v="AMCARE NonOcc In"/>
    <s v="TEMP"/>
    <n v="200615883"/>
    <s v="Ibarra Amaro,Adriana"/>
    <s v="Madrid Molina,Ramon"/>
    <n v="0"/>
    <n v="0"/>
    <n v="0"/>
    <n v="0"/>
    <n v="1.36"/>
    <e v="#N/A"/>
    <e v="#N/A"/>
  </r>
  <r>
    <x v="76"/>
    <x v="10"/>
    <s v="Admin/HR/IT"/>
    <s v="AMCARE NonOcc In"/>
    <s v="TEMP"/>
    <n v="201186777"/>
    <s v="Monzon,Berenice"/>
    <s v="Morales Beristain,Sugeyt"/>
    <n v="0"/>
    <n v="0"/>
    <n v="0"/>
    <n v="0"/>
    <n v="0.28999999999999998"/>
    <e v="#N/A"/>
    <s v="bemonzon"/>
  </r>
  <r>
    <x v="76"/>
    <x v="10"/>
    <s v="Admin/HR/IT"/>
    <s v="AMCARE NonOcc In"/>
    <s v="TEMP"/>
    <n v="201191101"/>
    <s v="Mendoza,Yesenia"/>
    <s v="Hernandez Padilla,Daniel"/>
    <n v="0"/>
    <n v="0"/>
    <n v="0"/>
    <n v="0"/>
    <n v="0.23"/>
    <e v="#N/A"/>
    <e v="#N/A"/>
  </r>
  <r>
    <x v="76"/>
    <x v="10"/>
    <s v="Admin/HR/IT"/>
    <s v="AMCARE NonOcc In"/>
    <s v="TEMP"/>
    <n v="201194233"/>
    <s v="Fernanda,Jareli"/>
    <s v="Gomez Aguado,Jorge"/>
    <n v="0"/>
    <n v="0"/>
    <n v="0"/>
    <n v="0"/>
    <n v="0.55000000000000004"/>
    <e v="#N/A"/>
    <e v="#N/A"/>
  </r>
  <r>
    <x v="76"/>
    <x v="10"/>
    <s v="Admin/HR/IT"/>
    <s v="AMCARE NonOcc In"/>
    <s v="TEMP"/>
    <n v="201194285"/>
    <s v="Robledo,Alma"/>
    <s v="Morales Beristain,Sugeyt"/>
    <n v="0"/>
    <n v="0"/>
    <n v="0"/>
    <n v="0"/>
    <n v="0.53"/>
    <e v="#N/A"/>
    <e v="#N/A"/>
  </r>
  <r>
    <x v="77"/>
    <x v="10"/>
    <s v="Admin/HR/IT"/>
    <s v="AMCARE NonOcc In"/>
    <s v="AMZN"/>
    <n v="112981212"/>
    <s v="Zanella Miranda,Alyson"/>
    <s v="Ledezma,Fer"/>
    <n v="0"/>
    <n v="0"/>
    <n v="0"/>
    <n v="0"/>
    <n v="0.22"/>
    <e v="#N/A"/>
    <s v="alysonza"/>
  </r>
  <r>
    <x v="77"/>
    <x v="10"/>
    <s v="Admin/HR/IT"/>
    <s v="AMCARE NonOcc In"/>
    <s v="TEMP"/>
    <n v="200564845"/>
    <s v="Barron,Abraham"/>
    <s v="Madrid Molina,Ramon"/>
    <n v="0"/>
    <n v="0"/>
    <n v="0"/>
    <n v="0"/>
    <n v="0.22"/>
    <e v="#N/A"/>
    <e v="#N/A"/>
  </r>
  <r>
    <x v="77"/>
    <x v="10"/>
    <s v="Admin/HR/IT"/>
    <s v="AMCARE NonOcc In"/>
    <s v="TEMP"/>
    <n v="200589316"/>
    <s v="Torres Zuniga,Daniel"/>
    <s v="Madrid Molina,Ramon"/>
    <n v="0"/>
    <n v="0"/>
    <n v="0"/>
    <n v="0"/>
    <n v="0.12"/>
    <e v="#N/A"/>
    <e v="#N/A"/>
  </r>
  <r>
    <x v="77"/>
    <x v="10"/>
    <s v="Admin/HR/IT"/>
    <s v="AMCARE NonOcc In"/>
    <s v="TEMP"/>
    <n v="200615883"/>
    <s v="Ibarra Amaro,Adriana"/>
    <s v="Madrid Molina,Ramon"/>
    <n v="0"/>
    <n v="0"/>
    <n v="0"/>
    <n v="0"/>
    <n v="1.75"/>
    <e v="#N/A"/>
    <e v="#N/A"/>
  </r>
  <r>
    <x v="77"/>
    <x v="10"/>
    <s v="Admin/HR/IT"/>
    <s v="AMCARE NonOcc In"/>
    <s v="TEMP"/>
    <n v="200625339"/>
    <s v="Alcantar Mendez,Diego"/>
    <s v="Madrid Molina,Ramon"/>
    <n v="0"/>
    <n v="0"/>
    <n v="0"/>
    <n v="0"/>
    <n v="0.03"/>
    <e v="#N/A"/>
    <e v="#N/A"/>
  </r>
  <r>
    <x v="77"/>
    <x v="10"/>
    <s v="Admin/HR/IT"/>
    <s v="AMCARE NonOcc In"/>
    <s v="TEMP"/>
    <n v="201160146"/>
    <s v="Avila,priscila"/>
    <s v="Morales Beristain,Sugeyt"/>
    <n v="0"/>
    <n v="0"/>
    <n v="0"/>
    <n v="0"/>
    <n v="0.47"/>
    <e v="#N/A"/>
    <e v="#N/A"/>
  </r>
  <r>
    <x v="77"/>
    <x v="10"/>
    <s v="Admin/HR/IT"/>
    <s v="AMCARE NonOcc In"/>
    <s v="TEMP"/>
    <n v="201191169"/>
    <s v="Gutierrez,Saulo"/>
    <s v="Hernandez Padilla,Daniel"/>
    <n v="0"/>
    <n v="0"/>
    <n v="0"/>
    <n v="0"/>
    <n v="1.24"/>
    <e v="#N/A"/>
    <e v="#N/A"/>
  </r>
  <r>
    <x v="78"/>
    <x v="11"/>
    <s v="Admin/HR/IT"/>
    <s v="AMCARE NonOcc In"/>
    <s v="AMZN"/>
    <n v="110249579"/>
    <s v="Ruz,Misael"/>
    <s v="Robledo Ugarte,Alejandro"/>
    <n v="0"/>
    <n v="0"/>
    <n v="0"/>
    <n v="0"/>
    <n v="0.28000000000000003"/>
    <s v="DA-X0700"/>
    <s v="ruzcvict"/>
  </r>
  <r>
    <x v="78"/>
    <x v="11"/>
    <s v="Admin/HR/IT"/>
    <s v="AMCARE NonOcc In"/>
    <s v="TEMP"/>
    <n v="112912007"/>
    <s v="Robledo Barrientos,Alondra"/>
    <s v="Robledo Ugarte,Alejandro"/>
    <n v="0"/>
    <n v="0"/>
    <n v="0"/>
    <n v="0"/>
    <n v="0.64"/>
    <e v="#N/A"/>
    <e v="#N/A"/>
  </r>
  <r>
    <x v="78"/>
    <x v="11"/>
    <s v="Admin/HR/IT"/>
    <s v="AMCARE NonOcc In"/>
    <s v="AMZN"/>
    <n v="112912753"/>
    <s v="Padilla Abrego,Selene"/>
    <s v="Piedra,Valentina"/>
    <n v="0"/>
    <n v="0"/>
    <n v="0"/>
    <n v="0"/>
    <n v="0.08"/>
    <e v="#N/A"/>
    <e v="#N/A"/>
  </r>
  <r>
    <x v="78"/>
    <x v="11"/>
    <s v="Admin/HR/IT"/>
    <s v="AMCARE NonOcc In"/>
    <s v="AMZN"/>
    <n v="112980843"/>
    <s v="Santos,Israel"/>
    <s v="Robledo Ugarte,Alejandro"/>
    <n v="0"/>
    <n v="0"/>
    <n v="0"/>
    <n v="0"/>
    <n v="0.09"/>
    <s v="DA-X0700"/>
    <s v="lsisrael"/>
  </r>
  <r>
    <x v="78"/>
    <x v="11"/>
    <s v="Admin/HR/IT"/>
    <s v="AMCARE NonOcc In"/>
    <s v="AMZN"/>
    <n v="112981212"/>
    <s v="Zanella Miranda,Alyson"/>
    <s v="Ledezma,Fer"/>
    <n v="0"/>
    <n v="0"/>
    <n v="0"/>
    <n v="0"/>
    <n v="0.39"/>
    <e v="#N/A"/>
    <s v="alysonza"/>
  </r>
  <r>
    <x v="78"/>
    <x v="11"/>
    <s v="Admin/HR/IT"/>
    <s v="AMCARE NonOcc In"/>
    <s v="AMZN"/>
    <n v="113101453"/>
    <s v="Isaac,Geovanna"/>
    <s v="Corona Arriaga,Fernando"/>
    <n v="0"/>
    <n v="0"/>
    <n v="0"/>
    <n v="0"/>
    <n v="0.16"/>
    <e v="#N/A"/>
    <s v="qisgeova"/>
  </r>
  <r>
    <x v="78"/>
    <x v="11"/>
    <s v="Admin/HR/IT"/>
    <s v="AMCARE NonOcc In"/>
    <s v="TEMP"/>
    <n v="201160146"/>
    <s v="Avila,priscila"/>
    <s v="Ledezma,Fer"/>
    <n v="0"/>
    <n v="0"/>
    <n v="0"/>
    <n v="0"/>
    <n v="0.12"/>
    <e v="#N/A"/>
    <e v="#N/A"/>
  </r>
  <r>
    <x v="78"/>
    <x v="11"/>
    <s v="Admin/HR/IT"/>
    <s v="AMCARE NonOcc In"/>
    <s v="TEMP"/>
    <n v="201167501"/>
    <s v="Rodriguez,Ruben"/>
    <s v="Corona Arriaga,Fernando"/>
    <n v="0"/>
    <n v="0"/>
    <n v="0"/>
    <n v="0"/>
    <n v="0.24"/>
    <e v="#N/A"/>
    <s v="wguanajr"/>
  </r>
  <r>
    <x v="78"/>
    <x v="11"/>
    <s v="Admin/HR/IT"/>
    <s v="AMCARE NonOcc In"/>
    <s v="TEMP"/>
    <n v="201194233"/>
    <s v="Fernanda,Jareli"/>
    <s v="Gomez Aguado,Jorge"/>
    <n v="0"/>
    <n v="0"/>
    <n v="0"/>
    <n v="0"/>
    <n v="0.7"/>
    <e v="#N/A"/>
    <e v="#N/A"/>
  </r>
  <r>
    <x v="79"/>
    <x v="11"/>
    <s v="Admin/HR/IT"/>
    <s v="AMCARE NonOcc In"/>
    <s v="AMZN"/>
    <n v="112932733"/>
    <s v="Quiroga,Silvia"/>
    <s v="Romero Sanchez,Gustavo Gabriel"/>
    <n v="0"/>
    <n v="0"/>
    <n v="0"/>
    <n v="0"/>
    <n v="0.36"/>
    <e v="#N/A"/>
    <e v="#N/A"/>
  </r>
  <r>
    <x v="79"/>
    <x v="11"/>
    <s v="Admin/HR/IT"/>
    <s v="AMCARE NonOcc In"/>
    <s v="AMZN"/>
    <n v="112981013"/>
    <s v="Lopez Neri,Norma"/>
    <s v="Robledo Ugarte,Alejandro"/>
    <n v="0"/>
    <n v="0"/>
    <n v="0"/>
    <n v="0"/>
    <n v="0.28999999999999998"/>
    <s v="DA-X0700"/>
    <s v="normaelo"/>
  </r>
  <r>
    <x v="79"/>
    <x v="11"/>
    <s v="Admin/HR/IT"/>
    <s v="AMCARE NonOcc In"/>
    <s v="AMZN"/>
    <n v="112984097"/>
    <s v="Aguilera,Yaremi"/>
    <s v="Corona Arriaga,Fernando"/>
    <n v="0"/>
    <n v="0"/>
    <n v="0"/>
    <n v="0"/>
    <n v="0.55000000000000004"/>
    <e v="#N/A"/>
    <e v="#N/A"/>
  </r>
  <r>
    <x v="79"/>
    <x v="11"/>
    <s v="Admin/HR/IT"/>
    <s v="AMCARE NonOcc In"/>
    <s v="AMZN"/>
    <n v="113014113"/>
    <s v="Sanchez Villegas,Benjamin"/>
    <s v="Corona Arriaga,Fernando"/>
    <n v="0"/>
    <n v="0"/>
    <n v="0"/>
    <n v="0"/>
    <n v="0.41"/>
    <e v="#N/A"/>
    <e v="#N/A"/>
  </r>
  <r>
    <x v="79"/>
    <x v="11"/>
    <s v="Admin/HR/IT"/>
    <s v="AMCARE NonOcc In"/>
    <s v="AMZN"/>
    <n v="113044620"/>
    <s v="Jasso Miranda,Aldo"/>
    <s v="Corona Arriaga,Fernando"/>
    <n v="0"/>
    <n v="0"/>
    <n v="0"/>
    <n v="0"/>
    <n v="0.11"/>
    <e v="#N/A"/>
    <s v="aldojasw"/>
  </r>
  <r>
    <x v="79"/>
    <x v="11"/>
    <s v="Admin/HR/IT"/>
    <s v="AMCARE NonOcc In"/>
    <s v="AMZN"/>
    <n v="200404250"/>
    <s v="Hurtado,Caty"/>
    <s v="Piedra,Valentina"/>
    <n v="0"/>
    <n v="0"/>
    <n v="0"/>
    <n v="0"/>
    <n v="1.8"/>
    <e v="#N/A"/>
    <s v="xcathurt"/>
  </r>
  <r>
    <x v="79"/>
    <x v="11"/>
    <s v="Admin/HR/IT"/>
    <s v="AMCARE NonOcc In"/>
    <s v="AMZN"/>
    <n v="200407907"/>
    <s v="BaÃ±os Lopez,Mario"/>
    <s v="Piedra,Valentina"/>
    <n v="0"/>
    <n v="0"/>
    <n v="0"/>
    <n v="0"/>
    <n v="1.1599999999999999"/>
    <e v="#N/A"/>
    <e v="#N/A"/>
  </r>
  <r>
    <x v="79"/>
    <x v="11"/>
    <s v="Admin/HR/IT"/>
    <s v="AMCARE NonOcc In"/>
    <s v="TEMP"/>
    <n v="200509662"/>
    <s v="Chico Ramirez,Carlos"/>
    <s v="Gomez,Abinadab"/>
    <n v="0"/>
    <n v="0"/>
    <n v="0"/>
    <n v="0"/>
    <n v="0.04"/>
    <e v="#N/A"/>
    <s v="carchico"/>
  </r>
  <r>
    <x v="79"/>
    <x v="11"/>
    <s v="Admin/HR/IT"/>
    <s v="AMCARE NonOcc In"/>
    <s v="TEMP"/>
    <n v="200574345"/>
    <s v="Contreras,Jony"/>
    <s v="Piedra,Valentina"/>
    <n v="0"/>
    <n v="0"/>
    <n v="0"/>
    <n v="0"/>
    <n v="0.43"/>
    <e v="#N/A"/>
    <s v="contrexj"/>
  </r>
  <r>
    <x v="79"/>
    <x v="11"/>
    <s v="Admin/HR/IT"/>
    <s v="AMCARE NonOcc In"/>
    <s v="TEMP"/>
    <n v="201186777"/>
    <s v="Monzon,Berenice"/>
    <s v="Madrid Molina,Ramon"/>
    <n v="0"/>
    <n v="0"/>
    <n v="0"/>
    <n v="0"/>
    <n v="1.26"/>
    <e v="#N/A"/>
    <s v="bemonzon"/>
  </r>
  <r>
    <x v="80"/>
    <x v="11"/>
    <s v="Admin/HR/IT"/>
    <s v="AMCARE NonOcc In"/>
    <s v="AMZN"/>
    <n v="111434478"/>
    <s v="Gutierrez,Pame"/>
    <s v="Garcia Espejel,Brenda Victoria"/>
    <n v="0"/>
    <n v="0"/>
    <n v="0"/>
    <n v="0"/>
    <n v="1.73"/>
    <s v="DA-X0700"/>
    <s v="juanapam"/>
  </r>
  <r>
    <x v="80"/>
    <x v="11"/>
    <s v="Admin/HR/IT"/>
    <s v="AMCARE NonOcc In"/>
    <s v="AMZN"/>
    <n v="112912052"/>
    <s v="Ortiz Cedeno,Omar"/>
    <s v="Cortes,Alejandra"/>
    <n v="0"/>
    <n v="0"/>
    <n v="0"/>
    <n v="0"/>
    <n v="0.52"/>
    <s v="DB-X0700"/>
    <s v="oortizce"/>
  </r>
  <r>
    <x v="80"/>
    <x v="11"/>
    <s v="Admin/HR/IT"/>
    <s v="AMCARE NonOcc In"/>
    <s v="AMZN"/>
    <n v="112912163"/>
    <s v="Murillo,Alejandro"/>
    <s v="Piedra,Valentina"/>
    <n v="0"/>
    <n v="0"/>
    <n v="0"/>
    <n v="0"/>
    <n v="0.74"/>
    <e v="#N/A"/>
    <e v="#N/A"/>
  </r>
  <r>
    <x v="80"/>
    <x v="11"/>
    <s v="Admin/HR/IT"/>
    <s v="AMCARE NonOcc In"/>
    <s v="AMZN"/>
    <n v="112912209"/>
    <s v="Morales,Sarahi"/>
    <s v="Munoz,Jonan"/>
    <n v="0"/>
    <n v="0"/>
    <n v="0"/>
    <n v="0"/>
    <n v="0.28999999999999998"/>
    <s v="NF-X1900"/>
    <s v="moralefs"/>
  </r>
  <r>
    <x v="80"/>
    <x v="11"/>
    <s v="Admin/HR/IT"/>
    <s v="AMCARE NonOcc In"/>
    <s v="AMZN"/>
    <n v="112912745"/>
    <s v="Gomez Meza,Alex"/>
    <s v="Robledo Ugarte,Alejandro"/>
    <n v="0"/>
    <n v="0"/>
    <n v="0"/>
    <n v="0"/>
    <n v="0.68"/>
    <s v="DA-X0700"/>
    <s v="nalexgom"/>
  </r>
  <r>
    <x v="80"/>
    <x v="11"/>
    <s v="Admin/HR/IT"/>
    <s v="AMCARE NonOcc In"/>
    <s v="AMZN"/>
    <n v="112912753"/>
    <s v="Padilla Abrego,Selene"/>
    <s v="Piedra,Valentina"/>
    <n v="0"/>
    <n v="0"/>
    <n v="0"/>
    <n v="0"/>
    <n v="0.18"/>
    <e v="#N/A"/>
    <e v="#N/A"/>
  </r>
  <r>
    <x v="80"/>
    <x v="11"/>
    <s v="Admin/HR/IT"/>
    <s v="AMCARE NonOcc In"/>
    <s v="AMZN"/>
    <n v="112950807"/>
    <s v="Sanchez Lira,Aaron"/>
    <s v="Garcia Espejel,Brenda Victoria"/>
    <n v="0"/>
    <n v="0"/>
    <n v="0"/>
    <n v="0"/>
    <n v="0.49"/>
    <s v="DA-X0700"/>
    <s v="kaarsanc"/>
  </r>
  <r>
    <x v="80"/>
    <x v="11"/>
    <s v="Admin/HR/IT"/>
    <s v="AMCARE NonOcc In"/>
    <s v="AMZN"/>
    <n v="112976013"/>
    <s v="Garcia,Roberto"/>
    <s v="Munoz,Jonan"/>
    <n v="0"/>
    <n v="0"/>
    <n v="0"/>
    <n v="0"/>
    <n v="0.31"/>
    <e v="#N/A"/>
    <e v="#N/A"/>
  </r>
  <r>
    <x v="80"/>
    <x v="11"/>
    <s v="Admin/HR/IT"/>
    <s v="AMCARE NonOcc In"/>
    <s v="AMZN"/>
    <n v="112980832"/>
    <s v="Cruz Martinez,Salvador"/>
    <s v="Gomez Aguado,Jorge"/>
    <n v="0"/>
    <n v="0"/>
    <n v="0"/>
    <n v="0"/>
    <n v="1.31"/>
    <e v="#N/A"/>
    <e v="#N/A"/>
  </r>
  <r>
    <x v="80"/>
    <x v="11"/>
    <s v="Admin/HR/IT"/>
    <s v="AMCARE NonOcc In"/>
    <s v="AMZN"/>
    <n v="112980843"/>
    <s v="Santos,Israel"/>
    <s v="Robledo Ugarte,Alejandro"/>
    <n v="0"/>
    <n v="0"/>
    <n v="0"/>
    <n v="0"/>
    <n v="0"/>
    <s v="DA-X0700"/>
    <s v="lsisrael"/>
  </r>
  <r>
    <x v="80"/>
    <x v="11"/>
    <s v="Admin/HR/IT"/>
    <s v="AMCARE NonOcc In"/>
    <s v="AMZN"/>
    <n v="112981013"/>
    <s v="Lopez Neri,Norma"/>
    <s v="Robledo Ugarte,Alejandro"/>
    <n v="0"/>
    <n v="0"/>
    <n v="0"/>
    <n v="0"/>
    <n v="0.91"/>
    <s v="DA-X0700"/>
    <s v="normaelo"/>
  </r>
  <r>
    <x v="80"/>
    <x v="11"/>
    <s v="Admin/HR/IT"/>
    <s v="AMCARE NonOcc In"/>
    <s v="AMZN"/>
    <n v="112981061"/>
    <s v="Olguin,Claudia"/>
    <s v="Corona Arriaga,Fernando"/>
    <n v="0"/>
    <n v="0"/>
    <n v="0"/>
    <n v="0"/>
    <n v="0.41"/>
    <s v="DA-X0700"/>
    <s v="mclaudol"/>
  </r>
  <r>
    <x v="80"/>
    <x v="11"/>
    <s v="Admin/HR/IT"/>
    <s v="AMCARE NonOcc In"/>
    <s v="AMZN"/>
    <n v="112984097"/>
    <s v="Aguilera,Yaremi"/>
    <s v="Corona Arriaga,Fernando"/>
    <n v="0"/>
    <n v="0"/>
    <n v="0"/>
    <n v="0"/>
    <n v="0.3"/>
    <e v="#N/A"/>
    <e v="#N/A"/>
  </r>
  <r>
    <x v="80"/>
    <x v="11"/>
    <s v="Admin/HR/IT"/>
    <s v="AMCARE NonOcc In"/>
    <s v="AMZN"/>
    <n v="113014081"/>
    <s v="Frausto,Genesis"/>
    <s v="Piedra,Valentina"/>
    <n v="0"/>
    <n v="0"/>
    <n v="0"/>
    <n v="0"/>
    <n v="1.1299999999999999"/>
    <e v="#N/A"/>
    <s v="fraugene"/>
  </r>
  <r>
    <x v="80"/>
    <x v="11"/>
    <s v="Admin/HR/IT"/>
    <s v="AMCARE NonOcc In"/>
    <s v="AMZN"/>
    <n v="113014470"/>
    <s v="Aguilar Ibarra,Lupe"/>
    <s v="Corona Arriaga,Fernando"/>
    <n v="0"/>
    <n v="0"/>
    <n v="0"/>
    <n v="0"/>
    <n v="0.57999999999999996"/>
    <e v="#N/A"/>
    <s v="lupaguin"/>
  </r>
  <r>
    <x v="80"/>
    <x v="11"/>
    <s v="Admin/HR/IT"/>
    <s v="AMCARE NonOcc In"/>
    <s v="TEMP"/>
    <n v="200535448"/>
    <s v="Guerrero Hernandez,Silvia"/>
    <s v="Gomez Aguado,Jorge"/>
    <n v="0"/>
    <n v="0"/>
    <n v="0"/>
    <n v="0"/>
    <n v="0.44"/>
    <e v="#N/A"/>
    <e v="#N/A"/>
  </r>
  <r>
    <x v="80"/>
    <x v="11"/>
    <s v="Admin/HR/IT"/>
    <s v="AMCARE NonOcc In"/>
    <s v="TEMP"/>
    <n v="200570729"/>
    <s v="Rodriguez,Carolina"/>
    <s v="Gomez Aguado,Jorge"/>
    <n v="0"/>
    <n v="0"/>
    <n v="0"/>
    <n v="0"/>
    <n v="0.75"/>
    <e v="#N/A"/>
    <s v="srodcaro"/>
  </r>
  <r>
    <x v="80"/>
    <x v="11"/>
    <s v="Admin/HR/IT"/>
    <s v="AMCARE NonOcc In"/>
    <s v="TEMP"/>
    <n v="200574655"/>
    <s v="Mireles,Dulce"/>
    <s v="Corona Arriaga,Fernando"/>
    <n v="0"/>
    <n v="0"/>
    <n v="0"/>
    <n v="0"/>
    <n v="0.4"/>
    <e v="#N/A"/>
    <s v="dulceami"/>
  </r>
  <r>
    <x v="80"/>
    <x v="11"/>
    <s v="Admin/HR/IT"/>
    <s v="AMCARE NonOcc In"/>
    <s v="TEMP"/>
    <n v="200625517"/>
    <s v="RamÃ­rez,Miranda"/>
    <s v="Corona Arriaga,Fernando"/>
    <n v="0"/>
    <n v="0"/>
    <n v="0"/>
    <n v="0"/>
    <n v="0.24"/>
    <e v="#N/A"/>
    <e v="#N/A"/>
  </r>
  <r>
    <x v="80"/>
    <x v="11"/>
    <s v="Admin/HR/IT"/>
    <s v="AMCARE NonOcc In"/>
    <s v="TEMP"/>
    <n v="201165769"/>
    <s v="Puente,Karen"/>
    <s v="Gomez Aguado,Jorge"/>
    <n v="0"/>
    <n v="0"/>
    <n v="0"/>
    <n v="0"/>
    <n v="0.09"/>
    <e v="#N/A"/>
    <s v="puenkare"/>
  </r>
  <r>
    <x v="80"/>
    <x v="11"/>
    <s v="Admin/HR/IT"/>
    <s v="AMCARE NonOcc In"/>
    <s v="TEMP"/>
    <n v="201186833"/>
    <s v="Jasso,Alexa"/>
    <s v="Hernandez Padilla,Daniel"/>
    <n v="0"/>
    <n v="0"/>
    <n v="0"/>
    <n v="0"/>
    <n v="0.95"/>
    <e v="#N/A"/>
    <s v="jaalexav"/>
  </r>
  <r>
    <x v="80"/>
    <x v="11"/>
    <s v="Admin/HR/IT"/>
    <s v="AMCARE NonOcc In"/>
    <s v="TEMP"/>
    <n v="201198979"/>
    <s v="Mendoza,Omar"/>
    <s v="Gomez Aguado,Jorge"/>
    <n v="0"/>
    <n v="0"/>
    <n v="0"/>
    <n v="0"/>
    <n v="1.43"/>
    <e v="#N/A"/>
    <e v="#N/A"/>
  </r>
  <r>
    <x v="80"/>
    <x v="11"/>
    <s v="Admin/HR/IT"/>
    <s v="AMCARE NonOcc In"/>
    <s v="TEMP"/>
    <n v="201201993"/>
    <s v="olmos,Lucia"/>
    <s v="Hernandez Padilla,Daniel"/>
    <n v="0"/>
    <n v="0"/>
    <n v="0"/>
    <n v="0"/>
    <n v="0.17"/>
    <e v="#N/A"/>
    <e v="#N/A"/>
  </r>
  <r>
    <x v="81"/>
    <x v="11"/>
    <s v="Admin/HR/IT"/>
    <s v="AMCARE NonOcc In"/>
    <s v="AMZN"/>
    <n v="103979960"/>
    <s v="Suchil Angel,Guillermo"/>
    <s v="Corona Arriaga,Fernando"/>
    <n v="0"/>
    <n v="0"/>
    <n v="0"/>
    <n v="0"/>
    <n v="1.38"/>
    <e v="#N/A"/>
    <e v="#N/A"/>
  </r>
  <r>
    <x v="81"/>
    <x v="11"/>
    <s v="Admin/HR/IT"/>
    <s v="AMCARE NonOcc In"/>
    <s v="AMZN"/>
    <n v="111434478"/>
    <s v="Gutierrez,Pame"/>
    <s v="Garcia Espejel,Brenda Victoria"/>
    <n v="0"/>
    <n v="0"/>
    <n v="0"/>
    <n v="0"/>
    <n v="0.1"/>
    <s v="DA-X0700"/>
    <s v="juanapam"/>
  </r>
  <r>
    <x v="81"/>
    <x v="11"/>
    <s v="Admin/HR/IT"/>
    <s v="AMCARE NonOcc In"/>
    <s v="AMZN"/>
    <n v="112912752"/>
    <s v="Valderrama Gomez,Leslie"/>
    <s v="Robledo Ugarte,Alejandro"/>
    <n v="0"/>
    <n v="0"/>
    <n v="0"/>
    <n v="0"/>
    <n v="0.11"/>
    <s v="NF-X1900"/>
    <s v="valderle"/>
  </r>
  <r>
    <x v="81"/>
    <x v="11"/>
    <s v="Admin/HR/IT"/>
    <s v="AMCARE NonOcc In"/>
    <s v="AMZN"/>
    <n v="112912753"/>
    <s v="Padilla Abrego,Selene"/>
    <s v="Piedra,Valentina"/>
    <n v="0"/>
    <n v="0"/>
    <n v="0"/>
    <n v="0"/>
    <n v="0.04"/>
    <e v="#N/A"/>
    <e v="#N/A"/>
  </r>
  <r>
    <x v="81"/>
    <x v="11"/>
    <s v="Admin/HR/IT"/>
    <s v="AMCARE NonOcc In"/>
    <s v="AMZN"/>
    <n v="112950819"/>
    <s v="Rios Olmos,Isaac"/>
    <s v="Garcia Espejel,Brenda Victoria"/>
    <n v="0"/>
    <n v="0"/>
    <n v="0"/>
    <n v="0"/>
    <n v="0.15"/>
    <s v="DA-X0700"/>
    <s v="riojoeli"/>
  </r>
  <r>
    <x v="81"/>
    <x v="11"/>
    <s v="Admin/HR/IT"/>
    <s v="AMCARE NonOcc In"/>
    <s v="AMZN"/>
    <n v="112980844"/>
    <s v="Padilla,Samantha"/>
    <s v="Robledo Ugarte,Alejandro"/>
    <n v="0"/>
    <n v="0"/>
    <n v="0"/>
    <n v="0"/>
    <n v="0.73"/>
    <s v="DA-X0700"/>
    <s v="samajpad"/>
  </r>
  <r>
    <x v="81"/>
    <x v="11"/>
    <s v="Admin/HR/IT"/>
    <s v="AMCARE NonOcc In"/>
    <s v="AMZN"/>
    <n v="112981061"/>
    <s v="Olguin,Claudia"/>
    <s v="Corona Arriaga,Fernando"/>
    <n v="0"/>
    <n v="0"/>
    <n v="0"/>
    <n v="0"/>
    <n v="0.37"/>
    <s v="DA-X0700"/>
    <s v="mclaudol"/>
  </r>
  <r>
    <x v="81"/>
    <x v="11"/>
    <s v="Admin/HR/IT"/>
    <s v="AMCARE NonOcc In"/>
    <s v="AMZN"/>
    <n v="113003631"/>
    <s v="Ortega,Elizabeth"/>
    <s v="Gomez Aguado,Jorge"/>
    <n v="0"/>
    <n v="0"/>
    <n v="0"/>
    <n v="0"/>
    <n v="0.36"/>
    <e v="#N/A"/>
    <e v="#N/A"/>
  </r>
  <r>
    <x v="81"/>
    <x v="11"/>
    <s v="Admin/HR/IT"/>
    <s v="AMCARE NonOcc In"/>
    <s v="AMZN"/>
    <n v="113014094"/>
    <s v="Mercado,Erika"/>
    <s v="Corona Arriaga,Fernando"/>
    <n v="0"/>
    <n v="0"/>
    <n v="0"/>
    <n v="0"/>
    <n v="0.48"/>
    <e v="#N/A"/>
    <s v="erikaadm"/>
  </r>
  <r>
    <x v="81"/>
    <x v="11"/>
    <s v="Admin/HR/IT"/>
    <s v="AMCARE NonOcc In"/>
    <s v="AMZN"/>
    <n v="113019042"/>
    <s v="Gallegos Godinez,Eloy"/>
    <s v="Piedra,Valentina"/>
    <n v="0"/>
    <n v="0"/>
    <n v="0"/>
    <n v="0"/>
    <n v="0.5"/>
    <e v="#N/A"/>
    <e v="#N/A"/>
  </r>
  <r>
    <x v="81"/>
    <x v="11"/>
    <s v="Admin/HR/IT"/>
    <s v="AMCARE NonOcc In"/>
    <s v="TEMP"/>
    <n v="201186801"/>
    <s v="Vazquez,Vincent"/>
    <s v="Madrid Molina,Ramon"/>
    <n v="0"/>
    <n v="0"/>
    <n v="0"/>
    <n v="0"/>
    <n v="0.27"/>
    <e v="#N/A"/>
    <e v="#N/A"/>
  </r>
  <r>
    <x v="81"/>
    <x v="11"/>
    <s v="Admin/HR/IT"/>
    <s v="AMCARE NonOcc In"/>
    <s v="TEMP"/>
    <n v="201201993"/>
    <s v="olmos,Lucia"/>
    <s v="Hernandez Padilla,Daniel"/>
    <n v="0"/>
    <n v="0"/>
    <n v="0"/>
    <n v="0"/>
    <n v="0.32"/>
    <e v="#N/A"/>
    <e v="#N/A"/>
  </r>
  <r>
    <x v="82"/>
    <x v="11"/>
    <s v="Admin/HR/IT"/>
    <s v="AMCARE NonOcc In"/>
    <s v="AMZN"/>
    <n v="112912074"/>
    <s v="Hernandez Gutierrez,Lizeth"/>
    <s v="Pizana,Diego"/>
    <n v="0"/>
    <n v="0"/>
    <n v="0"/>
    <n v="0"/>
    <n v="0.43"/>
    <e v="#N/A"/>
    <e v="#N/A"/>
  </r>
  <r>
    <x v="82"/>
    <x v="11"/>
    <s v="Admin/HR/IT"/>
    <s v="AMCARE NonOcc In"/>
    <s v="AMZN"/>
    <n v="112912753"/>
    <s v="Padilla Abrego,Selene"/>
    <s v="Piedra,Valentina"/>
    <n v="0"/>
    <n v="0"/>
    <n v="0"/>
    <n v="0"/>
    <n v="0.76"/>
    <e v="#N/A"/>
    <e v="#N/A"/>
  </r>
  <r>
    <x v="82"/>
    <x v="11"/>
    <s v="Admin/HR/IT"/>
    <s v="AMCARE NonOcc In"/>
    <s v="AMZN"/>
    <n v="112920654"/>
    <s v="Horta,Julieta"/>
    <s v="Rosas Negrete,Sebastian"/>
    <n v="0"/>
    <n v="0"/>
    <n v="0"/>
    <n v="0"/>
    <n v="0.18"/>
    <s v="DB-X0700"/>
    <s v="qhojulie"/>
  </r>
  <r>
    <x v="82"/>
    <x v="11"/>
    <s v="Admin/HR/IT"/>
    <s v="AMCARE NonOcc In"/>
    <s v="AMZN"/>
    <n v="112950784"/>
    <s v="Rojas,Samuel"/>
    <s v="Piedra,Valentina"/>
    <n v="0"/>
    <n v="0"/>
    <n v="0"/>
    <n v="0"/>
    <n v="0.59"/>
    <s v="NF-X1900"/>
    <s v="sarojast"/>
  </r>
  <r>
    <x v="82"/>
    <x v="11"/>
    <s v="Admin/HR/IT"/>
    <s v="AMCARE NonOcc In"/>
    <s v="AMZN"/>
    <n v="113003510"/>
    <s v="PÃ©rez MÃ©ndez,Cecy"/>
    <s v="Madrid Molina,Ramon"/>
    <n v="0"/>
    <n v="0"/>
    <n v="0"/>
    <n v="0"/>
    <n v="1.1599999999999999"/>
    <e v="#N/A"/>
    <s v="nperezmc"/>
  </r>
  <r>
    <x v="82"/>
    <x v="11"/>
    <s v="Admin/HR/IT"/>
    <s v="AMCARE NonOcc In"/>
    <s v="AMZN"/>
    <n v="113003627"/>
    <s v="Zavala,Diego"/>
    <s v="Piedra,Valentina"/>
    <n v="0"/>
    <n v="0"/>
    <n v="0"/>
    <n v="0"/>
    <n v="0.33"/>
    <e v="#N/A"/>
    <e v="#N/A"/>
  </r>
  <r>
    <x v="82"/>
    <x v="11"/>
    <s v="Admin/HR/IT"/>
    <s v="AMCARE NonOcc In"/>
    <s v="AMZN"/>
    <n v="113018997"/>
    <s v="Rodriguez Ponce,Gaby"/>
    <s v="Robledo Ugarte,Alejandro"/>
    <n v="0"/>
    <n v="0"/>
    <n v="0"/>
    <n v="0"/>
    <n v="1.21"/>
    <e v="#N/A"/>
    <e v="#N/A"/>
  </r>
  <r>
    <x v="82"/>
    <x v="11"/>
    <s v="Admin/HR/IT"/>
    <s v="AMCARE NonOcc In"/>
    <s v="AMZN"/>
    <n v="113101453"/>
    <s v="Isaac,Geovanna"/>
    <s v="Corona Arriaga,Fernando"/>
    <n v="0"/>
    <n v="0"/>
    <n v="0"/>
    <n v="0"/>
    <n v="0"/>
    <e v="#N/A"/>
    <s v="qisgeova"/>
  </r>
  <r>
    <x v="82"/>
    <x v="11"/>
    <s v="Admin/HR/IT"/>
    <s v="AMCARE NonOcc In"/>
    <s v="TEMP"/>
    <n v="200525168"/>
    <s v="Morales,Oscar"/>
    <s v="Ledezma,Fer"/>
    <n v="0"/>
    <n v="0"/>
    <n v="0"/>
    <n v="0"/>
    <n v="0.67"/>
    <e v="#N/A"/>
    <e v="#N/A"/>
  </r>
  <r>
    <x v="82"/>
    <x v="11"/>
    <s v="Admin/HR/IT"/>
    <s v="AMCARE NonOcc In"/>
    <s v="TEMP"/>
    <n v="200535448"/>
    <s v="Guerrero Hernandez,Silvia"/>
    <s v="Gomez Aguado,Jorge"/>
    <n v="0"/>
    <n v="0"/>
    <n v="0"/>
    <n v="0"/>
    <n v="0.33"/>
    <e v="#N/A"/>
    <e v="#N/A"/>
  </r>
  <r>
    <x v="82"/>
    <x v="11"/>
    <s v="Admin/HR/IT"/>
    <s v="AMCARE NonOcc In"/>
    <s v="TEMP"/>
    <n v="200615883"/>
    <s v="Ibarra Amaro,Adriana"/>
    <s v="Madrid Molina,Ramon"/>
    <n v="0"/>
    <n v="0"/>
    <n v="0"/>
    <n v="0"/>
    <n v="1.53"/>
    <e v="#N/A"/>
    <e v="#N/A"/>
  </r>
  <r>
    <x v="82"/>
    <x v="11"/>
    <s v="Admin/HR/IT"/>
    <s v="AMCARE NonOcc In"/>
    <s v="TEMP"/>
    <n v="201186621"/>
    <s v="Puga,Enrique"/>
    <s v="Romero Sanchez,Gustavo Gabriel"/>
    <n v="0"/>
    <n v="0"/>
    <n v="0"/>
    <n v="0"/>
    <n v="0.25"/>
    <e v="#N/A"/>
    <e v="#N/A"/>
  </r>
  <r>
    <x v="82"/>
    <x v="11"/>
    <s v="Admin/HR/IT"/>
    <s v="AMCARE NonOcc In"/>
    <s v="TEMP"/>
    <n v="201191390"/>
    <s v="GarcÃ­a,jesus"/>
    <s v="Romero Sanchez,Gustavo Gabriel"/>
    <n v="0"/>
    <n v="0"/>
    <n v="0"/>
    <n v="0"/>
    <n v="0.92"/>
    <e v="#N/A"/>
    <s v="bgajesus"/>
  </r>
  <r>
    <x v="83"/>
    <x v="11"/>
    <s v="Admin/HR/IT"/>
    <s v="AMCARE NonOcc In"/>
    <s v="AMZN"/>
    <n v="112912675"/>
    <s v="Alejandri Villagomez,Alejandra"/>
    <s v="Gomez,Abinadab"/>
    <n v="0"/>
    <n v="0"/>
    <n v="0"/>
    <n v="0"/>
    <n v="0.27"/>
    <e v="#N/A"/>
    <e v="#N/A"/>
  </r>
  <r>
    <x v="83"/>
    <x v="11"/>
    <s v="Admin/HR/IT"/>
    <s v="AMCARE NonOcc In"/>
    <s v="AMZN"/>
    <n v="113003510"/>
    <s v="PÃ©rez MÃ©ndez,Cecy"/>
    <s v="Madrid Molina,Ramon"/>
    <n v="0"/>
    <n v="0"/>
    <n v="0"/>
    <n v="0"/>
    <n v="0.27"/>
    <e v="#N/A"/>
    <s v="nperezmc"/>
  </r>
  <r>
    <x v="83"/>
    <x v="11"/>
    <s v="Admin/HR/IT"/>
    <s v="AMCARE NonOcc In"/>
    <s v="AMZN"/>
    <n v="113020667"/>
    <s v="Martinez Becerra,Paulina"/>
    <s v="Madrid Molina,Ramon"/>
    <n v="0"/>
    <n v="0"/>
    <n v="0"/>
    <n v="0"/>
    <n v="0.56999999999999995"/>
    <e v="#N/A"/>
    <s v="mavpauli"/>
  </r>
  <r>
    <x v="83"/>
    <x v="11"/>
    <s v="Admin/HR/IT"/>
    <s v="AMCARE NonOcc In"/>
    <s v="TEMP"/>
    <n v="200625528"/>
    <s v="Oliva,Lizbeth"/>
    <s v="Gomez Aguado,Jorge"/>
    <n v="0"/>
    <n v="0"/>
    <n v="0"/>
    <n v="0"/>
    <n v="0"/>
    <e v="#N/A"/>
    <s v="olivlizb"/>
  </r>
  <r>
    <x v="83"/>
    <x v="11"/>
    <s v="Admin/HR/IT"/>
    <s v="AMCARE NonOcc In"/>
    <s v="TEMP"/>
    <n v="201191390"/>
    <s v="GarcÃ­a,jesus"/>
    <s v="Romero Sanchez,Gustavo Gabriel"/>
    <n v="0"/>
    <n v="0"/>
    <n v="0"/>
    <n v="0"/>
    <n v="0.15"/>
    <e v="#N/A"/>
    <s v="bgajesus"/>
  </r>
  <r>
    <x v="83"/>
    <x v="11"/>
    <s v="Admin/HR/IT"/>
    <s v="AMCARE NonOcc In"/>
    <s v="TEMP"/>
    <n v="201198890"/>
    <s v="Gomez,Karla"/>
    <s v="Gomez,Abinadab"/>
    <n v="0"/>
    <n v="0"/>
    <n v="0"/>
    <n v="0"/>
    <n v="0.73"/>
    <e v="#N/A"/>
    <e v="#N/A"/>
  </r>
  <r>
    <x v="84"/>
    <x v="11"/>
    <s v="Admin/HR/IT"/>
    <s v="AMCARE NonOcc In"/>
    <s v="AMZN"/>
    <n v="112485255"/>
    <s v="Rocha,Ceci"/>
    <s v="Madrid Molina,Ramon"/>
    <n v="0"/>
    <n v="0"/>
    <n v="0"/>
    <n v="0"/>
    <n v="0.51"/>
    <s v="DB-X0700"/>
    <s v="anacecor"/>
  </r>
  <r>
    <x v="84"/>
    <x v="11"/>
    <s v="Admin/HR/IT"/>
    <s v="AMCARE NonOcc In"/>
    <s v="AMZN"/>
    <n v="112980845"/>
    <s v="Guevara,Irma Martinez"/>
    <s v="Camarena,Grecia"/>
    <n v="0"/>
    <n v="0"/>
    <n v="0"/>
    <n v="0"/>
    <n v="1.24"/>
    <e v="#N/A"/>
    <e v="#N/A"/>
  </r>
  <r>
    <x v="84"/>
    <x v="11"/>
    <s v="Admin/HR/IT"/>
    <s v="AMCARE NonOcc In"/>
    <s v="AMZN"/>
    <n v="200463510"/>
    <s v="Macias,Rodrigo"/>
    <s v="Romero Sanchez,Gustavo Gabriel"/>
    <n v="0"/>
    <n v="0"/>
    <n v="0"/>
    <n v="0"/>
    <n v="0.19"/>
    <e v="#N/A"/>
    <s v="rodrmacj"/>
  </r>
  <r>
    <x v="85"/>
    <x v="12"/>
    <s v="Admin/HR/IT"/>
    <s v="AMCARE NonOcc In"/>
    <s v="AMZN"/>
    <n v="111434478"/>
    <s v="Gutierrez,Pame"/>
    <s v="Garcia Espejel,Brenda Victoria"/>
    <n v="0"/>
    <n v="0"/>
    <n v="0"/>
    <n v="0"/>
    <n v="0.67"/>
    <s v="DA-X0700"/>
    <s v="juanapam"/>
  </r>
  <r>
    <x v="85"/>
    <x v="12"/>
    <s v="Admin/HR/IT"/>
    <s v="AMCARE NonOcc In"/>
    <s v="AMZN"/>
    <n v="112912071"/>
    <s v="Torres,Alan"/>
    <s v="Robledo Ugarte,Alejandro"/>
    <n v="0"/>
    <n v="0"/>
    <n v="0"/>
    <n v="0"/>
    <n v="0.36"/>
    <e v="#N/A"/>
    <e v="#N/A"/>
  </r>
  <r>
    <x v="85"/>
    <x v="12"/>
    <s v="Admin/HR/IT"/>
    <s v="AMCARE NonOcc In"/>
    <s v="AMZN"/>
    <n v="112912663"/>
    <s v="Segura,Lucero"/>
    <s v="Munoz,Jonan"/>
    <n v="0"/>
    <n v="0"/>
    <n v="0"/>
    <n v="0"/>
    <n v="0.06"/>
    <e v="#N/A"/>
    <e v="#N/A"/>
  </r>
  <r>
    <x v="85"/>
    <x v="12"/>
    <s v="Admin/HR/IT"/>
    <s v="AMCARE NonOcc In"/>
    <s v="AMZN"/>
    <n v="112950784"/>
    <s v="Rojas,Samuel"/>
    <s v="Piedra,Valentina"/>
    <n v="0"/>
    <n v="0"/>
    <n v="0"/>
    <n v="0"/>
    <n v="0.13"/>
    <s v="NF-X1900"/>
    <s v="sarojast"/>
  </r>
  <r>
    <x v="85"/>
    <x v="12"/>
    <s v="Admin/HR/IT"/>
    <s v="AMCARE NonOcc In"/>
    <s v="AMZN"/>
    <n v="112950802"/>
    <s v="Blee,Fabian"/>
    <s v="Pizana,Diego"/>
    <n v="0"/>
    <n v="0"/>
    <n v="0"/>
    <n v="0"/>
    <n v="0.2"/>
    <e v="#N/A"/>
    <e v="#N/A"/>
  </r>
  <r>
    <x v="85"/>
    <x v="12"/>
    <s v="Admin/HR/IT"/>
    <s v="AMCARE NonOcc In"/>
    <s v="AMZN"/>
    <n v="112980843"/>
    <s v="Santos,Israel"/>
    <s v="Robledo Ugarte,Alejandro"/>
    <n v="0"/>
    <n v="0"/>
    <n v="0"/>
    <n v="0"/>
    <n v="0.78"/>
    <s v="DA-X0700"/>
    <s v="lsisrael"/>
  </r>
  <r>
    <x v="85"/>
    <x v="12"/>
    <s v="Admin/HR/IT"/>
    <s v="AMCARE NonOcc In"/>
    <s v="AMZN"/>
    <n v="112981013"/>
    <s v="Lopez Neri,Norma"/>
    <s v="Robledo Ugarte,Alejandro"/>
    <n v="0"/>
    <n v="0"/>
    <n v="0"/>
    <n v="0"/>
    <n v="0.4"/>
    <s v="DA-X0700"/>
    <s v="normaelo"/>
  </r>
  <r>
    <x v="85"/>
    <x v="12"/>
    <s v="Admin/HR/IT"/>
    <s v="AMCARE NonOcc In"/>
    <s v="AMZN"/>
    <n v="200408196"/>
    <s v="Hernandez Lara,Maggie"/>
    <s v="Piedra,Valentina"/>
    <n v="0"/>
    <n v="0"/>
    <n v="0"/>
    <n v="0"/>
    <n v="0.9"/>
    <e v="#N/A"/>
    <e v="#N/A"/>
  </r>
  <r>
    <x v="85"/>
    <x v="12"/>
    <s v="Admin/HR/IT"/>
    <s v="AMCARE NonOcc In"/>
    <s v="TEMP"/>
    <n v="200509428"/>
    <s v="Guevara Ramirez,Zayra Lorena"/>
    <s v="Corona Arriaga,Fernando"/>
    <n v="0"/>
    <n v="0"/>
    <n v="0"/>
    <n v="0"/>
    <n v="0.81"/>
    <e v="#N/A"/>
    <e v="#N/A"/>
  </r>
  <r>
    <x v="85"/>
    <x v="12"/>
    <s v="Admin/HR/IT"/>
    <s v="AMCARE NonOcc In"/>
    <s v="TEMP"/>
    <n v="200620341"/>
    <s v="Camacho Ramirez,Carlos"/>
    <s v="Gomez Aguado,Jorge"/>
    <n v="0"/>
    <n v="0"/>
    <n v="0"/>
    <n v="0"/>
    <n v="0.17"/>
    <e v="#N/A"/>
    <e v="#N/A"/>
  </r>
  <r>
    <x v="85"/>
    <x v="12"/>
    <s v="Admin/HR/IT"/>
    <s v="AMCARE NonOcc In"/>
    <s v="TEMP"/>
    <n v="201205615"/>
    <s v="Tavares,Jorge"/>
    <s v="Robledo Ugarte,Alejandro"/>
    <n v="0"/>
    <n v="0"/>
    <n v="0"/>
    <n v="0"/>
    <n v="0.13"/>
    <e v="#N/A"/>
    <e v="#N/A"/>
  </r>
  <r>
    <x v="86"/>
    <x v="12"/>
    <s v="Admin/HR/IT"/>
    <s v="AMCARE NonOcc In"/>
    <s v="AMZN"/>
    <n v="103979960"/>
    <s v="Suchil Angel,Guillermo"/>
    <s v="Corona Arriaga,Fernando"/>
    <n v="0"/>
    <n v="0"/>
    <n v="0"/>
    <n v="0"/>
    <n v="1.3"/>
    <e v="#N/A"/>
    <e v="#N/A"/>
  </r>
  <r>
    <x v="86"/>
    <x v="12"/>
    <s v="Admin/HR/IT"/>
    <s v="AMCARE NonOcc In"/>
    <s v="TEMP"/>
    <n v="110530105"/>
    <s v="Maya,Fernando"/>
    <s v="Robledo Ugarte,Alejandro"/>
    <n v="0"/>
    <n v="0"/>
    <n v="0"/>
    <n v="0"/>
    <n v="0.65"/>
    <e v="#N/A"/>
    <e v="#N/A"/>
  </r>
  <r>
    <x v="86"/>
    <x v="12"/>
    <s v="Admin/HR/IT"/>
    <s v="AMCARE NonOcc In"/>
    <s v="TEMP"/>
    <n v="112912067"/>
    <s v="Rocio,Juan"/>
    <s v="Corona Arriaga,Fernando"/>
    <n v="0"/>
    <n v="0"/>
    <n v="0"/>
    <n v="0"/>
    <n v="0.43"/>
    <e v="#N/A"/>
    <e v="#N/A"/>
  </r>
  <r>
    <x v="86"/>
    <x v="12"/>
    <s v="Admin/HR/IT"/>
    <s v="AMCARE NonOcc In"/>
    <s v="AMZN"/>
    <n v="113004017"/>
    <s v="Ramirez,Elizabeth"/>
    <s v="Madrid Molina,Ramon"/>
    <n v="0"/>
    <n v="0"/>
    <n v="0"/>
    <n v="0"/>
    <n v="0.57999999999999996"/>
    <e v="#N/A"/>
    <e v="#N/A"/>
  </r>
  <r>
    <x v="86"/>
    <x v="12"/>
    <s v="Admin/HR/IT"/>
    <s v="AMCARE NonOcc In"/>
    <s v="AMZN"/>
    <n v="113014113"/>
    <s v="Sanchez Villegas,Benjamin"/>
    <s v="Corona Arriaga,Fernando"/>
    <n v="0"/>
    <n v="0"/>
    <n v="0"/>
    <n v="0"/>
    <n v="0.71"/>
    <e v="#N/A"/>
    <e v="#N/A"/>
  </r>
  <r>
    <x v="86"/>
    <x v="12"/>
    <s v="Admin/HR/IT"/>
    <s v="AMCARE NonOcc In"/>
    <s v="AMZN"/>
    <n v="113014403"/>
    <s v="Arias Sanchez,Nora"/>
    <s v="Piedra,Valentina"/>
    <n v="0"/>
    <n v="0"/>
    <n v="0"/>
    <n v="0"/>
    <n v="0.68"/>
    <e v="#N/A"/>
    <s v="wnoraria"/>
  </r>
  <r>
    <x v="86"/>
    <x v="12"/>
    <s v="Admin/HR/IT"/>
    <s v="AMCARE NonOcc In"/>
    <s v="AMZN"/>
    <n v="200404250"/>
    <s v="Hurtado,Caty"/>
    <s v="Piedra,Valentina"/>
    <n v="0"/>
    <n v="0"/>
    <n v="0"/>
    <n v="0"/>
    <n v="0.4"/>
    <e v="#N/A"/>
    <s v="xcathurt"/>
  </r>
  <r>
    <x v="86"/>
    <x v="12"/>
    <s v="Admin/HR/IT"/>
    <s v="AMCARE NonOcc In"/>
    <s v="TEMP"/>
    <n v="200564895"/>
    <s v="Mendoza Corona,Brianda"/>
    <s v="Corona Arriaga,Fernando"/>
    <n v="0"/>
    <n v="0"/>
    <n v="0"/>
    <n v="0"/>
    <n v="0.37"/>
    <e v="#N/A"/>
    <s v="hmendobr"/>
  </r>
  <r>
    <x v="86"/>
    <x v="12"/>
    <s v="Admin/HR/IT"/>
    <s v="AMCARE NonOcc In"/>
    <s v="TEMP"/>
    <n v="200565197"/>
    <s v="Avila,Mary"/>
    <s v="Piedra,Valentina"/>
    <n v="0"/>
    <n v="0"/>
    <n v="0"/>
    <n v="0"/>
    <n v="0.24"/>
    <e v="#N/A"/>
    <e v="#N/A"/>
  </r>
  <r>
    <x v="86"/>
    <x v="12"/>
    <s v="Admin/HR/IT"/>
    <s v="AMCARE NonOcc In"/>
    <s v="TEMP"/>
    <n v="200589316"/>
    <s v="Torres Zuniga,Daniel"/>
    <s v="Madrid Molina,Ramon"/>
    <n v="0"/>
    <n v="0"/>
    <n v="0"/>
    <n v="0"/>
    <n v="0.93"/>
    <e v="#N/A"/>
    <e v="#N/A"/>
  </r>
  <r>
    <x v="87"/>
    <x v="12"/>
    <s v="Admin/HR/IT"/>
    <s v="AMCARE NonOcc In"/>
    <s v="AMZN"/>
    <n v="111434478"/>
    <s v="Gutierrez,Pame"/>
    <s v="Garcia Espejel,Brenda Victoria"/>
    <n v="0"/>
    <n v="0"/>
    <n v="0"/>
    <n v="0"/>
    <n v="1.41"/>
    <s v="DA-X0700"/>
    <s v="juanapam"/>
  </r>
  <r>
    <x v="87"/>
    <x v="12"/>
    <s v="Admin/HR/IT"/>
    <s v="AMCARE NonOcc In"/>
    <s v="AMZN"/>
    <n v="112912008"/>
    <s v="Espinosa,Consuelo"/>
    <s v="Rosas Negrete,Sebastian"/>
    <n v="0"/>
    <n v="0"/>
    <n v="0"/>
    <n v="0"/>
    <n v="0.8"/>
    <e v="#N/A"/>
    <e v="#N/A"/>
  </r>
  <r>
    <x v="87"/>
    <x v="12"/>
    <s v="Admin/HR/IT"/>
    <s v="AMCARE NonOcc In"/>
    <s v="AMZN"/>
    <n v="112912163"/>
    <s v="Murillo,Alejandro"/>
    <s v="Piedra,Valentina"/>
    <n v="0"/>
    <n v="0"/>
    <n v="0"/>
    <n v="0"/>
    <n v="0.62"/>
    <e v="#N/A"/>
    <e v="#N/A"/>
  </r>
  <r>
    <x v="87"/>
    <x v="12"/>
    <s v="Admin/HR/IT"/>
    <s v="AMCARE NonOcc In"/>
    <s v="AMZN"/>
    <n v="112912201"/>
    <s v="Castillo Falcon,Sheyla"/>
    <s v="Corona Arriaga,Fernando"/>
    <n v="0"/>
    <n v="0"/>
    <n v="0"/>
    <n v="0"/>
    <n v="0.3"/>
    <e v="#N/A"/>
    <e v="#N/A"/>
  </r>
  <r>
    <x v="87"/>
    <x v="12"/>
    <s v="Admin/HR/IT"/>
    <s v="AMCARE NonOcc In"/>
    <s v="AMZN"/>
    <n v="112912209"/>
    <s v="Morales,Sarahi"/>
    <s v="Munoz,Jonan"/>
    <n v="0"/>
    <n v="0"/>
    <n v="0"/>
    <n v="0"/>
    <n v="0.24"/>
    <s v="NF-X1900"/>
    <s v="moralefs"/>
  </r>
  <r>
    <x v="87"/>
    <x v="12"/>
    <s v="Admin/HR/IT"/>
    <s v="AMCARE NonOcc In"/>
    <s v="AMZN"/>
    <n v="112912464"/>
    <s v="Garcia Nicasio,Luis"/>
    <s v="Cortes,Alejandra"/>
    <n v="0"/>
    <n v="0"/>
    <n v="0"/>
    <n v="0"/>
    <n v="0.18"/>
    <e v="#N/A"/>
    <e v="#N/A"/>
  </r>
  <r>
    <x v="87"/>
    <x v="12"/>
    <s v="Admin/HR/IT"/>
    <s v="AMCARE NonOcc In"/>
    <s v="AMZN"/>
    <n v="112920679"/>
    <s v="Vazquez,Israel"/>
    <s v="Munoz,Jonan"/>
    <n v="0"/>
    <n v="0"/>
    <n v="0"/>
    <n v="0"/>
    <n v="1.5"/>
    <e v="#N/A"/>
    <e v="#N/A"/>
  </r>
  <r>
    <x v="87"/>
    <x v="12"/>
    <s v="Admin/HR/IT"/>
    <s v="AMCARE NonOcc In"/>
    <s v="AMZN"/>
    <n v="112981061"/>
    <s v="Olguin,Claudia"/>
    <s v="Corona Arriaga,Fernando"/>
    <n v="0"/>
    <n v="0"/>
    <n v="0"/>
    <n v="0"/>
    <n v="0.1"/>
    <s v="DA-X0700"/>
    <s v="mclaudol"/>
  </r>
  <r>
    <x v="87"/>
    <x v="12"/>
    <s v="Admin/HR/IT"/>
    <s v="AMCARE NonOcc In"/>
    <s v="AMZN"/>
    <n v="112981196"/>
    <s v="Gomez,Andrea"/>
    <s v="Gomez Aguado,Jorge"/>
    <n v="0"/>
    <n v="0"/>
    <n v="0"/>
    <n v="0"/>
    <n v="7.0000000000000007E-2"/>
    <e v="#N/A"/>
    <s v="vandgome"/>
  </r>
  <r>
    <x v="87"/>
    <x v="12"/>
    <s v="Admin/HR/IT"/>
    <s v="AMCARE NonOcc In"/>
    <s v="AMZN"/>
    <n v="112984097"/>
    <s v="Aguilera,Yaremi"/>
    <s v="Corona Arriaga,Fernando"/>
    <n v="0"/>
    <n v="0"/>
    <n v="0"/>
    <n v="0"/>
    <n v="1"/>
    <e v="#N/A"/>
    <e v="#N/A"/>
  </r>
  <r>
    <x v="87"/>
    <x v="12"/>
    <s v="Admin/HR/IT"/>
    <s v="AMCARE NonOcc In"/>
    <s v="AMZN"/>
    <n v="113014401"/>
    <s v="Meza,Landin"/>
    <s v="Piedra,Valentina"/>
    <n v="0"/>
    <n v="0"/>
    <n v="0"/>
    <n v="0"/>
    <n v="0.86"/>
    <e v="#N/A"/>
    <e v="#N/A"/>
  </r>
  <r>
    <x v="87"/>
    <x v="12"/>
    <s v="Admin/HR/IT"/>
    <s v="AMCARE NonOcc In"/>
    <s v="AMZN"/>
    <n v="113018997"/>
    <s v="Rodriguez Ponce,Gaby"/>
    <s v="Robledo Ugarte,Alejandro"/>
    <n v="0"/>
    <n v="0"/>
    <n v="0"/>
    <n v="0"/>
    <n v="0.23"/>
    <e v="#N/A"/>
    <e v="#N/A"/>
  </r>
  <r>
    <x v="87"/>
    <x v="12"/>
    <s v="Admin/HR/IT"/>
    <s v="AMCARE NonOcc In"/>
    <s v="AMZN"/>
    <n v="113020463"/>
    <s v="Valtierra,Alejandra"/>
    <s v="Corona Arriaga,Fernando"/>
    <n v="0"/>
    <n v="0"/>
    <n v="0"/>
    <n v="0"/>
    <n v="0.65"/>
    <e v="#N/A"/>
    <s v="myriamav"/>
  </r>
  <r>
    <x v="87"/>
    <x v="12"/>
    <s v="Admin/HR/IT"/>
    <s v="AMCARE NonOcc In"/>
    <s v="AMZN"/>
    <n v="200404250"/>
    <s v="Hurtado,Caty"/>
    <s v="Piedra,Valentina"/>
    <n v="0"/>
    <n v="0"/>
    <n v="0"/>
    <n v="0"/>
    <n v="1.41"/>
    <e v="#N/A"/>
    <s v="xcathurt"/>
  </r>
  <r>
    <x v="87"/>
    <x v="12"/>
    <s v="Admin/HR/IT"/>
    <s v="AMCARE NonOcc In"/>
    <s v="TEMP"/>
    <n v="200614224"/>
    <s v="Cruz Hernandez,Cris"/>
    <s v="Ledezma,Fer"/>
    <n v="0"/>
    <n v="0"/>
    <n v="0"/>
    <n v="0"/>
    <n v="0.28000000000000003"/>
    <e v="#N/A"/>
    <e v="#N/A"/>
  </r>
  <r>
    <x v="87"/>
    <x v="12"/>
    <s v="Admin/HR/IT"/>
    <s v="AMCARE NonOcc In"/>
    <s v="TEMP"/>
    <n v="200620341"/>
    <s v="Camacho Ramirez,Carlos"/>
    <s v="Gomez Aguado,Jorge"/>
    <n v="0"/>
    <n v="0"/>
    <n v="0"/>
    <n v="0"/>
    <n v="0.14000000000000001"/>
    <e v="#N/A"/>
    <e v="#N/A"/>
  </r>
  <r>
    <x v="87"/>
    <x v="12"/>
    <s v="Admin/HR/IT"/>
    <s v="AMCARE NonOcc In"/>
    <s v="TEMP"/>
    <n v="201158953"/>
    <s v="Martinez,Alicia"/>
    <s v="Gomez,Abinadab"/>
    <n v="0"/>
    <n v="0"/>
    <n v="0"/>
    <n v="0"/>
    <n v="0.59"/>
    <e v="#N/A"/>
    <e v="#N/A"/>
  </r>
  <r>
    <x v="87"/>
    <x v="12"/>
    <s v="Admin/HR/IT"/>
    <s v="AMCARE NonOcc In"/>
    <s v="TEMP"/>
    <n v="201198979"/>
    <s v="Mendoza,Omar"/>
    <s v="Gomez Aguado,Jorge"/>
    <n v="0"/>
    <n v="0"/>
    <n v="0"/>
    <n v="0"/>
    <n v="0.56999999999999995"/>
    <e v="#N/A"/>
    <e v="#N/A"/>
  </r>
  <r>
    <x v="87"/>
    <x v="12"/>
    <s v="Admin/HR/IT"/>
    <s v="AMCARE NonOcc In"/>
    <s v="TEMP"/>
    <n v="201201993"/>
    <s v="olmos,Lucia"/>
    <s v="Gomez Aguado,Jorge"/>
    <n v="0"/>
    <n v="0"/>
    <n v="0"/>
    <n v="0"/>
    <n v="0.11"/>
    <e v="#N/A"/>
    <e v="#N/A"/>
  </r>
  <r>
    <x v="87"/>
    <x v="12"/>
    <s v="Admin/HR/IT"/>
    <s v="AMCARE NonOcc In"/>
    <s v="TEMP"/>
    <n v="201215202"/>
    <s v="Gamez,Mauricio"/>
    <s v="Gomez Aguado,Jorge"/>
    <n v="0"/>
    <n v="0"/>
    <n v="0"/>
    <n v="0"/>
    <n v="0.21"/>
    <e v="#N/A"/>
    <e v="#N/A"/>
  </r>
  <r>
    <x v="87"/>
    <x v="12"/>
    <s v="Admin/HR/IT"/>
    <s v="AMCARE NonOcc In"/>
    <s v="TEMP"/>
    <n v="201219225"/>
    <s v="Moreno Bermudez,Rogelio"/>
    <s v="Corona Arriaga,Fernando"/>
    <n v="0"/>
    <n v="0"/>
    <n v="0"/>
    <n v="0"/>
    <n v="0.27"/>
    <e v="#N/A"/>
    <e v="#N/A"/>
  </r>
  <r>
    <x v="88"/>
    <x v="12"/>
    <s v="Admin/HR/IT"/>
    <s v="AMCARE NonOcc In"/>
    <s v="AMZN"/>
    <n v="111434478"/>
    <s v="Gutierrez,Pame"/>
    <s v="Garcia Espejel,Brenda Victoria"/>
    <n v="0"/>
    <n v="0"/>
    <n v="0"/>
    <n v="0"/>
    <n v="0.13"/>
    <s v="DA-X0700"/>
    <s v="juanapam"/>
  </r>
  <r>
    <x v="88"/>
    <x v="12"/>
    <s v="Admin/HR/IT"/>
    <s v="AMCARE NonOcc In"/>
    <s v="AMZN"/>
    <n v="112912163"/>
    <s v="Murillo,Alejandro"/>
    <s v="Piedra,Valentina"/>
    <n v="0"/>
    <n v="0"/>
    <n v="0"/>
    <n v="0"/>
    <n v="0.1"/>
    <e v="#N/A"/>
    <e v="#N/A"/>
  </r>
  <r>
    <x v="88"/>
    <x v="12"/>
    <s v="Admin/HR/IT"/>
    <s v="AMCARE NonOcc In"/>
    <s v="AMZN"/>
    <n v="112912663"/>
    <s v="Segura,Lucero"/>
    <s v="Munoz,Jonan"/>
    <n v="0"/>
    <n v="0"/>
    <n v="0"/>
    <n v="0"/>
    <n v="0.09"/>
    <e v="#N/A"/>
    <e v="#N/A"/>
  </r>
  <r>
    <x v="88"/>
    <x v="12"/>
    <s v="Admin/HR/IT"/>
    <s v="AMCARE NonOcc In"/>
    <s v="AMZN"/>
    <n v="112912752"/>
    <s v="Valderrama Gomez,Leslie"/>
    <s v="Robledo Ugarte,Alejandro"/>
    <n v="0"/>
    <n v="0"/>
    <n v="0"/>
    <n v="0"/>
    <n v="0.72"/>
    <s v="NF-X1900"/>
    <s v="valderle"/>
  </r>
  <r>
    <x v="88"/>
    <x v="12"/>
    <s v="Admin/HR/IT"/>
    <s v="AMCARE NonOcc In"/>
    <s v="AMZN"/>
    <n v="112912753"/>
    <s v="Padilla Abrego,Selene"/>
    <s v="Piedra,Valentina"/>
    <n v="0"/>
    <n v="0"/>
    <n v="0"/>
    <n v="0"/>
    <n v="0.22"/>
    <e v="#N/A"/>
    <e v="#N/A"/>
  </r>
  <r>
    <x v="88"/>
    <x v="12"/>
    <s v="Admin/HR/IT"/>
    <s v="AMCARE NonOcc In"/>
    <s v="AMZN"/>
    <n v="112971962"/>
    <s v="Reyes  Montes de oca,Alejandra"/>
    <s v="Ledezma,Fer"/>
    <n v="0"/>
    <n v="0"/>
    <n v="0"/>
    <n v="0"/>
    <n v="0.72"/>
    <s v="DB-X0700"/>
    <s v="creyesal"/>
  </r>
  <r>
    <x v="88"/>
    <x v="12"/>
    <s v="Admin/HR/IT"/>
    <s v="AMCARE NonOcc In"/>
    <s v="AMZN"/>
    <n v="112971997"/>
    <s v="Nieto,Emili"/>
    <s v="Rosas Negrete,Sebastian"/>
    <n v="0"/>
    <n v="0"/>
    <n v="0"/>
    <n v="0"/>
    <n v="0.22"/>
    <s v="DA-X0700"/>
    <s v="cemilini"/>
  </r>
  <r>
    <x v="88"/>
    <x v="12"/>
    <s v="Admin/HR/IT"/>
    <s v="AMCARE NonOcc In"/>
    <s v="AMZN"/>
    <n v="112980847"/>
    <s v="Reyes,Jose"/>
    <s v="Robledo Ugarte,Alejandro"/>
    <n v="0"/>
    <n v="0"/>
    <n v="0"/>
    <n v="0"/>
    <n v="0.35"/>
    <e v="#N/A"/>
    <e v="#N/A"/>
  </r>
  <r>
    <x v="88"/>
    <x v="12"/>
    <s v="Admin/HR/IT"/>
    <s v="AMCARE NonOcc In"/>
    <s v="AMZN"/>
    <n v="112981205"/>
    <s v="Cano,Leilani"/>
    <s v="Corona Arriaga,Fernando"/>
    <n v="0"/>
    <n v="0"/>
    <n v="0"/>
    <n v="0"/>
    <n v="1.58"/>
    <e v="#N/A"/>
    <e v="#N/A"/>
  </r>
  <r>
    <x v="88"/>
    <x v="12"/>
    <s v="Admin/HR/IT"/>
    <s v="AMCARE NonOcc In"/>
    <s v="AMZN"/>
    <n v="112984097"/>
    <s v="Aguilera,Yaremi"/>
    <s v="Corona Arriaga,Fernando"/>
    <n v="0"/>
    <n v="0"/>
    <n v="0"/>
    <n v="0"/>
    <n v="0.34"/>
    <e v="#N/A"/>
    <e v="#N/A"/>
  </r>
  <r>
    <x v="88"/>
    <x v="12"/>
    <s v="Admin/HR/IT"/>
    <s v="AMCARE NonOcc In"/>
    <s v="AMZN"/>
    <n v="113003679"/>
    <s v="Ibarra,Jose"/>
    <s v="Madrid Molina,Ramon"/>
    <n v="0"/>
    <n v="0"/>
    <n v="0"/>
    <n v="0"/>
    <n v="0.27"/>
    <e v="#N/A"/>
    <e v="#N/A"/>
  </r>
  <r>
    <x v="88"/>
    <x v="12"/>
    <s v="Admin/HR/IT"/>
    <s v="AMCARE NonOcc In"/>
    <s v="AMZN"/>
    <n v="113003971"/>
    <s v="Garcia  Ramirez,Gabriel"/>
    <s v="Gomez,Abinadab"/>
    <n v="0"/>
    <n v="0"/>
    <n v="0"/>
    <n v="0"/>
    <n v="0.13"/>
    <e v="#N/A"/>
    <s v="garamird"/>
  </r>
  <r>
    <x v="88"/>
    <x v="12"/>
    <s v="Admin/HR/IT"/>
    <s v="AMCARE NonOcc In"/>
    <s v="AMZN"/>
    <n v="113101453"/>
    <s v="Isaac,Geovanna"/>
    <s v="Corona Arriaga,Fernando"/>
    <n v="0"/>
    <n v="0"/>
    <n v="0"/>
    <n v="0"/>
    <n v="0.6"/>
    <e v="#N/A"/>
    <s v="qisgeova"/>
  </r>
  <r>
    <x v="88"/>
    <x v="12"/>
    <s v="Admin/HR/IT"/>
    <s v="AMCARE NonOcc In"/>
    <s v="TEMP"/>
    <n v="200509428"/>
    <s v="Guevara Ramirez,Zayra Lorena"/>
    <s v="Corona Arriaga,Fernando"/>
    <n v="0"/>
    <n v="0"/>
    <n v="0"/>
    <n v="0"/>
    <n v="3.12"/>
    <e v="#N/A"/>
    <e v="#N/A"/>
  </r>
  <r>
    <x v="88"/>
    <x v="12"/>
    <s v="Admin/HR/IT"/>
    <s v="AMCARE NonOcc In"/>
    <s v="TEMP"/>
    <n v="200562868"/>
    <s v="Martinez Alvarez,Arturo"/>
    <s v="Gomez Aguado,Jorge"/>
    <n v="0"/>
    <n v="0"/>
    <n v="0"/>
    <n v="0"/>
    <n v="0.37"/>
    <e v="#N/A"/>
    <e v="#N/A"/>
  </r>
  <r>
    <x v="88"/>
    <x v="12"/>
    <s v="Admin/HR/IT"/>
    <s v="AMCARE NonOcc In"/>
    <s v="TEMP"/>
    <n v="201198169"/>
    <s v="Alvarado,Luis"/>
    <s v="Piedra,Valentina"/>
    <n v="0"/>
    <n v="0"/>
    <n v="0"/>
    <n v="0"/>
    <n v="0.81"/>
    <e v="#N/A"/>
    <e v="#N/A"/>
  </r>
  <r>
    <x v="89"/>
    <x v="12"/>
    <s v="Admin/HR/IT"/>
    <s v="AMCARE NonOcc In"/>
    <s v="AMZN"/>
    <n v="112972608"/>
    <s v="Hernandez Romo,Sam"/>
    <s v="Pizana,Diego"/>
    <n v="0"/>
    <n v="0"/>
    <n v="0"/>
    <n v="0"/>
    <n v="0.48"/>
    <e v="#N/A"/>
    <e v="#N/A"/>
  </r>
  <r>
    <x v="89"/>
    <x v="12"/>
    <s v="Admin/HR/IT"/>
    <s v="AMCARE NonOcc In"/>
    <s v="AMZN"/>
    <n v="112981201"/>
    <s v="Ramirez,Andrea"/>
    <s v="Corona Arriaga,Fernando"/>
    <n v="0"/>
    <n v="0"/>
    <n v="0"/>
    <n v="0"/>
    <n v="2.85"/>
    <e v="#N/A"/>
    <e v="#N/A"/>
  </r>
  <r>
    <x v="89"/>
    <x v="12"/>
    <s v="Admin/HR/IT"/>
    <s v="AMCARE NonOcc In"/>
    <s v="AMZN"/>
    <n v="112984097"/>
    <s v="Aguilera,Yaremi"/>
    <s v="Corona Arriaga,Fernando"/>
    <n v="0"/>
    <n v="0"/>
    <n v="0"/>
    <n v="0"/>
    <n v="0.39"/>
    <e v="#N/A"/>
    <e v="#N/A"/>
  </r>
  <r>
    <x v="89"/>
    <x v="12"/>
    <s v="Admin/HR/IT"/>
    <s v="AMCARE NonOcc In"/>
    <s v="AMZN"/>
    <n v="113003635"/>
    <s v="Barron,Giovanni"/>
    <s v="Gomez,Abinadab"/>
    <n v="0"/>
    <n v="0"/>
    <n v="0"/>
    <n v="0"/>
    <n v="2.88"/>
    <e v="#N/A"/>
    <s v="barrgiof"/>
  </r>
  <r>
    <x v="89"/>
    <x v="12"/>
    <s v="Admin/HR/IT"/>
    <s v="AMCARE NonOcc In"/>
    <s v="AMZN"/>
    <n v="113003679"/>
    <s v="Ibarra,Jose"/>
    <s v="Madrid Molina,Ramon"/>
    <n v="0"/>
    <n v="0"/>
    <n v="0"/>
    <n v="0"/>
    <n v="0.38"/>
    <e v="#N/A"/>
    <e v="#N/A"/>
  </r>
  <r>
    <x v="89"/>
    <x v="12"/>
    <s v="Admin/HR/IT"/>
    <s v="AMCARE NonOcc In"/>
    <s v="AMZN"/>
    <n v="113018997"/>
    <s v="Rodriguez Ponce,Gaby"/>
    <s v="Robledo Ugarte,Alejandro"/>
    <n v="0"/>
    <n v="0"/>
    <n v="0"/>
    <n v="0"/>
    <n v="0.71"/>
    <e v="#N/A"/>
    <e v="#N/A"/>
  </r>
  <r>
    <x v="89"/>
    <x v="12"/>
    <s v="Admin/HR/IT"/>
    <s v="AMCARE NonOcc In"/>
    <s v="AMZN"/>
    <n v="113020667"/>
    <s v="Martinez Becerra,Paulina"/>
    <s v="Madrid Molina,Ramon"/>
    <n v="0"/>
    <n v="0"/>
    <n v="0"/>
    <n v="0"/>
    <n v="1.22"/>
    <e v="#N/A"/>
    <s v="mavpauli"/>
  </r>
  <r>
    <x v="89"/>
    <x v="12"/>
    <s v="Admin/HR/IT"/>
    <s v="AMCARE NonOcc In"/>
    <s v="AMZN"/>
    <n v="200404250"/>
    <s v="Hurtado,Caty"/>
    <s v="Piedra,Valentina"/>
    <n v="0"/>
    <n v="0"/>
    <n v="0"/>
    <n v="0"/>
    <n v="0.63"/>
    <e v="#N/A"/>
    <s v="xcathurt"/>
  </r>
  <r>
    <x v="89"/>
    <x v="12"/>
    <s v="Admin/HR/IT"/>
    <s v="AMCARE NonOcc In"/>
    <s v="TEMP"/>
    <n v="200508315"/>
    <s v="Herrera,Aldair"/>
    <s v="Romero Sanchez,Gustavo Gabriel"/>
    <n v="0"/>
    <n v="0"/>
    <n v="0"/>
    <n v="0"/>
    <n v="0.04"/>
    <e v="#N/A"/>
    <s v="taldaher"/>
  </r>
  <r>
    <x v="89"/>
    <x v="12"/>
    <s v="Admin/HR/IT"/>
    <s v="AMCARE NonOcc In"/>
    <s v="TEMP"/>
    <n v="201158953"/>
    <s v="Martinez,Alicia"/>
    <s v="Gomez,Abinadab"/>
    <n v="0"/>
    <n v="0"/>
    <n v="0"/>
    <n v="0"/>
    <n v="0.42"/>
    <e v="#N/A"/>
    <e v="#N/A"/>
  </r>
  <r>
    <x v="89"/>
    <x v="12"/>
    <s v="Admin/HR/IT"/>
    <s v="AMCARE NonOcc In"/>
    <s v="TEMP"/>
    <n v="201167501"/>
    <s v="Rodriguez,Ruben"/>
    <s v="Corona Arriaga,Fernando"/>
    <n v="0"/>
    <n v="0"/>
    <n v="0"/>
    <n v="0"/>
    <n v="0.22"/>
    <e v="#N/A"/>
    <s v="wguanajr"/>
  </r>
  <r>
    <x v="89"/>
    <x v="12"/>
    <s v="Admin/HR/IT"/>
    <s v="AMCARE NonOcc In"/>
    <s v="TEMP"/>
    <n v="201186621"/>
    <s v="Puga,Enrique"/>
    <s v="Romero Sanchez,Gustavo Gabriel"/>
    <n v="0"/>
    <n v="0"/>
    <n v="0"/>
    <n v="0"/>
    <n v="0.43"/>
    <e v="#N/A"/>
    <e v="#N/A"/>
  </r>
  <r>
    <x v="89"/>
    <x v="12"/>
    <s v="Admin/HR/IT"/>
    <s v="AMCARE NonOcc In"/>
    <s v="TEMP"/>
    <n v="201205615"/>
    <s v="Tavares,Jorge"/>
    <s v="Robledo Ugarte,Alejandro"/>
    <n v="0"/>
    <n v="0"/>
    <n v="0"/>
    <n v="0"/>
    <n v="0.56000000000000005"/>
    <e v="#N/A"/>
    <e v="#N/A"/>
  </r>
  <r>
    <x v="90"/>
    <x v="12"/>
    <s v="Admin/HR/IT"/>
    <s v="AMCARE NonOcc In"/>
    <s v="AMZN"/>
    <n v="112912675"/>
    <s v="Alejandri Villagomez,Alejandra"/>
    <s v="Gomez,Abinadab"/>
    <n v="0"/>
    <n v="0"/>
    <n v="0"/>
    <n v="0"/>
    <n v="0.24"/>
    <e v="#N/A"/>
    <e v="#N/A"/>
  </r>
  <r>
    <x v="90"/>
    <x v="12"/>
    <s v="Admin/HR/IT"/>
    <s v="AMCARE NonOcc In"/>
    <s v="AMZN"/>
    <n v="112916497"/>
    <s v="Ascencio Mendez,Israel Isaias"/>
    <s v="Rosas Negrete,Sebastian"/>
    <n v="0"/>
    <n v="0"/>
    <n v="0"/>
    <n v="0"/>
    <n v="1.24"/>
    <e v="#N/A"/>
    <e v="#N/A"/>
  </r>
  <r>
    <x v="90"/>
    <x v="12"/>
    <s v="Admin/HR/IT"/>
    <s v="AMCARE NonOcc In"/>
    <s v="AMZN"/>
    <n v="112971980"/>
    <s v="Romero,Daniel"/>
    <s v="Pizana,Diego"/>
    <n v="0"/>
    <n v="0"/>
    <n v="0"/>
    <n v="0"/>
    <n v="0.41"/>
    <s v="DC-X0700"/>
    <s v="cdanirom"/>
  </r>
  <r>
    <x v="90"/>
    <x v="12"/>
    <s v="Admin/HR/IT"/>
    <s v="AMCARE NonOcc In"/>
    <s v="AMZN"/>
    <n v="113003679"/>
    <s v="Ibarra,Jose"/>
    <s v="Madrid Molina,Ramon"/>
    <n v="0"/>
    <n v="0"/>
    <n v="0"/>
    <n v="0"/>
    <n v="0.24"/>
    <e v="#N/A"/>
    <e v="#N/A"/>
  </r>
  <r>
    <x v="90"/>
    <x v="12"/>
    <s v="Admin/HR/IT"/>
    <s v="AMCARE NonOcc In"/>
    <s v="AMZN"/>
    <n v="113014092"/>
    <s v="Sanchez,Cristina"/>
    <s v="Romero Sanchez,Gustavo Gabriel"/>
    <n v="0"/>
    <n v="0"/>
    <n v="0"/>
    <n v="0"/>
    <n v="0.68"/>
    <e v="#N/A"/>
    <s v="rsanccri"/>
  </r>
  <r>
    <x v="90"/>
    <x v="12"/>
    <s v="Admin/HR/IT"/>
    <s v="AMCARE NonOcc In"/>
    <s v="AMZN"/>
    <n v="113019042"/>
    <s v="Gallegos Godinez,Eloy"/>
    <s v="Piedra,Valentina"/>
    <n v="0"/>
    <n v="0"/>
    <n v="0"/>
    <n v="0"/>
    <n v="0.19"/>
    <e v="#N/A"/>
    <e v="#N/A"/>
  </r>
  <r>
    <x v="90"/>
    <x v="12"/>
    <s v="Admin/HR/IT"/>
    <s v="AMCARE NonOcc In"/>
    <s v="TEMP"/>
    <n v="200564845"/>
    <s v="Barron,Abraham"/>
    <s v="Madrid Molina,Ramon"/>
    <n v="0"/>
    <n v="0"/>
    <n v="0"/>
    <n v="0"/>
    <n v="0.47"/>
    <e v="#N/A"/>
    <e v="#N/A"/>
  </r>
  <r>
    <x v="90"/>
    <x v="12"/>
    <s v="Admin/HR/IT"/>
    <s v="AMCARE NonOcc In"/>
    <s v="TEMP"/>
    <n v="200589316"/>
    <s v="Torres Zuniga,Daniel"/>
    <s v="Madrid Molina,Ramon"/>
    <n v="0"/>
    <n v="0"/>
    <n v="0"/>
    <n v="0"/>
    <n v="0.23"/>
    <e v="#N/A"/>
    <e v="#N/A"/>
  </r>
  <r>
    <x v="90"/>
    <x v="12"/>
    <s v="Admin/HR/IT"/>
    <s v="AMCARE NonOcc In"/>
    <s v="TEMP"/>
    <n v="200614224"/>
    <s v="Cruz Hernandez,Cris"/>
    <s v="Ledezma,Fer"/>
    <n v="0"/>
    <n v="0"/>
    <n v="0"/>
    <n v="0"/>
    <n v="0.46"/>
    <e v="#N/A"/>
    <e v="#N/A"/>
  </r>
  <r>
    <x v="90"/>
    <x v="12"/>
    <s v="Admin/HR/IT"/>
    <s v="AMCARE NonOcc In"/>
    <s v="TEMP"/>
    <n v="200625528"/>
    <s v="Oliva,Lizbeth"/>
    <s v="Gomez Aguado,Jorge"/>
    <n v="0"/>
    <n v="0"/>
    <n v="0"/>
    <n v="0"/>
    <n v="0.13"/>
    <e v="#N/A"/>
    <s v="olivlizb"/>
  </r>
  <r>
    <x v="90"/>
    <x v="12"/>
    <s v="Admin/HR/IT"/>
    <s v="AMCARE NonOcc In"/>
    <s v="TEMP"/>
    <n v="201191390"/>
    <s v="GarcÃ­a,jesus"/>
    <s v="Romero Sanchez,Gustavo Gabriel"/>
    <n v="0"/>
    <n v="0"/>
    <n v="0"/>
    <n v="0"/>
    <n v="14.09"/>
    <e v="#N/A"/>
    <s v="bgajesus"/>
  </r>
  <r>
    <x v="90"/>
    <x v="12"/>
    <s v="Admin/HR/IT"/>
    <s v="AMCARE NonOcc In"/>
    <s v="TEMP"/>
    <n v="201198370"/>
    <s v="Hernandez,Briana"/>
    <s v="Ledezma,Fer"/>
    <n v="0"/>
    <n v="0"/>
    <n v="0"/>
    <n v="0"/>
    <n v="0.57999999999999996"/>
    <e v="#N/A"/>
    <e v="#N/A"/>
  </r>
  <r>
    <x v="90"/>
    <x v="12"/>
    <s v="Admin/HR/IT"/>
    <s v="AMCARE NonOcc In"/>
    <s v="TEMP"/>
    <n v="201198890"/>
    <s v="Gomez,Karla"/>
    <s v="Gomez,Abinadab"/>
    <n v="0"/>
    <n v="0"/>
    <n v="0"/>
    <n v="0"/>
    <n v="0.11"/>
    <e v="#N/A"/>
    <e v="#N/A"/>
  </r>
  <r>
    <x v="90"/>
    <x v="12"/>
    <s v="Admin/HR/IT"/>
    <s v="AMCARE NonOcc In"/>
    <s v="TEMP"/>
    <n v="201219225"/>
    <s v="Moreno Bermudez,Rogelio"/>
    <s v="Corona Arriaga,Fernando"/>
    <n v="0"/>
    <n v="0"/>
    <n v="0"/>
    <n v="0"/>
    <n v="0.83"/>
    <e v="#N/A"/>
    <e v="#N/A"/>
  </r>
  <r>
    <x v="90"/>
    <x v="12"/>
    <s v="Admin/HR/IT"/>
    <s v="AMCARE NonOcc In"/>
    <s v="TEMP"/>
    <n v="201221772"/>
    <s v="Gonzalez Olmos,Dariana"/>
    <s v="Corona Arriaga,Fernando"/>
    <n v="0"/>
    <n v="0"/>
    <n v="0"/>
    <n v="0"/>
    <n v="1.44"/>
    <e v="#N/A"/>
    <s v="godariah"/>
  </r>
  <r>
    <x v="90"/>
    <x v="12"/>
    <s v="Admin/HR/IT"/>
    <s v="AMCARE NonOcc In"/>
    <s v="TEMP"/>
    <n v="201223730"/>
    <s v="Sanchiz,Cesarito"/>
    <s v="Hernandez Padilla,Daniel"/>
    <n v="0"/>
    <n v="0"/>
    <n v="0"/>
    <n v="0"/>
    <n v="0.14000000000000001"/>
    <e v="#N/A"/>
    <s v="cesarito"/>
  </r>
  <r>
    <x v="91"/>
    <x v="12"/>
    <s v="Admin/HR/IT"/>
    <s v="AMCARE NonOcc In"/>
    <s v="AMZN"/>
    <n v="112912464"/>
    <s v="Garcia Nicasio,Luis"/>
    <s v="Cortes,Alejandra"/>
    <n v="0"/>
    <n v="0"/>
    <n v="0"/>
    <n v="0"/>
    <n v="0.21"/>
    <e v="#N/A"/>
    <e v="#N/A"/>
  </r>
  <r>
    <x v="91"/>
    <x v="12"/>
    <s v="Admin/HR/IT"/>
    <s v="AMCARE NonOcc In"/>
    <s v="AMZN"/>
    <n v="112973049"/>
    <s v="Tavares Parra,Ely"/>
    <s v="Romero Sanchez,Gustavo Gabriel"/>
    <n v="0"/>
    <n v="0"/>
    <n v="0"/>
    <n v="0"/>
    <n v="0.13"/>
    <s v="DB-X0700"/>
    <s v="afatimae"/>
  </r>
  <r>
    <x v="91"/>
    <x v="12"/>
    <s v="Admin/HR/IT"/>
    <s v="AMCARE NonOcc In"/>
    <s v="AMZN"/>
    <n v="113014092"/>
    <s v="Sanchez,Cristina"/>
    <s v="Romero Sanchez,Gustavo Gabriel"/>
    <n v="0"/>
    <n v="0"/>
    <n v="0"/>
    <n v="0"/>
    <n v="0.21"/>
    <e v="#N/A"/>
    <s v="rsanccri"/>
  </r>
  <r>
    <x v="91"/>
    <x v="12"/>
    <s v="Admin/HR/IT"/>
    <s v="AMCARE NonOcc In"/>
    <s v="AMZN"/>
    <n v="113040585"/>
    <s v="DurÃ¡n Aranda,Luis"/>
    <s v="Madrid Molina,Ramon"/>
    <n v="0"/>
    <n v="0"/>
    <n v="0"/>
    <n v="0"/>
    <n v="0.3"/>
    <e v="#N/A"/>
    <e v="#N/A"/>
  </r>
  <r>
    <x v="91"/>
    <x v="12"/>
    <s v="Admin/HR/IT"/>
    <s v="AMCARE NonOcc In"/>
    <s v="TEMP"/>
    <n v="200508315"/>
    <s v="Herrera,Aldair"/>
    <s v="Romero Sanchez,Gustavo Gabriel"/>
    <n v="0"/>
    <n v="0"/>
    <n v="0"/>
    <n v="0"/>
    <n v="0.03"/>
    <e v="#N/A"/>
    <s v="taldaher"/>
  </r>
  <r>
    <x v="91"/>
    <x v="12"/>
    <s v="Admin/HR/IT"/>
    <s v="AMCARE NonOcc In"/>
    <s v="TEMP"/>
    <n v="200614224"/>
    <s v="Cruz Hernandez,Cris"/>
    <s v="Ledezma,Fer"/>
    <n v="0"/>
    <n v="0"/>
    <n v="0"/>
    <n v="0"/>
    <n v="0.27"/>
    <e v="#N/A"/>
    <e v="#N/A"/>
  </r>
  <r>
    <x v="91"/>
    <x v="12"/>
    <s v="Admin/HR/IT"/>
    <s v="AMCARE NonOcc In"/>
    <s v="TEMP"/>
    <n v="200615883"/>
    <s v="Ibarra Amaro,Adriana"/>
    <s v="Madrid Molina,Ramon"/>
    <n v="0"/>
    <n v="0"/>
    <n v="0"/>
    <n v="0"/>
    <n v="0.11"/>
    <e v="#N/A"/>
    <e v="#N/A"/>
  </r>
  <r>
    <x v="91"/>
    <x v="12"/>
    <s v="Admin/HR/IT"/>
    <s v="AMCARE NonOcc In"/>
    <s v="TEMP"/>
    <n v="201167517"/>
    <s v="Espinoza Lopez,Magdal"/>
    <s v="Ledezma,Fer"/>
    <n v="0"/>
    <n v="0"/>
    <n v="0"/>
    <n v="0"/>
    <n v="1.27"/>
    <e v="#N/A"/>
    <e v="#N/A"/>
  </r>
  <r>
    <x v="91"/>
    <x v="12"/>
    <s v="Admin/HR/IT"/>
    <s v="AMCARE NonOcc In"/>
    <s v="TEMP"/>
    <n v="201191390"/>
    <s v="GarcÃ­a,jesus"/>
    <s v="Romero Sanchez,Gustavo Gabriel"/>
    <n v="0"/>
    <n v="0"/>
    <n v="0"/>
    <n v="0"/>
    <n v="10.09"/>
    <e v="#N/A"/>
    <s v="bgajesus"/>
  </r>
  <r>
    <x v="91"/>
    <x v="12"/>
    <s v="Admin/HR/IT"/>
    <s v="AMCARE NonOcc In"/>
    <s v="TEMP"/>
    <n v="201198890"/>
    <s v="Gomez,Karla"/>
    <s v="Gomez,Abinadab"/>
    <n v="0"/>
    <n v="0"/>
    <n v="0"/>
    <n v="0"/>
    <n v="0.53"/>
    <e v="#N/A"/>
    <e v="#N/A"/>
  </r>
  <r>
    <x v="91"/>
    <x v="12"/>
    <s v="Admin/HR/IT"/>
    <s v="AMCARE NonOcc In"/>
    <s v="TEMP"/>
    <n v="201204937"/>
    <s v="Vazquez,Carmen"/>
    <s v="Ledezma,Fer"/>
    <n v="0"/>
    <n v="0"/>
    <n v="0"/>
    <n v="0"/>
    <n v="0.78"/>
    <e v="#N/A"/>
    <e v="#N/A"/>
  </r>
  <r>
    <x v="91"/>
    <x v="12"/>
    <s v="Admin/HR/IT"/>
    <s v="AMCARE NonOcc In"/>
    <s v="TEMP"/>
    <n v="201211157"/>
    <s v="Vargas,Jesse"/>
    <s v="Gomez,Abinadab"/>
    <n v="0"/>
    <n v="0"/>
    <n v="0"/>
    <n v="0"/>
    <n v="0.42"/>
    <e v="#N/A"/>
    <s v="vargajed"/>
  </r>
  <r>
    <x v="91"/>
    <x v="12"/>
    <s v="Admin/HR/IT"/>
    <s v="AMCARE NonOcc In"/>
    <s v="TEMP"/>
    <n v="201219500"/>
    <s v="Mazy,RamsÃ©s"/>
    <s v="Ledezma,Fer"/>
    <n v="0"/>
    <n v="0"/>
    <n v="0"/>
    <n v="0"/>
    <n v="0.21"/>
    <e v="#N/A"/>
    <s v="ramsmazy"/>
  </r>
  <r>
    <x v="91"/>
    <x v="12"/>
    <s v="Admin/HR/IT"/>
    <s v="AMCARE NonOcc In"/>
    <s v="TEMP"/>
    <n v="201228411"/>
    <s v="Hernandez Soriano,Jazmin"/>
    <s v="Hernandez Padilla,Daniel"/>
    <n v="0"/>
    <n v="0"/>
    <n v="0"/>
    <n v="0"/>
    <n v="0.31"/>
    <e v="#N/A"/>
    <s v="jazmiwhe"/>
  </r>
  <r>
    <x v="92"/>
    <x v="13"/>
    <s v="Admin/HR/IT"/>
    <s v="AMCARE NonOcc In"/>
    <s v="AMZN"/>
    <n v="112971962"/>
    <s v="Reyes  Montes de oca,Alejandra"/>
    <s v="Ledezma,Fer"/>
    <n v="0"/>
    <n v="0"/>
    <n v="0"/>
    <n v="0"/>
    <n v="0.35"/>
    <s v="DB-X0700"/>
    <s v="creyesal"/>
  </r>
  <r>
    <x v="92"/>
    <x v="13"/>
    <s v="Admin/HR/IT"/>
    <s v="AMCARE NonOcc In"/>
    <s v="AMZN"/>
    <n v="112981201"/>
    <s v="Ramirez,Andrea"/>
    <s v="Morales Beristain,Sugeyt"/>
    <n v="0"/>
    <n v="0"/>
    <n v="0"/>
    <n v="0"/>
    <n v="0.37"/>
    <e v="#N/A"/>
    <e v="#N/A"/>
  </r>
  <r>
    <x v="92"/>
    <x v="13"/>
    <s v="Admin/HR/IT"/>
    <s v="AMCARE NonOcc In"/>
    <s v="AMZN"/>
    <n v="200404250"/>
    <s v="Hurtado,Caty"/>
    <s v="Piedra,Valentina"/>
    <n v="0"/>
    <n v="0"/>
    <n v="0"/>
    <n v="0"/>
    <n v="0.23"/>
    <e v="#N/A"/>
    <s v="xcathurt"/>
  </r>
  <r>
    <x v="92"/>
    <x v="13"/>
    <s v="Admin/HR/IT"/>
    <s v="AMCARE NonOcc In"/>
    <s v="TEMP"/>
    <n v="200509428"/>
    <s v="Guevara Ramirez,Zayra Lorena"/>
    <s v="Morales Beristain,Sugeyt"/>
    <n v="0"/>
    <n v="0"/>
    <n v="0"/>
    <n v="0"/>
    <n v="0.14000000000000001"/>
    <e v="#N/A"/>
    <e v="#N/A"/>
  </r>
  <r>
    <x v="92"/>
    <x v="13"/>
    <s v="Admin/HR/IT"/>
    <s v="AMCARE NonOcc In"/>
    <s v="TEMP"/>
    <n v="200574655"/>
    <s v="Mireles,Dulce"/>
    <s v="Morales Beristain,Sugeyt"/>
    <n v="0"/>
    <n v="0"/>
    <n v="0"/>
    <n v="0"/>
    <n v="0.32"/>
    <e v="#N/A"/>
    <s v="dulceami"/>
  </r>
  <r>
    <x v="93"/>
    <x v="13"/>
    <s v="Admin/HR/IT"/>
    <s v="AMCARE NonOcc In"/>
    <s v="AMZN"/>
    <n v="111434478"/>
    <s v="Gutierrez,Pame"/>
    <s v="Garcia Espejel,Brenda Victoria"/>
    <n v="0"/>
    <n v="0"/>
    <n v="0"/>
    <n v="0"/>
    <n v="0.74"/>
    <s v="DA-X0700"/>
    <s v="juanapam"/>
  </r>
  <r>
    <x v="93"/>
    <x v="13"/>
    <s v="Admin/HR/IT"/>
    <s v="AMCARE NonOcc In"/>
    <s v="AMZN"/>
    <n v="112912745"/>
    <s v="Gomez Meza,Alex"/>
    <s v="Robledo Ugarte,Alejandro"/>
    <n v="0"/>
    <n v="0"/>
    <n v="0"/>
    <n v="0"/>
    <n v="0.99"/>
    <s v="DA-X0700"/>
    <s v="nalexgom"/>
  </r>
  <r>
    <x v="93"/>
    <x v="13"/>
    <s v="Admin/HR/IT"/>
    <s v="AMCARE NonOcc In"/>
    <s v="AMZN"/>
    <n v="112971961"/>
    <s v="Lopez,Jason"/>
    <s v="Camarena,Grecia"/>
    <n v="0"/>
    <n v="0"/>
    <n v="0"/>
    <n v="0"/>
    <n v="0.11"/>
    <e v="#N/A"/>
    <e v="#N/A"/>
  </r>
  <r>
    <x v="93"/>
    <x v="13"/>
    <s v="Admin/HR/IT"/>
    <s v="AMCARE NonOcc In"/>
    <s v="AMZN"/>
    <n v="112981014"/>
    <s v="Roldan Gutierrez,Pablo"/>
    <s v="Robledo Ugarte,Alejandro"/>
    <n v="0"/>
    <n v="0"/>
    <n v="0"/>
    <n v="0"/>
    <n v="0.21"/>
    <s v="DJ-X0700"/>
    <s v="rpabloul"/>
  </r>
  <r>
    <x v="93"/>
    <x v="13"/>
    <s v="Admin/HR/IT"/>
    <s v="AMCARE NonOcc In"/>
    <s v="AMZN"/>
    <n v="200404250"/>
    <s v="Hurtado,Caty"/>
    <s v="Piedra,Valentina"/>
    <n v="0"/>
    <n v="0"/>
    <n v="0"/>
    <n v="0"/>
    <n v="0.95"/>
    <e v="#N/A"/>
    <s v="xcathurt"/>
  </r>
  <r>
    <x v="93"/>
    <x v="13"/>
    <s v="Admin/HR/IT"/>
    <s v="AMCARE NonOcc In"/>
    <s v="TEMP"/>
    <n v="200562154"/>
    <s v="Reyes Muniz,Cristian"/>
    <s v="Gomez,Abinadab"/>
    <n v="0"/>
    <n v="0"/>
    <n v="0"/>
    <n v="0"/>
    <n v="1.08"/>
    <e v="#N/A"/>
    <s v="reyesmcw"/>
  </r>
  <r>
    <x v="93"/>
    <x v="13"/>
    <s v="Admin/HR/IT"/>
    <s v="AMCARE NonOcc In"/>
    <s v="TEMP"/>
    <n v="201198169"/>
    <s v="Alvarado,Jose"/>
    <s v="Piedra,Valentina"/>
    <n v="0"/>
    <n v="0"/>
    <n v="0"/>
    <n v="0"/>
    <n v="0.3"/>
    <e v="#N/A"/>
    <e v="#N/A"/>
  </r>
  <r>
    <x v="94"/>
    <x v="13"/>
    <s v="Admin/HR/IT"/>
    <s v="AMCARE NonOcc In"/>
    <s v="TEMP"/>
    <n v="201219225"/>
    <s v="Moreno Bermudez,Rogelio"/>
    <s v="Morales Beristain,Sugeyt"/>
    <n v="0"/>
    <n v="0"/>
    <n v="0"/>
    <n v="0"/>
    <n v="0.18"/>
    <e v="#N/A"/>
    <e v="#N/A"/>
  </r>
  <r>
    <x v="94"/>
    <x v="13"/>
    <s v="Admin/HR/IT"/>
    <s v="AMCARE NonOcc In"/>
    <s v="AMZN"/>
    <n v="103979960"/>
    <s v="Suchil Angel,Guillermo"/>
    <s v="Corona Arriaga,Fernando"/>
    <n v="0"/>
    <n v="0"/>
    <n v="0"/>
    <n v="0"/>
    <n v="0.38"/>
    <e v="#N/A"/>
    <e v="#N/A"/>
  </r>
  <r>
    <x v="94"/>
    <x v="13"/>
    <s v="Admin/HR/IT"/>
    <s v="AMCARE NonOcc In"/>
    <s v="AMZN"/>
    <n v="112912049"/>
    <s v="Vazquez Rodriguez,Christian"/>
    <s v="Pizana,Diego"/>
    <n v="0"/>
    <n v="0"/>
    <n v="0"/>
    <n v="0"/>
    <n v="0.19"/>
    <s v="NF-X1900"/>
    <s v="zchvazqu"/>
  </r>
  <r>
    <x v="94"/>
    <x v="13"/>
    <s v="Admin/HR/IT"/>
    <s v="AMCARE NonOcc In"/>
    <s v="AMZN"/>
    <n v="112981201"/>
    <s v="Ramirez,Andrea"/>
    <s v="Corona Arriaga,Fernando"/>
    <n v="0"/>
    <n v="0"/>
    <n v="0"/>
    <n v="0"/>
    <n v="4.79"/>
    <e v="#N/A"/>
    <e v="#N/A"/>
  </r>
  <r>
    <x v="94"/>
    <x v="13"/>
    <s v="Admin/HR/IT"/>
    <s v="AMCARE NonOcc In"/>
    <s v="AMZN"/>
    <n v="113003631"/>
    <s v="Ortega,Elizabeth"/>
    <s v="Gomez Aguado,Jorge"/>
    <n v="0"/>
    <n v="0"/>
    <n v="0"/>
    <n v="0"/>
    <n v="0.17"/>
    <e v="#N/A"/>
    <e v="#N/A"/>
  </r>
  <r>
    <x v="94"/>
    <x v="13"/>
    <s v="Admin/HR/IT"/>
    <s v="AMCARE NonOcc In"/>
    <s v="AMZN"/>
    <n v="113014470"/>
    <s v="Aguilar Ibarra,Lupe"/>
    <s v="Corona Arriaga,Fernando"/>
    <n v="0"/>
    <n v="0"/>
    <n v="0"/>
    <n v="0"/>
    <n v="0.97"/>
    <e v="#N/A"/>
    <s v="lupaguin"/>
  </r>
  <r>
    <x v="94"/>
    <x v="13"/>
    <s v="Admin/HR/IT"/>
    <s v="AMCARE NonOcc In"/>
    <s v="AMZN"/>
    <n v="113019111"/>
    <s v="Valdespino,Kelly"/>
    <s v="Piedra,Valentina"/>
    <n v="0"/>
    <n v="0"/>
    <n v="0"/>
    <n v="0"/>
    <n v="2.0499999999999998"/>
    <e v="#N/A"/>
    <s v="valdkell"/>
  </r>
  <r>
    <x v="94"/>
    <x v="13"/>
    <s v="Admin/HR/IT"/>
    <s v="AMCARE NonOcc In"/>
    <s v="AMZN"/>
    <n v="113044620"/>
    <s v="Jasso Miranda,Aldo"/>
    <s v="Corona Arriaga,Fernando"/>
    <n v="0"/>
    <n v="0"/>
    <n v="0"/>
    <n v="0"/>
    <n v="0.28000000000000003"/>
    <e v="#N/A"/>
    <s v="aldojasw"/>
  </r>
  <r>
    <x v="94"/>
    <x v="13"/>
    <s v="Admin/HR/IT"/>
    <s v="AMCARE NonOcc In"/>
    <s v="AMZN"/>
    <n v="200404250"/>
    <s v="Hurtado,Caty"/>
    <s v="Piedra,Valentina"/>
    <n v="0"/>
    <n v="0"/>
    <n v="0"/>
    <n v="0"/>
    <n v="0.68"/>
    <e v="#N/A"/>
    <s v="xcathurt"/>
  </r>
  <r>
    <x v="94"/>
    <x v="13"/>
    <s v="Admin/HR/IT"/>
    <s v="AMCARE NonOcc In"/>
    <s v="TEMP"/>
    <n v="200562868"/>
    <s v="Martinez Alvarez,Arturo"/>
    <s v="Gomez Aguado,Jorge"/>
    <n v="0"/>
    <n v="0"/>
    <n v="0"/>
    <n v="0"/>
    <n v="0.28000000000000003"/>
    <e v="#N/A"/>
    <e v="#N/A"/>
  </r>
  <r>
    <x v="94"/>
    <x v="13"/>
    <s v="Admin/HR/IT"/>
    <s v="AMCARE NonOcc In"/>
    <s v="TEMP"/>
    <n v="200565197"/>
    <s v="Avila,Mary"/>
    <s v="Piedra,Valentina"/>
    <n v="0"/>
    <n v="0"/>
    <n v="0"/>
    <n v="0"/>
    <n v="0.54"/>
    <e v="#N/A"/>
    <e v="#N/A"/>
  </r>
  <r>
    <x v="94"/>
    <x v="13"/>
    <s v="Admin/HR/IT"/>
    <s v="AMCARE NonOcc In"/>
    <s v="TEMP"/>
    <n v="200574345"/>
    <s v="Contreras,Jony"/>
    <s v="Piedra,Valentina"/>
    <n v="0"/>
    <n v="0"/>
    <n v="0"/>
    <n v="0"/>
    <n v="0.27"/>
    <e v="#N/A"/>
    <s v="contrexj"/>
  </r>
  <r>
    <x v="94"/>
    <x v="13"/>
    <s v="Admin/HR/IT"/>
    <s v="AMCARE NonOcc In"/>
    <s v="TEMP"/>
    <n v="200589316"/>
    <s v="Torres Zuniga,Daniel"/>
    <s v="Madrid Molina,Ramon"/>
    <n v="0"/>
    <n v="0"/>
    <n v="0"/>
    <n v="0"/>
    <n v="3.33"/>
    <e v="#N/A"/>
    <e v="#N/A"/>
  </r>
  <r>
    <x v="94"/>
    <x v="13"/>
    <s v="Admin/HR/IT"/>
    <s v="AMCARE NonOcc In"/>
    <s v="TEMP"/>
    <n v="200625528"/>
    <s v="Oliva,Lizbeth"/>
    <s v="Gomez Aguado,Jorge"/>
    <n v="0"/>
    <n v="0"/>
    <n v="0"/>
    <n v="0"/>
    <n v="0.14000000000000001"/>
    <e v="#N/A"/>
    <s v="olivlizb"/>
  </r>
  <r>
    <x v="95"/>
    <x v="13"/>
    <s v="Admin/HR/IT"/>
    <s v="AMCARE NonOcc In"/>
    <s v="TEMP"/>
    <n v="112912007"/>
    <s v="Robledo Barrientos,Alondra"/>
    <s v="Robledo Ugarte,Alejandro"/>
    <n v="0"/>
    <n v="0"/>
    <n v="0"/>
    <n v="0"/>
    <n v="0.65"/>
    <e v="#N/A"/>
    <e v="#N/A"/>
  </r>
  <r>
    <x v="95"/>
    <x v="13"/>
    <s v="Admin/HR/IT"/>
    <s v="AMCARE NonOcc In"/>
    <s v="AMZN"/>
    <n v="112912753"/>
    <s v="Padilla Abrego,Selene"/>
    <s v="Piedra,Valentina"/>
    <n v="0"/>
    <n v="0"/>
    <n v="0"/>
    <n v="0"/>
    <n v="0.27"/>
    <e v="#N/A"/>
    <e v="#N/A"/>
  </r>
  <r>
    <x v="95"/>
    <x v="13"/>
    <s v="Admin/HR/IT"/>
    <s v="AMCARE NonOcc In"/>
    <s v="AMZN"/>
    <n v="112972523"/>
    <s v="Briones,Neto"/>
    <s v="Pizana,Diego"/>
    <n v="0"/>
    <n v="0"/>
    <n v="0"/>
    <n v="0"/>
    <n v="0.51"/>
    <e v="#N/A"/>
    <e v="#N/A"/>
  </r>
  <r>
    <x v="95"/>
    <x v="13"/>
    <s v="Admin/HR/IT"/>
    <s v="AMCARE NonOcc In"/>
    <s v="AMZN"/>
    <n v="113003635"/>
    <s v="Barron,Giovanni"/>
    <s v="Gomez,Abinadab"/>
    <n v="0"/>
    <n v="0"/>
    <n v="0"/>
    <n v="0"/>
    <n v="0.33"/>
    <e v="#N/A"/>
    <s v="barrgiof"/>
  </r>
  <r>
    <x v="95"/>
    <x v="13"/>
    <s v="Admin/HR/IT"/>
    <s v="AMCARE NonOcc In"/>
    <s v="AMZN"/>
    <n v="113014081"/>
    <s v="Frausto,Genesis"/>
    <s v="Piedra,Valentina"/>
    <n v="0"/>
    <n v="0"/>
    <n v="0"/>
    <n v="0"/>
    <n v="0.16"/>
    <e v="#N/A"/>
    <s v="fraugene"/>
  </r>
  <r>
    <x v="95"/>
    <x v="13"/>
    <s v="Admin/HR/IT"/>
    <s v="AMCARE NonOcc In"/>
    <s v="AMZN"/>
    <n v="113014403"/>
    <s v="Arias Sanchez,Nora"/>
    <s v="Piedra,Valentina"/>
    <n v="0"/>
    <n v="0"/>
    <n v="0"/>
    <n v="0"/>
    <n v="1.89"/>
    <e v="#N/A"/>
    <s v="wnoraria"/>
  </r>
  <r>
    <x v="95"/>
    <x v="13"/>
    <s v="Admin/HR/IT"/>
    <s v="AMCARE NonOcc In"/>
    <s v="AMZN"/>
    <n v="113018997"/>
    <s v="Rodriguez Ponce,Gaby"/>
    <s v="Gomez,Abinadab"/>
    <n v="0"/>
    <n v="0"/>
    <n v="0"/>
    <n v="0"/>
    <n v="1.18"/>
    <e v="#N/A"/>
    <e v="#N/A"/>
  </r>
  <r>
    <x v="95"/>
    <x v="13"/>
    <s v="Admin/HR/IT"/>
    <s v="AMCARE NonOcc In"/>
    <s v="AMZN"/>
    <n v="113019111"/>
    <s v="Valdespino,Kelly"/>
    <s v="Piedra,Valentina"/>
    <n v="0"/>
    <n v="0"/>
    <n v="0"/>
    <n v="0"/>
    <n v="0.37"/>
    <e v="#N/A"/>
    <s v="valdkell"/>
  </r>
  <r>
    <x v="95"/>
    <x v="13"/>
    <s v="Admin/HR/IT"/>
    <s v="AMCARE NonOcc In"/>
    <s v="AMZN"/>
    <n v="113044620"/>
    <s v="Jasso Miranda,Aldo"/>
    <s v="Corona Arriaga,Fernando"/>
    <n v="0"/>
    <n v="0"/>
    <n v="0"/>
    <n v="0"/>
    <n v="0.18"/>
    <e v="#N/A"/>
    <s v="aldojasw"/>
  </r>
  <r>
    <x v="95"/>
    <x v="13"/>
    <s v="Admin/HR/IT"/>
    <s v="AMCARE NonOcc In"/>
    <s v="TEMP"/>
    <n v="200574345"/>
    <s v="Contreras,Jony"/>
    <s v="Piedra,Valentina"/>
    <n v="0"/>
    <n v="0"/>
    <n v="0"/>
    <n v="0"/>
    <n v="0.16"/>
    <e v="#N/A"/>
    <s v="contrexj"/>
  </r>
  <r>
    <x v="95"/>
    <x v="13"/>
    <s v="Admin/HR/IT"/>
    <s v="AMCARE NonOcc In"/>
    <s v="TEMP"/>
    <n v="201160146"/>
    <s v="Avila,priscila"/>
    <s v="Ledezma,Fer"/>
    <n v="0"/>
    <n v="0"/>
    <n v="0"/>
    <n v="0"/>
    <n v="0.89"/>
    <e v="#N/A"/>
    <e v="#N/A"/>
  </r>
  <r>
    <x v="95"/>
    <x v="13"/>
    <s v="Admin/HR/IT"/>
    <s v="AMCARE NonOcc In"/>
    <s v="TEMP"/>
    <n v="201185277"/>
    <s v="GamiÃ±o,Fany"/>
    <s v="Corona Arriaga,Fernando"/>
    <n v="0"/>
    <n v="0"/>
    <n v="0"/>
    <n v="0"/>
    <n v="0.33"/>
    <e v="#N/A"/>
    <e v="#N/A"/>
  </r>
  <r>
    <x v="95"/>
    <x v="13"/>
    <s v="Admin/HR/IT"/>
    <s v="AMCARE NonOcc In"/>
    <s v="TEMP"/>
    <n v="201186777"/>
    <s v="Monzon,Berenice"/>
    <s v="Madrid Molina,Ramon"/>
    <n v="0"/>
    <n v="0"/>
    <n v="0"/>
    <n v="0"/>
    <n v="0.32"/>
    <e v="#N/A"/>
    <s v="bemonzon"/>
  </r>
  <r>
    <x v="96"/>
    <x v="13"/>
    <s v="Admin/HR/IT"/>
    <s v="AMCARE NonOcc In"/>
    <s v="AMZN"/>
    <n v="112912049"/>
    <s v="Vazquez Rodriguez,Christian"/>
    <s v="Pizana,Diego"/>
    <n v="0"/>
    <n v="0"/>
    <n v="0"/>
    <n v="0"/>
    <n v="0.14000000000000001"/>
    <s v="NF-X1900"/>
    <s v="zchvazqu"/>
  </r>
  <r>
    <x v="96"/>
    <x v="13"/>
    <s v="Admin/HR/IT"/>
    <s v="AMCARE NonOcc In"/>
    <s v="AMZN"/>
    <n v="112912753"/>
    <s v="Padilla Abrego,Selene"/>
    <s v="Piedra,Valentina"/>
    <n v="0"/>
    <n v="0"/>
    <n v="0"/>
    <n v="0"/>
    <n v="1.05"/>
    <e v="#N/A"/>
    <e v="#N/A"/>
  </r>
  <r>
    <x v="96"/>
    <x v="13"/>
    <s v="Admin/HR/IT"/>
    <s v="AMCARE NonOcc In"/>
    <s v="AMZN"/>
    <n v="112971962"/>
    <s v="Reyes  Montes de oca,Alejandra"/>
    <s v="Ledezma,Fer"/>
    <n v="0"/>
    <n v="0"/>
    <n v="0"/>
    <n v="0"/>
    <n v="0.3"/>
    <s v="DB-X0700"/>
    <s v="creyesal"/>
  </r>
  <r>
    <x v="96"/>
    <x v="13"/>
    <s v="Admin/HR/IT"/>
    <s v="AMCARE NonOcc In"/>
    <s v="AMZN"/>
    <n v="112972524"/>
    <s v="Santibanez Garcia,Luisa"/>
    <s v="Rosas Negrete,Sebastian"/>
    <n v="0"/>
    <n v="0"/>
    <n v="0"/>
    <n v="0"/>
    <n v="1.41"/>
    <s v="DB-X0700"/>
    <s v="csantibl"/>
  </r>
  <r>
    <x v="96"/>
    <x v="13"/>
    <s v="Admin/HR/IT"/>
    <s v="AMCARE NonOcc In"/>
    <s v="AMZN"/>
    <n v="112980812"/>
    <s v="Jacobo,Mary"/>
    <s v="Romero Sanchez,Gustavo Gabriel"/>
    <n v="0"/>
    <n v="0"/>
    <n v="0"/>
    <n v="0"/>
    <n v="0.13"/>
    <s v="DA-X0700"/>
    <s v="maryjacp"/>
  </r>
  <r>
    <x v="96"/>
    <x v="13"/>
    <s v="Admin/HR/IT"/>
    <s v="AMCARE NonOcc In"/>
    <s v="AMZN"/>
    <n v="112991248"/>
    <s v="Cabrera Velazquez,Sandy"/>
    <s v="Romero Sanchez,Gustavo Gabriel"/>
    <n v="0"/>
    <n v="0"/>
    <n v="0"/>
    <n v="0"/>
    <n v="0.1"/>
    <e v="#N/A"/>
    <e v="#N/A"/>
  </r>
  <r>
    <x v="96"/>
    <x v="13"/>
    <s v="Admin/HR/IT"/>
    <s v="AMCARE NonOcc In"/>
    <s v="AMZN"/>
    <n v="113003679"/>
    <s v="Ibarra,Jose"/>
    <s v="Madrid Molina,Ramon"/>
    <n v="0"/>
    <n v="0"/>
    <n v="0"/>
    <n v="0"/>
    <n v="0.16"/>
    <e v="#N/A"/>
    <e v="#N/A"/>
  </r>
  <r>
    <x v="96"/>
    <x v="13"/>
    <s v="Admin/HR/IT"/>
    <s v="AMCARE NonOcc In"/>
    <s v="TEMP"/>
    <n v="200509428"/>
    <s v="Guevara Ramirez,Zayra Lorena"/>
    <s v="Corona Arriaga,Fernando"/>
    <n v="0"/>
    <n v="0"/>
    <n v="0"/>
    <n v="0"/>
    <n v="0.62"/>
    <e v="#N/A"/>
    <e v="#N/A"/>
  </r>
  <r>
    <x v="96"/>
    <x v="13"/>
    <s v="Admin/HR/IT"/>
    <s v="AMCARE NonOcc In"/>
    <s v="TEMP"/>
    <n v="200534675"/>
    <s v="Munoz Macias,Juan Pablo"/>
    <s v="Ledezma,Fer"/>
    <n v="0"/>
    <n v="0"/>
    <n v="0"/>
    <n v="0"/>
    <n v="0.12"/>
    <e v="#N/A"/>
    <s v="juanpmun"/>
  </r>
  <r>
    <x v="96"/>
    <x v="13"/>
    <s v="Admin/HR/IT"/>
    <s v="AMCARE NonOcc In"/>
    <s v="TEMP"/>
    <n v="200574345"/>
    <s v="Contreras,Jony"/>
    <s v="Piedra,Valentina"/>
    <n v="0"/>
    <n v="0"/>
    <n v="0"/>
    <n v="0"/>
    <n v="0.15"/>
    <e v="#N/A"/>
    <s v="contrexj"/>
  </r>
  <r>
    <x v="96"/>
    <x v="13"/>
    <s v="Admin/HR/IT"/>
    <s v="AMCARE NonOcc In"/>
    <s v="TEMP"/>
    <n v="201165769"/>
    <s v="Puente,Karen"/>
    <s v="Gomez Aguado,Jorge"/>
    <n v="0"/>
    <n v="0"/>
    <n v="0"/>
    <n v="0"/>
    <n v="0.09"/>
    <e v="#N/A"/>
    <s v="puenkare"/>
  </r>
  <r>
    <x v="96"/>
    <x v="13"/>
    <s v="Admin/HR/IT"/>
    <s v="AMCARE NonOcc In"/>
    <s v="TEMP"/>
    <n v="201205615"/>
    <s v="Tavares,Jorge"/>
    <s v="Robledo Ugarte,Alejandro"/>
    <n v="0"/>
    <n v="0"/>
    <n v="0"/>
    <n v="0"/>
    <n v="0.14000000000000001"/>
    <e v="#N/A"/>
    <e v="#N/A"/>
  </r>
  <r>
    <x v="97"/>
    <x v="13"/>
    <s v="Admin/HR/IT"/>
    <s v="AMCARE NonOcc In"/>
    <s v="AMZN"/>
    <n v="112920655"/>
    <s v="Diaz de LeÃ³n,Paola"/>
    <s v="Pizana,Diego"/>
    <n v="0"/>
    <n v="0"/>
    <n v="0"/>
    <n v="0"/>
    <n v="0.65"/>
    <e v="#N/A"/>
    <e v="#N/A"/>
  </r>
  <r>
    <x v="97"/>
    <x v="13"/>
    <s v="Admin/HR/IT"/>
    <s v="AMCARE NonOcc In"/>
    <s v="AMZN"/>
    <n v="112920666"/>
    <s v="Rocha,Jose"/>
    <s v="Cortes,Alejandra"/>
    <n v="0"/>
    <n v="0"/>
    <n v="0"/>
    <n v="0"/>
    <n v="0.15"/>
    <s v="D5-X0700"/>
    <s v="jorochai"/>
  </r>
  <r>
    <x v="97"/>
    <x v="13"/>
    <s v="Admin/HR/IT"/>
    <s v="AMCARE NonOcc In"/>
    <s v="AMZN"/>
    <n v="112972958"/>
    <s v="Gonzalez Gonzalez,Antonio"/>
    <s v="Cortes,Alejandra"/>
    <n v="0"/>
    <n v="0"/>
    <n v="0"/>
    <n v="0"/>
    <n v="0.4"/>
    <s v="D5-X0700"/>
    <s v="ugonzgui"/>
  </r>
  <r>
    <x v="97"/>
    <x v="13"/>
    <s v="Admin/HR/IT"/>
    <s v="AMCARE NonOcc In"/>
    <s v="AMZN"/>
    <n v="113014470"/>
    <s v="Aguilar Ibarra,Lupe"/>
    <s v="Corona Arriaga,Fernando"/>
    <n v="0"/>
    <n v="0"/>
    <n v="0"/>
    <n v="0"/>
    <n v="0.79"/>
    <e v="#N/A"/>
    <s v="lupaguin"/>
  </r>
  <r>
    <x v="97"/>
    <x v="13"/>
    <s v="Admin/HR/IT"/>
    <s v="AMCARE NonOcc In"/>
    <s v="TEMP"/>
    <n v="200563038"/>
    <s v="Arias,Elizabeth"/>
    <s v="Madrid Molina,Ramon"/>
    <n v="0"/>
    <n v="0"/>
    <n v="0"/>
    <n v="0"/>
    <n v="0.15"/>
    <e v="#N/A"/>
    <s v="ariaszee"/>
  </r>
  <r>
    <x v="97"/>
    <x v="13"/>
    <s v="Admin/HR/IT"/>
    <s v="AMCARE NonOcc In"/>
    <s v="TEMP"/>
    <n v="200625339"/>
    <s v="Alcantar Mendez,Diego"/>
    <s v="Madrid Molina,Ramon"/>
    <n v="0"/>
    <n v="0"/>
    <n v="0"/>
    <n v="0"/>
    <n v="0.36"/>
    <e v="#N/A"/>
    <e v="#N/A"/>
  </r>
  <r>
    <x v="97"/>
    <x v="13"/>
    <s v="Admin/HR/IT"/>
    <s v="AMCARE NonOcc In"/>
    <s v="TEMP"/>
    <n v="201186621"/>
    <s v="Puga,Enrique"/>
    <s v="Romero Sanchez,Gustavo Gabriel"/>
    <n v="0"/>
    <n v="0"/>
    <n v="0"/>
    <n v="0"/>
    <n v="0.11"/>
    <e v="#N/A"/>
    <e v="#N/A"/>
  </r>
  <r>
    <x v="98"/>
    <x v="13"/>
    <s v="Admin/HR/IT"/>
    <s v="AMCARE NonOcc In"/>
    <s v="AMZN"/>
    <n v="112912675"/>
    <s v="Alejandri Villagomez,Alejandra"/>
    <s v="Gomez,Abinadab"/>
    <n v="0"/>
    <n v="0"/>
    <n v="0"/>
    <n v="0"/>
    <n v="0.15"/>
    <e v="#N/A"/>
    <e v="#N/A"/>
  </r>
  <r>
    <x v="98"/>
    <x v="13"/>
    <s v="Admin/HR/IT"/>
    <s v="AMCARE NonOcc In"/>
    <s v="AMZN"/>
    <n v="112920655"/>
    <s v="Diaz de LeÃ³n,Paola"/>
    <s v="Pizana,Diego"/>
    <n v="0"/>
    <n v="0"/>
    <n v="0"/>
    <n v="0"/>
    <n v="1.62"/>
    <e v="#N/A"/>
    <e v="#N/A"/>
  </r>
  <r>
    <x v="98"/>
    <x v="13"/>
    <s v="Admin/HR/IT"/>
    <s v="AMCARE NonOcc In"/>
    <s v="AMZN"/>
    <n v="113018997"/>
    <s v="Rodriguez Ponce,Gaby"/>
    <s v="Gomez,Abinadab"/>
    <n v="0"/>
    <n v="0"/>
    <n v="0"/>
    <n v="0"/>
    <n v="0.37"/>
    <e v="#N/A"/>
    <e v="#N/A"/>
  </r>
  <r>
    <x v="98"/>
    <x v="13"/>
    <s v="Admin/HR/IT"/>
    <s v="AMCARE NonOcc In"/>
    <s v="TEMP"/>
    <n v="200562154"/>
    <s v="Reyes Muniz,Cristian"/>
    <s v="Gomez,Abinadab"/>
    <n v="0"/>
    <n v="0"/>
    <n v="0"/>
    <n v="0"/>
    <n v="0.88"/>
    <e v="#N/A"/>
    <s v="reyesmcw"/>
  </r>
  <r>
    <x v="98"/>
    <x v="13"/>
    <s v="Admin/HR/IT"/>
    <s v="AMCARE NonOcc In"/>
    <s v="TEMP"/>
    <n v="200564845"/>
    <s v="Barron,Abraham"/>
    <s v="Madrid Molina,Ramon"/>
    <n v="0"/>
    <n v="0"/>
    <n v="0"/>
    <n v="0"/>
    <n v="0.91"/>
    <e v="#N/A"/>
    <e v="#N/A"/>
  </r>
  <r>
    <x v="98"/>
    <x v="13"/>
    <s v="Admin/HR/IT"/>
    <s v="AMCARE NonOcc In"/>
    <s v="TEMP"/>
    <n v="200589316"/>
    <s v="Torres Zuniga,Daniel"/>
    <s v="Madrid Molina,Ramon"/>
    <n v="0"/>
    <n v="0"/>
    <n v="0"/>
    <n v="0"/>
    <n v="0.42"/>
    <e v="#N/A"/>
    <e v="#N/A"/>
  </r>
  <r>
    <x v="98"/>
    <x v="13"/>
    <s v="Admin/HR/IT"/>
    <s v="AMCARE NonOcc In"/>
    <s v="TEMP"/>
    <n v="201158953"/>
    <s v="Martinez,Alicia"/>
    <s v="Gomez,Abinadab"/>
    <n v="0"/>
    <n v="0"/>
    <n v="0"/>
    <n v="0"/>
    <n v="0.25"/>
    <e v="#N/A"/>
    <e v="#N/A"/>
  </r>
  <r>
    <x v="98"/>
    <x v="13"/>
    <s v="Admin/HR/IT"/>
    <s v="AMCARE NonOcc In"/>
    <s v="TEMP"/>
    <n v="201194285"/>
    <s v="Robledo,Alma"/>
    <s v="Ledezma,Fer"/>
    <n v="0"/>
    <n v="0"/>
    <n v="0"/>
    <n v="0"/>
    <n v="0.24"/>
    <e v="#N/A"/>
    <e v="#N/A"/>
  </r>
  <r>
    <x v="99"/>
    <x v="14"/>
    <s v="Admin/HR/IT"/>
    <s v="AMCARE NonOcc In"/>
    <s v="AMZN"/>
    <n v="111434478"/>
    <s v="Gutierrez,Pame"/>
    <s v="Garcia Espejel,Brenda Victoria"/>
    <n v="0"/>
    <n v="0"/>
    <n v="0"/>
    <n v="0"/>
    <n v="0.08"/>
    <s v="DA-X0700"/>
    <s v="juanapam"/>
  </r>
  <r>
    <x v="99"/>
    <x v="14"/>
    <s v="Admin/HR/IT"/>
    <s v="AMCARE NonOcc In"/>
    <s v="AMZN"/>
    <n v="112698209"/>
    <s v="Ramirez Ramirez,Diana Cecilia"/>
    <s v="Garcia Espejel,Brenda Victoria"/>
    <n v="0"/>
    <n v="0"/>
    <n v="0"/>
    <n v="0"/>
    <n v="0"/>
    <s v="DA-X0700"/>
    <s v="dianacec"/>
  </r>
  <r>
    <x v="99"/>
    <x v="14"/>
    <s v="Admin/HR/IT"/>
    <s v="AMCARE NonOcc In"/>
    <s v="AMZN"/>
    <n v="112912752"/>
    <s v="Valderrama Gomez,Leslie"/>
    <s v="Gomez,Abinadab"/>
    <n v="0"/>
    <n v="0"/>
    <n v="0"/>
    <n v="0"/>
    <n v="0.55000000000000004"/>
    <s v="NF-X1900"/>
    <s v="valderle"/>
  </r>
  <r>
    <x v="99"/>
    <x v="14"/>
    <s v="Admin/HR/IT"/>
    <s v="AMCARE NonOcc In"/>
    <s v="AMZN"/>
    <n v="112980844"/>
    <s v="Padilla,Samantha"/>
    <s v="Gomez,Abinadab"/>
    <n v="0"/>
    <n v="0"/>
    <n v="0"/>
    <n v="0"/>
    <n v="0.27"/>
    <s v="DA-X0700"/>
    <s v="samajpad"/>
  </r>
  <r>
    <x v="99"/>
    <x v="14"/>
    <s v="Admin/HR/IT"/>
    <s v="AMCARE NonOcc In"/>
    <s v="TEMP"/>
    <n v="201160146"/>
    <s v="Avila,priscila"/>
    <s v="Ledezma,Fer"/>
    <n v="0"/>
    <n v="0"/>
    <n v="0"/>
    <n v="0"/>
    <n v="0.2"/>
    <e v="#N/A"/>
    <e v="#N/A"/>
  </r>
  <r>
    <x v="99"/>
    <x v="14"/>
    <s v="Admin/HR/IT"/>
    <s v="AMCARE NonOcc In"/>
    <s v="TEMP"/>
    <n v="201165769"/>
    <s v="Puente,Karen"/>
    <s v="Piedra,Valentina"/>
    <n v="0"/>
    <n v="0"/>
    <n v="0"/>
    <n v="0"/>
    <n v="0.22"/>
    <e v="#N/A"/>
    <s v="puenkare"/>
  </r>
  <r>
    <x v="99"/>
    <x v="14"/>
    <s v="Admin/HR/IT"/>
    <s v="AMCARE NonOcc In"/>
    <s v="TEMP"/>
    <n v="201201993"/>
    <s v="Olmos,Lucia"/>
    <s v="Piedra,Valentina"/>
    <n v="0"/>
    <n v="0"/>
    <n v="0"/>
    <n v="0"/>
    <n v="0.75"/>
    <e v="#N/A"/>
    <e v="#N/A"/>
  </r>
  <r>
    <x v="100"/>
    <x v="14"/>
    <s v="Admin/HR/IT"/>
    <s v="AMCARE NonOcc In"/>
    <s v="AMZN"/>
    <n v="112912008"/>
    <s v="Espinosa,Consuelo"/>
    <s v="Rosas Negrete,Sebastian"/>
    <n v="0"/>
    <n v="0"/>
    <n v="0"/>
    <n v="0"/>
    <n v="1.92"/>
    <e v="#N/A"/>
    <e v="#N/A"/>
  </r>
  <r>
    <x v="100"/>
    <x v="14"/>
    <s v="Admin/HR/IT"/>
    <s v="AMCARE NonOcc In"/>
    <s v="AMZN"/>
    <n v="112912745"/>
    <s v="Gomez Meza,Alex"/>
    <s v="Gomez,Abinadab"/>
    <n v="0"/>
    <n v="0"/>
    <n v="0"/>
    <n v="0"/>
    <n v="1.01"/>
    <s v="DA-X0700"/>
    <s v="nalexgom"/>
  </r>
  <r>
    <x v="100"/>
    <x v="14"/>
    <s v="Admin/HR/IT"/>
    <s v="AMCARE NonOcc In"/>
    <s v="AMZN"/>
    <n v="112912752"/>
    <s v="Valderrama Gomez,Leslie"/>
    <s v="Gomez,Abinadab"/>
    <n v="0"/>
    <n v="0"/>
    <n v="0"/>
    <n v="0"/>
    <n v="0.21"/>
    <s v="NF-X1900"/>
    <s v="valderle"/>
  </r>
  <r>
    <x v="100"/>
    <x v="14"/>
    <s v="Admin/HR/IT"/>
    <s v="AMCARE NonOcc In"/>
    <s v="AMZN"/>
    <n v="112980878"/>
    <s v="Romero Escobar,Gerardo"/>
    <s v="Romero Sanchez,Gustavo Gabriel"/>
    <n v="0"/>
    <n v="0"/>
    <n v="0"/>
    <n v="0"/>
    <n v="1.41"/>
    <e v="#N/A"/>
    <e v="#N/A"/>
  </r>
  <r>
    <x v="100"/>
    <x v="14"/>
    <s v="Admin/HR/IT"/>
    <s v="AMCARE NonOcc In"/>
    <s v="AMZN"/>
    <n v="112981013"/>
    <s v="Lopez Neri,Norma"/>
    <s v="Gomez,Abinadab"/>
    <n v="0"/>
    <n v="0"/>
    <n v="0"/>
    <n v="0"/>
    <n v="3.06"/>
    <s v="DA-X0700"/>
    <s v="normaelo"/>
  </r>
  <r>
    <x v="100"/>
    <x v="14"/>
    <s v="Admin/HR/IT"/>
    <s v="AMCARE NonOcc In"/>
    <s v="AMZN"/>
    <n v="113014470"/>
    <s v="Aguilar Ibarra,Lupe"/>
    <s v="Robledo Ugarte,Alejandro"/>
    <n v="0"/>
    <n v="0"/>
    <n v="0"/>
    <n v="0"/>
    <n v="0.25"/>
    <e v="#N/A"/>
    <s v="lupaguin"/>
  </r>
  <r>
    <x v="100"/>
    <x v="14"/>
    <s v="Admin/HR/IT"/>
    <s v="AMCARE NonOcc In"/>
    <s v="AMZN"/>
    <n v="113019042"/>
    <s v="Gallegos Godinez,Eloy"/>
    <s v="Romero Sanchez,Gustavo Gabriel"/>
    <n v="0"/>
    <n v="0"/>
    <n v="0"/>
    <n v="0"/>
    <n v="0.33"/>
    <e v="#N/A"/>
    <e v="#N/A"/>
  </r>
  <r>
    <x v="100"/>
    <x v="14"/>
    <s v="Admin/HR/IT"/>
    <s v="AMCARE NonOcc In"/>
    <s v="AMZN"/>
    <n v="113019111"/>
    <s v="Valdespino,Kelly"/>
    <s v="Romero Sanchez,Gustavo Gabriel"/>
    <n v="0"/>
    <n v="0"/>
    <n v="0"/>
    <n v="0"/>
    <n v="0.16"/>
    <e v="#N/A"/>
    <s v="valdkell"/>
  </r>
  <r>
    <x v="100"/>
    <x v="14"/>
    <s v="Admin/HR/IT"/>
    <s v="AMCARE NonOcc In"/>
    <s v="TEMP"/>
    <n v="200526598"/>
    <s v="Tellez Nunez,Enrique"/>
    <s v="Madrid Molina,Ramon"/>
    <n v="0"/>
    <n v="0"/>
    <n v="0"/>
    <n v="0"/>
    <n v="0.28999999999999998"/>
    <e v="#N/A"/>
    <e v="#N/A"/>
  </r>
  <r>
    <x v="100"/>
    <x v="14"/>
    <s v="Admin/HR/IT"/>
    <s v="AMCARE NonOcc In"/>
    <s v="TEMP"/>
    <n v="200562154"/>
    <s v="Reyes Muniz,Cristian"/>
    <s v="Corona Arriaga,Fernando"/>
    <n v="0"/>
    <n v="0"/>
    <n v="0"/>
    <n v="0"/>
    <n v="0.12"/>
    <e v="#N/A"/>
    <s v="reyesmcw"/>
  </r>
  <r>
    <x v="100"/>
    <x v="14"/>
    <s v="Admin/HR/IT"/>
    <s v="AMCARE NonOcc In"/>
    <s v="TEMP"/>
    <n v="200574345"/>
    <s v="Contreras,Jony"/>
    <s v="Romero Sanchez,Gustavo Gabriel"/>
    <n v="0"/>
    <n v="0"/>
    <n v="0"/>
    <n v="0"/>
    <n v="0.33"/>
    <e v="#N/A"/>
    <s v="contrexj"/>
  </r>
  <r>
    <x v="100"/>
    <x v="14"/>
    <s v="Admin/HR/IT"/>
    <s v="AMCARE NonOcc In"/>
    <s v="TEMP"/>
    <n v="201186299"/>
    <s v="GonzÃ¡lez,Martin"/>
    <s v="Robledo Ugarte,Alejandro"/>
    <n v="0"/>
    <n v="0"/>
    <n v="0"/>
    <n v="0"/>
    <n v="0.23"/>
    <e v="#N/A"/>
    <e v="#N/A"/>
  </r>
  <r>
    <x v="100"/>
    <x v="14"/>
    <s v="Admin/HR/IT"/>
    <s v="AMCARE NonOcc In"/>
    <s v="TEMP"/>
    <n v="201198169"/>
    <s v="Alvarado,Jose"/>
    <s v="Romero Sanchez,Gustavo Gabriel"/>
    <n v="0"/>
    <n v="0"/>
    <n v="0"/>
    <n v="0"/>
    <n v="0.8"/>
    <e v="#N/A"/>
    <e v="#N/A"/>
  </r>
  <r>
    <x v="100"/>
    <x v="14"/>
    <s v="Admin/HR/IT"/>
    <s v="AMCARE NonOcc In"/>
    <s v="TEMP"/>
    <n v="201201993"/>
    <s v="Olmos,Lucia"/>
    <s v="Piedra,Valentina"/>
    <n v="0"/>
    <n v="0"/>
    <n v="0"/>
    <n v="0"/>
    <n v="0.17"/>
    <e v="#N/A"/>
    <e v="#N/A"/>
  </r>
  <r>
    <x v="101"/>
    <x v="14"/>
    <s v="Admin/HR/IT"/>
    <s v="AMCARE NonOcc In"/>
    <s v="AMZN"/>
    <n v="112912049"/>
    <s v="Vazquez Rodriguez,Christian"/>
    <s v="Pizana,Diego"/>
    <n v="0"/>
    <n v="0"/>
    <n v="0"/>
    <n v="0"/>
    <n v="0.25"/>
    <s v="NF-X1900"/>
    <s v="zchvazqu"/>
  </r>
  <r>
    <x v="101"/>
    <x v="14"/>
    <s v="Admin/HR/IT"/>
    <s v="AMCARE NonOcc In"/>
    <s v="AMZN"/>
    <n v="112912464"/>
    <s v="Garcia Nicasio,Luis"/>
    <s v="Cortes,Alejandra"/>
    <n v="0"/>
    <n v="0"/>
    <n v="0"/>
    <n v="0"/>
    <n v="0.41"/>
    <e v="#N/A"/>
    <e v="#N/A"/>
  </r>
  <r>
    <x v="101"/>
    <x v="14"/>
    <s v="Admin/HR/IT"/>
    <s v="AMCARE NonOcc In"/>
    <s v="AMZN"/>
    <n v="112912745"/>
    <s v="Gomez Meza,Alex"/>
    <s v="Gomez,Abinadab"/>
    <n v="0"/>
    <n v="0"/>
    <n v="0"/>
    <n v="0"/>
    <n v="0.02"/>
    <s v="DA-X0700"/>
    <s v="nalexgom"/>
  </r>
  <r>
    <x v="101"/>
    <x v="14"/>
    <s v="Admin/HR/IT"/>
    <s v="AMCARE NonOcc In"/>
    <s v="AMZN"/>
    <n v="112912752"/>
    <s v="Valderrama Gomez,Leslie"/>
    <s v="Gomez,Abinadab"/>
    <n v="0"/>
    <n v="0"/>
    <n v="0"/>
    <n v="0"/>
    <n v="0.11"/>
    <s v="NF-X1900"/>
    <s v="valderle"/>
  </r>
  <r>
    <x v="101"/>
    <x v="14"/>
    <s v="Admin/HR/IT"/>
    <s v="AMCARE NonOcc In"/>
    <s v="AMZN"/>
    <n v="112912753"/>
    <s v="Padilla Abrego,Selene"/>
    <s v="Romero Sanchez,Gustavo Gabriel"/>
    <n v="0"/>
    <n v="0"/>
    <n v="0"/>
    <n v="0"/>
    <n v="0.43"/>
    <e v="#N/A"/>
    <e v="#N/A"/>
  </r>
  <r>
    <x v="101"/>
    <x v="14"/>
    <s v="Admin/HR/IT"/>
    <s v="AMCARE NonOcc In"/>
    <s v="TEMP"/>
    <n v="112950796"/>
    <s v="Garcia,Janeth"/>
    <s v="Gomez,Abinadab"/>
    <n v="0"/>
    <n v="0"/>
    <n v="0"/>
    <n v="0"/>
    <n v="0.88"/>
    <e v="#N/A"/>
    <e v="#N/A"/>
  </r>
  <r>
    <x v="101"/>
    <x v="14"/>
    <s v="Admin/HR/IT"/>
    <s v="AMCARE NonOcc In"/>
    <s v="AMZN"/>
    <n v="112981196"/>
    <s v="Gomez,Andrea"/>
    <s v="Piedra,Valentina"/>
    <n v="0"/>
    <n v="0"/>
    <n v="0"/>
    <n v="0"/>
    <n v="0.36"/>
    <e v="#N/A"/>
    <s v="vandgome"/>
  </r>
  <r>
    <x v="101"/>
    <x v="14"/>
    <s v="Admin/HR/IT"/>
    <s v="AMCARE NonOcc In"/>
    <s v="AMZN"/>
    <n v="113003631"/>
    <s v="Ortega,Elizabeth"/>
    <s v="Piedra,Valentina"/>
    <n v="0"/>
    <n v="0"/>
    <n v="0"/>
    <n v="0"/>
    <n v="0.13"/>
    <e v="#N/A"/>
    <e v="#N/A"/>
  </r>
  <r>
    <x v="101"/>
    <x v="14"/>
    <s v="Admin/HR/IT"/>
    <s v="AMCARE NonOcc In"/>
    <s v="AMZN"/>
    <n v="113014113"/>
    <s v="Sanchez Villegas,Benjamin"/>
    <s v="Robledo Ugarte,Alejandro"/>
    <n v="0"/>
    <n v="0"/>
    <n v="0"/>
    <n v="0"/>
    <n v="0.56999999999999995"/>
    <e v="#N/A"/>
    <e v="#N/A"/>
  </r>
  <r>
    <x v="101"/>
    <x v="14"/>
    <s v="Admin/HR/IT"/>
    <s v="AMCARE NonOcc In"/>
    <s v="AMZN"/>
    <n v="200404250"/>
    <s v="Hurtado,Caty"/>
    <s v="Romero Sanchez,Gustavo Gabriel"/>
    <n v="0"/>
    <n v="0"/>
    <n v="0"/>
    <n v="0"/>
    <n v="1.1100000000000001"/>
    <e v="#N/A"/>
    <s v="xcathurt"/>
  </r>
  <r>
    <x v="101"/>
    <x v="14"/>
    <s v="Admin/HR/IT"/>
    <s v="AMCARE NonOcc In"/>
    <s v="TEMP"/>
    <n v="200625528"/>
    <s v="Oliva,Lizbeth"/>
    <s v="Piedra,Valentina"/>
    <n v="0"/>
    <n v="0"/>
    <n v="0"/>
    <n v="0"/>
    <n v="0.17"/>
    <e v="#N/A"/>
    <s v="olivlizb"/>
  </r>
  <r>
    <x v="101"/>
    <x v="14"/>
    <s v="Admin/HR/IT"/>
    <s v="AMCARE NonOcc In"/>
    <s v="TEMP"/>
    <n v="201158953"/>
    <s v="Martinez,Alicia"/>
    <s v="Corona Arriaga,Fernando"/>
    <n v="0"/>
    <n v="0"/>
    <n v="0"/>
    <n v="0"/>
    <n v="0.16"/>
    <e v="#N/A"/>
    <e v="#N/A"/>
  </r>
  <r>
    <x v="102"/>
    <x v="14"/>
    <s v="Admin/HR/IT"/>
    <s v="AMCARE NonOcc In"/>
    <s v="AMZN"/>
    <n v="111434478"/>
    <s v="Gutierrez,Pame"/>
    <s v="Garcia Espejel,Brenda Victoria"/>
    <n v="0"/>
    <n v="0"/>
    <n v="0"/>
    <n v="0"/>
    <n v="0.52"/>
    <s v="DA-X0700"/>
    <s v="juanapam"/>
  </r>
  <r>
    <x v="102"/>
    <x v="14"/>
    <s v="Admin/HR/IT"/>
    <s v="AMCARE NonOcc In"/>
    <s v="AMZN"/>
    <n v="112912675"/>
    <s v="Alejandri Villagomez,Alejandra"/>
    <s v="Gomez,Abinadab"/>
    <n v="0"/>
    <n v="0"/>
    <n v="0"/>
    <n v="0"/>
    <n v="0.37"/>
    <e v="#N/A"/>
    <e v="#N/A"/>
  </r>
  <r>
    <x v="102"/>
    <x v="14"/>
    <s v="Admin/HR/IT"/>
    <s v="AMCARE NonOcc In"/>
    <s v="AMZN"/>
    <n v="112951256"/>
    <s v="Ramirez Vallejo,Kateryne"/>
    <s v="Camarena,Grecia"/>
    <n v="0"/>
    <n v="0"/>
    <n v="0"/>
    <n v="0"/>
    <n v="0.2"/>
    <s v="DA-X0700"/>
    <s v="grkatery"/>
  </r>
  <r>
    <x v="102"/>
    <x v="14"/>
    <s v="Admin/HR/IT"/>
    <s v="AMCARE NonOcc In"/>
    <s v="AMZN"/>
    <n v="112971953"/>
    <s v="Aguirre Palomino,Ana"/>
    <s v="Pizana,Diego"/>
    <n v="0"/>
    <n v="0"/>
    <n v="0"/>
    <n v="0"/>
    <n v="0.67"/>
    <s v="DB-X0700"/>
    <s v="anzpalom"/>
  </r>
  <r>
    <x v="102"/>
    <x v="14"/>
    <s v="Admin/HR/IT"/>
    <s v="AMCARE NonOcc In"/>
    <s v="AMZN"/>
    <n v="112981013"/>
    <s v="Lopez Neri,Norma"/>
    <s v="Robledo Ugarte,Alejandro"/>
    <n v="0"/>
    <n v="0"/>
    <n v="0"/>
    <n v="0"/>
    <n v="0.1"/>
    <s v="DA-X0700"/>
    <s v="normaelo"/>
  </r>
  <r>
    <x v="102"/>
    <x v="14"/>
    <s v="Admin/HR/IT"/>
    <s v="AMCARE NonOcc In"/>
    <s v="AMZN"/>
    <n v="113014011"/>
    <s v="Robledo Barrientos,Logan"/>
    <s v="Piedra,Valentina"/>
    <n v="0"/>
    <n v="0"/>
    <n v="0"/>
    <n v="0"/>
    <n v="1.47"/>
    <e v="#N/A"/>
    <e v="#N/A"/>
  </r>
  <r>
    <x v="102"/>
    <x v="14"/>
    <s v="Admin/HR/IT"/>
    <s v="AMCARE NonOcc In"/>
    <s v="AMZN"/>
    <n v="113014113"/>
    <s v="Sanchez Villegas,Benjamin"/>
    <s v="Corona Arriaga,Fernando"/>
    <n v="0"/>
    <n v="0"/>
    <n v="0"/>
    <n v="0"/>
    <n v="0.63"/>
    <e v="#N/A"/>
    <e v="#N/A"/>
  </r>
  <r>
    <x v="102"/>
    <x v="14"/>
    <s v="Admin/HR/IT"/>
    <s v="AMCARE NonOcc In"/>
    <s v="AMZN"/>
    <n v="113052151"/>
    <s v="Nieves Mendez,Laura"/>
    <s v="Ledezma,Fer"/>
    <n v="0"/>
    <n v="0"/>
    <n v="0"/>
    <n v="0"/>
    <n v="0.17"/>
    <e v="#N/A"/>
    <s v="nilaurab"/>
  </r>
  <r>
    <x v="102"/>
    <x v="14"/>
    <s v="Admin/HR/IT"/>
    <s v="AMCARE NonOcc In"/>
    <s v="AMZN"/>
    <n v="113101453"/>
    <s v="Isaac,Geovanna"/>
    <s v="Corona Arriaga,Fernando"/>
    <n v="0"/>
    <n v="0"/>
    <n v="0"/>
    <n v="0"/>
    <n v="2.84"/>
    <e v="#N/A"/>
    <s v="qisgeova"/>
  </r>
  <r>
    <x v="102"/>
    <x v="14"/>
    <s v="Admin/HR/IT"/>
    <s v="AMCARE NonOcc In"/>
    <s v="AMZN"/>
    <n v="200404250"/>
    <s v="Hurtado,Caty"/>
    <s v="Piedra,Valentina"/>
    <n v="0"/>
    <n v="0"/>
    <n v="0"/>
    <n v="0"/>
    <n v="0.38"/>
    <e v="#N/A"/>
    <s v="xcathurt"/>
  </r>
  <r>
    <x v="102"/>
    <x v="14"/>
    <s v="Admin/HR/IT"/>
    <s v="AMCARE NonOcc In"/>
    <s v="TEMP"/>
    <n v="200508315"/>
    <s v="Herrera,Aldair"/>
    <s v="Romero Sanchez,Gustavo Gabriel"/>
    <n v="0"/>
    <n v="0"/>
    <n v="0"/>
    <n v="0"/>
    <n v="0.98"/>
    <e v="#N/A"/>
    <s v="taldaher"/>
  </r>
  <r>
    <x v="102"/>
    <x v="14"/>
    <s v="Admin/HR/IT"/>
    <s v="AMCARE NonOcc In"/>
    <s v="TEMP"/>
    <n v="200509428"/>
    <s v="Guevara Ramirez,Zayra Lorena"/>
    <s v="Corona Arriaga,Fernando"/>
    <n v="0"/>
    <n v="0"/>
    <n v="0"/>
    <n v="0"/>
    <n v="0.09"/>
    <e v="#N/A"/>
    <e v="#N/A"/>
  </r>
  <r>
    <x v="102"/>
    <x v="14"/>
    <s v="Admin/HR/IT"/>
    <s v="AMCARE NonOcc In"/>
    <s v="TEMP"/>
    <n v="200562868"/>
    <s v="Martinez Alvarez,Arturo"/>
    <s v="Gomez Aguado,Jorge"/>
    <n v="0"/>
    <n v="0"/>
    <n v="0"/>
    <n v="0"/>
    <n v="0.28999999999999998"/>
    <e v="#N/A"/>
    <e v="#N/A"/>
  </r>
  <r>
    <x v="102"/>
    <x v="14"/>
    <s v="Admin/HR/IT"/>
    <s v="AMCARE NonOcc In"/>
    <s v="TEMP"/>
    <n v="200620341"/>
    <s v="Camacho Ramirez,Carlos"/>
    <s v="Gomez Aguado,Jorge"/>
    <n v="0"/>
    <n v="0"/>
    <n v="0"/>
    <n v="0"/>
    <n v="0.67"/>
    <e v="#N/A"/>
    <e v="#N/A"/>
  </r>
  <r>
    <x v="102"/>
    <x v="14"/>
    <s v="Admin/HR/IT"/>
    <s v="AMCARE NonOcc In"/>
    <s v="TEMP"/>
    <n v="200625517"/>
    <s v="RamÃ­rez,Miranda"/>
    <s v="Corona Arriaga,Fernando"/>
    <n v="0"/>
    <n v="0"/>
    <n v="0"/>
    <n v="0"/>
    <n v="0.2"/>
    <e v="#N/A"/>
    <e v="#N/A"/>
  </r>
  <r>
    <x v="102"/>
    <x v="14"/>
    <s v="Admin/HR/IT"/>
    <s v="AMCARE NonOcc In"/>
    <s v="TEMP"/>
    <n v="201191390"/>
    <s v="GarcÃ­a,jesus"/>
    <s v="Romero Sanchez,Gustavo Gabriel"/>
    <n v="0"/>
    <n v="0"/>
    <n v="0"/>
    <n v="0"/>
    <n v="0.24"/>
    <e v="#N/A"/>
    <s v="bgajesus"/>
  </r>
  <r>
    <x v="102"/>
    <x v="14"/>
    <s v="Admin/HR/IT"/>
    <s v="AMCARE NonOcc In"/>
    <s v="AMZN"/>
    <n v="111188907"/>
    <s v="Espina Miranda,Estrella"/>
    <s v="Rosas Negrete,Sebastian"/>
    <n v="0"/>
    <n v="0"/>
    <n v="0"/>
    <n v="0"/>
    <n v="1.01"/>
    <e v="#N/A"/>
    <e v="#N/A"/>
  </r>
  <r>
    <x v="103"/>
    <x v="14"/>
    <s v="Admin/HR/IT"/>
    <s v="AMCARE NonOcc In"/>
    <s v="AMZN"/>
    <n v="112912052"/>
    <s v="Ortiz Cedeno,Omar"/>
    <s v="Cortes,Alejandra"/>
    <n v="0"/>
    <n v="0"/>
    <n v="0"/>
    <n v="0"/>
    <n v="0.17"/>
    <s v="DB-X0700"/>
    <s v="oortizce"/>
  </r>
  <r>
    <x v="103"/>
    <x v="14"/>
    <s v="Admin/HR/IT"/>
    <s v="AMCARE NonOcc In"/>
    <s v="AMZN"/>
    <n v="112912983"/>
    <s v="RodrÃ­guez,RocÃ­o"/>
    <s v="Camarena,Grecia"/>
    <n v="0"/>
    <n v="0"/>
    <n v="0"/>
    <n v="0"/>
    <n v="0.26"/>
    <s v="NF-X1900"/>
    <s v="wrocirod"/>
  </r>
  <r>
    <x v="103"/>
    <x v="14"/>
    <s v="Admin/HR/IT"/>
    <s v="AMCARE NonOcc In"/>
    <s v="AMZN"/>
    <n v="112916534"/>
    <s v="Esparza Sanchez,Areli"/>
    <s v="Gomez,Abinadab"/>
    <n v="0"/>
    <n v="0"/>
    <n v="0"/>
    <n v="0"/>
    <n v="0.3"/>
    <s v="DB-X0700"/>
    <s v="earelili"/>
  </r>
  <r>
    <x v="103"/>
    <x v="14"/>
    <s v="Admin/HR/IT"/>
    <s v="AMCARE NonOcc In"/>
    <s v="AMZN"/>
    <n v="112951256"/>
    <s v="Ramirez Vallejo,Kateryne"/>
    <s v="Camarena,Grecia"/>
    <n v="0"/>
    <n v="0"/>
    <n v="0"/>
    <n v="0"/>
    <n v="0.09"/>
    <s v="DA-X0700"/>
    <s v="grkatery"/>
  </r>
  <r>
    <x v="103"/>
    <x v="14"/>
    <s v="Admin/HR/IT"/>
    <s v="AMCARE NonOcc In"/>
    <s v="AMZN"/>
    <n v="112971953"/>
    <s v="Aguirre Palomino,Ana"/>
    <s v="Pizana,Diego"/>
    <n v="0"/>
    <n v="0"/>
    <n v="0"/>
    <n v="0"/>
    <n v="1.05"/>
    <s v="DB-X0700"/>
    <s v="anzpalom"/>
  </r>
  <r>
    <x v="103"/>
    <x v="14"/>
    <s v="Admin/HR/IT"/>
    <s v="AMCARE NonOcc In"/>
    <s v="AMZN"/>
    <n v="112981061"/>
    <s v="Olguin,Claudia"/>
    <s v="Corona Arriaga,Fernando"/>
    <n v="0"/>
    <n v="0"/>
    <n v="0"/>
    <n v="0"/>
    <n v="0.38"/>
    <s v="DA-X0700"/>
    <s v="mclaudol"/>
  </r>
  <r>
    <x v="103"/>
    <x v="14"/>
    <s v="Admin/HR/IT"/>
    <s v="AMCARE NonOcc In"/>
    <s v="AMZN"/>
    <n v="112981196"/>
    <s v="Gomez,Andrea"/>
    <s v="Gomez Aguado,Jorge"/>
    <n v="0"/>
    <n v="0"/>
    <n v="0"/>
    <n v="0"/>
    <n v="0.14000000000000001"/>
    <e v="#N/A"/>
    <s v="vandgome"/>
  </r>
  <r>
    <x v="103"/>
    <x v="14"/>
    <s v="Admin/HR/IT"/>
    <s v="AMCARE NonOcc In"/>
    <s v="AMZN"/>
    <n v="112981212"/>
    <s v="Zanella Miranda,Alyson"/>
    <s v="Corona Arriaga,Fernando"/>
    <n v="0"/>
    <n v="0"/>
    <n v="0"/>
    <n v="0"/>
    <n v="1.63"/>
    <e v="#N/A"/>
    <s v="alysonza"/>
  </r>
  <r>
    <x v="103"/>
    <x v="14"/>
    <s v="Admin/HR/IT"/>
    <s v="AMCARE NonOcc In"/>
    <s v="AMZN"/>
    <n v="112981221"/>
    <s v="Perez Ramirez,Cesar"/>
    <s v="Piedra,Valentina"/>
    <n v="0"/>
    <n v="0"/>
    <n v="0"/>
    <n v="0"/>
    <n v="0.19"/>
    <e v="#N/A"/>
    <s v="spercesa"/>
  </r>
  <r>
    <x v="103"/>
    <x v="14"/>
    <s v="Admin/HR/IT"/>
    <s v="AMCARE NonOcc In"/>
    <s v="AMZN"/>
    <n v="113014036"/>
    <s v="Rodriguez Alcaraz,ToÃ±o"/>
    <s v="Corona Arriaga,Fernando"/>
    <n v="0"/>
    <n v="0"/>
    <n v="0"/>
    <n v="0"/>
    <n v="0.73"/>
    <e v="#N/A"/>
    <s v="ronjosea"/>
  </r>
  <r>
    <x v="103"/>
    <x v="14"/>
    <s v="Admin/HR/IT"/>
    <s v="AMCARE NonOcc In"/>
    <s v="AMZN"/>
    <n v="113018997"/>
    <s v="Rodriguez Ponce,Gaby"/>
    <s v="Gomez,Abinadab"/>
    <n v="0"/>
    <n v="0"/>
    <n v="0"/>
    <n v="0"/>
    <n v="1.63"/>
    <e v="#N/A"/>
    <e v="#N/A"/>
  </r>
  <r>
    <x v="103"/>
    <x v="14"/>
    <s v="Admin/HR/IT"/>
    <s v="AMCARE NonOcc In"/>
    <s v="AMZN"/>
    <n v="113019042"/>
    <s v="Gallegos Godinez,Eloy"/>
    <s v="Piedra,Valentina"/>
    <n v="0"/>
    <n v="0"/>
    <n v="0"/>
    <n v="0"/>
    <n v="0.14000000000000001"/>
    <e v="#N/A"/>
    <e v="#N/A"/>
  </r>
  <r>
    <x v="103"/>
    <x v="14"/>
    <s v="Admin/HR/IT"/>
    <s v="AMCARE NonOcc In"/>
    <s v="AMZN"/>
    <n v="200404250"/>
    <s v="Hurtado,Caty"/>
    <s v="Piedra,Valentina"/>
    <n v="0"/>
    <n v="0"/>
    <n v="0"/>
    <n v="0"/>
    <n v="0.67"/>
    <e v="#N/A"/>
    <s v="xcathurt"/>
  </r>
  <r>
    <x v="103"/>
    <x v="14"/>
    <s v="Admin/HR/IT"/>
    <s v="AMCARE NonOcc In"/>
    <s v="TEMP"/>
    <n v="200525168"/>
    <s v="Morales,Oscar"/>
    <s v="Ledezma,Fer"/>
    <n v="0"/>
    <n v="0"/>
    <n v="0"/>
    <n v="0"/>
    <n v="0.16"/>
    <e v="#N/A"/>
    <e v="#N/A"/>
  </r>
  <r>
    <x v="103"/>
    <x v="14"/>
    <s v="Admin/HR/IT"/>
    <s v="AMCARE NonOcc In"/>
    <s v="TEMP"/>
    <n v="200526598"/>
    <s v="Tellez Nunez,Enrique"/>
    <s v="Romero Sanchez,Gustavo Gabriel"/>
    <n v="0"/>
    <n v="0"/>
    <n v="0"/>
    <n v="0"/>
    <n v="0.16"/>
    <e v="#N/A"/>
    <e v="#N/A"/>
  </r>
  <r>
    <x v="103"/>
    <x v="14"/>
    <s v="Admin/HR/IT"/>
    <s v="AMCARE NonOcc In"/>
    <s v="TEMP"/>
    <n v="200589316"/>
    <s v="Torres Zuniga,Daniel"/>
    <s v="Madrid Molina,Ramon"/>
    <n v="0"/>
    <n v="0"/>
    <n v="0"/>
    <n v="0"/>
    <n v="0.14000000000000001"/>
    <e v="#N/A"/>
    <e v="#N/A"/>
  </r>
  <r>
    <x v="103"/>
    <x v="14"/>
    <s v="Admin/HR/IT"/>
    <s v="AMCARE NonOcc In"/>
    <s v="TEMP"/>
    <n v="201158953"/>
    <s v="Martinez,Alicia"/>
    <s v="Gomez,Abinadab"/>
    <n v="0"/>
    <n v="0"/>
    <n v="0"/>
    <n v="0"/>
    <n v="0.76"/>
    <e v="#N/A"/>
    <e v="#N/A"/>
  </r>
  <r>
    <x v="103"/>
    <x v="14"/>
    <s v="Admin/HR/IT"/>
    <s v="AMCARE NonOcc In"/>
    <s v="TEMP"/>
    <n v="201186621"/>
    <s v="Puga,Enrique"/>
    <s v="Romero Sanchez,Gustavo Gabriel"/>
    <n v="0"/>
    <n v="0"/>
    <n v="0"/>
    <n v="0"/>
    <n v="0.52"/>
    <e v="#N/A"/>
    <e v="#N/A"/>
  </r>
  <r>
    <x v="103"/>
    <x v="14"/>
    <s v="Admin/HR/IT"/>
    <s v="AMCARE NonOcc In"/>
    <s v="TEMP"/>
    <n v="201195217"/>
    <s v="Aguirre,Omar"/>
    <s v="Ledezma,Fer"/>
    <n v="0"/>
    <n v="0"/>
    <n v="0"/>
    <n v="0"/>
    <n v="0.45"/>
    <e v="#N/A"/>
    <s v="oomaagui"/>
  </r>
  <r>
    <x v="104"/>
    <x v="14"/>
    <s v="Admin/HR/IT"/>
    <s v="AMCARE NonOcc In"/>
    <s v="AMZN"/>
    <n v="112972801"/>
    <s v="Garcia,Rea"/>
    <s v="Camarena,Grecia"/>
    <n v="0"/>
    <n v="0"/>
    <n v="0"/>
    <n v="0"/>
    <n v="0.12"/>
    <e v="#N/A"/>
    <e v="#N/A"/>
  </r>
  <r>
    <x v="104"/>
    <x v="14"/>
    <s v="Admin/HR/IT"/>
    <s v="AMCARE NonOcc In"/>
    <s v="AMZN"/>
    <n v="112972958"/>
    <s v="Gonzalez Gonzalez,Antonio"/>
    <s v="Cortes,Alejandra"/>
    <n v="0"/>
    <n v="0"/>
    <n v="0"/>
    <n v="0"/>
    <n v="0.94"/>
    <s v="D5-X0700"/>
    <s v="ugonzgui"/>
  </r>
  <r>
    <x v="104"/>
    <x v="14"/>
    <s v="Admin/HR/IT"/>
    <s v="AMCARE NonOcc In"/>
    <s v="AMZN"/>
    <n v="113052151"/>
    <s v="Nieves Mendez,Laura"/>
    <s v="Ledezma,Fer"/>
    <n v="0"/>
    <n v="0"/>
    <n v="0"/>
    <n v="0"/>
    <n v="0.2"/>
    <e v="#N/A"/>
    <s v="nilaurab"/>
  </r>
  <r>
    <x v="104"/>
    <x v="14"/>
    <s v="Admin/HR/IT"/>
    <s v="AMCARE NonOcc In"/>
    <s v="TEMP"/>
    <n v="200589316"/>
    <s v="Torres Zuniga,Daniel"/>
    <s v="Madrid Molina,Ramon"/>
    <n v="0"/>
    <n v="0"/>
    <n v="0"/>
    <n v="0"/>
    <n v="0.23"/>
    <e v="#N/A"/>
    <e v="#N/A"/>
  </r>
  <r>
    <x v="104"/>
    <x v="14"/>
    <s v="Admin/HR/IT"/>
    <s v="AMCARE NonOcc In"/>
    <s v="TEMP"/>
    <n v="201186621"/>
    <s v="Puga,Enrique"/>
    <s v="Romero Sanchez,Gustavo Gabriel"/>
    <n v="0"/>
    <n v="0"/>
    <n v="0"/>
    <n v="0"/>
    <n v="0.23"/>
    <e v="#N/A"/>
    <e v="#N/A"/>
  </r>
  <r>
    <x v="104"/>
    <x v="14"/>
    <s v="Admin/HR/IT"/>
    <s v="AMCARE NonOcc In"/>
    <s v="TEMP"/>
    <n v="201194285"/>
    <s v="Robledo,Alma"/>
    <s v="Ledezma,Fer"/>
    <n v="0"/>
    <n v="0"/>
    <n v="0"/>
    <n v="0"/>
    <n v="0.21"/>
    <e v="#N/A"/>
    <e v="#N/A"/>
  </r>
  <r>
    <x v="104"/>
    <x v="14"/>
    <s v="Admin/HR/IT"/>
    <s v="AMCARE NonOcc In"/>
    <s v="TEMP"/>
    <n v="201198890"/>
    <s v="Gomez,Karla"/>
    <s v="Gomez,Abinadab"/>
    <n v="0"/>
    <n v="0"/>
    <n v="0"/>
    <n v="0"/>
    <n v="1.29"/>
    <e v="#N/A"/>
    <e v="#N/A"/>
  </r>
  <r>
    <x v="105"/>
    <x v="14"/>
    <s v="Admin/HR/IT"/>
    <s v="AMCARE NonOcc In"/>
    <s v="AMZN"/>
    <n v="112972608"/>
    <s v="Hernandez Romo,Sam"/>
    <s v="Pizana,Diego"/>
    <n v="0"/>
    <n v="0"/>
    <n v="0"/>
    <n v="0"/>
    <n v="0.22"/>
    <e v="#N/A"/>
    <e v="#N/A"/>
  </r>
  <r>
    <x v="105"/>
    <x v="14"/>
    <s v="Admin/HR/IT"/>
    <s v="AMCARE NonOcc In"/>
    <s v="AMZN"/>
    <n v="113003674"/>
    <s v="Gasca Vazquez,Carlos"/>
    <s v="Gomez,Abinadab"/>
    <n v="0"/>
    <n v="0"/>
    <n v="0"/>
    <n v="0"/>
    <n v="0.1"/>
    <e v="#N/A"/>
    <s v="jcarlgas"/>
  </r>
  <r>
    <x v="105"/>
    <x v="14"/>
    <s v="Admin/HR/IT"/>
    <s v="AMCARE NonOcc In"/>
    <s v="AMZN"/>
    <n v="113052151"/>
    <s v="Nieves Mendez,Laura"/>
    <s v="Ledezma,Fer"/>
    <n v="0"/>
    <n v="0"/>
    <n v="0"/>
    <n v="0"/>
    <n v="0.13"/>
    <e v="#N/A"/>
    <s v="nilaurab"/>
  </r>
  <r>
    <x v="105"/>
    <x v="14"/>
    <s v="Admin/HR/IT"/>
    <s v="AMCARE NonOcc In"/>
    <s v="TEMP"/>
    <n v="200564845"/>
    <s v="Barron,Abraham"/>
    <s v="Madrid Molina,Ramon"/>
    <n v="0"/>
    <n v="0"/>
    <n v="0"/>
    <n v="0"/>
    <n v="0.13"/>
    <e v="#N/A"/>
    <e v="#N/A"/>
  </r>
  <r>
    <x v="105"/>
    <x v="14"/>
    <s v="Admin/HR/IT"/>
    <s v="AMCARE NonOcc In"/>
    <s v="TEMP"/>
    <n v="200585084"/>
    <s v="Villafranca,Tessa"/>
    <s v="Ledezma,Fer"/>
    <n v="0"/>
    <n v="0"/>
    <n v="0"/>
    <n v="0"/>
    <n v="0.32"/>
    <e v="#N/A"/>
    <s v="tessajvi"/>
  </r>
  <r>
    <x v="105"/>
    <x v="14"/>
    <s v="Admin/HR/IT"/>
    <s v="AMCARE NonOcc In"/>
    <s v="TEMP"/>
    <n v="200589316"/>
    <s v="Torres Zuniga,Daniel"/>
    <s v="Madrid Molina,Ramon"/>
    <n v="0"/>
    <n v="0"/>
    <n v="0"/>
    <n v="0"/>
    <n v="0.08"/>
    <e v="#N/A"/>
    <e v="#N/A"/>
  </r>
  <r>
    <x v="105"/>
    <x v="14"/>
    <s v="Admin/HR/IT"/>
    <s v="AMCARE NonOcc In"/>
    <s v="TEMP"/>
    <n v="200614224"/>
    <s v="Cruz Hernandez,Cris"/>
    <s v="Ledezma,Fer"/>
    <n v="0"/>
    <n v="0"/>
    <n v="0"/>
    <n v="0"/>
    <n v="0.22"/>
    <e v="#N/A"/>
    <e v="#N/A"/>
  </r>
  <r>
    <x v="105"/>
    <x v="14"/>
    <s v="Admin/HR/IT"/>
    <s v="AMCARE NonOcc In"/>
    <s v="TEMP"/>
    <n v="201185633"/>
    <s v="Lopez,Lety"/>
    <s v="Gomez,Abinadab"/>
    <n v="0"/>
    <n v="0"/>
    <n v="0"/>
    <n v="0"/>
    <n v="0.28000000000000003"/>
    <e v="#N/A"/>
    <e v="#N/A"/>
  </r>
  <r>
    <x v="105"/>
    <x v="14"/>
    <s v="Admin/HR/IT"/>
    <s v="AMCARE NonOcc In"/>
    <s v="TEMP"/>
    <n v="201212196"/>
    <s v="Juarez,Angel"/>
    <s v="Ledezma,Fer"/>
    <n v="0"/>
    <n v="0"/>
    <n v="0"/>
    <n v="0"/>
    <n v="0.14000000000000001"/>
    <e v="#N/A"/>
    <e v="#N/A"/>
  </r>
  <r>
    <x v="106"/>
    <x v="15"/>
    <s v="Admin/HR/IT"/>
    <s v="AMCARE NonOcc In"/>
    <s v="AMZN"/>
    <n v="106386523"/>
    <s v="Martinez,Leonardo"/>
    <s v="Piedra,Valentina"/>
    <n v="0"/>
    <n v="0"/>
    <n v="0"/>
    <n v="0"/>
    <n v="0.11"/>
    <e v="#N/A"/>
    <e v="#N/A"/>
  </r>
  <r>
    <x v="106"/>
    <x v="15"/>
    <s v="Admin/HR/IT"/>
    <s v="AMCARE NonOcc In"/>
    <s v="AMZN"/>
    <n v="111434478"/>
    <s v="Gutierrez,Pame"/>
    <s v="Garcia Espejel,Brenda Victoria"/>
    <n v="0"/>
    <n v="0"/>
    <n v="0"/>
    <n v="0"/>
    <n v="0.56000000000000005"/>
    <s v="DA-X0700"/>
    <s v="juanapam"/>
  </r>
  <r>
    <x v="106"/>
    <x v="15"/>
    <s v="Admin/HR/IT"/>
    <s v="AMCARE NonOcc In"/>
    <s v="AMZN"/>
    <n v="112912752"/>
    <s v="Valderrama Gomez,Leslie"/>
    <s v="Gomez,Abinadab"/>
    <n v="0"/>
    <n v="0"/>
    <n v="0"/>
    <n v="0"/>
    <n v="0.5"/>
    <s v="NF-X1900"/>
    <s v="valderle"/>
  </r>
  <r>
    <x v="106"/>
    <x v="15"/>
    <s v="Admin/HR/IT"/>
    <s v="AMCARE NonOcc In"/>
    <s v="AMZN"/>
    <n v="113019001"/>
    <s v="Lozano Hernandez,Donny"/>
    <s v="Gomez,Abinadab"/>
    <n v="0"/>
    <n v="0"/>
    <n v="0"/>
    <n v="0"/>
    <n v="0.11"/>
    <e v="#N/A"/>
    <s v="dolozane"/>
  </r>
  <r>
    <x v="106"/>
    <x v="15"/>
    <s v="Admin/HR/IT"/>
    <s v="AMCARE NonOcc In"/>
    <s v="AMZN"/>
    <n v="200404250"/>
    <s v="Hurtado,Caty"/>
    <s v="Romero Sanchez,Gustavo Gabriel"/>
    <n v="0"/>
    <n v="0"/>
    <n v="0"/>
    <n v="0"/>
    <n v="0.25"/>
    <e v="#N/A"/>
    <s v="xcathurt"/>
  </r>
  <r>
    <x v="106"/>
    <x v="15"/>
    <s v="Admin/HR/IT"/>
    <s v="AMCARE NonOcc In"/>
    <s v="TEMP"/>
    <n v="200625528"/>
    <s v="Oliva,Lizbeth"/>
    <s v="Piedra,Valentina"/>
    <n v="0"/>
    <n v="0"/>
    <n v="0"/>
    <n v="0"/>
    <n v="0.3"/>
    <e v="#N/A"/>
    <s v="olivlizb"/>
  </r>
  <r>
    <x v="106"/>
    <x v="15"/>
    <s v="Admin/HR/IT"/>
    <s v="AMCARE NonOcc In"/>
    <s v="TEMP"/>
    <n v="201195217"/>
    <s v="Aguirre,Omar"/>
    <s v="Ledezma,Fer"/>
    <n v="0"/>
    <n v="0"/>
    <n v="0"/>
    <n v="0"/>
    <n v="2.11"/>
    <e v="#N/A"/>
    <s v="oomaagui"/>
  </r>
  <r>
    <x v="106"/>
    <x v="15"/>
    <s v="Admin/HR/IT"/>
    <s v="AMCARE NonOcc In"/>
    <s v="TEMP"/>
    <n v="201198979"/>
    <s v="Mendoza,Omar"/>
    <s v="Piedra,Valentina"/>
    <n v="0"/>
    <n v="0"/>
    <n v="0"/>
    <n v="0"/>
    <n v="0.31"/>
    <e v="#N/A"/>
    <e v="#N/A"/>
  </r>
  <r>
    <x v="106"/>
    <x v="15"/>
    <s v="Admin/HR/IT"/>
    <s v="AMCARE NonOcc In"/>
    <s v="TEMP"/>
    <n v="201201993"/>
    <s v="Olmos,Lucia"/>
    <s v="Piedra,Valentina"/>
    <n v="0"/>
    <n v="0"/>
    <n v="0"/>
    <n v="0"/>
    <n v="0.11"/>
    <e v="#N/A"/>
    <e v="#N/A"/>
  </r>
  <r>
    <x v="106"/>
    <x v="15"/>
    <s v="Admin/HR/IT"/>
    <s v="AMCARE NonOcc In"/>
    <s v="TEMP"/>
    <n v="201295530"/>
    <s v="HernÃ¡ndez,Isaura"/>
    <s v="Hernandez Padilla,Daniel"/>
    <n v="0"/>
    <n v="0"/>
    <n v="0"/>
    <n v="0"/>
    <n v="0.53"/>
    <e v="#N/A"/>
    <e v="#N/A"/>
  </r>
  <r>
    <x v="107"/>
    <x v="15"/>
    <s v="Admin/HR/IT"/>
    <s v="AMCARE NonOcc In"/>
    <s v="AMZN"/>
    <n v="112912752"/>
    <s v="Valderrama Gomez,Leslie"/>
    <s v="Gomez,Abinadab"/>
    <n v="0"/>
    <n v="0"/>
    <n v="0"/>
    <n v="0"/>
    <n v="0.31"/>
    <s v="NF-X1900"/>
    <s v="valderle"/>
  </r>
  <r>
    <x v="107"/>
    <x v="15"/>
    <s v="Admin/HR/IT"/>
    <s v="AMCARE NonOcc In"/>
    <s v="AMZN"/>
    <n v="112972710"/>
    <s v="Cortes Elias,Jessica"/>
    <s v="Camarena,Grecia"/>
    <n v="0"/>
    <n v="0"/>
    <n v="0"/>
    <n v="0"/>
    <n v="0.13"/>
    <s v="DX-X0700"/>
    <s v="cortesjj"/>
  </r>
  <r>
    <x v="107"/>
    <x v="15"/>
    <s v="Admin/HR/IT"/>
    <s v="AMCARE NonOcc In"/>
    <s v="AMZN"/>
    <n v="112980844"/>
    <s v="Padilla,Samantha"/>
    <s v="Gomez,Abinadab"/>
    <n v="0"/>
    <n v="0"/>
    <n v="0"/>
    <n v="0"/>
    <n v="0.2"/>
    <s v="DA-X0700"/>
    <s v="samajpad"/>
  </r>
  <r>
    <x v="107"/>
    <x v="15"/>
    <s v="Admin/HR/IT"/>
    <s v="AMCARE NonOcc In"/>
    <s v="TEMP"/>
    <n v="113013981"/>
    <s v="Espinosa,Ali"/>
    <s v="Gomez,Abinadab"/>
    <n v="0"/>
    <n v="0"/>
    <n v="0"/>
    <n v="0"/>
    <n v="7.0000000000000007E-2"/>
    <e v="#N/A"/>
    <e v="#N/A"/>
  </r>
  <r>
    <x v="107"/>
    <x v="15"/>
    <s v="Admin/HR/IT"/>
    <s v="AMCARE NonOcc In"/>
    <s v="AMZN"/>
    <n v="113014403"/>
    <s v="Arias Sanchez,Nora"/>
    <s v="Romero Sanchez,Gustavo Gabriel"/>
    <n v="0"/>
    <n v="0"/>
    <n v="0"/>
    <n v="0"/>
    <n v="0.17"/>
    <e v="#N/A"/>
    <s v="wnoraria"/>
  </r>
  <r>
    <x v="107"/>
    <x v="15"/>
    <s v="Admin/HR/IT"/>
    <s v="AMCARE NonOcc In"/>
    <s v="AMZN"/>
    <n v="113014592"/>
    <s v="Picazo,Brenda"/>
    <s v="Romero Sanchez,Gustavo Gabriel"/>
    <n v="0"/>
    <n v="0"/>
    <n v="0"/>
    <n v="0"/>
    <n v="0.18"/>
    <e v="#N/A"/>
    <s v="brepicaz"/>
  </r>
  <r>
    <x v="107"/>
    <x v="15"/>
    <s v="Admin/HR/IT"/>
    <s v="AMCARE NonOcc In"/>
    <s v="AMZN"/>
    <n v="113040582"/>
    <s v="HDZ,DEMON"/>
    <s v="Robledo Ugarte,Alejandro"/>
    <n v="0"/>
    <n v="0"/>
    <n v="0"/>
    <n v="0"/>
    <n v="0.63"/>
    <e v="#N/A"/>
    <s v="hgerardr"/>
  </r>
  <r>
    <x v="107"/>
    <x v="15"/>
    <s v="Admin/HR/IT"/>
    <s v="AMCARE NonOcc In"/>
    <s v="AMZN"/>
    <n v="113101453"/>
    <s v="Isaac,Geovanna"/>
    <s v="Robledo Ugarte,Alejandro"/>
    <n v="0"/>
    <n v="0"/>
    <n v="0"/>
    <n v="0"/>
    <n v="0.05"/>
    <e v="#N/A"/>
    <s v="qisgeova"/>
  </r>
  <r>
    <x v="107"/>
    <x v="15"/>
    <s v="Admin/HR/IT"/>
    <s v="AMCARE NonOcc In"/>
    <s v="AMZN"/>
    <n v="200404250"/>
    <s v="Hurtado,Caty"/>
    <s v="Romero Sanchez,Gustavo Gabriel"/>
    <n v="0"/>
    <n v="0"/>
    <n v="0"/>
    <n v="0"/>
    <n v="0.51"/>
    <e v="#N/A"/>
    <s v="xcathurt"/>
  </r>
  <r>
    <x v="107"/>
    <x v="15"/>
    <s v="Admin/HR/IT"/>
    <s v="AMCARE NonOcc In"/>
    <s v="TEMP"/>
    <n v="201198979"/>
    <s v="Mendoza,Omar"/>
    <s v="Piedra,Valentina"/>
    <n v="0"/>
    <n v="0"/>
    <n v="0"/>
    <n v="0"/>
    <n v="0.41"/>
    <e v="#N/A"/>
    <e v="#N/A"/>
  </r>
  <r>
    <x v="107"/>
    <x v="15"/>
    <s v="Admin/HR/IT"/>
    <s v="AMCARE NonOcc In"/>
    <s v="TEMP"/>
    <n v="201201993"/>
    <s v="Olmos,Lucia"/>
    <s v="Piedra,Valentina"/>
    <n v="0"/>
    <n v="0"/>
    <n v="0"/>
    <n v="0"/>
    <n v="2.42"/>
    <e v="#N/A"/>
    <e v="#N/A"/>
  </r>
  <r>
    <x v="107"/>
    <x v="15"/>
    <s v="Admin/HR/IT"/>
    <s v="AMCARE NonOcc In"/>
    <s v="TEMP"/>
    <n v="201295555"/>
    <s v="Ibarra,Jorge Orlando"/>
    <s v="Hernandez Padilla,Daniel"/>
    <n v="0"/>
    <n v="0"/>
    <n v="0"/>
    <n v="0"/>
    <n v="0.23"/>
    <e v="#N/A"/>
    <e v="#N/A"/>
  </r>
  <r>
    <x v="108"/>
    <x v="15"/>
    <s v="Admin/HR/IT"/>
    <s v="AMCARE NonOcc In"/>
    <s v="AMZN"/>
    <n v="111434478"/>
    <s v="Gutierrez,Pame"/>
    <s v="Garcia Espejel,Brenda Victoria"/>
    <n v="0"/>
    <n v="0"/>
    <n v="0"/>
    <n v="0"/>
    <n v="0.41"/>
    <s v="DA-X0700"/>
    <s v="juanapam"/>
  </r>
  <r>
    <x v="108"/>
    <x v="15"/>
    <s v="Admin/HR/IT"/>
    <s v="AMCARE NonOcc In"/>
    <s v="AMZN"/>
    <n v="112912049"/>
    <s v="Vazquez Rodriguez,Christian"/>
    <s v="Pizana,Diego"/>
    <n v="0"/>
    <n v="0"/>
    <n v="0"/>
    <n v="0"/>
    <n v="0.76"/>
    <s v="NF-X1900"/>
    <s v="zchvazqu"/>
  </r>
  <r>
    <x v="108"/>
    <x v="15"/>
    <s v="Admin/HR/IT"/>
    <s v="AMCARE NonOcc In"/>
    <s v="AMZN"/>
    <n v="112912201"/>
    <s v="Castillo Falcon,Sheyla"/>
    <s v="Robledo Ugarte,Alejandro"/>
    <n v="0"/>
    <n v="0"/>
    <n v="0"/>
    <n v="0"/>
    <n v="1.4"/>
    <e v="#N/A"/>
    <e v="#N/A"/>
  </r>
  <r>
    <x v="108"/>
    <x v="15"/>
    <s v="Admin/HR/IT"/>
    <s v="AMCARE NonOcc In"/>
    <s v="AMZN"/>
    <n v="112912661"/>
    <s v="Morales Gonzalez,Francisco"/>
    <s v="Rosas Negrete,Sebastian"/>
    <n v="0"/>
    <n v="0"/>
    <n v="0"/>
    <n v="0"/>
    <n v="0.26"/>
    <s v="DA-X0700"/>
    <s v="franmorb"/>
  </r>
  <r>
    <x v="108"/>
    <x v="15"/>
    <s v="Admin/HR/IT"/>
    <s v="AMCARE NonOcc In"/>
    <s v="AMZN"/>
    <n v="112912745"/>
    <s v="Gomez Meza,Alex"/>
    <s v="Gomez,Abinadab"/>
    <n v="0"/>
    <n v="0"/>
    <n v="0"/>
    <n v="0"/>
    <n v="0.32"/>
    <s v="DA-X0700"/>
    <s v="nalexgom"/>
  </r>
  <r>
    <x v="108"/>
    <x v="15"/>
    <s v="Admin/HR/IT"/>
    <s v="AMCARE NonOcc In"/>
    <s v="AMZN"/>
    <n v="112981061"/>
    <s v="Olguin,Claudia"/>
    <s v="Robledo Ugarte,Alejandro"/>
    <n v="0"/>
    <n v="0"/>
    <n v="0"/>
    <n v="0"/>
    <n v="1.48"/>
    <s v="DA-X0700"/>
    <s v="mclaudol"/>
  </r>
  <r>
    <x v="108"/>
    <x v="15"/>
    <s v="Admin/HR/IT"/>
    <s v="AMCARE NonOcc In"/>
    <s v="AMZN"/>
    <n v="112981212"/>
    <s v="Zanella Miranda,Alyson"/>
    <s v="Robledo Ugarte,Alejandro"/>
    <n v="0"/>
    <n v="0"/>
    <n v="0"/>
    <n v="0"/>
    <n v="1.45"/>
    <e v="#N/A"/>
    <s v="alysonza"/>
  </r>
  <r>
    <x v="108"/>
    <x v="15"/>
    <s v="Admin/HR/IT"/>
    <s v="AMCARE NonOcc In"/>
    <s v="AMZN"/>
    <n v="113014081"/>
    <s v="Frausto,Genesis"/>
    <s v="Romero Sanchez,Gustavo Gabriel"/>
    <n v="0"/>
    <n v="0"/>
    <n v="0"/>
    <n v="0"/>
    <n v="0.48"/>
    <e v="#N/A"/>
    <s v="fraugene"/>
  </r>
  <r>
    <x v="108"/>
    <x v="15"/>
    <s v="Admin/HR/IT"/>
    <s v="AMCARE NonOcc In"/>
    <s v="AMZN"/>
    <n v="113101453"/>
    <s v="Isaac,Geovanna"/>
    <s v="Robledo Ugarte,Alejandro"/>
    <n v="0"/>
    <n v="0"/>
    <n v="0"/>
    <n v="0"/>
    <n v="0.01"/>
    <e v="#N/A"/>
    <s v="qisgeova"/>
  </r>
  <r>
    <x v="108"/>
    <x v="15"/>
    <s v="Admin/HR/IT"/>
    <s v="AMCARE NonOcc In"/>
    <s v="AMZN"/>
    <n v="200404250"/>
    <s v="Hurtado,Caty"/>
    <s v="Romero Sanchez,Gustavo Gabriel"/>
    <n v="0"/>
    <n v="0"/>
    <n v="0"/>
    <n v="0"/>
    <n v="0.77"/>
    <e v="#N/A"/>
    <s v="xcathurt"/>
  </r>
  <r>
    <x v="108"/>
    <x v="15"/>
    <s v="Admin/HR/IT"/>
    <s v="AMCARE NonOcc In"/>
    <s v="TEMP"/>
    <n v="200535448"/>
    <s v="Guerrero Hernandez,Silvia"/>
    <s v="Piedra,Valentina"/>
    <n v="0"/>
    <n v="0"/>
    <n v="0"/>
    <n v="0"/>
    <n v="0.28999999999999998"/>
    <e v="#N/A"/>
    <e v="#N/A"/>
  </r>
  <r>
    <x v="108"/>
    <x v="15"/>
    <s v="Admin/HR/IT"/>
    <s v="AMCARE NonOcc In"/>
    <s v="TEMP"/>
    <n v="200620341"/>
    <s v="Camacho Ramirez,Carlos"/>
    <s v="Piedra,Valentina"/>
    <n v="0"/>
    <n v="0"/>
    <n v="0"/>
    <n v="0"/>
    <n v="0.65"/>
    <e v="#N/A"/>
    <e v="#N/A"/>
  </r>
  <r>
    <x v="108"/>
    <x v="15"/>
    <s v="Admin/HR/IT"/>
    <s v="AMCARE NonOcc In"/>
    <s v="TEMP"/>
    <n v="200625528"/>
    <s v="Oliva,Lizbeth"/>
    <s v="Piedra,Valentina"/>
    <n v="0"/>
    <n v="0"/>
    <n v="0"/>
    <n v="0"/>
    <n v="0.12"/>
    <e v="#N/A"/>
    <s v="olivlizb"/>
  </r>
  <r>
    <x v="108"/>
    <x v="15"/>
    <s v="Admin/HR/IT"/>
    <s v="AMCARE NonOcc In"/>
    <s v="TEMP"/>
    <n v="201172306"/>
    <s v="Valdez,CÃ©sar"/>
    <s v="Gomez,Abinadab"/>
    <n v="0"/>
    <n v="0"/>
    <n v="0"/>
    <n v="0"/>
    <n v="0.01"/>
    <e v="#N/A"/>
    <s v="cesarvae"/>
  </r>
  <r>
    <x v="108"/>
    <x v="15"/>
    <s v="Admin/HR/IT"/>
    <s v="AMCARE NonOcc In"/>
    <s v="TEMP"/>
    <n v="201194285"/>
    <s v="Robledo,Alma"/>
    <s v="Ledezma,Fer"/>
    <n v="0"/>
    <n v="0"/>
    <n v="0"/>
    <n v="0"/>
    <n v="0.77"/>
    <e v="#N/A"/>
    <e v="#N/A"/>
  </r>
  <r>
    <x v="108"/>
    <x v="15"/>
    <s v="Admin/HR/IT"/>
    <s v="AMCARE NonOcc In"/>
    <s v="TEMP"/>
    <n v="201198979"/>
    <s v="Mendoza,Omar"/>
    <s v="Piedra,Valentina"/>
    <n v="0"/>
    <n v="0"/>
    <n v="0"/>
    <n v="0"/>
    <n v="0.28000000000000003"/>
    <e v="#N/A"/>
    <e v="#N/A"/>
  </r>
  <r>
    <x v="108"/>
    <x v="15"/>
    <s v="Admin/HR/IT"/>
    <s v="AMCARE NonOcc In"/>
    <s v="TEMP"/>
    <n v="201295555"/>
    <s v="Ibarra,Jorge Orlando"/>
    <s v="Hernandez Padilla,Daniel"/>
    <n v="0"/>
    <n v="0"/>
    <n v="0"/>
    <n v="0"/>
    <n v="1.74"/>
    <e v="#N/A"/>
    <e v="#N/A"/>
  </r>
  <r>
    <x v="109"/>
    <x v="15"/>
    <s v="Admin/HR/IT"/>
    <s v="AMCARE NonOcc In"/>
    <s v="AMZN"/>
    <n v="111434478"/>
    <s v="Gutierrez,Pame"/>
    <s v="Garcia Espejel,Brenda Victoria"/>
    <n v="0"/>
    <n v="0"/>
    <n v="0"/>
    <n v="0"/>
    <n v="0.73"/>
    <s v="DA-X0700"/>
    <s v="juanapam"/>
  </r>
  <r>
    <x v="109"/>
    <x v="15"/>
    <s v="Admin/HR/IT"/>
    <s v="AMCARE NonOcc In"/>
    <s v="AMZN"/>
    <n v="112912674"/>
    <s v="Rodriguez Zamora,Rocio"/>
    <s v="Garcia Espejel,Brenda Victoria"/>
    <n v="0"/>
    <n v="0"/>
    <n v="0"/>
    <n v="0"/>
    <n v="0.22"/>
    <s v="DA-X0700"/>
    <s v="rociodro"/>
  </r>
  <r>
    <x v="109"/>
    <x v="15"/>
    <s v="Admin/HR/IT"/>
    <s v="AMCARE NonOcc In"/>
    <s v="AMZN"/>
    <n v="112973049"/>
    <s v="Tavares Parra,Ely"/>
    <s v="Madrid Molina,Ramon"/>
    <n v="0"/>
    <n v="0"/>
    <n v="0"/>
    <n v="0"/>
    <n v="0.1"/>
    <s v="DB-X0700"/>
    <s v="afatimae"/>
  </r>
  <r>
    <x v="109"/>
    <x v="15"/>
    <s v="Admin/HR/IT"/>
    <s v="AMCARE NonOcc In"/>
    <s v="AMZN"/>
    <n v="112981194"/>
    <s v="Camacho Delgado,Karina"/>
    <s v="Gomez,Abinadab"/>
    <n v="0"/>
    <n v="0"/>
    <n v="0"/>
    <n v="0"/>
    <n v="0.17"/>
    <s v="NF-X1900"/>
    <s v="csandrak"/>
  </r>
  <r>
    <x v="109"/>
    <x v="15"/>
    <s v="Admin/HR/IT"/>
    <s v="AMCARE NonOcc In"/>
    <s v="AMZN"/>
    <n v="113014081"/>
    <s v="Frausto,Genesis"/>
    <s v="Romero Sanchez,Gustavo Gabriel"/>
    <n v="0"/>
    <n v="0"/>
    <n v="0"/>
    <n v="0"/>
    <n v="1.5"/>
    <e v="#N/A"/>
    <s v="fraugene"/>
  </r>
  <r>
    <x v="109"/>
    <x v="15"/>
    <s v="Admin/HR/IT"/>
    <s v="AMCARE NonOcc In"/>
    <s v="AMZN"/>
    <n v="113018997"/>
    <s v="Rodriguez Ponce,Gaby"/>
    <s v="Corona Arriaga,Fernando"/>
    <n v="0"/>
    <n v="0"/>
    <n v="0"/>
    <n v="0"/>
    <n v="0.3"/>
    <e v="#N/A"/>
    <e v="#N/A"/>
  </r>
  <r>
    <x v="109"/>
    <x v="15"/>
    <s v="Admin/HR/IT"/>
    <s v="AMCARE NonOcc In"/>
    <s v="AMZN"/>
    <n v="200404250"/>
    <s v="Hurtado,Caty"/>
    <s v="Romero Sanchez,Gustavo Gabriel"/>
    <n v="0"/>
    <n v="0"/>
    <n v="0"/>
    <n v="0"/>
    <n v="0.51"/>
    <e v="#N/A"/>
    <s v="xcathurt"/>
  </r>
  <r>
    <x v="109"/>
    <x v="15"/>
    <s v="Admin/HR/IT"/>
    <s v="AMCARE NonOcc In"/>
    <s v="TEMP"/>
    <n v="200514421"/>
    <s v="Padilla Abrego,Angeles"/>
    <s v="Romero Sanchez,Gustavo Gabriel"/>
    <n v="0"/>
    <n v="0"/>
    <n v="0"/>
    <n v="0"/>
    <n v="1.31"/>
    <e v="#N/A"/>
    <s v="padillms"/>
  </r>
  <r>
    <x v="109"/>
    <x v="15"/>
    <s v="Admin/HR/IT"/>
    <s v="AMCARE NonOcc In"/>
    <s v="TEMP"/>
    <n v="200565197"/>
    <s v="Avila,Mary"/>
    <s v="Romero Sanchez,Gustavo Gabriel"/>
    <n v="0"/>
    <n v="0"/>
    <n v="0"/>
    <n v="0"/>
    <n v="0.28999999999999998"/>
    <e v="#N/A"/>
    <e v="#N/A"/>
  </r>
  <r>
    <x v="109"/>
    <x v="15"/>
    <s v="Admin/HR/IT"/>
    <s v="AMCARE NonOcc In"/>
    <s v="TEMP"/>
    <n v="201186139"/>
    <s v="Barba,AdriÃ¡n"/>
    <s v="Gomez,Abinadab"/>
    <n v="0"/>
    <n v="0"/>
    <n v="0"/>
    <n v="0"/>
    <n v="0.12"/>
    <e v="#N/A"/>
    <e v="#N/A"/>
  </r>
  <r>
    <x v="109"/>
    <x v="15"/>
    <s v="Admin/HR/IT"/>
    <s v="AMCARE NonOcc In"/>
    <s v="TEMP"/>
    <n v="201295506"/>
    <s v="Becerra,America"/>
    <s v="Hernandez Padilla,Daniel"/>
    <n v="0"/>
    <n v="0"/>
    <n v="0"/>
    <n v="0"/>
    <n v="0.05"/>
    <e v="#N/A"/>
    <e v="#N/A"/>
  </r>
  <r>
    <x v="109"/>
    <x v="15"/>
    <s v="Admin/HR/IT"/>
    <s v="AMCARE NonOcc In"/>
    <s v="TEMP"/>
    <n v="201295530"/>
    <s v="HernÃ¡ndez,Isaura"/>
    <s v="Hernandez Padilla,Daniel"/>
    <n v="0"/>
    <n v="0"/>
    <n v="0"/>
    <n v="0"/>
    <n v="0.63"/>
    <e v="#N/A"/>
    <e v="#N/A"/>
  </r>
  <r>
    <x v="109"/>
    <x v="15"/>
    <s v="Admin/HR/IT"/>
    <s v="AMCARE NonOcc In"/>
    <s v="TEMP"/>
    <n v="201318227"/>
    <s v="Rayas,Hilda"/>
    <s v="Hernandez Padilla,Daniel"/>
    <n v="0"/>
    <n v="0"/>
    <n v="0"/>
    <n v="0"/>
    <n v="0.41"/>
    <e v="#N/A"/>
    <e v="#N/A"/>
  </r>
  <r>
    <x v="110"/>
    <x v="15"/>
    <s v="Admin/HR/IT"/>
    <s v="AMCARE NonOcc In"/>
    <s v="AMZN"/>
    <n v="112981196"/>
    <s v="Gomez,Andrea"/>
    <s v="Piedra,Valentina"/>
    <n v="0"/>
    <n v="0"/>
    <n v="0"/>
    <n v="0"/>
    <n v="0.28000000000000003"/>
    <e v="#N/A"/>
    <s v="vandgome"/>
  </r>
  <r>
    <x v="110"/>
    <x v="15"/>
    <s v="Admin/HR/IT"/>
    <s v="AMCARE NonOcc In"/>
    <s v="AMZN"/>
    <n v="113014081"/>
    <s v="Frausto,Genesis"/>
    <s v="Romero Sanchez,Gustavo Gabriel"/>
    <n v="0"/>
    <n v="0"/>
    <n v="0"/>
    <n v="0"/>
    <n v="1.24"/>
    <e v="#N/A"/>
    <s v="fraugene"/>
  </r>
  <r>
    <x v="110"/>
    <x v="15"/>
    <s v="Admin/HR/IT"/>
    <s v="AMCARE NonOcc In"/>
    <s v="AMZN"/>
    <n v="113018997"/>
    <s v="Rodriguez Ponce,Gaby"/>
    <s v="Corona Arriaga,Fernando"/>
    <n v="0"/>
    <n v="0"/>
    <n v="0"/>
    <n v="0"/>
    <n v="0.86"/>
    <e v="#N/A"/>
    <e v="#N/A"/>
  </r>
  <r>
    <x v="110"/>
    <x v="15"/>
    <s v="Admin/HR/IT"/>
    <s v="AMCARE NonOcc In"/>
    <s v="AMZN"/>
    <n v="200404250"/>
    <s v="Hurtado,Caty"/>
    <s v="Romero Sanchez,Gustavo Gabriel"/>
    <n v="0"/>
    <n v="0"/>
    <n v="0"/>
    <n v="0"/>
    <n v="0.44"/>
    <e v="#N/A"/>
    <s v="xcathurt"/>
  </r>
  <r>
    <x v="110"/>
    <x v="15"/>
    <s v="Admin/HR/IT"/>
    <s v="AMCARE NonOcc In"/>
    <s v="TEMP"/>
    <n v="200514421"/>
    <s v="Padilla Abrego,Angeles"/>
    <s v="Romero Sanchez,Gustavo Gabriel"/>
    <n v="0"/>
    <n v="0"/>
    <n v="0"/>
    <n v="0"/>
    <n v="0.1"/>
    <e v="#N/A"/>
    <s v="padillms"/>
  </r>
  <r>
    <x v="110"/>
    <x v="15"/>
    <s v="Admin/HR/IT"/>
    <s v="AMCARE NonOcc In"/>
    <s v="TEMP"/>
    <n v="200585084"/>
    <s v="Villafranca,Tessa"/>
    <s v="Ledezma,Fer"/>
    <n v="0"/>
    <n v="0"/>
    <n v="0"/>
    <n v="0"/>
    <n v="0.14000000000000001"/>
    <e v="#N/A"/>
    <s v="tessajvi"/>
  </r>
  <r>
    <x v="110"/>
    <x v="15"/>
    <s v="Admin/HR/IT"/>
    <s v="AMCARE NonOcc In"/>
    <s v="TEMP"/>
    <n v="200625027"/>
    <s v="Rodriguez Gonzalez,Neidy"/>
    <s v="Ledezma,Fer"/>
    <n v="0"/>
    <n v="0"/>
    <n v="0"/>
    <n v="0"/>
    <n v="0.28999999999999998"/>
    <e v="#N/A"/>
    <e v="#N/A"/>
  </r>
  <r>
    <x v="110"/>
    <x v="15"/>
    <s v="Admin/HR/IT"/>
    <s v="AMCARE NonOcc In"/>
    <s v="TEMP"/>
    <n v="201202093"/>
    <s v="Ortega,Elizabeth"/>
    <s v="Romero Sanchez,Gustavo Gabriel"/>
    <n v="0"/>
    <n v="0"/>
    <n v="0"/>
    <n v="0"/>
    <n v="0.09"/>
    <e v="#N/A"/>
    <s v="eliorten"/>
  </r>
  <r>
    <x v="111"/>
    <x v="15"/>
    <s v="Admin/HR/IT"/>
    <s v="AMCARE NonOcc In"/>
    <s v="AMZN"/>
    <n v="112980844"/>
    <s v="Padilla,Samantha"/>
    <s v="Gomez,Abinadab"/>
    <n v="0"/>
    <n v="0"/>
    <n v="0"/>
    <n v="0"/>
    <n v="0.38"/>
    <s v="DA-X0700"/>
    <s v="samajpad"/>
  </r>
  <r>
    <x v="111"/>
    <x v="15"/>
    <s v="Admin/HR/IT"/>
    <s v="AMCARE NonOcc In"/>
    <s v="AMZN"/>
    <n v="113003971"/>
    <s v="Garcia  Ramirez,Gabriel"/>
    <s v="Corona Arriaga,Fernando"/>
    <n v="0"/>
    <n v="0"/>
    <n v="0"/>
    <n v="0"/>
    <n v="0.35"/>
    <e v="#N/A"/>
    <s v="garamird"/>
  </r>
  <r>
    <x v="111"/>
    <x v="15"/>
    <s v="Admin/HR/IT"/>
    <s v="AMCARE NonOcc In"/>
    <s v="AMZN"/>
    <n v="113014560"/>
    <s v="Lopez Moreno,Americo"/>
    <s v="Ledezma,Fer"/>
    <n v="0"/>
    <n v="0"/>
    <n v="0"/>
    <n v="0"/>
    <n v="0.1"/>
    <e v="#N/A"/>
    <s v="zlopamer"/>
  </r>
  <r>
    <x v="111"/>
    <x v="15"/>
    <s v="Admin/HR/IT"/>
    <s v="AMCARE NonOcc In"/>
    <s v="TEMP"/>
    <n v="200564845"/>
    <s v="Barron,Abraham"/>
    <s v="Gomez Aguado,Jorge"/>
    <n v="0"/>
    <n v="0"/>
    <n v="0"/>
    <n v="0"/>
    <n v="7.0000000000000007E-2"/>
    <e v="#N/A"/>
    <e v="#N/A"/>
  </r>
  <r>
    <x v="111"/>
    <x v="15"/>
    <s v="Admin/HR/IT"/>
    <s v="AMCARE NonOcc In"/>
    <s v="TEMP"/>
    <n v="200585084"/>
    <s v="Villafranca,Tessa"/>
    <s v="Ledezma,Fer"/>
    <n v="0"/>
    <n v="0"/>
    <n v="0"/>
    <n v="0"/>
    <n v="0.37"/>
    <e v="#N/A"/>
    <s v="tessajvi"/>
  </r>
  <r>
    <x v="111"/>
    <x v="15"/>
    <s v="Admin/HR/IT"/>
    <s v="AMCARE NonOcc In"/>
    <s v="TEMP"/>
    <n v="200589316"/>
    <s v="Torres Zuniga,Daniel"/>
    <s v="Gomez Aguado,Jorge"/>
    <n v="0"/>
    <n v="0"/>
    <n v="0"/>
    <n v="0"/>
    <n v="0.17"/>
    <e v="#N/A"/>
    <e v="#N/A"/>
  </r>
  <r>
    <x v="111"/>
    <x v="15"/>
    <s v="Admin/HR/IT"/>
    <s v="AMCARE NonOcc In"/>
    <s v="TEMP"/>
    <n v="201191198"/>
    <s v="Mojica,Emmanuel"/>
    <s v="Ledezma,Fer"/>
    <n v="0"/>
    <n v="0"/>
    <n v="0"/>
    <n v="0"/>
    <n v="0.1"/>
    <e v="#N/A"/>
    <s v="mojicemm"/>
  </r>
  <r>
    <x v="111"/>
    <x v="15"/>
    <s v="Admin/HR/IT"/>
    <s v="AMCARE NonOcc In"/>
    <s v="TEMP"/>
    <n v="201198169"/>
    <s v="Alvarado,Jose"/>
    <s v="Romero Sanchez,Gustavo Gabriel"/>
    <n v="0"/>
    <n v="0"/>
    <n v="0"/>
    <n v="0"/>
    <n v="0.37"/>
    <e v="#N/A"/>
    <e v="#N/A"/>
  </r>
  <r>
    <x v="112"/>
    <x v="15"/>
    <s v="Admin/HR/IT"/>
    <s v="AMCARE NonOcc In"/>
    <s v="AMZN"/>
    <n v="112912663"/>
    <s v="Segura,Lucero"/>
    <s v="Munoz,Jonan"/>
    <n v="0"/>
    <n v="0"/>
    <n v="0"/>
    <n v="0"/>
    <n v="0.84"/>
    <e v="#N/A"/>
    <e v="#N/A"/>
  </r>
  <r>
    <x v="112"/>
    <x v="15"/>
    <s v="Admin/HR/IT"/>
    <s v="AMCARE NonOcc In"/>
    <s v="AMZN"/>
    <n v="113003635"/>
    <s v="Barron,Giovanni"/>
    <s v="Corona Arriaga,Fernando"/>
    <n v="0"/>
    <n v="0"/>
    <n v="0"/>
    <n v="0"/>
    <n v="0.53"/>
    <e v="#N/A"/>
    <s v="barrgiof"/>
  </r>
  <r>
    <x v="112"/>
    <x v="15"/>
    <s v="Admin/HR/IT"/>
    <s v="AMCARE NonOcc In"/>
    <s v="AMZN"/>
    <n v="113003971"/>
    <s v="Garcia  Ramirez,Gabriel"/>
    <s v="Corona Arriaga,Fernando"/>
    <n v="0"/>
    <n v="0"/>
    <n v="0"/>
    <n v="0"/>
    <n v="0.18"/>
    <e v="#N/A"/>
    <s v="garamird"/>
  </r>
  <r>
    <x v="112"/>
    <x v="15"/>
    <s v="Admin/HR/IT"/>
    <s v="AMCARE NonOcc In"/>
    <s v="TEMP"/>
    <n v="201160146"/>
    <s v="Avila,priscila"/>
    <s v="Ledezma,Fer"/>
    <n v="0"/>
    <n v="0"/>
    <n v="0"/>
    <n v="0"/>
    <n v="1.61"/>
    <e v="#N/A"/>
    <e v="#N/A"/>
  </r>
  <r>
    <x v="112"/>
    <x v="15"/>
    <s v="Admin/HR/IT"/>
    <s v="AMCARE NonOcc In"/>
    <s v="TEMP"/>
    <n v="201191198"/>
    <s v="Mojica,Emmanuel"/>
    <s v="Ledezma,Fer"/>
    <n v="0"/>
    <n v="0"/>
    <n v="0"/>
    <n v="0"/>
    <n v="0.09"/>
    <e v="#N/A"/>
    <s v="mojicemm"/>
  </r>
  <r>
    <x v="113"/>
    <x v="15"/>
    <s v="Admin/HR/IT"/>
    <s v="AMCARE NonOcc In"/>
    <s v="AMZN"/>
    <n v="112980847"/>
    <s v="Reyes,Jose"/>
    <s v="Gomez,Abinadab"/>
    <n v="0"/>
    <n v="0"/>
    <n v="0"/>
    <n v="0"/>
    <n v="7.0000000000000007E-2"/>
    <e v="#N/A"/>
    <e v="#N/A"/>
  </r>
  <r>
    <x v="113"/>
    <x v="15"/>
    <s v="Admin/HR/IT"/>
    <s v="AMCARE NonOcc In"/>
    <s v="AMZN"/>
    <n v="113014081"/>
    <s v="Frausto,Genesis"/>
    <s v="Piedra,Valentina"/>
    <n v="0"/>
    <n v="0"/>
    <n v="0"/>
    <n v="0"/>
    <n v="0.67"/>
    <e v="#N/A"/>
    <s v="fraugene"/>
  </r>
  <r>
    <x v="113"/>
    <x v="15"/>
    <s v="Admin/HR/IT"/>
    <s v="AMCARE NonOcc In"/>
    <s v="TEMP"/>
    <n v="201160146"/>
    <s v="Avila,priscila"/>
    <s v="Ledezma,Fer"/>
    <n v="0"/>
    <n v="0"/>
    <n v="0"/>
    <n v="0"/>
    <n v="0.94"/>
    <e v="#N/A"/>
    <e v="#N/A"/>
  </r>
  <r>
    <x v="113"/>
    <x v="15"/>
    <s v="Admin/HR/IT"/>
    <s v="AMCARE NonOcc In"/>
    <s v="TEMP"/>
    <n v="201165769"/>
    <s v="Puente,Karen"/>
    <s v="Piedra,Valentina"/>
    <n v="0"/>
    <n v="0"/>
    <n v="0"/>
    <n v="0"/>
    <n v="0.15"/>
    <e v="#N/A"/>
    <s v="puenkare"/>
  </r>
  <r>
    <x v="113"/>
    <x v="15"/>
    <s v="Admin/HR/IT"/>
    <s v="AMCARE NonOcc In"/>
    <s v="TEMP"/>
    <n v="201201993"/>
    <s v="Olmos,Lucia"/>
    <s v="Piedra,Valentina"/>
    <n v="0"/>
    <n v="0"/>
    <n v="0"/>
    <n v="0"/>
    <n v="0.49"/>
    <e v="#N/A"/>
    <e v="#N/A"/>
  </r>
  <r>
    <x v="113"/>
    <x v="15"/>
    <s v="Admin/HR/IT"/>
    <s v="AMCARE NonOcc In"/>
    <s v="TEMP"/>
    <n v="201202093"/>
    <s v="Ortega,Elizabeth"/>
    <s v="Romero Sanchez,Gustavo Gabriel"/>
    <n v="0"/>
    <n v="0"/>
    <n v="0"/>
    <n v="0"/>
    <n v="1.05"/>
    <e v="#N/A"/>
    <s v="eliorten"/>
  </r>
  <r>
    <x v="113"/>
    <x v="15"/>
    <s v="Admin/HR/IT"/>
    <s v="AMCARE NonOcc In"/>
    <s v="TEMP"/>
    <n v="201294217"/>
    <s v="Montes Arango,Bibiana"/>
    <s v="Hernandez Padilla,Daniel"/>
    <n v="0"/>
    <n v="0"/>
    <n v="0"/>
    <n v="0"/>
    <n v="0.14000000000000001"/>
    <e v="#N/A"/>
    <s v="montebib"/>
  </r>
  <r>
    <x v="114"/>
    <x v="15"/>
    <s v="Admin/HR/IT"/>
    <s v="AMCARE NonOcc In"/>
    <s v="AMZN"/>
    <n v="103979960"/>
    <s v="Suchil Angel,Guillermo"/>
    <s v="Robledo Ugarte,Alejandro"/>
    <n v="0"/>
    <n v="0"/>
    <n v="0"/>
    <n v="0"/>
    <n v="0.91"/>
    <e v="#N/A"/>
    <e v="#N/A"/>
  </r>
  <r>
    <x v="114"/>
    <x v="15"/>
    <s v="Admin/HR/IT"/>
    <s v="AMCARE NonOcc In"/>
    <s v="AMZN"/>
    <n v="111434478"/>
    <s v="Gutierrez,Pame"/>
    <s v="Garcia Espejel,Brenda Victoria"/>
    <n v="0"/>
    <n v="0"/>
    <n v="0"/>
    <n v="0"/>
    <n v="0.17"/>
    <s v="DA-X0700"/>
    <s v="juanapam"/>
  </r>
  <r>
    <x v="114"/>
    <x v="15"/>
    <s v="Admin/HR/IT"/>
    <s v="AMCARE NonOcc In"/>
    <s v="TEMP"/>
    <n v="112912007"/>
    <s v="Robledo Barrientos,Alondra"/>
    <s v="Gomez,Abinadab"/>
    <n v="0"/>
    <n v="0"/>
    <n v="0"/>
    <n v="0"/>
    <n v="0.24"/>
    <e v="#N/A"/>
    <e v="#N/A"/>
  </r>
  <r>
    <x v="114"/>
    <x v="15"/>
    <s v="Admin/HR/IT"/>
    <s v="AMCARE NonOcc In"/>
    <s v="AMZN"/>
    <n v="112912052"/>
    <s v="Ortiz Cedeno,Omar"/>
    <s v="Cortes,Alejandra"/>
    <n v="0"/>
    <n v="0"/>
    <n v="0"/>
    <n v="0"/>
    <n v="0.13"/>
    <s v="DB-X0700"/>
    <s v="oortizce"/>
  </r>
  <r>
    <x v="114"/>
    <x v="15"/>
    <s v="Admin/HR/IT"/>
    <s v="AMCARE NonOcc In"/>
    <s v="AMZN"/>
    <n v="112912753"/>
    <s v="Padilla Abrego,Selene"/>
    <s v="Romero Sanchez,Gustavo Gabriel"/>
    <n v="0"/>
    <n v="0"/>
    <n v="0"/>
    <n v="0"/>
    <n v="7.0000000000000007E-2"/>
    <e v="#N/A"/>
    <e v="#N/A"/>
  </r>
  <r>
    <x v="114"/>
    <x v="15"/>
    <s v="Admin/HR/IT"/>
    <s v="AMCARE NonOcc In"/>
    <s v="AMZN"/>
    <n v="112971961"/>
    <s v="Lopez,Jason"/>
    <s v="Camarena,Grecia"/>
    <n v="0"/>
    <n v="0"/>
    <n v="0"/>
    <n v="0"/>
    <n v="0.56999999999999995"/>
    <e v="#N/A"/>
    <e v="#N/A"/>
  </r>
  <r>
    <x v="114"/>
    <x v="15"/>
    <s v="Admin/HR/IT"/>
    <s v="AMCARE NonOcc In"/>
    <s v="AMZN"/>
    <n v="112981014"/>
    <s v="Roldan Gutierrez,Pablo"/>
    <s v="Gomez,Abinadab"/>
    <n v="0"/>
    <n v="0"/>
    <n v="0"/>
    <n v="0"/>
    <n v="0.15"/>
    <s v="DJ-X0700"/>
    <s v="rpabloul"/>
  </r>
  <r>
    <x v="114"/>
    <x v="15"/>
    <s v="Admin/HR/IT"/>
    <s v="AMCARE NonOcc In"/>
    <s v="AMZN"/>
    <n v="113014036"/>
    <s v="Rodriguez Alcaraz,ToÃ±o"/>
    <s v="Robledo Ugarte,Alejandro"/>
    <n v="0"/>
    <n v="0"/>
    <n v="0"/>
    <n v="0"/>
    <n v="1.87"/>
    <e v="#N/A"/>
    <s v="ronjosea"/>
  </r>
  <r>
    <x v="114"/>
    <x v="15"/>
    <s v="Admin/HR/IT"/>
    <s v="AMCARE NonOcc In"/>
    <s v="AMZN"/>
    <n v="200404250"/>
    <s v="Hurtado,Caty"/>
    <s v="Romero Sanchez,Gustavo Gabriel"/>
    <n v="0"/>
    <n v="0"/>
    <n v="0"/>
    <n v="0"/>
    <n v="0.55000000000000004"/>
    <e v="#N/A"/>
    <s v="xcathurt"/>
  </r>
  <r>
    <x v="114"/>
    <x v="15"/>
    <s v="Admin/HR/IT"/>
    <s v="AMCARE NonOcc In"/>
    <s v="TEMP"/>
    <n v="200564895"/>
    <s v="Mendoza Corona,Brianda"/>
    <s v="Robledo Ugarte,Alejandro"/>
    <n v="0"/>
    <n v="0"/>
    <n v="0"/>
    <n v="0"/>
    <n v="1.41"/>
    <e v="#N/A"/>
    <s v="hmendobr"/>
  </r>
  <r>
    <x v="114"/>
    <x v="15"/>
    <s v="Admin/HR/IT"/>
    <s v="AMCARE NonOcc In"/>
    <s v="TEMP"/>
    <n v="200625517"/>
    <s v="RamÃ­rez,Miranda"/>
    <s v="Robledo Ugarte,Alejandro"/>
    <n v="0"/>
    <n v="0"/>
    <n v="0"/>
    <n v="0"/>
    <n v="0.51"/>
    <e v="#N/A"/>
    <e v="#N/A"/>
  </r>
  <r>
    <x v="114"/>
    <x v="15"/>
    <s v="Admin/HR/IT"/>
    <s v="AMCARE NonOcc In"/>
    <s v="TEMP"/>
    <n v="201186833"/>
    <s v="Jasso,Alexa"/>
    <s v="Gomez,Abinadab"/>
    <n v="0"/>
    <n v="0"/>
    <n v="0"/>
    <n v="0"/>
    <n v="0.14000000000000001"/>
    <e v="#N/A"/>
    <s v="jaalexav"/>
  </r>
  <r>
    <x v="114"/>
    <x v="15"/>
    <s v="Admin/HR/IT"/>
    <s v="AMCARE NonOcc In"/>
    <s v="TEMP"/>
    <n v="201201993"/>
    <s v="Olmos,Lucia"/>
    <s v="Piedra,Valentina"/>
    <n v="0"/>
    <n v="0"/>
    <n v="0"/>
    <n v="0"/>
    <n v="0.27"/>
    <e v="#N/A"/>
    <e v="#N/A"/>
  </r>
  <r>
    <x v="114"/>
    <x v="15"/>
    <s v="Admin/HR/IT"/>
    <s v="AMCARE NonOcc In"/>
    <s v="TEMP"/>
    <n v="201219225"/>
    <s v="Moreno Bermudez,Rogelio"/>
    <s v="Robledo Ugarte,Alejandro"/>
    <n v="0"/>
    <n v="0"/>
    <n v="0"/>
    <n v="0"/>
    <n v="0.59"/>
    <e v="#N/A"/>
    <e v="#N/A"/>
  </r>
  <r>
    <x v="114"/>
    <x v="15"/>
    <s v="Admin/HR/IT"/>
    <s v="AMCARE NonOcc In"/>
    <s v="TEMP"/>
    <n v="201219742"/>
    <s v="Rojas,Denessi"/>
    <s v="Robledo Ugarte,Alejandro"/>
    <n v="0"/>
    <n v="0"/>
    <n v="0"/>
    <n v="0"/>
    <n v="2.4"/>
    <e v="#N/A"/>
    <e v="#N/A"/>
  </r>
  <r>
    <x v="114"/>
    <x v="15"/>
    <s v="Admin/HR/IT"/>
    <s v="AMCARE NonOcc In"/>
    <s v="TEMP"/>
    <n v="201295506"/>
    <s v="Becerra,America"/>
    <s v="Hernandez Padilla,Daniel"/>
    <n v="0"/>
    <n v="0"/>
    <n v="0"/>
    <n v="0"/>
    <n v="0.12"/>
    <e v="#N/A"/>
    <e v="#N/A"/>
  </r>
  <r>
    <x v="114"/>
    <x v="15"/>
    <s v="Admin/HR/IT"/>
    <s v="AMCARE NonOcc In"/>
    <s v="TEMP"/>
    <n v="201295555"/>
    <s v="Ibarra,Jorge Orlando"/>
    <s v="Hernandez Padilla,Daniel"/>
    <n v="0"/>
    <n v="0"/>
    <n v="0"/>
    <n v="0"/>
    <n v="0.14000000000000001"/>
    <e v="#N/A"/>
    <e v="#N/A"/>
  </r>
  <r>
    <x v="115"/>
    <x v="15"/>
    <s v="Admin/HR/IT"/>
    <s v="AMCARE NonOcc In"/>
    <s v="TEMP"/>
    <n v="112912007"/>
    <s v="Robledo Barrientos,Alondra"/>
    <s v="Gomez,Abinadab"/>
    <n v="0"/>
    <n v="0"/>
    <n v="0"/>
    <n v="0"/>
    <n v="0.11"/>
    <e v="#N/A"/>
    <e v="#N/A"/>
  </r>
  <r>
    <x v="115"/>
    <x v="15"/>
    <s v="Admin/HR/IT"/>
    <s v="AMCARE NonOcc In"/>
    <s v="AMZN"/>
    <n v="112912008"/>
    <s v="Espinosa,Consuelo"/>
    <s v="Rosas Negrete,Sebastian"/>
    <n v="0"/>
    <n v="0"/>
    <n v="0"/>
    <n v="0"/>
    <n v="0.28000000000000003"/>
    <e v="#N/A"/>
    <e v="#N/A"/>
  </r>
  <r>
    <x v="115"/>
    <x v="15"/>
    <s v="Admin/HR/IT"/>
    <s v="AMCARE NonOcc In"/>
    <s v="AMZN"/>
    <n v="112912071"/>
    <s v="Torres,Alan"/>
    <s v="Gomez,Abinadab"/>
    <n v="0"/>
    <n v="0"/>
    <n v="0"/>
    <n v="0"/>
    <n v="0.55000000000000004"/>
    <e v="#N/A"/>
    <e v="#N/A"/>
  </r>
  <r>
    <x v="115"/>
    <x v="15"/>
    <s v="Admin/HR/IT"/>
    <s v="AMCARE NonOcc In"/>
    <s v="AMZN"/>
    <n v="112913641"/>
    <s v="Arevalo,Mauricio"/>
    <s v="Munoz,Jonan"/>
    <n v="0"/>
    <n v="0"/>
    <n v="0"/>
    <n v="0"/>
    <n v="0.84"/>
    <s v="DB-X0700"/>
    <s v="arevamau"/>
  </r>
  <r>
    <x v="115"/>
    <x v="15"/>
    <s v="Admin/HR/IT"/>
    <s v="AMCARE NonOcc In"/>
    <s v="AMZN"/>
    <n v="112981061"/>
    <s v="Olguin,Claudia"/>
    <s v="Robledo Ugarte,Alejandro"/>
    <n v="0"/>
    <n v="0"/>
    <n v="0"/>
    <n v="0"/>
    <n v="0.23"/>
    <s v="DA-X0700"/>
    <s v="mclaudol"/>
  </r>
  <r>
    <x v="115"/>
    <x v="15"/>
    <s v="Admin/HR/IT"/>
    <s v="AMCARE NonOcc In"/>
    <s v="AMZN"/>
    <n v="112981212"/>
    <s v="Zanella Miranda,Alyson"/>
    <s v="Robledo Ugarte,Alejandro"/>
    <n v="0"/>
    <n v="0"/>
    <n v="0"/>
    <n v="0"/>
    <n v="0.27"/>
    <e v="#N/A"/>
    <s v="alysonza"/>
  </r>
  <r>
    <x v="115"/>
    <x v="15"/>
    <s v="Admin/HR/IT"/>
    <s v="AMCARE NonOcc In"/>
    <s v="TEMP"/>
    <n v="113014000"/>
    <s v="Morales Ramirez,Alma"/>
    <s v="Gomez,Abinadab"/>
    <n v="0"/>
    <n v="0"/>
    <n v="0"/>
    <n v="0"/>
    <n v="0.16"/>
    <e v="#N/A"/>
    <e v="#N/A"/>
  </r>
  <r>
    <x v="115"/>
    <x v="15"/>
    <s v="Admin/HR/IT"/>
    <s v="AMCARE NonOcc In"/>
    <s v="AMZN"/>
    <n v="113014081"/>
    <s v="Frausto,Genesis"/>
    <s v="Piedra,Valentina"/>
    <n v="0"/>
    <n v="0"/>
    <n v="0"/>
    <n v="0"/>
    <n v="0.09"/>
    <e v="#N/A"/>
    <s v="fraugene"/>
  </r>
  <r>
    <x v="115"/>
    <x v="15"/>
    <s v="Admin/HR/IT"/>
    <s v="AMCARE NonOcc In"/>
    <s v="AMZN"/>
    <n v="113019001"/>
    <s v="Lozano Hernandez,Donny"/>
    <s v="Gomez,Abinadab"/>
    <n v="0"/>
    <n v="0"/>
    <n v="0"/>
    <n v="0"/>
    <n v="0.09"/>
    <e v="#N/A"/>
    <s v="dolozane"/>
  </r>
  <r>
    <x v="115"/>
    <x v="15"/>
    <s v="Admin/HR/IT"/>
    <s v="AMCARE NonOcc In"/>
    <s v="AMZN"/>
    <n v="200404250"/>
    <s v="Hurtado,Caty"/>
    <s v="Romero Sanchez,Gustavo Gabriel"/>
    <n v="0"/>
    <n v="0"/>
    <n v="0"/>
    <n v="0"/>
    <n v="1.74"/>
    <e v="#N/A"/>
    <s v="xcathurt"/>
  </r>
  <r>
    <x v="115"/>
    <x v="15"/>
    <s v="Admin/HR/IT"/>
    <s v="AMCARE NonOcc In"/>
    <s v="TEMP"/>
    <n v="200620341"/>
    <s v="Camacho Ramirez,Carlos"/>
    <s v="Piedra,Valentina"/>
    <n v="0"/>
    <n v="0"/>
    <n v="0"/>
    <n v="0"/>
    <n v="0.17"/>
    <e v="#N/A"/>
    <e v="#N/A"/>
  </r>
  <r>
    <x v="115"/>
    <x v="15"/>
    <s v="Admin/HR/IT"/>
    <s v="AMCARE NonOcc In"/>
    <s v="TEMP"/>
    <n v="201186139"/>
    <s v="Barba,AdriÃ¡n"/>
    <s v="Gomez,Abinadab"/>
    <n v="0"/>
    <n v="0"/>
    <n v="0"/>
    <n v="0"/>
    <n v="0.56000000000000005"/>
    <e v="#N/A"/>
    <e v="#N/A"/>
  </r>
  <r>
    <x v="115"/>
    <x v="15"/>
    <s v="Admin/HR/IT"/>
    <s v="AMCARE NonOcc In"/>
    <s v="TEMP"/>
    <n v="201199001"/>
    <s v="Padilla,Rafael"/>
    <s v="Gomez,Abinadab"/>
    <n v="0"/>
    <n v="0"/>
    <n v="0"/>
    <n v="0"/>
    <n v="0.22"/>
    <e v="#N/A"/>
    <e v="#N/A"/>
  </r>
  <r>
    <x v="116"/>
    <x v="15"/>
    <s v="Admin/HR/IT"/>
    <s v="AMCARE NonOcc In"/>
    <s v="AMZN"/>
    <n v="111434478"/>
    <s v="Gutierrez,Pame"/>
    <s v="Garcia Espejel,Brenda Victoria"/>
    <n v="0"/>
    <n v="0"/>
    <n v="0"/>
    <n v="0"/>
    <n v="0.53"/>
    <s v="DA-X0700"/>
    <s v="juanapam"/>
  </r>
  <r>
    <x v="116"/>
    <x v="15"/>
    <s v="Admin/HR/IT"/>
    <s v="AMCARE NonOcc In"/>
    <s v="AMZN"/>
    <n v="112912745"/>
    <s v="Gomez Meza,Alex"/>
    <s v="Gomez,Abinadab"/>
    <n v="0"/>
    <n v="0"/>
    <n v="0"/>
    <n v="0"/>
    <n v="0.81"/>
    <s v="DA-X0700"/>
    <s v="nalexgom"/>
  </r>
  <r>
    <x v="116"/>
    <x v="15"/>
    <s v="Admin/HR/IT"/>
    <s v="AMCARE NonOcc In"/>
    <s v="AMZN"/>
    <n v="112912752"/>
    <s v="Valderrama Gomez,Leslie"/>
    <s v="Gomez,Abinadab"/>
    <n v="0"/>
    <n v="0"/>
    <n v="0"/>
    <n v="0"/>
    <n v="0.56999999999999995"/>
    <s v="NF-X1900"/>
    <s v="valderle"/>
  </r>
  <r>
    <x v="116"/>
    <x v="15"/>
    <s v="Admin/HR/IT"/>
    <s v="AMCARE NonOcc In"/>
    <s v="AMZN"/>
    <n v="112950784"/>
    <s v="Rojas,Samuel"/>
    <s v="Pizana,Diego"/>
    <n v="0"/>
    <n v="0"/>
    <n v="0"/>
    <n v="0"/>
    <n v="0.18"/>
    <s v="NF-X1900"/>
    <s v="sarojast"/>
  </r>
  <r>
    <x v="116"/>
    <x v="15"/>
    <s v="Admin/HR/IT"/>
    <s v="AMCARE NonOcc In"/>
    <s v="AMZN"/>
    <n v="112955736"/>
    <s v="Cuevas,Lalo"/>
    <s v="Garcia Espejel,Brenda Victoria"/>
    <n v="0"/>
    <n v="0"/>
    <n v="0"/>
    <n v="0"/>
    <n v="0.2"/>
    <s v="DA-X0700"/>
    <s v="cueplalo"/>
  </r>
  <r>
    <x v="116"/>
    <x v="15"/>
    <s v="Admin/HR/IT"/>
    <s v="AMCARE NonOcc In"/>
    <s v="AMZN"/>
    <n v="112971997"/>
    <s v="Nieto,Emili"/>
    <s v="Rosas Negrete,Sebastian"/>
    <n v="0"/>
    <n v="0"/>
    <n v="0"/>
    <n v="0"/>
    <n v="0.16"/>
    <s v="DA-X0700"/>
    <s v="cemilini"/>
  </r>
  <r>
    <x v="116"/>
    <x v="15"/>
    <s v="Admin/HR/IT"/>
    <s v="AMCARE NonOcc In"/>
    <s v="AMZN"/>
    <n v="112972215"/>
    <s v="Cruz,Ana"/>
    <s v="Romero Sanchez,Gustavo Gabriel"/>
    <n v="0"/>
    <n v="0"/>
    <n v="0"/>
    <n v="0"/>
    <n v="2.52"/>
    <s v="DB-X0700"/>
    <s v="cruzbana"/>
  </r>
  <r>
    <x v="116"/>
    <x v="15"/>
    <s v="Admin/HR/IT"/>
    <s v="AMCARE NonOcc In"/>
    <s v="AMZN"/>
    <n v="113003627"/>
    <s v="Zavala,Diego"/>
    <s v="Romero Sanchez,Gustavo Gabriel"/>
    <n v="0"/>
    <n v="0"/>
    <n v="0"/>
    <n v="0"/>
    <n v="0.19"/>
    <e v="#N/A"/>
    <e v="#N/A"/>
  </r>
  <r>
    <x v="116"/>
    <x v="15"/>
    <s v="Admin/HR/IT"/>
    <s v="AMCARE NonOcc In"/>
    <s v="AMZN"/>
    <n v="113014403"/>
    <s v="Arias Sanchez,Nora"/>
    <s v="Romero Sanchez,Gustavo Gabriel"/>
    <n v="0"/>
    <n v="0"/>
    <n v="0"/>
    <n v="0"/>
    <n v="0.24"/>
    <e v="#N/A"/>
    <s v="wnoraria"/>
  </r>
  <r>
    <x v="116"/>
    <x v="15"/>
    <s v="Admin/HR/IT"/>
    <s v="AMCARE NonOcc In"/>
    <s v="AMZN"/>
    <n v="113040582"/>
    <s v="HDZ,DEMON"/>
    <s v="Robledo Ugarte,Alejandro"/>
    <n v="0"/>
    <n v="0"/>
    <n v="0"/>
    <n v="0"/>
    <n v="0.26"/>
    <e v="#N/A"/>
    <s v="hgerardr"/>
  </r>
  <r>
    <x v="116"/>
    <x v="15"/>
    <s v="Admin/HR/IT"/>
    <s v="AMCARE NonOcc In"/>
    <s v="AMZN"/>
    <n v="200404250"/>
    <s v="Hurtado,Caty"/>
    <s v="Romero Sanchez,Gustavo Gabriel"/>
    <n v="0"/>
    <n v="0"/>
    <n v="0"/>
    <n v="0"/>
    <n v="1.52"/>
    <e v="#N/A"/>
    <s v="xcathurt"/>
  </r>
  <r>
    <x v="116"/>
    <x v="15"/>
    <s v="Admin/HR/IT"/>
    <s v="AMCARE NonOcc In"/>
    <s v="TEMP"/>
    <n v="200553205"/>
    <s v="Cabrera,Nancy"/>
    <s v="Romero Sanchez,Gustavo Gabriel"/>
    <n v="0"/>
    <n v="0"/>
    <n v="0"/>
    <n v="0"/>
    <n v="0.24"/>
    <e v="#N/A"/>
    <e v="#N/A"/>
  </r>
  <r>
    <x v="116"/>
    <x v="15"/>
    <s v="Admin/HR/IT"/>
    <s v="AMCARE NonOcc In"/>
    <s v="TEMP"/>
    <n v="200584282"/>
    <s v="Lopez Nieto,Denisse"/>
    <s v="Robledo Ugarte,Alejandro"/>
    <n v="0"/>
    <n v="0"/>
    <n v="0"/>
    <n v="0"/>
    <n v="1.1000000000000001"/>
    <e v="#N/A"/>
    <s v="ldianade"/>
  </r>
  <r>
    <x v="116"/>
    <x v="15"/>
    <s v="Admin/HR/IT"/>
    <s v="AMCARE NonOcc In"/>
    <s v="TEMP"/>
    <n v="200620341"/>
    <s v="Camacho Ramirez,Carlos"/>
    <s v="Piedra,Valentina"/>
    <n v="0"/>
    <n v="0"/>
    <n v="0"/>
    <n v="0"/>
    <n v="0.21"/>
    <e v="#N/A"/>
    <e v="#N/A"/>
  </r>
  <r>
    <x v="116"/>
    <x v="15"/>
    <s v="Admin/HR/IT"/>
    <s v="AMCARE NonOcc In"/>
    <s v="TEMP"/>
    <n v="200625517"/>
    <s v="RamÃ­rez,Miranda"/>
    <s v="Robledo Ugarte,Alejandro"/>
    <n v="0"/>
    <n v="0"/>
    <n v="0"/>
    <n v="0"/>
    <n v="0.15"/>
    <e v="#N/A"/>
    <e v="#N/A"/>
  </r>
  <r>
    <x v="116"/>
    <x v="15"/>
    <s v="Admin/HR/IT"/>
    <s v="AMCARE NonOcc In"/>
    <s v="TEMP"/>
    <n v="201294058"/>
    <s v="Alvarez,Erika"/>
    <s v="Piedra,Valentina"/>
    <n v="0"/>
    <n v="0"/>
    <n v="0"/>
    <n v="0"/>
    <n v="7.0000000000000007E-2"/>
    <e v="#N/A"/>
    <s v="alerikat"/>
  </r>
  <r>
    <x v="116"/>
    <x v="15"/>
    <s v="Admin/HR/IT"/>
    <s v="AMCARE NonOcc In"/>
    <s v="TEMP"/>
    <n v="201295506"/>
    <s v="Becerra,America"/>
    <s v="Gomez,Abinadab"/>
    <n v="0"/>
    <n v="0"/>
    <n v="0"/>
    <n v="0"/>
    <n v="0.09"/>
    <e v="#N/A"/>
    <e v="#N/A"/>
  </r>
  <r>
    <x v="116"/>
    <x v="15"/>
    <s v="Admin/HR/IT"/>
    <s v="AMCARE NonOcc In"/>
    <s v="TEMP"/>
    <n v="201295530"/>
    <s v="HernÃ¡ndez,Isaura"/>
    <s v="Gomez,Abinadab"/>
    <n v="0"/>
    <n v="0"/>
    <n v="0"/>
    <n v="0"/>
    <n v="0.47"/>
    <e v="#N/A"/>
    <e v="#N/A"/>
  </r>
  <r>
    <x v="117"/>
    <x v="15"/>
    <s v="Admin/HR/IT"/>
    <s v="AMCARE NonOcc In"/>
    <s v="AMZN"/>
    <n v="112981061"/>
    <s v="Olguin,Claudia"/>
    <s v="Robledo Ugarte,Alejandro"/>
    <n v="0"/>
    <n v="0"/>
    <n v="0"/>
    <n v="0"/>
    <n v="0.2"/>
    <s v="DA-X0700"/>
    <s v="mclaudol"/>
  </r>
  <r>
    <x v="117"/>
    <x v="15"/>
    <s v="Admin/HR/IT"/>
    <s v="AMCARE NonOcc In"/>
    <s v="AMZN"/>
    <n v="113014042"/>
    <s v="Cervantes,Rose"/>
    <s v="Madrid Molina,Ramon"/>
    <n v="0"/>
    <n v="0"/>
    <n v="0"/>
    <n v="0"/>
    <n v="0.32"/>
    <e v="#N/A"/>
    <s v="rfcervan"/>
  </r>
  <r>
    <x v="117"/>
    <x v="15"/>
    <s v="Admin/HR/IT"/>
    <s v="AMCARE NonOcc In"/>
    <s v="AMZN"/>
    <n v="113020667"/>
    <s v="Martinez Becerra,Paulina"/>
    <s v="Gomez Aguado,Jorge"/>
    <n v="0"/>
    <n v="0"/>
    <n v="0"/>
    <n v="0"/>
    <n v="2.5499999999999998"/>
    <e v="#N/A"/>
    <s v="mavpauli"/>
  </r>
  <r>
    <x v="117"/>
    <x v="15"/>
    <s v="Admin/HR/IT"/>
    <s v="AMCARE NonOcc In"/>
    <s v="AMZN"/>
    <n v="113040582"/>
    <s v="HDZ,DEMON"/>
    <s v="Robledo Ugarte,Alejandro"/>
    <n v="0"/>
    <n v="0"/>
    <n v="0"/>
    <n v="0"/>
    <n v="0.2"/>
    <e v="#N/A"/>
    <s v="hgerardr"/>
  </r>
  <r>
    <x v="117"/>
    <x v="15"/>
    <s v="Admin/HR/IT"/>
    <s v="AMCARE NonOcc In"/>
    <s v="AMZN"/>
    <n v="113044620"/>
    <s v="Jasso Miranda,Aldo"/>
    <s v="Robledo Ugarte,Alejandro"/>
    <n v="0"/>
    <n v="0"/>
    <n v="0"/>
    <n v="0"/>
    <n v="0.23"/>
    <e v="#N/A"/>
    <s v="aldojasw"/>
  </r>
  <r>
    <x v="117"/>
    <x v="15"/>
    <s v="Admin/HR/IT"/>
    <s v="AMCARE NonOcc In"/>
    <s v="TEMP"/>
    <n v="201167517"/>
    <s v="Espinoza Lopez,Magdal"/>
    <s v="Ledezma,Fer"/>
    <n v="0"/>
    <n v="0"/>
    <n v="0"/>
    <n v="0"/>
    <n v="0.51"/>
    <e v="#N/A"/>
    <e v="#N/A"/>
  </r>
  <r>
    <x v="117"/>
    <x v="15"/>
    <s v="Admin/HR/IT"/>
    <s v="AMCARE NonOcc In"/>
    <s v="TEMP"/>
    <n v="201172412"/>
    <s v="Castellanos,Adriana"/>
    <s v="Robledo Ugarte,Alejandro"/>
    <n v="0"/>
    <n v="0"/>
    <n v="0"/>
    <n v="0"/>
    <n v="0.16"/>
    <e v="#N/A"/>
    <s v="adrpcast"/>
  </r>
  <r>
    <x v="117"/>
    <x v="15"/>
    <s v="Admin/HR/IT"/>
    <s v="AMCARE NonOcc In"/>
    <s v="TEMP"/>
    <n v="201185653"/>
    <s v="Lopez,Mine"/>
    <s v="Corona Arriaga,Fernando"/>
    <n v="0"/>
    <n v="0"/>
    <n v="0"/>
    <n v="0"/>
    <n v="0.08"/>
    <e v="#N/A"/>
    <s v="luisamin"/>
  </r>
  <r>
    <x v="117"/>
    <x v="15"/>
    <s v="Admin/HR/IT"/>
    <s v="AMCARE NonOcc In"/>
    <s v="TEMP"/>
    <n v="201329495"/>
    <s v="Sanchez,Josue"/>
    <s v="Gomez,Abinadab"/>
    <n v="0"/>
    <n v="0"/>
    <n v="0"/>
    <n v="0"/>
    <n v="0.34"/>
    <e v="#N/A"/>
    <e v="#N/A"/>
  </r>
  <r>
    <x v="118"/>
    <x v="15"/>
    <s v="Admin/HR/IT"/>
    <s v="AMCARE NonOcc In"/>
    <s v="AMZN"/>
    <n v="112920637"/>
    <s v="Tapia,Antonio Torres"/>
    <s v="Pizana,Diego"/>
    <n v="0"/>
    <n v="0"/>
    <n v="0"/>
    <n v="0"/>
    <n v="0.24"/>
    <s v="DB-X0700"/>
    <s v="antonitq"/>
  </r>
  <r>
    <x v="118"/>
    <x v="15"/>
    <s v="Admin/HR/IT"/>
    <s v="AMCARE NonOcc In"/>
    <s v="AMZN"/>
    <n v="112972215"/>
    <s v="Cruz,Ana"/>
    <s v="Romero Sanchez,Gustavo Gabriel"/>
    <n v="0"/>
    <n v="0"/>
    <n v="0"/>
    <n v="0"/>
    <n v="0.65"/>
    <s v="DB-X0700"/>
    <s v="cruzbana"/>
  </r>
  <r>
    <x v="118"/>
    <x v="15"/>
    <s v="Admin/HR/IT"/>
    <s v="AMCARE NonOcc In"/>
    <s v="AMZN"/>
    <n v="112973049"/>
    <s v="Tavares Parra,Ely"/>
    <s v="Madrid Molina,Ramon"/>
    <n v="0"/>
    <n v="0"/>
    <n v="0"/>
    <n v="0"/>
    <n v="0.16"/>
    <s v="DB-X0700"/>
    <s v="afatimae"/>
  </r>
  <r>
    <x v="118"/>
    <x v="15"/>
    <s v="Admin/HR/IT"/>
    <s v="AMCARE NonOcc In"/>
    <s v="TEMP"/>
    <n v="201160146"/>
    <s v="Avila,priscila"/>
    <s v="Ledezma,Fer"/>
    <n v="0"/>
    <n v="0"/>
    <n v="0"/>
    <n v="0"/>
    <n v="0.12"/>
    <e v="#N/A"/>
    <e v="#N/A"/>
  </r>
  <r>
    <x v="118"/>
    <x v="15"/>
    <s v="Admin/HR/IT"/>
    <s v="AMCARE NonOcc In"/>
    <s v="TEMP"/>
    <n v="201341822"/>
    <s v="Rocha,Claudia"/>
    <s v="Hernandez Padilla,Daniel"/>
    <n v="0"/>
    <n v="0"/>
    <n v="0"/>
    <n v="0"/>
    <n v="0.72"/>
    <e v="#N/A"/>
    <e v="#N/A"/>
  </r>
  <r>
    <x v="119"/>
    <x v="15"/>
    <s v="Admin/HR/IT"/>
    <s v="AMCARE NonOcc In"/>
    <s v="AMZN"/>
    <n v="112912054"/>
    <s v="Rivera Ramirez,Jorge"/>
    <s v="Pizana,Diego"/>
    <n v="0"/>
    <n v="0"/>
    <n v="0"/>
    <n v="0"/>
    <n v="0.39"/>
    <s v="DB-X0700"/>
    <s v="privejor"/>
  </r>
  <r>
    <x v="119"/>
    <x v="15"/>
    <s v="Admin/HR/IT"/>
    <s v="AMCARE NonOcc In"/>
    <s v="AMZN"/>
    <n v="113052151"/>
    <s v="Nieves Mendez,Laura"/>
    <s v="Ledezma,Fer"/>
    <n v="0"/>
    <n v="0"/>
    <n v="0"/>
    <n v="0"/>
    <n v="0.12"/>
    <e v="#N/A"/>
    <s v="nilaurab"/>
  </r>
  <r>
    <x v="119"/>
    <x v="15"/>
    <s v="Admin/HR/IT"/>
    <s v="AMCARE NonOcc In"/>
    <s v="TEMP"/>
    <n v="201185299"/>
    <s v="Garcia,Noemi"/>
    <s v="Ledezma,Fer"/>
    <n v="0"/>
    <n v="0"/>
    <n v="0"/>
    <n v="0"/>
    <n v="0.15"/>
    <e v="#N/A"/>
    <s v="sganoemi"/>
  </r>
  <r>
    <x v="119"/>
    <x v="15"/>
    <s v="Admin/HR/IT"/>
    <s v="AMCARE NonOcc In"/>
    <s v="TEMP"/>
    <n v="201211582"/>
    <s v="Rodriguez,Dani"/>
    <s v="Ledezma,Fer"/>
    <n v="0"/>
    <n v="0"/>
    <n v="0"/>
    <n v="0"/>
    <n v="0.09"/>
    <e v="#N/A"/>
    <e v="#N/A"/>
  </r>
  <r>
    <x v="120"/>
    <x v="16"/>
    <s v="Admin/HR/IT"/>
    <s v="AMCARE NonOcc In"/>
    <s v="AMZN"/>
    <n v="112912661"/>
    <s v="Morales Gonzalez,Francisco"/>
    <s v="Rosas Negrete,Sebastian"/>
    <n v="0"/>
    <n v="0"/>
    <n v="0"/>
    <n v="0"/>
    <n v="0.9"/>
    <s v="DA-X0700"/>
    <s v="franmorb"/>
  </r>
  <r>
    <x v="120"/>
    <x v="16"/>
    <s v="Admin/HR/IT"/>
    <s v="AMCARE NonOcc In"/>
    <s v="AMZN"/>
    <n v="112912752"/>
    <s v="Valderrama Gomez,Leslie"/>
    <s v="Gomez,Abinadab"/>
    <n v="0"/>
    <n v="0"/>
    <n v="0"/>
    <n v="0"/>
    <n v="0.26"/>
    <s v="NF-X1900"/>
    <s v="valderle"/>
  </r>
  <r>
    <x v="120"/>
    <x v="16"/>
    <s v="Admin/HR/IT"/>
    <s v="AMCARE NonOcc In"/>
    <s v="TEMP"/>
    <n v="112950796"/>
    <s v="Garcia,Janeth"/>
    <s v="Gomez,Abinadab"/>
    <n v="0"/>
    <n v="0"/>
    <n v="0"/>
    <n v="0"/>
    <n v="0.13"/>
    <e v="#N/A"/>
    <e v="#N/A"/>
  </r>
  <r>
    <x v="120"/>
    <x v="16"/>
    <s v="Admin/HR/IT"/>
    <s v="AMCARE NonOcc In"/>
    <s v="AMZN"/>
    <n v="112981196"/>
    <s v="Gomez,Andrea"/>
    <s v="Piedra,Valentina"/>
    <n v="0"/>
    <n v="0"/>
    <n v="0"/>
    <n v="0"/>
    <n v="0.35"/>
    <e v="#N/A"/>
    <s v="vandgome"/>
  </r>
  <r>
    <x v="120"/>
    <x v="16"/>
    <s v="Admin/HR/IT"/>
    <s v="AMCARE NonOcc In"/>
    <s v="AMZN"/>
    <n v="200404250"/>
    <s v="Hurtado,Caty"/>
    <s v="Romero Sanchez,Gustavo Gabriel"/>
    <n v="0"/>
    <n v="0"/>
    <n v="0"/>
    <n v="0"/>
    <n v="0.53"/>
    <e v="#N/A"/>
    <s v="xcathurt"/>
  </r>
  <r>
    <x v="120"/>
    <x v="16"/>
    <s v="Admin/HR/IT"/>
    <s v="AMCARE NonOcc In"/>
    <s v="TEMP"/>
    <n v="201186833"/>
    <s v="Jasso,Alexa"/>
    <s v="Gomez,Abinadab"/>
    <n v="0"/>
    <n v="0"/>
    <n v="0"/>
    <n v="0"/>
    <n v="0.53"/>
    <e v="#N/A"/>
    <s v="jaalexav"/>
  </r>
  <r>
    <x v="120"/>
    <x v="16"/>
    <s v="Admin/HR/IT"/>
    <s v="AMCARE NonOcc In"/>
    <s v="TEMP"/>
    <n v="201201993"/>
    <s v="Olmos,Lucia"/>
    <s v="Piedra,Valentina"/>
    <n v="0"/>
    <n v="0"/>
    <n v="0"/>
    <n v="0"/>
    <n v="0.06"/>
    <e v="#N/A"/>
    <e v="#N/A"/>
  </r>
  <r>
    <x v="120"/>
    <x v="16"/>
    <s v="Admin/HR/IT"/>
    <s v="AMCARE NonOcc In"/>
    <s v="TEMP"/>
    <n v="201320536"/>
    <s v="Ibarra,Miguel"/>
    <s v="Morales Beristain,Sugeyt"/>
    <n v="0"/>
    <n v="0"/>
    <n v="0"/>
    <n v="0"/>
    <n v="0.18"/>
    <e v="#N/A"/>
    <s v="ibalmigu"/>
  </r>
  <r>
    <x v="121"/>
    <x v="16"/>
    <s v="Admin/HR/IT"/>
    <s v="AMCARE NonOcc In"/>
    <s v="AMZN"/>
    <n v="111434478"/>
    <s v="Gutierrez,Pame"/>
    <s v="Garcia Espejel,Brenda Victoria"/>
    <n v="0"/>
    <n v="0"/>
    <n v="0"/>
    <n v="0"/>
    <n v="0.52"/>
    <s v="DA-X0700"/>
    <s v="juanapam"/>
  </r>
  <r>
    <x v="121"/>
    <x v="16"/>
    <s v="Admin/HR/IT"/>
    <s v="AMCARE NonOcc In"/>
    <s v="TEMP"/>
    <n v="112912007"/>
    <s v="Robledo Barrientos,Alondra"/>
    <s v="Gomez,Abinadab"/>
    <n v="0"/>
    <n v="0"/>
    <n v="0"/>
    <n v="0"/>
    <n v="1.67"/>
    <e v="#N/A"/>
    <e v="#N/A"/>
  </r>
  <r>
    <x v="121"/>
    <x v="16"/>
    <s v="Admin/HR/IT"/>
    <s v="AMCARE NonOcc In"/>
    <s v="AMZN"/>
    <n v="112912661"/>
    <s v="Morales Gonzalez,Francisco"/>
    <s v="Rosas Negrete,Sebastian"/>
    <n v="0"/>
    <n v="0"/>
    <n v="0"/>
    <n v="0"/>
    <n v="0.42"/>
    <s v="DA-X0700"/>
    <s v="franmorb"/>
  </r>
  <r>
    <x v="121"/>
    <x v="16"/>
    <s v="Admin/HR/IT"/>
    <s v="AMCARE NonOcc In"/>
    <s v="AMZN"/>
    <n v="112912752"/>
    <s v="Valderrama Gomez,Leslie"/>
    <s v="Gomez,Abinadab"/>
    <n v="0"/>
    <n v="0"/>
    <n v="0"/>
    <n v="0"/>
    <n v="1.63"/>
    <s v="NF-X1900"/>
    <s v="valderle"/>
  </r>
  <r>
    <x v="121"/>
    <x v="16"/>
    <s v="Admin/HR/IT"/>
    <s v="AMCARE NonOcc In"/>
    <s v="AMZN"/>
    <n v="112981212"/>
    <s v="Zanella Miranda,Alyson"/>
    <s v="Robledo Ugarte,Alejandro"/>
    <n v="0"/>
    <n v="0"/>
    <n v="0"/>
    <n v="0"/>
    <n v="0.19"/>
    <e v="#N/A"/>
    <s v="alysonza"/>
  </r>
  <r>
    <x v="121"/>
    <x v="16"/>
    <s v="Admin/HR/IT"/>
    <s v="AMCARE NonOcc In"/>
    <s v="AMZN"/>
    <n v="200404250"/>
    <s v="Hurtado,Caty"/>
    <s v="Romero Sanchez,Gustavo Gabriel"/>
    <n v="0"/>
    <n v="0"/>
    <n v="0"/>
    <n v="0"/>
    <n v="0.56000000000000005"/>
    <e v="#N/A"/>
    <s v="xcathurt"/>
  </r>
  <r>
    <x v="121"/>
    <x v="16"/>
    <s v="Admin/HR/IT"/>
    <s v="AMCARE NonOcc In"/>
    <s v="TEMP"/>
    <n v="200574655"/>
    <s v="Mireles,Dulce"/>
    <s v="Robledo Ugarte,Alejandro"/>
    <n v="0"/>
    <n v="0"/>
    <n v="0"/>
    <n v="0"/>
    <n v="0.19"/>
    <e v="#N/A"/>
    <s v="dulceami"/>
  </r>
  <r>
    <x v="121"/>
    <x v="16"/>
    <s v="Admin/HR/IT"/>
    <s v="AMCARE NonOcc In"/>
    <s v="TEMP"/>
    <n v="201186777"/>
    <s v="Monzon,Berenice"/>
    <s v="Romero Sanchez,Gustavo Gabriel"/>
    <n v="0"/>
    <n v="0"/>
    <n v="0"/>
    <n v="0"/>
    <n v="0.14000000000000001"/>
    <e v="#N/A"/>
    <s v="bemonzon"/>
  </r>
  <r>
    <x v="121"/>
    <x v="16"/>
    <s v="Admin/HR/IT"/>
    <s v="AMCARE NonOcc In"/>
    <s v="TEMP"/>
    <n v="201186833"/>
    <s v="Jasso,Alexa"/>
    <s v="Gomez,Abinadab"/>
    <n v="0"/>
    <n v="0"/>
    <n v="0"/>
    <n v="0"/>
    <n v="0.67"/>
    <e v="#N/A"/>
    <s v="jaalexav"/>
  </r>
  <r>
    <x v="121"/>
    <x v="16"/>
    <s v="Admin/HR/IT"/>
    <s v="AMCARE NonOcc In"/>
    <s v="TEMP"/>
    <n v="201201993"/>
    <s v="Olmos,Lucia"/>
    <s v="Piedra,Valentina"/>
    <n v="0"/>
    <n v="0"/>
    <n v="0"/>
    <n v="0"/>
    <n v="1.3"/>
    <e v="#N/A"/>
    <e v="#N/A"/>
  </r>
  <r>
    <x v="121"/>
    <x v="16"/>
    <s v="Admin/HR/IT"/>
    <s v="AMCARE NonOcc In"/>
    <s v="TEMP"/>
    <n v="201294058"/>
    <s v="Alvarez,Erika"/>
    <s v="Piedra,Valentina"/>
    <n v="0"/>
    <n v="0"/>
    <n v="0"/>
    <n v="0"/>
    <n v="0.08"/>
    <e v="#N/A"/>
    <s v="alerikat"/>
  </r>
  <r>
    <x v="122"/>
    <x v="16"/>
    <s v="Admin/HR/IT"/>
    <s v="AMCARE NonOcc In"/>
    <s v="AMZN"/>
    <n v="112912752"/>
    <s v="Valderrama Gomez,Leslie"/>
    <s v="Gomez,Abinadab"/>
    <n v="0"/>
    <n v="0"/>
    <n v="0"/>
    <n v="0"/>
    <n v="1.82"/>
    <s v="NF-X1900"/>
    <s v="valderle"/>
  </r>
  <r>
    <x v="122"/>
    <x v="16"/>
    <s v="Admin/HR/IT"/>
    <s v="AMCARE NonOcc In"/>
    <s v="AMZN"/>
    <n v="112912753"/>
    <s v="Padilla Abrego,Selene"/>
    <s v="Romero Sanchez,Gustavo Gabriel"/>
    <n v="0"/>
    <n v="0"/>
    <n v="0"/>
    <n v="0"/>
    <n v="0.01"/>
    <e v="#N/A"/>
    <e v="#N/A"/>
  </r>
  <r>
    <x v="122"/>
    <x v="16"/>
    <s v="Admin/HR/IT"/>
    <s v="AMCARE NonOcc In"/>
    <s v="TEMP"/>
    <n v="112950796"/>
    <s v="Garcia,Janeth"/>
    <s v="Gomez,Abinadab"/>
    <n v="0"/>
    <n v="0"/>
    <n v="0"/>
    <n v="0"/>
    <n v="2.31"/>
    <e v="#N/A"/>
    <e v="#N/A"/>
  </r>
  <r>
    <x v="122"/>
    <x v="16"/>
    <s v="Admin/HR/IT"/>
    <s v="AMCARE NonOcc In"/>
    <s v="AMZN"/>
    <n v="112972215"/>
    <s v="Cruz,Ana"/>
    <s v="Romero Sanchez,Gustavo Gabriel"/>
    <n v="0"/>
    <n v="0"/>
    <n v="0"/>
    <n v="0"/>
    <n v="0.14000000000000001"/>
    <s v="DB-X0700"/>
    <s v="cruzbana"/>
  </r>
  <r>
    <x v="122"/>
    <x v="16"/>
    <s v="Admin/HR/IT"/>
    <s v="AMCARE NonOcc In"/>
    <s v="AMZN"/>
    <n v="112981013"/>
    <s v="Lopez Neri,Norma"/>
    <s v="Gomez,Abinadab"/>
    <n v="0"/>
    <n v="0"/>
    <n v="0"/>
    <n v="0"/>
    <n v="0.96"/>
    <s v="DA-X0700"/>
    <s v="normaelo"/>
  </r>
  <r>
    <x v="122"/>
    <x v="16"/>
    <s v="Admin/HR/IT"/>
    <s v="AMCARE NonOcc In"/>
    <s v="AMZN"/>
    <n v="112981196"/>
    <s v="Gomez,Andrea"/>
    <s v="Piedra,Valentina"/>
    <n v="0"/>
    <n v="0"/>
    <n v="0"/>
    <n v="0"/>
    <n v="0.94"/>
    <e v="#N/A"/>
    <s v="vandgome"/>
  </r>
  <r>
    <x v="122"/>
    <x v="16"/>
    <s v="Admin/HR/IT"/>
    <s v="AMCARE NonOcc In"/>
    <s v="AMZN"/>
    <n v="113014042"/>
    <s v="Cervantes,Rose"/>
    <s v="Madrid Molina,Ramon"/>
    <n v="0"/>
    <n v="0"/>
    <n v="0"/>
    <n v="0"/>
    <n v="0.24"/>
    <e v="#N/A"/>
    <s v="rfcervan"/>
  </r>
  <r>
    <x v="122"/>
    <x v="16"/>
    <s v="Admin/HR/IT"/>
    <s v="AMCARE NonOcc In"/>
    <s v="TEMP"/>
    <n v="200563210"/>
    <s v="Pardo,Estafania"/>
    <s v="Morales Beristain,Sugeyt"/>
    <n v="0"/>
    <n v="0"/>
    <n v="0"/>
    <n v="0"/>
    <n v="0.25"/>
    <e v="#N/A"/>
    <e v="#N/A"/>
  </r>
  <r>
    <x v="122"/>
    <x v="16"/>
    <s v="Admin/HR/IT"/>
    <s v="AMCARE NonOcc In"/>
    <s v="TEMP"/>
    <n v="201198979"/>
    <s v="Mendoza,Omar"/>
    <s v="Piedra,Valentina"/>
    <n v="0"/>
    <n v="0"/>
    <n v="0"/>
    <n v="0"/>
    <n v="1.18"/>
    <e v="#N/A"/>
    <e v="#N/A"/>
  </r>
  <r>
    <x v="122"/>
    <x v="16"/>
    <s v="Admin/HR/IT"/>
    <s v="AMCARE NonOcc In"/>
    <s v="TEMP"/>
    <n v="201295506"/>
    <s v="Becerra,America"/>
    <s v="Gomez,Abinadab"/>
    <n v="0"/>
    <n v="0"/>
    <n v="0"/>
    <n v="0"/>
    <n v="1.22"/>
    <e v="#N/A"/>
    <e v="#N/A"/>
  </r>
  <r>
    <x v="122"/>
    <x v="16"/>
    <s v="Admin/HR/IT"/>
    <s v="AMCARE NonOcc In"/>
    <s v="TEMP"/>
    <n v="201320388"/>
    <s v="Pena,Laura"/>
    <s v="Morales Beristain,Sugeyt"/>
    <n v="0"/>
    <n v="0"/>
    <n v="0"/>
    <n v="0"/>
    <n v="0.65"/>
    <e v="#N/A"/>
    <e v="#N/A"/>
  </r>
  <r>
    <x v="123"/>
    <x v="16"/>
    <s v="Admin/HR/IT"/>
    <s v="AMCARE NonOcc In"/>
    <s v="TEMP"/>
    <n v="112912007"/>
    <s v="Robledo Barrientos,Alondra"/>
    <s v="Gomez,Abinadab"/>
    <n v="0"/>
    <n v="0"/>
    <n v="0"/>
    <n v="0"/>
    <n v="0.6"/>
    <e v="#N/A"/>
    <e v="#N/A"/>
  </r>
  <r>
    <x v="123"/>
    <x v="16"/>
    <s v="Admin/HR/IT"/>
    <s v="AMCARE NonOcc In"/>
    <s v="TEMP"/>
    <n v="112912747"/>
    <s v="Velasco,Cristina"/>
    <s v="Morales Beristain,Sugeyt"/>
    <n v="0"/>
    <n v="0"/>
    <n v="0"/>
    <n v="0"/>
    <n v="0.06"/>
    <e v="#N/A"/>
    <e v="#N/A"/>
  </r>
  <r>
    <x v="123"/>
    <x v="16"/>
    <s v="Admin/HR/IT"/>
    <s v="AMCARE NonOcc In"/>
    <s v="AMZN"/>
    <n v="112912752"/>
    <s v="Valderrama Gomez,Leslie"/>
    <s v="Gomez,Abinadab"/>
    <n v="0"/>
    <n v="0"/>
    <n v="0"/>
    <n v="0"/>
    <n v="0.82"/>
    <s v="NF-X1900"/>
    <s v="valderle"/>
  </r>
  <r>
    <x v="123"/>
    <x v="16"/>
    <s v="Admin/HR/IT"/>
    <s v="AMCARE NonOcc In"/>
    <s v="AMZN"/>
    <n v="112942473"/>
    <s v="Vargas Lopez,Hilda Cecilia"/>
    <s v="Munoz,Jonan"/>
    <n v="0"/>
    <n v="0"/>
    <n v="0"/>
    <n v="0"/>
    <n v="1.1499999999999999"/>
    <s v="DC-X0700"/>
    <s v="hildacec"/>
  </r>
  <r>
    <x v="123"/>
    <x v="16"/>
    <s v="Admin/HR/IT"/>
    <s v="AMCARE NonOcc In"/>
    <s v="AMZN"/>
    <n v="112971980"/>
    <s v="Romero,Daniel"/>
    <s v="Pizana,Diego"/>
    <n v="0"/>
    <n v="0"/>
    <n v="0"/>
    <n v="0"/>
    <n v="0.46"/>
    <s v="DC-X0700"/>
    <s v="cdanirom"/>
  </r>
  <r>
    <x v="123"/>
    <x v="16"/>
    <s v="Admin/HR/IT"/>
    <s v="AMCARE NonOcc In"/>
    <s v="AMZN"/>
    <n v="112972215"/>
    <s v="Cruz,Ana"/>
    <s v="Romero Sanchez,Gustavo Gabriel"/>
    <n v="0"/>
    <n v="0"/>
    <n v="0"/>
    <n v="0"/>
    <n v="0.18"/>
    <s v="DB-X0700"/>
    <s v="cruzbana"/>
  </r>
  <r>
    <x v="123"/>
    <x v="16"/>
    <s v="Admin/HR/IT"/>
    <s v="AMCARE NonOcc In"/>
    <s v="AMZN"/>
    <n v="112980844"/>
    <s v="Padilla,Samantha"/>
    <s v="Gomez,Abinadab"/>
    <n v="0"/>
    <n v="0"/>
    <n v="0"/>
    <n v="0"/>
    <n v="0.47"/>
    <s v="DA-X0700"/>
    <s v="samajpad"/>
  </r>
  <r>
    <x v="123"/>
    <x v="16"/>
    <s v="Admin/HR/IT"/>
    <s v="AMCARE NonOcc In"/>
    <s v="AMZN"/>
    <n v="113003631"/>
    <s v="Ortega,Elizabeth"/>
    <s v="Piedra,Valentina"/>
    <n v="0"/>
    <n v="0"/>
    <n v="0"/>
    <n v="0"/>
    <n v="0.22"/>
    <e v="#N/A"/>
    <e v="#N/A"/>
  </r>
  <r>
    <x v="123"/>
    <x v="16"/>
    <s v="Admin/HR/IT"/>
    <s v="AMCARE NonOcc In"/>
    <s v="AMZN"/>
    <n v="113019001"/>
    <s v="Lozano Hernandez,Donny"/>
    <s v="Gomez,Abinadab"/>
    <n v="0"/>
    <n v="0"/>
    <n v="0"/>
    <n v="0"/>
    <n v="0.22"/>
    <e v="#N/A"/>
    <s v="dolozane"/>
  </r>
  <r>
    <x v="123"/>
    <x v="16"/>
    <s v="Admin/HR/IT"/>
    <s v="AMCARE NonOcc In"/>
    <s v="TEMP"/>
    <n v="200407440"/>
    <s v="Escamilla,Guillermo"/>
    <s v="Morales Beristain,Sugeyt"/>
    <n v="0"/>
    <n v="0"/>
    <n v="0"/>
    <n v="0"/>
    <n v="1.02"/>
    <e v="#N/A"/>
    <e v="#N/A"/>
  </r>
  <r>
    <x v="123"/>
    <x v="16"/>
    <s v="Admin/HR/IT"/>
    <s v="AMCARE NonOcc In"/>
    <s v="TEMP"/>
    <n v="201166890"/>
    <s v="Caballero,Daniel"/>
    <s v="Romero Sanchez,Gustavo Gabriel"/>
    <n v="0"/>
    <n v="0"/>
    <n v="0"/>
    <n v="0"/>
    <n v="0.55000000000000004"/>
    <e v="#N/A"/>
    <s v="lcabadan"/>
  </r>
  <r>
    <x v="124"/>
    <x v="16"/>
    <s v="Admin/HR/IT"/>
    <s v="AMCARE NonOcc In"/>
    <s v="AMZN"/>
    <n v="103260242"/>
    <s v="Ayala,Mariela"/>
    <s v="Ledezma,Fer"/>
    <n v="0"/>
    <n v="0"/>
    <n v="0"/>
    <n v="0"/>
    <n v="0.15"/>
    <e v="#N/A"/>
    <e v="#N/A"/>
  </r>
  <r>
    <x v="124"/>
    <x v="16"/>
    <s v="Admin/HR/IT"/>
    <s v="AMCARE NonOcc In"/>
    <s v="AMZN"/>
    <n v="112912674"/>
    <s v="Rodriguez Zamora,Rocio"/>
    <s v="Garcia Espejel,Brenda Victoria"/>
    <n v="0"/>
    <n v="0"/>
    <n v="0"/>
    <n v="0"/>
    <n v="0.87"/>
    <s v="DA-X0700"/>
    <s v="rociodro"/>
  </r>
  <r>
    <x v="124"/>
    <x v="16"/>
    <s v="Admin/HR/IT"/>
    <s v="AMCARE NonOcc In"/>
    <s v="AMZN"/>
    <n v="112912675"/>
    <s v="Alejandri Villagomez,Alejandra"/>
    <s v="Corona Arriaga,Fernando"/>
    <n v="0"/>
    <n v="0"/>
    <n v="0"/>
    <n v="0"/>
    <n v="0.26"/>
    <e v="#N/A"/>
    <e v="#N/A"/>
  </r>
  <r>
    <x v="124"/>
    <x v="16"/>
    <s v="Admin/HR/IT"/>
    <s v="AMCARE NonOcc In"/>
    <s v="AMZN"/>
    <n v="112912983"/>
    <s v="RodrÃ­guez,RocÃ­o"/>
    <s v="Camarena,Grecia"/>
    <n v="0"/>
    <n v="0"/>
    <n v="0"/>
    <n v="0"/>
    <n v="0.11"/>
    <s v="NF-X1900"/>
    <s v="wrocirod"/>
  </r>
  <r>
    <x v="124"/>
    <x v="16"/>
    <s v="Admin/HR/IT"/>
    <s v="AMCARE NonOcc In"/>
    <s v="AMZN"/>
    <n v="112920654"/>
    <s v="Horta,Julieta"/>
    <s v="Rosas Negrete,Sebastian"/>
    <n v="0"/>
    <n v="0"/>
    <n v="0"/>
    <n v="0"/>
    <n v="0.32"/>
    <s v="DB-X0700"/>
    <s v="qhojulie"/>
  </r>
  <r>
    <x v="124"/>
    <x v="16"/>
    <s v="Admin/HR/IT"/>
    <s v="AMCARE NonOcc In"/>
    <s v="AMZN"/>
    <n v="112920655"/>
    <s v="Diaz de LeÃ³n,Paola"/>
    <s v="Pizana,Diego"/>
    <n v="0"/>
    <n v="0"/>
    <n v="0"/>
    <n v="0"/>
    <n v="0.64"/>
    <e v="#N/A"/>
    <e v="#N/A"/>
  </r>
  <r>
    <x v="124"/>
    <x v="16"/>
    <s v="Admin/HR/IT"/>
    <s v="AMCARE NonOcc In"/>
    <s v="AMZN"/>
    <n v="112972215"/>
    <s v="Cruz,Ana"/>
    <s v="Romero Sanchez,Gustavo Gabriel"/>
    <n v="0"/>
    <n v="0"/>
    <n v="0"/>
    <n v="0"/>
    <n v="0.31"/>
    <s v="DB-X0700"/>
    <s v="cruzbana"/>
  </r>
  <r>
    <x v="124"/>
    <x v="16"/>
    <s v="Admin/HR/IT"/>
    <s v="AMCARE NonOcc In"/>
    <s v="AMZN"/>
    <n v="112980986"/>
    <s v="Colchado Garcia,Eser"/>
    <s v="Gomez,Abinadab"/>
    <n v="0"/>
    <n v="0"/>
    <n v="0"/>
    <n v="0"/>
    <n v="1.44"/>
    <s v="DJ-X0700"/>
    <s v="eserenca"/>
  </r>
  <r>
    <x v="124"/>
    <x v="16"/>
    <s v="Admin/HR/IT"/>
    <s v="AMCARE NonOcc In"/>
    <s v="AMZN"/>
    <n v="112981061"/>
    <s v="Olguin,Claudia"/>
    <s v="Robledo Ugarte,Alejandro"/>
    <n v="0"/>
    <n v="0"/>
    <n v="0"/>
    <n v="0"/>
    <n v="0.18"/>
    <s v="DA-X0700"/>
    <s v="mclaudol"/>
  </r>
  <r>
    <x v="124"/>
    <x v="16"/>
    <s v="Admin/HR/IT"/>
    <s v="AMCARE NonOcc In"/>
    <s v="AMZN"/>
    <n v="112981212"/>
    <s v="Zanella Miranda,Alyson"/>
    <s v="Robledo Ugarte,Alejandro"/>
    <n v="0"/>
    <n v="0"/>
    <n v="0"/>
    <n v="0"/>
    <n v="1.08"/>
    <e v="#N/A"/>
    <s v="alysonza"/>
  </r>
  <r>
    <x v="124"/>
    <x v="16"/>
    <s v="Admin/HR/IT"/>
    <s v="AMCARE NonOcc In"/>
    <s v="AMZN"/>
    <n v="113003679"/>
    <s v="Ibarra,Jose"/>
    <s v="Gomez Aguado,Jorge"/>
    <n v="0"/>
    <n v="0"/>
    <n v="0"/>
    <n v="0"/>
    <n v="0.12"/>
    <e v="#N/A"/>
    <e v="#N/A"/>
  </r>
  <r>
    <x v="124"/>
    <x v="16"/>
    <s v="Admin/HR/IT"/>
    <s v="AMCARE NonOcc In"/>
    <s v="AMZN"/>
    <n v="113014592"/>
    <s v="Picazo,Brenda"/>
    <s v="Romero Sanchez,Gustavo Gabriel"/>
    <n v="0"/>
    <n v="0"/>
    <n v="0"/>
    <n v="0"/>
    <n v="0.22"/>
    <e v="#N/A"/>
    <s v="brepicaz"/>
  </r>
  <r>
    <x v="124"/>
    <x v="16"/>
    <s v="Admin/HR/IT"/>
    <s v="AMCARE NonOcc In"/>
    <s v="TEMP"/>
    <n v="200563210"/>
    <s v="Pardo,Estafania"/>
    <s v="Morales Beristain,Sugeyt"/>
    <n v="0"/>
    <n v="0"/>
    <n v="0"/>
    <n v="0"/>
    <n v="0.41"/>
    <e v="#N/A"/>
    <e v="#N/A"/>
  </r>
  <r>
    <x v="124"/>
    <x v="16"/>
    <s v="Admin/HR/IT"/>
    <s v="AMCARE NonOcc In"/>
    <s v="TEMP"/>
    <n v="200615883"/>
    <s v="Ibarra Amaro,Adriana"/>
    <s v="Gomez Aguado,Jorge"/>
    <n v="0"/>
    <n v="0"/>
    <n v="0"/>
    <n v="0"/>
    <n v="0.77"/>
    <e v="#N/A"/>
    <e v="#N/A"/>
  </r>
  <r>
    <x v="124"/>
    <x v="16"/>
    <s v="Admin/HR/IT"/>
    <s v="AMCARE NonOcc In"/>
    <s v="TEMP"/>
    <n v="201320388"/>
    <s v="Pena,Laura"/>
    <s v="Morales Beristain,Sugeyt"/>
    <n v="0"/>
    <n v="0"/>
    <n v="0"/>
    <n v="0"/>
    <n v="0.21"/>
    <e v="#N/A"/>
    <e v="#N/A"/>
  </r>
  <r>
    <x v="125"/>
    <x v="16"/>
    <s v="Admin/HR/IT"/>
    <s v="AMCARE NonOcc In"/>
    <s v="AMZN"/>
    <n v="103979960"/>
    <s v="Suchil Angel,Guillermo"/>
    <s v="Robledo Ugarte,Alejandro"/>
    <n v="0"/>
    <n v="0"/>
    <n v="0"/>
    <n v="0"/>
    <n v="0.82"/>
    <e v="#N/A"/>
    <e v="#N/A"/>
  </r>
  <r>
    <x v="125"/>
    <x v="16"/>
    <s v="Admin/HR/IT"/>
    <s v="AMCARE NonOcc In"/>
    <s v="AMZN"/>
    <n v="112972608"/>
    <s v="Hernandez Romo,Sam"/>
    <s v="Pizana,Diego"/>
    <n v="0"/>
    <n v="0"/>
    <n v="0"/>
    <n v="0"/>
    <n v="0.4"/>
    <e v="#N/A"/>
    <e v="#N/A"/>
  </r>
  <r>
    <x v="125"/>
    <x v="16"/>
    <s v="Admin/HR/IT"/>
    <s v="AMCARE NonOcc In"/>
    <s v="AMZN"/>
    <n v="113004099"/>
    <s v="Partida,Luis"/>
    <s v="Madrid Molina,Ramon"/>
    <n v="0"/>
    <n v="0"/>
    <n v="0"/>
    <n v="0"/>
    <n v="0.93"/>
    <e v="#N/A"/>
    <s v="partilum"/>
  </r>
  <r>
    <x v="125"/>
    <x v="16"/>
    <s v="Admin/HR/IT"/>
    <s v="AMCARE NonOcc In"/>
    <s v="AMZN"/>
    <n v="113020476"/>
    <s v="Puente Aguilar,Polette"/>
    <s v="Madrid Molina,Ramon"/>
    <n v="0"/>
    <n v="0"/>
    <n v="0"/>
    <n v="0"/>
    <n v="0.97"/>
    <e v="#N/A"/>
    <s v="polettpu"/>
  </r>
  <r>
    <x v="125"/>
    <x v="16"/>
    <s v="Admin/HR/IT"/>
    <s v="AMCARE NonOcc In"/>
    <s v="AMZN"/>
    <n v="113020667"/>
    <s v="Martinez Becerra,Paulina"/>
    <s v="Gomez Aguado,Jorge"/>
    <n v="0"/>
    <n v="0"/>
    <n v="0"/>
    <n v="0"/>
    <n v="0.49"/>
    <e v="#N/A"/>
    <s v="mavpauli"/>
  </r>
  <r>
    <x v="125"/>
    <x v="16"/>
    <s v="Admin/HR/IT"/>
    <s v="AMCARE NonOcc In"/>
    <s v="TEMP"/>
    <n v="200562154"/>
    <s v="Reyes Muniz,Cristian"/>
    <s v="Corona Arriaga,Fernando"/>
    <n v="0"/>
    <n v="0"/>
    <n v="0"/>
    <n v="0"/>
    <n v="0.21"/>
    <e v="#N/A"/>
    <s v="reyesmcw"/>
  </r>
  <r>
    <x v="125"/>
    <x v="16"/>
    <s v="Admin/HR/IT"/>
    <s v="AMCARE NonOcc In"/>
    <s v="TEMP"/>
    <n v="200589316"/>
    <s v="Torres Zuniga,Daniel"/>
    <s v="Gomez Aguado,Jorge"/>
    <n v="0"/>
    <n v="0"/>
    <n v="0"/>
    <n v="0"/>
    <n v="0.51"/>
    <e v="#N/A"/>
    <e v="#N/A"/>
  </r>
  <r>
    <x v="125"/>
    <x v="16"/>
    <s v="Admin/HR/IT"/>
    <s v="AMCARE NonOcc In"/>
    <s v="TEMP"/>
    <n v="201219500"/>
    <s v="Mazy,RamsÃ©s"/>
    <s v="Ledezma,Fer"/>
    <n v="0"/>
    <n v="0"/>
    <n v="0"/>
    <n v="0"/>
    <n v="0.27"/>
    <e v="#N/A"/>
    <s v="ramsmazy"/>
  </r>
  <r>
    <x v="125"/>
    <x v="16"/>
    <s v="Admin/HR/IT"/>
    <s v="AMCARE NonOcc In"/>
    <s v="TEMP"/>
    <n v="201355246"/>
    <s v="Ramirez,Montserrat"/>
    <s v="Morales Beristain,Sugeyt"/>
    <n v="0"/>
    <n v="0"/>
    <n v="0"/>
    <n v="0"/>
    <n v="0.17"/>
    <e v="#N/A"/>
    <e v="#N/A"/>
  </r>
  <r>
    <x v="125"/>
    <x v="16"/>
    <s v="Admin/HR/IT"/>
    <s v="AMCARE NonOcc In"/>
    <s v="TEMP"/>
    <n v="201355332"/>
    <s v="Martinez,Maria Jose"/>
    <s v="Morales Beristain,Sugeyt"/>
    <n v="0"/>
    <n v="0"/>
    <n v="0"/>
    <n v="0"/>
    <n v="0.38"/>
    <e v="#N/A"/>
    <e v="#N/A"/>
  </r>
  <r>
    <x v="126"/>
    <x v="16"/>
    <s v="Admin/HR/IT"/>
    <s v="AMCARE NonOcc In"/>
    <s v="AMZN"/>
    <n v="112912675"/>
    <s v="Alejandri Villagomez,Alejandra"/>
    <s v="Corona Arriaga,Fernando"/>
    <n v="0"/>
    <n v="0"/>
    <n v="0"/>
    <n v="0"/>
    <n v="0.35"/>
    <e v="#N/A"/>
    <e v="#N/A"/>
  </r>
  <r>
    <x v="126"/>
    <x v="16"/>
    <s v="Admin/HR/IT"/>
    <s v="AMCARE NonOcc In"/>
    <s v="AMZN"/>
    <n v="112972201"/>
    <s v="Garcia,Andres"/>
    <s v="Pizana,Diego"/>
    <n v="0"/>
    <n v="0"/>
    <n v="0"/>
    <n v="0"/>
    <n v="2.6"/>
    <s v="DC-X0700"/>
    <s v="garcyand"/>
  </r>
  <r>
    <x v="126"/>
    <x v="16"/>
    <s v="Admin/HR/IT"/>
    <s v="AMCARE NonOcc In"/>
    <s v="AMZN"/>
    <n v="113020476"/>
    <s v="Puente Aguilar,Polette"/>
    <s v="Madrid Molina,Ramon"/>
    <n v="0"/>
    <n v="0"/>
    <n v="0"/>
    <n v="0"/>
    <n v="0.4"/>
    <e v="#N/A"/>
    <s v="polettpu"/>
  </r>
  <r>
    <x v="126"/>
    <x v="16"/>
    <s v="Admin/HR/IT"/>
    <s v="AMCARE NonOcc In"/>
    <s v="TEMP"/>
    <n v="200614224"/>
    <s v="Cruz Hernandez,Cris"/>
    <s v="Ledezma,Fer"/>
    <n v="0"/>
    <n v="0"/>
    <n v="0"/>
    <n v="0"/>
    <n v="0.16"/>
    <e v="#N/A"/>
    <e v="#N/A"/>
  </r>
  <r>
    <x v="126"/>
    <x v="16"/>
    <s v="Admin/HR/IT"/>
    <s v="AMCARE NonOcc In"/>
    <s v="TEMP"/>
    <n v="201160146"/>
    <s v="Avila,priscila"/>
    <s v="Ledezma,Fer"/>
    <n v="0"/>
    <n v="0"/>
    <n v="0"/>
    <n v="0"/>
    <n v="0.38"/>
    <e v="#N/A"/>
    <e v="#N/A"/>
  </r>
  <r>
    <x v="127"/>
    <x v="17"/>
    <s v="Admin/HR/IT"/>
    <s v="AMCARE NonOcc In"/>
    <s v="AMZN"/>
    <n v="111434478"/>
    <s v="Gutierrez,Pame"/>
    <s v="Garcia Espejel,Brenda Victoria"/>
    <n v="0"/>
    <n v="0"/>
    <n v="0"/>
    <n v="0"/>
    <n v="1.27"/>
    <s v="DA-X0700"/>
    <s v="juanapam"/>
  </r>
  <r>
    <x v="127"/>
    <x v="17"/>
    <s v="Admin/HR/IT"/>
    <s v="AMCARE NonOcc In"/>
    <s v="AMZN"/>
    <n v="112912209"/>
    <s v="Morales,Sarahi"/>
    <s v="Munoz,Jonan"/>
    <n v="0"/>
    <n v="0"/>
    <n v="0"/>
    <n v="0"/>
    <n v="0.42"/>
    <s v="NF-X1900"/>
    <s v="moralefs"/>
  </r>
  <r>
    <x v="127"/>
    <x v="17"/>
    <s v="Admin/HR/IT"/>
    <s v="AMCARE NonOcc In"/>
    <s v="AMZN"/>
    <n v="112912459"/>
    <s v="Maldonado Hernandez,Miguel"/>
    <s v="Gomez Aguado,Jorge"/>
    <n v="0"/>
    <n v="0"/>
    <n v="0"/>
    <n v="0"/>
    <n v="1.32"/>
    <e v="#N/A"/>
    <e v="#N/A"/>
  </r>
  <r>
    <x v="127"/>
    <x v="17"/>
    <s v="Admin/HR/IT"/>
    <s v="AMCARE NonOcc In"/>
    <s v="AMZN"/>
    <n v="112912752"/>
    <s v="Valderrama Gomez,Leslie"/>
    <s v="Gomez,Abinadab"/>
    <n v="0"/>
    <n v="0"/>
    <n v="0"/>
    <n v="0"/>
    <n v="0.23"/>
    <s v="NF-X1900"/>
    <s v="valderle"/>
  </r>
  <r>
    <x v="127"/>
    <x v="17"/>
    <s v="Admin/HR/IT"/>
    <s v="AMCARE NonOcc In"/>
    <s v="AMZN"/>
    <n v="112950784"/>
    <s v="Rojas,Samuel"/>
    <s v="Pizana,Diego"/>
    <n v="0"/>
    <n v="0"/>
    <n v="0"/>
    <n v="0"/>
    <n v="0.28000000000000003"/>
    <s v="NF-X1900"/>
    <s v="sarojast"/>
  </r>
  <r>
    <x v="127"/>
    <x v="17"/>
    <s v="Admin/HR/IT"/>
    <s v="AMCARE NonOcc In"/>
    <s v="AMZN"/>
    <n v="112950809"/>
    <s v="Rocha,Luz"/>
    <s v="Munoz,Jonan"/>
    <n v="0"/>
    <n v="0"/>
    <n v="0"/>
    <n v="0"/>
    <n v="3.18"/>
    <s v="DA-X0700"/>
    <s v="lurochae"/>
  </r>
  <r>
    <x v="127"/>
    <x v="17"/>
    <s v="Admin/HR/IT"/>
    <s v="AMCARE NonOcc In"/>
    <s v="TEMP"/>
    <n v="200589316"/>
    <s v="Torres Zuniga,Daniel"/>
    <s v="Gomez Aguado,Jorge"/>
    <n v="0"/>
    <n v="0"/>
    <n v="0"/>
    <n v="0"/>
    <n v="0.75"/>
    <e v="#N/A"/>
    <e v="#N/A"/>
  </r>
  <r>
    <x v="127"/>
    <x v="17"/>
    <s v="Admin/HR/IT"/>
    <s v="AMCARE NonOcc In"/>
    <s v="TEMP"/>
    <n v="200625528"/>
    <s v="Oliva,Lizbeth"/>
    <s v="Piedra,Valentina"/>
    <n v="0"/>
    <n v="0"/>
    <n v="0"/>
    <n v="0"/>
    <n v="0.17"/>
    <e v="#N/A"/>
    <s v="olivlizb"/>
  </r>
  <r>
    <x v="127"/>
    <x v="17"/>
    <s v="Admin/HR/IT"/>
    <s v="AMCARE NonOcc In"/>
    <s v="TEMP"/>
    <n v="201186139"/>
    <s v="Barba,AdriÃ¡n"/>
    <s v="Gomez,Abinadab"/>
    <n v="0"/>
    <n v="0"/>
    <n v="0"/>
    <n v="0"/>
    <n v="1.25"/>
    <e v="#N/A"/>
    <e v="#N/A"/>
  </r>
  <r>
    <x v="127"/>
    <x v="17"/>
    <s v="Admin/HR/IT"/>
    <s v="AMCARE NonOcc In"/>
    <s v="TEMP"/>
    <n v="201201993"/>
    <s v="Olmos,Lucia"/>
    <s v="Piedra,Valentina"/>
    <n v="0"/>
    <n v="0"/>
    <n v="0"/>
    <n v="0"/>
    <n v="0.23"/>
    <e v="#N/A"/>
    <e v="#N/A"/>
  </r>
  <r>
    <x v="127"/>
    <x v="17"/>
    <s v="Admin/HR/IT"/>
    <s v="AMCARE NonOcc In"/>
    <s v="TEMP"/>
    <n v="201355525"/>
    <s v="Hernandez,Gael"/>
    <s v="Munoz,Jonan"/>
    <n v="0"/>
    <n v="0"/>
    <n v="0"/>
    <n v="0"/>
    <n v="0.14000000000000001"/>
    <e v="#N/A"/>
    <e v="#N/A"/>
  </r>
  <r>
    <x v="128"/>
    <x v="17"/>
    <s v="Admin/HR/IT"/>
    <s v="AMCARE NonOcc In"/>
    <s v="AMZN"/>
    <n v="112912008"/>
    <s v="Espinosa,Consuelo"/>
    <s v="Rosas Negrete,Sebastian"/>
    <n v="0"/>
    <n v="0"/>
    <n v="0"/>
    <n v="0"/>
    <n v="10.49"/>
    <e v="#N/A"/>
    <e v="#N/A"/>
  </r>
  <r>
    <x v="128"/>
    <x v="17"/>
    <s v="Admin/HR/IT"/>
    <s v="AMCARE NonOcc In"/>
    <s v="AMZN"/>
    <n v="112912506"/>
    <s v="Garcia  Caudillo,Jessica"/>
    <s v="Munoz,Jonan"/>
    <n v="0"/>
    <n v="0"/>
    <n v="0"/>
    <n v="0"/>
    <n v="0.05"/>
    <s v="DA-X0700"/>
    <s v="gakjessi"/>
  </r>
  <r>
    <x v="128"/>
    <x v="17"/>
    <s v="Admin/HR/IT"/>
    <s v="AMCARE NonOcc In"/>
    <s v="AMZN"/>
    <n v="112912752"/>
    <s v="Valderrama Gomez,Leslie"/>
    <s v="Gomez,Abinadab"/>
    <n v="0"/>
    <n v="0"/>
    <n v="0"/>
    <n v="0"/>
    <n v="0.53"/>
    <s v="NF-X1900"/>
    <s v="valderle"/>
  </r>
  <r>
    <x v="128"/>
    <x v="17"/>
    <s v="Admin/HR/IT"/>
    <s v="AMCARE NonOcc In"/>
    <s v="AMZN"/>
    <n v="112912983"/>
    <s v="RodrÃ­guez,RocÃ­o"/>
    <s v="Camarena,Grecia"/>
    <n v="0"/>
    <n v="0"/>
    <n v="0"/>
    <n v="0"/>
    <n v="0.34"/>
    <s v="NF-X1900"/>
    <s v="wrocirod"/>
  </r>
  <r>
    <x v="128"/>
    <x v="17"/>
    <s v="Admin/HR/IT"/>
    <s v="AMCARE NonOcc In"/>
    <s v="AMZN"/>
    <n v="112950809"/>
    <s v="Rocha,Luz"/>
    <s v="Munoz,Jonan"/>
    <n v="0"/>
    <n v="0"/>
    <n v="0"/>
    <n v="0"/>
    <n v="1.87"/>
    <s v="DA-X0700"/>
    <s v="lurochae"/>
  </r>
  <r>
    <x v="128"/>
    <x v="17"/>
    <s v="Admin/HR/IT"/>
    <s v="AMCARE NonOcc In"/>
    <s v="AMZN"/>
    <n v="112971965"/>
    <s v="Hernandez,Andrea"/>
    <s v="Madrid Molina,Ramon"/>
    <n v="0"/>
    <n v="0"/>
    <n v="0"/>
    <n v="0"/>
    <n v="0.34"/>
    <e v="#N/A"/>
    <e v="#N/A"/>
  </r>
  <r>
    <x v="128"/>
    <x v="17"/>
    <s v="Admin/HR/IT"/>
    <s v="AMCARE NonOcc In"/>
    <s v="AMZN"/>
    <n v="112980847"/>
    <s v="Reyes,Jose"/>
    <s v="Gomez,Abinadab"/>
    <n v="0"/>
    <n v="0"/>
    <n v="0"/>
    <n v="0"/>
    <n v="0.17"/>
    <e v="#N/A"/>
    <e v="#N/A"/>
  </r>
  <r>
    <x v="128"/>
    <x v="17"/>
    <s v="Admin/HR/IT"/>
    <s v="AMCARE NonOcc In"/>
    <s v="TEMP"/>
    <n v="200614224"/>
    <s v="Cruz Hernandez,Cris"/>
    <s v="Ledezma,Fer"/>
    <n v="0"/>
    <n v="0"/>
    <n v="0"/>
    <n v="0"/>
    <n v="0.37"/>
    <e v="#N/A"/>
    <e v="#N/A"/>
  </r>
  <r>
    <x v="128"/>
    <x v="17"/>
    <s v="Admin/HR/IT"/>
    <s v="AMCARE NonOcc In"/>
    <s v="TEMP"/>
    <n v="200625528"/>
    <s v="Oliva,Lizbeth"/>
    <s v="Piedra,Valentina"/>
    <n v="0"/>
    <n v="0"/>
    <n v="0"/>
    <n v="0"/>
    <n v="0.18"/>
    <e v="#N/A"/>
    <s v="olivlizb"/>
  </r>
  <r>
    <x v="128"/>
    <x v="17"/>
    <s v="Admin/HR/IT"/>
    <s v="AMCARE NonOcc In"/>
    <s v="TEMP"/>
    <n v="201185277"/>
    <s v="GamiÃ±o,Fany"/>
    <s v="Robledo Ugarte,Alejandro"/>
    <n v="0"/>
    <n v="0"/>
    <n v="0"/>
    <n v="0"/>
    <n v="0.1"/>
    <e v="#N/A"/>
    <e v="#N/A"/>
  </r>
  <r>
    <x v="128"/>
    <x v="17"/>
    <s v="Admin/HR/IT"/>
    <s v="AMCARE NonOcc In"/>
    <s v="TEMP"/>
    <n v="201201993"/>
    <s v="Olmos,Lucia"/>
    <s v="Piedra,Valentina"/>
    <n v="0"/>
    <n v="0"/>
    <n v="0"/>
    <n v="0"/>
    <n v="0.25"/>
    <e v="#N/A"/>
    <e v="#N/A"/>
  </r>
  <r>
    <x v="128"/>
    <x v="17"/>
    <s v="Admin/HR/IT"/>
    <s v="AMCARE NonOcc In"/>
    <s v="TEMP"/>
    <n v="201294217"/>
    <s v="Montes,Bibiana"/>
    <s v="Gomez,Abinadab"/>
    <n v="0"/>
    <n v="0"/>
    <n v="0"/>
    <n v="0"/>
    <n v="0.43"/>
    <e v="#N/A"/>
    <s v="montebib"/>
  </r>
  <r>
    <x v="128"/>
    <x v="17"/>
    <s v="Admin/HR/IT"/>
    <s v="AMCARE NonOcc In"/>
    <s v="TEMP"/>
    <n v="201314940"/>
    <s v="HernÃ¡ndez,Eliza"/>
    <s v="Lopez,Alexa"/>
    <n v="0"/>
    <n v="0"/>
    <n v="0"/>
    <n v="0"/>
    <n v="0.16"/>
    <e v="#N/A"/>
    <e v="#N/A"/>
  </r>
  <r>
    <x v="129"/>
    <x v="17"/>
    <s v="Admin/HR/IT"/>
    <s v="AMCARE NonOcc In"/>
    <s v="AMZN"/>
    <n v="112912071"/>
    <s v="Torres,Alan"/>
    <s v="Gomez,Abinadab"/>
    <n v="0"/>
    <n v="0"/>
    <n v="0"/>
    <n v="0"/>
    <n v="0.42"/>
    <e v="#N/A"/>
    <e v="#N/A"/>
  </r>
  <r>
    <x v="129"/>
    <x v="17"/>
    <s v="Admin/HR/IT"/>
    <s v="AMCARE NonOcc In"/>
    <s v="AMZN"/>
    <n v="112912163"/>
    <s v="Murillo,Alejandro"/>
    <s v="Romero Sanchez,Gustavo Gabriel"/>
    <n v="0"/>
    <n v="0"/>
    <n v="0"/>
    <n v="0"/>
    <n v="0.24"/>
    <e v="#N/A"/>
    <e v="#N/A"/>
  </r>
  <r>
    <x v="129"/>
    <x v="17"/>
    <s v="Admin/HR/IT"/>
    <s v="AMCARE NonOcc In"/>
    <s v="AMZN"/>
    <n v="112912753"/>
    <s v="Padilla Abrego,Selene"/>
    <s v="Romero Sanchez,Gustavo Gabriel"/>
    <n v="0"/>
    <n v="0"/>
    <n v="0"/>
    <n v="0"/>
    <n v="0.12"/>
    <e v="#N/A"/>
    <e v="#N/A"/>
  </r>
  <r>
    <x v="129"/>
    <x v="17"/>
    <s v="Admin/HR/IT"/>
    <s v="AMCARE NonOcc In"/>
    <s v="AMZN"/>
    <n v="112920666"/>
    <s v="Rocha,Jose"/>
    <s v="Cortes,Alejandra"/>
    <n v="0"/>
    <n v="0"/>
    <n v="0"/>
    <n v="0"/>
    <n v="0.23"/>
    <s v="D5-X0700"/>
    <s v="jorochai"/>
  </r>
  <r>
    <x v="129"/>
    <x v="17"/>
    <s v="Admin/HR/IT"/>
    <s v="AMCARE NonOcc In"/>
    <s v="AMZN"/>
    <n v="112950792"/>
    <s v="Morales Gonzalez,Genesis"/>
    <s v="Gomez,Abinadab"/>
    <n v="0"/>
    <n v="0"/>
    <n v="0"/>
    <n v="0"/>
    <n v="0.34"/>
    <s v="NF-X1900"/>
    <s v="genevmor"/>
  </r>
  <r>
    <x v="129"/>
    <x v="17"/>
    <s v="Admin/HR/IT"/>
    <s v="AMCARE NonOcc In"/>
    <s v="AMZN"/>
    <n v="112950807"/>
    <s v="Sanchez Lira,Aaron"/>
    <s v="Garcia Espejel,Brenda Victoria"/>
    <n v="0"/>
    <n v="0"/>
    <n v="0"/>
    <n v="0"/>
    <n v="0.55000000000000004"/>
    <s v="DA-X0700"/>
    <s v="kaarsanc"/>
  </r>
  <r>
    <x v="129"/>
    <x v="17"/>
    <s v="Admin/HR/IT"/>
    <s v="AMCARE NonOcc In"/>
    <s v="AMZN"/>
    <n v="112950809"/>
    <s v="Rocha,Luz"/>
    <s v="Munoz,Jonan"/>
    <n v="0"/>
    <n v="0"/>
    <n v="0"/>
    <n v="0"/>
    <n v="0.56999999999999995"/>
    <s v="DA-X0700"/>
    <s v="lurochae"/>
  </r>
  <r>
    <x v="129"/>
    <x v="17"/>
    <s v="Admin/HR/IT"/>
    <s v="AMCARE NonOcc In"/>
    <s v="AMZN"/>
    <n v="112976013"/>
    <s v="Garcia,Roberto"/>
    <s v="Munoz,Jonan"/>
    <n v="0"/>
    <n v="0"/>
    <n v="0"/>
    <n v="0"/>
    <n v="0.2"/>
    <e v="#N/A"/>
    <e v="#N/A"/>
  </r>
  <r>
    <x v="129"/>
    <x v="17"/>
    <s v="Admin/HR/IT"/>
    <s v="AMCARE NonOcc In"/>
    <s v="AMZN"/>
    <n v="112981061"/>
    <s v="Olguin,Claudia"/>
    <s v="Robledo Ugarte,Alejandro"/>
    <n v="0"/>
    <n v="0"/>
    <n v="0"/>
    <n v="0"/>
    <n v="0.42"/>
    <s v="DA-X0700"/>
    <s v="mclaudol"/>
  </r>
  <r>
    <x v="129"/>
    <x v="17"/>
    <s v="Admin/HR/IT"/>
    <s v="AMCARE NonOcc In"/>
    <s v="TEMP"/>
    <n v="200589316"/>
    <s v="Torres Zuniga,Daniel"/>
    <s v="Gomez Aguado,Jorge"/>
    <n v="0"/>
    <n v="0"/>
    <n v="0"/>
    <n v="0"/>
    <n v="0.52"/>
    <e v="#N/A"/>
    <e v="#N/A"/>
  </r>
  <r>
    <x v="129"/>
    <x v="17"/>
    <s v="Admin/HR/IT"/>
    <s v="AMCARE NonOcc In"/>
    <s v="TEMP"/>
    <n v="201160146"/>
    <s v="Avila,priscila"/>
    <s v="Ledezma,Fer"/>
    <n v="0"/>
    <n v="0"/>
    <n v="0"/>
    <n v="0"/>
    <n v="0.2"/>
    <e v="#N/A"/>
    <e v="#N/A"/>
  </r>
  <r>
    <x v="129"/>
    <x v="17"/>
    <s v="Admin/HR/IT"/>
    <s v="AMCARE NonOcc In"/>
    <s v="TEMP"/>
    <n v="201165769"/>
    <s v="Puente,Karen"/>
    <s v="Piedra,Valentina"/>
    <n v="0"/>
    <n v="0"/>
    <n v="0"/>
    <n v="0"/>
    <n v="0.77"/>
    <e v="#N/A"/>
    <s v="puenkare"/>
  </r>
  <r>
    <x v="129"/>
    <x v="17"/>
    <s v="Admin/HR/IT"/>
    <s v="AMCARE NonOcc In"/>
    <s v="TEMP"/>
    <n v="201320388"/>
    <s v="Pena,Laura"/>
    <s v="Robledo Ugarte,Alejandro"/>
    <n v="0"/>
    <n v="0"/>
    <n v="0"/>
    <n v="0"/>
    <n v="0.25"/>
    <e v="#N/A"/>
    <e v="#N/A"/>
  </r>
  <r>
    <x v="129"/>
    <x v="17"/>
    <s v="Admin/HR/IT"/>
    <s v="AMCARE NonOcc In"/>
    <s v="TEMP"/>
    <n v="201355246"/>
    <s v="Ramirez,Montserrat"/>
    <s v="Lopez,Alexa"/>
    <n v="0"/>
    <n v="0"/>
    <n v="0"/>
    <n v="0"/>
    <n v="0.24"/>
    <e v="#N/A"/>
    <e v="#N/A"/>
  </r>
  <r>
    <x v="130"/>
    <x v="17"/>
    <s v="Admin/HR/IT"/>
    <s v="AMCARE NonOcc In"/>
    <s v="AMZN"/>
    <n v="110249579"/>
    <s v="Ruz,Misael"/>
    <s v="Piedra,Valentina"/>
    <n v="0"/>
    <n v="0"/>
    <n v="0"/>
    <n v="0"/>
    <n v="0.56999999999999995"/>
    <s v="DA-X0700"/>
    <s v="ruzcvict"/>
  </r>
  <r>
    <x v="130"/>
    <x v="17"/>
    <s v="Admin/HR/IT"/>
    <s v="AMCARE NonOcc In"/>
    <s v="TEMP"/>
    <n v="112912007"/>
    <s v="Robledo Barrientos,Alondra"/>
    <s v="Gomez,Abinadab"/>
    <n v="0"/>
    <n v="0"/>
    <n v="0"/>
    <n v="0"/>
    <n v="0.66"/>
    <e v="#N/A"/>
    <e v="#N/A"/>
  </r>
  <r>
    <x v="130"/>
    <x v="17"/>
    <s v="Admin/HR/IT"/>
    <s v="AMCARE NonOcc In"/>
    <s v="AMZN"/>
    <n v="112912163"/>
    <s v="Murillo,Alejandro"/>
    <s v="Romero Sanchez,Gustavo Gabriel"/>
    <n v="0"/>
    <n v="0"/>
    <n v="0"/>
    <n v="0"/>
    <n v="0.18"/>
    <e v="#N/A"/>
    <e v="#N/A"/>
  </r>
  <r>
    <x v="130"/>
    <x v="17"/>
    <s v="Admin/HR/IT"/>
    <s v="AMCARE NonOcc In"/>
    <s v="AMZN"/>
    <n v="112950809"/>
    <s v="Rocha,Luz"/>
    <s v="Munoz,Jonan"/>
    <n v="0"/>
    <n v="0"/>
    <n v="0"/>
    <n v="0"/>
    <n v="1.08"/>
    <s v="DA-X0700"/>
    <s v="lurochae"/>
  </r>
  <r>
    <x v="130"/>
    <x v="17"/>
    <s v="Admin/HR/IT"/>
    <s v="AMCARE NonOcc In"/>
    <s v="AMZN"/>
    <n v="112972215"/>
    <s v="Cruz,Ana"/>
    <s v="Romero Sanchez,Gustavo Gabriel"/>
    <n v="0"/>
    <n v="0"/>
    <n v="0"/>
    <n v="0"/>
    <n v="0.37"/>
    <s v="DB-X0700"/>
    <s v="cruzbana"/>
  </r>
  <r>
    <x v="130"/>
    <x v="17"/>
    <s v="Admin/HR/IT"/>
    <s v="AMCARE NonOcc In"/>
    <s v="AMZN"/>
    <n v="113101453"/>
    <s v="Isaac,Geovanna"/>
    <s v="Robledo Ugarte,Alejandro"/>
    <n v="0"/>
    <n v="0"/>
    <n v="0"/>
    <n v="0"/>
    <n v="0.2"/>
    <e v="#N/A"/>
    <s v="qisgeova"/>
  </r>
  <r>
    <x v="130"/>
    <x v="17"/>
    <s v="Admin/HR/IT"/>
    <s v="AMCARE NonOcc In"/>
    <s v="TEMP"/>
    <n v="200625517"/>
    <s v="RamÃ­rez,Miranda"/>
    <s v="Robledo Ugarte,Alejandro"/>
    <n v="0"/>
    <n v="0"/>
    <n v="0"/>
    <n v="0"/>
    <n v="0.14000000000000001"/>
    <e v="#N/A"/>
    <e v="#N/A"/>
  </r>
  <r>
    <x v="130"/>
    <x v="17"/>
    <s v="Admin/HR/IT"/>
    <s v="AMCARE NonOcc In"/>
    <s v="TEMP"/>
    <n v="201365896"/>
    <s v="Gonzalez,Esther"/>
    <s v="Bueno Mendoza,Susana"/>
    <n v="0"/>
    <n v="0"/>
    <n v="0"/>
    <n v="0"/>
    <n v="0.56999999999999995"/>
    <e v="#N/A"/>
    <e v="#N/A"/>
  </r>
  <r>
    <x v="130"/>
    <x v="17"/>
    <s v="Admin/HR/IT"/>
    <s v="AMCARE NonOcc In"/>
    <s v="TEMP"/>
    <n v="201378614"/>
    <s v="Meza,Fernando"/>
    <s v="Bueno Mendoza,Susana"/>
    <n v="0"/>
    <n v="0"/>
    <n v="0"/>
    <n v="0"/>
    <n v="0.64"/>
    <e v="#N/A"/>
    <e v="#N/A"/>
  </r>
  <r>
    <x v="130"/>
    <x v="17"/>
    <s v="Admin/HR/IT"/>
    <s v="AMCARE NonOcc In"/>
    <s v="TEMP"/>
    <n v="201390700"/>
    <s v="Rea,Carmen"/>
    <s v="Robledo Ugarte,Alejandro"/>
    <n v="0"/>
    <n v="0"/>
    <n v="0"/>
    <n v="0"/>
    <n v="7.0000000000000007E-2"/>
    <e v="#N/A"/>
    <e v="#N/A"/>
  </r>
  <r>
    <x v="131"/>
    <x v="17"/>
    <s v="Admin/HR/IT"/>
    <s v="AMCARE NonOcc In"/>
    <s v="AMZN"/>
    <n v="112920655"/>
    <s v="Diaz de LeÃ³n,Paola"/>
    <s v="Pizana,Diego"/>
    <n v="0"/>
    <n v="0"/>
    <n v="0"/>
    <n v="0"/>
    <n v="0.67"/>
    <e v="#N/A"/>
    <e v="#N/A"/>
  </r>
  <r>
    <x v="131"/>
    <x v="17"/>
    <s v="Admin/HR/IT"/>
    <s v="AMCARE NonOcc In"/>
    <s v="AMZN"/>
    <n v="112920666"/>
    <s v="Rocha,Jose"/>
    <s v="Cortes,Alejandra"/>
    <n v="0"/>
    <n v="0"/>
    <n v="0"/>
    <n v="0"/>
    <n v="0.1"/>
    <s v="D5-X0700"/>
    <s v="jorochai"/>
  </r>
  <r>
    <x v="131"/>
    <x v="17"/>
    <s v="Admin/HR/IT"/>
    <s v="AMCARE NonOcc In"/>
    <s v="TEMP"/>
    <n v="112950796"/>
    <s v="Garcia,Janeth"/>
    <s v="Gomez,Abinadab"/>
    <n v="0"/>
    <n v="0"/>
    <n v="0"/>
    <n v="0"/>
    <n v="0.08"/>
    <e v="#N/A"/>
    <e v="#N/A"/>
  </r>
  <r>
    <x v="131"/>
    <x v="17"/>
    <s v="Admin/HR/IT"/>
    <s v="AMCARE NonOcc In"/>
    <s v="AMZN"/>
    <n v="112971980"/>
    <s v="Romero,Daniel"/>
    <s v="Pizana,Diego"/>
    <n v="0"/>
    <n v="0"/>
    <n v="0"/>
    <n v="0"/>
    <n v="0.26"/>
    <s v="DC-X0700"/>
    <s v="cdanirom"/>
  </r>
  <r>
    <x v="131"/>
    <x v="17"/>
    <s v="Admin/HR/IT"/>
    <s v="AMCARE NonOcc In"/>
    <s v="AMZN"/>
    <n v="112972194"/>
    <s v="Vela Angeles,Fernanda"/>
    <s v="Camarena,Grecia"/>
    <n v="0"/>
    <n v="0"/>
    <n v="0"/>
    <n v="0"/>
    <n v="0.15"/>
    <s v="DB-X0700"/>
    <s v="velaangl"/>
  </r>
  <r>
    <x v="131"/>
    <x v="17"/>
    <s v="Admin/HR/IT"/>
    <s v="AMCARE NonOcc In"/>
    <s v="AMZN"/>
    <n v="112991248"/>
    <s v="Cabrera Velazquez,Sandy"/>
    <s v="Madrid Molina,Ramon"/>
    <n v="0"/>
    <n v="0"/>
    <n v="0"/>
    <n v="0"/>
    <n v="0.23"/>
    <e v="#N/A"/>
    <e v="#N/A"/>
  </r>
  <r>
    <x v="131"/>
    <x v="17"/>
    <s v="Admin/HR/IT"/>
    <s v="AMCARE NonOcc In"/>
    <s v="AMZN"/>
    <n v="113014042"/>
    <s v="Cervantes,Rose"/>
    <s v="Madrid Molina,Ramon"/>
    <n v="0"/>
    <n v="0"/>
    <n v="0"/>
    <n v="0"/>
    <n v="0.4"/>
    <e v="#N/A"/>
    <s v="rfcervan"/>
  </r>
  <r>
    <x v="131"/>
    <x v="17"/>
    <s v="Admin/HR/IT"/>
    <s v="AMCARE NonOcc In"/>
    <s v="AMZN"/>
    <n v="113020476"/>
    <s v="Puente Aguilar,Polette"/>
    <s v="Madrid Molina,Ramon"/>
    <n v="0"/>
    <n v="0"/>
    <n v="0"/>
    <n v="0"/>
    <n v="0.59"/>
    <e v="#N/A"/>
    <s v="polettpu"/>
  </r>
  <r>
    <x v="131"/>
    <x v="17"/>
    <s v="Admin/HR/IT"/>
    <s v="AMCARE NonOcc In"/>
    <s v="AMZN"/>
    <n v="113101453"/>
    <s v="Isaac,Geovanna"/>
    <s v="Robledo Ugarte,Alejandro"/>
    <n v="0"/>
    <n v="0"/>
    <n v="0"/>
    <n v="0"/>
    <n v="0.28000000000000003"/>
    <e v="#N/A"/>
    <s v="qisgeova"/>
  </r>
  <r>
    <x v="131"/>
    <x v="17"/>
    <s v="Admin/HR/IT"/>
    <s v="AMCARE NonOcc In"/>
    <s v="TEMP"/>
    <n v="200565197"/>
    <s v="Avila,Mary"/>
    <s v="Romero Sanchez,Gustavo Gabriel"/>
    <n v="0"/>
    <n v="0"/>
    <n v="0"/>
    <n v="0"/>
    <n v="0.42"/>
    <e v="#N/A"/>
    <e v="#N/A"/>
  </r>
  <r>
    <x v="131"/>
    <x v="17"/>
    <s v="Admin/HR/IT"/>
    <s v="AMCARE NonOcc In"/>
    <s v="TEMP"/>
    <n v="200614224"/>
    <s v="Cruz Hernandez,Cris"/>
    <s v="Ledezma,Fer"/>
    <n v="0"/>
    <n v="0"/>
    <n v="0"/>
    <n v="0"/>
    <n v="0.25"/>
    <e v="#N/A"/>
    <e v="#N/A"/>
  </r>
  <r>
    <x v="131"/>
    <x v="17"/>
    <s v="Admin/HR/IT"/>
    <s v="AMCARE NonOcc In"/>
    <s v="TEMP"/>
    <n v="201309605"/>
    <s v="Hernandez,Yamile"/>
    <s v="Gomez Aguado,Jorge"/>
    <n v="0"/>
    <n v="0"/>
    <n v="0"/>
    <n v="0"/>
    <n v="0.18"/>
    <e v="#N/A"/>
    <e v="#N/A"/>
  </r>
  <r>
    <x v="131"/>
    <x v="17"/>
    <s v="Admin/HR/IT"/>
    <s v="AMCARE NonOcc In"/>
    <s v="TEMP"/>
    <n v="201397005"/>
    <s v="Leon,Ana"/>
    <s v="Corona Arriaga,Fernando"/>
    <n v="0"/>
    <n v="0"/>
    <n v="0"/>
    <n v="0"/>
    <n v="1.31"/>
    <e v="#N/A"/>
    <e v="#N/A"/>
  </r>
  <r>
    <x v="132"/>
    <x v="17"/>
    <s v="Admin/HR/IT"/>
    <s v="AMCARE NonOcc In"/>
    <s v="TEMP"/>
    <n v="112912747"/>
    <s v="Velasco,Cristina"/>
    <s v="Lopez,Alexa"/>
    <n v="0"/>
    <n v="0"/>
    <n v="0"/>
    <n v="0"/>
    <n v="0.21"/>
    <e v="#N/A"/>
    <e v="#N/A"/>
  </r>
  <r>
    <x v="132"/>
    <x v="17"/>
    <s v="Admin/HR/IT"/>
    <s v="AMCARE NonOcc In"/>
    <s v="AMZN"/>
    <n v="112912983"/>
    <s v="RodrÃ­guez,RocÃ­o"/>
    <s v="Camarena,Grecia"/>
    <n v="0"/>
    <n v="0"/>
    <n v="0"/>
    <n v="0"/>
    <n v="0.17"/>
    <s v="NF-X1900"/>
    <s v="wrocirod"/>
  </r>
  <r>
    <x v="132"/>
    <x v="17"/>
    <s v="Admin/HR/IT"/>
    <s v="AMCARE NonOcc In"/>
    <s v="TEMP"/>
    <n v="200508315"/>
    <s v="Herrera,Aldair"/>
    <s v="Madrid Molina,Ramon"/>
    <n v="0"/>
    <n v="0"/>
    <n v="0"/>
    <n v="0"/>
    <n v="0.09"/>
    <e v="#N/A"/>
    <s v="taldaher"/>
  </r>
  <r>
    <x v="132"/>
    <x v="17"/>
    <s v="Admin/HR/IT"/>
    <s v="AMCARE NonOcc In"/>
    <s v="TEMP"/>
    <n v="200513583"/>
    <s v="Herrada,Carlos"/>
    <s v="Corona Arriaga,Fernando"/>
    <n v="0"/>
    <n v="0"/>
    <n v="0"/>
    <n v="0"/>
    <n v="0.08"/>
    <e v="#N/A"/>
    <s v="caherras"/>
  </r>
  <r>
    <x v="132"/>
    <x v="17"/>
    <s v="Admin/HR/IT"/>
    <s v="AMCARE NonOcc In"/>
    <s v="TEMP"/>
    <n v="200614224"/>
    <s v="Cruz Hernandez,Cris"/>
    <s v="Ledezma,Fer"/>
    <n v="0"/>
    <n v="0"/>
    <n v="0"/>
    <n v="0"/>
    <n v="0.32"/>
    <e v="#N/A"/>
    <e v="#N/A"/>
  </r>
  <r>
    <x v="132"/>
    <x v="17"/>
    <s v="Admin/HR/IT"/>
    <s v="AMCARE NonOcc In"/>
    <s v="TEMP"/>
    <n v="201160146"/>
    <s v="Avila,priscila"/>
    <s v="Ledezma,Fer"/>
    <n v="0"/>
    <n v="0"/>
    <n v="0"/>
    <n v="0"/>
    <n v="0.28000000000000003"/>
    <e v="#N/A"/>
    <e v="#N/A"/>
  </r>
  <r>
    <x v="132"/>
    <x v="17"/>
    <s v="Admin/HR/IT"/>
    <s v="AMCARE NonOcc In"/>
    <s v="TEMP"/>
    <n v="201191198"/>
    <s v="Mojica,Emmanuel"/>
    <s v="Ledezma,Fer"/>
    <n v="0"/>
    <n v="0"/>
    <n v="0"/>
    <n v="0"/>
    <n v="0.1"/>
    <e v="#N/A"/>
    <s v="mojicemm"/>
  </r>
  <r>
    <x v="132"/>
    <x v="17"/>
    <s v="Admin/HR/IT"/>
    <s v="AMCARE NonOcc In"/>
    <s v="TEMP"/>
    <n v="201198979"/>
    <s v="Mendoza,Omar"/>
    <s v="Piedra,Valentina"/>
    <n v="0"/>
    <n v="0"/>
    <n v="0"/>
    <n v="0"/>
    <n v="0.41"/>
    <e v="#N/A"/>
    <e v="#N/A"/>
  </r>
  <r>
    <x v="132"/>
    <x v="17"/>
    <s v="Admin/HR/IT"/>
    <s v="AMCARE NonOcc In"/>
    <s v="TEMP"/>
    <n v="201223730"/>
    <s v="Sanchiz,Cesarito"/>
    <s v="Corona Arriaga,Fernando"/>
    <n v="0"/>
    <n v="0"/>
    <n v="0"/>
    <n v="0"/>
    <n v="0.17"/>
    <e v="#N/A"/>
    <s v="cesarito"/>
  </r>
  <r>
    <x v="132"/>
    <x v="17"/>
    <s v="Admin/HR/IT"/>
    <s v="AMCARE NonOcc In"/>
    <s v="TEMP"/>
    <n v="201228411"/>
    <s v="Hernandez Soriano,Jazmin"/>
    <s v="Corona Arriaga,Fernando"/>
    <n v="0"/>
    <n v="0"/>
    <n v="0"/>
    <n v="0"/>
    <n v="0.15"/>
    <e v="#N/A"/>
    <s v="jazmiwhe"/>
  </r>
  <r>
    <x v="132"/>
    <x v="17"/>
    <s v="Admin/HR/IT"/>
    <s v="AMCARE NonOcc In"/>
    <s v="TEMP"/>
    <n v="201353166"/>
    <s v="Martinez,Lucia"/>
    <s v="Ledezma,Fer"/>
    <n v="0"/>
    <n v="0"/>
    <n v="0"/>
    <n v="0"/>
    <n v="0.3"/>
    <e v="#N/A"/>
    <s v="mamlucia"/>
  </r>
  <r>
    <x v="132"/>
    <x v="17"/>
    <s v="Admin/HR/IT"/>
    <s v="AMCARE NonOcc In"/>
    <s v="TEMP"/>
    <n v="201355246"/>
    <s v="Ramirez,Montserrat"/>
    <s v="Lopez,Alexa"/>
    <n v="0"/>
    <n v="0"/>
    <n v="0"/>
    <n v="0"/>
    <n v="0.63"/>
    <e v="#N/A"/>
    <e v="#N/A"/>
  </r>
  <r>
    <x v="132"/>
    <x v="17"/>
    <s v="Admin/HR/IT"/>
    <s v="AMCARE NonOcc In"/>
    <s v="TEMP"/>
    <n v="201401654"/>
    <s v="Garcia,Karen"/>
    <s v="Corona Arriaga,Fernando"/>
    <n v="0"/>
    <n v="0"/>
    <n v="0"/>
    <n v="0"/>
    <n v="0.95"/>
    <e v="#N/A"/>
    <e v="#N/A"/>
  </r>
  <r>
    <x v="132"/>
    <x v="17"/>
    <s v="Admin/HR/IT"/>
    <s v="AMCARE NonOcc In"/>
    <s v="TEMP"/>
    <n v="201402425"/>
    <s v="Espinoza,Ale"/>
    <s v="Lopez,Alexa"/>
    <n v="0"/>
    <n v="0"/>
    <n v="0"/>
    <n v="0"/>
    <n v="0.8"/>
    <e v="#N/A"/>
    <e v="#N/A"/>
  </r>
  <r>
    <x v="132"/>
    <x v="17"/>
    <s v="Admin/HR/IT"/>
    <s v="AMCARE NonOcc In"/>
    <s v="TEMP"/>
    <n v="201403462"/>
    <s v="Valdovino,Jorge"/>
    <s v="Corona Arriaga,Fernando"/>
    <n v="0"/>
    <n v="0"/>
    <n v="0"/>
    <n v="0"/>
    <n v="0.13"/>
    <e v="#N/A"/>
    <s v="valdojoe"/>
  </r>
  <r>
    <x v="133"/>
    <x v="17"/>
    <s v="Admin/HR/IT"/>
    <s v="AMCARE NonOcc In"/>
    <s v="AMZN"/>
    <n v="112920655"/>
    <s v="Diaz de LeÃ³n,Paola"/>
    <s v="Pizana,Diego"/>
    <n v="0"/>
    <n v="0"/>
    <n v="0"/>
    <n v="0"/>
    <n v="0.04"/>
    <e v="#N/A"/>
    <e v="#N/A"/>
  </r>
  <r>
    <x v="133"/>
    <x v="17"/>
    <s v="Admin/HR/IT"/>
    <s v="AMCARE NonOcc In"/>
    <s v="AMZN"/>
    <n v="112971961"/>
    <s v="Lopez,Jason"/>
    <s v="Camarena,Grecia"/>
    <n v="0"/>
    <n v="0"/>
    <n v="0"/>
    <n v="0"/>
    <n v="0.28999999999999998"/>
    <e v="#N/A"/>
    <e v="#N/A"/>
  </r>
  <r>
    <x v="133"/>
    <x v="17"/>
    <s v="Admin/HR/IT"/>
    <s v="AMCARE NonOcc In"/>
    <s v="AMZN"/>
    <n v="112971980"/>
    <s v="Romero,Daniel"/>
    <s v="Pizana,Diego"/>
    <n v="0"/>
    <n v="0"/>
    <n v="0"/>
    <n v="0"/>
    <n v="1.75"/>
    <s v="DC-X0700"/>
    <s v="cdanirom"/>
  </r>
  <r>
    <x v="133"/>
    <x v="17"/>
    <s v="Admin/HR/IT"/>
    <s v="AMCARE NonOcc In"/>
    <s v="AMZN"/>
    <n v="112973049"/>
    <s v="Tavares Parra,Ely"/>
    <s v="Madrid Molina,Ramon"/>
    <n v="0"/>
    <n v="0"/>
    <n v="0"/>
    <n v="0"/>
    <n v="0.67"/>
    <s v="DB-X0700"/>
    <s v="afatimae"/>
  </r>
  <r>
    <x v="133"/>
    <x v="17"/>
    <s v="Admin/HR/IT"/>
    <s v="AMCARE NonOcc In"/>
    <s v="AMZN"/>
    <n v="113052151"/>
    <s v="Nieves Mendez,Laura"/>
    <s v="Ledezma,Fer"/>
    <n v="0"/>
    <n v="0"/>
    <n v="0"/>
    <n v="0"/>
    <n v="0.31"/>
    <e v="#N/A"/>
    <s v="nilaurab"/>
  </r>
  <r>
    <x v="133"/>
    <x v="17"/>
    <s v="Admin/HR/IT"/>
    <s v="AMCARE NonOcc In"/>
    <s v="TEMP"/>
    <n v="200614224"/>
    <s v="Cruz Hernandez,Cris"/>
    <s v="Ledezma,Fer"/>
    <n v="0"/>
    <n v="0"/>
    <n v="0"/>
    <n v="0"/>
    <n v="0.43"/>
    <e v="#N/A"/>
    <e v="#N/A"/>
  </r>
  <r>
    <x v="133"/>
    <x v="17"/>
    <s v="Admin/HR/IT"/>
    <s v="AMCARE NonOcc In"/>
    <s v="TEMP"/>
    <n v="201295429"/>
    <s v="Mireles Diaz Lopez,Jessica Jazmin"/>
    <s v="Gomez Aguado,Jorge"/>
    <n v="0"/>
    <n v="0"/>
    <n v="0"/>
    <n v="0"/>
    <n v="0.12"/>
    <e v="#N/A"/>
    <s v="mireljes"/>
  </r>
  <r>
    <x v="133"/>
    <x v="17"/>
    <s v="Admin/HR/IT"/>
    <s v="AMCARE NonOcc In"/>
    <s v="TEMP"/>
    <n v="201341822"/>
    <s v="Rocha,Claudia"/>
    <s v="Corona Arriaga,Fernando"/>
    <n v="0"/>
    <n v="0"/>
    <n v="0"/>
    <n v="0"/>
    <n v="0.24"/>
    <e v="#N/A"/>
    <e v="#N/A"/>
  </r>
  <r>
    <x v="133"/>
    <x v="17"/>
    <s v="Admin/HR/IT"/>
    <s v="AMCARE NonOcc In"/>
    <s v="TEMP"/>
    <n v="201401654"/>
    <s v="Garcia,Karen"/>
    <s v="Corona Arriaga,Fernando"/>
    <n v="0"/>
    <n v="0"/>
    <n v="0"/>
    <n v="0"/>
    <n v="0.86"/>
    <e v="#N/A"/>
    <e v="#N/A"/>
  </r>
  <r>
    <x v="133"/>
    <x v="17"/>
    <s v="Admin/HR/IT"/>
    <s v="AMCARE NonOcc In"/>
    <s v="TEMP"/>
    <n v="201403462"/>
    <s v="Valdovino,Jorge"/>
    <s v="Corona Arriaga,Fernando"/>
    <n v="0"/>
    <n v="0"/>
    <n v="0"/>
    <n v="0"/>
    <n v="0.31"/>
    <e v="#N/A"/>
    <s v="valdojoe"/>
  </r>
  <r>
    <x v="134"/>
    <x v="18"/>
    <s v="Admin/HR/IT"/>
    <s v="AMCARE NonOcc In"/>
    <s v="AMZN"/>
    <n v="112912008"/>
    <s v="Espinosa,Consuelo"/>
    <s v="Hernandez,Nataly"/>
    <n v="0"/>
    <n v="0"/>
    <n v="0"/>
    <n v="0"/>
    <n v="0.23"/>
    <e v="#N/A"/>
    <e v="#N/A"/>
  </r>
  <r>
    <x v="134"/>
    <x v="18"/>
    <s v="Admin/HR/IT"/>
    <s v="AMCARE NonOcc In"/>
    <s v="AMZN"/>
    <n v="112912745"/>
    <s v="Gomez Meza,Alex"/>
    <s v="Gomez,Abinadab"/>
    <n v="0"/>
    <n v="0"/>
    <n v="0"/>
    <n v="0"/>
    <n v="0.1"/>
    <s v="DA-X0700"/>
    <s v="nalexgom"/>
  </r>
  <r>
    <x v="134"/>
    <x v="18"/>
    <s v="Admin/HR/IT"/>
    <s v="AMCARE NonOcc In"/>
    <s v="AMZN"/>
    <n v="112971997"/>
    <s v="Nieto,Emili"/>
    <s v="Rosas Negrete,Sebastian"/>
    <n v="0"/>
    <n v="0"/>
    <n v="0"/>
    <n v="0"/>
    <n v="0.28000000000000003"/>
    <s v="DA-X0700"/>
    <s v="cemilini"/>
  </r>
  <r>
    <x v="134"/>
    <x v="18"/>
    <s v="Admin/HR/IT"/>
    <s v="AMCARE NonOcc In"/>
    <s v="AMZN"/>
    <n v="112980844"/>
    <s v="Padilla,Samantha"/>
    <s v="Gomez,Abinadab"/>
    <n v="0"/>
    <n v="0"/>
    <n v="0"/>
    <n v="0"/>
    <n v="0.67"/>
    <s v="DA-X0700"/>
    <s v="samajpad"/>
  </r>
  <r>
    <x v="134"/>
    <x v="18"/>
    <s v="Admin/HR/IT"/>
    <s v="AMCARE NonOcc In"/>
    <s v="AMZN"/>
    <n v="112981014"/>
    <s v="Roldan Gutierrez,Pablo"/>
    <s v="Gomez,Abinadab"/>
    <n v="0"/>
    <n v="0"/>
    <n v="0"/>
    <n v="0"/>
    <n v="0.12"/>
    <s v="DJ-X0700"/>
    <s v="rpabloul"/>
  </r>
  <r>
    <x v="134"/>
    <x v="18"/>
    <s v="Admin/HR/IT"/>
    <s v="AMCARE NonOcc In"/>
    <s v="AMZN"/>
    <n v="113020497"/>
    <s v="Martinez Ruiz,Diana"/>
    <s v="Gomez Aguado,Jorge"/>
    <n v="0"/>
    <n v="0"/>
    <n v="0"/>
    <n v="0"/>
    <n v="1.1000000000000001"/>
    <e v="#N/A"/>
    <s v="diamartd"/>
  </r>
  <r>
    <x v="134"/>
    <x v="18"/>
    <s v="Admin/HR/IT"/>
    <s v="AMCARE NonOcc In"/>
    <s v="TEMP"/>
    <n v="200589316"/>
    <s v="Torres Zuniga,Daniel"/>
    <s v="Gomez Aguado,Jorge"/>
    <n v="0"/>
    <n v="0"/>
    <n v="0"/>
    <n v="0"/>
    <n v="0.26"/>
    <e v="#N/A"/>
    <e v="#N/A"/>
  </r>
  <r>
    <x v="134"/>
    <x v="18"/>
    <s v="Admin/HR/IT"/>
    <s v="AMCARE NonOcc In"/>
    <s v="TEMP"/>
    <n v="200625528"/>
    <s v="Oliva,Lizbeth"/>
    <s v="Piedra,Valentina"/>
    <n v="0"/>
    <n v="0"/>
    <n v="0"/>
    <n v="0"/>
    <n v="0.28000000000000003"/>
    <e v="#N/A"/>
    <s v="olivlizb"/>
  </r>
  <r>
    <x v="134"/>
    <x v="18"/>
    <s v="Admin/HR/IT"/>
    <s v="AMCARE NonOcc In"/>
    <s v="TEMP"/>
    <n v="201198427"/>
    <s v="Ponce,Paulina"/>
    <s v="Gomez Aguado,Jorge"/>
    <n v="0"/>
    <n v="0"/>
    <n v="0"/>
    <n v="0"/>
    <n v="0.22"/>
    <e v="#N/A"/>
    <s v="paulinbp"/>
  </r>
  <r>
    <x v="134"/>
    <x v="18"/>
    <s v="Admin/HR/IT"/>
    <s v="AMCARE NonOcc In"/>
    <s v="TEMP"/>
    <n v="201402060"/>
    <s v="Tovar,Mariana"/>
    <s v="Bueno Mendoza,Susana"/>
    <n v="0"/>
    <n v="0"/>
    <n v="0"/>
    <n v="0"/>
    <n v="0.41"/>
    <e v="#N/A"/>
    <e v="#N/A"/>
  </r>
  <r>
    <x v="134"/>
    <x v="18"/>
    <s v="Admin/HR/IT"/>
    <s v="Admin Home Area"/>
    <s v="AMZN"/>
    <n v="112913615"/>
    <s v="Espinoza,Lizbeth"/>
    <s v="Lugo Vigueras,Alberto"/>
    <n v="0"/>
    <n v="0"/>
    <n v="0"/>
    <n v="0"/>
    <n v="12.63"/>
    <e v="#N/A"/>
    <s v="espilizb"/>
  </r>
  <r>
    <x v="135"/>
    <x v="18"/>
    <s v="Admin/HR/IT"/>
    <s v="AMCARE NonOcc In"/>
    <s v="AMZN"/>
    <n v="103979960"/>
    <s v="Suchil Angel,Guillermo"/>
    <s v="Robledo Ugarte,Alejandro"/>
    <n v="0"/>
    <n v="0"/>
    <n v="0"/>
    <n v="0"/>
    <n v="0.59"/>
    <e v="#N/A"/>
    <e v="#N/A"/>
  </r>
  <r>
    <x v="135"/>
    <x v="18"/>
    <s v="Admin/HR/IT"/>
    <s v="AMCARE NonOcc In"/>
    <s v="TEMP"/>
    <n v="112912007"/>
    <s v="Robledo Barrientos,Alondra"/>
    <s v="Gomez,Abinadab"/>
    <n v="0"/>
    <n v="0"/>
    <n v="0"/>
    <n v="0"/>
    <n v="0.66"/>
    <e v="#N/A"/>
    <e v="#N/A"/>
  </r>
  <r>
    <x v="135"/>
    <x v="18"/>
    <s v="Admin/HR/IT"/>
    <s v="AMCARE NonOcc In"/>
    <s v="TEMP"/>
    <n v="112912067"/>
    <s v="Rocio,Juan"/>
    <s v="Robledo Ugarte,Alejandro"/>
    <n v="0"/>
    <n v="0"/>
    <n v="0"/>
    <n v="0"/>
    <n v="0.93"/>
    <e v="#N/A"/>
    <e v="#N/A"/>
  </r>
  <r>
    <x v="135"/>
    <x v="18"/>
    <s v="Admin/HR/IT"/>
    <s v="AMCARE NonOcc In"/>
    <s v="AMZN"/>
    <n v="112912506"/>
    <s v="Garcia  Caudillo,Jessica"/>
    <s v="Munoz,Jonan"/>
    <n v="0"/>
    <n v="0"/>
    <n v="0"/>
    <n v="0"/>
    <n v="0.54"/>
    <s v="DA-X0700"/>
    <s v="gakjessi"/>
  </r>
  <r>
    <x v="135"/>
    <x v="18"/>
    <s v="Admin/HR/IT"/>
    <s v="AMCARE NonOcc In"/>
    <s v="AMZN"/>
    <n v="112912663"/>
    <s v="Segura,Lucero"/>
    <s v="Munoz,Jonan"/>
    <n v="0"/>
    <n v="0"/>
    <n v="0"/>
    <n v="0"/>
    <n v="0.92"/>
    <e v="#N/A"/>
    <e v="#N/A"/>
  </r>
  <r>
    <x v="135"/>
    <x v="18"/>
    <s v="Admin/HR/IT"/>
    <s v="AMCARE NonOcc In"/>
    <s v="AMZN"/>
    <n v="112971997"/>
    <s v="Nieto,Emili"/>
    <s v="Rosas Negrete,Sebastian"/>
    <n v="0"/>
    <n v="0"/>
    <n v="0"/>
    <n v="0"/>
    <n v="0.24"/>
    <s v="DA-X0700"/>
    <s v="cemilini"/>
  </r>
  <r>
    <x v="135"/>
    <x v="18"/>
    <s v="Admin/HR/IT"/>
    <s v="AMCARE NonOcc In"/>
    <s v="AMZN"/>
    <n v="112981013"/>
    <s v="Lopez Neri,Norma"/>
    <s v="Gomez,Abinadab"/>
    <n v="0"/>
    <n v="0"/>
    <n v="0"/>
    <n v="0"/>
    <n v="0.16"/>
    <s v="DA-X0700"/>
    <s v="normaelo"/>
  </r>
  <r>
    <x v="135"/>
    <x v="18"/>
    <s v="Admin/HR/IT"/>
    <s v="AMCARE NonOcc In"/>
    <s v="TEMP"/>
    <n v="200509428"/>
    <s v="Guevara Ramirez,Zayra Lorena"/>
    <s v="Robledo Ugarte,Alejandro"/>
    <n v="0"/>
    <n v="0"/>
    <n v="0"/>
    <n v="0"/>
    <n v="0.21"/>
    <e v="#N/A"/>
    <e v="#N/A"/>
  </r>
  <r>
    <x v="135"/>
    <x v="18"/>
    <s v="Admin/HR/IT"/>
    <s v="AMCARE NonOcc In"/>
    <s v="TEMP"/>
    <n v="200535448"/>
    <s v="Guerrero Hernandez,Silvia"/>
    <s v="Piedra,Valentina"/>
    <n v="0"/>
    <n v="0"/>
    <n v="0"/>
    <n v="0"/>
    <n v="0.22"/>
    <e v="#N/A"/>
    <e v="#N/A"/>
  </r>
  <r>
    <x v="135"/>
    <x v="18"/>
    <s v="Admin/HR/IT"/>
    <s v="AMCARE NonOcc In"/>
    <s v="TEMP"/>
    <n v="201198979"/>
    <s v="Mendoza,Omar"/>
    <s v="Piedra,Valentina"/>
    <n v="0"/>
    <n v="0"/>
    <n v="0"/>
    <n v="0"/>
    <n v="0.38"/>
    <e v="#N/A"/>
    <e v="#N/A"/>
  </r>
  <r>
    <x v="135"/>
    <x v="18"/>
    <s v="Admin/HR/IT"/>
    <s v="AMCARE NonOcc In"/>
    <s v="TEMP"/>
    <n v="201314835"/>
    <s v="Guzman,Janeth"/>
    <s v="Lopez,Alexa"/>
    <n v="0"/>
    <n v="0"/>
    <n v="0"/>
    <n v="0"/>
    <n v="7.0000000000000007E-2"/>
    <e v="#N/A"/>
    <e v="#N/A"/>
  </r>
  <r>
    <x v="135"/>
    <x v="18"/>
    <s v="Admin/HR/IT"/>
    <s v="AMCARE NonOcc In"/>
    <s v="TEMP"/>
    <n v="201353328"/>
    <s v="Mendoza Macias,Zaira Irais"/>
    <s v="Munoz,Jonan"/>
    <n v="0"/>
    <n v="0"/>
    <n v="0"/>
    <n v="0"/>
    <n v="0.31"/>
    <e v="#N/A"/>
    <s v="zairamen"/>
  </r>
  <r>
    <x v="135"/>
    <x v="18"/>
    <s v="Admin/HR/IT"/>
    <s v="AMCARE NonOcc In"/>
    <s v="TEMP"/>
    <n v="201354944"/>
    <s v="Hernandez,Hugo"/>
    <s v="Munoz,Jonan"/>
    <n v="0"/>
    <n v="0"/>
    <n v="0"/>
    <n v="0"/>
    <n v="0.22"/>
    <e v="#N/A"/>
    <s v="hernghug"/>
  </r>
  <r>
    <x v="135"/>
    <x v="18"/>
    <s v="Admin/HR/IT"/>
    <s v="AMCARE NonOcc In"/>
    <s v="TEMP"/>
    <n v="201354965"/>
    <s v="JimÃ©nez,Aline"/>
    <s v="Lopez,Alexa"/>
    <n v="0"/>
    <n v="0"/>
    <n v="0"/>
    <n v="0"/>
    <n v="0.79"/>
    <e v="#N/A"/>
    <s v="alinejim"/>
  </r>
  <r>
    <x v="135"/>
    <x v="18"/>
    <s v="Admin/HR/IT"/>
    <s v="AMCARE NonOcc In"/>
    <s v="TEMP"/>
    <n v="201402060"/>
    <s v="Tovar,Mariana"/>
    <s v="Bueno Mendoza,Susana"/>
    <n v="0"/>
    <n v="0"/>
    <n v="0"/>
    <n v="0"/>
    <n v="1.1499999999999999"/>
    <e v="#N/A"/>
    <e v="#N/A"/>
  </r>
  <r>
    <x v="135"/>
    <x v="18"/>
    <s v="Admin/HR/IT"/>
    <s v="AMCARE NonOcc In"/>
    <s v="TEMP"/>
    <n v="201402216"/>
    <s v="Navia,Victor"/>
    <s v="Bueno Mendoza,Susana"/>
    <n v="0"/>
    <n v="0"/>
    <n v="0"/>
    <n v="0"/>
    <n v="0.2"/>
    <e v="#N/A"/>
    <e v="#N/A"/>
  </r>
  <r>
    <x v="135"/>
    <x v="18"/>
    <s v="Admin/HR/IT"/>
    <s v="AMCARE Occ In"/>
    <s v="TEMP"/>
    <n v="200535448"/>
    <s v="Guerrero Hernandez,Silvia"/>
    <s v="Piedra,Valentina"/>
    <n v="0"/>
    <n v="0"/>
    <n v="0"/>
    <n v="0"/>
    <n v="0.68"/>
    <e v="#N/A"/>
    <e v="#N/A"/>
  </r>
  <r>
    <x v="136"/>
    <x v="18"/>
    <s v="Admin/HR/IT"/>
    <s v="AMCARE NonOcc In"/>
    <s v="TEMP"/>
    <n v="112912007"/>
    <s v="Robledo Barrientos,Alondra"/>
    <s v="Gomez,Abinadab"/>
    <n v="0"/>
    <n v="0"/>
    <n v="0"/>
    <n v="0"/>
    <n v="1.38"/>
    <e v="#N/A"/>
    <e v="#N/A"/>
  </r>
  <r>
    <x v="136"/>
    <x v="18"/>
    <s v="Admin/HR/IT"/>
    <s v="AMCARE NonOcc In"/>
    <s v="TEMP"/>
    <n v="112912067"/>
    <s v="Rocio,Juan"/>
    <s v="Robledo Ugarte,Alejandro"/>
    <n v="0"/>
    <n v="0"/>
    <n v="0"/>
    <n v="0"/>
    <n v="0.14000000000000001"/>
    <e v="#N/A"/>
    <e v="#N/A"/>
  </r>
  <r>
    <x v="136"/>
    <x v="18"/>
    <s v="Admin/HR/IT"/>
    <s v="AMCARE NonOcc In"/>
    <s v="AMZN"/>
    <n v="112912506"/>
    <s v="Garcia  Caudillo,Jessica"/>
    <s v="Munoz,Jonan"/>
    <n v="0"/>
    <n v="0"/>
    <n v="0"/>
    <n v="0"/>
    <n v="0.22"/>
    <s v="DA-X0700"/>
    <s v="gakjessi"/>
  </r>
  <r>
    <x v="136"/>
    <x v="18"/>
    <s v="Admin/HR/IT"/>
    <s v="AMCARE NonOcc In"/>
    <s v="AMZN"/>
    <n v="112912753"/>
    <s v="Padilla Abrego,Selene"/>
    <s v="Romero Sanchez,Gustavo Gabriel"/>
    <n v="0"/>
    <n v="0"/>
    <n v="0"/>
    <n v="0"/>
    <n v="0.28000000000000003"/>
    <e v="#N/A"/>
    <e v="#N/A"/>
  </r>
  <r>
    <x v="136"/>
    <x v="18"/>
    <s v="Admin/HR/IT"/>
    <s v="AMCARE NonOcc In"/>
    <s v="AMZN"/>
    <n v="112950800"/>
    <s v="Muniz,Viri"/>
    <s v="Munoz,Jonan"/>
    <n v="0"/>
    <n v="0"/>
    <n v="0"/>
    <n v="0"/>
    <n v="1.08"/>
    <s v="NF-X1900"/>
    <s v="virimuni"/>
  </r>
  <r>
    <x v="136"/>
    <x v="18"/>
    <s v="Admin/HR/IT"/>
    <s v="AMCARE NonOcc In"/>
    <s v="AMZN"/>
    <n v="112971997"/>
    <s v="Nieto,Emili"/>
    <s v="Rosas Negrete,Sebastian"/>
    <n v="0"/>
    <n v="0"/>
    <n v="0"/>
    <n v="0"/>
    <n v="0.28000000000000003"/>
    <s v="DA-X0700"/>
    <s v="cemilini"/>
  </r>
  <r>
    <x v="136"/>
    <x v="18"/>
    <s v="Admin/HR/IT"/>
    <s v="AMCARE NonOcc In"/>
    <s v="AMZN"/>
    <n v="113003631"/>
    <s v="Ortega,Elizabeth"/>
    <s v="Piedra,Valentina"/>
    <n v="0"/>
    <n v="0"/>
    <n v="0"/>
    <n v="0"/>
    <n v="0.69"/>
    <e v="#N/A"/>
    <e v="#N/A"/>
  </r>
  <r>
    <x v="136"/>
    <x v="18"/>
    <s v="Admin/HR/IT"/>
    <s v="AMCARE NonOcc In"/>
    <s v="TEMP"/>
    <n v="200514421"/>
    <s v="Padilla Abrego,Angeles"/>
    <s v="Romero Sanchez,Gustavo Gabriel"/>
    <n v="0"/>
    <n v="0"/>
    <n v="0"/>
    <n v="0"/>
    <n v="1.07"/>
    <e v="#N/A"/>
    <s v="padillms"/>
  </r>
  <r>
    <x v="136"/>
    <x v="18"/>
    <s v="Admin/HR/IT"/>
    <s v="AMCARE NonOcc In"/>
    <s v="TEMP"/>
    <n v="200552457"/>
    <s v="Hernandez Velazquez,Yolis"/>
    <s v="Gomez,Abinadab"/>
    <n v="0"/>
    <n v="0"/>
    <n v="0"/>
    <n v="0"/>
    <n v="0.85"/>
    <e v="#N/A"/>
    <s v="heryyola"/>
  </r>
  <r>
    <x v="136"/>
    <x v="18"/>
    <s v="Admin/HR/IT"/>
    <s v="AMCARE NonOcc In"/>
    <s v="TEMP"/>
    <n v="200565197"/>
    <s v="Avila,Mary"/>
    <s v="Romero Sanchez,Gustavo Gabriel"/>
    <n v="0"/>
    <n v="0"/>
    <n v="0"/>
    <n v="0"/>
    <n v="0.37"/>
    <e v="#N/A"/>
    <e v="#N/A"/>
  </r>
  <r>
    <x v="136"/>
    <x v="18"/>
    <s v="Admin/HR/IT"/>
    <s v="AMCARE NonOcc In"/>
    <s v="TEMP"/>
    <n v="200589316"/>
    <s v="Torres Zuniga,Daniel"/>
    <s v="Gomez Aguado,Jorge"/>
    <n v="0"/>
    <n v="0"/>
    <n v="0"/>
    <n v="0"/>
    <n v="0.38"/>
    <e v="#N/A"/>
    <e v="#N/A"/>
  </r>
  <r>
    <x v="136"/>
    <x v="18"/>
    <s v="Admin/HR/IT"/>
    <s v="AMCARE NonOcc In"/>
    <s v="TEMP"/>
    <n v="200625528"/>
    <s v="Oliva,Lizbeth"/>
    <s v="Piedra,Valentina"/>
    <n v="0"/>
    <n v="0"/>
    <n v="0"/>
    <n v="0"/>
    <n v="0"/>
    <e v="#N/A"/>
    <s v="olivlizb"/>
  </r>
  <r>
    <x v="136"/>
    <x v="18"/>
    <s v="Admin/HR/IT"/>
    <s v="AMCARE NonOcc In"/>
    <s v="TEMP"/>
    <n v="201166890"/>
    <s v="Caballero,Daniel"/>
    <s v="Romero Sanchez,Gustavo Gabriel"/>
    <n v="0"/>
    <n v="0"/>
    <n v="0"/>
    <n v="0"/>
    <n v="0.23"/>
    <e v="#N/A"/>
    <s v="lcabadan"/>
  </r>
  <r>
    <x v="136"/>
    <x v="18"/>
    <s v="Admin/HR/IT"/>
    <s v="AMCARE NonOcc In"/>
    <s v="TEMP"/>
    <n v="201194285"/>
    <s v="Robledo,Alma"/>
    <s v="Ledezma,Fer"/>
    <n v="0"/>
    <n v="0"/>
    <n v="0"/>
    <n v="0"/>
    <n v="0.26"/>
    <e v="#N/A"/>
    <e v="#N/A"/>
  </r>
  <r>
    <x v="136"/>
    <x v="18"/>
    <s v="Admin/HR/IT"/>
    <s v="AMCARE NonOcc In"/>
    <s v="TEMP"/>
    <n v="201201993"/>
    <s v="Olmos,Lucia"/>
    <s v="Piedra,Valentina"/>
    <n v="0"/>
    <n v="0"/>
    <n v="0"/>
    <n v="0"/>
    <n v="0.2"/>
    <e v="#N/A"/>
    <e v="#N/A"/>
  </r>
  <r>
    <x v="136"/>
    <x v="18"/>
    <s v="Admin/HR/IT"/>
    <s v="AMCARE NonOcc In"/>
    <s v="TEMP"/>
    <n v="201204937"/>
    <s v="Vazquez,Carmen"/>
    <s v="Ledezma,Fer"/>
    <n v="0"/>
    <n v="0"/>
    <n v="0"/>
    <n v="0"/>
    <n v="0.17"/>
    <e v="#N/A"/>
    <e v="#N/A"/>
  </r>
  <r>
    <x v="136"/>
    <x v="18"/>
    <s v="Admin/HR/IT"/>
    <s v="AMCARE NonOcc In"/>
    <s v="TEMP"/>
    <n v="201329529"/>
    <s v="Padilla,Pablo"/>
    <s v="Lopez,Alexa"/>
    <n v="0"/>
    <n v="0"/>
    <n v="0"/>
    <n v="0"/>
    <n v="1.1100000000000001"/>
    <e v="#N/A"/>
    <e v="#N/A"/>
  </r>
  <r>
    <x v="136"/>
    <x v="18"/>
    <s v="Admin/HR/IT"/>
    <s v="AMCARE NonOcc In"/>
    <s v="TEMP"/>
    <n v="201345774"/>
    <s v="Quijas,Jonathan"/>
    <s v="Robledo Ugarte,Alejandro"/>
    <n v="0"/>
    <n v="0"/>
    <n v="0"/>
    <n v="0"/>
    <n v="0.2"/>
    <e v="#N/A"/>
    <s v="jonquija"/>
  </r>
  <r>
    <x v="136"/>
    <x v="18"/>
    <s v="Admin/HR/IT"/>
    <s v="AMCARE NonOcc In"/>
    <s v="TEMP"/>
    <n v="201354931"/>
    <s v="Vargas Quezada,Gibran"/>
    <s v="Garcia Espejel,Brenda Victoria"/>
    <n v="0"/>
    <n v="0"/>
    <n v="0"/>
    <n v="0"/>
    <n v="0.56000000000000005"/>
    <e v="#N/A"/>
    <e v="#N/A"/>
  </r>
  <r>
    <x v="136"/>
    <x v="18"/>
    <s v="Admin/HR/IT"/>
    <s v="AMCARE NonOcc In"/>
    <s v="TEMP"/>
    <n v="201355246"/>
    <s v="Ramirez,Montserrat"/>
    <s v="Lopez,Alexa"/>
    <n v="0"/>
    <n v="0"/>
    <n v="0"/>
    <n v="0"/>
    <n v="0.81"/>
    <e v="#N/A"/>
    <e v="#N/A"/>
  </r>
  <r>
    <x v="136"/>
    <x v="18"/>
    <s v="Admin/HR/IT"/>
    <s v="AMCARE NonOcc In"/>
    <s v="TEMP"/>
    <n v="201363254"/>
    <s v="Frausto,Raziel"/>
    <s v="Garcia Espejel,Brenda Victoria"/>
    <n v="0"/>
    <n v="0"/>
    <n v="0"/>
    <n v="0"/>
    <n v="0.79"/>
    <e v="#N/A"/>
    <s v="fwraziel"/>
  </r>
  <r>
    <x v="136"/>
    <x v="18"/>
    <s v="Admin/HR/IT"/>
    <s v="AMCARE NonOcc In"/>
    <s v="TEMP"/>
    <n v="201378614"/>
    <s v="Meza,Fernando"/>
    <s v="Bueno Mendoza,Susana"/>
    <n v="0"/>
    <n v="0"/>
    <n v="0"/>
    <n v="0"/>
    <n v="0.17"/>
    <e v="#N/A"/>
    <e v="#N/A"/>
  </r>
  <r>
    <x v="136"/>
    <x v="18"/>
    <s v="Admin/HR/IT"/>
    <s v="AMCARE NonOcc In"/>
    <s v="TEMP"/>
    <n v="201402060"/>
    <s v="Tovar,Mariana"/>
    <s v="Bueno Mendoza,Susana"/>
    <n v="0"/>
    <n v="0"/>
    <n v="0"/>
    <n v="0"/>
    <n v="0.53"/>
    <e v="#N/A"/>
    <e v="#N/A"/>
  </r>
  <r>
    <x v="137"/>
    <x v="18"/>
    <s v="Admin/HR/IT"/>
    <s v="AMCARE NonOcc In"/>
    <s v="TEMP"/>
    <n v="112912067"/>
    <s v="Rocio,Juan"/>
    <s v="Robledo Ugarte,Alejandro"/>
    <n v="0"/>
    <n v="0"/>
    <n v="0"/>
    <n v="0"/>
    <n v="1.65"/>
    <e v="#N/A"/>
    <e v="#N/A"/>
  </r>
  <r>
    <x v="137"/>
    <x v="18"/>
    <s v="Admin/HR/IT"/>
    <s v="AMCARE NonOcc In"/>
    <s v="AMZN"/>
    <n v="112912071"/>
    <s v="Torres,Alan"/>
    <s v="Gomez,Abinadab"/>
    <n v="0"/>
    <n v="0"/>
    <n v="0"/>
    <n v="0"/>
    <n v="0.67"/>
    <e v="#N/A"/>
    <e v="#N/A"/>
  </r>
  <r>
    <x v="137"/>
    <x v="18"/>
    <s v="Admin/HR/IT"/>
    <s v="AMCARE NonOcc In"/>
    <s v="AMZN"/>
    <n v="112912663"/>
    <s v="Segura,Lucero"/>
    <s v="Munoz,Jonan"/>
    <n v="0"/>
    <n v="0"/>
    <n v="0"/>
    <n v="0"/>
    <n v="0.17"/>
    <e v="#N/A"/>
    <e v="#N/A"/>
  </r>
  <r>
    <x v="137"/>
    <x v="18"/>
    <s v="Admin/HR/IT"/>
    <s v="AMCARE NonOcc In"/>
    <s v="AMZN"/>
    <n v="112912745"/>
    <s v="Gomez Meza,Alex"/>
    <s v="Gomez,Abinadab"/>
    <n v="0"/>
    <n v="0"/>
    <n v="0"/>
    <n v="0"/>
    <n v="0.59"/>
    <s v="DA-X0700"/>
    <s v="nalexgom"/>
  </r>
  <r>
    <x v="137"/>
    <x v="18"/>
    <s v="Admin/HR/IT"/>
    <s v="AMCARE NonOcc In"/>
    <s v="AMZN"/>
    <n v="112912752"/>
    <s v="Valderrama Gomez,Leslie"/>
    <s v="Gomez,Abinadab"/>
    <n v="0"/>
    <n v="0"/>
    <n v="0"/>
    <n v="0"/>
    <n v="1.74"/>
    <s v="NF-X1900"/>
    <s v="valderle"/>
  </r>
  <r>
    <x v="137"/>
    <x v="18"/>
    <s v="Admin/HR/IT"/>
    <s v="AMCARE NonOcc In"/>
    <s v="AMZN"/>
    <n v="112912753"/>
    <s v="Padilla Abrego,Selene"/>
    <s v="Romero Sanchez,Gustavo Gabriel"/>
    <n v="0"/>
    <n v="0"/>
    <n v="0"/>
    <n v="0"/>
    <n v="0.4"/>
    <e v="#N/A"/>
    <e v="#N/A"/>
  </r>
  <r>
    <x v="137"/>
    <x v="18"/>
    <s v="Admin/HR/IT"/>
    <s v="AMCARE NonOcc In"/>
    <s v="AMZN"/>
    <n v="112971980"/>
    <s v="Romero,Daniel"/>
    <s v="Pizana,Diego"/>
    <n v="0"/>
    <n v="0"/>
    <n v="0"/>
    <n v="0"/>
    <n v="0.3"/>
    <s v="DC-X0700"/>
    <s v="cdanirom"/>
  </r>
  <r>
    <x v="137"/>
    <x v="18"/>
    <s v="Admin/HR/IT"/>
    <s v="AMCARE NonOcc In"/>
    <s v="AMZN"/>
    <n v="112972608"/>
    <s v="Hernandez Romo,Sam"/>
    <s v="Pizana,Diego"/>
    <n v="0"/>
    <n v="0"/>
    <n v="0"/>
    <n v="0"/>
    <n v="0.36"/>
    <e v="#N/A"/>
    <e v="#N/A"/>
  </r>
  <r>
    <x v="137"/>
    <x v="18"/>
    <s v="Admin/HR/IT"/>
    <s v="AMCARE NonOcc In"/>
    <s v="AMZN"/>
    <n v="112973049"/>
    <s v="Tavares Parra,Ely"/>
    <s v="Madrid Molina,Ramon"/>
    <n v="0"/>
    <n v="0"/>
    <n v="0"/>
    <n v="0"/>
    <n v="0.86"/>
    <s v="DB-X0700"/>
    <s v="afatimae"/>
  </r>
  <r>
    <x v="137"/>
    <x v="18"/>
    <s v="Admin/HR/IT"/>
    <s v="AMCARE NonOcc In"/>
    <s v="AMZN"/>
    <n v="112981212"/>
    <s v="Zanella Miranda,Alyson"/>
    <s v="Robledo Ugarte,Alejandro"/>
    <n v="0"/>
    <n v="0"/>
    <n v="0"/>
    <n v="0"/>
    <n v="0.37"/>
    <e v="#N/A"/>
    <s v="alysonza"/>
  </r>
  <r>
    <x v="137"/>
    <x v="18"/>
    <s v="Admin/HR/IT"/>
    <s v="AMCARE NonOcc In"/>
    <s v="AMZN"/>
    <n v="113014094"/>
    <s v="Mercado,Erika"/>
    <s v="Robledo Ugarte,Alejandro"/>
    <n v="0"/>
    <n v="0"/>
    <n v="0"/>
    <n v="0"/>
    <n v="0.43"/>
    <e v="#N/A"/>
    <s v="erikaadm"/>
  </r>
  <r>
    <x v="137"/>
    <x v="18"/>
    <s v="Admin/HR/IT"/>
    <s v="AMCARE NonOcc In"/>
    <s v="TEMP"/>
    <n v="200565197"/>
    <s v="Avila,Mary"/>
    <s v="Romero Sanchez,Gustavo Gabriel"/>
    <n v="0"/>
    <n v="0"/>
    <n v="0"/>
    <n v="0"/>
    <n v="0.45"/>
    <e v="#N/A"/>
    <e v="#N/A"/>
  </r>
  <r>
    <x v="137"/>
    <x v="18"/>
    <s v="Admin/HR/IT"/>
    <s v="AMCARE NonOcc In"/>
    <s v="TEMP"/>
    <n v="200585084"/>
    <s v="Villafranca,Tessa"/>
    <s v="Ledezma,Fer"/>
    <n v="0"/>
    <n v="0"/>
    <n v="0"/>
    <n v="0"/>
    <n v="0.47"/>
    <e v="#N/A"/>
    <s v="tessajvi"/>
  </r>
  <r>
    <x v="137"/>
    <x v="18"/>
    <s v="Admin/HR/IT"/>
    <s v="AMCARE NonOcc In"/>
    <s v="TEMP"/>
    <n v="201160146"/>
    <s v="Avila,priscila"/>
    <s v="Robledo Ugarte,Alejandro"/>
    <n v="0"/>
    <n v="0"/>
    <n v="0"/>
    <n v="0"/>
    <n v="0.16"/>
    <e v="#N/A"/>
    <e v="#N/A"/>
  </r>
  <r>
    <x v="137"/>
    <x v="18"/>
    <s v="Admin/HR/IT"/>
    <s v="AMCARE NonOcc In"/>
    <s v="TEMP"/>
    <n v="201167501"/>
    <s v="Rodriguez,Ruben"/>
    <s v="Robledo Ugarte,Alejandro"/>
    <n v="0"/>
    <n v="0"/>
    <n v="0"/>
    <n v="0"/>
    <n v="0.28999999999999998"/>
    <e v="#N/A"/>
    <s v="wguanajr"/>
  </r>
  <r>
    <x v="137"/>
    <x v="18"/>
    <s v="Admin/HR/IT"/>
    <s v="AMCARE NonOcc In"/>
    <s v="TEMP"/>
    <n v="201167517"/>
    <s v="Espinoza Lopez,Magdal"/>
    <s v="Robledo Ugarte,Alejandro"/>
    <n v="0"/>
    <n v="0"/>
    <n v="0"/>
    <n v="0"/>
    <n v="0.77"/>
    <e v="#N/A"/>
    <e v="#N/A"/>
  </r>
  <r>
    <x v="137"/>
    <x v="18"/>
    <s v="Admin/HR/IT"/>
    <s v="AMCARE NonOcc In"/>
    <s v="TEMP"/>
    <n v="201186833"/>
    <s v="Jasso,Alexa"/>
    <s v="Gomez,Abinadab"/>
    <n v="0"/>
    <n v="0"/>
    <n v="0"/>
    <n v="0"/>
    <n v="0.12"/>
    <e v="#N/A"/>
    <s v="jaalexav"/>
  </r>
  <r>
    <x v="137"/>
    <x v="18"/>
    <s v="Admin/HR/IT"/>
    <s v="AMCARE NonOcc In"/>
    <s v="TEMP"/>
    <n v="201314835"/>
    <s v="Guzman,Janeth"/>
    <s v="Lopez,Alexa"/>
    <n v="0"/>
    <n v="0"/>
    <n v="0"/>
    <n v="0"/>
    <n v="0.31"/>
    <e v="#N/A"/>
    <e v="#N/A"/>
  </r>
  <r>
    <x v="137"/>
    <x v="18"/>
    <s v="Admin/HR/IT"/>
    <s v="AMCARE NonOcc In"/>
    <s v="TEMP"/>
    <n v="201329529"/>
    <s v="Padilla,Pablo"/>
    <s v="Lopez,Alexa"/>
    <n v="0"/>
    <n v="0"/>
    <n v="0"/>
    <n v="0"/>
    <n v="0.69"/>
    <e v="#N/A"/>
    <e v="#N/A"/>
  </r>
  <r>
    <x v="137"/>
    <x v="18"/>
    <s v="Admin/HR/IT"/>
    <s v="AMCARE NonOcc In"/>
    <s v="TEMP"/>
    <n v="201378614"/>
    <s v="Meza,Fernando"/>
    <s v="Bueno Mendoza,Susana"/>
    <n v="0"/>
    <n v="0"/>
    <n v="0"/>
    <n v="0"/>
    <n v="0.34"/>
    <e v="#N/A"/>
    <e v="#N/A"/>
  </r>
  <r>
    <x v="138"/>
    <x v="18"/>
    <s v="Admin/HR/IT"/>
    <s v="AMCARE NonOcc In"/>
    <s v="AMZN"/>
    <n v="112912163"/>
    <s v="Murillo,Alejandro"/>
    <s v="Romero Sanchez,Gustavo Gabriel"/>
    <n v="0"/>
    <n v="0"/>
    <n v="0"/>
    <n v="0"/>
    <n v="0.24"/>
    <e v="#N/A"/>
    <e v="#N/A"/>
  </r>
  <r>
    <x v="138"/>
    <x v="18"/>
    <s v="Admin/HR/IT"/>
    <s v="AMCARE NonOcc In"/>
    <s v="AMZN"/>
    <n v="112932733"/>
    <s v="Quiroga,Silvia"/>
    <s v="Madrid Molina,Ramon"/>
    <n v="0"/>
    <n v="0"/>
    <n v="0"/>
    <n v="0"/>
    <n v="0.25"/>
    <e v="#N/A"/>
    <e v="#N/A"/>
  </r>
  <r>
    <x v="138"/>
    <x v="18"/>
    <s v="Admin/HR/IT"/>
    <s v="AMCARE NonOcc In"/>
    <s v="TEMP"/>
    <n v="112950796"/>
    <s v="Garcia,Janeth"/>
    <s v="Gomez,Abinadab"/>
    <n v="0"/>
    <n v="0"/>
    <n v="0"/>
    <n v="0"/>
    <n v="0.26"/>
    <e v="#N/A"/>
    <e v="#N/A"/>
  </r>
  <r>
    <x v="138"/>
    <x v="18"/>
    <s v="Admin/HR/IT"/>
    <s v="AMCARE NonOcc In"/>
    <s v="AMZN"/>
    <n v="112972608"/>
    <s v="Hernandez Romo,Sam"/>
    <s v="Pizana,Diego"/>
    <n v="0"/>
    <n v="0"/>
    <n v="0"/>
    <n v="0"/>
    <n v="0.19"/>
    <e v="#N/A"/>
    <e v="#N/A"/>
  </r>
  <r>
    <x v="138"/>
    <x v="18"/>
    <s v="Admin/HR/IT"/>
    <s v="AMCARE NonOcc In"/>
    <s v="AMZN"/>
    <n v="112981196"/>
    <s v="Gomez,Andrea"/>
    <s v="Piedra,Valentina"/>
    <n v="0"/>
    <n v="0"/>
    <n v="0"/>
    <n v="0"/>
    <n v="0.14000000000000001"/>
    <e v="#N/A"/>
    <s v="vandgome"/>
  </r>
  <r>
    <x v="138"/>
    <x v="18"/>
    <s v="Admin/HR/IT"/>
    <s v="AMCARE NonOcc In"/>
    <s v="AMZN"/>
    <n v="113004099"/>
    <s v="Partida,Luis"/>
    <s v="Madrid Molina,Ramon"/>
    <n v="0"/>
    <n v="0"/>
    <n v="0"/>
    <n v="0"/>
    <n v="0.12"/>
    <e v="#N/A"/>
    <s v="partilum"/>
  </r>
  <r>
    <x v="138"/>
    <x v="18"/>
    <s v="Admin/HR/IT"/>
    <s v="AMCARE NonOcc In"/>
    <s v="AMZN"/>
    <n v="113014092"/>
    <s v="Sanchez,Cristina"/>
    <s v="Madrid Molina,Ramon"/>
    <n v="0"/>
    <n v="0"/>
    <n v="0"/>
    <n v="0"/>
    <n v="0.35"/>
    <e v="#N/A"/>
    <s v="rsanccri"/>
  </r>
  <r>
    <x v="138"/>
    <x v="18"/>
    <s v="Admin/HR/IT"/>
    <s v="AMCARE NonOcc In"/>
    <s v="TEMP"/>
    <n v="200508315"/>
    <s v="Herrera,Aldair"/>
    <s v="Madrid Molina,Ramon"/>
    <n v="0"/>
    <n v="0"/>
    <n v="0"/>
    <n v="0"/>
    <n v="0.22"/>
    <e v="#N/A"/>
    <s v="taldaher"/>
  </r>
  <r>
    <x v="138"/>
    <x v="18"/>
    <s v="Admin/HR/IT"/>
    <s v="AMCARE NonOcc In"/>
    <s v="TEMP"/>
    <n v="201166890"/>
    <s v="Caballero,Daniel"/>
    <s v="Romero Sanchez,Gustavo Gabriel"/>
    <n v="0"/>
    <n v="0"/>
    <n v="0"/>
    <n v="0"/>
    <n v="0.18"/>
    <e v="#N/A"/>
    <s v="lcabadan"/>
  </r>
  <r>
    <x v="138"/>
    <x v="18"/>
    <s v="Admin/HR/IT"/>
    <s v="AMCARE NonOcc In"/>
    <s v="TEMP"/>
    <n v="201409070"/>
    <s v="Hernandez,Estefania"/>
    <s v="Gomez Aguado,Jorge"/>
    <n v="0"/>
    <n v="0"/>
    <n v="0"/>
    <n v="0"/>
    <n v="0.23"/>
    <e v="#N/A"/>
    <e v="#N/A"/>
  </r>
  <r>
    <x v="138"/>
    <x v="18"/>
    <s v="Admin/HR/IT"/>
    <s v="AMCARE Occ In"/>
    <s v="TEMP"/>
    <n v="201355246"/>
    <s v="Ramirez,Montserrat"/>
    <s v="Lopez,Alexa"/>
    <n v="0"/>
    <n v="0"/>
    <n v="0"/>
    <n v="0"/>
    <n v="1.04"/>
    <e v="#N/A"/>
    <e v="#N/A"/>
  </r>
  <r>
    <x v="139"/>
    <x v="18"/>
    <s v="Admin/HR/IT"/>
    <s v="AMCARE NonOcc In"/>
    <s v="AMZN"/>
    <n v="112912675"/>
    <s v="Alejandri Villagomez,Alejandra"/>
    <s v="Corona Arriaga,Fernando"/>
    <n v="0"/>
    <n v="0"/>
    <n v="0"/>
    <n v="0"/>
    <n v="0.24"/>
    <e v="#N/A"/>
    <e v="#N/A"/>
  </r>
  <r>
    <x v="139"/>
    <x v="18"/>
    <s v="Admin/HR/IT"/>
    <s v="AMCARE NonOcc In"/>
    <s v="AMZN"/>
    <n v="112950784"/>
    <s v="Rojas,Samuel"/>
    <s v="Pizana,Diego"/>
    <n v="0"/>
    <n v="0"/>
    <n v="0"/>
    <n v="0"/>
    <n v="0.5"/>
    <s v="NF-X1900"/>
    <s v="sarojast"/>
  </r>
  <r>
    <x v="139"/>
    <x v="18"/>
    <s v="Admin/HR/IT"/>
    <s v="AMCARE NonOcc In"/>
    <s v="AMZN"/>
    <n v="112972215"/>
    <s v="Cruz,Ana"/>
    <s v="Romero Sanchez,Gustavo Gabriel"/>
    <n v="0"/>
    <n v="0"/>
    <n v="0"/>
    <n v="0"/>
    <n v="0.43"/>
    <s v="DB-X0700"/>
    <s v="cruzbana"/>
  </r>
  <r>
    <x v="139"/>
    <x v="18"/>
    <s v="Admin/HR/IT"/>
    <s v="AMCARE NonOcc In"/>
    <s v="TEMP"/>
    <n v="200615883"/>
    <s v="Ibarra Amaro,Adriana"/>
    <s v="Gomez Aguado,Jorge"/>
    <n v="0"/>
    <n v="0"/>
    <n v="0"/>
    <n v="0"/>
    <n v="0.47"/>
    <e v="#N/A"/>
    <e v="#N/A"/>
  </r>
  <r>
    <x v="139"/>
    <x v="18"/>
    <s v="Admin/HR/IT"/>
    <s v="AMCARE NonOcc In"/>
    <s v="TEMP"/>
    <n v="201166890"/>
    <s v="Caballero,Daniel"/>
    <s v="Romero Sanchez,Gustavo Gabriel"/>
    <n v="0"/>
    <n v="0"/>
    <n v="0"/>
    <n v="0"/>
    <n v="0.4"/>
    <e v="#N/A"/>
    <s v="lcabadan"/>
  </r>
  <r>
    <x v="139"/>
    <x v="18"/>
    <s v="Admin/HR/IT"/>
    <s v="AMCARE NonOcc In"/>
    <s v="TEMP"/>
    <n v="201185299"/>
    <s v="Garcia,Noemi"/>
    <s v="Ledezma,Fer"/>
    <n v="0"/>
    <n v="0"/>
    <n v="0"/>
    <n v="0"/>
    <n v="0.92"/>
    <e v="#N/A"/>
    <s v="sganoemi"/>
  </r>
  <r>
    <x v="139"/>
    <x v="18"/>
    <s v="Admin/HR/IT"/>
    <s v="AMCARE NonOcc In"/>
    <s v="TEMP"/>
    <n v="201186777"/>
    <s v="Monzon,Berenice"/>
    <s v="Romero Sanchez,Gustavo Gabriel"/>
    <n v="0"/>
    <n v="0"/>
    <n v="0"/>
    <n v="0"/>
    <n v="0.24"/>
    <e v="#N/A"/>
    <s v="bemonzon"/>
  </r>
  <r>
    <x v="139"/>
    <x v="18"/>
    <s v="Admin/HR/IT"/>
    <s v="AMCARE NonOcc In"/>
    <s v="TEMP"/>
    <n v="201194285"/>
    <s v="Robledo,Alma"/>
    <s v="Ledezma,Fer"/>
    <n v="0"/>
    <n v="0"/>
    <n v="0"/>
    <n v="0"/>
    <n v="0.57999999999999996"/>
    <e v="#N/A"/>
    <e v="#N/A"/>
  </r>
  <r>
    <x v="139"/>
    <x v="18"/>
    <s v="Admin/HR/IT"/>
    <s v="AMCARE NonOcc In"/>
    <s v="TEMP"/>
    <n v="201198979"/>
    <s v="Mendoza,Omar"/>
    <s v="Piedra,Valentina"/>
    <n v="0"/>
    <n v="0"/>
    <n v="0"/>
    <n v="0"/>
    <n v="0.87"/>
    <e v="#N/A"/>
    <e v="#N/A"/>
  </r>
  <r>
    <x v="139"/>
    <x v="18"/>
    <s v="Admin/HR/IT"/>
    <s v="AMCARE NonOcc In"/>
    <s v="TEMP"/>
    <n v="201294217"/>
    <s v="Montes,Bibiana"/>
    <s v="Gomez Aguado,Jorge"/>
    <n v="0"/>
    <n v="0"/>
    <n v="0"/>
    <n v="0"/>
    <n v="0.1"/>
    <e v="#N/A"/>
    <s v="montebib"/>
  </r>
  <r>
    <x v="139"/>
    <x v="18"/>
    <s v="Admin/HR/IT"/>
    <s v="AMCARE NonOcc In"/>
    <s v="TEMP"/>
    <n v="201315151"/>
    <s v="Quiroz,Fernanda"/>
    <s v="Gomez Aguado,Jorge"/>
    <n v="0"/>
    <n v="0"/>
    <n v="0"/>
    <n v="0"/>
    <n v="0.18"/>
    <e v="#N/A"/>
    <e v="#N/A"/>
  </r>
  <r>
    <x v="139"/>
    <x v="18"/>
    <s v="Admin/HR/IT"/>
    <s v="AMCARE NonOcc In"/>
    <s v="TEMP"/>
    <n v="201353191"/>
    <s v="Rodriguez Padilla,Brayan"/>
    <s v="Lopez,Alexa"/>
    <n v="0"/>
    <n v="0"/>
    <n v="0"/>
    <n v="0"/>
    <n v="0.41"/>
    <e v="#N/A"/>
    <e v="#N/A"/>
  </r>
  <r>
    <x v="139"/>
    <x v="18"/>
    <s v="Admin/HR/IT"/>
    <s v="AMCARE NonOcc In"/>
    <s v="TEMP"/>
    <n v="201403431"/>
    <s v="EspaÃ±a,Carolina"/>
    <s v="Madrid Molina,Ramon"/>
    <n v="0"/>
    <n v="0"/>
    <n v="0"/>
    <n v="0"/>
    <n v="0.21"/>
    <e v="#N/A"/>
    <e v="#N/A"/>
  </r>
  <r>
    <x v="140"/>
    <x v="18"/>
    <s v="Admin/HR/IT"/>
    <s v="AMCARE NonOcc In"/>
    <s v="AMZN"/>
    <n v="112920654"/>
    <s v="Horta,Julieta"/>
    <s v="Hernandez,Nataly"/>
    <n v="0"/>
    <n v="0"/>
    <n v="0"/>
    <n v="0"/>
    <n v="0.3"/>
    <s v="DB-X0700"/>
    <s v="qhojulie"/>
  </r>
  <r>
    <x v="140"/>
    <x v="18"/>
    <s v="Admin/HR/IT"/>
    <s v="AMCARE NonOcc In"/>
    <s v="AMZN"/>
    <n v="112971980"/>
    <s v="Romero,Daniel"/>
    <s v="Pizana,Diego"/>
    <n v="0"/>
    <n v="0"/>
    <n v="0"/>
    <n v="0"/>
    <n v="0.59"/>
    <s v="DC-X0700"/>
    <s v="cdanirom"/>
  </r>
  <r>
    <x v="140"/>
    <x v="18"/>
    <s v="Admin/HR/IT"/>
    <s v="AMCARE NonOcc In"/>
    <s v="AMZN"/>
    <n v="113014042"/>
    <s v="Cervantes,Rose"/>
    <s v="Madrid Molina,Ramon"/>
    <n v="0"/>
    <n v="0"/>
    <n v="0"/>
    <n v="0"/>
    <n v="0.08"/>
    <e v="#N/A"/>
    <s v="rfcervan"/>
  </r>
  <r>
    <x v="140"/>
    <x v="18"/>
    <s v="Admin/HR/IT"/>
    <s v="AMCARE NonOcc In"/>
    <s v="AMZN"/>
    <n v="113020476"/>
    <s v="Puente Aguilar,Polette"/>
    <s v="Madrid Molina,Ramon"/>
    <n v="0"/>
    <n v="0"/>
    <n v="0"/>
    <n v="0"/>
    <n v="0.37"/>
    <e v="#N/A"/>
    <s v="polettpu"/>
  </r>
  <r>
    <x v="140"/>
    <x v="18"/>
    <s v="Admin/HR/IT"/>
    <s v="AMCARE NonOcc In"/>
    <s v="AMZN"/>
    <n v="113103540"/>
    <s v="Delgado,David"/>
    <s v="Gomez Aguado,Jorge"/>
    <n v="0"/>
    <n v="0"/>
    <n v="0"/>
    <n v="0"/>
    <n v="0.8"/>
    <e v="#N/A"/>
    <s v="delgadax"/>
  </r>
  <r>
    <x v="140"/>
    <x v="18"/>
    <s v="Admin/HR/IT"/>
    <s v="AMCARE NonOcc In"/>
    <s v="TEMP"/>
    <n v="200585084"/>
    <s v="Villafranca,Tessa"/>
    <s v="Ledezma,Fer"/>
    <n v="0"/>
    <n v="0"/>
    <n v="0"/>
    <n v="0"/>
    <n v="0.19"/>
    <e v="#N/A"/>
    <s v="tessajvi"/>
  </r>
  <r>
    <x v="140"/>
    <x v="18"/>
    <s v="Admin/HR/IT"/>
    <s v="AMCARE NonOcc In"/>
    <s v="TEMP"/>
    <n v="200615883"/>
    <s v="Ibarra Amaro,Adriana"/>
    <s v="Gomez Aguado,Jorge"/>
    <n v="0"/>
    <n v="0"/>
    <n v="0"/>
    <n v="0"/>
    <n v="0.38"/>
    <e v="#N/A"/>
    <e v="#N/A"/>
  </r>
  <r>
    <x v="140"/>
    <x v="18"/>
    <s v="Admin/HR/IT"/>
    <s v="AMCARE NonOcc In"/>
    <s v="TEMP"/>
    <n v="201185653"/>
    <s v="Lopez,Mine"/>
    <s v="Corona Arriaga,Fernando"/>
    <n v="0"/>
    <n v="0"/>
    <n v="0"/>
    <n v="0"/>
    <n v="0.26"/>
    <e v="#N/A"/>
    <s v="luisamin"/>
  </r>
  <r>
    <x v="140"/>
    <x v="18"/>
    <s v="Admin/HR/IT"/>
    <s v="AMCARE NonOcc In"/>
    <s v="TEMP"/>
    <n v="201212196"/>
    <s v="Juarez,Angel"/>
    <s v="Ledezma,Fer"/>
    <n v="0"/>
    <n v="0"/>
    <n v="0"/>
    <n v="0"/>
    <n v="0.08"/>
    <e v="#N/A"/>
    <e v="#N/A"/>
  </r>
  <r>
    <x v="140"/>
    <x v="18"/>
    <s v="Admin/HR/IT"/>
    <s v="AMCARE NonOcc In"/>
    <s v="TEMP"/>
    <n v="201345737"/>
    <s v="Rosales,Paco"/>
    <s v="Ledezma,Fer"/>
    <n v="0"/>
    <n v="0"/>
    <n v="0"/>
    <n v="0"/>
    <n v="0.21"/>
    <e v="#N/A"/>
    <s v="upacoros"/>
  </r>
  <r>
    <x v="140"/>
    <x v="18"/>
    <s v="Admin/HR/IT"/>
    <s v="AMCARE NonOcc In"/>
    <s v="TEMP"/>
    <n v="201353191"/>
    <s v="Rodriguez Padilla,Brayan"/>
    <s v="Lopez,Alexa"/>
    <n v="0"/>
    <n v="0"/>
    <n v="0"/>
    <n v="0"/>
    <n v="0.17"/>
    <e v="#N/A"/>
    <e v="#N/A"/>
  </r>
  <r>
    <x v="140"/>
    <x v="18"/>
    <s v="Admin/HR/IT"/>
    <s v="AMCARE NonOcc In"/>
    <s v="TEMP"/>
    <n v="201401654"/>
    <s v="Garcia,Karen"/>
    <s v="Corona Arriaga,Fernando"/>
    <n v="0"/>
    <n v="0"/>
    <n v="0"/>
    <n v="0"/>
    <n v="0.1"/>
    <e v="#N/A"/>
    <e v="#N/A"/>
  </r>
  <r>
    <x v="141"/>
    <x v="19"/>
    <s v="Admin/HR/IT"/>
    <s v="AMCARE NonOcc In"/>
    <s v="AMZN"/>
    <n v="112912510"/>
    <s v="Vazquez Espitia,Roberto"/>
    <s v="Garcia Espejel,Brenda Victoria"/>
    <n v="0"/>
    <n v="0"/>
    <n v="0"/>
    <n v="0"/>
    <n v="0.04"/>
    <e v="#N/A"/>
    <e v="#N/A"/>
  </r>
  <r>
    <x v="141"/>
    <x v="19"/>
    <s v="Admin/HR/IT"/>
    <s v="AMCARE NonOcc In"/>
    <s v="AMZN"/>
    <n v="112912663"/>
    <s v="Segura,Lucero"/>
    <s v="Munoz,Jonan"/>
    <n v="0"/>
    <n v="0"/>
    <n v="0"/>
    <n v="0"/>
    <n v="0.81"/>
    <e v="#N/A"/>
    <e v="#N/A"/>
  </r>
  <r>
    <x v="141"/>
    <x v="19"/>
    <s v="Admin/HR/IT"/>
    <s v="AMCARE NonOcc In"/>
    <s v="AMZN"/>
    <n v="112912753"/>
    <s v="Padilla Abrego,Selene"/>
    <s v="Romero Sanchez,Gustavo Gabriel"/>
    <n v="0"/>
    <n v="0"/>
    <n v="0"/>
    <n v="0"/>
    <n v="0.42"/>
    <e v="#N/A"/>
    <e v="#N/A"/>
  </r>
  <r>
    <x v="141"/>
    <x v="19"/>
    <s v="Admin/HR/IT"/>
    <s v="AMCARE NonOcc In"/>
    <s v="AMZN"/>
    <n v="112942473"/>
    <s v="Vargas Lopez,Hilda Cecilia"/>
    <s v="Munoz,Jonan"/>
    <n v="0"/>
    <n v="0"/>
    <n v="0"/>
    <n v="0"/>
    <n v="1.48"/>
    <s v="DC-X0700"/>
    <s v="hildacec"/>
  </r>
  <r>
    <x v="141"/>
    <x v="19"/>
    <s v="Admin/HR/IT"/>
    <s v="AMCARE NonOcc In"/>
    <s v="AMZN"/>
    <n v="112950792"/>
    <s v="Morales Gonzalez,Genesis"/>
    <s v="Gomez,Abinadab"/>
    <n v="0"/>
    <n v="0"/>
    <n v="0"/>
    <n v="0"/>
    <n v="1.0900000000000001"/>
    <s v="NF-X1900"/>
    <s v="genevmor"/>
  </r>
  <r>
    <x v="141"/>
    <x v="19"/>
    <s v="Admin/HR/IT"/>
    <s v="AMCARE NonOcc In"/>
    <s v="AMZN"/>
    <n v="200404250"/>
    <s v="Hurtado,Caty"/>
    <s v="Romero Sanchez,Gustavo Gabriel"/>
    <n v="0"/>
    <n v="0"/>
    <n v="0"/>
    <n v="0"/>
    <n v="0.2"/>
    <e v="#N/A"/>
    <s v="xcathurt"/>
  </r>
  <r>
    <x v="141"/>
    <x v="19"/>
    <s v="Admin/HR/IT"/>
    <s v="AMCARE NonOcc In"/>
    <s v="TEMP"/>
    <n v="200585084"/>
    <s v="Villafranca,Tessa"/>
    <s v="Ledezma,Fer"/>
    <n v="0"/>
    <n v="0"/>
    <n v="0"/>
    <n v="0"/>
    <n v="0.19"/>
    <e v="#N/A"/>
    <s v="tessajvi"/>
  </r>
  <r>
    <x v="141"/>
    <x v="19"/>
    <s v="Admin/HR/IT"/>
    <s v="AMCARE NonOcc In"/>
    <s v="TEMP"/>
    <n v="200625528"/>
    <s v="Oliva,Lizbeth"/>
    <s v="Piedra,Valentina"/>
    <n v="0"/>
    <n v="0"/>
    <n v="0"/>
    <n v="0"/>
    <n v="0.38"/>
    <e v="#N/A"/>
    <s v="olivlizb"/>
  </r>
  <r>
    <x v="141"/>
    <x v="19"/>
    <s v="Admin/HR/IT"/>
    <s v="AMCARE NonOcc In"/>
    <s v="TEMP"/>
    <n v="201198979"/>
    <s v="Mendoza,Omar"/>
    <s v="Piedra,Valentina"/>
    <n v="0"/>
    <n v="0"/>
    <n v="0"/>
    <n v="0"/>
    <n v="0.63"/>
    <e v="#N/A"/>
    <e v="#N/A"/>
  </r>
  <r>
    <x v="141"/>
    <x v="19"/>
    <s v="Admin/HR/IT"/>
    <s v="AMCARE NonOcc In"/>
    <s v="TEMP"/>
    <n v="201295432"/>
    <s v="Ortega,Argenis"/>
    <s v="Gomez,Abinadab"/>
    <n v="0"/>
    <n v="0"/>
    <n v="0"/>
    <n v="0"/>
    <n v="0.11"/>
    <e v="#N/A"/>
    <e v="#N/A"/>
  </r>
  <r>
    <x v="142"/>
    <x v="19"/>
    <s v="Admin/HR/IT"/>
    <s v="AMCARE NonOcc In"/>
    <s v="AMZN"/>
    <n v="112912071"/>
    <s v="Torres,Alan"/>
    <s v="Gomez,Abinadab"/>
    <n v="0"/>
    <n v="0"/>
    <n v="0"/>
    <n v="0"/>
    <n v="0.49"/>
    <e v="#N/A"/>
    <e v="#N/A"/>
  </r>
  <r>
    <x v="142"/>
    <x v="19"/>
    <s v="Admin/HR/IT"/>
    <s v="AMCARE NonOcc In"/>
    <s v="AMZN"/>
    <n v="112950809"/>
    <s v="Rocha,Luz"/>
    <s v="Munoz,Jonan"/>
    <n v="0"/>
    <n v="0"/>
    <n v="0"/>
    <n v="0"/>
    <n v="0.13"/>
    <s v="DA-X0700"/>
    <s v="lurochae"/>
  </r>
  <r>
    <x v="142"/>
    <x v="19"/>
    <s v="Admin/HR/IT"/>
    <s v="AMCARE NonOcc In"/>
    <s v="AMZN"/>
    <n v="112981013"/>
    <s v="Lopez Neri,Norma"/>
    <s v="Gomez,Abinadab"/>
    <n v="0"/>
    <n v="0"/>
    <n v="0"/>
    <n v="0"/>
    <n v="3.95"/>
    <s v="DA-X0700"/>
    <s v="normaelo"/>
  </r>
  <r>
    <x v="142"/>
    <x v="19"/>
    <s v="Admin/HR/IT"/>
    <s v="AMCARE NonOcc In"/>
    <s v="AMZN"/>
    <n v="113003631"/>
    <s v="Ortega,Elizabeth"/>
    <s v="Piedra,Valentina"/>
    <n v="0"/>
    <n v="0"/>
    <n v="0"/>
    <n v="0"/>
    <n v="0.37"/>
    <e v="#N/A"/>
    <e v="#N/A"/>
  </r>
  <r>
    <x v="142"/>
    <x v="19"/>
    <s v="Admin/HR/IT"/>
    <s v="AMCARE NonOcc In"/>
    <s v="AMZN"/>
    <n v="113014470"/>
    <s v="Aguilar Ibarra,Lupe"/>
    <s v="Robledo Ugarte,Alejandro"/>
    <n v="0"/>
    <n v="0"/>
    <n v="0"/>
    <n v="0"/>
    <n v="0.67"/>
    <e v="#N/A"/>
    <s v="lupaguin"/>
  </r>
  <r>
    <x v="142"/>
    <x v="19"/>
    <s v="Admin/HR/IT"/>
    <s v="AMCARE NonOcc In"/>
    <s v="AMZN"/>
    <n v="113101453"/>
    <s v="Isaac,Geovanna"/>
    <s v="Robledo Ugarte,Alejandro"/>
    <n v="0"/>
    <n v="0"/>
    <n v="0"/>
    <n v="0"/>
    <n v="0.24"/>
    <e v="#N/A"/>
    <s v="qisgeova"/>
  </r>
  <r>
    <x v="142"/>
    <x v="19"/>
    <s v="Admin/HR/IT"/>
    <s v="AMCARE NonOcc In"/>
    <s v="AMZN"/>
    <n v="200404250"/>
    <s v="Hurtado,Caty"/>
    <s v="Romero Sanchez,Gustavo Gabriel"/>
    <n v="0"/>
    <n v="0"/>
    <n v="0"/>
    <n v="0"/>
    <n v="0.51"/>
    <e v="#N/A"/>
    <s v="xcathurt"/>
  </r>
  <r>
    <x v="142"/>
    <x v="19"/>
    <s v="Admin/HR/IT"/>
    <s v="AMCARE NonOcc In"/>
    <s v="TEMP"/>
    <n v="200625517"/>
    <s v="RamÃ­rez,Miranda"/>
    <s v="Robledo Ugarte,Alejandro"/>
    <n v="0"/>
    <n v="0"/>
    <n v="0"/>
    <n v="0"/>
    <n v="0.15"/>
    <e v="#N/A"/>
    <e v="#N/A"/>
  </r>
  <r>
    <x v="142"/>
    <x v="19"/>
    <s v="Admin/HR/IT"/>
    <s v="AMCARE NonOcc In"/>
    <s v="TEMP"/>
    <n v="201167517"/>
    <s v="Espinoza Lopez,Magdal"/>
    <s v="Robledo Ugarte,Alejandro"/>
    <n v="0"/>
    <n v="0"/>
    <n v="0"/>
    <n v="0"/>
    <n v="0.17"/>
    <e v="#N/A"/>
    <e v="#N/A"/>
  </r>
  <r>
    <x v="142"/>
    <x v="19"/>
    <s v="Admin/HR/IT"/>
    <s v="AMCARE NonOcc In"/>
    <s v="TEMP"/>
    <n v="201294405"/>
    <s v="Rojas,Catherine"/>
    <s v="Gomez,Abinadab"/>
    <n v="0"/>
    <n v="0"/>
    <n v="0"/>
    <n v="0"/>
    <n v="7.0000000000000007E-2"/>
    <e v="#N/A"/>
    <e v="#N/A"/>
  </r>
  <r>
    <x v="142"/>
    <x v="19"/>
    <s v="Admin/HR/IT"/>
    <s v="AMCARE NonOcc In"/>
    <s v="TEMP"/>
    <n v="201346293"/>
    <s v="HernÃ¡ndez,Anamylet"/>
    <s v="Lopez,Alexa"/>
    <n v="0"/>
    <n v="0"/>
    <n v="0"/>
    <n v="0"/>
    <n v="0.16"/>
    <e v="#N/A"/>
    <e v="#N/A"/>
  </r>
  <r>
    <x v="142"/>
    <x v="19"/>
    <s v="Admin/HR/IT"/>
    <s v="AMCARE NonOcc In"/>
    <s v="TEMP"/>
    <n v="201374875"/>
    <s v="Velez,Xochitl"/>
    <s v="Lopez,Alexa"/>
    <n v="0"/>
    <n v="0"/>
    <n v="0"/>
    <n v="0"/>
    <n v="0.52"/>
    <e v="#N/A"/>
    <e v="#N/A"/>
  </r>
  <r>
    <x v="142"/>
    <x v="19"/>
    <s v="Admin/HR/IT"/>
    <s v="AMCARE NonOcc In"/>
    <s v="TEMP"/>
    <n v="201378614"/>
    <s v="Meza,Fernando"/>
    <s v="Bueno Mendoza,Susana"/>
    <n v="0"/>
    <n v="0"/>
    <n v="0"/>
    <n v="0"/>
    <n v="0.11"/>
    <e v="#N/A"/>
    <e v="#N/A"/>
  </r>
  <r>
    <x v="142"/>
    <x v="19"/>
    <s v="Admin/HR/IT"/>
    <s v="AMCARE NonOcc In"/>
    <s v="TEMP"/>
    <n v="201402216"/>
    <s v="Navia,Victor"/>
    <s v="Bueno Mendoza,Susana"/>
    <n v="0"/>
    <n v="0"/>
    <n v="0"/>
    <n v="0"/>
    <n v="0.51"/>
    <e v="#N/A"/>
    <e v="#N/A"/>
  </r>
  <r>
    <x v="143"/>
    <x v="19"/>
    <s v="Admin/HR/IT"/>
    <s v="AMCARE NonOcc In"/>
    <s v="AMZN"/>
    <n v="112912071"/>
    <s v="Torres,Alan"/>
    <s v="Gomez,Abinadab"/>
    <n v="0"/>
    <n v="0"/>
    <n v="0"/>
    <n v="0"/>
    <n v="1.86"/>
    <e v="#N/A"/>
    <e v="#N/A"/>
  </r>
  <r>
    <x v="143"/>
    <x v="19"/>
    <s v="Admin/HR/IT"/>
    <s v="AMCARE NonOcc In"/>
    <s v="AMZN"/>
    <n v="112912663"/>
    <s v="Segura,Lucero"/>
    <s v="Munoz,Jonan"/>
    <n v="0"/>
    <n v="0"/>
    <n v="0"/>
    <n v="0"/>
    <n v="0.24"/>
    <e v="#N/A"/>
    <e v="#N/A"/>
  </r>
  <r>
    <x v="143"/>
    <x v="19"/>
    <s v="Admin/HR/IT"/>
    <s v="AMCARE NonOcc In"/>
    <s v="AMZN"/>
    <n v="112981013"/>
    <s v="Lopez Neri,Norma"/>
    <s v="Gomez,Abinadab"/>
    <n v="0"/>
    <n v="0"/>
    <n v="0"/>
    <n v="0"/>
    <n v="0.86"/>
    <s v="DA-X0700"/>
    <s v="normaelo"/>
  </r>
  <r>
    <x v="143"/>
    <x v="19"/>
    <s v="Admin/HR/IT"/>
    <s v="AMCARE NonOcc In"/>
    <s v="AMZN"/>
    <n v="112981196"/>
    <s v="Gomez,Andrea"/>
    <s v="Piedra,Valentina"/>
    <n v="0"/>
    <n v="0"/>
    <n v="0"/>
    <n v="0"/>
    <n v="0.81"/>
    <e v="#N/A"/>
    <s v="vandgome"/>
  </r>
  <r>
    <x v="143"/>
    <x v="19"/>
    <s v="Admin/HR/IT"/>
    <s v="AMCARE NonOcc In"/>
    <s v="AMZN"/>
    <n v="113044620"/>
    <s v="Jasso Miranda,Aldo"/>
    <s v="Robledo Ugarte,Alejandro"/>
    <n v="0"/>
    <n v="0"/>
    <n v="0"/>
    <n v="0"/>
    <n v="0.1"/>
    <e v="#N/A"/>
    <s v="aldojasw"/>
  </r>
  <r>
    <x v="143"/>
    <x v="19"/>
    <s v="Admin/HR/IT"/>
    <s v="AMCARE NonOcc In"/>
    <s v="AMZN"/>
    <n v="113101453"/>
    <s v="Isaac,Geovanna"/>
    <s v="Robledo Ugarte,Alejandro"/>
    <n v="0"/>
    <n v="0"/>
    <n v="0"/>
    <n v="0"/>
    <n v="0.71"/>
    <e v="#N/A"/>
    <s v="qisgeova"/>
  </r>
  <r>
    <x v="143"/>
    <x v="19"/>
    <s v="Admin/HR/IT"/>
    <s v="AMCARE NonOcc In"/>
    <s v="AMZN"/>
    <n v="200404250"/>
    <s v="Hurtado,Caty"/>
    <s v="Romero Sanchez,Gustavo Gabriel"/>
    <n v="0"/>
    <n v="0"/>
    <n v="0"/>
    <n v="0"/>
    <n v="0.45"/>
    <e v="#N/A"/>
    <s v="xcathurt"/>
  </r>
  <r>
    <x v="143"/>
    <x v="19"/>
    <s v="Admin/HR/IT"/>
    <s v="AMCARE NonOcc In"/>
    <s v="TEMP"/>
    <n v="200565175"/>
    <s v="Cabrera,Emmanuel"/>
    <s v="Piedra,Valentina"/>
    <n v="0"/>
    <n v="0"/>
    <n v="0"/>
    <n v="0"/>
    <n v="0.22"/>
    <e v="#N/A"/>
    <e v="#N/A"/>
  </r>
  <r>
    <x v="143"/>
    <x v="19"/>
    <s v="Admin/HR/IT"/>
    <s v="AMCARE NonOcc In"/>
    <s v="TEMP"/>
    <n v="201172306"/>
    <s v="Valdez,CÃ©sar"/>
    <s v="Gomez,Abinadab"/>
    <n v="0"/>
    <n v="0"/>
    <n v="0"/>
    <n v="0"/>
    <n v="0.27"/>
    <e v="#N/A"/>
    <s v="cesarvae"/>
  </r>
  <r>
    <x v="143"/>
    <x v="19"/>
    <s v="Admin/HR/IT"/>
    <s v="AMCARE NonOcc In"/>
    <s v="TEMP"/>
    <n v="201185277"/>
    <s v="GamiÃ±o,Fany"/>
    <s v="Robledo Ugarte,Alejandro"/>
    <n v="0"/>
    <n v="0"/>
    <n v="0"/>
    <n v="0"/>
    <n v="0.37"/>
    <e v="#N/A"/>
    <e v="#N/A"/>
  </r>
  <r>
    <x v="143"/>
    <x v="19"/>
    <s v="Admin/HR/IT"/>
    <s v="AMCARE NonOcc In"/>
    <s v="TEMP"/>
    <n v="201201993"/>
    <s v="Olmos,Lucia"/>
    <s v="Piedra,Valentina"/>
    <n v="0"/>
    <n v="0"/>
    <n v="0"/>
    <n v="0"/>
    <n v="0.17"/>
    <e v="#N/A"/>
    <e v="#N/A"/>
  </r>
  <r>
    <x v="143"/>
    <x v="19"/>
    <s v="Admin/HR/IT"/>
    <s v="AMCARE NonOcc In"/>
    <s v="TEMP"/>
    <n v="201211582"/>
    <s v="Rodriguez,Dani"/>
    <s v="Ledezma,Fer"/>
    <n v="0"/>
    <n v="0"/>
    <n v="0"/>
    <n v="0"/>
    <n v="0.12"/>
    <e v="#N/A"/>
    <e v="#N/A"/>
  </r>
  <r>
    <x v="143"/>
    <x v="19"/>
    <s v="Admin/HR/IT"/>
    <s v="AMCARE NonOcc In"/>
    <s v="TEMP"/>
    <n v="201295432"/>
    <s v="Ortega,Argenis"/>
    <s v="Gomez,Abinadab"/>
    <n v="0"/>
    <n v="0"/>
    <n v="0"/>
    <n v="0"/>
    <n v="0.83"/>
    <e v="#N/A"/>
    <e v="#N/A"/>
  </r>
  <r>
    <x v="143"/>
    <x v="19"/>
    <s v="Admin/HR/IT"/>
    <s v="AMCARE NonOcc In"/>
    <s v="TEMP"/>
    <n v="201329332"/>
    <s v="Navarro Ortega,Pablo"/>
    <s v="Corona Arriaga,Fernando"/>
    <n v="0"/>
    <n v="0"/>
    <n v="0"/>
    <n v="0"/>
    <n v="0.26"/>
    <e v="#N/A"/>
    <e v="#N/A"/>
  </r>
  <r>
    <x v="143"/>
    <x v="19"/>
    <s v="Admin/HR/IT"/>
    <s v="AMCARE NonOcc In"/>
    <s v="TEMP"/>
    <n v="201345774"/>
    <s v="Quijas,Jonathan"/>
    <s v="Robledo Ugarte,Alejandro"/>
    <n v="0"/>
    <n v="0"/>
    <n v="0"/>
    <n v="0"/>
    <n v="0.31"/>
    <e v="#N/A"/>
    <s v="jonquija"/>
  </r>
  <r>
    <x v="143"/>
    <x v="19"/>
    <s v="Admin/HR/IT"/>
    <s v="AMCARE NonOcc In"/>
    <s v="TEMP"/>
    <n v="201365896"/>
    <s v="Gonzalez,Esther"/>
    <s v="Bueno Mendoza,Susana"/>
    <n v="0"/>
    <n v="0"/>
    <n v="0"/>
    <n v="0"/>
    <n v="0.38"/>
    <e v="#N/A"/>
    <e v="#N/A"/>
  </r>
  <r>
    <x v="143"/>
    <x v="19"/>
    <s v="Admin/HR/IT"/>
    <s v="AMCARE NonOcc In"/>
    <s v="TEMP"/>
    <n v="201374875"/>
    <s v="Velez,Xochitl"/>
    <s v="Lopez,Alexa"/>
    <n v="0"/>
    <n v="0"/>
    <n v="0"/>
    <n v="0"/>
    <n v="0.99"/>
    <e v="#N/A"/>
    <e v="#N/A"/>
  </r>
  <r>
    <x v="143"/>
    <x v="19"/>
    <s v="Admin/HR/IT"/>
    <s v="AMCARE NonOcc In"/>
    <s v="TEMP"/>
    <n v="201390700"/>
    <s v="Rea,Carmen"/>
    <s v="Robledo Ugarte,Alejandro"/>
    <n v="0"/>
    <n v="0"/>
    <n v="0"/>
    <n v="0"/>
    <n v="1.57"/>
    <e v="#N/A"/>
    <e v="#N/A"/>
  </r>
  <r>
    <x v="143"/>
    <x v="19"/>
    <s v="Admin/HR/IT"/>
    <s v="AMCARE NonOcc In"/>
    <s v="TEMP"/>
    <n v="201402060"/>
    <s v="Tovar,Mariana"/>
    <s v="Bueno Mendoza,Susana"/>
    <n v="0"/>
    <n v="0"/>
    <n v="0"/>
    <n v="0"/>
    <n v="0.75"/>
    <e v="#N/A"/>
    <e v="#N/A"/>
  </r>
  <r>
    <x v="143"/>
    <x v="19"/>
    <s v="Admin/HR/IT"/>
    <s v="AMCARE NonOcc In"/>
    <s v="TEMP"/>
    <n v="201402216"/>
    <s v="Navia,Victor"/>
    <s v="Bueno Mendoza,Susana"/>
    <n v="0"/>
    <n v="0"/>
    <n v="0"/>
    <n v="0"/>
    <n v="0.37"/>
    <e v="#N/A"/>
    <e v="#N/A"/>
  </r>
  <r>
    <x v="143"/>
    <x v="19"/>
    <s v="Admin/HR/IT"/>
    <s v="AMCARE Occ In"/>
    <s v="AMZN"/>
    <n v="112912753"/>
    <s v="Padilla Abrego,Selene"/>
    <s v="Romero Sanchez,Gustavo Gabriel"/>
    <n v="0"/>
    <n v="0"/>
    <n v="0"/>
    <n v="0"/>
    <n v="0.7"/>
    <e v="#N/A"/>
    <e v="#N/A"/>
  </r>
  <r>
    <x v="143"/>
    <x v="19"/>
    <s v="Admin/HR/IT"/>
    <s v="AMCARE Occ In"/>
    <s v="TEMP"/>
    <n v="201355246"/>
    <s v="Ramirez,Montserrat"/>
    <s v="Lopez,Alexa"/>
    <n v="0"/>
    <n v="0"/>
    <n v="0"/>
    <n v="0"/>
    <n v="1.1299999999999999"/>
    <e v="#N/A"/>
    <e v="#N/A"/>
  </r>
  <r>
    <x v="144"/>
    <x v="19"/>
    <s v="Admin/HR/IT"/>
    <s v="AMCARE NonOcc In"/>
    <s v="AMZN"/>
    <n v="112912071"/>
    <s v="Torres,Alan"/>
    <s v="Gomez,Abinadab"/>
    <n v="0"/>
    <n v="0"/>
    <n v="0"/>
    <n v="0"/>
    <n v="0.19"/>
    <e v="#N/A"/>
    <e v="#N/A"/>
  </r>
  <r>
    <x v="144"/>
    <x v="19"/>
    <s v="Admin/HR/IT"/>
    <s v="AMCARE NonOcc In"/>
    <s v="AMZN"/>
    <n v="112912663"/>
    <s v="Segura,Lucero"/>
    <s v="Munoz,Jonan"/>
    <n v="0"/>
    <n v="0"/>
    <n v="0"/>
    <n v="0"/>
    <n v="0.48"/>
    <e v="#N/A"/>
    <e v="#N/A"/>
  </r>
  <r>
    <x v="144"/>
    <x v="19"/>
    <s v="Admin/HR/IT"/>
    <s v="AMCARE NonOcc In"/>
    <s v="AMZN"/>
    <n v="112912745"/>
    <s v="Gomez Meza,Alex"/>
    <s v="Gomez,Abinadab"/>
    <n v="0"/>
    <n v="0"/>
    <n v="0"/>
    <n v="0"/>
    <n v="1.43"/>
    <s v="DA-X0700"/>
    <s v="nalexgom"/>
  </r>
  <r>
    <x v="144"/>
    <x v="19"/>
    <s v="Admin/HR/IT"/>
    <s v="AMCARE NonOcc In"/>
    <s v="AMZN"/>
    <n v="113014403"/>
    <s v="Arias Sanchez,Nora"/>
    <s v="Romero Sanchez,Gustavo Gabriel"/>
    <n v="0"/>
    <n v="0"/>
    <n v="0"/>
    <n v="0"/>
    <n v="0.26"/>
    <e v="#N/A"/>
    <s v="wnoraria"/>
  </r>
  <r>
    <x v="144"/>
    <x v="19"/>
    <s v="Admin/HR/IT"/>
    <s v="AMCARE NonOcc In"/>
    <s v="AMZN"/>
    <n v="113020463"/>
    <s v="Valtierra,Alejandra"/>
    <s v="Robledo Ugarte,Alejandro"/>
    <n v="0"/>
    <n v="0"/>
    <n v="0"/>
    <n v="0"/>
    <n v="0.51"/>
    <e v="#N/A"/>
    <s v="myriamav"/>
  </r>
  <r>
    <x v="144"/>
    <x v="19"/>
    <s v="Admin/HR/IT"/>
    <s v="AMCARE NonOcc In"/>
    <s v="AMZN"/>
    <n v="113101262"/>
    <s v="Tinoco,Cesar"/>
    <s v="Corona Arriaga,Fernando"/>
    <n v="0"/>
    <n v="0"/>
    <n v="0"/>
    <n v="0"/>
    <n v="0.21"/>
    <e v="#N/A"/>
    <s v="cetinocr"/>
  </r>
  <r>
    <x v="144"/>
    <x v="19"/>
    <s v="Admin/HR/IT"/>
    <s v="AMCARE NonOcc In"/>
    <s v="AMZN"/>
    <n v="200404250"/>
    <s v="Hurtado,Caty"/>
    <s v="Romero Sanchez,Gustavo Gabriel"/>
    <n v="0"/>
    <n v="0"/>
    <n v="0"/>
    <n v="0"/>
    <n v="0.63"/>
    <e v="#N/A"/>
    <s v="xcathurt"/>
  </r>
  <r>
    <x v="144"/>
    <x v="19"/>
    <s v="Admin/HR/IT"/>
    <s v="AMCARE NonOcc In"/>
    <s v="TEMP"/>
    <n v="200407440"/>
    <s v="Escamilla,Guillermo"/>
    <s v="Romero Sanchez,Gustavo Gabriel"/>
    <n v="0"/>
    <n v="0"/>
    <n v="0"/>
    <n v="0"/>
    <n v="0.15"/>
    <e v="#N/A"/>
    <e v="#N/A"/>
  </r>
  <r>
    <x v="144"/>
    <x v="19"/>
    <s v="Admin/HR/IT"/>
    <s v="AMCARE NonOcc In"/>
    <s v="TEMP"/>
    <n v="200553205"/>
    <s v="Cabrera,Nancy"/>
    <s v="Romero Sanchez,Gustavo Gabriel"/>
    <n v="0"/>
    <n v="0"/>
    <n v="0"/>
    <n v="0"/>
    <n v="0.2"/>
    <e v="#N/A"/>
    <e v="#N/A"/>
  </r>
  <r>
    <x v="144"/>
    <x v="19"/>
    <s v="Admin/HR/IT"/>
    <s v="AMCARE NonOcc In"/>
    <s v="TEMP"/>
    <n v="200574655"/>
    <s v="Mireles,Dulce"/>
    <s v="Robledo Ugarte,Alejandro"/>
    <n v="0"/>
    <n v="0"/>
    <n v="0"/>
    <n v="0"/>
    <n v="0.3"/>
    <e v="#N/A"/>
    <s v="dulceami"/>
  </r>
  <r>
    <x v="144"/>
    <x v="19"/>
    <s v="Admin/HR/IT"/>
    <s v="AMCARE NonOcc In"/>
    <s v="TEMP"/>
    <n v="200615801"/>
    <s v="Gongora,Daniel"/>
    <s v="Gomez,Abinadab"/>
    <n v="0"/>
    <n v="0"/>
    <n v="0"/>
    <n v="0"/>
    <n v="0.79"/>
    <e v="#N/A"/>
    <s v="dangongo"/>
  </r>
  <r>
    <x v="144"/>
    <x v="19"/>
    <s v="Admin/HR/IT"/>
    <s v="AMCARE NonOcc In"/>
    <s v="TEMP"/>
    <n v="201320388"/>
    <s v="Pena,Laura"/>
    <s v="Robledo Ugarte,Alejandro"/>
    <n v="0"/>
    <n v="0"/>
    <n v="0"/>
    <n v="0"/>
    <n v="0.39"/>
    <e v="#N/A"/>
    <e v="#N/A"/>
  </r>
  <r>
    <x v="145"/>
    <x v="19"/>
    <s v="Admin/HR/IT"/>
    <s v="AMCARE NonOcc In"/>
    <s v="AMZN"/>
    <n v="112912675"/>
    <s v="Alejandri Villagomez,Alejandra"/>
    <s v="Corona Arriaga,Fernando"/>
    <n v="0"/>
    <n v="0"/>
    <n v="0"/>
    <n v="0"/>
    <n v="1.07"/>
    <e v="#N/A"/>
    <e v="#N/A"/>
  </r>
  <r>
    <x v="145"/>
    <x v="19"/>
    <s v="Admin/HR/IT"/>
    <s v="AMCARE NonOcc In"/>
    <s v="AMZN"/>
    <n v="112980986"/>
    <s v="Colchado Garcia,Eser"/>
    <s v="Gomez,Abinadab"/>
    <n v="0"/>
    <n v="0"/>
    <n v="0"/>
    <n v="0"/>
    <n v="0.4"/>
    <s v="DJ-X0700"/>
    <s v="eserenca"/>
  </r>
  <r>
    <x v="145"/>
    <x v="19"/>
    <s v="Admin/HR/IT"/>
    <s v="AMCARE NonOcc In"/>
    <s v="AMZN"/>
    <n v="112984460"/>
    <s v="Hernandez,Fabrizzio"/>
    <s v="Corona Arriaga,Fernando"/>
    <n v="0"/>
    <n v="0"/>
    <n v="0"/>
    <n v="0"/>
    <n v="0.59"/>
    <e v="#N/A"/>
    <s v="fabrhern"/>
  </r>
  <r>
    <x v="145"/>
    <x v="19"/>
    <s v="Admin/HR/IT"/>
    <s v="AMCARE NonOcc In"/>
    <s v="AMZN"/>
    <n v="113003510"/>
    <s v="PÃ©rez MÃ©ndez,Cecy"/>
    <s v="Gomez Aguado,Jorge"/>
    <n v="0"/>
    <n v="0"/>
    <n v="0"/>
    <n v="0"/>
    <n v="0.37"/>
    <e v="#N/A"/>
    <s v="nperezmc"/>
  </r>
  <r>
    <x v="145"/>
    <x v="19"/>
    <s v="Admin/HR/IT"/>
    <s v="AMCARE NonOcc In"/>
    <s v="AMZN"/>
    <n v="113103540"/>
    <s v="Delgado,David"/>
    <s v="Gomez Aguado,Jorge"/>
    <n v="0"/>
    <n v="0"/>
    <n v="0"/>
    <n v="0"/>
    <n v="0.56999999999999995"/>
    <e v="#N/A"/>
    <s v="delgadax"/>
  </r>
  <r>
    <x v="145"/>
    <x v="19"/>
    <s v="Admin/HR/IT"/>
    <s v="AMCARE NonOcc In"/>
    <s v="AMZN"/>
    <n v="200404250"/>
    <s v="Hurtado,Caty"/>
    <s v="Romero Sanchez,Gustavo Gabriel"/>
    <n v="0"/>
    <n v="0"/>
    <n v="0"/>
    <n v="0"/>
    <n v="0.44"/>
    <e v="#N/A"/>
    <s v="xcathurt"/>
  </r>
  <r>
    <x v="145"/>
    <x v="19"/>
    <s v="Admin/HR/IT"/>
    <s v="AMCARE NonOcc In"/>
    <s v="TEMP"/>
    <n v="200407440"/>
    <s v="Escamilla,Guillermo"/>
    <s v="Romero Sanchez,Gustavo Gabriel"/>
    <n v="0"/>
    <n v="0"/>
    <n v="0"/>
    <n v="0"/>
    <n v="0.28999999999999998"/>
    <e v="#N/A"/>
    <e v="#N/A"/>
  </r>
  <r>
    <x v="145"/>
    <x v="19"/>
    <s v="Admin/HR/IT"/>
    <s v="AMCARE NonOcc In"/>
    <s v="TEMP"/>
    <n v="201167388"/>
    <s v="Aguirre,Octavio"/>
    <s v="Madrid Molina,Ramon"/>
    <n v="0"/>
    <n v="0"/>
    <n v="0"/>
    <n v="0"/>
    <n v="1.33"/>
    <e v="#N/A"/>
    <s v="naguirro"/>
  </r>
  <r>
    <x v="145"/>
    <x v="19"/>
    <s v="Admin/HR/IT"/>
    <s v="AMCARE NonOcc In"/>
    <s v="TEMP"/>
    <n v="201198890"/>
    <s v="Gomez,Karla"/>
    <s v="Corona Arriaga,Fernando"/>
    <n v="0"/>
    <n v="0"/>
    <n v="0"/>
    <n v="0"/>
    <n v="0.36"/>
    <e v="#N/A"/>
    <e v="#N/A"/>
  </r>
  <r>
    <x v="145"/>
    <x v="19"/>
    <s v="Admin/HR/IT"/>
    <s v="AMCARE NonOcc In"/>
    <s v="TEMP"/>
    <n v="201202093"/>
    <s v="Ortega,Elizabeth"/>
    <s v="Romero Sanchez,Gustavo Gabriel"/>
    <n v="0"/>
    <n v="0"/>
    <n v="0"/>
    <n v="0"/>
    <n v="0.08"/>
    <e v="#N/A"/>
    <s v="eliorten"/>
  </r>
  <r>
    <x v="145"/>
    <x v="19"/>
    <s v="Admin/HR/IT"/>
    <s v="AMCARE NonOcc In"/>
    <s v="TEMP"/>
    <n v="201295429"/>
    <s v="Mireles Diaz Lopez,Jazmin"/>
    <s v="Gomez Aguado,Jorge"/>
    <n v="0"/>
    <n v="0"/>
    <n v="0"/>
    <n v="0"/>
    <n v="0.34"/>
    <e v="#N/A"/>
    <s v="mireljes"/>
  </r>
  <r>
    <x v="145"/>
    <x v="19"/>
    <s v="Admin/HR/IT"/>
    <s v="AMCARE NonOcc In"/>
    <s v="TEMP"/>
    <n v="201397005"/>
    <s v="Leon,Ana"/>
    <s v="Corona Arriaga,Fernando"/>
    <n v="0"/>
    <n v="0"/>
    <n v="0"/>
    <n v="0"/>
    <n v="0.96"/>
    <e v="#N/A"/>
    <e v="#N/A"/>
  </r>
  <r>
    <x v="145"/>
    <x v="19"/>
    <s v="Admin/HR/IT"/>
    <s v="AMCARE NonOcc In"/>
    <s v="TEMP"/>
    <n v="201401654"/>
    <s v="Garcia,Karen"/>
    <s v="Corona Arriaga,Fernando"/>
    <n v="0"/>
    <n v="0"/>
    <n v="0"/>
    <n v="0"/>
    <n v="0.28999999999999998"/>
    <e v="#N/A"/>
    <e v="#N/A"/>
  </r>
  <r>
    <x v="146"/>
    <x v="19"/>
    <s v="Admin/HR/IT"/>
    <s v="AMCARE NonOcc In"/>
    <s v="AMZN"/>
    <n v="112912675"/>
    <s v="Alejandri Villagomez,Alejandra"/>
    <s v="Corona Arriaga,Fernando"/>
    <n v="0"/>
    <n v="0"/>
    <n v="0"/>
    <n v="0"/>
    <n v="0.36"/>
    <e v="#N/A"/>
    <e v="#N/A"/>
  </r>
  <r>
    <x v="146"/>
    <x v="19"/>
    <s v="Admin/HR/IT"/>
    <s v="AMCARE NonOcc In"/>
    <s v="AMZN"/>
    <n v="112920637"/>
    <s v="Tapia,Antonio Torres"/>
    <s v="Pizana,Diego"/>
    <n v="0"/>
    <n v="0"/>
    <n v="0"/>
    <n v="0"/>
    <n v="0.2"/>
    <s v="DB-X0700"/>
    <s v="antonitq"/>
  </r>
  <r>
    <x v="146"/>
    <x v="19"/>
    <s v="Admin/HR/IT"/>
    <s v="AMCARE NonOcc In"/>
    <s v="AMZN"/>
    <n v="113014470"/>
    <s v="Aguilar Ibarra,Lupe"/>
    <s v="Robledo Ugarte,Alejandro"/>
    <n v="0"/>
    <n v="0"/>
    <n v="0"/>
    <n v="0"/>
    <n v="0.11"/>
    <e v="#N/A"/>
    <s v="lupaguin"/>
  </r>
  <r>
    <x v="146"/>
    <x v="19"/>
    <s v="Admin/HR/IT"/>
    <s v="AMCARE NonOcc In"/>
    <s v="AMZN"/>
    <n v="113020476"/>
    <s v="Puente Aguilar,Polette"/>
    <s v="Madrid Molina,Ramon"/>
    <n v="0"/>
    <n v="0"/>
    <n v="0"/>
    <n v="0"/>
    <n v="0.01"/>
    <e v="#N/A"/>
    <s v="polettpu"/>
  </r>
  <r>
    <x v="146"/>
    <x v="19"/>
    <s v="Admin/HR/IT"/>
    <s v="AMCARE NonOcc In"/>
    <s v="TEMP"/>
    <n v="200525168"/>
    <s v="Morales,Oscar"/>
    <s v="Ledezma,Fer"/>
    <n v="0"/>
    <n v="0"/>
    <n v="0"/>
    <n v="0"/>
    <n v="1.49"/>
    <e v="#N/A"/>
    <e v="#N/A"/>
  </r>
  <r>
    <x v="146"/>
    <x v="19"/>
    <s v="Admin/HR/IT"/>
    <s v="AMCARE NonOcc In"/>
    <s v="TEMP"/>
    <n v="200625528"/>
    <s v="Oliva,Lizbeth"/>
    <s v="Piedra,Valentina"/>
    <n v="0"/>
    <n v="0"/>
    <n v="0"/>
    <n v="0"/>
    <n v="0.25"/>
    <e v="#N/A"/>
    <s v="olivlizb"/>
  </r>
  <r>
    <x v="146"/>
    <x v="19"/>
    <s v="Admin/HR/IT"/>
    <s v="AMCARE NonOcc In"/>
    <s v="TEMP"/>
    <n v="201309605"/>
    <s v="Hernandez,Yamile"/>
    <s v="Gomez Aguado,Jorge"/>
    <n v="0"/>
    <n v="0"/>
    <n v="0"/>
    <n v="0"/>
    <n v="0.2"/>
    <e v="#N/A"/>
    <e v="#N/A"/>
  </r>
  <r>
    <x v="146"/>
    <x v="19"/>
    <s v="Admin/HR/IT"/>
    <s v="AMCARE NonOcc In"/>
    <s v="TEMP"/>
    <n v="201341822"/>
    <s v="Rocha,Claudia"/>
    <s v="Corona Arriaga,Fernando"/>
    <n v="0"/>
    <n v="0"/>
    <n v="0"/>
    <n v="0"/>
    <n v="0.7"/>
    <e v="#N/A"/>
    <e v="#N/A"/>
  </r>
  <r>
    <x v="146"/>
    <x v="19"/>
    <s v="Admin/HR/IT"/>
    <s v="AMCARE NonOcc In"/>
    <s v="TEMP"/>
    <n v="201354965"/>
    <s v="JimÃ©nez,Aline"/>
    <s v="Lopez,Alexa"/>
    <n v="0"/>
    <n v="0"/>
    <n v="0"/>
    <n v="0"/>
    <n v="0.22"/>
    <e v="#N/A"/>
    <s v="alinejim"/>
  </r>
  <r>
    <x v="146"/>
    <x v="19"/>
    <s v="Admin/HR/IT"/>
    <s v="AMCARE NonOcc In"/>
    <s v="TEMP"/>
    <n v="201403462"/>
    <s v="Valdovino,Jorge"/>
    <s v="Corona Arriaga,Fernando"/>
    <n v="0"/>
    <n v="0"/>
    <n v="0"/>
    <n v="0"/>
    <n v="0.23"/>
    <e v="#N/A"/>
    <s v="valdojoe"/>
  </r>
  <r>
    <x v="147"/>
    <x v="19"/>
    <s v="Admin/HR/IT"/>
    <s v="AMCARE NonOcc In"/>
    <s v="AMZN"/>
    <n v="112971961"/>
    <s v="Lopez,Jason"/>
    <s v="Camarena,Grecia"/>
    <n v="0"/>
    <n v="0"/>
    <n v="0"/>
    <n v="0"/>
    <n v="0.3"/>
    <e v="#N/A"/>
    <e v="#N/A"/>
  </r>
  <r>
    <x v="147"/>
    <x v="19"/>
    <s v="Admin/HR/IT"/>
    <s v="AMCARE NonOcc In"/>
    <s v="AMZN"/>
    <n v="113014042"/>
    <s v="Cervantes,Rose"/>
    <s v="Madrid Molina,Ramon"/>
    <n v="0"/>
    <n v="0"/>
    <n v="0"/>
    <n v="0"/>
    <n v="0.3"/>
    <e v="#N/A"/>
    <s v="rfcervan"/>
  </r>
  <r>
    <x v="147"/>
    <x v="19"/>
    <s v="Admin/HR/IT"/>
    <s v="AMCARE NonOcc In"/>
    <s v="AMZN"/>
    <n v="113014470"/>
    <s v="Aguilar Ibarra,Lupe"/>
    <s v="Robledo Ugarte,Alejandro"/>
    <n v="0"/>
    <n v="0"/>
    <n v="0"/>
    <n v="0"/>
    <n v="0.11"/>
    <e v="#N/A"/>
    <s v="lupaguin"/>
  </r>
  <r>
    <x v="147"/>
    <x v="19"/>
    <s v="Admin/HR/IT"/>
    <s v="AMCARE NonOcc In"/>
    <s v="TEMP"/>
    <n v="200614224"/>
    <s v="Cruz Hernandez,Cris"/>
    <s v="Ledezma,Fer"/>
    <n v="0"/>
    <n v="0"/>
    <n v="0"/>
    <n v="0"/>
    <n v="0.14000000000000001"/>
    <e v="#N/A"/>
    <e v="#N/A"/>
  </r>
  <r>
    <x v="147"/>
    <x v="19"/>
    <s v="Admin/HR/IT"/>
    <s v="AMCARE NonOcc In"/>
    <s v="TEMP"/>
    <n v="201198427"/>
    <s v="Ponce,Paulina"/>
    <s v="Gomez Aguado,Jorge"/>
    <n v="0"/>
    <n v="0"/>
    <n v="0"/>
    <n v="0"/>
    <n v="0.55000000000000004"/>
    <e v="#N/A"/>
    <s v="paulinbp"/>
  </r>
  <r>
    <x v="147"/>
    <x v="19"/>
    <s v="Admin/HR/IT"/>
    <s v="AMCARE NonOcc In"/>
    <s v="TEMP"/>
    <n v="201211157"/>
    <s v="Vargas,Jesse"/>
    <s v="Corona Arriaga,Fernando"/>
    <n v="0"/>
    <n v="0"/>
    <n v="0"/>
    <n v="0"/>
    <n v="0.52"/>
    <e v="#N/A"/>
    <s v="vargajed"/>
  </r>
  <r>
    <x v="147"/>
    <x v="19"/>
    <s v="Admin/HR/IT"/>
    <s v="AMCARE NonOcc In"/>
    <s v="TEMP"/>
    <n v="201329529"/>
    <s v="Padilla,Pablo"/>
    <s v="Lopez,Alexa"/>
    <n v="0"/>
    <n v="0"/>
    <n v="0"/>
    <n v="0"/>
    <n v="0.28000000000000003"/>
    <e v="#N/A"/>
    <e v="#N/A"/>
  </r>
  <r>
    <x v="147"/>
    <x v="19"/>
    <s v="Admin/HR/IT"/>
    <s v="AMCARE NonOcc In"/>
    <s v="TEMP"/>
    <n v="201341822"/>
    <s v="Rocha,Claudia"/>
    <s v="Corona Arriaga,Fernando"/>
    <n v="0"/>
    <n v="0"/>
    <n v="0"/>
    <n v="0"/>
    <n v="0.62"/>
    <e v="#N/A"/>
    <e v="#N/A"/>
  </r>
  <r>
    <x v="148"/>
    <x v="19"/>
    <s v="Admin/HR/IT"/>
    <s v="AMCARE NonOcc In"/>
    <s v="AMZN"/>
    <n v="111261444"/>
    <s v="NÃºÃ±ez,Fernando"/>
    <s v="Gomez Aguado,Jorge"/>
    <n v="0"/>
    <n v="0"/>
    <n v="0"/>
    <n v="0"/>
    <n v="0.1"/>
    <s v="DB-X0700"/>
    <s v="luisfegu"/>
  </r>
  <r>
    <x v="148"/>
    <x v="19"/>
    <s v="Admin/HR/IT"/>
    <s v="AMCARE NonOcc In"/>
    <s v="TEMP"/>
    <n v="112950796"/>
    <s v="Garcia,Janeth"/>
    <s v="Gomez,Abinadab"/>
    <n v="0"/>
    <n v="0"/>
    <n v="0"/>
    <n v="0"/>
    <n v="1.5"/>
    <e v="#N/A"/>
    <e v="#N/A"/>
  </r>
  <r>
    <x v="148"/>
    <x v="19"/>
    <s v="Admin/HR/IT"/>
    <s v="AMCARE NonOcc In"/>
    <s v="AMZN"/>
    <n v="112980899"/>
    <s v="Avila Cabrera,Ari"/>
    <s v="Piedra,Valentina"/>
    <n v="0"/>
    <n v="0"/>
    <n v="0"/>
    <n v="0"/>
    <n v="1.25"/>
    <s v="NF-X1900"/>
    <s v="aravilac"/>
  </r>
  <r>
    <x v="148"/>
    <x v="19"/>
    <s v="Admin/HR/IT"/>
    <s v="AMCARE NonOcc In"/>
    <s v="AMZN"/>
    <n v="112981013"/>
    <s v="Lopez Neri,Norma"/>
    <s v="Gomez,Abinadab"/>
    <n v="0"/>
    <n v="0"/>
    <n v="0"/>
    <n v="0"/>
    <n v="0.56999999999999995"/>
    <s v="DA-X0700"/>
    <s v="normaelo"/>
  </r>
  <r>
    <x v="148"/>
    <x v="19"/>
    <s v="Admin/HR/IT"/>
    <s v="AMCARE NonOcc In"/>
    <s v="AMZN"/>
    <n v="112981196"/>
    <s v="Gomez,Andrea"/>
    <s v="Piedra,Valentina"/>
    <n v="0"/>
    <n v="0"/>
    <n v="0"/>
    <n v="0"/>
    <n v="0.15"/>
    <e v="#N/A"/>
    <s v="vandgome"/>
  </r>
  <r>
    <x v="148"/>
    <x v="19"/>
    <s v="Admin/HR/IT"/>
    <s v="AMCARE NonOcc In"/>
    <s v="AMZN"/>
    <n v="113101453"/>
    <s v="Isaac,Geovanna"/>
    <s v="Robledo Ugarte,Alejandro"/>
    <n v="0"/>
    <n v="0"/>
    <n v="0"/>
    <n v="0"/>
    <n v="0.4"/>
    <e v="#N/A"/>
    <s v="qisgeova"/>
  </r>
  <r>
    <x v="148"/>
    <x v="19"/>
    <s v="Admin/HR/IT"/>
    <s v="AMCARE NonOcc In"/>
    <s v="TEMP"/>
    <n v="200589316"/>
    <s v="Torres Zuniga,Daniel"/>
    <s v="Gomez Aguado,Jorge"/>
    <n v="0"/>
    <n v="0"/>
    <n v="0"/>
    <n v="0"/>
    <n v="0.37"/>
    <e v="#N/A"/>
    <e v="#N/A"/>
  </r>
  <r>
    <x v="148"/>
    <x v="19"/>
    <s v="Admin/HR/IT"/>
    <s v="AMCARE NonOcc In"/>
    <s v="TEMP"/>
    <n v="201186833"/>
    <s v="Jasso,Alexa"/>
    <s v="Gomez,Abinadab"/>
    <n v="0"/>
    <n v="0"/>
    <n v="0"/>
    <n v="0"/>
    <n v="0.26"/>
    <e v="#N/A"/>
    <s v="jaalexav"/>
  </r>
  <r>
    <x v="148"/>
    <x v="19"/>
    <s v="Admin/HR/IT"/>
    <s v="AMCARE NonOcc In"/>
    <s v="TEMP"/>
    <n v="201198370"/>
    <s v="Hernandez,Briana"/>
    <s v="Ledezma,Fer"/>
    <n v="0"/>
    <n v="0"/>
    <n v="0"/>
    <n v="0"/>
    <n v="0.19"/>
    <e v="#N/A"/>
    <e v="#N/A"/>
  </r>
  <r>
    <x v="148"/>
    <x v="19"/>
    <s v="Admin/HR/IT"/>
    <s v="AMCARE NonOcc In"/>
    <s v="TEMP"/>
    <n v="201351016"/>
    <s v="Mares,Tony"/>
    <s v="Romero Sanchez,Gustavo Gabriel"/>
    <n v="0"/>
    <n v="0"/>
    <n v="0"/>
    <n v="0"/>
    <n v="0.19"/>
    <e v="#N/A"/>
    <e v="#N/A"/>
  </r>
  <r>
    <x v="148"/>
    <x v="19"/>
    <s v="Admin/HR/IT"/>
    <s v="AMCARE NonOcc In"/>
    <s v="TEMP"/>
    <n v="201369351"/>
    <s v="Delgado Iracheta,Cesar Josue"/>
    <s v="Munoz,Jonan"/>
    <n v="0"/>
    <n v="0"/>
    <n v="0"/>
    <n v="0"/>
    <n v="1.0900000000000001"/>
    <e v="#N/A"/>
    <e v="#N/A"/>
  </r>
  <r>
    <x v="148"/>
    <x v="19"/>
    <s v="Admin/HR/IT"/>
    <s v="AMCARE NonOcc In"/>
    <s v="TEMP"/>
    <n v="201402216"/>
    <s v="Navia,Victor"/>
    <s v="Bueno Mendoza,Susana"/>
    <n v="0"/>
    <n v="0"/>
    <n v="0"/>
    <n v="0"/>
    <n v="0.43"/>
    <e v="#N/A"/>
    <e v="#N/A"/>
  </r>
  <r>
    <x v="148"/>
    <x v="19"/>
    <s v="Admin/HR/IT"/>
    <s v="AMCARE NonOcc In"/>
    <s v="TEMP"/>
    <n v="201402504"/>
    <s v="Zuniga,Eduardo"/>
    <s v="Bueno Mendoza,Susana"/>
    <n v="0"/>
    <n v="0"/>
    <n v="0"/>
    <n v="0"/>
    <n v="0.69"/>
    <e v="#N/A"/>
    <e v="#N/A"/>
  </r>
  <r>
    <x v="148"/>
    <x v="19"/>
    <s v="Admin/HR/IT"/>
    <s v="AMCARE NonOcc In"/>
    <s v="TEMP"/>
    <n v="201409070"/>
    <s v="Hernandez,Estefania"/>
    <s v="Gomez Aguado,Jorge"/>
    <n v="0"/>
    <n v="0"/>
    <n v="0"/>
    <n v="0"/>
    <n v="0.6"/>
    <e v="#N/A"/>
    <e v="#N/A"/>
  </r>
  <r>
    <x v="149"/>
    <x v="20"/>
    <s v="Admin/HR/IT"/>
    <s v="AMCARE NonOcc In"/>
    <s v="AMZN"/>
    <n v="112912663"/>
    <s v="Segura,Lucero"/>
    <s v="Munoz,Jonan"/>
    <n v="0"/>
    <n v="0"/>
    <n v="0"/>
    <n v="0"/>
    <n v="0.92"/>
    <e v="#N/A"/>
    <e v="#N/A"/>
  </r>
  <r>
    <x v="149"/>
    <x v="20"/>
    <s v="Admin/HR/IT"/>
    <s v="AMCARE NonOcc In"/>
    <s v="AMZN"/>
    <n v="112912753"/>
    <s v="Padilla Abrego,Selene"/>
    <s v="Romero Sanchez,Gustavo Gabriel"/>
    <n v="0"/>
    <n v="0"/>
    <n v="0"/>
    <n v="0"/>
    <n v="0.7"/>
    <e v="#N/A"/>
    <e v="#N/A"/>
  </r>
  <r>
    <x v="149"/>
    <x v="20"/>
    <s v="Admin/HR/IT"/>
    <s v="AMCARE NonOcc In"/>
    <s v="AMZN"/>
    <n v="112932733"/>
    <s v="Quiroga,Silvia"/>
    <s v="Madrid Molina,Ramon"/>
    <n v="0"/>
    <n v="0"/>
    <n v="0"/>
    <n v="0"/>
    <n v="0.18"/>
    <e v="#N/A"/>
    <e v="#N/A"/>
  </r>
  <r>
    <x v="149"/>
    <x v="20"/>
    <s v="Admin/HR/IT"/>
    <s v="AMCARE NonOcc In"/>
    <s v="AMZN"/>
    <n v="112976013"/>
    <s v="Garcia,Roberto"/>
    <s v="Munoz,Jonan"/>
    <n v="0"/>
    <n v="0"/>
    <n v="0"/>
    <n v="0"/>
    <n v="0.88"/>
    <e v="#N/A"/>
    <e v="#N/A"/>
  </r>
  <r>
    <x v="149"/>
    <x v="20"/>
    <s v="Admin/HR/IT"/>
    <s v="AMCARE NonOcc In"/>
    <s v="AMZN"/>
    <n v="112980844"/>
    <s v="Padilla,Samantha"/>
    <s v="Gomez,Abinadab"/>
    <n v="0"/>
    <n v="0"/>
    <n v="0"/>
    <n v="0"/>
    <n v="0.01"/>
    <s v="DA-X0700"/>
    <s v="samajpad"/>
  </r>
  <r>
    <x v="149"/>
    <x v="20"/>
    <s v="Admin/HR/IT"/>
    <s v="AMCARE NonOcc In"/>
    <s v="AMZN"/>
    <n v="112980878"/>
    <s v="Romero Escobar,Gerardo"/>
    <s v="Romero Sanchez,Gustavo Gabriel"/>
    <n v="0"/>
    <n v="0"/>
    <n v="0"/>
    <n v="0"/>
    <n v="0.06"/>
    <e v="#N/A"/>
    <e v="#N/A"/>
  </r>
  <r>
    <x v="149"/>
    <x v="20"/>
    <s v="Admin/HR/IT"/>
    <s v="AMCARE NonOcc In"/>
    <s v="AMZN"/>
    <n v="112981013"/>
    <s v="Lopez Neri,Norma"/>
    <s v="Gomez,Abinadab"/>
    <n v="0"/>
    <n v="0"/>
    <n v="0"/>
    <n v="0"/>
    <n v="0"/>
    <s v="DA-X0700"/>
    <s v="normaelo"/>
  </r>
  <r>
    <x v="149"/>
    <x v="20"/>
    <s v="Admin/HR/IT"/>
    <s v="AMCARE NonOcc In"/>
    <s v="AMZN"/>
    <n v="113014078"/>
    <s v="Nunez Lopez,Aldair"/>
    <s v="Romero Sanchez,Gustavo Gabriel"/>
    <n v="0"/>
    <n v="0"/>
    <n v="0"/>
    <n v="0"/>
    <n v="0.14000000000000001"/>
    <e v="#N/A"/>
    <s v="dnaldair"/>
  </r>
  <r>
    <x v="149"/>
    <x v="20"/>
    <s v="Admin/HR/IT"/>
    <s v="AMCARE NonOcc In"/>
    <s v="AMZN"/>
    <n v="113020463"/>
    <s v="Valtierra,Alejandra"/>
    <s v="Robledo Ugarte,Alejandro"/>
    <n v="0"/>
    <n v="0"/>
    <n v="0"/>
    <n v="0"/>
    <n v="0.12"/>
    <e v="#N/A"/>
    <s v="myriamav"/>
  </r>
  <r>
    <x v="149"/>
    <x v="20"/>
    <s v="Admin/HR/IT"/>
    <s v="AMCARE NonOcc In"/>
    <s v="AMZN"/>
    <n v="113101453"/>
    <s v="Isaac,Geovanna"/>
    <s v="Robledo Ugarte,Alejandro"/>
    <n v="0"/>
    <n v="0"/>
    <n v="0"/>
    <n v="0"/>
    <n v="0.24"/>
    <e v="#N/A"/>
    <s v="qisgeova"/>
  </r>
  <r>
    <x v="149"/>
    <x v="20"/>
    <s v="Admin/HR/IT"/>
    <s v="AMCARE NonOcc In"/>
    <s v="AMZN"/>
    <n v="200404250"/>
    <s v="Hurtado,Caty"/>
    <s v="Romero Sanchez,Gustavo Gabriel"/>
    <n v="0"/>
    <n v="0"/>
    <n v="0"/>
    <n v="0"/>
    <n v="0.17"/>
    <e v="#N/A"/>
    <s v="xcathurt"/>
  </r>
  <r>
    <x v="149"/>
    <x v="20"/>
    <s v="Admin/HR/IT"/>
    <s v="AMCARE NonOcc In"/>
    <s v="TEMP"/>
    <n v="200407440"/>
    <s v="Escamilla,Guillermo"/>
    <s v="Romero Sanchez,Gustavo Gabriel"/>
    <n v="0"/>
    <n v="0"/>
    <n v="0"/>
    <n v="0"/>
    <n v="0.79"/>
    <e v="#N/A"/>
    <e v="#N/A"/>
  </r>
  <r>
    <x v="149"/>
    <x v="20"/>
    <s v="Admin/HR/IT"/>
    <s v="AMCARE NonOcc In"/>
    <s v="TEMP"/>
    <n v="200625528"/>
    <s v="Oliva,Lizbeth"/>
    <s v="Piedra,Valentina"/>
    <n v="0"/>
    <n v="0"/>
    <n v="0"/>
    <n v="0"/>
    <n v="0.19"/>
    <e v="#N/A"/>
    <s v="olivlizb"/>
  </r>
  <r>
    <x v="149"/>
    <x v="20"/>
    <s v="Admin/HR/IT"/>
    <s v="AMCARE NonOcc In"/>
    <s v="TEMP"/>
    <n v="201166890"/>
    <s v="Caballero,Daniel"/>
    <s v="Romero Sanchez,Gustavo Gabriel"/>
    <n v="0"/>
    <n v="0"/>
    <n v="0"/>
    <n v="0"/>
    <n v="1.87"/>
    <e v="#N/A"/>
    <s v="lcabadan"/>
  </r>
  <r>
    <x v="149"/>
    <x v="20"/>
    <s v="Admin/HR/IT"/>
    <s v="AMCARE NonOcc In"/>
    <s v="TEMP"/>
    <n v="201167517"/>
    <s v="Espinoza Lopez,Magdal"/>
    <s v="Robledo Ugarte,Alejandro"/>
    <n v="0"/>
    <n v="0"/>
    <n v="0"/>
    <n v="0"/>
    <n v="0.28999999999999998"/>
    <e v="#N/A"/>
    <e v="#N/A"/>
  </r>
  <r>
    <x v="149"/>
    <x v="20"/>
    <s v="Admin/HR/IT"/>
    <s v="AMCARE NonOcc In"/>
    <s v="TEMP"/>
    <n v="201198979"/>
    <s v="Mendoza,Omar"/>
    <s v="Piedra,Valentina"/>
    <n v="0"/>
    <n v="0"/>
    <n v="0"/>
    <n v="0"/>
    <n v="0.34"/>
    <e v="#N/A"/>
    <e v="#N/A"/>
  </r>
  <r>
    <x v="149"/>
    <x v="20"/>
    <s v="Admin/HR/IT"/>
    <s v="AMCARE NonOcc In"/>
    <s v="TEMP"/>
    <n v="201212196"/>
    <s v="Juarez,Angel"/>
    <s v="Ledezma,Fer"/>
    <n v="0"/>
    <n v="0"/>
    <n v="0"/>
    <n v="0"/>
    <n v="0.18"/>
    <e v="#N/A"/>
    <e v="#N/A"/>
  </r>
  <r>
    <x v="149"/>
    <x v="20"/>
    <s v="Admin/HR/IT"/>
    <s v="AMCARE NonOcc In"/>
    <s v="TEMP"/>
    <n v="201365896"/>
    <s v="Gonzalez,Esther"/>
    <s v="Bueno Mendoza,Susana"/>
    <n v="0"/>
    <n v="0"/>
    <n v="0"/>
    <n v="0"/>
    <n v="0.25"/>
    <e v="#N/A"/>
    <e v="#N/A"/>
  </r>
  <r>
    <x v="149"/>
    <x v="20"/>
    <s v="Admin/HR/IT"/>
    <s v="AMCARE NonOcc In"/>
    <s v="TEMP"/>
    <n v="201378614"/>
    <s v="Meza,Fernando"/>
    <s v="Bueno Mendoza,Susana"/>
    <n v="0"/>
    <n v="0"/>
    <n v="0"/>
    <n v="0"/>
    <n v="0.54"/>
    <e v="#N/A"/>
    <e v="#N/A"/>
  </r>
  <r>
    <x v="149"/>
    <x v="20"/>
    <s v="Admin/HR/IT"/>
    <s v="AMCARE NonOcc In"/>
    <s v="TEMP"/>
    <n v="201402060"/>
    <s v="Tovar,Mariana"/>
    <s v="Bueno Mendoza,Susana"/>
    <n v="0"/>
    <n v="0"/>
    <n v="0"/>
    <n v="0"/>
    <n v="0.5"/>
    <e v="#N/A"/>
    <e v="#N/A"/>
  </r>
  <r>
    <x v="150"/>
    <x v="20"/>
    <s v="Admin/HR/IT"/>
    <s v="AMCARE NonOcc In"/>
    <s v="AMZN"/>
    <n v="103979960"/>
    <s v="Suchil Angel,Guillermo"/>
    <s v="Robledo Ugarte,Alejandro"/>
    <n v="0"/>
    <n v="0"/>
    <n v="0"/>
    <n v="0"/>
    <n v="0.28000000000000003"/>
    <e v="#N/A"/>
    <e v="#N/A"/>
  </r>
  <r>
    <x v="150"/>
    <x v="20"/>
    <s v="Admin/HR/IT"/>
    <s v="AMCARE NonOcc In"/>
    <s v="AMZN"/>
    <n v="112912163"/>
    <s v="Murillo,Alejandro"/>
    <s v="Romero Sanchez,Gustavo Gabriel"/>
    <n v="0"/>
    <n v="0"/>
    <n v="0"/>
    <n v="0"/>
    <n v="0.59"/>
    <e v="#N/A"/>
    <e v="#N/A"/>
  </r>
  <r>
    <x v="150"/>
    <x v="20"/>
    <s v="Admin/HR/IT"/>
    <s v="AMCARE NonOcc In"/>
    <s v="AMZN"/>
    <n v="112913641"/>
    <s v="Arevalo,Mauricio"/>
    <s v="Munoz,Jonan"/>
    <n v="0"/>
    <n v="0"/>
    <n v="0"/>
    <n v="0"/>
    <n v="0.83"/>
    <s v="DB-X0700"/>
    <s v="arevamau"/>
  </r>
  <r>
    <x v="150"/>
    <x v="20"/>
    <s v="Admin/HR/IT"/>
    <s v="AMCARE NonOcc In"/>
    <s v="AMZN"/>
    <n v="112980847"/>
    <s v="Reyes,Jose"/>
    <s v="Gomez,Abinadab"/>
    <n v="0"/>
    <n v="0"/>
    <n v="0"/>
    <n v="0"/>
    <n v="0.4"/>
    <e v="#N/A"/>
    <e v="#N/A"/>
  </r>
  <r>
    <x v="150"/>
    <x v="20"/>
    <s v="Admin/HR/IT"/>
    <s v="AMCARE NonOcc In"/>
    <s v="AMZN"/>
    <n v="112981013"/>
    <s v="Lopez Neri,Norma"/>
    <s v="Gomez,Abinadab"/>
    <n v="0"/>
    <n v="0"/>
    <n v="0"/>
    <n v="0"/>
    <n v="0.31"/>
    <s v="DA-X0700"/>
    <s v="normaelo"/>
  </r>
  <r>
    <x v="150"/>
    <x v="20"/>
    <s v="Admin/HR/IT"/>
    <s v="AMCARE NonOcc In"/>
    <s v="AMZN"/>
    <n v="112981014"/>
    <s v="Roldan Gutierrez,Pablo"/>
    <s v="Gomez,Abinadab"/>
    <n v="0"/>
    <n v="0"/>
    <n v="0"/>
    <n v="0"/>
    <n v="0.13"/>
    <s v="DJ-X0700"/>
    <s v="rpabloul"/>
  </r>
  <r>
    <x v="150"/>
    <x v="20"/>
    <s v="Admin/HR/IT"/>
    <s v="AMCARE NonOcc In"/>
    <s v="AMZN"/>
    <n v="112981201"/>
    <s v="Ramirez,Andrea"/>
    <s v="Robledo Ugarte,Alejandro"/>
    <n v="0"/>
    <n v="0"/>
    <n v="0"/>
    <n v="0"/>
    <n v="0.19"/>
    <e v="#N/A"/>
    <e v="#N/A"/>
  </r>
  <r>
    <x v="150"/>
    <x v="20"/>
    <s v="Admin/HR/IT"/>
    <s v="AMCARE NonOcc In"/>
    <s v="AMZN"/>
    <n v="113014042"/>
    <s v="Cervantes,Rose"/>
    <s v="Madrid Molina,Ramon"/>
    <n v="0"/>
    <n v="0"/>
    <n v="0"/>
    <n v="0"/>
    <n v="0.46"/>
    <e v="#N/A"/>
    <s v="rfcervan"/>
  </r>
  <r>
    <x v="150"/>
    <x v="20"/>
    <s v="Admin/HR/IT"/>
    <s v="AMCARE NonOcc In"/>
    <s v="AMZN"/>
    <n v="113101453"/>
    <s v="Isaac,Geovanna"/>
    <s v="Robledo Ugarte,Alejandro"/>
    <n v="0"/>
    <n v="0"/>
    <n v="0"/>
    <n v="0"/>
    <n v="0.14000000000000001"/>
    <e v="#N/A"/>
    <s v="qisgeova"/>
  </r>
  <r>
    <x v="150"/>
    <x v="20"/>
    <s v="Admin/HR/IT"/>
    <s v="AMCARE NonOcc In"/>
    <s v="AMZN"/>
    <n v="200404250"/>
    <s v="Hurtado,Caty"/>
    <s v="Romero Sanchez,Gustavo Gabriel"/>
    <n v="0"/>
    <n v="0"/>
    <n v="0"/>
    <n v="0"/>
    <n v="0.48"/>
    <e v="#N/A"/>
    <s v="xcathurt"/>
  </r>
  <r>
    <x v="150"/>
    <x v="20"/>
    <s v="Admin/HR/IT"/>
    <s v="AMCARE NonOcc In"/>
    <s v="TEMP"/>
    <n v="200514421"/>
    <s v="Padilla Abrego,Angeles"/>
    <s v="Romero Sanchez,Gustavo Gabriel"/>
    <n v="0"/>
    <n v="0"/>
    <n v="0"/>
    <n v="0"/>
    <n v="0.12"/>
    <e v="#N/A"/>
    <s v="padillms"/>
  </r>
  <r>
    <x v="150"/>
    <x v="20"/>
    <s v="Admin/HR/IT"/>
    <s v="AMCARE NonOcc In"/>
    <s v="TEMP"/>
    <n v="200589316"/>
    <s v="Torres Zuniga,Daniel"/>
    <s v="Gomez Aguado,Jorge"/>
    <n v="0"/>
    <n v="0"/>
    <n v="0"/>
    <n v="0"/>
    <n v="0.44"/>
    <e v="#N/A"/>
    <e v="#N/A"/>
  </r>
  <r>
    <x v="150"/>
    <x v="20"/>
    <s v="Admin/HR/IT"/>
    <s v="AMCARE NonOcc In"/>
    <s v="TEMP"/>
    <n v="201201993"/>
    <s v="Olmos,Lucia"/>
    <s v="Piedra,Valentina"/>
    <n v="0"/>
    <n v="0"/>
    <n v="0"/>
    <n v="0"/>
    <n v="0.23"/>
    <e v="#N/A"/>
    <e v="#N/A"/>
  </r>
  <r>
    <x v="150"/>
    <x v="20"/>
    <s v="Admin/HR/IT"/>
    <s v="AMCARE NonOcc In"/>
    <s v="TEMP"/>
    <n v="201212196"/>
    <s v="Juarez,Angel"/>
    <s v="Ledezma,Fer"/>
    <n v="0"/>
    <n v="0"/>
    <n v="0"/>
    <n v="0"/>
    <n v="0.12"/>
    <e v="#N/A"/>
    <e v="#N/A"/>
  </r>
  <r>
    <x v="150"/>
    <x v="20"/>
    <s v="Admin/HR/IT"/>
    <s v="AMCARE NonOcc In"/>
    <s v="TEMP"/>
    <n v="201314835"/>
    <s v="Guzman,Janeth"/>
    <s v="Lopez,Alexa"/>
    <n v="0"/>
    <n v="0"/>
    <n v="0"/>
    <n v="0"/>
    <n v="0.15"/>
    <e v="#N/A"/>
    <e v="#N/A"/>
  </r>
  <r>
    <x v="150"/>
    <x v="20"/>
    <s v="Admin/HR/IT"/>
    <s v="AMCARE NonOcc In"/>
    <s v="TEMP"/>
    <n v="201320388"/>
    <s v="Pena,Laura"/>
    <s v="Robledo Ugarte,Alejandro"/>
    <n v="0"/>
    <n v="0"/>
    <n v="0"/>
    <n v="0"/>
    <n v="0.49"/>
    <e v="#N/A"/>
    <e v="#N/A"/>
  </r>
  <r>
    <x v="150"/>
    <x v="20"/>
    <s v="Admin/HR/IT"/>
    <s v="AMCARE NonOcc In"/>
    <s v="TEMP"/>
    <n v="201374305"/>
    <s v="Salgado,Ruben"/>
    <s v="Lopez,Alexa"/>
    <n v="0"/>
    <n v="0"/>
    <n v="0"/>
    <n v="0"/>
    <n v="0.82"/>
    <e v="#N/A"/>
    <e v="#N/A"/>
  </r>
  <r>
    <x v="151"/>
    <x v="20"/>
    <s v="Admin/HR/IT"/>
    <s v="AMCARE NonOcc In"/>
    <s v="AMZN"/>
    <n v="112920655"/>
    <s v="Diaz de LeÃ³n,Paola"/>
    <s v="Pizana,Diego"/>
    <n v="0"/>
    <n v="0"/>
    <n v="0"/>
    <n v="0"/>
    <n v="0.7"/>
    <e v="#N/A"/>
    <e v="#N/A"/>
  </r>
  <r>
    <x v="151"/>
    <x v="20"/>
    <s v="Admin/HR/IT"/>
    <s v="AMCARE NonOcc In"/>
    <s v="AMZN"/>
    <n v="112942473"/>
    <s v="Vargas Lopez,Hilda Cecilia"/>
    <s v="Munoz,Jonan"/>
    <n v="0"/>
    <n v="0"/>
    <n v="0"/>
    <n v="0"/>
    <n v="0.42"/>
    <s v="DC-X0700"/>
    <s v="hildacec"/>
  </r>
  <r>
    <x v="151"/>
    <x v="20"/>
    <s v="Admin/HR/IT"/>
    <s v="AMCARE NonOcc In"/>
    <s v="AMZN"/>
    <n v="112950784"/>
    <s v="Rojas,Samuel"/>
    <s v="Pizana,Diego"/>
    <n v="0"/>
    <n v="0"/>
    <n v="0"/>
    <n v="0"/>
    <n v="0.15"/>
    <s v="NF-X1900"/>
    <s v="sarojast"/>
  </r>
  <r>
    <x v="151"/>
    <x v="20"/>
    <s v="Admin/HR/IT"/>
    <s v="AMCARE NonOcc In"/>
    <s v="AMZN"/>
    <n v="112950807"/>
    <s v="Sanchez Lira,Aaron"/>
    <s v="Garcia Espejel,Brenda Victoria"/>
    <n v="0"/>
    <n v="0"/>
    <n v="0"/>
    <n v="0"/>
    <n v="0.2"/>
    <s v="DA-X0700"/>
    <s v="kaarsanc"/>
  </r>
  <r>
    <x v="151"/>
    <x v="20"/>
    <s v="Admin/HR/IT"/>
    <s v="AMCARE NonOcc In"/>
    <s v="AMZN"/>
    <n v="113014403"/>
    <s v="Arias Sanchez,Nora"/>
    <s v="Romero Sanchez,Gustavo Gabriel"/>
    <n v="0"/>
    <n v="0"/>
    <n v="0"/>
    <n v="0"/>
    <n v="0.17"/>
    <e v="#N/A"/>
    <s v="wnoraria"/>
  </r>
  <r>
    <x v="151"/>
    <x v="20"/>
    <s v="Admin/HR/IT"/>
    <s v="AMCARE NonOcc In"/>
    <s v="AMZN"/>
    <n v="113101453"/>
    <s v="Isaac,Geovanna"/>
    <s v="Robledo Ugarte,Alejandro"/>
    <n v="0"/>
    <n v="0"/>
    <n v="0"/>
    <n v="0"/>
    <n v="0.49"/>
    <e v="#N/A"/>
    <s v="qisgeova"/>
  </r>
  <r>
    <x v="151"/>
    <x v="20"/>
    <s v="Admin/HR/IT"/>
    <s v="AMCARE NonOcc In"/>
    <s v="AMZN"/>
    <n v="113103540"/>
    <s v="Delgado,David"/>
    <s v="Gomez Aguado,Jorge"/>
    <n v="0"/>
    <n v="0"/>
    <n v="0"/>
    <n v="0"/>
    <n v="0.09"/>
    <e v="#N/A"/>
    <s v="delgadax"/>
  </r>
  <r>
    <x v="151"/>
    <x v="20"/>
    <s v="Admin/HR/IT"/>
    <s v="AMCARE NonOcc In"/>
    <s v="TEMP"/>
    <n v="200509428"/>
    <s v="Guevara Ramirez,Zayra Lorena"/>
    <s v="Robledo Ugarte,Alejandro"/>
    <n v="0"/>
    <n v="0"/>
    <n v="0"/>
    <n v="0"/>
    <n v="0.27"/>
    <e v="#N/A"/>
    <e v="#N/A"/>
  </r>
  <r>
    <x v="151"/>
    <x v="20"/>
    <s v="Admin/HR/IT"/>
    <s v="AMCARE NonOcc In"/>
    <s v="TEMP"/>
    <n v="200525930"/>
    <s v="Salazar,Joana"/>
    <s v="Gomez Aguado,Jorge"/>
    <n v="0"/>
    <n v="0"/>
    <n v="0"/>
    <n v="0"/>
    <n v="0.46"/>
    <e v="#N/A"/>
    <e v="#N/A"/>
  </r>
  <r>
    <x v="151"/>
    <x v="20"/>
    <s v="Admin/HR/IT"/>
    <s v="AMCARE NonOcc In"/>
    <s v="TEMP"/>
    <n v="200565197"/>
    <s v="Avila,Mary"/>
    <s v="Romero Sanchez,Gustavo Gabriel"/>
    <n v="0"/>
    <n v="0"/>
    <n v="0"/>
    <n v="0"/>
    <n v="0.16"/>
    <e v="#N/A"/>
    <e v="#N/A"/>
  </r>
  <r>
    <x v="151"/>
    <x v="20"/>
    <s v="Admin/HR/IT"/>
    <s v="AMCARE NonOcc In"/>
    <s v="TEMP"/>
    <n v="200589316"/>
    <s v="Torres Zuniga,Daniel"/>
    <s v="Gomez Aguado,Jorge"/>
    <n v="0"/>
    <n v="0"/>
    <n v="0"/>
    <n v="0"/>
    <n v="0.12"/>
    <e v="#N/A"/>
    <e v="#N/A"/>
  </r>
  <r>
    <x v="151"/>
    <x v="20"/>
    <s v="Admin/HR/IT"/>
    <s v="AMCARE NonOcc In"/>
    <s v="TEMP"/>
    <n v="200594875"/>
    <s v="Maldonado,Jose"/>
    <s v="Piedra,Valentina"/>
    <n v="0"/>
    <n v="0"/>
    <n v="0"/>
    <n v="0"/>
    <n v="0.31"/>
    <e v="#N/A"/>
    <s v="jwmaldon"/>
  </r>
  <r>
    <x v="151"/>
    <x v="20"/>
    <s v="Admin/HR/IT"/>
    <s v="AMCARE NonOcc In"/>
    <s v="TEMP"/>
    <n v="201185277"/>
    <s v="GamiÃ±o,Fany"/>
    <s v="Robledo Ugarte,Alejandro"/>
    <n v="0"/>
    <n v="0"/>
    <n v="0"/>
    <n v="0"/>
    <n v="0.25"/>
    <e v="#N/A"/>
    <e v="#N/A"/>
  </r>
  <r>
    <x v="151"/>
    <x v="20"/>
    <s v="Admin/HR/IT"/>
    <s v="AMCARE NonOcc In"/>
    <s v="TEMP"/>
    <n v="201191390"/>
    <s v="GarcÃ­a,jesus"/>
    <s v="Madrid Molina,Ramon"/>
    <n v="0"/>
    <n v="0"/>
    <n v="0"/>
    <n v="0"/>
    <n v="0.54"/>
    <e v="#N/A"/>
    <s v="bgajesus"/>
  </r>
  <r>
    <x v="151"/>
    <x v="20"/>
    <s v="Admin/HR/IT"/>
    <s v="AMCARE NonOcc In"/>
    <s v="TEMP"/>
    <n v="201201993"/>
    <s v="Olmos,Lucia"/>
    <s v="Piedra,Valentina"/>
    <n v="0"/>
    <n v="0"/>
    <n v="0"/>
    <n v="0"/>
    <n v="0.64"/>
    <e v="#N/A"/>
    <e v="#N/A"/>
  </r>
  <r>
    <x v="151"/>
    <x v="20"/>
    <s v="Admin/HR/IT"/>
    <s v="AMCARE NonOcc In"/>
    <s v="TEMP"/>
    <n v="201295429"/>
    <s v="Mireles Diaz Lopez,Jazmin"/>
    <s v="Gomez Aguado,Jorge"/>
    <n v="0"/>
    <n v="0"/>
    <n v="0"/>
    <n v="0"/>
    <n v="0.21"/>
    <e v="#N/A"/>
    <s v="mireljes"/>
  </r>
  <r>
    <x v="151"/>
    <x v="20"/>
    <s v="Admin/HR/IT"/>
    <s v="AMCARE NonOcc In"/>
    <s v="TEMP"/>
    <n v="201351016"/>
    <s v="Mares,Tony"/>
    <s v="Romero Sanchez,Gustavo Gabriel"/>
    <n v="0"/>
    <n v="0"/>
    <n v="0"/>
    <n v="0"/>
    <n v="0.34"/>
    <e v="#N/A"/>
    <e v="#N/A"/>
  </r>
  <r>
    <x v="151"/>
    <x v="20"/>
    <s v="Admin/HR/IT"/>
    <s v="AMCARE NonOcc In"/>
    <s v="TEMP"/>
    <n v="201374318"/>
    <s v="Tapia,Kevin"/>
    <s v="Rosas Negrete,Sebastian"/>
    <n v="0"/>
    <n v="0"/>
    <n v="0"/>
    <n v="0"/>
    <n v="0.4"/>
    <e v="#N/A"/>
    <e v="#N/A"/>
  </r>
  <r>
    <x v="151"/>
    <x v="20"/>
    <s v="Admin/HR/IT"/>
    <s v="AMCARE NonOcc In"/>
    <s v="TEMP"/>
    <n v="201408478"/>
    <s v="Calderon,David"/>
    <s v="Bueno Mendoza,Susana"/>
    <n v="0"/>
    <n v="0"/>
    <n v="0"/>
    <n v="0"/>
    <n v="0.05"/>
    <e v="#N/A"/>
    <s v="dacaldey"/>
  </r>
  <r>
    <x v="152"/>
    <x v="20"/>
    <s v="Admin/HR/IT"/>
    <s v="AMCARE NonOcc In"/>
    <s v="AMZN"/>
    <n v="112912753"/>
    <s v="Padilla Abrego,Selene"/>
    <s v="Romero Sanchez,Gustavo Gabriel"/>
    <n v="0"/>
    <n v="0"/>
    <n v="0"/>
    <n v="0"/>
    <n v="0.26"/>
    <e v="#N/A"/>
    <e v="#N/A"/>
  </r>
  <r>
    <x v="152"/>
    <x v="20"/>
    <s v="Admin/HR/IT"/>
    <s v="AMCARE NonOcc In"/>
    <s v="AMZN"/>
    <n v="112972215"/>
    <s v="Cruz,Ana"/>
    <s v="Romero Sanchez,Gustavo Gabriel"/>
    <n v="0"/>
    <n v="0"/>
    <n v="0"/>
    <n v="0"/>
    <n v="0.78"/>
    <s v="DB-X0700"/>
    <s v="cruzbana"/>
  </r>
  <r>
    <x v="152"/>
    <x v="20"/>
    <s v="Admin/HR/IT"/>
    <s v="AMCARE NonOcc In"/>
    <s v="AMZN"/>
    <n v="113003510"/>
    <s v="PÃ©rez MÃ©ndez,Cecy"/>
    <s v="Gomez Aguado,Jorge"/>
    <n v="0"/>
    <n v="0"/>
    <n v="0"/>
    <n v="0"/>
    <n v="0.14000000000000001"/>
    <e v="#N/A"/>
    <s v="nperezmc"/>
  </r>
  <r>
    <x v="152"/>
    <x v="20"/>
    <s v="Admin/HR/IT"/>
    <s v="AMCARE NonOcc In"/>
    <s v="AMZN"/>
    <n v="113014094"/>
    <s v="Mercado,Erika"/>
    <s v="Robledo Ugarte,Alejandro"/>
    <n v="0"/>
    <n v="0"/>
    <n v="0"/>
    <n v="0"/>
    <n v="0.3"/>
    <e v="#N/A"/>
    <s v="erikaadm"/>
  </r>
  <r>
    <x v="152"/>
    <x v="20"/>
    <s v="Admin/HR/IT"/>
    <s v="AMCARE NonOcc In"/>
    <s v="AMZN"/>
    <n v="113020476"/>
    <s v="Puente Aguilar,Polette"/>
    <s v="Madrid Molina,Ramon"/>
    <n v="0"/>
    <n v="0"/>
    <n v="0"/>
    <n v="0"/>
    <n v="0.42"/>
    <e v="#N/A"/>
    <s v="polettpu"/>
  </r>
  <r>
    <x v="152"/>
    <x v="20"/>
    <s v="Admin/HR/IT"/>
    <s v="AMCARE NonOcc In"/>
    <s v="AMZN"/>
    <n v="200404250"/>
    <s v="Hurtado,Caty"/>
    <s v="Romero Sanchez,Gustavo Gabriel"/>
    <n v="0"/>
    <n v="0"/>
    <n v="0"/>
    <n v="0"/>
    <n v="0.54"/>
    <e v="#N/A"/>
    <s v="xcathurt"/>
  </r>
  <r>
    <x v="152"/>
    <x v="20"/>
    <s v="Admin/HR/IT"/>
    <s v="AMCARE NonOcc In"/>
    <s v="TEMP"/>
    <n v="200525168"/>
    <s v="Morales,Oscar"/>
    <s v="Ledezma,Fer"/>
    <n v="0"/>
    <n v="0"/>
    <n v="0"/>
    <n v="0"/>
    <n v="0.72"/>
    <e v="#N/A"/>
    <e v="#N/A"/>
  </r>
  <r>
    <x v="152"/>
    <x v="20"/>
    <s v="Admin/HR/IT"/>
    <s v="AMCARE NonOcc In"/>
    <s v="TEMP"/>
    <n v="200525930"/>
    <s v="Salazar,Joana"/>
    <s v="Gomez Aguado,Jorge"/>
    <n v="0"/>
    <n v="0"/>
    <n v="0"/>
    <n v="0"/>
    <n v="0.38"/>
    <e v="#N/A"/>
    <e v="#N/A"/>
  </r>
  <r>
    <x v="152"/>
    <x v="20"/>
    <s v="Admin/HR/IT"/>
    <s v="AMCARE NonOcc In"/>
    <s v="TEMP"/>
    <n v="200615883"/>
    <s v="Ibarra Amaro,Adriana"/>
    <s v="Gomez Aguado,Jorge"/>
    <n v="0"/>
    <n v="0"/>
    <n v="0"/>
    <n v="0"/>
    <n v="0.46"/>
    <e v="#N/A"/>
    <e v="#N/A"/>
  </r>
  <r>
    <x v="152"/>
    <x v="20"/>
    <s v="Admin/HR/IT"/>
    <s v="AMCARE NonOcc In"/>
    <s v="TEMP"/>
    <n v="201162225"/>
    <s v="Corona,Israel"/>
    <s v="Gomez,Abinadab"/>
    <n v="0"/>
    <n v="0"/>
    <n v="0"/>
    <n v="0"/>
    <n v="1.06"/>
    <e v="#N/A"/>
    <s v="isracoro"/>
  </r>
  <r>
    <x v="152"/>
    <x v="20"/>
    <s v="Admin/HR/IT"/>
    <s v="AMCARE NonOcc In"/>
    <s v="TEMP"/>
    <n v="201167501"/>
    <s v="Rodriguez,Ruben"/>
    <s v="Robledo Ugarte,Alejandro"/>
    <n v="0"/>
    <n v="0"/>
    <n v="0"/>
    <n v="0"/>
    <n v="0.25"/>
    <e v="#N/A"/>
    <s v="wguanajr"/>
  </r>
  <r>
    <x v="152"/>
    <x v="20"/>
    <s v="Admin/HR/IT"/>
    <s v="AMCARE NonOcc In"/>
    <s v="TEMP"/>
    <n v="201185277"/>
    <s v="GamiÃ±o,Fany"/>
    <s v="Robledo Ugarte,Alejandro"/>
    <n v="0"/>
    <n v="0"/>
    <n v="0"/>
    <n v="0"/>
    <n v="0.4"/>
    <e v="#N/A"/>
    <e v="#N/A"/>
  </r>
  <r>
    <x v="152"/>
    <x v="20"/>
    <s v="Admin/HR/IT"/>
    <s v="AMCARE NonOcc In"/>
    <s v="TEMP"/>
    <n v="201191390"/>
    <s v="GarcÃ­a,jesus"/>
    <s v="Madrid Molina,Ramon"/>
    <n v="0"/>
    <n v="0"/>
    <n v="0"/>
    <n v="0"/>
    <n v="0.28999999999999998"/>
    <e v="#N/A"/>
    <s v="bgajesus"/>
  </r>
  <r>
    <x v="152"/>
    <x v="20"/>
    <s v="Admin/HR/IT"/>
    <s v="AMCARE NonOcc In"/>
    <s v="TEMP"/>
    <n v="201309605"/>
    <s v="Hernandez,Yamile"/>
    <s v="Gomez Aguado,Jorge"/>
    <n v="0"/>
    <n v="0"/>
    <n v="0"/>
    <n v="0"/>
    <n v="0.12"/>
    <e v="#N/A"/>
    <e v="#N/A"/>
  </r>
  <r>
    <x v="152"/>
    <x v="20"/>
    <s v="Admin/HR/IT"/>
    <s v="AMCARE NonOcc In"/>
    <s v="TEMP"/>
    <n v="201314835"/>
    <s v="Guzman,Janeth"/>
    <s v="Lopez,Alexa"/>
    <n v="0"/>
    <n v="0"/>
    <n v="0"/>
    <n v="0"/>
    <n v="0.22"/>
    <e v="#N/A"/>
    <e v="#N/A"/>
  </r>
  <r>
    <x v="152"/>
    <x v="20"/>
    <s v="Admin/HR/IT"/>
    <s v="AMCARE NonOcc In"/>
    <s v="TEMP"/>
    <n v="201315151"/>
    <s v="Quiroz,Fernanda"/>
    <s v="Gomez Aguado,Jorge"/>
    <n v="0"/>
    <n v="0"/>
    <n v="0"/>
    <n v="0"/>
    <n v="0.97"/>
    <e v="#N/A"/>
    <e v="#N/A"/>
  </r>
  <r>
    <x v="152"/>
    <x v="20"/>
    <s v="Admin/HR/IT"/>
    <s v="AMCARE NonOcc In"/>
    <s v="TEMP"/>
    <n v="201329529"/>
    <s v="Padilla,Pablo"/>
    <s v="Lopez,Alexa"/>
    <n v="0"/>
    <n v="0"/>
    <n v="0"/>
    <n v="0"/>
    <n v="0.53"/>
    <e v="#N/A"/>
    <e v="#N/A"/>
  </r>
  <r>
    <x v="152"/>
    <x v="20"/>
    <s v="Admin/HR/IT"/>
    <s v="AMCARE NonOcc In"/>
    <s v="TEMP"/>
    <n v="201402060"/>
    <s v="Tovar,Mariana"/>
    <s v="Bueno Mendoza,Susana"/>
    <n v="0"/>
    <n v="0"/>
    <n v="0"/>
    <n v="0"/>
    <n v="0.25"/>
    <e v="#N/A"/>
    <e v="#N/A"/>
  </r>
  <r>
    <x v="152"/>
    <x v="20"/>
    <s v="Admin/HR/IT"/>
    <s v="AMCARE NonOcc In"/>
    <s v="TEMP"/>
    <n v="201403532"/>
    <s v="Rocha,Horacio"/>
    <s v="Madrid Molina,Ramon"/>
    <n v="0"/>
    <n v="0"/>
    <n v="0"/>
    <n v="0"/>
    <n v="0.41"/>
    <e v="#N/A"/>
    <s v="zhoracro"/>
  </r>
  <r>
    <x v="152"/>
    <x v="20"/>
    <s v="Admin/HR/IT"/>
    <s v="AMCARE NonOcc In"/>
    <s v="TEMP"/>
    <n v="201408141"/>
    <s v="Luna,Alberto"/>
    <s v="Ledezma,Fer"/>
    <n v="0"/>
    <n v="0"/>
    <n v="0"/>
    <n v="0"/>
    <n v="0.21"/>
    <e v="#N/A"/>
    <s v="alberlug"/>
  </r>
  <r>
    <x v="153"/>
    <x v="20"/>
    <s v="Admin/HR/IT"/>
    <s v="AMCARE NonOcc In"/>
    <s v="AMZN"/>
    <n v="113052151"/>
    <s v="Nieves Mendez,Laura"/>
    <s v="Ledezma,Fer"/>
    <n v="0"/>
    <n v="0"/>
    <n v="0"/>
    <n v="0"/>
    <n v="0.1"/>
    <e v="#N/A"/>
    <s v="nilaurab"/>
  </r>
  <r>
    <x v="153"/>
    <x v="20"/>
    <s v="Admin/HR/IT"/>
    <s v="AMCARE NonOcc In"/>
    <s v="TEMP"/>
    <n v="200564845"/>
    <s v="Barron,Abraham"/>
    <s v="Gomez Aguado,Jorge"/>
    <n v="0"/>
    <n v="0"/>
    <n v="0"/>
    <n v="0"/>
    <n v="0.19"/>
    <e v="#N/A"/>
    <e v="#N/A"/>
  </r>
  <r>
    <x v="153"/>
    <x v="20"/>
    <s v="Admin/HR/IT"/>
    <s v="AMCARE NonOcc In"/>
    <s v="TEMP"/>
    <n v="200585084"/>
    <s v="Villafranca,Tessa"/>
    <s v="Ledezma,Fer"/>
    <n v="0"/>
    <n v="0"/>
    <n v="0"/>
    <n v="0"/>
    <n v="0.59"/>
    <e v="#N/A"/>
    <s v="tessajvi"/>
  </r>
  <r>
    <x v="153"/>
    <x v="20"/>
    <s v="Admin/HR/IT"/>
    <s v="AMCARE NonOcc In"/>
    <s v="TEMP"/>
    <n v="200589316"/>
    <s v="Torres Zuniga,Daniel"/>
    <s v="Gomez Aguado,Jorge"/>
    <n v="0"/>
    <n v="0"/>
    <n v="0"/>
    <n v="0"/>
    <n v="0.65"/>
    <e v="#N/A"/>
    <e v="#N/A"/>
  </r>
  <r>
    <x v="153"/>
    <x v="20"/>
    <s v="Admin/HR/IT"/>
    <s v="AMCARE NonOcc In"/>
    <s v="TEMP"/>
    <n v="200625528"/>
    <s v="Oliva,Lizbeth"/>
    <s v="Piedra,Valentina"/>
    <n v="0"/>
    <n v="0"/>
    <n v="0"/>
    <n v="0"/>
    <n v="0.09"/>
    <e v="#N/A"/>
    <s v="olivlizb"/>
  </r>
  <r>
    <x v="153"/>
    <x v="20"/>
    <s v="Admin/HR/IT"/>
    <s v="AMCARE NonOcc In"/>
    <s v="TEMP"/>
    <n v="201185633"/>
    <s v="Lopez,Lety"/>
    <s v="Corona Arriaga,Fernando"/>
    <n v="0"/>
    <n v="0"/>
    <n v="0"/>
    <n v="0"/>
    <n v="0.17"/>
    <e v="#N/A"/>
    <e v="#N/A"/>
  </r>
  <r>
    <x v="153"/>
    <x v="20"/>
    <s v="Admin/HR/IT"/>
    <s v="AMCARE NonOcc In"/>
    <s v="TEMP"/>
    <n v="201402425"/>
    <s v="Espinoza,Ale"/>
    <s v="Lopez,Alexa"/>
    <n v="0"/>
    <n v="0"/>
    <n v="0"/>
    <n v="0"/>
    <n v="0.51"/>
    <e v="#N/A"/>
    <e v="#N/A"/>
  </r>
  <r>
    <x v="153"/>
    <x v="20"/>
    <s v="Admin/HR/IT"/>
    <s v="AMCARE NonOcc In"/>
    <s v="TEMP"/>
    <n v="201403462"/>
    <s v="Valdovino,Jorge"/>
    <s v="Corona Arriaga,Fernando"/>
    <n v="0"/>
    <n v="0"/>
    <n v="0"/>
    <n v="0"/>
    <n v="0.14000000000000001"/>
    <e v="#N/A"/>
    <s v="valdojoe"/>
  </r>
  <r>
    <x v="153"/>
    <x v="20"/>
    <s v="Admin/HR/IT"/>
    <s v="AMCARE NonOcc In"/>
    <s v="TEMP"/>
    <n v="201403468"/>
    <s v="Reyes,Juan"/>
    <s v="Madrid Molina,Ramon"/>
    <n v="0"/>
    <n v="0"/>
    <n v="0"/>
    <n v="0"/>
    <n v="0.19"/>
    <e v="#N/A"/>
    <e v="#N/A"/>
  </r>
  <r>
    <x v="154"/>
    <x v="20"/>
    <s v="Admin/HR/IT"/>
    <s v="AMCARE NonOcc In"/>
    <s v="AMZN"/>
    <n v="112912675"/>
    <s v="Alejandri Villagomez,Alejandra"/>
    <s v="Corona Arriaga,Fernando"/>
    <n v="0"/>
    <n v="0"/>
    <n v="0"/>
    <n v="0"/>
    <n v="0.49"/>
    <e v="#N/A"/>
    <e v="#N/A"/>
  </r>
  <r>
    <x v="154"/>
    <x v="20"/>
    <s v="Admin/HR/IT"/>
    <s v="AMCARE NonOcc In"/>
    <s v="TEMP"/>
    <n v="200562154"/>
    <s v="Reyes Muniz,Cristian"/>
    <s v="Corona Arriaga,Fernando"/>
    <n v="0"/>
    <n v="0"/>
    <n v="0"/>
    <n v="0"/>
    <n v="0.39"/>
    <e v="#N/A"/>
    <s v="reyesmcw"/>
  </r>
  <r>
    <x v="154"/>
    <x v="20"/>
    <s v="Admin/HR/IT"/>
    <s v="AMCARE NonOcc In"/>
    <s v="TEMP"/>
    <n v="201204937"/>
    <s v="Vazquez,Carmen"/>
    <s v="Ledezma,Fer"/>
    <n v="0"/>
    <n v="0"/>
    <n v="0"/>
    <n v="0"/>
    <n v="0.19"/>
    <e v="#N/A"/>
    <e v="#N/A"/>
  </r>
  <r>
    <x v="154"/>
    <x v="20"/>
    <s v="Admin/HR/IT"/>
    <s v="AMCARE NonOcc In"/>
    <s v="TEMP"/>
    <n v="201374875"/>
    <s v="Velez,Xochitl"/>
    <s v="Lopez,Alexa"/>
    <n v="0"/>
    <n v="0"/>
    <n v="0"/>
    <n v="0"/>
    <n v="0.47"/>
    <e v="#N/A"/>
    <e v="#N/A"/>
  </r>
  <r>
    <x v="155"/>
    <x v="21"/>
    <s v="Admin/HR/IT"/>
    <s v="AMCARE NonOcc In"/>
    <s v="AMZN"/>
    <n v="112912745"/>
    <s v="Gomez Meza,Alex"/>
    <s v="Gomez,Abinadab"/>
    <n v="0"/>
    <n v="0"/>
    <n v="0"/>
    <n v="0"/>
    <n v="1.02"/>
    <s v="DA-X0700"/>
    <s v="nalexgom"/>
  </r>
  <r>
    <x v="155"/>
    <x v="21"/>
    <s v="Admin/HR/IT"/>
    <s v="AMCARE NonOcc In"/>
    <s v="AMZN"/>
    <n v="112912752"/>
    <s v="Valderrama Gomez,Leslie"/>
    <s v="Gomez,Abinadab"/>
    <n v="0"/>
    <n v="0"/>
    <n v="0"/>
    <n v="0"/>
    <n v="0.24"/>
    <s v="NF-X1900"/>
    <s v="valderle"/>
  </r>
  <r>
    <x v="155"/>
    <x v="21"/>
    <s v="Admin/HR/IT"/>
    <s v="AMCARE NonOcc In"/>
    <s v="AMZN"/>
    <n v="112950809"/>
    <s v="Rocha,Luz"/>
    <s v="Munoz,Jonan"/>
    <n v="0"/>
    <n v="0"/>
    <n v="0"/>
    <n v="0"/>
    <n v="0.21"/>
    <s v="DA-X0700"/>
    <s v="lurochae"/>
  </r>
  <r>
    <x v="155"/>
    <x v="21"/>
    <s v="Admin/HR/IT"/>
    <s v="AMCARE NonOcc In"/>
    <s v="AMZN"/>
    <n v="112980847"/>
    <s v="Reyes,Jose"/>
    <s v="Gomez,Abinadab"/>
    <n v="0"/>
    <n v="0"/>
    <n v="0"/>
    <n v="0"/>
    <n v="1.1200000000000001"/>
    <e v="#N/A"/>
    <e v="#N/A"/>
  </r>
  <r>
    <x v="155"/>
    <x v="21"/>
    <s v="Admin/HR/IT"/>
    <s v="AMCARE NonOcc In"/>
    <s v="TEMP"/>
    <n v="200615883"/>
    <s v="Ibarra Amaro,Adriana"/>
    <s v="Gomez Aguado,Jorge"/>
    <n v="0"/>
    <n v="0"/>
    <n v="0"/>
    <n v="0"/>
    <n v="0.18"/>
    <e v="#N/A"/>
    <e v="#N/A"/>
  </r>
  <r>
    <x v="155"/>
    <x v="21"/>
    <s v="Admin/HR/IT"/>
    <s v="AMCARE NonOcc In"/>
    <s v="TEMP"/>
    <n v="201329495"/>
    <s v="Sanchez,Josue"/>
    <s v="Gomez,Abinadab"/>
    <n v="0"/>
    <n v="0"/>
    <n v="0"/>
    <n v="0"/>
    <n v="1.1499999999999999"/>
    <e v="#N/A"/>
    <e v="#N/A"/>
  </r>
  <r>
    <x v="155"/>
    <x v="21"/>
    <s v="Admin/HR/IT"/>
    <s v="AMCARE NonOcc In"/>
    <s v="TEMP"/>
    <n v="201345774"/>
    <s v="Quijas,Jonathan"/>
    <s v="Robledo Ugarte,Alejandro"/>
    <n v="0"/>
    <n v="0"/>
    <n v="0"/>
    <n v="0"/>
    <n v="0.1"/>
    <e v="#N/A"/>
    <s v="jonquija"/>
  </r>
  <r>
    <x v="155"/>
    <x v="21"/>
    <s v="Admin/HR/IT"/>
    <s v="AMCARE NonOcc In"/>
    <s v="TEMP"/>
    <n v="201374875"/>
    <s v="Velez,Xochitl"/>
    <s v="Lopez,Alexa"/>
    <n v="0"/>
    <n v="0"/>
    <n v="0"/>
    <n v="0"/>
    <n v="0.99"/>
    <e v="#N/A"/>
    <e v="#N/A"/>
  </r>
  <r>
    <x v="156"/>
    <x v="21"/>
    <s v="Admin/HR/IT"/>
    <s v="AMCARE NonOcc In"/>
    <s v="AMZN"/>
    <n v="110249579"/>
    <s v="Ruz,Misael"/>
    <s v="Piedra,Valentina"/>
    <n v="0"/>
    <n v="0"/>
    <n v="0"/>
    <n v="0"/>
    <n v="1.07"/>
    <s v="DA-X0700"/>
    <s v="ruzcvict"/>
  </r>
  <r>
    <x v="156"/>
    <x v="21"/>
    <s v="Admin/HR/IT"/>
    <s v="AMCARE NonOcc In"/>
    <s v="AMZN"/>
    <n v="112912752"/>
    <s v="Valderrama Gomez,Leslie"/>
    <s v="Gomez,Abinadab"/>
    <n v="0"/>
    <n v="0"/>
    <n v="0"/>
    <n v="0"/>
    <n v="1.49"/>
    <s v="NF-X1900"/>
    <s v="valderle"/>
  </r>
  <r>
    <x v="156"/>
    <x v="21"/>
    <s v="Admin/HR/IT"/>
    <s v="AMCARE NonOcc In"/>
    <s v="AMZN"/>
    <n v="112980899"/>
    <s v="Avila Cabrera,Ari"/>
    <s v="Piedra,Valentina"/>
    <n v="0"/>
    <n v="0"/>
    <n v="0"/>
    <n v="0"/>
    <n v="0.31"/>
    <s v="NF-X1900"/>
    <s v="aravilac"/>
  </r>
  <r>
    <x v="156"/>
    <x v="21"/>
    <s v="Admin/HR/IT"/>
    <s v="AMCARE NonOcc In"/>
    <s v="AMZN"/>
    <n v="112981212"/>
    <s v="Zanella Miranda,Alyson"/>
    <s v="Robledo Ugarte,Alejandro"/>
    <n v="0"/>
    <n v="0"/>
    <n v="0"/>
    <n v="0"/>
    <n v="0.27"/>
    <e v="#N/A"/>
    <s v="alysonza"/>
  </r>
  <r>
    <x v="156"/>
    <x v="21"/>
    <s v="Admin/HR/IT"/>
    <s v="AMCARE NonOcc In"/>
    <s v="AMZN"/>
    <n v="113014403"/>
    <s v="Arias Sanchez,Nora"/>
    <s v="Romero Sanchez,Gustavo Gabriel"/>
    <n v="0"/>
    <n v="0"/>
    <n v="0"/>
    <n v="0"/>
    <n v="0.3"/>
    <e v="#N/A"/>
    <s v="wnoraria"/>
  </r>
  <r>
    <x v="156"/>
    <x v="21"/>
    <s v="Admin/HR/IT"/>
    <s v="AMCARE NonOcc In"/>
    <s v="AMZN"/>
    <n v="113014470"/>
    <s v="Aguilar Ibarra,Lupe"/>
    <s v="Robledo Ugarte,Alejandro"/>
    <n v="0"/>
    <n v="0"/>
    <n v="0"/>
    <n v="0"/>
    <n v="0.41"/>
    <e v="#N/A"/>
    <s v="lupaguin"/>
  </r>
  <r>
    <x v="156"/>
    <x v="21"/>
    <s v="Admin/HR/IT"/>
    <s v="AMCARE NonOcc In"/>
    <s v="TEMP"/>
    <n v="200615315"/>
    <s v="Gasca,Daniel"/>
    <s v="Piedra,Valentina"/>
    <n v="0"/>
    <n v="0"/>
    <n v="0"/>
    <n v="0"/>
    <n v="0.84"/>
    <e v="#N/A"/>
    <s v="gascfdan"/>
  </r>
  <r>
    <x v="156"/>
    <x v="21"/>
    <s v="Admin/HR/IT"/>
    <s v="AMCARE NonOcc In"/>
    <s v="TEMP"/>
    <n v="201162388"/>
    <s v="Rocha,Alfredo"/>
    <s v="Piedra,Valentina"/>
    <n v="0"/>
    <n v="0"/>
    <n v="0"/>
    <n v="0"/>
    <n v="0.15"/>
    <e v="#N/A"/>
    <s v="alfrerok"/>
  </r>
  <r>
    <x v="156"/>
    <x v="21"/>
    <s v="Admin/HR/IT"/>
    <s v="AMCARE NonOcc In"/>
    <s v="TEMP"/>
    <n v="201165769"/>
    <s v="Puente,Karen"/>
    <s v="Piedra,Valentina"/>
    <n v="0"/>
    <n v="0"/>
    <n v="0"/>
    <n v="0"/>
    <n v="0.57999999999999996"/>
    <e v="#N/A"/>
    <s v="puenkare"/>
  </r>
  <r>
    <x v="156"/>
    <x v="21"/>
    <s v="Admin/HR/IT"/>
    <s v="AMCARE NonOcc In"/>
    <s v="TEMP"/>
    <n v="201172306"/>
    <s v="Valdez,CÃ©sar"/>
    <s v="Gomez,Abinadab"/>
    <n v="0"/>
    <n v="0"/>
    <n v="0"/>
    <n v="0"/>
    <n v="0.14000000000000001"/>
    <e v="#N/A"/>
    <s v="cesarvae"/>
  </r>
  <r>
    <x v="156"/>
    <x v="21"/>
    <s v="Admin/HR/IT"/>
    <s v="AMCARE NonOcc In"/>
    <s v="TEMP"/>
    <n v="201191217"/>
    <s v="Duran,Esteban"/>
    <s v="Piedra,Valentina"/>
    <n v="0"/>
    <n v="0"/>
    <n v="0"/>
    <n v="0"/>
    <n v="0.84"/>
    <e v="#N/A"/>
    <s v="duesteba"/>
  </r>
  <r>
    <x v="156"/>
    <x v="21"/>
    <s v="Admin/HR/IT"/>
    <s v="AMCARE NonOcc In"/>
    <s v="TEMP"/>
    <n v="201295432"/>
    <s v="Ortega,Argenis"/>
    <s v="Gomez,Abinadab"/>
    <n v="0"/>
    <n v="0"/>
    <n v="0"/>
    <n v="0"/>
    <n v="2.4700000000000002"/>
    <e v="#N/A"/>
    <e v="#N/A"/>
  </r>
  <r>
    <x v="156"/>
    <x v="21"/>
    <s v="Admin/HR/IT"/>
    <s v="AMCARE NonOcc In"/>
    <s v="TEMP"/>
    <n v="201363254"/>
    <s v="Frausto,Raziel"/>
    <s v="Garcia Espejel,Brenda Victoria"/>
    <n v="0"/>
    <n v="0"/>
    <n v="0"/>
    <n v="0"/>
    <n v="0.18"/>
    <e v="#N/A"/>
    <s v="fwraziel"/>
  </r>
  <r>
    <x v="156"/>
    <x v="21"/>
    <s v="Admin/HR/IT"/>
    <s v="AMCARE NonOcc In"/>
    <s v="TEMP"/>
    <n v="201402060"/>
    <s v="Tovar,Mariana"/>
    <s v="Bueno Mendoza,Susana"/>
    <n v="0"/>
    <n v="0"/>
    <n v="0"/>
    <n v="0"/>
    <n v="0.86"/>
    <e v="#N/A"/>
    <e v="#N/A"/>
  </r>
  <r>
    <x v="157"/>
    <x v="21"/>
    <s v="Admin/HR/IT"/>
    <s v="AMCARE NonOcc In"/>
    <s v="TEMP"/>
    <n v="112912007"/>
    <s v="Robledo Barrientos,Alondra"/>
    <s v="Gomez,Abinadab"/>
    <n v="0"/>
    <n v="0"/>
    <n v="0"/>
    <n v="0"/>
    <n v="0.3"/>
    <e v="#N/A"/>
    <e v="#N/A"/>
  </r>
  <r>
    <x v="157"/>
    <x v="21"/>
    <s v="Admin/HR/IT"/>
    <s v="AMCARE NonOcc In"/>
    <s v="AMZN"/>
    <n v="112912663"/>
    <s v="Segura,Lucero"/>
    <s v="Munoz,Jonan"/>
    <n v="0"/>
    <n v="0"/>
    <n v="0"/>
    <n v="0"/>
    <n v="0.26"/>
    <e v="#N/A"/>
    <e v="#N/A"/>
  </r>
  <r>
    <x v="157"/>
    <x v="21"/>
    <s v="Admin/HR/IT"/>
    <s v="AMCARE NonOcc In"/>
    <s v="AMZN"/>
    <n v="112920666"/>
    <s v="Rocha,Jose"/>
    <s v="Cortes,Alejandra"/>
    <n v="0"/>
    <n v="0"/>
    <n v="0"/>
    <n v="0"/>
    <n v="0.16"/>
    <s v="D5-X0700"/>
    <s v="jorochai"/>
  </r>
  <r>
    <x v="157"/>
    <x v="21"/>
    <s v="Admin/HR/IT"/>
    <s v="AMCARE NonOcc In"/>
    <s v="AMZN"/>
    <n v="112950792"/>
    <s v="Morales Gonzalez,Genesis"/>
    <s v="Gomez,Abinadab"/>
    <n v="0"/>
    <n v="0"/>
    <n v="0"/>
    <n v="0"/>
    <n v="1.0900000000000001"/>
    <s v="NF-X1900"/>
    <s v="genevmor"/>
  </r>
  <r>
    <x v="157"/>
    <x v="21"/>
    <s v="Admin/HR/IT"/>
    <s v="AMCARE NonOcc In"/>
    <s v="AMZN"/>
    <n v="112981061"/>
    <s v="Olguin,Claudia"/>
    <s v="Robledo Ugarte,Alejandro"/>
    <n v="0"/>
    <n v="0"/>
    <n v="0"/>
    <n v="0"/>
    <n v="0.63"/>
    <s v="DA-X0700"/>
    <s v="mclaudol"/>
  </r>
  <r>
    <x v="157"/>
    <x v="21"/>
    <s v="Admin/HR/IT"/>
    <s v="AMCARE NonOcc In"/>
    <s v="AMZN"/>
    <n v="113003635"/>
    <s v="Barron,Giovanni"/>
    <s v="Robledo Ugarte,Alejandro"/>
    <n v="0"/>
    <n v="0"/>
    <n v="0"/>
    <n v="0"/>
    <n v="0.36"/>
    <e v="#N/A"/>
    <s v="barrgiof"/>
  </r>
  <r>
    <x v="157"/>
    <x v="21"/>
    <s v="Admin/HR/IT"/>
    <s v="AMCARE NonOcc In"/>
    <s v="AMZN"/>
    <n v="113004017"/>
    <s v="Ramirez,Elizabeth"/>
    <s v="Gomez Aguado,Jorge"/>
    <n v="0"/>
    <n v="0"/>
    <n v="0"/>
    <n v="0"/>
    <n v="0.11"/>
    <e v="#N/A"/>
    <e v="#N/A"/>
  </r>
  <r>
    <x v="157"/>
    <x v="21"/>
    <s v="Admin/HR/IT"/>
    <s v="AMCARE NonOcc In"/>
    <s v="AMZN"/>
    <n v="113014042"/>
    <s v="Cervantes,Rose"/>
    <s v="Madrid Molina,Ramon"/>
    <n v="0"/>
    <n v="0"/>
    <n v="0"/>
    <n v="0"/>
    <n v="0.26"/>
    <e v="#N/A"/>
    <s v="rfcervan"/>
  </r>
  <r>
    <x v="157"/>
    <x v="21"/>
    <s v="Admin/HR/IT"/>
    <s v="AMCARE NonOcc In"/>
    <s v="AMZN"/>
    <n v="113014084"/>
    <s v="Diaz,Manuel"/>
    <s v="Gomez Aguado,Jorge"/>
    <n v="0"/>
    <n v="0"/>
    <n v="0"/>
    <n v="0"/>
    <n v="0.2"/>
    <e v="#N/A"/>
    <s v="dnmanuel"/>
  </r>
  <r>
    <x v="157"/>
    <x v="21"/>
    <s v="Admin/HR/IT"/>
    <s v="AMCARE NonOcc In"/>
    <s v="AMZN"/>
    <n v="113014094"/>
    <s v="Mercado,Erika"/>
    <s v="Robledo Ugarte,Alejandro"/>
    <n v="0"/>
    <n v="0"/>
    <n v="0"/>
    <n v="0"/>
    <n v="0.31"/>
    <e v="#N/A"/>
    <s v="erikaadm"/>
  </r>
  <r>
    <x v="157"/>
    <x v="21"/>
    <s v="Admin/HR/IT"/>
    <s v="AMCARE NonOcc In"/>
    <s v="AMZN"/>
    <n v="113020476"/>
    <s v="Puente Aguilar,Polette"/>
    <s v="Madrid Molina,Ramon"/>
    <n v="0"/>
    <n v="0"/>
    <n v="0"/>
    <n v="0"/>
    <n v="0.36"/>
    <e v="#N/A"/>
    <s v="polettpu"/>
  </r>
  <r>
    <x v="157"/>
    <x v="21"/>
    <s v="Admin/HR/IT"/>
    <s v="AMCARE NonOcc In"/>
    <s v="AMZN"/>
    <n v="113103540"/>
    <s v="Delgado,David"/>
    <s v="Gomez Aguado,Jorge"/>
    <n v="0"/>
    <n v="0"/>
    <n v="0"/>
    <n v="0"/>
    <n v="1.1599999999999999"/>
    <e v="#N/A"/>
    <s v="delgadax"/>
  </r>
  <r>
    <x v="157"/>
    <x v="21"/>
    <s v="Admin/HR/IT"/>
    <s v="AMCARE NonOcc In"/>
    <s v="AMZN"/>
    <n v="200404250"/>
    <s v="Hurtado,Caty"/>
    <s v="Romero Sanchez,Gustavo Gabriel"/>
    <n v="0"/>
    <n v="0"/>
    <n v="0"/>
    <n v="0"/>
    <n v="0.46"/>
    <e v="#N/A"/>
    <s v="xcathurt"/>
  </r>
  <r>
    <x v="157"/>
    <x v="21"/>
    <s v="Admin/HR/IT"/>
    <s v="AMCARE NonOcc In"/>
    <s v="TEMP"/>
    <n v="200625517"/>
    <s v="RamÃ­rez,Miranda"/>
    <s v="Robledo Ugarte,Alejandro"/>
    <n v="0"/>
    <n v="0"/>
    <n v="0"/>
    <n v="0"/>
    <n v="1.03"/>
    <e v="#N/A"/>
    <e v="#N/A"/>
  </r>
  <r>
    <x v="157"/>
    <x v="21"/>
    <s v="Admin/HR/IT"/>
    <s v="AMCARE NonOcc In"/>
    <s v="TEMP"/>
    <n v="201166890"/>
    <s v="Caballero,Daniel"/>
    <s v="Romero Sanchez,Gustavo Gabriel"/>
    <n v="0"/>
    <n v="0"/>
    <n v="0"/>
    <n v="0"/>
    <n v="0.1"/>
    <e v="#N/A"/>
    <s v="lcabadan"/>
  </r>
  <r>
    <x v="157"/>
    <x v="21"/>
    <s v="Admin/HR/IT"/>
    <s v="AMCARE NonOcc In"/>
    <s v="TEMP"/>
    <n v="201167501"/>
    <s v="Rodriguez,Ruben"/>
    <s v="Robledo Ugarte,Alejandro"/>
    <n v="0"/>
    <n v="0"/>
    <n v="0"/>
    <n v="0"/>
    <n v="0.54"/>
    <e v="#N/A"/>
    <s v="wguanajr"/>
  </r>
  <r>
    <x v="157"/>
    <x v="21"/>
    <s v="Admin/HR/IT"/>
    <s v="AMCARE NonOcc In"/>
    <s v="TEMP"/>
    <n v="201167517"/>
    <s v="Espinoza Lopez,Magdal"/>
    <s v="Robledo Ugarte,Alejandro"/>
    <n v="0"/>
    <n v="0"/>
    <n v="0"/>
    <n v="0"/>
    <n v="0.15"/>
    <e v="#N/A"/>
    <e v="#N/A"/>
  </r>
  <r>
    <x v="157"/>
    <x v="21"/>
    <s v="Admin/HR/IT"/>
    <s v="AMCARE NonOcc In"/>
    <s v="TEMP"/>
    <n v="201186777"/>
    <s v="Monzon,Berenice"/>
    <s v="Romero Sanchez,Gustavo Gabriel"/>
    <n v="0"/>
    <n v="0"/>
    <n v="0"/>
    <n v="0"/>
    <n v="0.49"/>
    <e v="#N/A"/>
    <s v="bemonzon"/>
  </r>
  <r>
    <x v="157"/>
    <x v="21"/>
    <s v="Admin/HR/IT"/>
    <s v="AMCARE NonOcc In"/>
    <s v="TEMP"/>
    <n v="201300426"/>
    <s v="Lira,Adrian"/>
    <s v="Madrid Molina,Ramon"/>
    <n v="0"/>
    <n v="0"/>
    <n v="0"/>
    <n v="0"/>
    <n v="0.17"/>
    <e v="#N/A"/>
    <s v="adriauli"/>
  </r>
  <r>
    <x v="157"/>
    <x v="21"/>
    <s v="Admin/HR/IT"/>
    <s v="AMCARE NonOcc In"/>
    <s v="TEMP"/>
    <n v="201320388"/>
    <s v="Pena,Laura"/>
    <s v="Robledo Ugarte,Alejandro"/>
    <n v="0"/>
    <n v="0"/>
    <n v="0"/>
    <n v="0"/>
    <n v="0.14000000000000001"/>
    <e v="#N/A"/>
    <e v="#N/A"/>
  </r>
  <r>
    <x v="157"/>
    <x v="21"/>
    <s v="Admin/HR/IT"/>
    <s v="AMCARE NonOcc In"/>
    <s v="TEMP"/>
    <n v="201354965"/>
    <s v="JimÃ©nez,Aline"/>
    <s v="Lopez,Alexa"/>
    <n v="0"/>
    <n v="0"/>
    <n v="0"/>
    <n v="0"/>
    <n v="0.42"/>
    <e v="#N/A"/>
    <s v="alinejim"/>
  </r>
  <r>
    <x v="157"/>
    <x v="21"/>
    <s v="Admin/HR/IT"/>
    <s v="AMCARE NonOcc In"/>
    <s v="TEMP"/>
    <n v="201368616"/>
    <s v="Lopez,Mari"/>
    <s v="Bueno Mendoza,Susana"/>
    <n v="0"/>
    <n v="0"/>
    <n v="0"/>
    <n v="0"/>
    <n v="0.62"/>
    <e v="#N/A"/>
    <e v="#N/A"/>
  </r>
  <r>
    <x v="158"/>
    <x v="21"/>
    <s v="Admin/HR/IT"/>
    <s v="AMCARE NonOcc In"/>
    <s v="AMZN"/>
    <n v="103979960"/>
    <s v="Suchil Angel,Guillermo"/>
    <s v="Robledo Ugarte,Alejandro"/>
    <n v="0"/>
    <n v="0"/>
    <n v="0"/>
    <n v="0"/>
    <n v="0.48"/>
    <e v="#N/A"/>
    <e v="#N/A"/>
  </r>
  <r>
    <x v="158"/>
    <x v="21"/>
    <s v="Admin/HR/IT"/>
    <s v="AMCARE NonOcc In"/>
    <s v="AMZN"/>
    <n v="110249592"/>
    <s v="Mota,Jorge"/>
    <s v="Corona Arriaga,Fernando"/>
    <n v="0"/>
    <n v="0"/>
    <n v="0"/>
    <n v="0"/>
    <n v="1.37"/>
    <s v="DB-X0700"/>
    <s v="jomotaco"/>
  </r>
  <r>
    <x v="158"/>
    <x v="21"/>
    <s v="Admin/HR/IT"/>
    <s v="AMCARE NonOcc In"/>
    <s v="AMZN"/>
    <n v="112912052"/>
    <s v="Ortiz Cedeno,Omar"/>
    <s v="Cortes,Alejandra"/>
    <n v="0"/>
    <n v="0"/>
    <n v="0"/>
    <n v="0"/>
    <n v="0.22"/>
    <s v="DB-X0700"/>
    <s v="oortizce"/>
  </r>
  <r>
    <x v="158"/>
    <x v="21"/>
    <s v="Admin/HR/IT"/>
    <s v="AMCARE NonOcc In"/>
    <s v="AMZN"/>
    <n v="112912163"/>
    <s v="Murillo,Alejandro"/>
    <s v="Romero Sanchez,Gustavo Gabriel"/>
    <n v="0"/>
    <n v="0"/>
    <n v="0"/>
    <n v="0"/>
    <n v="7.0000000000000007E-2"/>
    <e v="#N/A"/>
    <e v="#N/A"/>
  </r>
  <r>
    <x v="158"/>
    <x v="21"/>
    <s v="Admin/HR/IT"/>
    <s v="AMCARE NonOcc In"/>
    <s v="AMZN"/>
    <n v="112942473"/>
    <s v="Vargas Lopez,Hilda Cecilia"/>
    <s v="Munoz,Jonan"/>
    <n v="0"/>
    <n v="0"/>
    <n v="0"/>
    <n v="0"/>
    <n v="1.99"/>
    <s v="DC-X0700"/>
    <s v="hildacec"/>
  </r>
  <r>
    <x v="158"/>
    <x v="21"/>
    <s v="Admin/HR/IT"/>
    <s v="AMCARE NonOcc In"/>
    <s v="AMZN"/>
    <n v="112951256"/>
    <s v="Ramirez Vallejo,Kateryne"/>
    <s v="Camarena,Grecia"/>
    <n v="0"/>
    <n v="0"/>
    <n v="0"/>
    <n v="0"/>
    <n v="0.25"/>
    <s v="DA-X0700"/>
    <s v="grkatery"/>
  </r>
  <r>
    <x v="158"/>
    <x v="21"/>
    <s v="Admin/HR/IT"/>
    <s v="AMCARE NonOcc In"/>
    <s v="AMZN"/>
    <n v="112972897"/>
    <s v="Trejo,Adonai"/>
    <s v="Pizana,Diego"/>
    <n v="0"/>
    <n v="0"/>
    <n v="0"/>
    <n v="0"/>
    <n v="0.75"/>
    <s v="DB-X0700"/>
    <s v="adonairk"/>
  </r>
  <r>
    <x v="158"/>
    <x v="21"/>
    <s v="Admin/HR/IT"/>
    <s v="AMCARE NonOcc In"/>
    <s v="AMZN"/>
    <n v="112981061"/>
    <s v="Olguin,Claudia"/>
    <s v="Robledo Ugarte,Alejandro"/>
    <n v="0"/>
    <n v="0"/>
    <n v="0"/>
    <n v="0"/>
    <n v="1.57"/>
    <s v="DA-X0700"/>
    <s v="mclaudol"/>
  </r>
  <r>
    <x v="158"/>
    <x v="21"/>
    <s v="Admin/HR/IT"/>
    <s v="AMCARE NonOcc In"/>
    <s v="AMZN"/>
    <n v="113003635"/>
    <s v="Barron,Giovanni"/>
    <s v="Robledo Ugarte,Alejandro"/>
    <n v="0"/>
    <n v="0"/>
    <n v="0"/>
    <n v="0"/>
    <n v="0.08"/>
    <e v="#N/A"/>
    <s v="barrgiof"/>
  </r>
  <r>
    <x v="158"/>
    <x v="21"/>
    <s v="Admin/HR/IT"/>
    <s v="AMCARE NonOcc In"/>
    <s v="AMZN"/>
    <n v="113003674"/>
    <s v="Gasca Vazquez,Carlos"/>
    <s v="Corona Arriaga,Fernando"/>
    <n v="0"/>
    <n v="0"/>
    <n v="0"/>
    <n v="0"/>
    <n v="0.75"/>
    <e v="#N/A"/>
    <s v="jcarlgas"/>
  </r>
  <r>
    <x v="158"/>
    <x v="21"/>
    <s v="Admin/HR/IT"/>
    <s v="AMCARE NonOcc In"/>
    <s v="AMZN"/>
    <n v="113014403"/>
    <s v="Arias Sanchez,Nora"/>
    <s v="Romero Sanchez,Gustavo Gabriel"/>
    <n v="0"/>
    <n v="0"/>
    <n v="0"/>
    <n v="0"/>
    <n v="0.3"/>
    <e v="#N/A"/>
    <s v="wnoraria"/>
  </r>
  <r>
    <x v="158"/>
    <x v="21"/>
    <s v="Admin/HR/IT"/>
    <s v="AMCARE NonOcc In"/>
    <s v="AMZN"/>
    <n v="113044620"/>
    <s v="Jasso Miranda,Aldo"/>
    <s v="Robledo Ugarte,Alejandro"/>
    <n v="0"/>
    <n v="0"/>
    <n v="0"/>
    <n v="0"/>
    <n v="0.13"/>
    <e v="#N/A"/>
    <s v="aldojasw"/>
  </r>
  <r>
    <x v="158"/>
    <x v="21"/>
    <s v="Admin/HR/IT"/>
    <s v="AMCARE NonOcc In"/>
    <s v="TEMP"/>
    <n v="200509428"/>
    <s v="Guevara Ramirez,Zayra Lorena"/>
    <s v="Robledo Ugarte,Alejandro"/>
    <n v="0"/>
    <n v="0"/>
    <n v="0"/>
    <n v="0"/>
    <n v="0.17"/>
    <e v="#N/A"/>
    <e v="#N/A"/>
  </r>
  <r>
    <x v="158"/>
    <x v="21"/>
    <s v="Admin/HR/IT"/>
    <s v="AMCARE NonOcc In"/>
    <s v="TEMP"/>
    <n v="200553975"/>
    <s v="Duran Villegas,Juan Diego"/>
    <s v="Corona Arriaga,Fernando"/>
    <n v="0"/>
    <n v="0"/>
    <n v="0"/>
    <n v="0"/>
    <n v="1.68"/>
    <e v="#N/A"/>
    <s v="juandidu"/>
  </r>
  <r>
    <x v="158"/>
    <x v="21"/>
    <s v="Admin/HR/IT"/>
    <s v="AMCARE NonOcc In"/>
    <s v="TEMP"/>
    <n v="200625517"/>
    <s v="RamÃ­rez,Miranda"/>
    <s v="Robledo Ugarte,Alejandro"/>
    <n v="0"/>
    <n v="0"/>
    <n v="0"/>
    <n v="0"/>
    <n v="0.27"/>
    <e v="#N/A"/>
    <e v="#N/A"/>
  </r>
  <r>
    <x v="158"/>
    <x v="21"/>
    <s v="Admin/HR/IT"/>
    <s v="AMCARE NonOcc In"/>
    <s v="TEMP"/>
    <n v="201191198"/>
    <s v="Mojica,Emmanuel"/>
    <s v="Ledezma,Fer"/>
    <n v="0"/>
    <n v="0"/>
    <n v="0"/>
    <n v="0"/>
    <n v="0.56000000000000005"/>
    <e v="#N/A"/>
    <s v="mojicemm"/>
  </r>
  <r>
    <x v="158"/>
    <x v="21"/>
    <s v="Admin/HR/IT"/>
    <s v="AMCARE NonOcc In"/>
    <s v="TEMP"/>
    <n v="201211157"/>
    <s v="Vargas,Jesse"/>
    <s v="Corona Arriaga,Fernando"/>
    <n v="0"/>
    <n v="0"/>
    <n v="0"/>
    <n v="0"/>
    <n v="0.32"/>
    <e v="#N/A"/>
    <s v="vargajed"/>
  </r>
  <r>
    <x v="158"/>
    <x v="21"/>
    <s v="Admin/HR/IT"/>
    <s v="AMCARE NonOcc In"/>
    <s v="TEMP"/>
    <n v="201212196"/>
    <s v="Juarez,Angel"/>
    <s v="Ledezma,Fer"/>
    <n v="0"/>
    <n v="0"/>
    <n v="0"/>
    <n v="0"/>
    <n v="0.12"/>
    <e v="#N/A"/>
    <e v="#N/A"/>
  </r>
  <r>
    <x v="158"/>
    <x v="21"/>
    <s v="Admin/HR/IT"/>
    <s v="AMCARE NonOcc In"/>
    <s v="TEMP"/>
    <n v="201329529"/>
    <s v="Padilla,Pablo"/>
    <s v="Lopez,Alexa"/>
    <n v="0"/>
    <n v="0"/>
    <n v="0"/>
    <n v="0"/>
    <n v="0.82"/>
    <e v="#N/A"/>
    <e v="#N/A"/>
  </r>
  <r>
    <x v="158"/>
    <x v="21"/>
    <s v="Admin/HR/IT"/>
    <s v="AMCARE NonOcc In"/>
    <s v="TEMP"/>
    <n v="201403532"/>
    <s v="Rocha,Horacio"/>
    <s v="Madrid Molina,Ramon"/>
    <n v="0"/>
    <n v="0"/>
    <n v="0"/>
    <n v="0"/>
    <n v="0.13"/>
    <e v="#N/A"/>
    <s v="zhoracro"/>
  </r>
  <r>
    <x v="159"/>
    <x v="21"/>
    <s v="Admin/HR/IT"/>
    <s v="AMCARE NonOcc In"/>
    <s v="AMZN"/>
    <n v="112971980"/>
    <s v="Romero,Daniel"/>
    <s v="Pizana,Diego"/>
    <n v="0"/>
    <n v="0"/>
    <n v="0"/>
    <n v="0"/>
    <n v="0.3"/>
    <s v="DC-X0700"/>
    <s v="cdanirom"/>
  </r>
  <r>
    <x v="159"/>
    <x v="21"/>
    <s v="Admin/HR/IT"/>
    <s v="AMCARE NonOcc In"/>
    <s v="AMZN"/>
    <n v="112972524"/>
    <s v="Santibanez Garcia,Luisa"/>
    <s v="Rosas Negrete,Sebastian"/>
    <n v="0"/>
    <n v="0"/>
    <n v="0"/>
    <n v="0"/>
    <n v="0.28999999999999998"/>
    <s v="DB-X0700"/>
    <s v="csantibl"/>
  </r>
  <r>
    <x v="159"/>
    <x v="21"/>
    <s v="Admin/HR/IT"/>
    <s v="AMCARE NonOcc In"/>
    <s v="AMZN"/>
    <n v="200404250"/>
    <s v="Hurtado,Caty"/>
    <s v="Romero Sanchez,Gustavo Gabriel"/>
    <n v="0"/>
    <n v="0"/>
    <n v="0"/>
    <n v="0"/>
    <n v="0.68"/>
    <e v="#N/A"/>
    <s v="xcathurt"/>
  </r>
  <r>
    <x v="159"/>
    <x v="21"/>
    <s v="Admin/HR/IT"/>
    <s v="AMCARE NonOcc In"/>
    <s v="TEMP"/>
    <n v="200534675"/>
    <s v="Munoz Macias,Juan Pablo"/>
    <s v="Ledezma,Fer"/>
    <n v="0"/>
    <n v="0"/>
    <n v="0"/>
    <n v="0"/>
    <n v="0.2"/>
    <e v="#N/A"/>
    <s v="juanpmun"/>
  </r>
  <r>
    <x v="159"/>
    <x v="21"/>
    <s v="Admin/HR/IT"/>
    <s v="AMCARE NonOcc In"/>
    <s v="TEMP"/>
    <n v="200625517"/>
    <s v="RamÃ­rez,Miranda"/>
    <s v="Robledo Ugarte,Alejandro"/>
    <n v="0"/>
    <n v="0"/>
    <n v="0"/>
    <n v="0"/>
    <n v="0.18"/>
    <e v="#N/A"/>
    <e v="#N/A"/>
  </r>
  <r>
    <x v="159"/>
    <x v="21"/>
    <s v="Admin/HR/IT"/>
    <s v="AMCARE NonOcc In"/>
    <s v="TEMP"/>
    <n v="201167517"/>
    <s v="Espinoza Lopez,Magdal"/>
    <s v="Robledo Ugarte,Alejandro"/>
    <n v="0"/>
    <n v="0"/>
    <n v="0"/>
    <n v="0"/>
    <n v="0.48"/>
    <e v="#N/A"/>
    <e v="#N/A"/>
  </r>
  <r>
    <x v="159"/>
    <x v="21"/>
    <s v="Admin/HR/IT"/>
    <s v="AMCARE NonOcc In"/>
    <s v="TEMP"/>
    <n v="201191198"/>
    <s v="Mojica,Emmanuel"/>
    <s v="Ledezma,Fer"/>
    <n v="0"/>
    <n v="0"/>
    <n v="0"/>
    <n v="0"/>
    <n v="0.46"/>
    <e v="#N/A"/>
    <s v="mojicemm"/>
  </r>
  <r>
    <x v="159"/>
    <x v="21"/>
    <s v="Admin/HR/IT"/>
    <s v="AMCARE NonOcc In"/>
    <s v="TEMP"/>
    <n v="201345774"/>
    <s v="Quijas,Jonathan"/>
    <s v="Robledo Ugarte,Alejandro"/>
    <n v="0"/>
    <n v="0"/>
    <n v="0"/>
    <n v="0"/>
    <n v="0.8"/>
    <e v="#N/A"/>
    <s v="jonquija"/>
  </r>
  <r>
    <x v="159"/>
    <x v="21"/>
    <s v="Admin/HR/IT"/>
    <s v="AMCARE NonOcc In"/>
    <s v="TEMP"/>
    <n v="201351399"/>
    <s v="Ramos Montejo,Aida del Socorro"/>
    <s v="Pizana,Diego"/>
    <n v="0"/>
    <n v="0"/>
    <n v="0"/>
    <n v="0"/>
    <n v="0.24"/>
    <e v="#N/A"/>
    <s v="aramosmo"/>
  </r>
  <r>
    <x v="159"/>
    <x v="21"/>
    <s v="Admin/HR/IT"/>
    <s v="AMCARE NonOcc In"/>
    <s v="TEMP"/>
    <n v="201402212"/>
    <s v="Padron,Karla"/>
    <s v="Lopez,Alexa"/>
    <n v="0"/>
    <n v="0"/>
    <n v="0"/>
    <n v="0"/>
    <n v="0.5"/>
    <e v="#N/A"/>
    <s v="karlpadr"/>
  </r>
  <r>
    <x v="159"/>
    <x v="21"/>
    <s v="Admin/HR/IT"/>
    <s v="AMCARE NonOcc In"/>
    <s v="TEMP"/>
    <n v="201408478"/>
    <s v="Calderon,David"/>
    <s v="Bueno Mendoza,Susana"/>
    <n v="0"/>
    <n v="0"/>
    <n v="0"/>
    <n v="0"/>
    <n v="0.72"/>
    <e v="#N/A"/>
    <s v="dacaldey"/>
  </r>
  <r>
    <x v="160"/>
    <x v="21"/>
    <s v="Admin/HR/IT"/>
    <s v="AMCARE NonOcc In"/>
    <s v="AMZN"/>
    <n v="112912675"/>
    <s v="Alejandri Villagomez,Alejandra"/>
    <s v="Corona Arriaga,Fernando"/>
    <n v="0"/>
    <n v="0"/>
    <n v="0"/>
    <n v="0"/>
    <n v="1.1100000000000001"/>
    <e v="#N/A"/>
    <e v="#N/A"/>
  </r>
  <r>
    <x v="160"/>
    <x v="21"/>
    <s v="Admin/HR/IT"/>
    <s v="AMCARE NonOcc In"/>
    <s v="AMZN"/>
    <n v="112991248"/>
    <s v="Cabrera Velazquez,Sandy"/>
    <s v="Madrid Molina,Ramon"/>
    <n v="0"/>
    <n v="0"/>
    <n v="0"/>
    <n v="0"/>
    <n v="0.44"/>
    <e v="#N/A"/>
    <e v="#N/A"/>
  </r>
  <r>
    <x v="160"/>
    <x v="21"/>
    <s v="Admin/HR/IT"/>
    <s v="AMCARE NonOcc In"/>
    <s v="AMZN"/>
    <n v="113020667"/>
    <s v="Martinez Becerra,Paulina"/>
    <s v="Gomez Aguado,Jorge"/>
    <n v="0"/>
    <n v="0"/>
    <n v="0"/>
    <n v="0"/>
    <n v="0.15"/>
    <e v="#N/A"/>
    <s v="mavpauli"/>
  </r>
  <r>
    <x v="160"/>
    <x v="21"/>
    <s v="Admin/HR/IT"/>
    <s v="AMCARE NonOcc In"/>
    <s v="TEMP"/>
    <n v="201167501"/>
    <s v="Rodriguez,Ruben"/>
    <s v="Robledo Ugarte,Alejandro"/>
    <n v="0"/>
    <n v="0"/>
    <n v="0"/>
    <n v="0"/>
    <n v="0.2"/>
    <e v="#N/A"/>
    <s v="wguanajr"/>
  </r>
  <r>
    <x v="160"/>
    <x v="21"/>
    <s v="Admin/HR/IT"/>
    <s v="AMCARE NonOcc In"/>
    <s v="TEMP"/>
    <n v="201198979"/>
    <s v="Mendoza,Omar"/>
    <s v="Piedra,Valentina"/>
    <n v="0"/>
    <n v="0"/>
    <n v="0"/>
    <n v="0"/>
    <n v="0.22"/>
    <e v="#N/A"/>
    <e v="#N/A"/>
  </r>
  <r>
    <x v="160"/>
    <x v="21"/>
    <s v="Admin/HR/IT"/>
    <s v="AMCARE NonOcc In"/>
    <s v="TEMP"/>
    <n v="201211582"/>
    <s v="Rodriguez,Dani"/>
    <s v="Ledezma,Fer"/>
    <n v="0"/>
    <n v="0"/>
    <n v="0"/>
    <n v="0"/>
    <n v="0.39"/>
    <e v="#N/A"/>
    <e v="#N/A"/>
  </r>
  <r>
    <x v="160"/>
    <x v="21"/>
    <s v="Admin/HR/IT"/>
    <s v="AMCARE NonOcc In"/>
    <s v="TEMP"/>
    <n v="201318227"/>
    <s v="Rayas,Hilda"/>
    <s v="Gomez Aguado,Jorge"/>
    <n v="0"/>
    <n v="0"/>
    <n v="0"/>
    <n v="0"/>
    <n v="0.75"/>
    <e v="#N/A"/>
    <e v="#N/A"/>
  </r>
  <r>
    <x v="160"/>
    <x v="21"/>
    <s v="Admin/HR/IT"/>
    <s v="AMCARE NonOcc In"/>
    <s v="TEMP"/>
    <n v="201374875"/>
    <s v="Velez,Xochitl"/>
    <s v="Lopez,Alexa"/>
    <n v="0"/>
    <n v="0"/>
    <n v="0"/>
    <n v="0"/>
    <n v="0.53"/>
    <e v="#N/A"/>
    <e v="#N/A"/>
  </r>
  <r>
    <x v="160"/>
    <x v="21"/>
    <s v="Admin/HR/IT"/>
    <s v="AMCARE NonOcc In"/>
    <s v="TEMP"/>
    <n v="201408478"/>
    <s v="Calderon,David"/>
    <s v="Bueno Mendoza,Susana"/>
    <n v="0"/>
    <n v="0"/>
    <n v="0"/>
    <n v="0"/>
    <n v="0.23"/>
    <e v="#N/A"/>
    <s v="dacaldey"/>
  </r>
  <r>
    <x v="161"/>
    <x v="21"/>
    <s v="Admin/HR/IT"/>
    <s v="AMCARE NonOcc In"/>
    <s v="AMZN"/>
    <n v="112971961"/>
    <s v="Lopez,Jason"/>
    <s v="Camarena,Grecia"/>
    <n v="0"/>
    <n v="0"/>
    <n v="0"/>
    <n v="0"/>
    <n v="0.05"/>
    <e v="#N/A"/>
    <e v="#N/A"/>
  </r>
  <r>
    <x v="161"/>
    <x v="21"/>
    <s v="Admin/HR/IT"/>
    <s v="AMCARE NonOcc In"/>
    <s v="AMZN"/>
    <n v="113003674"/>
    <s v="Gasca Vazquez,Carlos"/>
    <s v="Corona Arriaga,Fernando"/>
    <n v="0"/>
    <n v="0"/>
    <n v="0"/>
    <n v="0"/>
    <n v="0.32"/>
    <e v="#N/A"/>
    <s v="jcarlgas"/>
  </r>
  <r>
    <x v="161"/>
    <x v="21"/>
    <s v="Admin/HR/IT"/>
    <s v="AMCARE NonOcc In"/>
    <s v="TEMP"/>
    <n v="200615883"/>
    <s v="Ibarra Amaro,Adriana"/>
    <s v="Gomez Aguado,Jorge"/>
    <n v="0"/>
    <n v="0"/>
    <n v="0"/>
    <n v="0"/>
    <n v="0.22"/>
    <e v="#N/A"/>
    <e v="#N/A"/>
  </r>
  <r>
    <x v="161"/>
    <x v="21"/>
    <s v="Admin/HR/IT"/>
    <s v="AMCARE NonOcc In"/>
    <s v="TEMP"/>
    <n v="201211582"/>
    <s v="Rodriguez,Dani"/>
    <s v="Ledezma,Fer"/>
    <n v="0"/>
    <n v="0"/>
    <n v="0"/>
    <n v="0"/>
    <n v="0.16"/>
    <e v="#N/A"/>
    <e v="#N/A"/>
  </r>
  <r>
    <x v="161"/>
    <x v="21"/>
    <s v="Admin/HR/IT"/>
    <s v="AMCARE NonOcc In"/>
    <s v="TEMP"/>
    <n v="201341822"/>
    <s v="Rocha,Claudia"/>
    <s v="Corona Arriaga,Fernando"/>
    <n v="0"/>
    <n v="0"/>
    <n v="0"/>
    <n v="0"/>
    <n v="0.16"/>
    <e v="#N/A"/>
    <e v="#N/A"/>
  </r>
  <r>
    <x v="161"/>
    <x v="21"/>
    <s v="Admin/HR/IT"/>
    <s v="AMCARE NonOcc In"/>
    <s v="TEMP"/>
    <n v="201403462"/>
    <s v="Valdovino,Jorge"/>
    <s v="Corona Arriaga,Fernando"/>
    <n v="0"/>
    <n v="0"/>
    <n v="0"/>
    <n v="0"/>
    <n v="0.22"/>
    <e v="#N/A"/>
    <s v="valdojoe"/>
  </r>
  <r>
    <x v="162"/>
    <x v="22"/>
    <s v="Admin/HR/IT"/>
    <s v="AMCARE NonOcc In"/>
    <s v="AMZN"/>
    <n v="112912163"/>
    <s v="Murillo,Alejandro"/>
    <s v="Romero Sanchez,Gustavo Gabriel"/>
    <n v="0"/>
    <n v="0"/>
    <n v="0"/>
    <n v="0"/>
    <n v="0.42"/>
    <e v="#N/A"/>
    <e v="#N/A"/>
  </r>
  <r>
    <x v="162"/>
    <x v="22"/>
    <s v="Admin/HR/IT"/>
    <s v="AMCARE NonOcc In"/>
    <s v="AMZN"/>
    <n v="112912209"/>
    <s v="Morales,Sarahi"/>
    <s v="Munoz,Jonan"/>
    <n v="0"/>
    <n v="0"/>
    <n v="0"/>
    <n v="0"/>
    <n v="0.22"/>
    <s v="NF-X1900"/>
    <s v="moralefs"/>
  </r>
  <r>
    <x v="162"/>
    <x v="22"/>
    <s v="Admin/HR/IT"/>
    <s v="AMCARE NonOcc In"/>
    <s v="AMZN"/>
    <n v="112912663"/>
    <s v="Segura,Lucero"/>
    <s v="Munoz,Jonan"/>
    <n v="0"/>
    <n v="0"/>
    <n v="0"/>
    <n v="0"/>
    <n v="0.15"/>
    <e v="#N/A"/>
    <e v="#N/A"/>
  </r>
  <r>
    <x v="162"/>
    <x v="22"/>
    <s v="Admin/HR/IT"/>
    <s v="AMCARE NonOcc In"/>
    <s v="AMZN"/>
    <n v="112950784"/>
    <s v="Rojas,Samuel"/>
    <s v="Pizana,Diego"/>
    <n v="0"/>
    <n v="0"/>
    <n v="0"/>
    <n v="0"/>
    <n v="0.67"/>
    <s v="NF-X1900"/>
    <s v="sarojast"/>
  </r>
  <r>
    <x v="162"/>
    <x v="22"/>
    <s v="Admin/HR/IT"/>
    <s v="AMCARE NonOcc In"/>
    <s v="TEMP"/>
    <n v="200574655"/>
    <s v="Mireles,Dulce"/>
    <s v="Robledo Ugarte,Alejandro"/>
    <n v="0"/>
    <n v="0"/>
    <n v="0"/>
    <n v="0"/>
    <n v="0.42"/>
    <e v="#N/A"/>
    <s v="dulceami"/>
  </r>
  <r>
    <x v="163"/>
    <x v="22"/>
    <s v="Admin/HR/IT"/>
    <s v="AMCARE NonOcc In"/>
    <s v="TEMP"/>
    <n v="112912007"/>
    <s v="Robledo Barrientos,Alondra"/>
    <s v="Gomez,Abinadab"/>
    <n v="0"/>
    <n v="0"/>
    <n v="0"/>
    <n v="0"/>
    <n v="1.17"/>
    <e v="#N/A"/>
    <e v="#N/A"/>
  </r>
  <r>
    <x v="163"/>
    <x v="22"/>
    <s v="Admin/HR/IT"/>
    <s v="AMCARE NonOcc In"/>
    <s v="AMZN"/>
    <n v="112950802"/>
    <s v="Blee,Fabian"/>
    <s v="Romero Sanchez,Gustavo Gabriel"/>
    <n v="0"/>
    <n v="0"/>
    <n v="0"/>
    <n v="0"/>
    <n v="0.09"/>
    <e v="#N/A"/>
    <e v="#N/A"/>
  </r>
  <r>
    <x v="163"/>
    <x v="22"/>
    <s v="Admin/HR/IT"/>
    <s v="AMCARE NonOcc In"/>
    <s v="AMZN"/>
    <n v="112971961"/>
    <s v="Lopez,Jason"/>
    <s v="Camarena,Grecia"/>
    <n v="0"/>
    <n v="0"/>
    <n v="0"/>
    <n v="0"/>
    <n v="0.14000000000000001"/>
    <e v="#N/A"/>
    <e v="#N/A"/>
  </r>
  <r>
    <x v="163"/>
    <x v="22"/>
    <s v="Admin/HR/IT"/>
    <s v="AMCARE NonOcc In"/>
    <s v="AMZN"/>
    <n v="113014403"/>
    <s v="Arias Sanchez,Nora"/>
    <s v="Romero Sanchez,Gustavo Gabriel"/>
    <n v="0"/>
    <n v="0"/>
    <n v="0"/>
    <n v="0"/>
    <n v="0.1"/>
    <e v="#N/A"/>
    <s v="wnoraria"/>
  </r>
  <r>
    <x v="163"/>
    <x v="22"/>
    <s v="Admin/HR/IT"/>
    <s v="AMCARE NonOcc In"/>
    <s v="AMZN"/>
    <n v="113020463"/>
    <s v="Valtierra,Alejandra"/>
    <s v="Robledo Ugarte,Alejandro"/>
    <n v="0"/>
    <n v="0"/>
    <n v="0"/>
    <n v="0"/>
    <n v="0.26"/>
    <e v="#N/A"/>
    <s v="myriamav"/>
  </r>
  <r>
    <x v="163"/>
    <x v="22"/>
    <s v="Admin/HR/IT"/>
    <s v="AMCARE NonOcc In"/>
    <s v="TEMP"/>
    <n v="201166890"/>
    <s v="Caballero,Daniel"/>
    <s v="Romero Sanchez,Gustavo Gabriel"/>
    <n v="0"/>
    <n v="0"/>
    <n v="0"/>
    <n v="0"/>
    <n v="1.01"/>
    <e v="#N/A"/>
    <s v="lcabadan"/>
  </r>
  <r>
    <x v="163"/>
    <x v="22"/>
    <s v="Admin/HR/IT"/>
    <s v="AMCARE NonOcc In"/>
    <s v="TEMP"/>
    <n v="201201993"/>
    <s v="Olmos,Lucia"/>
    <s v="Piedra,Valentina"/>
    <n v="0"/>
    <n v="0"/>
    <n v="0"/>
    <n v="0"/>
    <n v="0.2"/>
    <e v="#N/A"/>
    <e v="#N/A"/>
  </r>
  <r>
    <x v="163"/>
    <x v="22"/>
    <s v="Admin/HR/IT"/>
    <s v="AMCARE NonOcc In"/>
    <s v="TEMP"/>
    <n v="201329529"/>
    <s v="Padilla,Pablo"/>
    <s v="Lopez,Alexa"/>
    <n v="0"/>
    <n v="0"/>
    <n v="0"/>
    <n v="0"/>
    <n v="0.21"/>
    <e v="#N/A"/>
    <e v="#N/A"/>
  </r>
  <r>
    <x v="163"/>
    <x v="22"/>
    <s v="Admin/HR/IT"/>
    <s v="AMCARE NonOcc In"/>
    <s v="TEMP"/>
    <n v="201365896"/>
    <s v="Gonzalez,Esther"/>
    <s v="Bueno Mendoza,Susana"/>
    <n v="0"/>
    <n v="0"/>
    <n v="0"/>
    <n v="0"/>
    <n v="0.47"/>
    <e v="#N/A"/>
    <e v="#N/A"/>
  </r>
  <r>
    <x v="164"/>
    <x v="22"/>
    <s v="Admin/HR/IT"/>
    <s v="AMCARE NonOcc In"/>
    <s v="TEMP"/>
    <n v="112912067"/>
    <s v="Rocio,Juan"/>
    <s v="Robledo Ugarte,Alejandro"/>
    <n v="0"/>
    <n v="0"/>
    <n v="0"/>
    <n v="0"/>
    <n v="0.69"/>
    <e v="#N/A"/>
    <e v="#N/A"/>
  </r>
  <r>
    <x v="164"/>
    <x v="22"/>
    <s v="Admin/HR/IT"/>
    <s v="AMCARE NonOcc In"/>
    <s v="AMZN"/>
    <n v="112912209"/>
    <s v="Morales,Sarahi"/>
    <s v="Munoz,Jonan"/>
    <n v="0"/>
    <n v="0"/>
    <n v="0"/>
    <n v="0"/>
    <n v="0.82"/>
    <s v="NF-X1900"/>
    <s v="moralefs"/>
  </r>
  <r>
    <x v="164"/>
    <x v="22"/>
    <s v="Admin/HR/IT"/>
    <s v="AMCARE NonOcc In"/>
    <s v="AMZN"/>
    <n v="112912752"/>
    <s v="Valderrama Gomez,Leslie"/>
    <s v="Gomez,Abinadab"/>
    <n v="0"/>
    <n v="0"/>
    <n v="0"/>
    <n v="0"/>
    <n v="0.52"/>
    <s v="NF-X1900"/>
    <s v="valderle"/>
  </r>
  <r>
    <x v="164"/>
    <x v="22"/>
    <s v="Admin/HR/IT"/>
    <s v="AMCARE NonOcc In"/>
    <s v="AMZN"/>
    <n v="112981212"/>
    <s v="Zanella Miranda,Alyson"/>
    <s v="Robledo Ugarte,Alejandro"/>
    <n v="0"/>
    <n v="0"/>
    <n v="0"/>
    <n v="0"/>
    <n v="0.22"/>
    <e v="#N/A"/>
    <s v="alysonza"/>
  </r>
  <r>
    <x v="164"/>
    <x v="22"/>
    <s v="Admin/HR/IT"/>
    <s v="AMCARE NonOcc In"/>
    <s v="AMZN"/>
    <n v="113014042"/>
    <s v="Cervantes,Rose"/>
    <s v="Madrid Molina,Ramon"/>
    <n v="0"/>
    <n v="0"/>
    <n v="0"/>
    <n v="0"/>
    <n v="0.54"/>
    <e v="#N/A"/>
    <s v="rfcervan"/>
  </r>
  <r>
    <x v="164"/>
    <x v="22"/>
    <s v="Admin/HR/IT"/>
    <s v="AMCARE NonOcc In"/>
    <s v="AMZN"/>
    <n v="200404250"/>
    <s v="Hurtado,Caty"/>
    <s v="Romero Sanchez,Gustavo Gabriel"/>
    <n v="0"/>
    <n v="0"/>
    <n v="0"/>
    <n v="0"/>
    <n v="0.03"/>
    <e v="#N/A"/>
    <s v="xcathurt"/>
  </r>
  <r>
    <x v="164"/>
    <x v="22"/>
    <s v="Admin/HR/IT"/>
    <s v="AMCARE NonOcc In"/>
    <s v="TEMP"/>
    <n v="201165769"/>
    <s v="Puente,Karen"/>
    <s v="Piedra,Valentina"/>
    <n v="0"/>
    <n v="0"/>
    <n v="0"/>
    <n v="0"/>
    <n v="0.18"/>
    <e v="#N/A"/>
    <s v="puenkare"/>
  </r>
  <r>
    <x v="165"/>
    <x v="22"/>
    <s v="Admin/HR/IT"/>
    <s v="AMCARE NonOcc In"/>
    <s v="TEMP"/>
    <n v="112912067"/>
    <s v="Rocio,Juan"/>
    <s v="Robledo Ugarte,Alejandro"/>
    <n v="0"/>
    <n v="0"/>
    <n v="0"/>
    <n v="0"/>
    <n v="0.68"/>
    <e v="#N/A"/>
    <e v="#N/A"/>
  </r>
  <r>
    <x v="165"/>
    <x v="22"/>
    <s v="Admin/HR/IT"/>
    <s v="AMCARE NonOcc In"/>
    <s v="AMZN"/>
    <n v="112912661"/>
    <s v="Morales Gonzalez,Francisco"/>
    <s v="Hernandez,Nataly"/>
    <n v="0"/>
    <n v="0"/>
    <n v="0"/>
    <n v="0"/>
    <n v="0.75"/>
    <s v="DA-X0700"/>
    <s v="franmorb"/>
  </r>
  <r>
    <x v="165"/>
    <x v="22"/>
    <s v="Admin/HR/IT"/>
    <s v="AMCARE NonOcc In"/>
    <s v="AMZN"/>
    <n v="112912752"/>
    <s v="Valderrama Gomez,Leslie"/>
    <s v="Gomez,Abinadab"/>
    <n v="0"/>
    <n v="0"/>
    <n v="0"/>
    <n v="0"/>
    <n v="0.63"/>
    <s v="NF-X1900"/>
    <s v="valderle"/>
  </r>
  <r>
    <x v="165"/>
    <x v="22"/>
    <s v="Admin/HR/IT"/>
    <s v="AMCARE NonOcc In"/>
    <s v="AMZN"/>
    <n v="112920654"/>
    <s v="Horta,Julieta"/>
    <s v="Hernandez,Nataly"/>
    <n v="0"/>
    <n v="0"/>
    <n v="0"/>
    <n v="0"/>
    <n v="0.14000000000000001"/>
    <s v="DB-X0700"/>
    <s v="qhojulie"/>
  </r>
  <r>
    <x v="165"/>
    <x v="22"/>
    <s v="Admin/HR/IT"/>
    <s v="AMCARE NonOcc In"/>
    <s v="AMZN"/>
    <n v="112920655"/>
    <s v="Diaz de LeÃ³n,Paola"/>
    <s v="Pizana,Diego"/>
    <n v="0"/>
    <n v="0"/>
    <n v="0"/>
    <n v="0"/>
    <n v="0.18"/>
    <e v="#N/A"/>
    <e v="#N/A"/>
  </r>
  <r>
    <x v="165"/>
    <x v="22"/>
    <s v="Admin/HR/IT"/>
    <s v="AMCARE NonOcc In"/>
    <s v="AMZN"/>
    <n v="112980899"/>
    <s v="Avila Cabrera,Ari"/>
    <s v="Piedra,Valentina"/>
    <n v="0"/>
    <n v="0"/>
    <n v="0"/>
    <n v="0"/>
    <n v="0.36"/>
    <s v="NF-X1900"/>
    <s v="aravilac"/>
  </r>
  <r>
    <x v="165"/>
    <x v="22"/>
    <s v="Admin/HR/IT"/>
    <s v="AMCARE NonOcc In"/>
    <s v="TEMP"/>
    <n v="200508315"/>
    <s v="Herrera,Aldair"/>
    <s v="Madrid Molina,Ramon"/>
    <n v="0"/>
    <n v="0"/>
    <n v="0"/>
    <n v="0"/>
    <n v="2.79"/>
    <e v="#N/A"/>
    <s v="taldaher"/>
  </r>
  <r>
    <x v="165"/>
    <x v="22"/>
    <s v="Admin/HR/IT"/>
    <s v="AMCARE NonOcc In"/>
    <s v="TEMP"/>
    <n v="200552734"/>
    <s v="Santiago Ramirez,Six"/>
    <s v="Madrid Molina,Ramon"/>
    <n v="0"/>
    <n v="0"/>
    <n v="0"/>
    <n v="0"/>
    <n v="1.59"/>
    <e v="#N/A"/>
    <e v="#N/A"/>
  </r>
  <r>
    <x v="165"/>
    <x v="22"/>
    <s v="Admin/HR/IT"/>
    <s v="AMCARE NonOcc In"/>
    <s v="TEMP"/>
    <n v="201390700"/>
    <s v="Rea,Carmen"/>
    <s v="Robledo Ugarte,Alejandro"/>
    <n v="0"/>
    <n v="0"/>
    <n v="0"/>
    <n v="0"/>
    <n v="1.28"/>
    <e v="#N/A"/>
    <e v="#N/A"/>
  </r>
  <r>
    <x v="166"/>
    <x v="22"/>
    <s v="Admin/HR/IT"/>
    <s v="AMCARE NonOcc In"/>
    <s v="AMZN"/>
    <n v="112920654"/>
    <s v="Horta,Julieta"/>
    <s v="Hernandez,Nataly"/>
    <n v="0"/>
    <n v="0"/>
    <n v="0"/>
    <n v="0"/>
    <n v="0.46"/>
    <s v="DB-X0700"/>
    <s v="qhojulie"/>
  </r>
  <r>
    <x v="166"/>
    <x v="22"/>
    <s v="Admin/HR/IT"/>
    <s v="AMCARE NonOcc In"/>
    <s v="AMZN"/>
    <n v="112972897"/>
    <s v="Trejo,Adonai"/>
    <s v="Pizana,Diego"/>
    <n v="0"/>
    <n v="0"/>
    <n v="0"/>
    <n v="0"/>
    <n v="0.45"/>
    <s v="DB-X0700"/>
    <s v="adonairk"/>
  </r>
  <r>
    <x v="166"/>
    <x v="22"/>
    <s v="Admin/HR/IT"/>
    <s v="AMCARE NonOcc In"/>
    <s v="AMZN"/>
    <n v="112980878"/>
    <s v="Romero Escobar,Gerardo"/>
    <s v="Romero Sanchez,Gustavo Gabriel"/>
    <n v="0"/>
    <n v="0"/>
    <n v="0"/>
    <n v="0"/>
    <n v="0.18"/>
    <e v="#N/A"/>
    <e v="#N/A"/>
  </r>
  <r>
    <x v="166"/>
    <x v="22"/>
    <s v="Admin/HR/IT"/>
    <s v="AMCARE NonOcc In"/>
    <s v="AMZN"/>
    <n v="113020476"/>
    <s v="Puente Aguilar,Polette"/>
    <s v="Madrid Molina,Ramon"/>
    <n v="0"/>
    <n v="0"/>
    <n v="0"/>
    <n v="0"/>
    <n v="0.17"/>
    <e v="#N/A"/>
    <s v="polettpu"/>
  </r>
  <r>
    <x v="166"/>
    <x v="22"/>
    <s v="Admin/HR/IT"/>
    <s v="AMCARE NonOcc In"/>
    <s v="AMZN"/>
    <n v="113101453"/>
    <s v="Isaac,Geovanna"/>
    <s v="Robledo Ugarte,Alejandro"/>
    <n v="0"/>
    <n v="0"/>
    <n v="0"/>
    <n v="0"/>
    <n v="0.82"/>
    <e v="#N/A"/>
    <s v="qisgeova"/>
  </r>
  <r>
    <x v="166"/>
    <x v="22"/>
    <s v="Admin/HR/IT"/>
    <s v="AMCARE NonOcc In"/>
    <s v="TEMP"/>
    <n v="201167501"/>
    <s v="Rodriguez,Ruben"/>
    <s v="Robledo Ugarte,Alejandro"/>
    <n v="0"/>
    <n v="0"/>
    <n v="0"/>
    <n v="0"/>
    <n v="0.71"/>
    <e v="#N/A"/>
    <s v="wguanajr"/>
  </r>
  <r>
    <x v="166"/>
    <x v="22"/>
    <s v="Admin/HR/IT"/>
    <s v="AMCARE NonOcc In"/>
    <s v="TEMP"/>
    <n v="201228411"/>
    <s v="Hernandez Soriano,Jazmin"/>
    <s v="Corona Arriaga,Fernando"/>
    <n v="0"/>
    <n v="0"/>
    <n v="0"/>
    <n v="0"/>
    <n v="0.14000000000000001"/>
    <e v="#N/A"/>
    <s v="jazmiwhe"/>
  </r>
  <r>
    <x v="166"/>
    <x v="22"/>
    <s v="Admin/HR/IT"/>
    <s v="AMCARE NonOcc In"/>
    <s v="TEMP"/>
    <n v="201315151"/>
    <s v="Quiroz,Fernanda"/>
    <s v="Gomez Aguado,Jorge"/>
    <n v="0"/>
    <n v="0"/>
    <n v="0"/>
    <n v="0"/>
    <n v="0.46"/>
    <e v="#N/A"/>
    <e v="#N/A"/>
  </r>
  <r>
    <x v="166"/>
    <x v="22"/>
    <s v="Admin/HR/IT"/>
    <s v="AMCARE NonOcc In"/>
    <s v="TEMP"/>
    <n v="201341822"/>
    <s v="Rocha,Claudia"/>
    <s v="Corona Arriaga,Fernando"/>
    <n v="0"/>
    <n v="0"/>
    <n v="0"/>
    <n v="0"/>
    <n v="0.55000000000000004"/>
    <e v="#N/A"/>
    <e v="#N/A"/>
  </r>
  <r>
    <x v="166"/>
    <x v="22"/>
    <s v="Admin/HR/IT"/>
    <s v="AMCARE NonOcc In"/>
    <s v="TEMP"/>
    <n v="201377831"/>
    <s v="Martinez,Fernando"/>
    <s v="Madrid Molina,Ramon"/>
    <n v="0"/>
    <n v="0"/>
    <n v="0"/>
    <n v="0"/>
    <n v="0.18"/>
    <e v="#N/A"/>
    <e v="#N/A"/>
  </r>
  <r>
    <x v="167"/>
    <x v="22"/>
    <s v="Admin/HR/IT"/>
    <s v="AMCARE NonOcc In"/>
    <s v="AMZN"/>
    <n v="112920655"/>
    <s v="Diaz de LeÃ³n,Paola"/>
    <s v="Pizana,Diego"/>
    <n v="0"/>
    <n v="0"/>
    <n v="0"/>
    <n v="0"/>
    <n v="0.53"/>
    <e v="#N/A"/>
    <e v="#N/A"/>
  </r>
  <r>
    <x v="167"/>
    <x v="22"/>
    <s v="Admin/HR/IT"/>
    <s v="AMCARE NonOcc In"/>
    <s v="AMZN"/>
    <n v="113020476"/>
    <s v="Puente Aguilar,Polette"/>
    <s v="Madrid Molina,Ramon"/>
    <n v="0"/>
    <n v="0"/>
    <n v="0"/>
    <n v="0"/>
    <n v="0.14000000000000001"/>
    <e v="#N/A"/>
    <s v="polettpu"/>
  </r>
  <r>
    <x v="167"/>
    <x v="22"/>
    <s v="Admin/HR/IT"/>
    <s v="AMCARE NonOcc In"/>
    <s v="TEMP"/>
    <n v="200625528"/>
    <s v="Oliva,Lizbeth"/>
    <s v="Piedra,Valentina"/>
    <n v="0"/>
    <n v="0"/>
    <n v="0"/>
    <n v="0"/>
    <n v="0.09"/>
    <e v="#N/A"/>
    <s v="olivlizb"/>
  </r>
  <r>
    <x v="167"/>
    <x v="22"/>
    <s v="Admin/HR/IT"/>
    <s v="AMCARE NonOcc In"/>
    <s v="TEMP"/>
    <n v="201198979"/>
    <s v="Mendoza,Omar"/>
    <s v="Piedra,Valentina"/>
    <n v="0"/>
    <n v="0"/>
    <n v="0"/>
    <n v="0"/>
    <n v="0.91"/>
    <e v="#N/A"/>
    <e v="#N/A"/>
  </r>
  <r>
    <x v="168"/>
    <x v="22"/>
    <s v="Admin/HR/IT"/>
    <s v="AMCARE NonOcc In"/>
    <s v="AMZN"/>
    <n v="112916534"/>
    <s v="Esparza Sanchez,Areli"/>
    <s v="Corona Arriaga,Fernando"/>
    <n v="0"/>
    <n v="0"/>
    <n v="0"/>
    <n v="0"/>
    <n v="0.93"/>
    <s v="DB-X0700"/>
    <s v="earelili"/>
  </r>
  <r>
    <x v="168"/>
    <x v="22"/>
    <s v="Admin/HR/IT"/>
    <s v="AMCARE NonOcc In"/>
    <s v="AMZN"/>
    <n v="112971962"/>
    <s v="Reyes  Montes de oca,Alejandra"/>
    <s v="Ledezma,Fer"/>
    <n v="0"/>
    <n v="0"/>
    <n v="0"/>
    <n v="0"/>
    <n v="0.14000000000000001"/>
    <s v="DB-X0700"/>
    <s v="creyesal"/>
  </r>
  <r>
    <x v="168"/>
    <x v="22"/>
    <s v="Admin/HR/IT"/>
    <s v="AMCARE NonOcc In"/>
    <s v="AMZN"/>
    <n v="112971965"/>
    <s v="Hernandez,Andrea"/>
    <s v="Madrid Molina,Ramon"/>
    <n v="0"/>
    <n v="0"/>
    <n v="0"/>
    <n v="0"/>
    <n v="1.05"/>
    <e v="#N/A"/>
    <e v="#N/A"/>
  </r>
  <r>
    <x v="168"/>
    <x v="22"/>
    <s v="Admin/HR/IT"/>
    <s v="AMCARE NonOcc In"/>
    <s v="TEMP"/>
    <n v="200552734"/>
    <s v="Santiago Ramirez,Six"/>
    <s v="Madrid Molina,Ramon"/>
    <n v="0"/>
    <n v="0"/>
    <n v="0"/>
    <n v="0"/>
    <n v="0.83"/>
    <e v="#N/A"/>
    <e v="#N/A"/>
  </r>
  <r>
    <x v="168"/>
    <x v="22"/>
    <s v="Admin/HR/IT"/>
    <s v="AMCARE NonOcc In"/>
    <s v="TEMP"/>
    <n v="200585084"/>
    <s v="Villafranca,Tessa"/>
    <s v="Ledezma,Fer"/>
    <n v="0"/>
    <n v="0"/>
    <n v="0"/>
    <n v="0"/>
    <n v="0.66"/>
    <e v="#N/A"/>
    <s v="tessajvi"/>
  </r>
  <r>
    <x v="168"/>
    <x v="22"/>
    <s v="Admin/HR/IT"/>
    <s v="AMCARE NonOcc In"/>
    <s v="TEMP"/>
    <n v="201185653"/>
    <s v="Lopez,Mine"/>
    <s v="Corona Arriaga,Fernando"/>
    <n v="0"/>
    <n v="0"/>
    <n v="0"/>
    <n v="0"/>
    <n v="0.23"/>
    <e v="#N/A"/>
    <s v="luisamin"/>
  </r>
  <r>
    <x v="168"/>
    <x v="22"/>
    <s v="Admin/HR/IT"/>
    <s v="AMCARE NonOcc In"/>
    <s v="TEMP"/>
    <n v="201300426"/>
    <s v="Lira,Adrian"/>
    <s v="Madrid Molina,Ramon"/>
    <n v="0"/>
    <n v="0"/>
    <n v="0"/>
    <n v="0"/>
    <n v="0.21"/>
    <e v="#N/A"/>
    <s v="adriauli"/>
  </r>
  <r>
    <x v="168"/>
    <x v="22"/>
    <s v="Admin/HR/IT"/>
    <s v="AMCARE NonOcc In"/>
    <s v="TEMP"/>
    <n v="201354965"/>
    <s v="JimÃ©nez,Aline"/>
    <s v="Lopez,Alexa"/>
    <n v="0"/>
    <n v="0"/>
    <n v="0"/>
    <n v="0"/>
    <n v="0.49"/>
    <e v="#N/A"/>
    <s v="alinejim"/>
  </r>
  <r>
    <x v="169"/>
    <x v="23"/>
    <s v="Admin/HR/IT"/>
    <s v="AMCARE NonOcc In"/>
    <s v="AMZN"/>
    <n v="112912008"/>
    <s v="Espinosa,Consuelo"/>
    <s v="Hernandez,Nataly"/>
    <n v="0"/>
    <n v="0"/>
    <n v="0"/>
    <n v="0"/>
    <n v="0.85"/>
    <e v="#N/A"/>
    <e v="#N/A"/>
  </r>
  <r>
    <x v="169"/>
    <x v="23"/>
    <s v="Admin/HR/IT"/>
    <s v="AMCARE NonOcc In"/>
    <s v="AMZN"/>
    <n v="112912752"/>
    <s v="Valderrama Gomez,Leslie"/>
    <s v="Gomez,Abinadab"/>
    <n v="0"/>
    <n v="0"/>
    <n v="0"/>
    <n v="0"/>
    <n v="0.3"/>
    <s v="NF-X1900"/>
    <s v="valderle"/>
  </r>
  <r>
    <x v="169"/>
    <x v="23"/>
    <s v="Admin/HR/IT"/>
    <s v="AMCARE NonOcc In"/>
    <s v="AMZN"/>
    <n v="112980844"/>
    <s v="Padilla,Samantha"/>
    <s v="Gomez,Abinadab"/>
    <n v="0"/>
    <n v="0"/>
    <n v="0"/>
    <n v="0"/>
    <n v="0.66"/>
    <s v="DA-X0700"/>
    <s v="samajpad"/>
  </r>
  <r>
    <x v="169"/>
    <x v="23"/>
    <s v="Admin/HR/IT"/>
    <s v="AMCARE NonOcc In"/>
    <s v="AMZN"/>
    <n v="112980899"/>
    <s v="Avila Cabrera,Ari"/>
    <s v="Piedra,Valentina"/>
    <n v="0"/>
    <n v="0"/>
    <n v="0"/>
    <n v="0"/>
    <n v="0.37"/>
    <s v="NF-X1900"/>
    <s v="aravilac"/>
  </r>
  <r>
    <x v="169"/>
    <x v="23"/>
    <s v="Admin/HR/IT"/>
    <s v="AMCARE NonOcc In"/>
    <s v="AMZN"/>
    <n v="113014403"/>
    <s v="Arias Sanchez,Nora"/>
    <s v="Romero Sanchez,Gustavo Gabriel"/>
    <n v="0"/>
    <n v="0"/>
    <n v="0"/>
    <n v="0"/>
    <n v="0.32"/>
    <e v="#N/A"/>
    <s v="wnoraria"/>
  </r>
  <r>
    <x v="169"/>
    <x v="23"/>
    <s v="Admin/HR/IT"/>
    <s v="AMCARE NonOcc In"/>
    <s v="AMZN"/>
    <n v="113020667"/>
    <s v="Martinez Becerra,Paulina"/>
    <s v="Gomez Aguado,Jorge"/>
    <n v="0"/>
    <n v="0"/>
    <n v="0"/>
    <n v="0"/>
    <n v="0.26"/>
    <e v="#N/A"/>
    <s v="mavpauli"/>
  </r>
  <r>
    <x v="169"/>
    <x v="23"/>
    <s v="Admin/HR/IT"/>
    <s v="AMCARE NonOcc In"/>
    <s v="AMZN"/>
    <n v="113101453"/>
    <s v="Isaac,Geovanna"/>
    <s v="Robledo Ugarte,Alejandro"/>
    <n v="0"/>
    <n v="0"/>
    <n v="0"/>
    <n v="0"/>
    <n v="0.54"/>
    <e v="#N/A"/>
    <s v="qisgeova"/>
  </r>
  <r>
    <x v="169"/>
    <x v="23"/>
    <s v="Admin/HR/IT"/>
    <s v="AMCARE NonOcc In"/>
    <s v="AMZN"/>
    <n v="200404250"/>
    <s v="Hurtado,Caty"/>
    <s v="Romero Sanchez,Gustavo Gabriel"/>
    <n v="0"/>
    <n v="0"/>
    <n v="0"/>
    <n v="0"/>
    <n v="1.29"/>
    <e v="#N/A"/>
    <s v="xcathurt"/>
  </r>
  <r>
    <x v="169"/>
    <x v="23"/>
    <s v="Admin/HR/IT"/>
    <s v="AMCARE NonOcc In"/>
    <s v="TEMP"/>
    <n v="200535448"/>
    <s v="Guerrero Hernandez,Silvia"/>
    <s v="Piedra,Valentina"/>
    <n v="0"/>
    <n v="0"/>
    <n v="0"/>
    <n v="0"/>
    <n v="0.28000000000000003"/>
    <e v="#N/A"/>
    <e v="#N/A"/>
  </r>
  <r>
    <x v="169"/>
    <x v="23"/>
    <s v="Admin/HR/IT"/>
    <s v="AMCARE NonOcc In"/>
    <s v="TEMP"/>
    <n v="200552457"/>
    <s v="Hernandez Velazquez,Yolis"/>
    <s v="Gomez,Abinadab"/>
    <n v="0"/>
    <n v="0"/>
    <n v="0"/>
    <n v="0"/>
    <n v="0.37"/>
    <e v="#N/A"/>
    <s v="heryyola"/>
  </r>
  <r>
    <x v="169"/>
    <x v="23"/>
    <s v="Admin/HR/IT"/>
    <s v="AMCARE NonOcc In"/>
    <s v="TEMP"/>
    <n v="200553205"/>
    <s v="Cabrera,Nancy"/>
    <s v="Romero Sanchez,Gustavo Gabriel"/>
    <n v="0"/>
    <n v="0"/>
    <n v="0"/>
    <n v="0"/>
    <n v="0.15"/>
    <e v="#N/A"/>
    <e v="#N/A"/>
  </r>
  <r>
    <x v="169"/>
    <x v="23"/>
    <s v="Admin/HR/IT"/>
    <s v="AMCARE NonOcc In"/>
    <s v="TEMP"/>
    <n v="200625528"/>
    <s v="Oliva,Lizbeth"/>
    <s v="Piedra,Valentina"/>
    <n v="0"/>
    <n v="0"/>
    <n v="0"/>
    <n v="0"/>
    <n v="0.25"/>
    <e v="#N/A"/>
    <s v="olivlizb"/>
  </r>
  <r>
    <x v="169"/>
    <x v="23"/>
    <s v="Admin/HR/IT"/>
    <s v="AMCARE NonOcc In"/>
    <s v="TEMP"/>
    <n v="201353166"/>
    <s v="Martinez,Lucia"/>
    <s v="Ledezma,Fer"/>
    <n v="0"/>
    <n v="0"/>
    <n v="0"/>
    <n v="0"/>
    <n v="0.85"/>
    <e v="#N/A"/>
    <s v="mamlucia"/>
  </r>
  <r>
    <x v="169"/>
    <x v="23"/>
    <s v="Admin/HR/IT"/>
    <s v="AMCARE NonOcc In"/>
    <s v="TEMP"/>
    <n v="201354944"/>
    <s v="Hernandez,Hugo"/>
    <s v="Munoz,Jonan"/>
    <n v="0"/>
    <n v="0"/>
    <n v="0"/>
    <n v="0"/>
    <n v="0.18"/>
    <e v="#N/A"/>
    <s v="hernghug"/>
  </r>
  <r>
    <x v="170"/>
    <x v="23"/>
    <s v="Admin/HR/IT"/>
    <s v="AMCARE NonOcc In"/>
    <s v="AMZN"/>
    <n v="112698209"/>
    <s v="Ramirez Ramirez,Diana Cecilia"/>
    <s v="Garcia Espejel,Brenda Victoria"/>
    <n v="0"/>
    <n v="0"/>
    <n v="0"/>
    <n v="0"/>
    <n v="0.17"/>
    <s v="DA-X0700"/>
    <s v="dianacec"/>
  </r>
  <r>
    <x v="170"/>
    <x v="23"/>
    <s v="Admin/HR/IT"/>
    <s v="AMCARE NonOcc In"/>
    <s v="AMZN"/>
    <n v="112912209"/>
    <s v="Morales,Sarahi"/>
    <s v="Munoz,Jonan"/>
    <n v="0"/>
    <n v="0"/>
    <n v="0"/>
    <n v="0"/>
    <n v="0.23"/>
    <s v="NF-X1900"/>
    <s v="moralefs"/>
  </r>
  <r>
    <x v="170"/>
    <x v="23"/>
    <s v="Admin/HR/IT"/>
    <s v="AMCARE NonOcc In"/>
    <s v="AMZN"/>
    <n v="112942473"/>
    <s v="Vargas Lopez,Hilda Cecilia"/>
    <s v="Munoz,Jonan"/>
    <n v="0"/>
    <n v="0"/>
    <n v="0"/>
    <n v="0"/>
    <n v="0.16"/>
    <s v="DC-X0700"/>
    <s v="hildacec"/>
  </r>
  <r>
    <x v="170"/>
    <x v="23"/>
    <s v="Admin/HR/IT"/>
    <s v="AMCARE NonOcc In"/>
    <s v="AMZN"/>
    <n v="112955736"/>
    <s v="Cuevas,Lalo"/>
    <s v="Garcia Espejel,Brenda Victoria"/>
    <n v="0"/>
    <n v="0"/>
    <n v="0"/>
    <n v="0"/>
    <n v="0.2"/>
    <s v="DA-X0700"/>
    <s v="cueplalo"/>
  </r>
  <r>
    <x v="170"/>
    <x v="23"/>
    <s v="Admin/HR/IT"/>
    <s v="AMCARE NonOcc In"/>
    <s v="AMZN"/>
    <n v="112980878"/>
    <s v="Romero Escobar,Gerardo"/>
    <s v="Romero Sanchez,Gustavo Gabriel"/>
    <n v="0"/>
    <n v="0"/>
    <n v="0"/>
    <n v="0"/>
    <n v="0.26"/>
    <e v="#N/A"/>
    <e v="#N/A"/>
  </r>
  <r>
    <x v="170"/>
    <x v="23"/>
    <s v="Admin/HR/IT"/>
    <s v="AMCARE NonOcc In"/>
    <s v="AMZN"/>
    <n v="200404250"/>
    <s v="Hurtado,Caty"/>
    <s v="Romero Sanchez,Gustavo Gabriel"/>
    <n v="0"/>
    <n v="0"/>
    <n v="0"/>
    <n v="0"/>
    <n v="0.34"/>
    <e v="#N/A"/>
    <s v="xcathurt"/>
  </r>
  <r>
    <x v="170"/>
    <x v="23"/>
    <s v="Admin/HR/IT"/>
    <s v="AMCARE NonOcc In"/>
    <s v="TEMP"/>
    <n v="200553205"/>
    <s v="Cabrera,Nancy"/>
    <s v="Romero Sanchez,Gustavo Gabriel"/>
    <n v="0"/>
    <n v="0"/>
    <n v="0"/>
    <n v="0"/>
    <n v="0.4"/>
    <e v="#N/A"/>
    <e v="#N/A"/>
  </r>
  <r>
    <x v="170"/>
    <x v="23"/>
    <s v="Admin/HR/IT"/>
    <s v="AMCARE NonOcc In"/>
    <s v="TEMP"/>
    <n v="201172306"/>
    <s v="Valdez,CÃ©sar"/>
    <s v="Gomez,Abinadab"/>
    <n v="0"/>
    <n v="0"/>
    <n v="0"/>
    <n v="0"/>
    <n v="0.2"/>
    <e v="#N/A"/>
    <s v="cesarvae"/>
  </r>
  <r>
    <x v="170"/>
    <x v="23"/>
    <s v="Admin/HR/IT"/>
    <s v="AMCARE NonOcc In"/>
    <s v="TEMP"/>
    <n v="201201993"/>
    <s v="Olmos,Lucia"/>
    <s v="Piedra,Valentina"/>
    <n v="0"/>
    <n v="0"/>
    <n v="0"/>
    <n v="0"/>
    <n v="0.15"/>
    <e v="#N/A"/>
    <e v="#N/A"/>
  </r>
  <r>
    <x v="171"/>
    <x v="23"/>
    <s v="Admin/HR/IT"/>
    <s v="AMCARE NonOcc In"/>
    <s v="AMZN"/>
    <n v="112950795"/>
    <s v="Espinosa Espitia,Ali"/>
    <s v="Munoz,Jonan"/>
    <n v="0"/>
    <n v="0"/>
    <n v="0"/>
    <n v="0"/>
    <n v="0.27"/>
    <s v="DA-X0700"/>
    <s v="oespiali"/>
  </r>
  <r>
    <x v="171"/>
    <x v="23"/>
    <s v="Admin/HR/IT"/>
    <s v="AMCARE NonOcc In"/>
    <s v="AMZN"/>
    <n v="112972194"/>
    <s v="Vela Angeles,Fernanda"/>
    <s v="Camarena,Grecia"/>
    <n v="0"/>
    <n v="0"/>
    <n v="0"/>
    <n v="0"/>
    <n v="0.32"/>
    <s v="DB-X0700"/>
    <s v="velaangl"/>
  </r>
  <r>
    <x v="171"/>
    <x v="23"/>
    <s v="Admin/HR/IT"/>
    <s v="AMCARE NonOcc In"/>
    <s v="AMZN"/>
    <n v="112980812"/>
    <s v="Jacobo,Mary"/>
    <s v="Gomez,Abinadab"/>
    <n v="0"/>
    <n v="0"/>
    <n v="0"/>
    <n v="0"/>
    <n v="0.38"/>
    <s v="DA-X0700"/>
    <s v="maryjacp"/>
  </r>
  <r>
    <x v="171"/>
    <x v="23"/>
    <s v="Admin/HR/IT"/>
    <s v="AMCARE NonOcc In"/>
    <s v="AMZN"/>
    <n v="113019039"/>
    <s v="Hernandez Oropeza,Gabriel"/>
    <s v="Piedra,Valentina"/>
    <n v="0"/>
    <n v="0"/>
    <n v="0"/>
    <n v="0"/>
    <n v="0.51"/>
    <e v="#N/A"/>
    <e v="#N/A"/>
  </r>
  <r>
    <x v="171"/>
    <x v="23"/>
    <s v="Admin/HR/IT"/>
    <s v="AMCARE NonOcc In"/>
    <s v="TEMP"/>
    <n v="200625528"/>
    <s v="Oliva,Lizbeth"/>
    <s v="Piedra,Valentina"/>
    <n v="0"/>
    <n v="0"/>
    <n v="0"/>
    <n v="0"/>
    <n v="0.22"/>
    <e v="#N/A"/>
    <s v="olivlizb"/>
  </r>
  <r>
    <x v="171"/>
    <x v="23"/>
    <s v="Admin/HR/IT"/>
    <s v="AMCARE NonOcc In"/>
    <s v="TEMP"/>
    <n v="201198370"/>
    <s v="Hernandez,Briana"/>
    <s v="Ledezma,Fer"/>
    <n v="0"/>
    <n v="0"/>
    <n v="0"/>
    <n v="0"/>
    <n v="0.08"/>
    <e v="#N/A"/>
    <e v="#N/A"/>
  </r>
  <r>
    <x v="171"/>
    <x v="23"/>
    <s v="Admin/HR/IT"/>
    <s v="AMCARE NonOcc In"/>
    <s v="TEMP"/>
    <n v="201198979"/>
    <s v="Mendoza,Omar"/>
    <s v="Piedra,Valentina"/>
    <n v="0"/>
    <n v="0"/>
    <n v="0"/>
    <n v="0"/>
    <n v="0.51"/>
    <e v="#N/A"/>
    <e v="#N/A"/>
  </r>
  <r>
    <x v="171"/>
    <x v="23"/>
    <s v="Admin/HR/IT"/>
    <s v="AMCARE NonOcc In"/>
    <s v="TEMP"/>
    <n v="201329529"/>
    <s v="Padilla,Pablo"/>
    <s v="Lopez,Alexa"/>
    <n v="0"/>
    <n v="0"/>
    <n v="0"/>
    <n v="0"/>
    <n v="0.55000000000000004"/>
    <e v="#N/A"/>
    <e v="#N/A"/>
  </r>
  <r>
    <x v="172"/>
    <x v="23"/>
    <s v="Admin/HR/IT"/>
    <s v="AMCARE NonOcc In"/>
    <s v="AMZN"/>
    <n v="112460895"/>
    <s v="Gutierrez,Karla"/>
    <s v="Velazquez Bustamante,Alejandro"/>
    <n v="0"/>
    <n v="0"/>
    <n v="0"/>
    <n v="0"/>
    <n v="5.46"/>
    <e v="#N/A"/>
    <e v="#N/A"/>
  </r>
  <r>
    <x v="172"/>
    <x v="23"/>
    <s v="Admin/HR/IT"/>
    <s v="AMCARE NonOcc In"/>
    <s v="AMZN"/>
    <n v="112920655"/>
    <s v="Diaz de LeÃ³n,Paola"/>
    <s v="Pizana,Diego"/>
    <n v="0"/>
    <n v="0"/>
    <n v="0"/>
    <n v="0"/>
    <n v="1.67"/>
    <e v="#N/A"/>
    <e v="#N/A"/>
  </r>
  <r>
    <x v="172"/>
    <x v="23"/>
    <s v="Admin/HR/IT"/>
    <s v="AMCARE NonOcc In"/>
    <s v="AMZN"/>
    <n v="112950795"/>
    <s v="Espinosa Espitia,Ali"/>
    <s v="Munoz,Jonan"/>
    <n v="0"/>
    <n v="0"/>
    <n v="0"/>
    <n v="0"/>
    <n v="0.1"/>
    <s v="DA-X0700"/>
    <s v="oespiali"/>
  </r>
  <r>
    <x v="172"/>
    <x v="23"/>
    <s v="Admin/HR/IT"/>
    <s v="AMCARE NonOcc In"/>
    <s v="AMZN"/>
    <n v="112950818"/>
    <s v="Sanchez Banuelos,Edith"/>
    <s v="Piedra,Valentina"/>
    <n v="0"/>
    <n v="0"/>
    <n v="0"/>
    <n v="0"/>
    <n v="0.34"/>
    <s v="DA-X0700"/>
    <s v="xedithsa"/>
  </r>
  <r>
    <x v="172"/>
    <x v="23"/>
    <s v="Admin/HR/IT"/>
    <s v="AMCARE NonOcc In"/>
    <s v="AMZN"/>
    <n v="112973049"/>
    <s v="Tavares Parra,Ely"/>
    <s v="Madrid Molina,Ramon"/>
    <n v="0"/>
    <n v="0"/>
    <n v="0"/>
    <n v="0"/>
    <n v="0.13"/>
    <s v="DB-X0700"/>
    <s v="afatimae"/>
  </r>
  <r>
    <x v="172"/>
    <x v="23"/>
    <s v="Admin/HR/IT"/>
    <s v="AMCARE NonOcc In"/>
    <s v="AMZN"/>
    <n v="112980812"/>
    <s v="Jacobo,Mary"/>
    <s v="Gomez,Abinadab"/>
    <n v="0"/>
    <n v="0"/>
    <n v="0"/>
    <n v="0"/>
    <n v="0.68"/>
    <s v="DA-X0700"/>
    <s v="maryjacp"/>
  </r>
  <r>
    <x v="172"/>
    <x v="23"/>
    <s v="Admin/HR/IT"/>
    <s v="AMCARE NonOcc In"/>
    <s v="TEMP"/>
    <n v="200552823"/>
    <s v="Aguilar Castaneda,Brian"/>
    <s v="Gomez,Abinadab"/>
    <n v="0"/>
    <n v="0"/>
    <n v="0"/>
    <n v="0"/>
    <n v="0.46"/>
    <e v="#N/A"/>
    <e v="#N/A"/>
  </r>
  <r>
    <x v="172"/>
    <x v="23"/>
    <s v="Admin/HR/IT"/>
    <s v="AMCARE NonOcc In"/>
    <s v="TEMP"/>
    <n v="201211157"/>
    <s v="Vargas,Jesse"/>
    <s v="Corona Arriaga,Fernando"/>
    <n v="0"/>
    <n v="0"/>
    <n v="0"/>
    <n v="0"/>
    <n v="0.16"/>
    <e v="#N/A"/>
    <s v="vargajed"/>
  </r>
  <r>
    <x v="173"/>
    <x v="23"/>
    <s v="Admin/HR/IT"/>
    <s v="AMCARE NonOcc In"/>
    <s v="AMZN"/>
    <n v="112951256"/>
    <s v="Ramirez Vallejo,Kateryne"/>
    <s v="Pizana,Diego"/>
    <n v="0"/>
    <n v="0"/>
    <n v="0"/>
    <n v="0"/>
    <n v="0.37"/>
    <s v="DA-X0700"/>
    <s v="grkatery"/>
  </r>
  <r>
    <x v="173"/>
    <x v="23"/>
    <s v="Admin/HR/IT"/>
    <s v="AMCARE NonOcc In"/>
    <s v="AMZN"/>
    <n v="112971961"/>
    <s v="Lopez,Jason"/>
    <s v="Camarena,Grecia"/>
    <n v="0"/>
    <n v="0"/>
    <n v="0"/>
    <n v="0"/>
    <n v="0.05"/>
    <e v="#N/A"/>
    <e v="#N/A"/>
  </r>
  <r>
    <x v="173"/>
    <x v="23"/>
    <s v="Admin/HR/IT"/>
    <s v="AMCARE NonOcc In"/>
    <s v="TEMP"/>
    <n v="200552429"/>
    <s v="Lozornio Martinez,Antonio"/>
    <s v="Lopez,Alexa"/>
    <n v="0"/>
    <n v="0"/>
    <n v="0"/>
    <n v="0"/>
    <n v="0.37"/>
    <e v="#N/A"/>
    <e v="#N/A"/>
  </r>
  <r>
    <x v="173"/>
    <x v="23"/>
    <s v="Admin/HR/IT"/>
    <s v="AMCARE NonOcc In"/>
    <s v="TEMP"/>
    <n v="201172306"/>
    <s v="Valdez,CÃ©sar"/>
    <s v="Gomez,Abinadab"/>
    <n v="0"/>
    <n v="0"/>
    <n v="0"/>
    <n v="0"/>
    <n v="0.25"/>
    <e v="#N/A"/>
    <s v="cesarvae"/>
  </r>
  <r>
    <x v="173"/>
    <x v="23"/>
    <s v="Admin/HR/IT"/>
    <s v="AMCARE NonOcc In"/>
    <s v="TEMP"/>
    <n v="201195215"/>
    <s v="Guzman,Daniel"/>
    <s v="Ledezma,Fer"/>
    <n v="0"/>
    <n v="0"/>
    <n v="0"/>
    <n v="0"/>
    <n v="0.65"/>
    <e v="#N/A"/>
    <s v="guzmadaa"/>
  </r>
  <r>
    <x v="173"/>
    <x v="23"/>
    <s v="Admin/HR/IT"/>
    <s v="AMCARE NonOcc In"/>
    <s v="TEMP"/>
    <n v="201198922"/>
    <s v="Mendez,Joy"/>
    <s v="Gomez Aguado,Jorge"/>
    <n v="0"/>
    <n v="0"/>
    <n v="0"/>
    <n v="0"/>
    <n v="0.13"/>
    <e v="#N/A"/>
    <s v="mendejoy"/>
  </r>
  <r>
    <x v="173"/>
    <x v="23"/>
    <s v="Admin/HR/IT"/>
    <s v="AMCARE NonOcc In"/>
    <s v="TEMP"/>
    <n v="201360639"/>
    <s v="Rivera,Yael"/>
    <s v="Garcia Espejel,Brenda Victoria"/>
    <n v="0"/>
    <n v="0"/>
    <n v="0"/>
    <n v="0"/>
    <n v="0.26"/>
    <e v="#N/A"/>
    <s v="riveoyae"/>
  </r>
  <r>
    <x v="174"/>
    <x v="23"/>
    <s v="Admin/HR/IT"/>
    <s v="AMCARE NonOcc In"/>
    <s v="AMZN"/>
    <n v="112950784"/>
    <s v="Rojas,Samuel"/>
    <s v="Pizana,Diego"/>
    <n v="0"/>
    <n v="0"/>
    <n v="0"/>
    <n v="0"/>
    <n v="0.22"/>
    <s v="NF-X1900"/>
    <s v="sarojast"/>
  </r>
  <r>
    <x v="174"/>
    <x v="23"/>
    <s v="Admin/HR/IT"/>
    <s v="AMCARE NonOcc In"/>
    <s v="AMZN"/>
    <n v="113020476"/>
    <s v="Puente Aguilar,Polette"/>
    <s v="Madrid Molina,Ramon"/>
    <n v="0"/>
    <n v="0"/>
    <n v="0"/>
    <n v="0"/>
    <n v="0.19"/>
    <e v="#N/A"/>
    <s v="polettpu"/>
  </r>
  <r>
    <x v="174"/>
    <x v="23"/>
    <s v="Admin/HR/IT"/>
    <s v="AMCARE NonOcc In"/>
    <s v="TEMP"/>
    <n v="201191390"/>
    <s v="GarcÃ­a,jesus"/>
    <s v="Madrid Molina,Ramon"/>
    <n v="0"/>
    <n v="0"/>
    <n v="0"/>
    <n v="0"/>
    <n v="0.28999999999999998"/>
    <e v="#N/A"/>
    <s v="bgajesus"/>
  </r>
  <r>
    <x v="174"/>
    <x v="23"/>
    <s v="Admin/HR/IT"/>
    <s v="AMCARE NonOcc In"/>
    <s v="TEMP"/>
    <n v="201354965"/>
    <s v="JimÃ©nez,Aline"/>
    <s v="Lopez,Alexa"/>
    <n v="0"/>
    <n v="0"/>
    <n v="0"/>
    <n v="0"/>
    <n v="0.35"/>
    <e v="#N/A"/>
    <s v="alinejim"/>
  </r>
  <r>
    <x v="174"/>
    <x v="23"/>
    <s v="Admin/HR/IT"/>
    <s v="AMCARE NonOcc In"/>
    <s v="TEMP"/>
    <n v="201403462"/>
    <s v="Valdovino,Jorge"/>
    <s v="Corona Arriaga,Fernando"/>
    <n v="0"/>
    <n v="0"/>
    <n v="0"/>
    <n v="0"/>
    <n v="0.14000000000000001"/>
    <e v="#N/A"/>
    <s v="valdojoe"/>
  </r>
  <r>
    <x v="175"/>
    <x v="23"/>
    <s v="Admin/HR/IT"/>
    <s v="AMCARE NonOcc In"/>
    <s v="AMZN"/>
    <n v="113020476"/>
    <s v="Puente Aguilar,Polette"/>
    <s v="Madrid Molina,Ramon"/>
    <n v="0"/>
    <n v="0"/>
    <n v="0"/>
    <n v="0"/>
    <n v="0.19"/>
    <e v="#N/A"/>
    <s v="polettpu"/>
  </r>
  <r>
    <x v="176"/>
    <x v="24"/>
    <s v="Admin/HR/IT"/>
    <s v="AMCARE NonOcc In"/>
    <s v="AMZN"/>
    <n v="113103540"/>
    <s v="Delgado,David"/>
    <s v="Gomez Aguado,Jorge"/>
    <n v="0"/>
    <n v="0"/>
    <n v="0"/>
    <n v="0"/>
    <n v="0.19"/>
    <e v="#N/A"/>
    <s v="delgadax"/>
  </r>
  <r>
    <x v="176"/>
    <x v="24"/>
    <s v="Admin/HR/IT"/>
    <s v="AMCARE NonOcc In"/>
    <s v="TEMP"/>
    <n v="201354965"/>
    <s v="JimÃ©nez,Aline"/>
    <s v="Lopez,Alexa"/>
    <n v="0"/>
    <n v="0"/>
    <n v="0"/>
    <n v="0"/>
    <n v="0.12"/>
    <e v="#N/A"/>
    <s v="alinejim"/>
  </r>
  <r>
    <x v="176"/>
    <x v="24"/>
    <s v="Admin/HR/IT"/>
    <s v="AMCARE NonOcc In"/>
    <s v="TEMP"/>
    <n v="201403462"/>
    <s v="Valdovino,Jorge"/>
    <s v="Corona Arriaga,Fernando"/>
    <n v="0"/>
    <n v="0"/>
    <n v="0"/>
    <n v="0"/>
    <n v="0.56999999999999995"/>
    <e v="#N/A"/>
    <s v="valdojoe"/>
  </r>
  <r>
    <x v="176"/>
    <x v="24"/>
    <s v="Admin/HR/IT"/>
    <s v="AMCARE NonOcc In"/>
    <s v="AMZN"/>
    <n v="112980878"/>
    <s v="Romero Escobar,Gerardo"/>
    <s v="Romero Sanchez,Gustavo Gabriel"/>
    <n v="0"/>
    <n v="0"/>
    <n v="0"/>
    <n v="0"/>
    <n v="0.85"/>
    <e v="#N/A"/>
    <e v="#N/A"/>
  </r>
  <r>
    <x v="176"/>
    <x v="24"/>
    <s v="Admin/HR/IT"/>
    <s v="AMCARE NonOcc In"/>
    <s v="AMZN"/>
    <n v="113101453"/>
    <s v="Isaac,Geovanna"/>
    <s v="Robledo Ugarte,Alejandro"/>
    <n v="0"/>
    <n v="0"/>
    <n v="0"/>
    <n v="0"/>
    <n v="0.12"/>
    <e v="#N/A"/>
    <s v="qisgeova"/>
  </r>
  <r>
    <x v="176"/>
    <x v="24"/>
    <s v="Admin/HR/IT"/>
    <s v="AMCARE NonOcc In"/>
    <s v="TEMP"/>
    <n v="200594875"/>
    <s v="Maldonado,Jose"/>
    <s v="Piedra,Valentina"/>
    <n v="0"/>
    <n v="0"/>
    <n v="0"/>
    <n v="0"/>
    <n v="1.37"/>
    <e v="#N/A"/>
    <s v="jwmaldon"/>
  </r>
  <r>
    <x v="176"/>
    <x v="24"/>
    <s v="Admin/HR/IT"/>
    <s v="AMCARE NonOcc In"/>
    <s v="TEMP"/>
    <n v="201191198"/>
    <s v="Mojica,Emmanuel"/>
    <s v="Ledezma,Fer"/>
    <n v="0"/>
    <n v="0"/>
    <n v="0"/>
    <n v="0"/>
    <n v="0.11"/>
    <e v="#N/A"/>
    <s v="mojicemm"/>
  </r>
  <r>
    <x v="176"/>
    <x v="24"/>
    <s v="Admin/HR/IT"/>
    <s v="AMCARE NonOcc In"/>
    <s v="TEMP"/>
    <n v="201198979"/>
    <s v="Mendoza,Omar"/>
    <s v="Piedra,Valentina"/>
    <n v="0"/>
    <n v="0"/>
    <n v="0"/>
    <n v="0"/>
    <n v="0.05"/>
    <e v="#N/A"/>
    <e v="#N/A"/>
  </r>
  <r>
    <x v="176"/>
    <x v="24"/>
    <s v="Admin/HR/IT"/>
    <s v="AMCARE NonOcc In"/>
    <s v="TEMP"/>
    <n v="201201993"/>
    <s v="Olmos,Lucia"/>
    <s v="Piedra,Valentina"/>
    <n v="0"/>
    <n v="0"/>
    <n v="0"/>
    <n v="0"/>
    <n v="0.25"/>
    <e v="#N/A"/>
    <e v="#N/A"/>
  </r>
  <r>
    <x v="176"/>
    <x v="24"/>
    <s v="Admin/HR/IT"/>
    <s v="AMCARE NonOcc In"/>
    <s v="TEMP"/>
    <n v="201295432"/>
    <s v="Ortega,Argenis"/>
    <s v="Gomez,Abinadab"/>
    <n v="0"/>
    <n v="0"/>
    <n v="0"/>
    <n v="0"/>
    <n v="0.2"/>
    <e v="#N/A"/>
    <e v="#N/A"/>
  </r>
  <r>
    <x v="176"/>
    <x v="24"/>
    <s v="Admin/HR/IT"/>
    <s v="AMCARE NonOcc In"/>
    <s v="TEMP"/>
    <n v="201363254"/>
    <s v="Frausto,Raziel"/>
    <s v="Garcia Espejel,Brenda Victoria"/>
    <n v="0"/>
    <n v="0"/>
    <n v="0"/>
    <n v="0"/>
    <n v="0.22"/>
    <e v="#N/A"/>
    <s v="fwraziel"/>
  </r>
  <r>
    <x v="176"/>
    <x v="24"/>
    <s v="Admin/HR/IT"/>
    <s v="AMCARE NonOcc In"/>
    <s v="TEMP"/>
    <n v="201402106"/>
    <s v="Hurtado,Mari"/>
    <s v="Bueno Mendoza,Susana"/>
    <n v="0"/>
    <n v="0"/>
    <n v="0"/>
    <n v="0"/>
    <n v="0.1"/>
    <e v="#N/A"/>
    <e v="#N/A"/>
  </r>
  <r>
    <x v="177"/>
    <x v="24"/>
    <s v="Admin/HR/IT"/>
    <s v="AMCARE NonOcc In"/>
    <s v="AMZN"/>
    <n v="112950800"/>
    <s v="Muniz,Viri"/>
    <s v="Munoz,Jonan"/>
    <n v="0"/>
    <n v="0"/>
    <n v="0"/>
    <n v="0"/>
    <n v="0.35"/>
    <s v="NF-X1900"/>
    <s v="virimuni"/>
  </r>
  <r>
    <x v="177"/>
    <x v="24"/>
    <s v="Admin/HR/IT"/>
    <s v="AMCARE NonOcc In"/>
    <s v="AMZN"/>
    <n v="113040582"/>
    <s v="HDZ,DEMON"/>
    <s v="Robledo Ugarte,Alejandro"/>
    <n v="0"/>
    <n v="0"/>
    <n v="0"/>
    <n v="0"/>
    <n v="0.15"/>
    <e v="#N/A"/>
    <s v="hgerardr"/>
  </r>
  <r>
    <x v="177"/>
    <x v="24"/>
    <s v="Admin/HR/IT"/>
    <s v="AMCARE NonOcc In"/>
    <s v="TEMP"/>
    <n v="200553205"/>
    <s v="Cabrera,Nancy"/>
    <s v="Romero Sanchez,Gustavo Gabriel"/>
    <n v="0"/>
    <n v="0"/>
    <n v="0"/>
    <n v="0"/>
    <n v="0.17"/>
    <e v="#N/A"/>
    <e v="#N/A"/>
  </r>
  <r>
    <x v="177"/>
    <x v="24"/>
    <s v="Admin/HR/IT"/>
    <s v="AMCARE NonOcc In"/>
    <s v="TEMP"/>
    <n v="200625528"/>
    <s v="Oliva,Lizbeth"/>
    <s v="Piedra,Valentina"/>
    <n v="0"/>
    <n v="0"/>
    <n v="0"/>
    <n v="0"/>
    <n v="0.08"/>
    <e v="#N/A"/>
    <s v="olivlizb"/>
  </r>
  <r>
    <x v="177"/>
    <x v="24"/>
    <s v="Admin/HR/IT"/>
    <s v="AMCARE NonOcc In"/>
    <s v="TEMP"/>
    <n v="201172306"/>
    <s v="Valdez,CÃ©sar"/>
    <s v="Gomez,Abinadab"/>
    <n v="0"/>
    <n v="0"/>
    <n v="0"/>
    <n v="0"/>
    <n v="0.23"/>
    <e v="#N/A"/>
    <s v="cesarvae"/>
  </r>
  <r>
    <x v="177"/>
    <x v="24"/>
    <s v="Admin/HR/IT"/>
    <s v="AMCARE NonOcc In"/>
    <s v="TEMP"/>
    <n v="201354931"/>
    <s v="Vargas Quezada,Gibran"/>
    <s v="Garcia Espejel,Brenda Victoria"/>
    <n v="0"/>
    <n v="0"/>
    <n v="0"/>
    <n v="0"/>
    <n v="0.44"/>
    <e v="#N/A"/>
    <e v="#N/A"/>
  </r>
  <r>
    <x v="177"/>
    <x v="24"/>
    <s v="Admin/HR/IT"/>
    <s v="AMCARE NonOcc In"/>
    <s v="TEMP"/>
    <n v="201355525"/>
    <s v="Hernandez,Gael"/>
    <s v="Munoz,Jonan"/>
    <n v="0"/>
    <n v="0"/>
    <n v="0"/>
    <n v="0"/>
    <n v="1.35"/>
    <e v="#N/A"/>
    <e v="#N/A"/>
  </r>
  <r>
    <x v="178"/>
    <x v="24"/>
    <s v="Admin/HR/IT"/>
    <s v="AMCARE NonOcc In"/>
    <s v="AMZN"/>
    <n v="113014470"/>
    <s v="Aguilar Ibarra,Lupe"/>
    <s v="Robledo Ugarte,Alejandro"/>
    <n v="0"/>
    <n v="0"/>
    <n v="0"/>
    <n v="0"/>
    <n v="0.38"/>
    <e v="#N/A"/>
    <s v="lupaguin"/>
  </r>
  <r>
    <x v="178"/>
    <x v="24"/>
    <s v="Admin/HR/IT"/>
    <s v="AMCARE NonOcc In"/>
    <s v="AMZN"/>
    <n v="200404250"/>
    <s v="Hurtado,Caty"/>
    <s v="Romero Sanchez,Gustavo Gabriel"/>
    <n v="0"/>
    <n v="0"/>
    <n v="0"/>
    <n v="0"/>
    <n v="0.42"/>
    <e v="#N/A"/>
    <s v="xcathurt"/>
  </r>
  <r>
    <x v="178"/>
    <x v="24"/>
    <s v="Admin/HR/IT"/>
    <s v="AMCARE NonOcc In"/>
    <s v="TEMP"/>
    <n v="200564895"/>
    <s v="Mendoza Corona,Brianda"/>
    <s v="Robledo Ugarte,Alejandro"/>
    <n v="0"/>
    <n v="0"/>
    <n v="0"/>
    <n v="0"/>
    <n v="0.28000000000000003"/>
    <e v="#N/A"/>
    <s v="hmendobr"/>
  </r>
  <r>
    <x v="178"/>
    <x v="24"/>
    <s v="Admin/HR/IT"/>
    <s v="AMCARE NonOcc In"/>
    <s v="TEMP"/>
    <n v="201320388"/>
    <s v="Pena,Laura"/>
    <s v="Robledo Ugarte,Alejandro"/>
    <n v="0"/>
    <n v="0"/>
    <n v="0"/>
    <n v="0"/>
    <n v="0.45"/>
    <e v="#N/A"/>
    <e v="#N/A"/>
  </r>
  <r>
    <x v="178"/>
    <x v="24"/>
    <s v="Admin/HR/IT"/>
    <s v="AMCARE NonOcc In"/>
    <s v="TEMP"/>
    <n v="201329529"/>
    <s v="Padilla,Pablo"/>
    <s v="Lopez,Alexa"/>
    <n v="0"/>
    <n v="0"/>
    <n v="0"/>
    <n v="0"/>
    <n v="0.26"/>
    <e v="#N/A"/>
    <e v="#N/A"/>
  </r>
  <r>
    <x v="178"/>
    <x v="24"/>
    <s v="Admin/HR/IT"/>
    <s v="AMCARE NonOcc In"/>
    <s v="TEMP"/>
    <n v="201345774"/>
    <s v="Quijas,Jonathan"/>
    <s v="Robledo Ugarte,Alejandro"/>
    <n v="0"/>
    <n v="0"/>
    <n v="0"/>
    <n v="0"/>
    <n v="0.28999999999999998"/>
    <e v="#N/A"/>
    <s v="jonquija"/>
  </r>
  <r>
    <x v="179"/>
    <x v="24"/>
    <s v="Admin/HR/IT"/>
    <s v="AMCARE NonOcc In"/>
    <s v="AMZN"/>
    <n v="112912663"/>
    <s v="Segura,Lucero"/>
    <s v="Munoz,Jonan"/>
    <n v="0"/>
    <n v="0"/>
    <n v="0"/>
    <n v="0"/>
    <n v="0.74"/>
    <e v="#N/A"/>
    <e v="#N/A"/>
  </r>
  <r>
    <x v="179"/>
    <x v="24"/>
    <s v="Admin/HR/IT"/>
    <s v="AMCARE NonOcc In"/>
    <s v="AMZN"/>
    <n v="112980847"/>
    <s v="Reyes,Jose"/>
    <s v="Gomez,Abinadab"/>
    <n v="0"/>
    <n v="0"/>
    <n v="0"/>
    <n v="0"/>
    <n v="1.08"/>
    <e v="#N/A"/>
    <e v="#N/A"/>
  </r>
  <r>
    <x v="179"/>
    <x v="24"/>
    <s v="Admin/HR/IT"/>
    <s v="AMCARE NonOcc In"/>
    <s v="AMZN"/>
    <n v="113101453"/>
    <s v="Isaac,Geovanna"/>
    <s v="Robledo Ugarte,Alejandro"/>
    <n v="0"/>
    <n v="0"/>
    <n v="0"/>
    <n v="0"/>
    <n v="7.0000000000000007E-2"/>
    <e v="#N/A"/>
    <s v="qisgeova"/>
  </r>
  <r>
    <x v="179"/>
    <x v="24"/>
    <s v="Admin/HR/IT"/>
    <s v="AMCARE NonOcc In"/>
    <s v="AMZN"/>
    <n v="113138338"/>
    <s v="Cornejo,Cesar"/>
    <s v="Pizana,Diego"/>
    <n v="0"/>
    <n v="0"/>
    <n v="0"/>
    <n v="0"/>
    <n v="2.12"/>
    <e v="#N/A"/>
    <s v="cescornh"/>
  </r>
  <r>
    <x v="179"/>
    <x v="24"/>
    <s v="Admin/HR/IT"/>
    <s v="AMCARE NonOcc In"/>
    <s v="TEMP"/>
    <n v="200615883"/>
    <s v="Ibarra Amaro,Adriana"/>
    <s v="Gomez Aguado,Jorge"/>
    <n v="0"/>
    <n v="0"/>
    <n v="0"/>
    <n v="0"/>
    <n v="0.12"/>
    <e v="#N/A"/>
    <e v="#N/A"/>
  </r>
  <r>
    <x v="179"/>
    <x v="24"/>
    <s v="Admin/HR/IT"/>
    <s v="AMCARE NonOcc In"/>
    <s v="TEMP"/>
    <n v="201201993"/>
    <s v="Olmos,Lucia"/>
    <s v="Bueno Mendoza,Susana"/>
    <n v="0"/>
    <n v="0"/>
    <n v="0"/>
    <n v="0"/>
    <n v="0.53"/>
    <e v="#N/A"/>
    <e v="#N/A"/>
  </r>
  <r>
    <x v="180"/>
    <x v="24"/>
    <s v="Admin/HR/IT"/>
    <s v="AMCARE NonOcc In"/>
    <s v="TEMP"/>
    <n v="112912747"/>
    <s v="Velasco,Cristina"/>
    <s v="Lopez,Alexa"/>
    <n v="0"/>
    <n v="0"/>
    <n v="0"/>
    <n v="0"/>
    <n v="0.28999999999999998"/>
    <e v="#N/A"/>
    <e v="#N/A"/>
  </r>
  <r>
    <x v="180"/>
    <x v="24"/>
    <s v="Admin/HR/IT"/>
    <s v="AMCARE NonOcc In"/>
    <s v="AMZN"/>
    <n v="112971962"/>
    <s v="Reyes  Montes de oca,Alejandra"/>
    <s v="Ledezma,Fer"/>
    <n v="0"/>
    <n v="0"/>
    <n v="0"/>
    <n v="0"/>
    <n v="0.18"/>
    <s v="DB-X0700"/>
    <s v="creyesal"/>
  </r>
  <r>
    <x v="180"/>
    <x v="24"/>
    <s v="Admin/HR/IT"/>
    <s v="AMCARE NonOcc In"/>
    <s v="AMZN"/>
    <n v="112971980"/>
    <s v="Romero,Daniel"/>
    <s v="Pizana,Diego"/>
    <n v="0"/>
    <n v="0"/>
    <n v="0"/>
    <n v="0"/>
    <n v="0.31"/>
    <s v="DC-X0700"/>
    <s v="cdanirom"/>
  </r>
  <r>
    <x v="180"/>
    <x v="24"/>
    <s v="Admin/HR/IT"/>
    <s v="AMCARE NonOcc In"/>
    <s v="AMZN"/>
    <n v="112973049"/>
    <s v="Tavares Parra,Ely"/>
    <s v="Madrid Molina,Ramon"/>
    <n v="0"/>
    <n v="0"/>
    <n v="0"/>
    <n v="0"/>
    <n v="0.65"/>
    <s v="DB-X0700"/>
    <s v="afatimae"/>
  </r>
  <r>
    <x v="180"/>
    <x v="24"/>
    <s v="Admin/HR/IT"/>
    <s v="AMCARE NonOcc In"/>
    <s v="AMZN"/>
    <n v="112981061"/>
    <s v="Olguin,Claudia"/>
    <s v="Robledo Ugarte,Alejandro"/>
    <n v="0"/>
    <n v="0"/>
    <n v="0"/>
    <n v="0"/>
    <n v="0.11"/>
    <s v="DA-X0700"/>
    <s v="mclaudol"/>
  </r>
  <r>
    <x v="180"/>
    <x v="24"/>
    <s v="Admin/HR/IT"/>
    <s v="AMCARE NonOcc In"/>
    <s v="AMZN"/>
    <n v="113020476"/>
    <s v="Puente Aguilar,Polette"/>
    <s v="Madrid Molina,Ramon"/>
    <n v="0"/>
    <n v="0"/>
    <n v="0"/>
    <n v="0"/>
    <n v="0.16"/>
    <e v="#N/A"/>
    <s v="polettpu"/>
  </r>
  <r>
    <x v="180"/>
    <x v="24"/>
    <s v="Admin/HR/IT"/>
    <s v="AMCARE NonOcc In"/>
    <s v="AMZN"/>
    <n v="113101453"/>
    <s v="Isaac,Geovanna"/>
    <s v="Robledo Ugarte,Alejandro"/>
    <n v="0"/>
    <n v="0"/>
    <n v="0"/>
    <n v="0"/>
    <n v="0.14000000000000001"/>
    <e v="#N/A"/>
    <s v="qisgeova"/>
  </r>
  <r>
    <x v="180"/>
    <x v="24"/>
    <s v="Admin/HR/IT"/>
    <s v="AMCARE NonOcc In"/>
    <s v="AMZN"/>
    <n v="113138338"/>
    <s v="Cornejo,Cesar"/>
    <s v="Pizana,Diego"/>
    <n v="0"/>
    <n v="0"/>
    <n v="0"/>
    <n v="0"/>
    <n v="1.58"/>
    <e v="#N/A"/>
    <s v="cescornh"/>
  </r>
  <r>
    <x v="180"/>
    <x v="24"/>
    <s v="Admin/HR/IT"/>
    <s v="AMCARE NonOcc In"/>
    <s v="TEMP"/>
    <n v="201211157"/>
    <s v="Vargas,Jesse"/>
    <s v="Cortes,Alejandra"/>
    <n v="0"/>
    <n v="0"/>
    <n v="0"/>
    <n v="0"/>
    <n v="0.73"/>
    <e v="#N/A"/>
    <s v="vargajed"/>
  </r>
  <r>
    <x v="180"/>
    <x v="24"/>
    <s v="Admin/HR/IT"/>
    <s v="AMCARE NonOcc In"/>
    <s v="TEMP"/>
    <n v="201377831"/>
    <s v="Martinez,Fernando"/>
    <s v="Madrid Molina,Ramon"/>
    <n v="0"/>
    <n v="0"/>
    <n v="0"/>
    <n v="0"/>
    <n v="0.28999999999999998"/>
    <e v="#N/A"/>
    <e v="#N/A"/>
  </r>
  <r>
    <x v="180"/>
    <x v="24"/>
    <s v="Admin/HR/IT"/>
    <s v="AMCARE NonOcc In"/>
    <s v="TEMP"/>
    <n v="201403462"/>
    <s v="Valdovino,Jorge"/>
    <s v="Corona Arriaga,Fernando"/>
    <n v="0"/>
    <n v="0"/>
    <n v="0"/>
    <n v="0"/>
    <n v="1.25"/>
    <e v="#N/A"/>
    <s v="valdojoe"/>
  </r>
  <r>
    <x v="180"/>
    <x v="24"/>
    <s v="Admin/HR/IT"/>
    <s v="AMCARE NonOcc In"/>
    <s v="TEMP"/>
    <n v="201409070"/>
    <s v="Hernandez,Estefania"/>
    <s v="Gomez Aguado,Jorge"/>
    <n v="0"/>
    <n v="0"/>
    <n v="0"/>
    <n v="0"/>
    <n v="0.26"/>
    <e v="#N/A"/>
    <e v="#N/A"/>
  </r>
  <r>
    <x v="181"/>
    <x v="24"/>
    <s v="Admin/HR/IT"/>
    <s v="AMCARE NonOcc In"/>
    <s v="AMZN"/>
    <n v="112951256"/>
    <s v="Ramirez Vallejo,Kateryne"/>
    <s v="Pizana,Diego"/>
    <n v="0"/>
    <n v="0"/>
    <n v="0"/>
    <n v="0"/>
    <n v="0.24"/>
    <s v="DA-X0700"/>
    <s v="grkatery"/>
  </r>
  <r>
    <x v="181"/>
    <x v="24"/>
    <s v="Admin/HR/IT"/>
    <s v="AMCARE NonOcc In"/>
    <s v="AMZN"/>
    <n v="112971953"/>
    <s v="Aguirre Palomino,Ana"/>
    <s v="Pizana,Diego"/>
    <n v="0"/>
    <n v="0"/>
    <n v="0"/>
    <n v="0"/>
    <n v="1.35"/>
    <s v="DB-X0700"/>
    <s v="anzpalom"/>
  </r>
  <r>
    <x v="181"/>
    <x v="24"/>
    <s v="Admin/HR/IT"/>
    <s v="AMCARE NonOcc In"/>
    <s v="AMZN"/>
    <n v="112971980"/>
    <s v="Romero,Daniel"/>
    <s v="Pizana,Diego"/>
    <n v="0"/>
    <n v="0"/>
    <n v="0"/>
    <n v="0"/>
    <n v="0.59"/>
    <s v="DC-X0700"/>
    <s v="cdanirom"/>
  </r>
  <r>
    <x v="181"/>
    <x v="24"/>
    <s v="Admin/HR/IT"/>
    <s v="AMCARE NonOcc In"/>
    <s v="AMZN"/>
    <n v="112973049"/>
    <s v="Tavares Parra,Ely"/>
    <s v="Madrid Molina,Ramon"/>
    <n v="0"/>
    <n v="0"/>
    <n v="0"/>
    <n v="0"/>
    <n v="0.46"/>
    <s v="DB-X0700"/>
    <s v="afatimae"/>
  </r>
  <r>
    <x v="181"/>
    <x v="24"/>
    <s v="Admin/HR/IT"/>
    <s v="AMCARE NonOcc In"/>
    <s v="AMZN"/>
    <n v="113003510"/>
    <s v="PÃ©rez MÃ©ndez,Cecy"/>
    <s v="Gomez Aguado,Jorge"/>
    <n v="0"/>
    <n v="0"/>
    <n v="0"/>
    <n v="0"/>
    <n v="0.09"/>
    <e v="#N/A"/>
    <s v="nperezmc"/>
  </r>
  <r>
    <x v="181"/>
    <x v="24"/>
    <s v="Admin/HR/IT"/>
    <s v="AMCARE NonOcc In"/>
    <s v="AMZN"/>
    <n v="113020476"/>
    <s v="Puente Aguilar,Polette"/>
    <s v="Madrid Molina,Ramon"/>
    <n v="0"/>
    <n v="0"/>
    <n v="0"/>
    <n v="0"/>
    <n v="0.09"/>
    <e v="#N/A"/>
    <s v="polettpu"/>
  </r>
  <r>
    <x v="181"/>
    <x v="24"/>
    <s v="Admin/HR/IT"/>
    <s v="AMCARE NonOcc In"/>
    <s v="AMZN"/>
    <n v="200552734"/>
    <s v="Santiago Ramirez,Six"/>
    <s v="Madrid Molina,Ramon"/>
    <n v="0"/>
    <n v="0"/>
    <n v="0"/>
    <n v="0"/>
    <n v="0.98"/>
    <e v="#N/A"/>
    <e v="#N/A"/>
  </r>
  <r>
    <x v="181"/>
    <x v="24"/>
    <s v="Admin/HR/IT"/>
    <s v="AMCARE NonOcc In"/>
    <s v="TEMP"/>
    <n v="201191198"/>
    <s v="Mojica,Emmanuel"/>
    <s v="Ledezma,Fer"/>
    <n v="0"/>
    <n v="0"/>
    <n v="0"/>
    <n v="0"/>
    <n v="0.72"/>
    <e v="#N/A"/>
    <s v="mojicemm"/>
  </r>
  <r>
    <x v="181"/>
    <x v="24"/>
    <s v="Admin/HR/IT"/>
    <s v="AMCARE NonOcc In"/>
    <s v="TEMP"/>
    <n v="201198922"/>
    <s v="Mendez,Joy"/>
    <s v="Gomez Aguado,Jorge"/>
    <n v="0"/>
    <n v="0"/>
    <n v="0"/>
    <n v="0"/>
    <n v="0.71"/>
    <e v="#N/A"/>
    <s v="mendejoy"/>
  </r>
  <r>
    <x v="181"/>
    <x v="24"/>
    <s v="Admin/HR/IT"/>
    <s v="AMCARE NonOcc In"/>
    <s v="TEMP"/>
    <n v="201198979"/>
    <s v="Mendoza,Omar"/>
    <s v="Piedra,Valentina"/>
    <n v="0"/>
    <n v="0"/>
    <n v="0"/>
    <n v="0"/>
    <n v="0.38"/>
    <e v="#N/A"/>
    <e v="#N/A"/>
  </r>
  <r>
    <x v="181"/>
    <x v="24"/>
    <s v="Admin/HR/IT"/>
    <s v="AMCARE NonOcc In"/>
    <s v="TEMP"/>
    <n v="201298204"/>
    <s v="Gonzalez,Mayra"/>
    <s v="Gomez Aguado,Jorge"/>
    <n v="0"/>
    <n v="0"/>
    <n v="0"/>
    <n v="0"/>
    <n v="0.39"/>
    <e v="#N/A"/>
    <e v="#N/A"/>
  </r>
  <r>
    <x v="181"/>
    <x v="24"/>
    <s v="Admin/HR/IT"/>
    <s v="AMCARE NonOcc In"/>
    <s v="TEMP"/>
    <n v="201329332"/>
    <s v="Navarro Ortega,Pablo"/>
    <s v="Corona Arriaga,Fernando"/>
    <n v="0"/>
    <n v="0"/>
    <n v="0"/>
    <n v="0"/>
    <n v="0.12"/>
    <e v="#N/A"/>
    <e v="#N/A"/>
  </r>
  <r>
    <x v="182"/>
    <x v="24"/>
    <s v="Admin/HR/IT"/>
    <s v="AMCARE NonOcc In"/>
    <s v="AMZN"/>
    <n v="112920678"/>
    <s v="Perez  Hernandez,Angel"/>
    <s v="Pizana,Diego"/>
    <n v="0"/>
    <n v="0"/>
    <n v="0"/>
    <n v="0"/>
    <n v="0.02"/>
    <s v="DB-X0700"/>
    <s v="cperezha"/>
  </r>
  <r>
    <x v="182"/>
    <x v="24"/>
    <s v="Admin/HR/IT"/>
    <s v="AMCARE NonOcc In"/>
    <s v="AMZN"/>
    <n v="112972521"/>
    <s v="Perez,Ronny"/>
    <s v="Rosas Negrete,Sebastian"/>
    <n v="0"/>
    <n v="0"/>
    <n v="0"/>
    <n v="0"/>
    <n v="0.26"/>
    <s v="DB-X0700"/>
    <s v="perezrro"/>
  </r>
  <r>
    <x v="182"/>
    <x v="24"/>
    <s v="Admin/HR/IT"/>
    <s v="AMCARE NonOcc In"/>
    <s v="AMZN"/>
    <n v="112991248"/>
    <s v="Cabrera Velazquez,Sandy"/>
    <s v="Madrid Molina,Ramon"/>
    <n v="0"/>
    <n v="0"/>
    <n v="0"/>
    <n v="0"/>
    <n v="0.71"/>
    <e v="#N/A"/>
    <e v="#N/A"/>
  </r>
  <r>
    <x v="182"/>
    <x v="24"/>
    <s v="Admin/HR/IT"/>
    <s v="AMCARE NonOcc In"/>
    <s v="TEMP"/>
    <n v="200508323"/>
    <s v="Espejel Lopez,Emmanuel"/>
    <s v="Ledezma,Fer"/>
    <n v="0"/>
    <n v="0"/>
    <n v="0"/>
    <n v="0"/>
    <n v="0.09"/>
    <e v="#N/A"/>
    <s v="espejell"/>
  </r>
  <r>
    <x v="182"/>
    <x v="24"/>
    <s v="Admin/HR/IT"/>
    <s v="AMCARE NonOcc In"/>
    <s v="TEMP"/>
    <n v="201212196"/>
    <s v="Juarez,Angel"/>
    <s v="Ledezma,Fer"/>
    <n v="0"/>
    <n v="0"/>
    <n v="0"/>
    <n v="0"/>
    <n v="0.1"/>
    <e v="#N/A"/>
    <e v="#N/A"/>
  </r>
  <r>
    <x v="182"/>
    <x v="24"/>
    <s v="Admin/HR/IT"/>
    <s v="AMCARE NonOcc In"/>
    <s v="TEMP"/>
    <n v="201318227"/>
    <s v="Rayas,Hilda"/>
    <s v="Gomez Aguado,Jorge"/>
    <n v="0"/>
    <n v="0"/>
    <n v="0"/>
    <n v="0"/>
    <n v="4.38"/>
    <e v="#N/A"/>
    <e v="#N/A"/>
  </r>
  <r>
    <x v="182"/>
    <x v="24"/>
    <s v="Admin/HR/IT"/>
    <s v="AMCARE NonOcc In"/>
    <s v="TEMP"/>
    <n v="201401654"/>
    <s v="Garcia,Karen"/>
    <s v="Corona Arriaga,Fernando"/>
    <n v="0"/>
    <n v="0"/>
    <n v="0"/>
    <n v="0"/>
    <n v="0.64"/>
    <e v="#N/A"/>
    <e v="#N/A"/>
  </r>
  <r>
    <x v="183"/>
    <x v="25"/>
    <s v="Admin/HR/IT"/>
    <s v="AMCARE NonOcc In"/>
    <s v="TEMP"/>
    <n v="112912007"/>
    <s v="Robledo Barrientos,Alondra"/>
    <s v="Gomez,Abinadab"/>
    <n v="0"/>
    <n v="0"/>
    <n v="0"/>
    <n v="0"/>
    <n v="0.34"/>
    <e v="#N/A"/>
    <e v="#N/A"/>
  </r>
  <r>
    <x v="183"/>
    <x v="25"/>
    <s v="Admin/HR/IT"/>
    <s v="AMCARE NonOcc In"/>
    <s v="AMZN"/>
    <n v="112912507"/>
    <s v="Velazquez,Charlie"/>
    <s v="Munoz,Jonan"/>
    <n v="0"/>
    <n v="0"/>
    <n v="0"/>
    <n v="0"/>
    <n v="0.2"/>
    <s v="DA-X0700"/>
    <s v="hvcharli"/>
  </r>
  <r>
    <x v="183"/>
    <x v="25"/>
    <s v="Admin/HR/IT"/>
    <s v="AMCARE NonOcc In"/>
    <s v="AMZN"/>
    <n v="112912663"/>
    <s v="Segura,Lucero"/>
    <s v="Munoz,Jonan"/>
    <n v="0"/>
    <n v="0"/>
    <n v="0"/>
    <n v="0"/>
    <n v="0.79"/>
    <e v="#N/A"/>
    <e v="#N/A"/>
  </r>
  <r>
    <x v="183"/>
    <x v="25"/>
    <s v="Admin/HR/IT"/>
    <s v="AMCARE NonOcc In"/>
    <s v="AMZN"/>
    <n v="112980847"/>
    <s v="Reyes,Jose"/>
    <s v="Gomez,Abinadab"/>
    <n v="0"/>
    <n v="0"/>
    <n v="0"/>
    <n v="0"/>
    <n v="0.21"/>
    <e v="#N/A"/>
    <e v="#N/A"/>
  </r>
  <r>
    <x v="183"/>
    <x v="25"/>
    <s v="Admin/HR/IT"/>
    <s v="AMCARE NonOcc In"/>
    <s v="TEMP"/>
    <n v="201172306"/>
    <s v="Valdez,CÃ©sar"/>
    <s v="Gomez,Abinadab"/>
    <n v="0"/>
    <n v="0"/>
    <n v="0"/>
    <n v="0"/>
    <n v="0.03"/>
    <e v="#N/A"/>
    <s v="cesarvae"/>
  </r>
  <r>
    <x v="183"/>
    <x v="25"/>
    <s v="Admin/HR/IT"/>
    <s v="AMCARE NonOcc In"/>
    <s v="TEMP"/>
    <n v="201198979"/>
    <s v="Mendoza,Omar"/>
    <s v="Piedra,Valentina"/>
    <n v="0"/>
    <n v="0"/>
    <n v="0"/>
    <n v="0"/>
    <n v="0.23"/>
    <e v="#N/A"/>
    <e v="#N/A"/>
  </r>
  <r>
    <x v="183"/>
    <x v="25"/>
    <s v="Admin/HR/IT"/>
    <s v="AMCARE NonOcc In"/>
    <s v="TEMP"/>
    <n v="201201993"/>
    <s v="Olmos,Lucia"/>
    <s v="Bueno Mendoza,Susana"/>
    <n v="0"/>
    <n v="0"/>
    <n v="0"/>
    <n v="0"/>
    <n v="0.27"/>
    <e v="#N/A"/>
    <e v="#N/A"/>
  </r>
  <r>
    <x v="183"/>
    <x v="25"/>
    <s v="Admin/HR/IT"/>
    <s v="AMCARE NonOcc In"/>
    <s v="TEMP"/>
    <n v="201294405"/>
    <s v="Rojas,Catherine"/>
    <s v="Gomez,Abinadab"/>
    <n v="0"/>
    <n v="0"/>
    <n v="0"/>
    <n v="0"/>
    <n v="0.18"/>
    <e v="#N/A"/>
    <e v="#N/A"/>
  </r>
  <r>
    <x v="183"/>
    <x v="25"/>
    <s v="Admin/HR/IT"/>
    <s v="AMCARE NonOcc In"/>
    <s v="TEMP"/>
    <n v="201378614"/>
    <s v="Meza,Fernando"/>
    <s v="Bueno Mendoza,Susana"/>
    <n v="0"/>
    <n v="0"/>
    <n v="0"/>
    <n v="0"/>
    <n v="0.09"/>
    <e v="#N/A"/>
    <e v="#N/A"/>
  </r>
  <r>
    <x v="183"/>
    <x v="25"/>
    <s v="Admin/HR/IT"/>
    <s v="AMCARE NonOcc In"/>
    <s v="TEMP"/>
    <n v="201402216"/>
    <s v="Navia,Victor"/>
    <s v="Bueno Mendoza,Susana"/>
    <n v="0"/>
    <n v="0"/>
    <n v="0"/>
    <n v="0"/>
    <n v="0.16"/>
    <e v="#N/A"/>
    <e v="#N/A"/>
  </r>
  <r>
    <x v="184"/>
    <x v="25"/>
    <s v="Admin/HR/IT"/>
    <s v="AMCARE NonOcc In"/>
    <s v="AMZN"/>
    <n v="112950807"/>
    <s v="Sanchez Lira,Aaron"/>
    <s v="Garcia Espejel,Brenda Victoria"/>
    <n v="0"/>
    <n v="0"/>
    <n v="0"/>
    <n v="0"/>
    <n v="0.61"/>
    <s v="DA-X0700"/>
    <s v="kaarsanc"/>
  </r>
  <r>
    <x v="184"/>
    <x v="25"/>
    <s v="Admin/HR/IT"/>
    <s v="AMCARE NonOcc In"/>
    <s v="AMZN"/>
    <n v="112955736"/>
    <s v="Cuevas,Lalo"/>
    <s v="Garcia Espejel,Brenda Victoria"/>
    <n v="0"/>
    <n v="0"/>
    <n v="0"/>
    <n v="0"/>
    <n v="0.12"/>
    <s v="DA-X0700"/>
    <s v="cueplalo"/>
  </r>
  <r>
    <x v="184"/>
    <x v="25"/>
    <s v="Admin/HR/IT"/>
    <s v="AMCARE NonOcc In"/>
    <s v="AMZN"/>
    <n v="112980847"/>
    <s v="Reyes,Jose"/>
    <s v="Gomez,Abinadab"/>
    <n v="0"/>
    <n v="0"/>
    <n v="0"/>
    <n v="0"/>
    <n v="0.37"/>
    <e v="#N/A"/>
    <e v="#N/A"/>
  </r>
  <r>
    <x v="184"/>
    <x v="25"/>
    <s v="Admin/HR/IT"/>
    <s v="AMCARE NonOcc In"/>
    <s v="AMZN"/>
    <n v="113014403"/>
    <s v="Arias Sanchez,Nora"/>
    <s v="Romero Sanchez,Gustavo Gabriel"/>
    <n v="0"/>
    <n v="0"/>
    <n v="0"/>
    <n v="0"/>
    <n v="0.17"/>
    <e v="#N/A"/>
    <s v="wnoraria"/>
  </r>
  <r>
    <x v="184"/>
    <x v="25"/>
    <s v="Admin/HR/IT"/>
    <s v="AMCARE NonOcc In"/>
    <s v="AMZN"/>
    <n v="200404250"/>
    <s v="Hurtado,Caty"/>
    <s v="Romero Sanchez,Gustavo Gabriel"/>
    <n v="0"/>
    <n v="0"/>
    <n v="0"/>
    <n v="0"/>
    <n v="0.44"/>
    <e v="#N/A"/>
    <s v="xcathurt"/>
  </r>
  <r>
    <x v="184"/>
    <x v="25"/>
    <s v="Admin/HR/IT"/>
    <s v="AMCARE NonOcc In"/>
    <s v="AMZN"/>
    <n v="200614224"/>
    <s v="Cruz Hernandez,Cris"/>
    <s v="Ledezma,Fer"/>
    <n v="0"/>
    <n v="0"/>
    <n v="0"/>
    <n v="0"/>
    <n v="0.12"/>
    <e v="#N/A"/>
    <e v="#N/A"/>
  </r>
  <r>
    <x v="184"/>
    <x v="25"/>
    <s v="Admin/HR/IT"/>
    <s v="AMCARE NonOcc In"/>
    <s v="TEMP"/>
    <n v="201198979"/>
    <s v="Mendoza,Omar"/>
    <s v="Piedra,Valentina"/>
    <n v="0"/>
    <n v="0"/>
    <n v="0"/>
    <n v="0"/>
    <n v="0.49"/>
    <e v="#N/A"/>
    <e v="#N/A"/>
  </r>
  <r>
    <x v="184"/>
    <x v="25"/>
    <s v="Admin/HR/IT"/>
    <s v="AMCARE NonOcc In"/>
    <s v="TEMP"/>
    <n v="201298365"/>
    <s v="Hernandez,Lesli"/>
    <s v="Gomez,Abinadab"/>
    <n v="0"/>
    <n v="0"/>
    <n v="0"/>
    <n v="0"/>
    <n v="0.56000000000000005"/>
    <e v="#N/A"/>
    <s v="hernatle"/>
  </r>
  <r>
    <x v="184"/>
    <x v="25"/>
    <s v="Admin/HR/IT"/>
    <s v="AMCARE NonOcc In"/>
    <s v="TEMP"/>
    <n v="201314835"/>
    <s v="Guzman,Janeth"/>
    <s v="Lopez,Alexa"/>
    <n v="0"/>
    <n v="0"/>
    <n v="0"/>
    <n v="0"/>
    <n v="0.1"/>
    <e v="#N/A"/>
    <e v="#N/A"/>
  </r>
  <r>
    <x v="184"/>
    <x v="25"/>
    <s v="Admin/HR/IT"/>
    <s v="AMCARE NonOcc In"/>
    <s v="TEMP"/>
    <n v="201368616"/>
    <s v="Lopez,Mari"/>
    <s v="Piedra,Valentina"/>
    <n v="0"/>
    <n v="0"/>
    <n v="0"/>
    <n v="0"/>
    <n v="0.26"/>
    <e v="#N/A"/>
    <e v="#N/A"/>
  </r>
  <r>
    <x v="185"/>
    <x v="25"/>
    <s v="Admin/HR/IT"/>
    <s v="AMCARE NonOcc In"/>
    <s v="TEMP"/>
    <n v="112912007"/>
    <s v="Robledo Barrientos,Alondra"/>
    <s v="Gomez,Abinadab"/>
    <n v="0"/>
    <n v="0"/>
    <n v="0"/>
    <n v="0"/>
    <n v="0.32"/>
    <e v="#N/A"/>
    <e v="#N/A"/>
  </r>
  <r>
    <x v="185"/>
    <x v="25"/>
    <s v="Admin/HR/IT"/>
    <s v="AMCARE NonOcc In"/>
    <s v="AMZN"/>
    <n v="112912745"/>
    <s v="Gomez Meza,Alex"/>
    <s v="Gomez,Abinadab"/>
    <n v="0"/>
    <n v="0"/>
    <n v="0"/>
    <n v="0"/>
    <n v="0.31"/>
    <s v="DA-X0700"/>
    <s v="nalexgom"/>
  </r>
  <r>
    <x v="185"/>
    <x v="25"/>
    <s v="Admin/HR/IT"/>
    <s v="AMCARE NonOcc In"/>
    <s v="AMZN"/>
    <n v="112971997"/>
    <s v="Nieto,Emili"/>
    <s v="Rosas Negrete,Sebastian"/>
    <n v="0"/>
    <n v="0"/>
    <n v="0"/>
    <n v="0"/>
    <n v="0.38"/>
    <s v="DA-X0700"/>
    <s v="cemilini"/>
  </r>
  <r>
    <x v="185"/>
    <x v="25"/>
    <s v="Admin/HR/IT"/>
    <s v="AMCARE NonOcc In"/>
    <s v="AMZN"/>
    <n v="112981061"/>
    <s v="Olguin,Claudia"/>
    <s v="Robledo Ugarte,Alejandro"/>
    <n v="0"/>
    <n v="0"/>
    <n v="0"/>
    <n v="0"/>
    <n v="0.61"/>
    <s v="DA-X0700"/>
    <s v="mclaudol"/>
  </r>
  <r>
    <x v="185"/>
    <x v="25"/>
    <s v="Admin/HR/IT"/>
    <s v="AMCARE NonOcc In"/>
    <s v="AMZN"/>
    <n v="112981212"/>
    <s v="Zanella Miranda,Alyson"/>
    <s v="Robledo Ugarte,Alejandro"/>
    <n v="0"/>
    <n v="0"/>
    <n v="0"/>
    <n v="0"/>
    <n v="0.37"/>
    <e v="#N/A"/>
    <s v="alysonza"/>
  </r>
  <r>
    <x v="185"/>
    <x v="25"/>
    <s v="Admin/HR/IT"/>
    <s v="AMCARE NonOcc In"/>
    <s v="AMZN"/>
    <n v="113004017"/>
    <s v="Ramirez,Elizabeth"/>
    <s v="Gomez Aguado,Jorge"/>
    <n v="0"/>
    <n v="0"/>
    <n v="0"/>
    <n v="0"/>
    <n v="0.75"/>
    <e v="#N/A"/>
    <e v="#N/A"/>
  </r>
  <r>
    <x v="185"/>
    <x v="25"/>
    <s v="Admin/HR/IT"/>
    <s v="AMCARE NonOcc In"/>
    <s v="AMZN"/>
    <n v="113101453"/>
    <s v="Isaac,Geovanna"/>
    <s v="Robledo Ugarte,Alejandro"/>
    <n v="0"/>
    <n v="0"/>
    <n v="0"/>
    <n v="0"/>
    <n v="0.15"/>
    <e v="#N/A"/>
    <s v="qisgeova"/>
  </r>
  <r>
    <x v="185"/>
    <x v="25"/>
    <s v="Admin/HR/IT"/>
    <s v="AMCARE NonOcc In"/>
    <s v="AMZN"/>
    <n v="200404250"/>
    <s v="Hurtado,Caty"/>
    <s v="Romero Sanchez,Gustavo Gabriel"/>
    <n v="0"/>
    <n v="0"/>
    <n v="0"/>
    <n v="0"/>
    <n v="1.27"/>
    <e v="#N/A"/>
    <s v="xcathurt"/>
  </r>
  <r>
    <x v="185"/>
    <x v="25"/>
    <s v="Admin/HR/IT"/>
    <s v="AMCARE NonOcc In"/>
    <s v="AMZN"/>
    <n v="200562303"/>
    <s v="Hernandez Cruz,Jorge"/>
    <s v="Robledo Ugarte,Alejandro"/>
    <n v="0"/>
    <n v="0"/>
    <n v="0"/>
    <n v="0"/>
    <n v="0.1"/>
    <e v="#N/A"/>
    <s v="hejorgea"/>
  </r>
  <r>
    <x v="185"/>
    <x v="25"/>
    <s v="Admin/HR/IT"/>
    <s v="AMCARE NonOcc In"/>
    <s v="AMZN"/>
    <n v="200574655"/>
    <s v="Mireles,Dulce"/>
    <s v="Robledo Ugarte,Alejandro"/>
    <n v="0"/>
    <n v="0"/>
    <n v="0"/>
    <n v="0"/>
    <n v="1.08"/>
    <e v="#N/A"/>
    <s v="dulceami"/>
  </r>
  <r>
    <x v="185"/>
    <x v="25"/>
    <s v="Admin/HR/IT"/>
    <s v="AMCARE NonOcc In"/>
    <s v="AMZN"/>
    <n v="200625517"/>
    <s v="RamÃ­rez,Miranda"/>
    <s v="Robledo Ugarte,Alejandro"/>
    <n v="0"/>
    <n v="0"/>
    <n v="0"/>
    <n v="0"/>
    <n v="0.5"/>
    <e v="#N/A"/>
    <e v="#N/A"/>
  </r>
  <r>
    <x v="185"/>
    <x v="25"/>
    <s v="Admin/HR/IT"/>
    <s v="AMCARE NonOcc In"/>
    <s v="TEMP"/>
    <n v="201165769"/>
    <s v="Puente,Karen"/>
    <s v="Piedra,Valentina"/>
    <n v="0"/>
    <n v="0"/>
    <n v="0"/>
    <n v="0"/>
    <n v="0.19"/>
    <e v="#N/A"/>
    <s v="puenkare"/>
  </r>
  <r>
    <x v="185"/>
    <x v="25"/>
    <s v="Admin/HR/IT"/>
    <s v="AMCARE NonOcc In"/>
    <s v="TEMP"/>
    <n v="201172306"/>
    <s v="Valdez,CÃ©sar"/>
    <s v="Gomez,Abinadab"/>
    <n v="0"/>
    <n v="0"/>
    <n v="0"/>
    <n v="0"/>
    <n v="0.37"/>
    <e v="#N/A"/>
    <s v="cesarvae"/>
  </r>
  <r>
    <x v="185"/>
    <x v="25"/>
    <s v="Admin/HR/IT"/>
    <s v="AMCARE NonOcc In"/>
    <s v="TEMP"/>
    <n v="201212196"/>
    <s v="Juarez,Angel"/>
    <s v="Ledezma,Fer"/>
    <n v="0"/>
    <n v="0"/>
    <n v="0"/>
    <n v="0"/>
    <n v="0.34"/>
    <e v="#N/A"/>
    <e v="#N/A"/>
  </r>
  <r>
    <x v="185"/>
    <x v="25"/>
    <s v="Admin/HR/IT"/>
    <s v="AMCARE NonOcc In"/>
    <s v="TEMP"/>
    <n v="201314835"/>
    <s v="Guzman,Janeth"/>
    <s v="Lopez,Alexa"/>
    <n v="0"/>
    <n v="0"/>
    <n v="0"/>
    <n v="0"/>
    <n v="0.46"/>
    <e v="#N/A"/>
    <e v="#N/A"/>
  </r>
  <r>
    <x v="185"/>
    <x v="25"/>
    <s v="Admin/HR/IT"/>
    <s v="AMCARE NonOcc In"/>
    <s v="TEMP"/>
    <n v="201374875"/>
    <s v="Velez,Xochitl"/>
    <s v="Lopez,Alexa"/>
    <n v="0"/>
    <n v="0"/>
    <n v="0"/>
    <n v="0"/>
    <n v="0.38"/>
    <e v="#N/A"/>
    <e v="#N/A"/>
  </r>
  <r>
    <x v="186"/>
    <x v="25"/>
    <s v="Admin/HR/IT"/>
    <s v="AMCARE NonOcc In"/>
    <s v="AMZN"/>
    <n v="112912209"/>
    <s v="Morales,Sarahi"/>
    <s v="Munoz,Jonan"/>
    <n v="0"/>
    <n v="0"/>
    <n v="0"/>
    <n v="0"/>
    <n v="0.85"/>
    <s v="NF-X1900"/>
    <s v="moralefs"/>
  </r>
  <r>
    <x v="186"/>
    <x v="25"/>
    <s v="Admin/HR/IT"/>
    <s v="AMCARE NonOcc In"/>
    <s v="AMZN"/>
    <n v="112920637"/>
    <s v="Tapia,Antonio Torres"/>
    <s v="Pizana,Diego"/>
    <n v="0"/>
    <n v="0"/>
    <n v="0"/>
    <n v="0"/>
    <n v="0.57999999999999996"/>
    <s v="DB-X0700"/>
    <s v="antonitq"/>
  </r>
  <r>
    <x v="186"/>
    <x v="25"/>
    <s v="Admin/HR/IT"/>
    <s v="AMCARE NonOcc In"/>
    <s v="AMZN"/>
    <n v="112971962"/>
    <s v="Reyes  Montes de oca,Alejandra"/>
    <s v="Ledezma,Fer"/>
    <n v="0"/>
    <n v="0"/>
    <n v="0"/>
    <n v="0"/>
    <n v="0.15"/>
    <s v="DB-X0700"/>
    <s v="creyesal"/>
  </r>
  <r>
    <x v="186"/>
    <x v="25"/>
    <s v="Admin/HR/IT"/>
    <s v="AMCARE NonOcc In"/>
    <s v="AMZN"/>
    <n v="112972521"/>
    <s v="Perez,Ronny"/>
    <s v="Rosas Negrete,Sebastian"/>
    <n v="0"/>
    <n v="0"/>
    <n v="0"/>
    <n v="0"/>
    <n v="0.34"/>
    <s v="DB-X0700"/>
    <s v="perezrro"/>
  </r>
  <r>
    <x v="186"/>
    <x v="25"/>
    <s v="Admin/HR/IT"/>
    <s v="AMCARE NonOcc In"/>
    <s v="AMZN"/>
    <n v="112980899"/>
    <s v="Avila Cabrera,Ari"/>
    <s v="Bueno Mendoza,Susana"/>
    <n v="0"/>
    <n v="0"/>
    <n v="0"/>
    <n v="0"/>
    <n v="0.22"/>
    <s v="NF-X1900"/>
    <s v="aravilac"/>
  </r>
  <r>
    <x v="186"/>
    <x v="25"/>
    <s v="Admin/HR/IT"/>
    <s v="AMCARE NonOcc In"/>
    <s v="AMZN"/>
    <n v="112981201"/>
    <s v="Ramirez,Andrea"/>
    <s v="Robledo Ugarte,Alejandro"/>
    <n v="0"/>
    <n v="0"/>
    <n v="0"/>
    <n v="0"/>
    <n v="0.46"/>
    <e v="#N/A"/>
    <e v="#N/A"/>
  </r>
  <r>
    <x v="186"/>
    <x v="25"/>
    <s v="Admin/HR/IT"/>
    <s v="AMCARE NonOcc In"/>
    <s v="AMZN"/>
    <n v="112981212"/>
    <s v="Zanella Miranda,Alyson"/>
    <s v="Robledo Ugarte,Alejandro"/>
    <n v="0"/>
    <n v="0"/>
    <n v="0"/>
    <n v="0"/>
    <n v="0.82"/>
    <e v="#N/A"/>
    <s v="alysonza"/>
  </r>
  <r>
    <x v="186"/>
    <x v="25"/>
    <s v="Admin/HR/IT"/>
    <s v="AMCARE NonOcc In"/>
    <s v="AMZN"/>
    <n v="113101453"/>
    <s v="Isaac,Geovanna"/>
    <s v="Robledo Ugarte,Alejandro"/>
    <n v="0"/>
    <n v="0"/>
    <n v="0"/>
    <n v="0"/>
    <n v="0.1"/>
    <e v="#N/A"/>
    <s v="qisgeova"/>
  </r>
  <r>
    <x v="186"/>
    <x v="25"/>
    <s v="Admin/HR/IT"/>
    <s v="AMCARE NonOcc In"/>
    <s v="AMZN"/>
    <n v="200404250"/>
    <s v="Hurtado,Caty"/>
    <s v="Romero Sanchez,Gustavo Gabriel"/>
    <n v="0"/>
    <n v="0"/>
    <n v="0"/>
    <n v="0"/>
    <n v="0.47"/>
    <e v="#N/A"/>
    <s v="xcathurt"/>
  </r>
  <r>
    <x v="186"/>
    <x v="25"/>
    <s v="Admin/HR/IT"/>
    <s v="AMCARE NonOcc In"/>
    <s v="AMZN"/>
    <n v="200552734"/>
    <s v="Santiago Ramirez,Six"/>
    <s v="Madrid Molina,Ramon"/>
    <n v="0"/>
    <n v="0"/>
    <n v="0"/>
    <n v="0"/>
    <n v="0.36"/>
    <e v="#N/A"/>
    <e v="#N/A"/>
  </r>
  <r>
    <x v="186"/>
    <x v="25"/>
    <s v="Admin/HR/IT"/>
    <s v="AMCARE NonOcc In"/>
    <s v="AMZN"/>
    <n v="200564845"/>
    <s v="Barron,Abraham"/>
    <s v="Gomez Aguado,Jorge"/>
    <n v="0"/>
    <n v="0"/>
    <n v="0"/>
    <n v="0"/>
    <n v="0.1"/>
    <e v="#N/A"/>
    <e v="#N/A"/>
  </r>
  <r>
    <x v="186"/>
    <x v="25"/>
    <s v="Admin/HR/IT"/>
    <s v="AMCARE NonOcc In"/>
    <s v="TEMP"/>
    <n v="201166890"/>
    <s v="Caballero,Daniel"/>
    <s v="Romero Sanchez,Gustavo Gabriel"/>
    <n v="0"/>
    <n v="0"/>
    <n v="0"/>
    <n v="0"/>
    <n v="0.11"/>
    <e v="#N/A"/>
    <s v="lcabadan"/>
  </r>
  <r>
    <x v="186"/>
    <x v="25"/>
    <s v="Admin/HR/IT"/>
    <s v="AMCARE NonOcc In"/>
    <s v="TEMP"/>
    <n v="201219500"/>
    <s v="Mazy,RamsÃ©s"/>
    <s v="Ledezma,Fer"/>
    <n v="0"/>
    <n v="0"/>
    <n v="0"/>
    <n v="0"/>
    <n v="0.67"/>
    <e v="#N/A"/>
    <s v="ramsmazy"/>
  </r>
  <r>
    <x v="187"/>
    <x v="25"/>
    <s v="Admin/HR/IT"/>
    <s v="AMCARE NonOcc In"/>
    <s v="AMZN"/>
    <n v="103260242"/>
    <s v="Ayala,Mariela"/>
    <s v="Ledezma,Fer"/>
    <n v="0"/>
    <n v="0"/>
    <n v="0"/>
    <n v="0"/>
    <n v="0.08"/>
    <e v="#N/A"/>
    <e v="#N/A"/>
  </r>
  <r>
    <x v="187"/>
    <x v="25"/>
    <s v="Admin/HR/IT"/>
    <s v="AMCARE NonOcc In"/>
    <s v="AMZN"/>
    <n v="112920655"/>
    <s v="Diaz de LeÃ³n,Paola"/>
    <s v="Pizana,Diego"/>
    <n v="0"/>
    <n v="0"/>
    <n v="0"/>
    <n v="0"/>
    <n v="0.83"/>
    <e v="#N/A"/>
    <e v="#N/A"/>
  </r>
  <r>
    <x v="187"/>
    <x v="25"/>
    <s v="Admin/HR/IT"/>
    <s v="AMCARE NonOcc In"/>
    <s v="AMZN"/>
    <n v="112971988"/>
    <s v="Trejo Tarango,Stephannie Del Rocio"/>
    <s v="Cortes,Alejandra"/>
    <n v="0"/>
    <n v="0"/>
    <n v="0"/>
    <n v="0"/>
    <n v="0.08"/>
    <s v="DB-X0700"/>
    <s v="fadtrejo"/>
  </r>
  <r>
    <x v="187"/>
    <x v="25"/>
    <s v="Admin/HR/IT"/>
    <s v="AMCARE NonOcc In"/>
    <s v="AMZN"/>
    <n v="113020476"/>
    <s v="Puente Aguilar,Polette"/>
    <s v="Madrid Molina,Ramon"/>
    <n v="0"/>
    <n v="0"/>
    <n v="0"/>
    <n v="0"/>
    <n v="0.22"/>
    <e v="#N/A"/>
    <s v="polettpu"/>
  </r>
  <r>
    <x v="187"/>
    <x v="25"/>
    <s v="Admin/HR/IT"/>
    <s v="AMCARE NonOcc In"/>
    <s v="AMZN"/>
    <n v="113040582"/>
    <s v="HDZ,DEMON"/>
    <s v="Robledo Ugarte,Alejandro"/>
    <n v="0"/>
    <n v="0"/>
    <n v="0"/>
    <n v="0"/>
    <n v="0.25"/>
    <e v="#N/A"/>
    <s v="hgerardr"/>
  </r>
  <r>
    <x v="187"/>
    <x v="25"/>
    <s v="Admin/HR/IT"/>
    <s v="AMCARE NonOcc In"/>
    <s v="AMZN"/>
    <n v="200404250"/>
    <s v="Hurtado,Caty"/>
    <s v="Romero Sanchez,Gustavo Gabriel"/>
    <n v="0"/>
    <n v="0"/>
    <n v="0"/>
    <n v="0"/>
    <n v="0.52"/>
    <e v="#N/A"/>
    <s v="xcathurt"/>
  </r>
  <r>
    <x v="187"/>
    <x v="25"/>
    <s v="Admin/HR/IT"/>
    <s v="AMCARE NonOcc In"/>
    <s v="AMZN"/>
    <n v="200615883"/>
    <s v="Ibarra Amaro,Adriana"/>
    <s v="Gomez Aguado,Jorge"/>
    <n v="0"/>
    <n v="0"/>
    <n v="0"/>
    <n v="0"/>
    <n v="0.32"/>
    <e v="#N/A"/>
    <e v="#N/A"/>
  </r>
  <r>
    <x v="187"/>
    <x v="25"/>
    <s v="Admin/HR/IT"/>
    <s v="AMCARE NonOcc In"/>
    <s v="TEMP"/>
    <n v="201159033"/>
    <s v="Arrona,Monserrat"/>
    <s v="Corona Arriaga,Fernando"/>
    <n v="0"/>
    <n v="0"/>
    <n v="0"/>
    <n v="0"/>
    <n v="0.17"/>
    <e v="#N/A"/>
    <s v="monsarru"/>
  </r>
  <r>
    <x v="187"/>
    <x v="25"/>
    <s v="Admin/HR/IT"/>
    <s v="AMCARE NonOcc In"/>
    <s v="TEMP"/>
    <n v="201223730"/>
    <s v="Sanchiz,Cesarito"/>
    <s v="Corona Arriaga,Fernando"/>
    <n v="0"/>
    <n v="0"/>
    <n v="0"/>
    <n v="0"/>
    <n v="0.33"/>
    <e v="#N/A"/>
    <s v="cesarito"/>
  </r>
  <r>
    <x v="188"/>
    <x v="25"/>
    <s v="Admin/HR/IT"/>
    <s v="AMCARE NonOcc In"/>
    <s v="AMZN"/>
    <n v="112912511"/>
    <s v="Elorza,Sergio"/>
    <s v="Gomez Aguado,Jorge"/>
    <n v="0"/>
    <n v="0"/>
    <n v="0"/>
    <n v="0"/>
    <n v="0.97"/>
    <s v="DB-X0700"/>
    <s v="sergelor"/>
  </r>
  <r>
    <x v="188"/>
    <x v="25"/>
    <s v="Admin/HR/IT"/>
    <s v="AMCARE NonOcc In"/>
    <s v="AMZN"/>
    <n v="112912983"/>
    <s v="RodrÃ­guez,RocÃ­o"/>
    <s v="Corona Arriaga,Fernando"/>
    <n v="0"/>
    <n v="0"/>
    <n v="0"/>
    <n v="0"/>
    <n v="0.12"/>
    <s v="NF-X1900"/>
    <s v="wrocirod"/>
  </r>
  <r>
    <x v="188"/>
    <x v="25"/>
    <s v="Admin/HR/IT"/>
    <s v="AMCARE NonOcc In"/>
    <s v="AMZN"/>
    <n v="113014072"/>
    <s v="Rivera,Mariana"/>
    <s v="Madrid Molina,Ramon"/>
    <n v="0"/>
    <n v="0"/>
    <n v="0"/>
    <n v="0"/>
    <n v="0.15"/>
    <e v="#N/A"/>
    <e v="#N/A"/>
  </r>
  <r>
    <x v="188"/>
    <x v="25"/>
    <s v="Admin/HR/IT"/>
    <s v="AMCARE NonOcc In"/>
    <s v="AMZN"/>
    <n v="113020476"/>
    <s v="Puente Aguilar,Polette"/>
    <s v="Madrid Molina,Ramon"/>
    <n v="0"/>
    <n v="0"/>
    <n v="0"/>
    <n v="0"/>
    <n v="0.27"/>
    <e v="#N/A"/>
    <s v="polettpu"/>
  </r>
  <r>
    <x v="188"/>
    <x v="25"/>
    <s v="Admin/HR/IT"/>
    <s v="AMCARE NonOcc In"/>
    <s v="TEMP"/>
    <n v="201223730"/>
    <s v="Sanchiz,Cesarito"/>
    <s v="Corona Arriaga,Fernando"/>
    <n v="0"/>
    <n v="0"/>
    <n v="0"/>
    <n v="0"/>
    <n v="0.21"/>
    <e v="#N/A"/>
    <s v="cesarito"/>
  </r>
  <r>
    <x v="188"/>
    <x v="25"/>
    <s v="Admin/HR/IT"/>
    <s v="AMCARE NonOcc In"/>
    <s v="TEMP"/>
    <n v="201309605"/>
    <s v="Hernandez,Yamile"/>
    <s v="Gomez Aguado,Jorge"/>
    <n v="0"/>
    <n v="0"/>
    <n v="0"/>
    <n v="0"/>
    <n v="0.14000000000000001"/>
    <e v="#N/A"/>
    <e v="#N/A"/>
  </r>
  <r>
    <x v="188"/>
    <x v="25"/>
    <s v="Admin/HR/IT"/>
    <s v="AMCARE NonOcc In"/>
    <s v="TEMP"/>
    <n v="201363254"/>
    <s v="Frausto,Raziel"/>
    <s v="Cortes,Alejandra"/>
    <n v="0"/>
    <n v="0"/>
    <n v="0"/>
    <n v="0"/>
    <n v="0.18"/>
    <e v="#N/A"/>
    <s v="fwraziel"/>
  </r>
  <r>
    <x v="189"/>
    <x v="25"/>
    <s v="Admin/HR/IT"/>
    <s v="AMCARE NonOcc In"/>
    <s v="AMZN"/>
    <n v="112920655"/>
    <s v="Diaz de LeÃ³n,Paola"/>
    <s v="Pizana,Diego"/>
    <n v="0"/>
    <n v="0"/>
    <n v="0"/>
    <n v="0"/>
    <n v="1.87"/>
    <e v="#N/A"/>
    <e v="#N/A"/>
  </r>
  <r>
    <x v="189"/>
    <x v="25"/>
    <s v="Admin/HR/IT"/>
    <s v="AMCARE NonOcc In"/>
    <s v="AMZN"/>
    <n v="112920666"/>
    <s v="Rocha,Jose"/>
    <s v="Cortes,Alejandra"/>
    <n v="0"/>
    <n v="0"/>
    <n v="0"/>
    <n v="0"/>
    <n v="0.13"/>
    <s v="D5-X0700"/>
    <s v="jorochai"/>
  </r>
  <r>
    <x v="189"/>
    <x v="25"/>
    <s v="Admin/HR/IT"/>
    <s v="AMCARE NonOcc In"/>
    <s v="AMZN"/>
    <n v="113003971"/>
    <s v="Garcia  Ramirez,Gabriel"/>
    <s v="Corona Arriaga,Fernando"/>
    <n v="0"/>
    <n v="0"/>
    <n v="0"/>
    <n v="0"/>
    <n v="0.1"/>
    <e v="#N/A"/>
    <s v="garamird"/>
  </r>
  <r>
    <x v="189"/>
    <x v="25"/>
    <s v="Admin/HR/IT"/>
    <s v="AMCARE NonOcc In"/>
    <s v="AMZN"/>
    <n v="200562154"/>
    <s v="Reyes Muniz,Cristian"/>
    <s v="Corona Arriaga,Fernando"/>
    <n v="0"/>
    <n v="0"/>
    <n v="0"/>
    <n v="0"/>
    <n v="0.35"/>
    <e v="#N/A"/>
    <s v="reyesmcw"/>
  </r>
  <r>
    <x v="189"/>
    <x v="25"/>
    <s v="Admin/HR/IT"/>
    <s v="AMCARE NonOcc In"/>
    <s v="TEMP"/>
    <n v="201185299"/>
    <s v="Garcia,Noemi"/>
    <s v="Ledezma,Fer"/>
    <n v="0"/>
    <n v="0"/>
    <n v="0"/>
    <n v="0"/>
    <n v="0.11"/>
    <e v="#N/A"/>
    <s v="sganoemi"/>
  </r>
  <r>
    <x v="190"/>
    <x v="26"/>
    <s v="Admin/HR/IT"/>
    <s v="AMCARE NonOcc In"/>
    <s v="AMZN"/>
    <n v="112912745"/>
    <s v="Gomez Meza,Alex"/>
    <s v="Gomez,Abinadab"/>
    <n v="0"/>
    <n v="0"/>
    <n v="0"/>
    <n v="0"/>
    <n v="0.48"/>
    <s v="DA-X0700"/>
    <s v="nalexgom"/>
  </r>
  <r>
    <x v="190"/>
    <x v="26"/>
    <s v="Admin/HR/IT"/>
    <s v="AMCARE NonOcc In"/>
    <s v="AMZN"/>
    <n v="112950784"/>
    <s v="Rojas,Samuel"/>
    <s v="Pizana,Diego"/>
    <n v="0"/>
    <n v="0"/>
    <n v="0"/>
    <n v="0"/>
    <n v="0.19"/>
    <s v="NF-X1900"/>
    <s v="sarojast"/>
  </r>
  <r>
    <x v="190"/>
    <x v="26"/>
    <s v="Admin/HR/IT"/>
    <s v="AMCARE NonOcc In"/>
    <s v="AMZN"/>
    <n v="112980812"/>
    <s v="Jacobo,Mary"/>
    <s v="Gomez,Abinadab"/>
    <n v="0"/>
    <n v="0"/>
    <n v="0"/>
    <n v="0"/>
    <n v="0.21"/>
    <s v="DA-X0700"/>
    <s v="maryjacp"/>
  </r>
  <r>
    <x v="190"/>
    <x v="26"/>
    <s v="Admin/HR/IT"/>
    <s v="AMCARE NonOcc In"/>
    <s v="AMZN"/>
    <n v="113101453"/>
    <s v="Isaac,Geovanna"/>
    <s v="Robledo Ugarte,Alejandro"/>
    <n v="0"/>
    <n v="0"/>
    <n v="0"/>
    <n v="0"/>
    <n v="0.08"/>
    <e v="#N/A"/>
    <s v="qisgeova"/>
  </r>
  <r>
    <x v="190"/>
    <x v="26"/>
    <s v="Admin/HR/IT"/>
    <s v="AMCARE NonOcc In"/>
    <s v="AMZN"/>
    <n v="200625517"/>
    <s v="RamÃ­rez,Mindy"/>
    <s v="Robledo Ugarte,Alejandro"/>
    <n v="0"/>
    <n v="0"/>
    <n v="0"/>
    <n v="0"/>
    <n v="0.36"/>
    <e v="#N/A"/>
    <e v="#N/A"/>
  </r>
  <r>
    <x v="190"/>
    <x v="26"/>
    <s v="Admin/HR/IT"/>
    <s v="AMCARE NonOcc In"/>
    <s v="TEMP"/>
    <n v="201204937"/>
    <s v="Vazquez,Carmen"/>
    <s v="Ledezma,Fer"/>
    <n v="0"/>
    <n v="0"/>
    <n v="0"/>
    <n v="0"/>
    <n v="7.0000000000000007E-2"/>
    <e v="#N/A"/>
    <e v="#N/A"/>
  </r>
  <r>
    <x v="190"/>
    <x v="26"/>
    <s v="Admin/HR/IT"/>
    <s v="AMCARE NonOcc In"/>
    <s v="TEMP"/>
    <n v="201294405"/>
    <s v="Rojas,Catherine"/>
    <s v="Gomez,Abinadab"/>
    <n v="0"/>
    <n v="0"/>
    <n v="0"/>
    <n v="0"/>
    <n v="0.75"/>
    <e v="#N/A"/>
    <e v="#N/A"/>
  </r>
  <r>
    <x v="190"/>
    <x v="26"/>
    <s v="Admin/HR/IT"/>
    <s v="AMCARE NonOcc In"/>
    <s v="TEMP"/>
    <n v="201409070"/>
    <s v="Hernandez,Estefania"/>
    <s v="Gomez Aguado,Jorge"/>
    <n v="0"/>
    <n v="0"/>
    <n v="0"/>
    <n v="0"/>
    <n v="0.4"/>
    <e v="#N/A"/>
    <e v="#N/A"/>
  </r>
  <r>
    <x v="191"/>
    <x v="26"/>
    <s v="Admin/HR/IT"/>
    <s v="AMCARE NonOcc In"/>
    <s v="AMZN"/>
    <n v="112980878"/>
    <s v="Romero Escobar,Gerardo"/>
    <s v="Romero Sanchez,Gustavo Gabriel"/>
    <n v="0"/>
    <n v="0"/>
    <n v="0"/>
    <n v="0"/>
    <n v="0.16"/>
    <e v="#N/A"/>
    <e v="#N/A"/>
  </r>
  <r>
    <x v="191"/>
    <x v="26"/>
    <s v="Admin/HR/IT"/>
    <s v="AMCARE NonOcc In"/>
    <s v="AMZN"/>
    <n v="200404250"/>
    <s v="Hurtado,Caty"/>
    <s v="Romero Sanchez,Gustavo Gabriel"/>
    <n v="0"/>
    <n v="0"/>
    <n v="0"/>
    <n v="0"/>
    <n v="0.48"/>
    <e v="#N/A"/>
    <s v="xcathurt"/>
  </r>
  <r>
    <x v="192"/>
    <x v="26"/>
    <s v="Admin/HR/IT"/>
    <s v="AMCARE NonOcc In"/>
    <s v="AMZN"/>
    <n v="112950809"/>
    <s v="Rocha,Luz"/>
    <s v="Munoz,Jonan"/>
    <n v="0"/>
    <n v="0"/>
    <n v="0"/>
    <n v="0"/>
    <n v="0.12"/>
    <s v="DA-X0700"/>
    <s v="lurochae"/>
  </r>
  <r>
    <x v="192"/>
    <x v="26"/>
    <s v="Admin/HR/IT"/>
    <s v="AMCARE NonOcc In"/>
    <s v="AMZN"/>
    <n v="112980878"/>
    <s v="Romero Escobar,Gerardo"/>
    <s v="Romero Sanchez,Gustavo Gabriel"/>
    <n v="0"/>
    <n v="0"/>
    <n v="0"/>
    <n v="0"/>
    <n v="0.78"/>
    <e v="#N/A"/>
    <e v="#N/A"/>
  </r>
  <r>
    <x v="192"/>
    <x v="26"/>
    <s v="Admin/HR/IT"/>
    <s v="AMCARE NonOcc In"/>
    <s v="AMZN"/>
    <n v="113014094"/>
    <s v="Mercado,Erika"/>
    <s v="Robledo Ugarte,Alejandro"/>
    <n v="0"/>
    <n v="0"/>
    <n v="0"/>
    <n v="0"/>
    <n v="0.1"/>
    <e v="#N/A"/>
    <s v="erikaadm"/>
  </r>
  <r>
    <x v="192"/>
    <x v="26"/>
    <s v="Admin/HR/IT"/>
    <s v="AMCARE NonOcc In"/>
    <s v="AMZN"/>
    <n v="113020463"/>
    <s v="Valtierra,Alejandra"/>
    <s v="Robledo Ugarte,Alejandro"/>
    <n v="0"/>
    <n v="0"/>
    <n v="0"/>
    <n v="0"/>
    <n v="0.52"/>
    <e v="#N/A"/>
    <s v="myriamav"/>
  </r>
  <r>
    <x v="192"/>
    <x v="26"/>
    <s v="Admin/HR/IT"/>
    <s v="AMCARE NonOcc In"/>
    <s v="AMZN"/>
    <n v="200404250"/>
    <s v="Hurtado,Caty"/>
    <s v="Romero Sanchez,Gustavo Gabriel"/>
    <n v="0"/>
    <n v="0"/>
    <n v="0"/>
    <n v="0"/>
    <n v="0.37"/>
    <e v="#N/A"/>
    <s v="xcathurt"/>
  </r>
  <r>
    <x v="192"/>
    <x v="26"/>
    <s v="Admin/HR/IT"/>
    <s v="AMCARE NonOcc In"/>
    <s v="TEMP"/>
    <n v="201165769"/>
    <s v="Puente,Karen"/>
    <s v="Piedra,Valentina"/>
    <n v="0"/>
    <n v="0"/>
    <n v="0"/>
    <n v="0"/>
    <n v="0.74"/>
    <e v="#N/A"/>
    <s v="puenkare"/>
  </r>
  <r>
    <x v="192"/>
    <x v="26"/>
    <s v="Admin/HR/IT"/>
    <s v="AMCARE NonOcc In"/>
    <s v="TEMP"/>
    <n v="201201993"/>
    <s v="Olmos,Lucia"/>
    <s v="Bueno Mendoza,Susana"/>
    <n v="0"/>
    <n v="0"/>
    <n v="0"/>
    <n v="0"/>
    <n v="0.32"/>
    <e v="#N/A"/>
    <e v="#N/A"/>
  </r>
  <r>
    <x v="192"/>
    <x v="26"/>
    <s v="Admin/HR/IT"/>
    <s v="AMCARE NonOcc In"/>
    <s v="TEMP"/>
    <n v="201320388"/>
    <s v="Pena,Laura"/>
    <s v="Robledo Ugarte,Alejandro"/>
    <n v="0"/>
    <n v="0"/>
    <n v="0"/>
    <n v="0"/>
    <n v="0.52"/>
    <e v="#N/A"/>
    <e v="#N/A"/>
  </r>
  <r>
    <x v="192"/>
    <x v="26"/>
    <s v="Admin/HR/IT"/>
    <s v="AMCARE NonOcc In"/>
    <s v="TEMP"/>
    <n v="201329529"/>
    <s v="Padilla,Pablo"/>
    <s v="Lopez,Alexa"/>
    <n v="0"/>
    <n v="0"/>
    <n v="0"/>
    <n v="0"/>
    <n v="0.13"/>
    <e v="#N/A"/>
    <e v="#N/A"/>
  </r>
  <r>
    <x v="192"/>
    <x v="26"/>
    <s v="Admin/HR/IT"/>
    <s v="AMCARE NonOcc In"/>
    <s v="TEMP"/>
    <n v="201369351"/>
    <s v="Delgado Iracheta,Cesar Josue"/>
    <s v="Munoz,Jonan"/>
    <n v="0"/>
    <n v="0"/>
    <n v="0"/>
    <n v="0"/>
    <n v="0.41"/>
    <e v="#N/A"/>
    <e v="#N/A"/>
  </r>
  <r>
    <x v="192"/>
    <x v="26"/>
    <s v="Admin/HR/IT"/>
    <s v="AMCARE NonOcc In"/>
    <s v="TEMP"/>
    <n v="201402060"/>
    <s v="Tovar,Mariana"/>
    <s v="Piedra,Valentina"/>
    <n v="0"/>
    <n v="0"/>
    <n v="0"/>
    <n v="0"/>
    <n v="0.23"/>
    <e v="#N/A"/>
    <e v="#N/A"/>
  </r>
  <r>
    <x v="193"/>
    <x v="26"/>
    <s v="Admin/HR/IT"/>
    <s v="AMCARE NonOcc In"/>
    <s v="AMZN"/>
    <n v="112950809"/>
    <s v="Rocha,Luz"/>
    <s v="Munoz,Jonan"/>
    <n v="0"/>
    <n v="0"/>
    <n v="0"/>
    <n v="0"/>
    <n v="0.12"/>
    <s v="DA-X0700"/>
    <s v="lurochae"/>
  </r>
  <r>
    <x v="193"/>
    <x v="26"/>
    <s v="Admin/HR/IT"/>
    <s v="AMCARE NonOcc In"/>
    <s v="AMZN"/>
    <n v="112980878"/>
    <s v="Romero Escobar,Gerardo"/>
    <s v="Romero Sanchez,Gustavo Gabriel"/>
    <n v="0"/>
    <n v="0"/>
    <n v="0"/>
    <n v="0"/>
    <n v="0.78"/>
    <e v="#N/A"/>
    <e v="#N/A"/>
  </r>
  <r>
    <x v="193"/>
    <x v="26"/>
    <s v="Admin/HR/IT"/>
    <s v="AMCARE NonOcc In"/>
    <s v="AMZN"/>
    <n v="113014094"/>
    <s v="Mercado,Erika"/>
    <s v="Robledo Ugarte,Alejandro"/>
    <n v="0"/>
    <n v="0"/>
    <n v="0"/>
    <n v="0"/>
    <n v="0.1"/>
    <e v="#N/A"/>
    <s v="erikaadm"/>
  </r>
  <r>
    <x v="193"/>
    <x v="26"/>
    <s v="Admin/HR/IT"/>
    <s v="AMCARE NonOcc In"/>
    <s v="AMZN"/>
    <n v="113020463"/>
    <s v="Valtierra,Alejandra"/>
    <s v="Robledo Ugarte,Alejandro"/>
    <n v="0"/>
    <n v="0"/>
    <n v="0"/>
    <n v="0"/>
    <n v="0.52"/>
    <e v="#N/A"/>
    <s v="myriamav"/>
  </r>
  <r>
    <x v="193"/>
    <x v="26"/>
    <s v="Admin/HR/IT"/>
    <s v="AMCARE NonOcc In"/>
    <s v="AMZN"/>
    <n v="200404250"/>
    <s v="Hurtado,Caty"/>
    <s v="Romero Sanchez,Gustavo Gabriel"/>
    <n v="0"/>
    <n v="0"/>
    <n v="0"/>
    <n v="0"/>
    <n v="0.37"/>
    <e v="#N/A"/>
    <s v="xcathurt"/>
  </r>
  <r>
    <x v="193"/>
    <x v="26"/>
    <s v="Admin/HR/IT"/>
    <s v="AMCARE NonOcc In"/>
    <s v="TEMP"/>
    <n v="201165769"/>
    <s v="Puente,Karen"/>
    <s v="Piedra,Valentina"/>
    <n v="0"/>
    <n v="0"/>
    <n v="0"/>
    <n v="0"/>
    <n v="0.74"/>
    <e v="#N/A"/>
    <s v="puenkare"/>
  </r>
  <r>
    <x v="193"/>
    <x v="26"/>
    <s v="Admin/HR/IT"/>
    <s v="AMCARE NonOcc In"/>
    <s v="TEMP"/>
    <n v="201201993"/>
    <s v="Olmos,Lucia"/>
    <s v="Bueno Mendoza,Susana"/>
    <n v="0"/>
    <n v="0"/>
    <n v="0"/>
    <n v="0"/>
    <n v="0.32"/>
    <e v="#N/A"/>
    <e v="#N/A"/>
  </r>
  <r>
    <x v="193"/>
    <x v="26"/>
    <s v="Admin/HR/IT"/>
    <s v="AMCARE NonOcc In"/>
    <s v="TEMP"/>
    <n v="201320388"/>
    <s v="Pena,Laura"/>
    <s v="Robledo Ugarte,Alejandro"/>
    <n v="0"/>
    <n v="0"/>
    <n v="0"/>
    <n v="0"/>
    <n v="0.52"/>
    <e v="#N/A"/>
    <e v="#N/A"/>
  </r>
  <r>
    <x v="193"/>
    <x v="26"/>
    <s v="Admin/HR/IT"/>
    <s v="AMCARE NonOcc In"/>
    <s v="TEMP"/>
    <n v="201329529"/>
    <s v="Padilla,Pablo"/>
    <s v="Lopez,Alexa"/>
    <n v="0"/>
    <n v="0"/>
    <n v="0"/>
    <n v="0"/>
    <n v="0.13"/>
    <e v="#N/A"/>
    <e v="#N/A"/>
  </r>
  <r>
    <x v="193"/>
    <x v="26"/>
    <s v="Admin/HR/IT"/>
    <s v="AMCARE NonOcc In"/>
    <s v="TEMP"/>
    <n v="201369351"/>
    <s v="Delgado Iracheta,Cesar Josue"/>
    <s v="Munoz,Jonan"/>
    <n v="0"/>
    <n v="0"/>
    <n v="0"/>
    <n v="0"/>
    <n v="0.41"/>
    <e v="#N/A"/>
    <e v="#N/A"/>
  </r>
  <r>
    <x v="193"/>
    <x v="26"/>
    <s v="Admin/HR/IT"/>
    <s v="AMCARE NonOcc In"/>
    <s v="TEMP"/>
    <n v="201402060"/>
    <s v="Tovar,Mariana"/>
    <s v="Piedra,Valentina"/>
    <n v="0"/>
    <n v="0"/>
    <n v="0"/>
    <n v="0"/>
    <n v="0.23"/>
    <e v="#N/A"/>
    <e v="#N/A"/>
  </r>
  <r>
    <x v="194"/>
    <x v="26"/>
    <s v="Admin/HR/IT"/>
    <s v="AMCARE NonOcc In"/>
    <s v="AMZN"/>
    <n v="112912054"/>
    <s v="Rivera Ramirez,Jorge"/>
    <s v="Pizana,Diego"/>
    <n v="0"/>
    <n v="0"/>
    <n v="0"/>
    <n v="0"/>
    <n v="0.2"/>
    <s v="DB-X0700"/>
    <s v="privejor"/>
  </r>
  <r>
    <x v="194"/>
    <x v="26"/>
    <s v="Admin/HR/IT"/>
    <s v="AMCARE NonOcc In"/>
    <s v="AMZN"/>
    <n v="112981196"/>
    <s v="Gomez,Andrea"/>
    <s v="Piedra,Valentina"/>
    <n v="0"/>
    <n v="0"/>
    <n v="0"/>
    <n v="0"/>
    <n v="0.19"/>
    <e v="#N/A"/>
    <s v="vandgome"/>
  </r>
  <r>
    <x v="194"/>
    <x v="26"/>
    <s v="Admin/HR/IT"/>
    <s v="AMCARE NonOcc In"/>
    <s v="AMZN"/>
    <n v="113040582"/>
    <s v="HDZ,DEMON"/>
    <s v="Robledo Ugarte,Alejandro"/>
    <n v="0"/>
    <n v="0"/>
    <n v="0"/>
    <n v="0"/>
    <n v="0.08"/>
    <e v="#N/A"/>
    <s v="hgerardr"/>
  </r>
  <r>
    <x v="194"/>
    <x v="26"/>
    <s v="Admin/HR/IT"/>
    <s v="AMCARE NonOcc In"/>
    <s v="AMZN"/>
    <n v="113044620"/>
    <s v="Jasso Miranda,Aldo"/>
    <s v="Robledo Ugarte,Alejandro"/>
    <n v="0"/>
    <n v="0"/>
    <n v="0"/>
    <n v="0"/>
    <n v="0.38"/>
    <e v="#N/A"/>
    <s v="aldojasw"/>
  </r>
  <r>
    <x v="194"/>
    <x v="26"/>
    <s v="Admin/HR/IT"/>
    <s v="AMCARE NonOcc In"/>
    <s v="AMZN"/>
    <n v="113101453"/>
    <s v="Isaac,Geovanna"/>
    <s v="Robledo Ugarte,Alejandro"/>
    <n v="0"/>
    <n v="0"/>
    <n v="0"/>
    <n v="0"/>
    <n v="0.82"/>
    <e v="#N/A"/>
    <s v="qisgeova"/>
  </r>
  <r>
    <x v="194"/>
    <x v="26"/>
    <s v="Admin/HR/IT"/>
    <s v="AMCARE NonOcc In"/>
    <s v="AMZN"/>
    <n v="200404250"/>
    <s v="Hurtado,Caty"/>
    <s v="Romero Sanchez,Gustavo Gabriel"/>
    <n v="0"/>
    <n v="0"/>
    <n v="0"/>
    <n v="0"/>
    <n v="0.42"/>
    <e v="#N/A"/>
    <s v="xcathurt"/>
  </r>
  <r>
    <x v="194"/>
    <x v="26"/>
    <s v="Admin/HR/IT"/>
    <s v="AMCARE NonOcc In"/>
    <s v="TEMP"/>
    <n v="200407440"/>
    <s v="Escamilla,Guillermo"/>
    <s v="Romero Sanchez,Gustavo Gabriel"/>
    <n v="0"/>
    <n v="0"/>
    <n v="0"/>
    <n v="0"/>
    <n v="0.3"/>
    <e v="#N/A"/>
    <e v="#N/A"/>
  </r>
  <r>
    <x v="194"/>
    <x v="26"/>
    <s v="Admin/HR/IT"/>
    <s v="AMCARE NonOcc In"/>
    <s v="AMZN"/>
    <n v="200508315"/>
    <s v="Herrera,Aldair"/>
    <s v="Madrid Molina,Ramon"/>
    <n v="0"/>
    <n v="0"/>
    <n v="0"/>
    <n v="0"/>
    <n v="0.39"/>
    <e v="#N/A"/>
    <s v="taldaher"/>
  </r>
  <r>
    <x v="194"/>
    <x v="26"/>
    <s v="Admin/HR/IT"/>
    <s v="AMCARE NonOcc In"/>
    <s v="AMZN"/>
    <n v="200562154"/>
    <s v="Reyes Muniz,Cristian"/>
    <s v="Corona Arriaga,Fernando"/>
    <n v="0"/>
    <n v="0"/>
    <n v="0"/>
    <n v="0"/>
    <n v="0.45"/>
    <e v="#N/A"/>
    <s v="reyesmcw"/>
  </r>
  <r>
    <x v="194"/>
    <x v="26"/>
    <s v="Admin/HR/IT"/>
    <s v="AMCARE NonOcc In"/>
    <s v="AMZN"/>
    <n v="200625528"/>
    <s v="Oliva,Lizbeth"/>
    <s v="Piedra,Valentina"/>
    <n v="0"/>
    <n v="0"/>
    <n v="0"/>
    <n v="0"/>
    <n v="0.12"/>
    <e v="#N/A"/>
    <s v="olivlizb"/>
  </r>
  <r>
    <x v="194"/>
    <x v="26"/>
    <s v="Admin/HR/IT"/>
    <s v="AMCARE NonOcc In"/>
    <s v="TEMP"/>
    <n v="201191390"/>
    <s v="GarcÃ­a,jesus"/>
    <s v="Madrid Molina,Ramon"/>
    <n v="0"/>
    <n v="0"/>
    <n v="0"/>
    <n v="0"/>
    <n v="0.13"/>
    <e v="#N/A"/>
    <s v="bgajesus"/>
  </r>
  <r>
    <x v="194"/>
    <x v="26"/>
    <s v="Admin/HR/IT"/>
    <s v="AMCARE NonOcc In"/>
    <s v="TEMP"/>
    <n v="201198922"/>
    <s v="Mendez,Joy"/>
    <s v="Gomez Aguado,Jorge"/>
    <n v="0"/>
    <n v="0"/>
    <n v="0"/>
    <n v="0"/>
    <n v="0.14000000000000001"/>
    <e v="#N/A"/>
    <s v="mendejoy"/>
  </r>
  <r>
    <x v="194"/>
    <x v="26"/>
    <s v="Admin/HR/IT"/>
    <s v="AMCARE NonOcc In"/>
    <s v="TEMP"/>
    <n v="201201993"/>
    <s v="Olmos,Lucia"/>
    <s v="Bueno Mendoza,Susana"/>
    <n v="0"/>
    <n v="0"/>
    <n v="0"/>
    <n v="0"/>
    <n v="0.19"/>
    <e v="#N/A"/>
    <e v="#N/A"/>
  </r>
  <r>
    <x v="194"/>
    <x v="26"/>
    <s v="Admin/HR/IT"/>
    <s v="AMCARE NonOcc In"/>
    <s v="TEMP"/>
    <n v="201294405"/>
    <s v="Rojas,Catherine"/>
    <s v="Gomez,Abinadab"/>
    <n v="0"/>
    <n v="0"/>
    <n v="0"/>
    <n v="0"/>
    <n v="0.11"/>
    <e v="#N/A"/>
    <e v="#N/A"/>
  </r>
  <r>
    <x v="194"/>
    <x v="26"/>
    <s v="Admin/HR/IT"/>
    <s v="AMCARE NonOcc In"/>
    <s v="TEMP"/>
    <n v="201295559"/>
    <s v="Flores,Mar"/>
    <s v="Gomez Aguado,Jorge"/>
    <n v="0"/>
    <n v="0"/>
    <n v="0"/>
    <n v="0"/>
    <n v="0.09"/>
    <e v="#N/A"/>
    <s v="maflorr"/>
  </r>
  <r>
    <x v="194"/>
    <x v="26"/>
    <s v="Admin/HR/IT"/>
    <s v="AMCARE NonOcc In"/>
    <s v="TEMP"/>
    <n v="201338665"/>
    <s v="Reyes,Daniel"/>
    <s v="Lopez,Alexa"/>
    <n v="0"/>
    <n v="0"/>
    <n v="0"/>
    <n v="0"/>
    <n v="0.47"/>
    <e v="#N/A"/>
    <e v="#N/A"/>
  </r>
  <r>
    <x v="194"/>
    <x v="26"/>
    <s v="Admin/HR/IT"/>
    <s v="AMCARE NonOcc In"/>
    <s v="TEMP"/>
    <n v="201341822"/>
    <s v="Rocha,Claudia"/>
    <s v="Corona Arriaga,Fernando"/>
    <n v="0"/>
    <n v="0"/>
    <n v="0"/>
    <n v="0"/>
    <n v="0.33"/>
    <e v="#N/A"/>
    <e v="#N/A"/>
  </r>
  <r>
    <x v="194"/>
    <x v="26"/>
    <s v="Admin/HR/IT"/>
    <s v="AMCARE NonOcc In"/>
    <s v="TEMP"/>
    <n v="201363254"/>
    <s v="Frausto,Raziel"/>
    <s v="Cortes,Alejandra"/>
    <n v="0"/>
    <n v="0"/>
    <n v="0"/>
    <n v="0"/>
    <n v="1.26"/>
    <e v="#N/A"/>
    <s v="fwraziel"/>
  </r>
  <r>
    <x v="194"/>
    <x v="26"/>
    <s v="Admin/HR/IT"/>
    <s v="AMCARE NonOcc In"/>
    <s v="TEMP"/>
    <n v="201374875"/>
    <s v="Velez,Xochitl"/>
    <s v="Lopez,Alexa"/>
    <n v="0"/>
    <n v="0"/>
    <n v="0"/>
    <n v="0"/>
    <n v="0.41"/>
    <e v="#N/A"/>
    <e v="#N/A"/>
  </r>
  <r>
    <x v="194"/>
    <x v="26"/>
    <s v="Admin/HR/IT"/>
    <s v="AMCARE NonOcc In"/>
    <s v="TEMP"/>
    <n v="201401219"/>
    <s v="Moreno,Nayma"/>
    <s v="Bueno Mendoza,Susana"/>
    <n v="0"/>
    <n v="0"/>
    <n v="0"/>
    <n v="0"/>
    <n v="0.23"/>
    <e v="#N/A"/>
    <s v="namorena"/>
  </r>
  <r>
    <x v="194"/>
    <x v="26"/>
    <s v="Admin/HR/IT"/>
    <s v="AMCARE NonOcc In"/>
    <s v="TEMP"/>
    <n v="201409070"/>
    <s v="Hernandez,Estefania"/>
    <s v="Gomez Aguado,Jorge"/>
    <n v="0"/>
    <n v="0"/>
    <n v="0"/>
    <n v="0"/>
    <n v="0.34"/>
    <e v="#N/A"/>
    <e v="#N/A"/>
  </r>
  <r>
    <x v="195"/>
    <x v="26"/>
    <s v="Admin/HR/IT"/>
    <s v="AMCARE NonOcc In"/>
    <s v="TEMP"/>
    <n v="112912747"/>
    <s v="Velasco,Cristina"/>
    <s v="Lopez,Alexa"/>
    <n v="0"/>
    <n v="0"/>
    <n v="0"/>
    <n v="0"/>
    <n v="0.47"/>
    <e v="#N/A"/>
    <e v="#N/A"/>
  </r>
  <r>
    <x v="195"/>
    <x v="26"/>
    <s v="Admin/HR/IT"/>
    <s v="AMCARE NonOcc In"/>
    <s v="AMZN"/>
    <n v="112916533"/>
    <s v="Torres Lozano,Jorge"/>
    <s v="Gomez Aguado,Jorge"/>
    <n v="0"/>
    <n v="0"/>
    <n v="0"/>
    <n v="0"/>
    <n v="0.69"/>
    <s v="DB-X0700"/>
    <s v="ljorgeto"/>
  </r>
  <r>
    <x v="195"/>
    <x v="26"/>
    <s v="Admin/HR/IT"/>
    <s v="AMCARE NonOcc In"/>
    <s v="AMZN"/>
    <n v="112920654"/>
    <s v="Horta,Julieta"/>
    <s v="Hernandez,Nataly"/>
    <n v="0"/>
    <n v="0"/>
    <n v="0"/>
    <n v="0"/>
    <n v="0.16"/>
    <s v="DB-X0700"/>
    <s v="qhojulie"/>
  </r>
  <r>
    <x v="195"/>
    <x v="26"/>
    <s v="Admin/HR/IT"/>
    <s v="AMCARE NonOcc In"/>
    <s v="AMZN"/>
    <n v="112971962"/>
    <s v="Reyes  Montes de oca,Alejandra"/>
    <s v="Ledezma,Fer"/>
    <n v="0"/>
    <n v="0"/>
    <n v="0"/>
    <n v="0"/>
    <n v="0.19"/>
    <s v="DB-X0700"/>
    <s v="creyesal"/>
  </r>
  <r>
    <x v="195"/>
    <x v="26"/>
    <s v="Admin/HR/IT"/>
    <s v="AMCARE NonOcc In"/>
    <s v="AMZN"/>
    <n v="113052151"/>
    <s v="Nieves Mendez,Laura"/>
    <s v="Ledezma,Fer"/>
    <n v="0"/>
    <n v="0"/>
    <n v="0"/>
    <n v="0"/>
    <n v="0.12"/>
    <e v="#N/A"/>
    <s v="nilaurab"/>
  </r>
  <r>
    <x v="195"/>
    <x v="26"/>
    <s v="Admin/HR/IT"/>
    <s v="AMCARE NonOcc In"/>
    <s v="AMZN"/>
    <n v="200562154"/>
    <s v="Reyes Muniz,Cristian"/>
    <s v="Corona Arriaga,Fernando"/>
    <n v="0"/>
    <n v="0"/>
    <n v="0"/>
    <n v="0"/>
    <n v="0.56999999999999995"/>
    <e v="#N/A"/>
    <s v="reyesmcw"/>
  </r>
  <r>
    <x v="195"/>
    <x v="26"/>
    <s v="Admin/HR/IT"/>
    <s v="AMCARE NonOcc In"/>
    <s v="AMZN"/>
    <n v="200564845"/>
    <s v="Barron,Abraham"/>
    <s v="Gomez Aguado,Jorge"/>
    <n v="0"/>
    <n v="0"/>
    <n v="0"/>
    <n v="0"/>
    <n v="0.38"/>
    <e v="#N/A"/>
    <e v="#N/A"/>
  </r>
  <r>
    <x v="195"/>
    <x v="26"/>
    <s v="Admin/HR/IT"/>
    <s v="AMCARE NonOcc In"/>
    <s v="AMZN"/>
    <n v="200625528"/>
    <s v="Oliva,Lizbeth"/>
    <s v="Piedra,Valentina"/>
    <n v="0"/>
    <n v="0"/>
    <n v="0"/>
    <n v="0"/>
    <n v="0.18"/>
    <e v="#N/A"/>
    <s v="olivlizb"/>
  </r>
  <r>
    <x v="195"/>
    <x v="26"/>
    <s v="Admin/HR/IT"/>
    <s v="AMCARE NonOcc In"/>
    <s v="TEMP"/>
    <n v="201166890"/>
    <s v="Caballero,Daniel"/>
    <s v="Romero Sanchez,Gustavo Gabriel"/>
    <n v="0"/>
    <n v="0"/>
    <n v="0"/>
    <n v="0"/>
    <n v="0.14000000000000001"/>
    <e v="#N/A"/>
    <s v="lcabadan"/>
  </r>
  <r>
    <x v="195"/>
    <x v="26"/>
    <s v="Admin/HR/IT"/>
    <s v="AMCARE NonOcc In"/>
    <s v="TEMP"/>
    <n v="201167501"/>
    <s v="Rodriguez,Ruben"/>
    <s v="Robledo Ugarte,Alejandro"/>
    <n v="0"/>
    <n v="0"/>
    <n v="0"/>
    <n v="0"/>
    <n v="1.01"/>
    <e v="#N/A"/>
    <s v="wguanajr"/>
  </r>
  <r>
    <x v="195"/>
    <x v="26"/>
    <s v="Admin/HR/IT"/>
    <s v="AMCARE NonOcc In"/>
    <s v="TEMP"/>
    <n v="201185653"/>
    <s v="Lopez,Mine"/>
    <s v="Corona Arriaga,Fernando"/>
    <n v="0"/>
    <n v="0"/>
    <n v="0"/>
    <n v="0"/>
    <n v="0.14000000000000001"/>
    <e v="#N/A"/>
    <s v="luisamin"/>
  </r>
  <r>
    <x v="195"/>
    <x v="26"/>
    <s v="Admin/HR/IT"/>
    <s v="AMCARE NonOcc In"/>
    <s v="TEMP"/>
    <n v="201320388"/>
    <s v="Pena,Laura"/>
    <s v="Robledo Ugarte,Alejandro"/>
    <n v="0"/>
    <n v="0"/>
    <n v="0"/>
    <n v="0"/>
    <n v="0.53"/>
    <e v="#N/A"/>
    <e v="#N/A"/>
  </r>
  <r>
    <x v="195"/>
    <x v="26"/>
    <s v="Admin/HR/IT"/>
    <s v="AMCARE NonOcc In"/>
    <s v="TEMP"/>
    <n v="201353166"/>
    <s v="Martinez,Lucia"/>
    <s v="Ledezma,Fer"/>
    <n v="0"/>
    <n v="0"/>
    <n v="0"/>
    <n v="0"/>
    <n v="0.44"/>
    <e v="#N/A"/>
    <s v="mamlucia"/>
  </r>
  <r>
    <x v="195"/>
    <x v="26"/>
    <s v="Admin/HR/IT"/>
    <s v="AMCARE NonOcc In"/>
    <s v="TEMP"/>
    <n v="201354965"/>
    <s v="JimÃ©nez,Aline"/>
    <s v="Lopez,Alexa"/>
    <n v="0"/>
    <n v="0"/>
    <n v="0"/>
    <n v="0"/>
    <n v="0.23"/>
    <e v="#N/A"/>
    <s v="alinejim"/>
  </r>
  <r>
    <x v="195"/>
    <x v="26"/>
    <s v="Admin/HR/IT"/>
    <s v="AMCARE NonOcc In"/>
    <s v="TEMP"/>
    <n v="201403462"/>
    <s v="Valdovino,Jorge"/>
    <s v="Corona Arriaga,Fernando"/>
    <n v="0"/>
    <n v="0"/>
    <n v="0"/>
    <n v="0"/>
    <n v="0.25"/>
    <e v="#N/A"/>
    <s v="valdojoe"/>
  </r>
  <r>
    <x v="196"/>
    <x v="26"/>
    <s v="Admin/HR/IT"/>
    <s v="AMCARE NonOcc In"/>
    <s v="AMZN"/>
    <n v="112912054"/>
    <s v="Rivera Ramirez,Jorge"/>
    <s v="Pizana,Diego"/>
    <n v="0"/>
    <n v="0"/>
    <n v="0"/>
    <n v="0"/>
    <n v="0.17"/>
    <s v="DB-X0700"/>
    <s v="privejor"/>
  </r>
  <r>
    <x v="196"/>
    <x v="26"/>
    <s v="Admin/HR/IT"/>
    <s v="AMCARE NonOcc In"/>
    <s v="AMZN"/>
    <n v="112916533"/>
    <s v="Torres Lozano,Jorge"/>
    <s v="Gomez Aguado,Jorge"/>
    <n v="0"/>
    <n v="0"/>
    <n v="0"/>
    <n v="0"/>
    <n v="0.69"/>
    <s v="DB-X0700"/>
    <s v="ljorgeto"/>
  </r>
  <r>
    <x v="196"/>
    <x v="26"/>
    <s v="Admin/HR/IT"/>
    <s v="AMCARE NonOcc In"/>
    <s v="AMZN"/>
    <n v="112951256"/>
    <s v="Ramirez Vallejo,Kateryne"/>
    <s v="Pizana,Diego"/>
    <n v="0"/>
    <n v="0"/>
    <n v="0"/>
    <n v="0"/>
    <n v="1.3"/>
    <s v="DA-X0700"/>
    <s v="grkatery"/>
  </r>
  <r>
    <x v="196"/>
    <x v="26"/>
    <s v="Admin/HR/IT"/>
    <s v="AMCARE NonOcc In"/>
    <s v="AMZN"/>
    <n v="112971962"/>
    <s v="Reyes  Montes de oca,Alejandra"/>
    <s v="Ledezma,Fer"/>
    <n v="0"/>
    <n v="0"/>
    <n v="0"/>
    <n v="0"/>
    <n v="0.34"/>
    <s v="DB-X0700"/>
    <s v="creyesal"/>
  </r>
  <r>
    <x v="196"/>
    <x v="26"/>
    <s v="Admin/HR/IT"/>
    <s v="AMCARE NonOcc In"/>
    <s v="AMZN"/>
    <n v="112976043"/>
    <s v="Rivas,Ricardo"/>
    <s v="Ãvila,Arturo"/>
    <n v="0"/>
    <n v="0"/>
    <n v="0"/>
    <n v="0"/>
    <n v="0.01"/>
    <s v="DE-X1024"/>
    <s v="ricrivab"/>
  </r>
  <r>
    <x v="196"/>
    <x v="26"/>
    <s v="Admin/HR/IT"/>
    <s v="AMCARE NonOcc In"/>
    <s v="AMZN"/>
    <n v="113004099"/>
    <s v="Partida,Luis"/>
    <s v="Madrid Molina,Ramon"/>
    <n v="0"/>
    <n v="0"/>
    <n v="0"/>
    <n v="0"/>
    <n v="7.0000000000000007E-2"/>
    <e v="#N/A"/>
    <s v="partilum"/>
  </r>
  <r>
    <x v="196"/>
    <x v="26"/>
    <s v="Admin/HR/IT"/>
    <s v="AMCARE NonOcc In"/>
    <s v="AMZN"/>
    <n v="113014084"/>
    <s v="Diaz,Manuel"/>
    <s v="Gomez Aguado,Jorge"/>
    <n v="0"/>
    <n v="0"/>
    <n v="0"/>
    <n v="0"/>
    <n v="0.54"/>
    <e v="#N/A"/>
    <s v="dnmanuel"/>
  </r>
  <r>
    <x v="196"/>
    <x v="26"/>
    <s v="Admin/HR/IT"/>
    <s v="AMCARE NonOcc In"/>
    <s v="AMZN"/>
    <n v="113020476"/>
    <s v="Puente Aguilar,Polette"/>
    <s v="Madrid Molina,Ramon"/>
    <n v="0"/>
    <n v="0"/>
    <n v="0"/>
    <n v="0"/>
    <n v="0.22"/>
    <e v="#N/A"/>
    <s v="polettpu"/>
  </r>
  <r>
    <x v="196"/>
    <x v="26"/>
    <s v="Admin/HR/IT"/>
    <s v="AMCARE NonOcc In"/>
    <s v="AMZN"/>
    <n v="113101262"/>
    <s v="Tinoco,Cesar"/>
    <s v="Corona Arriaga,Fernando"/>
    <n v="0"/>
    <n v="0"/>
    <n v="0"/>
    <n v="0"/>
    <n v="0.19"/>
    <e v="#N/A"/>
    <s v="cetinocr"/>
  </r>
  <r>
    <x v="196"/>
    <x v="26"/>
    <s v="Admin/HR/IT"/>
    <s v="AMCARE NonOcc In"/>
    <s v="AMZN"/>
    <n v="200562154"/>
    <s v="Reyes Muniz,Cristian"/>
    <s v="Corona Arriaga,Fernando"/>
    <n v="0"/>
    <n v="0"/>
    <n v="0"/>
    <n v="0"/>
    <n v="0.49"/>
    <e v="#N/A"/>
    <s v="reyesmcw"/>
  </r>
  <r>
    <x v="196"/>
    <x v="26"/>
    <s v="Admin/HR/IT"/>
    <s v="AMCARE NonOcc In"/>
    <s v="AMZN"/>
    <n v="200564845"/>
    <s v="Barron,Abraham"/>
    <s v="Gomez Aguado,Jorge"/>
    <n v="0"/>
    <n v="0"/>
    <n v="0"/>
    <n v="0"/>
    <n v="0.41"/>
    <e v="#N/A"/>
    <e v="#N/A"/>
  </r>
  <r>
    <x v="196"/>
    <x v="26"/>
    <s v="Admin/HR/IT"/>
    <s v="AMCARE NonOcc In"/>
    <s v="AMZN"/>
    <n v="200614224"/>
    <s v="Cruz Hernandez,Cris"/>
    <s v="Ledezma,Fer"/>
    <n v="0"/>
    <n v="0"/>
    <n v="0"/>
    <n v="0"/>
    <n v="0.1"/>
    <e v="#N/A"/>
    <e v="#N/A"/>
  </r>
  <r>
    <x v="196"/>
    <x v="26"/>
    <s v="Admin/HR/IT"/>
    <s v="AMCARE NonOcc In"/>
    <s v="AMZN"/>
    <n v="200615883"/>
    <s v="Ibarra Amaro,Adriana"/>
    <s v="Gomez Aguado,Jorge"/>
    <n v="0"/>
    <n v="0"/>
    <n v="0"/>
    <n v="0"/>
    <n v="0.18"/>
    <e v="#N/A"/>
    <e v="#N/A"/>
  </r>
  <r>
    <x v="196"/>
    <x v="26"/>
    <s v="Admin/HR/IT"/>
    <s v="AMCARE NonOcc In"/>
    <s v="TEMP"/>
    <n v="201166890"/>
    <s v="Caballero,Daniel"/>
    <s v="Romero Sanchez,Gustavo Gabriel"/>
    <n v="0"/>
    <n v="0"/>
    <n v="0"/>
    <n v="0"/>
    <n v="0.14000000000000001"/>
    <e v="#N/A"/>
    <s v="lcabadan"/>
  </r>
  <r>
    <x v="196"/>
    <x v="26"/>
    <s v="Admin/HR/IT"/>
    <s v="AMCARE NonOcc In"/>
    <s v="TEMP"/>
    <n v="201167388"/>
    <s v="Aguirre,Octavio"/>
    <s v="Madrid Molina,Ramon"/>
    <n v="0"/>
    <n v="0"/>
    <n v="0"/>
    <n v="0"/>
    <n v="0.15"/>
    <e v="#N/A"/>
    <s v="naguirro"/>
  </r>
  <r>
    <x v="196"/>
    <x v="26"/>
    <s v="Admin/HR/IT"/>
    <s v="AMCARE NonOcc In"/>
    <s v="TEMP"/>
    <n v="201314835"/>
    <s v="Guzman,Janeth"/>
    <s v="Lopez,Alexa"/>
    <n v="0"/>
    <n v="0"/>
    <n v="0"/>
    <n v="0"/>
    <n v="0.77"/>
    <e v="#N/A"/>
    <e v="#N/A"/>
  </r>
  <r>
    <x v="196"/>
    <x v="26"/>
    <s v="Admin/HR/IT"/>
    <s v="AMCARE NonOcc In"/>
    <s v="TEMP"/>
    <n v="201374875"/>
    <s v="Velez,Xochitl"/>
    <s v="Lopez,Alexa"/>
    <n v="0"/>
    <n v="0"/>
    <n v="0"/>
    <n v="0"/>
    <n v="0.05"/>
    <e v="#N/A"/>
    <e v="#N/A"/>
  </r>
  <r>
    <x v="197"/>
    <x v="27"/>
    <s v="Admin/HR/IT"/>
    <s v="AMCARE NonOcc In"/>
    <s v="AMZN"/>
    <n v="112912752"/>
    <s v="Valderrama Gomez,Leslie"/>
    <s v="Piedra,Valentina"/>
    <n v="0"/>
    <n v="0"/>
    <n v="0"/>
    <n v="0"/>
    <n v="0.28000000000000003"/>
    <s v="NF-X1900"/>
    <s v="valderle"/>
  </r>
  <r>
    <x v="197"/>
    <x v="27"/>
    <s v="Admin/HR/IT"/>
    <s v="AMCARE NonOcc In"/>
    <s v="AMZN"/>
    <n v="112916534"/>
    <s v="Esparza Sanchez,Areli"/>
    <s v="Corona Arriaga,Fernando"/>
    <n v="0"/>
    <n v="0"/>
    <n v="0"/>
    <n v="0"/>
    <n v="0.56000000000000005"/>
    <s v="DB-X0700"/>
    <s v="earelili"/>
  </r>
  <r>
    <x v="197"/>
    <x v="27"/>
    <s v="Admin/HR/IT"/>
    <s v="AMCARE NonOcc In"/>
    <s v="AMZN"/>
    <n v="112950818"/>
    <s v="Sanchez Banuelos,Edith"/>
    <s v="Bueno Mendoza,Susana"/>
    <n v="0"/>
    <n v="0"/>
    <n v="0"/>
    <n v="0"/>
    <n v="0.15"/>
    <s v="DA-X0700"/>
    <s v="xedithsa"/>
  </r>
  <r>
    <x v="197"/>
    <x v="27"/>
    <s v="Admin/HR/IT"/>
    <s v="AMCARE NonOcc In"/>
    <s v="AMZN"/>
    <n v="112971962"/>
    <s v="Reyes  Montes de oca,Alejandra"/>
    <s v="Ledezma,Fer"/>
    <n v="0"/>
    <n v="0"/>
    <n v="0"/>
    <n v="0"/>
    <n v="0.22"/>
    <s v="DB-X0700"/>
    <s v="creyesal"/>
  </r>
  <r>
    <x v="197"/>
    <x v="27"/>
    <s v="Admin/HR/IT"/>
    <s v="AMCARE NonOcc In"/>
    <s v="AMZN"/>
    <n v="112981194"/>
    <s v="Camacho Delgado,Karina"/>
    <s v="Piedra,Valentina"/>
    <n v="0"/>
    <n v="0"/>
    <n v="0"/>
    <n v="0"/>
    <n v="0.25"/>
    <s v="NF-X1900"/>
    <s v="csandrak"/>
  </r>
  <r>
    <x v="197"/>
    <x v="27"/>
    <s v="Admin/HR/IT"/>
    <s v="AMCARE NonOcc In"/>
    <s v="AMZN"/>
    <n v="113014470"/>
    <s v="Aguilar Ibarra,Lupe"/>
    <s v="Robledo Ugarte,Alejandro"/>
    <n v="0"/>
    <n v="0"/>
    <n v="0"/>
    <n v="0"/>
    <n v="0.28000000000000003"/>
    <e v="#N/A"/>
    <s v="lupaguin"/>
  </r>
  <r>
    <x v="197"/>
    <x v="27"/>
    <s v="Admin/HR/IT"/>
    <s v="AMCARE NonOcc In"/>
    <s v="TEMP"/>
    <n v="200525930"/>
    <s v="Salazar,Joana"/>
    <s v="Gomez Aguado,Jorge"/>
    <n v="0"/>
    <n v="0"/>
    <n v="0"/>
    <n v="0"/>
    <n v="0.17"/>
    <e v="#N/A"/>
    <e v="#N/A"/>
  </r>
  <r>
    <x v="197"/>
    <x v="27"/>
    <s v="Admin/HR/IT"/>
    <s v="AMCARE NonOcc In"/>
    <s v="AMZN"/>
    <n v="200562154"/>
    <s v="Reyes Muniz,Cristian"/>
    <s v="Corona Arriaga,Fernando"/>
    <n v="0"/>
    <n v="0"/>
    <n v="0"/>
    <n v="0"/>
    <n v="0.48"/>
    <e v="#N/A"/>
    <s v="reyesmcw"/>
  </r>
  <r>
    <x v="197"/>
    <x v="27"/>
    <s v="Admin/HR/IT"/>
    <s v="AMCARE NonOcc In"/>
    <s v="AMZN"/>
    <n v="200625517"/>
    <s v="RamÃ­rez,Mindy"/>
    <s v="Robledo Ugarte,Alejandro"/>
    <n v="0"/>
    <n v="0"/>
    <n v="0"/>
    <n v="0"/>
    <n v="0.24"/>
    <e v="#N/A"/>
    <e v="#N/A"/>
  </r>
  <r>
    <x v="197"/>
    <x v="27"/>
    <s v="Admin/HR/IT"/>
    <s v="AMCARE NonOcc In"/>
    <s v="TEMP"/>
    <n v="201167501"/>
    <s v="Rodriguez,Ruben"/>
    <s v="Robledo Ugarte,Alejandro"/>
    <n v="0"/>
    <n v="0"/>
    <n v="0"/>
    <n v="0"/>
    <n v="0.35"/>
    <e v="#N/A"/>
    <s v="wguanajr"/>
  </r>
  <r>
    <x v="197"/>
    <x v="27"/>
    <s v="Admin/HR/IT"/>
    <s v="AMCARE NonOcc In"/>
    <s v="TEMP"/>
    <n v="201186777"/>
    <s v="Monzon,Berenice"/>
    <s v="Romero Sanchez,Gustavo Gabriel"/>
    <n v="0"/>
    <n v="0"/>
    <n v="0"/>
    <n v="0"/>
    <n v="0.22"/>
    <e v="#N/A"/>
    <s v="bemonzon"/>
  </r>
  <r>
    <x v="197"/>
    <x v="27"/>
    <s v="Admin/HR/IT"/>
    <s v="AMCARE NonOcc In"/>
    <s v="TEMP"/>
    <n v="201191198"/>
    <s v="Mojica,Emmanuel"/>
    <s v="Ledezma,Fer"/>
    <n v="0"/>
    <n v="0"/>
    <n v="0"/>
    <n v="0"/>
    <n v="0.56000000000000005"/>
    <e v="#N/A"/>
    <s v="mojicemm"/>
  </r>
  <r>
    <x v="197"/>
    <x v="27"/>
    <s v="Admin/HR/IT"/>
    <s v="AMCARE NonOcc In"/>
    <s v="TEMP"/>
    <n v="201353166"/>
    <s v="Martinez,Lucia"/>
    <s v="Ledezma,Fer"/>
    <n v="0"/>
    <n v="0"/>
    <n v="0"/>
    <n v="0"/>
    <n v="0.23"/>
    <e v="#N/A"/>
    <s v="mamlucia"/>
  </r>
  <r>
    <x v="197"/>
    <x v="27"/>
    <s v="Admin/HR/IT"/>
    <s v="AMCARE NonOcc In"/>
    <s v="TEMP"/>
    <n v="201378542"/>
    <s v="Contreras,Evelyn"/>
    <s v="Bueno Mendoza,Susana"/>
    <n v="0"/>
    <n v="0"/>
    <n v="0"/>
    <n v="0"/>
    <n v="0.2"/>
    <e v="#N/A"/>
    <s v="tcontree"/>
  </r>
  <r>
    <x v="197"/>
    <x v="27"/>
    <s v="Admin/HR/IT"/>
    <s v="AMCARE NonOcc In"/>
    <s v="TEMP"/>
    <n v="201378614"/>
    <s v="Meza,Fernando"/>
    <s v="Bueno Mendoza,Susana"/>
    <n v="0"/>
    <n v="0"/>
    <n v="0"/>
    <n v="0"/>
    <n v="0.11"/>
    <e v="#N/A"/>
    <e v="#N/A"/>
  </r>
  <r>
    <x v="197"/>
    <x v="27"/>
    <s v="Admin/HR/IT"/>
    <s v="AMCARE NonOcc In"/>
    <s v="TEMP"/>
    <n v="201409070"/>
    <s v="Hernandez,Estefania"/>
    <s v="Gomez Aguado,Jorge"/>
    <n v="0"/>
    <n v="0"/>
    <n v="0"/>
    <n v="0"/>
    <n v="0.59"/>
    <e v="#N/A"/>
    <e v="#N/A"/>
  </r>
  <r>
    <x v="197"/>
    <x v="27"/>
    <s v="Admin/HR/IT"/>
    <s v="AMCARE Occ In"/>
    <s v="AMZN"/>
    <n v="112912745"/>
    <s v="Gomez Meza,Alex"/>
    <s v="Piedra,Valentina"/>
    <n v="0"/>
    <n v="0"/>
    <n v="0"/>
    <n v="0"/>
    <n v="0.37"/>
    <s v="DA-X0700"/>
    <s v="nalexgom"/>
  </r>
  <r>
    <x v="198"/>
    <x v="27"/>
    <s v="Admin/HR/IT"/>
    <s v="AMCARE NonOcc In"/>
    <s v="AMZN"/>
    <n v="112698209"/>
    <s v="Ramirez Ramirez,Diana Cecilia"/>
    <s v="Garcia Espejel,Brenda Victoria"/>
    <n v="0"/>
    <n v="0"/>
    <n v="0"/>
    <n v="0"/>
    <n v="7.0000000000000007E-2"/>
    <s v="DA-X0700"/>
    <s v="dianacec"/>
  </r>
  <r>
    <x v="198"/>
    <x v="27"/>
    <s v="Admin/HR/IT"/>
    <s v="AMCARE NonOcc In"/>
    <s v="AMZN"/>
    <n v="112912663"/>
    <s v="Segura,Lucero"/>
    <s v="Munoz,Jonan"/>
    <n v="0"/>
    <n v="0"/>
    <n v="0"/>
    <n v="0"/>
    <n v="0.59"/>
    <e v="#N/A"/>
    <e v="#N/A"/>
  </r>
  <r>
    <x v="198"/>
    <x v="27"/>
    <s v="Admin/HR/IT"/>
    <s v="AMCARE NonOcc In"/>
    <s v="AMZN"/>
    <n v="112971962"/>
    <s v="Reyes  Montes de oca,Alejandra"/>
    <s v="Ledezma,Fer"/>
    <n v="0"/>
    <n v="0"/>
    <n v="0"/>
    <n v="0"/>
    <n v="0.26"/>
    <s v="DB-X0700"/>
    <s v="creyesal"/>
  </r>
  <r>
    <x v="198"/>
    <x v="27"/>
    <s v="Admin/HR/IT"/>
    <s v="AMCARE NonOcc In"/>
    <s v="AMZN"/>
    <n v="112981061"/>
    <s v="Olguin,Claudia"/>
    <s v="Robledo Ugarte,Alejandro"/>
    <n v="0"/>
    <n v="0"/>
    <n v="0"/>
    <n v="0"/>
    <n v="1.36"/>
    <s v="DA-X0700"/>
    <s v="mclaudol"/>
  </r>
  <r>
    <x v="198"/>
    <x v="27"/>
    <s v="Admin/HR/IT"/>
    <s v="AMCARE NonOcc In"/>
    <s v="AMZN"/>
    <n v="113004017"/>
    <s v="Ramirez,Elizabeth"/>
    <s v="Gomez Aguado,Jorge"/>
    <n v="0"/>
    <n v="0"/>
    <n v="0"/>
    <n v="0"/>
    <n v="0.56000000000000005"/>
    <e v="#N/A"/>
    <e v="#N/A"/>
  </r>
  <r>
    <x v="198"/>
    <x v="27"/>
    <s v="Admin/HR/IT"/>
    <s v="AMCARE NonOcc In"/>
    <s v="AMZN"/>
    <n v="113014084"/>
    <s v="Diaz,Manuel"/>
    <s v="Gomez Aguado,Jorge"/>
    <n v="0"/>
    <n v="0"/>
    <n v="0"/>
    <n v="0"/>
    <n v="0.15"/>
    <e v="#N/A"/>
    <s v="dnmanuel"/>
  </r>
  <r>
    <x v="198"/>
    <x v="27"/>
    <s v="Admin/HR/IT"/>
    <s v="AMCARE NonOcc In"/>
    <s v="AMZN"/>
    <n v="113101453"/>
    <s v="Isaac,Geovanna"/>
    <s v="Robledo Ugarte,Alejandro"/>
    <n v="0"/>
    <n v="0"/>
    <n v="0"/>
    <n v="0"/>
    <n v="0.5"/>
    <e v="#N/A"/>
    <s v="qisgeova"/>
  </r>
  <r>
    <x v="198"/>
    <x v="27"/>
    <s v="Admin/HR/IT"/>
    <s v="AMCARE NonOcc In"/>
    <s v="AMZN"/>
    <n v="200514421"/>
    <s v="Padilla Abrego,Angeles"/>
    <s v="Romero Sanchez,Gustavo Gabriel"/>
    <n v="0"/>
    <n v="0"/>
    <n v="0"/>
    <n v="0"/>
    <n v="1.43"/>
    <e v="#N/A"/>
    <s v="padillms"/>
  </r>
  <r>
    <x v="198"/>
    <x v="27"/>
    <s v="Admin/HR/IT"/>
    <s v="AMCARE NonOcc In"/>
    <s v="AMZN"/>
    <n v="200553205"/>
    <s v="Cabrera,Nancy"/>
    <s v="Romero Sanchez,Gustavo Gabriel"/>
    <n v="0"/>
    <n v="0"/>
    <n v="0"/>
    <n v="0"/>
    <n v="0.27"/>
    <e v="#N/A"/>
    <e v="#N/A"/>
  </r>
  <r>
    <x v="198"/>
    <x v="27"/>
    <s v="Admin/HR/IT"/>
    <s v="AMCARE NonOcc In"/>
    <s v="AMZN"/>
    <n v="200562154"/>
    <s v="Reyes Muniz,Cristian"/>
    <s v="Corona Arriaga,Fernando"/>
    <n v="0"/>
    <n v="0"/>
    <n v="0"/>
    <n v="0"/>
    <n v="0.21"/>
    <e v="#N/A"/>
    <s v="reyesmcw"/>
  </r>
  <r>
    <x v="198"/>
    <x v="27"/>
    <s v="Admin/HR/IT"/>
    <s v="AMCARE NonOcc In"/>
    <s v="AMZN"/>
    <n v="200574655"/>
    <s v="Mireles,Dulce"/>
    <s v="Robledo Ugarte,Alejandro"/>
    <n v="0"/>
    <n v="0"/>
    <n v="0"/>
    <n v="0"/>
    <n v="1.07"/>
    <e v="#N/A"/>
    <s v="dulceami"/>
  </r>
  <r>
    <x v="198"/>
    <x v="27"/>
    <s v="Admin/HR/IT"/>
    <s v="AMCARE NonOcc In"/>
    <s v="AMZN"/>
    <n v="200594875"/>
    <s v="Maldonado,Jose"/>
    <s v="Piedra,Valentina"/>
    <n v="0"/>
    <n v="0"/>
    <n v="0"/>
    <n v="0"/>
    <n v="0.68"/>
    <e v="#N/A"/>
    <s v="jwmaldon"/>
  </r>
  <r>
    <x v="198"/>
    <x v="27"/>
    <s v="Admin/HR/IT"/>
    <s v="AMCARE NonOcc In"/>
    <s v="AMZN"/>
    <n v="200625517"/>
    <s v="RamÃ­rez,Mindy"/>
    <s v="Robledo Ugarte,Alejandro"/>
    <n v="0"/>
    <n v="0"/>
    <n v="0"/>
    <n v="0"/>
    <n v="1.89"/>
    <e v="#N/A"/>
    <e v="#N/A"/>
  </r>
  <r>
    <x v="198"/>
    <x v="27"/>
    <s v="Admin/HR/IT"/>
    <s v="AMCARE NonOcc In"/>
    <s v="TEMP"/>
    <n v="201167501"/>
    <s v="Rodriguez,Ruben"/>
    <s v="Robledo Ugarte,Alejandro"/>
    <n v="0"/>
    <n v="0"/>
    <n v="0"/>
    <n v="0"/>
    <n v="0.28999999999999998"/>
    <e v="#N/A"/>
    <s v="wguanajr"/>
  </r>
  <r>
    <x v="198"/>
    <x v="27"/>
    <s v="Admin/HR/IT"/>
    <s v="AMCARE NonOcc In"/>
    <s v="TEMP"/>
    <n v="201194235"/>
    <s v="Jaramillo,AdriÃ¡n"/>
    <s v="Romero Sanchez,Gustavo Gabriel"/>
    <n v="0"/>
    <n v="0"/>
    <n v="0"/>
    <n v="0"/>
    <n v="0.39"/>
    <e v="#N/A"/>
    <e v="#N/A"/>
  </r>
  <r>
    <x v="198"/>
    <x v="27"/>
    <s v="Admin/HR/IT"/>
    <s v="AMCARE NonOcc In"/>
    <s v="TEMP"/>
    <n v="201204937"/>
    <s v="Vazquez,Carmen"/>
    <s v="Ledezma,Fer"/>
    <n v="0"/>
    <n v="0"/>
    <n v="0"/>
    <n v="0"/>
    <n v="0.99"/>
    <e v="#N/A"/>
    <e v="#N/A"/>
  </r>
  <r>
    <x v="198"/>
    <x v="27"/>
    <s v="Admin/HR/IT"/>
    <s v="AMCARE NonOcc In"/>
    <s v="TEMP"/>
    <n v="201295432"/>
    <s v="Ortega,Argenis"/>
    <s v="Bueno Mendoza,Susana"/>
    <n v="0"/>
    <n v="0"/>
    <n v="0"/>
    <n v="0"/>
    <n v="0.24"/>
    <e v="#N/A"/>
    <e v="#N/A"/>
  </r>
  <r>
    <x v="199"/>
    <x v="27"/>
    <s v="Admin/HR/IT"/>
    <s v="AMCARE NonOcc In"/>
    <s v="AMZN"/>
    <n v="112912008"/>
    <s v="Espinosa,Consuelo"/>
    <s v="Hernandez,Nataly"/>
    <n v="0"/>
    <n v="0"/>
    <n v="0"/>
    <n v="0"/>
    <n v="0.96"/>
    <e v="#N/A"/>
    <e v="#N/A"/>
  </r>
  <r>
    <x v="199"/>
    <x v="27"/>
    <s v="Admin/HR/IT"/>
    <s v="AMCARE NonOcc In"/>
    <s v="AMZN"/>
    <n v="112912049"/>
    <s v="Vazquez Rodriguez,Christian"/>
    <s v="Pizana,Diego"/>
    <n v="0"/>
    <n v="0"/>
    <n v="0"/>
    <n v="0"/>
    <n v="0.18"/>
    <s v="NF-X1900"/>
    <s v="zchvazqu"/>
  </r>
  <r>
    <x v="199"/>
    <x v="27"/>
    <s v="Admin/HR/IT"/>
    <s v="AMCARE NonOcc In"/>
    <s v="AMZN"/>
    <n v="112912163"/>
    <s v="Murillo,Alejandro"/>
    <s v="Romero Sanchez,Gustavo Gabriel"/>
    <n v="0"/>
    <n v="0"/>
    <n v="0"/>
    <n v="0"/>
    <n v="0.62"/>
    <e v="#N/A"/>
    <e v="#N/A"/>
  </r>
  <r>
    <x v="199"/>
    <x v="27"/>
    <s v="Admin/HR/IT"/>
    <s v="AMCARE NonOcc In"/>
    <s v="AMZN"/>
    <n v="112912752"/>
    <s v="Valderrama Gomez,Leslie"/>
    <s v="Piedra,Valentina"/>
    <n v="0"/>
    <n v="0"/>
    <n v="0"/>
    <n v="0"/>
    <n v="0.41"/>
    <s v="NF-X1900"/>
    <s v="valderle"/>
  </r>
  <r>
    <x v="199"/>
    <x v="27"/>
    <s v="Admin/HR/IT"/>
    <s v="AMCARE NonOcc In"/>
    <s v="AMZN"/>
    <n v="112981212"/>
    <s v="Zanella Miranda,Alyson"/>
    <s v="Robledo Ugarte,Alejandro"/>
    <n v="0"/>
    <n v="0"/>
    <n v="0"/>
    <n v="0"/>
    <n v="0.06"/>
    <e v="#N/A"/>
    <s v="alysonza"/>
  </r>
  <r>
    <x v="199"/>
    <x v="27"/>
    <s v="Admin/HR/IT"/>
    <s v="AMCARE NonOcc In"/>
    <s v="AMZN"/>
    <n v="113003635"/>
    <s v="Barron,Giovanni"/>
    <s v="Robledo Ugarte,Alejandro"/>
    <n v="0"/>
    <n v="0"/>
    <n v="0"/>
    <n v="0"/>
    <n v="0.49"/>
    <e v="#N/A"/>
    <s v="barrgiof"/>
  </r>
  <r>
    <x v="199"/>
    <x v="27"/>
    <s v="Admin/HR/IT"/>
    <s v="AMCARE NonOcc In"/>
    <s v="AMZN"/>
    <n v="113004017"/>
    <s v="Ramirez,Elizabeth"/>
    <s v="Gomez Aguado,Jorge"/>
    <n v="0"/>
    <n v="0"/>
    <n v="0"/>
    <n v="0"/>
    <n v="0.62"/>
    <e v="#N/A"/>
    <e v="#N/A"/>
  </r>
  <r>
    <x v="199"/>
    <x v="27"/>
    <s v="Admin/HR/IT"/>
    <s v="AMCARE NonOcc In"/>
    <s v="AMZN"/>
    <n v="113014084"/>
    <s v="Diaz,Manuel"/>
    <s v="Gomez Aguado,Jorge"/>
    <n v="0"/>
    <n v="0"/>
    <n v="0"/>
    <n v="0"/>
    <n v="0.17"/>
    <e v="#N/A"/>
    <s v="dnmanuel"/>
  </r>
  <r>
    <x v="199"/>
    <x v="27"/>
    <s v="Admin/HR/IT"/>
    <s v="AMCARE NonOcc In"/>
    <s v="AMZN"/>
    <n v="113020476"/>
    <s v="Puente Aguilar,Polette"/>
    <s v="Madrid Molina,Ramon"/>
    <n v="0"/>
    <n v="0"/>
    <n v="0"/>
    <n v="0"/>
    <n v="0.09"/>
    <e v="#N/A"/>
    <s v="polettpu"/>
  </r>
  <r>
    <x v="199"/>
    <x v="27"/>
    <s v="Admin/HR/IT"/>
    <s v="AMCARE NonOcc In"/>
    <s v="AMZN"/>
    <n v="200574655"/>
    <s v="Mireles,Dulce"/>
    <s v="Robledo Ugarte,Alejandro"/>
    <n v="0"/>
    <n v="0"/>
    <n v="0"/>
    <n v="0"/>
    <n v="0.19"/>
    <e v="#N/A"/>
    <s v="dulceami"/>
  </r>
  <r>
    <x v="199"/>
    <x v="27"/>
    <s v="Admin/HR/IT"/>
    <s v="AMCARE NonOcc In"/>
    <s v="TEMP"/>
    <n v="201198370"/>
    <s v="Hernandez,Briana"/>
    <s v="Ledezma,Fer"/>
    <n v="0"/>
    <n v="0"/>
    <n v="0"/>
    <n v="0"/>
    <n v="0.25"/>
    <e v="#N/A"/>
    <e v="#N/A"/>
  </r>
  <r>
    <x v="199"/>
    <x v="27"/>
    <s v="Admin/HR/IT"/>
    <s v="AMCARE NonOcc In"/>
    <s v="TEMP"/>
    <n v="201314835"/>
    <s v="Guzman,Janeth"/>
    <s v="Lopez,Alexa"/>
    <n v="0"/>
    <n v="0"/>
    <n v="0"/>
    <n v="0"/>
    <n v="0.51"/>
    <e v="#N/A"/>
    <e v="#N/A"/>
  </r>
  <r>
    <x v="199"/>
    <x v="27"/>
    <s v="Admin/HR/IT"/>
    <s v="AMCARE NonOcc In"/>
    <s v="TEMP"/>
    <n v="201360639"/>
    <s v="Rivera,Yael"/>
    <s v="Garcia Espejel,Brenda Victoria"/>
    <n v="0"/>
    <n v="0"/>
    <n v="0"/>
    <n v="0"/>
    <n v="12.38"/>
    <e v="#N/A"/>
    <s v="riveoyae"/>
  </r>
  <r>
    <x v="199"/>
    <x v="27"/>
    <s v="Admin/HR/IT"/>
    <s v="AMCARE NonOcc In"/>
    <s v="TEMP"/>
    <n v="201378542"/>
    <s v="Contreras,Evelyn"/>
    <s v="Bueno Mendoza,Susana"/>
    <n v="0"/>
    <n v="0"/>
    <n v="0"/>
    <n v="0"/>
    <n v="0.35"/>
    <e v="#N/A"/>
    <s v="tcontree"/>
  </r>
  <r>
    <x v="199"/>
    <x v="27"/>
    <s v="Admin/HR/IT"/>
    <s v="AMCARE NonOcc In"/>
    <s v="TEMP"/>
    <n v="201402060"/>
    <s v="Tovar,Mariana"/>
    <s v="Piedra,Valentina"/>
    <n v="0"/>
    <n v="0"/>
    <n v="0"/>
    <n v="0"/>
    <n v="1.51"/>
    <e v="#N/A"/>
    <e v="#N/A"/>
  </r>
  <r>
    <x v="199"/>
    <x v="27"/>
    <s v="Admin/HR/IT"/>
    <s v="AMCARE NonOcc In"/>
    <s v="TEMP"/>
    <n v="201402216"/>
    <s v="Navia,Victor"/>
    <s v="Bueno Mendoza,Susana"/>
    <n v="0"/>
    <n v="0"/>
    <n v="0"/>
    <n v="0"/>
    <n v="0.28999999999999998"/>
    <e v="#N/A"/>
    <e v="#N/A"/>
  </r>
  <r>
    <x v="199"/>
    <x v="27"/>
    <s v="Admin/HR/IT"/>
    <s v="AMCARE NonOcc In"/>
    <s v="TEMP"/>
    <n v="201403462"/>
    <s v="Valdovino,Jorge"/>
    <s v="Corona Arriaga,Fernando"/>
    <n v="0"/>
    <n v="0"/>
    <n v="0"/>
    <n v="0"/>
    <n v="0.25"/>
    <e v="#N/A"/>
    <s v="valdojoe"/>
  </r>
  <r>
    <x v="200"/>
    <x v="27"/>
    <s v="Admin/HR/IT"/>
    <s v="AMCARE NonOcc In"/>
    <s v="AMZN"/>
    <n v="112950795"/>
    <s v="Espinosa Espitia,Ali"/>
    <s v="Munoz,Jonan"/>
    <n v="0"/>
    <n v="0"/>
    <n v="0"/>
    <n v="0"/>
    <n v="0.34"/>
    <s v="DA-X0700"/>
    <s v="oespiali"/>
  </r>
  <r>
    <x v="200"/>
    <x v="27"/>
    <s v="Admin/HR/IT"/>
    <s v="AMCARE NonOcc In"/>
    <s v="AMZN"/>
    <n v="112971962"/>
    <s v="Reyes  Montes de oca,Alejandra"/>
    <s v="Ledezma,Fer"/>
    <n v="0"/>
    <n v="0"/>
    <n v="0"/>
    <n v="0"/>
    <n v="0.42"/>
    <s v="DB-X0700"/>
    <s v="creyesal"/>
  </r>
  <r>
    <x v="200"/>
    <x v="27"/>
    <s v="Admin/HR/IT"/>
    <s v="AMCARE NonOcc In"/>
    <s v="AMZN"/>
    <n v="112980899"/>
    <s v="Avila Cabrera,Ari"/>
    <s v="Bueno Mendoza,Susana"/>
    <n v="0"/>
    <n v="0"/>
    <n v="0"/>
    <n v="0"/>
    <n v="0.15"/>
    <s v="NF-X1900"/>
    <s v="aravilac"/>
  </r>
  <r>
    <x v="200"/>
    <x v="27"/>
    <s v="Admin/HR/IT"/>
    <s v="AMCARE NonOcc In"/>
    <s v="AMZN"/>
    <n v="113014094"/>
    <s v="Mercado,Erika"/>
    <s v="Robledo Ugarte,Alejandro"/>
    <n v="0"/>
    <n v="0"/>
    <n v="0"/>
    <n v="0"/>
    <n v="0.53"/>
    <e v="#N/A"/>
    <s v="erikaadm"/>
  </r>
  <r>
    <x v="200"/>
    <x v="27"/>
    <s v="Admin/HR/IT"/>
    <s v="AMCARE NonOcc In"/>
    <s v="AMZN"/>
    <n v="113014470"/>
    <s v="Aguilar Ibarra,Lupe"/>
    <s v="Robledo Ugarte,Alejandro"/>
    <n v="0"/>
    <n v="0"/>
    <n v="0"/>
    <n v="0"/>
    <n v="0.19"/>
    <e v="#N/A"/>
    <s v="lupaguin"/>
  </r>
  <r>
    <x v="200"/>
    <x v="27"/>
    <s v="Admin/HR/IT"/>
    <s v="AMCARE NonOcc In"/>
    <s v="AMZN"/>
    <n v="113101453"/>
    <s v="Isaac,Geovanna"/>
    <s v="Robledo Ugarte,Alejandro"/>
    <n v="0"/>
    <n v="0"/>
    <n v="0"/>
    <n v="0"/>
    <n v="0.63"/>
    <e v="#N/A"/>
    <s v="qisgeova"/>
  </r>
  <r>
    <x v="200"/>
    <x v="27"/>
    <s v="Admin/HR/IT"/>
    <s v="AMCARE NonOcc In"/>
    <s v="AMZN"/>
    <n v="200404250"/>
    <s v="Hurtado,Caty"/>
    <s v="Romero Sanchez,Gustavo Gabriel"/>
    <n v="0"/>
    <n v="0"/>
    <n v="0"/>
    <n v="0"/>
    <n v="1.23"/>
    <e v="#N/A"/>
    <s v="xcathurt"/>
  </r>
  <r>
    <x v="200"/>
    <x v="27"/>
    <s v="Admin/HR/IT"/>
    <s v="AMCARE NonOcc In"/>
    <s v="TEMP"/>
    <n v="200552429"/>
    <s v="Lozornio Martinez,Antonio"/>
    <s v="Lopez,Alexa"/>
    <n v="0"/>
    <n v="0"/>
    <n v="0"/>
    <n v="0"/>
    <n v="0.55000000000000004"/>
    <e v="#N/A"/>
    <e v="#N/A"/>
  </r>
  <r>
    <x v="200"/>
    <x v="27"/>
    <s v="Admin/HR/IT"/>
    <s v="AMCARE NonOcc In"/>
    <s v="AMZN"/>
    <n v="200584282"/>
    <s v="Lopez Nieto,Denisse"/>
    <s v="Robledo Ugarte,Alejandro"/>
    <n v="0"/>
    <n v="0"/>
    <n v="0"/>
    <n v="0"/>
    <n v="0.3"/>
    <e v="#N/A"/>
    <s v="ldianade"/>
  </r>
  <r>
    <x v="200"/>
    <x v="27"/>
    <s v="Admin/HR/IT"/>
    <s v="AMCARE NonOcc In"/>
    <s v="TEMP"/>
    <n v="201166890"/>
    <s v="Caballero,Daniel"/>
    <s v="Romero Sanchez,Gustavo Gabriel"/>
    <n v="0"/>
    <n v="0"/>
    <n v="0"/>
    <n v="0"/>
    <n v="0.53"/>
    <e v="#N/A"/>
    <s v="lcabadan"/>
  </r>
  <r>
    <x v="200"/>
    <x v="27"/>
    <s v="Admin/HR/IT"/>
    <s v="AMCARE NonOcc In"/>
    <s v="TEMP"/>
    <n v="201186833"/>
    <s v="Jasso,Alexa"/>
    <s v="Piedra,Valentina"/>
    <n v="0"/>
    <n v="0"/>
    <n v="0"/>
    <n v="0"/>
    <n v="0.13"/>
    <e v="#N/A"/>
    <s v="jaalexav"/>
  </r>
  <r>
    <x v="200"/>
    <x v="27"/>
    <s v="Admin/HR/IT"/>
    <s v="AMCARE NonOcc In"/>
    <s v="TEMP"/>
    <n v="201201993"/>
    <s v="Olmos,Lucia"/>
    <s v="Bueno Mendoza,Susana"/>
    <n v="0"/>
    <n v="0"/>
    <n v="0"/>
    <n v="0"/>
    <n v="0.32"/>
    <e v="#N/A"/>
    <e v="#N/A"/>
  </r>
  <r>
    <x v="200"/>
    <x v="27"/>
    <s v="Admin/HR/IT"/>
    <s v="AMCARE NonOcc In"/>
    <s v="TEMP"/>
    <n v="201351399"/>
    <s v="Ramos Montejo,Aida del Socorro"/>
    <s v="Pizana,Diego"/>
    <n v="0"/>
    <n v="0"/>
    <n v="0"/>
    <n v="0"/>
    <n v="0.3"/>
    <e v="#N/A"/>
    <s v="aramosmo"/>
  </r>
  <r>
    <x v="200"/>
    <x v="27"/>
    <s v="Admin/HR/IT"/>
    <s v="AMCARE NonOcc In"/>
    <s v="TEMP"/>
    <n v="201360639"/>
    <s v="Rivera,Yael"/>
    <s v="Garcia Espejel,Brenda Victoria"/>
    <n v="0"/>
    <n v="0"/>
    <n v="0"/>
    <n v="0"/>
    <n v="2.75"/>
    <e v="#N/A"/>
    <s v="riveoyae"/>
  </r>
  <r>
    <x v="200"/>
    <x v="27"/>
    <s v="Admin/HR/IT"/>
    <s v="AMCARE NonOcc In"/>
    <s v="TEMP"/>
    <n v="201386201"/>
    <s v="Castillo,Janai"/>
    <s v="Ledezma,Fer"/>
    <n v="0"/>
    <n v="0"/>
    <n v="0"/>
    <n v="0"/>
    <n v="0.82"/>
    <e v="#N/A"/>
    <s v="castjanr"/>
  </r>
  <r>
    <x v="200"/>
    <x v="27"/>
    <s v="Admin/HR/IT"/>
    <s v="AMCARE NonOcc In"/>
    <s v="TEMP"/>
    <n v="201401219"/>
    <s v="Moreno,Nayma"/>
    <s v="Bueno Mendoza,Susana"/>
    <n v="0"/>
    <n v="0"/>
    <n v="0"/>
    <n v="0"/>
    <n v="0.15"/>
    <e v="#N/A"/>
    <s v="namorena"/>
  </r>
  <r>
    <x v="200"/>
    <x v="27"/>
    <s v="Admin/HR/IT"/>
    <s v="AMCARE NonOcc In"/>
    <s v="TEMP"/>
    <n v="201402216"/>
    <s v="Navia,Victor"/>
    <s v="Bueno Mendoza,Susana"/>
    <n v="0"/>
    <n v="0"/>
    <n v="0"/>
    <n v="0"/>
    <n v="0.11"/>
    <e v="#N/A"/>
    <e v="#N/A"/>
  </r>
  <r>
    <x v="200"/>
    <x v="27"/>
    <s v="Admin/HR/IT"/>
    <s v="AMCARE NonOcc In"/>
    <s v="TEMP"/>
    <n v="201403431"/>
    <s v="EspaÃ±a,Carolina"/>
    <s v="Madrid Molina,Ramon"/>
    <n v="0"/>
    <n v="0"/>
    <n v="0"/>
    <n v="0"/>
    <n v="0.14000000000000001"/>
    <e v="#N/A"/>
    <e v="#N/A"/>
  </r>
  <r>
    <x v="201"/>
    <x v="27"/>
    <s v="Admin/HR/IT"/>
    <s v="AMCARE NonOcc In"/>
    <s v="AMZN"/>
    <n v="112950800"/>
    <s v="Muniz,Viri"/>
    <s v="Munoz,Jonan"/>
    <n v="0"/>
    <n v="0"/>
    <n v="0"/>
    <n v="0"/>
    <n v="0.2"/>
    <s v="NF-X1900"/>
    <s v="virimuni"/>
  </r>
  <r>
    <x v="201"/>
    <x v="27"/>
    <s v="Admin/HR/IT"/>
    <s v="AMCARE NonOcc In"/>
    <s v="AMZN"/>
    <n v="112971962"/>
    <s v="Reyes  Montes de oca,Alejandra"/>
    <s v="Ledezma,Fer"/>
    <n v="0"/>
    <n v="0"/>
    <n v="0"/>
    <n v="0"/>
    <n v="0.2"/>
    <s v="DB-X0700"/>
    <s v="creyesal"/>
  </r>
  <r>
    <x v="201"/>
    <x v="27"/>
    <s v="Admin/HR/IT"/>
    <s v="AMCARE NonOcc In"/>
    <s v="AMZN"/>
    <n v="113014042"/>
    <s v="Cervantes,Rose"/>
    <s v="Madrid Molina,Ramon"/>
    <n v="0"/>
    <n v="0"/>
    <n v="0"/>
    <n v="0"/>
    <n v="0.71"/>
    <e v="#N/A"/>
    <s v="rfcervan"/>
  </r>
  <r>
    <x v="201"/>
    <x v="27"/>
    <s v="Admin/HR/IT"/>
    <s v="AMCARE NonOcc In"/>
    <s v="AMZN"/>
    <n v="113014403"/>
    <s v="Arias Sanchez,Nora"/>
    <s v="Romero Sanchez,Gustavo Gabriel"/>
    <n v="0"/>
    <n v="0"/>
    <n v="0"/>
    <n v="0"/>
    <n v="1.42"/>
    <e v="#N/A"/>
    <s v="wnoraria"/>
  </r>
  <r>
    <x v="201"/>
    <x v="27"/>
    <s v="Admin/HR/IT"/>
    <s v="AMCARE NonOcc In"/>
    <s v="AMZN"/>
    <n v="113020476"/>
    <s v="Puente Aguilar,Polette"/>
    <s v="Madrid Molina,Ramon"/>
    <n v="0"/>
    <n v="0"/>
    <n v="0"/>
    <n v="0"/>
    <n v="0.28000000000000003"/>
    <e v="#N/A"/>
    <s v="polettpu"/>
  </r>
  <r>
    <x v="201"/>
    <x v="27"/>
    <s v="Admin/HR/IT"/>
    <s v="AMCARE NonOcc In"/>
    <s v="AMZN"/>
    <n v="200552734"/>
    <s v="Santiago Ramirez,Six"/>
    <s v="Madrid Molina,Ramon"/>
    <n v="0"/>
    <n v="0"/>
    <n v="0"/>
    <n v="0"/>
    <n v="0.42"/>
    <e v="#N/A"/>
    <e v="#N/A"/>
  </r>
  <r>
    <x v="201"/>
    <x v="27"/>
    <s v="Admin/HR/IT"/>
    <s v="AMCARE NonOcc In"/>
    <s v="AMZN"/>
    <n v="200562154"/>
    <s v="Reyes Muniz,Cristian"/>
    <s v="Corona Arriaga,Fernando"/>
    <n v="0"/>
    <n v="0"/>
    <n v="0"/>
    <n v="0"/>
    <n v="0.45"/>
    <e v="#N/A"/>
    <s v="reyesmcw"/>
  </r>
  <r>
    <x v="201"/>
    <x v="27"/>
    <s v="Admin/HR/IT"/>
    <s v="AMCARE NonOcc In"/>
    <s v="TEMP"/>
    <n v="201159033"/>
    <s v="Arrona,Monserrat"/>
    <s v="Corona Arriaga,Fernando"/>
    <n v="0"/>
    <n v="0"/>
    <n v="0"/>
    <n v="0"/>
    <n v="0.5"/>
    <e v="#N/A"/>
    <s v="monsarru"/>
  </r>
  <r>
    <x v="201"/>
    <x v="27"/>
    <s v="Admin/HR/IT"/>
    <s v="AMCARE NonOcc In"/>
    <s v="TEMP"/>
    <n v="201191390"/>
    <s v="GarcÃ­a,jesus"/>
    <s v="Madrid Molina,Ramon"/>
    <n v="0"/>
    <n v="0"/>
    <n v="0"/>
    <n v="0"/>
    <n v="0.13"/>
    <e v="#N/A"/>
    <s v="bgajesus"/>
  </r>
  <r>
    <x v="201"/>
    <x v="27"/>
    <s v="Admin/HR/IT"/>
    <s v="AMCARE NonOcc In"/>
    <s v="TEMP"/>
    <n v="201341822"/>
    <s v="Rocha,Claudia"/>
    <s v="Corona Arriaga,Fernando"/>
    <n v="0"/>
    <n v="0"/>
    <n v="0"/>
    <n v="0"/>
    <n v="0.14000000000000001"/>
    <e v="#N/A"/>
    <e v="#N/A"/>
  </r>
  <r>
    <x v="201"/>
    <x v="27"/>
    <s v="Admin/HR/IT"/>
    <s v="AMCARE NonOcc In"/>
    <s v="TEMP"/>
    <n v="201345774"/>
    <s v="Quijas,Jonathan"/>
    <s v="Robledo Ugarte,Alejandro"/>
    <n v="0"/>
    <n v="0"/>
    <n v="0"/>
    <n v="0"/>
    <n v="0.56000000000000005"/>
    <e v="#N/A"/>
    <s v="jonquija"/>
  </r>
  <r>
    <x v="201"/>
    <x v="27"/>
    <s v="Admin/HR/IT"/>
    <s v="AMCARE NonOcc In"/>
    <s v="TEMP"/>
    <n v="201360639"/>
    <s v="Rivera,Yael"/>
    <s v="Garcia Espejel,Brenda Victoria"/>
    <n v="0"/>
    <n v="0"/>
    <n v="0"/>
    <n v="0"/>
    <n v="0.13"/>
    <e v="#N/A"/>
    <s v="riveoyae"/>
  </r>
  <r>
    <x v="201"/>
    <x v="27"/>
    <s v="Admin/HR/IT"/>
    <s v="AMCARE NonOcc In"/>
    <s v="TEMP"/>
    <n v="201386201"/>
    <s v="Castillo,Janai"/>
    <s v="Ledezma,Fer"/>
    <n v="0"/>
    <n v="0"/>
    <n v="0"/>
    <n v="0"/>
    <n v="0.1"/>
    <e v="#N/A"/>
    <s v="castjanr"/>
  </r>
  <r>
    <x v="201"/>
    <x v="27"/>
    <s v="Admin/HR/IT"/>
    <s v="AMCARE NonOcc In"/>
    <s v="TEMP"/>
    <n v="201403462"/>
    <s v="Valdovino,Jorge"/>
    <s v="Corona Arriaga,Fernando"/>
    <n v="0"/>
    <n v="0"/>
    <n v="0"/>
    <n v="0"/>
    <n v="0.15"/>
    <e v="#N/A"/>
    <s v="valdojoe"/>
  </r>
  <r>
    <x v="202"/>
    <x v="27"/>
    <s v="Admin/HR/IT"/>
    <s v="AMCARE NonOcc In"/>
    <s v="TEMP"/>
    <n v="112912747"/>
    <s v="Velasco,Cristina"/>
    <s v="Lopez,Alexa"/>
    <n v="0"/>
    <n v="0"/>
    <n v="0"/>
    <n v="0"/>
    <n v="0.42"/>
    <e v="#N/A"/>
    <e v="#N/A"/>
  </r>
  <r>
    <x v="202"/>
    <x v="27"/>
    <s v="Admin/HR/IT"/>
    <s v="AMCARE NonOcc In"/>
    <s v="AMZN"/>
    <n v="112971953"/>
    <s v="Aguirre Palomino,Ana"/>
    <s v="Pizana,Diego"/>
    <n v="0"/>
    <n v="0"/>
    <n v="0"/>
    <n v="0"/>
    <n v="5.55"/>
    <s v="DB-X0700"/>
    <s v="anzpalom"/>
  </r>
  <r>
    <x v="202"/>
    <x v="27"/>
    <s v="Admin/HR/IT"/>
    <s v="AMCARE NonOcc In"/>
    <s v="AMZN"/>
    <n v="112971962"/>
    <s v="Reyes  Montes de oca,Alejandra"/>
    <s v="Ledezma,Fer"/>
    <n v="0"/>
    <n v="0"/>
    <n v="0"/>
    <n v="0"/>
    <n v="0.3"/>
    <s v="DB-X0700"/>
    <s v="creyesal"/>
  </r>
  <r>
    <x v="202"/>
    <x v="27"/>
    <s v="Admin/HR/IT"/>
    <s v="AMCARE NonOcc In"/>
    <s v="AMZN"/>
    <n v="200562154"/>
    <s v="Reyes Muniz,Cristian"/>
    <s v="Corona Arriaga,Fernando"/>
    <n v="0"/>
    <n v="0"/>
    <n v="0"/>
    <n v="0"/>
    <n v="0.42"/>
    <e v="#N/A"/>
    <s v="reyesmcw"/>
  </r>
  <r>
    <x v="202"/>
    <x v="27"/>
    <s v="Admin/HR/IT"/>
    <s v="AMCARE NonOcc In"/>
    <s v="TEMP"/>
    <n v="201345737"/>
    <s v="Rosales,Paco"/>
    <s v="Ledezma,Fer"/>
    <n v="0"/>
    <n v="0"/>
    <n v="0"/>
    <n v="0"/>
    <n v="0.22"/>
    <e v="#N/A"/>
    <s v="upacoros"/>
  </r>
  <r>
    <x v="202"/>
    <x v="27"/>
    <s v="Admin/HR/IT"/>
    <s v="AMCARE NonOcc In"/>
    <s v="TEMP"/>
    <n v="201353234"/>
    <s v="Padilla,Ramon"/>
    <s v="Pizana,Diego"/>
    <n v="0"/>
    <n v="0"/>
    <n v="0"/>
    <n v="0"/>
    <n v="0.3"/>
    <e v="#N/A"/>
    <s v="paeramon"/>
  </r>
  <r>
    <x v="203"/>
    <x v="27"/>
    <s v="Admin/HR/IT"/>
    <s v="AMCARE NonOcc In"/>
    <s v="AMZN"/>
    <n v="112912054"/>
    <s v="Rivera Ramirez,Jorge"/>
    <s v="Pizana,Diego"/>
    <n v="0"/>
    <n v="0"/>
    <n v="0"/>
    <n v="0"/>
    <n v="0.17"/>
    <s v="DB-X0700"/>
    <s v="privejor"/>
  </r>
  <r>
    <x v="203"/>
    <x v="27"/>
    <s v="Admin/HR/IT"/>
    <s v="AMCARE NonOcc In"/>
    <s v="TEMP"/>
    <n v="112912747"/>
    <s v="Velasco,Cristina"/>
    <s v="Lopez,Alexa"/>
    <n v="0"/>
    <n v="0"/>
    <n v="0"/>
    <n v="0"/>
    <n v="0.95"/>
    <e v="#N/A"/>
    <e v="#N/A"/>
  </r>
  <r>
    <x v="203"/>
    <x v="27"/>
    <s v="Admin/HR/IT"/>
    <s v="AMCARE NonOcc In"/>
    <s v="AMZN"/>
    <n v="112916534"/>
    <s v="Esparza Sanchez,Areli"/>
    <s v="Corona Arriaga,Fernando"/>
    <n v="0"/>
    <n v="0"/>
    <n v="0"/>
    <n v="0"/>
    <n v="1.23"/>
    <s v="DB-X0700"/>
    <s v="earelili"/>
  </r>
  <r>
    <x v="203"/>
    <x v="27"/>
    <s v="Admin/HR/IT"/>
    <s v="AMCARE NonOcc In"/>
    <s v="AMZN"/>
    <n v="112972524"/>
    <s v="Santibanez Garcia,Luisa"/>
    <s v="Rosas Negrete,Sebastian"/>
    <n v="0"/>
    <n v="0"/>
    <n v="0"/>
    <n v="0"/>
    <n v="0.25"/>
    <s v="DB-X0700"/>
    <s v="csantibl"/>
  </r>
  <r>
    <x v="203"/>
    <x v="27"/>
    <s v="Admin/HR/IT"/>
    <s v="AMCARE NonOcc In"/>
    <s v="TEMP"/>
    <n v="200525930"/>
    <s v="Salazar,Joana"/>
    <s v="Gomez Aguado,Jorge"/>
    <n v="0"/>
    <n v="0"/>
    <n v="0"/>
    <n v="0"/>
    <n v="0.36"/>
    <e v="#N/A"/>
    <e v="#N/A"/>
  </r>
  <r>
    <x v="203"/>
    <x v="27"/>
    <s v="Admin/HR/IT"/>
    <s v="AMCARE NonOcc In"/>
    <s v="AMZN"/>
    <n v="200562154"/>
    <s v="Reyes Muniz,Cristian"/>
    <s v="Corona Arriaga,Fernando"/>
    <n v="0"/>
    <n v="0"/>
    <n v="0"/>
    <n v="0"/>
    <n v="0.37"/>
    <e v="#N/A"/>
    <s v="reyesmcw"/>
  </r>
  <r>
    <x v="203"/>
    <x v="27"/>
    <s v="Admin/HR/IT"/>
    <s v="AMCARE NonOcc In"/>
    <s v="TEMP"/>
    <n v="201374875"/>
    <s v="Velez,Xochitl"/>
    <s v="Lopez,Alexa"/>
    <n v="0"/>
    <n v="0"/>
    <n v="0"/>
    <n v="0"/>
    <n v="0.27"/>
    <e v="#N/A"/>
    <e v="#N/A"/>
  </r>
  <r>
    <x v="203"/>
    <x v="27"/>
    <s v="Admin/HR/IT"/>
    <s v="AMCARE NonOcc In"/>
    <s v="TEMP"/>
    <n v="201408141"/>
    <s v="Luna,Alberto"/>
    <s v="Ledezma,Fer"/>
    <n v="0"/>
    <n v="0"/>
    <n v="0"/>
    <n v="0"/>
    <n v="0.4"/>
    <e v="#N/A"/>
    <s v="alberlug"/>
  </r>
  <r>
    <x v="204"/>
    <x v="28"/>
    <s v="Admin/HR/IT"/>
    <s v="AMCARE NonOcc In"/>
    <s v="TEMP"/>
    <n v="112912067"/>
    <s v="Rocio,Juan"/>
    <s v="Robledo Ugarte,Alejandro"/>
    <n v="0"/>
    <n v="0"/>
    <n v="0"/>
    <n v="0"/>
    <n v="0.16"/>
    <e v="#N/A"/>
    <e v="#N/A"/>
  </r>
  <r>
    <x v="204"/>
    <x v="28"/>
    <s v="Admin/HR/IT"/>
    <s v="AMCARE NonOcc In"/>
    <s v="AMZN"/>
    <n v="112912203"/>
    <s v="Alvarez Olivares,Omar Leonardo"/>
    <s v="Garcia Espejel,Brenda Victoria"/>
    <n v="0"/>
    <n v="0"/>
    <n v="0"/>
    <n v="0"/>
    <n v="0.45"/>
    <s v="DA-X0700"/>
    <s v="omarleoa"/>
  </r>
  <r>
    <x v="204"/>
    <x v="28"/>
    <s v="Admin/HR/IT"/>
    <s v="AMCARE NonOcc In"/>
    <s v="AMZN"/>
    <n v="112950797"/>
    <s v="Serna,Denisse"/>
    <s v="Bueno Mendoza,Susana"/>
    <n v="0"/>
    <n v="0"/>
    <n v="0"/>
    <n v="0"/>
    <n v="0.45"/>
    <s v="DA-X0700"/>
    <s v="hesdenis"/>
  </r>
  <r>
    <x v="204"/>
    <x v="28"/>
    <s v="Admin/HR/IT"/>
    <s v="AMCARE NonOcc In"/>
    <s v="AMZN"/>
    <n v="112971962"/>
    <s v="Reyes  Montes de oca,Alejandra"/>
    <s v="Ledezma,Fer"/>
    <n v="0"/>
    <n v="0"/>
    <n v="0"/>
    <n v="0"/>
    <n v="0.16"/>
    <s v="DB-X0700"/>
    <s v="creyesal"/>
  </r>
  <r>
    <x v="204"/>
    <x v="28"/>
    <s v="Admin/HR/IT"/>
    <s v="AMCARE NonOcc In"/>
    <s v="AMZN"/>
    <n v="112972215"/>
    <s v="Cruz,Ana"/>
    <s v="Romero Sanchez,Gustavo Gabriel"/>
    <n v="0"/>
    <n v="0"/>
    <n v="0"/>
    <n v="0"/>
    <n v="0.54"/>
    <s v="DB-X0700"/>
    <s v="cruzbana"/>
  </r>
  <r>
    <x v="204"/>
    <x v="28"/>
    <s v="Admin/HR/IT"/>
    <s v="AMCARE NonOcc In"/>
    <s v="AMZN"/>
    <n v="112981194"/>
    <s v="Camacho Delgado,Karina"/>
    <s v="Piedra,Valentina"/>
    <n v="0"/>
    <n v="0"/>
    <n v="0"/>
    <n v="0"/>
    <n v="0.3"/>
    <s v="NF-X1900"/>
    <s v="csandrak"/>
  </r>
  <r>
    <x v="204"/>
    <x v="28"/>
    <s v="Admin/HR/IT"/>
    <s v="AMCARE NonOcc In"/>
    <s v="AMZN"/>
    <n v="113014403"/>
    <s v="Arias Sanchez,Nora"/>
    <s v="Romero Sanchez,Gustavo Gabriel"/>
    <n v="0"/>
    <n v="0"/>
    <n v="0"/>
    <n v="0"/>
    <n v="0.36"/>
    <e v="#N/A"/>
    <s v="wnoraria"/>
  </r>
  <r>
    <x v="204"/>
    <x v="28"/>
    <s v="Admin/HR/IT"/>
    <s v="AMCARE NonOcc In"/>
    <s v="AMZN"/>
    <n v="113019001"/>
    <s v="Lozano Hernandez,Donny"/>
    <s v="Bueno Mendoza,Susana"/>
    <n v="0"/>
    <n v="0"/>
    <n v="0"/>
    <n v="0"/>
    <n v="0.37"/>
    <e v="#N/A"/>
    <s v="dolozane"/>
  </r>
  <r>
    <x v="204"/>
    <x v="28"/>
    <s v="Admin/HR/IT"/>
    <s v="AMCARE NonOcc In"/>
    <s v="AMZN"/>
    <n v="113101453"/>
    <s v="Isaac,Geovanna"/>
    <s v="Robledo Ugarte,Alejandro"/>
    <n v="0"/>
    <n v="0"/>
    <n v="0"/>
    <n v="0"/>
    <n v="0.23"/>
    <e v="#N/A"/>
    <s v="qisgeova"/>
  </r>
  <r>
    <x v="204"/>
    <x v="28"/>
    <s v="Admin/HR/IT"/>
    <s v="AMCARE NonOcc In"/>
    <s v="TEMP"/>
    <n v="201314835"/>
    <s v="Guzman,Janeth"/>
    <s v="Lopez,Alexa"/>
    <n v="0"/>
    <n v="0"/>
    <n v="0"/>
    <n v="0"/>
    <n v="0.5"/>
    <e v="#N/A"/>
    <e v="#N/A"/>
  </r>
  <r>
    <x v="204"/>
    <x v="28"/>
    <s v="Admin/HR/IT"/>
    <s v="AMCARE NonOcc In"/>
    <s v="TEMP"/>
    <n v="201396328"/>
    <s v="Canchola,Alejandro"/>
    <s v="Lopez,Alexa"/>
    <n v="0"/>
    <n v="0"/>
    <n v="0"/>
    <n v="0"/>
    <n v="0.84"/>
    <e v="#N/A"/>
    <s v="nalcanch"/>
  </r>
  <r>
    <x v="204"/>
    <x v="28"/>
    <s v="Admin/HR/IT"/>
    <s v="AMCARE Occ In"/>
    <s v="AMZN"/>
    <n v="113014403"/>
    <s v="Arias Sanchez,Nora"/>
    <s v="Romero Sanchez,Gustavo Gabriel"/>
    <n v="0"/>
    <n v="0"/>
    <n v="0"/>
    <n v="0"/>
    <n v="0.27"/>
    <e v="#N/A"/>
    <s v="wnoraria"/>
  </r>
  <r>
    <x v="205"/>
    <x v="28"/>
    <s v="Admin/HR/IT"/>
    <s v="AMCARE NonOcc In"/>
    <s v="AMZN"/>
    <n v="112912663"/>
    <s v="Segura,Lucero"/>
    <s v="Munoz,Jonan"/>
    <n v="0"/>
    <n v="0"/>
    <n v="0"/>
    <n v="0"/>
    <n v="0.19"/>
    <e v="#N/A"/>
    <e v="#N/A"/>
  </r>
  <r>
    <x v="205"/>
    <x v="28"/>
    <s v="Admin/HR/IT"/>
    <s v="AMCARE NonOcc In"/>
    <s v="AMZN"/>
    <n v="112920664"/>
    <s v="Alba,Samuel"/>
    <s v="Rosas Negrete,Sebastian"/>
    <n v="0"/>
    <n v="0"/>
    <n v="0"/>
    <n v="0"/>
    <n v="0.34"/>
    <s v="DA-X0700"/>
    <s v="samualbg"/>
  </r>
  <r>
    <x v="205"/>
    <x v="28"/>
    <s v="Admin/HR/IT"/>
    <s v="AMCARE NonOcc In"/>
    <s v="AMZN"/>
    <n v="112972215"/>
    <s v="Cruz,Ana"/>
    <s v="Romero Sanchez,Gustavo Gabriel"/>
    <n v="0"/>
    <n v="0"/>
    <n v="0"/>
    <n v="0"/>
    <n v="0.12"/>
    <s v="DB-X0700"/>
    <s v="cruzbana"/>
  </r>
  <r>
    <x v="205"/>
    <x v="28"/>
    <s v="Admin/HR/IT"/>
    <s v="AMCARE NonOcc In"/>
    <s v="AMZN"/>
    <n v="112981201"/>
    <s v="Ramirez,Andrea"/>
    <s v="Robledo Ugarte,Alejandro"/>
    <n v="0"/>
    <n v="0"/>
    <n v="0"/>
    <n v="0"/>
    <n v="0.59"/>
    <e v="#N/A"/>
    <e v="#N/A"/>
  </r>
  <r>
    <x v="205"/>
    <x v="28"/>
    <s v="Admin/HR/IT"/>
    <s v="AMCARE NonOcc In"/>
    <s v="AMZN"/>
    <n v="113014403"/>
    <s v="Arias Sanchez,Nora"/>
    <s v="Romero Sanchez,Gustavo Gabriel"/>
    <n v="0"/>
    <n v="0"/>
    <n v="0"/>
    <n v="0"/>
    <n v="1.1000000000000001"/>
    <e v="#N/A"/>
    <s v="wnoraria"/>
  </r>
  <r>
    <x v="205"/>
    <x v="28"/>
    <s v="Admin/HR/IT"/>
    <s v="AMCARE NonOcc In"/>
    <s v="AMZN"/>
    <n v="113020463"/>
    <s v="Valtierra,Alejandra"/>
    <s v="Robledo Ugarte,Alejandro"/>
    <n v="0"/>
    <n v="0"/>
    <n v="0"/>
    <n v="0"/>
    <n v="0.22"/>
    <e v="#N/A"/>
    <s v="myriamav"/>
  </r>
  <r>
    <x v="205"/>
    <x v="28"/>
    <s v="Admin/HR/IT"/>
    <s v="AMCARE NonOcc In"/>
    <s v="TEMP"/>
    <n v="201162388"/>
    <s v="Rocha,Alfredo"/>
    <s v="Piedra,Valentina"/>
    <n v="0"/>
    <n v="0"/>
    <n v="0"/>
    <n v="0"/>
    <n v="0.3"/>
    <e v="#N/A"/>
    <s v="alfrerok"/>
  </r>
  <r>
    <x v="205"/>
    <x v="28"/>
    <s v="Admin/HR/IT"/>
    <s v="AMCARE NonOcc In"/>
    <s v="TEMP"/>
    <n v="201354965"/>
    <s v="JimÃ©nez,Aline"/>
    <s v="Lopez,Alexa"/>
    <n v="0"/>
    <n v="0"/>
    <n v="0"/>
    <n v="0"/>
    <n v="0.2"/>
    <e v="#N/A"/>
    <s v="alinejim"/>
  </r>
  <r>
    <x v="205"/>
    <x v="28"/>
    <s v="Admin/HR/IT"/>
    <s v="AMCARE NonOcc In"/>
    <s v="TEMP"/>
    <n v="201355525"/>
    <s v="Hernandez,Gael"/>
    <s v="Munoz,Jonan"/>
    <n v="0"/>
    <n v="0"/>
    <n v="0"/>
    <n v="0"/>
    <n v="0.25"/>
    <e v="#N/A"/>
    <e v="#N/A"/>
  </r>
  <r>
    <x v="205"/>
    <x v="28"/>
    <s v="Admin/HR/IT"/>
    <s v="AMCARE NonOcc In"/>
    <s v="TEMP"/>
    <n v="201402216"/>
    <s v="Navia,Victor"/>
    <s v="Bueno Mendoza,Susana"/>
    <n v="0"/>
    <n v="0"/>
    <n v="0"/>
    <n v="0"/>
    <n v="0.14000000000000001"/>
    <e v="#N/A"/>
    <e v="#N/A"/>
  </r>
  <r>
    <x v="206"/>
    <x v="28"/>
    <s v="Admin/HR/IT"/>
    <s v="AMCARE NonOcc In"/>
    <s v="AMZN"/>
    <n v="112981014"/>
    <s v="Roldan Gutierrez,Pablo"/>
    <s v="Bueno Mendoza,Susana"/>
    <n v="0"/>
    <n v="0"/>
    <n v="0"/>
    <n v="0"/>
    <n v="0.73"/>
    <s v="DJ-X0700"/>
    <s v="rpabloul"/>
  </r>
  <r>
    <x v="206"/>
    <x v="28"/>
    <s v="Admin/HR/IT"/>
    <s v="AMCARE NonOcc In"/>
    <s v="AMZN"/>
    <n v="112981061"/>
    <s v="Olguin,Claudia"/>
    <s v="Robledo Ugarte,Alejandro"/>
    <n v="0"/>
    <n v="0"/>
    <n v="0"/>
    <n v="0"/>
    <n v="0.2"/>
    <s v="DA-X0700"/>
    <s v="mclaudol"/>
  </r>
  <r>
    <x v="206"/>
    <x v="28"/>
    <s v="Admin/HR/IT"/>
    <s v="AMCARE NonOcc In"/>
    <s v="AMZN"/>
    <n v="200404250"/>
    <s v="Hurtado,Caty"/>
    <s v="Romero Sanchez,Gustavo Gabriel"/>
    <n v="0"/>
    <n v="0"/>
    <n v="0"/>
    <n v="0"/>
    <n v="0.33"/>
    <e v="#N/A"/>
    <s v="xcathurt"/>
  </r>
  <r>
    <x v="206"/>
    <x v="28"/>
    <s v="Admin/HR/IT"/>
    <s v="AMCARE NonOcc In"/>
    <s v="TEMP"/>
    <n v="200407440"/>
    <s v="Escamilla,Guillermo"/>
    <s v="Romero Sanchez,Gustavo Gabriel"/>
    <n v="0"/>
    <n v="0"/>
    <n v="0"/>
    <n v="0"/>
    <n v="0.67"/>
    <e v="#N/A"/>
    <e v="#N/A"/>
  </r>
  <r>
    <x v="206"/>
    <x v="28"/>
    <s v="Admin/HR/IT"/>
    <s v="AMCARE NonOcc In"/>
    <s v="AMZN"/>
    <n v="200574655"/>
    <s v="Mireles,Dulce"/>
    <s v="Robledo Ugarte,Alejandro"/>
    <n v="0"/>
    <n v="0"/>
    <n v="0"/>
    <n v="0"/>
    <n v="0.23"/>
    <e v="#N/A"/>
    <s v="dulceami"/>
  </r>
  <r>
    <x v="206"/>
    <x v="28"/>
    <s v="Admin/HR/IT"/>
    <s v="AMCARE NonOcc In"/>
    <s v="TEMP"/>
    <n v="201329529"/>
    <s v="Padilla,Pablo"/>
    <s v="Lopez,Alexa"/>
    <n v="0"/>
    <n v="0"/>
    <n v="0"/>
    <n v="0"/>
    <n v="0.85"/>
    <e v="#N/A"/>
    <e v="#N/A"/>
  </r>
  <r>
    <x v="206"/>
    <x v="28"/>
    <s v="Admin/HR/IT"/>
    <s v="AMCARE NonOcc In"/>
    <s v="TEMP"/>
    <n v="201378452"/>
    <s v="Perez,Omar"/>
    <s v="Romero Sanchez,Gustavo Gabriel"/>
    <n v="0"/>
    <n v="0"/>
    <n v="0"/>
    <n v="0"/>
    <n v="0.57999999999999996"/>
    <e v="#N/A"/>
    <s v="omhperez"/>
  </r>
  <r>
    <x v="207"/>
    <x v="28"/>
    <s v="Admin/HR/IT"/>
    <s v="AMCARE NonOcc In"/>
    <s v="AMZN"/>
    <n v="112981013"/>
    <s v="Lopez Neri,Norma"/>
    <s v="Piedra,Valentina"/>
    <n v="0"/>
    <n v="0"/>
    <n v="0"/>
    <n v="0"/>
    <n v="0.21"/>
    <s v="DA-X0700"/>
    <s v="normaelo"/>
  </r>
  <r>
    <x v="207"/>
    <x v="28"/>
    <s v="Admin/HR/IT"/>
    <s v="AMCARE NonOcc In"/>
    <s v="TEMP"/>
    <n v="201167501"/>
    <s v="Rodriguez,Ruben"/>
    <s v="Robledo Ugarte,Alejandro"/>
    <n v="0"/>
    <n v="0"/>
    <n v="0"/>
    <n v="0"/>
    <n v="0.35"/>
    <e v="#N/A"/>
    <s v="wguanajr"/>
  </r>
  <r>
    <x v="207"/>
    <x v="28"/>
    <s v="Admin/HR/IT"/>
    <s v="AMCARE NonOcc In"/>
    <s v="TEMP"/>
    <n v="201186833"/>
    <s v="Jasso,Alexa"/>
    <s v="Piedra,Valentina"/>
    <n v="0"/>
    <n v="0"/>
    <n v="0"/>
    <n v="0"/>
    <n v="0.16"/>
    <e v="#N/A"/>
    <s v="jaalexav"/>
  </r>
  <r>
    <x v="207"/>
    <x v="28"/>
    <s v="Admin/HR/IT"/>
    <s v="AMCARE NonOcc In"/>
    <s v="TEMP"/>
    <n v="201353293"/>
    <s v="Castillo,Itzayana"/>
    <s v="Munoz,Jonan"/>
    <n v="0"/>
    <n v="0"/>
    <n v="0"/>
    <n v="0"/>
    <n v="0.25"/>
    <e v="#N/A"/>
    <s v="caitzaya"/>
  </r>
  <r>
    <x v="207"/>
    <x v="28"/>
    <s v="Admin/HR/IT"/>
    <s v="AMCARE NonOcc In"/>
    <s v="TEMP"/>
    <n v="201378542"/>
    <s v="Contreras,Evelyn"/>
    <s v="Bueno Mendoza,Susana"/>
    <n v="0"/>
    <n v="0"/>
    <n v="0"/>
    <n v="0"/>
    <n v="0.22"/>
    <e v="#N/A"/>
    <s v="tcontree"/>
  </r>
  <r>
    <x v="208"/>
    <x v="28"/>
    <s v="Admin/HR/IT"/>
    <s v="AMCARE NonOcc In"/>
    <s v="AMZN"/>
    <n v="112912054"/>
    <s v="Rivera Ramirez,Jorge"/>
    <s v="Pizana,Diego"/>
    <n v="0"/>
    <n v="0"/>
    <n v="0"/>
    <n v="0"/>
    <n v="0.21"/>
    <s v="DB-X0700"/>
    <s v="privejor"/>
  </r>
  <r>
    <x v="208"/>
    <x v="28"/>
    <s v="Admin/HR/IT"/>
    <s v="AMCARE NonOcc In"/>
    <s v="AMZN"/>
    <n v="112972521"/>
    <s v="Perez,Ronny"/>
    <s v="Rosas Negrete,Sebastian"/>
    <n v="0"/>
    <n v="0"/>
    <n v="0"/>
    <n v="0"/>
    <n v="0.57999999999999996"/>
    <s v="DB-X0700"/>
    <s v="perezrro"/>
  </r>
  <r>
    <x v="208"/>
    <x v="28"/>
    <s v="Admin/HR/IT"/>
    <s v="AMCARE NonOcc In"/>
    <s v="AMZN"/>
    <n v="112981196"/>
    <s v="Gomez,Andrea"/>
    <s v="Piedra,Valentina"/>
    <n v="0"/>
    <n v="0"/>
    <n v="0"/>
    <n v="0"/>
    <n v="0.18"/>
    <e v="#N/A"/>
    <s v="vandgome"/>
  </r>
  <r>
    <x v="208"/>
    <x v="28"/>
    <s v="Admin/HR/IT"/>
    <s v="AMCARE NonOcc In"/>
    <s v="AMZN"/>
    <n v="113020476"/>
    <s v="Puente Aguilar,Polette"/>
    <s v="Madrid Molina,Ramon"/>
    <n v="0"/>
    <n v="0"/>
    <n v="0"/>
    <n v="0"/>
    <n v="0.18"/>
    <e v="#N/A"/>
    <s v="polettpu"/>
  </r>
  <r>
    <x v="208"/>
    <x v="28"/>
    <s v="Admin/HR/IT"/>
    <s v="AMCARE NonOcc In"/>
    <s v="AMZN"/>
    <n v="200404250"/>
    <s v="Hurtado,Caty"/>
    <s v="Romero Sanchez,Gustavo Gabriel"/>
    <n v="0"/>
    <n v="0"/>
    <n v="0"/>
    <n v="0"/>
    <n v="0.43"/>
    <e v="#N/A"/>
    <s v="xcathurt"/>
  </r>
  <r>
    <x v="208"/>
    <x v="28"/>
    <s v="Admin/HR/IT"/>
    <s v="AMCARE NonOcc In"/>
    <s v="AMZN"/>
    <n v="200508315"/>
    <s v="Herrera,Aldair"/>
    <s v="Madrid Molina,Ramon"/>
    <n v="0"/>
    <n v="0"/>
    <n v="0"/>
    <n v="0"/>
    <n v="0.13"/>
    <e v="#N/A"/>
    <s v="taldaher"/>
  </r>
  <r>
    <x v="208"/>
    <x v="28"/>
    <s v="Admin/HR/IT"/>
    <s v="AMCARE NonOcc In"/>
    <s v="AMZN"/>
    <n v="200562154"/>
    <s v="Reyes Muniz,Cristian"/>
    <s v="Corona Arriaga,Fernando"/>
    <n v="0"/>
    <n v="0"/>
    <n v="0"/>
    <n v="0"/>
    <n v="0.49"/>
    <e v="#N/A"/>
    <s v="reyesmcw"/>
  </r>
  <r>
    <x v="208"/>
    <x v="28"/>
    <s v="Admin/HR/IT"/>
    <s v="AMCARE NonOcc In"/>
    <s v="TEMP"/>
    <n v="201318227"/>
    <s v="Rayas,Hilda"/>
    <s v="Gomez Aguado,Jorge"/>
    <n v="0"/>
    <n v="0"/>
    <n v="0"/>
    <n v="0"/>
    <n v="0.26"/>
    <e v="#N/A"/>
    <e v="#N/A"/>
  </r>
  <r>
    <x v="208"/>
    <x v="28"/>
    <s v="Admin/HR/IT"/>
    <s v="AMCARE NonOcc In"/>
    <s v="TEMP"/>
    <n v="201354965"/>
    <s v="JimÃ©nez,Aline"/>
    <s v="Lopez,Alexa"/>
    <n v="0"/>
    <n v="0"/>
    <n v="0"/>
    <n v="0"/>
    <n v="0.24"/>
    <e v="#N/A"/>
    <s v="alinejim"/>
  </r>
  <r>
    <x v="209"/>
    <x v="28"/>
    <s v="Admin/HR/IT"/>
    <s v="AMCARE NonOcc In"/>
    <s v="AMZN"/>
    <n v="112920666"/>
    <s v="Rocha,Jose"/>
    <s v="Cortes,Alejandra"/>
    <n v="0"/>
    <n v="0"/>
    <n v="0"/>
    <n v="0"/>
    <n v="0.24"/>
    <s v="D5-X0700"/>
    <s v="jorochai"/>
  </r>
  <r>
    <x v="209"/>
    <x v="28"/>
    <s v="Admin/HR/IT"/>
    <s v="AMCARE NonOcc In"/>
    <s v="AMZN"/>
    <n v="112972524"/>
    <s v="Santibanez Garcia,Luisa"/>
    <s v="Rosas Negrete,Sebastian"/>
    <n v="0"/>
    <n v="0"/>
    <n v="0"/>
    <n v="0"/>
    <n v="0.33"/>
    <s v="DB-X0700"/>
    <s v="csantibl"/>
  </r>
  <r>
    <x v="209"/>
    <x v="28"/>
    <s v="Admin/HR/IT"/>
    <s v="AMCARE NonOcc In"/>
    <s v="AMZN"/>
    <n v="113101262"/>
    <s v="Tinoco,Cesar"/>
    <s v="Corona Arriaga,Fernando"/>
    <n v="0"/>
    <n v="0"/>
    <n v="0"/>
    <n v="0"/>
    <n v="7.0000000000000007E-2"/>
    <e v="#N/A"/>
    <s v="cetinocr"/>
  </r>
  <r>
    <x v="209"/>
    <x v="28"/>
    <s v="Admin/HR/IT"/>
    <s v="AMCARE NonOcc In"/>
    <s v="AMZN"/>
    <n v="200562154"/>
    <s v="Reyes Muniz,Cristian"/>
    <s v="Corona Arriaga,Fernando"/>
    <n v="0"/>
    <n v="0"/>
    <n v="0"/>
    <n v="0"/>
    <n v="0.44"/>
    <e v="#N/A"/>
    <s v="reyesmcw"/>
  </r>
  <r>
    <x v="209"/>
    <x v="28"/>
    <s v="Admin/HR/IT"/>
    <s v="AMCARE NonOcc In"/>
    <s v="AMZN"/>
    <n v="200625528"/>
    <s v="Oliva,Lizbeth"/>
    <s v="Piedra,Valentina"/>
    <n v="0"/>
    <n v="0"/>
    <n v="0"/>
    <n v="0"/>
    <n v="0.24"/>
    <e v="#N/A"/>
    <s v="olivlizb"/>
  </r>
  <r>
    <x v="209"/>
    <x v="28"/>
    <s v="Admin/HR/IT"/>
    <s v="AMCARE NonOcc In"/>
    <s v="TEMP"/>
    <n v="201211157"/>
    <s v="Vargas,Jesse"/>
    <s v="Cortes,Alejandra"/>
    <n v="0"/>
    <n v="0"/>
    <n v="0"/>
    <n v="0"/>
    <n v="0.36"/>
    <e v="#N/A"/>
    <s v="vargajed"/>
  </r>
  <r>
    <x v="210"/>
    <x v="28"/>
    <s v="Admin/HR/IT"/>
    <s v="AMCARE NonOcc In"/>
    <s v="TEMP"/>
    <n v="112912747"/>
    <s v="Velasco,Cristina"/>
    <s v="Lopez,Alexa"/>
    <n v="0"/>
    <n v="0"/>
    <n v="0"/>
    <n v="0"/>
    <n v="0.43"/>
    <e v="#N/A"/>
    <e v="#N/A"/>
  </r>
  <r>
    <x v="210"/>
    <x v="28"/>
    <s v="Admin/HR/IT"/>
    <s v="AMCARE NonOcc In"/>
    <s v="AMZN"/>
    <n v="112920666"/>
    <s v="Rocha,Jose"/>
    <s v="Cortes,Alejandra"/>
    <n v="0"/>
    <n v="0"/>
    <n v="0"/>
    <n v="0"/>
    <n v="0.1"/>
    <s v="D5-X0700"/>
    <s v="jorochai"/>
  </r>
  <r>
    <x v="210"/>
    <x v="28"/>
    <s v="Admin/HR/IT"/>
    <s v="AMCARE NonOcc In"/>
    <s v="AMZN"/>
    <n v="113020476"/>
    <s v="Puente Aguilar,Polette"/>
    <s v="Madrid Molina,Ramon"/>
    <n v="0"/>
    <n v="0"/>
    <n v="0"/>
    <n v="0"/>
    <n v="0.24"/>
    <e v="#N/A"/>
    <s v="polettpu"/>
  </r>
  <r>
    <x v="210"/>
    <x v="28"/>
    <s v="Admin/HR/IT"/>
    <s v="AMCARE NonOcc In"/>
    <s v="AMZN"/>
    <n v="113020497"/>
    <s v="Martinez Ruiz,Diana"/>
    <s v="Gomez Aguado,Jorge"/>
    <n v="0"/>
    <n v="0"/>
    <n v="0"/>
    <n v="0"/>
    <n v="0.42"/>
    <e v="#N/A"/>
    <s v="diamartd"/>
  </r>
  <r>
    <x v="210"/>
    <x v="28"/>
    <s v="Admin/HR/IT"/>
    <s v="AMCARE NonOcc In"/>
    <s v="AMZN"/>
    <n v="113052151"/>
    <s v="Nieves Mendez,Laura"/>
    <s v="Ledezma,Fer"/>
    <n v="0"/>
    <n v="0"/>
    <n v="0"/>
    <n v="0"/>
    <n v="0.17"/>
    <e v="#N/A"/>
    <s v="nilaurab"/>
  </r>
  <r>
    <x v="210"/>
    <x v="28"/>
    <s v="Admin/HR/IT"/>
    <s v="AMCARE NonOcc In"/>
    <s v="AMZN"/>
    <n v="200562154"/>
    <s v="Reyes Muniz,Cristian"/>
    <s v="Corona Arriaga,Fernando"/>
    <n v="0"/>
    <n v="0"/>
    <n v="0"/>
    <n v="0"/>
    <n v="0.3"/>
    <e v="#N/A"/>
    <s v="reyesmcw"/>
  </r>
  <r>
    <x v="210"/>
    <x v="28"/>
    <s v="Admin/HR/IT"/>
    <s v="AMCARE NonOcc In"/>
    <s v="AMZN"/>
    <n v="200615883"/>
    <s v="Ibarra Amaro,Adriana"/>
    <s v="Gomez Aguado,Jorge"/>
    <n v="0"/>
    <n v="0"/>
    <n v="0"/>
    <n v="0"/>
    <n v="0.19"/>
    <e v="#N/A"/>
    <e v="#N/A"/>
  </r>
  <r>
    <x v="210"/>
    <x v="28"/>
    <s v="Admin/HR/IT"/>
    <s v="AMCARE NonOcc In"/>
    <s v="TEMP"/>
    <n v="201191390"/>
    <s v="GarcÃ­a,jesus"/>
    <s v="Madrid Molina,Ramon"/>
    <n v="0"/>
    <n v="0"/>
    <n v="0"/>
    <n v="0"/>
    <n v="1.28"/>
    <e v="#N/A"/>
    <s v="bgajesus"/>
  </r>
  <r>
    <x v="210"/>
    <x v="28"/>
    <s v="Admin/HR/IT"/>
    <s v="AMCARE NonOcc In"/>
    <s v="TEMP"/>
    <n v="201403462"/>
    <s v="Valdovino,Jorge"/>
    <s v="Corona Arriaga,Fernando"/>
    <n v="0"/>
    <n v="0"/>
    <n v="0"/>
    <n v="0"/>
    <n v="0.3"/>
    <e v="#N/A"/>
    <s v="valdojoe"/>
  </r>
  <r>
    <x v="211"/>
    <x v="29"/>
    <s v="Admin/HR/IT"/>
    <s v="AMCARE NonOcc In"/>
    <s v="AMZN"/>
    <n v="112981196"/>
    <s v="Gomez,Andrea"/>
    <s v="Piedra,Valentina"/>
    <n v="0"/>
    <n v="0"/>
    <n v="0"/>
    <n v="0"/>
    <n v="0.31"/>
    <e v="#N/A"/>
    <s v="vandgome"/>
  </r>
  <r>
    <x v="211"/>
    <x v="29"/>
    <s v="Admin/HR/IT"/>
    <s v="AMCARE NonOcc In"/>
    <s v="TEMP"/>
    <n v="201353328"/>
    <s v="Mendoza Macias,Zaira"/>
    <s v="Pizana,Diego"/>
    <n v="0"/>
    <n v="0"/>
    <n v="0"/>
    <n v="0"/>
    <n v="0.55000000000000004"/>
    <e v="#N/A"/>
    <s v="zairamen"/>
  </r>
  <r>
    <x v="211"/>
    <x v="29"/>
    <s v="Admin/HR/IT"/>
    <s v="AMCARE NonOcc In"/>
    <s v="TEMP"/>
    <n v="201378452"/>
    <s v="Perez,Omar"/>
    <s v="Romero Sanchez,Gustavo Gabriel"/>
    <n v="0"/>
    <n v="0"/>
    <n v="0"/>
    <n v="0"/>
    <n v="1.22"/>
    <e v="#N/A"/>
    <s v="omhperez"/>
  </r>
  <r>
    <x v="211"/>
    <x v="29"/>
    <s v="Admin/HR/IT"/>
    <s v="AMCARE NonOcc In"/>
    <s v="TEMP"/>
    <n v="201396328"/>
    <s v="Canchola,Alejandro"/>
    <s v="Lopez,Alexa"/>
    <n v="0"/>
    <n v="0"/>
    <n v="0"/>
    <n v="0"/>
    <n v="1.03"/>
    <e v="#N/A"/>
    <s v="nalcanch"/>
  </r>
  <r>
    <x v="212"/>
    <x v="29"/>
    <s v="Admin/HR/IT"/>
    <s v="AMCARE NonOcc In"/>
    <s v="AMZN"/>
    <n v="112912752"/>
    <s v="Valderrama Gomez,Leslie"/>
    <s v="Piedra,Valentina"/>
    <n v="0"/>
    <n v="0"/>
    <n v="0"/>
    <n v="0"/>
    <n v="0.11"/>
    <s v="NF-X1900"/>
    <s v="valderle"/>
  </r>
  <r>
    <x v="212"/>
    <x v="29"/>
    <s v="Admin/HR/IT"/>
    <s v="AMCARE NonOcc In"/>
    <s v="AMZN"/>
    <n v="112950800"/>
    <s v="Muniz,Viri"/>
    <s v="Camarena,Grecia"/>
    <n v="0"/>
    <n v="0"/>
    <n v="0"/>
    <n v="0"/>
    <n v="0.17"/>
    <s v="NF-X1900"/>
    <s v="virimuni"/>
  </r>
  <r>
    <x v="212"/>
    <x v="29"/>
    <s v="Admin/HR/IT"/>
    <s v="AMCARE NonOcc In"/>
    <s v="AMZN"/>
    <n v="112980899"/>
    <s v="Avila Cabrera,Ari"/>
    <s v="Bueno Mendoza,Susana"/>
    <n v="0"/>
    <n v="0"/>
    <n v="0"/>
    <n v="0"/>
    <n v="0.42"/>
    <s v="NF-X1900"/>
    <s v="aravilac"/>
  </r>
  <r>
    <x v="212"/>
    <x v="29"/>
    <s v="Admin/HR/IT"/>
    <s v="AMCARE NonOcc In"/>
    <s v="AMZN"/>
    <n v="112981061"/>
    <s v="Olguin,Claudia"/>
    <s v="Robledo Ugarte,Alejandro"/>
    <n v="0"/>
    <n v="0"/>
    <n v="0"/>
    <n v="0"/>
    <n v="0.34"/>
    <s v="DA-X0700"/>
    <s v="mclaudol"/>
  </r>
  <r>
    <x v="212"/>
    <x v="29"/>
    <s v="Admin/HR/IT"/>
    <s v="AMCARE NonOcc In"/>
    <s v="AMZN"/>
    <n v="112981196"/>
    <s v="Gomez,Andrea"/>
    <s v="Piedra,Valentina"/>
    <n v="0"/>
    <n v="0"/>
    <n v="0"/>
    <n v="0"/>
    <n v="0.18"/>
    <e v="#N/A"/>
    <s v="vandgome"/>
  </r>
  <r>
    <x v="212"/>
    <x v="29"/>
    <s v="Admin/HR/IT"/>
    <s v="AMCARE NonOcc In"/>
    <s v="AMZN"/>
    <n v="113003635"/>
    <s v="Barron,Giovanni"/>
    <s v="Robledo Ugarte,Alejandro"/>
    <n v="0"/>
    <n v="0"/>
    <n v="0"/>
    <n v="0"/>
    <n v="0.35"/>
    <e v="#N/A"/>
    <s v="barrgiof"/>
  </r>
  <r>
    <x v="212"/>
    <x v="29"/>
    <s v="Admin/HR/IT"/>
    <s v="AMCARE NonOcc In"/>
    <s v="TEMP"/>
    <n v="113013981"/>
    <s v="Espinosa,Ali"/>
    <s v="Bueno Mendoza,Susana"/>
    <n v="0"/>
    <n v="0"/>
    <n v="0"/>
    <n v="0"/>
    <n v="0.18"/>
    <e v="#N/A"/>
    <e v="#N/A"/>
  </r>
  <r>
    <x v="212"/>
    <x v="29"/>
    <s v="Admin/HR/IT"/>
    <s v="AMCARE NonOcc In"/>
    <s v="AMZN"/>
    <n v="113101453"/>
    <s v="Isaac,Geovanna"/>
    <s v="Robledo Ugarte,Alejandro"/>
    <n v="0"/>
    <n v="0"/>
    <n v="0"/>
    <n v="0"/>
    <n v="0.19"/>
    <e v="#N/A"/>
    <s v="qisgeova"/>
  </r>
  <r>
    <x v="212"/>
    <x v="29"/>
    <s v="Admin/HR/IT"/>
    <s v="AMCARE NonOcc In"/>
    <s v="AMZN"/>
    <n v="200404250"/>
    <s v="Hurtado,Caty"/>
    <s v="Romero Sanchez,Gustavo Gabriel"/>
    <n v="0"/>
    <n v="0"/>
    <n v="0"/>
    <n v="0"/>
    <n v="0.48"/>
    <e v="#N/A"/>
    <s v="xcathurt"/>
  </r>
  <r>
    <x v="212"/>
    <x v="29"/>
    <s v="Admin/HR/IT"/>
    <s v="AMCARE NonOcc In"/>
    <s v="TEMP"/>
    <n v="200407440"/>
    <s v="Escamilla,Guillermo"/>
    <s v="Romero Sanchez,Gustavo Gabriel"/>
    <n v="0"/>
    <n v="0"/>
    <n v="0"/>
    <n v="0"/>
    <n v="0.28000000000000003"/>
    <e v="#N/A"/>
    <e v="#N/A"/>
  </r>
  <r>
    <x v="212"/>
    <x v="29"/>
    <s v="Admin/HR/IT"/>
    <s v="AMCARE NonOcc In"/>
    <s v="AMZN"/>
    <n v="200562154"/>
    <s v="Reyes Muniz,Cristian"/>
    <s v="Corona Arriaga,Fernando"/>
    <n v="0"/>
    <n v="0"/>
    <n v="0"/>
    <n v="0"/>
    <n v="0.39"/>
    <e v="#N/A"/>
    <s v="reyesmcw"/>
  </r>
  <r>
    <x v="212"/>
    <x v="29"/>
    <s v="Admin/HR/IT"/>
    <s v="AMCARE NonOcc In"/>
    <s v="TEMP"/>
    <n v="201295432"/>
    <s v="Ortega,Argenis"/>
    <s v="Bueno Mendoza,Susana"/>
    <n v="0"/>
    <n v="0"/>
    <n v="0"/>
    <n v="0"/>
    <n v="0.11"/>
    <e v="#N/A"/>
    <e v="#N/A"/>
  </r>
  <r>
    <x v="212"/>
    <x v="29"/>
    <s v="Admin/HR/IT"/>
    <s v="AMCARE NonOcc In"/>
    <s v="TEMP"/>
    <n v="201329529"/>
    <s v="Padilla,Pablo"/>
    <s v="Lopez,Alexa"/>
    <n v="0"/>
    <n v="0"/>
    <n v="0"/>
    <n v="0"/>
    <n v="0.46"/>
    <e v="#N/A"/>
    <e v="#N/A"/>
  </r>
  <r>
    <x v="212"/>
    <x v="29"/>
    <s v="Admin/HR/IT"/>
    <s v="AMCARE NonOcc In"/>
    <s v="TEMP"/>
    <n v="201354965"/>
    <s v="JimÃ©nez,Aline"/>
    <s v="Lopez,Alexa"/>
    <n v="0"/>
    <n v="0"/>
    <n v="0"/>
    <n v="0"/>
    <n v="0.8"/>
    <e v="#N/A"/>
    <s v="alinejim"/>
  </r>
  <r>
    <x v="212"/>
    <x v="29"/>
    <s v="Admin/HR/IT"/>
    <s v="AMCARE NonOcc In"/>
    <s v="TEMP"/>
    <n v="201368616"/>
    <s v="Lopez,Mari"/>
    <s v="Piedra,Valentina"/>
    <n v="0"/>
    <n v="0"/>
    <n v="0"/>
    <n v="0"/>
    <n v="0.23"/>
    <e v="#N/A"/>
    <e v="#N/A"/>
  </r>
  <r>
    <x v="213"/>
    <x v="29"/>
    <s v="Admin/HR/IT"/>
    <s v="AMCARE NonOcc In"/>
    <s v="AMZN"/>
    <n v="112981061"/>
    <s v="Olguin,Claudia"/>
    <s v="Robledo Ugarte,Alejandro"/>
    <n v="0"/>
    <n v="0"/>
    <n v="0"/>
    <n v="0"/>
    <n v="0.19"/>
    <s v="DA-X0700"/>
    <s v="mclaudol"/>
  </r>
  <r>
    <x v="213"/>
    <x v="29"/>
    <s v="Admin/HR/IT"/>
    <s v="AMCARE NonOcc In"/>
    <s v="AMZN"/>
    <n v="112981196"/>
    <s v="Gomez,Andrea"/>
    <s v="Piedra,Valentina"/>
    <n v="0"/>
    <n v="0"/>
    <n v="0"/>
    <n v="0"/>
    <n v="0.19"/>
    <e v="#N/A"/>
    <s v="vandgome"/>
  </r>
  <r>
    <x v="213"/>
    <x v="29"/>
    <s v="Admin/HR/IT"/>
    <s v="AMCARE NonOcc In"/>
    <s v="AMZN"/>
    <n v="113014094"/>
    <s v="Mercado,Erika"/>
    <s v="Robledo Ugarte,Alejandro"/>
    <n v="0"/>
    <n v="0"/>
    <n v="0"/>
    <n v="0"/>
    <n v="0.21"/>
    <e v="#N/A"/>
    <s v="erikaadm"/>
  </r>
  <r>
    <x v="213"/>
    <x v="29"/>
    <s v="Admin/HR/IT"/>
    <s v="AMCARE NonOcc In"/>
    <s v="AMZN"/>
    <n v="113020463"/>
    <s v="Valtierra,Alejandra"/>
    <s v="Robledo Ugarte,Alejandro"/>
    <n v="0"/>
    <n v="0"/>
    <n v="0"/>
    <n v="0"/>
    <n v="0.37"/>
    <e v="#N/A"/>
    <s v="myriamav"/>
  </r>
  <r>
    <x v="213"/>
    <x v="29"/>
    <s v="Admin/HR/IT"/>
    <s v="AMCARE NonOcc In"/>
    <s v="AMZN"/>
    <n v="200404250"/>
    <s v="Hurtado,Caty"/>
    <s v="Romero Sanchez,Gustavo Gabriel"/>
    <n v="0"/>
    <n v="0"/>
    <n v="0"/>
    <n v="0"/>
    <n v="0.48"/>
    <e v="#N/A"/>
    <s v="xcathurt"/>
  </r>
  <r>
    <x v="213"/>
    <x v="29"/>
    <s v="Admin/HR/IT"/>
    <s v="AMCARE NonOcc In"/>
    <s v="AMZN"/>
    <n v="200514421"/>
    <s v="Padilla Abrego,Angeles"/>
    <s v="Romero Sanchez,Gustavo Gabriel"/>
    <n v="0"/>
    <n v="0"/>
    <n v="0"/>
    <n v="0"/>
    <n v="0.93"/>
    <e v="#N/A"/>
    <s v="padillms"/>
  </r>
  <r>
    <x v="213"/>
    <x v="29"/>
    <s v="Admin/HR/IT"/>
    <s v="AMCARE NonOcc In"/>
    <s v="AMZN"/>
    <n v="200625528"/>
    <s v="Oliva,Lizbeth"/>
    <s v="Piedra,Valentina"/>
    <n v="0"/>
    <n v="0"/>
    <n v="0"/>
    <n v="0"/>
    <n v="0.1"/>
    <e v="#N/A"/>
    <s v="olivlizb"/>
  </r>
  <r>
    <x v="213"/>
    <x v="29"/>
    <s v="Admin/HR/IT"/>
    <s v="AMCARE NonOcc In"/>
    <s v="AMZN"/>
    <n v="201172306"/>
    <s v="Valdez,CÃ©sar"/>
    <s v="Bueno Mendoza,Susana"/>
    <n v="0"/>
    <n v="0"/>
    <n v="0"/>
    <n v="0"/>
    <n v="0.81"/>
    <e v="#N/A"/>
    <s v="cesarvae"/>
  </r>
  <r>
    <x v="213"/>
    <x v="29"/>
    <s v="Admin/HR/IT"/>
    <s v="AMCARE NonOcc In"/>
    <s v="AMZN"/>
    <n v="201185653"/>
    <s v="Lopez,Mine"/>
    <s v="Corona Arriaga,Fernando"/>
    <n v="0"/>
    <n v="0"/>
    <n v="0"/>
    <n v="0"/>
    <n v="7.0000000000000007E-2"/>
    <e v="#N/A"/>
    <s v="luisamin"/>
  </r>
  <r>
    <x v="213"/>
    <x v="29"/>
    <s v="Admin/HR/IT"/>
    <s v="AMCARE NonOcc In"/>
    <s v="TEMP"/>
    <n v="201338665"/>
    <s v="Reyes,Daniel"/>
    <s v="Lopez,Alexa"/>
    <n v="0"/>
    <n v="0"/>
    <n v="0"/>
    <n v="0"/>
    <n v="0.34"/>
    <e v="#N/A"/>
    <e v="#N/A"/>
  </r>
  <r>
    <x v="213"/>
    <x v="29"/>
    <s v="Admin/HR/IT"/>
    <s v="AMCARE NonOcc In"/>
    <s v="TEMP"/>
    <n v="201354965"/>
    <s v="JimÃ©nez,Aline"/>
    <s v="Lopez,Alexa"/>
    <n v="0"/>
    <n v="0"/>
    <n v="0"/>
    <n v="0"/>
    <n v="0.28999999999999998"/>
    <e v="#N/A"/>
    <s v="alinejim"/>
  </r>
  <r>
    <x v="213"/>
    <x v="29"/>
    <s v="Admin/HR/IT"/>
    <s v="AMCARE NonOcc In"/>
    <s v="TEMP"/>
    <n v="201355525"/>
    <s v="Hernandez,Gael"/>
    <s v="Camarena,Grecia"/>
    <n v="0"/>
    <n v="0"/>
    <n v="0"/>
    <n v="0"/>
    <n v="0.21"/>
    <e v="#N/A"/>
    <e v="#N/A"/>
  </r>
  <r>
    <x v="213"/>
    <x v="29"/>
    <s v="Admin/HR/IT"/>
    <s v="AMCARE NonOcc In"/>
    <s v="TEMP"/>
    <n v="201402060"/>
    <s v="Tovar,Mariana"/>
    <s v="Piedra,Valentina"/>
    <n v="0"/>
    <n v="0"/>
    <n v="0"/>
    <n v="0"/>
    <n v="0.97"/>
    <e v="#N/A"/>
    <e v="#N/A"/>
  </r>
  <r>
    <x v="214"/>
    <x v="29"/>
    <s v="Admin/HR/IT"/>
    <s v="AMCARE NonOcc In"/>
    <s v="AMZN"/>
    <n v="112912752"/>
    <s v="Valderrama Gomez,Leslie"/>
    <s v="Piedra,Valentina"/>
    <n v="0"/>
    <n v="0"/>
    <n v="0"/>
    <n v="0"/>
    <n v="0.13"/>
    <s v="NF-X1900"/>
    <s v="valderle"/>
  </r>
  <r>
    <x v="214"/>
    <x v="29"/>
    <s v="Admin/HR/IT"/>
    <s v="AMCARE NonOcc In"/>
    <s v="AMZN"/>
    <n v="112950792"/>
    <s v="Morales Gonzalez,Genesis"/>
    <s v="Bueno Mendoza,Susana"/>
    <n v="0"/>
    <n v="0"/>
    <n v="0"/>
    <n v="0"/>
    <n v="0.22"/>
    <s v="NF-X1900"/>
    <s v="genevmor"/>
  </r>
  <r>
    <x v="214"/>
    <x v="29"/>
    <s v="Admin/HR/IT"/>
    <s v="AMCARE NonOcc In"/>
    <s v="AMZN"/>
    <n v="112972524"/>
    <s v="Santibanez Garcia,Luisa"/>
    <s v="Rosas Negrete,Sebastian"/>
    <n v="0"/>
    <n v="0"/>
    <n v="0"/>
    <n v="0"/>
    <n v="0.11"/>
    <s v="DB-X0700"/>
    <s v="csantibl"/>
  </r>
  <r>
    <x v="214"/>
    <x v="29"/>
    <s v="Admin/HR/IT"/>
    <s v="AMCARE NonOcc In"/>
    <s v="AMZN"/>
    <n v="112980899"/>
    <s v="Avila Cabrera,Ari"/>
    <s v="Bueno Mendoza,Susana"/>
    <n v="0"/>
    <n v="0"/>
    <n v="0"/>
    <n v="0"/>
    <n v="0.21"/>
    <s v="NF-X1900"/>
    <s v="aravilac"/>
  </r>
  <r>
    <x v="214"/>
    <x v="29"/>
    <s v="Admin/HR/IT"/>
    <s v="AMCARE NonOcc In"/>
    <s v="AMZN"/>
    <n v="112981013"/>
    <s v="Lopez Neri,Norma"/>
    <s v="Piedra,Valentina"/>
    <n v="0"/>
    <n v="0"/>
    <n v="0"/>
    <n v="0"/>
    <n v="0.2"/>
    <s v="DA-X0700"/>
    <s v="normaelo"/>
  </r>
  <r>
    <x v="214"/>
    <x v="29"/>
    <s v="Admin/HR/IT"/>
    <s v="AMCARE NonOcc In"/>
    <s v="AMZN"/>
    <n v="200404250"/>
    <s v="Hurtado,Caty"/>
    <s v="Romero Sanchez,Gustavo Gabriel"/>
    <n v="0"/>
    <n v="0"/>
    <n v="0"/>
    <n v="0"/>
    <n v="0.24"/>
    <e v="#N/A"/>
    <s v="xcathurt"/>
  </r>
  <r>
    <x v="214"/>
    <x v="29"/>
    <s v="Admin/HR/IT"/>
    <s v="AMCARE NonOcc In"/>
    <s v="TEMP"/>
    <n v="201320388"/>
    <s v="Pena,Laura"/>
    <s v="Robledo Ugarte,Alejandro"/>
    <n v="0"/>
    <n v="0"/>
    <n v="0"/>
    <n v="0"/>
    <n v="1.86"/>
    <e v="#N/A"/>
    <e v="#N/A"/>
  </r>
  <r>
    <x v="214"/>
    <x v="29"/>
    <s v="Admin/HR/IT"/>
    <s v="AMCARE NonOcc In"/>
    <s v="TEMP"/>
    <n v="201336567"/>
    <s v="Reyes,Adriana"/>
    <s v="Lopez,Alexa"/>
    <n v="0"/>
    <n v="0"/>
    <n v="0"/>
    <n v="0"/>
    <n v="0.18"/>
    <e v="#N/A"/>
    <e v="#N/A"/>
  </r>
  <r>
    <x v="214"/>
    <x v="29"/>
    <s v="Admin/HR/IT"/>
    <s v="AMCARE NonOcc In"/>
    <s v="TEMP"/>
    <n v="201378452"/>
    <s v="Perez,Omar"/>
    <s v="Romero Sanchez,Gustavo Gabriel"/>
    <n v="0"/>
    <n v="0"/>
    <n v="0"/>
    <n v="0"/>
    <n v="1.1000000000000001"/>
    <e v="#N/A"/>
    <s v="omhperez"/>
  </r>
  <r>
    <x v="215"/>
    <x v="29"/>
    <s v="Admin/HR/IT"/>
    <s v="AMCARE NonOcc In"/>
    <s v="TEMP"/>
    <n v="112912747"/>
    <s v="Velasco,Cristina"/>
    <s v="Lopez,Alexa"/>
    <n v="0"/>
    <n v="0"/>
    <n v="0"/>
    <n v="0"/>
    <n v="0.28999999999999998"/>
    <e v="#N/A"/>
    <e v="#N/A"/>
  </r>
  <r>
    <x v="215"/>
    <x v="29"/>
    <s v="Admin/HR/IT"/>
    <s v="AMCARE NonOcc In"/>
    <s v="AMZN"/>
    <n v="112971962"/>
    <s v="Reyes  Montes de oca,Alejandra"/>
    <s v="Ledezma,Fer"/>
    <n v="0"/>
    <n v="0"/>
    <n v="0"/>
    <n v="0"/>
    <n v="0.4"/>
    <s v="DB-X0700"/>
    <s v="creyesal"/>
  </r>
  <r>
    <x v="215"/>
    <x v="29"/>
    <s v="Admin/HR/IT"/>
    <s v="AMCARE NonOcc In"/>
    <s v="AMZN"/>
    <n v="112972524"/>
    <s v="Santibanez Garcia,Luisa"/>
    <s v="Rosas Negrete,Sebastian"/>
    <n v="0"/>
    <n v="0"/>
    <n v="0"/>
    <n v="0"/>
    <n v="0.52"/>
    <s v="DB-X0700"/>
    <s v="csantibl"/>
  </r>
  <r>
    <x v="215"/>
    <x v="29"/>
    <s v="Admin/HR/IT"/>
    <s v="AMCARE NonOcc In"/>
    <s v="AMZN"/>
    <n v="112981061"/>
    <s v="Olguin,Claudia"/>
    <s v="Robledo Ugarte,Alejandro"/>
    <n v="0"/>
    <n v="0"/>
    <n v="0"/>
    <n v="0"/>
    <n v="0.23"/>
    <s v="DA-X0700"/>
    <s v="mclaudol"/>
  </r>
  <r>
    <x v="215"/>
    <x v="29"/>
    <s v="Admin/HR/IT"/>
    <s v="AMCARE NonOcc In"/>
    <s v="AMZN"/>
    <n v="112981196"/>
    <s v="Gomez,Andrea"/>
    <s v="Piedra,Valentina"/>
    <n v="0"/>
    <n v="0"/>
    <n v="0"/>
    <n v="0"/>
    <n v="0.2"/>
    <e v="#N/A"/>
    <s v="vandgome"/>
  </r>
  <r>
    <x v="215"/>
    <x v="29"/>
    <s v="Admin/HR/IT"/>
    <s v="AMCARE NonOcc In"/>
    <s v="AMZN"/>
    <n v="113003510"/>
    <s v="PÃ©rez MÃ©ndez,Cecy"/>
    <s v="Gomez Aguado,Jorge"/>
    <n v="0"/>
    <n v="0"/>
    <n v="0"/>
    <n v="0"/>
    <n v="0.55000000000000004"/>
    <e v="#N/A"/>
    <s v="nperezmc"/>
  </r>
  <r>
    <x v="215"/>
    <x v="29"/>
    <s v="Admin/HR/IT"/>
    <s v="AMCARE NonOcc In"/>
    <s v="AMZN"/>
    <n v="113014560"/>
    <s v="Lopez Moreno,Americo"/>
    <s v="Ledezma,Fer"/>
    <n v="0"/>
    <n v="0"/>
    <n v="0"/>
    <n v="0"/>
    <n v="0.21"/>
    <e v="#N/A"/>
    <s v="zlopamer"/>
  </r>
  <r>
    <x v="215"/>
    <x v="29"/>
    <s v="Admin/HR/IT"/>
    <s v="AMCARE NonOcc In"/>
    <s v="AMZN"/>
    <n v="113020476"/>
    <s v="Puente Aguilar,Polette"/>
    <s v="Madrid Molina,Ramon"/>
    <n v="0"/>
    <n v="0"/>
    <n v="0"/>
    <n v="0"/>
    <n v="0.41"/>
    <e v="#N/A"/>
    <s v="polettpu"/>
  </r>
  <r>
    <x v="215"/>
    <x v="29"/>
    <s v="Admin/HR/IT"/>
    <s v="AMCARE NonOcc In"/>
    <s v="AMZN"/>
    <n v="200562154"/>
    <s v="Reyes Muniz,Cristian"/>
    <s v="Corona Arriaga,Fernando"/>
    <n v="0"/>
    <n v="0"/>
    <n v="0"/>
    <n v="0"/>
    <n v="0.4"/>
    <e v="#N/A"/>
    <s v="reyesmcw"/>
  </r>
  <r>
    <x v="215"/>
    <x v="29"/>
    <s v="Admin/HR/IT"/>
    <s v="AMCARE NonOcc In"/>
    <s v="AMZN"/>
    <n v="200614224"/>
    <s v="Cruz Hernandez,Cris"/>
    <s v="Ledezma,Fer"/>
    <n v="0"/>
    <n v="0"/>
    <n v="0"/>
    <n v="0"/>
    <n v="0.8"/>
    <e v="#N/A"/>
    <e v="#N/A"/>
  </r>
  <r>
    <x v="215"/>
    <x v="29"/>
    <s v="Admin/HR/IT"/>
    <s v="AMCARE NonOcc In"/>
    <s v="AMZN"/>
    <n v="201191390"/>
    <s v="GarcÃ­a,jesus"/>
    <s v="Madrid Molina,Ramon"/>
    <n v="0"/>
    <n v="0"/>
    <n v="0"/>
    <n v="0"/>
    <n v="0.13"/>
    <e v="#N/A"/>
    <s v="bgajesus"/>
  </r>
  <r>
    <x v="215"/>
    <x v="29"/>
    <s v="Admin/HR/IT"/>
    <s v="AMCARE NonOcc In"/>
    <s v="TEMP"/>
    <n v="201318227"/>
    <s v="Rayas,Hilda"/>
    <s v="Gomez Aguado,Jorge"/>
    <n v="0"/>
    <n v="0"/>
    <n v="0"/>
    <n v="0"/>
    <n v="0.64"/>
    <e v="#N/A"/>
    <e v="#N/A"/>
  </r>
  <r>
    <x v="215"/>
    <x v="29"/>
    <s v="Admin/HR/IT"/>
    <s v="AMCARE NonOcc In"/>
    <s v="TEMP"/>
    <n v="201354965"/>
    <s v="JimÃ©nez,Aline"/>
    <s v="Lopez,Alexa"/>
    <n v="0"/>
    <n v="0"/>
    <n v="0"/>
    <n v="0"/>
    <n v="0.09"/>
    <e v="#N/A"/>
    <s v="alinejim"/>
  </r>
  <r>
    <x v="215"/>
    <x v="29"/>
    <s v="Admin/HR/IT"/>
    <s v="AMCARE NonOcc In"/>
    <s v="AMZN"/>
    <n v="112912511"/>
    <s v="Elorza,Sergio"/>
    <s v="Gomez Aguado,Jorge"/>
    <n v="0"/>
    <n v="0"/>
    <n v="0"/>
    <n v="0"/>
    <n v="0.66"/>
    <s v="DB-X0700"/>
    <s v="sergelor"/>
  </r>
  <r>
    <x v="215"/>
    <x v="29"/>
    <s v="Admin/HR/IT"/>
    <s v="AMCARE NonOcc In"/>
    <s v="TEMP"/>
    <n v="112912747"/>
    <s v="Velasco,Cristina"/>
    <s v="Lopez,Alexa"/>
    <n v="0"/>
    <n v="0"/>
    <n v="0"/>
    <n v="0"/>
    <n v="0.76"/>
    <e v="#N/A"/>
    <e v="#N/A"/>
  </r>
  <r>
    <x v="216"/>
    <x v="29"/>
    <s v="Admin/HR/IT"/>
    <s v="AMCARE NonOcc In"/>
    <s v="AMZN"/>
    <n v="112913641"/>
    <s v="Arevalo,Mauricio"/>
    <s v="Gomez Aguado,Jorge"/>
    <n v="0"/>
    <n v="0"/>
    <n v="0"/>
    <n v="0"/>
    <n v="1.01"/>
    <s v="DB-X0700"/>
    <s v="arevamau"/>
  </r>
  <r>
    <x v="216"/>
    <x v="29"/>
    <s v="Admin/HR/IT"/>
    <s v="AMCARE NonOcc In"/>
    <s v="AMZN"/>
    <n v="112920666"/>
    <s v="Rocha,Jose"/>
    <s v="Cortes,Alejandra"/>
    <n v="0"/>
    <n v="0"/>
    <n v="0"/>
    <n v="0"/>
    <n v="0.18"/>
    <s v="D5-X0700"/>
    <s v="jorochai"/>
  </r>
  <r>
    <x v="216"/>
    <x v="29"/>
    <s v="Admin/HR/IT"/>
    <s v="AMCARE NonOcc In"/>
    <s v="AMZN"/>
    <n v="112950784"/>
    <s v="Rojas,Samuel"/>
    <s v="Pizana,Diego"/>
    <n v="0"/>
    <n v="0"/>
    <n v="0"/>
    <n v="0"/>
    <n v="0.28999999999999998"/>
    <s v="NF-X1900"/>
    <s v="sarojast"/>
  </r>
  <r>
    <x v="216"/>
    <x v="29"/>
    <s v="Admin/HR/IT"/>
    <s v="AMCARE NonOcc In"/>
    <s v="AMZN"/>
    <n v="112973049"/>
    <s v="Tavares Parra,Ely"/>
    <s v="Madrid Molina,Ramon"/>
    <n v="0"/>
    <n v="0"/>
    <n v="0"/>
    <n v="0"/>
    <n v="0.13"/>
    <s v="DB-X0700"/>
    <s v="afatimae"/>
  </r>
  <r>
    <x v="216"/>
    <x v="29"/>
    <s v="Admin/HR/IT"/>
    <s v="AMCARE NonOcc In"/>
    <s v="AMZN"/>
    <n v="113003510"/>
    <s v="PÃ©rez MÃ©ndez,Cecy"/>
    <s v="Gomez Aguado,Jorge"/>
    <n v="0"/>
    <n v="0"/>
    <n v="0"/>
    <n v="0"/>
    <n v="0.7"/>
    <e v="#N/A"/>
    <s v="nperezmc"/>
  </r>
  <r>
    <x v="216"/>
    <x v="29"/>
    <s v="Admin/HR/IT"/>
    <s v="AMCARE NonOcc In"/>
    <s v="AMZN"/>
    <n v="113014470"/>
    <s v="Aguilar Ibarra,Lupe"/>
    <s v="Robledo Ugarte,Alejandro"/>
    <n v="0"/>
    <n v="0"/>
    <n v="0"/>
    <n v="0"/>
    <n v="0.63"/>
    <e v="#N/A"/>
    <s v="lupaguin"/>
  </r>
  <r>
    <x v="216"/>
    <x v="29"/>
    <s v="Admin/HR/IT"/>
    <s v="AMCARE NonOcc In"/>
    <s v="AMZN"/>
    <n v="113014560"/>
    <s v="Lopez Moreno,Americo"/>
    <s v="Ledezma,Fer"/>
    <n v="0"/>
    <n v="0"/>
    <n v="0"/>
    <n v="0"/>
    <n v="0.04"/>
    <e v="#N/A"/>
    <s v="zlopamer"/>
  </r>
  <r>
    <x v="216"/>
    <x v="29"/>
    <s v="Admin/HR/IT"/>
    <s v="AMCARE NonOcc In"/>
    <s v="AMZN"/>
    <n v="113020497"/>
    <s v="Martinez Ruiz,Diana"/>
    <s v="Gomez Aguado,Jorge"/>
    <n v="0"/>
    <n v="0"/>
    <n v="0"/>
    <n v="0"/>
    <n v="0.66"/>
    <e v="#N/A"/>
    <s v="diamartd"/>
  </r>
  <r>
    <x v="216"/>
    <x v="29"/>
    <s v="Admin/HR/IT"/>
    <s v="AMCARE NonOcc In"/>
    <s v="AMZN"/>
    <n v="113044763"/>
    <s v="Urbina Avila,Stephany"/>
    <s v="Gomez Aguado,Jorge"/>
    <n v="0"/>
    <n v="0"/>
    <n v="0"/>
    <n v="0"/>
    <n v="0.64"/>
    <e v="#N/A"/>
    <s v="urbistep"/>
  </r>
  <r>
    <x v="216"/>
    <x v="29"/>
    <s v="Admin/HR/IT"/>
    <s v="AMCARE NonOcc In"/>
    <s v="AMZN"/>
    <n v="200562154"/>
    <s v="Reyes Muniz,Cristian"/>
    <s v="Corona Arriaga,Fernando"/>
    <n v="0"/>
    <n v="0"/>
    <n v="0"/>
    <n v="0"/>
    <n v="0.34"/>
    <e v="#N/A"/>
    <s v="reyesmcw"/>
  </r>
  <r>
    <x v="216"/>
    <x v="29"/>
    <s v="Admin/HR/IT"/>
    <s v="AMCARE NonOcc In"/>
    <s v="AMZN"/>
    <n v="200614224"/>
    <s v="Cruz Hernandez,Cris"/>
    <s v="Ledezma,Fer"/>
    <n v="0"/>
    <n v="0"/>
    <n v="0"/>
    <n v="0"/>
    <n v="0.32"/>
    <e v="#N/A"/>
    <e v="#N/A"/>
  </r>
  <r>
    <x v="216"/>
    <x v="29"/>
    <s v="Admin/HR/IT"/>
    <s v="AMCARE NonOcc In"/>
    <s v="AMZN"/>
    <n v="201198427"/>
    <s v="Ponce,Paulina"/>
    <s v="Gomez Aguado,Jorge"/>
    <n v="0"/>
    <n v="0"/>
    <n v="0"/>
    <n v="0"/>
    <n v="0.64"/>
    <e v="#N/A"/>
    <s v="paulinbp"/>
  </r>
  <r>
    <x v="216"/>
    <x v="29"/>
    <s v="Admin/HR/IT"/>
    <s v="AMCARE NonOcc In"/>
    <s v="AMZN"/>
    <n v="201202093"/>
    <s v="Ortega,Elizabeth"/>
    <s v="Romero Sanchez,Gustavo Gabriel"/>
    <n v="0"/>
    <n v="0"/>
    <n v="0"/>
    <n v="0"/>
    <n v="0.06"/>
    <e v="#N/A"/>
    <s v="eliorten"/>
  </r>
  <r>
    <x v="216"/>
    <x v="29"/>
    <s v="Admin/HR/IT"/>
    <s v="AMCARE NonOcc In"/>
    <s v="AMZN"/>
    <n v="201223730"/>
    <s v="Sanchiz,Cesarito"/>
    <s v="Corona Arriaga,Fernando"/>
    <n v="0"/>
    <n v="0"/>
    <n v="0"/>
    <n v="0"/>
    <n v="0.72"/>
    <e v="#N/A"/>
    <s v="cesarito"/>
  </r>
  <r>
    <x v="216"/>
    <x v="29"/>
    <s v="Admin/HR/IT"/>
    <s v="AMCARE NonOcc In"/>
    <s v="TEMP"/>
    <n v="201295559"/>
    <s v="Flores,Mar"/>
    <s v="Gomez Aguado,Jorge"/>
    <n v="0"/>
    <n v="0"/>
    <n v="0"/>
    <n v="0"/>
    <n v="0.73"/>
    <e v="#N/A"/>
    <s v="maflorr"/>
  </r>
  <r>
    <x v="216"/>
    <x v="29"/>
    <s v="Admin/HR/IT"/>
    <s v="AMCARE NonOcc In"/>
    <s v="TEMP"/>
    <n v="201318227"/>
    <s v="Rayas,Hilda"/>
    <s v="Gomez Aguado,Jorge"/>
    <n v="0"/>
    <n v="0"/>
    <n v="0"/>
    <n v="0"/>
    <n v="0.7"/>
    <e v="#N/A"/>
    <e v="#N/A"/>
  </r>
  <r>
    <x v="216"/>
    <x v="29"/>
    <s v="Admin/HR/IT"/>
    <s v="AMCARE NonOcc In"/>
    <s v="TEMP"/>
    <n v="201345737"/>
    <s v="Rosales,Paco"/>
    <s v="Ledezma,Fer"/>
    <n v="0"/>
    <n v="0"/>
    <n v="0"/>
    <n v="0"/>
    <n v="0.95"/>
    <e v="#N/A"/>
    <s v="upacoros"/>
  </r>
  <r>
    <x v="216"/>
    <x v="29"/>
    <s v="Admin/HR/IT"/>
    <s v="AMCARE NonOcc In"/>
    <s v="TEMP"/>
    <n v="201354965"/>
    <s v="JimÃ©nez,Aline"/>
    <s v="Lopez,Alexa"/>
    <n v="0"/>
    <n v="0"/>
    <n v="0"/>
    <n v="0"/>
    <n v="1.34"/>
    <e v="#N/A"/>
    <s v="alinejim"/>
  </r>
  <r>
    <x v="216"/>
    <x v="29"/>
    <s v="Admin/HR/IT"/>
    <s v="AMCARE NonOcc In"/>
    <s v="TEMP"/>
    <n v="201403462"/>
    <s v="Valdovino,Jorge"/>
    <s v="Corona Arriaga,Fernando"/>
    <n v="0"/>
    <n v="0"/>
    <n v="0"/>
    <n v="0"/>
    <n v="0.42"/>
    <e v="#N/A"/>
    <s v="valdojoe"/>
  </r>
  <r>
    <x v="217"/>
    <x v="29"/>
    <s v="Admin/HR/IT"/>
    <s v="AMCARE NonOcc In"/>
    <s v="TEMP"/>
    <n v="112912747"/>
    <s v="Velasco,Cristina"/>
    <s v="Lopez,Alexa"/>
    <n v="0"/>
    <n v="0"/>
    <n v="0"/>
    <n v="0"/>
    <n v="0.36"/>
    <e v="#N/A"/>
    <e v="#N/A"/>
  </r>
  <r>
    <x v="217"/>
    <x v="29"/>
    <s v="Admin/HR/IT"/>
    <s v="AMCARE NonOcc In"/>
    <s v="AMZN"/>
    <n v="113003971"/>
    <s v="Garcia  Ramirez,Gabriel"/>
    <s v="Corona Arriaga,Fernando"/>
    <n v="0"/>
    <n v="0"/>
    <n v="0"/>
    <n v="0"/>
    <n v="0.08"/>
    <e v="#N/A"/>
    <s v="garamird"/>
  </r>
  <r>
    <x v="217"/>
    <x v="29"/>
    <s v="Admin/HR/IT"/>
    <s v="AMCARE NonOcc In"/>
    <s v="AMZN"/>
    <n v="113020476"/>
    <s v="Puente Aguilar,Polette"/>
    <s v="Madrid Molina,Ramon"/>
    <n v="0"/>
    <n v="0"/>
    <n v="0"/>
    <n v="0"/>
    <n v="0.09"/>
    <e v="#N/A"/>
    <s v="polettpu"/>
  </r>
  <r>
    <x v="217"/>
    <x v="29"/>
    <s v="Admin/HR/IT"/>
    <s v="AMCARE NonOcc In"/>
    <s v="TEMP"/>
    <n v="200552429"/>
    <s v="Lozornio Martinez,Antonio"/>
    <s v="Lopez,Alexa"/>
    <n v="0"/>
    <n v="0"/>
    <n v="0"/>
    <n v="0"/>
    <n v="0.3"/>
    <e v="#N/A"/>
    <e v="#N/A"/>
  </r>
  <r>
    <x v="217"/>
    <x v="29"/>
    <s v="Admin/HR/IT"/>
    <s v="AMCARE NonOcc In"/>
    <s v="TEMP"/>
    <n v="201345737"/>
    <s v="Rosales,Paco"/>
    <s v="Ledezma,Fer"/>
    <n v="0"/>
    <n v="0"/>
    <n v="0"/>
    <n v="0"/>
    <n v="1.0900000000000001"/>
    <e v="#N/A"/>
    <s v="upacoros"/>
  </r>
  <r>
    <x v="217"/>
    <x v="29"/>
    <s v="Admin/HR/IT"/>
    <s v="AMCARE NonOcc In"/>
    <s v="TEMP"/>
    <n v="201386201"/>
    <s v="Castillo,Janai"/>
    <s v="Ledezma,Fer"/>
    <n v="0"/>
    <n v="0"/>
    <n v="0"/>
    <n v="0"/>
    <n v="0.56000000000000005"/>
    <e v="#N/A"/>
    <s v="castjanr"/>
  </r>
  <r>
    <x v="218"/>
    <x v="30"/>
    <s v="Admin/HR/IT"/>
    <s v="AMCARE NonOcc In"/>
    <s v="AMZN"/>
    <n v="112950802"/>
    <s v="Blee,Fabian"/>
    <s v="Romero Sanchez,Gustavo Gabriel"/>
    <n v="0"/>
    <n v="0"/>
    <n v="0"/>
    <n v="0"/>
    <n v="0.08"/>
    <e v="#N/A"/>
    <e v="#N/A"/>
  </r>
  <r>
    <x v="218"/>
    <x v="30"/>
    <s v="Admin/HR/IT"/>
    <s v="AMCARE NonOcc In"/>
    <s v="AMZN"/>
    <n v="112971962"/>
    <s v="Reyes  Montes de oca,Alejandra"/>
    <s v="Ledezma,Fer"/>
    <n v="0"/>
    <n v="0"/>
    <n v="0"/>
    <n v="0"/>
    <n v="0.2"/>
    <s v="DB-X0700"/>
    <s v="creyesal"/>
  </r>
  <r>
    <x v="218"/>
    <x v="30"/>
    <s v="Admin/HR/IT"/>
    <s v="AMCARE NonOcc In"/>
    <s v="AMZN"/>
    <n v="112980847"/>
    <s v="Reyes,Jose"/>
    <s v="Bueno Mendoza,Susana"/>
    <n v="0"/>
    <n v="0"/>
    <n v="0"/>
    <n v="0"/>
    <n v="0.24"/>
    <e v="#N/A"/>
    <e v="#N/A"/>
  </r>
  <r>
    <x v="218"/>
    <x v="30"/>
    <s v="Admin/HR/IT"/>
    <s v="AMCARE NonOcc In"/>
    <s v="AMZN"/>
    <n v="112980899"/>
    <s v="Avila Cabrera,Ari"/>
    <s v="Camarena,Grecia"/>
    <n v="0"/>
    <n v="0"/>
    <n v="0"/>
    <n v="0"/>
    <n v="0.24"/>
    <s v="NF-X1900"/>
    <s v="aravilac"/>
  </r>
  <r>
    <x v="218"/>
    <x v="30"/>
    <s v="Admin/HR/IT"/>
    <s v="AMCARE NonOcc In"/>
    <s v="AMZN"/>
    <n v="112981196"/>
    <s v="Gomez,Andrea"/>
    <s v="Piedra,Valentina"/>
    <n v="0"/>
    <n v="0"/>
    <n v="0"/>
    <n v="0"/>
    <n v="0.24"/>
    <e v="#N/A"/>
    <s v="vandgome"/>
  </r>
  <r>
    <x v="218"/>
    <x v="30"/>
    <s v="Admin/HR/IT"/>
    <s v="AMCARE NonOcc In"/>
    <s v="TEMP"/>
    <n v="113010145"/>
    <s v="Hernandez,Adriana"/>
    <s v="Romero Sanchez,Gustavo Gabriel"/>
    <n v="0"/>
    <n v="0"/>
    <n v="0"/>
    <n v="0"/>
    <n v="0.64"/>
    <e v="#N/A"/>
    <e v="#N/A"/>
  </r>
  <r>
    <x v="218"/>
    <x v="30"/>
    <s v="Admin/HR/IT"/>
    <s v="AMCARE NonOcc In"/>
    <s v="AMZN"/>
    <n v="113052151"/>
    <s v="Nieves Mendez,Laura"/>
    <s v="Ledezma,Fer"/>
    <n v="0"/>
    <n v="0"/>
    <n v="0"/>
    <n v="0"/>
    <n v="0.13"/>
    <e v="#N/A"/>
    <s v="nilaurab"/>
  </r>
  <r>
    <x v="218"/>
    <x v="30"/>
    <s v="Admin/HR/IT"/>
    <s v="AMCARE NonOcc In"/>
    <s v="TEMP"/>
    <n v="200407440"/>
    <s v="Escamilla,Guillermo"/>
    <s v="Romero Sanchez,Gustavo Gabriel"/>
    <n v="0"/>
    <n v="0"/>
    <n v="0"/>
    <n v="0"/>
    <n v="0.1"/>
    <e v="#N/A"/>
    <e v="#N/A"/>
  </r>
  <r>
    <x v="218"/>
    <x v="30"/>
    <s v="Admin/HR/IT"/>
    <s v="AMCARE NonOcc In"/>
    <s v="TEMP"/>
    <n v="200508323"/>
    <s v="Espejel Lopez,Emmanuel"/>
    <s v="Ledezma,Fer"/>
    <n v="0"/>
    <n v="0"/>
    <n v="0"/>
    <n v="0"/>
    <n v="0.18"/>
    <e v="#N/A"/>
    <s v="espejell"/>
  </r>
  <r>
    <x v="218"/>
    <x v="30"/>
    <s v="Admin/HR/IT"/>
    <s v="AMCARE NonOcc In"/>
    <s v="AMZN"/>
    <n v="201165769"/>
    <s v="Puente,Karen"/>
    <s v="Piedra,Valentina"/>
    <n v="0"/>
    <n v="0"/>
    <n v="0"/>
    <n v="0"/>
    <n v="0.13"/>
    <e v="#N/A"/>
    <s v="puenkare"/>
  </r>
  <r>
    <x v="218"/>
    <x v="30"/>
    <s v="Admin/HR/IT"/>
    <s v="AMCARE NonOcc In"/>
    <s v="TEMP"/>
    <n v="201386201"/>
    <s v="Castillo,Janai"/>
    <s v="Ledezma,Fer"/>
    <n v="0"/>
    <n v="0"/>
    <n v="0"/>
    <n v="0"/>
    <n v="0.33"/>
    <e v="#N/A"/>
    <s v="castjanr"/>
  </r>
  <r>
    <x v="219"/>
    <x v="30"/>
    <s v="Admin/HR/IT"/>
    <s v="AMCARE NonOcc In"/>
    <s v="AMZN"/>
    <n v="112912745"/>
    <s v="Gomez Meza,Alex"/>
    <s v="Piedra,Valentina"/>
    <n v="0"/>
    <n v="0"/>
    <n v="0"/>
    <n v="0"/>
    <n v="0.86"/>
    <s v="DA-X0700"/>
    <s v="nalexgom"/>
  </r>
  <r>
    <x v="219"/>
    <x v="30"/>
    <s v="Admin/HR/IT"/>
    <s v="AMCARE NonOcc In"/>
    <s v="AMZN"/>
    <n v="112981014"/>
    <s v="Roldan Gutierrez,Pablo"/>
    <s v="Bueno Mendoza,Susana"/>
    <n v="0"/>
    <n v="0"/>
    <n v="0"/>
    <n v="0"/>
    <n v="0.3"/>
    <s v="DJ-X0700"/>
    <s v="rpabloul"/>
  </r>
  <r>
    <x v="219"/>
    <x v="30"/>
    <s v="Admin/HR/IT"/>
    <s v="AMCARE NonOcc In"/>
    <s v="AMZN"/>
    <n v="112981061"/>
    <s v="Olguin,Claudia"/>
    <s v="Robledo Ugarte,Alejandro"/>
    <n v="0"/>
    <n v="0"/>
    <n v="0"/>
    <n v="0"/>
    <n v="0.3"/>
    <s v="DA-X0700"/>
    <s v="mclaudol"/>
  </r>
  <r>
    <x v="219"/>
    <x v="30"/>
    <s v="Admin/HR/IT"/>
    <s v="AMCARE NonOcc In"/>
    <s v="TEMP"/>
    <n v="113013981"/>
    <s v="Espinosa,Ali"/>
    <s v="Bueno Mendoza,Susana"/>
    <n v="0"/>
    <n v="0"/>
    <n v="0"/>
    <n v="0"/>
    <n v="0.19"/>
    <e v="#N/A"/>
    <e v="#N/A"/>
  </r>
  <r>
    <x v="219"/>
    <x v="30"/>
    <s v="Admin/HR/IT"/>
    <s v="AMCARE NonOcc In"/>
    <s v="AMZN"/>
    <n v="200404250"/>
    <s v="Hurtado,Caty"/>
    <s v="Romero Sanchez,Gustavo Gabriel"/>
    <n v="0"/>
    <n v="0"/>
    <n v="0"/>
    <n v="0"/>
    <n v="1.1000000000000001"/>
    <e v="#N/A"/>
    <s v="xcathurt"/>
  </r>
  <r>
    <x v="219"/>
    <x v="30"/>
    <s v="Admin/HR/IT"/>
    <s v="AMCARE NonOcc In"/>
    <s v="AMZN"/>
    <n v="200563038"/>
    <s v="Arias,Elizabeth"/>
    <s v="Gomez Aguado,Jorge"/>
    <n v="0"/>
    <n v="0"/>
    <n v="0"/>
    <n v="0"/>
    <n v="0.19"/>
    <e v="#N/A"/>
    <s v="ariaszee"/>
  </r>
  <r>
    <x v="219"/>
    <x v="30"/>
    <s v="Admin/HR/IT"/>
    <s v="AMCARE NonOcc In"/>
    <s v="AMZN"/>
    <n v="200564895"/>
    <s v="Mendoza Corona,Brianda"/>
    <s v="Robledo Ugarte,Alejandro"/>
    <n v="0"/>
    <n v="0"/>
    <n v="0"/>
    <n v="0"/>
    <n v="0.14000000000000001"/>
    <e v="#N/A"/>
    <s v="hmendobr"/>
  </r>
  <r>
    <x v="219"/>
    <x v="30"/>
    <s v="Admin/HR/IT"/>
    <s v="AMCARE NonOcc In"/>
    <s v="AMZN"/>
    <n v="200614224"/>
    <s v="Cruz Hernandez,Cris"/>
    <s v="Ledezma,Fer"/>
    <n v="0"/>
    <n v="0"/>
    <n v="0"/>
    <n v="0"/>
    <n v="1.1100000000000001"/>
    <e v="#N/A"/>
    <e v="#N/A"/>
  </r>
  <r>
    <x v="219"/>
    <x v="30"/>
    <s v="Admin/HR/IT"/>
    <s v="AMCARE NonOcc In"/>
    <s v="AMZN"/>
    <n v="201186777"/>
    <s v="Monzon,Berenice"/>
    <s v="Romero Sanchez,Gustavo Gabriel"/>
    <n v="0"/>
    <n v="0"/>
    <n v="0"/>
    <n v="0"/>
    <n v="0.51"/>
    <e v="#N/A"/>
    <s v="bemonzon"/>
  </r>
  <r>
    <x v="219"/>
    <x v="30"/>
    <s v="Admin/HR/IT"/>
    <s v="AMCARE NonOcc In"/>
    <s v="AMZN"/>
    <n v="201197964"/>
    <s v="Quijas,Matzayani"/>
    <s v="Romero Sanchez,Gustavo Gabriel"/>
    <n v="0"/>
    <n v="0"/>
    <n v="0"/>
    <n v="0"/>
    <n v="0.16"/>
    <e v="#N/A"/>
    <s v="matzquij"/>
  </r>
  <r>
    <x v="220"/>
    <x v="30"/>
    <s v="Admin/HR/IT"/>
    <s v="AMCARE NonOcc In"/>
    <s v="AMZN"/>
    <n v="112912049"/>
    <s v="Vazquez Rodriguez,Christian"/>
    <s v="Munoz,Jonan"/>
    <n v="0"/>
    <n v="0"/>
    <n v="0"/>
    <n v="0"/>
    <n v="0.08"/>
    <s v="NF-X1900"/>
    <s v="zchvazqu"/>
  </r>
  <r>
    <x v="220"/>
    <x v="30"/>
    <s v="Admin/HR/IT"/>
    <s v="AMCARE NonOcc In"/>
    <s v="AMZN"/>
    <n v="112912752"/>
    <s v="Valderrama Gomez,Leslie"/>
    <s v="Camarena,Grecia"/>
    <n v="0"/>
    <n v="0"/>
    <n v="0"/>
    <n v="0"/>
    <n v="0.15"/>
    <s v="NF-X1900"/>
    <s v="valderle"/>
  </r>
  <r>
    <x v="220"/>
    <x v="30"/>
    <s v="Admin/HR/IT"/>
    <s v="AMCARE NonOcc In"/>
    <s v="AMZN"/>
    <n v="112950792"/>
    <s v="Morales Gonzalez,Genesis"/>
    <s v="Pizana,Diego"/>
    <n v="0"/>
    <n v="0"/>
    <n v="0"/>
    <n v="0"/>
    <n v="0.56999999999999995"/>
    <s v="NF-X1900"/>
    <s v="genevmor"/>
  </r>
  <r>
    <x v="220"/>
    <x v="30"/>
    <s v="Admin/HR/IT"/>
    <s v="AMCARE NonOcc In"/>
    <s v="AMZN"/>
    <n v="112971980"/>
    <s v="Romero,Daniel"/>
    <s v="Cortes,Alejandra"/>
    <n v="0"/>
    <n v="0"/>
    <n v="0"/>
    <n v="0"/>
    <n v="0.17"/>
    <s v="DC-X0700"/>
    <s v="cdanirom"/>
  </r>
  <r>
    <x v="220"/>
    <x v="30"/>
    <s v="Admin/HR/IT"/>
    <s v="AMCARE NonOcc In"/>
    <s v="AMZN"/>
    <n v="113003635"/>
    <s v="Barron,Giovanni"/>
    <s v="Robledo Ugarte,Alejandro"/>
    <n v="0"/>
    <n v="0"/>
    <n v="0"/>
    <n v="0"/>
    <n v="0.26"/>
    <e v="#N/A"/>
    <s v="barrgiof"/>
  </r>
  <r>
    <x v="220"/>
    <x v="30"/>
    <s v="Admin/HR/IT"/>
    <s v="AMCARE NonOcc In"/>
    <s v="AMZN"/>
    <n v="113020476"/>
    <s v="Puente Aguilar,Polette"/>
    <s v="Madrid Molina,Ramon"/>
    <n v="0"/>
    <n v="0"/>
    <n v="0"/>
    <n v="0"/>
    <n v="0.19"/>
    <e v="#N/A"/>
    <s v="polettpu"/>
  </r>
  <r>
    <x v="220"/>
    <x v="30"/>
    <s v="Admin/HR/IT"/>
    <s v="AMCARE NonOcc In"/>
    <s v="AMZN"/>
    <n v="113020497"/>
    <s v="Martinez Ruiz,Diana"/>
    <s v="Gomez Aguado,Jorge"/>
    <n v="0"/>
    <n v="0"/>
    <n v="0"/>
    <n v="0"/>
    <n v="0.14000000000000001"/>
    <e v="#N/A"/>
    <s v="diamartd"/>
  </r>
  <r>
    <x v="220"/>
    <x v="30"/>
    <s v="Admin/HR/IT"/>
    <s v="AMCARE NonOcc In"/>
    <s v="AMZN"/>
    <n v="113101453"/>
    <s v="Isaac,Geovanna"/>
    <s v="Robledo Ugarte,Alejandro"/>
    <n v="0"/>
    <n v="0"/>
    <n v="0"/>
    <n v="0"/>
    <n v="0.11"/>
    <e v="#N/A"/>
    <s v="qisgeova"/>
  </r>
  <r>
    <x v="220"/>
    <x v="30"/>
    <s v="Admin/HR/IT"/>
    <s v="AMCARE NonOcc In"/>
    <s v="AMZN"/>
    <n v="113103540"/>
    <s v="Delgado,David"/>
    <s v="Gomez Aguado,Jorge"/>
    <n v="0"/>
    <n v="0"/>
    <n v="0"/>
    <n v="0"/>
    <n v="0.24"/>
    <e v="#N/A"/>
    <s v="delgadax"/>
  </r>
  <r>
    <x v="220"/>
    <x v="30"/>
    <s v="Admin/HR/IT"/>
    <s v="AMCARE NonOcc In"/>
    <s v="AMZN"/>
    <n v="200404250"/>
    <s v="Hurtado,Caty"/>
    <s v="Romero Sanchez,Gustavo Gabriel"/>
    <n v="0"/>
    <n v="0"/>
    <n v="0"/>
    <n v="0"/>
    <n v="0.48"/>
    <e v="#N/A"/>
    <s v="xcathurt"/>
  </r>
  <r>
    <x v="220"/>
    <x v="30"/>
    <s v="Admin/HR/IT"/>
    <s v="AMCARE NonOcc In"/>
    <s v="AMZN"/>
    <n v="200614224"/>
    <s v="Cruz Hernandez,Cris"/>
    <s v="Ledezma,Fer"/>
    <n v="0"/>
    <n v="0"/>
    <n v="0"/>
    <n v="0"/>
    <n v="2.91"/>
    <e v="#N/A"/>
    <e v="#N/A"/>
  </r>
  <r>
    <x v="220"/>
    <x v="30"/>
    <s v="Admin/HR/IT"/>
    <s v="AMCARE NonOcc In"/>
    <s v="AMZN"/>
    <n v="201172306"/>
    <s v="Valdez,CÃ©sar"/>
    <s v="Bueno Mendoza,Susana"/>
    <n v="0"/>
    <n v="0"/>
    <n v="0"/>
    <n v="0"/>
    <n v="0.11"/>
    <e v="#N/A"/>
    <s v="cesarvae"/>
  </r>
  <r>
    <x v="220"/>
    <x v="30"/>
    <s v="Admin/HR/IT"/>
    <s v="AMCARE NonOcc In"/>
    <s v="AMZN"/>
    <n v="201202093"/>
    <s v="Ortega,Elizabeth"/>
    <s v="Romero Sanchez,Gustavo Gabriel"/>
    <n v="0"/>
    <n v="0"/>
    <n v="0"/>
    <n v="0"/>
    <n v="0.12"/>
    <e v="#N/A"/>
    <s v="eliorten"/>
  </r>
  <r>
    <x v="220"/>
    <x v="30"/>
    <s v="Admin/HR/IT"/>
    <s v="AMCARE NonOcc In"/>
    <s v="TEMP"/>
    <n v="201403462"/>
    <s v="Valdovino,Jorge"/>
    <s v="Corona Arriaga,Fernando"/>
    <n v="0"/>
    <n v="0"/>
    <n v="0"/>
    <n v="0"/>
    <n v="0.18"/>
    <e v="#N/A"/>
    <s v="valdojoe"/>
  </r>
  <r>
    <x v="221"/>
    <x v="30"/>
    <s v="Admin/HR/IT"/>
    <s v="AMCARE NonOcc In"/>
    <s v="AMZN"/>
    <n v="112920637"/>
    <s v="Tapia,Antonio Torres"/>
    <s v="Cortes,Alejandra"/>
    <n v="0"/>
    <n v="0"/>
    <n v="0"/>
    <n v="0"/>
    <n v="0.14000000000000001"/>
    <s v="DB-X0700"/>
    <s v="antonitq"/>
  </r>
  <r>
    <x v="221"/>
    <x v="30"/>
    <s v="Admin/HR/IT"/>
    <s v="AMCARE NonOcc In"/>
    <s v="AMZN"/>
    <n v="112971980"/>
    <s v="Romero,Daniel"/>
    <s v="Cortes,Alejandra"/>
    <n v="0"/>
    <n v="0"/>
    <n v="0"/>
    <n v="0"/>
    <n v="0.3"/>
    <s v="DC-X0700"/>
    <s v="cdanirom"/>
  </r>
  <r>
    <x v="221"/>
    <x v="30"/>
    <s v="Admin/HR/IT"/>
    <s v="AMCARE NonOcc In"/>
    <s v="AMZN"/>
    <n v="112980899"/>
    <s v="Avila Cabrera,Ari"/>
    <s v="Camarena,Grecia"/>
    <n v="0"/>
    <n v="0"/>
    <n v="0"/>
    <n v="0"/>
    <n v="0.24"/>
    <s v="NF-X1900"/>
    <s v="aravilac"/>
  </r>
  <r>
    <x v="221"/>
    <x v="30"/>
    <s v="Admin/HR/IT"/>
    <s v="AMCARE NonOcc In"/>
    <s v="AMZN"/>
    <n v="113014470"/>
    <s v="Aguilar Ibarra,Lupe"/>
    <s v="Robledo Ugarte,Alejandro"/>
    <n v="0"/>
    <n v="0"/>
    <n v="0"/>
    <n v="0"/>
    <n v="0.34"/>
    <e v="#N/A"/>
    <s v="lupaguin"/>
  </r>
  <r>
    <x v="221"/>
    <x v="30"/>
    <s v="Admin/HR/IT"/>
    <s v="AMCARE NonOcc In"/>
    <s v="AMZN"/>
    <n v="200404250"/>
    <s v="Hurtado,Caty"/>
    <s v="Romero Sanchez,Gustavo Gabriel"/>
    <n v="0"/>
    <n v="0"/>
    <n v="0"/>
    <n v="0"/>
    <n v="0.59"/>
    <e v="#N/A"/>
    <s v="xcathurt"/>
  </r>
  <r>
    <x v="221"/>
    <x v="30"/>
    <s v="Admin/HR/IT"/>
    <s v="AMCARE NonOcc In"/>
    <s v="AMZN"/>
    <n v="201191390"/>
    <s v="GarcÃ­a,jesus"/>
    <s v="Madrid Molina,Ramon"/>
    <n v="0"/>
    <n v="0"/>
    <n v="0"/>
    <n v="0"/>
    <n v="0.09"/>
    <e v="#N/A"/>
    <s v="bgajesus"/>
  </r>
  <r>
    <x v="221"/>
    <x v="30"/>
    <s v="Admin/HR/IT"/>
    <s v="AMCARE NonOcc In"/>
    <s v="TEMP"/>
    <n v="201329529"/>
    <s v="Padilla,Pablo"/>
    <s v="Lopez,Alexa"/>
    <n v="0"/>
    <n v="0"/>
    <n v="0"/>
    <n v="0"/>
    <n v="0.16"/>
    <e v="#N/A"/>
    <e v="#N/A"/>
  </r>
  <r>
    <x v="221"/>
    <x v="30"/>
    <s v="Admin/HR/IT"/>
    <s v="AMCARE NonOcc In"/>
    <s v="TEMP"/>
    <n v="201345774"/>
    <s v="Quijas,Jonathan"/>
    <s v="Robledo Ugarte,Alejandro"/>
    <n v="0"/>
    <n v="0"/>
    <n v="0"/>
    <n v="0"/>
    <n v="0.22"/>
    <e v="#N/A"/>
    <s v="jonquija"/>
  </r>
  <r>
    <x v="221"/>
    <x v="30"/>
    <s v="Admin/HR/IT"/>
    <s v="AMCARE NonOcc In"/>
    <s v="TEMP"/>
    <n v="201386201"/>
    <s v="Castillo,Janai"/>
    <s v="Ledezma,Fer"/>
    <n v="0"/>
    <n v="0"/>
    <n v="0"/>
    <n v="0"/>
    <n v="0.19"/>
    <e v="#N/A"/>
    <s v="castjanr"/>
  </r>
  <r>
    <x v="222"/>
    <x v="30"/>
    <s v="Admin/HR/IT"/>
    <s v="AMCARE NonOcc In"/>
    <s v="AMZN"/>
    <n v="112971980"/>
    <s v="Romero,Daniel"/>
    <s v="Cortes,Alejandra"/>
    <n v="0"/>
    <n v="0"/>
    <n v="0"/>
    <n v="0"/>
    <n v="0.31"/>
    <s v="DC-X0700"/>
    <s v="cdanirom"/>
  </r>
  <r>
    <x v="222"/>
    <x v="30"/>
    <s v="Admin/HR/IT"/>
    <s v="AMCARE NonOcc In"/>
    <s v="AMZN"/>
    <n v="113003635"/>
    <s v="Barron,Giovanni"/>
    <s v="Robledo Ugarte,Alejandro"/>
    <n v="0"/>
    <n v="0"/>
    <n v="0"/>
    <n v="0"/>
    <n v="0.73"/>
    <e v="#N/A"/>
    <s v="barrgiof"/>
  </r>
  <r>
    <x v="222"/>
    <x v="30"/>
    <s v="Admin/HR/IT"/>
    <s v="AMCARE NonOcc In"/>
    <s v="AMZN"/>
    <n v="113040582"/>
    <s v="HDZ,DEMON"/>
    <s v="Robledo Ugarte,Alejandro"/>
    <n v="0"/>
    <n v="0"/>
    <n v="0"/>
    <n v="0"/>
    <n v="0.23"/>
    <e v="#N/A"/>
    <s v="hgerardr"/>
  </r>
  <r>
    <x v="222"/>
    <x v="30"/>
    <s v="Admin/HR/IT"/>
    <s v="AMCARE NonOcc In"/>
    <s v="AMZN"/>
    <n v="200404250"/>
    <s v="Hurtado,Caty"/>
    <s v="Romero Sanchez,Gustavo Gabriel"/>
    <n v="0"/>
    <n v="0"/>
    <n v="0"/>
    <n v="0"/>
    <n v="0.4"/>
    <e v="#N/A"/>
    <s v="xcathurt"/>
  </r>
  <r>
    <x v="222"/>
    <x v="30"/>
    <s v="Admin/HR/IT"/>
    <s v="AMCARE NonOcc In"/>
    <s v="AMZN"/>
    <n v="200562154"/>
    <s v="Reyes Muniz,Cristian"/>
    <s v="Corona Arriaga,Fernando"/>
    <n v="0"/>
    <n v="0"/>
    <n v="0"/>
    <n v="0"/>
    <n v="0.34"/>
    <e v="#N/A"/>
    <s v="reyesmcw"/>
  </r>
  <r>
    <x v="222"/>
    <x v="30"/>
    <s v="Admin/HR/IT"/>
    <s v="AMCARE NonOcc In"/>
    <s v="AMZN"/>
    <n v="200574655"/>
    <s v="Mireles,Dulce"/>
    <s v="Robledo Ugarte,Alejandro"/>
    <n v="0"/>
    <n v="0"/>
    <n v="0"/>
    <n v="0"/>
    <n v="0.13"/>
    <e v="#N/A"/>
    <s v="dulceami"/>
  </r>
  <r>
    <x v="222"/>
    <x v="30"/>
    <s v="Admin/HR/IT"/>
    <s v="AMCARE NonOcc In"/>
    <s v="AMZN"/>
    <n v="201172306"/>
    <s v="Valdez,CÃ©sar"/>
    <s v="Bueno Mendoza,Susana"/>
    <n v="0"/>
    <n v="0"/>
    <n v="0"/>
    <n v="0"/>
    <n v="0.14000000000000001"/>
    <e v="#N/A"/>
    <s v="cesarvae"/>
  </r>
  <r>
    <x v="222"/>
    <x v="30"/>
    <s v="Admin/HR/IT"/>
    <s v="AMCARE NonOcc In"/>
    <s v="AMZN"/>
    <n v="201186833"/>
    <s v="Jasso,Alexa"/>
    <s v="Piedra,Valentina"/>
    <n v="0"/>
    <n v="0"/>
    <n v="0"/>
    <n v="0"/>
    <n v="0.13"/>
    <e v="#N/A"/>
    <s v="jaalexav"/>
  </r>
  <r>
    <x v="222"/>
    <x v="30"/>
    <s v="Admin/HR/IT"/>
    <s v="AMCARE NonOcc In"/>
    <s v="TEMP"/>
    <n v="201295429"/>
    <s v="Mireles Diaz Lopez,Jazmin"/>
    <s v="Gomez Aguado,Jorge"/>
    <n v="0"/>
    <n v="0"/>
    <n v="0"/>
    <n v="0"/>
    <n v="1.25"/>
    <e v="#N/A"/>
    <s v="mireljes"/>
  </r>
  <r>
    <x v="223"/>
    <x v="30"/>
    <s v="Admin/HR/IT"/>
    <s v="AMCARE NonOcc In"/>
    <s v="AMZN"/>
    <n v="112920637"/>
    <s v="Tapia,Antonio Torres"/>
    <s v="Cortes,Alejandra"/>
    <n v="0"/>
    <n v="0"/>
    <n v="0"/>
    <n v="0"/>
    <n v="0.19"/>
    <s v="DB-X0700"/>
    <s v="antonitq"/>
  </r>
  <r>
    <x v="223"/>
    <x v="30"/>
    <s v="Admin/HR/IT"/>
    <s v="AMCARE NonOcc In"/>
    <s v="AMZN"/>
    <n v="112920664"/>
    <s v="Alba,Samuel"/>
    <s v="Rosas Negrete,Sebastian"/>
    <n v="0"/>
    <n v="0"/>
    <n v="0"/>
    <n v="0"/>
    <n v="0.02"/>
    <s v="DA-X0700"/>
    <s v="samualbg"/>
  </r>
  <r>
    <x v="223"/>
    <x v="30"/>
    <s v="Admin/HR/IT"/>
    <s v="AMCARE NonOcc In"/>
    <s v="AMZN"/>
    <n v="112971988"/>
    <s v="Trejo Tarango,Stephannie Del Rocio"/>
    <s v="Cortes,Alejandra"/>
    <n v="0"/>
    <n v="0"/>
    <n v="0"/>
    <n v="0"/>
    <n v="0.24"/>
    <s v="DB-X0700"/>
    <s v="fadtrejo"/>
  </r>
  <r>
    <x v="223"/>
    <x v="30"/>
    <s v="Admin/HR/IT"/>
    <s v="AMCARE NonOcc In"/>
    <s v="AMZN"/>
    <n v="113020463"/>
    <s v="Valtierra,Alejandra"/>
    <s v="Robledo Ugarte,Alejandro"/>
    <n v="0"/>
    <n v="0"/>
    <n v="0"/>
    <n v="0"/>
    <n v="0.48"/>
    <e v="#N/A"/>
    <s v="myriamav"/>
  </r>
  <r>
    <x v="223"/>
    <x v="30"/>
    <s v="Admin/HR/IT"/>
    <s v="AMCARE NonOcc In"/>
    <s v="AMZN"/>
    <n v="113052151"/>
    <s v="Nieves Mendez,Laura"/>
    <s v="Ledezma,Fer"/>
    <n v="0"/>
    <n v="0"/>
    <n v="0"/>
    <n v="0"/>
    <n v="0.23"/>
    <e v="#N/A"/>
    <s v="nilaurab"/>
  </r>
  <r>
    <x v="223"/>
    <x v="30"/>
    <s v="Admin/HR/IT"/>
    <s v="AMCARE NonOcc In"/>
    <s v="AMZN"/>
    <n v="200562154"/>
    <s v="Reyes Muniz,Cristian"/>
    <s v="Corona Arriaga,Fernando"/>
    <n v="0"/>
    <n v="0"/>
    <n v="0"/>
    <n v="0"/>
    <n v="0.46"/>
    <e v="#N/A"/>
    <s v="reyesmcw"/>
  </r>
  <r>
    <x v="223"/>
    <x v="30"/>
    <s v="Admin/HR/IT"/>
    <s v="AMCARE NonOcc In"/>
    <s v="AMZN"/>
    <n v="201166890"/>
    <s v="Caballero,Daniel"/>
    <s v="Romero Sanchez,Gustavo Gabriel"/>
    <n v="0"/>
    <n v="0"/>
    <n v="0"/>
    <n v="0"/>
    <n v="0.79"/>
    <e v="#N/A"/>
    <s v="lcabadan"/>
  </r>
  <r>
    <x v="223"/>
    <x v="30"/>
    <s v="Admin/HR/IT"/>
    <s v="AMCARE NonOcc In"/>
    <s v="AMZN"/>
    <n v="201191390"/>
    <s v="GarcÃ­a,jesus"/>
    <s v="Madrid Molina,Ramon"/>
    <n v="0"/>
    <n v="0"/>
    <n v="0"/>
    <n v="0"/>
    <n v="0.18"/>
    <e v="#N/A"/>
    <s v="bgajesus"/>
  </r>
  <r>
    <x v="223"/>
    <x v="30"/>
    <s v="Admin/HR/IT"/>
    <s v="AMCARE NonOcc In"/>
    <s v="TEMP"/>
    <n v="201341534"/>
    <s v="Becerra,Esmeralda"/>
    <s v="Piedra,Valentina"/>
    <n v="0"/>
    <n v="0"/>
    <n v="0"/>
    <n v="0"/>
    <n v="7.0000000000000007E-2"/>
    <e v="#N/A"/>
    <s v="beceresm"/>
  </r>
  <r>
    <x v="223"/>
    <x v="30"/>
    <s v="Admin/HR/IT"/>
    <s v="AMCARE NonOcc In"/>
    <s v="AMZN"/>
    <n v="201353234"/>
    <s v="Padilla,Ramon"/>
    <s v="Munoz,Jonan"/>
    <n v="0"/>
    <n v="0"/>
    <n v="0"/>
    <n v="0"/>
    <n v="0.18"/>
    <e v="#N/A"/>
    <s v="paeramon"/>
  </r>
  <r>
    <x v="223"/>
    <x v="30"/>
    <s v="Admin/HR/IT"/>
    <s v="AMCARE NonOcc In"/>
    <s v="AMZN"/>
    <n v="201354965"/>
    <s v="JimÃ©nez,Aline"/>
    <s v="Lopez,Alexa"/>
    <n v="0"/>
    <n v="0"/>
    <n v="0"/>
    <n v="0"/>
    <n v="0.08"/>
    <e v="#N/A"/>
    <s v="alinejim"/>
  </r>
  <r>
    <x v="224"/>
    <x v="30"/>
    <s v="Admin/HR/IT"/>
    <s v="AMCARE NonOcc In"/>
    <s v="AMZN"/>
    <n v="112916534"/>
    <s v="Esparza Sanchez,Areli"/>
    <s v="Corona Arriaga,Fernando"/>
    <n v="0"/>
    <n v="0"/>
    <n v="0"/>
    <n v="0"/>
    <n v="0.57999999999999996"/>
    <s v="DB-X0700"/>
    <s v="earelili"/>
  </r>
  <r>
    <x v="224"/>
    <x v="30"/>
    <s v="Admin/HR/IT"/>
    <s v="AMCARE NonOcc In"/>
    <s v="AMZN"/>
    <n v="112920666"/>
    <s v="Rocha,Jose"/>
    <s v="Cortes,Alejandra"/>
    <n v="0"/>
    <n v="0"/>
    <n v="0"/>
    <n v="0"/>
    <n v="0.21"/>
    <s v="D5-X0700"/>
    <s v="jorochai"/>
  </r>
  <r>
    <x v="224"/>
    <x v="30"/>
    <s v="Admin/HR/IT"/>
    <s v="AMCARE NonOcc In"/>
    <s v="AMZN"/>
    <n v="112951256"/>
    <s v="Ramirez Vallejo,Kateryne"/>
    <s v="Cortes,Alejandra"/>
    <n v="0"/>
    <n v="0"/>
    <n v="0"/>
    <n v="0"/>
    <n v="1.02"/>
    <s v="DA-X0700"/>
    <s v="grkatery"/>
  </r>
  <r>
    <x v="224"/>
    <x v="30"/>
    <s v="Admin/HR/IT"/>
    <s v="AMCARE NonOcc In"/>
    <s v="AMZN"/>
    <n v="112972897"/>
    <s v="Trejo,Adonai"/>
    <s v="Munoz,Jonan"/>
    <n v="0"/>
    <n v="0"/>
    <n v="0"/>
    <n v="0"/>
    <n v="0.73"/>
    <s v="DB-X0700"/>
    <s v="adonairk"/>
  </r>
  <r>
    <x v="224"/>
    <x v="30"/>
    <s v="Admin/HR/IT"/>
    <s v="AMCARE NonOcc In"/>
    <s v="AMZN"/>
    <n v="113014092"/>
    <s v="Sanchez,Cristina"/>
    <s v="Madrid Molina,Ramon"/>
    <n v="0"/>
    <n v="0"/>
    <n v="0"/>
    <n v="0"/>
    <n v="0.87"/>
    <e v="#N/A"/>
    <s v="rsanccri"/>
  </r>
  <r>
    <x v="224"/>
    <x v="30"/>
    <s v="Admin/HR/IT"/>
    <s v="AMCARE NonOcc In"/>
    <s v="AMZN"/>
    <n v="201223730"/>
    <s v="Sanchiz,Cesarito"/>
    <s v="Corona Arriaga,Fernando"/>
    <n v="0"/>
    <n v="0"/>
    <n v="0"/>
    <n v="0"/>
    <n v="0.78"/>
    <e v="#N/A"/>
    <s v="cesarito"/>
  </r>
  <r>
    <x v="225"/>
    <x v="31"/>
    <s v="Admin/HR/IT"/>
    <s v="AMCARE NonOcc In"/>
    <s v="AMZN"/>
    <n v="113014078"/>
    <s v="Nunez Lopez,Aldair"/>
    <s v="Romero Sanchez,Gustavo Gabriel"/>
    <n v="0"/>
    <n v="0"/>
    <n v="0"/>
    <n v="0"/>
    <n v="0.52"/>
    <e v="#N/A"/>
    <s v="dnaldair"/>
  </r>
  <r>
    <x v="226"/>
    <x v="31"/>
    <s v="Admin/HR/IT"/>
    <s v="AMCARE NonOcc In"/>
    <s v="AMZN"/>
    <n v="112971980"/>
    <s v="Romero,Daniel"/>
    <s v="Cortes,Alejandra"/>
    <n v="0"/>
    <n v="0"/>
    <n v="0"/>
    <n v="0"/>
    <n v="0.36"/>
    <s v="DC-X0700"/>
    <s v="cdanirom"/>
  </r>
  <r>
    <x v="226"/>
    <x v="31"/>
    <s v="Admin/HR/IT"/>
    <s v="AMCARE NonOcc In"/>
    <s v="AMZN"/>
    <n v="113101453"/>
    <s v="Isaac,Geovanna"/>
    <s v="Robledo Ugarte,Alejandro"/>
    <n v="0"/>
    <n v="0"/>
    <n v="0"/>
    <n v="0"/>
    <n v="0.06"/>
    <e v="#N/A"/>
    <s v="qisgeova"/>
  </r>
  <r>
    <x v="226"/>
    <x v="31"/>
    <s v="Admin/HR/IT"/>
    <s v="AMCARE NonOcc In"/>
    <s v="AMZN"/>
    <n v="200404250"/>
    <s v="Hurtado,Caty"/>
    <s v="Romero Sanchez,Gustavo Gabriel"/>
    <n v="0"/>
    <n v="0"/>
    <n v="0"/>
    <n v="0"/>
    <n v="0.83"/>
    <e v="#N/A"/>
    <s v="xcathurt"/>
  </r>
  <r>
    <x v="226"/>
    <x v="31"/>
    <s v="Admin/HR/IT"/>
    <s v="AMCARE NonOcc In"/>
    <s v="AMZN"/>
    <n v="201166890"/>
    <s v="Caballero,Daniel"/>
    <s v="Romero Sanchez,Gustavo Gabriel"/>
    <n v="0"/>
    <n v="0"/>
    <n v="0"/>
    <n v="0"/>
    <n v="0.33"/>
    <e v="#N/A"/>
    <s v="lcabadan"/>
  </r>
  <r>
    <x v="226"/>
    <x v="31"/>
    <s v="Admin/HR/IT"/>
    <s v="AMCARE NonOcc In"/>
    <s v="AMZN"/>
    <n v="201318220"/>
    <s v="Jasso,Raul"/>
    <s v="Bueno Mendoza,Susana"/>
    <n v="0"/>
    <n v="0"/>
    <n v="0"/>
    <n v="0"/>
    <n v="7.0000000000000007E-2"/>
    <e v="#N/A"/>
    <s v="raufjas"/>
  </r>
  <r>
    <x v="226"/>
    <x v="31"/>
    <s v="Admin/HR/IT"/>
    <s v="AMCARE NonOcc In"/>
    <s v="AMZN"/>
    <n v="201345774"/>
    <s v="Quijas,Jonathan"/>
    <s v="Robledo Ugarte,Alejandro"/>
    <n v="0"/>
    <n v="0"/>
    <n v="0"/>
    <n v="0"/>
    <n v="0.25"/>
    <e v="#N/A"/>
    <s v="jonquija"/>
  </r>
  <r>
    <x v="226"/>
    <x v="31"/>
    <s v="Admin/HR/IT"/>
    <s v="AMCARE NonOcc In"/>
    <s v="AMZN"/>
    <n v="201378614"/>
    <s v="Meza,Fernando"/>
    <s v="Bueno Mendoza,Susana"/>
    <n v="0"/>
    <n v="0"/>
    <n v="0"/>
    <n v="0"/>
    <n v="0.23"/>
    <e v="#N/A"/>
    <e v="#N/A"/>
  </r>
  <r>
    <x v="226"/>
    <x v="31"/>
    <s v="Admin/HR/IT"/>
    <s v="AMCARE NonOcc In"/>
    <s v="TEMP"/>
    <n v="201847967"/>
    <s v="Anguiano Castaneda,Gustavo"/>
    <s v="Piedra,Valentina"/>
    <n v="0"/>
    <n v="0"/>
    <n v="0"/>
    <n v="0"/>
    <n v="0.24"/>
    <e v="#N/A"/>
    <s v="gusangui"/>
  </r>
  <r>
    <x v="227"/>
    <x v="31"/>
    <s v="Admin/HR/IT"/>
    <s v="AMCARE NonOcc In"/>
    <s v="AMZN"/>
    <n v="113014042"/>
    <s v="Cervantes,Rose"/>
    <s v="Munoz,Jonan"/>
    <n v="0"/>
    <n v="0"/>
    <n v="0"/>
    <n v="0"/>
    <n v="0.15"/>
    <e v="#N/A"/>
    <s v="rfcervan"/>
  </r>
  <r>
    <x v="227"/>
    <x v="31"/>
    <s v="Admin/HR/IT"/>
    <s v="AMCARE NonOcc In"/>
    <s v="AMZN"/>
    <n v="113101453"/>
    <s v="Isaac,Geovanna"/>
    <s v="Robledo Ugarte,Alejandro"/>
    <n v="0"/>
    <n v="0"/>
    <n v="0"/>
    <n v="0"/>
    <n v="0.19"/>
    <e v="#N/A"/>
    <s v="qisgeova"/>
  </r>
  <r>
    <x v="227"/>
    <x v="31"/>
    <s v="Admin/HR/IT"/>
    <s v="AMCARE NonOcc In"/>
    <s v="AMZN"/>
    <n v="200534675"/>
    <s v="Munoz Macias,Juan Pablo"/>
    <s v="Ledezma,Fer"/>
    <n v="0"/>
    <n v="0"/>
    <n v="0"/>
    <n v="0"/>
    <n v="0.24"/>
    <e v="#N/A"/>
    <s v="juanpmun"/>
  </r>
  <r>
    <x v="227"/>
    <x v="31"/>
    <s v="Admin/HR/IT"/>
    <s v="AMCARE NonOcc In"/>
    <s v="AMZN"/>
    <n v="200574655"/>
    <s v="Mireles,Dulce"/>
    <s v="Robledo Ugarte,Alejandro"/>
    <n v="0"/>
    <n v="0"/>
    <n v="0"/>
    <n v="0"/>
    <n v="0.32"/>
    <e v="#N/A"/>
    <s v="dulceami"/>
  </r>
  <r>
    <x v="227"/>
    <x v="31"/>
    <s v="Admin/HR/IT"/>
    <s v="AMCARE NonOcc In"/>
    <s v="AMZN"/>
    <n v="200615315"/>
    <s v="Gasca,Daniel"/>
    <s v="Bueno Mendoza,Susana"/>
    <n v="0"/>
    <n v="0"/>
    <n v="0"/>
    <n v="0"/>
    <n v="0.21"/>
    <e v="#N/A"/>
    <s v="gascfdan"/>
  </r>
  <r>
    <x v="227"/>
    <x v="31"/>
    <s v="Admin/HR/IT"/>
    <s v="AMCARE NonOcc In"/>
    <s v="AMZN"/>
    <n v="201186777"/>
    <s v="Monzon,Berenice"/>
    <s v="Romero Sanchez,Gustavo Gabriel"/>
    <n v="0"/>
    <n v="0"/>
    <n v="0"/>
    <n v="0"/>
    <n v="0.57999999999999996"/>
    <e v="#N/A"/>
    <s v="bemonzon"/>
  </r>
  <r>
    <x v="227"/>
    <x v="31"/>
    <s v="Admin/HR/IT"/>
    <s v="AMCARE NonOcc In"/>
    <s v="AMZN"/>
    <n v="201186833"/>
    <s v="Jasso,Alexa"/>
    <s v="Piedra,Valentina"/>
    <n v="0"/>
    <n v="0"/>
    <n v="0"/>
    <n v="0"/>
    <n v="0.11"/>
    <e v="#N/A"/>
    <s v="jaalexav"/>
  </r>
  <r>
    <x v="227"/>
    <x v="31"/>
    <s v="Admin/HR/IT"/>
    <s v="AMCARE NonOcc In"/>
    <s v="AMZN"/>
    <n v="201202093"/>
    <s v="Ortega,Elizabeth"/>
    <s v="Romero Sanchez,Gustavo Gabriel"/>
    <n v="0"/>
    <n v="0"/>
    <n v="0"/>
    <n v="0"/>
    <n v="0.18"/>
    <e v="#N/A"/>
    <s v="eliorten"/>
  </r>
  <r>
    <x v="227"/>
    <x v="31"/>
    <s v="Admin/HR/IT"/>
    <s v="AMCARE NonOcc In"/>
    <s v="AMZN"/>
    <n v="201386201"/>
    <s v="Castillo,Janai"/>
    <s v="Ledezma,Fer"/>
    <n v="0"/>
    <n v="0"/>
    <n v="0"/>
    <n v="0"/>
    <n v="0.42"/>
    <e v="#N/A"/>
    <s v="castjanr"/>
  </r>
  <r>
    <x v="227"/>
    <x v="31"/>
    <s v="Admin/HR/IT"/>
    <s v="AMCARE NonOcc In"/>
    <s v="AMZN"/>
    <n v="201396328"/>
    <s v="Canchola,Alejandro"/>
    <s v="Lopez,Alexa"/>
    <n v="0"/>
    <n v="0"/>
    <n v="0"/>
    <n v="0"/>
    <n v="0.24"/>
    <e v="#N/A"/>
    <s v="nalcanch"/>
  </r>
  <r>
    <x v="228"/>
    <x v="31"/>
    <s v="Admin/HR/IT"/>
    <s v="AMCARE NonOcc In"/>
    <s v="AMZN"/>
    <n v="112912745"/>
    <s v="Gomez Meza,Alex"/>
    <s v="Piedra,Valentina"/>
    <n v="0"/>
    <n v="0"/>
    <n v="0"/>
    <n v="0"/>
    <n v="0.37"/>
    <s v="DA-X0700"/>
    <s v="nalexgom"/>
  </r>
  <r>
    <x v="228"/>
    <x v="31"/>
    <s v="Admin/HR/IT"/>
    <s v="AMCARE NonOcc In"/>
    <s v="AMZN"/>
    <n v="112912983"/>
    <s v="RodrÃ­guez,RocÃ­o"/>
    <s v="Munoz,Jonan"/>
    <n v="0"/>
    <n v="0"/>
    <n v="0"/>
    <n v="0"/>
    <n v="0.18"/>
    <s v="NF-X1900"/>
    <s v="wrocirod"/>
  </r>
  <r>
    <x v="228"/>
    <x v="31"/>
    <s v="Admin/HR/IT"/>
    <s v="AMCARE NonOcc In"/>
    <s v="AMZN"/>
    <n v="112920655"/>
    <s v="Diaz de LeÃ³n,Paola"/>
    <s v="Cortes,Alejandra"/>
    <n v="0"/>
    <n v="0"/>
    <n v="0"/>
    <n v="0"/>
    <n v="0.16"/>
    <e v="#N/A"/>
    <e v="#N/A"/>
  </r>
  <r>
    <x v="228"/>
    <x v="31"/>
    <s v="Admin/HR/IT"/>
    <s v="AMCARE NonOcc In"/>
    <s v="AMZN"/>
    <n v="112972710"/>
    <s v="Cortes Elias,Jessica"/>
    <s v="Cortes,Alejandra"/>
    <n v="0"/>
    <n v="0"/>
    <n v="0"/>
    <n v="0"/>
    <n v="1.2"/>
    <s v="DX-X0700"/>
    <s v="cortesjj"/>
  </r>
  <r>
    <x v="228"/>
    <x v="31"/>
    <s v="Admin/HR/IT"/>
    <s v="AMCARE NonOcc In"/>
    <s v="AMZN"/>
    <n v="112973049"/>
    <s v="Tavares Parra,Ely"/>
    <s v="Madrid Molina,Ramon"/>
    <n v="0"/>
    <n v="0"/>
    <n v="0"/>
    <n v="0"/>
    <n v="0.23"/>
    <s v="DB-X0700"/>
    <s v="afatimae"/>
  </r>
  <r>
    <x v="228"/>
    <x v="31"/>
    <s v="Admin/HR/IT"/>
    <s v="AMCARE NonOcc In"/>
    <s v="AMZN"/>
    <n v="112981061"/>
    <s v="Olguin,Claudia"/>
    <s v="Robledo Ugarte,Alejandro"/>
    <n v="0"/>
    <n v="0"/>
    <n v="0"/>
    <n v="0"/>
    <n v="0.49"/>
    <s v="DA-X0700"/>
    <s v="mclaudol"/>
  </r>
  <r>
    <x v="228"/>
    <x v="31"/>
    <s v="Admin/HR/IT"/>
    <s v="AMCARE NonOcc In"/>
    <s v="AMZN"/>
    <n v="113014078"/>
    <s v="Nunez Lopez,Aldair"/>
    <s v="Romero Sanchez,Gustavo Gabriel"/>
    <n v="0"/>
    <n v="0"/>
    <n v="0"/>
    <n v="0"/>
    <n v="1.9"/>
    <e v="#N/A"/>
    <s v="dnaldair"/>
  </r>
  <r>
    <x v="228"/>
    <x v="31"/>
    <s v="Admin/HR/IT"/>
    <s v="AMCARE NonOcc In"/>
    <s v="AMZN"/>
    <n v="113101453"/>
    <s v="Isaac,Geovanna"/>
    <s v="Robledo Ugarte,Alejandro"/>
    <n v="0"/>
    <n v="0"/>
    <n v="0"/>
    <n v="0"/>
    <n v="1.41"/>
    <e v="#N/A"/>
    <s v="qisgeova"/>
  </r>
  <r>
    <x v="228"/>
    <x v="31"/>
    <s v="Admin/HR/IT"/>
    <s v="AMCARE NonOcc In"/>
    <s v="AMZN"/>
    <n v="200404250"/>
    <s v="Hurtado,Caty"/>
    <s v="Romero Sanchez,Gustavo Gabriel"/>
    <n v="0"/>
    <n v="0"/>
    <n v="0"/>
    <n v="0"/>
    <n v="0.81"/>
    <e v="#N/A"/>
    <s v="xcathurt"/>
  </r>
  <r>
    <x v="228"/>
    <x v="31"/>
    <s v="Admin/HR/IT"/>
    <s v="AMCARE NonOcc In"/>
    <s v="AMZN"/>
    <n v="200552734"/>
    <s v="Santiago Ramirez,Six"/>
    <s v="Madrid Molina,Ramon"/>
    <n v="0"/>
    <n v="0"/>
    <n v="0"/>
    <n v="0"/>
    <n v="0.08"/>
    <e v="#N/A"/>
    <e v="#N/A"/>
  </r>
  <r>
    <x v="228"/>
    <x v="31"/>
    <s v="Admin/HR/IT"/>
    <s v="AMCARE NonOcc In"/>
    <s v="AMZN"/>
    <n v="200564895"/>
    <s v="Mendoza Corona,Brianda"/>
    <s v="Robledo Ugarte,Alejandro"/>
    <n v="0"/>
    <n v="0"/>
    <n v="0"/>
    <n v="0"/>
    <n v="0.24"/>
    <e v="#N/A"/>
    <s v="hmendobr"/>
  </r>
  <r>
    <x v="228"/>
    <x v="31"/>
    <s v="Admin/HR/IT"/>
    <s v="AMCARE NonOcc In"/>
    <s v="AMZN"/>
    <n v="201167501"/>
    <s v="Rodriguez,Ruben"/>
    <s v="Robledo Ugarte,Alejandro"/>
    <n v="0"/>
    <n v="0"/>
    <n v="0"/>
    <n v="0"/>
    <n v="0.17"/>
    <e v="#N/A"/>
    <s v="wguanajr"/>
  </r>
  <r>
    <x v="228"/>
    <x v="31"/>
    <s v="Admin/HR/IT"/>
    <s v="AMCARE NonOcc In"/>
    <s v="AMZN"/>
    <n v="201295429"/>
    <s v="Mireles Diaz Lopez,Jazmin"/>
    <s v="Gomez Aguado,Jorge"/>
    <n v="0"/>
    <n v="0"/>
    <n v="0"/>
    <n v="0"/>
    <n v="0.08"/>
    <e v="#N/A"/>
    <s v="mireljes"/>
  </r>
  <r>
    <x v="228"/>
    <x v="31"/>
    <s v="Admin/HR/IT"/>
    <s v="AMCARE NonOcc In"/>
    <s v="AMZN"/>
    <n v="201354965"/>
    <s v="JimÃ©nez,Aline"/>
    <s v="Lopez,Alexa"/>
    <n v="0"/>
    <n v="0"/>
    <n v="0"/>
    <n v="0"/>
    <n v="0.14000000000000001"/>
    <e v="#N/A"/>
    <s v="alinejim"/>
  </r>
  <r>
    <x v="228"/>
    <x v="31"/>
    <s v="Admin/HR/IT"/>
    <s v="AMCARE NonOcc In"/>
    <s v="AMZN"/>
    <n v="201378614"/>
    <s v="Meza,Fernando"/>
    <s v="Bueno Mendoza,Susana"/>
    <n v="0"/>
    <n v="0"/>
    <n v="0"/>
    <n v="0"/>
    <n v="0.16"/>
    <e v="#N/A"/>
    <e v="#N/A"/>
  </r>
  <r>
    <x v="228"/>
    <x v="31"/>
    <s v="Admin/HR/IT"/>
    <s v="AMCARE NonOcc In"/>
    <s v="AMZN"/>
    <n v="201408141"/>
    <s v="Luna,Alberto"/>
    <s v="Munoz,Jonan"/>
    <n v="0"/>
    <n v="0"/>
    <n v="0"/>
    <n v="0"/>
    <n v="0.22"/>
    <e v="#N/A"/>
    <s v="alberlug"/>
  </r>
  <r>
    <x v="229"/>
    <x v="31"/>
    <s v="Admin/HR/IT"/>
    <s v="AMCARE NonOcc In"/>
    <s v="AMZN"/>
    <n v="113014560"/>
    <s v="Lopez Moreno,Americo"/>
    <s v="Ledezma,Fer"/>
    <n v="0"/>
    <n v="0"/>
    <n v="0"/>
    <n v="0"/>
    <n v="0.24"/>
    <e v="#N/A"/>
    <s v="zlopamer"/>
  </r>
  <r>
    <x v="229"/>
    <x v="31"/>
    <s v="Admin/HR/IT"/>
    <s v="AMCARE NonOcc In"/>
    <s v="AMZN"/>
    <n v="200508323"/>
    <s v="Espejel Lopez,Emmanuel"/>
    <s v="Ledezma,Fer"/>
    <n v="0"/>
    <n v="0"/>
    <n v="0"/>
    <n v="0"/>
    <n v="0.53"/>
    <e v="#N/A"/>
    <s v="espejell"/>
  </r>
  <r>
    <x v="229"/>
    <x v="31"/>
    <s v="Admin/HR/IT"/>
    <s v="AMCARE NonOcc In"/>
    <s v="AMZN"/>
    <n v="200562154"/>
    <s v="Reyes Muniz,Cristian"/>
    <s v="Corona Arriaga,Fernando"/>
    <n v="0"/>
    <n v="0"/>
    <n v="0"/>
    <n v="0"/>
    <n v="0.38"/>
    <e v="#N/A"/>
    <s v="reyesmcw"/>
  </r>
  <r>
    <x v="229"/>
    <x v="31"/>
    <s v="Admin/HR/IT"/>
    <s v="AMCARE NonOcc In"/>
    <s v="AMZN"/>
    <n v="200615883"/>
    <s v="Ibarra Amaro,Adriana"/>
    <s v="Gomez Aguado,Jorge"/>
    <n v="0"/>
    <n v="0"/>
    <n v="0"/>
    <n v="0"/>
    <n v="0.43"/>
    <e v="#N/A"/>
    <e v="#N/A"/>
  </r>
  <r>
    <x v="229"/>
    <x v="31"/>
    <s v="Admin/HR/IT"/>
    <s v="AMCARE NonOcc In"/>
    <s v="AMZN"/>
    <n v="201159033"/>
    <s v="Arrona,Monserrat"/>
    <s v="Corona Arriaga,Fernando"/>
    <n v="0"/>
    <n v="0"/>
    <n v="0"/>
    <n v="0"/>
    <n v="0.34"/>
    <e v="#N/A"/>
    <s v="monsarru"/>
  </r>
  <r>
    <x v="229"/>
    <x v="31"/>
    <s v="Admin/HR/IT"/>
    <s v="AMCARE NonOcc In"/>
    <s v="TEMP"/>
    <n v="201841804"/>
    <s v="Ruiz,Michelle"/>
    <s v="Corona Arriaga,Fernando"/>
    <n v="0"/>
    <n v="0"/>
    <n v="0"/>
    <n v="0"/>
    <n v="0.24"/>
    <e v="#N/A"/>
    <s v="ruizhmic"/>
  </r>
  <r>
    <x v="230"/>
    <x v="31"/>
    <s v="Admin/HR/IT"/>
    <s v="AMCARE NonOcc In"/>
    <s v="AMZN"/>
    <n v="112951256"/>
    <s v="Ramirez Vallejo,Kateryne"/>
    <s v="Cortes,Alejandra"/>
    <n v="0"/>
    <n v="0"/>
    <n v="0"/>
    <n v="0"/>
    <n v="0.42"/>
    <s v="DA-X0700"/>
    <s v="grkatery"/>
  </r>
  <r>
    <x v="230"/>
    <x v="31"/>
    <s v="Admin/HR/IT"/>
    <s v="AMCARE NonOcc In"/>
    <s v="AMZN"/>
    <n v="112971962"/>
    <s v="Reyes  Montes de oca,Alejandra"/>
    <s v="Ledezma,Fer"/>
    <n v="0"/>
    <n v="0"/>
    <n v="0"/>
    <n v="0"/>
    <n v="0.12"/>
    <s v="DB-X0700"/>
    <s v="creyesal"/>
  </r>
  <r>
    <x v="230"/>
    <x v="31"/>
    <s v="Admin/HR/IT"/>
    <s v="AMCARE NonOcc In"/>
    <s v="AMZN"/>
    <n v="112971980"/>
    <s v="Romero,Daniel"/>
    <s v="Cortes,Alejandra"/>
    <n v="0"/>
    <n v="0"/>
    <n v="0"/>
    <n v="0"/>
    <n v="0.42"/>
    <s v="DC-X0700"/>
    <s v="cdanirom"/>
  </r>
  <r>
    <x v="230"/>
    <x v="31"/>
    <s v="Admin/HR/IT"/>
    <s v="AMCARE NonOcc In"/>
    <s v="AMZN"/>
    <n v="112971997"/>
    <s v="Nieto,Emili"/>
    <s v="Rosas Negrete,Sebastian"/>
    <n v="0"/>
    <n v="0"/>
    <n v="0"/>
    <n v="0"/>
    <n v="0.05"/>
    <s v="DA-X0700"/>
    <s v="cemilini"/>
  </r>
  <r>
    <x v="230"/>
    <x v="31"/>
    <s v="Admin/HR/IT"/>
    <s v="AMCARE NonOcc In"/>
    <s v="AMZN"/>
    <n v="112981013"/>
    <s v="Lopez Neri,Norma"/>
    <s v="Piedra,Valentina"/>
    <n v="0"/>
    <n v="0"/>
    <n v="0"/>
    <n v="0"/>
    <n v="0.02"/>
    <s v="DA-X0700"/>
    <s v="normaelo"/>
  </r>
  <r>
    <x v="230"/>
    <x v="31"/>
    <s v="Admin/HR/IT"/>
    <s v="AMCARE NonOcc In"/>
    <s v="AMZN"/>
    <n v="113014074"/>
    <s v="Gutierrez,Gabriela"/>
    <s v="Ledezma,Fer"/>
    <n v="0"/>
    <n v="0"/>
    <n v="0"/>
    <n v="0"/>
    <n v="0.09"/>
    <e v="#N/A"/>
    <e v="#N/A"/>
  </r>
  <r>
    <x v="230"/>
    <x v="31"/>
    <s v="Admin/HR/IT"/>
    <s v="AMCARE NonOcc In"/>
    <s v="AMZN"/>
    <n v="200464838"/>
    <s v="Ortiz,Fernando"/>
    <s v="Madrid Molina,Ramon"/>
    <n v="0"/>
    <n v="0"/>
    <n v="0"/>
    <n v="0"/>
    <n v="0.72"/>
    <e v="#N/A"/>
    <s v="ortfernj"/>
  </r>
  <r>
    <x v="230"/>
    <x v="31"/>
    <s v="Admin/HR/IT"/>
    <s v="AMCARE NonOcc In"/>
    <s v="AMZN"/>
    <n v="200508315"/>
    <s v="Herrera,Aldair"/>
    <s v="Madrid Molina,Ramon"/>
    <n v="0"/>
    <n v="0"/>
    <n v="0"/>
    <n v="0"/>
    <n v="0.15"/>
    <e v="#N/A"/>
    <s v="taldaher"/>
  </r>
  <r>
    <x v="230"/>
    <x v="31"/>
    <s v="Admin/HR/IT"/>
    <s v="AMCARE NonOcc In"/>
    <s v="AMZN"/>
    <n v="200552429"/>
    <s v="Lozornio Martinez,Antonio"/>
    <s v="Lopez,Alexa"/>
    <n v="0"/>
    <n v="0"/>
    <n v="0"/>
    <n v="0"/>
    <n v="0"/>
    <e v="#N/A"/>
    <e v="#N/A"/>
  </r>
  <r>
    <x v="230"/>
    <x v="31"/>
    <s v="Admin/HR/IT"/>
    <s v="AMCARE NonOcc In"/>
    <s v="AMZN"/>
    <n v="200615883"/>
    <s v="Ibarra Amaro,Adriana"/>
    <s v="Gomez Aguado,Jorge"/>
    <n v="0"/>
    <n v="0"/>
    <n v="0"/>
    <n v="0"/>
    <n v="0.25"/>
    <e v="#N/A"/>
    <e v="#N/A"/>
  </r>
  <r>
    <x v="230"/>
    <x v="31"/>
    <s v="Admin/HR/IT"/>
    <s v="AMCARE NonOcc In"/>
    <s v="AMZN"/>
    <n v="201191390"/>
    <s v="GarcÃ­a,jesus"/>
    <s v="Madrid Molina,Ramon"/>
    <n v="0"/>
    <n v="0"/>
    <n v="0"/>
    <n v="0"/>
    <n v="0.87"/>
    <e v="#N/A"/>
    <s v="bgajesus"/>
  </r>
  <r>
    <x v="230"/>
    <x v="31"/>
    <s v="Admin/HR/IT"/>
    <s v="AMCARE NonOcc In"/>
    <s v="AMZN"/>
    <n v="201386201"/>
    <s v="Castillo,Janai"/>
    <s v="Ledezma,Fer"/>
    <n v="0"/>
    <n v="0"/>
    <n v="0"/>
    <n v="0"/>
    <n v="0.2"/>
    <e v="#N/A"/>
    <s v="castjanr"/>
  </r>
  <r>
    <x v="230"/>
    <x v="31"/>
    <s v="Admin/HR/IT"/>
    <s v="AMCARE NonOcc In"/>
    <s v="AMZN"/>
    <n v="201403532"/>
    <s v="Rocha,Horacio"/>
    <s v="Madrid Molina,Ramon"/>
    <n v="0"/>
    <n v="0"/>
    <n v="0"/>
    <n v="0"/>
    <n v="0.13"/>
    <e v="#N/A"/>
    <s v="zhoracro"/>
  </r>
  <r>
    <x v="230"/>
    <x v="31"/>
    <s v="Admin/HR/IT"/>
    <s v="AMCARE NonOcc In"/>
    <s v="AMZN"/>
    <n v="201406984"/>
    <s v="Perez,Misael"/>
    <s v="Munoz,Jonan"/>
    <n v="0"/>
    <n v="0"/>
    <n v="0"/>
    <n v="0"/>
    <n v="0.23"/>
    <e v="#N/A"/>
    <s v="dmisaelp"/>
  </r>
  <r>
    <x v="230"/>
    <x v="31"/>
    <s v="Admin/HR/IT"/>
    <s v="AMCARE NonOcc In"/>
    <s v="TEMP"/>
    <n v="201841804"/>
    <s v="Ruiz,Michelle"/>
    <s v="Corona Arriaga,Fernando"/>
    <n v="0"/>
    <n v="0"/>
    <n v="0"/>
    <n v="0"/>
    <n v="0.5"/>
    <e v="#N/A"/>
    <s v="ruizhmic"/>
  </r>
  <r>
    <x v="230"/>
    <x v="31"/>
    <s v="Admin/HR/IT"/>
    <s v="AMCARE NonOcc In"/>
    <s v="TEMP"/>
    <n v="201858789"/>
    <s v="HINOJOSA,IGNACIO"/>
    <s v="Corona Arriaga,Fernando"/>
    <n v="0"/>
    <n v="0"/>
    <n v="0"/>
    <n v="0"/>
    <n v="0.08"/>
    <e v="#N/A"/>
    <s v="ignachis"/>
  </r>
  <r>
    <x v="231"/>
    <x v="31"/>
    <s v="Admin/HR/IT"/>
    <s v="AMCARE NonOcc In"/>
    <s v="AMZN"/>
    <n v="112972958"/>
    <s v="Gonzalez Gonzalez,Antonio"/>
    <s v="Cortes,Alejandra"/>
    <n v="0"/>
    <n v="0"/>
    <n v="0"/>
    <n v="0"/>
    <n v="7.0000000000000007E-2"/>
    <s v="D5-X0700"/>
    <s v="ugonzgui"/>
  </r>
  <r>
    <x v="231"/>
    <x v="31"/>
    <s v="Admin/HR/IT"/>
    <s v="AMCARE NonOcc In"/>
    <s v="AMZN"/>
    <n v="113020497"/>
    <s v="Martinez Ruiz,Diana"/>
    <s v="Gomez Aguado,Jorge"/>
    <n v="0"/>
    <n v="0"/>
    <n v="0"/>
    <n v="0"/>
    <n v="0.5"/>
    <e v="#N/A"/>
    <s v="diamartd"/>
  </r>
  <r>
    <x v="231"/>
    <x v="31"/>
    <s v="Admin/HR/IT"/>
    <s v="AMCARE NonOcc In"/>
    <s v="AMZN"/>
    <n v="200563038"/>
    <s v="Arias,Elizabeth"/>
    <s v="Gomez Aguado,Jorge"/>
    <n v="0"/>
    <n v="0"/>
    <n v="0"/>
    <n v="0"/>
    <n v="0.61"/>
    <e v="#N/A"/>
    <s v="ariaszee"/>
  </r>
  <r>
    <x v="231"/>
    <x v="31"/>
    <s v="Admin/HR/IT"/>
    <s v="AMCARE NonOcc In"/>
    <s v="AMZN"/>
    <n v="201191198"/>
    <s v="Mojica,Emmanuel"/>
    <s v="Ledezma,Fer"/>
    <n v="0"/>
    <n v="0"/>
    <n v="0"/>
    <n v="0"/>
    <n v="0.52"/>
    <e v="#N/A"/>
    <s v="mojicemm"/>
  </r>
  <r>
    <x v="231"/>
    <x v="31"/>
    <s v="Admin/HR/IT"/>
    <s v="AMCARE NonOcc In"/>
    <s v="AMZN"/>
    <n v="201191390"/>
    <s v="GarcÃ­a,jesus"/>
    <s v="Madrid Molina,Ramon"/>
    <n v="0"/>
    <n v="0"/>
    <n v="0"/>
    <n v="0"/>
    <n v="0.74"/>
    <e v="#N/A"/>
    <s v="bgajesus"/>
  </r>
  <r>
    <x v="231"/>
    <x v="31"/>
    <s v="Admin/HR/IT"/>
    <s v="AMCARE NonOcc In"/>
    <s v="AMZN"/>
    <n v="201354965"/>
    <s v="JimÃ©nez,Aline"/>
    <s v="Lopez,Alexa"/>
    <n v="0"/>
    <n v="0"/>
    <n v="0"/>
    <n v="0"/>
    <n v="0.4"/>
    <e v="#N/A"/>
    <s v="alinejim"/>
  </r>
  <r>
    <x v="231"/>
    <x v="31"/>
    <s v="Admin/HR/IT"/>
    <s v="AMCARE NonOcc In"/>
    <s v="TEMP"/>
    <n v="201841804"/>
    <s v="Ruiz,Michelle"/>
    <s v="Corona Arriaga,Fernando"/>
    <n v="0"/>
    <n v="0"/>
    <n v="0"/>
    <n v="0"/>
    <n v="0.27"/>
    <e v="#N/A"/>
    <s v="ruizhmic"/>
  </r>
  <r>
    <x v="232"/>
    <x v="32"/>
    <s v="Admin/HR/IT"/>
    <s v="AMCARE NonOcc In"/>
    <s v="AMZN"/>
    <n v="112912050"/>
    <s v="Hernadez Serna,Said"/>
    <s v="Pizana,Diego"/>
    <n v="0"/>
    <n v="0"/>
    <n v="0"/>
    <n v="0"/>
    <n v="0.56999999999999995"/>
    <s v="DA-X0700"/>
    <s v="shernadt"/>
  </r>
  <r>
    <x v="232"/>
    <x v="32"/>
    <s v="Admin/HR/IT"/>
    <s v="AMCARE NonOcc In"/>
    <s v="AMZN"/>
    <n v="112912745"/>
    <s v="Gomez Meza,Alex"/>
    <s v="Piedra,Valentina"/>
    <n v="0"/>
    <n v="0"/>
    <n v="0"/>
    <n v="0"/>
    <n v="0.44"/>
    <s v="DA-X0700"/>
    <s v="nalexgom"/>
  </r>
  <r>
    <x v="232"/>
    <x v="32"/>
    <s v="Admin/HR/IT"/>
    <s v="AMCARE NonOcc In"/>
    <s v="AMZN"/>
    <n v="112980899"/>
    <s v="Avila Cabrera,Ari"/>
    <s v="Camarena,Grecia"/>
    <n v="0"/>
    <n v="0"/>
    <n v="0"/>
    <n v="0"/>
    <n v="0.82"/>
    <s v="NF-X1900"/>
    <s v="aravilac"/>
  </r>
  <r>
    <x v="232"/>
    <x v="32"/>
    <s v="Admin/HR/IT"/>
    <s v="AMCARE NonOcc In"/>
    <s v="AMZN"/>
    <n v="113040582"/>
    <s v="HDZ,DEMON"/>
    <s v="Robledo Ugarte,Alejandro"/>
    <n v="0"/>
    <n v="0"/>
    <n v="0"/>
    <n v="0"/>
    <n v="0.32"/>
    <e v="#N/A"/>
    <s v="hgerardr"/>
  </r>
  <r>
    <x v="232"/>
    <x v="32"/>
    <s v="Admin/HR/IT"/>
    <s v="AMCARE NonOcc In"/>
    <s v="AMZN"/>
    <n v="200574345"/>
    <s v="Contreras,Jony"/>
    <s v="Romero Sanchez,Gustavo Gabriel"/>
    <n v="0"/>
    <n v="0"/>
    <n v="0"/>
    <n v="0"/>
    <n v="0.74"/>
    <e v="#N/A"/>
    <s v="contrexj"/>
  </r>
  <r>
    <x v="232"/>
    <x v="32"/>
    <s v="Admin/HR/IT"/>
    <s v="AMCARE NonOcc In"/>
    <s v="AMZN"/>
    <n v="201186833"/>
    <s v="Jasso,Alexa"/>
    <s v="Piedra,Valentina"/>
    <n v="0"/>
    <n v="0"/>
    <n v="0"/>
    <n v="0"/>
    <n v="0.19"/>
    <e v="#N/A"/>
    <s v="jaalexav"/>
  </r>
  <r>
    <x v="232"/>
    <x v="32"/>
    <s v="Admin/HR/IT"/>
    <s v="AMCARE NonOcc In"/>
    <s v="AMZN"/>
    <n v="201341534"/>
    <s v="Becerra,Esmeralda"/>
    <s v="Piedra,Valentina"/>
    <n v="0"/>
    <n v="0"/>
    <n v="0"/>
    <n v="0"/>
    <n v="1.08"/>
    <e v="#N/A"/>
    <s v="beceresm"/>
  </r>
  <r>
    <x v="232"/>
    <x v="32"/>
    <s v="Admin/HR/IT"/>
    <s v="AMCARE NonOcc In"/>
    <s v="TEMP"/>
    <n v="201901324"/>
    <s v="VelÃ¡zquez,Alejandro"/>
    <s v="Pizana,Diego"/>
    <n v="0"/>
    <n v="0"/>
    <n v="0"/>
    <n v="0"/>
    <n v="0.71"/>
    <e v="#N/A"/>
    <s v="velpalej"/>
  </r>
  <r>
    <x v="233"/>
    <x v="32"/>
    <s v="Admin/HR/IT"/>
    <s v="AMCARE NonOcc In"/>
    <s v="AMZN"/>
    <n v="112950784"/>
    <s v="Rojas,Samuel"/>
    <s v="Pizana,Diego"/>
    <n v="0"/>
    <n v="0"/>
    <n v="0"/>
    <n v="0"/>
    <n v="0.09"/>
    <s v="NF-X1900"/>
    <s v="sarojast"/>
  </r>
  <r>
    <x v="233"/>
    <x v="32"/>
    <s v="Admin/HR/IT"/>
    <s v="AMCARE NonOcc In"/>
    <s v="AMZN"/>
    <n v="112971997"/>
    <s v="Nieto,Emili"/>
    <s v="Rosas Negrete,Sebastian"/>
    <n v="0"/>
    <n v="0"/>
    <n v="0"/>
    <n v="0"/>
    <n v="0.13"/>
    <s v="DA-X0700"/>
    <s v="cemilini"/>
  </r>
  <r>
    <x v="233"/>
    <x v="32"/>
    <s v="Admin/HR/IT"/>
    <s v="AMCARE NonOcc In"/>
    <s v="AMZN"/>
    <n v="112981212"/>
    <s v="Zanella Miranda,Alyson"/>
    <s v="Robledo Ugarte,Alejandro"/>
    <n v="0"/>
    <n v="0"/>
    <n v="0"/>
    <n v="0"/>
    <n v="0.61"/>
    <e v="#N/A"/>
    <s v="alysonza"/>
  </r>
  <r>
    <x v="233"/>
    <x v="32"/>
    <s v="Admin/HR/IT"/>
    <s v="AMCARE NonOcc In"/>
    <s v="AMZN"/>
    <n v="113020463"/>
    <s v="Valtierra,Alejandra"/>
    <s v="Robledo Ugarte,Alejandro"/>
    <n v="0"/>
    <n v="0"/>
    <n v="0"/>
    <n v="0"/>
    <n v="0.39"/>
    <e v="#N/A"/>
    <s v="myriamav"/>
  </r>
  <r>
    <x v="233"/>
    <x v="32"/>
    <s v="Admin/HR/IT"/>
    <s v="AMCARE NonOcc In"/>
    <s v="AMZN"/>
    <n v="200404250"/>
    <s v="Hurtado,Caty"/>
    <s v="Romero Sanchez,Gustavo Gabriel"/>
    <n v="0"/>
    <n v="0"/>
    <n v="0"/>
    <n v="0"/>
    <n v="1.01"/>
    <e v="#N/A"/>
    <s v="xcathurt"/>
  </r>
  <r>
    <x v="233"/>
    <x v="32"/>
    <s v="Admin/HR/IT"/>
    <s v="AMCARE NonOcc In"/>
    <s v="AMZN"/>
    <n v="200562154"/>
    <s v="Reyes Muniz,Cristian"/>
    <s v="Corona Arriaga,Fernando"/>
    <n v="0"/>
    <n v="0"/>
    <n v="0"/>
    <n v="0"/>
    <n v="0.38"/>
    <e v="#N/A"/>
    <s v="reyesmcw"/>
  </r>
  <r>
    <x v="233"/>
    <x v="32"/>
    <s v="Admin/HR/IT"/>
    <s v="AMCARE NonOcc In"/>
    <s v="AMZN"/>
    <n v="201202093"/>
    <s v="Ortega,Elizabeth"/>
    <s v="Romero Sanchez,Gustavo Gabriel"/>
    <n v="0"/>
    <n v="0"/>
    <n v="0"/>
    <n v="0"/>
    <n v="0.13"/>
    <e v="#N/A"/>
    <s v="eliorten"/>
  </r>
  <r>
    <x v="233"/>
    <x v="32"/>
    <s v="Admin/HR/IT"/>
    <s v="AMCARE NonOcc In"/>
    <s v="AMZN"/>
    <n v="201353293"/>
    <s v="Castillo,Itzayana"/>
    <s v="Camarena,Grecia"/>
    <n v="0"/>
    <n v="0"/>
    <n v="0"/>
    <n v="0"/>
    <n v="0.53"/>
    <e v="#N/A"/>
    <s v="caitzaya"/>
  </r>
  <r>
    <x v="233"/>
    <x v="32"/>
    <s v="Admin/HR/IT"/>
    <s v="AMCARE NonOcc In"/>
    <s v="AMZN"/>
    <n v="201386201"/>
    <s v="Castillo,Janai"/>
    <s v="Ledezma,Fer"/>
    <n v="0"/>
    <n v="0"/>
    <n v="0"/>
    <n v="0"/>
    <n v="0.18"/>
    <e v="#N/A"/>
    <s v="castjanr"/>
  </r>
  <r>
    <x v="234"/>
    <x v="32"/>
    <s v="Admin/HR/IT"/>
    <s v="AMCARE NonOcc In"/>
    <s v="TEMP"/>
    <n v="112506531"/>
    <s v="Belmudez,joseph"/>
    <s v="Piedra,Valentina"/>
    <n v="0"/>
    <n v="0"/>
    <n v="0"/>
    <n v="0"/>
    <n v="4.1100000000000003"/>
    <e v="#N/A"/>
    <e v="#N/A"/>
  </r>
  <r>
    <x v="234"/>
    <x v="32"/>
    <s v="Admin/HR/IT"/>
    <s v="AMCARE NonOcc In"/>
    <s v="AMZN"/>
    <n v="112912752"/>
    <s v="Valderrama Gomez,Leslie"/>
    <s v="Camarena,Grecia"/>
    <n v="0"/>
    <n v="0"/>
    <n v="0"/>
    <n v="0"/>
    <n v="0.35"/>
    <s v="NF-X1900"/>
    <s v="valderle"/>
  </r>
  <r>
    <x v="234"/>
    <x v="32"/>
    <s v="Admin/HR/IT"/>
    <s v="AMCARE NonOcc In"/>
    <s v="AMZN"/>
    <n v="112980832"/>
    <s v="Cruz Martinez,Salvador"/>
    <s v="Piedra,Valentina"/>
    <n v="0"/>
    <n v="0"/>
    <n v="0"/>
    <n v="0"/>
    <n v="0.73"/>
    <e v="#N/A"/>
    <e v="#N/A"/>
  </r>
  <r>
    <x v="234"/>
    <x v="32"/>
    <s v="Admin/HR/IT"/>
    <s v="AMCARE NonOcc In"/>
    <s v="AMZN"/>
    <n v="112980887"/>
    <s v="Rodriguez Mares,Rocio"/>
    <s v="Pizana,Diego"/>
    <n v="0"/>
    <n v="0"/>
    <n v="0"/>
    <n v="0"/>
    <n v="0.14000000000000001"/>
    <e v="#N/A"/>
    <e v="#N/A"/>
  </r>
  <r>
    <x v="234"/>
    <x v="32"/>
    <s v="Admin/HR/IT"/>
    <s v="AMCARE NonOcc In"/>
    <s v="AMZN"/>
    <n v="112980899"/>
    <s v="Avila Cabrera,Ari"/>
    <s v="Camarena,Grecia"/>
    <n v="0"/>
    <n v="0"/>
    <n v="0"/>
    <n v="0"/>
    <n v="0.35"/>
    <s v="NF-X1900"/>
    <s v="aravilac"/>
  </r>
  <r>
    <x v="234"/>
    <x v="32"/>
    <s v="Admin/HR/IT"/>
    <s v="AMCARE NonOcc In"/>
    <s v="AMZN"/>
    <n v="113014078"/>
    <s v="Nunez Lopez,Aldair"/>
    <s v="Romero Sanchez,Gustavo Gabriel"/>
    <n v="0"/>
    <n v="0"/>
    <n v="0"/>
    <n v="0"/>
    <n v="0.8"/>
    <e v="#N/A"/>
    <s v="dnaldair"/>
  </r>
  <r>
    <x v="234"/>
    <x v="32"/>
    <s v="Admin/HR/IT"/>
    <s v="AMCARE NonOcc In"/>
    <s v="AMZN"/>
    <n v="113014470"/>
    <s v="Aguilar Ibarra,Lupe"/>
    <s v="Robledo Ugarte,Alejandro"/>
    <n v="0"/>
    <n v="0"/>
    <n v="0"/>
    <n v="0"/>
    <n v="0.22"/>
    <e v="#N/A"/>
    <s v="lupaguin"/>
  </r>
  <r>
    <x v="234"/>
    <x v="32"/>
    <s v="Admin/HR/IT"/>
    <s v="AMCARE NonOcc In"/>
    <s v="AMZN"/>
    <n v="113014592"/>
    <s v="Picazo,Brenda"/>
    <s v="Romero Sanchez,Gustavo Gabriel"/>
    <n v="0"/>
    <n v="0"/>
    <n v="0"/>
    <n v="0"/>
    <n v="0.18"/>
    <e v="#N/A"/>
    <s v="brepicaz"/>
  </r>
  <r>
    <x v="234"/>
    <x v="32"/>
    <s v="Admin/HR/IT"/>
    <s v="AMCARE NonOcc In"/>
    <s v="AMZN"/>
    <n v="200574655"/>
    <s v="Mireles,Dulce"/>
    <s v="Robledo Ugarte,Alejandro"/>
    <n v="0"/>
    <n v="0"/>
    <n v="0"/>
    <n v="0"/>
    <n v="0.42"/>
    <e v="#N/A"/>
    <s v="dulceami"/>
  </r>
  <r>
    <x v="234"/>
    <x v="32"/>
    <s v="Admin/HR/IT"/>
    <s v="AMCARE NonOcc In"/>
    <s v="AMZN"/>
    <n v="201167501"/>
    <s v="Rodriguez,Ruben"/>
    <s v="Robledo Ugarte,Alejandro"/>
    <n v="0"/>
    <n v="0"/>
    <n v="0"/>
    <n v="0"/>
    <n v="0.11"/>
    <e v="#N/A"/>
    <s v="wguanajr"/>
  </r>
  <r>
    <x v="234"/>
    <x v="32"/>
    <s v="Admin/HR/IT"/>
    <s v="AMCARE NonOcc In"/>
    <s v="AMZN"/>
    <n v="201318220"/>
    <s v="Jasso,Raul"/>
    <s v="Bueno Mendoza,Susana"/>
    <n v="0"/>
    <n v="0"/>
    <n v="0"/>
    <n v="0"/>
    <n v="0.03"/>
    <e v="#N/A"/>
    <s v="raufjas"/>
  </r>
  <r>
    <x v="234"/>
    <x v="32"/>
    <s v="Admin/HR/IT"/>
    <s v="AMCARE NonOcc In"/>
    <s v="AMZN"/>
    <n v="201378614"/>
    <s v="Meza,Fernando"/>
    <s v="Bueno Mendoza,Susana"/>
    <n v="0"/>
    <n v="0"/>
    <n v="0"/>
    <n v="0"/>
    <n v="0.3"/>
    <e v="#N/A"/>
    <e v="#N/A"/>
  </r>
  <r>
    <x v="234"/>
    <x v="32"/>
    <s v="Admin/HR/IT"/>
    <s v="AMCARE NonOcc In"/>
    <s v="TEMP"/>
    <n v="201615692"/>
    <s v="Rodriguez,Nat"/>
    <s v="Romero Sanchez,Gustavo Gabriel"/>
    <n v="0"/>
    <n v="0"/>
    <n v="0"/>
    <n v="0"/>
    <n v="1"/>
    <e v="#N/A"/>
    <e v="#N/A"/>
  </r>
  <r>
    <x v="234"/>
    <x v="32"/>
    <s v="Admin/HR/IT"/>
    <s v="AMCARE NonOcc In"/>
    <s v="TEMP"/>
    <n v="201874092"/>
    <s v="Solorzano,Harol"/>
    <s v="Piedra,Valentina"/>
    <n v="0"/>
    <n v="0"/>
    <n v="0"/>
    <n v="0"/>
    <n v="0.01"/>
    <e v="#N/A"/>
    <e v="#N/A"/>
  </r>
  <r>
    <x v="234"/>
    <x v="32"/>
    <s v="Admin/HR/IT"/>
    <s v="AMCARE Out"/>
    <s v="TEMP"/>
    <n v="201874092"/>
    <s v="Solorzano,Harol"/>
    <s v="Piedra,Valentina"/>
    <n v="0"/>
    <n v="0"/>
    <n v="0"/>
    <n v="0"/>
    <n v="0.28999999999999998"/>
    <e v="#N/A"/>
    <e v="#N/A"/>
  </r>
  <r>
    <x v="235"/>
    <x v="32"/>
    <s v="Admin/HR/IT"/>
    <s v="AMCARE NonOcc In"/>
    <s v="AMZN"/>
    <n v="112912054"/>
    <s v="Rivera Ramirez,Jorge"/>
    <s v="Munoz,Jonan"/>
    <n v="0"/>
    <n v="0"/>
    <n v="0"/>
    <n v="0"/>
    <n v="0.17"/>
    <s v="DB-X0700"/>
    <s v="privejor"/>
  </r>
  <r>
    <x v="235"/>
    <x v="32"/>
    <s v="Admin/HR/IT"/>
    <s v="AMCARE NonOcc In"/>
    <s v="AMZN"/>
    <n v="112912745"/>
    <s v="Gomez Meza,Alex"/>
    <s v="Piedra,Valentina"/>
    <n v="0"/>
    <n v="0"/>
    <n v="0"/>
    <n v="0"/>
    <n v="0.06"/>
    <s v="DA-X0700"/>
    <s v="nalexgom"/>
  </r>
  <r>
    <x v="235"/>
    <x v="32"/>
    <s v="Admin/HR/IT"/>
    <s v="AMCARE NonOcc In"/>
    <s v="AMZN"/>
    <n v="112971962"/>
    <s v="Reyes  Montes de oca,Alejandra"/>
    <s v="Ledezma,Fer"/>
    <n v="0"/>
    <n v="0"/>
    <n v="0"/>
    <n v="0"/>
    <n v="0.52"/>
    <s v="DB-X0700"/>
    <s v="creyesal"/>
  </r>
  <r>
    <x v="235"/>
    <x v="32"/>
    <s v="Admin/HR/IT"/>
    <s v="AMCARE NonOcc In"/>
    <s v="AMZN"/>
    <n v="113014470"/>
    <s v="Aguilar Ibarra,Lupe"/>
    <s v="Robledo Ugarte,Alejandro"/>
    <n v="0"/>
    <n v="0"/>
    <n v="0"/>
    <n v="0"/>
    <n v="0.73"/>
    <e v="#N/A"/>
    <s v="lupaguin"/>
  </r>
  <r>
    <x v="235"/>
    <x v="32"/>
    <s v="Admin/HR/IT"/>
    <s v="AMCARE NonOcc In"/>
    <s v="AMZN"/>
    <n v="113019001"/>
    <s v="Lozano Hernandez,Donny"/>
    <s v="Bueno Mendoza,Susana"/>
    <n v="0"/>
    <n v="0"/>
    <n v="0"/>
    <n v="0"/>
    <n v="0.21"/>
    <e v="#N/A"/>
    <s v="dolozane"/>
  </r>
  <r>
    <x v="235"/>
    <x v="32"/>
    <s v="Admin/HR/IT"/>
    <s v="AMCARE NonOcc In"/>
    <s v="AMZN"/>
    <n v="200404250"/>
    <s v="Hurtado,Caty"/>
    <s v="Romero Sanchez,Gustavo Gabriel"/>
    <n v="0"/>
    <n v="0"/>
    <n v="0"/>
    <n v="0"/>
    <n v="0.86"/>
    <e v="#N/A"/>
    <s v="xcathurt"/>
  </r>
  <r>
    <x v="235"/>
    <x v="32"/>
    <s v="Admin/HR/IT"/>
    <s v="AMCARE NonOcc In"/>
    <s v="AMZN"/>
    <n v="200508323"/>
    <s v="Espejel Lopez,Emmanuel"/>
    <s v="Ledezma,Fer"/>
    <n v="0"/>
    <n v="0"/>
    <n v="0"/>
    <n v="0"/>
    <n v="0.06"/>
    <e v="#N/A"/>
    <s v="espejell"/>
  </r>
  <r>
    <x v="235"/>
    <x v="32"/>
    <s v="Admin/HR/IT"/>
    <s v="AMCARE NonOcc In"/>
    <s v="AMZN"/>
    <n v="200534675"/>
    <s v="Munoz Macias,Juan Pablo"/>
    <s v="Ledezma,Fer"/>
    <n v="0"/>
    <n v="0"/>
    <n v="0"/>
    <n v="0"/>
    <n v="0.39"/>
    <e v="#N/A"/>
    <s v="juanpmun"/>
  </r>
  <r>
    <x v="235"/>
    <x v="32"/>
    <s v="Admin/HR/IT"/>
    <s v="AMCARE NonOcc In"/>
    <s v="AMZN"/>
    <n v="200620341"/>
    <s v="Camacho Ramirez,Carlos"/>
    <s v="Madrid Molina,Ramon"/>
    <n v="0"/>
    <n v="0"/>
    <n v="0"/>
    <n v="0"/>
    <n v="0.22"/>
    <e v="#N/A"/>
    <e v="#N/A"/>
  </r>
  <r>
    <x v="235"/>
    <x v="32"/>
    <s v="Admin/HR/IT"/>
    <s v="AMCARE NonOcc In"/>
    <s v="AMZN"/>
    <n v="201186833"/>
    <s v="Jasso,Alexa"/>
    <s v="Piedra,Valentina"/>
    <n v="0"/>
    <n v="0"/>
    <n v="0"/>
    <n v="0"/>
    <n v="1.25"/>
    <e v="#N/A"/>
    <s v="jaalexav"/>
  </r>
  <r>
    <x v="235"/>
    <x v="32"/>
    <s v="Admin/HR/IT"/>
    <s v="AMCARE NonOcc In"/>
    <s v="AMZN"/>
    <n v="201191390"/>
    <s v="GarcÃ­a,jesus"/>
    <s v="Madrid Molina,Ramon"/>
    <n v="0"/>
    <n v="0"/>
    <n v="0"/>
    <n v="0"/>
    <n v="1.03"/>
    <e v="#N/A"/>
    <s v="bgajesus"/>
  </r>
  <r>
    <x v="235"/>
    <x v="32"/>
    <s v="Admin/HR/IT"/>
    <s v="AMCARE NonOcc In"/>
    <s v="AMZN"/>
    <n v="201354965"/>
    <s v="JimÃ©nez,Aline"/>
    <s v="Lopez,Alexa"/>
    <n v="0"/>
    <n v="0"/>
    <n v="0"/>
    <n v="0"/>
    <n v="0.12"/>
    <e v="#N/A"/>
    <s v="alinejim"/>
  </r>
  <r>
    <x v="235"/>
    <x v="32"/>
    <s v="Admin/HR/IT"/>
    <s v="AMCARE NonOcc In"/>
    <s v="AMZN"/>
    <n v="201378614"/>
    <s v="Meza,Fernando"/>
    <s v="Bueno Mendoza,Susana"/>
    <n v="0"/>
    <n v="0"/>
    <n v="0"/>
    <n v="0"/>
    <n v="0.18"/>
    <e v="#N/A"/>
    <e v="#N/A"/>
  </r>
  <r>
    <x v="235"/>
    <x v="32"/>
    <s v="Admin/HR/IT"/>
    <s v="AMCARE NonOcc In"/>
    <s v="TEMP"/>
    <n v="201880542"/>
    <s v="ORTIZ,CORPUS"/>
    <s v="Romero Sanchez,Gustavo Gabriel"/>
    <n v="0"/>
    <n v="0"/>
    <n v="0"/>
    <n v="0"/>
    <n v="0.16"/>
    <e v="#N/A"/>
    <s v="orticorp"/>
  </r>
  <r>
    <x v="235"/>
    <x v="32"/>
    <s v="Admin/HR/IT"/>
    <s v="AMCARE NonOcc In"/>
    <s v="TEMP"/>
    <n v="201891076"/>
    <s v="Olvera,Marilu"/>
    <s v="Romero Sanchez,Gustavo Gabriel"/>
    <n v="0"/>
    <n v="0"/>
    <n v="0"/>
    <n v="0"/>
    <n v="0.45"/>
    <e v="#N/A"/>
    <s v="marmolve"/>
  </r>
  <r>
    <x v="235"/>
    <x v="32"/>
    <s v="Admin/HR/IT"/>
    <s v="AMCARE NonOcc In"/>
    <s v="TEMP"/>
    <n v="201901649"/>
    <s v="HernÃ¡ndez,Janet"/>
    <s v="Romero Sanchez,Gustavo Gabriel"/>
    <n v="0"/>
    <n v="0"/>
    <n v="0"/>
    <n v="0"/>
    <n v="0.23"/>
    <e v="#N/A"/>
    <e v="#N/A"/>
  </r>
  <r>
    <x v="235"/>
    <x v="32"/>
    <s v="Admin/HR/IT"/>
    <s v="AMCARE NonOcc In"/>
    <s v="TEMP"/>
    <n v="201906503"/>
    <s v="MartÃ­nez,Jennifer"/>
    <s v="Munoz,Jonan"/>
    <n v="0"/>
    <n v="0"/>
    <n v="0"/>
    <n v="0"/>
    <n v="0.08"/>
    <e v="#N/A"/>
    <s v="mqjennif"/>
  </r>
  <r>
    <x v="236"/>
    <x v="32"/>
    <s v="Admin/HR/IT"/>
    <s v="AMCARE NonOcc In"/>
    <s v="AMZN"/>
    <n v="112912054"/>
    <s v="Rivera Ramirez,Jorge"/>
    <s v="Munoz,Jonan"/>
    <n v="0"/>
    <n v="0"/>
    <n v="0"/>
    <n v="0"/>
    <n v="0.43"/>
    <s v="DB-X0700"/>
    <s v="privejor"/>
  </r>
  <r>
    <x v="236"/>
    <x v="32"/>
    <s v="Admin/HR/IT"/>
    <s v="AMCARE NonOcc In"/>
    <s v="AMZN"/>
    <n v="112920655"/>
    <s v="Diaz de LeÃ³n,Paola"/>
    <s v="Cortes,Alejandra"/>
    <n v="0"/>
    <n v="0"/>
    <n v="0"/>
    <n v="0"/>
    <n v="0.94"/>
    <e v="#N/A"/>
    <e v="#N/A"/>
  </r>
  <r>
    <x v="236"/>
    <x v="32"/>
    <s v="Admin/HR/IT"/>
    <s v="AMCARE NonOcc In"/>
    <s v="AMZN"/>
    <n v="112920679"/>
    <s v="Vazquez,Israel"/>
    <s v="Piedra,Valentina"/>
    <n v="0"/>
    <n v="0"/>
    <n v="0"/>
    <n v="0"/>
    <n v="0.96"/>
    <e v="#N/A"/>
    <e v="#N/A"/>
  </r>
  <r>
    <x v="236"/>
    <x v="32"/>
    <s v="Admin/HR/IT"/>
    <s v="AMCARE NonOcc In"/>
    <s v="AMZN"/>
    <n v="112980832"/>
    <s v="Cruz Martinez,Salvador"/>
    <s v="Piedra,Valentina"/>
    <n v="0"/>
    <n v="0"/>
    <n v="0"/>
    <n v="0"/>
    <n v="0.69"/>
    <e v="#N/A"/>
    <e v="#N/A"/>
  </r>
  <r>
    <x v="236"/>
    <x v="32"/>
    <s v="Admin/HR/IT"/>
    <s v="AMCARE NonOcc In"/>
    <s v="AMZN"/>
    <n v="113003510"/>
    <s v="PÃ©rez MÃ©ndez,Cecy"/>
    <s v="Gomez Aguado,Jorge"/>
    <n v="0"/>
    <n v="0"/>
    <n v="0"/>
    <n v="0"/>
    <n v="0.08"/>
    <e v="#N/A"/>
    <s v="nperezmc"/>
  </r>
  <r>
    <x v="236"/>
    <x v="32"/>
    <s v="Admin/HR/IT"/>
    <s v="AMCARE NonOcc In"/>
    <s v="AMZN"/>
    <n v="113014560"/>
    <s v="Lopez Moreno,Americo"/>
    <s v="Ledezma,Fer"/>
    <n v="0"/>
    <n v="0"/>
    <n v="0"/>
    <n v="0"/>
    <n v="0.2"/>
    <e v="#N/A"/>
    <s v="zlopamer"/>
  </r>
  <r>
    <x v="236"/>
    <x v="32"/>
    <s v="Admin/HR/IT"/>
    <s v="AMCARE NonOcc In"/>
    <s v="AMZN"/>
    <n v="113020476"/>
    <s v="Puente Aguilar,Polette"/>
    <s v="Madrid Molina,Ramon"/>
    <n v="0"/>
    <n v="0"/>
    <n v="0"/>
    <n v="0"/>
    <n v="0.51"/>
    <e v="#N/A"/>
    <s v="polettpu"/>
  </r>
  <r>
    <x v="236"/>
    <x v="32"/>
    <s v="Admin/HR/IT"/>
    <s v="AMCARE NonOcc In"/>
    <s v="AMZN"/>
    <n v="113138338"/>
    <s v="Cornejo,Cesar"/>
    <s v="Cortes,Alejandra"/>
    <n v="0"/>
    <n v="0"/>
    <n v="0"/>
    <n v="0"/>
    <n v="2.08"/>
    <e v="#N/A"/>
    <s v="cescornh"/>
  </r>
  <r>
    <x v="236"/>
    <x v="32"/>
    <s v="Admin/HR/IT"/>
    <s v="AMCARE NonOcc In"/>
    <s v="AMZN"/>
    <n v="200464838"/>
    <s v="Ortiz,Fernando"/>
    <s v="Madrid Molina,Ramon"/>
    <n v="0"/>
    <n v="0"/>
    <n v="0"/>
    <n v="0"/>
    <n v="7.0000000000000007E-2"/>
    <e v="#N/A"/>
    <s v="ortfernj"/>
  </r>
  <r>
    <x v="236"/>
    <x v="32"/>
    <s v="Admin/HR/IT"/>
    <s v="AMCARE NonOcc In"/>
    <s v="AMZN"/>
    <n v="200562154"/>
    <s v="Reyes Muniz,Cristian"/>
    <s v="Corona Arriaga,Fernando"/>
    <n v="0"/>
    <n v="0"/>
    <n v="0"/>
    <n v="0"/>
    <n v="0.41"/>
    <e v="#N/A"/>
    <s v="reyesmcw"/>
  </r>
  <r>
    <x v="236"/>
    <x v="32"/>
    <s v="Admin/HR/IT"/>
    <s v="AMCARE NonOcc In"/>
    <s v="AMZN"/>
    <n v="201167388"/>
    <s v="Aguirre,Octavio"/>
    <s v="Madrid Molina,Ramon"/>
    <n v="0"/>
    <n v="0"/>
    <n v="0"/>
    <n v="0"/>
    <n v="0.13"/>
    <e v="#N/A"/>
    <s v="naguirro"/>
  </r>
  <r>
    <x v="236"/>
    <x v="32"/>
    <s v="Admin/HR/IT"/>
    <s v="AMCARE NonOcc In"/>
    <s v="AMZN"/>
    <n v="201351399"/>
    <s v="Ramos Montejo,Aida del Socorro"/>
    <s v="Cortes,Alejandra"/>
    <n v="0"/>
    <n v="0"/>
    <n v="0"/>
    <n v="0"/>
    <n v="0.19"/>
    <e v="#N/A"/>
    <s v="aramosmo"/>
  </r>
  <r>
    <x v="236"/>
    <x v="32"/>
    <s v="Admin/HR/IT"/>
    <s v="AMCARE NonOcc In"/>
    <s v="AMZN"/>
    <n v="201354965"/>
    <s v="JimÃ©nez,Aline"/>
    <s v="Lopez,Alexa"/>
    <n v="0"/>
    <n v="0"/>
    <n v="0"/>
    <n v="0"/>
    <n v="0.17"/>
    <e v="#N/A"/>
    <s v="alinejim"/>
  </r>
  <r>
    <x v="236"/>
    <x v="32"/>
    <s v="Admin/HR/IT"/>
    <s v="AMCARE NonOcc In"/>
    <s v="TEMP"/>
    <n v="201836048"/>
    <s v="MACIAS,IKER"/>
    <s v="Madrid Molina,Ramon"/>
    <n v="0"/>
    <n v="0"/>
    <n v="0"/>
    <n v="0"/>
    <n v="0.47"/>
    <e v="#N/A"/>
    <e v="#N/A"/>
  </r>
  <r>
    <x v="236"/>
    <x v="32"/>
    <s v="Admin/HR/IT"/>
    <s v="AMCARE NonOcc In"/>
    <s v="TEMP"/>
    <n v="201906503"/>
    <s v="MartÃ­nez,Jennifer"/>
    <s v="Munoz,Jonan"/>
    <n v="0"/>
    <n v="0"/>
    <n v="0"/>
    <n v="0"/>
    <n v="0.18"/>
    <e v="#N/A"/>
    <s v="mqjennif"/>
  </r>
  <r>
    <x v="237"/>
    <x v="32"/>
    <s v="Admin/HR/IT"/>
    <s v="AMCARE NonOcc In"/>
    <s v="AMZN"/>
    <n v="112912054"/>
    <s v="Rivera Ramirez,Jorge"/>
    <s v="Munoz,Jonan"/>
    <n v="0"/>
    <n v="0"/>
    <n v="0"/>
    <n v="0"/>
    <n v="0.38"/>
    <s v="DB-X0700"/>
    <s v="privejor"/>
  </r>
  <r>
    <x v="237"/>
    <x v="32"/>
    <s v="Admin/HR/IT"/>
    <s v="AMCARE NonOcc In"/>
    <s v="AMZN"/>
    <n v="112971962"/>
    <s v="Reyes  Montes de oca,Alejandra"/>
    <s v="Ledezma,Fer"/>
    <n v="0"/>
    <n v="0"/>
    <n v="0"/>
    <n v="0"/>
    <n v="0.11"/>
    <s v="DB-X0700"/>
    <s v="creyesal"/>
  </r>
  <r>
    <x v="237"/>
    <x v="32"/>
    <s v="Admin/HR/IT"/>
    <s v="AMCARE NonOcc In"/>
    <s v="AMZN"/>
    <n v="113020497"/>
    <s v="Martinez Ruiz,Diana"/>
    <s v="Gomez Aguado,Jorge"/>
    <n v="0"/>
    <n v="0"/>
    <n v="0"/>
    <n v="0"/>
    <n v="0.43"/>
    <e v="#N/A"/>
    <s v="diamartd"/>
  </r>
  <r>
    <x v="237"/>
    <x v="32"/>
    <s v="Admin/HR/IT"/>
    <s v="AMCARE NonOcc In"/>
    <s v="AMZN"/>
    <n v="113138338"/>
    <s v="Cornejo,Cesar"/>
    <s v="Cortes,Alejandra"/>
    <n v="0"/>
    <n v="0"/>
    <n v="0"/>
    <n v="0"/>
    <n v="0.45"/>
    <e v="#N/A"/>
    <s v="cescornh"/>
  </r>
  <r>
    <x v="237"/>
    <x v="32"/>
    <s v="Admin/HR/IT"/>
    <s v="AMCARE NonOcc In"/>
    <s v="AMZN"/>
    <n v="200553975"/>
    <s v="Duran Villegas,Juan Diego"/>
    <s v="Pizana,Diego"/>
    <n v="0"/>
    <n v="0"/>
    <n v="0"/>
    <n v="0"/>
    <n v="0.19"/>
    <e v="#N/A"/>
    <s v="juandidu"/>
  </r>
  <r>
    <x v="237"/>
    <x v="32"/>
    <s v="Admin/HR/IT"/>
    <s v="AMCARE NonOcc In"/>
    <s v="AMZN"/>
    <n v="200562154"/>
    <s v="Reyes Muniz,Cristian"/>
    <s v="Corona Arriaga,Fernando"/>
    <n v="0"/>
    <n v="0"/>
    <n v="0"/>
    <n v="0"/>
    <n v="0.32"/>
    <e v="#N/A"/>
    <s v="reyesmcw"/>
  </r>
  <r>
    <x v="237"/>
    <x v="32"/>
    <s v="Admin/HR/IT"/>
    <s v="AMCARE NonOcc In"/>
    <s v="AMZN"/>
    <n v="200563038"/>
    <s v="Arias,Elizabeth"/>
    <s v="Gomez Aguado,Jorge"/>
    <n v="0"/>
    <n v="0"/>
    <n v="0"/>
    <n v="0"/>
    <n v="2.13"/>
    <e v="#N/A"/>
    <s v="ariaszee"/>
  </r>
  <r>
    <x v="237"/>
    <x v="32"/>
    <s v="Admin/HR/IT"/>
    <s v="AMCARE NonOcc In"/>
    <s v="AMZN"/>
    <n v="201185653"/>
    <s v="Lopez,Mine"/>
    <s v="Corona Arriaga,Fernando"/>
    <n v="0"/>
    <n v="0"/>
    <n v="0"/>
    <n v="0"/>
    <n v="0.18"/>
    <e v="#N/A"/>
    <s v="luisamin"/>
  </r>
  <r>
    <x v="237"/>
    <x v="32"/>
    <s v="Admin/HR/IT"/>
    <s v="AMCARE NonOcc In"/>
    <s v="AMZN"/>
    <n v="201211157"/>
    <s v="Vargas,Jesse"/>
    <s v="Munoz,Jonan"/>
    <n v="0"/>
    <n v="0"/>
    <n v="0"/>
    <n v="0"/>
    <n v="0.04"/>
    <e v="#N/A"/>
    <s v="vargajed"/>
  </r>
  <r>
    <x v="237"/>
    <x v="32"/>
    <s v="Admin/HR/IT"/>
    <s v="AMCARE NonOcc In"/>
    <s v="AMZN"/>
    <n v="201354965"/>
    <s v="JimÃ©nez,Aline"/>
    <s v="Lopez,Alexa"/>
    <n v="0"/>
    <n v="0"/>
    <n v="0"/>
    <n v="0"/>
    <n v="0.27"/>
    <e v="#N/A"/>
    <s v="alinejim"/>
  </r>
  <r>
    <x v="237"/>
    <x v="32"/>
    <s v="Admin/HR/IT"/>
    <s v="AMCARE NonOcc In"/>
    <s v="AMZN"/>
    <n v="201363254"/>
    <s v="Frausto,Raziel"/>
    <s v="Munoz,Jonan"/>
    <n v="0"/>
    <n v="0"/>
    <n v="0"/>
    <n v="0"/>
    <n v="0.16"/>
    <e v="#N/A"/>
    <s v="fwraziel"/>
  </r>
  <r>
    <x v="237"/>
    <x v="32"/>
    <s v="Admin/HR/IT"/>
    <s v="AMCARE NonOcc In"/>
    <s v="TEMP"/>
    <n v="201841804"/>
    <s v="Ruiz,Michelle"/>
    <s v="Corona Arriaga,Fernando"/>
    <n v="0"/>
    <n v="0"/>
    <n v="0"/>
    <n v="0"/>
    <n v="0.3"/>
    <e v="#N/A"/>
    <s v="ruizhmic"/>
  </r>
  <r>
    <x v="237"/>
    <x v="32"/>
    <s v="Admin/HR/IT"/>
    <s v="AMCARE NonOcc In"/>
    <s v="TEMP"/>
    <n v="201906503"/>
    <s v="MartÃ­nez,Jennifer"/>
    <s v="Munoz,Jonan"/>
    <n v="0"/>
    <n v="0"/>
    <n v="0"/>
    <n v="0"/>
    <n v="0.18"/>
    <e v="#N/A"/>
    <s v="mqjennif"/>
  </r>
  <r>
    <x v="237"/>
    <x v="32"/>
    <s v="Admin/HR/IT"/>
    <s v="AMCARE NonOcc In"/>
    <s v="TEMP"/>
    <n v="201908189"/>
    <s v="Martinez,Francisco"/>
    <s v="Lopez,Alexa"/>
    <n v="0"/>
    <n v="0"/>
    <n v="0"/>
    <n v="0"/>
    <n v="0.28000000000000003"/>
    <e v="#N/A"/>
    <s v="cmartif"/>
  </r>
  <r>
    <x v="238"/>
    <x v="32"/>
    <s v="Admin/HR/IT"/>
    <s v="AMCARE NonOcc In"/>
    <s v="AMZN"/>
    <n v="112971962"/>
    <s v="Reyes  Montes de oca,Alejandra"/>
    <s v="Ledezma,Fer"/>
    <n v="0"/>
    <n v="0"/>
    <n v="0"/>
    <n v="0"/>
    <n v="0.28999999999999998"/>
    <s v="DB-X0700"/>
    <s v="creyesal"/>
  </r>
  <r>
    <x v="238"/>
    <x v="32"/>
    <s v="Admin/HR/IT"/>
    <s v="AMCARE NonOcc In"/>
    <s v="AMZN"/>
    <n v="113003656"/>
    <s v="Argote,Enrique"/>
    <s v="Gomez Aguado,Jorge"/>
    <n v="0"/>
    <n v="0"/>
    <n v="0"/>
    <n v="0"/>
    <n v="0.45"/>
    <e v="#N/A"/>
    <s v="uargoten"/>
  </r>
  <r>
    <x v="238"/>
    <x v="32"/>
    <s v="Admin/HR/IT"/>
    <s v="AMCARE NonOcc In"/>
    <s v="AMZN"/>
    <n v="113003971"/>
    <s v="Garcia  Ramirez,Gabriel"/>
    <s v="Corona Arriaga,Fernando"/>
    <n v="0"/>
    <n v="0"/>
    <n v="0"/>
    <n v="0"/>
    <n v="0.21"/>
    <e v="#N/A"/>
    <s v="garamird"/>
  </r>
  <r>
    <x v="238"/>
    <x v="32"/>
    <s v="Admin/HR/IT"/>
    <s v="AMCARE NonOcc In"/>
    <s v="AMZN"/>
    <n v="200614224"/>
    <s v="Cruz Hernandez,Cris"/>
    <s v="Ledezma,Fer"/>
    <n v="0"/>
    <n v="0"/>
    <n v="0"/>
    <n v="0"/>
    <n v="0.08"/>
    <e v="#N/A"/>
    <e v="#N/A"/>
  </r>
  <r>
    <x v="238"/>
    <x v="32"/>
    <s v="Admin/HR/IT"/>
    <s v="AMCARE NonOcc In"/>
    <s v="AMZN"/>
    <n v="201191198"/>
    <s v="Mojica,Emmanuel"/>
    <s v="Ledezma,Fer"/>
    <n v="0"/>
    <n v="0"/>
    <n v="0"/>
    <n v="0"/>
    <n v="0.08"/>
    <e v="#N/A"/>
    <s v="mojicemm"/>
  </r>
  <r>
    <x v="238"/>
    <x v="32"/>
    <s v="Admin/HR/IT"/>
    <s v="AMCARE NonOcc In"/>
    <s v="AMZN"/>
    <n v="201223730"/>
    <s v="Sanchiz,Cesarito"/>
    <s v="Corona Arriaga,Fernando"/>
    <n v="0"/>
    <n v="0"/>
    <n v="0"/>
    <n v="0"/>
    <n v="0.26"/>
    <e v="#N/A"/>
    <s v="cesarito"/>
  </r>
  <r>
    <x v="238"/>
    <x v="32"/>
    <s v="Admin/HR/IT"/>
    <s v="AMCARE NonOcc In"/>
    <s v="AMZN"/>
    <n v="201295429"/>
    <s v="Mireles Diaz Lopez,Jazmin"/>
    <s v="Gomez Aguado,Jorge"/>
    <n v="0"/>
    <n v="0"/>
    <n v="0"/>
    <n v="0"/>
    <n v="0.53"/>
    <e v="#N/A"/>
    <s v="mireljes"/>
  </r>
  <r>
    <x v="238"/>
    <x v="32"/>
    <s v="Admin/HR/IT"/>
    <s v="AMCARE NonOcc In"/>
    <s v="TEMP"/>
    <n v="201842039"/>
    <s v="Martinez,Antonio"/>
    <s v="Corona Arriaga,Fernando"/>
    <n v="0"/>
    <n v="0"/>
    <n v="0"/>
    <n v="0"/>
    <n v="0.26"/>
    <e v="#N/A"/>
    <s v="fantmar"/>
  </r>
  <r>
    <x v="238"/>
    <x v="32"/>
    <s v="Admin/HR/IT"/>
    <s v="AMCARE NonOcc In"/>
    <s v="TEMP"/>
    <n v="201902769"/>
    <s v="Acevedo,Juan"/>
    <s v="Madrid Molina,Ramon"/>
    <n v="0"/>
    <n v="0"/>
    <n v="0"/>
    <n v="0"/>
    <n v="0.27"/>
    <e v="#N/A"/>
    <e v="#N/A"/>
  </r>
  <r>
    <x v="238"/>
    <x v="32"/>
    <s v="Admin/HR/IT"/>
    <s v="AMCARE NonOcc In"/>
    <s v="TEMP"/>
    <n v="201906503"/>
    <s v="MartÃ­nez,Jennifer"/>
    <s v="Munoz,Jonan"/>
    <n v="0"/>
    <n v="0"/>
    <n v="0"/>
    <n v="0"/>
    <n v="0.15"/>
    <e v="#N/A"/>
    <s v="mqjennif"/>
  </r>
  <r>
    <x v="238"/>
    <x v="32"/>
    <s v="Admin/HR/IT"/>
    <s v="AMCARE NonOcc In"/>
    <s v="TEMP"/>
    <n v="201908189"/>
    <s v="Martinez,Francisco"/>
    <s v="Lopez,Alexa"/>
    <n v="0"/>
    <n v="0"/>
    <n v="0"/>
    <n v="0"/>
    <n v="0.42"/>
    <e v="#N/A"/>
    <s v="cmartif"/>
  </r>
  <r>
    <x v="239"/>
    <x v="33"/>
    <s v="Admin/HR/IT"/>
    <s v="AMCARE NonOcc In"/>
    <s v="AMZN"/>
    <n v="112981061"/>
    <s v="Olguin,Claudia"/>
    <s v="Robledo Ugarte,Alejandro"/>
    <n v="0"/>
    <n v="0"/>
    <n v="0"/>
    <n v="0"/>
    <n v="0.28999999999999998"/>
    <s v="DA-X0700"/>
    <s v="mclaudol"/>
  </r>
  <r>
    <x v="239"/>
    <x v="33"/>
    <s v="Admin/HR/IT"/>
    <s v="AMCARE NonOcc In"/>
    <s v="AMZN"/>
    <n v="113019031"/>
    <s v="Vera Hernandez,Mauricio"/>
    <s v="Robledo Ugarte,Alejandro"/>
    <n v="0"/>
    <n v="0"/>
    <n v="0"/>
    <n v="0"/>
    <n v="0.1"/>
    <e v="#N/A"/>
    <s v="vermauri"/>
  </r>
  <r>
    <x v="239"/>
    <x v="33"/>
    <s v="Admin/HR/IT"/>
    <s v="AMCARE NonOcc In"/>
    <s v="AMZN"/>
    <n v="113020463"/>
    <s v="Valtierra,Alejandra"/>
    <s v="Robledo Ugarte,Alejandro"/>
    <n v="0"/>
    <n v="0"/>
    <n v="0"/>
    <n v="0"/>
    <n v="0.37"/>
    <e v="#N/A"/>
    <s v="myriamav"/>
  </r>
  <r>
    <x v="239"/>
    <x v="33"/>
    <s v="Admin/HR/IT"/>
    <s v="AMCARE NonOcc In"/>
    <s v="AMZN"/>
    <n v="200570729"/>
    <s v="Rodriguez,Carolina"/>
    <s v="Piedra,Valentina"/>
    <n v="0"/>
    <n v="0"/>
    <n v="0"/>
    <n v="0"/>
    <n v="1.01"/>
    <e v="#N/A"/>
    <s v="srodcaro"/>
  </r>
  <r>
    <x v="239"/>
    <x v="33"/>
    <s v="Admin/HR/IT"/>
    <s v="AMCARE NonOcc In"/>
    <s v="AMZN"/>
    <n v="200625528"/>
    <s v="Oliva,Lizbeth"/>
    <s v="Piedra,Valentina"/>
    <n v="0"/>
    <n v="0"/>
    <n v="0"/>
    <n v="0"/>
    <n v="0.18"/>
    <e v="#N/A"/>
    <s v="olivlizb"/>
  </r>
  <r>
    <x v="239"/>
    <x v="33"/>
    <s v="Admin/HR/IT"/>
    <s v="AMCARE NonOcc In"/>
    <s v="AMZN"/>
    <n v="201197964"/>
    <s v="Quijas,Matzayani"/>
    <s v="Romero Sanchez,Gustavo Gabriel"/>
    <n v="0"/>
    <n v="0"/>
    <n v="0"/>
    <n v="0"/>
    <n v="0.19"/>
    <e v="#N/A"/>
    <s v="matzquij"/>
  </r>
  <r>
    <x v="239"/>
    <x v="33"/>
    <s v="Admin/HR/IT"/>
    <s v="AMCARE NonOcc In"/>
    <s v="AMZN"/>
    <n v="201345774"/>
    <s v="Quijas,Jonathan"/>
    <s v="Robledo Ugarte,Alejandro"/>
    <n v="0"/>
    <n v="0"/>
    <n v="0"/>
    <n v="0"/>
    <n v="0.11"/>
    <e v="#N/A"/>
    <s v="jonquija"/>
  </r>
  <r>
    <x v="240"/>
    <x v="33"/>
    <s v="Admin/HR/IT"/>
    <s v="AMCARE NonOcc In"/>
    <s v="AMZN"/>
    <n v="112971980"/>
    <s v="Romero,Daniel"/>
    <s v="Cortes,Alejandra"/>
    <n v="0"/>
    <n v="0"/>
    <n v="0"/>
    <n v="0"/>
    <n v="0.37"/>
    <s v="DC-X0700"/>
    <s v="cdanirom"/>
  </r>
  <r>
    <x v="240"/>
    <x v="33"/>
    <s v="Admin/HR/IT"/>
    <s v="AMCARE NonOcc In"/>
    <s v="AMZN"/>
    <n v="113019001"/>
    <s v="Lozano Hernandez,Donny"/>
    <s v="Bueno Mendoza,Susana"/>
    <n v="0"/>
    <n v="0"/>
    <n v="0"/>
    <n v="0"/>
    <n v="0.14000000000000001"/>
    <e v="#N/A"/>
    <s v="dolozane"/>
  </r>
  <r>
    <x v="240"/>
    <x v="33"/>
    <s v="Admin/HR/IT"/>
    <s v="AMCARE NonOcc In"/>
    <s v="AMZN"/>
    <n v="113101453"/>
    <s v="Isaac,Geovanna"/>
    <s v="Robledo Ugarte,Alejandro"/>
    <n v="0"/>
    <n v="0"/>
    <n v="0"/>
    <n v="0"/>
    <n v="0.15"/>
    <e v="#N/A"/>
    <s v="qisgeova"/>
  </r>
  <r>
    <x v="240"/>
    <x v="33"/>
    <s v="Admin/HR/IT"/>
    <s v="AMCARE NonOcc In"/>
    <s v="AMZN"/>
    <n v="200514421"/>
    <s v="Padilla Abrego,Angeles"/>
    <s v="Romero Sanchez,Gustavo Gabriel"/>
    <n v="0"/>
    <n v="0"/>
    <n v="0"/>
    <n v="0"/>
    <n v="0.22"/>
    <e v="#N/A"/>
    <s v="padillms"/>
  </r>
  <r>
    <x v="240"/>
    <x v="33"/>
    <s v="Admin/HR/IT"/>
    <s v="AMCARE NonOcc In"/>
    <s v="AMZN"/>
    <n v="200563038"/>
    <s v="Arias,Elizabeth"/>
    <s v="Gomez Aguado,Jorge"/>
    <n v="0"/>
    <n v="0"/>
    <n v="0"/>
    <n v="0"/>
    <n v="0.17"/>
    <e v="#N/A"/>
    <s v="ariaszee"/>
  </r>
  <r>
    <x v="240"/>
    <x v="33"/>
    <s v="Admin/HR/IT"/>
    <s v="AMCARE NonOcc In"/>
    <s v="AMZN"/>
    <n v="200594875"/>
    <s v="Maldonado,Jose"/>
    <s v="Piedra,Valentina"/>
    <n v="0"/>
    <n v="0"/>
    <n v="0"/>
    <n v="0"/>
    <n v="0.35"/>
    <e v="#N/A"/>
    <s v="jwmaldon"/>
  </r>
  <r>
    <x v="240"/>
    <x v="33"/>
    <s v="Admin/HR/IT"/>
    <s v="AMCARE NonOcc In"/>
    <s v="AMZN"/>
    <n v="201162225"/>
    <s v="Corona,Israel"/>
    <s v="Piedra,Valentina"/>
    <n v="0"/>
    <n v="0"/>
    <n v="0"/>
    <n v="0"/>
    <n v="0.18"/>
    <e v="#N/A"/>
    <s v="isracoro"/>
  </r>
  <r>
    <x v="240"/>
    <x v="33"/>
    <s v="Admin/HR/IT"/>
    <s v="AMCARE NonOcc In"/>
    <s v="AMZN"/>
    <n v="201186833"/>
    <s v="Jasso,Alexa"/>
    <s v="Piedra,Valentina"/>
    <n v="0"/>
    <n v="0"/>
    <n v="0"/>
    <n v="0"/>
    <n v="0.12"/>
    <e v="#N/A"/>
    <s v="jaalexav"/>
  </r>
  <r>
    <x v="240"/>
    <x v="33"/>
    <s v="Admin/HR/IT"/>
    <s v="AMCARE NonOcc In"/>
    <s v="AMZN"/>
    <n v="201211157"/>
    <s v="Vargas,Jesse"/>
    <s v="Munoz,Jonan"/>
    <n v="0"/>
    <n v="0"/>
    <n v="0"/>
    <n v="0"/>
    <n v="0.21"/>
    <e v="#N/A"/>
    <s v="vargajed"/>
  </r>
  <r>
    <x v="240"/>
    <x v="33"/>
    <s v="Admin/HR/IT"/>
    <s v="AMCARE NonOcc In"/>
    <s v="AMZN"/>
    <n v="201318220"/>
    <s v="Jasso,Raul"/>
    <s v="Bueno Mendoza,Susana"/>
    <n v="0"/>
    <n v="0"/>
    <n v="0"/>
    <n v="0"/>
    <n v="0.21"/>
    <e v="#N/A"/>
    <s v="raufjas"/>
  </r>
  <r>
    <x v="240"/>
    <x v="33"/>
    <s v="Admin/HR/IT"/>
    <s v="AMCARE NonOcc In"/>
    <s v="AMZN"/>
    <n v="201396328"/>
    <s v="Canchola,Alejandro"/>
    <s v="Lopez,Alexa"/>
    <n v="0"/>
    <n v="0"/>
    <n v="0"/>
    <n v="0"/>
    <n v="0.24"/>
    <e v="#N/A"/>
    <s v="nalcanch"/>
  </r>
  <r>
    <x v="241"/>
    <x v="33"/>
    <s v="Admin/HR/IT"/>
    <s v="AMCARE NonOcc In"/>
    <s v="AMZN"/>
    <n v="112950840"/>
    <s v="Colorado Reyes,Alex"/>
    <s v="Munoz,Jonan"/>
    <n v="0"/>
    <n v="0"/>
    <n v="0"/>
    <n v="0"/>
    <n v="1.06"/>
    <s v="DC-X0700"/>
    <s v="coloralu"/>
  </r>
  <r>
    <x v="241"/>
    <x v="33"/>
    <s v="Admin/HR/IT"/>
    <s v="AMCARE NonOcc In"/>
    <s v="AMZN"/>
    <n v="112980887"/>
    <s v="Rodriguez Mares,Rocio"/>
    <s v="Pizana,Diego"/>
    <n v="0"/>
    <n v="0"/>
    <n v="0"/>
    <n v="0"/>
    <n v="0.25"/>
    <e v="#N/A"/>
    <e v="#N/A"/>
  </r>
  <r>
    <x v="241"/>
    <x v="33"/>
    <s v="Admin/HR/IT"/>
    <s v="AMCARE NonOcc In"/>
    <s v="AMZN"/>
    <n v="112981013"/>
    <s v="Lopez Neri,Norma"/>
    <s v="Piedra,Valentina"/>
    <n v="0"/>
    <n v="0"/>
    <n v="0"/>
    <n v="0"/>
    <n v="0.38"/>
    <s v="DA-X0700"/>
    <s v="normaelo"/>
  </r>
  <r>
    <x v="241"/>
    <x v="33"/>
    <s v="Admin/HR/IT"/>
    <s v="AMCARE NonOcc In"/>
    <s v="AMZN"/>
    <n v="112981061"/>
    <s v="Olguin,Claudia"/>
    <s v="Robledo Ugarte,Alejandro"/>
    <n v="0"/>
    <n v="0"/>
    <n v="0"/>
    <n v="0"/>
    <n v="0.59"/>
    <s v="DA-X0700"/>
    <s v="mclaudol"/>
  </r>
  <r>
    <x v="241"/>
    <x v="33"/>
    <s v="Admin/HR/IT"/>
    <s v="AMCARE NonOcc In"/>
    <s v="AMZN"/>
    <n v="113014094"/>
    <s v="Mercado,Erika"/>
    <s v="Robledo Ugarte,Alejandro"/>
    <n v="0"/>
    <n v="0"/>
    <n v="0"/>
    <n v="0"/>
    <n v="0.45"/>
    <e v="#N/A"/>
    <s v="erikaadm"/>
  </r>
  <r>
    <x v="241"/>
    <x v="33"/>
    <s v="Admin/HR/IT"/>
    <s v="AMCARE NonOcc In"/>
    <s v="AMZN"/>
    <n v="113014403"/>
    <s v="Arias Sanchez,Nora"/>
    <s v="Romero Sanchez,Gustavo Gabriel"/>
    <n v="0"/>
    <n v="0"/>
    <n v="0"/>
    <n v="0"/>
    <n v="0.34"/>
    <e v="#N/A"/>
    <s v="wnoraria"/>
  </r>
  <r>
    <x v="241"/>
    <x v="33"/>
    <s v="Admin/HR/IT"/>
    <s v="AMCARE NonOcc In"/>
    <s v="AMZN"/>
    <n v="113019001"/>
    <s v="Lozano Hernandez,Donny"/>
    <s v="Bueno Mendoza,Susana"/>
    <n v="0"/>
    <n v="0"/>
    <n v="0"/>
    <n v="0"/>
    <n v="0.45"/>
    <e v="#N/A"/>
    <s v="dolozane"/>
  </r>
  <r>
    <x v="241"/>
    <x v="33"/>
    <s v="Admin/HR/IT"/>
    <s v="AMCARE NonOcc In"/>
    <s v="AMZN"/>
    <n v="200404250"/>
    <s v="Hurtado,Caty"/>
    <s v="Romero Sanchez,Gustavo Gabriel"/>
    <n v="0"/>
    <n v="0"/>
    <n v="0"/>
    <n v="0"/>
    <n v="0.47"/>
    <e v="#N/A"/>
    <s v="xcathurt"/>
  </r>
  <r>
    <x v="241"/>
    <x v="33"/>
    <s v="Admin/HR/IT"/>
    <s v="AMCARE NonOcc In"/>
    <s v="AMZN"/>
    <n v="201166890"/>
    <s v="Caballero,Daniel"/>
    <s v="Romero Sanchez,Gustavo Gabriel"/>
    <n v="0"/>
    <n v="0"/>
    <n v="0"/>
    <n v="0"/>
    <n v="0.04"/>
    <e v="#N/A"/>
    <s v="lcabadan"/>
  </r>
  <r>
    <x v="241"/>
    <x v="33"/>
    <s v="Admin/HR/IT"/>
    <s v="AMCARE NonOcc In"/>
    <s v="AMZN"/>
    <n v="201172412"/>
    <s v="Castellanos,Adriana"/>
    <s v="Robledo Ugarte,Alejandro"/>
    <n v="0"/>
    <n v="0"/>
    <n v="0"/>
    <n v="0"/>
    <n v="0.15"/>
    <e v="#N/A"/>
    <s v="adrpcast"/>
  </r>
  <r>
    <x v="241"/>
    <x v="33"/>
    <s v="Admin/HR/IT"/>
    <s v="AMCARE NonOcc In"/>
    <s v="AMZN"/>
    <n v="201219500"/>
    <s v="Mazy,RamsÃ©s"/>
    <s v="Ledezma,Fer"/>
    <n v="0"/>
    <n v="0"/>
    <n v="0"/>
    <n v="0"/>
    <n v="0.17"/>
    <e v="#N/A"/>
    <s v="ramsmazy"/>
  </r>
  <r>
    <x v="241"/>
    <x v="33"/>
    <s v="Admin/HR/IT"/>
    <s v="AMCARE NonOcc In"/>
    <s v="AMZN"/>
    <n v="201298365"/>
    <s v="Hernandez,Lesli"/>
    <s v="Piedra,Valentina"/>
    <n v="0"/>
    <n v="0"/>
    <n v="0"/>
    <n v="0"/>
    <n v="0.62"/>
    <e v="#N/A"/>
    <s v="hernatle"/>
  </r>
  <r>
    <x v="241"/>
    <x v="33"/>
    <s v="Admin/HR/IT"/>
    <s v="AMCARE NonOcc In"/>
    <s v="AMZN"/>
    <n v="201345774"/>
    <s v="Quijas,Jonathan"/>
    <s v="Robledo Ugarte,Alejandro"/>
    <n v="0"/>
    <n v="0"/>
    <n v="0"/>
    <n v="0"/>
    <n v="0.03"/>
    <e v="#N/A"/>
    <s v="jonquija"/>
  </r>
  <r>
    <x v="241"/>
    <x v="33"/>
    <s v="Admin/HR/IT"/>
    <s v="AMCARE NonOcc In"/>
    <s v="TEMP"/>
    <n v="201858867"/>
    <s v="Cruz Velazquez,Gabriela"/>
    <s v="Corona Arriaga,Fernando"/>
    <n v="0"/>
    <n v="0"/>
    <n v="0"/>
    <n v="0"/>
    <n v="0.31"/>
    <e v="#N/A"/>
    <s v="tcruzvel"/>
  </r>
  <r>
    <x v="241"/>
    <x v="33"/>
    <s v="Admin/HR/IT"/>
    <s v="AMCARE NonOcc In"/>
    <s v="TEMP"/>
    <n v="201891076"/>
    <s v="Olvera,Marilu"/>
    <s v="Romero Sanchez,Gustavo Gabriel"/>
    <n v="0"/>
    <n v="0"/>
    <n v="0"/>
    <n v="0"/>
    <n v="0.28000000000000003"/>
    <e v="#N/A"/>
    <s v="marmolve"/>
  </r>
  <r>
    <x v="242"/>
    <x v="33"/>
    <s v="Admin/HR/IT"/>
    <s v="AMCARE NonOcc In"/>
    <s v="AMZN"/>
    <n v="112912506"/>
    <s v="Garcia  Caudillo,Jessica"/>
    <s v="Camarena,Grecia"/>
    <n v="0"/>
    <n v="0"/>
    <n v="0"/>
    <n v="0"/>
    <n v="0.11"/>
    <s v="DA-X0700"/>
    <s v="gakjessi"/>
  </r>
  <r>
    <x v="242"/>
    <x v="33"/>
    <s v="Admin/HR/IT"/>
    <s v="AMCARE NonOcc In"/>
    <s v="AMZN"/>
    <n v="112912745"/>
    <s v="Gomez Meza,Alex"/>
    <s v="Piedra,Valentina"/>
    <n v="0"/>
    <n v="0"/>
    <n v="0"/>
    <n v="0"/>
    <n v="0.44"/>
    <s v="DA-X0700"/>
    <s v="nalexgom"/>
  </r>
  <r>
    <x v="242"/>
    <x v="33"/>
    <s v="Admin/HR/IT"/>
    <s v="AMCARE NonOcc In"/>
    <s v="AMZN"/>
    <n v="112971962"/>
    <s v="Reyes  Montes de oca,Alejandra"/>
    <s v="Ledezma,Fer"/>
    <n v="0"/>
    <n v="0"/>
    <n v="0"/>
    <n v="0"/>
    <n v="0.11"/>
    <s v="DB-X0700"/>
    <s v="creyesal"/>
  </r>
  <r>
    <x v="242"/>
    <x v="33"/>
    <s v="Admin/HR/IT"/>
    <s v="AMCARE NonOcc In"/>
    <s v="AMZN"/>
    <n v="200404250"/>
    <s v="Hurtado,Caty"/>
    <s v="Romero Sanchez,Gustavo Gabriel"/>
    <n v="0"/>
    <n v="0"/>
    <n v="0"/>
    <n v="0"/>
    <n v="1.58"/>
    <e v="#N/A"/>
    <s v="xcathurt"/>
  </r>
  <r>
    <x v="242"/>
    <x v="33"/>
    <s v="Admin/HR/IT"/>
    <s v="AMCARE NonOcc In"/>
    <s v="AMZN"/>
    <n v="200615883"/>
    <s v="Ibarra Amaro,Adriana"/>
    <s v="Gomez Aguado,Jorge"/>
    <n v="0"/>
    <n v="0"/>
    <n v="0"/>
    <n v="0"/>
    <n v="0.83"/>
    <e v="#N/A"/>
    <e v="#N/A"/>
  </r>
  <r>
    <x v="242"/>
    <x v="33"/>
    <s v="Admin/HR/IT"/>
    <s v="AMCARE NonOcc In"/>
    <s v="AMZN"/>
    <n v="200625339"/>
    <s v="Alcantar Mendez,Diego"/>
    <s v="Gomez Aguado,Jorge"/>
    <n v="0"/>
    <n v="0"/>
    <n v="0"/>
    <n v="0"/>
    <n v="1.32"/>
    <e v="#N/A"/>
    <e v="#N/A"/>
  </r>
  <r>
    <x v="242"/>
    <x v="33"/>
    <s v="Admin/HR/IT"/>
    <s v="AMCARE NonOcc In"/>
    <s v="AMZN"/>
    <n v="201191390"/>
    <s v="GarcÃ­a,jesus"/>
    <s v="Madrid Molina,Ramon"/>
    <n v="0"/>
    <n v="0"/>
    <n v="0"/>
    <n v="0"/>
    <n v="0.28000000000000003"/>
    <e v="#N/A"/>
    <s v="bgajesus"/>
  </r>
  <r>
    <x v="242"/>
    <x v="33"/>
    <s v="Admin/HR/IT"/>
    <s v="AMCARE NonOcc In"/>
    <s v="AMZN"/>
    <n v="201198922"/>
    <s v="Mendez,Joy"/>
    <s v="Gomez Aguado,Jorge"/>
    <n v="0"/>
    <n v="0"/>
    <n v="0"/>
    <n v="0"/>
    <n v="0.4"/>
    <e v="#N/A"/>
    <s v="mendejoy"/>
  </r>
  <r>
    <x v="242"/>
    <x v="33"/>
    <s v="Admin/HR/IT"/>
    <s v="AMCARE NonOcc In"/>
    <s v="AMZN"/>
    <n v="201228411"/>
    <s v="Hernandez Soriano,Jazmin"/>
    <s v="Corona Arriaga,Fernando"/>
    <n v="0"/>
    <n v="0"/>
    <n v="0"/>
    <n v="0"/>
    <n v="0.68"/>
    <e v="#N/A"/>
    <s v="jazmiwhe"/>
  </r>
  <r>
    <x v="242"/>
    <x v="33"/>
    <s v="Admin/HR/IT"/>
    <s v="AMCARE NonOcc In"/>
    <s v="AMZN"/>
    <n v="201294058"/>
    <s v="Alvarez,Erika"/>
    <s v="Bueno Mendoza,Susana"/>
    <n v="0"/>
    <n v="0"/>
    <n v="0"/>
    <n v="0"/>
    <n v="0.13"/>
    <e v="#N/A"/>
    <s v="alerikat"/>
  </r>
  <r>
    <x v="242"/>
    <x v="33"/>
    <s v="Admin/HR/IT"/>
    <s v="AMCARE NonOcc In"/>
    <s v="AMZN"/>
    <n v="201318220"/>
    <s v="Jasso,Raul"/>
    <s v="Bueno Mendoza,Susana"/>
    <n v="0"/>
    <n v="0"/>
    <n v="0"/>
    <n v="0"/>
    <n v="1.02"/>
    <e v="#N/A"/>
    <s v="raufjas"/>
  </r>
  <r>
    <x v="242"/>
    <x v="33"/>
    <s v="Admin/HR/IT"/>
    <s v="AMCARE NonOcc In"/>
    <s v="AMZN"/>
    <n v="201354965"/>
    <s v="JimÃ©nez,Aline"/>
    <s v="Lopez,Alexa"/>
    <n v="0"/>
    <n v="0"/>
    <n v="0"/>
    <n v="0"/>
    <n v="0.24"/>
    <e v="#N/A"/>
    <s v="alinejim"/>
  </r>
  <r>
    <x v="242"/>
    <x v="33"/>
    <s v="Admin/HR/IT"/>
    <s v="AMCARE NonOcc In"/>
    <s v="TEMP"/>
    <n v="201836048"/>
    <s v="MACIAS,IKER"/>
    <s v="Madrid Molina,Ramon"/>
    <n v="0"/>
    <n v="0"/>
    <n v="0"/>
    <n v="0"/>
    <n v="0.7"/>
    <e v="#N/A"/>
    <e v="#N/A"/>
  </r>
  <r>
    <x v="243"/>
    <x v="33"/>
    <s v="Admin/HR/IT"/>
    <s v="AMCARE NonOcc In"/>
    <s v="AMZN"/>
    <n v="112912054"/>
    <s v="Rivera Ramirez,Jorge"/>
    <s v="Munoz,Jonan"/>
    <n v="0"/>
    <n v="0"/>
    <n v="0"/>
    <n v="0"/>
    <n v="0.15"/>
    <s v="DB-X0700"/>
    <s v="privejor"/>
  </r>
  <r>
    <x v="243"/>
    <x v="33"/>
    <s v="Admin/HR/IT"/>
    <s v="AMCARE NonOcc In"/>
    <s v="AMZN"/>
    <n v="201162225"/>
    <s v="Corona,Israel"/>
    <s v="Piedra,Valentina"/>
    <n v="0"/>
    <n v="0"/>
    <n v="0"/>
    <n v="0"/>
    <n v="0.83"/>
    <e v="#N/A"/>
    <s v="isracoro"/>
  </r>
  <r>
    <x v="243"/>
    <x v="33"/>
    <s v="Admin/HR/IT"/>
    <s v="AMCARE NonOcc In"/>
    <s v="AMZN"/>
    <n v="201165769"/>
    <s v="Puente,Karen"/>
    <s v="Piedra,Valentina"/>
    <n v="0"/>
    <n v="0"/>
    <n v="0"/>
    <n v="0"/>
    <n v="0.15"/>
    <e v="#N/A"/>
    <s v="puenkare"/>
  </r>
  <r>
    <x v="243"/>
    <x v="33"/>
    <s v="Admin/HR/IT"/>
    <s v="AMCARE NonOcc In"/>
    <s v="AMZN"/>
    <n v="201191390"/>
    <s v="GarcÃ­a,jesus"/>
    <s v="Madrid Molina,Ramon"/>
    <n v="0"/>
    <n v="0"/>
    <n v="0"/>
    <n v="0"/>
    <n v="1.1100000000000001"/>
    <e v="#N/A"/>
    <s v="bgajesus"/>
  </r>
  <r>
    <x v="243"/>
    <x v="33"/>
    <s v="Admin/HR/IT"/>
    <s v="AMCARE NonOcc In"/>
    <s v="AMZN"/>
    <n v="201219500"/>
    <s v="Mazy,RamsÃ©s"/>
    <s v="Ledezma,Fer"/>
    <n v="0"/>
    <n v="0"/>
    <n v="0"/>
    <n v="0"/>
    <n v="0.1"/>
    <e v="#N/A"/>
    <s v="ramsmazy"/>
  </r>
  <r>
    <x v="243"/>
    <x v="33"/>
    <s v="Admin/HR/IT"/>
    <s v="AMCARE NonOcc In"/>
    <s v="AMZN"/>
    <n v="201223730"/>
    <s v="Sanchiz,Cesarito"/>
    <s v="Corona Arriaga,Fernando"/>
    <n v="0"/>
    <n v="0"/>
    <n v="0"/>
    <n v="0"/>
    <n v="0.65"/>
    <e v="#N/A"/>
    <s v="cesarito"/>
  </r>
  <r>
    <x v="243"/>
    <x v="33"/>
    <s v="Admin/HR/IT"/>
    <s v="AMCARE NonOcc In"/>
    <s v="AMZN"/>
    <n v="201228411"/>
    <s v="Hernandez Soriano,Jazmin"/>
    <s v="Corona Arriaga,Fernando"/>
    <n v="0"/>
    <n v="0"/>
    <n v="0"/>
    <n v="0"/>
    <n v="0.54"/>
    <e v="#N/A"/>
    <s v="jazmiwhe"/>
  </r>
  <r>
    <x v="243"/>
    <x v="33"/>
    <s v="Admin/HR/IT"/>
    <s v="AMCARE NonOcc In"/>
    <s v="TEMP"/>
    <n v="201836048"/>
    <s v="MACIAS,IKER"/>
    <s v="Madrid Molina,Ramon"/>
    <n v="0"/>
    <n v="0"/>
    <n v="0"/>
    <n v="0"/>
    <n v="1.21"/>
    <e v="#N/A"/>
    <e v="#N/A"/>
  </r>
  <r>
    <x v="244"/>
    <x v="33"/>
    <s v="Admin/HR/IT"/>
    <s v="AMCARE NonOcc In"/>
    <s v="AMZN"/>
    <n v="112912983"/>
    <s v="RodrÃ­guez,RocÃ­o"/>
    <s v="Munoz,Jonan"/>
    <n v="0"/>
    <n v="0"/>
    <n v="0"/>
    <n v="0"/>
    <n v="0.25"/>
    <s v="NF-X1900"/>
    <s v="wrocirod"/>
  </r>
  <r>
    <x v="244"/>
    <x v="33"/>
    <s v="Admin/HR/IT"/>
    <s v="AMCARE NonOcc In"/>
    <s v="AMZN"/>
    <n v="112916533"/>
    <s v="Torres Lozano,Jorge"/>
    <s v="Gomez Aguado,Jorge"/>
    <n v="0"/>
    <n v="0"/>
    <n v="0"/>
    <n v="0"/>
    <n v="0.21"/>
    <s v="DB-X0700"/>
    <s v="ljorgeto"/>
  </r>
  <r>
    <x v="244"/>
    <x v="33"/>
    <s v="Admin/HR/IT"/>
    <s v="AMCARE NonOcc In"/>
    <s v="AMZN"/>
    <n v="112920654"/>
    <s v="Horta,Julieta"/>
    <s v="Hernandez,Nataly"/>
    <n v="0"/>
    <n v="0"/>
    <n v="0"/>
    <n v="0"/>
    <n v="0.27"/>
    <s v="DB-X0700"/>
    <s v="qhojulie"/>
  </r>
  <r>
    <x v="244"/>
    <x v="33"/>
    <s v="Admin/HR/IT"/>
    <s v="AMCARE NonOcc In"/>
    <s v="AMZN"/>
    <n v="112950784"/>
    <s v="Rojas,Samuel"/>
    <s v="Pizana,Diego"/>
    <n v="0"/>
    <n v="0"/>
    <n v="0"/>
    <n v="0"/>
    <n v="0.13"/>
    <s v="NF-X1900"/>
    <s v="sarojast"/>
  </r>
  <r>
    <x v="244"/>
    <x v="33"/>
    <s v="Admin/HR/IT"/>
    <s v="AMCARE NonOcc In"/>
    <s v="TEMP"/>
    <n v="113003619"/>
    <s v="Villegas,Jesus"/>
    <s v="Madrid Molina,Ramon"/>
    <n v="0"/>
    <n v="0"/>
    <n v="0"/>
    <n v="0"/>
    <n v="0.79"/>
    <e v="#N/A"/>
    <e v="#N/A"/>
  </r>
  <r>
    <x v="244"/>
    <x v="33"/>
    <s v="Admin/HR/IT"/>
    <s v="AMCARE NonOcc In"/>
    <s v="AMZN"/>
    <n v="113020476"/>
    <s v="Puente Aguilar,Polette"/>
    <s v="Madrid Molina,Ramon"/>
    <n v="0"/>
    <n v="0"/>
    <n v="0"/>
    <n v="0"/>
    <n v="0.77"/>
    <e v="#N/A"/>
    <s v="polettpu"/>
  </r>
  <r>
    <x v="244"/>
    <x v="33"/>
    <s v="Admin/HR/IT"/>
    <s v="AMCARE NonOcc In"/>
    <s v="AMZN"/>
    <n v="201191390"/>
    <s v="GarcÃ­a,jesus"/>
    <s v="Madrid Molina,Ramon"/>
    <n v="0"/>
    <n v="0"/>
    <n v="0"/>
    <n v="0"/>
    <n v="0.75"/>
    <e v="#N/A"/>
    <s v="bgajesus"/>
  </r>
  <r>
    <x v="244"/>
    <x v="33"/>
    <s v="Admin/HR/IT"/>
    <s v="AMCARE NonOcc In"/>
    <s v="AMZN"/>
    <n v="201219500"/>
    <s v="Mazy,RamsÃ©s"/>
    <s v="Ledezma,Fer"/>
    <n v="0"/>
    <n v="0"/>
    <n v="0"/>
    <n v="0"/>
    <n v="0.23"/>
    <e v="#N/A"/>
    <s v="ramsmazy"/>
  </r>
  <r>
    <x v="244"/>
    <x v="33"/>
    <s v="Admin/HR/IT"/>
    <s v="AMCARE NonOcc In"/>
    <s v="AMZN"/>
    <n v="201223730"/>
    <s v="Sanchiz,Cesarito"/>
    <s v="Corona Arriaga,Fernando"/>
    <n v="0"/>
    <n v="0"/>
    <n v="0"/>
    <n v="0"/>
    <n v="1.35"/>
    <e v="#N/A"/>
    <s v="cesarito"/>
  </r>
  <r>
    <x v="244"/>
    <x v="33"/>
    <s v="Admin/HR/IT"/>
    <s v="AMCARE NonOcc In"/>
    <s v="AMZN"/>
    <n v="201228411"/>
    <s v="Hernandez Soriano,Jazmin"/>
    <s v="Corona Arriaga,Fernando"/>
    <n v="0"/>
    <n v="0"/>
    <n v="0"/>
    <n v="0"/>
    <n v="1.34"/>
    <e v="#N/A"/>
    <s v="jazmiwhe"/>
  </r>
  <r>
    <x v="244"/>
    <x v="33"/>
    <s v="Admin/HR/IT"/>
    <s v="AMCARE NonOcc In"/>
    <s v="TEMP"/>
    <n v="201320536"/>
    <s v="Ibarra,Miguel"/>
    <s v="Corona Arriaga,Fernando"/>
    <n v="0"/>
    <n v="0"/>
    <n v="0"/>
    <n v="0"/>
    <n v="0.2"/>
    <e v="#N/A"/>
    <s v="ibalmigu"/>
  </r>
  <r>
    <x v="244"/>
    <x v="33"/>
    <s v="Admin/HR/IT"/>
    <s v="AMCARE NonOcc In"/>
    <s v="TEMP"/>
    <n v="201858867"/>
    <s v="Cruz Velazquez,Gabriela"/>
    <s v="Corona Arriaga,Fernando"/>
    <n v="0"/>
    <n v="0"/>
    <n v="0"/>
    <n v="0"/>
    <n v="0.4"/>
    <e v="#N/A"/>
    <s v="tcruzvel"/>
  </r>
  <r>
    <x v="244"/>
    <x v="33"/>
    <s v="Admin/HR/IT"/>
    <s v="AMCARE NonOcc In"/>
    <s v="TEMP"/>
    <n v="201901967"/>
    <s v="Dominguez,Diana"/>
    <s v="Munoz,Jonan"/>
    <n v="0"/>
    <n v="0"/>
    <n v="0"/>
    <n v="0"/>
    <n v="0.21"/>
    <e v="#N/A"/>
    <s v="ndomindi"/>
  </r>
  <r>
    <x v="244"/>
    <x v="33"/>
    <s v="Admin/HR/IT"/>
    <s v="AMCARE NonOcc In"/>
    <s v="TEMP"/>
    <n v="201903097"/>
    <s v="Oliva,Montserrat"/>
    <s v="Lopez,Alexa"/>
    <n v="0"/>
    <n v="0"/>
    <n v="0"/>
    <n v="0"/>
    <n v="1.25"/>
    <e v="#N/A"/>
    <s v="montoliy"/>
  </r>
  <r>
    <x v="244"/>
    <x v="33"/>
    <s v="Admin/HR/IT"/>
    <s v="AMCARE NonOcc In"/>
    <s v="TEMP"/>
    <n v="201906503"/>
    <s v="MartÃ­nez,Jennifer"/>
    <s v="Munoz,Jonan"/>
    <n v="0"/>
    <n v="0"/>
    <n v="0"/>
    <n v="0"/>
    <n v="0.19"/>
    <e v="#N/A"/>
    <s v="mqjennif"/>
  </r>
  <r>
    <x v="244"/>
    <x v="33"/>
    <s v="Admin/HR/IT"/>
    <s v="AMCARE NonOcc In"/>
    <s v="TEMP"/>
    <n v="201908189"/>
    <s v="Martinez,Francisco"/>
    <s v="Lopez,Alexa"/>
    <n v="0"/>
    <n v="0"/>
    <n v="0"/>
    <n v="0"/>
    <n v="0.68"/>
    <e v="#N/A"/>
    <s v="cmartif"/>
  </r>
  <r>
    <x v="245"/>
    <x v="33"/>
    <s v="Admin/HR/IT"/>
    <s v="AMCARE NonOcc In"/>
    <s v="AMZN"/>
    <n v="112971962"/>
    <s v="Reyes  Montes de oca,Alejandra"/>
    <s v="Ledezma,Fer"/>
    <n v="0"/>
    <n v="0"/>
    <n v="0"/>
    <n v="0"/>
    <n v="0.16"/>
    <s v="DB-X0700"/>
    <s v="creyesal"/>
  </r>
  <r>
    <x v="245"/>
    <x v="33"/>
    <s v="Admin/HR/IT"/>
    <s v="AMCARE NonOcc In"/>
    <s v="AMZN"/>
    <n v="113003656"/>
    <s v="Argote,Enrique"/>
    <s v="Gomez Aguado,Jorge"/>
    <n v="0"/>
    <n v="0"/>
    <n v="0"/>
    <n v="0"/>
    <n v="0.12"/>
    <e v="#N/A"/>
    <s v="uargoten"/>
  </r>
  <r>
    <x v="245"/>
    <x v="33"/>
    <s v="Admin/HR/IT"/>
    <s v="AMCARE NonOcc In"/>
    <s v="AMZN"/>
    <n v="113020497"/>
    <s v="Martinez Ruiz,Diana"/>
    <s v="Gomez Aguado,Jorge"/>
    <n v="0"/>
    <n v="0"/>
    <n v="0"/>
    <n v="0"/>
    <n v="0.39"/>
    <e v="#N/A"/>
    <s v="diamartd"/>
  </r>
  <r>
    <x v="245"/>
    <x v="33"/>
    <s v="Admin/HR/IT"/>
    <s v="AMCARE NonOcc In"/>
    <s v="AMZN"/>
    <n v="113101262"/>
    <s v="Tinoco,Cesar"/>
    <s v="Corona Arriaga,Fernando"/>
    <n v="0"/>
    <n v="0"/>
    <n v="0"/>
    <n v="0"/>
    <n v="0.28999999999999998"/>
    <e v="#N/A"/>
    <s v="cetinocr"/>
  </r>
  <r>
    <x v="245"/>
    <x v="33"/>
    <s v="Admin/HR/IT"/>
    <s v="AMCARE NonOcc In"/>
    <s v="AMZN"/>
    <n v="200526598"/>
    <s v="Tellez Nunez,Enrique"/>
    <s v="Madrid Molina,Ramon"/>
    <n v="0"/>
    <n v="0"/>
    <n v="0"/>
    <n v="0"/>
    <n v="0.32"/>
    <e v="#N/A"/>
    <e v="#N/A"/>
  </r>
  <r>
    <x v="245"/>
    <x v="33"/>
    <s v="Admin/HR/IT"/>
    <s v="AMCARE NonOcc In"/>
    <s v="AMZN"/>
    <n v="200614224"/>
    <s v="Cruz Hernandez,Cris"/>
    <s v="Ledezma,Fer"/>
    <n v="0"/>
    <n v="0"/>
    <n v="0"/>
    <n v="0"/>
    <n v="0.25"/>
    <e v="#N/A"/>
    <e v="#N/A"/>
  </r>
  <r>
    <x v="245"/>
    <x v="33"/>
    <s v="Admin/HR/IT"/>
    <s v="AMCARE NonOcc In"/>
    <s v="AMZN"/>
    <n v="201191390"/>
    <s v="GarcÃ­a,jesus"/>
    <s v="Madrid Molina,Ramon"/>
    <n v="0"/>
    <n v="0"/>
    <n v="0"/>
    <n v="0"/>
    <n v="0.93"/>
    <e v="#N/A"/>
    <s v="bgajesus"/>
  </r>
  <r>
    <x v="245"/>
    <x v="33"/>
    <s v="Admin/HR/IT"/>
    <s v="AMCARE NonOcc In"/>
    <s v="AMZN"/>
    <n v="201211157"/>
    <s v="Vargas,Jesse"/>
    <s v="Munoz,Jonan"/>
    <n v="0"/>
    <n v="0"/>
    <n v="0"/>
    <n v="0"/>
    <n v="0.37"/>
    <e v="#N/A"/>
    <s v="vargajed"/>
  </r>
  <r>
    <x v="245"/>
    <x v="33"/>
    <s v="Admin/HR/IT"/>
    <s v="AMCARE NonOcc In"/>
    <s v="AMZN"/>
    <n v="201294789"/>
    <s v="Horta,Luz"/>
    <s v="Corona Arriaga,Fernando"/>
    <n v="0"/>
    <n v="0"/>
    <n v="0"/>
    <n v="0"/>
    <n v="0.36"/>
    <e v="#N/A"/>
    <s v="hortluz"/>
  </r>
  <r>
    <x v="245"/>
    <x v="33"/>
    <s v="Admin/HR/IT"/>
    <s v="AMCARE NonOcc In"/>
    <s v="AMZN"/>
    <n v="201354965"/>
    <s v="JimÃ©nez,Aline"/>
    <s v="Lopez,Alexa"/>
    <n v="0"/>
    <n v="0"/>
    <n v="0"/>
    <n v="0"/>
    <n v="2.2799999999999998"/>
    <e v="#N/A"/>
    <s v="alinejim"/>
  </r>
  <r>
    <x v="245"/>
    <x v="33"/>
    <s v="Admin/HR/IT"/>
    <s v="AMCARE NonOcc In"/>
    <s v="AMZN"/>
    <n v="201363254"/>
    <s v="Frausto,Raziel"/>
    <s v="Munoz,Jonan"/>
    <n v="0"/>
    <n v="0"/>
    <n v="0"/>
    <n v="0"/>
    <n v="1.79"/>
    <e v="#N/A"/>
    <s v="fwraziel"/>
  </r>
  <r>
    <x v="245"/>
    <x v="33"/>
    <s v="Admin/HR/IT"/>
    <s v="AMCARE NonOcc In"/>
    <s v="TEMP"/>
    <n v="201408478"/>
    <s v="Calderon,David"/>
    <s v="Madrid Molina,Ramon"/>
    <n v="0"/>
    <n v="0"/>
    <n v="0"/>
    <n v="0"/>
    <n v="1.49"/>
    <e v="#N/A"/>
    <s v="dacaldey"/>
  </r>
  <r>
    <x v="245"/>
    <x v="33"/>
    <s v="Admin/HR/IT"/>
    <s v="AMCARE NonOcc In"/>
    <s v="TEMP"/>
    <n v="201842064"/>
    <s v="Agripino,Andrea"/>
    <s v="Corona Arriaga,Fernando"/>
    <n v="0"/>
    <n v="0"/>
    <n v="0"/>
    <n v="0"/>
    <n v="0.48"/>
    <e v="#N/A"/>
    <s v="agriandl"/>
  </r>
  <r>
    <x v="245"/>
    <x v="33"/>
    <s v="Admin/HR/IT"/>
    <s v="AMCARE NonOcc In"/>
    <s v="TEMP"/>
    <n v="201901967"/>
    <s v="Dominguez,Diana"/>
    <s v="Munoz,Jonan"/>
    <n v="0"/>
    <n v="0"/>
    <n v="0"/>
    <n v="0"/>
    <n v="1.0900000000000001"/>
    <e v="#N/A"/>
    <s v="ndomindi"/>
  </r>
  <r>
    <x v="245"/>
    <x v="33"/>
    <s v="Admin/HR/IT"/>
    <s v="AMCARE NonOcc In"/>
    <s v="TEMP"/>
    <n v="201908189"/>
    <s v="Martinez,Francisco"/>
    <s v="Lopez,Alexa"/>
    <n v="0"/>
    <n v="0"/>
    <n v="0"/>
    <n v="0"/>
    <n v="0.15"/>
    <e v="#N/A"/>
    <s v="cmartif"/>
  </r>
  <r>
    <x v="246"/>
    <x v="34"/>
    <s v="Admin/HR/IT"/>
    <s v="AMCARE NonOcc In"/>
    <s v="AMZN"/>
    <n v="112980899"/>
    <s v="Avila Cabrera,Ari"/>
    <s v="Camarena,Grecia"/>
    <n v="0"/>
    <n v="0"/>
    <n v="0"/>
    <n v="0"/>
    <n v="0.19"/>
    <s v="NF-X1900"/>
    <s v="aravilac"/>
  </r>
  <r>
    <x v="246"/>
    <x v="34"/>
    <s v="Admin/HR/IT"/>
    <s v="AMCARE NonOcc In"/>
    <s v="AMZN"/>
    <n v="113014036"/>
    <s v="Rodriguez Alcaraz,ToÃ±o"/>
    <s v="Robledo Ugarte,Alejandro"/>
    <n v="0"/>
    <n v="0"/>
    <n v="0"/>
    <n v="0"/>
    <n v="0.22"/>
    <e v="#N/A"/>
    <s v="ronjosea"/>
  </r>
  <r>
    <x v="246"/>
    <x v="34"/>
    <s v="Admin/HR/IT"/>
    <s v="AMCARE NonOcc In"/>
    <s v="AMZN"/>
    <n v="113014084"/>
    <s v="Diaz,Manuel"/>
    <s v="Gomez Aguado,Jorge"/>
    <n v="0"/>
    <n v="0"/>
    <n v="0"/>
    <n v="0"/>
    <n v="0.15"/>
    <e v="#N/A"/>
    <s v="dnmanuel"/>
  </r>
  <r>
    <x v="246"/>
    <x v="34"/>
    <s v="Admin/HR/IT"/>
    <s v="AMCARE NonOcc In"/>
    <s v="AMZN"/>
    <n v="201166890"/>
    <s v="Caballero,Daniel"/>
    <s v="Romero Sanchez,Gustavo Gabriel"/>
    <n v="0"/>
    <n v="0"/>
    <n v="0"/>
    <n v="0"/>
    <n v="0.56999999999999995"/>
    <e v="#N/A"/>
    <s v="lcabadan"/>
  </r>
  <r>
    <x v="246"/>
    <x v="34"/>
    <s v="Admin/HR/IT"/>
    <s v="AMCARE NonOcc In"/>
    <s v="AMZN"/>
    <n v="201167501"/>
    <s v="Rodriguez,Ruben"/>
    <s v="Robledo Ugarte,Alejandro"/>
    <n v="0"/>
    <n v="0"/>
    <n v="0"/>
    <n v="0"/>
    <n v="0.16"/>
    <e v="#N/A"/>
    <s v="wguanajr"/>
  </r>
  <r>
    <x v="246"/>
    <x v="34"/>
    <s v="Admin/HR/IT"/>
    <s v="AMCARE NonOcc In"/>
    <s v="AMZN"/>
    <n v="201186833"/>
    <s v="Jasso,Alexa"/>
    <s v="Piedra,Valentina"/>
    <n v="0"/>
    <n v="0"/>
    <n v="0"/>
    <n v="0"/>
    <n v="0.12"/>
    <e v="#N/A"/>
    <s v="jaalexav"/>
  </r>
  <r>
    <x v="246"/>
    <x v="34"/>
    <s v="Admin/HR/IT"/>
    <s v="AMCARE NonOcc In"/>
    <s v="AMZN"/>
    <n v="201350949"/>
    <s v="Reyes,Isabel"/>
    <s v="Robledo Ugarte,Alejandro"/>
    <n v="0"/>
    <n v="0"/>
    <n v="0"/>
    <n v="0"/>
    <n v="0.79"/>
    <e v="#N/A"/>
    <s v="hreyeisa"/>
  </r>
  <r>
    <x v="247"/>
    <x v="34"/>
    <s v="Admin/HR/IT"/>
    <s v="AMCARE NonOcc In"/>
    <s v="AMZN"/>
    <n v="112981061"/>
    <s v="Olguin,Claudia"/>
    <s v="Robledo Ugarte,Alejandro"/>
    <n v="0"/>
    <n v="0"/>
    <n v="0"/>
    <n v="0"/>
    <n v="0.21"/>
    <s v="DA-X0700"/>
    <s v="mclaudol"/>
  </r>
  <r>
    <x v="247"/>
    <x v="34"/>
    <s v="Admin/HR/IT"/>
    <s v="AMCARE NonOcc In"/>
    <s v="AMZN"/>
    <n v="113014403"/>
    <s v="Arias Sanchez,Nora"/>
    <s v="Romero Sanchez,Gustavo Gabriel"/>
    <n v="0"/>
    <n v="0"/>
    <n v="0"/>
    <n v="0"/>
    <n v="0.13"/>
    <e v="#N/A"/>
    <s v="wnoraria"/>
  </r>
  <r>
    <x v="247"/>
    <x v="34"/>
    <s v="Admin/HR/IT"/>
    <s v="AMCARE NonOcc In"/>
    <s v="AMZN"/>
    <n v="113101453"/>
    <s v="Isaac,Geovanna"/>
    <s v="Robledo Ugarte,Alejandro"/>
    <n v="0"/>
    <n v="0"/>
    <n v="0"/>
    <n v="0"/>
    <n v="0.22"/>
    <e v="#N/A"/>
    <s v="qisgeova"/>
  </r>
  <r>
    <x v="247"/>
    <x v="34"/>
    <s v="Admin/HR/IT"/>
    <s v="AMCARE NonOcc In"/>
    <s v="AMZN"/>
    <n v="200404250"/>
    <s v="Hurtado,Caty"/>
    <s v="Romero Sanchez,Gustavo Gabriel"/>
    <n v="0"/>
    <n v="0"/>
    <n v="0"/>
    <n v="0"/>
    <n v="0.55000000000000004"/>
    <e v="#N/A"/>
    <s v="xcathurt"/>
  </r>
  <r>
    <x v="247"/>
    <x v="34"/>
    <s v="Admin/HR/IT"/>
    <s v="AMCARE NonOcc In"/>
    <s v="AMZN"/>
    <n v="200625528"/>
    <s v="Oliva,Lizbeth"/>
    <s v="Piedra,Valentina"/>
    <n v="0"/>
    <n v="0"/>
    <n v="0"/>
    <n v="0"/>
    <n v="0.06"/>
    <e v="#N/A"/>
    <s v="olivlizb"/>
  </r>
  <r>
    <x v="247"/>
    <x v="34"/>
    <s v="Admin/HR/IT"/>
    <s v="AMCARE NonOcc In"/>
    <s v="AMZN"/>
    <n v="201162477"/>
    <s v="Nava,Victor"/>
    <s v="Piedra,Valentina"/>
    <n v="0"/>
    <n v="0"/>
    <n v="0"/>
    <n v="0"/>
    <n v="0.08"/>
    <e v="#N/A"/>
    <s v="victonay"/>
  </r>
  <r>
    <x v="247"/>
    <x v="34"/>
    <s v="Admin/HR/IT"/>
    <s v="AMCARE NonOcc In"/>
    <s v="AMZN"/>
    <n v="201402212"/>
    <s v="Padron,Karla"/>
    <s v="Lopez,Alexa"/>
    <n v="0"/>
    <n v="0"/>
    <n v="0"/>
    <n v="0"/>
    <n v="0.86"/>
    <e v="#N/A"/>
    <s v="karlpadr"/>
  </r>
  <r>
    <x v="248"/>
    <x v="34"/>
    <s v="Admin/HR/IT"/>
    <s v="AMCARE NonOcc In"/>
    <s v="AMZN"/>
    <n v="112980887"/>
    <s v="Rodriguez Mares,Rocio"/>
    <s v="Pizana,Diego"/>
    <n v="0"/>
    <n v="0"/>
    <n v="0"/>
    <n v="0"/>
    <n v="0.22"/>
    <e v="#N/A"/>
    <e v="#N/A"/>
  </r>
  <r>
    <x v="248"/>
    <x v="34"/>
    <s v="Admin/HR/IT"/>
    <s v="AMCARE NonOcc In"/>
    <s v="AMZN"/>
    <n v="112981212"/>
    <s v="Zanella Miranda,Alyson"/>
    <s v="Robledo Ugarte,Alejandro"/>
    <n v="0"/>
    <n v="0"/>
    <n v="0"/>
    <n v="0"/>
    <n v="0.12"/>
    <e v="#N/A"/>
    <s v="alysonza"/>
  </r>
  <r>
    <x v="248"/>
    <x v="34"/>
    <s v="Admin/HR/IT"/>
    <s v="AMCARE NonOcc In"/>
    <s v="AMZN"/>
    <n v="113014078"/>
    <s v="Nunez Lopez,Aldair"/>
    <s v="Romero Sanchez,Gustavo Gabriel"/>
    <n v="0"/>
    <n v="0"/>
    <n v="0"/>
    <n v="0"/>
    <n v="0.24"/>
    <e v="#N/A"/>
    <s v="dnaldair"/>
  </r>
  <r>
    <x v="248"/>
    <x v="34"/>
    <s v="Admin/HR/IT"/>
    <s v="AMCARE NonOcc In"/>
    <s v="AMZN"/>
    <n v="113101453"/>
    <s v="Isaac,Geovanna"/>
    <s v="Robledo Ugarte,Alejandro"/>
    <n v="0"/>
    <n v="0"/>
    <n v="0"/>
    <n v="0"/>
    <n v="0.11"/>
    <e v="#N/A"/>
    <s v="qisgeova"/>
  </r>
  <r>
    <x v="248"/>
    <x v="34"/>
    <s v="Admin/HR/IT"/>
    <s v="AMCARE NonOcc In"/>
    <s v="AMZN"/>
    <n v="201162477"/>
    <s v="Nava,Victor"/>
    <s v="Piedra,Valentina"/>
    <n v="0"/>
    <n v="0"/>
    <n v="0"/>
    <n v="0"/>
    <n v="0.11"/>
    <e v="#N/A"/>
    <s v="victonay"/>
  </r>
  <r>
    <x v="248"/>
    <x v="34"/>
    <s v="Admin/HR/IT"/>
    <s v="AMCARE NonOcc In"/>
    <s v="AMZN"/>
    <n v="201191198"/>
    <s v="Mojica,Emmanuel"/>
    <s v="Ledezma,Fer"/>
    <n v="0"/>
    <n v="0"/>
    <n v="0"/>
    <n v="0"/>
    <n v="0.1"/>
    <e v="#N/A"/>
    <s v="mojicemm"/>
  </r>
  <r>
    <x v="248"/>
    <x v="34"/>
    <s v="Admin/HR/IT"/>
    <s v="AMCARE NonOcc In"/>
    <s v="AMZN"/>
    <n v="201318220"/>
    <s v="Jasso,Raul"/>
    <s v="Bueno Mendoza,Susana"/>
    <n v="0"/>
    <n v="0"/>
    <n v="0"/>
    <n v="0"/>
    <n v="0.32"/>
    <e v="#N/A"/>
    <s v="raufjas"/>
  </r>
  <r>
    <x v="248"/>
    <x v="34"/>
    <s v="Admin/HR/IT"/>
    <s v="AMCARE NonOcc In"/>
    <s v="AMZN"/>
    <n v="201341534"/>
    <s v="Becerra,Esmeralda"/>
    <s v="Piedra,Valentina"/>
    <n v="0"/>
    <n v="0"/>
    <n v="0"/>
    <n v="0"/>
    <n v="0.16"/>
    <e v="#N/A"/>
    <s v="beceresm"/>
  </r>
  <r>
    <x v="248"/>
    <x v="34"/>
    <s v="Admin/HR/IT"/>
    <s v="AMCARE NonOcc In"/>
    <s v="AMZN"/>
    <n v="201345774"/>
    <s v="Quijas,Jonathan"/>
    <s v="Robledo Ugarte,Alejandro"/>
    <n v="0"/>
    <n v="0"/>
    <n v="0"/>
    <n v="0"/>
    <n v="0.67"/>
    <e v="#N/A"/>
    <s v="jonquija"/>
  </r>
  <r>
    <x v="248"/>
    <x v="34"/>
    <s v="Admin/HR/IT"/>
    <s v="AMCARE NonOcc In"/>
    <s v="AMZN"/>
    <n v="201378452"/>
    <s v="Perez,Omar"/>
    <s v="Romero Sanchez,Gustavo Gabriel"/>
    <n v="0"/>
    <n v="0"/>
    <n v="0"/>
    <n v="0"/>
    <n v="0.18"/>
    <e v="#N/A"/>
    <s v="omhperez"/>
  </r>
  <r>
    <x v="248"/>
    <x v="34"/>
    <s v="Admin/HR/IT"/>
    <s v="AMCARE NonOcc In"/>
    <s v="TEMP"/>
    <n v="201880542"/>
    <s v="ORTIZ,CORPUS"/>
    <s v="Romero Sanchez,Gustavo Gabriel"/>
    <n v="0"/>
    <n v="0"/>
    <n v="0"/>
    <n v="0"/>
    <n v="0.18"/>
    <e v="#N/A"/>
    <s v="orticorp"/>
  </r>
  <r>
    <x v="248"/>
    <x v="34"/>
    <s v="Admin/HR/IT"/>
    <s v="AMCARE NonOcc In"/>
    <s v="TEMP"/>
    <n v="201908189"/>
    <s v="Martinez,Francisco"/>
    <s v="Ledezma,Fer"/>
    <n v="0"/>
    <n v="0"/>
    <n v="0"/>
    <n v="0"/>
    <n v="0.3"/>
    <e v="#N/A"/>
    <s v="cmartif"/>
  </r>
  <r>
    <x v="249"/>
    <x v="34"/>
    <s v="Admin/HR/IT"/>
    <s v="AMCARE NonOcc In"/>
    <s v="AMZN"/>
    <n v="112912506"/>
    <s v="Garcia  Caudillo,Jessica"/>
    <s v="Camarena,Grecia"/>
    <n v="0"/>
    <n v="0"/>
    <n v="0"/>
    <n v="0"/>
    <n v="0.19"/>
    <s v="DA-X0700"/>
    <s v="gakjessi"/>
  </r>
  <r>
    <x v="249"/>
    <x v="34"/>
    <s v="Admin/HR/IT"/>
    <s v="AMCARE NonOcc In"/>
    <s v="TEMP"/>
    <n v="112971959"/>
    <s v="Gonzalez,Xiomara"/>
    <s v="Pizana,Diego"/>
    <n v="0"/>
    <n v="0"/>
    <n v="0"/>
    <n v="0"/>
    <n v="0.25"/>
    <e v="#N/A"/>
    <e v="#N/A"/>
  </r>
  <r>
    <x v="249"/>
    <x v="34"/>
    <s v="Admin/HR/IT"/>
    <s v="AMCARE NonOcc In"/>
    <s v="AMZN"/>
    <n v="112972958"/>
    <s v="Gonzalez Gonzalez,Antonio"/>
    <s v="Cortes,Alejandra"/>
    <n v="0"/>
    <n v="0"/>
    <n v="0"/>
    <n v="0"/>
    <n v="0.85"/>
    <s v="D5-X0700"/>
    <s v="ugonzgui"/>
  </r>
  <r>
    <x v="249"/>
    <x v="34"/>
    <s v="Admin/HR/IT"/>
    <s v="AMCARE NonOcc In"/>
    <s v="AMZN"/>
    <n v="112981061"/>
    <s v="Olguin,Claudia"/>
    <s v="Robledo Ugarte,Alejandro"/>
    <n v="0"/>
    <n v="0"/>
    <n v="0"/>
    <n v="0"/>
    <n v="0.13"/>
    <s v="DA-X0700"/>
    <s v="mclaudol"/>
  </r>
  <r>
    <x v="249"/>
    <x v="34"/>
    <s v="Admin/HR/IT"/>
    <s v="AMCARE NonOcc In"/>
    <s v="TEMP"/>
    <n v="113014081"/>
    <s v="Frausto,Genesis"/>
    <s v="Gomez Aguado,Jorge"/>
    <n v="0"/>
    <n v="0"/>
    <n v="0"/>
    <n v="0"/>
    <n v="0.25"/>
    <e v="#N/A"/>
    <s v="fraugene"/>
  </r>
  <r>
    <x v="249"/>
    <x v="34"/>
    <s v="Admin/HR/IT"/>
    <s v="AMCARE NonOcc In"/>
    <s v="AMZN"/>
    <n v="113014094"/>
    <s v="Mercado,Erika"/>
    <s v="Robledo Ugarte,Alejandro"/>
    <n v="0"/>
    <n v="0"/>
    <n v="0"/>
    <n v="0"/>
    <n v="0.12"/>
    <e v="#N/A"/>
    <s v="erikaadm"/>
  </r>
  <r>
    <x v="249"/>
    <x v="34"/>
    <s v="Admin/HR/IT"/>
    <s v="AMCARE NonOcc In"/>
    <s v="AMZN"/>
    <n v="113019001"/>
    <s v="Lozano Hernandez,Donny"/>
    <s v="Bueno Mendoza,Susana"/>
    <n v="0"/>
    <n v="0"/>
    <n v="0"/>
    <n v="0"/>
    <n v="0.16"/>
    <e v="#N/A"/>
    <s v="dolozane"/>
  </r>
  <r>
    <x v="249"/>
    <x v="34"/>
    <s v="Admin/HR/IT"/>
    <s v="AMCARE NonOcc In"/>
    <s v="AMZN"/>
    <n v="113044620"/>
    <s v="Jasso Miranda,Aldo"/>
    <s v="Robledo Ugarte,Alejandro"/>
    <n v="0"/>
    <n v="0"/>
    <n v="0"/>
    <n v="0"/>
    <n v="0.35"/>
    <e v="#N/A"/>
    <s v="aldojasw"/>
  </r>
  <r>
    <x v="249"/>
    <x v="34"/>
    <s v="Admin/HR/IT"/>
    <s v="AMCARE NonOcc In"/>
    <s v="AMZN"/>
    <n v="113101453"/>
    <s v="Isaac,Geovanna"/>
    <s v="Robledo Ugarte,Alejandro"/>
    <n v="0"/>
    <n v="0"/>
    <n v="0"/>
    <n v="0"/>
    <n v="0.28999999999999998"/>
    <e v="#N/A"/>
    <s v="qisgeova"/>
  </r>
  <r>
    <x v="249"/>
    <x v="34"/>
    <s v="Admin/HR/IT"/>
    <s v="AMCARE NonOcc In"/>
    <s v="AMZN"/>
    <n v="200404250"/>
    <s v="Hurtado,Caty"/>
    <s v="Romero Sanchez,Gustavo Gabriel"/>
    <n v="0"/>
    <n v="0"/>
    <n v="0"/>
    <n v="0"/>
    <n v="0.35"/>
    <e v="#N/A"/>
    <s v="xcathurt"/>
  </r>
  <r>
    <x v="249"/>
    <x v="34"/>
    <s v="Admin/HR/IT"/>
    <s v="AMCARE NonOcc In"/>
    <s v="AMZN"/>
    <n v="200574655"/>
    <s v="Mireles,Dulce"/>
    <s v="Corona Arriaga,Fernando"/>
    <n v="0"/>
    <n v="0"/>
    <n v="0"/>
    <n v="0"/>
    <n v="0.17"/>
    <e v="#N/A"/>
    <s v="dulceami"/>
  </r>
  <r>
    <x v="249"/>
    <x v="34"/>
    <s v="Admin/HR/IT"/>
    <s v="AMCARE NonOcc In"/>
    <s v="AMZN"/>
    <n v="200615883"/>
    <s v="Ibarra Amaro,Adriana"/>
    <s v="Munoz,Jonan"/>
    <n v="0"/>
    <n v="0"/>
    <n v="0"/>
    <n v="0"/>
    <n v="0.1"/>
    <e v="#N/A"/>
    <e v="#N/A"/>
  </r>
  <r>
    <x v="249"/>
    <x v="34"/>
    <s v="Admin/HR/IT"/>
    <s v="AMCARE NonOcc In"/>
    <s v="AMZN"/>
    <n v="201191390"/>
    <s v="GarcÃ­a,jesus"/>
    <s v="Madrid Molina,Ramon"/>
    <n v="0"/>
    <n v="0"/>
    <n v="0"/>
    <n v="0"/>
    <n v="0.45"/>
    <e v="#N/A"/>
    <s v="bgajesus"/>
  </r>
  <r>
    <x v="249"/>
    <x v="34"/>
    <s v="Admin/HR/IT"/>
    <s v="AMCARE NonOcc In"/>
    <s v="AMZN"/>
    <n v="201198922"/>
    <s v="Mendez,Joy"/>
    <s v="Munoz,Jonan"/>
    <n v="0"/>
    <n v="0"/>
    <n v="0"/>
    <n v="0"/>
    <n v="0.38"/>
    <e v="#N/A"/>
    <s v="mendejoy"/>
  </r>
  <r>
    <x v="249"/>
    <x v="34"/>
    <s v="Admin/HR/IT"/>
    <s v="AMCARE NonOcc In"/>
    <s v="AMZN"/>
    <n v="201223730"/>
    <s v="Sanchiz,Cesarito"/>
    <s v="Corona Arriaga,Fernando"/>
    <n v="0"/>
    <n v="0"/>
    <n v="0"/>
    <n v="0"/>
    <n v="0.33"/>
    <e v="#N/A"/>
    <s v="cesarito"/>
  </r>
  <r>
    <x v="249"/>
    <x v="34"/>
    <s v="Admin/HR/IT"/>
    <s v="AMCARE NonOcc In"/>
    <s v="AMZN"/>
    <n v="201228411"/>
    <s v="Hernandez Soriano,Jazmin"/>
    <s v="Corona Arriaga,Fernando"/>
    <n v="0"/>
    <n v="0"/>
    <n v="0"/>
    <n v="0"/>
    <n v="0.84"/>
    <e v="#N/A"/>
    <s v="jazmiwhe"/>
  </r>
  <r>
    <x v="249"/>
    <x v="34"/>
    <s v="Admin/HR/IT"/>
    <s v="AMCARE NonOcc In"/>
    <s v="AMZN"/>
    <n v="201378452"/>
    <s v="Perez,Omar"/>
    <s v="Romero Sanchez,Gustavo Gabriel"/>
    <n v="0"/>
    <n v="0"/>
    <n v="0"/>
    <n v="0"/>
    <n v="0.11"/>
    <e v="#N/A"/>
    <s v="omhperez"/>
  </r>
  <r>
    <x v="249"/>
    <x v="34"/>
    <s v="Admin/HR/IT"/>
    <s v="AMCARE NonOcc In"/>
    <s v="AMZN"/>
    <n v="201402212"/>
    <s v="Padron,Karla"/>
    <s v="Rosas Negrete,Sebastian"/>
    <n v="0"/>
    <n v="0"/>
    <n v="0"/>
    <n v="0"/>
    <n v="0.28000000000000003"/>
    <e v="#N/A"/>
    <s v="karlpadr"/>
  </r>
  <r>
    <x v="249"/>
    <x v="34"/>
    <s v="Admin/HR/IT"/>
    <s v="AMCARE NonOcc In"/>
    <s v="TEMP"/>
    <n v="201836048"/>
    <s v="MACIAS,IKER"/>
    <s v="Lopez,Alexa"/>
    <n v="0"/>
    <n v="0"/>
    <n v="0"/>
    <n v="0"/>
    <n v="0.32"/>
    <e v="#N/A"/>
    <e v="#N/A"/>
  </r>
  <r>
    <x v="249"/>
    <x v="34"/>
    <s v="Admin/HR/IT"/>
    <s v="AMCARE NonOcc In"/>
    <s v="TEMP"/>
    <n v="201880542"/>
    <s v="ORTIZ,CORPUS"/>
    <s v="Romero Sanchez,Gustavo Gabriel"/>
    <n v="0"/>
    <n v="0"/>
    <n v="0"/>
    <n v="0"/>
    <n v="0.21"/>
    <e v="#N/A"/>
    <s v="orticorp"/>
  </r>
  <r>
    <x v="249"/>
    <x v="34"/>
    <s v="Admin/HR/IT"/>
    <s v="AMCARE NonOcc In"/>
    <s v="TEMP"/>
    <n v="201891076"/>
    <s v="Olvera,Marilu"/>
    <s v="Romero Sanchez,Gustavo Gabriel"/>
    <n v="0"/>
    <n v="0"/>
    <n v="0"/>
    <n v="0"/>
    <n v="0.61"/>
    <e v="#N/A"/>
    <s v="marmolve"/>
  </r>
  <r>
    <x v="250"/>
    <x v="34"/>
    <s v="Admin/HR/IT"/>
    <s v="AMCARE NonOcc In"/>
    <s v="AMZN"/>
    <n v="112920638"/>
    <s v="Aguirre,Noe"/>
    <s v="Gomez Aguado,Jorge"/>
    <n v="0"/>
    <n v="0"/>
    <n v="0"/>
    <n v="0"/>
    <n v="1.29"/>
    <s v="DB-X0700"/>
    <s v="aguirrnj"/>
  </r>
  <r>
    <x v="250"/>
    <x v="34"/>
    <s v="Admin/HR/IT"/>
    <s v="AMCARE NonOcc In"/>
    <s v="AMZN"/>
    <n v="112973049"/>
    <s v="Tavares Parra,Ely"/>
    <s v="Piedra,Valentina"/>
    <n v="0"/>
    <n v="0"/>
    <n v="0"/>
    <n v="0"/>
    <n v="1.2"/>
    <s v="DB-X0700"/>
    <s v="afatimae"/>
  </r>
  <r>
    <x v="250"/>
    <x v="34"/>
    <s v="Admin/HR/IT"/>
    <s v="AMCARE NonOcc In"/>
    <s v="AMZN"/>
    <n v="113003656"/>
    <s v="Argote,Enrique"/>
    <s v="Munoz,Jonan"/>
    <n v="0"/>
    <n v="0"/>
    <n v="0"/>
    <n v="0"/>
    <n v="0.08"/>
    <e v="#N/A"/>
    <s v="uargoten"/>
  </r>
  <r>
    <x v="250"/>
    <x v="34"/>
    <s v="Admin/HR/IT"/>
    <s v="AMCARE NonOcc In"/>
    <s v="AMZN"/>
    <n v="113020476"/>
    <s v="Puente Aguilar,Polette"/>
    <s v="Madrid Molina,Ramon"/>
    <n v="0"/>
    <n v="0"/>
    <n v="0"/>
    <n v="0"/>
    <n v="0.44"/>
    <e v="#N/A"/>
    <s v="polettpu"/>
  </r>
  <r>
    <x v="250"/>
    <x v="34"/>
    <s v="Admin/HR/IT"/>
    <s v="AMCARE NonOcc In"/>
    <s v="AMZN"/>
    <n v="113044763"/>
    <s v="Urbina Avila,Stephany"/>
    <s v="Munoz,Jonan"/>
    <n v="0"/>
    <n v="0"/>
    <n v="0"/>
    <n v="0"/>
    <n v="0.16"/>
    <e v="#N/A"/>
    <s v="urbistep"/>
  </r>
  <r>
    <x v="250"/>
    <x v="34"/>
    <s v="Admin/HR/IT"/>
    <s v="AMCARE NonOcc In"/>
    <s v="AMZN"/>
    <n v="201162477"/>
    <s v="Nava,Victor"/>
    <s v="Piedra,Valentina"/>
    <n v="0"/>
    <n v="0"/>
    <n v="0"/>
    <n v="0"/>
    <n v="0.09"/>
    <e v="#N/A"/>
    <s v="victonay"/>
  </r>
  <r>
    <x v="250"/>
    <x v="34"/>
    <s v="Admin/HR/IT"/>
    <s v="AMCARE NonOcc In"/>
    <s v="AMZN"/>
    <n v="201191198"/>
    <s v="Mojica,Emmanuel"/>
    <s v="Ledezma,Fer"/>
    <n v="0"/>
    <n v="0"/>
    <n v="0"/>
    <n v="0"/>
    <n v="0.1"/>
    <e v="#N/A"/>
    <s v="mojicemm"/>
  </r>
  <r>
    <x v="250"/>
    <x v="34"/>
    <s v="Admin/HR/IT"/>
    <s v="AMCARE NonOcc In"/>
    <s v="AMZN"/>
    <n v="201223730"/>
    <s v="Sanchiz,Cesarito"/>
    <s v="Corona Arriaga,Fernando"/>
    <n v="0"/>
    <n v="0"/>
    <n v="0"/>
    <n v="0"/>
    <n v="1.3"/>
    <e v="#N/A"/>
    <s v="cesarito"/>
  </r>
  <r>
    <x v="250"/>
    <x v="34"/>
    <s v="Admin/HR/IT"/>
    <s v="AMCARE NonOcc In"/>
    <s v="AMZN"/>
    <n v="201228411"/>
    <s v="Hernandez Soriano,Jazmin"/>
    <s v="Corona Arriaga,Fernando"/>
    <n v="0"/>
    <n v="0"/>
    <n v="0"/>
    <n v="0"/>
    <n v="1.28"/>
    <e v="#N/A"/>
    <s v="jazmiwhe"/>
  </r>
  <r>
    <x v="250"/>
    <x v="34"/>
    <s v="Admin/HR/IT"/>
    <s v="AMCARE NonOcc In"/>
    <s v="AMZN"/>
    <n v="201294789"/>
    <s v="Horta,Luz"/>
    <s v="Corona Arriaga,Fernando"/>
    <n v="0"/>
    <n v="0"/>
    <n v="0"/>
    <n v="0"/>
    <n v="0.21"/>
    <e v="#N/A"/>
    <s v="hortluz"/>
  </r>
  <r>
    <x v="250"/>
    <x v="34"/>
    <s v="Admin/HR/IT"/>
    <s v="AMCARE NonOcc In"/>
    <s v="TEMP"/>
    <n v="201408478"/>
    <s v="Calderon,David"/>
    <s v="Madrid Molina,Ramon"/>
    <n v="0"/>
    <n v="0"/>
    <n v="0"/>
    <n v="0"/>
    <n v="0.36"/>
    <e v="#N/A"/>
    <s v="dacaldey"/>
  </r>
  <r>
    <x v="250"/>
    <x v="34"/>
    <s v="Admin/HR/IT"/>
    <s v="AMCARE NonOcc In"/>
    <s v="TEMP"/>
    <n v="201836048"/>
    <s v="MACIAS,IKER"/>
    <s v="Lopez,Alexa"/>
    <n v="0"/>
    <n v="0"/>
    <n v="0"/>
    <n v="0"/>
    <n v="1.1499999999999999"/>
    <e v="#N/A"/>
    <e v="#N/A"/>
  </r>
  <r>
    <x v="250"/>
    <x v="34"/>
    <s v="Admin/HR/IT"/>
    <s v="AMCARE NonOcc In"/>
    <s v="TEMP"/>
    <n v="201841804"/>
    <s v="Ruiz,Michelle"/>
    <s v="Ledezma,Fer"/>
    <n v="0"/>
    <n v="0"/>
    <n v="0"/>
    <n v="0"/>
    <n v="0.22"/>
    <e v="#N/A"/>
    <s v="ruizhmic"/>
  </r>
  <r>
    <x v="250"/>
    <x v="34"/>
    <s v="Admin/HR/IT"/>
    <s v="AMCARE NonOcc In"/>
    <s v="TEMP"/>
    <n v="201847940"/>
    <s v="Vallecillo,Jessy"/>
    <s v="Ledezma,Fer"/>
    <n v="0"/>
    <n v="0"/>
    <n v="0"/>
    <n v="0"/>
    <n v="0.9"/>
    <e v="#N/A"/>
    <e v="#N/A"/>
  </r>
  <r>
    <x v="250"/>
    <x v="34"/>
    <s v="Admin/HR/IT"/>
    <s v="AMCARE NonOcc In"/>
    <s v="TEMP"/>
    <n v="201902769"/>
    <s v="Acevedo,Juan"/>
    <s v="Madrid Molina,Ramon"/>
    <n v="0"/>
    <n v="0"/>
    <n v="0"/>
    <n v="0"/>
    <n v="0.28000000000000003"/>
    <e v="#N/A"/>
    <e v="#N/A"/>
  </r>
  <r>
    <x v="250"/>
    <x v="34"/>
    <s v="Admin/HR/IT"/>
    <s v="AMCARE NonOcc In"/>
    <s v="TEMP"/>
    <n v="201906503"/>
    <s v="MartÃ­nez,Jennifer"/>
    <s v="Gomez Aguado,Jorge"/>
    <n v="0"/>
    <n v="0"/>
    <n v="0"/>
    <n v="0"/>
    <n v="0.26"/>
    <e v="#N/A"/>
    <s v="mqjennif"/>
  </r>
  <r>
    <x v="250"/>
    <x v="34"/>
    <s v="Admin/HR/IT"/>
    <s v="AMCARE NonOcc In"/>
    <s v="TEMP"/>
    <n v="201908189"/>
    <s v="Martinez,Francisco"/>
    <s v="Ledezma,Fer"/>
    <n v="0"/>
    <n v="0"/>
    <n v="0"/>
    <n v="0"/>
    <n v="0.17"/>
    <e v="#N/A"/>
    <s v="cmartif"/>
  </r>
  <r>
    <x v="251"/>
    <x v="34"/>
    <s v="Admin/HR/IT"/>
    <s v="AMCARE NonOcc In"/>
    <s v="AMZN"/>
    <n v="112920654"/>
    <s v="Horta,Julieta"/>
    <s v="Hernandez,Nataly"/>
    <n v="0"/>
    <n v="0"/>
    <n v="0"/>
    <n v="0"/>
    <n v="0.15"/>
    <s v="DB-X0700"/>
    <s v="qhojulie"/>
  </r>
  <r>
    <x v="251"/>
    <x v="34"/>
    <s v="Admin/HR/IT"/>
    <s v="AMCARE NonOcc In"/>
    <s v="AMZN"/>
    <n v="112950784"/>
    <s v="Rojas,Samuel"/>
    <s v="Pizana,Diego"/>
    <n v="0"/>
    <n v="0"/>
    <n v="0"/>
    <n v="0"/>
    <n v="0.14000000000000001"/>
    <s v="NF-X1900"/>
    <s v="sarojast"/>
  </r>
  <r>
    <x v="251"/>
    <x v="34"/>
    <s v="Admin/HR/IT"/>
    <s v="AMCARE NonOcc In"/>
    <s v="AMZN"/>
    <n v="112972215"/>
    <s v="Cruz,Ana"/>
    <s v="Lopez,Alexa"/>
    <n v="0"/>
    <n v="0"/>
    <n v="0"/>
    <n v="0"/>
    <n v="0.48"/>
    <s v="DB-X0700"/>
    <s v="cruzbana"/>
  </r>
  <r>
    <x v="251"/>
    <x v="34"/>
    <s v="Admin/HR/IT"/>
    <s v="AMCARE NonOcc In"/>
    <s v="AMZN"/>
    <n v="112973049"/>
    <s v="Tavares Parra,Ely"/>
    <s v="Piedra,Valentina"/>
    <n v="0"/>
    <n v="0"/>
    <n v="0"/>
    <n v="0"/>
    <n v="1"/>
    <s v="DB-X0700"/>
    <s v="afatimae"/>
  </r>
  <r>
    <x v="251"/>
    <x v="34"/>
    <s v="Admin/HR/IT"/>
    <s v="AMCARE NonOcc In"/>
    <s v="TEMP"/>
    <n v="113003619"/>
    <s v="Villegas,Jesus"/>
    <s v="Madrid Molina,Ramon"/>
    <n v="0"/>
    <n v="0"/>
    <n v="0"/>
    <n v="0"/>
    <n v="0.19"/>
    <e v="#N/A"/>
    <e v="#N/A"/>
  </r>
  <r>
    <x v="251"/>
    <x v="34"/>
    <s v="Admin/HR/IT"/>
    <s v="AMCARE NonOcc In"/>
    <s v="AMZN"/>
    <n v="113019031"/>
    <s v="Vera Hernandez,Mauricio"/>
    <s v="Robledo Ugarte,Alejandro"/>
    <n v="0"/>
    <n v="0"/>
    <n v="0"/>
    <n v="0"/>
    <n v="0.1"/>
    <e v="#N/A"/>
    <s v="vermauri"/>
  </r>
  <r>
    <x v="251"/>
    <x v="34"/>
    <s v="Admin/HR/IT"/>
    <s v="AMCARE NonOcc In"/>
    <s v="AMZN"/>
    <n v="113020497"/>
    <s v="Martinez Ruiz,Diana"/>
    <s v="Munoz,Jonan"/>
    <n v="0"/>
    <n v="0"/>
    <n v="0"/>
    <n v="0"/>
    <n v="0.09"/>
    <e v="#N/A"/>
    <s v="diamartd"/>
  </r>
  <r>
    <x v="251"/>
    <x v="34"/>
    <s v="Admin/HR/IT"/>
    <s v="AMCARE NonOcc In"/>
    <s v="AMZN"/>
    <n v="200509662"/>
    <s v="Chico,Carlos"/>
    <s v="Ledezma,Fer"/>
    <n v="0"/>
    <n v="0"/>
    <n v="0"/>
    <n v="0"/>
    <n v="0.28000000000000003"/>
    <e v="#N/A"/>
    <s v="carchico"/>
  </r>
  <r>
    <x v="251"/>
    <x v="34"/>
    <s v="Admin/HR/IT"/>
    <s v="AMCARE NonOcc In"/>
    <s v="AMZN"/>
    <n v="201186777"/>
    <s v="Monzon,Berenice"/>
    <s v="Romero Sanchez,Gustavo Gabriel"/>
    <n v="0"/>
    <n v="0"/>
    <n v="0"/>
    <n v="0"/>
    <n v="0.56000000000000005"/>
    <e v="#N/A"/>
    <s v="bemonzon"/>
  </r>
  <r>
    <x v="251"/>
    <x v="34"/>
    <s v="Admin/HR/IT"/>
    <s v="AMCARE NonOcc In"/>
    <s v="AMZN"/>
    <n v="201191390"/>
    <s v="GarcÃ­a,jesus"/>
    <s v="Madrid Molina,Ramon"/>
    <n v="0"/>
    <n v="0"/>
    <n v="0"/>
    <n v="0"/>
    <n v="0.52"/>
    <e v="#N/A"/>
    <s v="bgajesus"/>
  </r>
  <r>
    <x v="251"/>
    <x v="34"/>
    <s v="Admin/HR/IT"/>
    <s v="AMCARE NonOcc In"/>
    <s v="AMZN"/>
    <n v="201223730"/>
    <s v="Sanchiz,Cesarito"/>
    <s v="Corona Arriaga,Fernando"/>
    <n v="0"/>
    <n v="0"/>
    <n v="0"/>
    <n v="0"/>
    <n v="1.26"/>
    <e v="#N/A"/>
    <s v="cesarito"/>
  </r>
  <r>
    <x v="251"/>
    <x v="34"/>
    <s v="Admin/HR/IT"/>
    <s v="AMCARE NonOcc In"/>
    <s v="AMZN"/>
    <n v="201228411"/>
    <s v="Hernandez Soriano,Jazmin"/>
    <s v="Corona Arriaga,Fernando"/>
    <n v="0"/>
    <n v="0"/>
    <n v="0"/>
    <n v="0"/>
    <n v="1.28"/>
    <e v="#N/A"/>
    <s v="jazmiwhe"/>
  </r>
  <r>
    <x v="251"/>
    <x v="34"/>
    <s v="Admin/HR/IT"/>
    <s v="AMCARE NonOcc In"/>
    <s v="TEMP"/>
    <n v="201320536"/>
    <s v="Ibarra,Miguel"/>
    <s v="Ledezma,Fer"/>
    <n v="0"/>
    <n v="0"/>
    <n v="0"/>
    <n v="0"/>
    <n v="0.22"/>
    <e v="#N/A"/>
    <s v="ibalmigu"/>
  </r>
  <r>
    <x v="251"/>
    <x v="34"/>
    <s v="Admin/HR/IT"/>
    <s v="AMCARE NonOcc In"/>
    <s v="AMZN"/>
    <n v="201345737"/>
    <s v="Rosales,Paco"/>
    <s v="Lopez,Alexa"/>
    <n v="0"/>
    <n v="0"/>
    <n v="0"/>
    <n v="0"/>
    <n v="0.09"/>
    <e v="#N/A"/>
    <s v="upacoros"/>
  </r>
  <r>
    <x v="251"/>
    <x v="34"/>
    <s v="Admin/HR/IT"/>
    <s v="AMCARE NonOcc In"/>
    <s v="TEMP"/>
    <n v="201615299"/>
    <s v="NÃºÃ±ez,Fabian"/>
    <s v="Corona Arriaga,Fernando"/>
    <n v="0"/>
    <n v="0"/>
    <n v="0"/>
    <n v="0"/>
    <n v="0.25"/>
    <e v="#N/A"/>
    <e v="#N/A"/>
  </r>
  <r>
    <x v="251"/>
    <x v="34"/>
    <s v="Admin/HR/IT"/>
    <s v="AMCARE NonOcc In"/>
    <s v="TEMP"/>
    <n v="201847940"/>
    <s v="Vallecillo,Jessy"/>
    <s v="Ledezma,Fer"/>
    <n v="0"/>
    <n v="0"/>
    <n v="0"/>
    <n v="0"/>
    <n v="1.4"/>
    <e v="#N/A"/>
    <e v="#N/A"/>
  </r>
  <r>
    <x v="251"/>
    <x v="34"/>
    <s v="Admin/HR/IT"/>
    <s v="AMCARE NonOcc In"/>
    <s v="TEMP"/>
    <n v="201901910"/>
    <s v="Flores,Edwin"/>
    <s v="Ledezma,Fer"/>
    <n v="0"/>
    <n v="0"/>
    <n v="0"/>
    <n v="0"/>
    <n v="0.16"/>
    <e v="#N/A"/>
    <s v="sfloredw"/>
  </r>
  <r>
    <x v="252"/>
    <x v="34"/>
    <s v="Admin/HR/IT"/>
    <s v="AMCARE NonOcc In"/>
    <s v="AMZN"/>
    <n v="112973049"/>
    <s v="Tavares Parra,Ely"/>
    <s v="Piedra,Valentina"/>
    <n v="0"/>
    <n v="0"/>
    <n v="0"/>
    <n v="0"/>
    <n v="0.94"/>
    <s v="DB-X0700"/>
    <s v="afatimae"/>
  </r>
  <r>
    <x v="252"/>
    <x v="34"/>
    <s v="Admin/HR/IT"/>
    <s v="AMCARE NonOcc In"/>
    <s v="AMZN"/>
    <n v="113003656"/>
    <s v="Argote,Enrique"/>
    <s v="Munoz,Jonan"/>
    <n v="0"/>
    <n v="0"/>
    <n v="0"/>
    <n v="0"/>
    <n v="0.15"/>
    <e v="#N/A"/>
    <s v="uargoten"/>
  </r>
  <r>
    <x v="252"/>
    <x v="34"/>
    <s v="Admin/HR/IT"/>
    <s v="AMCARE NonOcc In"/>
    <s v="AMZN"/>
    <n v="113003971"/>
    <s v="Garcia  Ramirez,Gabriel"/>
    <s v="Corona Arriaga,Fernando"/>
    <n v="0"/>
    <n v="0"/>
    <n v="0"/>
    <n v="0"/>
    <n v="0.48"/>
    <e v="#N/A"/>
    <s v="garamird"/>
  </r>
  <r>
    <x v="252"/>
    <x v="34"/>
    <s v="Admin/HR/IT"/>
    <s v="AMCARE NonOcc In"/>
    <s v="AMZN"/>
    <n v="113004099"/>
    <s v="Partida,Luis"/>
    <s v="Lopez,Alexa"/>
    <n v="0"/>
    <n v="0"/>
    <n v="0"/>
    <n v="0"/>
    <n v="0.19"/>
    <e v="#N/A"/>
    <s v="partilum"/>
  </r>
  <r>
    <x v="252"/>
    <x v="34"/>
    <s v="Admin/HR/IT"/>
    <s v="AMCARE NonOcc In"/>
    <s v="AMZN"/>
    <n v="113019099"/>
    <s v="Rios,Eric"/>
    <s v="Piedra,Valentina"/>
    <n v="0"/>
    <n v="0"/>
    <n v="0"/>
    <n v="0"/>
    <n v="0.61"/>
    <e v="#N/A"/>
    <s v="sericrio"/>
  </r>
  <r>
    <x v="252"/>
    <x v="34"/>
    <s v="Admin/HR/IT"/>
    <s v="AMCARE NonOcc In"/>
    <s v="AMZN"/>
    <n v="113020497"/>
    <s v="Martinez Ruiz,Diana"/>
    <s v="Munoz,Jonan"/>
    <n v="0"/>
    <n v="0"/>
    <n v="0"/>
    <n v="0"/>
    <n v="0.11"/>
    <e v="#N/A"/>
    <s v="diamartd"/>
  </r>
  <r>
    <x v="252"/>
    <x v="34"/>
    <s v="Admin/HR/IT"/>
    <s v="AMCARE NonOcc In"/>
    <s v="TEMP"/>
    <n v="113044739"/>
    <s v="Reynoso Martinez,Diego"/>
    <s v="Ledezma,Fer"/>
    <n v="0"/>
    <n v="0"/>
    <n v="0"/>
    <n v="0"/>
    <n v="0.16"/>
    <e v="#N/A"/>
    <s v="ldireyno"/>
  </r>
  <r>
    <x v="252"/>
    <x v="34"/>
    <s v="Admin/HR/IT"/>
    <s v="AMCARE NonOcc In"/>
    <s v="AMZN"/>
    <n v="113103540"/>
    <s v="Delgado,David"/>
    <s v="Munoz,Jonan"/>
    <n v="0"/>
    <n v="0"/>
    <n v="0"/>
    <n v="0"/>
    <n v="0.34"/>
    <e v="#N/A"/>
    <s v="delgadax"/>
  </r>
  <r>
    <x v="252"/>
    <x v="34"/>
    <s v="Admin/HR/IT"/>
    <s v="AMCARE NonOcc In"/>
    <s v="AMZN"/>
    <n v="200508315"/>
    <s v="Herrera,Aldair"/>
    <s v="Madrid Molina,Ramon"/>
    <n v="0"/>
    <n v="0"/>
    <n v="0"/>
    <n v="0"/>
    <n v="0.13"/>
    <e v="#N/A"/>
    <s v="taldaher"/>
  </r>
  <r>
    <x v="252"/>
    <x v="34"/>
    <s v="Admin/HR/IT"/>
    <s v="AMCARE NonOcc In"/>
    <s v="AMZN"/>
    <n v="201191390"/>
    <s v="GarcÃ­a,jesus"/>
    <s v="Madrid Molina,Ramon"/>
    <n v="0"/>
    <n v="0"/>
    <n v="0"/>
    <n v="0"/>
    <n v="0.75"/>
    <e v="#N/A"/>
    <s v="bgajesus"/>
  </r>
  <r>
    <x v="252"/>
    <x v="34"/>
    <s v="Admin/HR/IT"/>
    <s v="AMCARE NonOcc In"/>
    <s v="AMZN"/>
    <n v="201223730"/>
    <s v="Sanchiz,Cesarito"/>
    <s v="Corona Arriaga,Fernando"/>
    <n v="0"/>
    <n v="0"/>
    <n v="0"/>
    <n v="0"/>
    <n v="1.55"/>
    <e v="#N/A"/>
    <s v="cesarito"/>
  </r>
  <r>
    <x v="252"/>
    <x v="34"/>
    <s v="Admin/HR/IT"/>
    <s v="AMCARE NonOcc In"/>
    <s v="AMZN"/>
    <n v="201228411"/>
    <s v="Hernandez Soriano,Jazmin"/>
    <s v="Corona Arriaga,Fernando"/>
    <n v="0"/>
    <n v="0"/>
    <n v="0"/>
    <n v="0"/>
    <n v="1.58"/>
    <e v="#N/A"/>
    <s v="jazmiwhe"/>
  </r>
  <r>
    <x v="252"/>
    <x v="34"/>
    <s v="Admin/HR/IT"/>
    <s v="AMCARE NonOcc In"/>
    <s v="TEMP"/>
    <n v="201836048"/>
    <s v="MACIAS,IKER"/>
    <s v="Lopez,Alexa"/>
    <n v="0"/>
    <n v="0"/>
    <n v="0"/>
    <n v="0"/>
    <n v="0.8"/>
    <e v="#N/A"/>
    <e v="#N/A"/>
  </r>
  <r>
    <x v="252"/>
    <x v="34"/>
    <s v="Admin/HR/IT"/>
    <s v="AMCARE NonOcc In"/>
    <s v="TEMP"/>
    <n v="201847940"/>
    <s v="Vallecillo,Jessy"/>
    <s v="Ledezma,Fer"/>
    <n v="0"/>
    <n v="0"/>
    <n v="0"/>
    <n v="0"/>
    <n v="1.78"/>
    <e v="#N/A"/>
    <e v="#N/A"/>
  </r>
  <r>
    <x v="252"/>
    <x v="34"/>
    <s v="Admin/HR/IT"/>
    <s v="AMCARE NonOcc In"/>
    <s v="TEMP"/>
    <n v="201858789"/>
    <s v="HINOJOSA,IGNACIO"/>
    <s v="Ledezma,Fer"/>
    <n v="0"/>
    <n v="0"/>
    <n v="0"/>
    <n v="0"/>
    <n v="0.19"/>
    <e v="#N/A"/>
    <s v="ignachis"/>
  </r>
  <r>
    <x v="253"/>
    <x v="35"/>
    <s v="Admin/HR/IT"/>
    <s v="AMCARE NonOcc In"/>
    <s v="AMZN"/>
    <n v="112912054"/>
    <s v="Rivera Ramirez,Jorge"/>
    <s v="Gomez Aguado,Jorge"/>
    <n v="0"/>
    <n v="0"/>
    <n v="0"/>
    <n v="0"/>
    <n v="0.23"/>
    <s v="DB-X0700"/>
    <s v="privejor"/>
  </r>
  <r>
    <x v="253"/>
    <x v="35"/>
    <s v="Admin/HR/IT"/>
    <s v="AMCARE NonOcc In"/>
    <s v="TEMP"/>
    <n v="112971959"/>
    <s v="Gonzalez,Xiomara"/>
    <s v="Pizana,Diego"/>
    <n v="0"/>
    <n v="0"/>
    <n v="0"/>
    <n v="0"/>
    <n v="0.23"/>
    <e v="#N/A"/>
    <e v="#N/A"/>
  </r>
  <r>
    <x v="253"/>
    <x v="35"/>
    <s v="Admin/HR/IT"/>
    <s v="AMCARE NonOcc In"/>
    <s v="AMZN"/>
    <n v="112971997"/>
    <s v="Nieto,Emili"/>
    <s v="Hernandez,Nataly"/>
    <n v="0"/>
    <n v="0"/>
    <n v="0"/>
    <n v="0"/>
    <n v="0.38"/>
    <s v="DA-X0700"/>
    <s v="cemilini"/>
  </r>
  <r>
    <x v="253"/>
    <x v="35"/>
    <s v="Admin/HR/IT"/>
    <s v="AMCARE NonOcc In"/>
    <s v="AMZN"/>
    <n v="112981061"/>
    <s v="Olguin,Claudia"/>
    <s v="Robledo Ugarte,Alejandro"/>
    <n v="0"/>
    <n v="0"/>
    <n v="0"/>
    <n v="0"/>
    <n v="0.41"/>
    <s v="DA-X0700"/>
    <s v="mclaudol"/>
  </r>
  <r>
    <x v="253"/>
    <x v="35"/>
    <s v="Admin/HR/IT"/>
    <s v="AMCARE NonOcc In"/>
    <s v="AMZN"/>
    <n v="112981196"/>
    <s v="Gomez,Andrea"/>
    <s v="Piedra,Valentina"/>
    <n v="0"/>
    <n v="0"/>
    <n v="0"/>
    <n v="0"/>
    <n v="0.17"/>
    <e v="#N/A"/>
    <s v="vandgome"/>
  </r>
  <r>
    <x v="253"/>
    <x v="35"/>
    <s v="Admin/HR/IT"/>
    <s v="AMCARE NonOcc In"/>
    <s v="AMZN"/>
    <n v="112981221"/>
    <s v="Perez Ramirez,Cesar"/>
    <s v="Romero Sanchez,Gustavo Gabriel"/>
    <n v="0"/>
    <n v="0"/>
    <n v="0"/>
    <n v="0"/>
    <n v="0.17"/>
    <e v="#N/A"/>
    <s v="spercesa"/>
  </r>
  <r>
    <x v="253"/>
    <x v="35"/>
    <s v="Admin/HR/IT"/>
    <s v="AMCARE NonOcc In"/>
    <s v="AMZN"/>
    <n v="113014470"/>
    <s v="Aguilar Ibarra,Lupe"/>
    <s v="Robledo Ugarte,Alejandro"/>
    <n v="0"/>
    <n v="0"/>
    <n v="0"/>
    <n v="0"/>
    <n v="0.15"/>
    <e v="#N/A"/>
    <s v="lupaguin"/>
  </r>
  <r>
    <x v="253"/>
    <x v="35"/>
    <s v="Admin/HR/IT"/>
    <s v="AMCARE NonOcc In"/>
    <s v="AMZN"/>
    <n v="113101453"/>
    <s v="Isaac,Geovanna"/>
    <s v="Robledo Ugarte,Alejandro"/>
    <n v="0"/>
    <n v="0"/>
    <n v="0"/>
    <n v="0"/>
    <n v="0.12"/>
    <e v="#N/A"/>
    <s v="qisgeova"/>
  </r>
  <r>
    <x v="253"/>
    <x v="35"/>
    <s v="Admin/HR/IT"/>
    <s v="AMCARE NonOcc In"/>
    <s v="AMZN"/>
    <n v="200574345"/>
    <s v="Contreras,Jony"/>
    <s v="Romero Sanchez,Gustavo Gabriel"/>
    <n v="0"/>
    <n v="0"/>
    <n v="0"/>
    <n v="0"/>
    <n v="0.48"/>
    <e v="#N/A"/>
    <s v="contrexj"/>
  </r>
  <r>
    <x v="253"/>
    <x v="35"/>
    <s v="Admin/HR/IT"/>
    <s v="AMCARE NonOcc In"/>
    <s v="AMZN"/>
    <n v="200625528"/>
    <s v="Oliva,Lizbeth"/>
    <s v="Piedra,Valentina"/>
    <n v="0"/>
    <n v="0"/>
    <n v="0"/>
    <n v="0"/>
    <n v="0.1"/>
    <e v="#N/A"/>
    <s v="olivlizb"/>
  </r>
  <r>
    <x v="253"/>
    <x v="35"/>
    <s v="Admin/HR/IT"/>
    <s v="AMCARE NonOcc In"/>
    <s v="AMZN"/>
    <n v="201166890"/>
    <s v="Caballero,Daniel"/>
    <s v="Romero Sanchez,Gustavo Gabriel"/>
    <n v="0"/>
    <n v="0"/>
    <n v="0"/>
    <n v="0"/>
    <n v="0.22"/>
    <e v="#N/A"/>
    <s v="lcabadan"/>
  </r>
  <r>
    <x v="253"/>
    <x v="35"/>
    <s v="Admin/HR/IT"/>
    <s v="AMCARE NonOcc In"/>
    <s v="AMZN"/>
    <n v="201172412"/>
    <s v="Castellanos,Adriana"/>
    <s v="Robledo Ugarte,Alejandro"/>
    <n v="0"/>
    <n v="0"/>
    <n v="0"/>
    <n v="0"/>
    <n v="0.12"/>
    <e v="#N/A"/>
    <s v="adrpcast"/>
  </r>
  <r>
    <x v="253"/>
    <x v="35"/>
    <s v="Admin/HR/IT"/>
    <s v="AMCARE NonOcc In"/>
    <s v="AMZN"/>
    <n v="201294058"/>
    <s v="Alvarez,Erika"/>
    <s v="Bueno Mendoza,Susana"/>
    <n v="0"/>
    <n v="0"/>
    <n v="0"/>
    <n v="0"/>
    <n v="0.14000000000000001"/>
    <e v="#N/A"/>
    <s v="alerikat"/>
  </r>
  <r>
    <x v="253"/>
    <x v="35"/>
    <s v="Admin/HR/IT"/>
    <s v="AMCARE NonOcc In"/>
    <s v="TEMP"/>
    <n v="201901324"/>
    <s v="VelÃ¡zquez,Alejandro"/>
    <s v="Pizana,Diego"/>
    <n v="0"/>
    <n v="0"/>
    <n v="0"/>
    <n v="0"/>
    <n v="0.15"/>
    <e v="#N/A"/>
    <s v="velpalej"/>
  </r>
  <r>
    <x v="254"/>
    <x v="35"/>
    <s v="Admin/HR/IT"/>
    <s v="AMCARE NonOcc In"/>
    <s v="AMZN"/>
    <n v="103979960"/>
    <s v="Suchil Angel,Guillermo"/>
    <s v="Robledo Ugarte,Alejandro"/>
    <n v="0"/>
    <n v="0"/>
    <n v="0"/>
    <n v="0"/>
    <n v="0.34"/>
    <e v="#N/A"/>
    <e v="#N/A"/>
  </r>
  <r>
    <x v="254"/>
    <x v="35"/>
    <s v="Admin/HR/IT"/>
    <s v="AMCARE NonOcc In"/>
    <s v="AMZN"/>
    <n v="112912752"/>
    <s v="Valderrama Gomez,Leslie"/>
    <s v="Camarena,Grecia"/>
    <n v="0"/>
    <n v="0"/>
    <n v="0"/>
    <n v="0"/>
    <n v="0.48"/>
    <s v="NF-X1900"/>
    <s v="valderle"/>
  </r>
  <r>
    <x v="254"/>
    <x v="35"/>
    <s v="Admin/HR/IT"/>
    <s v="AMCARE NonOcc In"/>
    <s v="AMZN"/>
    <n v="112971962"/>
    <s v="Reyes  Montes de oca,Alejandra"/>
    <s v="Lopez,Alexa"/>
    <n v="0"/>
    <n v="0"/>
    <n v="0"/>
    <n v="0"/>
    <n v="0.1"/>
    <s v="DB-X0700"/>
    <s v="creyesal"/>
  </r>
  <r>
    <x v="254"/>
    <x v="35"/>
    <s v="Admin/HR/IT"/>
    <s v="AMCARE NonOcc In"/>
    <s v="AMZN"/>
    <n v="112980899"/>
    <s v="Avila Cabrera,Ari"/>
    <s v="Camarena,Grecia"/>
    <n v="0"/>
    <n v="0"/>
    <n v="0"/>
    <n v="0"/>
    <n v="0.66"/>
    <s v="NF-X1900"/>
    <s v="aravilac"/>
  </r>
  <r>
    <x v="254"/>
    <x v="35"/>
    <s v="Admin/HR/IT"/>
    <s v="AMCARE NonOcc In"/>
    <s v="AMZN"/>
    <n v="112981013"/>
    <s v="Lopez Neri,Norma"/>
    <s v="Rosas Negrete,Sebastian"/>
    <n v="0"/>
    <n v="0"/>
    <n v="0"/>
    <n v="0"/>
    <n v="0.27"/>
    <s v="DA-X0700"/>
    <s v="normaelo"/>
  </r>
  <r>
    <x v="254"/>
    <x v="35"/>
    <s v="Admin/HR/IT"/>
    <s v="AMCARE NonOcc In"/>
    <s v="AMZN"/>
    <n v="112981194"/>
    <s v="Camacho Delgado,Karina"/>
    <s v="Camarena,Grecia"/>
    <n v="0"/>
    <n v="0"/>
    <n v="0"/>
    <n v="0"/>
    <n v="0.2"/>
    <s v="NF-X1900"/>
    <s v="csandrak"/>
  </r>
  <r>
    <x v="254"/>
    <x v="35"/>
    <s v="Admin/HR/IT"/>
    <s v="AMCARE NonOcc In"/>
    <s v="AMZN"/>
    <n v="113014403"/>
    <s v="Arias Sanchez,Nora"/>
    <s v="Rosas Negrete,Sebastian"/>
    <n v="0"/>
    <n v="0"/>
    <n v="0"/>
    <n v="0"/>
    <n v="0.19"/>
    <e v="#N/A"/>
    <s v="wnoraria"/>
  </r>
  <r>
    <x v="254"/>
    <x v="35"/>
    <s v="Admin/HR/IT"/>
    <s v="AMCARE NonOcc In"/>
    <s v="AMZN"/>
    <n v="200509691"/>
    <s v="Mendoza Jasso,Jesus"/>
    <s v="Bueno Mendoza,Susana"/>
    <n v="0"/>
    <n v="0"/>
    <n v="0"/>
    <n v="0"/>
    <n v="0.05"/>
    <e v="#N/A"/>
    <s v="josedmef"/>
  </r>
  <r>
    <x v="254"/>
    <x v="35"/>
    <s v="Admin/HR/IT"/>
    <s v="AMCARE NonOcc In"/>
    <s v="AMZN"/>
    <n v="200562154"/>
    <s v="Reyes Muniz,Cristian"/>
    <s v="Corona Arriaga,Fernando"/>
    <n v="0"/>
    <n v="0"/>
    <n v="0"/>
    <n v="0"/>
    <n v="0.2"/>
    <e v="#N/A"/>
    <s v="reyesmcw"/>
  </r>
  <r>
    <x v="254"/>
    <x v="35"/>
    <s v="Admin/HR/IT"/>
    <s v="AMCARE NonOcc In"/>
    <s v="AMZN"/>
    <n v="200564895"/>
    <s v="Mendoza Corona,Brianda"/>
    <s v="Robledo Ugarte,Alejandro"/>
    <n v="0"/>
    <n v="0"/>
    <n v="0"/>
    <n v="0"/>
    <n v="0.23"/>
    <e v="#N/A"/>
    <s v="hmendobr"/>
  </r>
  <r>
    <x v="254"/>
    <x v="35"/>
    <s v="Admin/HR/IT"/>
    <s v="AMCARE NonOcc In"/>
    <s v="AMZN"/>
    <n v="200574345"/>
    <s v="Contreras,Jony"/>
    <s v="Romero Sanchez,Gustavo Gabriel"/>
    <n v="0"/>
    <n v="0"/>
    <n v="0"/>
    <n v="0"/>
    <n v="0.14000000000000001"/>
    <e v="#N/A"/>
    <s v="contrexj"/>
  </r>
  <r>
    <x v="254"/>
    <x v="35"/>
    <s v="Admin/HR/IT"/>
    <s v="AMCARE NonOcc In"/>
    <s v="AMZN"/>
    <n v="200625528"/>
    <s v="Oliva,Lizbeth"/>
    <s v="Piedra,Valentina"/>
    <n v="0"/>
    <n v="0"/>
    <n v="0"/>
    <n v="0"/>
    <n v="0.21"/>
    <e v="#N/A"/>
    <s v="olivlizb"/>
  </r>
  <r>
    <x v="254"/>
    <x v="35"/>
    <s v="Admin/HR/IT"/>
    <s v="AMCARE NonOcc In"/>
    <s v="AMZN"/>
    <n v="201186833"/>
    <s v="Jasso,Alexa"/>
    <s v="Rosas Negrete,Sebastian"/>
    <n v="0"/>
    <n v="0"/>
    <n v="0"/>
    <n v="0"/>
    <n v="0.11"/>
    <e v="#N/A"/>
    <s v="jaalexav"/>
  </r>
  <r>
    <x v="254"/>
    <x v="35"/>
    <s v="Admin/HR/IT"/>
    <s v="AMCARE NonOcc In"/>
    <s v="AMZN"/>
    <n v="201191390"/>
    <s v="GarcÃ­a,jesus"/>
    <s v="Madrid Molina,Ramon"/>
    <n v="0"/>
    <n v="0"/>
    <n v="0"/>
    <n v="0"/>
    <n v="0.64"/>
    <e v="#N/A"/>
    <s v="bgajesus"/>
  </r>
  <r>
    <x v="254"/>
    <x v="35"/>
    <s v="Admin/HR/IT"/>
    <s v="AMCARE NonOcc In"/>
    <s v="AMZN"/>
    <n v="201197964"/>
    <s v="Quijas,Matzayani"/>
    <s v="Romero Sanchez,Gustavo Gabriel"/>
    <n v="0"/>
    <n v="0"/>
    <n v="0"/>
    <n v="0"/>
    <n v="0.16"/>
    <e v="#N/A"/>
    <s v="matzquij"/>
  </r>
  <r>
    <x v="254"/>
    <x v="35"/>
    <s v="Admin/HR/IT"/>
    <s v="AMCARE NonOcc In"/>
    <s v="AMZN"/>
    <n v="201345774"/>
    <s v="Quijas,Jonathan"/>
    <s v="Robledo Ugarte,Alejandro"/>
    <n v="0"/>
    <n v="0"/>
    <n v="0"/>
    <n v="0"/>
    <n v="0.13"/>
    <e v="#N/A"/>
    <s v="jonquija"/>
  </r>
  <r>
    <x v="254"/>
    <x v="35"/>
    <s v="Admin/HR/IT"/>
    <s v="AMCARE NonOcc In"/>
    <s v="AMZN"/>
    <n v="201353328"/>
    <s v="Mendoza Macias,Zaira"/>
    <s v="Pizana,Diego"/>
    <n v="0"/>
    <n v="0"/>
    <n v="0"/>
    <n v="0"/>
    <n v="0.71"/>
    <e v="#N/A"/>
    <s v="zairamen"/>
  </r>
  <r>
    <x v="254"/>
    <x v="35"/>
    <s v="Admin/HR/IT"/>
    <s v="AMCARE NonOcc In"/>
    <s v="AMZN"/>
    <n v="201386201"/>
    <s v="Castillo,Janai"/>
    <s v="Ledezma,Fer"/>
    <n v="0"/>
    <n v="0"/>
    <n v="0"/>
    <n v="0"/>
    <n v="0.15"/>
    <e v="#N/A"/>
    <s v="castjanr"/>
  </r>
  <r>
    <x v="254"/>
    <x v="35"/>
    <s v="Admin/HR/IT"/>
    <s v="AMCARE NonOcc In"/>
    <s v="TEMP"/>
    <n v="201847940"/>
    <s v="Vallecillo,Jessy"/>
    <s v="Ledezma,Fer"/>
    <n v="0"/>
    <n v="0"/>
    <n v="0"/>
    <n v="0"/>
    <n v="0.28999999999999998"/>
    <e v="#N/A"/>
    <e v="#N/A"/>
  </r>
  <r>
    <x v="254"/>
    <x v="35"/>
    <s v="Admin/HR/IT"/>
    <s v="AMCARE NonOcc In"/>
    <s v="TEMP"/>
    <n v="201880542"/>
    <s v="ORTIZ,CORPUS"/>
    <s v="Romero Sanchez,Gustavo Gabriel"/>
    <n v="0"/>
    <n v="0"/>
    <n v="0"/>
    <n v="0"/>
    <n v="0.21"/>
    <e v="#N/A"/>
    <s v="orticorp"/>
  </r>
  <r>
    <x v="254"/>
    <x v="35"/>
    <s v="Admin/HR/IT"/>
    <s v="AMCARE Occ In"/>
    <s v="TEMP"/>
    <n v="201880542"/>
    <s v="ORTIZ,CORPUS"/>
    <s v="Romero Sanchez,Gustavo Gabriel"/>
    <n v="0"/>
    <n v="0"/>
    <n v="0"/>
    <n v="0"/>
    <n v="0.65"/>
    <e v="#N/A"/>
    <s v="orticorp"/>
  </r>
  <r>
    <x v="255"/>
    <x v="35"/>
    <s v="Admin/HR/IT"/>
    <s v="AMCARE NonOcc In"/>
    <s v="AMZN"/>
    <n v="112912745"/>
    <s v="Gomez Meza,Alex"/>
    <s v="Rosas Negrete,Sebastian"/>
    <n v="0"/>
    <n v="0"/>
    <n v="0"/>
    <n v="0"/>
    <n v="0.55000000000000004"/>
    <s v="DA-X0700"/>
    <s v="nalexgom"/>
  </r>
  <r>
    <x v="255"/>
    <x v="35"/>
    <s v="Admin/HR/IT"/>
    <s v="AMCARE NonOcc In"/>
    <s v="AMZN"/>
    <n v="112920655"/>
    <s v="Diaz de LeÃ³n,Paola"/>
    <s v="Cortes,Alejandra"/>
    <n v="0"/>
    <n v="0"/>
    <n v="0"/>
    <n v="0"/>
    <n v="0.19"/>
    <e v="#N/A"/>
    <e v="#N/A"/>
  </r>
  <r>
    <x v="255"/>
    <x v="35"/>
    <s v="Admin/HR/IT"/>
    <s v="AMCARE NonOcc In"/>
    <s v="AMZN"/>
    <n v="112950795"/>
    <s v="Espinosa Espitia,Ali"/>
    <s v="Pizana,Diego"/>
    <n v="0"/>
    <n v="0"/>
    <n v="0"/>
    <n v="0"/>
    <n v="0.41"/>
    <s v="DA-X0700"/>
    <s v="oespiali"/>
  </r>
  <r>
    <x v="255"/>
    <x v="35"/>
    <s v="Admin/HR/IT"/>
    <s v="AMCARE NonOcc In"/>
    <s v="TEMP"/>
    <n v="112971959"/>
    <s v="Gonzalez,Xiomara"/>
    <s v="Pizana,Diego"/>
    <n v="0"/>
    <n v="0"/>
    <n v="0"/>
    <n v="0"/>
    <n v="0.15"/>
    <e v="#N/A"/>
    <e v="#N/A"/>
  </r>
  <r>
    <x v="255"/>
    <x v="35"/>
    <s v="Admin/HR/IT"/>
    <s v="AMCARE NonOcc In"/>
    <s v="AMZN"/>
    <n v="112971980"/>
    <s v="Romero,Daniel"/>
    <s v="Cortes,Alejandra"/>
    <n v="0"/>
    <n v="0"/>
    <n v="0"/>
    <n v="0"/>
    <n v="0.09"/>
    <s v="DC-X0700"/>
    <s v="cdanirom"/>
  </r>
  <r>
    <x v="255"/>
    <x v="35"/>
    <s v="Admin/HR/IT"/>
    <s v="AMCARE NonOcc In"/>
    <s v="AMZN"/>
    <n v="112972958"/>
    <s v="Gonzalez Gonzalez,Antonio"/>
    <s v="Cortes,Alejandra"/>
    <n v="0"/>
    <n v="0"/>
    <n v="0"/>
    <n v="0"/>
    <n v="0.03"/>
    <s v="D5-X0700"/>
    <s v="ugonzgui"/>
  </r>
  <r>
    <x v="255"/>
    <x v="35"/>
    <s v="Admin/HR/IT"/>
    <s v="AMCARE NonOcc In"/>
    <s v="AMZN"/>
    <n v="112980812"/>
    <s v="Jacobo,Mary"/>
    <s v="Bueno Mendoza,Susana"/>
    <n v="0"/>
    <n v="0"/>
    <n v="0"/>
    <n v="0"/>
    <n v="0.14000000000000001"/>
    <s v="DA-X0700"/>
    <s v="maryjacp"/>
  </r>
  <r>
    <x v="255"/>
    <x v="35"/>
    <s v="Admin/HR/IT"/>
    <s v="AMCARE NonOcc In"/>
    <s v="AMZN"/>
    <n v="112981221"/>
    <s v="Perez Ramirez,Cesar"/>
    <s v="Romero Sanchez,Gustavo Gabriel"/>
    <n v="0"/>
    <n v="0"/>
    <n v="0"/>
    <n v="0"/>
    <n v="0.31"/>
    <e v="#N/A"/>
    <s v="spercesa"/>
  </r>
  <r>
    <x v="255"/>
    <x v="35"/>
    <s v="Admin/HR/IT"/>
    <s v="AMCARE NonOcc In"/>
    <s v="AMZN"/>
    <n v="113014402"/>
    <s v="Mendoza Estrada,Juan"/>
    <s v="Romero Sanchez,Gustavo Gabriel"/>
    <n v="0"/>
    <n v="0"/>
    <n v="0"/>
    <n v="0"/>
    <n v="0.05"/>
    <e v="#N/A"/>
    <s v="umendoju"/>
  </r>
  <r>
    <x v="255"/>
    <x v="35"/>
    <s v="Admin/HR/IT"/>
    <s v="AMCARE NonOcc In"/>
    <s v="AMZN"/>
    <n v="113020476"/>
    <s v="Puente Aguilar,Polette"/>
    <s v="Madrid Molina,Ramon"/>
    <n v="0"/>
    <n v="0"/>
    <n v="0"/>
    <n v="0"/>
    <n v="0.43"/>
    <e v="#N/A"/>
    <s v="polettpu"/>
  </r>
  <r>
    <x v="255"/>
    <x v="35"/>
    <s v="Admin/HR/IT"/>
    <s v="AMCARE NonOcc In"/>
    <s v="AMZN"/>
    <n v="200404250"/>
    <s v="Hurtado,Caty"/>
    <s v="Romero Sanchez,Gustavo Gabriel"/>
    <n v="0"/>
    <n v="0"/>
    <n v="0"/>
    <n v="0"/>
    <n v="0.24"/>
    <e v="#N/A"/>
    <s v="xcathurt"/>
  </r>
  <r>
    <x v="255"/>
    <x v="35"/>
    <s v="Admin/HR/IT"/>
    <s v="AMCARE NonOcc In"/>
    <s v="AMZN"/>
    <n v="200553975"/>
    <s v="Duran Villegas,Juan Diego"/>
    <s v="Pizana,Diego"/>
    <n v="0"/>
    <n v="0"/>
    <n v="0"/>
    <n v="0"/>
    <n v="0.2"/>
    <e v="#N/A"/>
    <s v="juandidu"/>
  </r>
  <r>
    <x v="255"/>
    <x v="35"/>
    <s v="Admin/HR/IT"/>
    <s v="AMCARE NonOcc In"/>
    <s v="AMZN"/>
    <n v="200625528"/>
    <s v="Oliva,Lizbeth"/>
    <s v="Piedra,Valentina"/>
    <n v="0"/>
    <n v="0"/>
    <n v="0"/>
    <n v="0"/>
    <n v="0.09"/>
    <e v="#N/A"/>
    <s v="olivlizb"/>
  </r>
  <r>
    <x v="255"/>
    <x v="35"/>
    <s v="Admin/HR/IT"/>
    <s v="AMCARE NonOcc In"/>
    <s v="AMZN"/>
    <n v="201186833"/>
    <s v="Jasso,Alexa"/>
    <s v="Rosas Negrete,Sebastian"/>
    <n v="0"/>
    <n v="0"/>
    <n v="0"/>
    <n v="0"/>
    <n v="0.09"/>
    <e v="#N/A"/>
    <s v="jaalexav"/>
  </r>
  <r>
    <x v="255"/>
    <x v="35"/>
    <s v="Admin/HR/IT"/>
    <s v="AMCARE NonOcc In"/>
    <s v="AMZN"/>
    <n v="201191198"/>
    <s v="Mojica,Emmanuel"/>
    <s v="Ledezma,Fer"/>
    <n v="0"/>
    <n v="0"/>
    <n v="0"/>
    <n v="0"/>
    <n v="0.21"/>
    <e v="#N/A"/>
    <s v="mojicemm"/>
  </r>
  <r>
    <x v="255"/>
    <x v="35"/>
    <s v="Admin/HR/IT"/>
    <s v="AMCARE NonOcc In"/>
    <s v="AMZN"/>
    <n v="201198922"/>
    <s v="Mendez,Joy"/>
    <s v="Munoz,Jonan"/>
    <n v="0"/>
    <n v="0"/>
    <n v="0"/>
    <n v="0"/>
    <n v="0.56000000000000005"/>
    <e v="#N/A"/>
    <s v="mendejoy"/>
  </r>
  <r>
    <x v="255"/>
    <x v="35"/>
    <s v="Admin/HR/IT"/>
    <s v="AMCARE NonOcc In"/>
    <s v="AMZN"/>
    <n v="201219500"/>
    <s v="Mazy,RamsÃ©s"/>
    <s v="Ledezma,Fer"/>
    <n v="0"/>
    <n v="0"/>
    <n v="0"/>
    <n v="0"/>
    <n v="0.61"/>
    <e v="#N/A"/>
    <s v="ramsmazy"/>
  </r>
  <r>
    <x v="255"/>
    <x v="35"/>
    <s v="Admin/HR/IT"/>
    <s v="AMCARE NonOcc In"/>
    <s v="AMZN"/>
    <n v="201378542"/>
    <s v="Contreras,Evelyn"/>
    <s v="Bueno Mendoza,Susana"/>
    <n v="0"/>
    <n v="0"/>
    <n v="0"/>
    <n v="0"/>
    <n v="0.11"/>
    <e v="#N/A"/>
    <s v="tcontree"/>
  </r>
  <r>
    <x v="255"/>
    <x v="35"/>
    <s v="Admin/HR/IT"/>
    <s v="AMCARE NonOcc In"/>
    <s v="AMZN"/>
    <n v="201390638"/>
    <s v="Bernal,Uriel"/>
    <s v="Piedra,Valentina"/>
    <n v="0"/>
    <n v="0"/>
    <n v="0"/>
    <n v="0"/>
    <n v="0.2"/>
    <e v="#N/A"/>
    <s v="furielbe"/>
  </r>
  <r>
    <x v="255"/>
    <x v="35"/>
    <s v="Admin/HR/IT"/>
    <s v="AMCARE NonOcc In"/>
    <s v="TEMP"/>
    <n v="201842064"/>
    <s v="Agripino,Andrea"/>
    <s v="Ledezma,Fer"/>
    <n v="0"/>
    <n v="0"/>
    <n v="0"/>
    <n v="0"/>
    <n v="0.16"/>
    <e v="#N/A"/>
    <s v="agriandl"/>
  </r>
  <r>
    <x v="255"/>
    <x v="35"/>
    <s v="Admin/HR/IT"/>
    <s v="AMCARE NonOcc In"/>
    <s v="TEMP"/>
    <n v="201858867"/>
    <s v="Cruz Velazquez,Gabriela"/>
    <s v="Corona Arriaga,Fernando"/>
    <n v="0"/>
    <n v="0"/>
    <n v="0"/>
    <n v="0"/>
    <n v="0.27"/>
    <e v="#N/A"/>
    <s v="tcruzvel"/>
  </r>
  <r>
    <x v="255"/>
    <x v="35"/>
    <s v="Admin/HR/IT"/>
    <s v="AMCARE NonOcc In"/>
    <s v="TEMP"/>
    <n v="201880542"/>
    <s v="ORTIZ,CORPUS"/>
    <s v="Romero Sanchez,Gustavo Gabriel"/>
    <n v="0"/>
    <n v="0"/>
    <n v="0"/>
    <n v="0"/>
    <n v="0.42"/>
    <e v="#N/A"/>
    <s v="orticorp"/>
  </r>
  <r>
    <x v="256"/>
    <x v="35"/>
    <s v="Admin/HR/IT"/>
    <s v="AMCARE NonOcc In"/>
    <s v="AMZN"/>
    <n v="112912164"/>
    <s v="Ortega,Gabriel"/>
    <s v="Lopez,Alexa"/>
    <n v="0"/>
    <n v="0"/>
    <n v="0"/>
    <n v="0"/>
    <n v="0.51"/>
    <s v="DB-X0700"/>
    <s v="egortega"/>
  </r>
  <r>
    <x v="256"/>
    <x v="35"/>
    <s v="Admin/HR/IT"/>
    <s v="AMCARE NonOcc In"/>
    <s v="TEMP"/>
    <n v="112971959"/>
    <s v="Gonzalez,Xiomara"/>
    <s v="Pizana,Diego"/>
    <n v="0"/>
    <n v="0"/>
    <n v="0"/>
    <n v="0"/>
    <n v="0.2"/>
    <e v="#N/A"/>
    <e v="#N/A"/>
  </r>
  <r>
    <x v="256"/>
    <x v="35"/>
    <s v="Admin/HR/IT"/>
    <s v="AMCARE NonOcc In"/>
    <s v="TEMP"/>
    <n v="113003619"/>
    <s v="Villegas,Jesus"/>
    <s v="Madrid Molina,Ramon"/>
    <n v="0"/>
    <n v="0"/>
    <n v="0"/>
    <n v="0"/>
    <n v="0.67"/>
    <e v="#N/A"/>
    <e v="#N/A"/>
  </r>
  <r>
    <x v="256"/>
    <x v="35"/>
    <s v="Admin/HR/IT"/>
    <s v="AMCARE NonOcc In"/>
    <s v="AMZN"/>
    <n v="113004099"/>
    <s v="Partida,Luis"/>
    <s v="Lopez,Alexa"/>
    <n v="0"/>
    <n v="0"/>
    <n v="0"/>
    <n v="0"/>
    <n v="0.96"/>
    <e v="#N/A"/>
    <s v="partilum"/>
  </r>
  <r>
    <x v="256"/>
    <x v="35"/>
    <s v="Admin/HR/IT"/>
    <s v="AMCARE NonOcc In"/>
    <s v="AMZN"/>
    <n v="113014403"/>
    <s v="Arias Sanchez,Nora"/>
    <s v="Rosas Negrete,Sebastian"/>
    <n v="0"/>
    <n v="0"/>
    <n v="0"/>
    <n v="0"/>
    <n v="0.19"/>
    <e v="#N/A"/>
    <s v="wnoraria"/>
  </r>
  <r>
    <x v="256"/>
    <x v="35"/>
    <s v="Admin/HR/IT"/>
    <s v="AMCARE NonOcc In"/>
    <s v="AMZN"/>
    <n v="113014592"/>
    <s v="Picazo,Brenda"/>
    <s v="Romero Sanchez,Gustavo Gabriel"/>
    <n v="0"/>
    <n v="0"/>
    <n v="0"/>
    <n v="0"/>
    <n v="0.23"/>
    <e v="#N/A"/>
    <s v="brepicaz"/>
  </r>
  <r>
    <x v="256"/>
    <x v="35"/>
    <s v="Admin/HR/IT"/>
    <s v="AMCARE NonOcc In"/>
    <s v="AMZN"/>
    <n v="113019001"/>
    <s v="Lozano Hernandez,Donny"/>
    <s v="Bueno Mendoza,Susana"/>
    <n v="0"/>
    <n v="0"/>
    <n v="0"/>
    <n v="0"/>
    <n v="0.46"/>
    <e v="#N/A"/>
    <s v="dolozane"/>
  </r>
  <r>
    <x v="256"/>
    <x v="35"/>
    <s v="Admin/HR/IT"/>
    <s v="AMCARE NonOcc In"/>
    <s v="AMZN"/>
    <n v="113101453"/>
    <s v="Isaac,Geovanna"/>
    <s v="Robledo Ugarte,Alejandro"/>
    <n v="0"/>
    <n v="0"/>
    <n v="0"/>
    <n v="0"/>
    <n v="0.15"/>
    <e v="#N/A"/>
    <s v="qisgeova"/>
  </r>
  <r>
    <x v="256"/>
    <x v="35"/>
    <s v="Admin/HR/IT"/>
    <s v="AMCARE NonOcc In"/>
    <s v="AMZN"/>
    <n v="113138338"/>
    <s v="Cornejo,Cesar"/>
    <s v="Cortes,Alejandra"/>
    <n v="0"/>
    <n v="0"/>
    <n v="0"/>
    <n v="0"/>
    <n v="0.85"/>
    <e v="#N/A"/>
    <s v="cescornh"/>
  </r>
  <r>
    <x v="256"/>
    <x v="35"/>
    <s v="Admin/HR/IT"/>
    <s v="AMCARE NonOcc In"/>
    <s v="AMZN"/>
    <n v="200574345"/>
    <s v="Contreras,Jony"/>
    <s v="Romero Sanchez,Gustavo Gabriel"/>
    <n v="0"/>
    <n v="0"/>
    <n v="0"/>
    <n v="0"/>
    <n v="0.28999999999999998"/>
    <e v="#N/A"/>
    <s v="contrexj"/>
  </r>
  <r>
    <x v="256"/>
    <x v="35"/>
    <s v="Admin/HR/IT"/>
    <s v="AMCARE NonOcc In"/>
    <s v="AMZN"/>
    <n v="201167501"/>
    <s v="Rodriguez,Ruben"/>
    <s v="Robledo Ugarte,Alejandro"/>
    <n v="0"/>
    <n v="0"/>
    <n v="0"/>
    <n v="0"/>
    <n v="0.32"/>
    <e v="#N/A"/>
    <s v="wguanajr"/>
  </r>
  <r>
    <x v="256"/>
    <x v="35"/>
    <s v="Admin/HR/IT"/>
    <s v="AMCARE NonOcc In"/>
    <s v="AMZN"/>
    <n v="201191390"/>
    <s v="GarcÃ­a,jesus"/>
    <s v="Madrid Molina,Ramon"/>
    <n v="0"/>
    <n v="0"/>
    <n v="0"/>
    <n v="0"/>
    <n v="0.56000000000000005"/>
    <e v="#N/A"/>
    <s v="bgajesus"/>
  </r>
  <r>
    <x v="256"/>
    <x v="35"/>
    <s v="Admin/HR/IT"/>
    <s v="AMCARE NonOcc In"/>
    <s v="AMZN"/>
    <n v="201197964"/>
    <s v="Quijas,Matzayani"/>
    <s v="Romero Sanchez,Gustavo Gabriel"/>
    <n v="0"/>
    <n v="0"/>
    <n v="0"/>
    <n v="0"/>
    <n v="0.11"/>
    <e v="#N/A"/>
    <s v="matzquij"/>
  </r>
  <r>
    <x v="256"/>
    <x v="35"/>
    <s v="Admin/HR/IT"/>
    <s v="AMCARE NonOcc In"/>
    <s v="AMZN"/>
    <n v="201223730"/>
    <s v="Sanchiz,Cesarito"/>
    <s v="Corona Arriaga,Fernando"/>
    <n v="0"/>
    <n v="0"/>
    <n v="0"/>
    <n v="0"/>
    <n v="0.88"/>
    <e v="#N/A"/>
    <s v="cesarito"/>
  </r>
  <r>
    <x v="256"/>
    <x v="35"/>
    <s v="Admin/HR/IT"/>
    <s v="AMCARE NonOcc In"/>
    <s v="AMZN"/>
    <n v="201228411"/>
    <s v="Hernandez Soriano,Jazmin"/>
    <s v="Corona Arriaga,Fernando"/>
    <n v="0"/>
    <n v="0"/>
    <n v="0"/>
    <n v="0"/>
    <n v="1.31"/>
    <e v="#N/A"/>
    <s v="jazmiwhe"/>
  </r>
  <r>
    <x v="256"/>
    <x v="35"/>
    <s v="Admin/HR/IT"/>
    <s v="AMCARE NonOcc In"/>
    <s v="AMZN"/>
    <n v="201345737"/>
    <s v="Rosales,Paco"/>
    <s v="Lopez,Alexa"/>
    <n v="0"/>
    <n v="0"/>
    <n v="0"/>
    <n v="0"/>
    <n v="0.11"/>
    <e v="#N/A"/>
    <s v="upacoros"/>
  </r>
  <r>
    <x v="256"/>
    <x v="35"/>
    <s v="Admin/HR/IT"/>
    <s v="AMCARE NonOcc In"/>
    <s v="AMZN"/>
    <n v="201354965"/>
    <s v="JimÃ©nez,Aline"/>
    <s v="Lopez,Alexa"/>
    <n v="0"/>
    <n v="0"/>
    <n v="0"/>
    <n v="0"/>
    <n v="0.44"/>
    <e v="#N/A"/>
    <s v="alinejim"/>
  </r>
  <r>
    <x v="256"/>
    <x v="35"/>
    <s v="Admin/HR/IT"/>
    <s v="AMCARE NonOcc In"/>
    <s v="AMZN"/>
    <n v="201360639"/>
    <s v="Rivera,Yael"/>
    <s v="Camarena,Grecia"/>
    <n v="0"/>
    <n v="0"/>
    <n v="0"/>
    <n v="0"/>
    <n v="0.14000000000000001"/>
    <e v="#N/A"/>
    <s v="riveoyae"/>
  </r>
  <r>
    <x v="256"/>
    <x v="35"/>
    <s v="Admin/HR/IT"/>
    <s v="AMCARE NonOcc In"/>
    <s v="AMZN"/>
    <n v="201378542"/>
    <s v="Contreras,Evelyn"/>
    <s v="Bueno Mendoza,Susana"/>
    <n v="0"/>
    <n v="0"/>
    <n v="0"/>
    <n v="0"/>
    <n v="16.32"/>
    <e v="#N/A"/>
    <s v="tcontree"/>
  </r>
  <r>
    <x v="256"/>
    <x v="35"/>
    <s v="Admin/HR/IT"/>
    <s v="AMCARE NonOcc In"/>
    <s v="TEMP"/>
    <n v="201836048"/>
    <s v="MACIAS,IKER"/>
    <s v="Lopez,Alexa"/>
    <n v="0"/>
    <n v="0"/>
    <n v="0"/>
    <n v="0"/>
    <n v="0.02"/>
    <e v="#N/A"/>
    <e v="#N/A"/>
  </r>
  <r>
    <x v="256"/>
    <x v="35"/>
    <s v="Admin/HR/IT"/>
    <s v="AMCARE NonOcc In"/>
    <s v="TEMP"/>
    <n v="201880542"/>
    <s v="ORTIZ,CORPUS"/>
    <s v="Romero Sanchez,Gustavo Gabriel"/>
    <n v="0"/>
    <n v="0"/>
    <n v="0"/>
    <n v="0"/>
    <n v="0.13"/>
    <e v="#N/A"/>
    <s v="orticorp"/>
  </r>
  <r>
    <x v="256"/>
    <x v="35"/>
    <s v="Admin/HR/IT"/>
    <s v="AMCARE NonOcc In"/>
    <s v="TEMP"/>
    <n v="201891076"/>
    <s v="Olvera,Marilu"/>
    <s v="Romero Sanchez,Gustavo Gabriel"/>
    <n v="0"/>
    <n v="0"/>
    <n v="0"/>
    <n v="0"/>
    <n v="0.39"/>
    <e v="#N/A"/>
    <s v="marmolve"/>
  </r>
  <r>
    <x v="257"/>
    <x v="35"/>
    <s v="Admin/HR/IT"/>
    <s v="AMCARE NonOcc In"/>
    <s v="AMZN"/>
    <n v="112912397"/>
    <s v="Neri Zuniga,Ricardo"/>
    <s v="Gomez Aguado,Jorge"/>
    <n v="0"/>
    <n v="0"/>
    <n v="0"/>
    <n v="0"/>
    <n v="0.16"/>
    <s v="D5-X0700"/>
    <s v="tjuandne"/>
  </r>
  <r>
    <x v="257"/>
    <x v="35"/>
    <s v="Admin/HR/IT"/>
    <s v="AMCARE NonOcc In"/>
    <s v="AMZN"/>
    <n v="112912752"/>
    <s v="Valderrama Gomez,Leslie"/>
    <s v="Camarena,Grecia"/>
    <n v="0"/>
    <n v="0"/>
    <n v="0"/>
    <n v="0"/>
    <n v="0.23"/>
    <s v="NF-X1900"/>
    <s v="valderle"/>
  </r>
  <r>
    <x v="257"/>
    <x v="35"/>
    <s v="Admin/HR/IT"/>
    <s v="AMCARE NonOcc In"/>
    <s v="AMZN"/>
    <n v="112951256"/>
    <s v="Ramirez Vallejo,Kateryne"/>
    <s v="Cortes,Alejandra"/>
    <n v="0"/>
    <n v="0"/>
    <n v="0"/>
    <n v="0"/>
    <n v="0.11"/>
    <s v="DA-X0700"/>
    <s v="grkatery"/>
  </r>
  <r>
    <x v="257"/>
    <x v="35"/>
    <s v="Admin/HR/IT"/>
    <s v="AMCARE NonOcc In"/>
    <s v="AMZN"/>
    <n v="112972958"/>
    <s v="Gonzalez Gonzalez,Antonio"/>
    <s v="Cortes,Alejandra"/>
    <n v="0"/>
    <n v="0"/>
    <n v="0"/>
    <n v="0"/>
    <n v="0.39"/>
    <s v="D5-X0700"/>
    <s v="ugonzgui"/>
  </r>
  <r>
    <x v="257"/>
    <x v="35"/>
    <s v="Admin/HR/IT"/>
    <s v="AMCARE NonOcc In"/>
    <s v="AMZN"/>
    <n v="200574655"/>
    <s v="Mireles,Dulce"/>
    <s v="Corona Arriaga,Fernando"/>
    <n v="0"/>
    <n v="0"/>
    <n v="0"/>
    <n v="0"/>
    <n v="0.16"/>
    <e v="#N/A"/>
    <s v="dulceami"/>
  </r>
  <r>
    <x v="257"/>
    <x v="35"/>
    <s v="Admin/HR/IT"/>
    <s v="AMCARE NonOcc In"/>
    <s v="AMZN"/>
    <n v="200625528"/>
    <s v="Oliva,Lizbeth"/>
    <s v="Piedra,Valentina"/>
    <n v="0"/>
    <n v="0"/>
    <n v="0"/>
    <n v="0"/>
    <n v="7.0000000000000007E-2"/>
    <e v="#N/A"/>
    <s v="olivlizb"/>
  </r>
  <r>
    <x v="257"/>
    <x v="35"/>
    <s v="Admin/HR/IT"/>
    <s v="AMCARE NonOcc In"/>
    <s v="AMZN"/>
    <n v="201167388"/>
    <s v="Aguirre,Octavio"/>
    <s v="Madrid Molina,Ramon"/>
    <n v="0"/>
    <n v="0"/>
    <n v="0"/>
    <n v="0"/>
    <n v="0.78"/>
    <e v="#N/A"/>
    <s v="naguirro"/>
  </r>
  <r>
    <x v="257"/>
    <x v="35"/>
    <s v="Admin/HR/IT"/>
    <s v="AMCARE NonOcc In"/>
    <s v="AMZN"/>
    <n v="201198922"/>
    <s v="Mendez,Joy"/>
    <s v="Munoz,Jonan"/>
    <n v="0"/>
    <n v="0"/>
    <n v="0"/>
    <n v="0"/>
    <n v="0.14000000000000001"/>
    <e v="#N/A"/>
    <s v="mendejoy"/>
  </r>
  <r>
    <x v="257"/>
    <x v="35"/>
    <s v="Admin/HR/IT"/>
    <s v="AMCARE NonOcc In"/>
    <s v="AMZN"/>
    <n v="201211157"/>
    <s v="Vargas,Jesse"/>
    <s v="Gomez Aguado,Jorge"/>
    <n v="0"/>
    <n v="0"/>
    <n v="0"/>
    <n v="0"/>
    <n v="0.28000000000000003"/>
    <e v="#N/A"/>
    <s v="vargajed"/>
  </r>
  <r>
    <x v="257"/>
    <x v="35"/>
    <s v="Admin/HR/IT"/>
    <s v="AMCARE NonOcc In"/>
    <s v="AMZN"/>
    <n v="201228411"/>
    <s v="Hernandez Soriano,Jazmin"/>
    <s v="Corona Arriaga,Fernando"/>
    <n v="0"/>
    <n v="0"/>
    <n v="0"/>
    <n v="0"/>
    <n v="1.08"/>
    <e v="#N/A"/>
    <s v="jazmiwhe"/>
  </r>
  <r>
    <x v="257"/>
    <x v="35"/>
    <s v="Admin/HR/IT"/>
    <s v="AMCARE NonOcc In"/>
    <s v="AMZN"/>
    <n v="201345737"/>
    <s v="Rosales,Paco"/>
    <s v="Lopez,Alexa"/>
    <n v="0"/>
    <n v="0"/>
    <n v="0"/>
    <n v="0"/>
    <n v="0.32"/>
    <e v="#N/A"/>
    <s v="upacoros"/>
  </r>
  <r>
    <x v="257"/>
    <x v="35"/>
    <s v="Admin/HR/IT"/>
    <s v="AMCARE NonOcc In"/>
    <s v="AMZN"/>
    <n v="201354965"/>
    <s v="JimÃ©nez,Aline"/>
    <s v="Lopez,Alexa"/>
    <n v="0"/>
    <n v="0"/>
    <n v="0"/>
    <n v="0"/>
    <n v="0.22"/>
    <e v="#N/A"/>
    <s v="alinejim"/>
  </r>
  <r>
    <x v="257"/>
    <x v="35"/>
    <s v="Admin/HR/IT"/>
    <s v="AMCARE NonOcc In"/>
    <s v="AMZN"/>
    <n v="201378542"/>
    <s v="Contreras,Evelyn"/>
    <s v="Bueno Mendoza,Susana"/>
    <n v="0"/>
    <n v="0"/>
    <n v="0"/>
    <n v="0"/>
    <n v="7.68"/>
    <e v="#N/A"/>
    <s v="tcontree"/>
  </r>
  <r>
    <x v="257"/>
    <x v="35"/>
    <s v="Admin/HR/IT"/>
    <s v="AMCARE NonOcc In"/>
    <s v="TEMP"/>
    <n v="201864225"/>
    <s v="Flores,Ivan"/>
    <s v="Corona Arriaga,Fernando"/>
    <n v="0"/>
    <n v="0"/>
    <n v="0"/>
    <n v="0"/>
    <n v="0.23"/>
    <e v="#N/A"/>
    <s v="floreivc"/>
  </r>
  <r>
    <x v="258"/>
    <x v="35"/>
    <s v="Admin/HR/IT"/>
    <s v="AMCARE NonOcc In"/>
    <s v="AMZN"/>
    <n v="107351579"/>
    <s v="Quemada,Jesus"/>
    <s v="Pizana,Diego"/>
    <n v="0"/>
    <n v="0"/>
    <n v="0"/>
    <n v="0"/>
    <n v="0.47"/>
    <s v="NF-X1900"/>
    <s v="caldmjos"/>
  </r>
  <r>
    <x v="258"/>
    <x v="35"/>
    <s v="Admin/HR/IT"/>
    <s v="AMCARE NonOcc In"/>
    <s v="AMZN"/>
    <n v="112920666"/>
    <s v="Rocha,Jose"/>
    <s v="Cortes,Alejandra"/>
    <n v="0"/>
    <n v="0"/>
    <n v="0"/>
    <n v="0"/>
    <n v="0.92"/>
    <s v="D5-X0700"/>
    <s v="jorochai"/>
  </r>
  <r>
    <x v="258"/>
    <x v="35"/>
    <s v="Admin/HR/IT"/>
    <s v="AMCARE NonOcc In"/>
    <s v="AMZN"/>
    <n v="112950784"/>
    <s v="Rojas,Samuel"/>
    <s v="Pizana,Diego"/>
    <n v="0"/>
    <n v="0"/>
    <n v="0"/>
    <n v="0"/>
    <n v="0.26"/>
    <s v="NF-X1900"/>
    <s v="sarojast"/>
  </r>
  <r>
    <x v="258"/>
    <x v="35"/>
    <s v="Admin/HR/IT"/>
    <s v="AMCARE NonOcc In"/>
    <s v="TEMP"/>
    <n v="113003619"/>
    <s v="Villegas,Jesus"/>
    <s v="Madrid Molina,Ramon"/>
    <n v="0"/>
    <n v="0"/>
    <n v="0"/>
    <n v="0"/>
    <n v="0.28999999999999998"/>
    <e v="#N/A"/>
    <e v="#N/A"/>
  </r>
  <r>
    <x v="258"/>
    <x v="35"/>
    <s v="Admin/HR/IT"/>
    <s v="AMCARE NonOcc In"/>
    <s v="AMZN"/>
    <n v="113020476"/>
    <s v="Puente Aguilar,Polette"/>
    <s v="Madrid Molina,Ramon"/>
    <n v="0"/>
    <n v="0"/>
    <n v="0"/>
    <n v="0"/>
    <n v="0.4"/>
    <e v="#N/A"/>
    <s v="polettpu"/>
  </r>
  <r>
    <x v="258"/>
    <x v="35"/>
    <s v="Admin/HR/IT"/>
    <s v="AMCARE NonOcc In"/>
    <s v="AMZN"/>
    <n v="113052151"/>
    <s v="Nieves Mendez,Laura"/>
    <s v="Ledezma,Fer"/>
    <n v="0"/>
    <n v="0"/>
    <n v="0"/>
    <n v="0"/>
    <n v="0.56999999999999995"/>
    <e v="#N/A"/>
    <s v="nilaurab"/>
  </r>
  <r>
    <x v="258"/>
    <x v="35"/>
    <s v="Admin/HR/IT"/>
    <s v="AMCARE NonOcc In"/>
    <s v="AMZN"/>
    <n v="200574655"/>
    <s v="Mireles,Dulce"/>
    <s v="Corona Arriaga,Fernando"/>
    <n v="0"/>
    <n v="0"/>
    <n v="0"/>
    <n v="0"/>
    <n v="0.28000000000000003"/>
    <e v="#N/A"/>
    <s v="dulceami"/>
  </r>
  <r>
    <x v="258"/>
    <x v="35"/>
    <s v="Admin/HR/IT"/>
    <s v="AMCARE NonOcc In"/>
    <s v="AMZN"/>
    <n v="200615801"/>
    <s v="Gongora,Daniel"/>
    <s v="Bueno Mendoza,Susana"/>
    <n v="0"/>
    <n v="0"/>
    <n v="0"/>
    <n v="0"/>
    <n v="1.43"/>
    <e v="#N/A"/>
    <s v="dangongo"/>
  </r>
  <r>
    <x v="258"/>
    <x v="35"/>
    <s v="Admin/HR/IT"/>
    <s v="AMCARE NonOcc In"/>
    <s v="AMZN"/>
    <n v="200625528"/>
    <s v="Oliva,Lizbeth"/>
    <s v="Piedra,Valentina"/>
    <n v="0"/>
    <n v="0"/>
    <n v="0"/>
    <n v="0"/>
    <n v="7.0000000000000007E-2"/>
    <e v="#N/A"/>
    <s v="olivlizb"/>
  </r>
  <r>
    <x v="258"/>
    <x v="35"/>
    <s v="Admin/HR/IT"/>
    <s v="AMCARE NonOcc In"/>
    <s v="AMZN"/>
    <n v="201191390"/>
    <s v="GarcÃ­a,jesus"/>
    <s v="Madrid Molina,Ramon"/>
    <n v="0"/>
    <n v="0"/>
    <n v="0"/>
    <n v="0"/>
    <n v="0.56000000000000005"/>
    <e v="#N/A"/>
    <s v="bgajesus"/>
  </r>
  <r>
    <x v="258"/>
    <x v="35"/>
    <s v="Admin/HR/IT"/>
    <s v="AMCARE NonOcc In"/>
    <s v="AMZN"/>
    <n v="201223730"/>
    <s v="Sanchiz,Cesarito"/>
    <s v="Corona Arriaga,Fernando"/>
    <n v="0"/>
    <n v="0"/>
    <n v="0"/>
    <n v="0"/>
    <n v="1.1499999999999999"/>
    <e v="#N/A"/>
    <s v="cesarito"/>
  </r>
  <r>
    <x v="258"/>
    <x v="35"/>
    <s v="Admin/HR/IT"/>
    <s v="AMCARE NonOcc In"/>
    <s v="AMZN"/>
    <n v="201228411"/>
    <s v="Hernandez Soriano,Jazmin"/>
    <s v="Corona Arriaga,Fernando"/>
    <n v="0"/>
    <n v="0"/>
    <n v="0"/>
    <n v="0"/>
    <n v="1.1399999999999999"/>
    <e v="#N/A"/>
    <s v="jazmiwhe"/>
  </r>
  <r>
    <x v="258"/>
    <x v="35"/>
    <s v="Admin/HR/IT"/>
    <s v="AMCARE NonOcc In"/>
    <s v="AMZN"/>
    <n v="201341534"/>
    <s v="Becerra,Esmeralda"/>
    <s v="Piedra,Valentina"/>
    <n v="0"/>
    <n v="0"/>
    <n v="0"/>
    <n v="0"/>
    <n v="2.1800000000000002"/>
    <e v="#N/A"/>
    <s v="beceresm"/>
  </r>
  <r>
    <x v="258"/>
    <x v="35"/>
    <s v="Admin/HR/IT"/>
    <s v="AMCARE NonOcc In"/>
    <s v="AMZN"/>
    <n v="201353153"/>
    <s v="Plascencia,Javier"/>
    <s v="Cortes,Alejandra"/>
    <n v="0"/>
    <n v="0"/>
    <n v="0"/>
    <n v="0"/>
    <n v="1.05"/>
    <e v="#N/A"/>
    <s v="javplasc"/>
  </r>
  <r>
    <x v="258"/>
    <x v="35"/>
    <s v="Admin/HR/IT"/>
    <s v="AMCARE NonOcc In"/>
    <s v="TEMP"/>
    <n v="201847940"/>
    <s v="Vallecillo,Jessy"/>
    <s v="Ledezma,Fer"/>
    <n v="0"/>
    <n v="0"/>
    <n v="0"/>
    <n v="0"/>
    <n v="0.11"/>
    <e v="#N/A"/>
    <e v="#N/A"/>
  </r>
  <r>
    <x v="258"/>
    <x v="35"/>
    <s v="Admin/HR/IT"/>
    <s v="AMCARE NonOcc In"/>
    <s v="TEMP"/>
    <n v="201858789"/>
    <s v="HINOJOSA,IGNACIO"/>
    <s v="Ledezma,Fer"/>
    <n v="0"/>
    <n v="0"/>
    <n v="0"/>
    <n v="0"/>
    <n v="1.25"/>
    <e v="#N/A"/>
    <s v="ignachis"/>
  </r>
  <r>
    <x v="259"/>
    <x v="35"/>
    <s v="Admin/HR/IT"/>
    <s v="AMCARE NonOcc In"/>
    <s v="AMZN"/>
    <n v="112920637"/>
    <s v="Tapia,Antonio Torres"/>
    <s v="Cortes,Alejandra"/>
    <n v="0"/>
    <n v="0"/>
    <n v="0"/>
    <n v="0"/>
    <n v="0.91"/>
    <s v="DB-X0700"/>
    <s v="antonitq"/>
  </r>
  <r>
    <x v="259"/>
    <x v="35"/>
    <s v="Admin/HR/IT"/>
    <s v="AMCARE NonOcc In"/>
    <s v="AMZN"/>
    <n v="112920655"/>
    <s v="Diaz de LeÃ³n,Paola"/>
    <s v="Cortes,Alejandra"/>
    <n v="0"/>
    <n v="0"/>
    <n v="0"/>
    <n v="0"/>
    <n v="0.24"/>
    <e v="#N/A"/>
    <e v="#N/A"/>
  </r>
  <r>
    <x v="259"/>
    <x v="35"/>
    <s v="Admin/HR/IT"/>
    <s v="AMCARE NonOcc In"/>
    <s v="AMZN"/>
    <n v="113014042"/>
    <s v="Cervantes,Rose"/>
    <s v="Gomez Aguado,Jorge"/>
    <n v="0"/>
    <n v="0"/>
    <n v="0"/>
    <n v="0"/>
    <n v="0.3"/>
    <e v="#N/A"/>
    <s v="rfcervan"/>
  </r>
  <r>
    <x v="259"/>
    <x v="35"/>
    <s v="Admin/HR/IT"/>
    <s v="AMCARE NonOcc In"/>
    <s v="AMZN"/>
    <n v="113014074"/>
    <s v="Gutierrez,Gabriela"/>
    <s v="Lopez,Alexa"/>
    <n v="0"/>
    <n v="0"/>
    <n v="0"/>
    <n v="0"/>
    <n v="0.28999999999999998"/>
    <e v="#N/A"/>
    <e v="#N/A"/>
  </r>
  <r>
    <x v="259"/>
    <x v="35"/>
    <s v="Admin/HR/IT"/>
    <s v="AMCARE NonOcc In"/>
    <s v="AMZN"/>
    <n v="113014560"/>
    <s v="Lopez Moreno,Americo"/>
    <s v="Lopez,Alexa"/>
    <n v="0"/>
    <n v="0"/>
    <n v="0"/>
    <n v="0"/>
    <n v="0.1"/>
    <e v="#N/A"/>
    <s v="zlopamer"/>
  </r>
  <r>
    <x v="259"/>
    <x v="35"/>
    <s v="Admin/HR/IT"/>
    <s v="AMCARE NonOcc In"/>
    <s v="AMZN"/>
    <n v="200614224"/>
    <s v="Cruz Hernandez,Cris"/>
    <s v="Lopez,Alexa"/>
    <n v="0"/>
    <n v="0"/>
    <n v="0"/>
    <n v="0"/>
    <n v="0.47"/>
    <e v="#N/A"/>
    <e v="#N/A"/>
  </r>
  <r>
    <x v="259"/>
    <x v="35"/>
    <s v="Admin/HR/IT"/>
    <s v="AMCARE NonOcc In"/>
    <s v="AMZN"/>
    <n v="201198922"/>
    <s v="Mendez,Joy"/>
    <s v="Munoz,Jonan"/>
    <n v="0"/>
    <n v="0"/>
    <n v="0"/>
    <n v="0"/>
    <n v="0.49"/>
    <e v="#N/A"/>
    <s v="mendejoy"/>
  </r>
  <r>
    <x v="259"/>
    <x v="35"/>
    <s v="Admin/HR/IT"/>
    <s v="AMCARE NonOcc In"/>
    <s v="AMZN"/>
    <n v="201211157"/>
    <s v="Vargas,Jesse"/>
    <s v="Gomez Aguado,Jorge"/>
    <n v="0"/>
    <n v="0"/>
    <n v="0"/>
    <n v="0"/>
    <n v="0.23"/>
    <e v="#N/A"/>
    <s v="vargajed"/>
  </r>
  <r>
    <x v="259"/>
    <x v="35"/>
    <s v="Admin/HR/IT"/>
    <s v="AMCARE NonOcc In"/>
    <s v="AMZN"/>
    <n v="201223730"/>
    <s v="Sanchiz,Cesarito"/>
    <s v="Corona Arriaga,Fernando"/>
    <n v="0"/>
    <n v="0"/>
    <n v="0"/>
    <n v="0"/>
    <n v="0.63"/>
    <e v="#N/A"/>
    <s v="cesarito"/>
  </r>
  <r>
    <x v="259"/>
    <x v="35"/>
    <s v="Admin/HR/IT"/>
    <s v="AMCARE NonOcc In"/>
    <s v="AMZN"/>
    <n v="201228411"/>
    <s v="Hernandez Soriano,Jazmin"/>
    <s v="Corona Arriaga,Fernando"/>
    <n v="0"/>
    <n v="0"/>
    <n v="0"/>
    <n v="0"/>
    <n v="0.64"/>
    <e v="#N/A"/>
    <s v="jazmiwhe"/>
  </r>
  <r>
    <x v="259"/>
    <x v="35"/>
    <s v="Admin/HR/IT"/>
    <s v="AMCARE NonOcc In"/>
    <s v="AMZN"/>
    <n v="201295551"/>
    <s v="Barcenas,Alma"/>
    <s v="Lopez,Alexa"/>
    <n v="0"/>
    <n v="0"/>
    <n v="0"/>
    <n v="0"/>
    <n v="0.06"/>
    <e v="#N/A"/>
    <e v="#N/A"/>
  </r>
  <r>
    <x v="259"/>
    <x v="35"/>
    <s v="Admin/HR/IT"/>
    <s v="AMCARE NonOcc In"/>
    <s v="TEMP"/>
    <n v="201842039"/>
    <s v="Martinez,Antonio"/>
    <s v="Corona Arriaga,Fernando"/>
    <n v="0"/>
    <n v="0"/>
    <n v="0"/>
    <n v="0"/>
    <n v="0.13"/>
    <e v="#N/A"/>
    <s v="fantmar"/>
  </r>
  <r>
    <x v="259"/>
    <x v="35"/>
    <s v="Admin/HR/IT"/>
    <s v="AMCARE NonOcc In"/>
    <s v="TEMP"/>
    <n v="201903097"/>
    <s v="Oliva,Montserrat"/>
    <s v="Ledezma,Fer"/>
    <n v="0"/>
    <n v="0"/>
    <n v="0"/>
    <n v="0"/>
    <n v="0.92"/>
    <e v="#N/A"/>
    <s v="montoliy"/>
  </r>
  <r>
    <x v="260"/>
    <x v="36"/>
    <s v="Admin/HR/IT"/>
    <s v="AMCARE NonOcc In"/>
    <s v="AMZN"/>
    <n v="112912203"/>
    <s v="Alvarez Olivares,Omar Leonardo"/>
    <s v="Pizana,Diego"/>
    <n v="0"/>
    <n v="0"/>
    <n v="0"/>
    <n v="0"/>
    <n v="0.18"/>
    <s v="DA-X0700"/>
    <s v="omarleoa"/>
  </r>
  <r>
    <x v="260"/>
    <x v="36"/>
    <s v="Admin/HR/IT"/>
    <s v="AMCARE NonOcc In"/>
    <s v="AMZN"/>
    <n v="112950784"/>
    <s v="Rojas,Samuel"/>
    <s v="Pizana,Diego"/>
    <n v="0"/>
    <n v="0"/>
    <n v="0"/>
    <n v="0"/>
    <n v="0.17"/>
    <s v="NF-X1900"/>
    <s v="sarojast"/>
  </r>
  <r>
    <x v="260"/>
    <x v="36"/>
    <s v="Admin/HR/IT"/>
    <s v="AMCARE NonOcc In"/>
    <s v="AMZN"/>
    <n v="112971962"/>
    <s v="Reyes  Montes de oca,Alejandra"/>
    <s v="Lopez,Alexa"/>
    <n v="0"/>
    <n v="0"/>
    <n v="0"/>
    <n v="0"/>
    <n v="0.14000000000000001"/>
    <s v="DB-X0700"/>
    <s v="creyesal"/>
  </r>
  <r>
    <x v="260"/>
    <x v="36"/>
    <s v="Admin/HR/IT"/>
    <s v="AMCARE NonOcc In"/>
    <s v="AMZN"/>
    <n v="112980887"/>
    <s v="Rodriguez Mares,Rocio"/>
    <s v="Pizana,Diego"/>
    <n v="0"/>
    <n v="0"/>
    <n v="0"/>
    <n v="0"/>
    <n v="0.18"/>
    <e v="#N/A"/>
    <e v="#N/A"/>
  </r>
  <r>
    <x v="260"/>
    <x v="36"/>
    <s v="Admin/HR/IT"/>
    <s v="AMCARE NonOcc In"/>
    <s v="AMZN"/>
    <n v="112981194"/>
    <s v="Camacho Delgado,Karina"/>
    <s v="Camarena,Grecia"/>
    <n v="0"/>
    <n v="0"/>
    <n v="0"/>
    <n v="0"/>
    <n v="0.13"/>
    <s v="NF-X1900"/>
    <s v="csandrak"/>
  </r>
  <r>
    <x v="260"/>
    <x v="36"/>
    <s v="Admin/HR/IT"/>
    <s v="AMCARE NonOcc In"/>
    <s v="AMZN"/>
    <n v="113014403"/>
    <s v="Arias Sanchez,Nora"/>
    <s v="Rosas Negrete,Sebastian"/>
    <n v="0"/>
    <n v="0"/>
    <n v="0"/>
    <n v="0"/>
    <n v="0.15"/>
    <e v="#N/A"/>
    <s v="wnoraria"/>
  </r>
  <r>
    <x v="260"/>
    <x v="36"/>
    <s v="Admin/HR/IT"/>
    <s v="AMCARE NonOcc In"/>
    <s v="AMZN"/>
    <n v="113020463"/>
    <s v="Valtierra,Alejandra"/>
    <s v="Robledo Ugarte,Alejandro"/>
    <n v="0"/>
    <n v="0"/>
    <n v="0"/>
    <n v="0"/>
    <n v="0.23"/>
    <e v="#N/A"/>
    <s v="myriamav"/>
  </r>
  <r>
    <x v="260"/>
    <x v="36"/>
    <s v="Admin/HR/IT"/>
    <s v="AMCARE NonOcc In"/>
    <s v="AMZN"/>
    <n v="113101453"/>
    <s v="Isaac,Geovanna"/>
    <s v="Robledo Ugarte,Alejandro"/>
    <n v="0"/>
    <n v="0"/>
    <n v="0"/>
    <n v="0"/>
    <n v="0.11"/>
    <e v="#N/A"/>
    <s v="qisgeova"/>
  </r>
  <r>
    <x v="260"/>
    <x v="36"/>
    <s v="Admin/HR/IT"/>
    <s v="AMCARE NonOcc In"/>
    <s v="AMZN"/>
    <n v="200404250"/>
    <s v="Hurtado,Caty"/>
    <s v="Romero Sanchez,Gustavo Gabriel"/>
    <n v="0"/>
    <n v="0"/>
    <n v="0"/>
    <n v="0"/>
    <n v="0.36"/>
    <e v="#N/A"/>
    <s v="xcathurt"/>
  </r>
  <r>
    <x v="260"/>
    <x v="36"/>
    <s v="Admin/HR/IT"/>
    <s v="AMCARE NonOcc In"/>
    <s v="AMZN"/>
    <n v="200620341"/>
    <s v="Camacho Ramirez,Carlos"/>
    <s v="Rosas Negrete,Sebastian"/>
    <n v="0"/>
    <n v="0"/>
    <n v="0"/>
    <n v="0"/>
    <n v="0.28000000000000003"/>
    <e v="#N/A"/>
    <e v="#N/A"/>
  </r>
  <r>
    <x v="260"/>
    <x v="36"/>
    <s v="Admin/HR/IT"/>
    <s v="AMCARE NonOcc In"/>
    <s v="AMZN"/>
    <n v="201167501"/>
    <s v="Rodriguez,Ruben"/>
    <s v="Robledo Ugarte,Alejandro"/>
    <n v="0"/>
    <n v="0"/>
    <n v="0"/>
    <n v="0"/>
    <n v="0.21"/>
    <e v="#N/A"/>
    <s v="wguanajr"/>
  </r>
  <r>
    <x v="260"/>
    <x v="36"/>
    <s v="Admin/HR/IT"/>
    <s v="AMCARE NonOcc In"/>
    <s v="AMZN"/>
    <n v="201341534"/>
    <s v="Becerra,Esmeralda"/>
    <s v="Piedra,Valentina"/>
    <n v="0"/>
    <n v="0"/>
    <n v="0"/>
    <n v="0"/>
    <n v="0.18"/>
    <e v="#N/A"/>
    <s v="beceresm"/>
  </r>
  <r>
    <x v="260"/>
    <x v="36"/>
    <s v="Admin/HR/IT"/>
    <s v="AMCARE NonOcc In"/>
    <s v="TEMP"/>
    <n v="201882567"/>
    <s v="Valtierra,Salvador"/>
    <s v="Romero Sanchez,Gustavo Gabriel"/>
    <n v="0"/>
    <n v="0"/>
    <n v="0"/>
    <n v="0"/>
    <n v="0.22"/>
    <e v="#N/A"/>
    <s v="valtsalv"/>
  </r>
  <r>
    <x v="261"/>
    <x v="36"/>
    <s v="Admin/HR/IT"/>
    <s v="AMCARE NonOcc In"/>
    <s v="AMZN"/>
    <n v="103979960"/>
    <s v="Suchil Angel,Guillermo"/>
    <s v="Robledo Ugarte,Alejandro"/>
    <n v="0"/>
    <n v="0"/>
    <n v="0"/>
    <n v="0"/>
    <n v="0.47"/>
    <e v="#N/A"/>
    <e v="#N/A"/>
  </r>
  <r>
    <x v="261"/>
    <x v="36"/>
    <s v="Admin/HR/IT"/>
    <s v="AMCARE NonOcc In"/>
    <s v="AMZN"/>
    <n v="112950797"/>
    <s v="Serna,Denisse"/>
    <s v="Pizana,Diego"/>
    <n v="0"/>
    <n v="0"/>
    <n v="0"/>
    <n v="0"/>
    <n v="0.33"/>
    <s v="DA-X0700"/>
    <s v="hesdenis"/>
  </r>
  <r>
    <x v="261"/>
    <x v="36"/>
    <s v="Admin/HR/IT"/>
    <s v="AMCARE NonOcc In"/>
    <s v="AMZN"/>
    <n v="113013981"/>
    <s v="Espinosa,Ali"/>
    <s v="Bueno Mendoza,Susana"/>
    <n v="0"/>
    <n v="0"/>
    <n v="0"/>
    <n v="0"/>
    <n v="0.39"/>
    <e v="#N/A"/>
    <e v="#N/A"/>
  </r>
  <r>
    <x v="261"/>
    <x v="36"/>
    <s v="Admin/HR/IT"/>
    <s v="AMCARE NonOcc In"/>
    <s v="AMZN"/>
    <n v="113014094"/>
    <s v="Mercado,Erika"/>
    <s v="Robledo Ugarte,Alejandro"/>
    <n v="0"/>
    <n v="0"/>
    <n v="0"/>
    <n v="0"/>
    <n v="0.31"/>
    <e v="#N/A"/>
    <s v="erikaadm"/>
  </r>
  <r>
    <x v="261"/>
    <x v="36"/>
    <s v="Admin/HR/IT"/>
    <s v="AMCARE NonOcc In"/>
    <s v="AMZN"/>
    <n v="113052151"/>
    <s v="Nieves Mendez,Laura"/>
    <s v="Ledezma,Fer"/>
    <n v="0"/>
    <n v="0"/>
    <n v="0"/>
    <n v="0"/>
    <n v="0.23"/>
    <e v="#N/A"/>
    <s v="nilaurab"/>
  </r>
  <r>
    <x v="261"/>
    <x v="36"/>
    <s v="Admin/HR/IT"/>
    <s v="AMCARE NonOcc In"/>
    <s v="AMZN"/>
    <n v="200563038"/>
    <s v="Arias,Elizabeth"/>
    <s v="Munoz,Jonan"/>
    <n v="0"/>
    <n v="0"/>
    <n v="0"/>
    <n v="0"/>
    <n v="0.34"/>
    <e v="#N/A"/>
    <s v="ariaszee"/>
  </r>
  <r>
    <x v="261"/>
    <x v="36"/>
    <s v="Admin/HR/IT"/>
    <s v="AMCARE NonOcc In"/>
    <s v="AMZN"/>
    <n v="201165769"/>
    <s v="Puente,Karen"/>
    <s v="Piedra,Valentina"/>
    <n v="0"/>
    <n v="0"/>
    <n v="0"/>
    <n v="0"/>
    <n v="0.17"/>
    <e v="#N/A"/>
    <s v="puenkare"/>
  </r>
  <r>
    <x v="261"/>
    <x v="36"/>
    <s v="Admin/HR/IT"/>
    <s v="AMCARE NonOcc In"/>
    <s v="AMZN"/>
    <n v="201167501"/>
    <s v="Rodriguez,Ruben"/>
    <s v="Robledo Ugarte,Alejandro"/>
    <n v="0"/>
    <n v="0"/>
    <n v="0"/>
    <n v="0"/>
    <n v="0.12"/>
    <e v="#N/A"/>
    <s v="wguanajr"/>
  </r>
  <r>
    <x v="261"/>
    <x v="36"/>
    <s v="Admin/HR/IT"/>
    <s v="AMCARE NonOcc In"/>
    <s v="TEMP"/>
    <n v="201320536"/>
    <s v="Ibarra,Miguel"/>
    <s v="Ledezma,Fer"/>
    <n v="0"/>
    <n v="0"/>
    <n v="0"/>
    <n v="0"/>
    <n v="0.28999999999999998"/>
    <e v="#N/A"/>
    <s v="ibalmigu"/>
  </r>
  <r>
    <x v="261"/>
    <x v="36"/>
    <s v="Admin/HR/IT"/>
    <s v="AMCARE NonOcc In"/>
    <s v="AMZN"/>
    <n v="201341534"/>
    <s v="Becerra,Esmeralda"/>
    <s v="Piedra,Valentina"/>
    <n v="0"/>
    <n v="0"/>
    <n v="0"/>
    <n v="0"/>
    <n v="0.08"/>
    <e v="#N/A"/>
    <s v="beceresm"/>
  </r>
  <r>
    <x v="261"/>
    <x v="36"/>
    <s v="Admin/HR/IT"/>
    <s v="AMCARE NonOcc In"/>
    <s v="TEMP"/>
    <n v="201882567"/>
    <s v="Valtierra,Salvador"/>
    <s v="Romero Sanchez,Gustavo Gabriel"/>
    <n v="0"/>
    <n v="0"/>
    <n v="0"/>
    <n v="0"/>
    <n v="0.15"/>
    <e v="#N/A"/>
    <s v="valtsalv"/>
  </r>
  <r>
    <x v="261"/>
    <x v="36"/>
    <s v="Admin/HR/IT"/>
    <s v="AMCARE NonOcc In"/>
    <s v="TEMP"/>
    <n v="201891076"/>
    <s v="Olvera,Marilu"/>
    <s v="Romero Sanchez,Gustavo Gabriel"/>
    <n v="0"/>
    <n v="0"/>
    <n v="0"/>
    <n v="0"/>
    <n v="0.13"/>
    <e v="#N/A"/>
    <s v="marmolve"/>
  </r>
  <r>
    <x v="261"/>
    <x v="36"/>
    <s v="Admin/HR/IT"/>
    <s v="AMCARE NonOcc In"/>
    <s v="TEMP"/>
    <n v="201902140"/>
    <s v="GarcÃ­a,Alma"/>
    <s v="Pizana,Diego"/>
    <n v="0"/>
    <n v="0"/>
    <n v="0"/>
    <n v="0"/>
    <n v="0.18"/>
    <e v="#N/A"/>
    <s v="almagarx"/>
  </r>
  <r>
    <x v="261"/>
    <x v="36"/>
    <s v="Admin/HR/IT"/>
    <s v="AMCARE Out"/>
    <s v="AMZN"/>
    <n v="201378542"/>
    <s v="DElgado,David"/>
    <s v="Bueno Mendoza,Susana"/>
    <n v="0"/>
    <n v="0"/>
    <n v="0"/>
    <n v="0"/>
    <n v="0.55000000000000004"/>
    <e v="#N/A"/>
    <s v="tcontree"/>
  </r>
  <r>
    <x v="261"/>
    <x v="36"/>
    <s v="Admin/HR/IT"/>
    <s v="AMCARE Out"/>
    <s v="AMZN"/>
    <n v="201401219"/>
    <s v="Moreno,Nayma"/>
    <s v="Bueno Mendoza,Susana"/>
    <n v="0"/>
    <n v="0"/>
    <n v="0"/>
    <n v="0"/>
    <n v="0.19"/>
    <e v="#N/A"/>
    <s v="namorena"/>
  </r>
  <r>
    <x v="262"/>
    <x v="36"/>
    <s v="Admin/HR/IT"/>
    <s v="AMCARE NonOcc In"/>
    <s v="AMZN"/>
    <n v="112912507"/>
    <s v="Velazquez,Charlie"/>
    <s v="Pizana,Diego"/>
    <n v="0"/>
    <n v="0"/>
    <n v="0"/>
    <n v="0"/>
    <n v="0.05"/>
    <s v="DA-X0700"/>
    <s v="hvcharli"/>
  </r>
  <r>
    <x v="262"/>
    <x v="36"/>
    <s v="Admin/HR/IT"/>
    <s v="AMCARE NonOcc In"/>
    <s v="AMZN"/>
    <n v="112950797"/>
    <s v="Serna,Denisse"/>
    <s v="Pizana,Diego"/>
    <n v="0"/>
    <n v="0"/>
    <n v="0"/>
    <n v="0"/>
    <n v="0.04"/>
    <s v="DA-X0700"/>
    <s v="hesdenis"/>
  </r>
  <r>
    <x v="262"/>
    <x v="36"/>
    <s v="Admin/HR/IT"/>
    <s v="AMCARE NonOcc In"/>
    <s v="AMZN"/>
    <n v="112980899"/>
    <s v="Avila Cabrera,Ari"/>
    <s v="Camarena,Grecia"/>
    <n v="0"/>
    <n v="0"/>
    <n v="0"/>
    <n v="0"/>
    <n v="0.24"/>
    <s v="NF-X1900"/>
    <s v="aravilac"/>
  </r>
  <r>
    <x v="262"/>
    <x v="36"/>
    <s v="Admin/HR/IT"/>
    <s v="AMCARE NonOcc In"/>
    <s v="AMZN"/>
    <n v="113013999"/>
    <s v="Rayas,Ivan"/>
    <s v="Bueno Mendoza,Susana"/>
    <n v="0"/>
    <n v="0"/>
    <n v="0"/>
    <n v="0"/>
    <n v="0.14000000000000001"/>
    <e v="#N/A"/>
    <s v="ivarayas"/>
  </r>
  <r>
    <x v="262"/>
    <x v="36"/>
    <s v="Admin/HR/IT"/>
    <s v="AMCARE NonOcc In"/>
    <s v="AMZN"/>
    <n v="113019001"/>
    <s v="Lozano Hernandez,Donny"/>
    <s v="Bueno Mendoza,Susana"/>
    <n v="0"/>
    <n v="0"/>
    <n v="0"/>
    <n v="0"/>
    <n v="0.16"/>
    <e v="#N/A"/>
    <s v="dolozane"/>
  </r>
  <r>
    <x v="262"/>
    <x v="36"/>
    <s v="Admin/HR/IT"/>
    <s v="AMCARE NonOcc In"/>
    <s v="AMZN"/>
    <n v="113020463"/>
    <s v="Valtierra,Alejandra"/>
    <s v="Robledo Ugarte,Alejandro"/>
    <n v="0"/>
    <n v="0"/>
    <n v="0"/>
    <n v="0"/>
    <n v="0.13"/>
    <e v="#N/A"/>
    <s v="myriamav"/>
  </r>
  <r>
    <x v="262"/>
    <x v="36"/>
    <s v="Admin/HR/IT"/>
    <s v="AMCARE NonOcc In"/>
    <s v="AMZN"/>
    <n v="113020476"/>
    <s v="Puente Aguilar,Polette"/>
    <s v="Madrid Molina,Ramon"/>
    <n v="0"/>
    <n v="0"/>
    <n v="0"/>
    <n v="0"/>
    <n v="0.1"/>
    <e v="#N/A"/>
    <s v="polettpu"/>
  </r>
  <r>
    <x v="262"/>
    <x v="36"/>
    <s v="Admin/HR/IT"/>
    <s v="AMCARE NonOcc In"/>
    <s v="AMZN"/>
    <n v="201165769"/>
    <s v="Puente,Karen"/>
    <s v="Piedra,Valentina"/>
    <n v="0"/>
    <n v="0"/>
    <n v="0"/>
    <n v="0"/>
    <n v="0.09"/>
    <e v="#N/A"/>
    <s v="puenkare"/>
  </r>
  <r>
    <x v="262"/>
    <x v="36"/>
    <s v="Admin/HR/IT"/>
    <s v="AMCARE NonOcc In"/>
    <s v="AMZN"/>
    <n v="201166890"/>
    <s v="Caballero,Daniel"/>
    <s v="Romero Sanchez,Gustavo Gabriel"/>
    <n v="0"/>
    <n v="0"/>
    <n v="0"/>
    <n v="0"/>
    <n v="0.4"/>
    <e v="#N/A"/>
    <s v="lcabadan"/>
  </r>
  <r>
    <x v="263"/>
    <x v="36"/>
    <s v="Admin/HR/IT"/>
    <s v="AMCARE NonOcc In"/>
    <s v="AMZN"/>
    <n v="112912397"/>
    <s v="Neri Zuniga,Ricardo"/>
    <s v="Gomez Aguado,Jorge"/>
    <n v="0"/>
    <n v="0"/>
    <n v="0"/>
    <n v="0"/>
    <n v="0.44"/>
    <s v="D5-X0700"/>
    <s v="tjuandne"/>
  </r>
  <r>
    <x v="263"/>
    <x v="36"/>
    <s v="Admin/HR/IT"/>
    <s v="AMCARE NonOcc In"/>
    <s v="AMZN"/>
    <n v="112912507"/>
    <s v="Velazquez,Charlie"/>
    <s v="Pizana,Diego"/>
    <n v="0"/>
    <n v="0"/>
    <n v="0"/>
    <n v="0"/>
    <n v="0.28000000000000003"/>
    <s v="DA-X0700"/>
    <s v="hvcharli"/>
  </r>
  <r>
    <x v="263"/>
    <x v="36"/>
    <s v="Admin/HR/IT"/>
    <s v="AMCARE NonOcc In"/>
    <s v="AMZN"/>
    <n v="112912752"/>
    <s v="Valderrama Gomez,Leslie"/>
    <s v="Camarena,Grecia"/>
    <n v="0"/>
    <n v="0"/>
    <n v="0"/>
    <n v="0"/>
    <n v="0.27"/>
    <s v="NF-X1900"/>
    <s v="valderle"/>
  </r>
  <r>
    <x v="263"/>
    <x v="36"/>
    <s v="Admin/HR/IT"/>
    <s v="AMCARE NonOcc In"/>
    <s v="AMZN"/>
    <n v="112950797"/>
    <s v="Serna,Denisse"/>
    <s v="Pizana,Diego"/>
    <n v="0"/>
    <n v="0"/>
    <n v="0"/>
    <n v="0"/>
    <n v="0.15"/>
    <s v="DA-X0700"/>
    <s v="hesdenis"/>
  </r>
  <r>
    <x v="263"/>
    <x v="36"/>
    <s v="Admin/HR/IT"/>
    <s v="AMCARE NonOcc In"/>
    <s v="AMZN"/>
    <n v="112971962"/>
    <s v="Reyes  Montes de oca,Alejandra"/>
    <s v="Lopez,Alexa"/>
    <n v="0"/>
    <n v="0"/>
    <n v="0"/>
    <n v="0"/>
    <n v="0.27"/>
    <s v="DB-X0700"/>
    <s v="creyesal"/>
  </r>
  <r>
    <x v="263"/>
    <x v="36"/>
    <s v="Admin/HR/IT"/>
    <s v="AMCARE NonOcc In"/>
    <s v="AMZN"/>
    <n v="112972710"/>
    <s v="Cortes Elias,Jessica"/>
    <s v="Cortes,Alejandra"/>
    <n v="0"/>
    <n v="0"/>
    <n v="0"/>
    <n v="0"/>
    <n v="0.14000000000000001"/>
    <s v="DX-X0700"/>
    <s v="cortesjj"/>
  </r>
  <r>
    <x v="263"/>
    <x v="36"/>
    <s v="Admin/HR/IT"/>
    <s v="AMCARE NonOcc In"/>
    <s v="AMZN"/>
    <n v="112981061"/>
    <s v="Olguin,Claudia"/>
    <s v="Robledo Ugarte,Alejandro"/>
    <n v="0"/>
    <n v="0"/>
    <n v="0"/>
    <n v="0"/>
    <n v="0.13"/>
    <s v="DA-X0700"/>
    <s v="mclaudol"/>
  </r>
  <r>
    <x v="263"/>
    <x v="36"/>
    <s v="Admin/HR/IT"/>
    <s v="AMCARE NonOcc In"/>
    <s v="AMZN"/>
    <n v="113003510"/>
    <s v="PÃ©rez MÃ©ndez,Cecy"/>
    <s v="Munoz,Jonan"/>
    <n v="0"/>
    <n v="0"/>
    <n v="0"/>
    <n v="0"/>
    <n v="0.4"/>
    <e v="#N/A"/>
    <s v="nperezmc"/>
  </r>
  <r>
    <x v="263"/>
    <x v="36"/>
    <s v="Admin/HR/IT"/>
    <s v="AMCARE NonOcc In"/>
    <s v="TEMP"/>
    <n v="113003619"/>
    <s v="Villegas,Jesus"/>
    <s v="Madrid Molina,Ramon"/>
    <n v="0"/>
    <n v="0"/>
    <n v="0"/>
    <n v="0"/>
    <n v="0.19"/>
    <e v="#N/A"/>
    <e v="#N/A"/>
  </r>
  <r>
    <x v="263"/>
    <x v="36"/>
    <s v="Admin/HR/IT"/>
    <s v="AMCARE NonOcc In"/>
    <s v="AMZN"/>
    <n v="113014470"/>
    <s v="Aguilar Ibarra,Lupe"/>
    <s v="Robledo Ugarte,Alejandro"/>
    <n v="0"/>
    <n v="0"/>
    <n v="0"/>
    <n v="0"/>
    <n v="0.14000000000000001"/>
    <e v="#N/A"/>
    <s v="lupaguin"/>
  </r>
  <r>
    <x v="263"/>
    <x v="36"/>
    <s v="Admin/HR/IT"/>
    <s v="AMCARE NonOcc In"/>
    <s v="AMZN"/>
    <n v="113101453"/>
    <s v="Isaac,Geovanna"/>
    <s v="Robledo Ugarte,Alejandro"/>
    <n v="0"/>
    <n v="0"/>
    <n v="0"/>
    <n v="0"/>
    <n v="0.15"/>
    <e v="#N/A"/>
    <s v="qisgeova"/>
  </r>
  <r>
    <x v="263"/>
    <x v="36"/>
    <s v="Admin/HR/IT"/>
    <s v="AMCARE NonOcc In"/>
    <s v="AMZN"/>
    <n v="200574655"/>
    <s v="Mireles,Dulce"/>
    <s v="Corona Arriaga,Fernando"/>
    <n v="0"/>
    <n v="0"/>
    <n v="0"/>
    <n v="0"/>
    <n v="0.21"/>
    <e v="#N/A"/>
    <s v="dulceami"/>
  </r>
  <r>
    <x v="263"/>
    <x v="36"/>
    <s v="Admin/HR/IT"/>
    <s v="AMCARE NonOcc In"/>
    <s v="AMZN"/>
    <n v="201166890"/>
    <s v="Caballero,Daniel"/>
    <s v="Romero Sanchez,Gustavo Gabriel"/>
    <n v="0"/>
    <n v="0"/>
    <n v="0"/>
    <n v="0"/>
    <n v="1.33"/>
    <e v="#N/A"/>
    <s v="lcabadan"/>
  </r>
  <r>
    <x v="263"/>
    <x v="36"/>
    <s v="Admin/HR/IT"/>
    <s v="AMCARE NonOcc In"/>
    <s v="AMZN"/>
    <n v="201167501"/>
    <s v="Rodriguez,Ruben"/>
    <s v="Robledo Ugarte,Alejandro"/>
    <n v="0"/>
    <n v="0"/>
    <n v="0"/>
    <n v="0"/>
    <n v="0.22"/>
    <e v="#N/A"/>
    <s v="wguanajr"/>
  </r>
  <r>
    <x v="263"/>
    <x v="36"/>
    <s v="Admin/HR/IT"/>
    <s v="AMCARE NonOcc In"/>
    <s v="AMZN"/>
    <n v="201191390"/>
    <s v="GarcÃ­a,jesus"/>
    <s v="Madrid Molina,Ramon"/>
    <n v="0"/>
    <n v="0"/>
    <n v="0"/>
    <n v="0"/>
    <n v="0.83"/>
    <e v="#N/A"/>
    <s v="bgajesus"/>
  </r>
  <r>
    <x v="263"/>
    <x v="36"/>
    <s v="Admin/HR/IT"/>
    <s v="AMCARE NonOcc In"/>
    <s v="AMZN"/>
    <n v="201223730"/>
    <s v="Sanchiz,Cesarito"/>
    <s v="Corona Arriaga,Fernando"/>
    <n v="0"/>
    <n v="0"/>
    <n v="0"/>
    <n v="0"/>
    <n v="0.73"/>
    <e v="#N/A"/>
    <s v="cesarito"/>
  </r>
  <r>
    <x v="263"/>
    <x v="36"/>
    <s v="Admin/HR/IT"/>
    <s v="AMCARE NonOcc In"/>
    <s v="AMZN"/>
    <n v="201228411"/>
    <s v="Hernandez Soriano,Jazmin"/>
    <s v="Corona Arriaga,Fernando"/>
    <n v="0"/>
    <n v="0"/>
    <n v="0"/>
    <n v="0"/>
    <n v="0.74"/>
    <e v="#N/A"/>
    <s v="jazmiwhe"/>
  </r>
  <r>
    <x v="263"/>
    <x v="36"/>
    <s v="Admin/HR/IT"/>
    <s v="AMCARE NonOcc In"/>
    <s v="AMZN"/>
    <n v="201318220"/>
    <s v="Jasso,Raul"/>
    <s v="Bueno Mendoza,Susana"/>
    <n v="0"/>
    <n v="0"/>
    <n v="0"/>
    <n v="0"/>
    <n v="0.33"/>
    <e v="#N/A"/>
    <s v="raufjas"/>
  </r>
  <r>
    <x v="263"/>
    <x v="36"/>
    <s v="Admin/HR/IT"/>
    <s v="AMCARE NonOcc In"/>
    <s v="AMZN"/>
    <n v="201354965"/>
    <s v="JimÃ©nez,Aline"/>
    <s v="Lopez,Alexa"/>
    <n v="0"/>
    <n v="0"/>
    <n v="0"/>
    <n v="0"/>
    <n v="0.15"/>
    <e v="#N/A"/>
    <s v="alinejim"/>
  </r>
  <r>
    <x v="263"/>
    <x v="36"/>
    <s v="Admin/HR/IT"/>
    <s v="AMCARE NonOcc In"/>
    <s v="AMZN"/>
    <n v="201396328"/>
    <s v="Canchola,Alejandro"/>
    <s v="Rosas Negrete,Sebastian"/>
    <n v="0"/>
    <n v="0"/>
    <n v="0"/>
    <n v="0"/>
    <n v="0.13"/>
    <e v="#N/A"/>
    <s v="nalcanch"/>
  </r>
  <r>
    <x v="263"/>
    <x v="36"/>
    <s v="Admin/HR/IT"/>
    <s v="AMCARE NonOcc In"/>
    <s v="TEMP"/>
    <n v="201880542"/>
    <s v="ORTIZ,CORPUS"/>
    <s v="Romero Sanchez,Gustavo Gabriel"/>
    <n v="0"/>
    <n v="0"/>
    <n v="0"/>
    <n v="0"/>
    <n v="0.46"/>
    <e v="#N/A"/>
    <s v="orticorp"/>
  </r>
  <r>
    <x v="264"/>
    <x v="36"/>
    <s v="Admin/HR/IT"/>
    <s v="AMCARE NonOcc In"/>
    <s v="AMZN"/>
    <n v="112912052"/>
    <s v="Ortiz Cedeno,Omar"/>
    <s v="Cortes,Alejandra"/>
    <n v="0"/>
    <n v="0"/>
    <n v="0"/>
    <n v="0"/>
    <n v="0.45"/>
    <s v="DB-X0700"/>
    <s v="oortizce"/>
  </r>
  <r>
    <x v="264"/>
    <x v="36"/>
    <s v="Admin/HR/IT"/>
    <s v="AMCARE NonOcc In"/>
    <s v="AMZN"/>
    <n v="112912661"/>
    <s v="Morales Gonzalez,Francisco"/>
    <s v="Hernandez,Nataly"/>
    <n v="0"/>
    <n v="0"/>
    <n v="0"/>
    <n v="0"/>
    <n v="0.1"/>
    <s v="DA-X0700"/>
    <s v="franmorb"/>
  </r>
  <r>
    <x v="264"/>
    <x v="36"/>
    <s v="Admin/HR/IT"/>
    <s v="AMCARE NonOcc In"/>
    <s v="AMZN"/>
    <n v="112920655"/>
    <s v="Diaz de LeÃ³n,Paola"/>
    <s v="Cortes,Alejandra"/>
    <n v="0"/>
    <n v="0"/>
    <n v="0"/>
    <n v="0"/>
    <n v="0.23"/>
    <e v="#N/A"/>
    <e v="#N/A"/>
  </r>
  <r>
    <x v="264"/>
    <x v="36"/>
    <s v="Admin/HR/IT"/>
    <s v="AMCARE NonOcc In"/>
    <s v="AMZN"/>
    <n v="112973049"/>
    <s v="Tavares Parra,Ely"/>
    <s v="Piedra,Valentina"/>
    <n v="0"/>
    <n v="0"/>
    <n v="0"/>
    <n v="0"/>
    <n v="0.25"/>
    <s v="DB-X0700"/>
    <s v="afatimae"/>
  </r>
  <r>
    <x v="264"/>
    <x v="36"/>
    <s v="Admin/HR/IT"/>
    <s v="AMCARE NonOcc In"/>
    <s v="AMZN"/>
    <n v="112976017"/>
    <s v="Baez Diaz,Ale"/>
    <s v="Ãvila,Arturo"/>
    <n v="0"/>
    <n v="0"/>
    <n v="0"/>
    <n v="0"/>
    <n v="0.04"/>
    <s v="DB-X0700"/>
    <s v="baezdiaw"/>
  </r>
  <r>
    <x v="264"/>
    <x v="36"/>
    <s v="Admin/HR/IT"/>
    <s v="AMCARE NonOcc In"/>
    <s v="AMZN"/>
    <n v="112976043"/>
    <s v="Rivas,Ricardo"/>
    <s v="Ãvila,Arturo"/>
    <n v="0"/>
    <n v="0"/>
    <n v="0"/>
    <n v="0"/>
    <n v="0.13"/>
    <s v="DE-X1024"/>
    <s v="ricrivab"/>
  </r>
  <r>
    <x v="264"/>
    <x v="36"/>
    <s v="Admin/HR/IT"/>
    <s v="AMCARE NonOcc In"/>
    <s v="AMZN"/>
    <n v="113020476"/>
    <s v="Puente Aguilar,Polette"/>
    <s v="Madrid Molina,Ramon"/>
    <n v="0"/>
    <n v="0"/>
    <n v="0"/>
    <n v="0"/>
    <n v="0.12"/>
    <e v="#N/A"/>
    <s v="polettpu"/>
  </r>
  <r>
    <x v="264"/>
    <x v="36"/>
    <s v="Admin/HR/IT"/>
    <s v="AMCARE NonOcc In"/>
    <s v="AMZN"/>
    <n v="113052151"/>
    <s v="Nieves Mendez,Laura"/>
    <s v="Ledezma,Fer"/>
    <n v="0"/>
    <n v="0"/>
    <n v="0"/>
    <n v="0"/>
    <n v="0.42"/>
    <e v="#N/A"/>
    <s v="nilaurab"/>
  </r>
  <r>
    <x v="264"/>
    <x v="36"/>
    <s v="Admin/HR/IT"/>
    <s v="AMCARE NonOcc In"/>
    <s v="AMZN"/>
    <n v="200464838"/>
    <s v="Ortiz,Fernando"/>
    <s v="Madrid Molina,Ramon"/>
    <n v="0"/>
    <n v="0"/>
    <n v="0"/>
    <n v="0"/>
    <n v="0.08"/>
    <e v="#N/A"/>
    <s v="ortfernj"/>
  </r>
  <r>
    <x v="264"/>
    <x v="36"/>
    <s v="Admin/HR/IT"/>
    <s v="AMCARE NonOcc In"/>
    <s v="AMZN"/>
    <n v="201191390"/>
    <s v="GarcÃ­a,jesus"/>
    <s v="Madrid Molina,Ramon"/>
    <n v="0"/>
    <n v="0"/>
    <n v="0"/>
    <n v="0"/>
    <n v="0.51"/>
    <e v="#N/A"/>
    <s v="bgajesus"/>
  </r>
  <r>
    <x v="264"/>
    <x v="36"/>
    <s v="Admin/HR/IT"/>
    <s v="AMCARE NonOcc In"/>
    <s v="AMZN"/>
    <n v="201211157"/>
    <s v="Vargas,Jesse"/>
    <s v="Gomez Aguado,Jorge"/>
    <n v="0"/>
    <n v="0"/>
    <n v="0"/>
    <n v="0"/>
    <n v="1.1599999999999999"/>
    <e v="#N/A"/>
    <s v="vargajed"/>
  </r>
  <r>
    <x v="264"/>
    <x v="36"/>
    <s v="Admin/HR/IT"/>
    <s v="AMCARE NonOcc In"/>
    <s v="AMZN"/>
    <n v="201223730"/>
    <s v="Sanchiz,Cesarito"/>
    <s v="Corona Arriaga,Fernando"/>
    <n v="0"/>
    <n v="0"/>
    <n v="0"/>
    <n v="0"/>
    <n v="0.98"/>
    <e v="#N/A"/>
    <s v="cesarito"/>
  </r>
  <r>
    <x v="264"/>
    <x v="36"/>
    <s v="Admin/HR/IT"/>
    <s v="AMCARE NonOcc In"/>
    <s v="AMZN"/>
    <n v="201228411"/>
    <s v="Hernandez Soriano,Jazmin"/>
    <s v="Corona Arriaga,Fernando"/>
    <n v="0"/>
    <n v="0"/>
    <n v="0"/>
    <n v="0"/>
    <n v="1.4"/>
    <e v="#N/A"/>
    <s v="jazmiwhe"/>
  </r>
  <r>
    <x v="264"/>
    <x v="36"/>
    <s v="Admin/HR/IT"/>
    <s v="AMCARE NonOcc In"/>
    <s v="AMZN"/>
    <n v="201354965"/>
    <s v="JimÃ©nez,Aline"/>
    <s v="Lopez,Alexa"/>
    <n v="0"/>
    <n v="0"/>
    <n v="0"/>
    <n v="0"/>
    <n v="0.4"/>
    <e v="#N/A"/>
    <s v="alinejim"/>
  </r>
  <r>
    <x v="264"/>
    <x v="36"/>
    <s v="Admin/HR/IT"/>
    <s v="AMCARE NonOcc In"/>
    <s v="TEMP"/>
    <n v="201858789"/>
    <s v="HINOJOSA,IGNACIO"/>
    <s v="Ledezma,Fer"/>
    <n v="0"/>
    <n v="0"/>
    <n v="0"/>
    <n v="0"/>
    <n v="0.43"/>
    <e v="#N/A"/>
    <s v="ignachis"/>
  </r>
  <r>
    <x v="264"/>
    <x v="36"/>
    <s v="Admin/HR/IT"/>
    <s v="AMCARE NonOcc In"/>
    <s v="TEMP"/>
    <n v="201858867"/>
    <s v="Cruz Velazquez,Gabriela"/>
    <s v="Corona Arriaga,Fernando"/>
    <n v="0"/>
    <n v="0"/>
    <n v="0"/>
    <n v="0"/>
    <n v="0.2"/>
    <e v="#N/A"/>
    <s v="tcruzvel"/>
  </r>
  <r>
    <x v="265"/>
    <x v="36"/>
    <s v="Admin/HR/IT"/>
    <s v="AMCARE NonOcc In"/>
    <s v="AMZN"/>
    <n v="112971962"/>
    <s v="Reyes  Montes de oca,Alejandra"/>
    <s v="Lopez,Alexa"/>
    <n v="0"/>
    <n v="0"/>
    <n v="0"/>
    <n v="0"/>
    <n v="0.32"/>
    <s v="DB-X0700"/>
    <s v="creyesal"/>
  </r>
  <r>
    <x v="265"/>
    <x v="36"/>
    <s v="Admin/HR/IT"/>
    <s v="AMCARE NonOcc In"/>
    <s v="TEMP"/>
    <n v="113003619"/>
    <s v="Villegas,Jesus"/>
    <s v="Madrid Molina,Ramon"/>
    <n v="0"/>
    <n v="0"/>
    <n v="0"/>
    <n v="0"/>
    <n v="0.1"/>
    <e v="#N/A"/>
    <e v="#N/A"/>
  </r>
  <r>
    <x v="265"/>
    <x v="36"/>
    <s v="Admin/HR/IT"/>
    <s v="AMCARE NonOcc In"/>
    <s v="AMZN"/>
    <n v="113003656"/>
    <s v="Argote,Enrique"/>
    <s v="Munoz,Jonan"/>
    <n v="0"/>
    <n v="0"/>
    <n v="0"/>
    <n v="0"/>
    <n v="0.15"/>
    <e v="#N/A"/>
    <s v="uargoten"/>
  </r>
  <r>
    <x v="265"/>
    <x v="36"/>
    <s v="Admin/HR/IT"/>
    <s v="AMCARE NonOcc In"/>
    <s v="AMZN"/>
    <n v="200625528"/>
    <s v="Oliva,Lizbeth"/>
    <s v="Piedra,Valentina"/>
    <n v="0"/>
    <n v="0"/>
    <n v="0"/>
    <n v="0"/>
    <n v="0.12"/>
    <e v="#N/A"/>
    <s v="olivlizb"/>
  </r>
  <r>
    <x v="265"/>
    <x v="36"/>
    <s v="Admin/HR/IT"/>
    <s v="AMCARE NonOcc In"/>
    <s v="AMZN"/>
    <n v="201159033"/>
    <s v="Arrona,Monserrat"/>
    <s v="Corona Arriaga,Fernando"/>
    <n v="0"/>
    <n v="0"/>
    <n v="0"/>
    <n v="0"/>
    <n v="0.23"/>
    <e v="#N/A"/>
    <s v="monsarru"/>
  </r>
  <r>
    <x v="265"/>
    <x v="36"/>
    <s v="Admin/HR/IT"/>
    <s v="AMCARE NonOcc In"/>
    <s v="AMZN"/>
    <n v="201219500"/>
    <s v="Mazy,RamsÃ©s"/>
    <s v="Ledezma,Fer"/>
    <n v="0"/>
    <n v="0"/>
    <n v="0"/>
    <n v="0"/>
    <n v="0.17"/>
    <e v="#N/A"/>
    <s v="ramsmazy"/>
  </r>
  <r>
    <x v="265"/>
    <x v="36"/>
    <s v="Admin/HR/IT"/>
    <s v="AMCARE NonOcc In"/>
    <s v="AMZN"/>
    <n v="201223730"/>
    <s v="Sanchiz,Cesarito"/>
    <s v="Corona Arriaga,Fernando"/>
    <n v="0"/>
    <n v="0"/>
    <n v="0"/>
    <n v="0"/>
    <n v="0.67"/>
    <e v="#N/A"/>
    <s v="cesarito"/>
  </r>
  <r>
    <x v="265"/>
    <x v="36"/>
    <s v="Admin/HR/IT"/>
    <s v="AMCARE NonOcc In"/>
    <s v="AMZN"/>
    <n v="201228411"/>
    <s v="Hernandez Soriano,Jazmin"/>
    <s v="Corona Arriaga,Fernando"/>
    <n v="0"/>
    <n v="0"/>
    <n v="0"/>
    <n v="0"/>
    <n v="0.65"/>
    <e v="#N/A"/>
    <s v="jazmiwhe"/>
  </r>
  <r>
    <x v="265"/>
    <x v="36"/>
    <s v="Admin/HR/IT"/>
    <s v="AMCARE NonOcc In"/>
    <s v="AMZN"/>
    <n v="201298204"/>
    <s v="Gonzalez,Mayra"/>
    <s v="Munoz,Jonan"/>
    <n v="0"/>
    <n v="0"/>
    <n v="0"/>
    <n v="0"/>
    <n v="0.1"/>
    <e v="#N/A"/>
    <e v="#N/A"/>
  </r>
  <r>
    <x v="265"/>
    <x v="36"/>
    <s v="Admin/HR/IT"/>
    <s v="AMCARE NonOcc In"/>
    <s v="AMZN"/>
    <n v="201354965"/>
    <s v="JimÃ©nez,Aline"/>
    <s v="Lopez,Alexa"/>
    <n v="0"/>
    <n v="0"/>
    <n v="0"/>
    <n v="0"/>
    <n v="0.88"/>
    <e v="#N/A"/>
    <s v="alinejim"/>
  </r>
  <r>
    <x v="265"/>
    <x v="36"/>
    <s v="Admin/HR/IT"/>
    <s v="AMCARE NonOcc In"/>
    <s v="TEMP"/>
    <n v="201842064"/>
    <s v="Agripino,Andrea"/>
    <s v="Ledezma,Fer"/>
    <n v="0"/>
    <n v="0"/>
    <n v="0"/>
    <n v="0"/>
    <n v="0.97"/>
    <e v="#N/A"/>
    <s v="agriandl"/>
  </r>
  <r>
    <x v="265"/>
    <x v="36"/>
    <s v="Admin/HR/IT"/>
    <s v="AMCARE NonOcc In"/>
    <s v="TEMP"/>
    <n v="201858867"/>
    <s v="Cruz Velazquez,Gabriela"/>
    <s v="Corona Arriaga,Fernando"/>
    <n v="0"/>
    <n v="0"/>
    <n v="0"/>
    <n v="0"/>
    <n v="0.83"/>
    <e v="#N/A"/>
    <s v="tcruzvel"/>
  </r>
  <r>
    <x v="266"/>
    <x v="36"/>
    <s v="Admin/HR/IT"/>
    <s v="AMCARE NonOcc In"/>
    <s v="AMZN"/>
    <n v="112920654"/>
    <s v="Horta,Julieta"/>
    <s v="Hernandez,Nataly"/>
    <n v="0"/>
    <n v="0"/>
    <n v="0"/>
    <n v="0"/>
    <n v="1.37"/>
    <s v="DB-X0700"/>
    <s v="qhojulie"/>
  </r>
  <r>
    <x v="266"/>
    <x v="36"/>
    <s v="Admin/HR/IT"/>
    <s v="AMCARE NonOcc In"/>
    <s v="AMZN"/>
    <n v="112972521"/>
    <s v="Perez,Ronny"/>
    <s v="Hernandez,Nataly"/>
    <n v="0"/>
    <n v="0"/>
    <n v="0"/>
    <n v="0"/>
    <n v="0.38"/>
    <s v="DB-X0700"/>
    <s v="perezrro"/>
  </r>
  <r>
    <x v="266"/>
    <x v="36"/>
    <s v="Admin/HR/IT"/>
    <s v="AMCARE NonOcc In"/>
    <s v="AMZN"/>
    <n v="112972524"/>
    <s v="Santibanez Garcia,Luisa"/>
    <s v="Hernandez,Nataly"/>
    <n v="0"/>
    <n v="0"/>
    <n v="0"/>
    <n v="0"/>
    <n v="0.41"/>
    <s v="DB-X0700"/>
    <s v="csantibl"/>
  </r>
  <r>
    <x v="266"/>
    <x v="36"/>
    <s v="Admin/HR/IT"/>
    <s v="AMCARE NonOcc In"/>
    <s v="AMZN"/>
    <n v="200526598"/>
    <s v="Tellez Nunez,Enrique"/>
    <s v="Madrid Molina,Ramon"/>
    <n v="0"/>
    <n v="0"/>
    <n v="0"/>
    <n v="0"/>
    <s v="ok "/>
    <e v="#N/A"/>
    <e v="#N/A"/>
  </r>
  <r>
    <x v="266"/>
    <x v="36"/>
    <s v="Admin/HR/IT"/>
    <s v="AMCARE NonOcc In"/>
    <s v="AMZN"/>
    <n v="200614224"/>
    <s v="Cruz Hernandez,Cris"/>
    <s v="Lopez,Alexa"/>
    <n v="0"/>
    <n v="0"/>
    <n v="0"/>
    <n v="0"/>
    <n v="0.28000000000000003"/>
    <e v="#N/A"/>
    <e v="#N/A"/>
  </r>
  <r>
    <x v="266"/>
    <x v="36"/>
    <s v="Admin/HR/IT"/>
    <s v="AMCARE NonOcc In"/>
    <s v="TEMP"/>
    <n v="201408478"/>
    <s v="Calderon,David"/>
    <s v="Madrid Molina,Ramon"/>
    <n v="0"/>
    <n v="0"/>
    <n v="0"/>
    <n v="0"/>
    <n v="0.79"/>
    <e v="#N/A"/>
    <s v="dacaldey"/>
  </r>
  <r>
    <x v="267"/>
    <x v="37"/>
    <s v="Admin/HR/IT"/>
    <s v="AMCARE NonOcc In"/>
    <s v="AMZN"/>
    <n v="112912506"/>
    <s v="Garcia  Caudillo,Jessica"/>
    <s v="Camarena,Grecia"/>
    <n v="0"/>
    <n v="0"/>
    <n v="0"/>
    <n v="0"/>
    <n v="0.13"/>
    <s v="DA-X0700"/>
    <s v="gakjessi"/>
  </r>
  <r>
    <x v="267"/>
    <x v="37"/>
    <s v="Admin/HR/IT"/>
    <s v="AMCARE NonOcc In"/>
    <s v="AMZN"/>
    <n v="112950784"/>
    <s v="Rojas,Samuel"/>
    <s v="Pizana,Diego"/>
    <n v="0"/>
    <n v="0"/>
    <n v="0"/>
    <n v="0"/>
    <n v="0.1"/>
    <s v="NF-X1900"/>
    <s v="sarojast"/>
  </r>
  <r>
    <x v="267"/>
    <x v="37"/>
    <s v="Admin/HR/IT"/>
    <s v="AMCARE NonOcc In"/>
    <s v="AMZN"/>
    <n v="112950792"/>
    <s v="Morales Gonzalez,Genesis"/>
    <s v="Pizana,Diego"/>
    <n v="0"/>
    <n v="0"/>
    <n v="0"/>
    <n v="0"/>
    <n v="0.75"/>
    <s v="NF-X1900"/>
    <s v="genevmor"/>
  </r>
  <r>
    <x v="267"/>
    <x v="37"/>
    <s v="Admin/HR/IT"/>
    <s v="AMCARE NonOcc In"/>
    <s v="AMZN"/>
    <n v="112980986"/>
    <s v="Colchado Garcia,Eser"/>
    <s v="Rosas Negrete,Sebastian"/>
    <n v="0"/>
    <n v="0"/>
    <n v="0"/>
    <n v="0"/>
    <n v="0.16"/>
    <s v="DJ-X0700"/>
    <s v="eserenca"/>
  </r>
  <r>
    <x v="267"/>
    <x v="37"/>
    <s v="Admin/HR/IT"/>
    <s v="AMCARE NonOcc In"/>
    <s v="AMZN"/>
    <n v="113014094"/>
    <s v="Mercado,Erika"/>
    <s v="Robledo Ugarte,Alejandro"/>
    <n v="0"/>
    <n v="0"/>
    <n v="0"/>
    <n v="0"/>
    <n v="0.13"/>
    <e v="#N/A"/>
    <s v="erikaadm"/>
  </r>
  <r>
    <x v="267"/>
    <x v="37"/>
    <s v="Admin/HR/IT"/>
    <s v="AMCARE NonOcc In"/>
    <s v="AMZN"/>
    <n v="200404250"/>
    <s v="Hurtado,Caty"/>
    <s v="Romero Sanchez,Gustavo Gabriel"/>
    <n v="0"/>
    <n v="0"/>
    <n v="0"/>
    <n v="0"/>
    <n v="0.28999999999999998"/>
    <e v="#N/A"/>
    <s v="xcathurt"/>
  </r>
  <r>
    <x v="267"/>
    <x v="37"/>
    <s v="Admin/HR/IT"/>
    <s v="AMCARE NonOcc In"/>
    <s v="AMZN"/>
    <n v="201197964"/>
    <s v="Quijas,Matzayani"/>
    <s v="Romero Sanchez,Gustavo Gabriel"/>
    <n v="0"/>
    <n v="0"/>
    <n v="0"/>
    <n v="0"/>
    <n v="0.12"/>
    <e v="#N/A"/>
    <s v="matzquij"/>
  </r>
  <r>
    <x v="267"/>
    <x v="37"/>
    <s v="Admin/HR/IT"/>
    <s v="AMCARE Out"/>
    <s v="AMZN"/>
    <n v="201401219"/>
    <s v="Moreno,Nayma"/>
    <s v="Bueno Mendoza,Susana"/>
    <n v="0"/>
    <n v="0"/>
    <n v="0"/>
    <n v="0"/>
    <n v="1"/>
    <e v="#N/A"/>
    <s v="namorena"/>
  </r>
  <r>
    <x v="268"/>
    <x v="37"/>
    <s v="Admin/HR/IT"/>
    <s v="AMCARE NonOcc In"/>
    <s v="AMZN"/>
    <n v="112912209"/>
    <s v="Morales,Sarahi"/>
    <s v="Camarena,Grecia"/>
    <n v="0"/>
    <n v="0"/>
    <n v="0"/>
    <n v="0"/>
    <n v="0.4"/>
    <s v="NF-X1900"/>
    <s v="moralefs"/>
  </r>
  <r>
    <x v="268"/>
    <x v="37"/>
    <s v="Admin/HR/IT"/>
    <s v="AMCARE NonOcc In"/>
    <s v="AMZN"/>
    <n v="112981013"/>
    <s v="Lopez Neri,Norma"/>
    <s v="Rosas Negrete,Sebastian"/>
    <n v="0"/>
    <n v="0"/>
    <n v="0"/>
    <n v="0"/>
    <n v="0.16"/>
    <s v="DA-X0700"/>
    <s v="normaelo"/>
  </r>
  <r>
    <x v="268"/>
    <x v="37"/>
    <s v="Admin/HR/IT"/>
    <s v="AMCARE NonOcc In"/>
    <s v="AMZN"/>
    <n v="113014403"/>
    <s v="Arias Sanchez,Nora"/>
    <s v="Rosas Negrete,Sebastian"/>
    <n v="0"/>
    <n v="0"/>
    <n v="0"/>
    <n v="0"/>
    <n v="0.21"/>
    <e v="#N/A"/>
    <s v="wnoraria"/>
  </r>
  <r>
    <x v="268"/>
    <x v="37"/>
    <s v="Admin/HR/IT"/>
    <s v="AMCARE NonOcc In"/>
    <s v="AMZN"/>
    <n v="200570729"/>
    <s v="Rodriguez,Carolina"/>
    <s v="Piedra,Valentina"/>
    <n v="0"/>
    <n v="0"/>
    <n v="0"/>
    <n v="0"/>
    <n v="0.21"/>
    <e v="#N/A"/>
    <s v="srodcaro"/>
  </r>
  <r>
    <x v="268"/>
    <x v="37"/>
    <s v="Admin/HR/IT"/>
    <s v="AMCARE NonOcc In"/>
    <s v="AMZN"/>
    <n v="200620341"/>
    <s v="Camacho Ramirez,Carlos"/>
    <s v="Rosas Negrete,Sebastian"/>
    <n v="0"/>
    <n v="0"/>
    <n v="0"/>
    <n v="0"/>
    <n v="0.17"/>
    <e v="#N/A"/>
    <e v="#N/A"/>
  </r>
  <r>
    <x v="268"/>
    <x v="37"/>
    <s v="Admin/HR/IT"/>
    <s v="AMCARE NonOcc In"/>
    <s v="AMZN"/>
    <n v="200625528"/>
    <s v="Oliva,Lizbeth"/>
    <s v="Piedra,Valentina"/>
    <n v="0"/>
    <n v="0"/>
    <n v="0"/>
    <n v="0"/>
    <n v="0.1"/>
    <e v="#N/A"/>
    <s v="olivlizb"/>
  </r>
  <r>
    <x v="268"/>
    <x v="37"/>
    <s v="Admin/HR/IT"/>
    <s v="AMCARE NonOcc In"/>
    <s v="AMZN"/>
    <n v="201167501"/>
    <s v="Rodriguez,Ruben"/>
    <s v="Robledo Ugarte,Alejandro"/>
    <n v="0"/>
    <n v="0"/>
    <n v="0"/>
    <n v="0"/>
    <n v="0.13"/>
    <e v="#N/A"/>
    <s v="wguanajr"/>
  </r>
  <r>
    <x v="268"/>
    <x v="37"/>
    <s v="Admin/HR/IT"/>
    <s v="AMCARE Out"/>
    <s v="AMZN"/>
    <n v="201318220"/>
    <s v="Jasso,Raul"/>
    <s v="Bueno Mendoza,Susana"/>
    <n v="0"/>
    <n v="0"/>
    <n v="0"/>
    <n v="0"/>
    <n v="0.66"/>
    <e v="#N/A"/>
    <s v="raufjas"/>
  </r>
  <r>
    <x v="269"/>
    <x v="37"/>
    <s v="Admin/HR/IT"/>
    <s v="AMCARE NonOcc In"/>
    <s v="AMZN"/>
    <n v="103979960"/>
    <s v="Suchil Angel,Guillermo"/>
    <s v="Robledo Ugarte,Alejandro"/>
    <n v="0"/>
    <n v="0"/>
    <n v="0"/>
    <n v="0"/>
    <n v="0.99"/>
    <e v="#N/A"/>
    <e v="#N/A"/>
  </r>
  <r>
    <x v="269"/>
    <x v="37"/>
    <s v="Admin/HR/IT"/>
    <s v="AMCARE NonOcc In"/>
    <s v="AMZN"/>
    <n v="112912049"/>
    <s v="Vazquez Rodriguez,Christian"/>
    <s v="Gomez Aguado,Jorge"/>
    <n v="0"/>
    <n v="0"/>
    <n v="0"/>
    <n v="0"/>
    <n v="0.16"/>
    <s v="NF-X1900"/>
    <s v="zchvazqu"/>
  </r>
  <r>
    <x v="269"/>
    <x v="37"/>
    <s v="Admin/HR/IT"/>
    <s v="AMCARE NonOcc In"/>
    <s v="AMZN"/>
    <n v="112912752"/>
    <s v="Valderrama Gomez,Leslie"/>
    <s v="Camarena,Grecia"/>
    <n v="0"/>
    <n v="0"/>
    <n v="0"/>
    <n v="0"/>
    <n v="0.19"/>
    <s v="NF-X1900"/>
    <s v="valderle"/>
  </r>
  <r>
    <x v="269"/>
    <x v="37"/>
    <s v="Admin/HR/IT"/>
    <s v="AMCARE NonOcc In"/>
    <s v="AMZN"/>
    <n v="112950784"/>
    <s v="Rojas,Samuel"/>
    <s v="Pizana,Diego"/>
    <n v="0"/>
    <n v="0"/>
    <n v="0"/>
    <n v="0"/>
    <n v="0.16"/>
    <s v="NF-X1900"/>
    <s v="sarojast"/>
  </r>
  <r>
    <x v="269"/>
    <x v="37"/>
    <s v="Admin/HR/IT"/>
    <s v="AMCARE NonOcc In"/>
    <s v="AMZN"/>
    <n v="112971980"/>
    <s v="Romero,Daniel"/>
    <s v="Cortes,Alejandra"/>
    <n v="0"/>
    <n v="0"/>
    <n v="0"/>
    <n v="0"/>
    <n v="0.89"/>
    <s v="DC-X0700"/>
    <s v="cdanirom"/>
  </r>
  <r>
    <x v="269"/>
    <x v="37"/>
    <s v="Admin/HR/IT"/>
    <s v="AMCARE NonOcc In"/>
    <s v="AMZN"/>
    <n v="112972521"/>
    <s v="Perez,Ronny"/>
    <s v="Hernandez,Nataly"/>
    <n v="0"/>
    <n v="0"/>
    <n v="0"/>
    <n v="0"/>
    <n v="0.08"/>
    <s v="DB-X0700"/>
    <s v="perezrro"/>
  </r>
  <r>
    <x v="269"/>
    <x v="37"/>
    <s v="Admin/HR/IT"/>
    <s v="AMCARE NonOcc In"/>
    <s v="TEMP"/>
    <n v="113014081"/>
    <s v="Frausto,Genesis"/>
    <s v="Gomez Aguado,Jorge"/>
    <n v="0"/>
    <n v="0"/>
    <n v="0"/>
    <n v="0"/>
    <n v="0.47"/>
    <e v="#N/A"/>
    <s v="fraugene"/>
  </r>
  <r>
    <x v="269"/>
    <x v="37"/>
    <s v="Admin/HR/IT"/>
    <s v="AMCARE NonOcc In"/>
    <s v="AMZN"/>
    <n v="200564895"/>
    <s v="Mendoza Corona,Brianda"/>
    <s v="Robledo Ugarte,Alejandro"/>
    <n v="0"/>
    <n v="0"/>
    <n v="0"/>
    <n v="0"/>
    <n v="0.26"/>
    <e v="#N/A"/>
    <s v="hmendobr"/>
  </r>
  <r>
    <x v="269"/>
    <x v="37"/>
    <s v="Admin/HR/IT"/>
    <s v="AMCARE NonOcc In"/>
    <s v="AMZN"/>
    <n v="200570729"/>
    <s v="Rodriguez,Carolina"/>
    <s v="Piedra,Valentina"/>
    <n v="0"/>
    <n v="0"/>
    <n v="0"/>
    <n v="0"/>
    <n v="0.19"/>
    <e v="#N/A"/>
    <s v="srodcaro"/>
  </r>
  <r>
    <x v="269"/>
    <x v="37"/>
    <s v="Admin/HR/IT"/>
    <s v="AMCARE NonOcc In"/>
    <s v="AMZN"/>
    <n v="200620341"/>
    <s v="Camacho Ramirez,Carlos"/>
    <s v="Rosas Negrete,Sebastian"/>
    <n v="0"/>
    <n v="0"/>
    <n v="0"/>
    <n v="0"/>
    <n v="0.27"/>
    <e v="#N/A"/>
    <e v="#N/A"/>
  </r>
  <r>
    <x v="269"/>
    <x v="37"/>
    <s v="Admin/HR/IT"/>
    <s v="AMCARE NonOcc In"/>
    <s v="AMZN"/>
    <n v="201167501"/>
    <s v="Rodriguez,Ruben"/>
    <s v="Robledo Ugarte,Alejandro"/>
    <n v="0"/>
    <n v="0"/>
    <n v="0"/>
    <n v="0"/>
    <n v="0.27"/>
    <e v="#N/A"/>
    <s v="wguanajr"/>
  </r>
  <r>
    <x v="269"/>
    <x v="37"/>
    <s v="Admin/HR/IT"/>
    <s v="AMCARE NonOcc In"/>
    <s v="AMZN"/>
    <n v="201186777"/>
    <s v="Monzon,Berenice"/>
    <s v="Romero Sanchez,Gustavo Gabriel"/>
    <n v="0"/>
    <n v="0"/>
    <n v="0"/>
    <n v="0"/>
    <n v="0.2"/>
    <e v="#N/A"/>
    <s v="bemonzon"/>
  </r>
  <r>
    <x v="269"/>
    <x v="37"/>
    <s v="Admin/HR/IT"/>
    <s v="AMCARE NonOcc In"/>
    <s v="TEMP"/>
    <n v="201880542"/>
    <s v="ORTIZ,CORPUS"/>
    <s v="Romero Sanchez,Gustavo Gabriel"/>
    <n v="0"/>
    <n v="0"/>
    <n v="0"/>
    <n v="0"/>
    <n v="0.28999999999999998"/>
    <e v="#N/A"/>
    <s v="orticorp"/>
  </r>
  <r>
    <x v="269"/>
    <x v="37"/>
    <s v="Admin/HR/IT"/>
    <s v="AMCARE Out"/>
    <s v="TEMP"/>
    <n v="201903097"/>
    <s v="Oliva,Montserrat"/>
    <s v="Ledezma,Fer"/>
    <n v="0"/>
    <n v="0"/>
    <n v="0"/>
    <n v="0"/>
    <n v="0.9"/>
    <e v="#N/A"/>
    <s v="montoliy"/>
  </r>
  <r>
    <x v="270"/>
    <x v="37"/>
    <s v="Admin/HR/IT"/>
    <s v="AMCARE NonOcc In"/>
    <s v="AMZN"/>
    <n v="112912209"/>
    <s v="Morales,Sarahi"/>
    <s v="Camarena,Grecia"/>
    <n v="0"/>
    <n v="0"/>
    <n v="0"/>
    <n v="0"/>
    <n v="1.19"/>
    <s v="NF-X1900"/>
    <s v="moralefs"/>
  </r>
  <r>
    <x v="270"/>
    <x v="37"/>
    <s v="Admin/HR/IT"/>
    <s v="AMCARE NonOcc In"/>
    <s v="AMZN"/>
    <n v="112912752"/>
    <s v="Valderrama Gomez,Leslie"/>
    <s v="Camarena,Grecia"/>
    <n v="0"/>
    <n v="0"/>
    <n v="0"/>
    <n v="0"/>
    <n v="0.52"/>
    <s v="NF-X1900"/>
    <s v="valderle"/>
  </r>
  <r>
    <x v="270"/>
    <x v="37"/>
    <s v="Admin/HR/IT"/>
    <s v="AMCARE NonOcc In"/>
    <s v="AMZN"/>
    <n v="112920637"/>
    <s v="Tapia,Antonio Torres"/>
    <s v="Cortes,Alejandra"/>
    <n v="0"/>
    <n v="0"/>
    <n v="0"/>
    <n v="0"/>
    <n v="0.43"/>
    <s v="DB-X0700"/>
    <s v="antonitq"/>
  </r>
  <r>
    <x v="270"/>
    <x v="37"/>
    <s v="Admin/HR/IT"/>
    <s v="AMCARE NonOcc In"/>
    <s v="AMZN"/>
    <n v="112980899"/>
    <s v="Avila Cabrera,Ari"/>
    <s v="Camarena,Grecia"/>
    <n v="0"/>
    <n v="0"/>
    <n v="0"/>
    <n v="0"/>
    <n v="0.31"/>
    <s v="NF-X1900"/>
    <s v="aravilac"/>
  </r>
  <r>
    <x v="270"/>
    <x v="37"/>
    <s v="Admin/HR/IT"/>
    <s v="AMCARE NonOcc In"/>
    <s v="AMZN"/>
    <n v="112981061"/>
    <s v="Olguin,Claudia"/>
    <s v="Robledo Ugarte,Alejandro"/>
    <n v="0"/>
    <n v="0"/>
    <n v="0"/>
    <n v="0"/>
    <n v="0.3"/>
    <s v="DA-X0700"/>
    <s v="mclaudol"/>
  </r>
  <r>
    <x v="270"/>
    <x v="37"/>
    <s v="Admin/HR/IT"/>
    <s v="AMCARE NonOcc In"/>
    <s v="TEMP"/>
    <n v="113003619"/>
    <s v="Villegas,Jesus"/>
    <s v="Madrid Molina,Ramon"/>
    <n v="0"/>
    <n v="0"/>
    <n v="0"/>
    <n v="0"/>
    <n v="0.19"/>
    <e v="#N/A"/>
    <e v="#N/A"/>
  </r>
  <r>
    <x v="270"/>
    <x v="37"/>
    <s v="Admin/HR/IT"/>
    <s v="AMCARE NonOcc In"/>
    <s v="AMZN"/>
    <n v="113014592"/>
    <s v="Picazo,Brenda"/>
    <s v="Romero Sanchez,Gustavo Gabriel"/>
    <n v="0"/>
    <n v="0"/>
    <n v="0"/>
    <n v="0"/>
    <n v="0.09"/>
    <e v="#N/A"/>
    <s v="brepicaz"/>
  </r>
  <r>
    <x v="270"/>
    <x v="37"/>
    <s v="Admin/HR/IT"/>
    <s v="AMCARE NonOcc In"/>
    <s v="AMZN"/>
    <n v="113101453"/>
    <s v="Isaac,Geovanna"/>
    <s v="Robledo Ugarte,Alejandro"/>
    <n v="0"/>
    <n v="0"/>
    <n v="0"/>
    <n v="0"/>
    <n v="0.52"/>
    <e v="#N/A"/>
    <s v="qisgeova"/>
  </r>
  <r>
    <x v="270"/>
    <x v="37"/>
    <s v="Admin/HR/IT"/>
    <s v="AMCARE NonOcc In"/>
    <s v="AMZN"/>
    <n v="200508315"/>
    <s v="Herrera,Aldair"/>
    <s v="Madrid Molina,Ramon"/>
    <n v="0"/>
    <n v="0"/>
    <n v="0"/>
    <n v="0"/>
    <n v="0.2"/>
    <e v="#N/A"/>
    <s v="taldaher"/>
  </r>
  <r>
    <x v="270"/>
    <x v="37"/>
    <s v="Admin/HR/IT"/>
    <s v="AMCARE NonOcc In"/>
    <s v="AMZN"/>
    <n v="200614224"/>
    <s v="Cruz Hernandez,Cris"/>
    <s v="Lopez,Alexa"/>
    <n v="0"/>
    <n v="0"/>
    <n v="0"/>
    <n v="0"/>
    <n v="0.11"/>
    <e v="#N/A"/>
    <e v="#N/A"/>
  </r>
  <r>
    <x v="270"/>
    <x v="37"/>
    <s v="Admin/HR/IT"/>
    <s v="AMCARE NonOcc In"/>
    <s v="AMZN"/>
    <n v="201166890"/>
    <s v="Caballero,Daniel"/>
    <s v="Romero Sanchez,Gustavo Gabriel"/>
    <n v="0"/>
    <n v="0"/>
    <n v="0"/>
    <n v="0"/>
    <n v="1.1100000000000001"/>
    <e v="#N/A"/>
    <s v="lcabadan"/>
  </r>
  <r>
    <x v="270"/>
    <x v="37"/>
    <s v="Admin/HR/IT"/>
    <s v="AMCARE NonOcc In"/>
    <s v="AMZN"/>
    <n v="201167501"/>
    <s v="Rodriguez,Ruben"/>
    <s v="Robledo Ugarte,Alejandro"/>
    <n v="0"/>
    <n v="0"/>
    <n v="0"/>
    <n v="0"/>
    <n v="0.38"/>
    <e v="#N/A"/>
    <s v="wguanajr"/>
  </r>
  <r>
    <x v="270"/>
    <x v="37"/>
    <s v="Admin/HR/IT"/>
    <s v="AMCARE NonOcc In"/>
    <s v="AMZN"/>
    <n v="201172412"/>
    <s v="Castellanos,Adriana"/>
    <s v="Robledo Ugarte,Alejandro"/>
    <n v="0"/>
    <n v="0"/>
    <n v="0"/>
    <n v="0"/>
    <n v="0.12"/>
    <e v="#N/A"/>
    <s v="adrpcast"/>
  </r>
  <r>
    <x v="270"/>
    <x v="37"/>
    <s v="Admin/HR/IT"/>
    <s v="AMCARE NonOcc In"/>
    <s v="AMZN"/>
    <n v="201198922"/>
    <s v="Mendez,Joy"/>
    <s v="Munoz,Jonan"/>
    <n v="0"/>
    <n v="0"/>
    <n v="0"/>
    <n v="0"/>
    <n v="0.17"/>
    <e v="#N/A"/>
    <s v="mendejoy"/>
  </r>
  <r>
    <x v="270"/>
    <x v="37"/>
    <s v="Admin/HR/IT"/>
    <s v="AMCARE NonOcc In"/>
    <s v="AMZN"/>
    <n v="201223730"/>
    <s v="Sanchiz,Cesarito"/>
    <s v="Corona Arriaga,Fernando"/>
    <n v="0"/>
    <n v="0"/>
    <n v="0"/>
    <n v="0"/>
    <n v="0.27"/>
    <e v="#N/A"/>
    <s v="cesarito"/>
  </r>
  <r>
    <x v="270"/>
    <x v="37"/>
    <s v="Admin/HR/IT"/>
    <s v="AMCARE NonOcc In"/>
    <s v="AMZN"/>
    <n v="201300426"/>
    <s v="Lira,Adrian"/>
    <s v="Hernandez,Nataly"/>
    <n v="0"/>
    <n v="0"/>
    <n v="0"/>
    <n v="0"/>
    <n v="1.68"/>
    <e v="#N/A"/>
    <s v="adriauli"/>
  </r>
  <r>
    <x v="270"/>
    <x v="37"/>
    <s v="Admin/HR/IT"/>
    <s v="AMCARE NonOcc In"/>
    <s v="AMZN"/>
    <n v="201318220"/>
    <s v="Jasso,Raul"/>
    <s v="Bueno Mendoza,Susana"/>
    <n v="0"/>
    <n v="0"/>
    <n v="0"/>
    <n v="0"/>
    <n v="0.5"/>
    <e v="#N/A"/>
    <s v="raufjas"/>
  </r>
  <r>
    <x v="270"/>
    <x v="37"/>
    <s v="Admin/HR/IT"/>
    <s v="AMCARE NonOcc In"/>
    <s v="TEMP"/>
    <n v="201891076"/>
    <s v="Olvera,Marilu"/>
    <s v="Romero Sanchez,Gustavo Gabriel"/>
    <n v="0"/>
    <n v="0"/>
    <n v="0"/>
    <n v="0"/>
    <n v="0.2"/>
    <e v="#N/A"/>
    <s v="marmolve"/>
  </r>
  <r>
    <x v="270"/>
    <x v="37"/>
    <s v="Admin/HR/IT"/>
    <s v="AMCARE NonOcc In"/>
    <s v="TEMP"/>
    <n v="201901982"/>
    <s v="Vallejo,Jaciel Mario"/>
    <s v="Gomez Aguado,Jorge"/>
    <n v="0"/>
    <n v="0"/>
    <n v="0"/>
    <n v="0"/>
    <n v="0.33"/>
    <e v="#N/A"/>
    <e v="#N/A"/>
  </r>
  <r>
    <x v="270"/>
    <x v="37"/>
    <s v="Admin/HR/IT"/>
    <s v="AMCARE NonOcc In"/>
    <s v="TEMP"/>
    <n v="202081527"/>
    <s v="Martinez,Efren"/>
    <s v="Hernandez,Nataly"/>
    <n v="0"/>
    <n v="0"/>
    <n v="0"/>
    <n v="0"/>
    <n v="2.25"/>
    <e v="#N/A"/>
    <s v="efrmartw"/>
  </r>
  <r>
    <x v="271"/>
    <x v="37"/>
    <s v="Admin/HR/IT"/>
    <s v="AMCARE NonOcc In"/>
    <s v="AMZN"/>
    <n v="111280597"/>
    <s v="Contreras Palma,Ramon Levi"/>
    <s v="Hernandez,Nataly"/>
    <n v="0"/>
    <n v="0"/>
    <n v="0"/>
    <n v="0"/>
    <n v="1.94"/>
    <s v="DB-X0700"/>
    <s v="ramonlco"/>
  </r>
  <r>
    <x v="271"/>
    <x v="37"/>
    <s v="Admin/HR/IT"/>
    <s v="AMCARE NonOcc In"/>
    <s v="AMZN"/>
    <n v="112920654"/>
    <s v="Horta,Julieta"/>
    <s v="Hernandez,Nataly"/>
    <n v="0"/>
    <n v="0"/>
    <n v="0"/>
    <n v="0"/>
    <n v="0.04"/>
    <s v="DB-X0700"/>
    <s v="qhojulie"/>
  </r>
  <r>
    <x v="271"/>
    <x v="37"/>
    <s v="Admin/HR/IT"/>
    <s v="AMCARE NonOcc In"/>
    <s v="AMZN"/>
    <n v="112972201"/>
    <s v="Garcia,Andres"/>
    <s v="Gomez Aguado,Jorge"/>
    <n v="0"/>
    <n v="0"/>
    <n v="0"/>
    <n v="0"/>
    <n v="1.85"/>
    <s v="DC-X0700"/>
    <s v="garcyand"/>
  </r>
  <r>
    <x v="271"/>
    <x v="37"/>
    <s v="Admin/HR/IT"/>
    <s v="AMCARE NonOcc In"/>
    <s v="AMZN"/>
    <n v="112981212"/>
    <s v="Zanella Miranda,Alyson"/>
    <s v="Robledo Ugarte,Alejandro"/>
    <n v="0"/>
    <n v="0"/>
    <n v="0"/>
    <n v="0"/>
    <n v="1.22"/>
    <e v="#N/A"/>
    <s v="alysonza"/>
  </r>
  <r>
    <x v="271"/>
    <x v="37"/>
    <s v="Admin/HR/IT"/>
    <s v="AMCARE NonOcc In"/>
    <s v="AMZN"/>
    <n v="113003971"/>
    <s v="Garcia  Ramirez,Gabriel"/>
    <s v="Corona Arriaga,Fernando"/>
    <n v="0"/>
    <n v="0"/>
    <n v="0"/>
    <n v="0"/>
    <n v="0.28000000000000003"/>
    <e v="#N/A"/>
    <s v="garamird"/>
  </r>
  <r>
    <x v="271"/>
    <x v="37"/>
    <s v="Admin/HR/IT"/>
    <s v="AMCARE NonOcc In"/>
    <s v="AMZN"/>
    <n v="113020476"/>
    <s v="Puente Aguilar,Polette"/>
    <s v="Madrid Molina,Ramon"/>
    <n v="0"/>
    <n v="0"/>
    <n v="0"/>
    <n v="0"/>
    <n v="0.15"/>
    <e v="#N/A"/>
    <s v="polettpu"/>
  </r>
  <r>
    <x v="271"/>
    <x v="37"/>
    <s v="Admin/HR/IT"/>
    <s v="AMCARE NonOcc In"/>
    <s v="AMZN"/>
    <n v="201159033"/>
    <s v="Arrona,Monserrat"/>
    <s v="Corona Arriaga,Fernando"/>
    <n v="0"/>
    <n v="0"/>
    <n v="0"/>
    <n v="0"/>
    <n v="0.04"/>
    <e v="#N/A"/>
    <s v="monsarru"/>
  </r>
  <r>
    <x v="271"/>
    <x v="37"/>
    <s v="Admin/HR/IT"/>
    <s v="AMCARE NonOcc In"/>
    <s v="AMZN"/>
    <n v="201167388"/>
    <s v="Aguirre,Octavio"/>
    <s v="Madrid Molina,Ramon"/>
    <n v="0"/>
    <n v="0"/>
    <n v="0"/>
    <n v="0"/>
    <n v="0.09"/>
    <e v="#N/A"/>
    <s v="naguirro"/>
  </r>
  <r>
    <x v="271"/>
    <x v="37"/>
    <s v="Admin/HR/IT"/>
    <s v="AMCARE NonOcc In"/>
    <s v="AMZN"/>
    <n v="201223730"/>
    <s v="Sanchiz,Cesarito"/>
    <s v="Corona Arriaga,Fernando"/>
    <n v="0"/>
    <n v="0"/>
    <n v="0"/>
    <n v="0"/>
    <n v="0.68"/>
    <e v="#N/A"/>
    <s v="cesarito"/>
  </r>
  <r>
    <x v="271"/>
    <x v="37"/>
    <s v="Admin/HR/IT"/>
    <s v="AMCARE NonOcc In"/>
    <s v="AMZN"/>
    <n v="201228411"/>
    <s v="Hernandez Soriano,Jazmin"/>
    <s v="Corona Arriaga,Fernando"/>
    <n v="0"/>
    <n v="0"/>
    <n v="0"/>
    <n v="0"/>
    <n v="0.66"/>
    <e v="#N/A"/>
    <s v="jazmiwhe"/>
  </r>
  <r>
    <x v="271"/>
    <x v="37"/>
    <s v="Admin/HR/IT"/>
    <s v="AMCARE NonOcc In"/>
    <s v="TEMP"/>
    <n v="201320536"/>
    <s v="Ibarra,Miguel"/>
    <s v="Ledezma,Fer"/>
    <n v="0"/>
    <n v="0"/>
    <n v="0"/>
    <n v="0"/>
    <n v="0.39"/>
    <e v="#N/A"/>
    <s v="ibalmigu"/>
  </r>
  <r>
    <x v="271"/>
    <x v="37"/>
    <s v="Admin/HR/IT"/>
    <s v="AMCARE NonOcc In"/>
    <s v="AMZN"/>
    <n v="201354965"/>
    <s v="JimÃ©nez,Aline"/>
    <s v="Lopez,Alexa"/>
    <n v="0"/>
    <n v="0"/>
    <n v="0"/>
    <n v="0"/>
    <n v="2.64"/>
    <e v="#N/A"/>
    <s v="alinejim"/>
  </r>
  <r>
    <x v="271"/>
    <x v="37"/>
    <s v="Admin/HR/IT"/>
    <s v="AMCARE NonOcc In"/>
    <s v="AMZN"/>
    <n v="201403462"/>
    <s v="Valdovino,Jorge"/>
    <s v="Gomez Aguado,Jorge"/>
    <n v="0"/>
    <n v="0"/>
    <n v="0"/>
    <n v="0"/>
    <n v="1.2"/>
    <e v="#N/A"/>
    <s v="valdojoe"/>
  </r>
  <r>
    <x v="271"/>
    <x v="37"/>
    <s v="Admin/HR/IT"/>
    <s v="AMCARE NonOcc In"/>
    <s v="TEMP"/>
    <n v="201842039"/>
    <s v="Martinez,Antonio"/>
    <s v="Corona Arriaga,Fernando"/>
    <n v="0"/>
    <n v="0"/>
    <n v="0"/>
    <n v="0"/>
    <n v="0.27"/>
    <e v="#N/A"/>
    <s v="fantmar"/>
  </r>
  <r>
    <x v="271"/>
    <x v="37"/>
    <s v="Admin/HR/IT"/>
    <s v="AMCARE NonOcc In"/>
    <s v="TEMP"/>
    <n v="201842064"/>
    <s v="Agripino,Andrea"/>
    <s v="Ledezma,Fer"/>
    <n v="0"/>
    <n v="0"/>
    <n v="0"/>
    <n v="0"/>
    <n v="1.41"/>
    <e v="#N/A"/>
    <s v="agriandl"/>
  </r>
  <r>
    <x v="271"/>
    <x v="37"/>
    <s v="Admin/HR/IT"/>
    <s v="AMCARE NonOcc In"/>
    <s v="TEMP"/>
    <n v="201858789"/>
    <s v="HINOJOSA,IGNACIO"/>
    <s v="Ledezma,Fer"/>
    <n v="0"/>
    <n v="0"/>
    <n v="0"/>
    <n v="0"/>
    <n v="0.03"/>
    <e v="#N/A"/>
    <s v="ignachis"/>
  </r>
  <r>
    <x v="271"/>
    <x v="37"/>
    <s v="Admin/HR/IT"/>
    <s v="AMCARE NonOcc In"/>
    <s v="TEMP"/>
    <n v="201864225"/>
    <s v="Flores,Ivan"/>
    <s v="Corona Arriaga,Fernando"/>
    <n v="0"/>
    <n v="0"/>
    <n v="0"/>
    <n v="0"/>
    <n v="0.16"/>
    <e v="#N/A"/>
    <s v="floreivc"/>
  </r>
  <r>
    <x v="271"/>
    <x v="37"/>
    <s v="Admin/HR/IT"/>
    <s v="AMCARE NonOcc In"/>
    <s v="TEMP"/>
    <n v="201903097"/>
    <s v="Oliva,Montserrat"/>
    <s v="Ledezma,Fer"/>
    <n v="0"/>
    <n v="0"/>
    <n v="0"/>
    <n v="0"/>
    <n v="0.26"/>
    <e v="#N/A"/>
    <s v="montoliy"/>
  </r>
  <r>
    <x v="271"/>
    <x v="37"/>
    <s v="Admin/HR/IT"/>
    <s v="AMCARE NonOcc In"/>
    <s v="TEMP"/>
    <n v="202063545"/>
    <s v="GarcÃ­a,Ana"/>
    <s v="Ledezma,Fer"/>
    <n v="0"/>
    <n v="0"/>
    <n v="0"/>
    <n v="0"/>
    <n v="0.42"/>
    <e v="#N/A"/>
    <s v="angarcz"/>
  </r>
  <r>
    <x v="272"/>
    <x v="37"/>
    <s v="Admin/HR/IT"/>
    <s v="AMCARE NonOcc In"/>
    <s v="AMZN"/>
    <n v="112912752"/>
    <s v="Valderrama Gomez,Leslie"/>
    <s v="Camarena,Grecia"/>
    <n v="0"/>
    <n v="0"/>
    <n v="0"/>
    <n v="0"/>
    <n v="0.26"/>
    <s v="NF-X1900"/>
    <s v="valderle"/>
  </r>
  <r>
    <x v="272"/>
    <x v="37"/>
    <s v="Admin/HR/IT"/>
    <s v="AMCARE NonOcc In"/>
    <s v="AMZN"/>
    <n v="112950784"/>
    <s v="Rojas,Samuel"/>
    <s v="Pizana,Diego"/>
    <n v="0"/>
    <n v="0"/>
    <n v="0"/>
    <n v="0"/>
    <n v="0.16"/>
    <s v="NF-X1900"/>
    <s v="sarojast"/>
  </r>
  <r>
    <x v="272"/>
    <x v="37"/>
    <s v="Admin/HR/IT"/>
    <s v="AMCARE NonOcc In"/>
    <s v="AMZN"/>
    <n v="112972524"/>
    <s v="Santibanez Garcia,Luisa"/>
    <s v="Hernandez,Nataly"/>
    <n v="0"/>
    <n v="0"/>
    <n v="0"/>
    <n v="0"/>
    <n v="1.05"/>
    <s v="DB-X0700"/>
    <s v="csantibl"/>
  </r>
  <r>
    <x v="272"/>
    <x v="37"/>
    <s v="Admin/HR/IT"/>
    <s v="AMCARE NonOcc In"/>
    <s v="AMZN"/>
    <n v="112976043"/>
    <s v="Rivas,Ricardo"/>
    <s v="Ãvila,Arturo"/>
    <n v="0"/>
    <n v="0"/>
    <n v="0"/>
    <n v="0"/>
    <n v="0.19"/>
    <s v="DE-X1024"/>
    <s v="ricrivab"/>
  </r>
  <r>
    <x v="272"/>
    <x v="37"/>
    <s v="Admin/HR/IT"/>
    <s v="AMCARE NonOcc In"/>
    <s v="TEMP"/>
    <n v="113003619"/>
    <s v="Villegas,Jesus"/>
    <s v="Madrid Molina,Ramon"/>
    <n v="0"/>
    <n v="0"/>
    <n v="0"/>
    <n v="0"/>
    <n v="0.33"/>
    <e v="#N/A"/>
    <e v="#N/A"/>
  </r>
  <r>
    <x v="272"/>
    <x v="37"/>
    <s v="Admin/HR/IT"/>
    <s v="AMCARE NonOcc In"/>
    <s v="TEMP"/>
    <n v="113019078"/>
    <s v="Ojeda Sierra,Brenda"/>
    <s v="Cortes,Alejandra"/>
    <n v="0"/>
    <n v="0"/>
    <n v="0"/>
    <n v="0"/>
    <n v="0.4"/>
    <e v="#N/A"/>
    <s v="brojedas"/>
  </r>
  <r>
    <x v="272"/>
    <x v="37"/>
    <s v="Admin/HR/IT"/>
    <s v="AMCARE NonOcc In"/>
    <s v="AMZN"/>
    <n v="113101453"/>
    <s v="Isaac,Geovanna"/>
    <s v="Robledo Ugarte,Alejandro"/>
    <n v="0"/>
    <n v="0"/>
    <n v="0"/>
    <n v="0"/>
    <n v="0.04"/>
    <e v="#N/A"/>
    <s v="qisgeova"/>
  </r>
  <r>
    <x v="272"/>
    <x v="37"/>
    <s v="Admin/HR/IT"/>
    <s v="AMCARE NonOcc In"/>
    <s v="AMZN"/>
    <n v="200404250"/>
    <s v="Hurtado,Caty"/>
    <s v="Romero Sanchez,Gustavo Gabriel"/>
    <n v="0"/>
    <n v="0"/>
    <n v="0"/>
    <n v="0"/>
    <n v="0.56000000000000005"/>
    <e v="#N/A"/>
    <s v="xcathurt"/>
  </r>
  <r>
    <x v="272"/>
    <x v="37"/>
    <s v="Admin/HR/IT"/>
    <s v="AMCARE NonOcc In"/>
    <s v="AMZN"/>
    <n v="200514421"/>
    <s v="Padilla Abrego,Angeles"/>
    <s v="Lopez,Alexa"/>
    <n v="0"/>
    <n v="0"/>
    <n v="0"/>
    <n v="0"/>
    <n v="0.19"/>
    <e v="#N/A"/>
    <s v="padillms"/>
  </r>
  <r>
    <x v="272"/>
    <x v="37"/>
    <s v="Admin/HR/IT"/>
    <s v="AMCARE NonOcc In"/>
    <s v="AMZN"/>
    <n v="200625528"/>
    <s v="Oliva,Lizbeth"/>
    <s v="Piedra,Valentina"/>
    <n v="0"/>
    <n v="0"/>
    <n v="0"/>
    <n v="0"/>
    <n v="0.12"/>
    <e v="#N/A"/>
    <s v="olivlizb"/>
  </r>
  <r>
    <x v="272"/>
    <x v="37"/>
    <s v="Admin/HR/IT"/>
    <s v="AMCARE NonOcc In"/>
    <s v="AMZN"/>
    <n v="201185299"/>
    <s v="Garcia,Noemi"/>
    <s v="Ledezma,Fer"/>
    <n v="0"/>
    <n v="0"/>
    <n v="0"/>
    <n v="0"/>
    <n v="0.65"/>
    <e v="#N/A"/>
    <s v="sganoemi"/>
  </r>
  <r>
    <x v="272"/>
    <x v="37"/>
    <s v="Admin/HR/IT"/>
    <s v="AMCARE NonOcc In"/>
    <s v="AMZN"/>
    <n v="201223730"/>
    <s v="Sanchiz,Cesarito"/>
    <s v="Corona Arriaga,Fernando"/>
    <n v="0"/>
    <n v="0"/>
    <n v="0"/>
    <n v="0"/>
    <n v="0.45"/>
    <e v="#N/A"/>
    <s v="cesarito"/>
  </r>
  <r>
    <x v="272"/>
    <x v="37"/>
    <s v="Admin/HR/IT"/>
    <s v="AMCARE NonOcc In"/>
    <s v="AMZN"/>
    <n v="201228411"/>
    <s v="Hernandez Soriano,Jazmin"/>
    <s v="Corona Arriaga,Fernando"/>
    <n v="0"/>
    <n v="0"/>
    <n v="0"/>
    <n v="0"/>
    <n v="0.45"/>
    <e v="#N/A"/>
    <s v="jazmiwhe"/>
  </r>
  <r>
    <x v="272"/>
    <x v="37"/>
    <s v="Admin/HR/IT"/>
    <s v="AMCARE NonOcc In"/>
    <s v="AMZN"/>
    <n v="201345737"/>
    <s v="Rosales,Paco"/>
    <s v="Lopez,Alexa"/>
    <n v="0"/>
    <n v="0"/>
    <n v="0"/>
    <n v="0"/>
    <n v="0.14000000000000001"/>
    <e v="#N/A"/>
    <s v="upacoros"/>
  </r>
  <r>
    <x v="272"/>
    <x v="37"/>
    <s v="Admin/HR/IT"/>
    <s v="AMCARE NonOcc In"/>
    <s v="AMZN"/>
    <n v="201353166"/>
    <s v="Martinez,Lucia"/>
    <s v="Lopez,Alexa"/>
    <n v="0"/>
    <n v="0"/>
    <n v="0"/>
    <n v="0"/>
    <n v="0.38"/>
    <e v="#N/A"/>
    <s v="mamlucia"/>
  </r>
  <r>
    <x v="272"/>
    <x v="37"/>
    <s v="Admin/HR/IT"/>
    <s v="AMCARE NonOcc In"/>
    <s v="TEMP"/>
    <n v="201408478"/>
    <s v="Calderon,David"/>
    <s v="Madrid Molina,Ramon"/>
    <n v="0"/>
    <n v="0"/>
    <n v="0"/>
    <n v="0"/>
    <n v="0.04"/>
    <e v="#N/A"/>
    <s v="dacaldey"/>
  </r>
  <r>
    <x v="272"/>
    <x v="37"/>
    <s v="Admin/HR/IT"/>
    <s v="AMCARE NonOcc In"/>
    <s v="TEMP"/>
    <n v="201858867"/>
    <s v="Cruz Velazquez,Gabriela"/>
    <s v="Corona Arriaga,Fernando"/>
    <n v="0"/>
    <n v="0"/>
    <n v="0"/>
    <n v="0"/>
    <n v="0.5"/>
    <e v="#N/A"/>
    <s v="tcruzvel"/>
  </r>
  <r>
    <x v="272"/>
    <x v="37"/>
    <s v="Admin/HR/IT"/>
    <s v="AMCARE NonOcc In"/>
    <s v="TEMP"/>
    <n v="202081527"/>
    <s v="Martinez,Efren"/>
    <s v="Hernandez,Nataly"/>
    <n v="0"/>
    <n v="0"/>
    <n v="0"/>
    <n v="0"/>
    <n v="1.02"/>
    <e v="#N/A"/>
    <s v="efrmartw"/>
  </r>
  <r>
    <x v="272"/>
    <x v="37"/>
    <s v="Admin/HR/IT"/>
    <s v="AMCARE NonOcc In"/>
    <s v="TEMP"/>
    <n v="202117420"/>
    <s v="Cervera,Israel"/>
    <s v="Cortes,Alejandra"/>
    <n v="0"/>
    <n v="0"/>
    <n v="0"/>
    <n v="0"/>
    <n v="0.08"/>
    <e v="#N/A"/>
    <s v="iscerver"/>
  </r>
  <r>
    <x v="272"/>
    <x v="37"/>
    <s v="Admin/HR/IT"/>
    <s v="AMCARE NonOcc In"/>
    <s v="TEMP"/>
    <n v="202120077"/>
    <s v="Aguilar,Mauricio"/>
    <s v="Cortes,Alejandra"/>
    <n v="0"/>
    <n v="0"/>
    <n v="0"/>
    <n v="0"/>
    <n v="0.55000000000000004"/>
    <e v="#N/A"/>
    <s v="mauaguid"/>
  </r>
  <r>
    <x v="273"/>
    <x v="37"/>
    <s v="Admin/HR/IT"/>
    <s v="AMCARE NonOcc In"/>
    <s v="AMZN"/>
    <n v="112972215"/>
    <s v="Cruz,Ana"/>
    <s v="Lopez,Alexa"/>
    <n v="0"/>
    <n v="0"/>
    <n v="0"/>
    <n v="0"/>
    <n v="0.46"/>
    <s v="DB-X0700"/>
    <s v="cruzbana"/>
  </r>
  <r>
    <x v="273"/>
    <x v="37"/>
    <s v="Admin/HR/IT"/>
    <s v="AMCARE NonOcc In"/>
    <s v="AMZN"/>
    <n v="112973049"/>
    <s v="Tavares Parra,Ely"/>
    <s v="Piedra,Valentina"/>
    <n v="0"/>
    <n v="0"/>
    <n v="0"/>
    <n v="0"/>
    <n v="0.13"/>
    <s v="DB-X0700"/>
    <s v="afatimae"/>
  </r>
  <r>
    <x v="273"/>
    <x v="37"/>
    <s v="Admin/HR/IT"/>
    <s v="AMCARE NonOcc In"/>
    <s v="TEMP"/>
    <n v="113003619"/>
    <s v="Villegas,Jesus"/>
    <s v="Madrid Molina,Ramon"/>
    <n v="0"/>
    <n v="0"/>
    <n v="0"/>
    <n v="0"/>
    <n v="0.53"/>
    <e v="#N/A"/>
    <e v="#N/A"/>
  </r>
  <r>
    <x v="273"/>
    <x v="37"/>
    <s v="Admin/HR/IT"/>
    <s v="AMCARE NonOcc In"/>
    <s v="AMZN"/>
    <n v="113020476"/>
    <s v="Puente Aguilar,Polette"/>
    <s v="Madrid Molina,Ramon"/>
    <n v="0"/>
    <n v="0"/>
    <n v="0"/>
    <n v="0"/>
    <n v="0.12"/>
    <e v="#N/A"/>
    <s v="polettpu"/>
  </r>
  <r>
    <x v="273"/>
    <x v="37"/>
    <s v="Admin/HR/IT"/>
    <s v="AMCARE NonOcc In"/>
    <s v="AMZN"/>
    <n v="113020667"/>
    <s v="Martinez Becerra,Paulina"/>
    <s v="Munoz,Jonan"/>
    <n v="0"/>
    <n v="0"/>
    <n v="0"/>
    <n v="0"/>
    <n v="0.11"/>
    <e v="#N/A"/>
    <s v="mavpauli"/>
  </r>
  <r>
    <x v="273"/>
    <x v="37"/>
    <s v="Admin/HR/IT"/>
    <s v="AMCARE NonOcc In"/>
    <s v="AMZN"/>
    <n v="200508323"/>
    <s v="Espejel Lopez,Emmanuel"/>
    <s v="Lopez,Alexa"/>
    <n v="0"/>
    <n v="0"/>
    <n v="0"/>
    <n v="0"/>
    <n v="0.28999999999999998"/>
    <e v="#N/A"/>
    <s v="espejell"/>
  </r>
  <r>
    <x v="273"/>
    <x v="37"/>
    <s v="Admin/HR/IT"/>
    <s v="AMCARE NonOcc In"/>
    <s v="AMZN"/>
    <n v="201185299"/>
    <s v="Garcia,Noemi"/>
    <s v="Ledezma,Fer"/>
    <n v="0"/>
    <n v="0"/>
    <n v="0"/>
    <n v="0"/>
    <n v="0.27"/>
    <e v="#N/A"/>
    <s v="sganoemi"/>
  </r>
  <r>
    <x v="273"/>
    <x v="37"/>
    <s v="Admin/HR/IT"/>
    <s v="AMCARE NonOcc In"/>
    <s v="AMZN"/>
    <n v="201195215"/>
    <s v="Guzman,Daniel"/>
    <s v="Lopez,Alexa"/>
    <n v="0"/>
    <n v="0"/>
    <n v="0"/>
    <n v="0"/>
    <n v="0.38"/>
    <e v="#N/A"/>
    <s v="guzmadaa"/>
  </r>
  <r>
    <x v="273"/>
    <x v="37"/>
    <s v="Admin/HR/IT"/>
    <s v="AMCARE NonOcc In"/>
    <s v="AMZN"/>
    <n v="201223730"/>
    <s v="Sanchiz,Cesarito"/>
    <s v="Corona Arriaga,Fernando"/>
    <n v="0"/>
    <n v="0"/>
    <n v="0"/>
    <n v="0"/>
    <n v="1.4"/>
    <e v="#N/A"/>
    <s v="cesarito"/>
  </r>
  <r>
    <x v="273"/>
    <x v="37"/>
    <s v="Admin/HR/IT"/>
    <s v="AMCARE NonOcc In"/>
    <s v="AMZN"/>
    <n v="201228411"/>
    <s v="Hernandez Soriano,Jazmin"/>
    <s v="Corona Arriaga,Fernando"/>
    <n v="0"/>
    <n v="0"/>
    <n v="0"/>
    <n v="0"/>
    <n v="1.4"/>
    <e v="#N/A"/>
    <s v="jazmiwhe"/>
  </r>
  <r>
    <x v="273"/>
    <x v="37"/>
    <s v="Admin/HR/IT"/>
    <s v="AMCARE NonOcc In"/>
    <s v="TEMP"/>
    <n v="201847940"/>
    <s v="Vallecillo,Jessy"/>
    <s v="Ledezma,Fer"/>
    <n v="0"/>
    <n v="0"/>
    <n v="0"/>
    <n v="0"/>
    <n v="0.23"/>
    <e v="#N/A"/>
    <e v="#N/A"/>
  </r>
  <r>
    <x v="273"/>
    <x v="37"/>
    <s v="Admin/HR/IT"/>
    <s v="AMCARE NonOcc In"/>
    <s v="TEMP"/>
    <n v="201906503"/>
    <s v="MartÃ­nez,Jennifer"/>
    <s v="Gomez Aguado,Jorge"/>
    <n v="0"/>
    <n v="0"/>
    <n v="0"/>
    <n v="0"/>
    <n v="0.27"/>
    <e v="#N/A"/>
    <s v="mqjennif"/>
  </r>
  <r>
    <x v="273"/>
    <x v="37"/>
    <s v="Admin/HR/IT"/>
    <s v="AMCARE NonOcc In"/>
    <s v="TEMP"/>
    <n v="202079441"/>
    <s v="Estrada,Daniel"/>
    <s v="Cortes,Alejandra"/>
    <n v="0"/>
    <n v="0"/>
    <n v="0"/>
    <n v="0"/>
    <n v="0.18"/>
    <e v="#N/A"/>
    <s v="fdaniees"/>
  </r>
  <r>
    <x v="273"/>
    <x v="37"/>
    <s v="Admin/HR/IT"/>
    <s v="AMCARE NonOcc In"/>
    <s v="TEMP"/>
    <n v="202099229"/>
    <s v="Rada,Gabo"/>
    <s v="Cortes,Alejandra"/>
    <n v="0"/>
    <n v="0"/>
    <n v="0"/>
    <n v="0"/>
    <n v="0.19"/>
    <e v="#N/A"/>
    <s v="gaborada"/>
  </r>
  <r>
    <x v="273"/>
    <x v="37"/>
    <s v="Admin/HR/IT"/>
    <s v="AMCARE NonOcc In"/>
    <s v="TEMP"/>
    <n v="202120077"/>
    <s v="Aguilar,Mauricio"/>
    <s v="Cortes,Alejandra"/>
    <n v="0"/>
    <n v="0"/>
    <n v="0"/>
    <n v="0"/>
    <n v="0.6"/>
    <e v="#N/A"/>
    <s v="mauaguid"/>
  </r>
  <r>
    <x v="274"/>
    <x v="38"/>
    <s v="Admin/HR/IT"/>
    <s v="AMCARE NonOcc In"/>
    <s v="AMZN"/>
    <n v="112950784"/>
    <s v="Rojas,Samuel"/>
    <s v="Pizana,Diego"/>
    <n v="0"/>
    <n v="0"/>
    <n v="0"/>
    <n v="0"/>
    <n v="0.13"/>
    <s v="NF-X1900"/>
    <s v="sarojast"/>
  </r>
  <r>
    <x v="274"/>
    <x v="38"/>
    <s v="Admin/HR/IT"/>
    <s v="AMCARE NonOcc In"/>
    <s v="AMZN"/>
    <n v="113020667"/>
    <s v="Martinez Becerra,Paulina"/>
    <s v="Munoz,Jonan"/>
    <n v="0"/>
    <n v="0"/>
    <n v="0"/>
    <n v="0"/>
    <n v="0.06"/>
    <e v="#N/A"/>
    <s v="mavpauli"/>
  </r>
  <r>
    <x v="274"/>
    <x v="38"/>
    <s v="Admin/HR/IT"/>
    <s v="AMCARE NonOcc In"/>
    <s v="AMZN"/>
    <n v="200404250"/>
    <s v="Hurtado,Caty"/>
    <s v="Romero Sanchez,Gustavo Gabriel"/>
    <n v="0"/>
    <n v="0"/>
    <n v="0"/>
    <n v="0"/>
    <n v="0.46"/>
    <e v="#N/A"/>
    <s v="xcathurt"/>
  </r>
  <r>
    <x v="274"/>
    <x v="38"/>
    <s v="Admin/HR/IT"/>
    <s v="AMCARE NonOcc In"/>
    <s v="AMZN"/>
    <n v="200594806"/>
    <s v="DÃ­az,Huicho"/>
    <s v="Robledo Ugarte,Alejandro"/>
    <n v="0"/>
    <n v="0"/>
    <n v="0"/>
    <n v="0"/>
    <n v="0.13"/>
    <e v="#N/A"/>
    <s v="zjorgedi"/>
  </r>
  <r>
    <x v="274"/>
    <x v="38"/>
    <s v="Admin/HR/IT"/>
    <s v="AMCARE NonOcc In"/>
    <s v="AMZN"/>
    <n v="201165769"/>
    <s v="Puente,Karen"/>
    <s v="Piedra,Valentina"/>
    <n v="0"/>
    <n v="0"/>
    <n v="0"/>
    <n v="0"/>
    <n v="0.28000000000000003"/>
    <e v="#N/A"/>
    <s v="puenkare"/>
  </r>
  <r>
    <x v="274"/>
    <x v="38"/>
    <s v="Admin/HR/IT"/>
    <s v="AMCARE NonOcc In"/>
    <s v="AMZN"/>
    <n v="201379035"/>
    <s v="Castro,Fernando"/>
    <s v="Rosas Negrete,Sebastian"/>
    <n v="0"/>
    <n v="0"/>
    <n v="0"/>
    <n v="0"/>
    <n v="0.61"/>
    <e v="#N/A"/>
    <s v="casqfern"/>
  </r>
  <r>
    <x v="274"/>
    <x v="38"/>
    <s v="Admin/HR/IT"/>
    <s v="AMCARE NonOcc In"/>
    <s v="TEMP"/>
    <n v="202070029"/>
    <s v="Macias,Salvador"/>
    <s v="Bueno Mendoza,Susana"/>
    <n v="0"/>
    <n v="0"/>
    <n v="0"/>
    <n v="0"/>
    <n v="0.24"/>
    <e v="#N/A"/>
    <e v="#N/A"/>
  </r>
  <r>
    <x v="275"/>
    <x v="38"/>
    <s v="Admin/HR/IT"/>
    <s v="AMCARE NonOcc In"/>
    <s v="AMZN"/>
    <n v="112912203"/>
    <s v="Alvarez Olivares,Omar Leonardo"/>
    <s v="Pizana,Diego"/>
    <n v="0"/>
    <n v="0"/>
    <n v="0"/>
    <n v="0"/>
    <n v="0.31"/>
    <s v="DA-X0700"/>
    <s v="omarleoa"/>
  </r>
  <r>
    <x v="275"/>
    <x v="38"/>
    <s v="Admin/HR/IT"/>
    <s v="AMCARE NonOcc In"/>
    <s v="AMZN"/>
    <n v="112981061"/>
    <s v="Olguin,Claudia"/>
    <s v="Robledo Ugarte,Alejandro"/>
    <n v="0"/>
    <n v="0"/>
    <n v="0"/>
    <n v="0"/>
    <n v="0.21"/>
    <s v="DA-X0700"/>
    <s v="mclaudol"/>
  </r>
  <r>
    <x v="275"/>
    <x v="38"/>
    <s v="Admin/HR/IT"/>
    <s v="AMCARE NonOcc In"/>
    <s v="AMZN"/>
    <n v="113014470"/>
    <s v="Aguilar Ibarra,Lupe"/>
    <s v="Robledo Ugarte,Alejandro"/>
    <n v="0"/>
    <n v="0"/>
    <n v="0"/>
    <n v="0"/>
    <n v="0.2"/>
    <e v="#N/A"/>
    <s v="lupaguin"/>
  </r>
  <r>
    <x v="275"/>
    <x v="38"/>
    <s v="Admin/HR/IT"/>
    <s v="AMCARE NonOcc In"/>
    <s v="AMZN"/>
    <n v="113052151"/>
    <s v="Nieves Mendez,Laura"/>
    <s v="Ledezma,Fer"/>
    <n v="0"/>
    <n v="0"/>
    <n v="0"/>
    <n v="0"/>
    <n v="0.16"/>
    <e v="#N/A"/>
    <s v="nilaurab"/>
  </r>
  <r>
    <x v="275"/>
    <x v="38"/>
    <s v="Admin/HR/IT"/>
    <s v="AMCARE NonOcc In"/>
    <s v="AMZN"/>
    <n v="200534675"/>
    <s v="Munoz Macias,Juan Pablo"/>
    <s v="Rosas Negrete,Sebastian"/>
    <n v="0"/>
    <n v="0"/>
    <n v="0"/>
    <n v="0"/>
    <n v="0.17"/>
    <e v="#N/A"/>
    <s v="juanpmun"/>
  </r>
  <r>
    <x v="275"/>
    <x v="38"/>
    <s v="Admin/HR/IT"/>
    <s v="AMCARE NonOcc In"/>
    <s v="AMZN"/>
    <n v="201162225"/>
    <s v="Corona,Israel"/>
    <s v="Piedra,Valentina"/>
    <n v="0"/>
    <n v="0"/>
    <n v="0"/>
    <n v="0"/>
    <n v="0.1"/>
    <e v="#N/A"/>
    <s v="isracoro"/>
  </r>
  <r>
    <x v="275"/>
    <x v="38"/>
    <s v="Admin/HR/IT"/>
    <s v="AMCARE NonOcc In"/>
    <s v="AMZN"/>
    <n v="201167501"/>
    <s v="Rodriguez,Ruben"/>
    <s v="Robledo Ugarte,Alejandro"/>
    <n v="0"/>
    <n v="0"/>
    <n v="0"/>
    <n v="0"/>
    <n v="0.41"/>
    <e v="#N/A"/>
    <s v="wguanajr"/>
  </r>
  <r>
    <x v="275"/>
    <x v="38"/>
    <s v="Admin/HR/IT"/>
    <s v="AMCARE NonOcc In"/>
    <s v="AMZN"/>
    <n v="201185299"/>
    <s v="Garcia,Noemi"/>
    <s v="Ledezma,Fer"/>
    <n v="0"/>
    <n v="0"/>
    <n v="0"/>
    <n v="0"/>
    <n v="0.23"/>
    <e v="#N/A"/>
    <s v="sganoemi"/>
  </r>
  <r>
    <x v="275"/>
    <x v="38"/>
    <s v="Admin/HR/IT"/>
    <s v="AMCARE NonOcc In"/>
    <s v="AMZN"/>
    <n v="201197964"/>
    <s v="Quijas,Matzayani"/>
    <s v="Romero Sanchez,Gustavo Gabriel"/>
    <n v="0"/>
    <n v="0"/>
    <n v="0"/>
    <n v="0"/>
    <n v="0.56999999999999995"/>
    <e v="#N/A"/>
    <s v="matzquij"/>
  </r>
  <r>
    <x v="275"/>
    <x v="38"/>
    <s v="Admin/HR/IT"/>
    <s v="AMCARE NonOcc In"/>
    <s v="AMZN"/>
    <n v="201401219"/>
    <s v="Moreno,Nayma"/>
    <s v="Bueno Mendoza,Susana"/>
    <n v="0"/>
    <n v="0"/>
    <n v="0"/>
    <n v="0"/>
    <n v="0.22"/>
    <e v="#N/A"/>
    <s v="namorena"/>
  </r>
  <r>
    <x v="275"/>
    <x v="38"/>
    <s v="Admin/HR/IT"/>
    <s v="AMCARE NonOcc In"/>
    <s v="TEMP"/>
    <n v="201891076"/>
    <s v="Olvera,Marilu"/>
    <s v="Romero Sanchez,Gustavo Gabriel"/>
    <n v="0"/>
    <n v="0"/>
    <n v="0"/>
    <n v="0"/>
    <n v="0.3"/>
    <e v="#N/A"/>
    <s v="marmolve"/>
  </r>
  <r>
    <x v="275"/>
    <x v="38"/>
    <s v="Admin/HR/IT"/>
    <s v="AMCARE NonOcc In"/>
    <s v="TEMP"/>
    <n v="202063545"/>
    <s v="GarcÃ­a,Ana"/>
    <s v="Ledezma,Fer"/>
    <n v="0"/>
    <n v="0"/>
    <n v="0"/>
    <n v="0"/>
    <n v="0.32"/>
    <e v="#N/A"/>
    <s v="angarcz"/>
  </r>
  <r>
    <x v="275"/>
    <x v="38"/>
    <s v="Admin/HR/IT"/>
    <s v="AMCARE NonOcc In"/>
    <s v="TEMP"/>
    <n v="202099144"/>
    <s v="Morales,Ricardo"/>
    <s v="Ledezma,Fer"/>
    <n v="0"/>
    <n v="0"/>
    <n v="0"/>
    <n v="0"/>
    <n v="0.28000000000000003"/>
    <e v="#N/A"/>
    <s v="moralriv"/>
  </r>
  <r>
    <x v="276"/>
    <x v="38"/>
    <s v="Admin/HR/IT"/>
    <s v="AMCARE NonOcc In"/>
    <s v="AMZN"/>
    <n v="112912203"/>
    <s v="Alvarez Olivares,Omar Leonardo"/>
    <s v="Pizana,Diego"/>
    <n v="0"/>
    <n v="0"/>
    <n v="0"/>
    <n v="0"/>
    <n v="0.35"/>
    <s v="DA-X0700"/>
    <s v="omarleoa"/>
  </r>
  <r>
    <x v="276"/>
    <x v="38"/>
    <s v="Admin/HR/IT"/>
    <s v="AMCARE NonOcc In"/>
    <s v="AMZN"/>
    <n v="112950797"/>
    <s v="Serna,Denisse"/>
    <s v="Pizana,Diego"/>
    <n v="0"/>
    <n v="0"/>
    <n v="0"/>
    <n v="0"/>
    <n v="0.19"/>
    <s v="DA-X0700"/>
    <s v="hesdenis"/>
  </r>
  <r>
    <x v="276"/>
    <x v="38"/>
    <s v="Admin/HR/IT"/>
    <s v="AMCARE NonOcc In"/>
    <s v="AMZN"/>
    <n v="112955736"/>
    <s v="Cuevas,Lalo"/>
    <s v="Camarena,Grecia"/>
    <n v="0"/>
    <n v="0"/>
    <n v="0"/>
    <n v="0"/>
    <n v="0.23"/>
    <s v="DA-X0700"/>
    <s v="cueplalo"/>
  </r>
  <r>
    <x v="276"/>
    <x v="38"/>
    <s v="Admin/HR/IT"/>
    <s v="AMCARE NonOcc In"/>
    <s v="AMZN"/>
    <n v="112972958"/>
    <s v="Gonzalez Gonzalez,Antonio"/>
    <s v="Cortes,Alejandra"/>
    <n v="0"/>
    <n v="0"/>
    <n v="0"/>
    <n v="0"/>
    <n v="0.04"/>
    <s v="D5-X0700"/>
    <s v="ugonzgui"/>
  </r>
  <r>
    <x v="276"/>
    <x v="38"/>
    <s v="Admin/HR/IT"/>
    <s v="AMCARE NonOcc In"/>
    <s v="AMZN"/>
    <n v="112980812"/>
    <s v="Jacobo,Mary"/>
    <s v="Bueno Mendoza,Susana"/>
    <n v="0"/>
    <n v="0"/>
    <n v="0"/>
    <n v="0"/>
    <n v="0.28000000000000003"/>
    <s v="DA-X0700"/>
    <s v="maryjacp"/>
  </r>
  <r>
    <x v="276"/>
    <x v="38"/>
    <s v="Admin/HR/IT"/>
    <s v="AMCARE NonOcc In"/>
    <s v="AMZN"/>
    <n v="113014042"/>
    <s v="Cervantes,Rose"/>
    <s v="Gomez Aguado,Jorge"/>
    <n v="0"/>
    <n v="0"/>
    <n v="0"/>
    <n v="0"/>
    <n v="0.28999999999999998"/>
    <e v="#N/A"/>
    <s v="rfcervan"/>
  </r>
  <r>
    <x v="276"/>
    <x v="38"/>
    <s v="Admin/HR/IT"/>
    <s v="AMCARE NonOcc In"/>
    <s v="AMZN"/>
    <n v="113014074"/>
    <s v="Gutierrez,Gabriela"/>
    <s v="Lopez,Alexa"/>
    <n v="0"/>
    <n v="0"/>
    <n v="0"/>
    <n v="0"/>
    <n v="0.17"/>
    <e v="#N/A"/>
    <e v="#N/A"/>
  </r>
  <r>
    <x v="276"/>
    <x v="38"/>
    <s v="Admin/HR/IT"/>
    <s v="AMCARE NonOcc In"/>
    <s v="AMZN"/>
    <n v="113020476"/>
    <s v="Puente Aguilar,Polette"/>
    <s v="Madrid Molina,Ramon"/>
    <n v="0"/>
    <n v="0"/>
    <n v="0"/>
    <n v="0"/>
    <n v="0.6"/>
    <e v="#N/A"/>
    <s v="polettpu"/>
  </r>
  <r>
    <x v="276"/>
    <x v="38"/>
    <s v="Admin/HR/IT"/>
    <s v="AMCARE NonOcc In"/>
    <s v="AMZN"/>
    <n v="200404250"/>
    <s v="Hurtado,Caty"/>
    <s v="Romero Sanchez,Gustavo Gabriel"/>
    <n v="0"/>
    <n v="0"/>
    <n v="0"/>
    <n v="0"/>
    <n v="1.1599999999999999"/>
    <e v="#N/A"/>
    <s v="xcathurt"/>
  </r>
  <r>
    <x v="276"/>
    <x v="38"/>
    <s v="Admin/HR/IT"/>
    <s v="AMCARE NonOcc In"/>
    <s v="AMZN"/>
    <n v="200625528"/>
    <s v="Oliva,Lizbeth"/>
    <s v="Piedra,Valentina"/>
    <n v="0"/>
    <n v="0"/>
    <n v="0"/>
    <n v="0"/>
    <n v="0.26"/>
    <e v="#N/A"/>
    <s v="olivlizb"/>
  </r>
  <r>
    <x v="276"/>
    <x v="38"/>
    <s v="Admin/HR/IT"/>
    <s v="AMCARE NonOcc In"/>
    <s v="AMZN"/>
    <n v="201191198"/>
    <s v="Mojica,Emmanuel"/>
    <s v="Ledezma,Fer"/>
    <n v="0"/>
    <n v="0"/>
    <n v="0"/>
    <n v="0"/>
    <n v="0.08"/>
    <e v="#N/A"/>
    <s v="mojicemm"/>
  </r>
  <r>
    <x v="276"/>
    <x v="38"/>
    <s v="Admin/HR/IT"/>
    <s v="AMCARE NonOcc In"/>
    <s v="AMZN"/>
    <n v="201223730"/>
    <s v="Sanchiz,Cesarito"/>
    <s v="Corona Arriaga,Fernando"/>
    <n v="0"/>
    <n v="0"/>
    <n v="0"/>
    <n v="0"/>
    <n v="0.89"/>
    <e v="#N/A"/>
    <s v="cesarito"/>
  </r>
  <r>
    <x v="276"/>
    <x v="38"/>
    <s v="Admin/HR/IT"/>
    <s v="AMCARE NonOcc In"/>
    <s v="AMZN"/>
    <n v="201228411"/>
    <s v="Hernandez Soriano,Jazmin"/>
    <s v="Corona Arriaga,Fernando"/>
    <n v="0"/>
    <n v="0"/>
    <n v="0"/>
    <n v="0"/>
    <n v="0.86"/>
    <e v="#N/A"/>
    <s v="jazmiwhe"/>
  </r>
  <r>
    <x v="276"/>
    <x v="38"/>
    <s v="Admin/HR/IT"/>
    <s v="AMCARE NonOcc In"/>
    <s v="AMZN"/>
    <n v="201294058"/>
    <s v="Alvarez,Erika"/>
    <s v="Bueno Mendoza,Susana"/>
    <n v="0"/>
    <n v="0"/>
    <n v="0"/>
    <n v="0"/>
    <n v="0.31"/>
    <e v="#N/A"/>
    <s v="alerikat"/>
  </r>
  <r>
    <x v="276"/>
    <x v="38"/>
    <s v="Admin/HR/IT"/>
    <s v="AMCARE NonOcc In"/>
    <s v="AMZN"/>
    <n v="201345737"/>
    <s v="Rosales,Paco"/>
    <s v="Lopez,Alexa"/>
    <n v="0"/>
    <n v="0"/>
    <n v="0"/>
    <n v="0"/>
    <n v="0.19"/>
    <e v="#N/A"/>
    <s v="upacoros"/>
  </r>
  <r>
    <x v="276"/>
    <x v="38"/>
    <s v="Admin/HR/IT"/>
    <s v="AMCARE NonOcc In"/>
    <s v="AMZN"/>
    <n v="201396328"/>
    <s v="Canchola,Alejandro"/>
    <s v="Rosas Negrete,Sebastian"/>
    <n v="0"/>
    <n v="0"/>
    <n v="0"/>
    <n v="0"/>
    <n v="0.12"/>
    <e v="#N/A"/>
    <s v="nalcanch"/>
  </r>
  <r>
    <x v="276"/>
    <x v="38"/>
    <s v="Admin/HR/IT"/>
    <s v="AMCARE NonOcc In"/>
    <s v="AMZN"/>
    <n v="201403462"/>
    <s v="Valdovino,Jorge"/>
    <s v="Gomez Aguado,Jorge"/>
    <n v="0"/>
    <n v="0"/>
    <n v="0"/>
    <n v="0"/>
    <n v="0.46"/>
    <e v="#N/A"/>
    <s v="valdojoe"/>
  </r>
  <r>
    <x v="276"/>
    <x v="38"/>
    <s v="Admin/HR/IT"/>
    <s v="AMCARE NonOcc In"/>
    <s v="TEMP"/>
    <n v="201842064"/>
    <s v="Agripino,Andrea"/>
    <s v="Ledezma,Fer"/>
    <n v="0"/>
    <n v="0"/>
    <n v="0"/>
    <n v="0"/>
    <n v="0.14000000000000001"/>
    <e v="#N/A"/>
    <s v="agriandl"/>
  </r>
  <r>
    <x v="276"/>
    <x v="38"/>
    <s v="Admin/HR/IT"/>
    <s v="AMCARE NonOcc In"/>
    <s v="TEMP"/>
    <n v="201880542"/>
    <s v="ORTIZ,CORPUS"/>
    <s v="Romero Sanchez,Gustavo Gabriel"/>
    <n v="0"/>
    <n v="0"/>
    <n v="0"/>
    <n v="0"/>
    <n v="0.2"/>
    <e v="#N/A"/>
    <s v="orticorp"/>
  </r>
  <r>
    <x v="276"/>
    <x v="38"/>
    <s v="Admin/HR/IT"/>
    <s v="AMCARE NonOcc In"/>
    <s v="TEMP"/>
    <n v="202052420"/>
    <s v="Gonzalez,Karla"/>
    <s v="Hernandez,Nataly"/>
    <n v="0"/>
    <n v="0"/>
    <n v="0"/>
    <n v="0"/>
    <n v="0.19"/>
    <e v="#N/A"/>
    <e v="#N/A"/>
  </r>
  <r>
    <x v="276"/>
    <x v="38"/>
    <s v="Admin/HR/IT"/>
    <s v="AMCARE NonOcc In"/>
    <s v="TEMP"/>
    <n v="202070029"/>
    <s v="Macias,Salvador"/>
    <s v="Bueno Mendoza,Susana"/>
    <n v="0"/>
    <n v="0"/>
    <n v="0"/>
    <n v="0"/>
    <n v="0.15"/>
    <e v="#N/A"/>
    <e v="#N/A"/>
  </r>
  <r>
    <x v="276"/>
    <x v="38"/>
    <s v="Admin/HR/IT"/>
    <s v="AMCARE NonOcc In"/>
    <s v="TEMP"/>
    <n v="202118346"/>
    <s v="Ponce,Jessi"/>
    <s v="Rosas Negrete,Sebastian"/>
    <n v="0"/>
    <n v="0"/>
    <n v="0"/>
    <n v="0"/>
    <n v="0.3"/>
    <e v="#N/A"/>
    <s v="jesponcu"/>
  </r>
  <r>
    <x v="277"/>
    <x v="38"/>
    <s v="Admin/HR/IT"/>
    <s v="AMCARE NonOcc In"/>
    <s v="AMZN"/>
    <n v="103427877"/>
    <s v="Alanis Hernandez,Patricia"/>
    <s v="Gomez Aguado,Jorge"/>
    <n v="0"/>
    <n v="0"/>
    <n v="0"/>
    <n v="0"/>
    <n v="0.9"/>
    <e v="#N/A"/>
    <e v="#N/A"/>
  </r>
  <r>
    <x v="277"/>
    <x v="38"/>
    <s v="Admin/HR/IT"/>
    <s v="AMCARE NonOcc In"/>
    <s v="AMZN"/>
    <n v="112912397"/>
    <s v="Neri Zuniga,Ricardo"/>
    <s v="Gomez Aguado,Jorge"/>
    <n v="0"/>
    <n v="0"/>
    <n v="0"/>
    <n v="0"/>
    <n v="0.15"/>
    <s v="D5-X0700"/>
    <s v="tjuandne"/>
  </r>
  <r>
    <x v="277"/>
    <x v="38"/>
    <s v="Admin/HR/IT"/>
    <s v="AMCARE NonOcc In"/>
    <s v="AMZN"/>
    <n v="112971997"/>
    <s v="Nieto,Emili"/>
    <s v="Hernandez,Nataly"/>
    <n v="0"/>
    <n v="0"/>
    <n v="0"/>
    <n v="0"/>
    <n v="0.28000000000000003"/>
    <s v="DA-X0700"/>
    <s v="cemilini"/>
  </r>
  <r>
    <x v="277"/>
    <x v="38"/>
    <s v="Admin/HR/IT"/>
    <s v="AMCARE NonOcc In"/>
    <s v="AMZN"/>
    <n v="112972802"/>
    <s v="Rodriguez Posada,Emiliano"/>
    <s v="Corona Arriaga,Fernando"/>
    <n v="0"/>
    <n v="0"/>
    <n v="0"/>
    <n v="0"/>
    <n v="0.12"/>
    <s v="DB-X0700"/>
    <s v="fjoseero"/>
  </r>
  <r>
    <x v="277"/>
    <x v="38"/>
    <s v="Admin/HR/IT"/>
    <s v="AMCARE NonOcc In"/>
    <s v="TEMP"/>
    <n v="113003619"/>
    <s v="Villegas,Jesus"/>
    <s v="Romero Sanchez,Gustavo Gabriel"/>
    <n v="0"/>
    <n v="0"/>
    <n v="0"/>
    <n v="0"/>
    <n v="0.4"/>
    <e v="#N/A"/>
    <e v="#N/A"/>
  </r>
  <r>
    <x v="277"/>
    <x v="38"/>
    <s v="Admin/HR/IT"/>
    <s v="AMCARE NonOcc In"/>
    <s v="AMZN"/>
    <n v="113014073"/>
    <s v="Lira Reyes,Rafael"/>
    <s v="Munoz,Jonan"/>
    <n v="0"/>
    <n v="0"/>
    <n v="0"/>
    <n v="0"/>
    <n v="0.38"/>
    <e v="#N/A"/>
    <s v="lirareyj"/>
  </r>
  <r>
    <x v="277"/>
    <x v="38"/>
    <s v="Admin/HR/IT"/>
    <s v="AMCARE NonOcc In"/>
    <s v="AMZN"/>
    <n v="113014470"/>
    <s v="Aguilar Ibarra,Lupe"/>
    <s v="Robledo Ugarte,Alejandro"/>
    <n v="0"/>
    <n v="0"/>
    <n v="0"/>
    <n v="0"/>
    <n v="0.25"/>
    <e v="#N/A"/>
    <s v="lupaguin"/>
  </r>
  <r>
    <x v="277"/>
    <x v="38"/>
    <s v="Admin/HR/IT"/>
    <s v="AMCARE NonOcc In"/>
    <s v="TEMP"/>
    <n v="113019111"/>
    <s v="Valdespino,Kelly"/>
    <s v="Pizana,Diego"/>
    <n v="0"/>
    <n v="0"/>
    <n v="0"/>
    <n v="0"/>
    <n v="0.48"/>
    <e v="#N/A"/>
    <s v="valdkell"/>
  </r>
  <r>
    <x v="277"/>
    <x v="38"/>
    <s v="Admin/HR/IT"/>
    <s v="AMCARE NonOcc In"/>
    <s v="AMZN"/>
    <n v="201167501"/>
    <s v="Rodriguez,Ruben"/>
    <s v="Robledo Ugarte,Alejandro"/>
    <n v="0"/>
    <n v="0"/>
    <n v="0"/>
    <n v="0"/>
    <n v="0.08"/>
    <e v="#N/A"/>
    <s v="wguanajr"/>
  </r>
  <r>
    <x v="277"/>
    <x v="38"/>
    <s v="Admin/HR/IT"/>
    <s v="AMCARE NonOcc In"/>
    <s v="AMZN"/>
    <n v="201191198"/>
    <s v="Mojica,Emmanuel"/>
    <s v="Ledezma,Fer"/>
    <n v="0"/>
    <n v="0"/>
    <n v="0"/>
    <n v="0"/>
    <n v="0.14000000000000001"/>
    <e v="#N/A"/>
    <s v="mojicemm"/>
  </r>
  <r>
    <x v="277"/>
    <x v="38"/>
    <s v="Admin/HR/IT"/>
    <s v="AMCARE NonOcc In"/>
    <s v="AMZN"/>
    <n v="201191390"/>
    <s v="GarcÃ­a,jesus"/>
    <s v="Romero Sanchez,Gustavo Gabriel"/>
    <n v="0"/>
    <n v="0"/>
    <n v="0"/>
    <n v="0"/>
    <n v="0.27"/>
    <e v="#N/A"/>
    <s v="bgajesus"/>
  </r>
  <r>
    <x v="277"/>
    <x v="38"/>
    <s v="Admin/HR/IT"/>
    <s v="AMCARE NonOcc In"/>
    <s v="AMZN"/>
    <n v="201300426"/>
    <s v="Lira,Adrian"/>
    <s v="Hernandez,Nataly"/>
    <n v="0"/>
    <n v="0"/>
    <n v="0"/>
    <n v="0"/>
    <n v="0.45"/>
    <e v="#N/A"/>
    <s v="adriauli"/>
  </r>
  <r>
    <x v="277"/>
    <x v="38"/>
    <s v="Admin/HR/IT"/>
    <s v="AMCARE NonOcc In"/>
    <s v="AMZN"/>
    <n v="201396328"/>
    <s v="Canchola,Alejandro"/>
    <s v="Rosas Negrete,Sebastian"/>
    <n v="0"/>
    <n v="0"/>
    <n v="0"/>
    <n v="0"/>
    <n v="0.3"/>
    <e v="#N/A"/>
    <s v="nalcanch"/>
  </r>
  <r>
    <x v="277"/>
    <x v="38"/>
    <s v="Admin/HR/IT"/>
    <s v="AMCARE NonOcc In"/>
    <s v="TEMP"/>
    <n v="201842039"/>
    <s v="Martinez,Antonio"/>
    <s v="Corona Arriaga,Fernando"/>
    <n v="0"/>
    <n v="0"/>
    <n v="0"/>
    <n v="0"/>
    <n v="0.11"/>
    <e v="#N/A"/>
    <s v="fantmar"/>
  </r>
  <r>
    <x v="277"/>
    <x v="38"/>
    <s v="Admin/HR/IT"/>
    <s v="AMCARE NonOcc In"/>
    <s v="TEMP"/>
    <n v="201880542"/>
    <s v="ORTIZ,CORPUS"/>
    <s v="Bueno Mendoza,Susana"/>
    <n v="0"/>
    <n v="0"/>
    <n v="0"/>
    <n v="0"/>
    <n v="0.28999999999999998"/>
    <e v="#N/A"/>
    <s v="orticorp"/>
  </r>
  <r>
    <x v="277"/>
    <x v="38"/>
    <s v="Admin/HR/IT"/>
    <s v="AMCARE NonOcc In"/>
    <s v="TEMP"/>
    <n v="201891076"/>
    <s v="Olvera,Marilu"/>
    <s v="Piedra,Valentina"/>
    <n v="0"/>
    <n v="0"/>
    <n v="0"/>
    <n v="0"/>
    <n v="0.06"/>
    <e v="#N/A"/>
    <s v="marmolve"/>
  </r>
  <r>
    <x v="277"/>
    <x v="38"/>
    <s v="Admin/HR/IT"/>
    <s v="AMCARE NonOcc In"/>
    <s v="TEMP"/>
    <n v="202070029"/>
    <s v="Macias,Salvador"/>
    <s v="Bueno Mendoza,Susana"/>
    <n v="0"/>
    <n v="0"/>
    <n v="0"/>
    <n v="0"/>
    <n v="0.13"/>
    <e v="#N/A"/>
    <e v="#N/A"/>
  </r>
  <r>
    <x v="277"/>
    <x v="38"/>
    <s v="Admin/HR/IT"/>
    <s v="AMCARE NonOcc In"/>
    <s v="TEMP"/>
    <n v="202081087"/>
    <s v="Martinez,Lilian"/>
    <s v="Cortes,Alejandra"/>
    <n v="0"/>
    <n v="0"/>
    <n v="0"/>
    <n v="0"/>
    <n v="0.25"/>
    <e v="#N/A"/>
    <s v="rlimarti"/>
  </r>
  <r>
    <x v="277"/>
    <x v="38"/>
    <s v="Admin/HR/IT"/>
    <s v="AMCARE NonOcc In"/>
    <s v="TEMP"/>
    <n v="202137341"/>
    <s v="Bravo,Edgar"/>
    <s v="Rosas Negrete,Sebastian"/>
    <n v="0"/>
    <n v="0"/>
    <n v="0"/>
    <n v="0"/>
    <n v="0.31"/>
    <e v="#N/A"/>
    <s v="xedgabra"/>
  </r>
  <r>
    <x v="278"/>
    <x v="38"/>
    <s v="Admin/HR/IT"/>
    <s v="AMCARE NonOcc In"/>
    <s v="AMZN"/>
    <n v="112912661"/>
    <s v="Morales Gonzalez,Francisco"/>
    <s v="Hernandez,Nataly"/>
    <n v="0"/>
    <n v="0"/>
    <n v="0"/>
    <n v="0"/>
    <n v="0.2"/>
    <s v="DA-X0700"/>
    <s v="franmorb"/>
  </r>
  <r>
    <x v="278"/>
    <x v="38"/>
    <s v="Admin/HR/IT"/>
    <s v="AMCARE NonOcc In"/>
    <s v="AMZN"/>
    <n v="112912983"/>
    <s v="RodrÃ­guez,RocÃ­o"/>
    <s v="Gomez Aguado,Jorge"/>
    <n v="0"/>
    <n v="0"/>
    <n v="0"/>
    <n v="0"/>
    <n v="0.86"/>
    <s v="NF-X1900"/>
    <s v="wrocirod"/>
  </r>
  <r>
    <x v="278"/>
    <x v="38"/>
    <s v="Admin/HR/IT"/>
    <s v="AMCARE NonOcc In"/>
    <s v="AMZN"/>
    <n v="113003971"/>
    <s v="Garcia  Ramirez,Gabriel"/>
    <s v="Corona Arriaga,Fernando"/>
    <n v="0"/>
    <n v="0"/>
    <n v="0"/>
    <n v="0"/>
    <n v="0.31"/>
    <e v="#N/A"/>
    <s v="garamird"/>
  </r>
  <r>
    <x v="278"/>
    <x v="38"/>
    <s v="Admin/HR/IT"/>
    <s v="AMCARE NonOcc In"/>
    <s v="AMZN"/>
    <n v="113020476"/>
    <s v="Puente Aguilar,Polette"/>
    <s v="Romero Sanchez,Gustavo Gabriel"/>
    <n v="0"/>
    <n v="0"/>
    <n v="0"/>
    <n v="0"/>
    <n v="0.15"/>
    <e v="#N/A"/>
    <s v="polettpu"/>
  </r>
  <r>
    <x v="278"/>
    <x v="38"/>
    <s v="Admin/HR/IT"/>
    <s v="AMCARE NonOcc In"/>
    <s v="AMZN"/>
    <n v="200464838"/>
    <s v="Ortiz,Fernando"/>
    <s v="Romero Sanchez,Gustavo Gabriel"/>
    <n v="0"/>
    <n v="0"/>
    <n v="0"/>
    <n v="0"/>
    <n v="0.12"/>
    <e v="#N/A"/>
    <s v="ortfernj"/>
  </r>
  <r>
    <x v="278"/>
    <x v="38"/>
    <s v="Admin/HR/IT"/>
    <s v="AMCARE NonOcc In"/>
    <s v="AMZN"/>
    <n v="200574655"/>
    <s v="Mireles,Dulce"/>
    <s v="Corona Arriaga,Fernando"/>
    <n v="0"/>
    <n v="0"/>
    <n v="0"/>
    <n v="0"/>
    <n v="1.1599999999999999"/>
    <e v="#N/A"/>
    <s v="dulceami"/>
  </r>
  <r>
    <x v="278"/>
    <x v="38"/>
    <s v="Admin/HR/IT"/>
    <s v="AMCARE NonOcc In"/>
    <s v="AMZN"/>
    <n v="201191198"/>
    <s v="Mojica,Emmanuel"/>
    <s v="Ledezma,Fer"/>
    <n v="0"/>
    <n v="0"/>
    <n v="0"/>
    <n v="0"/>
    <n v="0.73"/>
    <e v="#N/A"/>
    <s v="mojicemm"/>
  </r>
  <r>
    <x v="278"/>
    <x v="38"/>
    <s v="Admin/HR/IT"/>
    <s v="AMCARE NonOcc In"/>
    <s v="AMZN"/>
    <n v="201191390"/>
    <s v="GarcÃ­a,jesus"/>
    <s v="Romero Sanchez,Gustavo Gabriel"/>
    <n v="0"/>
    <n v="0"/>
    <n v="0"/>
    <n v="0"/>
    <n v="0.15"/>
    <e v="#N/A"/>
    <s v="bgajesus"/>
  </r>
  <r>
    <x v="278"/>
    <x v="38"/>
    <s v="Admin/HR/IT"/>
    <s v="AMCARE NonOcc In"/>
    <s v="AMZN"/>
    <n v="201223730"/>
    <s v="Sanchiz,Cesarito"/>
    <s v="Corona Arriaga,Fernando"/>
    <n v="0"/>
    <n v="0"/>
    <n v="0"/>
    <n v="0"/>
    <n v="0.7"/>
    <e v="#N/A"/>
    <s v="cesarito"/>
  </r>
  <r>
    <x v="278"/>
    <x v="38"/>
    <s v="Admin/HR/IT"/>
    <s v="AMCARE NonOcc In"/>
    <s v="AMZN"/>
    <n v="201228411"/>
    <s v="Hernandez Soriano,Jazmin"/>
    <s v="Corona Arriaga,Fernando"/>
    <n v="0"/>
    <n v="0"/>
    <n v="0"/>
    <n v="0"/>
    <n v="0.71"/>
    <e v="#N/A"/>
    <s v="jazmiwhe"/>
  </r>
  <r>
    <x v="278"/>
    <x v="38"/>
    <s v="Admin/HR/IT"/>
    <s v="AMCARE NonOcc In"/>
    <s v="TEMP"/>
    <n v="201320536"/>
    <s v="Ibarra,Miguel"/>
    <s v="Ledezma,Fer"/>
    <n v="0"/>
    <n v="0"/>
    <n v="0"/>
    <n v="0"/>
    <n v="0.03"/>
    <e v="#N/A"/>
    <s v="ibalmigu"/>
  </r>
  <r>
    <x v="278"/>
    <x v="38"/>
    <s v="Admin/HR/IT"/>
    <s v="AMCARE NonOcc In"/>
    <s v="AMZN"/>
    <n v="201354965"/>
    <s v="JimÃ©nez,Aline"/>
    <s v="Lopez,Alexa"/>
    <n v="0"/>
    <n v="0"/>
    <n v="0"/>
    <n v="0"/>
    <n v="0.2"/>
    <e v="#N/A"/>
    <s v="alinejim"/>
  </r>
  <r>
    <x v="278"/>
    <x v="38"/>
    <s v="Admin/HR/IT"/>
    <s v="AMCARE NonOcc In"/>
    <s v="AMZN"/>
    <n v="201377831"/>
    <s v="Martinez,Fernando"/>
    <s v="Cortes,Alejandra"/>
    <n v="0"/>
    <n v="0"/>
    <n v="0"/>
    <n v="0"/>
    <n v="0.34"/>
    <e v="#N/A"/>
    <e v="#N/A"/>
  </r>
  <r>
    <x v="278"/>
    <x v="38"/>
    <s v="Admin/HR/IT"/>
    <s v="AMCARE NonOcc In"/>
    <s v="AMZN"/>
    <n v="201403462"/>
    <s v="Valdovino,Jorge"/>
    <s v="Gomez Aguado,Jorge"/>
    <n v="0"/>
    <n v="0"/>
    <n v="0"/>
    <n v="0"/>
    <n v="0.69"/>
    <e v="#N/A"/>
    <s v="valdojoe"/>
  </r>
  <r>
    <x v="278"/>
    <x v="38"/>
    <s v="Admin/HR/IT"/>
    <s v="AMCARE NonOcc In"/>
    <s v="TEMP"/>
    <n v="201408478"/>
    <s v="Calderon,David"/>
    <s v="Romero Sanchez,Gustavo Gabriel"/>
    <n v="0"/>
    <n v="0"/>
    <n v="0"/>
    <n v="0"/>
    <n v="0.98"/>
    <e v="#N/A"/>
    <s v="dacaldey"/>
  </r>
  <r>
    <x v="278"/>
    <x v="38"/>
    <s v="Admin/HR/IT"/>
    <s v="AMCARE NonOcc In"/>
    <s v="TEMP"/>
    <n v="201901910"/>
    <s v="Flores,Edwin"/>
    <s v="Ledezma,Fer"/>
    <n v="0"/>
    <n v="0"/>
    <n v="0"/>
    <n v="0"/>
    <n v="0.48"/>
    <e v="#N/A"/>
    <s v="sfloredw"/>
  </r>
  <r>
    <x v="278"/>
    <x v="38"/>
    <s v="Admin/HR/IT"/>
    <s v="AMCARE NonOcc In"/>
    <s v="TEMP"/>
    <n v="202063545"/>
    <s v="GarcÃ­a,Ana"/>
    <s v="Ledezma,Fer"/>
    <n v="0"/>
    <n v="0"/>
    <n v="0"/>
    <n v="0"/>
    <n v="0.1"/>
    <e v="#N/A"/>
    <s v="angarcz"/>
  </r>
  <r>
    <x v="278"/>
    <x v="38"/>
    <s v="Admin/HR/IT"/>
    <s v="AMCARE NonOcc In"/>
    <s v="TEMP"/>
    <n v="202081527"/>
    <s v="Martinez,Efren"/>
    <s v="Hernandez,Nataly"/>
    <n v="0"/>
    <n v="0"/>
    <n v="0"/>
    <n v="0"/>
    <n v="0.32"/>
    <e v="#N/A"/>
    <s v="efrmartw"/>
  </r>
  <r>
    <x v="278"/>
    <x v="38"/>
    <s v="Admin/HR/IT"/>
    <s v="AMCARE NonOcc In"/>
    <s v="TEMP"/>
    <n v="202117420"/>
    <s v="Cervera,Israel"/>
    <s v="Cortes,Alejandra"/>
    <n v="0"/>
    <n v="0"/>
    <n v="0"/>
    <n v="0"/>
    <n v="0.13"/>
    <e v="#N/A"/>
    <s v="iscerver"/>
  </r>
  <r>
    <x v="278"/>
    <x v="38"/>
    <s v="Admin/HR/IT"/>
    <s v="AMCARE NonOcc In"/>
    <s v="TEMP"/>
    <n v="202120444"/>
    <s v="Hernandez,Alondra"/>
    <s v="Cortes,Alejandra"/>
    <n v="0"/>
    <n v="0"/>
    <n v="0"/>
    <n v="0"/>
    <n v="0.26"/>
    <e v="#N/A"/>
    <s v="yhernalo"/>
  </r>
  <r>
    <x v="278"/>
    <x v="38"/>
    <s v="Admin/HR/IT"/>
    <s v="AMCARE NonOcc In"/>
    <s v="TEMP"/>
    <n v="202138120"/>
    <s v="Lara,Carlos"/>
    <s v="Corona Arriaga,Fernando"/>
    <n v="0"/>
    <n v="0"/>
    <n v="0"/>
    <n v="0"/>
    <n v="1.86"/>
    <e v="#N/A"/>
    <e v="#N/A"/>
  </r>
  <r>
    <x v="278"/>
    <x v="38"/>
    <s v="Admin/HR/IT"/>
    <s v="AMCARE NonOcc In"/>
    <s v="TEMP"/>
    <n v="202173387"/>
    <s v="Sanchez,Angela"/>
    <s v="Robledo Ugarte,Alejandro"/>
    <n v="0"/>
    <n v="0"/>
    <n v="0"/>
    <n v="0"/>
    <n v="0.17"/>
    <e v="#N/A"/>
    <e v="#N/A"/>
  </r>
  <r>
    <x v="279"/>
    <x v="38"/>
    <s v="Admin/HR/IT"/>
    <s v="AMCARE NonOcc In"/>
    <s v="AMZN"/>
    <n v="112916534"/>
    <s v="Esparza Sanchez,Areli"/>
    <s v="Corona Arriaga,Fernando"/>
    <n v="0"/>
    <n v="0"/>
    <n v="0"/>
    <n v="0"/>
    <n v="0.17"/>
    <s v="DB-X0700"/>
    <s v="earelili"/>
  </r>
  <r>
    <x v="279"/>
    <x v="38"/>
    <s v="Admin/HR/IT"/>
    <s v="AMCARE NonOcc In"/>
    <s v="AMZN"/>
    <n v="112920655"/>
    <s v="Diaz de LeÃ³n,Paola"/>
    <s v="Cortes,Alejandra"/>
    <n v="0"/>
    <n v="0"/>
    <n v="0"/>
    <n v="0"/>
    <n v="1.06"/>
    <e v="#N/A"/>
    <e v="#N/A"/>
  </r>
  <r>
    <x v="279"/>
    <x v="38"/>
    <s v="Admin/HR/IT"/>
    <s v="AMCARE NonOcc In"/>
    <s v="AMZN"/>
    <n v="112950784"/>
    <s v="Rojas,Samuel"/>
    <s v="Pizana,Diego"/>
    <n v="0"/>
    <n v="0"/>
    <n v="0"/>
    <n v="0"/>
    <n v="0.1"/>
    <s v="NF-X1900"/>
    <s v="sarojast"/>
  </r>
  <r>
    <x v="279"/>
    <x v="38"/>
    <s v="Admin/HR/IT"/>
    <s v="AMCARE NonOcc In"/>
    <s v="AMZN"/>
    <n v="201211157"/>
    <s v="Vargas,Jesse"/>
    <s v="Gomez Aguado,Jorge"/>
    <n v="0"/>
    <n v="0"/>
    <n v="0"/>
    <n v="0"/>
    <n v="0.25"/>
    <e v="#N/A"/>
    <s v="vargajed"/>
  </r>
  <r>
    <x v="279"/>
    <x v="38"/>
    <s v="Admin/HR/IT"/>
    <s v="AMCARE NonOcc In"/>
    <s v="AMZN"/>
    <n v="201223730"/>
    <s v="Sanchiz,Cesarito"/>
    <s v="Corona Arriaga,Fernando"/>
    <n v="0"/>
    <n v="0"/>
    <n v="0"/>
    <n v="0"/>
    <n v="0.79"/>
    <e v="#N/A"/>
    <s v="cesarito"/>
  </r>
  <r>
    <x v="279"/>
    <x v="38"/>
    <s v="Admin/HR/IT"/>
    <s v="AMCARE NonOcc In"/>
    <s v="AMZN"/>
    <n v="201228411"/>
    <s v="Hernandez Soriano,Jazmin"/>
    <s v="Corona Arriaga,Fernando"/>
    <n v="0"/>
    <n v="0"/>
    <n v="0"/>
    <n v="0"/>
    <n v="0.79"/>
    <e v="#N/A"/>
    <s v="jazmiwhe"/>
  </r>
  <r>
    <x v="279"/>
    <x v="38"/>
    <s v="Admin/HR/IT"/>
    <s v="AMCARE NonOcc In"/>
    <s v="AMZN"/>
    <n v="201345737"/>
    <s v="Rosales,Paco"/>
    <s v="Munoz,Jonan"/>
    <n v="0"/>
    <n v="0"/>
    <n v="0"/>
    <n v="0"/>
    <n v="0.28000000000000003"/>
    <e v="#N/A"/>
    <s v="upacoros"/>
  </r>
  <r>
    <x v="279"/>
    <x v="38"/>
    <s v="Admin/HR/IT"/>
    <s v="AMCARE NonOcc In"/>
    <s v="AMZN"/>
    <n v="201350949"/>
    <s v="Reyes,Isabel"/>
    <s v="Robledo Ugarte,Alejandro"/>
    <n v="0"/>
    <n v="0"/>
    <n v="0"/>
    <n v="0"/>
    <n v="0.09"/>
    <e v="#N/A"/>
    <s v="hreyeisa"/>
  </r>
  <r>
    <x v="279"/>
    <x v="38"/>
    <s v="Admin/HR/IT"/>
    <s v="AMCARE NonOcc In"/>
    <s v="AMZN"/>
    <n v="201403462"/>
    <s v="Valdovino,Jorge"/>
    <s v="Gomez Aguado,Jorge"/>
    <n v="0"/>
    <n v="0"/>
    <n v="0"/>
    <n v="0"/>
    <n v="0.64"/>
    <e v="#N/A"/>
    <s v="valdojoe"/>
  </r>
  <r>
    <x v="279"/>
    <x v="38"/>
    <s v="Admin/HR/IT"/>
    <s v="AMCARE NonOcc In"/>
    <s v="TEMP"/>
    <n v="201847940"/>
    <s v="Vallecillo,Jessy"/>
    <s v="Ledezma,Fer"/>
    <n v="0"/>
    <n v="0"/>
    <n v="0"/>
    <n v="0"/>
    <n v="0.48"/>
    <e v="#N/A"/>
    <e v="#N/A"/>
  </r>
  <r>
    <x v="279"/>
    <x v="38"/>
    <s v="Admin/HR/IT"/>
    <s v="AMCARE NonOcc In"/>
    <s v="TEMP"/>
    <n v="201880542"/>
    <s v="ORTIZ,CORPUS"/>
    <s v="Bueno Mendoza,Susana"/>
    <n v="0"/>
    <n v="0"/>
    <n v="0"/>
    <n v="0"/>
    <n v="0.18"/>
    <e v="#N/A"/>
    <s v="orticorp"/>
  </r>
  <r>
    <x v="279"/>
    <x v="38"/>
    <s v="Admin/HR/IT"/>
    <s v="AMCARE NonOcc In"/>
    <s v="TEMP"/>
    <n v="201901910"/>
    <s v="Flores,Edwin"/>
    <s v="Ledezma,Fer"/>
    <n v="0"/>
    <n v="0"/>
    <n v="0"/>
    <n v="0"/>
    <n v="0.61"/>
    <e v="#N/A"/>
    <s v="sfloredw"/>
  </r>
  <r>
    <x v="279"/>
    <x v="38"/>
    <s v="Admin/HR/IT"/>
    <s v="AMCARE NonOcc In"/>
    <s v="TEMP"/>
    <n v="202081527"/>
    <s v="Martinez,Efren"/>
    <s v="Hernandez,Nataly"/>
    <n v="0"/>
    <n v="0"/>
    <n v="0"/>
    <n v="0"/>
    <n v="0.91"/>
    <e v="#N/A"/>
    <s v="efrmartw"/>
  </r>
  <r>
    <x v="280"/>
    <x v="38"/>
    <s v="Admin/HR/IT"/>
    <s v="AMCARE NonOcc In"/>
    <s v="AMZN"/>
    <n v="112971988"/>
    <s v="Trejo Tarango,Stephannie Del Rocio"/>
    <s v="Cortes,Alejandra"/>
    <n v="0"/>
    <n v="0"/>
    <n v="0"/>
    <n v="0"/>
    <n v="0.21"/>
    <s v="DB-X0700"/>
    <s v="fadtrejo"/>
  </r>
  <r>
    <x v="280"/>
    <x v="38"/>
    <s v="Admin/HR/IT"/>
    <s v="AMCARE NonOcc In"/>
    <s v="AMZN"/>
    <n v="113020476"/>
    <s v="Puente Aguilar,Polette"/>
    <s v="Romero Sanchez,Gustavo Gabriel"/>
    <n v="0"/>
    <n v="0"/>
    <n v="0"/>
    <n v="0"/>
    <n v="0.28999999999999998"/>
    <e v="#N/A"/>
    <s v="polettpu"/>
  </r>
  <r>
    <x v="280"/>
    <x v="38"/>
    <s v="Admin/HR/IT"/>
    <s v="AMCARE NonOcc In"/>
    <s v="AMZN"/>
    <n v="200508323"/>
    <s v="Espejel Lopez,Emmanuel"/>
    <s v="Corona Arriaga,Fernando"/>
    <n v="0"/>
    <n v="0"/>
    <n v="0"/>
    <n v="0"/>
    <n v="0.16"/>
    <e v="#N/A"/>
    <s v="espejell"/>
  </r>
  <r>
    <x v="280"/>
    <x v="38"/>
    <s v="Admin/HR/IT"/>
    <s v="AMCARE NonOcc In"/>
    <s v="AMZN"/>
    <n v="200614224"/>
    <s v="Cruz Hernandez,Cris"/>
    <s v="Romero Sanchez,Gustavo Gabriel"/>
    <n v="0"/>
    <n v="0"/>
    <n v="0"/>
    <n v="0"/>
    <n v="0.48"/>
    <e v="#N/A"/>
    <e v="#N/A"/>
  </r>
  <r>
    <x v="280"/>
    <x v="38"/>
    <s v="Admin/HR/IT"/>
    <s v="AMCARE NonOcc In"/>
    <s v="AMZN"/>
    <n v="201223730"/>
    <s v="Sanchiz,Cesarito"/>
    <s v="Corona Arriaga,Fernando"/>
    <n v="0"/>
    <n v="0"/>
    <n v="0"/>
    <n v="0"/>
    <n v="0.61"/>
    <e v="#N/A"/>
    <s v="cesarito"/>
  </r>
  <r>
    <x v="280"/>
    <x v="38"/>
    <s v="Admin/HR/IT"/>
    <s v="AMCARE NonOcc In"/>
    <s v="AMZN"/>
    <n v="201228411"/>
    <s v="Hernandez Soriano,Jazmin"/>
    <s v="Corona Arriaga,Fernando"/>
    <n v="0"/>
    <n v="0"/>
    <n v="0"/>
    <n v="0"/>
    <n v="1.1299999999999999"/>
    <e v="#N/A"/>
    <s v="jazmiwhe"/>
  </r>
  <r>
    <x v="280"/>
    <x v="38"/>
    <s v="Admin/HR/IT"/>
    <s v="AMCARE NonOcc In"/>
    <s v="AMZN"/>
    <n v="201403462"/>
    <s v="Valdovino,Jorge"/>
    <s v="Gomez Aguado,Jorge"/>
    <n v="0"/>
    <n v="0"/>
    <n v="0"/>
    <n v="0"/>
    <n v="0.67"/>
    <e v="#N/A"/>
    <s v="valdojoe"/>
  </r>
  <r>
    <x v="280"/>
    <x v="38"/>
    <s v="Admin/HR/IT"/>
    <s v="AMCARE NonOcc In"/>
    <s v="TEMP"/>
    <n v="201841804"/>
    <s v="Ruiz,Michelle"/>
    <s v="Ledezma,Fer"/>
    <n v="0"/>
    <n v="0"/>
    <n v="0"/>
    <n v="0"/>
    <n v="1.37"/>
    <e v="#N/A"/>
    <s v="ruizhmic"/>
  </r>
  <r>
    <x v="280"/>
    <x v="38"/>
    <s v="Admin/HR/IT"/>
    <s v="AMCARE NonOcc In"/>
    <s v="TEMP"/>
    <n v="201842039"/>
    <s v="Martinez,Antonio"/>
    <s v="Corona Arriaga,Fernando"/>
    <n v="0"/>
    <n v="0"/>
    <n v="0"/>
    <n v="0"/>
    <n v="0.2"/>
    <e v="#N/A"/>
    <s v="fantmar"/>
  </r>
  <r>
    <x v="280"/>
    <x v="38"/>
    <s v="Admin/HR/IT"/>
    <s v="AMCARE NonOcc In"/>
    <s v="TEMP"/>
    <n v="201842064"/>
    <s v="Agripino,Andrea"/>
    <s v="Ledezma,Fer"/>
    <n v="0"/>
    <n v="0"/>
    <n v="0"/>
    <n v="0"/>
    <n v="1.3"/>
    <e v="#N/A"/>
    <s v="agriandl"/>
  </r>
  <r>
    <x v="280"/>
    <x v="38"/>
    <s v="Admin/HR/IT"/>
    <s v="AMCARE NonOcc In"/>
    <s v="TEMP"/>
    <n v="201906503"/>
    <s v="MartÃ­nez,Jennifer"/>
    <s v="Gomez Aguado,Jorge"/>
    <n v="0"/>
    <n v="0"/>
    <n v="0"/>
    <n v="0"/>
    <n v="0.21"/>
    <e v="#N/A"/>
    <s v="mqjennif"/>
  </r>
  <r>
    <x v="280"/>
    <x v="38"/>
    <s v="Admin/HR/IT"/>
    <s v="AMCARE NonOcc In"/>
    <s v="TEMP"/>
    <n v="202062181"/>
    <s v="Trejo,Luis"/>
    <s v="Ledezma,Fer"/>
    <n v="0"/>
    <n v="0"/>
    <n v="0"/>
    <n v="0"/>
    <n v="0.41"/>
    <e v="#N/A"/>
    <s v="xlutrejo"/>
  </r>
  <r>
    <x v="280"/>
    <x v="38"/>
    <s v="Admin/HR/IT"/>
    <s v="AMCARE NonOcc In"/>
    <s v="TEMP"/>
    <n v="202081527"/>
    <s v="Martinez,Efren"/>
    <s v="Hernandez,Nataly"/>
    <n v="0"/>
    <n v="0"/>
    <n v="0"/>
    <n v="0"/>
    <n v="0.33"/>
    <e v="#N/A"/>
    <s v="efrmartw"/>
  </r>
  <r>
    <x v="280"/>
    <x v="38"/>
    <s v="Admin/HR/IT"/>
    <s v="AMCARE NonOcc In"/>
    <s v="TEMP"/>
    <n v="202103139"/>
    <s v="Luna,Fernanda"/>
    <s v="Romero Sanchez,Gustavo Gabriel"/>
    <n v="0"/>
    <n v="0"/>
    <n v="0"/>
    <n v="0"/>
    <n v="1.25"/>
    <e v="#N/A"/>
    <s v="lunaferz"/>
  </r>
  <r>
    <x v="280"/>
    <x v="38"/>
    <s v="Admin/HR/IT"/>
    <s v="AMCARE NonOcc In"/>
    <s v="TEMP"/>
    <n v="202120077"/>
    <s v="Aguilar,Mauricio"/>
    <s v="Cortes,Alejandra"/>
    <n v="0"/>
    <n v="0"/>
    <n v="0"/>
    <n v="0"/>
    <n v="0.48"/>
    <e v="#N/A"/>
    <s v="mauaguid"/>
  </r>
  <r>
    <x v="280"/>
    <x v="38"/>
    <s v="Admin/HR/IT"/>
    <s v="AMCARE NonOcc In"/>
    <s v="TEMP"/>
    <n v="202137109"/>
    <s v="JimÃ©nez,Anneth"/>
    <s v="Hernandez,Nataly"/>
    <n v="0"/>
    <n v="0"/>
    <n v="0"/>
    <n v="0"/>
    <n v="1.1499999999999999"/>
    <e v="#N/A"/>
    <e v="#N/A"/>
  </r>
  <r>
    <x v="280"/>
    <x v="38"/>
    <s v="Admin/HR/IT"/>
    <s v="AMCARE NonOcc In"/>
    <s v="TEMP"/>
    <n v="202175649"/>
    <s v="Galvan,Lia"/>
    <s v="Cortes,Alejandra"/>
    <n v="0"/>
    <n v="0"/>
    <n v="0"/>
    <n v="0"/>
    <n v="0.16"/>
    <e v="#N/A"/>
    <s v="galvali"/>
  </r>
  <r>
    <x v="281"/>
    <x v="39"/>
    <s v="Admin/HR/IT"/>
    <s v="AMCARE NonOcc In"/>
    <s v="AMZN"/>
    <n v="112912506"/>
    <s v="Garcia  Caudillo,Jessica"/>
    <s v="Camarena,Grecia"/>
    <n v="0"/>
    <n v="0"/>
    <n v="0"/>
    <n v="0"/>
    <n v="0.24"/>
    <s v="DA-X0700"/>
    <s v="gakjessi"/>
  </r>
  <r>
    <x v="281"/>
    <x v="39"/>
    <s v="Admin/HR/IT"/>
    <s v="AMCARE NonOcc In"/>
    <s v="AMZN"/>
    <n v="112980844"/>
    <s v="Padilla,Samantha"/>
    <s v="Rosas Negrete,Sebastian"/>
    <n v="0"/>
    <n v="0"/>
    <n v="0"/>
    <n v="0"/>
    <n v="0.18"/>
    <s v="DA-X0700"/>
    <s v="samajpad"/>
  </r>
  <r>
    <x v="281"/>
    <x v="39"/>
    <s v="Admin/HR/IT"/>
    <s v="AMCARE NonOcc In"/>
    <s v="AMZN"/>
    <n v="112981196"/>
    <s v="Gomez,Andrea"/>
    <s v="Piedra,Valentina"/>
    <n v="0"/>
    <n v="0"/>
    <n v="0"/>
    <n v="0"/>
    <n v="0.25"/>
    <e v="#N/A"/>
    <s v="vandgome"/>
  </r>
  <r>
    <x v="281"/>
    <x v="39"/>
    <s v="Admin/HR/IT"/>
    <s v="AMCARE NonOcc In"/>
    <s v="AMZN"/>
    <n v="113019001"/>
    <s v="Lozano Hernandez,Donny"/>
    <s v="Bueno Mendoza,Susana"/>
    <n v="0"/>
    <n v="0"/>
    <n v="0"/>
    <n v="0"/>
    <n v="0.13"/>
    <e v="#N/A"/>
    <s v="dolozane"/>
  </r>
  <r>
    <x v="281"/>
    <x v="39"/>
    <s v="Admin/HR/IT"/>
    <s v="AMCARE NonOcc In"/>
    <s v="TEMP"/>
    <n v="113019111"/>
    <s v="Valdespino,Kelly"/>
    <s v="Pizana,Diego"/>
    <n v="0"/>
    <n v="0"/>
    <n v="0"/>
    <n v="0"/>
    <n v="0.32"/>
    <e v="#N/A"/>
    <s v="valdkell"/>
  </r>
  <r>
    <x v="281"/>
    <x v="39"/>
    <s v="Admin/HR/IT"/>
    <s v="AMCARE NonOcc In"/>
    <s v="AMZN"/>
    <n v="201318220"/>
    <s v="Jasso,Raul"/>
    <s v="Bueno Mendoza,Susana"/>
    <n v="0"/>
    <n v="0"/>
    <n v="0"/>
    <n v="0"/>
    <n v="0.09"/>
    <e v="#N/A"/>
    <s v="raufjas"/>
  </r>
  <r>
    <x v="281"/>
    <x v="39"/>
    <s v="Admin/HR/IT"/>
    <s v="AMCARE NonOcc In"/>
    <s v="AMZN"/>
    <n v="201390638"/>
    <s v="Bernal,Uriel"/>
    <s v="Piedra,Valentina"/>
    <n v="0"/>
    <n v="0"/>
    <n v="0"/>
    <n v="0"/>
    <n v="0.52"/>
    <e v="#N/A"/>
    <s v="furielbe"/>
  </r>
  <r>
    <x v="281"/>
    <x v="39"/>
    <s v="Admin/HR/IT"/>
    <s v="AMCARE NonOcc In"/>
    <s v="TEMP"/>
    <n v="202070029"/>
    <s v="Macias,Salvador"/>
    <s v="Bueno Mendoza,Susana"/>
    <n v="0"/>
    <n v="0"/>
    <n v="0"/>
    <n v="0"/>
    <n v="0.23"/>
    <e v="#N/A"/>
    <e v="#N/A"/>
  </r>
  <r>
    <x v="281"/>
    <x v="39"/>
    <s v="Admin/HR/IT"/>
    <s v="AMCARE NonOcc In"/>
    <s v="TEMP"/>
    <n v="202099137"/>
    <s v="Montalvo,Luis antonio"/>
    <s v="Ledezma,Fer"/>
    <n v="0"/>
    <n v="0"/>
    <n v="0"/>
    <n v="0"/>
    <n v="0.46"/>
    <e v="#N/A"/>
    <s v="monttlui"/>
  </r>
  <r>
    <x v="282"/>
    <x v="39"/>
    <s v="Admin/HR/IT"/>
    <s v="AMCARE NonOcc In"/>
    <s v="AMZN"/>
    <n v="112920664"/>
    <s v="Alba,Samuel"/>
    <s v="Hernandez,Nataly"/>
    <n v="0"/>
    <n v="0"/>
    <n v="0"/>
    <n v="0"/>
    <n v="0.09"/>
    <s v="DA-X0700"/>
    <s v="samualbg"/>
  </r>
  <r>
    <x v="282"/>
    <x v="39"/>
    <s v="Admin/HR/IT"/>
    <s v="AMCARE NonOcc In"/>
    <s v="AMZN"/>
    <n v="112950809"/>
    <s v="Rocha,Luz"/>
    <s v="Camarena,Grecia"/>
    <n v="0"/>
    <n v="0"/>
    <n v="0"/>
    <n v="0"/>
    <n v="0.23"/>
    <s v="DA-X0700"/>
    <s v="lurochae"/>
  </r>
  <r>
    <x v="282"/>
    <x v="39"/>
    <s v="Admin/HR/IT"/>
    <s v="AMCARE NonOcc In"/>
    <s v="AMZN"/>
    <n v="113019099"/>
    <s v="Rios,Eric"/>
    <s v="Piedra,Valentina"/>
    <n v="0"/>
    <n v="0"/>
    <n v="0"/>
    <n v="0"/>
    <n v="1.04"/>
    <e v="#N/A"/>
    <s v="sericrio"/>
  </r>
  <r>
    <x v="282"/>
    <x v="39"/>
    <s v="Admin/HR/IT"/>
    <s v="AMCARE NonOcc In"/>
    <s v="AMZN"/>
    <n v="201162388"/>
    <s v="Rocha,Alfredo"/>
    <s v="Piedra,Valentina"/>
    <n v="0"/>
    <n v="0"/>
    <n v="0"/>
    <n v="0"/>
    <n v="0.38"/>
    <e v="#N/A"/>
    <s v="alfrerok"/>
  </r>
  <r>
    <x v="282"/>
    <x v="39"/>
    <s v="Admin/HR/IT"/>
    <s v="AMCARE NonOcc In"/>
    <s v="AMZN"/>
    <n v="201172306"/>
    <s v="Valdez,CÃ©sar"/>
    <s v="Rosas Negrete,Sebastian"/>
    <n v="0"/>
    <n v="0"/>
    <n v="0"/>
    <n v="0"/>
    <n v="0.03"/>
    <e v="#N/A"/>
    <s v="cesarvae"/>
  </r>
  <r>
    <x v="282"/>
    <x v="39"/>
    <s v="Admin/HR/IT"/>
    <s v="AMCARE NonOcc In"/>
    <s v="TEMP"/>
    <n v="201847876"/>
    <s v="Ramirez,Christian"/>
    <s v="Bueno Mendoza,Susana"/>
    <n v="0"/>
    <n v="0"/>
    <n v="0"/>
    <n v="0"/>
    <n v="0.39"/>
    <e v="#N/A"/>
    <s v="ramivchr"/>
  </r>
  <r>
    <x v="282"/>
    <x v="39"/>
    <s v="Admin/HR/IT"/>
    <s v="AMCARE NonOcc In"/>
    <s v="TEMP"/>
    <n v="202173806"/>
    <s v="Urenda,Cristopher"/>
    <s v="Bueno Mendoza,Susana"/>
    <n v="0"/>
    <n v="0"/>
    <n v="0"/>
    <n v="0"/>
    <n v="0.36"/>
    <e v="#N/A"/>
    <s v="crurenda"/>
  </r>
  <r>
    <x v="283"/>
    <x v="39"/>
    <s v="Admin/HR/IT"/>
    <s v="AMCARE NonOcc In"/>
    <s v="AMZN"/>
    <n v="112950784"/>
    <s v="Rojas,Samuel"/>
    <s v="Pizana,Diego"/>
    <n v="0"/>
    <n v="0"/>
    <n v="0"/>
    <n v="0"/>
    <n v="0.2"/>
    <s v="NF-X1900"/>
    <s v="sarojast"/>
  </r>
  <r>
    <x v="283"/>
    <x v="39"/>
    <s v="Admin/HR/IT"/>
    <s v="AMCARE NonOcc In"/>
    <s v="AMZN"/>
    <n v="112950795"/>
    <s v="Espinosa Espitia,Ali"/>
    <s v="Pizana,Diego"/>
    <n v="0"/>
    <n v="0"/>
    <n v="0"/>
    <n v="0"/>
    <n v="0.6"/>
    <s v="DA-X0700"/>
    <s v="oespiali"/>
  </r>
  <r>
    <x v="283"/>
    <x v="39"/>
    <s v="Admin/HR/IT"/>
    <s v="AMCARE NonOcc In"/>
    <s v="AMZN"/>
    <n v="113020476"/>
    <s v="Puente Aguilar,Polette"/>
    <s v="Romero Sanchez,Gustavo Gabriel"/>
    <n v="0"/>
    <n v="0"/>
    <n v="0"/>
    <n v="0"/>
    <n v="0.1"/>
    <e v="#N/A"/>
    <s v="polettpu"/>
  </r>
  <r>
    <x v="283"/>
    <x v="39"/>
    <s v="Admin/HR/IT"/>
    <s v="AMCARE NonOcc In"/>
    <s v="AMZN"/>
    <n v="200534675"/>
    <s v="Munoz Macias,Juan Pablo"/>
    <s v="Rosas Negrete,Sebastian"/>
    <n v="0"/>
    <n v="0"/>
    <n v="0"/>
    <n v="0"/>
    <n v="0.32"/>
    <e v="#N/A"/>
    <s v="juanpmun"/>
  </r>
  <r>
    <x v="283"/>
    <x v="39"/>
    <s v="Admin/HR/IT"/>
    <s v="AMCARE NonOcc In"/>
    <s v="AMZN"/>
    <n v="201341534"/>
    <s v="Becerra,Esmeralda"/>
    <s v="Piedra,Valentina"/>
    <n v="0"/>
    <n v="0"/>
    <n v="0"/>
    <n v="0"/>
    <n v="0.03"/>
    <e v="#N/A"/>
    <s v="beceresm"/>
  </r>
  <r>
    <x v="283"/>
    <x v="39"/>
    <s v="Admin/HR/IT"/>
    <s v="AMCARE NonOcc In"/>
    <s v="AMZN"/>
    <n v="201350949"/>
    <s v="Reyes,Isabel"/>
    <s v="Robledo Ugarte,Alejandro"/>
    <n v="0"/>
    <n v="0"/>
    <n v="0"/>
    <n v="0"/>
    <n v="0.18"/>
    <e v="#N/A"/>
    <s v="hreyeisa"/>
  </r>
  <r>
    <x v="283"/>
    <x v="39"/>
    <s v="Admin/HR/IT"/>
    <s v="AMCARE NonOcc In"/>
    <s v="AMZN"/>
    <n v="201396328"/>
    <s v="Canchola,Alejandro"/>
    <s v="Rosas Negrete,Sebastian"/>
    <n v="0"/>
    <n v="0"/>
    <n v="0"/>
    <n v="0"/>
    <n v="0.62"/>
    <e v="#N/A"/>
    <s v="nalcanch"/>
  </r>
  <r>
    <x v="283"/>
    <x v="39"/>
    <s v="Admin/HR/IT"/>
    <s v="AMCARE NonOcc In"/>
    <s v="TEMP"/>
    <n v="201858330"/>
    <s v="Arrona,Pablo"/>
    <s v="Bueno Mendoza,Susana"/>
    <n v="0"/>
    <n v="0"/>
    <n v="0"/>
    <n v="0"/>
    <n v="0.95"/>
    <e v="#N/A"/>
    <s v="arrwpabl"/>
  </r>
  <r>
    <x v="283"/>
    <x v="39"/>
    <s v="Admin/HR/IT"/>
    <s v="AMCARE NonOcc In"/>
    <s v="TEMP"/>
    <n v="201858789"/>
    <s v="HINOJOSA,IGNACIO"/>
    <s v="Ledezma,Fer"/>
    <n v="0"/>
    <n v="0"/>
    <n v="0"/>
    <n v="0"/>
    <n v="0.13"/>
    <e v="#N/A"/>
    <s v="ignachis"/>
  </r>
  <r>
    <x v="283"/>
    <x v="39"/>
    <s v="Admin/HR/IT"/>
    <s v="AMCARE NonOcc In"/>
    <s v="TEMP"/>
    <n v="201864225"/>
    <s v="Flores,Ivan"/>
    <s v="Corona Arriaga,Fernando"/>
    <n v="0"/>
    <n v="0"/>
    <n v="0"/>
    <n v="0"/>
    <n v="0.28000000000000003"/>
    <e v="#N/A"/>
    <s v="floreivc"/>
  </r>
  <r>
    <x v="283"/>
    <x v="39"/>
    <s v="Admin/HR/IT"/>
    <s v="AMCARE NonOcc In"/>
    <s v="TEMP"/>
    <n v="201903097"/>
    <s v="Oliva,Montserrat"/>
    <s v="Ledezma,Fer"/>
    <n v="0"/>
    <n v="0"/>
    <n v="0"/>
    <n v="0"/>
    <n v="0.24"/>
    <e v="#N/A"/>
    <s v="montoliy"/>
  </r>
  <r>
    <x v="283"/>
    <x v="39"/>
    <s v="Admin/HR/IT"/>
    <s v="AMCARE NonOcc In"/>
    <s v="TEMP"/>
    <n v="202084638"/>
    <s v="HernÃ¡ndez,Juan"/>
    <s v="Ledezma,Fer"/>
    <n v="0"/>
    <n v="0"/>
    <n v="0"/>
    <n v="0"/>
    <n v="0.3"/>
    <e v="#N/A"/>
    <s v="ehejuan"/>
  </r>
  <r>
    <x v="283"/>
    <x v="39"/>
    <s v="Admin/HR/IT"/>
    <s v="AMCARE NonOcc In"/>
    <s v="TEMP"/>
    <n v="202099144"/>
    <s v="Morales,Ricardo"/>
    <s v="Piedra,Valentina"/>
    <n v="0"/>
    <n v="0"/>
    <n v="0"/>
    <n v="0"/>
    <n v="0.23"/>
    <e v="#N/A"/>
    <s v="moralriv"/>
  </r>
  <r>
    <x v="283"/>
    <x v="39"/>
    <s v="Admin/HR/IT"/>
    <s v="AMCARE NonOcc In"/>
    <s v="TEMP"/>
    <n v="202130013"/>
    <s v="Rocha,Malinali"/>
    <s v="Camarena,Grecia"/>
    <n v="0"/>
    <n v="0"/>
    <n v="0"/>
    <n v="0"/>
    <n v="0.9"/>
    <e v="#N/A"/>
    <e v="#N/A"/>
  </r>
  <r>
    <x v="283"/>
    <x v="39"/>
    <s v="Admin/HR/IT"/>
    <s v="AMCARE NonOcc In"/>
    <s v="TEMP"/>
    <n v="202137341"/>
    <s v="Bravo,Edgar"/>
    <s v="Rosas Negrete,Sebastian"/>
    <n v="0"/>
    <n v="0"/>
    <n v="0"/>
    <n v="0"/>
    <n v="0.26"/>
    <e v="#N/A"/>
    <s v="xedgabra"/>
  </r>
  <r>
    <x v="283"/>
    <x v="39"/>
    <s v="Admin/HR/IT"/>
    <s v="AMCARE NonOcc In"/>
    <s v="TEMP"/>
    <n v="202165242"/>
    <s v="Gonzalez,Marco"/>
    <s v="Munoz,Jonan"/>
    <n v="0"/>
    <n v="0"/>
    <n v="0"/>
    <n v="0"/>
    <n v="0.4"/>
    <e v="#N/A"/>
    <s v="marcqgon"/>
  </r>
  <r>
    <x v="283"/>
    <x v="39"/>
    <s v="Admin/HR/IT"/>
    <s v="AMCARE NonOcc In"/>
    <s v="TEMP"/>
    <n v="202173806"/>
    <s v="Urenda,Cristopher"/>
    <s v="Bueno Mendoza,Susana"/>
    <n v="0"/>
    <n v="0"/>
    <n v="0"/>
    <n v="0"/>
    <n v="0.14000000000000001"/>
    <e v="#N/A"/>
    <s v="crurenda"/>
  </r>
  <r>
    <x v="283"/>
    <x v="39"/>
    <s v="Admin/HR/IT"/>
    <s v="AMCARE NonOcc In"/>
    <s v="TEMP"/>
    <n v="202188434"/>
    <s v="Rivera,Aidza"/>
    <s v="Hernandez,Nataly"/>
    <n v="0"/>
    <n v="0"/>
    <n v="0"/>
    <n v="0"/>
    <n v="0.34"/>
    <e v="#N/A"/>
    <s v="aidzariv"/>
  </r>
  <r>
    <x v="283"/>
    <x v="39"/>
    <s v="Admin/HR/IT"/>
    <s v="AMCARE NonOcc In"/>
    <s v="TEMP"/>
    <n v="202194773"/>
    <s v="MonzÃ³n,Rodrigo"/>
    <s v="Rosas Negrete,Sebastian"/>
    <n v="0"/>
    <n v="0"/>
    <n v="0"/>
    <n v="0"/>
    <n v="1.67"/>
    <e v="#N/A"/>
    <s v="monzorod"/>
  </r>
  <r>
    <x v="283"/>
    <x v="39"/>
    <s v="Admin/HR/IT"/>
    <s v="AMCARE NonOcc In"/>
    <s v="TEMP"/>
    <n v="202204920"/>
    <s v="Hernandez Solano,Juan Pablo"/>
    <s v="Ledezma,Fer"/>
    <n v="0"/>
    <n v="0"/>
    <n v="0"/>
    <n v="0"/>
    <n v="0.41"/>
    <e v="#N/A"/>
    <s v="hjuanpaq"/>
  </r>
  <r>
    <x v="284"/>
    <x v="39"/>
    <s v="Admin/HR/IT"/>
    <s v="AMCARE NonOcc In"/>
    <s v="AMZN"/>
    <n v="112912054"/>
    <s v="Rivera Ramirez,Jorge"/>
    <s v="Gomez Aguado,Jorge"/>
    <n v="0"/>
    <n v="0"/>
    <n v="0"/>
    <n v="0"/>
    <n v="0.23"/>
    <s v="DB-X0700"/>
    <s v="privejor"/>
  </r>
  <r>
    <x v="284"/>
    <x v="39"/>
    <s v="Admin/HR/IT"/>
    <s v="AMCARE NonOcc In"/>
    <s v="AMZN"/>
    <n v="112916534"/>
    <s v="Esparza Sanchez,Areli"/>
    <s v="Corona Arriaga,Fernando"/>
    <n v="0"/>
    <n v="0"/>
    <n v="0"/>
    <n v="0"/>
    <n v="1.2"/>
    <s v="DB-X0700"/>
    <s v="earelili"/>
  </r>
  <r>
    <x v="284"/>
    <x v="39"/>
    <s v="Admin/HR/IT"/>
    <s v="AMCARE NonOcc In"/>
    <s v="AMZN"/>
    <n v="112920637"/>
    <s v="Tapia,Antonio Torres"/>
    <s v="Cortes,Alejandra"/>
    <n v="0"/>
    <n v="0"/>
    <n v="0"/>
    <n v="0"/>
    <n v="0.26"/>
    <s v="DB-X0700"/>
    <s v="antonitq"/>
  </r>
  <r>
    <x v="284"/>
    <x v="39"/>
    <s v="Admin/HR/IT"/>
    <s v="AMCARE NonOcc In"/>
    <s v="AMZN"/>
    <n v="112972524"/>
    <s v="Santibanez Garcia,Luisa"/>
    <s v="Hernandez,Nataly"/>
    <n v="0"/>
    <n v="0"/>
    <n v="0"/>
    <n v="0"/>
    <n v="1.37"/>
    <s v="DB-X0700"/>
    <s v="csantibl"/>
  </r>
  <r>
    <x v="284"/>
    <x v="39"/>
    <s v="Admin/HR/IT"/>
    <s v="AMCARE NonOcc In"/>
    <s v="AMZN"/>
    <n v="112980899"/>
    <s v="Avila Cabrera,Ari"/>
    <s v="Camarena,Grecia"/>
    <n v="0"/>
    <n v="0"/>
    <n v="0"/>
    <n v="0"/>
    <n v="0.91"/>
    <s v="NF-X1900"/>
    <s v="aravilac"/>
  </r>
  <r>
    <x v="284"/>
    <x v="39"/>
    <s v="Admin/HR/IT"/>
    <s v="AMCARE NonOcc In"/>
    <s v="AMZN"/>
    <n v="113014094"/>
    <s v="Mercado,Erika"/>
    <s v="Robledo Ugarte,Alejandro"/>
    <n v="0"/>
    <n v="0"/>
    <n v="0"/>
    <n v="0"/>
    <n v="0.42"/>
    <e v="#N/A"/>
    <s v="erikaadm"/>
  </r>
  <r>
    <x v="284"/>
    <x v="39"/>
    <s v="Admin/HR/IT"/>
    <s v="AMCARE NonOcc In"/>
    <s v="AMZN"/>
    <n v="113014403"/>
    <s v="Arias Sanchez,Nora"/>
    <s v="Rosas Negrete,Sebastian"/>
    <n v="0"/>
    <n v="0"/>
    <n v="0"/>
    <n v="0"/>
    <n v="0.79"/>
    <e v="#N/A"/>
    <s v="wnoraria"/>
  </r>
  <r>
    <x v="284"/>
    <x v="39"/>
    <s v="Admin/HR/IT"/>
    <s v="AMCARE NonOcc In"/>
    <s v="AMZN"/>
    <n v="200404250"/>
    <s v="Hurtado,Caty"/>
    <s v="Robledo Ugarte,Alejandro"/>
    <n v="0"/>
    <n v="0"/>
    <n v="0"/>
    <n v="0"/>
    <n v="1.65"/>
    <e v="#N/A"/>
    <s v="xcathurt"/>
  </r>
  <r>
    <x v="284"/>
    <x v="39"/>
    <s v="Admin/HR/IT"/>
    <s v="AMCARE NonOcc In"/>
    <s v="AMZN"/>
    <n v="201167501"/>
    <s v="Rodriguez,Ruben"/>
    <s v="Robledo Ugarte,Alejandro"/>
    <n v="0"/>
    <n v="0"/>
    <n v="0"/>
    <n v="0"/>
    <n v="0.23"/>
    <e v="#N/A"/>
    <s v="wguanajr"/>
  </r>
  <r>
    <x v="284"/>
    <x v="39"/>
    <s v="Admin/HR/IT"/>
    <s v="AMCARE NonOcc In"/>
    <s v="AMZN"/>
    <n v="201318220"/>
    <s v="Jasso,Raul"/>
    <s v="Bueno Mendoza,Susana"/>
    <n v="0"/>
    <n v="0"/>
    <n v="0"/>
    <n v="0"/>
    <n v="1.3"/>
    <e v="#N/A"/>
    <s v="raufjas"/>
  </r>
  <r>
    <x v="284"/>
    <x v="39"/>
    <s v="Admin/HR/IT"/>
    <s v="AMCARE NonOcc In"/>
    <s v="TEMP"/>
    <n v="201880542"/>
    <s v="ORTIZ,CORPUS"/>
    <s v="Bueno Mendoza,Susana"/>
    <n v="0"/>
    <n v="0"/>
    <n v="0"/>
    <n v="0"/>
    <n v="0.24"/>
    <e v="#N/A"/>
    <s v="orticorp"/>
  </r>
  <r>
    <x v="284"/>
    <x v="39"/>
    <s v="Admin/HR/IT"/>
    <s v="AMCARE NonOcc In"/>
    <s v="TEMP"/>
    <n v="201890790"/>
    <s v="Zuniga,Victor"/>
    <s v="Piedra,Valentina"/>
    <n v="0"/>
    <n v="0"/>
    <n v="0"/>
    <n v="0"/>
    <n v="0.24"/>
    <e v="#N/A"/>
    <s v="vicxzuni"/>
  </r>
  <r>
    <x v="284"/>
    <x v="39"/>
    <s v="Admin/HR/IT"/>
    <s v="AMCARE NonOcc In"/>
    <s v="TEMP"/>
    <n v="201902140"/>
    <s v="GarcÃ­a,Alma"/>
    <s v="Pizana,Diego"/>
    <n v="0"/>
    <n v="0"/>
    <n v="0"/>
    <n v="0"/>
    <n v="0.32"/>
    <e v="#N/A"/>
    <s v="almagarx"/>
  </r>
  <r>
    <x v="284"/>
    <x v="39"/>
    <s v="Admin/HR/IT"/>
    <s v="AMCARE NonOcc In"/>
    <s v="TEMP"/>
    <n v="202081527"/>
    <s v="Martinez,Efren"/>
    <s v="Hernandez,Nataly"/>
    <n v="0"/>
    <n v="0"/>
    <n v="0"/>
    <n v="0"/>
    <n v="0.85"/>
    <e v="#N/A"/>
    <s v="efrmartw"/>
  </r>
  <r>
    <x v="284"/>
    <x v="39"/>
    <s v="Admin/HR/IT"/>
    <s v="AMCARE NonOcc In"/>
    <s v="TEMP"/>
    <n v="202120417"/>
    <s v="Hernandez,Jose"/>
    <s v="Cortes,Alejandra"/>
    <n v="0"/>
    <n v="0"/>
    <n v="0"/>
    <n v="0"/>
    <n v="0.53"/>
    <e v="#N/A"/>
    <s v="bhejose"/>
  </r>
  <r>
    <x v="284"/>
    <x v="39"/>
    <s v="Admin/HR/IT"/>
    <s v="AMCARE NonOcc In"/>
    <s v="TEMP"/>
    <n v="202137341"/>
    <s v="Bravo,Edgar"/>
    <s v="Rosas Negrete,Sebastian"/>
    <n v="0"/>
    <n v="0"/>
    <n v="0"/>
    <n v="0"/>
    <n v="0.17"/>
    <e v="#N/A"/>
    <s v="xedgabra"/>
  </r>
  <r>
    <x v="284"/>
    <x v="39"/>
    <s v="Admin/HR/IT"/>
    <s v="AMCARE NonOcc In"/>
    <s v="TEMP"/>
    <n v="202188434"/>
    <s v="Rivera,Aidza"/>
    <s v="Hernandez,Nataly"/>
    <n v="0"/>
    <n v="0"/>
    <n v="0"/>
    <n v="0"/>
    <n v="0.31"/>
    <e v="#N/A"/>
    <s v="aidzariv"/>
  </r>
  <r>
    <x v="285"/>
    <x v="39"/>
    <s v="Admin/HR/IT"/>
    <s v="AMCARE NonOcc In"/>
    <s v="TEMP"/>
    <n v="107112431"/>
    <s v="Mejia,Alvaro"/>
    <s v="Cortes,Alejandra"/>
    <n v="0"/>
    <n v="0"/>
    <n v="0"/>
    <n v="0"/>
    <n v="0.45"/>
    <e v="#N/A"/>
    <e v="#N/A"/>
  </r>
  <r>
    <x v="285"/>
    <x v="39"/>
    <s v="Admin/HR/IT"/>
    <s v="AMCARE NonOcc In"/>
    <s v="AMZN"/>
    <n v="112912054"/>
    <s v="Rivera Ramirez,Jorge"/>
    <s v="Gomez Aguado,Jorge"/>
    <n v="0"/>
    <n v="0"/>
    <n v="0"/>
    <n v="0"/>
    <n v="0.1"/>
    <s v="DB-X0700"/>
    <s v="privejor"/>
  </r>
  <r>
    <x v="285"/>
    <x v="39"/>
    <s v="Admin/HR/IT"/>
    <s v="AMCARE NonOcc In"/>
    <s v="AMZN"/>
    <n v="112912209"/>
    <s v="Morales,Sarahi"/>
    <s v="Camarena,Grecia"/>
    <n v="0"/>
    <n v="0"/>
    <n v="0"/>
    <n v="0"/>
    <n v="0.87"/>
    <s v="NF-X1900"/>
    <s v="moralefs"/>
  </r>
  <r>
    <x v="285"/>
    <x v="39"/>
    <s v="Admin/HR/IT"/>
    <s v="AMCARE NonOcc In"/>
    <s v="AMZN"/>
    <n v="112916534"/>
    <s v="Esparza Sanchez,Areli"/>
    <s v="Corona Arriaga,Fernando"/>
    <n v="0"/>
    <n v="0"/>
    <n v="0"/>
    <n v="0"/>
    <n v="0.1"/>
    <s v="DB-X0700"/>
    <s v="earelili"/>
  </r>
  <r>
    <x v="285"/>
    <x v="39"/>
    <s v="Admin/HR/IT"/>
    <s v="AMCARE NonOcc In"/>
    <s v="AMZN"/>
    <n v="112920654"/>
    <s v="Horta,Julieta"/>
    <s v="Hernandez,Nataly"/>
    <n v="0"/>
    <n v="0"/>
    <n v="0"/>
    <n v="0"/>
    <n v="0.09"/>
    <s v="DB-X0700"/>
    <s v="qhojulie"/>
  </r>
  <r>
    <x v="285"/>
    <x v="39"/>
    <s v="Admin/HR/IT"/>
    <s v="AMCARE NonOcc In"/>
    <s v="AMZN"/>
    <n v="112942473"/>
    <s v="Vargas Lopez,Hilda Cecilia"/>
    <s v="Pizana,Diego"/>
    <n v="0"/>
    <n v="0"/>
    <n v="0"/>
    <n v="0"/>
    <n v="0.01"/>
    <s v="DC-X0700"/>
    <s v="hildacec"/>
  </r>
  <r>
    <x v="285"/>
    <x v="39"/>
    <s v="Admin/HR/IT"/>
    <s v="AMCARE NonOcc In"/>
    <s v="AMZN"/>
    <n v="112951256"/>
    <s v="Ramirez Vallejo,Kateryne"/>
    <s v="Cortes,Alejandra"/>
    <n v="0"/>
    <n v="0"/>
    <n v="0"/>
    <n v="0"/>
    <n v="1.08"/>
    <s v="DA-X0700"/>
    <s v="grkatery"/>
  </r>
  <r>
    <x v="285"/>
    <x v="39"/>
    <s v="Admin/HR/IT"/>
    <s v="AMCARE NonOcc In"/>
    <s v="AMZN"/>
    <n v="112972524"/>
    <s v="Santibanez Garcia,Luisa"/>
    <s v="Hernandez,Nataly"/>
    <n v="0"/>
    <n v="0"/>
    <n v="0"/>
    <n v="0"/>
    <n v="1.08"/>
    <s v="DB-X0700"/>
    <s v="csantibl"/>
  </r>
  <r>
    <x v="285"/>
    <x v="39"/>
    <s v="Admin/HR/IT"/>
    <s v="AMCARE NonOcc In"/>
    <s v="AMZN"/>
    <n v="112973049"/>
    <s v="Tavares Parra,Ely"/>
    <s v="Piedra,Valentina"/>
    <n v="0"/>
    <n v="0"/>
    <n v="0"/>
    <n v="0"/>
    <n v="0.86"/>
    <s v="DB-X0700"/>
    <s v="afatimae"/>
  </r>
  <r>
    <x v="285"/>
    <x v="39"/>
    <s v="Admin/HR/IT"/>
    <s v="AMCARE NonOcc In"/>
    <s v="AMZN"/>
    <n v="112976017"/>
    <s v="Baez Diaz,Ale"/>
    <s v="Ãvila,Arturo"/>
    <n v="0"/>
    <n v="0"/>
    <n v="0"/>
    <n v="0"/>
    <n v="2.81"/>
    <s v="DB-X0700"/>
    <s v="baezdiaw"/>
  </r>
  <r>
    <x v="285"/>
    <x v="39"/>
    <s v="Admin/HR/IT"/>
    <s v="AMCARE NonOcc In"/>
    <s v="AMZN"/>
    <n v="112981014"/>
    <s v="Roldan Gutierrez,Pablo"/>
    <s v="Rosas Negrete,Sebastian"/>
    <n v="0"/>
    <n v="0"/>
    <n v="0"/>
    <n v="0"/>
    <n v="0.35"/>
    <s v="DJ-X0700"/>
    <s v="rpabloul"/>
  </r>
  <r>
    <x v="285"/>
    <x v="39"/>
    <s v="Admin/HR/IT"/>
    <s v="AMCARE NonOcc In"/>
    <s v="AMZN"/>
    <n v="113003971"/>
    <s v="Garcia  Ramirez,Gabriel"/>
    <s v="Corona Arriaga,Fernando"/>
    <n v="0"/>
    <n v="0"/>
    <n v="0"/>
    <n v="0"/>
    <n v="0.47"/>
    <e v="#N/A"/>
    <s v="garamird"/>
  </r>
  <r>
    <x v="285"/>
    <x v="39"/>
    <s v="Admin/HR/IT"/>
    <s v="AMCARE NonOcc In"/>
    <s v="AMZN"/>
    <n v="113020476"/>
    <s v="Puente Aguilar,Polette"/>
    <s v="Romero Sanchez,Gustavo Gabriel"/>
    <n v="0"/>
    <n v="0"/>
    <n v="0"/>
    <n v="0"/>
    <n v="0.02"/>
    <e v="#N/A"/>
    <s v="polettpu"/>
  </r>
  <r>
    <x v="285"/>
    <x v="39"/>
    <s v="Admin/HR/IT"/>
    <s v="AMCARE NonOcc In"/>
    <s v="AMZN"/>
    <n v="113052151"/>
    <s v="Nieves Mendez,Laura"/>
    <s v="Ledezma,Fer"/>
    <n v="0"/>
    <n v="0"/>
    <n v="0"/>
    <n v="0"/>
    <n v="0.55000000000000004"/>
    <e v="#N/A"/>
    <s v="nilaurab"/>
  </r>
  <r>
    <x v="285"/>
    <x v="39"/>
    <s v="Admin/HR/IT"/>
    <s v="AMCARE NonOcc In"/>
    <s v="AMZN"/>
    <n v="200404250"/>
    <s v="Hurtado,Caty"/>
    <s v="Robledo Ugarte,Alejandro"/>
    <n v="0"/>
    <n v="0"/>
    <n v="0"/>
    <n v="0"/>
    <n v="0.42"/>
    <e v="#N/A"/>
    <s v="xcathurt"/>
  </r>
  <r>
    <x v="285"/>
    <x v="39"/>
    <s v="Admin/HR/IT"/>
    <s v="AMCARE NonOcc In"/>
    <s v="AMZN"/>
    <n v="200562154"/>
    <s v="Reyes Muniz,Cristian"/>
    <s v="Corona Arriaga,Fernando"/>
    <n v="0"/>
    <n v="0"/>
    <n v="0"/>
    <n v="0"/>
    <n v="0.11"/>
    <e v="#N/A"/>
    <s v="reyesmcw"/>
  </r>
  <r>
    <x v="285"/>
    <x v="39"/>
    <s v="Admin/HR/IT"/>
    <s v="AMCARE NonOcc In"/>
    <s v="AMZN"/>
    <n v="200625528"/>
    <s v="Oliva,Lizbeth"/>
    <s v="Piedra,Valentina"/>
    <n v="0"/>
    <n v="0"/>
    <n v="0"/>
    <n v="0"/>
    <n v="0.11"/>
    <e v="#N/A"/>
    <s v="olivlizb"/>
  </r>
  <r>
    <x v="285"/>
    <x v="39"/>
    <s v="Admin/HR/IT"/>
    <s v="AMCARE NonOcc In"/>
    <s v="AMZN"/>
    <n v="201211157"/>
    <s v="Vargas,Jesse"/>
    <s v="Gomez Aguado,Jorge"/>
    <n v="0"/>
    <n v="0"/>
    <n v="0"/>
    <n v="0"/>
    <n v="0.11"/>
    <e v="#N/A"/>
    <s v="vargajed"/>
  </r>
  <r>
    <x v="285"/>
    <x v="39"/>
    <s v="Admin/HR/IT"/>
    <s v="AMCARE NonOcc In"/>
    <s v="AMZN"/>
    <n v="201354944"/>
    <s v="Hernandez,Hugo"/>
    <s v="Pizana,Diego"/>
    <n v="0"/>
    <n v="0"/>
    <n v="0"/>
    <n v="0"/>
    <n v="0.3"/>
    <e v="#N/A"/>
    <s v="hernghug"/>
  </r>
  <r>
    <x v="285"/>
    <x v="39"/>
    <s v="Admin/HR/IT"/>
    <s v="AMCARE NonOcc In"/>
    <s v="TEMP"/>
    <n v="201615299"/>
    <s v="Saaavedra,Erick"/>
    <s v="Corona Arriaga,Fernando"/>
    <n v="0"/>
    <n v="0"/>
    <n v="0"/>
    <n v="0"/>
    <n v="0.75"/>
    <e v="#N/A"/>
    <e v="#N/A"/>
  </r>
  <r>
    <x v="285"/>
    <x v="39"/>
    <s v="Admin/HR/IT"/>
    <s v="AMCARE NonOcc In"/>
    <s v="TEMP"/>
    <n v="201842064"/>
    <s v="Agripino,Andrea"/>
    <s v="Ledezma,Fer"/>
    <n v="0"/>
    <n v="0"/>
    <n v="0"/>
    <n v="0"/>
    <n v="0.81"/>
    <e v="#N/A"/>
    <s v="agriandl"/>
  </r>
  <r>
    <x v="285"/>
    <x v="39"/>
    <s v="Admin/HR/IT"/>
    <s v="AMCARE NonOcc In"/>
    <s v="TEMP"/>
    <n v="201880542"/>
    <s v="ORTIZ,CORPUS"/>
    <s v="Bueno Mendoza,Susana"/>
    <n v="0"/>
    <n v="0"/>
    <n v="0"/>
    <n v="0"/>
    <n v="0.66"/>
    <e v="#N/A"/>
    <s v="orticorp"/>
  </r>
  <r>
    <x v="285"/>
    <x v="39"/>
    <s v="Admin/HR/IT"/>
    <s v="AMCARE NonOcc In"/>
    <s v="TEMP"/>
    <n v="202081527"/>
    <s v="Martinez,Efren"/>
    <s v="Hernandez,Nataly"/>
    <n v="0"/>
    <n v="0"/>
    <n v="0"/>
    <n v="0"/>
    <n v="0.03"/>
    <e v="#N/A"/>
    <s v="efrmartw"/>
  </r>
  <r>
    <x v="285"/>
    <x v="39"/>
    <s v="Admin/HR/IT"/>
    <s v="AMCARE NonOcc In"/>
    <s v="TEMP"/>
    <n v="202099229"/>
    <s v="Rada,Gabo"/>
    <s v="Cortes,Alejandra"/>
    <n v="0"/>
    <n v="0"/>
    <n v="0"/>
    <n v="0"/>
    <n v="0.21"/>
    <e v="#N/A"/>
    <s v="gaborada"/>
  </r>
  <r>
    <x v="285"/>
    <x v="39"/>
    <s v="Admin/HR/IT"/>
    <s v="AMCARE NonOcc In"/>
    <s v="TEMP"/>
    <n v="202145314"/>
    <s v="Palomares,Neftali"/>
    <s v="Cortes,Alejandra"/>
    <n v="0"/>
    <n v="0"/>
    <n v="0"/>
    <n v="0"/>
    <n v="0.15"/>
    <e v="#N/A"/>
    <s v="neftalpa"/>
  </r>
  <r>
    <x v="285"/>
    <x v="39"/>
    <s v="Admin/HR/IT"/>
    <s v="AMCARE NonOcc In"/>
    <s v="TEMP"/>
    <n v="202165242"/>
    <s v="Gonzalez,Marco"/>
    <s v="Munoz,Jonan"/>
    <n v="0"/>
    <n v="0"/>
    <n v="0"/>
    <n v="0"/>
    <n v="0.54"/>
    <e v="#N/A"/>
    <s v="marcqgon"/>
  </r>
  <r>
    <x v="285"/>
    <x v="39"/>
    <s v="Admin/HR/IT"/>
    <s v="AMCARE NonOcc In"/>
    <s v="TEMP"/>
    <n v="202175671"/>
    <s v="Cruz,Lau"/>
    <s v="Munoz,Jonan"/>
    <n v="0"/>
    <n v="0"/>
    <n v="0"/>
    <n v="0"/>
    <n v="0.34"/>
    <e v="#N/A"/>
    <s v="laucruzc"/>
  </r>
  <r>
    <x v="286"/>
    <x v="39"/>
    <s v="Admin/HR/IT"/>
    <s v="AMCARE NonOcc In"/>
    <s v="AMZN"/>
    <n v="112971962"/>
    <s v="Reyes  Montes de oca,Alejandra"/>
    <s v="Romero Sanchez,Gustavo Gabriel"/>
    <n v="0"/>
    <n v="0"/>
    <n v="0"/>
    <n v="0"/>
    <n v="0.21"/>
    <s v="DB-X0700"/>
    <s v="creyesal"/>
  </r>
  <r>
    <x v="286"/>
    <x v="39"/>
    <s v="Admin/HR/IT"/>
    <s v="AMCARE NonOcc In"/>
    <s v="AMZN"/>
    <n v="112972958"/>
    <s v="Gonzalez Gonzalez,Antonio"/>
    <s v="Cortes,Alejandra"/>
    <n v="0"/>
    <n v="0"/>
    <n v="0"/>
    <n v="0"/>
    <n v="0.97"/>
    <s v="D5-X0700"/>
    <s v="ugonzgui"/>
  </r>
  <r>
    <x v="286"/>
    <x v="39"/>
    <s v="Admin/HR/IT"/>
    <s v="AMCARE NonOcc In"/>
    <s v="AMZN"/>
    <n v="112973049"/>
    <s v="Tavares Parra,Ely"/>
    <s v="Piedra,Valentina"/>
    <n v="0"/>
    <n v="0"/>
    <n v="0"/>
    <n v="0"/>
    <n v="0.21"/>
    <s v="DB-X0700"/>
    <s v="afatimae"/>
  </r>
  <r>
    <x v="286"/>
    <x v="39"/>
    <s v="Admin/HR/IT"/>
    <s v="AMCARE NonOcc In"/>
    <s v="AMZN"/>
    <n v="112976043"/>
    <s v="Rivas,Ricardo"/>
    <s v="Ãvila,Arturo"/>
    <n v="0"/>
    <n v="0"/>
    <n v="0"/>
    <n v="0"/>
    <n v="0.12"/>
    <s v="DE-X1024"/>
    <s v="ricrivab"/>
  </r>
  <r>
    <x v="286"/>
    <x v="39"/>
    <s v="Admin/HR/IT"/>
    <s v="AMCARE NonOcc In"/>
    <s v="AMZN"/>
    <n v="200562154"/>
    <s v="Reyes Muniz,Cristian"/>
    <s v="Corona Arriaga,Fernando"/>
    <n v="0"/>
    <n v="0"/>
    <n v="0"/>
    <n v="0"/>
    <n v="0.25"/>
    <e v="#N/A"/>
    <s v="reyesmcw"/>
  </r>
  <r>
    <x v="286"/>
    <x v="39"/>
    <s v="Admin/HR/IT"/>
    <s v="AMCARE NonOcc In"/>
    <s v="AMZN"/>
    <n v="201185299"/>
    <s v="Garcia,Noemi"/>
    <s v="Ledezma,Fer"/>
    <n v="0"/>
    <n v="0"/>
    <n v="0"/>
    <n v="0"/>
    <n v="0.7"/>
    <e v="#N/A"/>
    <s v="sganoemi"/>
  </r>
  <r>
    <x v="286"/>
    <x v="39"/>
    <s v="Admin/HR/IT"/>
    <s v="AMCARE NonOcc In"/>
    <s v="AMZN"/>
    <n v="201191198"/>
    <s v="Mojica,Emmanuel"/>
    <s v="Ledezma,Fer"/>
    <n v="0"/>
    <n v="0"/>
    <n v="0"/>
    <n v="0"/>
    <n v="0.23"/>
    <e v="#N/A"/>
    <s v="mojicemm"/>
  </r>
  <r>
    <x v="286"/>
    <x v="39"/>
    <s v="Admin/HR/IT"/>
    <s v="AMCARE NonOcc In"/>
    <s v="AMZN"/>
    <n v="201211157"/>
    <s v="Vargas,Jesse"/>
    <s v="Gomez Aguado,Jorge"/>
    <n v="0"/>
    <n v="0"/>
    <n v="0"/>
    <n v="0"/>
    <n v="0.41"/>
    <e v="#N/A"/>
    <s v="vargajed"/>
  </r>
  <r>
    <x v="286"/>
    <x v="39"/>
    <s v="Admin/HR/IT"/>
    <s v="AMCARE NonOcc In"/>
    <s v="AMZN"/>
    <n v="201223730"/>
    <s v="Sanchiz,Cesarito"/>
    <s v="Corona Arriaga,Fernando"/>
    <n v="0"/>
    <n v="0"/>
    <n v="0"/>
    <n v="0"/>
    <n v="0.6"/>
    <e v="#N/A"/>
    <s v="cesarito"/>
  </r>
  <r>
    <x v="286"/>
    <x v="39"/>
    <s v="Admin/HR/IT"/>
    <s v="AMCARE NonOcc In"/>
    <s v="AMZN"/>
    <n v="201228411"/>
    <s v="Hernandez Soriano,Jazmin"/>
    <s v="Corona Arriaga,Fernando"/>
    <n v="0"/>
    <n v="0"/>
    <n v="0"/>
    <n v="0"/>
    <n v="0.57999999999999996"/>
    <e v="#N/A"/>
    <s v="jazmiwhe"/>
  </r>
  <r>
    <x v="286"/>
    <x v="39"/>
    <s v="Admin/HR/IT"/>
    <s v="AMCARE NonOcc In"/>
    <s v="AMZN"/>
    <n v="201350949"/>
    <s v="Reyes,Isabel"/>
    <s v="Robledo Ugarte,Alejandro"/>
    <n v="0"/>
    <n v="0"/>
    <n v="0"/>
    <n v="0"/>
    <n v="0.08"/>
    <e v="#N/A"/>
    <s v="hreyeisa"/>
  </r>
  <r>
    <x v="286"/>
    <x v="39"/>
    <s v="Admin/HR/IT"/>
    <s v="AMCARE NonOcc In"/>
    <s v="AMZN"/>
    <n v="201353166"/>
    <s v="Martinez,Lucia"/>
    <s v="Corona Arriaga,Fernando"/>
    <n v="0"/>
    <n v="0"/>
    <n v="0"/>
    <n v="0"/>
    <n v="0.23"/>
    <e v="#N/A"/>
    <s v="mamlucia"/>
  </r>
  <r>
    <x v="286"/>
    <x v="39"/>
    <s v="Admin/HR/IT"/>
    <s v="AMCARE NonOcc In"/>
    <s v="TEMP"/>
    <n v="201842064"/>
    <s v="Agripino,Andrea"/>
    <s v="Ledezma,Fer"/>
    <n v="0"/>
    <n v="0"/>
    <n v="0"/>
    <n v="0"/>
    <n v="0.2"/>
    <e v="#N/A"/>
    <s v="agriandl"/>
  </r>
  <r>
    <x v="286"/>
    <x v="39"/>
    <s v="Admin/HR/IT"/>
    <s v="AMCARE NonOcc In"/>
    <s v="TEMP"/>
    <n v="201901967"/>
    <s v="Dominguez,Diana"/>
    <s v="Gomez Aguado,Jorge"/>
    <n v="0"/>
    <n v="0"/>
    <n v="0"/>
    <n v="0"/>
    <n v="0.62"/>
    <e v="#N/A"/>
    <s v="ndomindi"/>
  </r>
  <r>
    <x v="286"/>
    <x v="39"/>
    <s v="Admin/HR/IT"/>
    <s v="AMCARE NonOcc In"/>
    <s v="TEMP"/>
    <n v="202079441"/>
    <s v="Estrada,Daniel"/>
    <s v="Cortes,Alejandra"/>
    <n v="0"/>
    <n v="0"/>
    <n v="0"/>
    <n v="0"/>
    <n v="0.76"/>
    <e v="#N/A"/>
    <s v="fdaniees"/>
  </r>
  <r>
    <x v="286"/>
    <x v="39"/>
    <s v="Admin/HR/IT"/>
    <s v="AMCARE NonOcc In"/>
    <s v="TEMP"/>
    <n v="202137099"/>
    <s v="Fuentes,Ivan"/>
    <s v="Cortes,Alejandra"/>
    <n v="0"/>
    <n v="0"/>
    <n v="0"/>
    <n v="0"/>
    <n v="0.08"/>
    <e v="#N/A"/>
    <s v="ivanlfue"/>
  </r>
  <r>
    <x v="286"/>
    <x v="39"/>
    <s v="Admin/HR/IT"/>
    <s v="AMCARE NonOcc In"/>
    <s v="TEMP"/>
    <n v="202137149"/>
    <s v="Caudillo,Carlos"/>
    <s v="Munoz,Jonan"/>
    <n v="0"/>
    <n v="0"/>
    <n v="0"/>
    <n v="0"/>
    <n v="0.3"/>
    <e v="#N/A"/>
    <s v="caudicar"/>
  </r>
  <r>
    <x v="286"/>
    <x v="39"/>
    <s v="Admin/HR/IT"/>
    <s v="AMCARE NonOcc In"/>
    <s v="TEMP"/>
    <n v="202137341"/>
    <s v="Bravo,Edgar"/>
    <s v="Rosas Negrete,Sebastian"/>
    <n v="0"/>
    <n v="0"/>
    <n v="0"/>
    <n v="0"/>
    <n v="0.26"/>
    <e v="#N/A"/>
    <s v="xedgabra"/>
  </r>
  <r>
    <x v="286"/>
    <x v="39"/>
    <s v="Admin/HR/IT"/>
    <s v="AMCARE NonOcc In"/>
    <s v="TEMP"/>
    <n v="202185231"/>
    <s v="VÃ¡zquez,Daniela"/>
    <s v="Piedra,Valentina"/>
    <n v="0"/>
    <n v="0"/>
    <n v="0"/>
    <n v="0"/>
    <n v="0.2"/>
    <e v="#N/A"/>
    <s v="davazquq"/>
  </r>
  <r>
    <x v="287"/>
    <x v="39"/>
    <s v="Admin/HR/IT"/>
    <s v="AMCARE NonOcc In"/>
    <s v="AMZN"/>
    <n v="112971962"/>
    <s v="Reyes  Montes de oca,Alejandra"/>
    <s v="Romero Sanchez,Gustavo Gabriel"/>
    <n v="0"/>
    <n v="0"/>
    <n v="0"/>
    <n v="0"/>
    <n v="0.39"/>
    <s v="DB-X0700"/>
    <s v="creyesal"/>
  </r>
  <r>
    <x v="287"/>
    <x v="39"/>
    <s v="Admin/HR/IT"/>
    <s v="AMCARE NonOcc In"/>
    <s v="AMZN"/>
    <n v="112972958"/>
    <s v="Gonzalez Gonzalez,Antonio"/>
    <s v="Cortes,Alejandra"/>
    <n v="0"/>
    <n v="0"/>
    <n v="0"/>
    <n v="0"/>
    <n v="0.36"/>
    <s v="D5-X0700"/>
    <s v="ugonzgui"/>
  </r>
  <r>
    <x v="287"/>
    <x v="39"/>
    <s v="Admin/HR/IT"/>
    <s v="AMCARE NonOcc In"/>
    <s v="AMZN"/>
    <n v="113020476"/>
    <s v="Puente Aguilar,Polette"/>
    <s v="Romero Sanchez,Gustavo Gabriel"/>
    <n v="0"/>
    <n v="0"/>
    <n v="0"/>
    <n v="0"/>
    <n v="0.67"/>
    <e v="#N/A"/>
    <s v="polettpu"/>
  </r>
  <r>
    <x v="287"/>
    <x v="39"/>
    <s v="Admin/HR/IT"/>
    <s v="AMCARE NonOcc In"/>
    <s v="AMZN"/>
    <n v="113138338"/>
    <s v="Cornejo,Cesar"/>
    <s v="Cortes,Alejandra"/>
    <n v="0"/>
    <n v="0"/>
    <n v="0"/>
    <n v="0"/>
    <n v="0.62"/>
    <e v="#N/A"/>
    <s v="cescornh"/>
  </r>
  <r>
    <x v="287"/>
    <x v="39"/>
    <s v="Admin/HR/IT"/>
    <s v="AMCARE NonOcc In"/>
    <s v="AMZN"/>
    <n v="201185299"/>
    <s v="Garcia,Noemi"/>
    <s v="Ledezma,Fer"/>
    <n v="0"/>
    <n v="0"/>
    <n v="0"/>
    <n v="0"/>
    <n v="0.3"/>
    <e v="#N/A"/>
    <s v="sganoemi"/>
  </r>
  <r>
    <x v="287"/>
    <x v="39"/>
    <s v="Admin/HR/IT"/>
    <s v="AMCARE NonOcc In"/>
    <s v="AMZN"/>
    <n v="201191390"/>
    <s v="GarcÃ­a,jesus"/>
    <s v="Romero Sanchez,Gustavo Gabriel"/>
    <n v="0"/>
    <n v="0"/>
    <n v="0"/>
    <n v="0"/>
    <n v="0.08"/>
    <e v="#N/A"/>
    <s v="bgajesus"/>
  </r>
  <r>
    <x v="287"/>
    <x v="39"/>
    <s v="Admin/HR/IT"/>
    <s v="AMCARE NonOcc In"/>
    <s v="AMZN"/>
    <n v="201198922"/>
    <s v="Mendez,Joy"/>
    <s v="Munoz,Jonan"/>
    <n v="0"/>
    <n v="0"/>
    <n v="0"/>
    <n v="0"/>
    <n v="0.17"/>
    <e v="#N/A"/>
    <s v="mendejoy"/>
  </r>
  <r>
    <x v="287"/>
    <x v="39"/>
    <s v="Admin/HR/IT"/>
    <s v="AMCARE NonOcc In"/>
    <s v="AMZN"/>
    <n v="201211157"/>
    <s v="Vargas,Jesse"/>
    <s v="Gomez Aguado,Jorge"/>
    <n v="0"/>
    <n v="0"/>
    <n v="0"/>
    <n v="0"/>
    <n v="0.69"/>
    <e v="#N/A"/>
    <s v="vargajed"/>
  </r>
  <r>
    <x v="287"/>
    <x v="39"/>
    <s v="Admin/HR/IT"/>
    <s v="AMCARE NonOcc In"/>
    <s v="AMZN"/>
    <n v="201223730"/>
    <s v="Sanchiz,Cesarito"/>
    <s v="Corona Arriaga,Fernando"/>
    <n v="0"/>
    <n v="0"/>
    <n v="0"/>
    <n v="0"/>
    <n v="1.06"/>
    <e v="#N/A"/>
    <s v="cesarito"/>
  </r>
  <r>
    <x v="287"/>
    <x v="39"/>
    <s v="Admin/HR/IT"/>
    <s v="AMCARE NonOcc In"/>
    <s v="AMZN"/>
    <n v="201228411"/>
    <s v="Hernandez Soriano,Jazmin"/>
    <s v="Corona Arriaga,Fernando"/>
    <n v="0"/>
    <n v="0"/>
    <n v="0"/>
    <n v="0"/>
    <n v="1.0900000000000001"/>
    <e v="#N/A"/>
    <s v="jazmiwhe"/>
  </r>
  <r>
    <x v="287"/>
    <x v="39"/>
    <s v="Admin/HR/IT"/>
    <s v="AMCARE NonOcc In"/>
    <s v="AMZN"/>
    <n v="201354965"/>
    <s v="JimÃ©nez,Aline"/>
    <s v="Piedra,Valentina"/>
    <n v="0"/>
    <n v="0"/>
    <n v="0"/>
    <n v="0"/>
    <n v="0.08"/>
    <e v="#N/A"/>
    <s v="alinejim"/>
  </r>
  <r>
    <x v="287"/>
    <x v="39"/>
    <s v="Admin/HR/IT"/>
    <s v="AMCARE NonOcc In"/>
    <s v="TEMP"/>
    <n v="201873948"/>
    <s v="Mireles,Karla"/>
    <s v="Porcar Guri,Albert"/>
    <n v="0"/>
    <n v="0"/>
    <n v="0"/>
    <n v="0"/>
    <n v="0.01"/>
    <e v="#N/A"/>
    <e v="#N/A"/>
  </r>
  <r>
    <x v="287"/>
    <x v="39"/>
    <s v="Admin/HR/IT"/>
    <s v="AMCARE NonOcc In"/>
    <s v="TEMP"/>
    <n v="202068111"/>
    <s v="PÃ©rez,Ismael"/>
    <s v="Cortes,Alejandra"/>
    <n v="0"/>
    <n v="0"/>
    <n v="0"/>
    <n v="0"/>
    <n v="0.22"/>
    <e v="#N/A"/>
    <s v="ismcpere"/>
  </r>
  <r>
    <x v="287"/>
    <x v="39"/>
    <s v="Admin/HR/IT"/>
    <s v="AMCARE NonOcc In"/>
    <s v="TEMP"/>
    <n v="202078459"/>
    <s v="Perez,Ana"/>
    <s v="Cortes,Alejandra"/>
    <n v="0"/>
    <n v="0"/>
    <n v="0"/>
    <n v="0"/>
    <n v="0.17"/>
    <e v="#N/A"/>
    <s v="anperezk"/>
  </r>
  <r>
    <x v="287"/>
    <x v="39"/>
    <s v="Admin/HR/IT"/>
    <s v="AMCARE NonOcc In"/>
    <s v="TEMP"/>
    <n v="202137099"/>
    <s v="Fuentes,Ivan"/>
    <s v="Cortes,Alejandra"/>
    <n v="0"/>
    <n v="0"/>
    <n v="0"/>
    <n v="0"/>
    <n v="0.37"/>
    <e v="#N/A"/>
    <s v="ivanlfue"/>
  </r>
  <r>
    <x v="288"/>
    <x v="40"/>
    <s v="Admin/HR/IT"/>
    <s v="AMCARE NonOcc In"/>
    <s v="AMZN"/>
    <n v="112950784"/>
    <s v="Rojas,Samuel"/>
    <s v="Pizana,Diego"/>
    <n v="0"/>
    <n v="0"/>
    <n v="0"/>
    <n v="0"/>
    <n v="0.22"/>
    <s v="NF-X1900"/>
    <s v="sarojast"/>
  </r>
  <r>
    <x v="288"/>
    <x v="40"/>
    <s v="Admin/HR/IT"/>
    <s v="AMCARE NonOcc In"/>
    <s v="AMZN"/>
    <n v="112951256"/>
    <s v="Ramirez Vallejo,Kateryne"/>
    <s v="Cortes,Alejandra"/>
    <n v="0"/>
    <n v="0"/>
    <n v="0"/>
    <n v="0"/>
    <n v="7.32"/>
    <s v="DA-X0700"/>
    <s v="grkatery"/>
  </r>
  <r>
    <x v="288"/>
    <x v="40"/>
    <s v="Admin/HR/IT"/>
    <s v="AMCARE NonOcc In"/>
    <s v="AMZN"/>
    <n v="113019031"/>
    <s v="Vera Hernandez,Mauricio"/>
    <s v="Robledo Ugarte,Alejandro"/>
    <n v="0"/>
    <n v="0"/>
    <n v="0"/>
    <n v="0"/>
    <n v="0.25"/>
    <e v="#N/A"/>
    <s v="vermauri"/>
  </r>
  <r>
    <x v="288"/>
    <x v="40"/>
    <s v="Admin/HR/IT"/>
    <s v="AMCARE NonOcc In"/>
    <s v="AMZN"/>
    <n v="200615315"/>
    <s v="Gasca,Daniel"/>
    <s v="Bueno Mendoza,Susana"/>
    <n v="0"/>
    <n v="0"/>
    <n v="0"/>
    <n v="0"/>
    <n v="0.76"/>
    <e v="#N/A"/>
    <s v="gascfdan"/>
  </r>
  <r>
    <x v="288"/>
    <x v="40"/>
    <s v="Admin/HR/IT"/>
    <s v="AMCARE NonOcc In"/>
    <s v="AMZN"/>
    <n v="201345774"/>
    <s v="Quijas,Jonathan"/>
    <s v="Robledo Ugarte,Alejandro"/>
    <n v="0"/>
    <n v="0"/>
    <n v="0"/>
    <n v="0"/>
    <n v="0.32"/>
    <e v="#N/A"/>
    <s v="jonquija"/>
  </r>
  <r>
    <x v="288"/>
    <x v="40"/>
    <s v="Admin/HR/IT"/>
    <s v="AMCARE NonOcc In"/>
    <s v="TEMP"/>
    <n v="201890790"/>
    <s v="Zuniga,Victor"/>
    <s v="Piedra,Valentina"/>
    <n v="0"/>
    <n v="0"/>
    <n v="0"/>
    <n v="0"/>
    <n v="0.16"/>
    <e v="#N/A"/>
    <s v="vicxzuni"/>
  </r>
  <r>
    <x v="288"/>
    <x v="40"/>
    <s v="Admin/HR/IT"/>
    <s v="AMCARE NonOcc In"/>
    <s v="TEMP"/>
    <n v="202068119"/>
    <s v="Castillo,Saul"/>
    <s v="Cortes,Alejandra"/>
    <n v="0"/>
    <n v="0"/>
    <n v="0"/>
    <n v="0"/>
    <n v="0.02"/>
    <e v="#N/A"/>
    <s v="casosaul"/>
  </r>
  <r>
    <x v="288"/>
    <x v="40"/>
    <s v="Admin/HR/IT"/>
    <s v="AMCARE NonOcc In"/>
    <s v="TEMP"/>
    <n v="202129214"/>
    <s v="Zuniga,Isaac"/>
    <s v="Pizana,Diego"/>
    <n v="0"/>
    <n v="0"/>
    <n v="0"/>
    <n v="0"/>
    <n v="0.55000000000000004"/>
    <e v="#N/A"/>
    <s v="isafzuni"/>
  </r>
  <r>
    <x v="288"/>
    <x v="40"/>
    <s v="Admin/HR/IT"/>
    <s v="AMCARE NonOcc In"/>
    <s v="TEMP"/>
    <n v="202137757"/>
    <s v="Bartolo,Daniel Angel"/>
    <s v="Pizana,Diego"/>
    <n v="0"/>
    <n v="0"/>
    <n v="0"/>
    <n v="0"/>
    <n v="0.25"/>
    <e v="#N/A"/>
    <s v="danibbar"/>
  </r>
  <r>
    <x v="288"/>
    <x v="40"/>
    <s v="Admin/HR/IT"/>
    <s v="AMCARE NonOcc In"/>
    <s v="TEMP"/>
    <n v="202173806"/>
    <s v="Urenda,Cristopher"/>
    <s v="Bueno Mendoza,Susana"/>
    <n v="0"/>
    <n v="0"/>
    <n v="0"/>
    <n v="0"/>
    <n v="0.17"/>
    <e v="#N/A"/>
    <s v="crurenda"/>
  </r>
  <r>
    <x v="288"/>
    <x v="40"/>
    <s v="Admin/HR/IT"/>
    <s v="AMCARE NonOcc In"/>
    <s v="TEMP"/>
    <n v="202173886"/>
    <s v="Hernandez Paniagua,Enrique"/>
    <s v="Hernandez,Nataly"/>
    <n v="0"/>
    <n v="0"/>
    <n v="0"/>
    <n v="0"/>
    <n v="0.56000000000000005"/>
    <e v="#N/A"/>
    <s v="heenriqv"/>
  </r>
  <r>
    <x v="288"/>
    <x v="40"/>
    <s v="Admin/HR/IT"/>
    <s v="AMCARE NonOcc In"/>
    <s v="TEMP"/>
    <n v="202194928"/>
    <s v="Garcia Castillo,Jose Miguel"/>
    <s v="Rosas Negrete,Sebastian"/>
    <n v="0"/>
    <n v="0"/>
    <n v="0"/>
    <n v="0"/>
    <n v="0.18"/>
    <e v="#N/A"/>
    <s v="gajosemr"/>
  </r>
  <r>
    <x v="289"/>
    <x v="40"/>
    <s v="Admin/HR/IT"/>
    <s v="AMCARE NonOcc In"/>
    <s v="AMZN"/>
    <n v="112951256"/>
    <s v="Ramirez Vallejo,Kateryne"/>
    <s v="Cortes,Alejandra"/>
    <n v="0"/>
    <n v="0"/>
    <n v="0"/>
    <n v="0"/>
    <n v="24"/>
    <s v="DA-X0700"/>
    <s v="grkatery"/>
  </r>
  <r>
    <x v="289"/>
    <x v="40"/>
    <s v="Admin/HR/IT"/>
    <s v="AMCARE NonOcc In"/>
    <s v="AMZN"/>
    <n v="112980899"/>
    <s v="Avila Cabrera,Ari"/>
    <s v="Camarena,Grecia"/>
    <n v="0"/>
    <n v="0"/>
    <n v="0"/>
    <n v="0"/>
    <n v="0.31"/>
    <s v="NF-X1900"/>
    <s v="aravilac"/>
  </r>
  <r>
    <x v="289"/>
    <x v="40"/>
    <s v="Admin/HR/IT"/>
    <s v="AMCARE NonOcc In"/>
    <s v="AMZN"/>
    <n v="113014078"/>
    <s v="Nunez Lopez,Aldair"/>
    <s v="Bueno Mendoza,Susana"/>
    <n v="0"/>
    <n v="0"/>
    <n v="0"/>
    <n v="0"/>
    <n v="0.22"/>
    <e v="#N/A"/>
    <s v="dnaldair"/>
  </r>
  <r>
    <x v="289"/>
    <x v="40"/>
    <s v="Admin/HR/IT"/>
    <s v="AMCARE NonOcc In"/>
    <s v="AMZN"/>
    <n v="200404250"/>
    <s v="Hurtado,Caty"/>
    <s v="Robledo Ugarte,Alejandro"/>
    <n v="0"/>
    <n v="0"/>
    <n v="0"/>
    <n v="0"/>
    <n v="0.63"/>
    <e v="#N/A"/>
    <s v="xcathurt"/>
  </r>
  <r>
    <x v="289"/>
    <x v="40"/>
    <s v="Admin/HR/IT"/>
    <s v="AMCARE NonOcc In"/>
    <s v="AMZN"/>
    <n v="200562154"/>
    <s v="Reyes Muniz,Cristian"/>
    <s v="Corona Arriaga,Fernando"/>
    <n v="0"/>
    <n v="0"/>
    <n v="0"/>
    <n v="0"/>
    <n v="0.25"/>
    <e v="#N/A"/>
    <s v="reyesmcw"/>
  </r>
  <r>
    <x v="289"/>
    <x v="40"/>
    <s v="Admin/HR/IT"/>
    <s v="AMCARE NonOcc In"/>
    <s v="AMZN"/>
    <n v="200570729"/>
    <s v="Rodriguez,Carolina"/>
    <s v="Piedra,Valentina"/>
    <n v="0"/>
    <n v="0"/>
    <n v="0"/>
    <n v="0"/>
    <n v="0.57999999999999996"/>
    <e v="#N/A"/>
    <s v="srodcaro"/>
  </r>
  <r>
    <x v="289"/>
    <x v="40"/>
    <s v="Admin/HR/IT"/>
    <s v="AMCARE NonOcc In"/>
    <s v="AMZN"/>
    <n v="200615315"/>
    <s v="Gasca,Daniel"/>
    <s v="Bueno Mendoza,Susana"/>
    <n v="0"/>
    <n v="0"/>
    <n v="0"/>
    <n v="0"/>
    <n v="0.26"/>
    <e v="#N/A"/>
    <s v="gascfdan"/>
  </r>
  <r>
    <x v="289"/>
    <x v="40"/>
    <s v="Admin/HR/IT"/>
    <s v="AMCARE NonOcc In"/>
    <s v="AMZN"/>
    <n v="200625528"/>
    <s v="Oliva,Lizbeth"/>
    <s v="Piedra,Valentina"/>
    <n v="0"/>
    <n v="0"/>
    <n v="0"/>
    <n v="0"/>
    <n v="0.09"/>
    <e v="#N/A"/>
    <s v="olivlizb"/>
  </r>
  <r>
    <x v="289"/>
    <x v="40"/>
    <s v="Admin/HR/IT"/>
    <s v="AMCARE NonOcc In"/>
    <s v="AMZN"/>
    <n v="201172306"/>
    <s v="Valdez,CÃ©sar"/>
    <s v="Rosas Negrete,Sebastian"/>
    <n v="0"/>
    <n v="0"/>
    <n v="0"/>
    <n v="0"/>
    <n v="0.04"/>
    <e v="#N/A"/>
    <s v="cesarvae"/>
  </r>
  <r>
    <x v="289"/>
    <x v="40"/>
    <s v="Admin/HR/IT"/>
    <s v="AMCARE NonOcc In"/>
    <s v="AMZN"/>
    <n v="201186777"/>
    <s v="Monzon,Berenice"/>
    <s v="Piedra,Valentina"/>
    <n v="0"/>
    <n v="0"/>
    <n v="0"/>
    <n v="0"/>
    <n v="0.94"/>
    <e v="#N/A"/>
    <s v="bemonzon"/>
  </r>
  <r>
    <x v="289"/>
    <x v="40"/>
    <s v="Admin/HR/IT"/>
    <s v="AMCARE NonOcc In"/>
    <s v="AMZN"/>
    <n v="201341534"/>
    <s v="Becerra,Esmeralda"/>
    <s v="Piedra,Valentina"/>
    <n v="0"/>
    <n v="0"/>
    <n v="0"/>
    <n v="0"/>
    <n v="0.18"/>
    <e v="#N/A"/>
    <s v="beceresm"/>
  </r>
  <r>
    <x v="289"/>
    <x v="40"/>
    <s v="Admin/HR/IT"/>
    <s v="AMCARE NonOcc In"/>
    <s v="TEMP"/>
    <n v="201848180"/>
    <s v="Pacheco,Jack"/>
    <s v="Piedra,Valentina"/>
    <n v="0"/>
    <n v="0"/>
    <n v="0"/>
    <n v="0"/>
    <n v="1.26"/>
    <e v="#N/A"/>
    <s v="ljackpac"/>
  </r>
  <r>
    <x v="289"/>
    <x v="40"/>
    <s v="Admin/HR/IT"/>
    <s v="AMCARE NonOcc In"/>
    <s v="TEMP"/>
    <n v="201858330"/>
    <s v="Arrona,Pablo"/>
    <s v="Bueno Mendoza,Susana"/>
    <n v="0"/>
    <n v="0"/>
    <n v="0"/>
    <n v="0"/>
    <n v="0.27"/>
    <e v="#N/A"/>
    <s v="arrwpabl"/>
  </r>
  <r>
    <x v="289"/>
    <x v="40"/>
    <s v="Admin/HR/IT"/>
    <s v="AMCARE NonOcc In"/>
    <s v="TEMP"/>
    <n v="201902140"/>
    <s v="GarcÃ­a,Alma"/>
    <s v="Pizana,Diego"/>
    <n v="0"/>
    <n v="0"/>
    <n v="0"/>
    <n v="0"/>
    <n v="0.44"/>
    <e v="#N/A"/>
    <s v="almagarx"/>
  </r>
  <r>
    <x v="289"/>
    <x v="40"/>
    <s v="Admin/HR/IT"/>
    <s v="AMCARE NonOcc In"/>
    <s v="TEMP"/>
    <n v="202063545"/>
    <s v="GarcÃ­a,Ana"/>
    <s v="Morales Beristain,Sugeyt"/>
    <n v="0"/>
    <n v="0"/>
    <n v="0"/>
    <n v="0"/>
    <n v="0.71"/>
    <e v="#N/A"/>
    <s v="angarcz"/>
  </r>
  <r>
    <x v="289"/>
    <x v="40"/>
    <s v="Admin/HR/IT"/>
    <s v="AMCARE NonOcc In"/>
    <s v="TEMP"/>
    <n v="202129214"/>
    <s v="Zuniga,Isaac"/>
    <s v="Pizana,Diego"/>
    <n v="0"/>
    <n v="0"/>
    <n v="0"/>
    <n v="0"/>
    <n v="0.8"/>
    <e v="#N/A"/>
    <s v="isafzuni"/>
  </r>
  <r>
    <x v="289"/>
    <x v="40"/>
    <s v="Admin/HR/IT"/>
    <s v="AMCARE NonOcc In"/>
    <s v="TEMP"/>
    <n v="202130113"/>
    <s v="Rangel,Tania"/>
    <s v="Pizana,Diego"/>
    <n v="0"/>
    <n v="0"/>
    <n v="0"/>
    <n v="0"/>
    <n v="0.28000000000000003"/>
    <e v="#N/A"/>
    <s v="tanirang"/>
  </r>
  <r>
    <x v="289"/>
    <x v="40"/>
    <s v="Admin/HR/IT"/>
    <s v="AMCARE NonOcc In"/>
    <s v="TEMP"/>
    <n v="202166026"/>
    <s v="Mares,Ana"/>
    <s v="Bueno Mendoza,Susana"/>
    <n v="0"/>
    <n v="0"/>
    <n v="0"/>
    <n v="0"/>
    <n v="0.8"/>
    <e v="#N/A"/>
    <e v="#N/A"/>
  </r>
  <r>
    <x v="289"/>
    <x v="40"/>
    <s v="Admin/HR/IT"/>
    <s v="AMCARE NonOcc In"/>
    <s v="TEMP"/>
    <n v="202188434"/>
    <s v="Rivera,Aidza"/>
    <s v="Hernandez,Nataly"/>
    <n v="0"/>
    <n v="0"/>
    <n v="0"/>
    <n v="0"/>
    <n v="0.61"/>
    <e v="#N/A"/>
    <s v="aidzariv"/>
  </r>
  <r>
    <x v="289"/>
    <x v="40"/>
    <s v="Admin/HR/IT"/>
    <s v="AMCARE NonOcc In"/>
    <s v="TEMP"/>
    <n v="202219678"/>
    <s v="HernÃ¡ndez,Cinthia"/>
    <s v="Rosas Negrete,Sebastian"/>
    <n v="0"/>
    <n v="0"/>
    <n v="0"/>
    <n v="0"/>
    <n v="0.09"/>
    <e v="#N/A"/>
    <s v="cihernaf"/>
  </r>
  <r>
    <x v="289"/>
    <x v="40"/>
    <s v="Admin/HR/IT"/>
    <s v="AMCARE NonOcc In"/>
    <s v="TEMP"/>
    <n v="202246652"/>
    <s v="Honojoza,Adriana"/>
    <s v="Piedra,Valentina"/>
    <n v="0"/>
    <n v="0"/>
    <n v="0"/>
    <n v="0"/>
    <n v="0.46"/>
    <e v="#N/A"/>
    <s v="honojadm"/>
  </r>
  <r>
    <x v="290"/>
    <x v="40"/>
    <s v="Admin/HR/IT"/>
    <s v="AMCARE NonOcc In"/>
    <s v="AMZN"/>
    <n v="112971962"/>
    <s v="Reyes  Montes de oca,Alejandra"/>
    <s v="Romero Sanchez,Gustavo Gabriel"/>
    <n v="0"/>
    <n v="0"/>
    <n v="0"/>
    <n v="0"/>
    <n v="0.22"/>
    <s v="DB-X0700"/>
    <s v="creyesal"/>
  </r>
  <r>
    <x v="290"/>
    <x v="40"/>
    <s v="Admin/HR/IT"/>
    <s v="AMCARE NonOcc In"/>
    <s v="AMZN"/>
    <n v="112981061"/>
    <s v="Olguin,Claudia"/>
    <s v="Corona Arriaga,Fernando"/>
    <n v="0"/>
    <n v="0"/>
    <n v="0"/>
    <n v="0"/>
    <n v="0.19"/>
    <s v="DA-X0700"/>
    <s v="mclaudol"/>
  </r>
  <r>
    <x v="290"/>
    <x v="40"/>
    <s v="Admin/HR/IT"/>
    <s v="AMCARE NonOcc In"/>
    <s v="AMZN"/>
    <n v="113014078"/>
    <s v="Nunez Lopez,Aldair"/>
    <s v="Bueno Mendoza,Susana"/>
    <n v="0"/>
    <n v="0"/>
    <n v="0"/>
    <n v="0"/>
    <n v="0.23"/>
    <e v="#N/A"/>
    <s v="dnaldair"/>
  </r>
  <r>
    <x v="290"/>
    <x v="40"/>
    <s v="Admin/HR/IT"/>
    <s v="AMCARE NonOcc In"/>
    <s v="AMZN"/>
    <n v="113019001"/>
    <s v="Lozano Hernandez,Donny"/>
    <s v="Bueno Mendoza,Susana"/>
    <n v="0"/>
    <n v="0"/>
    <n v="0"/>
    <n v="0"/>
    <n v="0.04"/>
    <e v="#N/A"/>
    <s v="dolozane"/>
  </r>
  <r>
    <x v="290"/>
    <x v="40"/>
    <s v="Admin/HR/IT"/>
    <s v="AMCARE NonOcc In"/>
    <s v="AMZN"/>
    <n v="200562154"/>
    <s v="Reyes Muniz,Cristian"/>
    <s v="Piedra,Valentina"/>
    <n v="0"/>
    <n v="0"/>
    <n v="0"/>
    <n v="0"/>
    <n v="0.08"/>
    <e v="#N/A"/>
    <s v="reyesmcw"/>
  </r>
  <r>
    <x v="290"/>
    <x v="40"/>
    <s v="Admin/HR/IT"/>
    <s v="AMCARE NonOcc In"/>
    <s v="AMZN"/>
    <n v="201166890"/>
    <s v="Caballero,Daniel"/>
    <s v="Rosas Negrete,Sebastian"/>
    <n v="0"/>
    <n v="0"/>
    <n v="0"/>
    <n v="0"/>
    <n v="0.03"/>
    <e v="#N/A"/>
    <s v="lcabadan"/>
  </r>
  <r>
    <x v="290"/>
    <x v="40"/>
    <s v="Admin/HR/IT"/>
    <s v="AMCARE NonOcc In"/>
    <s v="AMZN"/>
    <n v="201185299"/>
    <s v="Garcia,Noemi"/>
    <s v="Piedra,Valentina"/>
    <n v="0"/>
    <n v="0"/>
    <n v="0"/>
    <n v="0"/>
    <n v="0.28999999999999998"/>
    <e v="#N/A"/>
    <s v="sganoemi"/>
  </r>
  <r>
    <x v="290"/>
    <x v="40"/>
    <s v="Admin/HR/IT"/>
    <s v="AMCARE NonOcc In"/>
    <s v="AMZN"/>
    <n v="201186777"/>
    <s v="Monzon,Berenice"/>
    <s v="Bueno Mendoza,Susana"/>
    <n v="0"/>
    <n v="0"/>
    <n v="0"/>
    <n v="0"/>
    <n v="0.2"/>
    <e v="#N/A"/>
    <s v="bemonzon"/>
  </r>
  <r>
    <x v="290"/>
    <x v="40"/>
    <s v="Admin/HR/IT"/>
    <s v="AMCARE NonOcc In"/>
    <s v="AMZN"/>
    <n v="201191198"/>
    <s v="Mojica,Emmanuel"/>
    <s v="Piedra,Valentina"/>
    <n v="0"/>
    <n v="0"/>
    <n v="0"/>
    <n v="0"/>
    <n v="0.1"/>
    <e v="#N/A"/>
    <s v="mojicemm"/>
  </r>
  <r>
    <x v="290"/>
    <x v="40"/>
    <s v="Admin/HR/IT"/>
    <s v="AMCARE NonOcc In"/>
    <s v="AMZN"/>
    <n v="201219500"/>
    <s v="Mazy,RamsÃ©s"/>
    <s v="Piedra,Valentina"/>
    <n v="0"/>
    <n v="0"/>
    <n v="0"/>
    <n v="0"/>
    <n v="0.11"/>
    <e v="#N/A"/>
    <s v="ramsmazy"/>
  </r>
  <r>
    <x v="290"/>
    <x v="40"/>
    <s v="Admin/HR/IT"/>
    <s v="AMCARE NonOcc In"/>
    <s v="AMZN"/>
    <n v="201350949"/>
    <s v="Reyes,Isabel"/>
    <s v="Corona Arriaga,Fernando"/>
    <n v="0"/>
    <n v="0"/>
    <n v="0"/>
    <n v="0"/>
    <n v="0.26"/>
    <e v="#N/A"/>
    <s v="hreyeisa"/>
  </r>
  <r>
    <x v="290"/>
    <x v="40"/>
    <s v="Admin/HR/IT"/>
    <s v="AMCARE NonOcc In"/>
    <s v="AMZN"/>
    <n v="201396328"/>
    <s v="Canchola,Alejandro"/>
    <s v="Rosas Negrete,Sebastian"/>
    <n v="0"/>
    <n v="0"/>
    <n v="0"/>
    <n v="0"/>
    <n v="0.39"/>
    <e v="#N/A"/>
    <s v="nalcanch"/>
  </r>
  <r>
    <x v="290"/>
    <x v="40"/>
    <s v="Admin/HR/IT"/>
    <s v="AMCARE NonOcc In"/>
    <s v="TEMP"/>
    <n v="201880542"/>
    <s v="ORTIZ,CORPUS"/>
    <s v="Bueno Mendoza,Susana"/>
    <n v="0"/>
    <n v="0"/>
    <n v="0"/>
    <n v="0"/>
    <n v="0.53"/>
    <e v="#N/A"/>
    <s v="orticorp"/>
  </r>
  <r>
    <x v="290"/>
    <x v="40"/>
    <s v="Admin/HR/IT"/>
    <s v="AMCARE NonOcc In"/>
    <s v="TEMP"/>
    <n v="202052420"/>
    <s v="Gonzalez,Karla"/>
    <s v="Hernandez,Nataly"/>
    <n v="0"/>
    <n v="0"/>
    <n v="0"/>
    <n v="0"/>
    <n v="1.49"/>
    <e v="#N/A"/>
    <e v="#N/A"/>
  </r>
  <r>
    <x v="290"/>
    <x v="40"/>
    <s v="Admin/HR/IT"/>
    <s v="AMCARE NonOcc In"/>
    <s v="TEMP"/>
    <n v="202062181"/>
    <s v="Trejo,Luis"/>
    <s v="Rosas Negrete,Sebastian"/>
    <n v="0"/>
    <n v="0"/>
    <n v="0"/>
    <n v="0"/>
    <n v="0.3"/>
    <e v="#N/A"/>
    <s v="xlutrejo"/>
  </r>
  <r>
    <x v="290"/>
    <x v="40"/>
    <s v="Admin/HR/IT"/>
    <s v="AMCARE NonOcc In"/>
    <s v="TEMP"/>
    <n v="202118479"/>
    <s v="Ramirez,Aaron"/>
    <s v="Cortes,Alejandra"/>
    <n v="0"/>
    <n v="0"/>
    <n v="0"/>
    <n v="0"/>
    <n v="0.4"/>
    <e v="#N/A"/>
    <s v="aaronlra"/>
  </r>
  <r>
    <x v="290"/>
    <x v="40"/>
    <s v="Admin/HR/IT"/>
    <s v="AMCARE NonOcc In"/>
    <s v="TEMP"/>
    <n v="202137341"/>
    <s v="Bravo,Edgar"/>
    <s v="Rosas Negrete,Sebastian"/>
    <n v="0"/>
    <n v="0"/>
    <n v="0"/>
    <n v="0"/>
    <n v="0.19"/>
    <e v="#N/A"/>
    <s v="xedgabra"/>
  </r>
  <r>
    <x v="290"/>
    <x v="40"/>
    <s v="Admin/HR/IT"/>
    <s v="AMCARE NonOcc In"/>
    <s v="TEMP"/>
    <n v="202165242"/>
    <s v="Gonzalez,Marco"/>
    <s v="Munoz,Jonan"/>
    <n v="0"/>
    <n v="0"/>
    <n v="0"/>
    <n v="0"/>
    <n v="0.72"/>
    <e v="#N/A"/>
    <s v="marcqgon"/>
  </r>
  <r>
    <x v="290"/>
    <x v="40"/>
    <s v="Admin/HR/IT"/>
    <s v="AMCARE NonOcc In"/>
    <s v="TEMP"/>
    <n v="202167195"/>
    <s v="Aguilar,Antonio"/>
    <s v="Bueno Mendoza,Susana"/>
    <n v="0"/>
    <n v="0"/>
    <n v="0"/>
    <n v="0"/>
    <n v="0.18"/>
    <e v="#N/A"/>
    <e v="#N/A"/>
  </r>
  <r>
    <x v="290"/>
    <x v="40"/>
    <s v="Admin/HR/IT"/>
    <s v="AMCARE NonOcc In"/>
    <s v="TEMP"/>
    <n v="202185991"/>
    <s v="VÃ¡zquez,AndrÃ©s"/>
    <s v="Bueno Mendoza,Susana"/>
    <n v="0"/>
    <n v="0"/>
    <n v="0"/>
    <n v="0"/>
    <n v="0.34"/>
    <e v="#N/A"/>
    <s v="vaziandr"/>
  </r>
  <r>
    <x v="290"/>
    <x v="40"/>
    <s v="Admin/HR/IT"/>
    <s v="AMCARE NonOcc In"/>
    <s v="TEMP"/>
    <n v="202188991"/>
    <s v="Jimenez,Saul"/>
    <s v="Bueno Mendoza,Susana"/>
    <n v="0"/>
    <n v="0"/>
    <n v="0"/>
    <n v="0"/>
    <n v="0.41"/>
    <e v="#N/A"/>
    <s v="sjimesau"/>
  </r>
  <r>
    <x v="290"/>
    <x v="40"/>
    <s v="Admin/HR/IT"/>
    <s v="AMCARE NonOcc In"/>
    <s v="TEMP"/>
    <n v="202228011"/>
    <s v="Cardenas,Carlos"/>
    <s v="Madrid Molina,Ramon"/>
    <n v="0"/>
    <n v="0"/>
    <n v="0"/>
    <n v="0"/>
    <n v="0.17"/>
    <e v="#N/A"/>
    <s v="caccarde"/>
  </r>
  <r>
    <x v="290"/>
    <x v="40"/>
    <s v="Admin/HR/IT"/>
    <s v="AMCARE NonOcc In"/>
    <s v="TEMP"/>
    <n v="202236342"/>
    <s v="Funes,Michelle"/>
    <s v="Pizana,Diego"/>
    <n v="0"/>
    <n v="0"/>
    <n v="0"/>
    <n v="0"/>
    <n v="0.81"/>
    <e v="#N/A"/>
    <s v="miafunes"/>
  </r>
  <r>
    <x v="290"/>
    <x v="40"/>
    <s v="Admin/HR/IT"/>
    <s v="AMCARE NonOcc In"/>
    <s v="TEMP"/>
    <n v="202250181"/>
    <s v="Gutierrez,Samuel"/>
    <s v="Corona Arriaga,Fernando"/>
    <n v="0"/>
    <n v="0"/>
    <n v="0"/>
    <n v="0"/>
    <n v="0.21"/>
    <e v="#N/A"/>
    <s v="samuhgut"/>
  </r>
  <r>
    <x v="291"/>
    <x v="40"/>
    <s v="Admin/HR/IT"/>
    <s v="AMCARE NonOcc In"/>
    <s v="AMZN"/>
    <n v="113014560"/>
    <s v="Lopez Moreno,Americo"/>
    <s v="Romero Sanchez,Gustavo Gabriel"/>
    <n v="0"/>
    <n v="0"/>
    <n v="0"/>
    <n v="0"/>
    <n v="0.57999999999999996"/>
    <e v="#N/A"/>
    <s v="zlopamer"/>
  </r>
  <r>
    <x v="291"/>
    <x v="40"/>
    <s v="Admin/HR/IT"/>
    <s v="AMCARE NonOcc In"/>
    <s v="AMZN"/>
    <n v="113020667"/>
    <s v="Martinez Becerra,Paulina"/>
    <s v="Munoz,Jonan"/>
    <n v="0"/>
    <n v="0"/>
    <n v="0"/>
    <n v="0"/>
    <n v="0.93"/>
    <e v="#N/A"/>
    <s v="mavpauli"/>
  </r>
  <r>
    <x v="291"/>
    <x v="40"/>
    <s v="Admin/HR/IT"/>
    <s v="AMCARE NonOcc In"/>
    <s v="AMZN"/>
    <n v="200508323"/>
    <s v="Espejel Lopez,Emmanuel"/>
    <s v="Romero Sanchez,Gustavo Gabriel"/>
    <n v="0"/>
    <n v="0"/>
    <n v="0"/>
    <n v="0"/>
    <n v="0.27"/>
    <e v="#N/A"/>
    <s v="espejell"/>
  </r>
  <r>
    <x v="291"/>
    <x v="40"/>
    <s v="Admin/HR/IT"/>
    <s v="AMCARE NonOcc In"/>
    <s v="AMZN"/>
    <n v="200534675"/>
    <s v="Munoz Macias,Juan Pablo"/>
    <s v="Rosas Negrete,Sebastian"/>
    <n v="0"/>
    <n v="0"/>
    <n v="0"/>
    <n v="0"/>
    <n v="0.33"/>
    <e v="#N/A"/>
    <s v="juanpmun"/>
  </r>
  <r>
    <x v="291"/>
    <x v="40"/>
    <s v="Admin/HR/IT"/>
    <s v="AMCARE NonOcc In"/>
    <s v="AMZN"/>
    <n v="200562303"/>
    <s v="Hernandez Cruz,Jorge"/>
    <s v="Corona Arriaga,Fernando"/>
    <n v="0"/>
    <n v="0"/>
    <n v="0"/>
    <n v="0"/>
    <n v="0.24"/>
    <e v="#N/A"/>
    <s v="hejorgea"/>
  </r>
  <r>
    <x v="291"/>
    <x v="40"/>
    <s v="Admin/HR/IT"/>
    <s v="AMCARE NonOcc In"/>
    <s v="AMZN"/>
    <n v="201167501"/>
    <s v="Rodriguez,Ruben"/>
    <s v="Corona Arriaga,Fernando"/>
    <n v="0"/>
    <n v="0"/>
    <n v="0"/>
    <n v="0"/>
    <n v="0.27"/>
    <e v="#N/A"/>
    <s v="wguanajr"/>
  </r>
  <r>
    <x v="291"/>
    <x v="40"/>
    <s v="Admin/HR/IT"/>
    <s v="AMCARE NonOcc In"/>
    <s v="AMZN"/>
    <n v="201172306"/>
    <s v="Valdez,CÃ©sar"/>
    <s v="Rosas Negrete,Sebastian"/>
    <n v="0"/>
    <n v="0"/>
    <n v="0"/>
    <n v="0"/>
    <n v="0.19"/>
    <e v="#N/A"/>
    <s v="cesarvae"/>
  </r>
  <r>
    <x v="291"/>
    <x v="40"/>
    <s v="Admin/HR/IT"/>
    <s v="AMCARE NonOcc In"/>
    <s v="AMZN"/>
    <n v="201172412"/>
    <s v="Castellanos,Adriana"/>
    <s v="Corona Arriaga,Fernando"/>
    <n v="0"/>
    <n v="0"/>
    <n v="0"/>
    <n v="0"/>
    <n v="0.1"/>
    <e v="#N/A"/>
    <s v="adrpcast"/>
  </r>
  <r>
    <x v="291"/>
    <x v="40"/>
    <s v="Admin/HR/IT"/>
    <s v="AMCARE NonOcc In"/>
    <s v="AMZN"/>
    <n v="201295429"/>
    <s v="Mireles Diaz Lopez,Jazmin"/>
    <s v="Munoz,Jonan"/>
    <n v="0"/>
    <n v="0"/>
    <n v="0"/>
    <n v="0"/>
    <n v="0.48"/>
    <e v="#N/A"/>
    <s v="mireljes"/>
  </r>
  <r>
    <x v="291"/>
    <x v="40"/>
    <s v="Admin/HR/IT"/>
    <s v="AMCARE NonOcc In"/>
    <s v="AMZN"/>
    <n v="201354965"/>
    <s v="JimÃ©nez,Aline"/>
    <s v="Piedra,Valentina"/>
    <n v="0"/>
    <n v="0"/>
    <n v="0"/>
    <n v="0"/>
    <n v="0.18"/>
    <e v="#N/A"/>
    <s v="alinejim"/>
  </r>
  <r>
    <x v="291"/>
    <x v="40"/>
    <s v="Admin/HR/IT"/>
    <s v="AMCARE NonOcc In"/>
    <s v="TEMP"/>
    <n v="201880542"/>
    <s v="ORTIZ,CORPUS"/>
    <s v="Bueno Mendoza,Susana"/>
    <n v="0"/>
    <n v="0"/>
    <n v="0"/>
    <n v="0"/>
    <n v="0.34"/>
    <e v="#N/A"/>
    <s v="orticorp"/>
  </r>
  <r>
    <x v="291"/>
    <x v="40"/>
    <s v="Admin/HR/IT"/>
    <s v="AMCARE NonOcc In"/>
    <s v="TEMP"/>
    <n v="202052420"/>
    <s v="Gonzalez,Karla"/>
    <s v="Hernandez,Nataly"/>
    <n v="0"/>
    <n v="0"/>
    <n v="0"/>
    <n v="0"/>
    <n v="0.68"/>
    <e v="#N/A"/>
    <e v="#N/A"/>
  </r>
  <r>
    <x v="291"/>
    <x v="40"/>
    <s v="Admin/HR/IT"/>
    <s v="AMCARE NonOcc In"/>
    <s v="TEMP"/>
    <n v="202081527"/>
    <s v="Martinez,Efren"/>
    <s v="Hernandez,Nataly"/>
    <n v="0"/>
    <n v="0"/>
    <n v="0"/>
    <n v="0"/>
    <n v="0.2"/>
    <e v="#N/A"/>
    <s v="efrmartw"/>
  </r>
  <r>
    <x v="291"/>
    <x v="40"/>
    <s v="Admin/HR/IT"/>
    <s v="AMCARE NonOcc In"/>
    <s v="TEMP"/>
    <n v="202120444"/>
    <s v="Hernandez,Alondra"/>
    <s v="Cortes,Alejandra"/>
    <n v="0"/>
    <n v="0"/>
    <n v="0"/>
    <n v="0"/>
    <n v="0.63"/>
    <e v="#N/A"/>
    <s v="yhernalo"/>
  </r>
  <r>
    <x v="291"/>
    <x v="40"/>
    <s v="Admin/HR/IT"/>
    <s v="AMCARE NonOcc In"/>
    <s v="TEMP"/>
    <n v="202129214"/>
    <s v="Zuniga,Isaac"/>
    <s v="Madrid Molina,Ramon"/>
    <n v="0"/>
    <n v="0"/>
    <n v="0"/>
    <n v="0"/>
    <n v="0.28000000000000003"/>
    <e v="#N/A"/>
    <s v="isafzuni"/>
  </r>
  <r>
    <x v="291"/>
    <x v="40"/>
    <s v="Admin/HR/IT"/>
    <s v="AMCARE NonOcc In"/>
    <s v="TEMP"/>
    <n v="202137341"/>
    <s v="Bravo,Edgar"/>
    <s v="Rosas Negrete,Sebastian"/>
    <n v="0"/>
    <n v="0"/>
    <n v="0"/>
    <n v="0"/>
    <n v="0.16"/>
    <e v="#N/A"/>
    <s v="xedgabra"/>
  </r>
  <r>
    <x v="291"/>
    <x v="40"/>
    <s v="Admin/HR/IT"/>
    <s v="AMCARE NonOcc In"/>
    <s v="TEMP"/>
    <n v="202188434"/>
    <s v="Rivera,Aidza"/>
    <s v="Hernandez,Nataly"/>
    <n v="0"/>
    <n v="0"/>
    <n v="0"/>
    <n v="0"/>
    <n v="1.03"/>
    <e v="#N/A"/>
    <s v="aidzariv"/>
  </r>
  <r>
    <x v="291"/>
    <x v="40"/>
    <s v="Admin/HR/IT"/>
    <s v="AMCARE NonOcc In"/>
    <s v="TEMP"/>
    <n v="202219678"/>
    <s v="HernÃ¡ndez,Cinthia"/>
    <s v="Rosas Negrete,Sebastian"/>
    <n v="0"/>
    <n v="0"/>
    <n v="0"/>
    <n v="0"/>
    <n v="1.05"/>
    <e v="#N/A"/>
    <s v="cihernaf"/>
  </r>
  <r>
    <x v="291"/>
    <x v="40"/>
    <s v="Admin/HR/IT"/>
    <s v="AMCARE NonOcc In"/>
    <s v="TEMP"/>
    <n v="202245845"/>
    <s v="Medina,Angel"/>
    <s v="Rosas Negrete,Sebastian"/>
    <n v="0"/>
    <n v="0"/>
    <n v="0"/>
    <n v="0"/>
    <n v="0.25"/>
    <e v="#N/A"/>
    <s v="cangmedi"/>
  </r>
  <r>
    <x v="291"/>
    <x v="40"/>
    <s v="Admin/HR/IT"/>
    <s v="AMCARE NonOcc In"/>
    <s v="TEMP"/>
    <n v="202265858"/>
    <s v="Salmeron,Alexa"/>
    <s v="Corona Arriaga,Fernando"/>
    <n v="0"/>
    <n v="0"/>
    <n v="0"/>
    <n v="0"/>
    <n v="0.83"/>
    <e v="#N/A"/>
    <s v="nalesalm"/>
  </r>
  <r>
    <x v="291"/>
    <x v="40"/>
    <s v="Admin/HR/IT"/>
    <s v="AMCARE NonOcc In"/>
    <s v="TEMP"/>
    <n v="202287922"/>
    <s v="Andrade,Gema"/>
    <s v="Camarena,Grecia"/>
    <n v="0"/>
    <n v="0"/>
    <n v="0"/>
    <n v="0"/>
    <n v="0.52"/>
    <e v="#N/A"/>
    <s v="gemandra"/>
  </r>
  <r>
    <x v="292"/>
    <x v="40"/>
    <s v="Admin/HR/IT"/>
    <s v="AMCARE NonOcc In"/>
    <s v="AMZN"/>
    <n v="112972958"/>
    <s v="Gonzalez Gonzalez,Antonio"/>
    <s v="Pizana,Diego"/>
    <n v="0"/>
    <n v="0"/>
    <n v="0"/>
    <n v="0"/>
    <n v="0.63"/>
    <s v="D5-X0700"/>
    <s v="ugonzgui"/>
  </r>
  <r>
    <x v="292"/>
    <x v="40"/>
    <s v="Admin/HR/IT"/>
    <s v="AMCARE NonOcc In"/>
    <s v="AMZN"/>
    <n v="112981061"/>
    <s v="Olguin,Claudia"/>
    <s v="Corona Arriaga,Fernando"/>
    <n v="0"/>
    <n v="0"/>
    <n v="0"/>
    <n v="0"/>
    <n v="0.43"/>
    <s v="DA-X0700"/>
    <s v="mclaudol"/>
  </r>
  <r>
    <x v="292"/>
    <x v="40"/>
    <s v="Admin/HR/IT"/>
    <s v="AMCARE NonOcc In"/>
    <s v="AMZN"/>
    <n v="200464838"/>
    <s v="Ortiz,Fernando"/>
    <s v="Romero Sanchez,Gustavo Gabriel"/>
    <n v="0"/>
    <n v="0"/>
    <n v="0"/>
    <n v="0"/>
    <n v="0.09"/>
    <e v="#N/A"/>
    <s v="ortfernj"/>
  </r>
  <r>
    <x v="292"/>
    <x v="40"/>
    <s v="Admin/HR/IT"/>
    <s v="AMCARE NonOcc In"/>
    <s v="AMZN"/>
    <n v="200562154"/>
    <s v="Reyes Muniz,Cristian"/>
    <s v="Piedra,Valentina"/>
    <n v="0"/>
    <n v="0"/>
    <n v="0"/>
    <n v="0"/>
    <n v="0.17"/>
    <e v="#N/A"/>
    <s v="reyesmcw"/>
  </r>
  <r>
    <x v="292"/>
    <x v="40"/>
    <s v="Admin/HR/IT"/>
    <s v="AMCARE NonOcc In"/>
    <s v="AMZN"/>
    <n v="200563038"/>
    <s v="Arias,Elizabeth"/>
    <s v="Munoz,Jonan"/>
    <n v="0"/>
    <n v="0"/>
    <n v="0"/>
    <n v="0"/>
    <n v="0.97"/>
    <e v="#N/A"/>
    <s v="ariaszee"/>
  </r>
  <r>
    <x v="292"/>
    <x v="40"/>
    <s v="Admin/HR/IT"/>
    <s v="AMCARE NonOcc In"/>
    <s v="AMZN"/>
    <n v="201165769"/>
    <s v="Puente,Karen"/>
    <s v="Bueno Mendoza,Susana"/>
    <n v="0"/>
    <n v="0"/>
    <n v="0"/>
    <n v="0"/>
    <n v="0.13"/>
    <e v="#N/A"/>
    <s v="puenkare"/>
  </r>
  <r>
    <x v="292"/>
    <x v="40"/>
    <s v="Admin/HR/IT"/>
    <s v="AMCARE NonOcc In"/>
    <s v="AMZN"/>
    <n v="201406984"/>
    <s v="Perez,Misael"/>
    <s v="Pizana,Diego"/>
    <n v="0"/>
    <n v="0"/>
    <n v="0"/>
    <n v="0"/>
    <n v="0.02"/>
    <e v="#N/A"/>
    <s v="dmisaelp"/>
  </r>
  <r>
    <x v="292"/>
    <x v="40"/>
    <s v="Admin/HR/IT"/>
    <s v="AMCARE NonOcc In"/>
    <s v="TEMP"/>
    <n v="201858867"/>
    <s v="Cruz Velazquez,Gabriela"/>
    <s v="Piedra,Valentina"/>
    <n v="0"/>
    <n v="0"/>
    <n v="0"/>
    <n v="0"/>
    <n v="0.33"/>
    <e v="#N/A"/>
    <s v="tcruzvel"/>
  </r>
  <r>
    <x v="292"/>
    <x v="40"/>
    <s v="Admin/HR/IT"/>
    <s v="AMCARE NonOcc In"/>
    <s v="TEMP"/>
    <n v="201864225"/>
    <s v="Flores,Ivan"/>
    <s v="Piedra,Valentina"/>
    <n v="0"/>
    <n v="0"/>
    <n v="0"/>
    <n v="0"/>
    <n v="0.74"/>
    <e v="#N/A"/>
    <s v="floreivc"/>
  </r>
  <r>
    <x v="292"/>
    <x v="40"/>
    <s v="Admin/HR/IT"/>
    <s v="AMCARE NonOcc In"/>
    <s v="TEMP"/>
    <n v="201873948"/>
    <s v="Mireles,Karla"/>
    <s v="Porcar Guri,Albert"/>
    <n v="0"/>
    <n v="0"/>
    <n v="0"/>
    <n v="0"/>
    <n v="0.49"/>
    <e v="#N/A"/>
    <e v="#N/A"/>
  </r>
  <r>
    <x v="292"/>
    <x v="40"/>
    <s v="Admin/HR/IT"/>
    <s v="AMCARE NonOcc In"/>
    <s v="TEMP"/>
    <n v="202068119"/>
    <s v="Castillo,Saul"/>
    <s v="Porcar Guri,Albert"/>
    <n v="0"/>
    <n v="0"/>
    <n v="0"/>
    <n v="0"/>
    <n v="7.0000000000000007E-2"/>
    <e v="#N/A"/>
    <s v="casosaul"/>
  </r>
  <r>
    <x v="292"/>
    <x v="40"/>
    <s v="Admin/HR/IT"/>
    <s v="AMCARE NonOcc In"/>
    <s v="TEMP"/>
    <n v="202120077"/>
    <s v="Aguilar,Mauricio"/>
    <s v="Cortes,Alejandra"/>
    <n v="0"/>
    <n v="0"/>
    <n v="0"/>
    <n v="0"/>
    <n v="0.16"/>
    <e v="#N/A"/>
    <s v="mauaguid"/>
  </r>
  <r>
    <x v="292"/>
    <x v="40"/>
    <s v="Admin/HR/IT"/>
    <s v="AMCARE NonOcc In"/>
    <s v="TEMP"/>
    <n v="202165242"/>
    <s v="Gonzalez,Marco"/>
    <s v="Munoz,Jonan"/>
    <n v="0"/>
    <n v="0"/>
    <n v="0"/>
    <n v="0"/>
    <n v="1.29"/>
    <e v="#N/A"/>
    <s v="marcqgon"/>
  </r>
  <r>
    <x v="292"/>
    <x v="40"/>
    <s v="Admin/HR/IT"/>
    <s v="AMCARE NonOcc In"/>
    <s v="TEMP"/>
    <n v="202266131"/>
    <s v="Guadian,Gaby"/>
    <s v="Corona Arriaga,Fernando"/>
    <n v="0"/>
    <n v="0"/>
    <n v="0"/>
    <n v="0"/>
    <n v="0.16"/>
    <e v="#N/A"/>
    <s v="gguadia"/>
  </r>
  <r>
    <x v="292"/>
    <x v="40"/>
    <s v="Admin/HR/IT"/>
    <s v="AMCARE NonOcc In"/>
    <s v="TEMP"/>
    <n v="202274001"/>
    <s v="Reynoso,Esmeralda"/>
    <s v="Munoz,Jonan"/>
    <n v="0"/>
    <n v="0"/>
    <n v="0"/>
    <n v="0"/>
    <n v="1.66"/>
    <e v="#N/A"/>
    <s v="esmecrey"/>
  </r>
  <r>
    <x v="293"/>
    <x v="40"/>
    <s v="Admin/HR/IT"/>
    <s v="AMCARE NonOcc In"/>
    <s v="TEMP"/>
    <n v="202282620"/>
    <s v="Martinez,Mariana"/>
    <s v="Camarena,Grecia"/>
    <n v="0"/>
    <n v="0"/>
    <n v="0"/>
    <n v="0"/>
    <n v="0.34"/>
    <e v="#N/A"/>
    <s v="eoaup"/>
  </r>
  <r>
    <x v="293"/>
    <x v="40"/>
    <s v="Admin/HR/IT"/>
    <s v="AMCARE NonOcc In"/>
    <s v="AMZN"/>
    <n v="112950784"/>
    <s v="Rojas,Samuel"/>
    <s v="Pizana,Diego"/>
    <n v="0"/>
    <n v="0"/>
    <n v="0"/>
    <n v="0"/>
    <n v="0.1"/>
    <s v="NF-X1900"/>
    <s v="sarojast"/>
  </r>
  <r>
    <x v="293"/>
    <x v="40"/>
    <s v="Admin/HR/IT"/>
    <s v="AMCARE NonOcc In"/>
    <s v="AMZN"/>
    <n v="112972524"/>
    <s v="Santibanez Garcia,Luisa"/>
    <s v="Hernandez,Nataly"/>
    <n v="0"/>
    <n v="0"/>
    <n v="0"/>
    <n v="0"/>
    <n v="0.41"/>
    <s v="DB-X0700"/>
    <s v="csantibl"/>
  </r>
  <r>
    <x v="293"/>
    <x v="40"/>
    <s v="Admin/HR/IT"/>
    <s v="AMCARE NonOcc In"/>
    <s v="TEMP"/>
    <n v="113014081"/>
    <s v="Frausto,Genesis"/>
    <s v="Porcar Guri,Albert"/>
    <n v="0"/>
    <n v="0"/>
    <n v="0"/>
    <n v="0"/>
    <n v="0.94"/>
    <e v="#N/A"/>
    <s v="fraugene"/>
  </r>
  <r>
    <x v="293"/>
    <x v="40"/>
    <s v="Admin/HR/IT"/>
    <s v="AMCARE NonOcc In"/>
    <s v="AMZN"/>
    <n v="113020476"/>
    <s v="Puente Aguilar,Polette"/>
    <s v="Romero Sanchez,Gustavo Gabriel"/>
    <n v="0"/>
    <n v="0"/>
    <n v="0"/>
    <n v="0"/>
    <n v="0.45"/>
    <e v="#N/A"/>
    <s v="polettpu"/>
  </r>
  <r>
    <x v="293"/>
    <x v="40"/>
    <s v="Admin/HR/IT"/>
    <s v="AMCARE NonOcc In"/>
    <s v="AMZN"/>
    <n v="201211157"/>
    <s v="Vargas,Jesse"/>
    <s v="Pizana,Diego"/>
    <n v="0"/>
    <n v="0"/>
    <n v="0"/>
    <n v="0"/>
    <n v="0.45"/>
    <e v="#N/A"/>
    <s v="vargajed"/>
  </r>
  <r>
    <x v="293"/>
    <x v="40"/>
    <s v="Admin/HR/IT"/>
    <s v="AMCARE NonOcc In"/>
    <s v="AMZN"/>
    <n v="201223730"/>
    <s v="Sanchiz,Cesarito"/>
    <s v="Romero Sanchez,Gustavo Gabriel"/>
    <n v="0"/>
    <n v="0"/>
    <n v="0"/>
    <n v="0"/>
    <n v="1.2"/>
    <e v="#N/A"/>
    <s v="cesarito"/>
  </r>
  <r>
    <x v="293"/>
    <x v="40"/>
    <s v="Admin/HR/IT"/>
    <s v="AMCARE NonOcc In"/>
    <s v="AMZN"/>
    <n v="201228411"/>
    <s v="Hernandez Soriano,Jazmin"/>
    <s v="Romero Sanchez,Gustavo Gabriel"/>
    <n v="0"/>
    <n v="0"/>
    <n v="0"/>
    <n v="0"/>
    <n v="1.37"/>
    <e v="#N/A"/>
    <s v="jazmiwhe"/>
  </r>
  <r>
    <x v="293"/>
    <x v="40"/>
    <s v="Admin/HR/IT"/>
    <s v="AMCARE NonOcc In"/>
    <s v="TEMP"/>
    <n v="201906503"/>
    <s v="MartÃ­nez,Jennifer"/>
    <s v="Porcar Guri,Albert"/>
    <n v="0"/>
    <n v="0"/>
    <n v="0"/>
    <n v="0"/>
    <n v="0.15"/>
    <e v="#N/A"/>
    <s v="mqjennif"/>
  </r>
  <r>
    <x v="293"/>
    <x v="40"/>
    <s v="Admin/HR/IT"/>
    <s v="AMCARE NonOcc In"/>
    <s v="TEMP"/>
    <n v="202068119"/>
    <s v="Castillo,Saul"/>
    <s v="Porcar Guri,Albert"/>
    <n v="0"/>
    <n v="0"/>
    <n v="0"/>
    <n v="0"/>
    <n v="0.02"/>
    <e v="#N/A"/>
    <s v="casosaul"/>
  </r>
  <r>
    <x v="293"/>
    <x v="40"/>
    <s v="Admin/HR/IT"/>
    <s v="AMCARE NonOcc In"/>
    <s v="TEMP"/>
    <n v="202081527"/>
    <s v="Martinez,Efren"/>
    <s v="Hernandez,Nataly"/>
    <n v="0"/>
    <n v="0"/>
    <n v="0"/>
    <n v="0"/>
    <n v="0.56000000000000005"/>
    <e v="#N/A"/>
    <s v="efrmartw"/>
  </r>
  <r>
    <x v="293"/>
    <x v="40"/>
    <s v="Admin/HR/IT"/>
    <s v="AMCARE NonOcc In"/>
    <s v="TEMP"/>
    <n v="202165242"/>
    <s v="Gonzalez,Marco"/>
    <s v="Munoz,Jonan"/>
    <n v="0"/>
    <n v="0"/>
    <n v="0"/>
    <n v="0"/>
    <n v="0.72"/>
    <e v="#N/A"/>
    <s v="marcqgon"/>
  </r>
  <r>
    <x v="293"/>
    <x v="40"/>
    <s v="Admin/HR/IT"/>
    <s v="AMCARE NonOcc In"/>
    <s v="TEMP"/>
    <n v="202185231"/>
    <s v="VÃ¡zquez,Daniela"/>
    <s v="Piedra,Valentina"/>
    <n v="0"/>
    <n v="0"/>
    <n v="0"/>
    <n v="0"/>
    <n v="0.12"/>
    <e v="#N/A"/>
    <s v="davazquq"/>
  </r>
  <r>
    <x v="293"/>
    <x v="40"/>
    <s v="Admin/HR/IT"/>
    <s v="AMCARE NonOcc In"/>
    <s v="TEMP"/>
    <n v="202189084"/>
    <s v="Zuniga,Sebastian"/>
    <s v="Bueno Mendoza,Susana"/>
    <n v="0"/>
    <n v="0"/>
    <n v="0"/>
    <n v="0"/>
    <n v="0.11"/>
    <e v="#N/A"/>
    <s v="zusebast"/>
  </r>
  <r>
    <x v="293"/>
    <x v="40"/>
    <s v="Admin/HR/IT"/>
    <s v="AMCARE NonOcc In"/>
    <s v="TEMP"/>
    <n v="202189809"/>
    <s v="Luna,Mario"/>
    <s v="Piedra,Valentina"/>
    <n v="0"/>
    <n v="0"/>
    <n v="0"/>
    <n v="0"/>
    <n v="1.1299999999999999"/>
    <e v="#N/A"/>
    <s v="pmarilun"/>
  </r>
  <r>
    <x v="293"/>
    <x v="40"/>
    <s v="Admin/HR/IT"/>
    <s v="AMCARE NonOcc In"/>
    <s v="TEMP"/>
    <n v="202309038"/>
    <s v="Segura,Antonio"/>
    <s v="Pizana,Diego"/>
    <n v="0"/>
    <n v="0"/>
    <n v="0"/>
    <n v="0"/>
    <n v="0.15"/>
    <e v="#N/A"/>
    <s v="dantonse"/>
  </r>
  <r>
    <x v="294"/>
    <x v="40"/>
    <s v="Admin/HR/IT"/>
    <s v="AMCARE NonOcc In"/>
    <s v="AMZN"/>
    <n v="112971962"/>
    <s v="Reyes  Montes de oca,Alejandra"/>
    <s v="Romero Sanchez,Gustavo Gabriel"/>
    <n v="0"/>
    <n v="0"/>
    <n v="0"/>
    <n v="0"/>
    <n v="0.34"/>
    <s v="DB-X0700"/>
    <s v="creyesal"/>
  </r>
  <r>
    <x v="294"/>
    <x v="40"/>
    <s v="Admin/HR/IT"/>
    <s v="AMCARE NonOcc In"/>
    <s v="AMZN"/>
    <n v="112972215"/>
    <s v="Cruz,Ana"/>
    <s v="Romero Sanchez,Gustavo Gabriel"/>
    <n v="0"/>
    <n v="0"/>
    <n v="0"/>
    <n v="0"/>
    <n v="1.19"/>
    <s v="DB-X0700"/>
    <s v="cruzbana"/>
  </r>
  <r>
    <x v="294"/>
    <x v="40"/>
    <s v="Admin/HR/IT"/>
    <s v="AMCARE NonOcc In"/>
    <s v="AMZN"/>
    <n v="113003510"/>
    <s v="PÃ©rez MÃ©ndez,Cecy"/>
    <s v="Munoz,Jonan"/>
    <n v="0"/>
    <n v="0"/>
    <n v="0"/>
    <n v="0"/>
    <n v="0.11"/>
    <e v="#N/A"/>
    <s v="nperezmc"/>
  </r>
  <r>
    <x v="294"/>
    <x v="40"/>
    <s v="Admin/HR/IT"/>
    <s v="AMCARE NonOcc In"/>
    <s v="TEMP"/>
    <n v="113014081"/>
    <s v="Frausto,Genesis"/>
    <s v="Porcar Guri,Albert"/>
    <n v="0"/>
    <n v="0"/>
    <n v="0"/>
    <n v="0"/>
    <n v="0.61"/>
    <e v="#N/A"/>
    <s v="fraugene"/>
  </r>
  <r>
    <x v="294"/>
    <x v="40"/>
    <s v="Admin/HR/IT"/>
    <s v="AMCARE NonOcc In"/>
    <s v="AMZN"/>
    <n v="113014560"/>
    <s v="Lopez Moreno,Americo"/>
    <s v="Romero Sanchez,Gustavo Gabriel"/>
    <n v="0"/>
    <n v="0"/>
    <n v="0"/>
    <n v="0"/>
    <n v="1.72"/>
    <e v="#N/A"/>
    <s v="zlopamer"/>
  </r>
  <r>
    <x v="294"/>
    <x v="40"/>
    <s v="Admin/HR/IT"/>
    <s v="AMCARE NonOcc In"/>
    <s v="AMZN"/>
    <n v="113101262"/>
    <s v="Tinoco,Cesar"/>
    <s v="Romero Sanchez,Gustavo Gabriel"/>
    <n v="0"/>
    <n v="0"/>
    <n v="0"/>
    <n v="0"/>
    <n v="0.86"/>
    <e v="#N/A"/>
    <s v="cetinocr"/>
  </r>
  <r>
    <x v="294"/>
    <x v="40"/>
    <s v="Admin/HR/IT"/>
    <s v="AMCARE NonOcc In"/>
    <s v="AMZN"/>
    <n v="200562154"/>
    <s v="Reyes Muniz,Cristian"/>
    <s v="Piedra,Valentina"/>
    <n v="0"/>
    <n v="0"/>
    <n v="0"/>
    <n v="0"/>
    <n v="0.15"/>
    <e v="#N/A"/>
    <s v="reyesmcw"/>
  </r>
  <r>
    <x v="294"/>
    <x v="40"/>
    <s v="Admin/HR/IT"/>
    <s v="AMCARE NonOcc In"/>
    <s v="AMZN"/>
    <n v="200574655"/>
    <s v="Mireles,Dulce"/>
    <s v="Romero Sanchez,Gustavo Gabriel"/>
    <n v="0"/>
    <n v="0"/>
    <n v="0"/>
    <n v="0"/>
    <n v="0.15"/>
    <e v="#N/A"/>
    <s v="dulceami"/>
  </r>
  <r>
    <x v="294"/>
    <x v="40"/>
    <s v="Admin/HR/IT"/>
    <s v="AMCARE NonOcc In"/>
    <s v="AMZN"/>
    <n v="201223730"/>
    <s v="Sanchiz,Cesarito"/>
    <s v="Romero Sanchez,Gustavo Gabriel"/>
    <n v="0"/>
    <n v="0"/>
    <n v="0"/>
    <n v="0"/>
    <n v="0.47"/>
    <e v="#N/A"/>
    <s v="cesarito"/>
  </r>
  <r>
    <x v="294"/>
    <x v="40"/>
    <s v="Admin/HR/IT"/>
    <s v="AMCARE NonOcc In"/>
    <s v="AMZN"/>
    <n v="201228411"/>
    <s v="Hernandez Soriano,Jazmin"/>
    <s v="Romero Sanchez,Gustavo Gabriel"/>
    <n v="0"/>
    <n v="0"/>
    <n v="0"/>
    <n v="0"/>
    <n v="1.46"/>
    <e v="#N/A"/>
    <s v="jazmiwhe"/>
  </r>
  <r>
    <x v="294"/>
    <x v="40"/>
    <s v="Admin/HR/IT"/>
    <s v="AMCARE NonOcc In"/>
    <s v="TEMP"/>
    <n v="201906503"/>
    <s v="MartÃ­nez,Jennifer"/>
    <s v="Porcar Guri,Albert"/>
    <n v="0"/>
    <n v="0"/>
    <n v="0"/>
    <n v="0"/>
    <n v="0.16"/>
    <e v="#N/A"/>
    <s v="mqjennif"/>
  </r>
  <r>
    <x v="294"/>
    <x v="40"/>
    <s v="Admin/HR/IT"/>
    <s v="AMCARE NonOcc In"/>
    <s v="TEMP"/>
    <n v="202165242"/>
    <s v="Gonzalez,Marco"/>
    <s v="Munoz,Jonan"/>
    <n v="0"/>
    <n v="0"/>
    <n v="0"/>
    <n v="0"/>
    <n v="0.24"/>
    <e v="#N/A"/>
    <s v="marcqgon"/>
  </r>
  <r>
    <x v="294"/>
    <x v="40"/>
    <s v="Admin/HR/IT"/>
    <s v="AMCARE NonOcc In"/>
    <s v="TEMP"/>
    <n v="202189809"/>
    <s v="Luna,Mario"/>
    <s v="Piedra,Valentina"/>
    <n v="0"/>
    <n v="0"/>
    <n v="0"/>
    <n v="0"/>
    <n v="0.7"/>
    <e v="#N/A"/>
    <s v="pmarilun"/>
  </r>
  <r>
    <x v="294"/>
    <x v="40"/>
    <s v="Admin/HR/IT"/>
    <s v="AMCARE NonOcc In"/>
    <s v="TEMP"/>
    <n v="202235589"/>
    <s v="Cienega,Fatima"/>
    <s v="Romero Sanchez,Gustavo Gabriel"/>
    <n v="0"/>
    <n v="0"/>
    <n v="0"/>
    <n v="0"/>
    <n v="0.28000000000000003"/>
    <e v="#N/A"/>
    <s v="fatimci"/>
  </r>
  <r>
    <x v="294"/>
    <x v="40"/>
    <s v="Admin/HR/IT"/>
    <s v="AMCARE NonOcc In"/>
    <s v="TEMP"/>
    <n v="202279474"/>
    <s v="Torres Parga,Ma. Felicitas"/>
    <s v="Munoz,Jonan"/>
    <n v="0"/>
    <n v="0"/>
    <n v="0"/>
    <n v="0"/>
    <n v="0.13"/>
    <e v="#N/A"/>
    <s v="torrmafe"/>
  </r>
  <r>
    <x v="295"/>
    <x v="41"/>
    <s v="Admin/HR/IT"/>
    <s v="AMCARE NonOcc In"/>
    <s v="AMZN"/>
    <n v="112912050"/>
    <s v="Hernadez Serna,Said"/>
    <s v="Madrid Molina,Ramon"/>
    <n v="0"/>
    <n v="0"/>
    <n v="0"/>
    <n v="0"/>
    <n v="0.14000000000000001"/>
    <s v="DA-X0700"/>
    <s v="shernadt"/>
  </r>
  <r>
    <x v="295"/>
    <x v="41"/>
    <s v="Admin/HR/IT"/>
    <s v="AMCARE NonOcc In"/>
    <s v="AMZN"/>
    <n v="112950818"/>
    <s v="Sanchez Banuelos,Edith"/>
    <s v="Madrid Molina,Ramon"/>
    <n v="0"/>
    <n v="0"/>
    <n v="0"/>
    <n v="0"/>
    <n v="0.26"/>
    <s v="DA-X0700"/>
    <s v="xedithsa"/>
  </r>
  <r>
    <x v="295"/>
    <x v="41"/>
    <s v="Admin/HR/IT"/>
    <s v="AMCARE NonOcc In"/>
    <s v="AMZN"/>
    <n v="112981061"/>
    <s v="Olguin,Claudia"/>
    <s v="Corona Arriaga,Fernando"/>
    <n v="0"/>
    <n v="0"/>
    <n v="0"/>
    <n v="0"/>
    <n v="0.47"/>
    <s v="DA-X0700"/>
    <s v="mclaudol"/>
  </r>
  <r>
    <x v="295"/>
    <x v="41"/>
    <s v="Admin/HR/IT"/>
    <s v="AMCARE NonOcc In"/>
    <s v="AMZN"/>
    <n v="201162225"/>
    <s v="Corona,Israel"/>
    <s v="Bueno Mendoza,Susana"/>
    <n v="0"/>
    <n v="0"/>
    <n v="0"/>
    <n v="0"/>
    <n v="0.08"/>
    <e v="#N/A"/>
    <s v="isracoro"/>
  </r>
  <r>
    <x v="295"/>
    <x v="41"/>
    <s v="Admin/HR/IT"/>
    <s v="AMCARE NonOcc In"/>
    <s v="AMZN"/>
    <n v="201360639"/>
    <s v="Rivera,Yael"/>
    <s v="Porcar Guri,Albert"/>
    <n v="0"/>
    <n v="0"/>
    <n v="0"/>
    <n v="0"/>
    <n v="0.45"/>
    <e v="#N/A"/>
    <s v="riveoyae"/>
  </r>
  <r>
    <x v="295"/>
    <x v="41"/>
    <s v="Admin/HR/IT"/>
    <s v="AMCARE NonOcc In"/>
    <s v="TEMP"/>
    <n v="201408478"/>
    <s v="Calderon,David"/>
    <s v="Romero Sanchez,Gustavo Gabriel"/>
    <n v="0"/>
    <n v="0"/>
    <n v="0"/>
    <n v="0"/>
    <n v="7.0000000000000007E-2"/>
    <e v="#N/A"/>
    <s v="dacaldey"/>
  </r>
  <r>
    <x v="295"/>
    <x v="41"/>
    <s v="Admin/HR/IT"/>
    <s v="AMCARE NonOcc In"/>
    <s v="TEMP"/>
    <n v="201858330"/>
    <s v="Arrona,Pablo"/>
    <s v="Bueno Mendoza,Susana"/>
    <n v="0"/>
    <n v="0"/>
    <n v="0"/>
    <n v="0"/>
    <n v="0.13"/>
    <e v="#N/A"/>
    <s v="arrwpabl"/>
  </r>
  <r>
    <x v="295"/>
    <x v="41"/>
    <s v="Admin/HR/IT"/>
    <s v="AMCARE NonOcc In"/>
    <s v="TEMP"/>
    <n v="202052420"/>
    <s v="Gonzalez,Karla"/>
    <s v="Hernandez,Nataly"/>
    <n v="0"/>
    <n v="0"/>
    <n v="0"/>
    <n v="0"/>
    <n v="0.2"/>
    <e v="#N/A"/>
    <e v="#N/A"/>
  </r>
  <r>
    <x v="295"/>
    <x v="41"/>
    <s v="Admin/HR/IT"/>
    <s v="AMCARE NonOcc In"/>
    <s v="TEMP"/>
    <n v="202099137"/>
    <s v="Montalvo,Luis antonio"/>
    <s v="Corona Arriaga,Fernando"/>
    <n v="0"/>
    <n v="0"/>
    <n v="0"/>
    <n v="0"/>
    <n v="0.17"/>
    <e v="#N/A"/>
    <s v="monttlui"/>
  </r>
  <r>
    <x v="295"/>
    <x v="41"/>
    <s v="Admin/HR/IT"/>
    <s v="AMCARE NonOcc In"/>
    <s v="TEMP"/>
    <n v="202130113"/>
    <s v="Rangel,Tania"/>
    <s v="Camarena,Grecia"/>
    <n v="0"/>
    <n v="0"/>
    <n v="0"/>
    <n v="0"/>
    <n v="0.21"/>
    <e v="#N/A"/>
    <s v="tanirang"/>
  </r>
  <r>
    <x v="295"/>
    <x v="41"/>
    <s v="Admin/HR/IT"/>
    <s v="AMCARE NonOcc In"/>
    <s v="TEMP"/>
    <n v="202173806"/>
    <s v="Urenda,Cristopher"/>
    <s v="Bueno Mendoza,Susana"/>
    <n v="0"/>
    <n v="0"/>
    <n v="0"/>
    <n v="0"/>
    <n v="0.13"/>
    <e v="#N/A"/>
    <s v="crurenda"/>
  </r>
  <r>
    <x v="295"/>
    <x v="41"/>
    <s v="Admin/HR/IT"/>
    <s v="AMCARE NonOcc In"/>
    <s v="TEMP"/>
    <n v="202245845"/>
    <s v="Medina,Angel"/>
    <s v="Rosas Negrete,Sebastian"/>
    <n v="0"/>
    <n v="0"/>
    <n v="0"/>
    <n v="0"/>
    <n v="0.13"/>
    <e v="#N/A"/>
    <s v="cangmedi"/>
  </r>
  <r>
    <x v="296"/>
    <x v="41"/>
    <s v="Admin/HR/IT"/>
    <s v="AMCARE NonOcc In"/>
    <s v="AMZN"/>
    <n v="112912752"/>
    <s v="Valderrama Gomez,Leslie"/>
    <s v="Porcar Guri,Albert"/>
    <n v="0"/>
    <n v="0"/>
    <n v="0"/>
    <n v="0"/>
    <n v="0.18"/>
    <s v="NF-X1900"/>
    <s v="valderle"/>
  </r>
  <r>
    <x v="296"/>
    <x v="41"/>
    <s v="Admin/HR/IT"/>
    <s v="AMCARE NonOcc In"/>
    <s v="AMZN"/>
    <n v="112950800"/>
    <s v="Muniz,Viri"/>
    <s v="Porcar Guri,Albert"/>
    <n v="0"/>
    <n v="0"/>
    <n v="0"/>
    <n v="0"/>
    <n v="0.34"/>
    <s v="NF-X1900"/>
    <s v="virimuni"/>
  </r>
  <r>
    <x v="296"/>
    <x v="41"/>
    <s v="Admin/HR/IT"/>
    <s v="AMCARE NonOcc In"/>
    <s v="AMZN"/>
    <n v="113014470"/>
    <s v="Aguilar Ibarra,Lupe"/>
    <s v="Corona Arriaga,Fernando"/>
    <n v="0"/>
    <n v="0"/>
    <n v="0"/>
    <n v="0"/>
    <n v="0.11"/>
    <e v="#N/A"/>
    <s v="lupaguin"/>
  </r>
  <r>
    <x v="296"/>
    <x v="41"/>
    <s v="Admin/HR/IT"/>
    <s v="AMCARE NonOcc In"/>
    <s v="AMZN"/>
    <n v="200534675"/>
    <s v="Munoz Macias,Juan Pablo"/>
    <s v="Rosas Negrete,Sebastian"/>
    <n v="0"/>
    <n v="0"/>
    <n v="0"/>
    <n v="0"/>
    <n v="0.19"/>
    <e v="#N/A"/>
    <s v="juanpmun"/>
  </r>
  <r>
    <x v="296"/>
    <x v="41"/>
    <s v="Admin/HR/IT"/>
    <s v="AMCARE NonOcc In"/>
    <s v="AMZN"/>
    <n v="200562154"/>
    <s v="Reyes Muniz,Cristian"/>
    <s v="Piedra,Valentina"/>
    <n v="0"/>
    <n v="0"/>
    <n v="0"/>
    <n v="0"/>
    <n v="0.13"/>
    <e v="#N/A"/>
    <s v="reyesmcw"/>
  </r>
  <r>
    <x v="296"/>
    <x v="41"/>
    <s v="Admin/HR/IT"/>
    <s v="AMCARE NonOcc In"/>
    <s v="AMZN"/>
    <n v="201186777"/>
    <s v="Monzon,Berenice"/>
    <s v="Bueno Mendoza,Susana"/>
    <n v="0"/>
    <n v="0"/>
    <n v="0"/>
    <n v="0"/>
    <n v="0.75"/>
    <e v="#N/A"/>
    <s v="bemonzon"/>
  </r>
  <r>
    <x v="296"/>
    <x v="41"/>
    <s v="Admin/HR/IT"/>
    <s v="AMCARE NonOcc In"/>
    <s v="AMZN"/>
    <n v="201197964"/>
    <s v="Quijas,Matzayani"/>
    <s v="Rosas Negrete,Sebastian"/>
    <n v="0"/>
    <n v="0"/>
    <n v="0"/>
    <n v="0"/>
    <n v="0.71"/>
    <e v="#N/A"/>
    <s v="matzquij"/>
  </r>
  <r>
    <x v="296"/>
    <x v="41"/>
    <s v="Admin/HR/IT"/>
    <s v="AMCARE NonOcc In"/>
    <s v="AMZN"/>
    <n v="201345774"/>
    <s v="Quijas,Jonathan"/>
    <s v="Corona Arriaga,Fernando"/>
    <n v="0"/>
    <n v="0"/>
    <n v="0"/>
    <n v="0"/>
    <n v="1.26"/>
    <e v="#N/A"/>
    <s v="jonquija"/>
  </r>
  <r>
    <x v="296"/>
    <x v="41"/>
    <s v="Admin/HR/IT"/>
    <s v="AMCARE NonOcc In"/>
    <s v="AMZN"/>
    <n v="201353085"/>
    <s v="Garcia,Elva"/>
    <s v="Rosas Negrete,Sebastian"/>
    <n v="0"/>
    <n v="0"/>
    <n v="0"/>
    <n v="0"/>
    <n v="0.21"/>
    <e v="#N/A"/>
    <s v="lelvgarc"/>
  </r>
  <r>
    <x v="296"/>
    <x v="41"/>
    <s v="Admin/HR/IT"/>
    <s v="AMCARE NonOcc In"/>
    <s v="AMZN"/>
    <n v="201353328"/>
    <s v="Mendoza Macias,Zaira"/>
    <s v="Madrid Molina,Ramon"/>
    <n v="0"/>
    <n v="0"/>
    <n v="0"/>
    <n v="0"/>
    <n v="0.37"/>
    <e v="#N/A"/>
    <s v="zairamen"/>
  </r>
  <r>
    <x v="296"/>
    <x v="41"/>
    <s v="Admin/HR/IT"/>
    <s v="AMCARE NonOcc In"/>
    <s v="AMZN"/>
    <n v="201378452"/>
    <s v="Perez,Omar"/>
    <s v="Bueno Mendoza,Susana"/>
    <n v="0"/>
    <n v="0"/>
    <n v="0"/>
    <n v="0"/>
    <n v="0.08"/>
    <e v="#N/A"/>
    <s v="omhperez"/>
  </r>
  <r>
    <x v="296"/>
    <x v="41"/>
    <s v="Admin/HR/IT"/>
    <s v="AMCARE NonOcc In"/>
    <s v="TEMP"/>
    <n v="201858867"/>
    <s v="Cruz Velazquez,Gabriela"/>
    <s v="Piedra,Valentina"/>
    <n v="0"/>
    <n v="0"/>
    <n v="0"/>
    <n v="0"/>
    <n v="0.23"/>
    <e v="#N/A"/>
    <s v="tcruzvel"/>
  </r>
  <r>
    <x v="296"/>
    <x v="41"/>
    <s v="Admin/HR/IT"/>
    <s v="AMCARE NonOcc In"/>
    <s v="TEMP"/>
    <n v="202137341"/>
    <s v="Bravo,Edgar"/>
    <s v="Rosas Negrete,Sebastian"/>
    <n v="0"/>
    <n v="0"/>
    <n v="0"/>
    <n v="0"/>
    <n v="0.15"/>
    <e v="#N/A"/>
    <s v="xedgabra"/>
  </r>
  <r>
    <x v="296"/>
    <x v="41"/>
    <s v="Admin/HR/IT"/>
    <s v="AMCARE NonOcc In"/>
    <s v="TEMP"/>
    <n v="202159583"/>
    <s v="Lara,Oswaldo"/>
    <s v="Corona Arriaga,Fernando"/>
    <n v="0"/>
    <n v="0"/>
    <n v="0"/>
    <n v="0"/>
    <n v="0.15"/>
    <e v="#N/A"/>
    <s v="laoswaln"/>
  </r>
  <r>
    <x v="296"/>
    <x v="41"/>
    <s v="Admin/HR/IT"/>
    <s v="AMCARE NonOcc In"/>
    <s v="TEMP"/>
    <n v="202167308"/>
    <s v="Alcocer,Carlos"/>
    <s v="Bueno Mendoza,Susana"/>
    <n v="0"/>
    <n v="0"/>
    <n v="0"/>
    <n v="0"/>
    <n v="0.11"/>
    <e v="#N/A"/>
    <s v="cjalcoce"/>
  </r>
  <r>
    <x v="296"/>
    <x v="41"/>
    <s v="Admin/HR/IT"/>
    <s v="AMCARE NonOcc In"/>
    <s v="TEMP"/>
    <n v="202175649"/>
    <s v="Galvan,Lia"/>
    <s v="Pizana,Diego"/>
    <n v="0"/>
    <n v="0"/>
    <n v="0"/>
    <n v="0"/>
    <n v="0.46"/>
    <e v="#N/A"/>
    <s v="galvali"/>
  </r>
  <r>
    <x v="296"/>
    <x v="41"/>
    <s v="Admin/HR/IT"/>
    <s v="AMCARE NonOcc In"/>
    <s v="TEMP"/>
    <n v="202185991"/>
    <s v="VÃ¡zquez,AndrÃ©s"/>
    <s v="Bueno Mendoza,Susana"/>
    <n v="0"/>
    <n v="0"/>
    <n v="0"/>
    <n v="0"/>
    <n v="0.13"/>
    <e v="#N/A"/>
    <s v="vaziandr"/>
  </r>
  <r>
    <x v="296"/>
    <x v="41"/>
    <s v="Admin/HR/IT"/>
    <s v="AMCARE NonOcc In"/>
    <s v="TEMP"/>
    <n v="202246652"/>
    <s v="Honojoza,Adriana"/>
    <s v="Corona Arriaga,Fernando"/>
    <n v="0"/>
    <n v="0"/>
    <n v="0"/>
    <n v="0"/>
    <n v="0.33"/>
    <e v="#N/A"/>
    <s v="honojadm"/>
  </r>
  <r>
    <x v="296"/>
    <x v="41"/>
    <s v="Admin/HR/IT"/>
    <s v="AMCARE NonOcc In"/>
    <s v="TEMP"/>
    <n v="202323538"/>
    <s v="Santillan,Mildred"/>
    <s v="Madrid Molina,Ramon"/>
    <n v="0"/>
    <n v="0"/>
    <n v="0"/>
    <n v="0"/>
    <n v="0.3"/>
    <e v="#N/A"/>
    <s v="sanmild"/>
  </r>
  <r>
    <x v="297"/>
    <x v="41"/>
    <s v="Admin/HR/IT"/>
    <s v="AMCARE NonOcc In"/>
    <s v="AMZN"/>
    <n v="112920666"/>
    <s v="Rocha,Jose"/>
    <s v="Pizana,Diego"/>
    <n v="0"/>
    <n v="0"/>
    <n v="0"/>
    <n v="0"/>
    <n v="7.0000000000000007E-2"/>
    <s v="D5-X0700"/>
    <s v="jorochai"/>
  </r>
  <r>
    <x v="297"/>
    <x v="41"/>
    <s v="Admin/HR/IT"/>
    <s v="AMCARE NonOcc In"/>
    <s v="AMZN"/>
    <n v="112972798"/>
    <s v="Alonso Soto,Omar"/>
    <s v="Pizana,Diego"/>
    <n v="0"/>
    <n v="0"/>
    <n v="0"/>
    <n v="0"/>
    <n v="0.46"/>
    <s v="D5-X0700"/>
    <s v="aladriav"/>
  </r>
  <r>
    <x v="297"/>
    <x v="41"/>
    <s v="Admin/HR/IT"/>
    <s v="AMCARE NonOcc In"/>
    <s v="AMZN"/>
    <n v="112981061"/>
    <s v="Olguin,Claudia"/>
    <s v="Corona Arriaga,Fernando"/>
    <n v="0"/>
    <n v="0"/>
    <n v="0"/>
    <n v="0"/>
    <n v="0.12"/>
    <s v="DA-X0700"/>
    <s v="mclaudol"/>
  </r>
  <r>
    <x v="297"/>
    <x v="41"/>
    <s v="Admin/HR/IT"/>
    <s v="AMCARE NonOcc In"/>
    <s v="AMZN"/>
    <n v="113014592"/>
    <s v="Picazo,Brenda"/>
    <s v="Corona Arriaga,Fernando"/>
    <n v="0"/>
    <n v="0"/>
    <n v="0"/>
    <n v="0"/>
    <n v="0.36"/>
    <e v="#N/A"/>
    <s v="brepicaz"/>
  </r>
  <r>
    <x v="297"/>
    <x v="41"/>
    <s v="Admin/HR/IT"/>
    <s v="AMCARE NonOcc In"/>
    <s v="AMZN"/>
    <n v="200404250"/>
    <s v="Hurtado,Caty"/>
    <s v="Corona Arriaga,Fernando"/>
    <n v="0"/>
    <n v="0"/>
    <n v="0"/>
    <n v="0"/>
    <n v="1.48"/>
    <e v="#N/A"/>
    <s v="xcathurt"/>
  </r>
  <r>
    <x v="297"/>
    <x v="41"/>
    <s v="Admin/HR/IT"/>
    <s v="AMCARE NonOcc In"/>
    <s v="AMZN"/>
    <n v="200625528"/>
    <s v="Oliva,Lizbeth"/>
    <s v="Bueno Mendoza,Susana"/>
    <n v="0"/>
    <n v="0"/>
    <n v="0"/>
    <n v="0"/>
    <n v="0.45"/>
    <e v="#N/A"/>
    <s v="olivlizb"/>
  </r>
  <r>
    <x v="297"/>
    <x v="41"/>
    <s v="Admin/HR/IT"/>
    <s v="AMCARE NonOcc In"/>
    <s v="AMZN"/>
    <n v="201167501"/>
    <s v="Rodriguez,Ruben"/>
    <s v="Corona Arriaga,Fernando"/>
    <n v="0"/>
    <n v="0"/>
    <n v="0"/>
    <n v="0"/>
    <n v="0.25"/>
    <e v="#N/A"/>
    <s v="wguanajr"/>
  </r>
  <r>
    <x v="297"/>
    <x v="41"/>
    <s v="Admin/HR/IT"/>
    <s v="AMCARE NonOcc In"/>
    <s v="AMZN"/>
    <n v="201191198"/>
    <s v="Mojica,Emmanuel"/>
    <s v="Piedra,Valentina"/>
    <n v="0"/>
    <n v="0"/>
    <n v="0"/>
    <n v="0"/>
    <n v="1.75"/>
    <e v="#N/A"/>
    <s v="mojicemm"/>
  </r>
  <r>
    <x v="297"/>
    <x v="41"/>
    <s v="Admin/HR/IT"/>
    <s v="AMCARE NonOcc In"/>
    <s v="AMZN"/>
    <n v="201197964"/>
    <s v="Quijas,Matzayani"/>
    <s v="Rosas Negrete,Sebastian"/>
    <n v="0"/>
    <n v="0"/>
    <n v="0"/>
    <n v="0"/>
    <n v="0.73"/>
    <e v="#N/A"/>
    <s v="matzquij"/>
  </r>
  <r>
    <x v="297"/>
    <x v="41"/>
    <s v="Admin/HR/IT"/>
    <s v="AMCARE NonOcc In"/>
    <s v="AMZN"/>
    <n v="201345774"/>
    <s v="Quijas,Jonathan"/>
    <s v="Corona Arriaga,Fernando"/>
    <n v="0"/>
    <n v="0"/>
    <n v="0"/>
    <n v="0"/>
    <n v="0.22"/>
    <e v="#N/A"/>
    <s v="jonquija"/>
  </r>
  <r>
    <x v="297"/>
    <x v="41"/>
    <s v="Admin/HR/IT"/>
    <s v="AMCARE NonOcc In"/>
    <s v="AMZN"/>
    <n v="201378542"/>
    <s v="Contreras,Evelyn"/>
    <s v="Bueno Mendoza,Susana"/>
    <n v="0"/>
    <n v="0"/>
    <n v="0"/>
    <n v="0"/>
    <n v="0.32"/>
    <e v="#N/A"/>
    <s v="tcontree"/>
  </r>
  <r>
    <x v="297"/>
    <x v="41"/>
    <s v="Admin/HR/IT"/>
    <s v="AMCARE NonOcc In"/>
    <s v="TEMP"/>
    <n v="201858867"/>
    <s v="Cruz Velazquez,Gabriela"/>
    <s v="Piedra,Valentina"/>
    <n v="0"/>
    <n v="0"/>
    <n v="0"/>
    <n v="0"/>
    <n v="0.14000000000000001"/>
    <e v="#N/A"/>
    <s v="tcruzvel"/>
  </r>
  <r>
    <x v="297"/>
    <x v="41"/>
    <s v="Admin/HR/IT"/>
    <s v="AMCARE NonOcc In"/>
    <s v="TEMP"/>
    <n v="201891076"/>
    <s v="Olvera,Marilu"/>
    <s v="Corona Arriaga,Fernando"/>
    <n v="0"/>
    <n v="0"/>
    <n v="0"/>
    <n v="0"/>
    <n v="0.84"/>
    <e v="#N/A"/>
    <s v="marmolve"/>
  </r>
  <r>
    <x v="297"/>
    <x v="41"/>
    <s v="Admin/HR/IT"/>
    <s v="AMCARE NonOcc In"/>
    <s v="TEMP"/>
    <n v="201901910"/>
    <s v="Flores,Edwin"/>
    <s v="Piedra,Valentina"/>
    <n v="0"/>
    <n v="0"/>
    <n v="0"/>
    <n v="0"/>
    <n v="0.43"/>
    <e v="#N/A"/>
    <s v="sfloredw"/>
  </r>
  <r>
    <x v="297"/>
    <x v="41"/>
    <s v="Admin/HR/IT"/>
    <s v="AMCARE NonOcc In"/>
    <s v="TEMP"/>
    <n v="202129214"/>
    <s v="Zuniga,Isaac"/>
    <s v="Manzanares Navarro,Sandra"/>
    <n v="0"/>
    <n v="0"/>
    <n v="0"/>
    <n v="0"/>
    <n v="2.17"/>
    <e v="#N/A"/>
    <s v="isafzuni"/>
  </r>
  <r>
    <x v="297"/>
    <x v="41"/>
    <s v="Admin/HR/IT"/>
    <s v="AMCARE NonOcc In"/>
    <s v="TEMP"/>
    <n v="202130113"/>
    <s v="Rangel,Tania"/>
    <s v="Camarena,Grecia"/>
    <n v="0"/>
    <n v="0"/>
    <n v="0"/>
    <n v="0"/>
    <n v="0.23"/>
    <e v="#N/A"/>
    <s v="tanirang"/>
  </r>
  <r>
    <x v="297"/>
    <x v="41"/>
    <s v="Admin/HR/IT"/>
    <s v="AMCARE NonOcc In"/>
    <s v="TEMP"/>
    <n v="202163986"/>
    <s v="Franco,Jose"/>
    <s v="Rosas Negrete,Sebastian"/>
    <n v="0"/>
    <n v="0"/>
    <n v="0"/>
    <n v="0"/>
    <n v="0.15"/>
    <e v="#N/A"/>
    <s v="franhjos"/>
  </r>
  <r>
    <x v="297"/>
    <x v="41"/>
    <s v="Admin/HR/IT"/>
    <s v="AMCARE NonOcc In"/>
    <s v="TEMP"/>
    <n v="202165242"/>
    <s v="Gonzalez,Marco"/>
    <s v="Munoz,Jonan"/>
    <n v="0"/>
    <n v="0"/>
    <n v="0"/>
    <n v="0"/>
    <n v="1.36"/>
    <e v="#N/A"/>
    <s v="marcqgon"/>
  </r>
  <r>
    <x v="297"/>
    <x v="41"/>
    <s v="Admin/HR/IT"/>
    <s v="AMCARE NonOcc In"/>
    <s v="TEMP"/>
    <n v="202225896"/>
    <s v="Reyes,Josue"/>
    <s v="Rosas Negrete,Sebastian"/>
    <n v="0"/>
    <n v="0"/>
    <n v="0"/>
    <n v="0"/>
    <n v="1.65"/>
    <e v="#N/A"/>
    <s v="reymjosu"/>
  </r>
  <r>
    <x v="297"/>
    <x v="41"/>
    <s v="Admin/HR/IT"/>
    <s v="AMCARE NonOcc In"/>
    <s v="TEMP"/>
    <n v="202226099"/>
    <s v="Luna,Barby"/>
    <s v="Pizana,Diego"/>
    <n v="0"/>
    <n v="0"/>
    <n v="0"/>
    <n v="0"/>
    <n v="0.38"/>
    <e v="#N/A"/>
    <s v="barbywlu"/>
  </r>
  <r>
    <x v="297"/>
    <x v="41"/>
    <s v="Admin/HR/IT"/>
    <s v="AMCARE NonOcc In"/>
    <s v="TEMP"/>
    <n v="202250323"/>
    <s v="Esqueda,Soledad"/>
    <s v="Corona Arriaga,Fernando"/>
    <n v="0"/>
    <n v="0"/>
    <n v="0"/>
    <n v="0"/>
    <n v="0.11"/>
    <e v="#N/A"/>
    <s v="soledesq"/>
  </r>
  <r>
    <x v="297"/>
    <x v="41"/>
    <s v="Admin/HR/IT"/>
    <s v="AMCARE NonOcc In"/>
    <s v="TEMP"/>
    <n v="202265921"/>
    <s v="Perea,Mauricio"/>
    <s v="Rosas Negrete,Sebastian"/>
    <n v="0"/>
    <n v="0"/>
    <n v="0"/>
    <n v="0"/>
    <n v="0.18"/>
    <e v="#N/A"/>
    <s v="mauperea"/>
  </r>
  <r>
    <x v="297"/>
    <x v="41"/>
    <s v="Admin/HR/IT"/>
    <s v="AMCARE NonOcc In"/>
    <s v="TEMP"/>
    <n v="202273970"/>
    <s v="Medina,Jafet"/>
    <s v="Pizana,Diego"/>
    <n v="0"/>
    <n v="0"/>
    <n v="0"/>
    <n v="0"/>
    <n v="0.26"/>
    <e v="#N/A"/>
    <s v="jafemedi"/>
  </r>
  <r>
    <x v="297"/>
    <x v="41"/>
    <s v="Admin/HR/IT"/>
    <s v="AMCARE NonOcc In"/>
    <s v="TEMP"/>
    <n v="202329948"/>
    <s v="Duran,Lucy"/>
    <s v="Piedra,Valentina"/>
    <n v="0"/>
    <n v="0"/>
    <n v="0"/>
    <n v="0"/>
    <n v="3.54"/>
    <e v="#N/A"/>
    <e v="#N/A"/>
  </r>
  <r>
    <x v="298"/>
    <x v="41"/>
    <s v="Admin/HR/IT"/>
    <s v="AMCARE NonOcc In"/>
    <s v="AMZN"/>
    <n v="103427877"/>
    <s v="Alanis Hernandez,Patricia"/>
    <s v="Cortes,Alejandra"/>
    <n v="0"/>
    <n v="0"/>
    <n v="0"/>
    <n v="0"/>
    <n v="0.78"/>
    <e v="#N/A"/>
    <e v="#N/A"/>
  </r>
  <r>
    <x v="298"/>
    <x v="41"/>
    <s v="Admin/HR/IT"/>
    <s v="AMCARE NonOcc In"/>
    <s v="TEMP"/>
    <n v="112971933"/>
    <s v="Rodriguez Vazquez,Cris"/>
    <s v="Hernandez,Nataly"/>
    <n v="0"/>
    <n v="0"/>
    <n v="0"/>
    <n v="0"/>
    <n v="0.33"/>
    <s v="DB-X0700"/>
    <s v="rodchrif"/>
  </r>
  <r>
    <x v="298"/>
    <x v="41"/>
    <s v="Admin/HR/IT"/>
    <s v="AMCARE NonOcc In"/>
    <s v="AMZN"/>
    <n v="113014094"/>
    <s v="Mercado,Erika"/>
    <s v="Corona Arriaga,Fernando"/>
    <n v="0"/>
    <n v="0"/>
    <n v="0"/>
    <n v="0"/>
    <n v="0.09"/>
    <e v="#N/A"/>
    <s v="erikaadm"/>
  </r>
  <r>
    <x v="298"/>
    <x v="41"/>
    <s v="Admin/HR/IT"/>
    <s v="AMCARE NonOcc In"/>
    <s v="AMZN"/>
    <n v="113101453"/>
    <s v="Isaac,Geovanna"/>
    <s v="Corona Arriaga,Fernando"/>
    <n v="0"/>
    <n v="0"/>
    <n v="0"/>
    <n v="0"/>
    <n v="0.27"/>
    <e v="#N/A"/>
    <s v="qisgeova"/>
  </r>
  <r>
    <x v="298"/>
    <x v="41"/>
    <s v="Admin/HR/IT"/>
    <s v="AMCARE NonOcc In"/>
    <s v="AMZN"/>
    <n v="201167501"/>
    <s v="Rodriguez,Ruben"/>
    <s v="Corona Arriaga,Fernando"/>
    <n v="0"/>
    <n v="0"/>
    <n v="0"/>
    <n v="0"/>
    <n v="0.96"/>
    <e v="#N/A"/>
    <s v="wguanajr"/>
  </r>
  <r>
    <x v="298"/>
    <x v="41"/>
    <s v="Admin/HR/IT"/>
    <s v="AMCARE NonOcc In"/>
    <s v="AMZN"/>
    <n v="201191217"/>
    <s v="Duran,Esteban"/>
    <s v="Bueno Mendoza,Susana"/>
    <n v="0"/>
    <n v="0"/>
    <n v="0"/>
    <n v="0"/>
    <n v="0.22"/>
    <e v="#N/A"/>
    <s v="duesteba"/>
  </r>
  <r>
    <x v="298"/>
    <x v="41"/>
    <s v="Admin/HR/IT"/>
    <s v="AMCARE NonOcc In"/>
    <s v="AMZN"/>
    <n v="201223730"/>
    <s v="Sanchiz,Cesarito"/>
    <s v="Romero Sanchez,Gustavo Gabriel"/>
    <n v="0"/>
    <n v="0"/>
    <n v="0"/>
    <n v="0"/>
    <n v="0.49"/>
    <e v="#N/A"/>
    <s v="cesarito"/>
  </r>
  <r>
    <x v="298"/>
    <x v="41"/>
    <s v="Admin/HR/IT"/>
    <s v="AMCARE NonOcc In"/>
    <s v="AMZN"/>
    <n v="201228411"/>
    <s v="Hernandez Soriano,Jazmin"/>
    <s v="Romero Sanchez,Gustavo Gabriel"/>
    <n v="0"/>
    <n v="0"/>
    <n v="0"/>
    <n v="0"/>
    <n v="0.67"/>
    <e v="#N/A"/>
    <s v="jazmiwhe"/>
  </r>
  <r>
    <x v="298"/>
    <x v="41"/>
    <s v="Admin/HR/IT"/>
    <s v="AMCARE NonOcc In"/>
    <s v="AMZN"/>
    <n v="201295429"/>
    <s v="Mireles Diaz Lopez,Jazmin"/>
    <s v="Munoz,Jonan"/>
    <n v="0"/>
    <n v="0"/>
    <n v="0"/>
    <n v="0"/>
    <n v="7.0000000000000007E-2"/>
    <e v="#N/A"/>
    <s v="mireljes"/>
  </r>
  <r>
    <x v="298"/>
    <x v="41"/>
    <s v="Admin/HR/IT"/>
    <s v="AMCARE NonOcc In"/>
    <s v="AMZN"/>
    <n v="201295559"/>
    <s v="Flores,Mar"/>
    <s v="Munoz,Jonan"/>
    <n v="0"/>
    <n v="0"/>
    <n v="0"/>
    <n v="0"/>
    <n v="0.21"/>
    <e v="#N/A"/>
    <s v="maflorr"/>
  </r>
  <r>
    <x v="298"/>
    <x v="41"/>
    <s v="Admin/HR/IT"/>
    <s v="AMCARE NonOcc In"/>
    <s v="TEMP"/>
    <n v="201320536"/>
    <s v="Ibarra,Miguel"/>
    <s v="Piedra,Valentina"/>
    <n v="0"/>
    <n v="0"/>
    <n v="0"/>
    <n v="0"/>
    <n v="0.02"/>
    <e v="#N/A"/>
    <s v="ibalmigu"/>
  </r>
  <r>
    <x v="298"/>
    <x v="41"/>
    <s v="Admin/HR/IT"/>
    <s v="AMCARE NonOcc In"/>
    <s v="AMZN"/>
    <n v="201345774"/>
    <s v="Quijas,Jonathan"/>
    <s v="Corona Arriaga,Fernando"/>
    <n v="0"/>
    <n v="0"/>
    <n v="0"/>
    <n v="0"/>
    <n v="0.43"/>
    <e v="#N/A"/>
    <s v="jonquija"/>
  </r>
  <r>
    <x v="298"/>
    <x v="41"/>
    <s v="Admin/HR/IT"/>
    <s v="AMCARE NonOcc In"/>
    <s v="TEMP"/>
    <n v="201880542"/>
    <s v="ORTIZ,CORPUS"/>
    <s v="Bueno Mendoza,Susana"/>
    <n v="0"/>
    <n v="0"/>
    <n v="0"/>
    <n v="0"/>
    <n v="0.43"/>
    <e v="#N/A"/>
    <s v="orticorp"/>
  </r>
  <r>
    <x v="298"/>
    <x v="41"/>
    <s v="Admin/HR/IT"/>
    <s v="AMCARE NonOcc In"/>
    <s v="TEMP"/>
    <n v="201882567"/>
    <s v="Valtierra,Salvador"/>
    <s v="Corona Arriaga,Fernando"/>
    <n v="0"/>
    <n v="0"/>
    <n v="0"/>
    <n v="0"/>
    <n v="0.2"/>
    <e v="#N/A"/>
    <s v="valtsalv"/>
  </r>
  <r>
    <x v="298"/>
    <x v="41"/>
    <s v="Admin/HR/IT"/>
    <s v="AMCARE NonOcc In"/>
    <s v="TEMP"/>
    <n v="201890790"/>
    <s v="Zuniga,Victor"/>
    <s v="Corona Arriaga,Fernando"/>
    <n v="0"/>
    <n v="0"/>
    <n v="0"/>
    <n v="0"/>
    <n v="0.26"/>
    <e v="#N/A"/>
    <s v="vicxzuni"/>
  </r>
  <r>
    <x v="298"/>
    <x v="41"/>
    <s v="Admin/HR/IT"/>
    <s v="AMCARE NonOcc In"/>
    <s v="TEMP"/>
    <n v="201892022"/>
    <s v="Silva,Karla"/>
    <s v="Manzanares Navarro,Sandra"/>
    <n v="0"/>
    <n v="0"/>
    <n v="0"/>
    <n v="0"/>
    <n v="0.66"/>
    <e v="#N/A"/>
    <s v="karlawsi"/>
  </r>
  <r>
    <x v="298"/>
    <x v="41"/>
    <s v="Admin/HR/IT"/>
    <s v="AMCARE NonOcc In"/>
    <s v="TEMP"/>
    <n v="201901967"/>
    <s v="Dominguez,Diana"/>
    <s v="Manzanares Navarro,Sandra"/>
    <n v="0"/>
    <n v="0"/>
    <n v="0"/>
    <n v="0"/>
    <n v="0.16"/>
    <e v="#N/A"/>
    <s v="ndomindi"/>
  </r>
  <r>
    <x v="298"/>
    <x v="41"/>
    <s v="Admin/HR/IT"/>
    <s v="AMCARE NonOcc In"/>
    <s v="TEMP"/>
    <n v="202103139"/>
    <s v="Luna,Fernanda"/>
    <s v="Romero Sanchez,Gustavo Gabriel"/>
    <n v="0"/>
    <n v="0"/>
    <n v="0"/>
    <n v="0"/>
    <n v="0.27"/>
    <e v="#N/A"/>
    <s v="lunaferz"/>
  </r>
  <r>
    <x v="298"/>
    <x v="41"/>
    <s v="Admin/HR/IT"/>
    <s v="AMCARE NonOcc In"/>
    <s v="TEMP"/>
    <n v="202117420"/>
    <s v="Cervera,Israel"/>
    <s v="Manzanares Navarro,Sandra"/>
    <n v="0"/>
    <n v="0"/>
    <n v="0"/>
    <n v="0"/>
    <n v="0.21"/>
    <e v="#N/A"/>
    <s v="iscerver"/>
  </r>
  <r>
    <x v="298"/>
    <x v="41"/>
    <s v="Admin/HR/IT"/>
    <s v="AMCARE NonOcc In"/>
    <s v="TEMP"/>
    <n v="202213411"/>
    <s v="Vela,Jose"/>
    <s v="Rosas Negrete,Sebastian"/>
    <n v="0"/>
    <n v="0"/>
    <n v="0"/>
    <n v="0"/>
    <n v="0.95"/>
    <e v="#N/A"/>
    <s v="uveljose"/>
  </r>
  <r>
    <x v="298"/>
    <x v="41"/>
    <s v="Admin/HR/IT"/>
    <s v="AMCARE NonOcc In"/>
    <s v="TEMP"/>
    <n v="202287922"/>
    <s v="Andrade,Gema"/>
    <s v="Porcar Guri,Albert"/>
    <n v="0"/>
    <n v="0"/>
    <n v="0"/>
    <n v="0"/>
    <n v="0.23"/>
    <e v="#N/A"/>
    <s v="gemandra"/>
  </r>
  <r>
    <x v="299"/>
    <x v="41"/>
    <s v="Admin/HR/IT"/>
    <s v="AMCARE NonOcc In"/>
    <s v="AMZN"/>
    <n v="112912054"/>
    <s v="Rivera Ramirez,Jorge"/>
    <s v="Porcar Guri,Albert"/>
    <n v="0"/>
    <n v="0"/>
    <n v="0"/>
    <n v="0"/>
    <n v="0.19"/>
    <s v="DB-X0700"/>
    <s v="privejor"/>
  </r>
  <r>
    <x v="299"/>
    <x v="41"/>
    <s v="Admin/HR/IT"/>
    <s v="AMCARE NonOcc In"/>
    <s v="TEMP"/>
    <n v="112971933"/>
    <s v="Rodriguez Vazquez,Cris"/>
    <s v="Hernandez,Nataly"/>
    <n v="0"/>
    <n v="0"/>
    <n v="0"/>
    <n v="0"/>
    <n v="0.44"/>
    <s v="DB-X0700"/>
    <s v="rodchrif"/>
  </r>
  <r>
    <x v="299"/>
    <x v="41"/>
    <s v="Admin/HR/IT"/>
    <s v="AMCARE NonOcc In"/>
    <s v="AMZN"/>
    <n v="112971962"/>
    <s v="Reyes  Montes de oca,Alejandra"/>
    <s v="Romero Sanchez,Gustavo Gabriel"/>
    <n v="0"/>
    <n v="0"/>
    <n v="0"/>
    <n v="0"/>
    <n v="0.79"/>
    <s v="DB-X0700"/>
    <s v="creyesal"/>
  </r>
  <r>
    <x v="299"/>
    <x v="41"/>
    <s v="Admin/HR/IT"/>
    <s v="AMCARE NonOcc In"/>
    <s v="AMZN"/>
    <n v="112973049"/>
    <s v="Tavares Parra,Ely"/>
    <s v="Piedra,Valentina"/>
    <n v="0"/>
    <n v="0"/>
    <n v="0"/>
    <n v="0"/>
    <n v="0.71"/>
    <s v="DB-X0700"/>
    <s v="afatimae"/>
  </r>
  <r>
    <x v="299"/>
    <x v="41"/>
    <s v="Admin/HR/IT"/>
    <s v="AMCARE NonOcc In"/>
    <s v="TEMP"/>
    <n v="113014081"/>
    <s v="Frausto,Genesis"/>
    <s v="Porcar Guri,Albert"/>
    <n v="0"/>
    <n v="0"/>
    <n v="0"/>
    <n v="0"/>
    <n v="0.2"/>
    <e v="#N/A"/>
    <s v="fraugene"/>
  </r>
  <r>
    <x v="299"/>
    <x v="41"/>
    <s v="Admin/HR/IT"/>
    <s v="AMCARE NonOcc In"/>
    <s v="AMZN"/>
    <n v="200514421"/>
    <s v="Padilla Abrego,Angeles"/>
    <s v="Munoz,Jonan"/>
    <n v="0"/>
    <n v="0"/>
    <n v="0"/>
    <n v="0"/>
    <n v="0.2"/>
    <e v="#N/A"/>
    <s v="padillms"/>
  </r>
  <r>
    <x v="299"/>
    <x v="41"/>
    <s v="Admin/HR/IT"/>
    <s v="AMCARE NonOcc In"/>
    <s v="AMZN"/>
    <n v="201185653"/>
    <s v="Lopez,Mine"/>
    <s v="Piedra,Valentina"/>
    <n v="0"/>
    <n v="0"/>
    <n v="0"/>
    <n v="0"/>
    <n v="0.17"/>
    <e v="#N/A"/>
    <s v="luisamin"/>
  </r>
  <r>
    <x v="299"/>
    <x v="41"/>
    <s v="Admin/HR/IT"/>
    <s v="AMCARE NonOcc In"/>
    <s v="AMZN"/>
    <n v="201191198"/>
    <s v="Mojica,Emmanuel"/>
    <s v="Piedra,Valentina"/>
    <n v="0"/>
    <n v="0"/>
    <n v="0"/>
    <n v="0"/>
    <n v="1.07"/>
    <e v="#N/A"/>
    <s v="mojicemm"/>
  </r>
  <r>
    <x v="299"/>
    <x v="41"/>
    <s v="Admin/HR/IT"/>
    <s v="AMCARE NonOcc In"/>
    <s v="AMZN"/>
    <n v="201191390"/>
    <s v="GarcÃ­a,jesus"/>
    <s v="Romero Sanchez,Gustavo Gabriel"/>
    <n v="0"/>
    <n v="0"/>
    <n v="0"/>
    <n v="0"/>
    <n v="1.07"/>
    <e v="#N/A"/>
    <s v="bgajesus"/>
  </r>
  <r>
    <x v="299"/>
    <x v="41"/>
    <s v="Admin/HR/IT"/>
    <s v="AMCARE NonOcc In"/>
    <s v="AMZN"/>
    <n v="201353085"/>
    <s v="Garcia,Elva"/>
    <s v="Rosas Negrete,Sebastian"/>
    <n v="0"/>
    <n v="0"/>
    <n v="0"/>
    <n v="0"/>
    <n v="0.22"/>
    <e v="#N/A"/>
    <s v="lelvgarc"/>
  </r>
  <r>
    <x v="299"/>
    <x v="41"/>
    <s v="Admin/HR/IT"/>
    <s v="AMCARE NonOcc In"/>
    <s v="TEMP"/>
    <n v="201835860"/>
    <s v="Urrutia,Oscar"/>
    <s v="Romero Sanchez,Gustavo Gabriel"/>
    <n v="0"/>
    <n v="0"/>
    <n v="0"/>
    <n v="0"/>
    <n v="0.6"/>
    <e v="#N/A"/>
    <s v="urroscae"/>
  </r>
  <r>
    <x v="299"/>
    <x v="41"/>
    <s v="Admin/HR/IT"/>
    <s v="AMCARE NonOcc In"/>
    <s v="TEMP"/>
    <n v="202062181"/>
    <s v="Trejo,Luis"/>
    <s v="Rosas Negrete,Sebastian"/>
    <n v="0"/>
    <n v="0"/>
    <n v="0"/>
    <n v="0"/>
    <n v="0.24"/>
    <e v="#N/A"/>
    <s v="xlutrejo"/>
  </r>
  <r>
    <x v="299"/>
    <x v="41"/>
    <s v="Admin/HR/IT"/>
    <s v="AMCARE NonOcc In"/>
    <s v="TEMP"/>
    <n v="202081087"/>
    <s v="Martinez,Lilian"/>
    <s v="Cortes,Alejandra"/>
    <n v="0"/>
    <n v="0"/>
    <n v="0"/>
    <n v="0"/>
    <n v="0.23"/>
    <e v="#N/A"/>
    <s v="rlimarti"/>
  </r>
  <r>
    <x v="299"/>
    <x v="41"/>
    <s v="Admin/HR/IT"/>
    <s v="AMCARE NonOcc In"/>
    <s v="TEMP"/>
    <n v="202084638"/>
    <s v="HernÃ¡ndez,Juan"/>
    <s v="Corona Arriaga,Fernando"/>
    <n v="0"/>
    <n v="0"/>
    <n v="0"/>
    <n v="0"/>
    <n v="0.82"/>
    <e v="#N/A"/>
    <s v="ehejuan"/>
  </r>
  <r>
    <x v="299"/>
    <x v="41"/>
    <s v="Admin/HR/IT"/>
    <s v="AMCARE NonOcc In"/>
    <s v="TEMP"/>
    <n v="202117420"/>
    <s v="Cervera,Israel"/>
    <s v="Manzanares Navarro,Sandra"/>
    <n v="0"/>
    <n v="0"/>
    <n v="0"/>
    <n v="0"/>
    <n v="0.18"/>
    <e v="#N/A"/>
    <s v="iscerver"/>
  </r>
  <r>
    <x v="299"/>
    <x v="41"/>
    <s v="Admin/HR/IT"/>
    <s v="AMCARE NonOcc In"/>
    <s v="TEMP"/>
    <n v="202120444"/>
    <s v="Hernandez,Alondra"/>
    <s v="Cortes,Alejandra"/>
    <n v="0"/>
    <n v="0"/>
    <n v="0"/>
    <n v="0"/>
    <n v="0.47"/>
    <e v="#N/A"/>
    <s v="yhernalo"/>
  </r>
  <r>
    <x v="299"/>
    <x v="41"/>
    <s v="Admin/HR/IT"/>
    <s v="AMCARE NonOcc In"/>
    <s v="TEMP"/>
    <n v="202165115"/>
    <s v="Bermudez,Giovanni"/>
    <s v="Munoz,Jonan"/>
    <n v="0"/>
    <n v="0"/>
    <n v="0"/>
    <n v="0"/>
    <n v="0.36"/>
    <e v="#N/A"/>
    <s v="giogberm"/>
  </r>
  <r>
    <x v="299"/>
    <x v="41"/>
    <s v="Admin/HR/IT"/>
    <s v="AMCARE NonOcc In"/>
    <s v="TEMP"/>
    <n v="202165242"/>
    <s v="Gonzalez,Marco"/>
    <s v="Munoz,Jonan"/>
    <n v="0"/>
    <n v="0"/>
    <n v="0"/>
    <n v="0"/>
    <n v="1.32"/>
    <e v="#N/A"/>
    <s v="marcqgon"/>
  </r>
  <r>
    <x v="299"/>
    <x v="41"/>
    <s v="Admin/HR/IT"/>
    <s v="AMCARE NonOcc In"/>
    <s v="TEMP"/>
    <n v="202185231"/>
    <s v="VÃ¡zquez,Daniela"/>
    <s v="Piedra,Valentina"/>
    <n v="0"/>
    <n v="0"/>
    <n v="0"/>
    <n v="0"/>
    <n v="0.36"/>
    <e v="#N/A"/>
    <s v="davazquq"/>
  </r>
  <r>
    <x v="299"/>
    <x v="41"/>
    <s v="Admin/HR/IT"/>
    <s v="AMCARE NonOcc In"/>
    <s v="TEMP"/>
    <n v="202238732"/>
    <s v="Ponc,Diana"/>
    <s v="Pizana,Diego"/>
    <n v="0"/>
    <n v="0"/>
    <n v="0"/>
    <n v="0"/>
    <n v="0.4"/>
    <e v="#N/A"/>
    <s v="wdianapo"/>
  </r>
  <r>
    <x v="299"/>
    <x v="41"/>
    <s v="Admin/HR/IT"/>
    <s v="AMCARE NonOcc In"/>
    <s v="TEMP"/>
    <n v="202287945"/>
    <s v="Lara,Ricardo"/>
    <s v="Pizana,Diego"/>
    <n v="0"/>
    <n v="0"/>
    <n v="0"/>
    <n v="0"/>
    <n v="0.3"/>
    <e v="#N/A"/>
    <s v="ricblara"/>
  </r>
  <r>
    <x v="299"/>
    <x v="41"/>
    <s v="Admin/HR/IT"/>
    <s v="AMCARE NonOcc In"/>
    <s v="TEMP"/>
    <n v="202291384"/>
    <s v="Vela,Sergio"/>
    <s v="Romero Sanchez,Gustavo Gabriel"/>
    <n v="0"/>
    <n v="0"/>
    <n v="0"/>
    <n v="0"/>
    <n v="0.19"/>
    <e v="#N/A"/>
    <s v="servelaj"/>
  </r>
  <r>
    <x v="299"/>
    <x v="41"/>
    <s v="Admin/HR/IT"/>
    <s v="AMCARE NonOcc In"/>
    <s v="TEMP"/>
    <n v="202304940"/>
    <s v="Jasso,Lily"/>
    <s v="Rosas Negrete,Sebastian"/>
    <n v="0"/>
    <n v="0"/>
    <n v="0"/>
    <n v="0"/>
    <n v="1.01"/>
    <e v="#N/A"/>
    <s v="jaslilyz"/>
  </r>
  <r>
    <x v="299"/>
    <x v="41"/>
    <s v="Admin/HR/IT"/>
    <s v="AMCARE NonOcc In"/>
    <s v="TEMP"/>
    <n v="202334920"/>
    <s v="Ramirez,Rocio"/>
    <s v="Piedra,Valentina"/>
    <n v="0"/>
    <n v="0"/>
    <n v="0"/>
    <n v="0"/>
    <n v="1.1200000000000001"/>
    <e v="#N/A"/>
    <s v="uroramir"/>
  </r>
  <r>
    <x v="299"/>
    <x v="41"/>
    <s v="Admin/HR/IT"/>
    <s v="AMCARE NonOcc In"/>
    <s v="TEMP"/>
    <n v="202369419"/>
    <s v="Fabian,Ary"/>
    <s v="Romero Sanchez,Gustavo Gabriel"/>
    <n v="0"/>
    <n v="0"/>
    <n v="0"/>
    <n v="0"/>
    <n v="0.14000000000000001"/>
    <e v="#N/A"/>
    <s v="afabianx"/>
  </r>
  <r>
    <x v="299"/>
    <x v="41"/>
    <s v="Admin/HR/IT"/>
    <s v="AMCARE Occ In"/>
    <s v="TEMP"/>
    <n v="202129214"/>
    <s v="Zuniga,Isaac"/>
    <s v="Manzanares Navarro,Sandra"/>
    <n v="0"/>
    <n v="0"/>
    <n v="0"/>
    <n v="0"/>
    <n v="1.35"/>
    <e v="#N/A"/>
    <s v="isafzuni"/>
  </r>
  <r>
    <x v="300"/>
    <x v="41"/>
    <s v="Admin/HR/IT"/>
    <s v="AMCARE NonOcc In"/>
    <s v="AMZN"/>
    <n v="112971962"/>
    <s v="Reyes  Montes de oca,Alejandra"/>
    <s v="Romero Sanchez,Gustavo Gabriel"/>
    <n v="0"/>
    <n v="0"/>
    <n v="0"/>
    <n v="0"/>
    <n v="0.55000000000000004"/>
    <s v="DB-X0700"/>
    <s v="creyesal"/>
  </r>
  <r>
    <x v="300"/>
    <x v="41"/>
    <s v="Admin/HR/IT"/>
    <s v="AMCARE NonOcc In"/>
    <s v="AMZN"/>
    <n v="112973049"/>
    <s v="Tavares Parra,Ely"/>
    <s v="Piedra,Valentina"/>
    <n v="0"/>
    <n v="0"/>
    <n v="0"/>
    <n v="0"/>
    <n v="0.99"/>
    <s v="DB-X0700"/>
    <s v="afatimae"/>
  </r>
  <r>
    <x v="300"/>
    <x v="41"/>
    <s v="Admin/HR/IT"/>
    <s v="AMCARE NonOcc In"/>
    <s v="AMZN"/>
    <n v="112980812"/>
    <s v="Jacobo,Mary"/>
    <s v="Bueno Mendoza,Susana"/>
    <n v="0"/>
    <n v="0"/>
    <n v="0"/>
    <n v="0"/>
    <n v="1.19"/>
    <s v="DA-X0700"/>
    <s v="maryjacp"/>
  </r>
  <r>
    <x v="300"/>
    <x v="41"/>
    <s v="Admin/HR/IT"/>
    <s v="AMCARE NonOcc In"/>
    <s v="AMZN"/>
    <n v="113003656"/>
    <s v="Argote,Enrique"/>
    <s v="Munoz,Jonan"/>
    <n v="0"/>
    <n v="0"/>
    <n v="0"/>
    <n v="0"/>
    <n v="0.69"/>
    <e v="#N/A"/>
    <s v="uargoten"/>
  </r>
  <r>
    <x v="300"/>
    <x v="41"/>
    <s v="Admin/HR/IT"/>
    <s v="AMCARE NonOcc In"/>
    <s v="TEMP"/>
    <n v="113014081"/>
    <s v="Frausto,Genesis"/>
    <s v="Porcar Guri,Albert"/>
    <n v="0"/>
    <n v="0"/>
    <n v="0"/>
    <n v="0"/>
    <n v="1.57"/>
    <e v="#N/A"/>
    <s v="fraugene"/>
  </r>
  <r>
    <x v="300"/>
    <x v="41"/>
    <s v="Admin/HR/IT"/>
    <s v="AMCARE NonOcc In"/>
    <s v="TEMP"/>
    <n v="200609384"/>
    <s v="HernÃ¡ndez,Gisela"/>
    <s v="Piedra,Valentina"/>
    <n v="0"/>
    <n v="0"/>
    <n v="0"/>
    <n v="0"/>
    <n v="0.08"/>
    <e v="#N/A"/>
    <s v="ohergise"/>
  </r>
  <r>
    <x v="300"/>
    <x v="41"/>
    <s v="Admin/HR/IT"/>
    <s v="AMCARE NonOcc In"/>
    <s v="AMZN"/>
    <n v="201191390"/>
    <s v="GarcÃ­a,jesus"/>
    <s v="Romero Sanchez,Gustavo Gabriel"/>
    <n v="0"/>
    <n v="0"/>
    <n v="0"/>
    <n v="0"/>
    <n v="0.77"/>
    <e v="#N/A"/>
    <s v="bgajesus"/>
  </r>
  <r>
    <x v="300"/>
    <x v="41"/>
    <s v="Admin/HR/IT"/>
    <s v="AMCARE NonOcc In"/>
    <s v="TEMP"/>
    <n v="201221772"/>
    <s v="Olmos,Dari"/>
    <s v="Munoz,Jonan"/>
    <n v="0"/>
    <n v="0"/>
    <n v="0"/>
    <n v="0"/>
    <n v="1.62"/>
    <e v="#N/A"/>
    <s v="godariah"/>
  </r>
  <r>
    <x v="300"/>
    <x v="41"/>
    <s v="Admin/HR/IT"/>
    <s v="AMCARE NonOcc In"/>
    <s v="AMZN"/>
    <n v="201294058"/>
    <s v="Alvarez,Erika"/>
    <s v="Bueno Mendoza,Susana"/>
    <n v="0"/>
    <n v="0"/>
    <n v="0"/>
    <n v="0"/>
    <n v="0.24"/>
    <e v="#N/A"/>
    <s v="alerikat"/>
  </r>
  <r>
    <x v="300"/>
    <x v="41"/>
    <s v="Admin/HR/IT"/>
    <s v="AMCARE NonOcc In"/>
    <s v="TEMP"/>
    <n v="201858867"/>
    <s v="Cruz Velazquez,Gabriela"/>
    <s v="Piedra,Valentina"/>
    <n v="0"/>
    <n v="0"/>
    <n v="0"/>
    <n v="0"/>
    <n v="0.76"/>
    <e v="#N/A"/>
    <s v="tcruzvel"/>
  </r>
  <r>
    <x v="300"/>
    <x v="41"/>
    <s v="Admin/HR/IT"/>
    <s v="AMCARE NonOcc In"/>
    <s v="TEMP"/>
    <n v="201903097"/>
    <s v="Oliva,Montserrat"/>
    <s v="Piedra,Valentina"/>
    <n v="0"/>
    <n v="0"/>
    <n v="0"/>
    <n v="0"/>
    <n v="0.69"/>
    <e v="#N/A"/>
    <s v="montoliy"/>
  </r>
  <r>
    <x v="300"/>
    <x v="41"/>
    <s v="Admin/HR/IT"/>
    <s v="AMCARE NonOcc In"/>
    <s v="TEMP"/>
    <n v="202117420"/>
    <s v="Cervera,Israel"/>
    <s v="Manzanares Navarro,Sandra"/>
    <n v="0"/>
    <n v="0"/>
    <n v="0"/>
    <n v="0"/>
    <n v="0.34"/>
    <e v="#N/A"/>
    <s v="iscerver"/>
  </r>
  <r>
    <x v="300"/>
    <x v="41"/>
    <s v="Admin/HR/IT"/>
    <s v="AMCARE NonOcc In"/>
    <s v="TEMP"/>
    <n v="202120077"/>
    <s v="Aguilar,Mauricio"/>
    <s v="Cortes,Alejandra"/>
    <n v="0"/>
    <n v="0"/>
    <n v="0"/>
    <n v="0"/>
    <n v="0.25"/>
    <e v="#N/A"/>
    <s v="mauaguid"/>
  </r>
  <r>
    <x v="300"/>
    <x v="41"/>
    <s v="Admin/HR/IT"/>
    <s v="AMCARE NonOcc In"/>
    <s v="TEMP"/>
    <n v="202120444"/>
    <s v="Hernandez,Alondra"/>
    <s v="Cortes,Alejandra"/>
    <n v="0"/>
    <n v="0"/>
    <n v="0"/>
    <n v="0"/>
    <n v="17.03"/>
    <e v="#N/A"/>
    <s v="yhernalo"/>
  </r>
  <r>
    <x v="300"/>
    <x v="41"/>
    <s v="Admin/HR/IT"/>
    <s v="AMCARE NonOcc In"/>
    <s v="TEMP"/>
    <n v="202129214"/>
    <s v="Zuniga,Isaac"/>
    <s v="Manzanares Navarro,Sandra"/>
    <n v="0"/>
    <n v="0"/>
    <n v="0"/>
    <n v="0"/>
    <n v="1.98"/>
    <e v="#N/A"/>
    <s v="isafzuni"/>
  </r>
  <r>
    <x v="300"/>
    <x v="41"/>
    <s v="Admin/HR/IT"/>
    <s v="AMCARE NonOcc In"/>
    <s v="TEMP"/>
    <n v="202133678"/>
    <s v="Sanchez,Daniel"/>
    <s v="Pizana,Diego"/>
    <n v="0"/>
    <n v="0"/>
    <n v="0"/>
    <n v="0"/>
    <n v="0.44"/>
    <e v="#N/A"/>
    <s v="sdanieq"/>
  </r>
  <r>
    <x v="300"/>
    <x v="41"/>
    <s v="Admin/HR/IT"/>
    <s v="AMCARE NonOcc In"/>
    <s v="TEMP"/>
    <n v="202137341"/>
    <s v="Bravo,Edgar"/>
    <s v="Rosas Negrete,Sebastian"/>
    <n v="0"/>
    <n v="0"/>
    <n v="0"/>
    <n v="0"/>
    <n v="0.11"/>
    <e v="#N/A"/>
    <s v="xedgabra"/>
  </r>
  <r>
    <x v="300"/>
    <x v="41"/>
    <s v="Admin/HR/IT"/>
    <s v="AMCARE NonOcc In"/>
    <s v="TEMP"/>
    <n v="202159550"/>
    <s v="Mora,Isabel"/>
    <s v="Piedra,Valentina"/>
    <n v="0"/>
    <n v="0"/>
    <n v="0"/>
    <n v="0"/>
    <n v="0.28000000000000003"/>
    <e v="#N/A"/>
    <s v="eisabmor"/>
  </r>
  <r>
    <x v="300"/>
    <x v="41"/>
    <s v="Admin/HR/IT"/>
    <s v="AMCARE NonOcc In"/>
    <s v="TEMP"/>
    <n v="202165242"/>
    <s v="Gonzalez,Marco"/>
    <s v="Munoz,Jonan"/>
    <n v="0"/>
    <n v="0"/>
    <n v="0"/>
    <n v="0"/>
    <n v="1.03"/>
    <e v="#N/A"/>
    <s v="marcqgon"/>
  </r>
  <r>
    <x v="300"/>
    <x v="41"/>
    <s v="Admin/HR/IT"/>
    <s v="AMCARE NonOcc In"/>
    <s v="TEMP"/>
    <n v="202166026"/>
    <s v="Mares,Ana"/>
    <s v="Bueno Mendoza,Susana"/>
    <n v="0"/>
    <n v="0"/>
    <n v="0"/>
    <n v="0"/>
    <n v="1.08"/>
    <e v="#N/A"/>
    <e v="#N/A"/>
  </r>
  <r>
    <x v="300"/>
    <x v="41"/>
    <s v="Admin/HR/IT"/>
    <s v="AMCARE NonOcc In"/>
    <s v="TEMP"/>
    <n v="202167572"/>
    <s v="Castillo,Ana"/>
    <s v="Piedra,Valentina"/>
    <n v="0"/>
    <n v="0"/>
    <n v="0"/>
    <n v="0"/>
    <n v="0.61"/>
    <e v="#N/A"/>
    <s v="anacastf"/>
  </r>
  <r>
    <x v="300"/>
    <x v="41"/>
    <s v="Admin/HR/IT"/>
    <s v="AMCARE NonOcc In"/>
    <s v="TEMP"/>
    <n v="202209099"/>
    <s v="Vargas,Leo"/>
    <s v="Piedra,Valentina"/>
    <n v="0"/>
    <n v="0"/>
    <n v="0"/>
    <n v="0"/>
    <n v="1.61"/>
    <e v="#N/A"/>
    <s v="vargaul"/>
  </r>
  <r>
    <x v="300"/>
    <x v="41"/>
    <s v="Admin/HR/IT"/>
    <s v="AMCARE NonOcc In"/>
    <s v="TEMP"/>
    <n v="202227928"/>
    <s v="Mares,Pablo"/>
    <s v="Romero Sanchez,Gustavo Gabriel"/>
    <n v="0"/>
    <n v="0"/>
    <n v="0"/>
    <n v="0"/>
    <n v="0.88"/>
    <e v="#N/A"/>
    <s v="fpablmar"/>
  </r>
  <r>
    <x v="300"/>
    <x v="41"/>
    <s v="Admin/HR/IT"/>
    <s v="AMCARE NonOcc In"/>
    <s v="TEMP"/>
    <n v="202235589"/>
    <s v="Cienega,Fatima"/>
    <s v="Romero Sanchez,Gustavo Gabriel"/>
    <n v="0"/>
    <n v="0"/>
    <n v="0"/>
    <n v="0"/>
    <n v="0.33"/>
    <e v="#N/A"/>
    <s v="fatimci"/>
  </r>
  <r>
    <x v="300"/>
    <x v="41"/>
    <s v="Admin/HR/IT"/>
    <s v="AMCARE NonOcc In"/>
    <s v="TEMP"/>
    <n v="202291219"/>
    <s v="Aguilar,Carlos"/>
    <s v="Piedra,Valentina"/>
    <n v="0"/>
    <n v="0"/>
    <n v="0"/>
    <n v="0"/>
    <n v="0.24"/>
    <e v="#N/A"/>
    <s v="yaguicar"/>
  </r>
  <r>
    <x v="300"/>
    <x v="41"/>
    <s v="Admin/HR/IT"/>
    <s v="AMCARE NonOcc In"/>
    <s v="TEMP"/>
    <n v="202291384"/>
    <s v="Vela,Sergio"/>
    <s v="Romero Sanchez,Gustavo Gabriel"/>
    <n v="0"/>
    <n v="0"/>
    <n v="0"/>
    <n v="0"/>
    <n v="0.49"/>
    <e v="#N/A"/>
    <s v="servelaj"/>
  </r>
  <r>
    <x v="300"/>
    <x v="41"/>
    <s v="Admin/HR/IT"/>
    <s v="AMCARE NonOcc In"/>
    <s v="TEMP"/>
    <n v="202291460"/>
    <s v="Ornelas,Ana"/>
    <s v="Corona Arriaga,Fernando"/>
    <n v="0"/>
    <n v="0"/>
    <n v="0"/>
    <n v="0"/>
    <n v="0.47"/>
    <e v="#N/A"/>
    <s v="anaornev"/>
  </r>
  <r>
    <x v="300"/>
    <x v="41"/>
    <s v="Admin/HR/IT"/>
    <s v="AMCARE NonOcc In"/>
    <s v="TEMP"/>
    <n v="202341246"/>
    <s v="Loera,Sofia"/>
    <s v="Romero Sanchez,Gustavo Gabriel"/>
    <n v="0"/>
    <n v="0"/>
    <n v="0"/>
    <n v="0"/>
    <n v="7.95"/>
    <e v="#N/A"/>
    <s v="sofiawlo"/>
  </r>
  <r>
    <x v="300"/>
    <x v="41"/>
    <s v="Admin/HR/IT"/>
    <s v="AMCARE NonOcc In"/>
    <s v="TEMP"/>
    <n v="202353921"/>
    <s v="Arechar Ortiz,Lindi Noemi"/>
    <s v="Corona Arriaga,Fernando"/>
    <n v="0"/>
    <n v="0"/>
    <n v="0"/>
    <n v="0"/>
    <n v="0.25"/>
    <e v="#N/A"/>
    <s v="lindinoe"/>
  </r>
  <r>
    <x v="301"/>
    <x v="41"/>
    <s v="Admin/HR/IT"/>
    <s v="AMCARE NonOcc In"/>
    <s v="AMZN"/>
    <n v="112971962"/>
    <s v="Reyes  Montes de oca,Alejandra"/>
    <s v="Romero Sanchez,Gustavo Gabriel"/>
    <n v="0"/>
    <n v="0"/>
    <n v="0"/>
    <n v="0"/>
    <n v="0.64"/>
    <s v="DB-X0700"/>
    <s v="creyesal"/>
  </r>
  <r>
    <x v="301"/>
    <x v="41"/>
    <s v="Admin/HR/IT"/>
    <s v="AMCARE NonOcc In"/>
    <s v="AMZN"/>
    <n v="112972215"/>
    <s v="Cruz,Ana"/>
    <s v="Romero Sanchez,Gustavo Gabriel"/>
    <n v="0"/>
    <n v="0"/>
    <n v="0"/>
    <n v="0"/>
    <n v="0.28000000000000003"/>
    <s v="DB-X0700"/>
    <s v="cruzbana"/>
  </r>
  <r>
    <x v="301"/>
    <x v="41"/>
    <s v="Admin/HR/IT"/>
    <s v="AMCARE NonOcc In"/>
    <s v="AMZN"/>
    <n v="112973049"/>
    <s v="Tavares Parra,Ely"/>
    <s v="Piedra,Valentina"/>
    <n v="0"/>
    <n v="0"/>
    <n v="0"/>
    <n v="0"/>
    <n v="0.15"/>
    <s v="DB-X0700"/>
    <s v="afatimae"/>
  </r>
  <r>
    <x v="301"/>
    <x v="41"/>
    <s v="Admin/HR/IT"/>
    <s v="AMCARE NonOcc In"/>
    <s v="AMZN"/>
    <n v="113003510"/>
    <s v="PÃ©rez MÃ©ndez,Cecy"/>
    <s v="Munoz,Jonan"/>
    <n v="0"/>
    <n v="0"/>
    <n v="0"/>
    <n v="0"/>
    <n v="0.26"/>
    <e v="#N/A"/>
    <s v="nperezmc"/>
  </r>
  <r>
    <x v="301"/>
    <x v="41"/>
    <s v="Admin/HR/IT"/>
    <s v="AMCARE NonOcc In"/>
    <s v="AMZN"/>
    <n v="201219500"/>
    <s v="Mazy,RamsÃ©s"/>
    <s v="Piedra,Valentina"/>
    <n v="0"/>
    <n v="0"/>
    <n v="0"/>
    <n v="0"/>
    <n v="1.17"/>
    <e v="#N/A"/>
    <s v="ramsmazy"/>
  </r>
  <r>
    <x v="301"/>
    <x v="41"/>
    <s v="Admin/HR/IT"/>
    <s v="AMCARE NonOcc In"/>
    <s v="TEMP"/>
    <n v="201320536"/>
    <s v="Ibarra,Miguel"/>
    <s v="Piedra,Valentina"/>
    <n v="0"/>
    <n v="0"/>
    <n v="0"/>
    <n v="0"/>
    <n v="0.28999999999999998"/>
    <e v="#N/A"/>
    <s v="ibalmigu"/>
  </r>
  <r>
    <x v="301"/>
    <x v="41"/>
    <s v="Admin/HR/IT"/>
    <s v="AMCARE NonOcc In"/>
    <s v="TEMP"/>
    <n v="201842064"/>
    <s v="Agripino,Andrea"/>
    <s v="Piedra,Valentina"/>
    <n v="0"/>
    <n v="0"/>
    <n v="0"/>
    <n v="0"/>
    <n v="0.67"/>
    <e v="#N/A"/>
    <s v="agriandl"/>
  </r>
  <r>
    <x v="301"/>
    <x v="41"/>
    <s v="Admin/HR/IT"/>
    <s v="AMCARE NonOcc In"/>
    <s v="TEMP"/>
    <n v="201903097"/>
    <s v="Oliva,Montserrat"/>
    <s v="Piedra,Valentina"/>
    <n v="0"/>
    <n v="0"/>
    <n v="0"/>
    <n v="0"/>
    <n v="0.21"/>
    <e v="#N/A"/>
    <s v="montoliy"/>
  </r>
  <r>
    <x v="301"/>
    <x v="41"/>
    <s v="Admin/HR/IT"/>
    <s v="AMCARE NonOcc In"/>
    <s v="TEMP"/>
    <n v="202081527"/>
    <s v="Martinez,Efren"/>
    <s v="Hernandez,Nataly"/>
    <n v="0"/>
    <n v="0"/>
    <n v="0"/>
    <n v="0"/>
    <n v="0.15"/>
    <e v="#N/A"/>
    <s v="efrmartw"/>
  </r>
  <r>
    <x v="301"/>
    <x v="41"/>
    <s v="Admin/HR/IT"/>
    <s v="AMCARE NonOcc In"/>
    <s v="TEMP"/>
    <n v="202117751"/>
    <s v="Romero,Jhonatan"/>
    <s v="Camarena,Grecia"/>
    <n v="0"/>
    <n v="0"/>
    <n v="0"/>
    <n v="0"/>
    <n v="0.75"/>
    <e v="#N/A"/>
    <s v="romejhon"/>
  </r>
  <r>
    <x v="301"/>
    <x v="41"/>
    <s v="Admin/HR/IT"/>
    <s v="AMCARE NonOcc In"/>
    <s v="TEMP"/>
    <n v="202118504"/>
    <s v="Guerrero,Alvaro"/>
    <s v="AlarcÃ³n,Irving"/>
    <n v="0"/>
    <n v="0"/>
    <n v="0"/>
    <n v="0"/>
    <n v="0.06"/>
    <e v="#N/A"/>
    <s v="guerialv"/>
  </r>
  <r>
    <x v="301"/>
    <x v="41"/>
    <s v="Admin/HR/IT"/>
    <s v="AMCARE NonOcc In"/>
    <s v="TEMP"/>
    <n v="202120444"/>
    <s v="Hernandez,Alondra"/>
    <s v="Camarena,Grecia"/>
    <n v="0"/>
    <n v="0"/>
    <n v="0"/>
    <n v="0"/>
    <n v="7.09"/>
    <e v="#N/A"/>
    <s v="yhernalo"/>
  </r>
  <r>
    <x v="301"/>
    <x v="41"/>
    <s v="Admin/HR/IT"/>
    <s v="AMCARE NonOcc In"/>
    <s v="TEMP"/>
    <n v="202165242"/>
    <s v="Gonzalez,Marco"/>
    <s v="Munoz,Jonan"/>
    <n v="0"/>
    <n v="0"/>
    <n v="0"/>
    <n v="0"/>
    <n v="0.06"/>
    <e v="#N/A"/>
    <s v="marcqgon"/>
  </r>
  <r>
    <x v="301"/>
    <x v="41"/>
    <s v="Admin/HR/IT"/>
    <s v="AMCARE NonOcc In"/>
    <s v="TEMP"/>
    <n v="202175671"/>
    <s v="Cruz,Lau"/>
    <s v="Munoz,Jonan"/>
    <n v="0"/>
    <n v="0"/>
    <n v="0"/>
    <n v="0"/>
    <n v="0.41"/>
    <e v="#N/A"/>
    <s v="laucruzc"/>
  </r>
  <r>
    <x v="301"/>
    <x v="41"/>
    <s v="Admin/HR/IT"/>
    <s v="AMCARE NonOcc In"/>
    <s v="TEMP"/>
    <n v="202219558"/>
    <s v="Cortes,Ricardo"/>
    <s v="Munoz,Jonan"/>
    <n v="0"/>
    <n v="0"/>
    <n v="0"/>
    <n v="0"/>
    <n v="0.55000000000000004"/>
    <e v="#N/A"/>
    <s v="ricaqcor"/>
  </r>
  <r>
    <x v="301"/>
    <x v="41"/>
    <s v="Admin/HR/IT"/>
    <s v="AMCARE NonOcc In"/>
    <s v="TEMP"/>
    <n v="202235589"/>
    <s v="Cienega,Fatima"/>
    <s v="Romero Sanchez,Gustavo Gabriel"/>
    <n v="0"/>
    <n v="0"/>
    <n v="0"/>
    <n v="0"/>
    <n v="0"/>
    <e v="#N/A"/>
    <s v="fatimci"/>
  </r>
  <r>
    <x v="301"/>
    <x v="41"/>
    <s v="Admin/HR/IT"/>
    <s v="AMCARE NonOcc In"/>
    <s v="TEMP"/>
    <n v="202291384"/>
    <s v="Vela,Sergio"/>
    <s v="Romero Sanchez,Gustavo Gabriel"/>
    <n v="0"/>
    <n v="0"/>
    <n v="0"/>
    <n v="0"/>
    <n v="3.04"/>
    <e v="#N/A"/>
    <s v="servelaj"/>
  </r>
  <r>
    <x v="301"/>
    <x v="41"/>
    <s v="Admin/HR/IT"/>
    <s v="AMCARE NonOcc In"/>
    <s v="TEMP"/>
    <n v="202341246"/>
    <s v="Loera,Sofia"/>
    <s v="Romero Sanchez,Gustavo Gabriel"/>
    <n v="0"/>
    <n v="0"/>
    <n v="0"/>
    <n v="0"/>
    <n v="1.97"/>
    <e v="#N/A"/>
    <s v="sofiawlo"/>
  </r>
  <r>
    <x v="301"/>
    <x v="41"/>
    <s v="Admin/HR/IT"/>
    <s v="AMCARE NonOcc In"/>
    <s v="TEMP"/>
    <n v="202353921"/>
    <s v="Arechar Ortiz,Lindi Noemi"/>
    <s v="Corona Arriaga,Fernando"/>
    <n v="0"/>
    <n v="0"/>
    <n v="0"/>
    <n v="0"/>
    <n v="0.19"/>
    <e v="#N/A"/>
    <s v="lindinoe"/>
  </r>
  <r>
    <x v="301"/>
    <x v="41"/>
    <s v="Admin/HR/IT"/>
    <s v="AMCARE NonOcc In"/>
    <s v="TEMP"/>
    <n v="202369419"/>
    <s v="Fabian,Ary"/>
    <s v="Romero Sanchez,Gustavo Gabriel"/>
    <n v="0"/>
    <n v="0"/>
    <n v="0"/>
    <n v="0"/>
    <n v="0.63"/>
    <e v="#N/A"/>
    <s v="afabianx"/>
  </r>
  <r>
    <x v="302"/>
    <x v="42"/>
    <s v="Admin/HR/IT"/>
    <s v="AMCARE NonOcc In"/>
    <s v="AMZN"/>
    <n v="112981014"/>
    <s v="Roldan Gutierrez,Pablo"/>
    <s v="Rosas Negrete,Sebastian"/>
    <n v="0"/>
    <n v="0"/>
    <n v="0"/>
    <n v="0"/>
    <n v="0.84"/>
    <s v="DJ-X0700"/>
    <s v="rpabloul"/>
  </r>
  <r>
    <x v="302"/>
    <x v="42"/>
    <s v="Admin/HR/IT"/>
    <s v="AMCARE NonOcc In"/>
    <s v="AMZN"/>
    <n v="112981061"/>
    <s v="Olguin,Claudia"/>
    <s v="Corona Arriaga,Fernando"/>
    <n v="0"/>
    <n v="0"/>
    <n v="0"/>
    <n v="0"/>
    <n v="0.28000000000000003"/>
    <s v="DA-X0700"/>
    <s v="mclaudol"/>
  </r>
  <r>
    <x v="302"/>
    <x v="42"/>
    <s v="Admin/HR/IT"/>
    <s v="AMCARE NonOcc In"/>
    <s v="AMZN"/>
    <n v="200404250"/>
    <s v="Hurtado,Caty"/>
    <s v="Corona Arriaga,Fernando"/>
    <n v="0"/>
    <n v="0"/>
    <n v="0"/>
    <n v="0"/>
    <n v="0.26"/>
    <e v="#N/A"/>
    <s v="xcathurt"/>
  </r>
  <r>
    <x v="302"/>
    <x v="42"/>
    <s v="Admin/HR/IT"/>
    <s v="AMCARE NonOcc In"/>
    <s v="AMZN"/>
    <n v="201353085"/>
    <s v="Garcia,Elva"/>
    <s v="Rosas Negrete,Sebastian"/>
    <n v="0"/>
    <n v="0"/>
    <n v="0"/>
    <n v="0"/>
    <n v="0.14000000000000001"/>
    <e v="#N/A"/>
    <s v="lelvgarc"/>
  </r>
  <r>
    <x v="302"/>
    <x v="42"/>
    <s v="Admin/HR/IT"/>
    <s v="AMCARE NonOcc In"/>
    <s v="TEMP"/>
    <n v="201880542"/>
    <s v="ORTIZ,CORPUS"/>
    <s v="Bueno Mendoza,Susana"/>
    <n v="0"/>
    <n v="0"/>
    <n v="0"/>
    <n v="0"/>
    <n v="0.26"/>
    <e v="#N/A"/>
    <s v="orticorp"/>
  </r>
  <r>
    <x v="302"/>
    <x v="42"/>
    <s v="Admin/HR/IT"/>
    <s v="AMCARE NonOcc In"/>
    <s v="TEMP"/>
    <n v="202063545"/>
    <s v="GarcÃ­a,Ana"/>
    <s v="Rosas Negrete,Sebastian"/>
    <n v="0"/>
    <n v="0"/>
    <n v="0"/>
    <n v="0"/>
    <n v="1.49"/>
    <e v="#N/A"/>
    <s v="angarcz"/>
  </r>
  <r>
    <x v="302"/>
    <x v="42"/>
    <s v="Admin/HR/IT"/>
    <s v="AMCARE NonOcc In"/>
    <s v="TEMP"/>
    <n v="202118346"/>
    <s v="Ponce,Jessi"/>
    <s v="Rosas Negrete,Sebastian"/>
    <n v="0"/>
    <n v="0"/>
    <n v="0"/>
    <n v="0"/>
    <n v="0.89"/>
    <e v="#N/A"/>
    <s v="jesponcu"/>
  </r>
  <r>
    <x v="302"/>
    <x v="42"/>
    <s v="Admin/HR/IT"/>
    <s v="AMCARE NonOcc In"/>
    <s v="TEMP"/>
    <n v="202137341"/>
    <s v="Bravo,Edgar"/>
    <s v="Rosas Negrete,Sebastian"/>
    <n v="0"/>
    <n v="0"/>
    <n v="0"/>
    <n v="0"/>
    <n v="7.0000000000000007E-2"/>
    <e v="#N/A"/>
    <s v="xedgabra"/>
  </r>
  <r>
    <x v="302"/>
    <x v="42"/>
    <s v="Admin/HR/IT"/>
    <s v="AMCARE NonOcc In"/>
    <s v="TEMP"/>
    <n v="202137757"/>
    <s v="Bartolo,Daniel Angel"/>
    <s v="Madrid Molina,Ramon"/>
    <n v="0"/>
    <n v="0"/>
    <n v="0"/>
    <n v="0"/>
    <n v="0.98"/>
    <e v="#N/A"/>
    <s v="danibbar"/>
  </r>
  <r>
    <x v="302"/>
    <x v="42"/>
    <s v="Admin/HR/IT"/>
    <s v="AMCARE NonOcc In"/>
    <s v="TEMP"/>
    <n v="202265858"/>
    <s v="Salmeron,Alexa"/>
    <s v="Corona Arriaga,Fernando"/>
    <n v="0"/>
    <n v="0"/>
    <n v="0"/>
    <n v="0"/>
    <n v="0.44"/>
    <e v="#N/A"/>
    <s v="nalesalm"/>
  </r>
  <r>
    <x v="302"/>
    <x v="42"/>
    <s v="Admin/HR/IT"/>
    <s v="AMCARE NonOcc In"/>
    <s v="TEMP"/>
    <n v="202291188"/>
    <s v="Alvarez,Fernanda"/>
    <s v="Madrid Molina,Ramon"/>
    <n v="0"/>
    <n v="0"/>
    <n v="0"/>
    <n v="0"/>
    <n v="2.14"/>
    <e v="#N/A"/>
    <s v="alvqfern"/>
  </r>
  <r>
    <x v="302"/>
    <x v="42"/>
    <s v="Admin/HR/IT"/>
    <s v="AMCARE NonOcc In"/>
    <s v="TEMP"/>
    <n v="202329407"/>
    <s v="Medel,Sandra"/>
    <s v="Madrid Molina,Ramon"/>
    <n v="0"/>
    <n v="0"/>
    <n v="0"/>
    <n v="0"/>
    <n v="0.41"/>
    <e v="#N/A"/>
    <s v="omedesan"/>
  </r>
  <r>
    <x v="302"/>
    <x v="42"/>
    <s v="Admin/HR/IT"/>
    <s v="AMCARE NonOcc In"/>
    <s v="TEMP"/>
    <n v="202334621"/>
    <s v="Ramos,Karla"/>
    <s v="Rosas Negrete,Sebastian"/>
    <n v="0"/>
    <n v="0"/>
    <n v="0"/>
    <n v="0"/>
    <n v="0.56999999999999995"/>
    <e v="#N/A"/>
    <s v="tkarlram"/>
  </r>
  <r>
    <x v="302"/>
    <x v="42"/>
    <s v="Admin/HR/IT"/>
    <s v="AMCARE NonOcc In"/>
    <s v="TEMP"/>
    <n v="202385714"/>
    <s v="Ojeda,Edgar"/>
    <s v="Rosas Negrete,Sebastian"/>
    <n v="0"/>
    <n v="0"/>
    <n v="0"/>
    <n v="0"/>
    <n v="0.32"/>
    <e v="#N/A"/>
    <s v="wedgaoje"/>
  </r>
  <r>
    <x v="303"/>
    <x v="42"/>
    <s v="Admin/HR/IT"/>
    <s v="AMCARE NonOcc In"/>
    <s v="AMZN"/>
    <n v="112950809"/>
    <s v="Rocha,Luz"/>
    <s v="Madrid Molina,Ramon"/>
    <n v="0"/>
    <n v="0"/>
    <n v="0"/>
    <n v="0"/>
    <n v="0.93"/>
    <s v="DA-X0700"/>
    <s v="lurochae"/>
  </r>
  <r>
    <x v="303"/>
    <x v="42"/>
    <s v="Admin/HR/IT"/>
    <s v="AMCARE NonOcc In"/>
    <s v="AMZN"/>
    <n v="112976014"/>
    <s v="Rivas,Carlos"/>
    <s v="Madrid Molina,Ramon"/>
    <n v="0"/>
    <n v="0"/>
    <n v="0"/>
    <n v="0"/>
    <n v="0.87"/>
    <s v="DA-X0700"/>
    <s v="carhriva"/>
  </r>
  <r>
    <x v="303"/>
    <x v="42"/>
    <s v="Admin/HR/IT"/>
    <s v="AMCARE NonOcc In"/>
    <s v="AMZN"/>
    <n v="112981061"/>
    <s v="Olguin,Claudia"/>
    <s v="Corona Arriaga,Fernando"/>
    <n v="0"/>
    <n v="0"/>
    <n v="0"/>
    <n v="0"/>
    <n v="1.25"/>
    <s v="DA-X0700"/>
    <s v="mclaudol"/>
  </r>
  <r>
    <x v="303"/>
    <x v="42"/>
    <s v="Admin/HR/IT"/>
    <s v="AMCARE NonOcc In"/>
    <s v="AMZN"/>
    <n v="200404250"/>
    <s v="Hurtado,Caty"/>
    <s v="Corona Arriaga,Fernando"/>
    <n v="0"/>
    <n v="0"/>
    <n v="0"/>
    <n v="0"/>
    <n v="0.92"/>
    <e v="#N/A"/>
    <s v="xcathurt"/>
  </r>
  <r>
    <x v="303"/>
    <x v="42"/>
    <s v="Admin/HR/IT"/>
    <s v="AMCARE NonOcc In"/>
    <s v="AMZN"/>
    <n v="201167501"/>
    <s v="Rodriguez,Ruben"/>
    <s v="Corona Arriaga,Fernando"/>
    <n v="0"/>
    <n v="0"/>
    <n v="0"/>
    <n v="0"/>
    <n v="0.38"/>
    <e v="#N/A"/>
    <s v="wguanajr"/>
  </r>
  <r>
    <x v="303"/>
    <x v="42"/>
    <s v="Admin/HR/IT"/>
    <s v="AMCARE NonOcc In"/>
    <s v="AMZN"/>
    <n v="201172306"/>
    <s v="Valdez,CÃ©sar"/>
    <s v="Rosas Negrete,Sebastian"/>
    <n v="0"/>
    <n v="0"/>
    <n v="0"/>
    <n v="0"/>
    <n v="0.08"/>
    <e v="#N/A"/>
    <s v="cesarvae"/>
  </r>
  <r>
    <x v="303"/>
    <x v="42"/>
    <s v="Admin/HR/IT"/>
    <s v="AMCARE NonOcc In"/>
    <s v="AMZN"/>
    <n v="201197964"/>
    <s v="Quijas,Matzayani"/>
    <s v="Rosas Negrete,Sebastian"/>
    <n v="0"/>
    <n v="0"/>
    <n v="0"/>
    <n v="0"/>
    <n v="0.38"/>
    <e v="#N/A"/>
    <s v="matzquij"/>
  </r>
  <r>
    <x v="303"/>
    <x v="42"/>
    <s v="Admin/HR/IT"/>
    <s v="AMCARE NonOcc In"/>
    <s v="TEMP"/>
    <n v="202063545"/>
    <s v="GarcÃ­a,Ana"/>
    <s v="Rosas Negrete,Sebastian"/>
    <n v="0"/>
    <n v="0"/>
    <n v="0"/>
    <n v="0"/>
    <n v="0"/>
    <e v="#N/A"/>
    <s v="angarcz"/>
  </r>
  <r>
    <x v="303"/>
    <x v="42"/>
    <s v="Admin/HR/IT"/>
    <s v="AMCARE NonOcc In"/>
    <s v="TEMP"/>
    <n v="202063602"/>
    <s v="Valdes,Octavio"/>
    <s v="Hernandez,Nataly"/>
    <n v="0"/>
    <n v="0"/>
    <n v="0"/>
    <n v="0"/>
    <n v="0.32"/>
    <e v="#N/A"/>
    <s v="voctavij"/>
  </r>
  <r>
    <x v="303"/>
    <x v="42"/>
    <s v="Admin/HR/IT"/>
    <s v="AMCARE NonOcc In"/>
    <s v="TEMP"/>
    <n v="202188434"/>
    <s v="Rivera,Aidza"/>
    <s v="Hernandez,Nataly"/>
    <n v="0"/>
    <n v="0"/>
    <n v="0"/>
    <n v="0"/>
    <n v="0.87"/>
    <e v="#N/A"/>
    <s v="aidzariv"/>
  </r>
  <r>
    <x v="303"/>
    <x v="42"/>
    <s v="Admin/HR/IT"/>
    <s v="AMCARE NonOcc In"/>
    <s v="TEMP"/>
    <n v="202188991"/>
    <s v="Jimenez,Saul"/>
    <s v="Bueno Mendoza,Susana"/>
    <n v="0"/>
    <n v="0"/>
    <n v="0"/>
    <n v="0"/>
    <n v="0.42"/>
    <e v="#N/A"/>
    <s v="sjimesau"/>
  </r>
  <r>
    <x v="303"/>
    <x v="42"/>
    <s v="Admin/HR/IT"/>
    <s v="AMCARE NonOcc In"/>
    <s v="TEMP"/>
    <n v="202249806"/>
    <s v="Valtierra,Saul Angel"/>
    <s v="Rosas Negrete,Sebastian"/>
    <n v="0"/>
    <n v="0"/>
    <n v="0"/>
    <n v="0"/>
    <n v="0.32"/>
    <e v="#N/A"/>
    <s v="valtinsa"/>
  </r>
  <r>
    <x v="303"/>
    <x v="42"/>
    <s v="Admin/HR/IT"/>
    <s v="AMCARE NonOcc In"/>
    <s v="TEMP"/>
    <n v="202250323"/>
    <s v="Esqueda,Soledad"/>
    <s v="Corona Arriaga,Fernando"/>
    <n v="0"/>
    <n v="0"/>
    <n v="0"/>
    <n v="0"/>
    <n v="0.21"/>
    <e v="#N/A"/>
    <s v="soledesq"/>
  </r>
  <r>
    <x v="303"/>
    <x v="42"/>
    <s v="Admin/HR/IT"/>
    <s v="AMCARE NonOcc In"/>
    <s v="TEMP"/>
    <n v="202266131"/>
    <s v="Guadian,Gaby"/>
    <s v="Corona Arriaga,Fernando"/>
    <n v="0"/>
    <n v="0"/>
    <n v="0"/>
    <n v="0"/>
    <n v="0.38"/>
    <e v="#N/A"/>
    <s v="gguadia"/>
  </r>
  <r>
    <x v="303"/>
    <x v="42"/>
    <s v="Admin/HR/IT"/>
    <s v="AMCARE NonOcc In"/>
    <s v="TEMP"/>
    <n v="202273994"/>
    <s v="Villalobos,Adrian"/>
    <s v="Corona Arriaga,Fernando"/>
    <n v="0"/>
    <n v="0"/>
    <n v="0"/>
    <n v="0"/>
    <n v="0.5"/>
    <e v="#N/A"/>
    <s v="adfvilla"/>
  </r>
  <r>
    <x v="303"/>
    <x v="42"/>
    <s v="Admin/HR/IT"/>
    <s v="AMCARE NonOcc In"/>
    <s v="TEMP"/>
    <n v="202283406"/>
    <s v="Vazquez,Angelica"/>
    <s v="Rosas Negrete,Sebastian"/>
    <n v="0"/>
    <n v="0"/>
    <n v="0"/>
    <n v="0"/>
    <n v="0.13"/>
    <e v="#N/A"/>
    <s v="iangevaz"/>
  </r>
  <r>
    <x v="303"/>
    <x v="42"/>
    <s v="Admin/HR/IT"/>
    <s v="AMCARE NonOcc In"/>
    <s v="TEMP"/>
    <n v="202287922"/>
    <s v="Andrade,Gema"/>
    <s v="Madrid Molina,Ramon"/>
    <n v="0"/>
    <n v="0"/>
    <n v="0"/>
    <n v="0"/>
    <n v="0.36"/>
    <e v="#N/A"/>
    <s v="gemandra"/>
  </r>
  <r>
    <x v="303"/>
    <x v="42"/>
    <s v="Admin/HR/IT"/>
    <s v="AMCARE NonOcc In"/>
    <s v="TEMP"/>
    <n v="202291208"/>
    <s v="Perez,Quique"/>
    <s v="Bueno Mendoza,Susana"/>
    <n v="0"/>
    <n v="0"/>
    <n v="0"/>
    <n v="0"/>
    <n v="0.08"/>
    <e v="#N/A"/>
    <s v="qperequi"/>
  </r>
  <r>
    <x v="303"/>
    <x v="42"/>
    <s v="Admin/HR/IT"/>
    <s v="AMCARE NonOcc In"/>
    <s v="TEMP"/>
    <n v="202291254"/>
    <s v="Castro,Edgar"/>
    <s v="Corona Arriaga,Fernando"/>
    <n v="0"/>
    <n v="0"/>
    <n v="0"/>
    <n v="0"/>
    <n v="0.54"/>
    <e v="#N/A"/>
    <s v="edcastrs"/>
  </r>
  <r>
    <x v="304"/>
    <x v="42"/>
    <s v="Admin/HR/IT"/>
    <s v="AMCARE NonOcc In"/>
    <s v="AMZN"/>
    <n v="112920666"/>
    <s v="Rocha,Jose"/>
    <s v="Manzanares Navarro,Sandra"/>
    <n v="0"/>
    <n v="0"/>
    <n v="0"/>
    <n v="0"/>
    <n v="0.72"/>
    <s v="D5-X0700"/>
    <s v="jorochai"/>
  </r>
  <r>
    <x v="304"/>
    <x v="42"/>
    <s v="Admin/HR/IT"/>
    <s v="AMCARE NonOcc In"/>
    <s v="AMZN"/>
    <n v="112950809"/>
    <s v="Rocha,Luz"/>
    <s v="Madrid Molina,Ramon"/>
    <n v="0"/>
    <n v="0"/>
    <n v="0"/>
    <n v="0"/>
    <n v="1.1299999999999999"/>
    <s v="DA-X0700"/>
    <s v="lurochae"/>
  </r>
  <r>
    <x v="304"/>
    <x v="42"/>
    <s v="Admin/HR/IT"/>
    <s v="AMCARE NonOcc In"/>
    <s v="AMZN"/>
    <n v="113020476"/>
    <s v="Puente Aguilar,Polette"/>
    <s v="Romero Sanchez,Gustavo Gabriel"/>
    <n v="0"/>
    <n v="0"/>
    <n v="0"/>
    <n v="0"/>
    <n v="0.54"/>
    <e v="#N/A"/>
    <s v="polettpu"/>
  </r>
  <r>
    <x v="304"/>
    <x v="42"/>
    <s v="Admin/HR/IT"/>
    <s v="AMCARE NonOcc In"/>
    <s v="AMZN"/>
    <n v="113044620"/>
    <s v="Jasso Miranda,Aldo"/>
    <s v="Corona Arriaga,Fernando"/>
    <n v="0"/>
    <n v="0"/>
    <n v="0"/>
    <n v="0"/>
    <n v="0.25"/>
    <e v="#N/A"/>
    <s v="aldojasw"/>
  </r>
  <r>
    <x v="304"/>
    <x v="42"/>
    <s v="Admin/HR/IT"/>
    <s v="AMCARE NonOcc In"/>
    <s v="AMZN"/>
    <n v="200404250"/>
    <s v="Hurtado,Caty"/>
    <s v="Corona Arriaga,Fernando"/>
    <n v="0"/>
    <n v="0"/>
    <n v="0"/>
    <n v="0"/>
    <n v="0.46"/>
    <e v="#N/A"/>
    <s v="xcathurt"/>
  </r>
  <r>
    <x v="304"/>
    <x v="42"/>
    <s v="Admin/HR/IT"/>
    <s v="AMCARE NonOcc In"/>
    <s v="AMZN"/>
    <n v="200594875"/>
    <s v="Maldonado,Jose"/>
    <s v="Bueno Mendoza,Susana"/>
    <n v="0"/>
    <n v="0"/>
    <n v="0"/>
    <n v="0"/>
    <n v="0.59"/>
    <e v="#N/A"/>
    <s v="jwmaldon"/>
  </r>
  <r>
    <x v="304"/>
    <x v="42"/>
    <s v="Admin/HR/IT"/>
    <s v="AMCARE NonOcc In"/>
    <s v="AMZN"/>
    <n v="200625528"/>
    <s v="Oliva,Lizbeth"/>
    <s v="Bueno Mendoza,Susana"/>
    <n v="0"/>
    <n v="0"/>
    <n v="0"/>
    <n v="0"/>
    <n v="0.08"/>
    <e v="#N/A"/>
    <s v="olivlizb"/>
  </r>
  <r>
    <x v="304"/>
    <x v="42"/>
    <s v="Admin/HR/IT"/>
    <s v="AMCARE NonOcc In"/>
    <s v="AMZN"/>
    <n v="201167501"/>
    <s v="Rodriguez,Ruben"/>
    <s v="Corona Arriaga,Fernando"/>
    <n v="0"/>
    <n v="0"/>
    <n v="0"/>
    <n v="0"/>
    <n v="0.32"/>
    <e v="#N/A"/>
    <s v="wguanajr"/>
  </r>
  <r>
    <x v="304"/>
    <x v="42"/>
    <s v="Admin/HR/IT"/>
    <s v="AMCARE NonOcc In"/>
    <s v="AMZN"/>
    <n v="201172412"/>
    <s v="Castellanos,Adriana"/>
    <s v="Corona Arriaga,Fernando"/>
    <n v="0"/>
    <n v="0"/>
    <n v="0"/>
    <n v="0"/>
    <n v="0.13"/>
    <e v="#N/A"/>
    <s v="adrpcast"/>
  </r>
  <r>
    <x v="304"/>
    <x v="42"/>
    <s v="Admin/HR/IT"/>
    <s v="AMCARE NonOcc In"/>
    <s v="AMZN"/>
    <n v="201197964"/>
    <s v="Quijas,Matzayani"/>
    <s v="Rosas Negrete,Sebastian"/>
    <n v="0"/>
    <n v="0"/>
    <n v="0"/>
    <n v="0"/>
    <n v="0.31"/>
    <e v="#N/A"/>
    <s v="matzquij"/>
  </r>
  <r>
    <x v="304"/>
    <x v="42"/>
    <s v="Admin/HR/IT"/>
    <s v="AMCARE NonOcc In"/>
    <s v="AMZN"/>
    <n v="201345774"/>
    <s v="Quijas,Jonathan"/>
    <s v="Corona Arriaga,Fernando"/>
    <n v="0"/>
    <n v="0"/>
    <n v="0"/>
    <n v="0"/>
    <n v="0.41"/>
    <e v="#N/A"/>
    <s v="jonquija"/>
  </r>
  <r>
    <x v="304"/>
    <x v="42"/>
    <s v="Admin/HR/IT"/>
    <s v="AMCARE NonOcc In"/>
    <s v="AMZN"/>
    <n v="201353085"/>
    <s v="Garcia,Elva"/>
    <s v="Rosas Negrete,Sebastian"/>
    <n v="0"/>
    <n v="0"/>
    <n v="0"/>
    <n v="0"/>
    <n v="0.08"/>
    <e v="#N/A"/>
    <s v="lelvgarc"/>
  </r>
  <r>
    <x v="304"/>
    <x v="42"/>
    <s v="Admin/HR/IT"/>
    <s v="AMCARE NonOcc In"/>
    <s v="AMZN"/>
    <n v="201402212"/>
    <s v="Padron,Karla"/>
    <s v="Rosas Negrete,Sebastian"/>
    <n v="0"/>
    <n v="0"/>
    <n v="0"/>
    <n v="0"/>
    <n v="0.46"/>
    <e v="#N/A"/>
    <s v="karlpadr"/>
  </r>
  <r>
    <x v="304"/>
    <x v="42"/>
    <s v="Admin/HR/IT"/>
    <s v="AMCARE NonOcc In"/>
    <s v="TEMP"/>
    <n v="201842039"/>
    <s v="Martinez,Antonio"/>
    <s v="Piedra,Valentina"/>
    <n v="0"/>
    <n v="0"/>
    <n v="0"/>
    <n v="0"/>
    <n v="0.25"/>
    <e v="#N/A"/>
    <s v="fantmar"/>
  </r>
  <r>
    <x v="304"/>
    <x v="42"/>
    <s v="Admin/HR/IT"/>
    <s v="AMCARE NonOcc In"/>
    <s v="TEMP"/>
    <n v="201848180"/>
    <s v="Pacheco,Jack"/>
    <s v="Corona Arriaga,Fernando"/>
    <n v="0"/>
    <n v="0"/>
    <n v="0"/>
    <n v="0"/>
    <n v="0.47"/>
    <e v="#N/A"/>
    <s v="ljackpac"/>
  </r>
  <r>
    <x v="304"/>
    <x v="42"/>
    <s v="Admin/HR/IT"/>
    <s v="AMCARE NonOcc In"/>
    <s v="TEMP"/>
    <n v="201880542"/>
    <s v="ORTIZ,CORPUS"/>
    <s v="Bueno Mendoza,Susana"/>
    <n v="0"/>
    <n v="0"/>
    <n v="0"/>
    <n v="0"/>
    <n v="4.5"/>
    <e v="#N/A"/>
    <s v="orticorp"/>
  </r>
  <r>
    <x v="304"/>
    <x v="42"/>
    <s v="Admin/HR/IT"/>
    <s v="AMCARE NonOcc In"/>
    <s v="TEMP"/>
    <n v="202062181"/>
    <s v="Trejo,Luis"/>
    <s v="Rosas Negrete,Sebastian"/>
    <n v="0"/>
    <n v="0"/>
    <n v="0"/>
    <n v="0"/>
    <n v="0.55000000000000004"/>
    <e v="#N/A"/>
    <s v="xlutrejo"/>
  </r>
  <r>
    <x v="304"/>
    <x v="42"/>
    <s v="Admin/HR/IT"/>
    <s v="AMCARE NonOcc In"/>
    <s v="TEMP"/>
    <n v="202129193"/>
    <s v="Hernandez Montiel,Angelica Teresa"/>
    <s v="Madrid Molina,Ramon"/>
    <n v="0"/>
    <n v="0"/>
    <n v="0"/>
    <n v="0"/>
    <n v="1.1100000000000001"/>
    <e v="#N/A"/>
    <s v="herngang"/>
  </r>
  <r>
    <x v="304"/>
    <x v="42"/>
    <s v="Admin/HR/IT"/>
    <s v="AMCARE NonOcc In"/>
    <s v="TEMP"/>
    <n v="202129214"/>
    <s v="Zuniga,Isaac"/>
    <s v="Manzanares Navarro,Sandra"/>
    <n v="0"/>
    <n v="0"/>
    <n v="0"/>
    <n v="0"/>
    <n v="0.22"/>
    <e v="#N/A"/>
    <s v="isafzuni"/>
  </r>
  <r>
    <x v="304"/>
    <x v="42"/>
    <s v="Admin/HR/IT"/>
    <s v="AMCARE NonOcc In"/>
    <s v="TEMP"/>
    <n v="202165115"/>
    <s v="Bermudez,Giovanni"/>
    <s v="Munoz,Jonan"/>
    <n v="0"/>
    <n v="0"/>
    <n v="0"/>
    <n v="0"/>
    <n v="0.83"/>
    <e v="#N/A"/>
    <s v="giogberm"/>
  </r>
  <r>
    <x v="304"/>
    <x v="42"/>
    <s v="Admin/HR/IT"/>
    <s v="AMCARE NonOcc In"/>
    <s v="TEMP"/>
    <n v="202165242"/>
    <s v="Gonzalez,Marco"/>
    <s v="Munoz,Jonan"/>
    <n v="0"/>
    <n v="0"/>
    <n v="0"/>
    <n v="0"/>
    <n v="1.55"/>
    <e v="#N/A"/>
    <s v="marcqgon"/>
  </r>
  <r>
    <x v="304"/>
    <x v="42"/>
    <s v="Admin/HR/IT"/>
    <s v="AMCARE NonOcc In"/>
    <s v="TEMP"/>
    <n v="202188434"/>
    <s v="Rivera,Aidza"/>
    <s v="Hernandez,Nataly"/>
    <n v="0"/>
    <n v="0"/>
    <n v="0"/>
    <n v="0"/>
    <n v="0.22"/>
    <e v="#N/A"/>
    <s v="aidzariv"/>
  </r>
  <r>
    <x v="304"/>
    <x v="42"/>
    <s v="Admin/HR/IT"/>
    <s v="AMCARE NonOcc In"/>
    <s v="TEMP"/>
    <n v="202225896"/>
    <s v="Reyes,Josue"/>
    <s v="Rosas Negrete,Sebastian"/>
    <n v="0"/>
    <n v="0"/>
    <n v="0"/>
    <n v="0"/>
    <n v="0.77"/>
    <e v="#N/A"/>
    <s v="reymjosu"/>
  </r>
  <r>
    <x v="304"/>
    <x v="42"/>
    <s v="Admin/HR/IT"/>
    <s v="AMCARE NonOcc In"/>
    <s v="TEMP"/>
    <n v="202226202"/>
    <s v="Moreno,Nayeli Naye"/>
    <s v="Rosas Negrete,Sebastian"/>
    <n v="0"/>
    <n v="0"/>
    <n v="0"/>
    <n v="0"/>
    <n v="0.23"/>
    <e v="#N/A"/>
    <s v="naymoren"/>
  </r>
  <r>
    <x v="304"/>
    <x v="42"/>
    <s v="Admin/HR/IT"/>
    <s v="AMCARE NonOcc In"/>
    <s v="TEMP"/>
    <n v="202229509"/>
    <s v="Barajas,Victor"/>
    <s v="Munoz,Jonan"/>
    <n v="0"/>
    <n v="0"/>
    <n v="0"/>
    <n v="0"/>
    <n v="0.2"/>
    <e v="#N/A"/>
    <s v="victokba"/>
  </r>
  <r>
    <x v="304"/>
    <x v="42"/>
    <s v="Admin/HR/IT"/>
    <s v="AMCARE NonOcc In"/>
    <s v="TEMP"/>
    <n v="202237281"/>
    <s v="Belmonte,Oscar Martin"/>
    <s v="Pizana,Diego"/>
    <n v="0"/>
    <n v="0"/>
    <n v="0"/>
    <n v="0"/>
    <n v="0.28999999999999998"/>
    <e v="#N/A"/>
    <s v="dmarbelm"/>
  </r>
  <r>
    <x v="304"/>
    <x v="42"/>
    <s v="Admin/HR/IT"/>
    <s v="AMCARE NonOcc In"/>
    <s v="TEMP"/>
    <n v="202266131"/>
    <s v="Guadian,Gaby"/>
    <s v="Corona Arriaga,Fernando"/>
    <n v="0"/>
    <n v="0"/>
    <n v="0"/>
    <n v="0"/>
    <n v="0.04"/>
    <e v="#N/A"/>
    <s v="gguadia"/>
  </r>
  <r>
    <x v="304"/>
    <x v="42"/>
    <s v="Admin/HR/IT"/>
    <s v="AMCARE NonOcc In"/>
    <s v="TEMP"/>
    <n v="202273994"/>
    <s v="Villalobos,Adrian"/>
    <s v="Corona Arriaga,Fernando"/>
    <n v="0"/>
    <n v="0"/>
    <n v="0"/>
    <n v="0"/>
    <n v="0.14000000000000001"/>
    <e v="#N/A"/>
    <s v="adfvilla"/>
  </r>
  <r>
    <x v="304"/>
    <x v="42"/>
    <s v="Admin/HR/IT"/>
    <s v="AMCARE NonOcc In"/>
    <s v="TEMP"/>
    <n v="202334621"/>
    <s v="Ramos,Karla"/>
    <s v="Rosas Negrete,Sebastian"/>
    <n v="0"/>
    <n v="0"/>
    <n v="0"/>
    <n v="0"/>
    <n v="0.74"/>
    <e v="#N/A"/>
    <s v="tkarlram"/>
  </r>
  <r>
    <x v="304"/>
    <x v="42"/>
    <s v="Admin/HR/IT"/>
    <s v="AMCARE NonOcc In"/>
    <s v="TEMP"/>
    <n v="202334751"/>
    <s v="Marquez,Luz Maria"/>
    <s v="Madrid Molina,Ramon"/>
    <n v="0"/>
    <n v="0"/>
    <n v="0"/>
    <n v="0"/>
    <n v="0.43"/>
    <e v="#N/A"/>
    <s v="luzmmarq"/>
  </r>
  <r>
    <x v="304"/>
    <x v="42"/>
    <s v="Admin/HR/IT"/>
    <s v="AMCARE NonOcc In"/>
    <s v="TEMP"/>
    <n v="202334920"/>
    <s v="Ramirez,Rocio"/>
    <s v="Piedra,Valentina"/>
    <n v="0"/>
    <n v="0"/>
    <n v="0"/>
    <n v="0"/>
    <n v="0.44"/>
    <e v="#N/A"/>
    <s v="uroramir"/>
  </r>
  <r>
    <x v="305"/>
    <x v="42"/>
    <s v="Admin/HR/IT"/>
    <s v="AMCARE NonOcc In"/>
    <s v="AMZN"/>
    <n v="112912511"/>
    <s v="Elorza,Sergio"/>
    <s v="Munoz,Jonan"/>
    <n v="0"/>
    <n v="0"/>
    <n v="0"/>
    <n v="0"/>
    <n v="0.5"/>
    <s v="DB-X0700"/>
    <s v="sergelor"/>
  </r>
  <r>
    <x v="305"/>
    <x v="42"/>
    <s v="Admin/HR/IT"/>
    <s v="AMCARE NonOcc In"/>
    <s v="AMZN"/>
    <n v="112912752"/>
    <s v="Valderrama Gomez,Leslie"/>
    <s v="Camarena,Grecia"/>
    <n v="0"/>
    <n v="0"/>
    <n v="0"/>
    <n v="0"/>
    <n v="0.36"/>
    <s v="NF-X1900"/>
    <s v="valderle"/>
  </r>
  <r>
    <x v="305"/>
    <x v="42"/>
    <s v="Admin/HR/IT"/>
    <s v="AMCARE NonOcc In"/>
    <s v="AMZN"/>
    <n v="112950784"/>
    <s v="Rojas,Samuel"/>
    <s v="Camarena,Grecia"/>
    <n v="0"/>
    <n v="0"/>
    <n v="0"/>
    <n v="0"/>
    <n v="0.13"/>
    <s v="NF-X1900"/>
    <s v="sarojast"/>
  </r>
  <r>
    <x v="305"/>
    <x v="42"/>
    <s v="Admin/HR/IT"/>
    <s v="AMCARE NonOcc In"/>
    <s v="AMZN"/>
    <n v="112971988"/>
    <s v="Trejo Tarango,Stephannie Del Rocio"/>
    <s v="AlarcÃ³n,Irving"/>
    <n v="0"/>
    <n v="0"/>
    <n v="0"/>
    <n v="0"/>
    <n v="0.5"/>
    <s v="DB-X0700"/>
    <s v="fadtrejo"/>
  </r>
  <r>
    <x v="305"/>
    <x v="42"/>
    <s v="Admin/HR/IT"/>
    <s v="AMCARE NonOcc In"/>
    <s v="AMZN"/>
    <n v="200463510"/>
    <s v="Macias,Rodrigo"/>
    <s v="Romero Sanchez,Gustavo Gabriel"/>
    <n v="0"/>
    <n v="0"/>
    <n v="0"/>
    <n v="0"/>
    <n v="0.76"/>
    <e v="#N/A"/>
    <s v="rodrmacj"/>
  </r>
  <r>
    <x v="305"/>
    <x v="42"/>
    <s v="Admin/HR/IT"/>
    <s v="AMCARE NonOcc In"/>
    <s v="AMZN"/>
    <n v="200508323"/>
    <s v="Espejel Lopez,Emmanuel"/>
    <s v="Romero Sanchez,Gustavo Gabriel"/>
    <n v="0"/>
    <n v="0"/>
    <n v="0"/>
    <n v="0"/>
    <n v="0.4"/>
    <e v="#N/A"/>
    <s v="espejell"/>
  </r>
  <r>
    <x v="305"/>
    <x v="42"/>
    <s v="Admin/HR/IT"/>
    <s v="AMCARE NonOcc In"/>
    <s v="AMZN"/>
    <n v="200625528"/>
    <s v="Oliva,Lizbeth"/>
    <s v="Bueno Mendoza,Susana"/>
    <n v="0"/>
    <n v="0"/>
    <n v="0"/>
    <n v="0"/>
    <n v="0.1"/>
    <e v="#N/A"/>
    <s v="olivlizb"/>
  </r>
  <r>
    <x v="305"/>
    <x v="42"/>
    <s v="Admin/HR/IT"/>
    <s v="AMCARE NonOcc In"/>
    <s v="AMZN"/>
    <n v="201166890"/>
    <s v="Caballero,Daniel"/>
    <s v="Rosas Negrete,Sebastian"/>
    <n v="0"/>
    <n v="0"/>
    <n v="0"/>
    <n v="0"/>
    <n v="0.63"/>
    <e v="#N/A"/>
    <s v="lcabadan"/>
  </r>
  <r>
    <x v="305"/>
    <x v="42"/>
    <s v="Admin/HR/IT"/>
    <s v="AMCARE NonOcc In"/>
    <s v="AMZN"/>
    <n v="201197964"/>
    <s v="Quijas,Matzayani"/>
    <s v="Rosas Negrete,Sebastian"/>
    <n v="0"/>
    <n v="0"/>
    <n v="0"/>
    <n v="0"/>
    <n v="0.48"/>
    <e v="#N/A"/>
    <s v="matzquij"/>
  </r>
  <r>
    <x v="305"/>
    <x v="42"/>
    <s v="Admin/HR/IT"/>
    <s v="AMCARE NonOcc In"/>
    <s v="AMZN"/>
    <n v="201341534"/>
    <s v="Becerra,Esmeralda"/>
    <s v="Bueno Mendoza,Susana"/>
    <n v="0"/>
    <n v="0"/>
    <n v="0"/>
    <n v="0"/>
    <n v="0.12"/>
    <e v="#N/A"/>
    <s v="beceresm"/>
  </r>
  <r>
    <x v="305"/>
    <x v="42"/>
    <s v="Admin/HR/IT"/>
    <s v="AMCARE NonOcc In"/>
    <s v="AMZN"/>
    <n v="201386201"/>
    <s v="Castillo,Janai"/>
    <s v="Bueno Mendoza,Susana"/>
    <n v="0"/>
    <n v="0"/>
    <n v="0"/>
    <n v="0"/>
    <n v="0.31"/>
    <e v="#N/A"/>
    <s v="castjanr"/>
  </r>
  <r>
    <x v="305"/>
    <x v="42"/>
    <s v="Admin/HR/IT"/>
    <s v="AMCARE NonOcc In"/>
    <s v="TEMP"/>
    <n v="201837318"/>
    <s v="Echeveste,Mauricio"/>
    <s v="Bueno Mendoza,Susana"/>
    <n v="0"/>
    <n v="0"/>
    <n v="0"/>
    <n v="0"/>
    <n v="0.28000000000000003"/>
    <e v="#N/A"/>
    <s v="ecymauri"/>
  </r>
  <r>
    <x v="305"/>
    <x v="42"/>
    <s v="Admin/HR/IT"/>
    <s v="AMCARE NonOcc In"/>
    <s v="TEMP"/>
    <n v="201880542"/>
    <s v="ORTIZ,CORPUS"/>
    <s v="Bueno Mendoza,Susana"/>
    <n v="0"/>
    <n v="0"/>
    <n v="0"/>
    <n v="0"/>
    <n v="2.61"/>
    <e v="#N/A"/>
    <s v="orticorp"/>
  </r>
  <r>
    <x v="305"/>
    <x v="42"/>
    <s v="Admin/HR/IT"/>
    <s v="AMCARE NonOcc In"/>
    <s v="TEMP"/>
    <n v="201906503"/>
    <s v="MartÃ­nez,Jennifer"/>
    <s v="AlarcÃ³n,Irving"/>
    <n v="0"/>
    <n v="0"/>
    <n v="0"/>
    <n v="0"/>
    <n v="0.16"/>
    <e v="#N/A"/>
    <s v="mqjennif"/>
  </r>
  <r>
    <x v="305"/>
    <x v="42"/>
    <s v="Admin/HR/IT"/>
    <s v="AMCARE NonOcc In"/>
    <s v="TEMP"/>
    <n v="202117751"/>
    <s v="Romero,Jhonatan"/>
    <s v="Camarena,Grecia"/>
    <n v="0"/>
    <n v="0"/>
    <n v="0"/>
    <n v="0"/>
    <n v="0.22"/>
    <e v="#N/A"/>
    <s v="romejhon"/>
  </r>
  <r>
    <x v="305"/>
    <x v="42"/>
    <s v="Admin/HR/IT"/>
    <s v="AMCARE NonOcc In"/>
    <s v="TEMP"/>
    <n v="202130113"/>
    <s v="Rangel,Tania"/>
    <s v="Madrid Molina,Ramon"/>
    <n v="0"/>
    <n v="0"/>
    <n v="0"/>
    <n v="0"/>
    <n v="0.14000000000000001"/>
    <e v="#N/A"/>
    <s v="tanirang"/>
  </r>
  <r>
    <x v="305"/>
    <x v="42"/>
    <s v="Admin/HR/IT"/>
    <s v="AMCARE NonOcc In"/>
    <s v="TEMP"/>
    <n v="202137341"/>
    <s v="Bravo,Edgar"/>
    <s v="Rosas Negrete,Sebastian"/>
    <n v="0"/>
    <n v="0"/>
    <n v="0"/>
    <n v="0"/>
    <n v="0.11"/>
    <e v="#N/A"/>
    <s v="xedgabra"/>
  </r>
  <r>
    <x v="305"/>
    <x v="42"/>
    <s v="Admin/HR/IT"/>
    <s v="AMCARE NonOcc In"/>
    <s v="TEMP"/>
    <n v="202145314"/>
    <s v="Palomares,Neftali"/>
    <s v="Camarena,Grecia"/>
    <n v="0"/>
    <n v="0"/>
    <n v="0"/>
    <n v="0"/>
    <n v="0.25"/>
    <e v="#N/A"/>
    <s v="neftalpa"/>
  </r>
  <r>
    <x v="305"/>
    <x v="42"/>
    <s v="Admin/HR/IT"/>
    <s v="AMCARE NonOcc In"/>
    <s v="TEMP"/>
    <n v="202173806"/>
    <s v="Urenda,Cristopher"/>
    <s v="Bueno Mendoza,Susana"/>
    <n v="0"/>
    <n v="0"/>
    <n v="0"/>
    <n v="0"/>
    <n v="0.99"/>
    <e v="#N/A"/>
    <s v="crurenda"/>
  </r>
  <r>
    <x v="305"/>
    <x v="42"/>
    <s v="Admin/HR/IT"/>
    <s v="AMCARE NonOcc In"/>
    <s v="TEMP"/>
    <n v="202185991"/>
    <s v="VÃ¡zquez,AndrÃ©s"/>
    <s v="Bueno Mendoza,Susana"/>
    <n v="0"/>
    <n v="0"/>
    <n v="0"/>
    <n v="0"/>
    <n v="0.27"/>
    <e v="#N/A"/>
    <s v="vaziandr"/>
  </r>
  <r>
    <x v="305"/>
    <x v="42"/>
    <s v="Admin/HR/IT"/>
    <s v="AMCARE NonOcc In"/>
    <s v="TEMP"/>
    <n v="202194885"/>
    <s v="Bermejo,Israel"/>
    <s v="Piedra,Valentina"/>
    <n v="0"/>
    <n v="0"/>
    <n v="0"/>
    <n v="0"/>
    <n v="0.34"/>
    <e v="#N/A"/>
    <s v="bermisrq"/>
  </r>
  <r>
    <x v="305"/>
    <x v="42"/>
    <s v="Admin/HR/IT"/>
    <s v="AMCARE NonOcc In"/>
    <s v="TEMP"/>
    <n v="202225994"/>
    <s v="Jauregui,IvÃ¡n"/>
    <s v="Rosas Negrete,Sebastian"/>
    <n v="0"/>
    <n v="0"/>
    <n v="0"/>
    <n v="0"/>
    <n v="1.04"/>
    <e v="#N/A"/>
    <s v="jaureyiv"/>
  </r>
  <r>
    <x v="305"/>
    <x v="42"/>
    <s v="Admin/HR/IT"/>
    <s v="AMCARE NonOcc In"/>
    <s v="TEMP"/>
    <n v="202227928"/>
    <s v="Mares,Pablo"/>
    <s v="Romero Sanchez,Gustavo Gabriel"/>
    <n v="0"/>
    <n v="0"/>
    <n v="0"/>
    <n v="0"/>
    <n v="0.22"/>
    <e v="#N/A"/>
    <s v="fpablmar"/>
  </r>
  <r>
    <x v="305"/>
    <x v="42"/>
    <s v="Admin/HR/IT"/>
    <s v="AMCARE NonOcc In"/>
    <s v="TEMP"/>
    <n v="202247877"/>
    <s v="Santibanez,Mariano"/>
    <s v="Rosas Negrete,Sebastian"/>
    <n v="0"/>
    <n v="0"/>
    <n v="0"/>
    <n v="0"/>
    <n v="0.44"/>
    <e v="#N/A"/>
    <s v="musantib"/>
  </r>
  <r>
    <x v="305"/>
    <x v="42"/>
    <s v="Admin/HR/IT"/>
    <s v="AMCARE NonOcc In"/>
    <s v="TEMP"/>
    <n v="202254886"/>
    <s v="Mendoza,Jared"/>
    <s v="Munoz,Jonan"/>
    <n v="0"/>
    <n v="0"/>
    <n v="0"/>
    <n v="0"/>
    <n v="2.67"/>
    <e v="#N/A"/>
    <s v="xmenjare"/>
  </r>
  <r>
    <x v="305"/>
    <x v="42"/>
    <s v="Admin/HR/IT"/>
    <s v="AMCARE NonOcc In"/>
    <s v="TEMP"/>
    <n v="202288018"/>
    <s v="Gallegos,Leonardo"/>
    <s v="Camarena,Grecia"/>
    <n v="0"/>
    <n v="0"/>
    <n v="0"/>
    <n v="0"/>
    <n v="0.49"/>
    <e v="#N/A"/>
    <s v="legallek"/>
  </r>
  <r>
    <x v="305"/>
    <x v="42"/>
    <s v="Admin/HR/IT"/>
    <s v="AMCARE NonOcc In"/>
    <s v="TEMP"/>
    <n v="202308885"/>
    <s v="Adona,Erika"/>
    <s v="Lopez,Alexa"/>
    <n v="0"/>
    <n v="0"/>
    <n v="0"/>
    <n v="0"/>
    <n v="0.18"/>
    <e v="#N/A"/>
    <s v="aderikas"/>
  </r>
  <r>
    <x v="305"/>
    <x v="42"/>
    <s v="Admin/HR/IT"/>
    <s v="AMCARE NonOcc In"/>
    <s v="TEMP"/>
    <n v="202329548"/>
    <s v="Hernandez,Gustavo"/>
    <s v="Madrid Molina,Ramon"/>
    <n v="0"/>
    <n v="0"/>
    <n v="0"/>
    <n v="0"/>
    <n v="0.93"/>
    <e v="#N/A"/>
    <s v="kgushern"/>
  </r>
  <r>
    <x v="305"/>
    <x v="42"/>
    <s v="Admin/HR/IT"/>
    <s v="AMCARE NonOcc In"/>
    <s v="TEMP"/>
    <n v="202334866"/>
    <s v="Villalpando Hernandez,Kelvin"/>
    <s v="Madrid Molina,Ramon"/>
    <n v="0"/>
    <n v="0"/>
    <n v="0"/>
    <n v="0"/>
    <n v="2.0699999999999998"/>
    <e v="#N/A"/>
    <s v="villwkel"/>
  </r>
  <r>
    <x v="305"/>
    <x v="42"/>
    <s v="Admin/HR/IT"/>
    <s v="AMCARE NonOcc In"/>
    <s v="TEMP"/>
    <n v="202408362"/>
    <s v="Paz,Alhe"/>
    <s v="Pizana,Diego"/>
    <n v="0"/>
    <n v="0"/>
    <n v="0"/>
    <n v="0"/>
    <n v="0.33"/>
    <e v="#N/A"/>
    <s v="alhepaz"/>
  </r>
  <r>
    <x v="305"/>
    <x v="42"/>
    <s v="Admin/HR/IT"/>
    <s v="AMCARE NonOcc In"/>
    <s v="TEMP"/>
    <n v="202409832"/>
    <s v="Martinez,Vero"/>
    <s v="Hernandez,Nataly"/>
    <n v="0"/>
    <n v="0"/>
    <n v="0"/>
    <n v="0"/>
    <n v="0.23"/>
    <e v="#N/A"/>
    <s v="lmartive"/>
  </r>
  <r>
    <x v="305"/>
    <x v="42"/>
    <s v="Admin/HR/IT"/>
    <s v="AMCARE NonOcc In"/>
    <s v="TEMP"/>
    <n v="202410548"/>
    <s v="Ramirez,Ceci"/>
    <s v="Pizana,Diego"/>
    <n v="0"/>
    <n v="0"/>
    <n v="0"/>
    <n v="0"/>
    <n v="0.16"/>
    <e v="#N/A"/>
    <s v="cehramir"/>
  </r>
  <r>
    <x v="305"/>
    <x v="42"/>
    <s v="Admin/HR/IT"/>
    <s v="AMCARE NonOcc In"/>
    <s v="TEMP"/>
    <n v="202442798"/>
    <s v="Loredo Segura,Antonio"/>
    <s v="Pizana,Diego"/>
    <n v="0"/>
    <n v="0"/>
    <n v="0"/>
    <n v="0"/>
    <n v="0.04"/>
    <e v="#N/A"/>
    <s v="loredose"/>
  </r>
  <r>
    <x v="306"/>
    <x v="42"/>
    <s v="Admin/HR/IT"/>
    <s v="AMCARE NonOcc In"/>
    <s v="AMZN"/>
    <n v="112912983"/>
    <s v="RodrÃ­guez,RocÃ­o"/>
    <s v="Camarena,Grecia"/>
    <n v="0"/>
    <n v="0"/>
    <n v="0"/>
    <n v="0"/>
    <n v="0.09"/>
    <s v="NF-X1900"/>
    <s v="wrocirod"/>
  </r>
  <r>
    <x v="306"/>
    <x v="42"/>
    <s v="Admin/HR/IT"/>
    <s v="AMCARE NonOcc In"/>
    <s v="AMZN"/>
    <n v="112971988"/>
    <s v="Trejo Tarango,Stephannie Del Rocio"/>
    <s v="AlarcÃ³n,Irving"/>
    <n v="0"/>
    <n v="0"/>
    <n v="0"/>
    <n v="0"/>
    <n v="0.74"/>
    <s v="DB-X0700"/>
    <s v="fadtrejo"/>
  </r>
  <r>
    <x v="306"/>
    <x v="42"/>
    <s v="Admin/HR/IT"/>
    <s v="AMCARE NonOcc In"/>
    <s v="AMZN"/>
    <n v="113020476"/>
    <s v="Puente Aguilar,Polette"/>
    <s v="Romero Sanchez,Gustavo Gabriel"/>
    <n v="0"/>
    <n v="0"/>
    <n v="0"/>
    <n v="0"/>
    <n v="0.37"/>
    <e v="#N/A"/>
    <s v="polettpu"/>
  </r>
  <r>
    <x v="306"/>
    <x v="42"/>
    <s v="Admin/HR/IT"/>
    <s v="AMCARE NonOcc In"/>
    <s v="AMZN"/>
    <n v="113138338"/>
    <s v="Cornejo,Cesar"/>
    <s v="Camarena,Grecia"/>
    <n v="0"/>
    <n v="0"/>
    <n v="0"/>
    <n v="0"/>
    <n v="0.64"/>
    <e v="#N/A"/>
    <s v="cescornh"/>
  </r>
  <r>
    <x v="306"/>
    <x v="42"/>
    <s v="Admin/HR/IT"/>
    <s v="AMCARE NonOcc In"/>
    <s v="AMZN"/>
    <n v="201167388"/>
    <s v="Aguirre,Octavio"/>
    <s v="Romero Sanchez,Gustavo Gabriel"/>
    <n v="0"/>
    <n v="0"/>
    <n v="0"/>
    <n v="0"/>
    <n v="0.32"/>
    <e v="#N/A"/>
    <s v="naguirro"/>
  </r>
  <r>
    <x v="306"/>
    <x v="42"/>
    <s v="Admin/HR/IT"/>
    <s v="AMCARE NonOcc In"/>
    <s v="AMZN"/>
    <n v="201223730"/>
    <s v="Sanchiz,Cesarito"/>
    <s v="Romero Sanchez,Gustavo Gabriel"/>
    <n v="0"/>
    <n v="0"/>
    <n v="0"/>
    <n v="0"/>
    <n v="1.06"/>
    <e v="#N/A"/>
    <s v="cesarito"/>
  </r>
  <r>
    <x v="306"/>
    <x v="42"/>
    <s v="Admin/HR/IT"/>
    <s v="AMCARE NonOcc In"/>
    <s v="AMZN"/>
    <n v="201228411"/>
    <s v="Hernandez Soriano,Jazmin"/>
    <s v="Romero Sanchez,Gustavo Gabriel"/>
    <n v="0"/>
    <n v="0"/>
    <n v="0"/>
    <n v="0"/>
    <n v="1.1399999999999999"/>
    <e v="#N/A"/>
    <s v="jazmiwhe"/>
  </r>
  <r>
    <x v="306"/>
    <x v="42"/>
    <s v="Admin/HR/IT"/>
    <s v="AMCARE NonOcc In"/>
    <s v="AMZN"/>
    <n v="201353234"/>
    <s v="Padilla,Ramon"/>
    <s v="AlarcÃ³n,Irving"/>
    <n v="0"/>
    <n v="0"/>
    <n v="0"/>
    <n v="0"/>
    <n v="0.41"/>
    <e v="#N/A"/>
    <s v="paeramon"/>
  </r>
  <r>
    <x v="306"/>
    <x v="42"/>
    <s v="Admin/HR/IT"/>
    <s v="AMCARE NonOcc In"/>
    <s v="TEMP"/>
    <n v="201408478"/>
    <s v="Calderon,David"/>
    <s v="Romero Sanchez,Gustavo Gabriel"/>
    <n v="0"/>
    <n v="0"/>
    <n v="0"/>
    <n v="0"/>
    <n v="0.32"/>
    <e v="#N/A"/>
    <s v="dacaldey"/>
  </r>
  <r>
    <x v="306"/>
    <x v="42"/>
    <s v="Admin/HR/IT"/>
    <s v="AMCARE NonOcc In"/>
    <s v="TEMP"/>
    <n v="201842064"/>
    <s v="Agripino,Andrea"/>
    <s v="Piedra,Valentina"/>
    <n v="0"/>
    <n v="0"/>
    <n v="0"/>
    <n v="0"/>
    <n v="0.46"/>
    <e v="#N/A"/>
    <s v="agriandl"/>
  </r>
  <r>
    <x v="306"/>
    <x v="42"/>
    <s v="Admin/HR/IT"/>
    <s v="AMCARE NonOcc In"/>
    <s v="TEMP"/>
    <n v="202062181"/>
    <s v="Trejo,Luis"/>
    <s v="Rosas Negrete,Sebastian"/>
    <n v="0"/>
    <n v="0"/>
    <n v="0"/>
    <n v="0"/>
    <n v="0.11"/>
    <e v="#N/A"/>
    <s v="xlutrejo"/>
  </r>
  <r>
    <x v="306"/>
    <x v="42"/>
    <s v="Admin/HR/IT"/>
    <s v="AMCARE NonOcc In"/>
    <s v="TEMP"/>
    <n v="202129214"/>
    <s v="Zuniga,Isaac"/>
    <s v="Manzanares Navarro,Sandra"/>
    <n v="0"/>
    <n v="0"/>
    <n v="0"/>
    <n v="0"/>
    <n v="0.33"/>
    <e v="#N/A"/>
    <s v="isafzuni"/>
  </r>
  <r>
    <x v="306"/>
    <x v="42"/>
    <s v="Admin/HR/IT"/>
    <s v="AMCARE NonOcc In"/>
    <s v="TEMP"/>
    <n v="202147405"/>
    <s v="Perez,Andy"/>
    <s v="Manzanares Navarro,Sandra"/>
    <n v="0"/>
    <n v="0"/>
    <n v="0"/>
    <n v="0"/>
    <n v="0.42"/>
    <e v="#N/A"/>
    <s v="hperandy"/>
  </r>
  <r>
    <x v="306"/>
    <x v="42"/>
    <s v="Admin/HR/IT"/>
    <s v="AMCARE NonOcc In"/>
    <s v="TEMP"/>
    <n v="202165242"/>
    <s v="Gonzalez,Marco"/>
    <s v="Munoz,Jonan"/>
    <n v="0"/>
    <n v="0"/>
    <n v="0"/>
    <n v="0"/>
    <n v="0.22"/>
    <e v="#N/A"/>
    <s v="marcqgon"/>
  </r>
  <r>
    <x v="306"/>
    <x v="42"/>
    <s v="Admin/HR/IT"/>
    <s v="AMCARE NonOcc In"/>
    <s v="TEMP"/>
    <n v="202173223"/>
    <s v="Arenas,Itzel"/>
    <s v="Rosas Negrete,Sebastian"/>
    <n v="0"/>
    <n v="0"/>
    <n v="0"/>
    <n v="0"/>
    <n v="0.69"/>
    <e v="#N/A"/>
    <s v="yitzeare"/>
  </r>
  <r>
    <x v="306"/>
    <x v="42"/>
    <s v="Admin/HR/IT"/>
    <s v="AMCARE NonOcc In"/>
    <s v="TEMP"/>
    <n v="202185231"/>
    <s v="VÃ¡zquez,Daniela"/>
    <s v="Piedra,Valentina"/>
    <n v="0"/>
    <n v="0"/>
    <n v="0"/>
    <n v="0"/>
    <n v="0.28000000000000003"/>
    <e v="#N/A"/>
    <s v="davazquq"/>
  </r>
  <r>
    <x v="306"/>
    <x v="42"/>
    <s v="Admin/HR/IT"/>
    <s v="AMCARE NonOcc In"/>
    <s v="TEMP"/>
    <n v="202226099"/>
    <s v="Luna,Barby"/>
    <s v="Camarena,Grecia"/>
    <n v="0"/>
    <n v="0"/>
    <n v="0"/>
    <n v="0"/>
    <n v="0.23"/>
    <e v="#N/A"/>
    <s v="barbywlu"/>
  </r>
  <r>
    <x v="306"/>
    <x v="42"/>
    <s v="Admin/HR/IT"/>
    <s v="AMCARE NonOcc In"/>
    <s v="TEMP"/>
    <n v="202250181"/>
    <s v="Gutierrez,Samuel"/>
    <s v="Corona Arriaga,Fernando"/>
    <n v="0"/>
    <n v="0"/>
    <n v="0"/>
    <n v="0"/>
    <n v="0.26"/>
    <e v="#N/A"/>
    <s v="samuhgut"/>
  </r>
  <r>
    <x v="306"/>
    <x v="42"/>
    <s v="Admin/HR/IT"/>
    <s v="AMCARE NonOcc In"/>
    <s v="TEMP"/>
    <n v="202282459"/>
    <s v="VelÃ¡zquez,Alexis"/>
    <s v="Romero Sanchez,Gustavo Gabriel"/>
    <n v="0"/>
    <n v="0"/>
    <n v="0"/>
    <n v="0"/>
    <n v="0.19"/>
    <e v="#N/A"/>
    <s v="velazalr"/>
  </r>
  <r>
    <x v="306"/>
    <x v="42"/>
    <s v="Admin/HR/IT"/>
    <s v="AMCARE NonOcc In"/>
    <s v="TEMP"/>
    <n v="202291384"/>
    <s v="Vela,Sergio"/>
    <s v="Romero Sanchez,Gustavo Gabriel"/>
    <n v="0"/>
    <n v="0"/>
    <n v="0"/>
    <n v="0"/>
    <n v="2.68"/>
    <e v="#N/A"/>
    <s v="servelaj"/>
  </r>
  <r>
    <x v="306"/>
    <x v="42"/>
    <s v="Admin/HR/IT"/>
    <s v="AMCARE NonOcc In"/>
    <s v="TEMP"/>
    <n v="202323975"/>
    <s v="Hernandez,Alejandro"/>
    <s v="Piedra,Valentina"/>
    <n v="0"/>
    <n v="0"/>
    <n v="0"/>
    <n v="0"/>
    <n v="0.46"/>
    <e v="#N/A"/>
    <s v="alhernk"/>
  </r>
  <r>
    <x v="306"/>
    <x v="42"/>
    <s v="Admin/HR/IT"/>
    <s v="AMCARE NonOcc In"/>
    <s v="TEMP"/>
    <n v="202334621"/>
    <s v="Ramos,Karla"/>
    <s v="Rosas Negrete,Sebastian"/>
    <n v="0"/>
    <n v="0"/>
    <n v="0"/>
    <n v="0"/>
    <n v="0.15"/>
    <e v="#N/A"/>
    <s v="tkarlram"/>
  </r>
  <r>
    <x v="306"/>
    <x v="42"/>
    <s v="Admin/HR/IT"/>
    <s v="AMCARE NonOcc In"/>
    <s v="TEMP"/>
    <n v="202334920"/>
    <s v="Ramirez,Rocio"/>
    <s v="Piedra,Valentina"/>
    <n v="0"/>
    <n v="0"/>
    <n v="0"/>
    <n v="0"/>
    <n v="0.62"/>
    <e v="#N/A"/>
    <s v="uroramir"/>
  </r>
  <r>
    <x v="306"/>
    <x v="42"/>
    <s v="Admin/HR/IT"/>
    <s v="AMCARE NonOcc In"/>
    <s v="TEMP"/>
    <n v="202353921"/>
    <s v="Arechar Ortiz,Lindi Noemi"/>
    <s v="Corona Arriaga,Fernando"/>
    <n v="0"/>
    <n v="0"/>
    <n v="0"/>
    <n v="0"/>
    <n v="0.2"/>
    <e v="#N/A"/>
    <s v="lindinoe"/>
  </r>
  <r>
    <x v="306"/>
    <x v="42"/>
    <s v="Admin/HR/IT"/>
    <s v="AMCARE NonOcc In"/>
    <s v="TEMP"/>
    <n v="202417687"/>
    <s v="Cordova,Edith"/>
    <s v="Manzanares Navarro,Sandra"/>
    <n v="0"/>
    <n v="0"/>
    <n v="0"/>
    <n v="0"/>
    <n v="0.31"/>
    <e v="#N/A"/>
    <s v="cordoedt"/>
  </r>
  <r>
    <x v="306"/>
    <x v="42"/>
    <s v="Admin/HR/IT"/>
    <s v="AMCARE NonOcc In"/>
    <s v="TEMP"/>
    <n v="202435705"/>
    <s v="LaO Blanco,Ivan"/>
    <s v="Cortes,Alejandra"/>
    <n v="0"/>
    <n v="0"/>
    <n v="0"/>
    <n v="0"/>
    <n v="0.62"/>
    <e v="#N/A"/>
    <s v="ilaoblab"/>
  </r>
  <r>
    <x v="307"/>
    <x v="42"/>
    <s v="Admin/HR/IT"/>
    <s v="AMCARE NonOcc In"/>
    <s v="AMZN"/>
    <n v="112972215"/>
    <s v="Cruz,Ana"/>
    <s v="Romero Sanchez,Gustavo Gabriel"/>
    <n v="0"/>
    <n v="0"/>
    <n v="0"/>
    <n v="0"/>
    <n v="0.34"/>
    <s v="DB-X0700"/>
    <s v="cruzbana"/>
  </r>
  <r>
    <x v="307"/>
    <x v="42"/>
    <s v="Admin/HR/IT"/>
    <s v="AMCARE NonOcc In"/>
    <s v="AMZN"/>
    <n v="113014560"/>
    <s v="Lopez Moreno,Americo"/>
    <s v="Romero Sanchez,Gustavo Gabriel"/>
    <n v="0"/>
    <n v="0"/>
    <n v="0"/>
    <n v="0"/>
    <n v="0.04"/>
    <e v="#N/A"/>
    <s v="zlopamer"/>
  </r>
  <r>
    <x v="307"/>
    <x v="42"/>
    <s v="Admin/HR/IT"/>
    <s v="AMCARE NonOcc In"/>
    <s v="AMZN"/>
    <n v="113020476"/>
    <s v="Puente Aguilar,Polette"/>
    <s v="Romero Sanchez,Gustavo Gabriel"/>
    <n v="0"/>
    <n v="0"/>
    <n v="0"/>
    <n v="0"/>
    <n v="0.62"/>
    <e v="#N/A"/>
    <s v="polettpu"/>
  </r>
  <r>
    <x v="307"/>
    <x v="42"/>
    <s v="Admin/HR/IT"/>
    <s v="AMCARE NonOcc In"/>
    <s v="AMZN"/>
    <n v="113052151"/>
    <s v="Nieves Mendez,Laura"/>
    <s v="Piedra,Valentina"/>
    <n v="0"/>
    <n v="0"/>
    <n v="0"/>
    <n v="0"/>
    <n v="0.39"/>
    <e v="#N/A"/>
    <s v="nilaurab"/>
  </r>
  <r>
    <x v="307"/>
    <x v="42"/>
    <s v="Admin/HR/IT"/>
    <s v="AMCARE NonOcc In"/>
    <s v="AMZN"/>
    <n v="200508315"/>
    <s v="Herrera,Aldair"/>
    <s v="Romero Sanchez,Gustavo Gabriel"/>
    <n v="0"/>
    <n v="0"/>
    <n v="0"/>
    <n v="0"/>
    <n v="0.49"/>
    <e v="#N/A"/>
    <s v="taldaher"/>
  </r>
  <r>
    <x v="307"/>
    <x v="42"/>
    <s v="Admin/HR/IT"/>
    <s v="AMCARE NonOcc In"/>
    <s v="AMZN"/>
    <n v="200508323"/>
    <s v="Espejel Lopez,Emmanuel"/>
    <s v="Romero Sanchez,Gustavo Gabriel"/>
    <n v="0"/>
    <n v="0"/>
    <n v="0"/>
    <n v="0"/>
    <n v="0.16"/>
    <e v="#N/A"/>
    <s v="espejell"/>
  </r>
  <r>
    <x v="307"/>
    <x v="42"/>
    <s v="Admin/HR/IT"/>
    <s v="AMCARE NonOcc In"/>
    <s v="AMZN"/>
    <n v="201185299"/>
    <s v="Garcia,Noemi"/>
    <s v="Piedra,Valentina"/>
    <n v="0"/>
    <n v="0"/>
    <n v="0"/>
    <n v="0"/>
    <n v="0.18"/>
    <e v="#N/A"/>
    <s v="sganoemi"/>
  </r>
  <r>
    <x v="307"/>
    <x v="42"/>
    <s v="Admin/HR/IT"/>
    <s v="AMCARE NonOcc In"/>
    <s v="AMZN"/>
    <n v="201191198"/>
    <s v="Mojica,Emmanuel"/>
    <s v="Piedra,Valentina"/>
    <n v="0"/>
    <n v="0"/>
    <n v="0"/>
    <n v="0"/>
    <n v="0.99"/>
    <e v="#N/A"/>
    <s v="mojicemm"/>
  </r>
  <r>
    <x v="307"/>
    <x v="42"/>
    <s v="Admin/HR/IT"/>
    <s v="AMCARE NonOcc In"/>
    <s v="AMZN"/>
    <n v="201191390"/>
    <s v="GarcÃ­a,jesus"/>
    <s v="Romero Sanchez,Gustavo Gabriel"/>
    <n v="0"/>
    <n v="0"/>
    <n v="0"/>
    <n v="0"/>
    <n v="1.02"/>
    <e v="#N/A"/>
    <s v="bgajesus"/>
  </r>
  <r>
    <x v="307"/>
    <x v="42"/>
    <s v="Admin/HR/IT"/>
    <s v="AMCARE NonOcc In"/>
    <s v="AMZN"/>
    <n v="201223730"/>
    <s v="Sanchiz,Cesarito"/>
    <s v="Romero Sanchez,Gustavo Gabriel"/>
    <n v="0"/>
    <n v="0"/>
    <n v="0"/>
    <n v="0"/>
    <n v="0.69"/>
    <e v="#N/A"/>
    <s v="cesarito"/>
  </r>
  <r>
    <x v="307"/>
    <x v="42"/>
    <s v="Admin/HR/IT"/>
    <s v="AMCARE NonOcc In"/>
    <s v="AMZN"/>
    <n v="201228411"/>
    <s v="Hernandez Soriano,Jazmin"/>
    <s v="Romero Sanchez,Gustavo Gabriel"/>
    <n v="0"/>
    <n v="0"/>
    <n v="0"/>
    <n v="0"/>
    <n v="0.68"/>
    <e v="#N/A"/>
    <s v="jazmiwhe"/>
  </r>
  <r>
    <x v="307"/>
    <x v="42"/>
    <s v="Admin/HR/IT"/>
    <s v="AMCARE NonOcc In"/>
    <s v="AMZN"/>
    <n v="201353234"/>
    <s v="Padilla,Ramon"/>
    <s v="AlarcÃ³n,Irving"/>
    <n v="0"/>
    <n v="0"/>
    <n v="0"/>
    <n v="0"/>
    <n v="0.19"/>
    <e v="#N/A"/>
    <s v="paeramon"/>
  </r>
  <r>
    <x v="307"/>
    <x v="42"/>
    <s v="Admin/HR/IT"/>
    <s v="AMCARE NonOcc In"/>
    <s v="TEMP"/>
    <n v="201365023"/>
    <s v="Centeno,Ara"/>
    <s v="Romero Sanchez,Gustavo Gabriel"/>
    <n v="0"/>
    <n v="0"/>
    <n v="0"/>
    <n v="0"/>
    <n v="1.98"/>
    <e v="#N/A"/>
    <s v="varacent"/>
  </r>
  <r>
    <x v="307"/>
    <x v="42"/>
    <s v="Admin/HR/IT"/>
    <s v="AMCARE NonOcc In"/>
    <s v="TEMP"/>
    <n v="201408478"/>
    <s v="Calderon,David"/>
    <s v="Romero Sanchez,Gustavo Gabriel"/>
    <n v="0"/>
    <n v="0"/>
    <n v="0"/>
    <n v="0"/>
    <n v="0.75"/>
    <e v="#N/A"/>
    <s v="dacaldey"/>
  </r>
  <r>
    <x v="307"/>
    <x v="42"/>
    <s v="Admin/HR/IT"/>
    <s v="AMCARE NonOcc In"/>
    <s v="TEMP"/>
    <n v="201842039"/>
    <s v="Martinez,Antonio"/>
    <s v="Piedra,Valentina"/>
    <n v="0"/>
    <n v="0"/>
    <n v="0"/>
    <n v="0"/>
    <n v="0.16"/>
    <e v="#N/A"/>
    <s v="fantmar"/>
  </r>
  <r>
    <x v="307"/>
    <x v="42"/>
    <s v="Admin/HR/IT"/>
    <s v="AMCARE NonOcc In"/>
    <s v="TEMP"/>
    <n v="201842064"/>
    <s v="Agripino,Andrea"/>
    <s v="Piedra,Valentina"/>
    <n v="0"/>
    <n v="0"/>
    <n v="0"/>
    <n v="0"/>
    <n v="0.3"/>
    <e v="#N/A"/>
    <s v="agriandl"/>
  </r>
  <r>
    <x v="307"/>
    <x v="42"/>
    <s v="Admin/HR/IT"/>
    <s v="AMCARE NonOcc In"/>
    <s v="TEMP"/>
    <n v="201858867"/>
    <s v="Cruz Velazquez,Gabriela"/>
    <s v="Piedra,Valentina"/>
    <n v="0"/>
    <n v="0"/>
    <n v="0"/>
    <n v="0"/>
    <n v="0.39"/>
    <e v="#N/A"/>
    <s v="tcruzvel"/>
  </r>
  <r>
    <x v="307"/>
    <x v="42"/>
    <s v="Admin/HR/IT"/>
    <s v="AMCARE NonOcc In"/>
    <s v="TEMP"/>
    <n v="201903097"/>
    <s v="Oliva,Montserrat"/>
    <s v="Piedra,Valentina"/>
    <n v="0"/>
    <n v="0"/>
    <n v="0"/>
    <n v="0"/>
    <n v="0.3"/>
    <e v="#N/A"/>
    <s v="montoliy"/>
  </r>
  <r>
    <x v="307"/>
    <x v="42"/>
    <s v="Admin/HR/IT"/>
    <s v="AMCARE NonOcc In"/>
    <s v="TEMP"/>
    <n v="201908189"/>
    <s v="Martinez,Francisco"/>
    <s v="Piedra,Valentina"/>
    <n v="0"/>
    <n v="0"/>
    <n v="0"/>
    <n v="0"/>
    <n v="0.2"/>
    <e v="#N/A"/>
    <s v="cmartif"/>
  </r>
  <r>
    <x v="307"/>
    <x v="42"/>
    <s v="Admin/HR/IT"/>
    <s v="AMCARE NonOcc In"/>
    <s v="TEMP"/>
    <n v="202117420"/>
    <s v="Cervera,Israel"/>
    <s v="Manzanares Navarro,Sandra"/>
    <n v="0"/>
    <n v="0"/>
    <n v="0"/>
    <n v="0"/>
    <n v="0.74"/>
    <e v="#N/A"/>
    <s v="iscerver"/>
  </r>
  <r>
    <x v="307"/>
    <x v="42"/>
    <s v="Admin/HR/IT"/>
    <s v="AMCARE NonOcc In"/>
    <s v="TEMP"/>
    <n v="202189809"/>
    <s v="Luna,Mario"/>
    <s v="Piedra,Valentina"/>
    <n v="0"/>
    <n v="0"/>
    <n v="0"/>
    <n v="0"/>
    <n v="0.22"/>
    <e v="#N/A"/>
    <s v="pmarilun"/>
  </r>
  <r>
    <x v="307"/>
    <x v="42"/>
    <s v="Admin/HR/IT"/>
    <s v="AMCARE NonOcc In"/>
    <s v="TEMP"/>
    <n v="202194885"/>
    <s v="Bermejo,Israel"/>
    <s v="Piedra,Valentina"/>
    <n v="0"/>
    <n v="0"/>
    <n v="0"/>
    <n v="0"/>
    <n v="1.87"/>
    <e v="#N/A"/>
    <s v="bermisrq"/>
  </r>
  <r>
    <x v="307"/>
    <x v="42"/>
    <s v="Admin/HR/IT"/>
    <s v="AMCARE NonOcc In"/>
    <s v="TEMP"/>
    <n v="202246028"/>
    <s v="Garcia,Rodrigo"/>
    <s v="Munoz,Jonan"/>
    <n v="0"/>
    <n v="0"/>
    <n v="0"/>
    <n v="0"/>
    <n v="0.66"/>
    <e v="#N/A"/>
    <s v="garcrodv"/>
  </r>
  <r>
    <x v="307"/>
    <x v="42"/>
    <s v="Admin/HR/IT"/>
    <s v="AMCARE NonOcc In"/>
    <s v="TEMP"/>
    <n v="202253745"/>
    <s v="Rodriguez,Gaby"/>
    <s v="Camarena,Grecia"/>
    <n v="0"/>
    <n v="0"/>
    <n v="0"/>
    <n v="0"/>
    <n v="0.18"/>
    <e v="#N/A"/>
    <s v="rodrisga"/>
  </r>
  <r>
    <x v="307"/>
    <x v="42"/>
    <s v="Admin/HR/IT"/>
    <s v="AMCARE NonOcc In"/>
    <s v="TEMP"/>
    <n v="202289699"/>
    <s v="Araujo,Hisela"/>
    <s v="Corona Arriaga,Fernando"/>
    <n v="0"/>
    <n v="0"/>
    <n v="0"/>
    <n v="0"/>
    <n v="0.16"/>
    <e v="#N/A"/>
    <s v="hiselara"/>
  </r>
  <r>
    <x v="307"/>
    <x v="42"/>
    <s v="Admin/HR/IT"/>
    <s v="AMCARE NonOcc In"/>
    <s v="TEMP"/>
    <n v="202291219"/>
    <s v="Aguilar,Carlos"/>
    <s v="Piedra,Valentina"/>
    <n v="0"/>
    <n v="0"/>
    <n v="0"/>
    <n v="0"/>
    <n v="0.7"/>
    <e v="#N/A"/>
    <s v="yaguicar"/>
  </r>
  <r>
    <x v="307"/>
    <x v="42"/>
    <s v="Admin/HR/IT"/>
    <s v="AMCARE NonOcc In"/>
    <s v="TEMP"/>
    <n v="202291384"/>
    <s v="Vela,Sergio"/>
    <s v="Romero Sanchez,Gustavo Gabriel"/>
    <n v="0"/>
    <n v="0"/>
    <n v="0"/>
    <n v="0"/>
    <n v="0.14000000000000001"/>
    <e v="#N/A"/>
    <s v="servelaj"/>
  </r>
  <r>
    <x v="307"/>
    <x v="42"/>
    <s v="Admin/HR/IT"/>
    <s v="AMCARE NonOcc In"/>
    <s v="TEMP"/>
    <n v="202291460"/>
    <s v="Ornelas,Ana"/>
    <s v="Corona Arriaga,Fernando"/>
    <n v="0"/>
    <n v="0"/>
    <n v="0"/>
    <n v="0"/>
    <n v="0.32"/>
    <e v="#N/A"/>
    <s v="anaornev"/>
  </r>
  <r>
    <x v="307"/>
    <x v="42"/>
    <s v="Admin/HR/IT"/>
    <s v="AMCARE NonOcc In"/>
    <s v="TEMP"/>
    <n v="202308885"/>
    <s v="Adona,Erika"/>
    <s v="Lopez,Alexa"/>
    <n v="0"/>
    <n v="0"/>
    <n v="0"/>
    <n v="0"/>
    <n v="0.45"/>
    <e v="#N/A"/>
    <s v="aderikas"/>
  </r>
  <r>
    <x v="307"/>
    <x v="42"/>
    <s v="Admin/HR/IT"/>
    <s v="AMCARE NonOcc In"/>
    <s v="TEMP"/>
    <n v="202334620"/>
    <s v="Vera,Alejandro"/>
    <s v="Piedra,Valentina"/>
    <n v="0"/>
    <n v="0"/>
    <n v="0"/>
    <n v="0"/>
    <n v="0.37"/>
    <e v="#N/A"/>
    <s v="veraaled"/>
  </r>
  <r>
    <x v="307"/>
    <x v="42"/>
    <s v="Admin/HR/IT"/>
    <s v="AMCARE NonOcc In"/>
    <s v="TEMP"/>
    <n v="202334920"/>
    <s v="Ramirez,Rocio"/>
    <s v="Piedra,Valentina"/>
    <n v="0"/>
    <n v="0"/>
    <n v="0"/>
    <n v="0"/>
    <n v="0.19"/>
    <e v="#N/A"/>
    <s v="uroramir"/>
  </r>
  <r>
    <x v="307"/>
    <x v="42"/>
    <s v="Admin/HR/IT"/>
    <s v="AMCARE NonOcc In"/>
    <s v="TEMP"/>
    <n v="202353921"/>
    <s v="Arechar Ortiz,Lindi Noemi"/>
    <s v="Corona Arriaga,Fernando"/>
    <n v="0"/>
    <n v="0"/>
    <n v="0"/>
    <n v="0"/>
    <n v="0.15"/>
    <e v="#N/A"/>
    <s v="lindinoe"/>
  </r>
  <r>
    <x v="307"/>
    <x v="42"/>
    <s v="Admin/HR/IT"/>
    <s v="AMCARE Occ In"/>
    <s v="TEMP"/>
    <n v="201365023"/>
    <s v="Centeno,Ara"/>
    <s v="Romero Sanchez,Gustavo Gabriel"/>
    <n v="0"/>
    <n v="0"/>
    <n v="0"/>
    <n v="0"/>
    <n v="2.5"/>
    <e v="#N/A"/>
    <s v="varacent"/>
  </r>
  <r>
    <x v="308"/>
    <x v="42"/>
    <s v="Admin/HR/IT"/>
    <s v="AMCARE NonOcc In"/>
    <s v="TEMP"/>
    <n v="113014081"/>
    <s v="Frausto,Genesis"/>
    <s v="AlarcÃ³n,Irving"/>
    <n v="0"/>
    <n v="0"/>
    <n v="0"/>
    <n v="0"/>
    <n v="0.34"/>
    <e v="#N/A"/>
    <s v="fraugene"/>
  </r>
  <r>
    <x v="308"/>
    <x v="42"/>
    <s v="Admin/HR/IT"/>
    <s v="AMCARE NonOcc In"/>
    <s v="AMZN"/>
    <n v="113020476"/>
    <s v="Puente Aguilar,Polette"/>
    <s v="Romero Sanchez,Gustavo Gabriel"/>
    <n v="0"/>
    <n v="0"/>
    <n v="0"/>
    <n v="0"/>
    <n v="0.31"/>
    <e v="#N/A"/>
    <s v="polettpu"/>
  </r>
  <r>
    <x v="308"/>
    <x v="42"/>
    <s v="Admin/HR/IT"/>
    <s v="AMCARE NonOcc In"/>
    <s v="AMZN"/>
    <n v="200508323"/>
    <s v="Espejel Lopez,Emmanuel"/>
    <s v="Romero Sanchez,Gustavo Gabriel"/>
    <n v="0"/>
    <n v="0"/>
    <n v="0"/>
    <n v="0"/>
    <n v="0.1"/>
    <e v="#N/A"/>
    <s v="espejell"/>
  </r>
  <r>
    <x v="308"/>
    <x v="42"/>
    <s v="Admin/HR/IT"/>
    <s v="AMCARE NonOcc In"/>
    <s v="AMZN"/>
    <n v="201167388"/>
    <s v="Aguirre,Octavio"/>
    <s v="Romero Sanchez,Gustavo Gabriel"/>
    <n v="0"/>
    <n v="0"/>
    <n v="0"/>
    <n v="0"/>
    <n v="0.14000000000000001"/>
    <e v="#N/A"/>
    <s v="naguirro"/>
  </r>
  <r>
    <x v="308"/>
    <x v="42"/>
    <s v="Admin/HR/IT"/>
    <s v="AMCARE NonOcc In"/>
    <s v="AMZN"/>
    <n v="201223730"/>
    <s v="Sanchiz,Cesarito"/>
    <s v="Romero Sanchez,Gustavo Gabriel"/>
    <n v="0"/>
    <n v="0"/>
    <n v="0"/>
    <n v="0"/>
    <n v="1.42"/>
    <e v="#N/A"/>
    <s v="cesarito"/>
  </r>
  <r>
    <x v="308"/>
    <x v="42"/>
    <s v="Admin/HR/IT"/>
    <s v="AMCARE NonOcc In"/>
    <s v="AMZN"/>
    <n v="201228411"/>
    <s v="Hernandez Soriano,Jazmin"/>
    <s v="Romero Sanchez,Gustavo Gabriel"/>
    <n v="0"/>
    <n v="0"/>
    <n v="0"/>
    <n v="0"/>
    <n v="1.44"/>
    <e v="#N/A"/>
    <s v="jazmiwhe"/>
  </r>
  <r>
    <x v="308"/>
    <x v="42"/>
    <s v="Admin/HR/IT"/>
    <s v="AMCARE NonOcc In"/>
    <s v="TEMP"/>
    <n v="201294217"/>
    <s v="Montes,Bibiana"/>
    <s v="Cortes,Alejandra"/>
    <n v="0"/>
    <n v="0"/>
    <n v="0"/>
    <n v="0"/>
    <n v="0.72"/>
    <e v="#N/A"/>
    <s v="montebib"/>
  </r>
  <r>
    <x v="308"/>
    <x v="42"/>
    <s v="Admin/HR/IT"/>
    <s v="AMCARE NonOcc In"/>
    <s v="TEMP"/>
    <n v="201320536"/>
    <s v="Ibarra,Miguel"/>
    <s v="Piedra,Valentina"/>
    <n v="0"/>
    <n v="0"/>
    <n v="0"/>
    <n v="0"/>
    <n v="0.64"/>
    <e v="#N/A"/>
    <s v="ibalmigu"/>
  </r>
  <r>
    <x v="308"/>
    <x v="42"/>
    <s v="Admin/HR/IT"/>
    <s v="AMCARE NonOcc In"/>
    <s v="AMZN"/>
    <n v="201353234"/>
    <s v="Padilla,Ramon"/>
    <s v="AlarcÃ³n,Irving"/>
    <n v="0"/>
    <n v="0"/>
    <n v="0"/>
    <n v="0"/>
    <n v="0.52"/>
    <e v="#N/A"/>
    <s v="paeramon"/>
  </r>
  <r>
    <x v="308"/>
    <x v="42"/>
    <s v="Admin/HR/IT"/>
    <s v="AMCARE NonOcc In"/>
    <s v="TEMP"/>
    <n v="201365023"/>
    <s v="Centeno,Ara"/>
    <s v="Romero Sanchez,Gustavo Gabriel"/>
    <n v="0"/>
    <n v="0"/>
    <n v="0"/>
    <n v="0"/>
    <n v="0.68"/>
    <e v="#N/A"/>
    <s v="varacent"/>
  </r>
  <r>
    <x v="308"/>
    <x v="42"/>
    <s v="Admin/HR/IT"/>
    <s v="AMCARE NonOcc In"/>
    <s v="TEMP"/>
    <n v="201858867"/>
    <s v="Cruz Velazquez,Gabriela"/>
    <s v="Piedra,Valentina"/>
    <n v="0"/>
    <n v="0"/>
    <n v="0"/>
    <n v="0"/>
    <n v="0.49"/>
    <e v="#N/A"/>
    <s v="tcruzvel"/>
  </r>
  <r>
    <x v="308"/>
    <x v="42"/>
    <s v="Admin/HR/IT"/>
    <s v="AMCARE NonOcc In"/>
    <s v="TEMP"/>
    <n v="202165242"/>
    <s v="Gonzalez,Marco"/>
    <s v="Munoz,Jonan"/>
    <n v="0"/>
    <n v="0"/>
    <n v="0"/>
    <n v="0"/>
    <n v="0.64"/>
    <e v="#N/A"/>
    <s v="marcqgon"/>
  </r>
  <r>
    <x v="308"/>
    <x v="42"/>
    <s v="Admin/HR/IT"/>
    <s v="AMCARE NonOcc In"/>
    <s v="TEMP"/>
    <n v="202165417"/>
    <s v="Moreno,Gonzalo"/>
    <s v="Romero Sanchez,Gustavo Gabriel"/>
    <n v="0"/>
    <n v="0"/>
    <n v="0"/>
    <n v="0"/>
    <n v="0.05"/>
    <e v="#N/A"/>
    <s v="gonzmorw"/>
  </r>
  <r>
    <x v="308"/>
    <x v="42"/>
    <s v="Admin/HR/IT"/>
    <s v="AMCARE NonOcc In"/>
    <s v="TEMP"/>
    <n v="202175671"/>
    <s v="Cruz,Lau"/>
    <s v="Munoz,Jonan"/>
    <n v="0"/>
    <n v="0"/>
    <n v="0"/>
    <n v="0"/>
    <n v="0.3"/>
    <e v="#N/A"/>
    <s v="laucruzc"/>
  </r>
  <r>
    <x v="308"/>
    <x v="42"/>
    <s v="Admin/HR/IT"/>
    <s v="AMCARE NonOcc In"/>
    <s v="TEMP"/>
    <n v="202185231"/>
    <s v="VÃ¡zquez,Daniela"/>
    <s v="Piedra,Valentina"/>
    <n v="0"/>
    <n v="0"/>
    <n v="0"/>
    <n v="0"/>
    <n v="1.46"/>
    <e v="#N/A"/>
    <s v="davazquq"/>
  </r>
  <r>
    <x v="308"/>
    <x v="42"/>
    <s v="Admin/HR/IT"/>
    <s v="AMCARE NonOcc In"/>
    <s v="TEMP"/>
    <n v="202219558"/>
    <s v="Cortes,Ricardo"/>
    <s v="Munoz,Jonan"/>
    <n v="0"/>
    <n v="0"/>
    <n v="0"/>
    <n v="0"/>
    <n v="0.13"/>
    <e v="#N/A"/>
    <s v="ricaqcor"/>
  </r>
  <r>
    <x v="308"/>
    <x v="42"/>
    <s v="Admin/HR/IT"/>
    <s v="AMCARE NonOcc In"/>
    <s v="TEMP"/>
    <n v="202246028"/>
    <s v="Garcia,Rodrigo"/>
    <s v="Munoz,Jonan"/>
    <n v="0"/>
    <n v="0"/>
    <n v="0"/>
    <n v="0"/>
    <n v="0.69"/>
    <e v="#N/A"/>
    <s v="garcrodv"/>
  </r>
  <r>
    <x v="308"/>
    <x v="42"/>
    <s v="Admin/HR/IT"/>
    <s v="AMCARE NonOcc In"/>
    <s v="TEMP"/>
    <n v="202341246"/>
    <s v="Loera,Sofia"/>
    <s v="Romero Sanchez,Gustavo Gabriel"/>
    <n v="0"/>
    <n v="0"/>
    <n v="0"/>
    <n v="0"/>
    <n v="0.09"/>
    <e v="#N/A"/>
    <s v="sofiawlo"/>
  </r>
  <r>
    <x v="308"/>
    <x v="42"/>
    <s v="Admin/HR/IT"/>
    <s v="AMCARE NonOcc In"/>
    <s v="TEMP"/>
    <n v="202353810"/>
    <s v="Trujillo,Luis"/>
    <s v="Corona Arriaga,Fernando"/>
    <n v="0"/>
    <n v="0"/>
    <n v="0"/>
    <n v="0"/>
    <n v="0.35"/>
    <e v="#N/A"/>
    <s v="ylutruji"/>
  </r>
  <r>
    <x v="308"/>
    <x v="42"/>
    <s v="Admin/HR/IT"/>
    <s v="AMCARE NonOcc In"/>
    <s v="TEMP"/>
    <n v="202353921"/>
    <s v="Arechar Ortiz,Lindi Noemi"/>
    <s v="Corona Arriaga,Fernando"/>
    <n v="0"/>
    <n v="0"/>
    <n v="0"/>
    <n v="0"/>
    <n v="0.35"/>
    <e v="#N/A"/>
    <s v="lindinoe"/>
  </r>
  <r>
    <x v="308"/>
    <x v="42"/>
    <s v="Admin/HR/IT"/>
    <s v="AMCARE NonOcc In"/>
    <s v="TEMP"/>
    <n v="202369419"/>
    <s v="Fabian,Ary"/>
    <s v="Romero Sanchez,Gustavo Gabriel"/>
    <n v="0"/>
    <n v="0"/>
    <n v="0"/>
    <n v="0"/>
    <n v="0.09"/>
    <e v="#N/A"/>
    <s v="afabianx"/>
  </r>
  <r>
    <x v="308"/>
    <x v="42"/>
    <s v="Admin/HR/IT"/>
    <s v="AMCARE NonOcc In"/>
    <s v="TEMP"/>
    <n v="202369438"/>
    <s v="Aranda,Reyna"/>
    <s v="Romero Sanchez,Gustavo Gabriel"/>
    <n v="0"/>
    <n v="0"/>
    <n v="0"/>
    <n v="0"/>
    <n v="0.23"/>
    <e v="#N/A"/>
    <s v="uarandar"/>
  </r>
  <r>
    <x v="308"/>
    <x v="42"/>
    <s v="Admin/HR/IT"/>
    <s v="AMCARE NonOcc In"/>
    <s v="TEMP"/>
    <n v="202396758"/>
    <s v="Mack,Jose"/>
    <s v="Cortes,Alejandra"/>
    <n v="0"/>
    <n v="0"/>
    <n v="0"/>
    <n v="0"/>
    <n v="0.21"/>
    <e v="#N/A"/>
    <s v="njosmack"/>
  </r>
  <r>
    <x v="308"/>
    <x v="42"/>
    <s v="Admin/HR/IT"/>
    <s v="AMCARE NonOcc In"/>
    <s v="TEMP"/>
    <n v="202410680"/>
    <s v="Ramirez,Emiliano"/>
    <s v="Cortes,Alejandra"/>
    <n v="0"/>
    <n v="0"/>
    <n v="0"/>
    <n v="0"/>
    <n v="0.75"/>
    <e v="#N/A"/>
    <s v="rremilia"/>
  </r>
  <r>
    <x v="308"/>
    <x v="42"/>
    <s v="Admin/HR/IT"/>
    <s v="AMCARE Out"/>
    <s v="TEMP"/>
    <n v="202165417"/>
    <s v="Moreno,Gonzalo"/>
    <s v="Romero Sanchez,Gustavo Gabriel"/>
    <n v="0"/>
    <n v="0"/>
    <n v="0"/>
    <n v="0"/>
    <n v="0.25"/>
    <e v="#N/A"/>
    <s v="gonzmorw"/>
  </r>
  <r>
    <x v="309"/>
    <x v="43"/>
    <s v="Admin/HR/IT"/>
    <s v="AMCARE NonOcc In"/>
    <s v="AMZN"/>
    <n v="112912506"/>
    <s v="Garcia  Caudillo,Jessica"/>
    <s v="Madrid Molina,Ramon"/>
    <n v="0"/>
    <n v="0"/>
    <n v="0"/>
    <n v="0"/>
    <n v="0.16"/>
    <s v="DA-X0700"/>
    <s v="gakjessi"/>
  </r>
  <r>
    <x v="309"/>
    <x v="43"/>
    <s v="Admin/HR/IT"/>
    <s v="AMCARE NonOcc In"/>
    <s v="AMZN"/>
    <n v="112980812"/>
    <s v="Jacobo,Mary"/>
    <s v="Bueno Mendoza,Susana"/>
    <n v="0"/>
    <n v="0"/>
    <n v="0"/>
    <n v="0"/>
    <n v="0.19"/>
    <s v="DA-X0700"/>
    <s v="maryjacp"/>
  </r>
  <r>
    <x v="309"/>
    <x v="43"/>
    <s v="Admin/HR/IT"/>
    <s v="AMCARE NonOcc In"/>
    <s v="AMZN"/>
    <n v="113014078"/>
    <s v="Nunez Lopez,Aldair"/>
    <s v="Bueno Mendoza,Susana"/>
    <n v="0"/>
    <n v="0"/>
    <n v="0"/>
    <n v="0"/>
    <n v="0.68"/>
    <e v="#N/A"/>
    <s v="dnaldair"/>
  </r>
  <r>
    <x v="309"/>
    <x v="43"/>
    <s v="Admin/HR/IT"/>
    <s v="AMCARE NonOcc In"/>
    <s v="AMZN"/>
    <n v="113020463"/>
    <s v="Valtierra,Alejandra"/>
    <s v="Corona Arriaga,Fernando"/>
    <n v="0"/>
    <n v="0"/>
    <n v="0"/>
    <n v="0"/>
    <n v="0.37"/>
    <e v="#N/A"/>
    <s v="myriamav"/>
  </r>
  <r>
    <x v="309"/>
    <x v="43"/>
    <s v="Admin/HR/IT"/>
    <s v="AMCARE NonOcc In"/>
    <s v="AMZN"/>
    <n v="113101453"/>
    <s v="Isaac,Geovanna"/>
    <s v="Corona Arriaga,Fernando"/>
    <n v="0"/>
    <n v="0"/>
    <n v="0"/>
    <n v="0"/>
    <n v="0.41"/>
    <e v="#N/A"/>
    <s v="qisgeova"/>
  </r>
  <r>
    <x v="309"/>
    <x v="43"/>
    <s v="Admin/HR/IT"/>
    <s v="AMCARE NonOcc In"/>
    <s v="AMZN"/>
    <n v="200534675"/>
    <s v="Munoz Macias,Juan Pablo"/>
    <s v="Rosas Negrete,Sebastian"/>
    <n v="0"/>
    <n v="0"/>
    <n v="0"/>
    <n v="0"/>
    <n v="0.19"/>
    <e v="#N/A"/>
    <s v="juanpmun"/>
  </r>
  <r>
    <x v="309"/>
    <x v="43"/>
    <s v="Admin/HR/IT"/>
    <s v="AMCARE NonOcc In"/>
    <s v="AMZN"/>
    <n v="200574345"/>
    <s v="Contreras,Jony"/>
    <s v="Corona Arriaga,Fernando"/>
    <n v="0"/>
    <n v="0"/>
    <n v="0"/>
    <n v="0"/>
    <n v="0.43"/>
    <e v="#N/A"/>
    <s v="contrexj"/>
  </r>
  <r>
    <x v="309"/>
    <x v="43"/>
    <s v="Admin/HR/IT"/>
    <s v="AMCARE NonOcc In"/>
    <s v="AMZN"/>
    <n v="200625528"/>
    <s v="Oliva,Lizbeth"/>
    <s v="Bueno Mendoza,Susana"/>
    <n v="0"/>
    <n v="0"/>
    <n v="0"/>
    <n v="0"/>
    <n v="0.25"/>
    <e v="#N/A"/>
    <s v="olivlizb"/>
  </r>
  <r>
    <x v="309"/>
    <x v="43"/>
    <s v="Admin/HR/IT"/>
    <s v="AMCARE NonOcc In"/>
    <s v="AMZN"/>
    <n v="201162477"/>
    <s v="Nava,Victor"/>
    <s v="Bueno Mendoza,Susana"/>
    <n v="0"/>
    <n v="0"/>
    <n v="0"/>
    <n v="0"/>
    <n v="0.03"/>
    <e v="#N/A"/>
    <s v="victonay"/>
  </r>
  <r>
    <x v="309"/>
    <x v="43"/>
    <s v="Admin/HR/IT"/>
    <s v="AMCARE NonOcc In"/>
    <s v="AMZN"/>
    <n v="201165769"/>
    <s v="Puente,Karen"/>
    <s v="Bueno Mendoza,Susana"/>
    <n v="0"/>
    <n v="0"/>
    <n v="0"/>
    <n v="0"/>
    <n v="1.03"/>
    <e v="#N/A"/>
    <s v="puenkare"/>
  </r>
  <r>
    <x v="309"/>
    <x v="43"/>
    <s v="Admin/HR/IT"/>
    <s v="AMCARE NonOcc In"/>
    <s v="AMZN"/>
    <n v="201166890"/>
    <s v="Caballero,Daniel"/>
    <s v="Rosas Negrete,Sebastian"/>
    <n v="0"/>
    <n v="0"/>
    <n v="0"/>
    <n v="0"/>
    <n v="0.19"/>
    <e v="#N/A"/>
    <s v="lcabadan"/>
  </r>
  <r>
    <x v="309"/>
    <x v="43"/>
    <s v="Admin/HR/IT"/>
    <s v="AMCARE NonOcc In"/>
    <s v="AMZN"/>
    <n v="201197964"/>
    <s v="Quijas,Matzayani"/>
    <s v="Rosas Negrete,Sebastian"/>
    <n v="0"/>
    <n v="0"/>
    <n v="0"/>
    <n v="0"/>
    <n v="0.37"/>
    <e v="#N/A"/>
    <s v="matzquij"/>
  </r>
  <r>
    <x v="309"/>
    <x v="43"/>
    <s v="Admin/HR/IT"/>
    <s v="AMCARE NonOcc In"/>
    <s v="AMZN"/>
    <n v="201345774"/>
    <s v="Quijas,Jonathan"/>
    <s v="Corona Arriaga,Fernando"/>
    <n v="0"/>
    <n v="0"/>
    <n v="0"/>
    <n v="0"/>
    <n v="0.35"/>
    <e v="#N/A"/>
    <s v="jonquija"/>
  </r>
  <r>
    <x v="309"/>
    <x v="43"/>
    <s v="Admin/HR/IT"/>
    <s v="AMCARE NonOcc In"/>
    <s v="AMZN"/>
    <n v="201390638"/>
    <s v="Bernal,Uriel"/>
    <s v="Corona Arriaga,Fernando"/>
    <n v="0"/>
    <n v="0"/>
    <n v="0"/>
    <n v="0"/>
    <n v="0.28999999999999998"/>
    <e v="#N/A"/>
    <s v="furielbe"/>
  </r>
  <r>
    <x v="309"/>
    <x v="43"/>
    <s v="Admin/HR/IT"/>
    <s v="AMCARE NonOcc In"/>
    <s v="TEMP"/>
    <n v="202129193"/>
    <s v="Hernandez Montiel,Angelica Teresa"/>
    <s v="Madrid Molina,Ramon"/>
    <n v="0"/>
    <n v="0"/>
    <n v="0"/>
    <n v="0"/>
    <n v="0.51"/>
    <e v="#N/A"/>
    <s v="herngang"/>
  </r>
  <r>
    <x v="309"/>
    <x v="43"/>
    <s v="Admin/HR/IT"/>
    <s v="AMCARE NonOcc In"/>
    <s v="TEMP"/>
    <n v="202219678"/>
    <s v="HernÃ¡ndez,Cinthia"/>
    <s v="Rosas Negrete,Sebastian"/>
    <n v="0"/>
    <n v="0"/>
    <n v="0"/>
    <n v="0"/>
    <n v="0.22"/>
    <e v="#N/A"/>
    <s v="cihernaf"/>
  </r>
  <r>
    <x v="309"/>
    <x v="43"/>
    <s v="Admin/HR/IT"/>
    <s v="AMCARE NonOcc In"/>
    <s v="TEMP"/>
    <n v="202265870"/>
    <s v="Hidalgo,Alexander"/>
    <s v="Corona Arriaga,Fernando"/>
    <n v="0"/>
    <n v="0"/>
    <n v="0"/>
    <n v="0"/>
    <n v="0.3"/>
    <e v="#N/A"/>
    <s v="falexahi"/>
  </r>
  <r>
    <x v="309"/>
    <x v="43"/>
    <s v="Admin/HR/IT"/>
    <s v="AMCARE NonOcc In"/>
    <s v="TEMP"/>
    <n v="202364552"/>
    <s v="Rocha,Apolo"/>
    <s v="Cortes,Alejandra"/>
    <n v="0"/>
    <n v="0"/>
    <n v="0"/>
    <n v="0"/>
    <n v="1.1200000000000001"/>
    <e v="#N/A"/>
    <s v="roapolot"/>
  </r>
  <r>
    <x v="309"/>
    <x v="43"/>
    <s v="Admin/HR/IT"/>
    <s v="AMCARE NonOcc In"/>
    <s v="TEMP"/>
    <n v="202442794"/>
    <s v="Gonzalez,Flor"/>
    <s v="Hernandez,Nataly"/>
    <n v="0"/>
    <n v="0"/>
    <n v="0"/>
    <n v="0"/>
    <n v="0.28000000000000003"/>
    <e v="#N/A"/>
    <s v="jflogonz"/>
  </r>
  <r>
    <x v="309"/>
    <x v="43"/>
    <s v="Admin/HR/IT"/>
    <s v="AMCARE NonOcc In"/>
    <s v="TEMP"/>
    <n v="202513042"/>
    <s v="Aguilar,Mary"/>
    <s v="Madrid Molina,Ramon"/>
    <n v="0"/>
    <n v="0"/>
    <n v="0"/>
    <n v="0"/>
    <n v="0.45"/>
    <e v="#N/A"/>
    <s v="maryragu"/>
  </r>
  <r>
    <x v="310"/>
    <x v="43"/>
    <s v="Admin/HR/IT"/>
    <s v="AMCARE NonOcc In"/>
    <s v="AMZN"/>
    <n v="103979960"/>
    <s v="Suchil Angel,Guillermo"/>
    <s v="Corona Arriaga,Fernando"/>
    <n v="0"/>
    <n v="0"/>
    <n v="0"/>
    <n v="0"/>
    <n v="0.03"/>
    <e v="#N/A"/>
    <e v="#N/A"/>
  </r>
  <r>
    <x v="310"/>
    <x v="43"/>
    <s v="Admin/HR/IT"/>
    <s v="AMCARE NonOcc In"/>
    <s v="AMZN"/>
    <n v="112912506"/>
    <s v="Garcia  Caudillo,Jessica"/>
    <s v="Madrid Molina,Ramon"/>
    <n v="0"/>
    <n v="0"/>
    <n v="0"/>
    <n v="0"/>
    <n v="0.03"/>
    <s v="DA-X0700"/>
    <s v="gakjessi"/>
  </r>
  <r>
    <x v="310"/>
    <x v="43"/>
    <s v="Admin/HR/IT"/>
    <s v="AMCARE NonOcc In"/>
    <s v="AMZN"/>
    <n v="112981196"/>
    <s v="Gomez,Andrea"/>
    <s v="Bueno Mendoza,Susana"/>
    <n v="0"/>
    <n v="0"/>
    <n v="0"/>
    <n v="0"/>
    <n v="0.18"/>
    <e v="#N/A"/>
    <s v="vandgome"/>
  </r>
  <r>
    <x v="310"/>
    <x v="43"/>
    <s v="Admin/HR/IT"/>
    <s v="AMCARE NonOcc In"/>
    <s v="AMZN"/>
    <n v="113044763"/>
    <s v="Urbina Avila,Stephany"/>
    <s v="Munoz,Jonan"/>
    <n v="0"/>
    <n v="0"/>
    <n v="0"/>
    <n v="0"/>
    <n v="0.14000000000000001"/>
    <e v="#N/A"/>
    <s v="urbistep"/>
  </r>
  <r>
    <x v="310"/>
    <x v="43"/>
    <s v="Admin/HR/IT"/>
    <s v="AMCARE NonOcc In"/>
    <s v="AMZN"/>
    <n v="200563038"/>
    <s v="Arias,Elizabeth"/>
    <s v="Munoz,Jonan"/>
    <n v="0"/>
    <n v="0"/>
    <n v="0"/>
    <n v="0"/>
    <n v="0.34"/>
    <e v="#N/A"/>
    <s v="ariaszee"/>
  </r>
  <r>
    <x v="310"/>
    <x v="43"/>
    <s v="Admin/HR/IT"/>
    <s v="AMCARE NonOcc In"/>
    <s v="AMZN"/>
    <n v="200574345"/>
    <s v="Contreras,Jony"/>
    <s v="Corona Arriaga,Fernando"/>
    <n v="0"/>
    <n v="0"/>
    <n v="0"/>
    <n v="0"/>
    <n v="1.1299999999999999"/>
    <e v="#N/A"/>
    <s v="contrexj"/>
  </r>
  <r>
    <x v="310"/>
    <x v="43"/>
    <s v="Admin/HR/IT"/>
    <s v="AMCARE NonOcc In"/>
    <s v="AMZN"/>
    <n v="201197964"/>
    <s v="Quijas,Matzayani"/>
    <s v="Rosas Negrete,Sebastian"/>
    <n v="0"/>
    <n v="0"/>
    <n v="0"/>
    <n v="0"/>
    <n v="0.24"/>
    <e v="#N/A"/>
    <s v="matzquij"/>
  </r>
  <r>
    <x v="310"/>
    <x v="43"/>
    <s v="Admin/HR/IT"/>
    <s v="AMCARE NonOcc In"/>
    <s v="AMZN"/>
    <n v="201386201"/>
    <s v="Castillo,Janai"/>
    <s v="Bueno Mendoza,Susana"/>
    <n v="0"/>
    <n v="0"/>
    <n v="0"/>
    <n v="0"/>
    <n v="0.64"/>
    <e v="#N/A"/>
    <s v="castjanr"/>
  </r>
  <r>
    <x v="310"/>
    <x v="43"/>
    <s v="Admin/HR/IT"/>
    <s v="AMCARE NonOcc In"/>
    <s v="AMZN"/>
    <n v="201841831"/>
    <s v="Hurtado,Isis"/>
    <s v="Piedra,Valentina"/>
    <n v="0"/>
    <n v="0"/>
    <n v="0"/>
    <n v="0"/>
    <n v="0.12"/>
    <e v="#N/A"/>
    <s v="hurtcisi"/>
  </r>
  <r>
    <x v="310"/>
    <x v="43"/>
    <s v="Admin/HR/IT"/>
    <s v="AMCARE NonOcc In"/>
    <s v="AMZN"/>
    <n v="201858605"/>
    <s v="Morales,Emmanuel"/>
    <s v="Bueno Mendoza,Susana"/>
    <n v="0"/>
    <n v="0"/>
    <n v="0"/>
    <n v="0"/>
    <n v="0.28000000000000003"/>
    <e v="#N/A"/>
    <s v="bmoremma"/>
  </r>
  <r>
    <x v="310"/>
    <x v="43"/>
    <s v="Admin/HR/IT"/>
    <s v="AMCARE NonOcc In"/>
    <s v="TEMP"/>
    <n v="201880542"/>
    <s v="ORTIZ,CORPUS"/>
    <s v="Bueno Mendoza,Susana"/>
    <n v="0"/>
    <n v="0"/>
    <n v="0"/>
    <n v="0"/>
    <n v="0.78"/>
    <e v="#N/A"/>
    <s v="orticorp"/>
  </r>
  <r>
    <x v="310"/>
    <x v="43"/>
    <s v="Admin/HR/IT"/>
    <s v="AMCARE NonOcc In"/>
    <s v="TEMP"/>
    <n v="201890790"/>
    <s v="Zuniga,Victor"/>
    <s v="Corona Arriaga,Fernando"/>
    <n v="0"/>
    <n v="0"/>
    <n v="0"/>
    <n v="0"/>
    <n v="0.17"/>
    <e v="#N/A"/>
    <s v="vicxzuni"/>
  </r>
  <r>
    <x v="310"/>
    <x v="43"/>
    <s v="Admin/HR/IT"/>
    <s v="AMCARE NonOcc In"/>
    <s v="TEMP"/>
    <n v="202063545"/>
    <s v="GarcÃ­a,Ana"/>
    <s v="Rosas Negrete,Sebastian"/>
    <n v="0"/>
    <n v="0"/>
    <n v="0"/>
    <n v="0"/>
    <n v="0.8"/>
    <e v="#N/A"/>
    <s v="angarcz"/>
  </r>
  <r>
    <x v="310"/>
    <x v="43"/>
    <s v="Admin/HR/IT"/>
    <s v="AMCARE NonOcc In"/>
    <s v="TEMP"/>
    <n v="202137341"/>
    <s v="Bravo,Edgar"/>
    <s v="Rosas Negrete,Sebastian"/>
    <n v="0"/>
    <n v="0"/>
    <n v="0"/>
    <n v="0"/>
    <n v="0.34"/>
    <e v="#N/A"/>
    <s v="xedgabra"/>
  </r>
  <r>
    <x v="310"/>
    <x v="43"/>
    <s v="Admin/HR/IT"/>
    <s v="AMCARE NonOcc In"/>
    <s v="TEMP"/>
    <n v="202185991"/>
    <s v="VÃ¡zquez,AndrÃ©s"/>
    <s v="Bueno Mendoza,Susana"/>
    <n v="0"/>
    <n v="0"/>
    <n v="0"/>
    <n v="0"/>
    <n v="0.22"/>
    <e v="#N/A"/>
    <s v="vaziandr"/>
  </r>
  <r>
    <x v="310"/>
    <x v="43"/>
    <s v="Admin/HR/IT"/>
    <s v="AMCARE NonOcc In"/>
    <s v="TEMP"/>
    <n v="202206867"/>
    <s v="Toledo,Eva"/>
    <s v="Rosas Negrete,Sebastian"/>
    <n v="0"/>
    <n v="0"/>
    <n v="0"/>
    <n v="0"/>
    <n v="0.1"/>
    <e v="#N/A"/>
    <s v="toledoev"/>
  </r>
  <r>
    <x v="310"/>
    <x v="43"/>
    <s v="Admin/HR/IT"/>
    <s v="AMCARE NonOcc In"/>
    <s v="TEMP"/>
    <n v="202225896"/>
    <s v="Reyes,Josue"/>
    <s v="Rosas Negrete,Sebastian"/>
    <n v="0"/>
    <n v="0"/>
    <n v="0"/>
    <n v="0"/>
    <n v="0.23"/>
    <e v="#N/A"/>
    <s v="reymjosu"/>
  </r>
  <r>
    <x v="310"/>
    <x v="43"/>
    <s v="Admin/HR/IT"/>
    <s v="AMCARE NonOcc In"/>
    <s v="TEMP"/>
    <n v="202250323"/>
    <s v="Esqueda,Soledad"/>
    <s v="Corona Arriaga,Fernando"/>
    <n v="0"/>
    <n v="0"/>
    <n v="0"/>
    <n v="0"/>
    <n v="0.69"/>
    <e v="#N/A"/>
    <s v="soledesq"/>
  </r>
  <r>
    <x v="310"/>
    <x v="43"/>
    <s v="Admin/HR/IT"/>
    <s v="AMCARE NonOcc In"/>
    <s v="TEMP"/>
    <n v="202265858"/>
    <s v="Salmeron,Alexa"/>
    <s v="Corona Arriaga,Fernando"/>
    <n v="0"/>
    <n v="0"/>
    <n v="0"/>
    <n v="0"/>
    <n v="0.19"/>
    <e v="#N/A"/>
    <s v="nalesalm"/>
  </r>
  <r>
    <x v="310"/>
    <x v="43"/>
    <s v="Admin/HR/IT"/>
    <s v="AMCARE NonOcc In"/>
    <s v="TEMP"/>
    <n v="202283406"/>
    <s v="Vazquez,Angelica"/>
    <s v="Rosas Negrete,Sebastian"/>
    <n v="0"/>
    <n v="0"/>
    <n v="0"/>
    <n v="0"/>
    <n v="0.12"/>
    <e v="#N/A"/>
    <s v="iangevaz"/>
  </r>
  <r>
    <x v="310"/>
    <x v="43"/>
    <s v="Admin/HR/IT"/>
    <s v="AMCARE NonOcc In"/>
    <s v="TEMP"/>
    <n v="202287922"/>
    <s v="Andrade,Gema"/>
    <s v="Madrid Molina,Ramon"/>
    <n v="0"/>
    <n v="0"/>
    <n v="0"/>
    <n v="0"/>
    <n v="0.23"/>
    <e v="#N/A"/>
    <s v="gemandra"/>
  </r>
  <r>
    <x v="310"/>
    <x v="43"/>
    <s v="Admin/HR/IT"/>
    <s v="AMCARE NonOcc In"/>
    <s v="TEMP"/>
    <n v="202291188"/>
    <s v="Alvarez,Fernanda"/>
    <s v="Madrid Molina,Ramon"/>
    <n v="0"/>
    <n v="0"/>
    <n v="0"/>
    <n v="0"/>
    <n v="0.9"/>
    <e v="#N/A"/>
    <s v="alvqfern"/>
  </r>
  <r>
    <x v="310"/>
    <x v="43"/>
    <s v="Admin/HR/IT"/>
    <s v="AMCARE NonOcc In"/>
    <s v="TEMP"/>
    <n v="202334621"/>
    <s v="Ramos,Karla"/>
    <s v="Rosas Negrete,Sebastian"/>
    <n v="0"/>
    <n v="0"/>
    <n v="0"/>
    <n v="0"/>
    <n v="0.21"/>
    <e v="#N/A"/>
    <s v="tkarlram"/>
  </r>
  <r>
    <x v="310"/>
    <x v="43"/>
    <s v="Admin/HR/IT"/>
    <s v="AMCARE NonOcc In"/>
    <s v="TEMP"/>
    <n v="202334866"/>
    <s v="Villalpando Hernandez,Kelvin"/>
    <s v="Madrid Molina,Ramon"/>
    <n v="0"/>
    <n v="0"/>
    <n v="0"/>
    <n v="0"/>
    <n v="0.25"/>
    <e v="#N/A"/>
    <s v="villwkel"/>
  </r>
  <r>
    <x v="310"/>
    <x v="43"/>
    <s v="Admin/HR/IT"/>
    <s v="AMCARE NonOcc In"/>
    <s v="TEMP"/>
    <n v="202353921"/>
    <s v="Arechar Ortiz,Lindi Noemi"/>
    <s v="Corona Arriaga,Fernando"/>
    <n v="0"/>
    <n v="0"/>
    <n v="0"/>
    <n v="0"/>
    <n v="0.16"/>
    <e v="#N/A"/>
    <s v="lindinoe"/>
  </r>
  <r>
    <x v="310"/>
    <x v="43"/>
    <s v="Admin/HR/IT"/>
    <s v="AMCARE NonOcc In"/>
    <s v="TEMP"/>
    <n v="202437991"/>
    <s v="Villalpando,Cristopher"/>
    <s v="Madrid Molina,Ramon"/>
    <n v="0"/>
    <n v="0"/>
    <n v="0"/>
    <n v="0"/>
    <n v="0.32"/>
    <e v="#N/A"/>
    <s v="crisgvil"/>
  </r>
  <r>
    <x v="310"/>
    <x v="43"/>
    <s v="Admin/HR/IT"/>
    <s v="AMCARE NonOcc In"/>
    <s v="TEMP"/>
    <n v="202479908"/>
    <s v="Marquez,Diana"/>
    <s v="Camarena,Grecia"/>
    <n v="0"/>
    <n v="0"/>
    <n v="0"/>
    <n v="0"/>
    <n v="0.23"/>
    <e v="#N/A"/>
    <s v="jmadiana"/>
  </r>
  <r>
    <x v="310"/>
    <x v="43"/>
    <s v="Admin/HR/IT"/>
    <s v="AMCARE NonOcc In"/>
    <s v="TEMP"/>
    <n v="202484094"/>
    <s v="Gonzalez,Andrea"/>
    <s v="Camarena,Grecia"/>
    <n v="0"/>
    <n v="0"/>
    <n v="0"/>
    <n v="0"/>
    <n v="0.09"/>
    <e v="#N/A"/>
    <s v="rgonzand"/>
  </r>
  <r>
    <x v="310"/>
    <x v="43"/>
    <s v="Admin/HR/IT"/>
    <s v="AMCARE NonOcc In"/>
    <s v="TEMP"/>
    <n v="202484145"/>
    <s v="Campos,Susana"/>
    <s v="Madrid Molina,Ramon"/>
    <n v="0"/>
    <n v="0"/>
    <n v="0"/>
    <n v="0"/>
    <n v="0.62"/>
    <e v="#N/A"/>
    <s v="camisusa"/>
  </r>
  <r>
    <x v="310"/>
    <x v="43"/>
    <s v="Admin/HR/IT"/>
    <s v="AMCARE NonOcc In"/>
    <s v="TEMP"/>
    <n v="202507047"/>
    <s v="MartÃ­nez,Jesus"/>
    <s v="Madrid Molina,Ramon"/>
    <n v="0"/>
    <n v="0"/>
    <n v="0"/>
    <n v="0"/>
    <n v="0.2"/>
    <e v="#N/A"/>
    <s v="martcjes"/>
  </r>
  <r>
    <x v="310"/>
    <x v="43"/>
    <s v="Admin/HR/IT"/>
    <s v="AMCARE NonOcc In"/>
    <s v="TEMP"/>
    <n v="202510583"/>
    <s v="Jimenez Becerra,Juan Carlos"/>
    <s v="Madrid Molina,Ramon"/>
    <n v="0"/>
    <n v="0"/>
    <n v="0"/>
    <n v="0"/>
    <n v="0.04"/>
    <e v="#N/A"/>
    <s v="jifjuanc"/>
  </r>
  <r>
    <x v="311"/>
    <x v="43"/>
    <s v="Admin/HR/IT"/>
    <s v="AMCARE NonOcc In"/>
    <s v="AMZN"/>
    <n v="112912752"/>
    <s v="Valderrama Gomez,Leslie"/>
    <s v="Camarena,Grecia"/>
    <n v="0"/>
    <n v="0"/>
    <n v="0"/>
    <n v="0"/>
    <n v="0.62"/>
    <s v="NF-X1900"/>
    <s v="valderle"/>
  </r>
  <r>
    <x v="311"/>
    <x v="43"/>
    <s v="Admin/HR/IT"/>
    <s v="AMCARE NonOcc In"/>
    <s v="AMZN"/>
    <n v="112980899"/>
    <s v="Avila Cabrera,Ari"/>
    <s v="Camarena,Grecia"/>
    <n v="0"/>
    <n v="0"/>
    <n v="0"/>
    <n v="0"/>
    <n v="0.18"/>
    <s v="NF-X1900"/>
    <s v="aravilac"/>
  </r>
  <r>
    <x v="311"/>
    <x v="43"/>
    <s v="Admin/HR/IT"/>
    <s v="AMCARE NonOcc In"/>
    <s v="AMZN"/>
    <n v="112981194"/>
    <s v="Camacho Delgado,Karina"/>
    <s v="Camarena,Grecia"/>
    <n v="0"/>
    <n v="0"/>
    <n v="0"/>
    <n v="0"/>
    <n v="0.18"/>
    <s v="NF-X1900"/>
    <s v="csandrak"/>
  </r>
  <r>
    <x v="311"/>
    <x v="43"/>
    <s v="Admin/HR/IT"/>
    <s v="AMCARE NonOcc In"/>
    <s v="AMZN"/>
    <n v="200404250"/>
    <s v="Hurtado,Caty"/>
    <s v="Corona Arriaga,Fernando"/>
    <n v="0"/>
    <n v="0"/>
    <n v="0"/>
    <n v="0"/>
    <n v="0.11"/>
    <e v="#N/A"/>
    <s v="xcathurt"/>
  </r>
  <r>
    <x v="311"/>
    <x v="43"/>
    <s v="Admin/HR/IT"/>
    <s v="AMCARE NonOcc In"/>
    <s v="AMZN"/>
    <n v="200625528"/>
    <s v="Oliva,Lizbeth"/>
    <s v="Bueno Mendoza,Susana"/>
    <n v="0"/>
    <n v="0"/>
    <n v="0"/>
    <n v="0"/>
    <n v="0.9"/>
    <e v="#N/A"/>
    <s v="olivlizb"/>
  </r>
  <r>
    <x v="311"/>
    <x v="43"/>
    <s v="Admin/HR/IT"/>
    <s v="AMCARE NonOcc In"/>
    <s v="AMZN"/>
    <n v="201167501"/>
    <s v="Rodriguez,Ruben"/>
    <s v="Corona Arriaga,Fernando"/>
    <n v="0"/>
    <n v="0"/>
    <n v="0"/>
    <n v="0"/>
    <n v="0.85"/>
    <e v="#N/A"/>
    <s v="wguanajr"/>
  </r>
  <r>
    <x v="311"/>
    <x v="43"/>
    <s v="Admin/HR/IT"/>
    <s v="AMCARE NonOcc In"/>
    <s v="AMZN"/>
    <n v="201191198"/>
    <s v="Mojica,Emmanuel"/>
    <s v="Piedra,Valentina"/>
    <n v="0"/>
    <n v="0"/>
    <n v="0"/>
    <n v="0"/>
    <n v="0.01"/>
    <e v="#N/A"/>
    <s v="mojicemm"/>
  </r>
  <r>
    <x v="311"/>
    <x v="43"/>
    <s v="Admin/HR/IT"/>
    <s v="AMCARE NonOcc In"/>
    <s v="AMZN"/>
    <n v="201197964"/>
    <s v="Quijas,Matzayani"/>
    <s v="Rosas Negrete,Sebastian"/>
    <n v="0"/>
    <n v="0"/>
    <n v="0"/>
    <n v="0"/>
    <n v="0.04"/>
    <e v="#N/A"/>
    <s v="matzquij"/>
  </r>
  <r>
    <x v="311"/>
    <x v="43"/>
    <s v="Admin/HR/IT"/>
    <s v="AMCARE NonOcc In"/>
    <s v="AMZN"/>
    <n v="201202093"/>
    <s v="Ortega,Elizabeth"/>
    <s v="Hernandez,Evelyn"/>
    <n v="0"/>
    <n v="0"/>
    <n v="0"/>
    <n v="0"/>
    <n v="7.0000000000000007E-2"/>
    <e v="#N/A"/>
    <s v="eliorten"/>
  </r>
  <r>
    <x v="311"/>
    <x v="43"/>
    <s v="Admin/HR/IT"/>
    <s v="AMCARE NonOcc In"/>
    <s v="AMZN"/>
    <n v="201842039"/>
    <s v="Martinez,Antonio"/>
    <s v="Piedra,Valentina"/>
    <n v="0"/>
    <n v="0"/>
    <n v="0"/>
    <n v="0"/>
    <n v="0.14000000000000001"/>
    <e v="#N/A"/>
    <s v="fantmar"/>
  </r>
  <r>
    <x v="311"/>
    <x v="43"/>
    <s v="Admin/HR/IT"/>
    <s v="AMCARE NonOcc In"/>
    <s v="AMZN"/>
    <n v="201858330"/>
    <s v="Arrona,Pablo"/>
    <s v="Bueno Mendoza,Susana"/>
    <n v="0"/>
    <n v="0"/>
    <n v="0"/>
    <n v="0"/>
    <n v="0.17"/>
    <e v="#N/A"/>
    <s v="arrwpabl"/>
  </r>
  <r>
    <x v="311"/>
    <x v="43"/>
    <s v="Admin/HR/IT"/>
    <s v="AMCARE NonOcc In"/>
    <s v="TEMP"/>
    <n v="202130113"/>
    <s v="Rangel,Tania"/>
    <s v="Madrid Molina,Ramon"/>
    <n v="0"/>
    <n v="0"/>
    <n v="0"/>
    <n v="0"/>
    <n v="0.28000000000000003"/>
    <e v="#N/A"/>
    <s v="tanirang"/>
  </r>
  <r>
    <x v="311"/>
    <x v="43"/>
    <s v="Admin/HR/IT"/>
    <s v="AMCARE NonOcc In"/>
    <s v="TEMP"/>
    <n v="202163986"/>
    <s v="Franco,Jose"/>
    <s v="Rosas Negrete,Sebastian"/>
    <n v="0"/>
    <n v="0"/>
    <n v="0"/>
    <n v="0"/>
    <n v="0.18"/>
    <e v="#N/A"/>
    <s v="franhjos"/>
  </r>
  <r>
    <x v="311"/>
    <x v="43"/>
    <s v="Admin/HR/IT"/>
    <s v="AMCARE NonOcc In"/>
    <s v="TEMP"/>
    <n v="202165242"/>
    <s v="Gonzalez,Marco"/>
    <s v="Munoz,Jonan"/>
    <n v="0"/>
    <n v="0"/>
    <n v="0"/>
    <n v="0"/>
    <n v="0.21"/>
    <e v="#N/A"/>
    <s v="marcqgon"/>
  </r>
  <r>
    <x v="311"/>
    <x v="43"/>
    <s v="Admin/HR/IT"/>
    <s v="AMCARE NonOcc In"/>
    <s v="TEMP"/>
    <n v="202166757"/>
    <s v="Cortes,Axel"/>
    <s v="Hernandez,Nataly"/>
    <n v="0"/>
    <n v="0"/>
    <n v="0"/>
    <n v="0"/>
    <n v="0.67"/>
    <e v="#N/A"/>
    <s v="corteax"/>
  </r>
  <r>
    <x v="311"/>
    <x v="43"/>
    <s v="Admin/HR/IT"/>
    <s v="AMCARE NonOcc In"/>
    <s v="TEMP"/>
    <n v="202167361"/>
    <s v="Gil Rico,Frida Ernestina"/>
    <s v="Bueno Mendoza,Susana"/>
    <n v="0"/>
    <n v="0"/>
    <n v="0"/>
    <n v="0"/>
    <n v="0.22"/>
    <e v="#N/A"/>
    <s v="gifridae"/>
  </r>
  <r>
    <x v="311"/>
    <x v="43"/>
    <s v="Admin/HR/IT"/>
    <s v="AMCARE NonOcc In"/>
    <s v="TEMP"/>
    <n v="202236342"/>
    <s v="Funes,Michelle"/>
    <s v="Camarena,Grecia"/>
    <n v="0"/>
    <n v="0"/>
    <n v="0"/>
    <n v="0"/>
    <n v="0.24"/>
    <e v="#N/A"/>
    <s v="miafunes"/>
  </r>
  <r>
    <x v="311"/>
    <x v="43"/>
    <s v="Admin/HR/IT"/>
    <s v="AMCARE NonOcc In"/>
    <s v="TEMP"/>
    <n v="202245845"/>
    <s v="Medina,Angel"/>
    <s v="Rosas Negrete,Sebastian"/>
    <n v="0"/>
    <n v="0"/>
    <n v="0"/>
    <n v="0"/>
    <n v="0.18"/>
    <e v="#N/A"/>
    <s v="cangmedi"/>
  </r>
  <r>
    <x v="311"/>
    <x v="43"/>
    <s v="Admin/HR/IT"/>
    <s v="AMCARE NonOcc In"/>
    <s v="TEMP"/>
    <n v="202253767"/>
    <s v="Romero,Francisco"/>
    <s v="Camarena,Grecia"/>
    <n v="0"/>
    <n v="0"/>
    <n v="0"/>
    <n v="0"/>
    <n v="7.0000000000000007E-2"/>
    <e v="#N/A"/>
    <s v="jromefra"/>
  </r>
  <r>
    <x v="311"/>
    <x v="43"/>
    <s v="Admin/HR/IT"/>
    <s v="AMCARE NonOcc In"/>
    <s v="TEMP"/>
    <n v="202266131"/>
    <s v="Guadian,Gaby"/>
    <s v="Corona Arriaga,Fernando"/>
    <n v="0"/>
    <n v="0"/>
    <n v="0"/>
    <n v="0"/>
    <n v="0.18"/>
    <e v="#N/A"/>
    <s v="gguadia"/>
  </r>
  <r>
    <x v="311"/>
    <x v="43"/>
    <s v="Admin/HR/IT"/>
    <s v="AMCARE NonOcc In"/>
    <s v="TEMP"/>
    <n v="202273970"/>
    <s v="Medina,Jafet"/>
    <s v="Camarena,Grecia"/>
    <n v="0"/>
    <n v="0"/>
    <n v="0"/>
    <n v="0"/>
    <n v="0.21"/>
    <e v="#N/A"/>
    <s v="jafemedi"/>
  </r>
  <r>
    <x v="311"/>
    <x v="43"/>
    <s v="Admin/HR/IT"/>
    <s v="AMCARE NonOcc In"/>
    <s v="TEMP"/>
    <n v="202291188"/>
    <s v="Alvarez,Fernanda"/>
    <s v="Madrid Molina,Ramon"/>
    <n v="0"/>
    <n v="0"/>
    <n v="0"/>
    <n v="0"/>
    <n v="0.23"/>
    <e v="#N/A"/>
    <s v="alvqfern"/>
  </r>
  <r>
    <x v="311"/>
    <x v="43"/>
    <s v="Admin/HR/IT"/>
    <s v="AMCARE NonOcc In"/>
    <s v="TEMP"/>
    <n v="202291208"/>
    <s v="Perez,Quique"/>
    <s v="Bueno Mendoza,Susana"/>
    <n v="0"/>
    <n v="0"/>
    <n v="0"/>
    <n v="0"/>
    <n v="0.28000000000000003"/>
    <e v="#N/A"/>
    <s v="qperequi"/>
  </r>
  <r>
    <x v="311"/>
    <x v="43"/>
    <s v="Admin/HR/IT"/>
    <s v="AMCARE NonOcc In"/>
    <s v="TEMP"/>
    <n v="202291219"/>
    <s v="Aguilar,Carlos"/>
    <s v="Piedra,Valentina"/>
    <n v="0"/>
    <n v="0"/>
    <n v="0"/>
    <n v="0"/>
    <n v="0.12"/>
    <e v="#N/A"/>
    <s v="yaguicar"/>
  </r>
  <r>
    <x v="311"/>
    <x v="43"/>
    <s v="Admin/HR/IT"/>
    <s v="AMCARE NonOcc In"/>
    <s v="TEMP"/>
    <n v="202323975"/>
    <s v="Hernandez,Alejandro"/>
    <s v="Piedra,Valentina"/>
    <n v="0"/>
    <n v="0"/>
    <n v="0"/>
    <n v="0"/>
    <n v="0.24"/>
    <e v="#N/A"/>
    <s v="alhernk"/>
  </r>
  <r>
    <x v="311"/>
    <x v="43"/>
    <s v="Admin/HR/IT"/>
    <s v="AMCARE NonOcc In"/>
    <s v="TEMP"/>
    <n v="202334621"/>
    <s v="Ramos,Karla"/>
    <s v="Rosas Negrete,Sebastian"/>
    <n v="0"/>
    <n v="0"/>
    <n v="0"/>
    <n v="0"/>
    <n v="0.23"/>
    <e v="#N/A"/>
    <s v="tkarlram"/>
  </r>
  <r>
    <x v="311"/>
    <x v="43"/>
    <s v="Admin/HR/IT"/>
    <s v="AMCARE NonOcc In"/>
    <s v="TEMP"/>
    <n v="202334920"/>
    <s v="Ramirez,Rocio"/>
    <s v="Piedra,Valentina"/>
    <n v="0"/>
    <n v="0"/>
    <n v="0"/>
    <n v="0"/>
    <n v="0.47"/>
    <e v="#N/A"/>
    <s v="uroramir"/>
  </r>
  <r>
    <x v="311"/>
    <x v="43"/>
    <s v="Admin/HR/IT"/>
    <s v="AMCARE NonOcc In"/>
    <s v="TEMP"/>
    <n v="202368491"/>
    <s v="Collazo,Yahir"/>
    <s v="Camarena,Grecia"/>
    <n v="0"/>
    <n v="0"/>
    <n v="0"/>
    <n v="0"/>
    <n v="0.26"/>
    <e v="#N/A"/>
    <s v="yahcollh"/>
  </r>
  <r>
    <x v="311"/>
    <x v="43"/>
    <s v="Admin/HR/IT"/>
    <s v="AMCARE NonOcc In"/>
    <s v="TEMP"/>
    <n v="202442798"/>
    <s v="Loredo Segura,Antonio"/>
    <s v="Pizana,Diego"/>
    <n v="0"/>
    <n v="0"/>
    <n v="0"/>
    <n v="0"/>
    <n v="0.18"/>
    <e v="#N/A"/>
    <s v="loredose"/>
  </r>
  <r>
    <x v="311"/>
    <x v="43"/>
    <s v="Admin/HR/IT"/>
    <s v="AMCARE NonOcc In"/>
    <s v="TEMP"/>
    <n v="202479923"/>
    <s v="Arredondo,Grecia"/>
    <s v="Camarena,Grecia"/>
    <n v="0"/>
    <n v="0"/>
    <n v="0"/>
    <n v="0"/>
    <n v="0.41"/>
    <e v="#N/A"/>
    <s v="arredgre"/>
  </r>
  <r>
    <x v="311"/>
    <x v="43"/>
    <s v="Admin/HR/IT"/>
    <s v="AMCARE NonOcc In"/>
    <s v="TEMP"/>
    <n v="202484082"/>
    <s v="Silva,Carlos"/>
    <s v="Bueno Mendoza,Susana"/>
    <n v="0"/>
    <n v="0"/>
    <n v="0"/>
    <n v="0"/>
    <n v="0.48"/>
    <e v="#N/A"/>
    <s v="silvcart"/>
  </r>
  <r>
    <x v="311"/>
    <x v="43"/>
    <s v="Admin/HR/IT"/>
    <s v="AMCARE NonOcc In"/>
    <s v="TEMP"/>
    <n v="202507047"/>
    <s v="MartÃ­nez,Jesus"/>
    <s v="Madrid Molina,Ramon"/>
    <n v="0"/>
    <n v="0"/>
    <n v="0"/>
    <n v="0"/>
    <n v="1.87"/>
    <e v="#N/A"/>
    <s v="martcjes"/>
  </r>
  <r>
    <x v="312"/>
    <x v="43"/>
    <s v="Admin/HR/IT"/>
    <s v="AMCARE NonOcc In"/>
    <s v="AMZN"/>
    <n v="112912752"/>
    <s v="Valderrama Gomez,Leslie"/>
    <s v="Camarena,Grecia"/>
    <n v="0"/>
    <n v="0"/>
    <n v="0"/>
    <n v="0"/>
    <n v="0.12"/>
    <s v="NF-X1900"/>
    <s v="valderle"/>
  </r>
  <r>
    <x v="312"/>
    <x v="43"/>
    <s v="Admin/HR/IT"/>
    <s v="AMCARE NonOcc In"/>
    <s v="AMZN"/>
    <n v="112976017"/>
    <s v="Baez Diaz,Ale"/>
    <s v="Ãvila,Arturo"/>
    <n v="0"/>
    <n v="0"/>
    <n v="0"/>
    <n v="0"/>
    <n v="0.02"/>
    <s v="DB-X0700"/>
    <s v="baezdiaw"/>
  </r>
  <r>
    <x v="312"/>
    <x v="43"/>
    <s v="Admin/HR/IT"/>
    <s v="AMCARE NonOcc In"/>
    <s v="AMZN"/>
    <n v="112980812"/>
    <s v="Jacobo,Mary"/>
    <s v="Bueno Mendoza,Susana"/>
    <n v="0"/>
    <n v="0"/>
    <n v="0"/>
    <n v="0"/>
    <n v="1.54"/>
    <s v="DA-X0700"/>
    <s v="maryjacp"/>
  </r>
  <r>
    <x v="312"/>
    <x v="43"/>
    <s v="Admin/HR/IT"/>
    <s v="AMCARE NonOcc In"/>
    <s v="AMZN"/>
    <n v="113014078"/>
    <s v="Nunez Lopez,Aldair"/>
    <s v="Bueno Mendoza,Susana"/>
    <n v="0"/>
    <n v="0"/>
    <n v="0"/>
    <n v="0"/>
    <n v="0.19"/>
    <e v="#N/A"/>
    <s v="dnaldair"/>
  </r>
  <r>
    <x v="312"/>
    <x v="43"/>
    <s v="Admin/HR/IT"/>
    <s v="AMCARE NonOcc In"/>
    <s v="AMZN"/>
    <n v="113014094"/>
    <s v="Mercado,Erika"/>
    <s v="Corona Arriaga,Fernando"/>
    <n v="0"/>
    <n v="0"/>
    <n v="0"/>
    <n v="0"/>
    <n v="0.26"/>
    <e v="#N/A"/>
    <s v="erikaadm"/>
  </r>
  <r>
    <x v="312"/>
    <x v="43"/>
    <s v="Admin/HR/IT"/>
    <s v="AMCARE NonOcc In"/>
    <s v="TEMP"/>
    <n v="113019078"/>
    <s v="Ojeda Sierra,Brenda"/>
    <s v="AlarcÃ³n,Irving"/>
    <n v="0"/>
    <n v="0"/>
    <n v="0"/>
    <n v="0"/>
    <n v="1.68"/>
    <e v="#N/A"/>
    <s v="brojedas"/>
  </r>
  <r>
    <x v="312"/>
    <x v="43"/>
    <s v="Admin/HR/IT"/>
    <s v="AMCARE NonOcc In"/>
    <s v="AMZN"/>
    <n v="200508323"/>
    <s v="Espejel Lopez,Emmanuel"/>
    <s v="Romero Sanchez,Gustavo Gabriel"/>
    <n v="0"/>
    <n v="0"/>
    <n v="0"/>
    <n v="0"/>
    <n v="0.15"/>
    <e v="#N/A"/>
    <s v="espejell"/>
  </r>
  <r>
    <x v="312"/>
    <x v="43"/>
    <s v="Admin/HR/IT"/>
    <s v="AMCARE NonOcc In"/>
    <s v="AMZN"/>
    <n v="201167501"/>
    <s v="Rodriguez,Ruben"/>
    <s v="Corona Arriaga,Fernando"/>
    <n v="0"/>
    <n v="0"/>
    <n v="0"/>
    <n v="0"/>
    <n v="0.28999999999999998"/>
    <e v="#N/A"/>
    <s v="wguanajr"/>
  </r>
  <r>
    <x v="312"/>
    <x v="43"/>
    <s v="Admin/HR/IT"/>
    <s v="AMCARE NonOcc In"/>
    <s v="AMZN"/>
    <n v="201202093"/>
    <s v="Ortega,Elizabeth"/>
    <s v="Hernandez,Evelyn"/>
    <n v="0"/>
    <n v="0"/>
    <n v="0"/>
    <n v="0"/>
    <n v="0.23"/>
    <e v="#N/A"/>
    <s v="eliorten"/>
  </r>
  <r>
    <x v="312"/>
    <x v="43"/>
    <s v="Admin/HR/IT"/>
    <s v="AMCARE NonOcc In"/>
    <s v="AMZN"/>
    <n v="201345774"/>
    <s v="Quijas,Jonathan"/>
    <s v="Corona Arriaga,Fernando"/>
    <n v="0"/>
    <n v="0"/>
    <n v="0"/>
    <n v="0"/>
    <n v="0.28999999999999998"/>
    <e v="#N/A"/>
    <s v="jonquija"/>
  </r>
  <r>
    <x v="312"/>
    <x v="43"/>
    <s v="Admin/HR/IT"/>
    <s v="AMCARE NonOcc In"/>
    <s v="AMZN"/>
    <n v="201353234"/>
    <s v="Padilla,Ramon"/>
    <s v="AlarcÃ³n,Irving"/>
    <n v="0"/>
    <n v="0"/>
    <n v="0"/>
    <n v="0"/>
    <n v="0.79"/>
    <e v="#N/A"/>
    <s v="paeramon"/>
  </r>
  <r>
    <x v="312"/>
    <x v="43"/>
    <s v="Admin/HR/IT"/>
    <s v="AMCARE NonOcc In"/>
    <s v="AMZN"/>
    <n v="201378452"/>
    <s v="Perez,Omar"/>
    <s v="Bueno Mendoza,Susana"/>
    <n v="0"/>
    <n v="0"/>
    <n v="0"/>
    <n v="0"/>
    <n v="0.25"/>
    <e v="#N/A"/>
    <s v="omhperez"/>
  </r>
  <r>
    <x v="312"/>
    <x v="43"/>
    <s v="Admin/HR/IT"/>
    <s v="AMCARE NonOcc In"/>
    <s v="AMZN"/>
    <n v="201396328"/>
    <s v="Canchola,Alejandro"/>
    <s v="Rosas Negrete,Sebastian"/>
    <n v="0"/>
    <n v="0"/>
    <n v="0"/>
    <n v="0"/>
    <n v="0.12"/>
    <e v="#N/A"/>
    <s v="nalcanch"/>
  </r>
  <r>
    <x v="312"/>
    <x v="43"/>
    <s v="Admin/HR/IT"/>
    <s v="AMCARE NonOcc In"/>
    <s v="AMZN"/>
    <n v="201858330"/>
    <s v="Arrona,Pablo"/>
    <s v="Bueno Mendoza,Susana"/>
    <n v="0"/>
    <n v="0"/>
    <n v="0"/>
    <n v="0"/>
    <n v="0.32"/>
    <e v="#N/A"/>
    <s v="arrwpabl"/>
  </r>
  <r>
    <x v="312"/>
    <x v="43"/>
    <s v="Admin/HR/IT"/>
    <s v="AMCARE NonOcc In"/>
    <s v="TEMP"/>
    <n v="201880542"/>
    <s v="ORTIZ,CORPUS"/>
    <s v="Bueno Mendoza,Susana"/>
    <n v="0"/>
    <n v="0"/>
    <n v="0"/>
    <n v="0"/>
    <n v="0.1"/>
    <e v="#N/A"/>
    <s v="orticorp"/>
  </r>
  <r>
    <x v="312"/>
    <x v="43"/>
    <s v="Admin/HR/IT"/>
    <s v="AMCARE NonOcc In"/>
    <s v="TEMP"/>
    <n v="201901967"/>
    <s v="Dominguez,Diana"/>
    <s v="AlarcÃ³n,Irving"/>
    <n v="0"/>
    <n v="0"/>
    <n v="0"/>
    <n v="0"/>
    <n v="0.23"/>
    <e v="#N/A"/>
    <s v="ndomindi"/>
  </r>
  <r>
    <x v="312"/>
    <x v="43"/>
    <s v="Admin/HR/IT"/>
    <s v="AMCARE NonOcc In"/>
    <s v="TEMP"/>
    <n v="202118504"/>
    <s v="Guerrero,Alvaro"/>
    <s v="AlarcÃ³n,Irving"/>
    <n v="0"/>
    <n v="0"/>
    <n v="0"/>
    <n v="0"/>
    <n v="0.12"/>
    <e v="#N/A"/>
    <s v="guerialv"/>
  </r>
  <r>
    <x v="312"/>
    <x v="43"/>
    <s v="Admin/HR/IT"/>
    <s v="AMCARE NonOcc In"/>
    <s v="TEMP"/>
    <n v="202166757"/>
    <s v="Cortes,Axel"/>
    <s v="Hernandez,Nataly"/>
    <n v="0"/>
    <n v="0"/>
    <n v="0"/>
    <n v="0"/>
    <n v="0.32"/>
    <e v="#N/A"/>
    <s v="corteax"/>
  </r>
  <r>
    <x v="312"/>
    <x v="43"/>
    <s v="Admin/HR/IT"/>
    <s v="AMCARE NonOcc In"/>
    <s v="TEMP"/>
    <n v="202206867"/>
    <s v="Toledo,Eva"/>
    <s v="Rosas Negrete,Sebastian"/>
    <n v="0"/>
    <n v="0"/>
    <n v="0"/>
    <n v="0"/>
    <n v="0.19"/>
    <e v="#N/A"/>
    <s v="toledoev"/>
  </r>
  <r>
    <x v="312"/>
    <x v="43"/>
    <s v="Admin/HR/IT"/>
    <s v="AMCARE NonOcc In"/>
    <s v="TEMP"/>
    <n v="202209099"/>
    <s v="Vargas,Leo"/>
    <s v="Piedra,Valentina"/>
    <n v="0"/>
    <n v="0"/>
    <n v="0"/>
    <n v="0"/>
    <n v="0.27"/>
    <e v="#N/A"/>
    <s v="vargaul"/>
  </r>
  <r>
    <x v="312"/>
    <x v="43"/>
    <s v="Admin/HR/IT"/>
    <s v="AMCARE NonOcc In"/>
    <s v="TEMP"/>
    <n v="202235770"/>
    <s v="Gutierrez,Javier"/>
    <s v="Bueno Mendoza,Susana"/>
    <n v="0"/>
    <n v="0"/>
    <n v="0"/>
    <n v="0"/>
    <n v="0.23"/>
    <e v="#N/A"/>
    <s v="jgutierq"/>
  </r>
  <r>
    <x v="312"/>
    <x v="43"/>
    <s v="Admin/HR/IT"/>
    <s v="AMCARE NonOcc In"/>
    <s v="TEMP"/>
    <n v="202245845"/>
    <s v="Medina,Angel"/>
    <s v="Rosas Negrete,Sebastian"/>
    <n v="0"/>
    <n v="0"/>
    <n v="0"/>
    <n v="0"/>
    <n v="0.99"/>
    <e v="#N/A"/>
    <s v="cangmedi"/>
  </r>
  <r>
    <x v="312"/>
    <x v="43"/>
    <s v="Admin/HR/IT"/>
    <s v="AMCARE NonOcc In"/>
    <s v="TEMP"/>
    <n v="202250323"/>
    <s v="Esqueda,Soledad"/>
    <s v="Corona Arriaga,Fernando"/>
    <n v="0"/>
    <n v="0"/>
    <n v="0"/>
    <n v="0"/>
    <n v="0.46"/>
    <e v="#N/A"/>
    <s v="soledesq"/>
  </r>
  <r>
    <x v="312"/>
    <x v="43"/>
    <s v="Admin/HR/IT"/>
    <s v="AMCARE NonOcc In"/>
    <s v="TEMP"/>
    <n v="202253767"/>
    <s v="Romero,Francisco"/>
    <s v="Camarena,Grecia"/>
    <n v="0"/>
    <n v="0"/>
    <n v="0"/>
    <n v="0"/>
    <n v="0.09"/>
    <e v="#N/A"/>
    <s v="jromefra"/>
  </r>
  <r>
    <x v="312"/>
    <x v="43"/>
    <s v="Admin/HR/IT"/>
    <s v="AMCARE NonOcc In"/>
    <s v="TEMP"/>
    <n v="202282409"/>
    <s v="RodrÃ­guez,Isabel"/>
    <s v="Romero Sanchez,Gustavo Gabriel"/>
    <n v="0"/>
    <n v="0"/>
    <n v="0"/>
    <n v="0"/>
    <n v="1.0900000000000001"/>
    <e v="#N/A"/>
    <s v="rodrnisa"/>
  </r>
  <r>
    <x v="312"/>
    <x v="43"/>
    <s v="Admin/HR/IT"/>
    <s v="AMCARE NonOcc In"/>
    <s v="TEMP"/>
    <n v="202282538"/>
    <s v="Chibli,Arturo"/>
    <s v="Bueno Mendoza,Susana"/>
    <n v="0"/>
    <n v="0"/>
    <n v="0"/>
    <n v="0"/>
    <n v="0.17"/>
    <e v="#N/A"/>
    <s v="atchibli"/>
  </r>
  <r>
    <x v="312"/>
    <x v="43"/>
    <s v="Admin/HR/IT"/>
    <s v="AMCARE NonOcc In"/>
    <s v="TEMP"/>
    <n v="202370186"/>
    <s v="Barbosa,Montserrat"/>
    <s v="Romero Sanchez,Gustavo Gabriel"/>
    <n v="0"/>
    <n v="0"/>
    <n v="0"/>
    <n v="0"/>
    <n v="0.2"/>
    <e v="#N/A"/>
    <s v="imontbar"/>
  </r>
  <r>
    <x v="312"/>
    <x v="43"/>
    <s v="Admin/HR/IT"/>
    <s v="AMCARE NonOcc In"/>
    <s v="TEMP"/>
    <n v="202437991"/>
    <s v="Villalpando,Cristopher"/>
    <s v="Madrid Molina,Ramon"/>
    <n v="0"/>
    <n v="0"/>
    <n v="0"/>
    <n v="0"/>
    <n v="0.46"/>
    <e v="#N/A"/>
    <s v="crisgvil"/>
  </r>
  <r>
    <x v="312"/>
    <x v="43"/>
    <s v="Admin/HR/IT"/>
    <s v="AMCARE NonOcc In"/>
    <s v="TEMP"/>
    <n v="202442798"/>
    <s v="Loredo Segura,Antonio"/>
    <s v="Pizana,Diego"/>
    <n v="0"/>
    <n v="0"/>
    <n v="0"/>
    <n v="0"/>
    <n v="0.13"/>
    <e v="#N/A"/>
    <s v="loredose"/>
  </r>
  <r>
    <x v="312"/>
    <x v="43"/>
    <s v="Admin/HR/IT"/>
    <s v="AMCARE NonOcc In"/>
    <s v="TEMP"/>
    <n v="202484082"/>
    <s v="Silva,Carlos"/>
    <s v="Bueno Mendoza,Susana"/>
    <n v="0"/>
    <n v="0"/>
    <n v="0"/>
    <n v="0"/>
    <n v="0.16"/>
    <e v="#N/A"/>
    <s v="silvcart"/>
  </r>
  <r>
    <x v="312"/>
    <x v="43"/>
    <s v="Admin/HR/IT"/>
    <s v="AMCARE NonOcc In"/>
    <s v="TEMP"/>
    <n v="202518715"/>
    <s v="Sandoval,Cecilia"/>
    <s v="Camarena,Grecia"/>
    <n v="0"/>
    <n v="0"/>
    <n v="0"/>
    <n v="0"/>
    <n v="0.27"/>
    <e v="#N/A"/>
    <s v="sandceci"/>
  </r>
  <r>
    <x v="312"/>
    <x v="43"/>
    <s v="Admin/HR/IT"/>
    <s v="AMCARE NonOcc In"/>
    <s v="TEMP"/>
    <n v="202518724"/>
    <s v="Lozornio,Christopher"/>
    <s v="Camarena,Grecia"/>
    <n v="0"/>
    <n v="0"/>
    <n v="0"/>
    <n v="0"/>
    <n v="0.22"/>
    <e v="#N/A"/>
    <s v="lozornio"/>
  </r>
  <r>
    <x v="313"/>
    <x v="43"/>
    <s v="Admin/HR/IT"/>
    <s v="AMCARE NonOcc In"/>
    <s v="AMZN"/>
    <n v="112920666"/>
    <s v="Rocha,Jose"/>
    <s v="Manzanares Navarro,Sandra"/>
    <n v="0"/>
    <n v="0"/>
    <n v="0"/>
    <n v="0"/>
    <n v="0.16"/>
    <s v="D5-X0700"/>
    <s v="jorochai"/>
  </r>
  <r>
    <x v="313"/>
    <x v="43"/>
    <s v="Admin/HR/IT"/>
    <s v="AMCARE NonOcc In"/>
    <s v="AMZN"/>
    <n v="113004099"/>
    <s v="Partida,Luis"/>
    <s v="Romero Sanchez,Gustavo Gabriel"/>
    <n v="0"/>
    <n v="0"/>
    <n v="0"/>
    <n v="0"/>
    <n v="0.13"/>
    <e v="#N/A"/>
    <s v="partilum"/>
  </r>
  <r>
    <x v="313"/>
    <x v="43"/>
    <s v="Admin/HR/IT"/>
    <s v="AMCARE NonOcc In"/>
    <s v="AMZN"/>
    <n v="113014042"/>
    <s v="Cervantes,Rose"/>
    <s v="Manzanares Navarro,Sandra"/>
    <n v="0"/>
    <n v="0"/>
    <n v="0"/>
    <n v="0"/>
    <n v="0.26"/>
    <e v="#N/A"/>
    <s v="rfcervan"/>
  </r>
  <r>
    <x v="313"/>
    <x v="43"/>
    <s v="Admin/HR/IT"/>
    <s v="AMCARE NonOcc In"/>
    <s v="AMZN"/>
    <n v="113014092"/>
    <s v="Sanchez,Cristina"/>
    <s v="Romero Sanchez,Gustavo Gabriel"/>
    <n v="0"/>
    <n v="0"/>
    <n v="0"/>
    <n v="0"/>
    <n v="0.23"/>
    <e v="#N/A"/>
    <s v="rsanccri"/>
  </r>
  <r>
    <x v="313"/>
    <x v="43"/>
    <s v="Admin/HR/IT"/>
    <s v="AMCARE NonOcc In"/>
    <s v="AMZN"/>
    <n v="113020476"/>
    <s v="Puente Aguilar,Polette"/>
    <s v="Romero Sanchez,Gustavo Gabriel"/>
    <n v="0"/>
    <n v="0"/>
    <n v="0"/>
    <n v="0"/>
    <n v="0.18"/>
    <e v="#N/A"/>
    <s v="polettpu"/>
  </r>
  <r>
    <x v="313"/>
    <x v="43"/>
    <s v="Admin/HR/IT"/>
    <s v="AMCARE NonOcc In"/>
    <s v="AMZN"/>
    <n v="201159033"/>
    <s v="Arrona,Monserrat"/>
    <s v="Piedra,Valentina"/>
    <n v="0"/>
    <n v="0"/>
    <n v="0"/>
    <n v="0"/>
    <n v="0.62"/>
    <e v="#N/A"/>
    <s v="monsarru"/>
  </r>
  <r>
    <x v="313"/>
    <x v="43"/>
    <s v="Admin/HR/IT"/>
    <s v="AMCARE NonOcc In"/>
    <s v="AMZN"/>
    <n v="201185299"/>
    <s v="Garcia,Noemi"/>
    <s v="Piedra,Valentina"/>
    <n v="0"/>
    <n v="0"/>
    <n v="0"/>
    <n v="0"/>
    <n v="0.18"/>
    <e v="#N/A"/>
    <s v="sganoemi"/>
  </r>
  <r>
    <x v="313"/>
    <x v="43"/>
    <s v="Admin/HR/IT"/>
    <s v="AMCARE NonOcc In"/>
    <s v="AMZN"/>
    <n v="201353166"/>
    <s v="Martinez,Lucia"/>
    <s v="Romero Sanchez,Gustavo Gabriel"/>
    <n v="0"/>
    <n v="0"/>
    <n v="0"/>
    <n v="0"/>
    <n v="0.14000000000000001"/>
    <e v="#N/A"/>
    <s v="mamlucia"/>
  </r>
  <r>
    <x v="313"/>
    <x v="43"/>
    <s v="Admin/HR/IT"/>
    <s v="AMCARE NonOcc In"/>
    <s v="TEMP"/>
    <n v="201365023"/>
    <s v="Centeno,Ara"/>
    <s v="Romero Sanchez,Gustavo Gabriel"/>
    <n v="0"/>
    <n v="0"/>
    <n v="0"/>
    <n v="0"/>
    <n v="0.3"/>
    <e v="#N/A"/>
    <s v="varacent"/>
  </r>
  <r>
    <x v="313"/>
    <x v="43"/>
    <s v="Admin/HR/IT"/>
    <s v="AMCARE NonOcc In"/>
    <s v="AMZN"/>
    <n v="201408478"/>
    <s v="Calderon,David"/>
    <s v="Romero Sanchez,Gustavo Gabriel"/>
    <n v="0"/>
    <n v="0"/>
    <n v="0"/>
    <n v="0"/>
    <n v="0.25"/>
    <e v="#N/A"/>
    <s v="dacaldey"/>
  </r>
  <r>
    <x v="313"/>
    <x v="43"/>
    <s v="Admin/HR/IT"/>
    <s v="AMCARE NonOcc In"/>
    <s v="AMZN"/>
    <n v="201858867"/>
    <s v="Cruz Velazquez,Gabriela"/>
    <s v="Piedra,Valentina"/>
    <n v="0"/>
    <n v="0"/>
    <n v="0"/>
    <n v="0"/>
    <n v="0.56999999999999995"/>
    <e v="#N/A"/>
    <s v="tcruzvel"/>
  </r>
  <r>
    <x v="313"/>
    <x v="43"/>
    <s v="Admin/HR/IT"/>
    <s v="AMCARE NonOcc In"/>
    <s v="TEMP"/>
    <n v="201901910"/>
    <s v="Flores,Edwin"/>
    <s v="Piedra,Valentina"/>
    <n v="0"/>
    <n v="0"/>
    <n v="0"/>
    <n v="0"/>
    <n v="0.25"/>
    <e v="#N/A"/>
    <s v="sfloredw"/>
  </r>
  <r>
    <x v="313"/>
    <x v="43"/>
    <s v="Admin/HR/IT"/>
    <s v="AMCARE NonOcc In"/>
    <s v="TEMP"/>
    <n v="201903097"/>
    <s v="Oliva,Montserrat"/>
    <s v="Piedra,Valentina"/>
    <n v="0"/>
    <n v="0"/>
    <n v="0"/>
    <n v="0"/>
    <n v="0.33"/>
    <e v="#N/A"/>
    <s v="montoliy"/>
  </r>
  <r>
    <x v="313"/>
    <x v="43"/>
    <s v="Admin/HR/IT"/>
    <s v="AMCARE NonOcc In"/>
    <s v="TEMP"/>
    <n v="202068119"/>
    <s v="Castillo,Saul"/>
    <s v="Manzanares Navarro,Sandra"/>
    <n v="0"/>
    <n v="0"/>
    <n v="0"/>
    <n v="0"/>
    <n v="0.17"/>
    <e v="#N/A"/>
    <s v="casosaul"/>
  </r>
  <r>
    <x v="313"/>
    <x v="43"/>
    <s v="Admin/HR/IT"/>
    <s v="AMCARE NonOcc In"/>
    <s v="TEMP"/>
    <n v="202081087"/>
    <s v="Martinez,Lilian"/>
    <s v="AlarcÃ³n,Irving"/>
    <n v="0"/>
    <n v="0"/>
    <n v="0"/>
    <n v="0"/>
    <n v="0.2"/>
    <e v="#N/A"/>
    <s v="rlimarti"/>
  </r>
  <r>
    <x v="313"/>
    <x v="43"/>
    <s v="Admin/HR/IT"/>
    <s v="AMCARE NonOcc In"/>
    <s v="TEMP"/>
    <n v="202081527"/>
    <s v="Martinez,Efren"/>
    <s v="Hernandez,Nataly"/>
    <n v="0"/>
    <n v="0"/>
    <n v="0"/>
    <n v="0"/>
    <n v="0.26"/>
    <e v="#N/A"/>
    <s v="efrmartw"/>
  </r>
  <r>
    <x v="313"/>
    <x v="43"/>
    <s v="Admin/HR/IT"/>
    <s v="AMCARE NonOcc In"/>
    <s v="TEMP"/>
    <n v="202165242"/>
    <s v="Gonzalez,Marco"/>
    <s v="Munoz,Jonan"/>
    <n v="0"/>
    <n v="0"/>
    <n v="0"/>
    <n v="0"/>
    <n v="0.13"/>
    <e v="#N/A"/>
    <s v="marcqgon"/>
  </r>
  <r>
    <x v="313"/>
    <x v="43"/>
    <s v="Admin/HR/IT"/>
    <s v="AMCARE NonOcc In"/>
    <s v="TEMP"/>
    <n v="202165417"/>
    <s v="Moreno,Gonzalo"/>
    <s v="Romero Sanchez,Gustavo Gabriel"/>
    <n v="0"/>
    <n v="0"/>
    <n v="0"/>
    <n v="0"/>
    <n v="1.01"/>
    <e v="#N/A"/>
    <s v="gonzmorw"/>
  </r>
  <r>
    <x v="313"/>
    <x v="43"/>
    <s v="Admin/HR/IT"/>
    <s v="AMCARE NonOcc In"/>
    <s v="TEMP"/>
    <n v="202206014"/>
    <s v="Cuellar,Karina"/>
    <s v="Piedra,Valentina"/>
    <n v="0"/>
    <n v="0"/>
    <n v="0"/>
    <n v="0"/>
    <n v="1.34"/>
    <e v="#N/A"/>
    <s v="jcuellka"/>
  </r>
  <r>
    <x v="313"/>
    <x v="43"/>
    <s v="Admin/HR/IT"/>
    <s v="AMCARE NonOcc In"/>
    <s v="TEMP"/>
    <n v="202253767"/>
    <s v="Romero,Francisco"/>
    <s v="Camarena,Grecia"/>
    <n v="0"/>
    <n v="0"/>
    <n v="0"/>
    <n v="0"/>
    <n v="0.24"/>
    <e v="#N/A"/>
    <s v="jromefra"/>
  </r>
  <r>
    <x v="313"/>
    <x v="43"/>
    <s v="Admin/HR/IT"/>
    <s v="AMCARE NonOcc In"/>
    <s v="TEMP"/>
    <n v="202265877"/>
    <s v="Orozco Martinez,Fiorella Giovanna"/>
    <s v="Cortes,Alejandra"/>
    <n v="0"/>
    <n v="0"/>
    <n v="0"/>
    <n v="0"/>
    <n v="0.25"/>
    <e v="#N/A"/>
    <s v="fiorelor"/>
  </r>
  <r>
    <x v="313"/>
    <x v="43"/>
    <s v="Admin/HR/IT"/>
    <s v="AMCARE NonOcc In"/>
    <s v="TEMP"/>
    <n v="202266131"/>
    <s v="Guadian,Gaby"/>
    <s v="Corona Arriaga,Fernando"/>
    <n v="0"/>
    <n v="0"/>
    <n v="0"/>
    <n v="0"/>
    <n v="0.33"/>
    <e v="#N/A"/>
    <s v="gguadia"/>
  </r>
  <r>
    <x v="313"/>
    <x v="43"/>
    <s v="Admin/HR/IT"/>
    <s v="AMCARE NonOcc In"/>
    <s v="TEMP"/>
    <n v="202304940"/>
    <s v="Jasso,Lily"/>
    <s v="Rosas Negrete,Sebastian"/>
    <n v="0"/>
    <n v="0"/>
    <n v="0"/>
    <n v="0"/>
    <n v="0.16"/>
    <e v="#N/A"/>
    <s v="jaslilyz"/>
  </r>
  <r>
    <x v="313"/>
    <x v="43"/>
    <s v="Admin/HR/IT"/>
    <s v="AMCARE NonOcc In"/>
    <s v="TEMP"/>
    <n v="202334621"/>
    <s v="Ramos,Karla"/>
    <s v="Rosas Negrete,Sebastian"/>
    <n v="0"/>
    <n v="0"/>
    <n v="0"/>
    <n v="0"/>
    <n v="0.15"/>
    <e v="#N/A"/>
    <s v="tkarlram"/>
  </r>
  <r>
    <x v="313"/>
    <x v="43"/>
    <s v="Admin/HR/IT"/>
    <s v="AMCARE NonOcc In"/>
    <s v="TEMP"/>
    <n v="202353921"/>
    <s v="Arechar Ortiz,Lindi Noemi"/>
    <s v="Corona Arriaga,Fernando"/>
    <n v="0"/>
    <n v="0"/>
    <n v="0"/>
    <n v="0"/>
    <n v="0.12"/>
    <e v="#N/A"/>
    <s v="lindinoe"/>
  </r>
  <r>
    <x v="313"/>
    <x v="43"/>
    <s v="Admin/HR/IT"/>
    <s v="AMCARE NonOcc In"/>
    <s v="TEMP"/>
    <n v="202354007"/>
    <s v="Carreras,Karina"/>
    <s v="Piedra,Valentina"/>
    <n v="0"/>
    <n v="0"/>
    <n v="0"/>
    <n v="0"/>
    <n v="0.16"/>
    <e v="#N/A"/>
    <s v="ecarkari"/>
  </r>
  <r>
    <x v="313"/>
    <x v="43"/>
    <s v="Admin/HR/IT"/>
    <s v="AMCARE NonOcc In"/>
    <s v="TEMP"/>
    <n v="202370186"/>
    <s v="Barbosa,Montserrat"/>
    <s v="Romero Sanchez,Gustavo Gabriel"/>
    <n v="0"/>
    <n v="0"/>
    <n v="0"/>
    <n v="0"/>
    <n v="0.87"/>
    <e v="#N/A"/>
    <s v="imontbar"/>
  </r>
  <r>
    <x v="313"/>
    <x v="43"/>
    <s v="Admin/HR/IT"/>
    <s v="AMCARE NonOcc In"/>
    <s v="TEMP"/>
    <n v="202410665"/>
    <s v="Osvaldo,Erik"/>
    <s v="Cortes,Alejandra"/>
    <n v="0"/>
    <n v="0"/>
    <n v="0"/>
    <n v="0"/>
    <n v="1.1000000000000001"/>
    <e v="#N/A"/>
    <s v="erosvald"/>
  </r>
  <r>
    <x v="313"/>
    <x v="43"/>
    <s v="Admin/HR/IT"/>
    <s v="AMCARE NonOcc In"/>
    <s v="TEMP"/>
    <n v="202410739"/>
    <s v="Hernandez,Carmen"/>
    <s v="Camarena,Grecia"/>
    <n v="0"/>
    <n v="0"/>
    <n v="0"/>
    <n v="0"/>
    <n v="0.26"/>
    <e v="#N/A"/>
    <s v="carmoher"/>
  </r>
  <r>
    <x v="313"/>
    <x v="43"/>
    <s v="Admin/HR/IT"/>
    <s v="AMCARE NonOcc In"/>
    <s v="TEMP"/>
    <n v="202417927"/>
    <s v="Valdivia,Jazmin"/>
    <s v="Cortes,Alejandra"/>
    <n v="0"/>
    <n v="0"/>
    <n v="0"/>
    <n v="0"/>
    <n v="0.15"/>
    <e v="#N/A"/>
    <s v="jazvaldi"/>
  </r>
  <r>
    <x v="313"/>
    <x v="43"/>
    <s v="Admin/HR/IT"/>
    <s v="AMCARE NonOcc In"/>
    <s v="TEMP"/>
    <n v="202479923"/>
    <s v="Arredondo,Grecia"/>
    <s v="Camarena,Grecia"/>
    <n v="0"/>
    <n v="0"/>
    <n v="0"/>
    <n v="0"/>
    <n v="0.56999999999999995"/>
    <e v="#N/A"/>
    <s v="arredgre"/>
  </r>
  <r>
    <x v="314"/>
    <x v="43"/>
    <s v="Admin/HR/IT"/>
    <s v="AMCARE NonOcc In"/>
    <s v="AMZN"/>
    <n v="112916534"/>
    <s v="Esparza Sanchez,Areli"/>
    <s v="Romero Sanchez,Gustavo Gabriel"/>
    <n v="0"/>
    <n v="0"/>
    <n v="0"/>
    <n v="0"/>
    <n v="0.37"/>
    <s v="DB-X0700"/>
    <s v="earelili"/>
  </r>
  <r>
    <x v="314"/>
    <x v="43"/>
    <s v="Admin/HR/IT"/>
    <s v="AMCARE NonOcc In"/>
    <s v="AMZN"/>
    <n v="112920666"/>
    <s v="Rocha,Jose"/>
    <s v="Manzanares Navarro,Sandra"/>
    <n v="0"/>
    <n v="0"/>
    <n v="0"/>
    <n v="0"/>
    <n v="0.95"/>
    <s v="D5-X0700"/>
    <s v="jorochai"/>
  </r>
  <r>
    <x v="314"/>
    <x v="43"/>
    <s v="Admin/HR/IT"/>
    <s v="AMCARE NonOcc In"/>
    <s v="AMZN"/>
    <n v="112972194"/>
    <s v="Vela Angeles,Fernanda"/>
    <s v="AlarcÃ³n,Irving"/>
    <n v="0"/>
    <n v="0"/>
    <n v="0"/>
    <n v="0"/>
    <n v="0.11"/>
    <s v="DB-X0700"/>
    <s v="velaangl"/>
  </r>
  <r>
    <x v="314"/>
    <x v="43"/>
    <s v="Admin/HR/IT"/>
    <s v="AMCARE NonOcc In"/>
    <s v="AMZN"/>
    <n v="113020476"/>
    <s v="Puente Aguilar,Polette"/>
    <s v="Romero Sanchez,Gustavo Gabriel"/>
    <n v="0"/>
    <n v="0"/>
    <n v="0"/>
    <n v="0"/>
    <n v="0.17"/>
    <e v="#N/A"/>
    <s v="polettpu"/>
  </r>
  <r>
    <x v="314"/>
    <x v="43"/>
    <s v="Admin/HR/IT"/>
    <s v="AMCARE NonOcc In"/>
    <s v="AMZN"/>
    <n v="200508323"/>
    <s v="Espejel Lopez,Emmanuel"/>
    <s v="Romero Sanchez,Gustavo Gabriel"/>
    <n v="0"/>
    <n v="0"/>
    <n v="0"/>
    <n v="0"/>
    <n v="0.16"/>
    <e v="#N/A"/>
    <s v="espejell"/>
  </r>
  <r>
    <x v="314"/>
    <x v="43"/>
    <s v="Admin/HR/IT"/>
    <s v="AMCARE NonOcc In"/>
    <s v="AMZN"/>
    <n v="201185653"/>
    <s v="Lopez,Mine"/>
    <s v="Piedra,Valentina"/>
    <n v="0"/>
    <n v="0"/>
    <n v="0"/>
    <n v="0"/>
    <n v="0.4"/>
    <e v="#N/A"/>
    <s v="luisamin"/>
  </r>
  <r>
    <x v="314"/>
    <x v="43"/>
    <s v="Admin/HR/IT"/>
    <s v="AMCARE NonOcc In"/>
    <s v="AMZN"/>
    <n v="201219500"/>
    <s v="Mazy,RamsÃ©s"/>
    <s v="Piedra,Valentina"/>
    <n v="0"/>
    <n v="0"/>
    <n v="0"/>
    <n v="0"/>
    <n v="0.18"/>
    <e v="#N/A"/>
    <s v="ramsmazy"/>
  </r>
  <r>
    <x v="314"/>
    <x v="43"/>
    <s v="Admin/HR/IT"/>
    <s v="AMCARE NonOcc In"/>
    <s v="AMZN"/>
    <n v="201223730"/>
    <s v="Sanchiz,Cesarito"/>
    <s v="Romero Sanchez,Gustavo Gabriel"/>
    <n v="0"/>
    <n v="0"/>
    <n v="0"/>
    <n v="0"/>
    <n v="1.07"/>
    <e v="#N/A"/>
    <s v="cesarito"/>
  </r>
  <r>
    <x v="314"/>
    <x v="43"/>
    <s v="Admin/HR/IT"/>
    <s v="AMCARE NonOcc In"/>
    <s v="AMZN"/>
    <n v="201228411"/>
    <s v="Hernandez Soriano,Jazmin"/>
    <s v="Romero Sanchez,Gustavo Gabriel"/>
    <n v="0"/>
    <n v="0"/>
    <n v="0"/>
    <n v="0"/>
    <n v="1.1100000000000001"/>
    <e v="#N/A"/>
    <s v="jazmiwhe"/>
  </r>
  <r>
    <x v="314"/>
    <x v="43"/>
    <s v="Admin/HR/IT"/>
    <s v="AMCARE NonOcc In"/>
    <s v="AMZN"/>
    <n v="201320536"/>
    <s v="Ibarra,Miguel"/>
    <s v="Piedra,Valentina"/>
    <n v="0"/>
    <n v="0"/>
    <n v="0"/>
    <n v="0"/>
    <n v="0.12"/>
    <e v="#N/A"/>
    <s v="ibalmigu"/>
  </r>
  <r>
    <x v="314"/>
    <x v="43"/>
    <s v="Admin/HR/IT"/>
    <s v="AMCARE NonOcc In"/>
    <s v="AMZN"/>
    <n v="201842039"/>
    <s v="Martinez,Antonio"/>
    <s v="Piedra,Valentina"/>
    <n v="0"/>
    <n v="0"/>
    <n v="0"/>
    <n v="0"/>
    <n v="2.09"/>
    <e v="#N/A"/>
    <s v="fantmar"/>
  </r>
  <r>
    <x v="314"/>
    <x v="43"/>
    <s v="Admin/HR/IT"/>
    <s v="AMCARE NonOcc In"/>
    <s v="AMZN"/>
    <n v="201858867"/>
    <s v="Cruz Velazquez,Gabriela"/>
    <s v="Piedra,Valentina"/>
    <n v="0"/>
    <n v="0"/>
    <n v="0"/>
    <n v="0"/>
    <n v="0.63"/>
    <e v="#N/A"/>
    <s v="tcruzvel"/>
  </r>
  <r>
    <x v="314"/>
    <x v="43"/>
    <s v="Admin/HR/IT"/>
    <s v="AMCARE NonOcc In"/>
    <s v="AMZN"/>
    <n v="201901910"/>
    <s v="Flores,Edwin"/>
    <s v="Piedra,Valentina"/>
    <n v="0"/>
    <n v="0"/>
    <n v="0"/>
    <n v="0"/>
    <n v="0.08"/>
    <e v="#N/A"/>
    <s v="sfloredw"/>
  </r>
  <r>
    <x v="314"/>
    <x v="43"/>
    <s v="Admin/HR/IT"/>
    <s v="AMCARE NonOcc In"/>
    <s v="TEMP"/>
    <n v="202081527"/>
    <s v="Martinez,Efren"/>
    <s v="Hernandez,Nataly"/>
    <n v="0"/>
    <n v="0"/>
    <n v="0"/>
    <n v="0"/>
    <n v="1.63"/>
    <e v="#N/A"/>
    <s v="efrmartw"/>
  </r>
  <r>
    <x v="314"/>
    <x v="43"/>
    <s v="Admin/HR/IT"/>
    <s v="AMCARE NonOcc In"/>
    <s v="TEMP"/>
    <n v="202120077"/>
    <s v="Aguilar,Mauricio"/>
    <s v="AlarcÃ³n,Irving"/>
    <n v="0"/>
    <n v="0"/>
    <n v="0"/>
    <n v="0"/>
    <n v="0.2"/>
    <e v="#N/A"/>
    <s v="mauaguid"/>
  </r>
  <r>
    <x v="314"/>
    <x v="43"/>
    <s v="Admin/HR/IT"/>
    <s v="AMCARE NonOcc In"/>
    <s v="TEMP"/>
    <n v="202159550"/>
    <s v="Mora,Isabel"/>
    <s v="Piedra,Valentina"/>
    <n v="0"/>
    <n v="0"/>
    <n v="0"/>
    <n v="0"/>
    <n v="0.13"/>
    <e v="#N/A"/>
    <s v="eisabmor"/>
  </r>
  <r>
    <x v="314"/>
    <x v="43"/>
    <s v="Admin/HR/IT"/>
    <s v="AMCARE NonOcc In"/>
    <s v="TEMP"/>
    <n v="202165242"/>
    <s v="Gonzalez,Marco"/>
    <s v="Munoz,Jonan"/>
    <n v="0"/>
    <n v="0"/>
    <n v="0"/>
    <n v="0"/>
    <n v="0.88"/>
    <e v="#N/A"/>
    <s v="marcqgon"/>
  </r>
  <r>
    <x v="314"/>
    <x v="43"/>
    <s v="Admin/HR/IT"/>
    <s v="AMCARE NonOcc In"/>
    <s v="TEMP"/>
    <n v="202174029"/>
    <s v="Cortes,Beto"/>
    <s v="Manzanares Navarro,Sandra"/>
    <n v="0"/>
    <n v="0"/>
    <n v="0"/>
    <n v="0"/>
    <n v="0.81"/>
    <e v="#N/A"/>
    <s v="abetocor"/>
  </r>
  <r>
    <x v="314"/>
    <x v="43"/>
    <s v="Admin/HR/IT"/>
    <s v="AMCARE NonOcc In"/>
    <s v="TEMP"/>
    <n v="202185231"/>
    <s v="VÃ¡zquez,Daniela"/>
    <s v="Piedra,Valentina"/>
    <n v="0"/>
    <n v="0"/>
    <n v="0"/>
    <n v="0"/>
    <n v="0.17"/>
    <e v="#N/A"/>
    <s v="davazquq"/>
  </r>
  <r>
    <x v="314"/>
    <x v="43"/>
    <s v="Admin/HR/IT"/>
    <s v="AMCARE NonOcc In"/>
    <s v="TEMP"/>
    <n v="202194885"/>
    <s v="Bermejo,Israel"/>
    <s v="Piedra,Valentina"/>
    <n v="0"/>
    <n v="0"/>
    <n v="0"/>
    <n v="0"/>
    <n v="0.19"/>
    <e v="#N/A"/>
    <s v="bermisrq"/>
  </r>
  <r>
    <x v="314"/>
    <x v="43"/>
    <s v="Admin/HR/IT"/>
    <s v="AMCARE NonOcc In"/>
    <s v="TEMP"/>
    <n v="202195532"/>
    <s v="Rico,Brandon"/>
    <s v="Piedra,Valentina"/>
    <n v="0"/>
    <n v="0"/>
    <n v="0"/>
    <n v="0"/>
    <n v="1.04"/>
    <e v="#N/A"/>
    <s v="ricobran"/>
  </r>
  <r>
    <x v="314"/>
    <x v="43"/>
    <s v="Admin/HR/IT"/>
    <s v="AMCARE NonOcc In"/>
    <s v="TEMP"/>
    <n v="202238583"/>
    <s v="chicangana,jaiver"/>
    <s v="Munoz,Jonan"/>
    <n v="0"/>
    <n v="0"/>
    <n v="0"/>
    <n v="0"/>
    <n v="0.2"/>
    <e v="#N/A"/>
    <s v="chicangj"/>
  </r>
  <r>
    <x v="314"/>
    <x v="43"/>
    <s v="Admin/HR/IT"/>
    <s v="AMCARE NonOcc In"/>
    <s v="TEMP"/>
    <n v="202254886"/>
    <s v="Mendoza,Jared"/>
    <s v="Munoz,Jonan"/>
    <n v="0"/>
    <n v="0"/>
    <n v="0"/>
    <n v="0"/>
    <n v="0.45"/>
    <e v="#N/A"/>
    <s v="xmenjare"/>
  </r>
  <r>
    <x v="314"/>
    <x v="43"/>
    <s v="Admin/HR/IT"/>
    <s v="AMCARE NonOcc In"/>
    <s v="TEMP"/>
    <n v="202265859"/>
    <s v="Velazquez,Tadeo"/>
    <s v="Cortes,Alejandra"/>
    <n v="0"/>
    <n v="0"/>
    <n v="0"/>
    <n v="0"/>
    <n v="0.52"/>
    <e v="#N/A"/>
    <s v="tadeovel"/>
  </r>
  <r>
    <x v="314"/>
    <x v="43"/>
    <s v="Admin/HR/IT"/>
    <s v="AMCARE NonOcc In"/>
    <s v="TEMP"/>
    <n v="202364552"/>
    <s v="Rocha,Apolo"/>
    <s v="Cortes,Alejandra"/>
    <n v="0"/>
    <n v="0"/>
    <n v="0"/>
    <n v="0"/>
    <n v="0.2"/>
    <e v="#N/A"/>
    <s v="roapolot"/>
  </r>
  <r>
    <x v="314"/>
    <x v="43"/>
    <s v="Admin/HR/IT"/>
    <s v="AMCARE NonOcc In"/>
    <s v="TEMP"/>
    <n v="202417687"/>
    <s v="Cordova,Edith"/>
    <s v="Manzanares Navarro,Sandra"/>
    <n v="0"/>
    <n v="0"/>
    <n v="0"/>
    <n v="0"/>
    <n v="1.21"/>
    <e v="#N/A"/>
    <s v="cordoedt"/>
  </r>
  <r>
    <x v="314"/>
    <x v="43"/>
    <s v="Admin/HR/IT"/>
    <s v="AMCARE NonOcc In"/>
    <s v="TEMP"/>
    <n v="202417927"/>
    <s v="Valdivia,Jazmin"/>
    <s v="Cortes,Alejandra"/>
    <n v="0"/>
    <n v="0"/>
    <n v="0"/>
    <n v="0"/>
    <n v="0.28999999999999998"/>
    <e v="#N/A"/>
    <s v="jazvaldi"/>
  </r>
  <r>
    <x v="314"/>
    <x v="43"/>
    <s v="Admin/HR/IT"/>
    <s v="AMCARE NonOcc In"/>
    <s v="TEMP"/>
    <n v="202421453"/>
    <s v="Checo,Sergio"/>
    <s v="Cortes,Alejandra"/>
    <n v="0"/>
    <n v="0"/>
    <n v="0"/>
    <n v="0"/>
    <n v="0.36"/>
    <e v="#N/A"/>
    <s v="chejserg"/>
  </r>
  <r>
    <x v="315"/>
    <x v="43"/>
    <s v="Admin/HR/IT"/>
    <s v="AMCARE NonOcc In"/>
    <s v="AMZN"/>
    <n v="112972194"/>
    <s v="Vela Angeles,Fernanda"/>
    <s v="AlarcÃ³n,Irving"/>
    <n v="0"/>
    <n v="0"/>
    <n v="0"/>
    <n v="0"/>
    <n v="0.1"/>
    <s v="DB-X0700"/>
    <s v="velaangl"/>
  </r>
  <r>
    <x v="315"/>
    <x v="43"/>
    <s v="Admin/HR/IT"/>
    <s v="AMCARE NonOcc In"/>
    <s v="AMZN"/>
    <n v="112972524"/>
    <s v="Santibanez Garcia,Luisa"/>
    <s v="Hernandez,Nataly"/>
    <n v="0"/>
    <n v="0"/>
    <n v="0"/>
    <n v="0"/>
    <n v="0.62"/>
    <s v="DB-X0700"/>
    <s v="csantibl"/>
  </r>
  <r>
    <x v="315"/>
    <x v="43"/>
    <s v="Admin/HR/IT"/>
    <s v="AMCARE NonOcc In"/>
    <s v="AMZN"/>
    <n v="113014042"/>
    <s v="Cervantes,Rose"/>
    <s v="Manzanares Navarro,Sandra"/>
    <n v="0"/>
    <n v="0"/>
    <n v="0"/>
    <n v="0"/>
    <n v="0.17"/>
    <e v="#N/A"/>
    <s v="rfcervan"/>
  </r>
  <r>
    <x v="315"/>
    <x v="43"/>
    <s v="Admin/HR/IT"/>
    <s v="AMCARE NonOcc In"/>
    <s v="AMZN"/>
    <n v="113014092"/>
    <s v="Sanchez,Cristina"/>
    <s v="Romero Sanchez,Gustavo Gabriel"/>
    <n v="0"/>
    <n v="0"/>
    <n v="0"/>
    <n v="0"/>
    <n v="0.92"/>
    <e v="#N/A"/>
    <s v="rsanccri"/>
  </r>
  <r>
    <x v="315"/>
    <x v="43"/>
    <s v="Admin/HR/IT"/>
    <s v="AMCARE NonOcc In"/>
    <s v="AMZN"/>
    <n v="113020476"/>
    <s v="Puente Aguilar,Polette"/>
    <s v="Romero Sanchez,Gustavo Gabriel"/>
    <n v="0"/>
    <n v="0"/>
    <n v="0"/>
    <n v="0"/>
    <n v="0.56000000000000005"/>
    <e v="#N/A"/>
    <s v="polettpu"/>
  </r>
  <r>
    <x v="315"/>
    <x v="43"/>
    <s v="Admin/HR/IT"/>
    <s v="AMCARE NonOcc In"/>
    <s v="AMZN"/>
    <n v="113052151"/>
    <s v="Nieves Mendez,Laura"/>
    <s v="Piedra,Valentina"/>
    <n v="0"/>
    <n v="0"/>
    <n v="0"/>
    <n v="0"/>
    <n v="0.41"/>
    <e v="#N/A"/>
    <s v="nilaurab"/>
  </r>
  <r>
    <x v="315"/>
    <x v="43"/>
    <s v="Admin/HR/IT"/>
    <s v="AMCARE NonOcc In"/>
    <s v="AMZN"/>
    <n v="113103540"/>
    <s v="Delgado,David"/>
    <s v="Munoz,Jonan"/>
    <n v="0"/>
    <n v="0"/>
    <n v="0"/>
    <n v="0"/>
    <n v="0.06"/>
    <e v="#N/A"/>
    <s v="delgadax"/>
  </r>
  <r>
    <x v="315"/>
    <x v="43"/>
    <s v="Admin/HR/IT"/>
    <s v="AMCARE NonOcc In"/>
    <s v="AMZN"/>
    <n v="200508323"/>
    <s v="Espejel Lopez,Emmanuel"/>
    <s v="Romero Sanchez,Gustavo Gabriel"/>
    <n v="0"/>
    <n v="0"/>
    <n v="0"/>
    <n v="0"/>
    <n v="0.2"/>
    <e v="#N/A"/>
    <s v="espejell"/>
  </r>
  <r>
    <x v="315"/>
    <x v="43"/>
    <s v="Admin/HR/IT"/>
    <s v="AMCARE NonOcc In"/>
    <s v="AMZN"/>
    <n v="200563038"/>
    <s v="Arias,Elizabeth"/>
    <s v="Munoz,Jonan"/>
    <n v="0"/>
    <n v="0"/>
    <n v="0"/>
    <n v="0"/>
    <n v="0.13"/>
    <e v="#N/A"/>
    <s v="ariaszee"/>
  </r>
  <r>
    <x v="315"/>
    <x v="43"/>
    <s v="Admin/HR/IT"/>
    <s v="AMCARE NonOcc In"/>
    <s v="AMZN"/>
    <n v="201191198"/>
    <s v="Mojica,Emmanuel"/>
    <s v="Piedra,Valentina"/>
    <n v="0"/>
    <n v="0"/>
    <n v="0"/>
    <n v="0"/>
    <n v="1.5"/>
    <e v="#N/A"/>
    <s v="mojicemm"/>
  </r>
  <r>
    <x v="315"/>
    <x v="43"/>
    <s v="Admin/HR/IT"/>
    <s v="AMCARE NonOcc In"/>
    <s v="AMZN"/>
    <n v="201223730"/>
    <s v="Sanchiz,Cesarito"/>
    <s v="Romero Sanchez,Gustavo Gabriel"/>
    <n v="0"/>
    <n v="0"/>
    <n v="0"/>
    <n v="0"/>
    <n v="0.75"/>
    <e v="#N/A"/>
    <s v="cesarito"/>
  </r>
  <r>
    <x v="315"/>
    <x v="43"/>
    <s v="Admin/HR/IT"/>
    <s v="AMCARE NonOcc In"/>
    <s v="AMZN"/>
    <n v="201228411"/>
    <s v="Hernandez Soriano,Jazmin"/>
    <s v="Romero Sanchez,Gustavo Gabriel"/>
    <n v="0"/>
    <n v="0"/>
    <n v="0"/>
    <n v="0"/>
    <n v="0.75"/>
    <e v="#N/A"/>
    <s v="jazmiwhe"/>
  </r>
  <r>
    <x v="315"/>
    <x v="43"/>
    <s v="Admin/HR/IT"/>
    <s v="AMCARE NonOcc In"/>
    <s v="AMZN"/>
    <n v="201295429"/>
    <s v="Mireles Diaz Lopez,Jazmin"/>
    <s v="Munoz,Jonan"/>
    <n v="0"/>
    <n v="0"/>
    <n v="0"/>
    <n v="0"/>
    <n v="0.5"/>
    <e v="#N/A"/>
    <s v="mireljes"/>
  </r>
  <r>
    <x v="315"/>
    <x v="43"/>
    <s v="Admin/HR/IT"/>
    <s v="AMCARE NonOcc In"/>
    <s v="AMZN"/>
    <n v="201345737"/>
    <s v="Rosales,Paco"/>
    <s v="Munoz,Jonan"/>
    <n v="0"/>
    <n v="0"/>
    <n v="0"/>
    <n v="0"/>
    <n v="0.51"/>
    <e v="#N/A"/>
    <s v="upacoros"/>
  </r>
  <r>
    <x v="315"/>
    <x v="43"/>
    <s v="Admin/HR/IT"/>
    <s v="AMCARE NonOcc In"/>
    <s v="AMZN"/>
    <n v="201403462"/>
    <s v="Valdovino,Jorge"/>
    <s v="Manzanares Navarro,Sandra"/>
    <n v="0"/>
    <n v="0"/>
    <n v="0"/>
    <n v="0"/>
    <n v="0.62"/>
    <e v="#N/A"/>
    <s v="valdojoe"/>
  </r>
  <r>
    <x v="315"/>
    <x v="43"/>
    <s v="Admin/HR/IT"/>
    <s v="AMCARE NonOcc In"/>
    <s v="AMZN"/>
    <n v="201842039"/>
    <s v="Martinez,Antonio"/>
    <s v="Piedra,Valentina"/>
    <n v="0"/>
    <n v="0"/>
    <n v="0"/>
    <n v="0"/>
    <n v="0.16"/>
    <e v="#N/A"/>
    <s v="fantmar"/>
  </r>
  <r>
    <x v="315"/>
    <x v="43"/>
    <s v="Admin/HR/IT"/>
    <s v="AMCARE NonOcc In"/>
    <s v="AMZN"/>
    <n v="201858789"/>
    <s v="HINOJOSA,IGNACIO"/>
    <s v="Piedra,Valentina"/>
    <n v="0"/>
    <n v="0"/>
    <n v="0"/>
    <n v="0"/>
    <n v="0.39"/>
    <e v="#N/A"/>
    <s v="ignachis"/>
  </r>
  <r>
    <x v="315"/>
    <x v="43"/>
    <s v="Admin/HR/IT"/>
    <s v="AMCARE NonOcc In"/>
    <s v="AMZN"/>
    <n v="201864225"/>
    <s v="Flores,Ivan"/>
    <s v="Piedra,Valentina"/>
    <n v="0"/>
    <n v="0"/>
    <n v="0"/>
    <n v="0"/>
    <n v="0.14000000000000001"/>
    <e v="#N/A"/>
    <s v="floreivc"/>
  </r>
  <r>
    <x v="315"/>
    <x v="43"/>
    <s v="Admin/HR/IT"/>
    <s v="AMCARE NonOcc In"/>
    <s v="TEMP"/>
    <n v="202133678"/>
    <s v="Sanchez,Daniel"/>
    <s v="Romero Sanchez,Gustavo Gabriel"/>
    <n v="0"/>
    <n v="0"/>
    <n v="0"/>
    <n v="0"/>
    <n v="0.51"/>
    <e v="#N/A"/>
    <s v="sdanieq"/>
  </r>
  <r>
    <x v="315"/>
    <x v="43"/>
    <s v="Admin/HR/IT"/>
    <s v="AMCARE NonOcc In"/>
    <s v="TEMP"/>
    <n v="202137022"/>
    <s v="Sanchez,Brenda"/>
    <s v="Cortes,Alejandra"/>
    <n v="0"/>
    <n v="0"/>
    <n v="0"/>
    <n v="0"/>
    <n v="0.23"/>
    <e v="#N/A"/>
    <s v="jbrensan"/>
  </r>
  <r>
    <x v="315"/>
    <x v="43"/>
    <s v="Admin/HR/IT"/>
    <s v="AMCARE NonOcc In"/>
    <s v="TEMP"/>
    <n v="202137149"/>
    <s v="Caudillo,Carlos"/>
    <s v="Munoz,Jonan"/>
    <n v="0"/>
    <n v="0"/>
    <n v="0"/>
    <n v="0"/>
    <n v="0.32"/>
    <e v="#N/A"/>
    <s v="caudicar"/>
  </r>
  <r>
    <x v="315"/>
    <x v="43"/>
    <s v="Admin/HR/IT"/>
    <s v="AMCARE NonOcc In"/>
    <s v="TEMP"/>
    <n v="202165242"/>
    <s v="Gonzalez,Marco"/>
    <s v="Munoz,Jonan"/>
    <n v="0"/>
    <n v="0"/>
    <n v="0"/>
    <n v="0"/>
    <n v="0.04"/>
    <e v="#N/A"/>
    <s v="marcqgon"/>
  </r>
  <r>
    <x v="315"/>
    <x v="43"/>
    <s v="Admin/HR/IT"/>
    <s v="AMCARE NonOcc In"/>
    <s v="TEMP"/>
    <n v="202165417"/>
    <s v="Moreno,Gonzalo"/>
    <s v="Romero Sanchez,Gustavo Gabriel"/>
    <n v="0"/>
    <n v="0"/>
    <n v="0"/>
    <n v="0"/>
    <n v="0.19"/>
    <e v="#N/A"/>
    <s v="gonzmorw"/>
  </r>
  <r>
    <x v="315"/>
    <x v="43"/>
    <s v="Admin/HR/IT"/>
    <s v="AMCARE NonOcc In"/>
    <s v="TEMP"/>
    <n v="202185231"/>
    <s v="VÃ¡zquez,Daniela"/>
    <s v="Piedra,Valentina"/>
    <n v="0"/>
    <n v="0"/>
    <n v="0"/>
    <n v="0"/>
    <n v="0.34"/>
    <e v="#N/A"/>
    <s v="davazquq"/>
  </r>
  <r>
    <x v="315"/>
    <x v="43"/>
    <s v="Admin/HR/IT"/>
    <s v="AMCARE NonOcc In"/>
    <s v="TEMP"/>
    <n v="202194885"/>
    <s v="Bermejo,Israel"/>
    <s v="Piedra,Valentina"/>
    <n v="0"/>
    <n v="0"/>
    <n v="0"/>
    <n v="0"/>
    <n v="0.96"/>
    <e v="#N/A"/>
    <s v="bermisrq"/>
  </r>
  <r>
    <x v="315"/>
    <x v="43"/>
    <s v="Admin/HR/IT"/>
    <s v="AMCARE NonOcc In"/>
    <s v="TEMP"/>
    <n v="202219546"/>
    <s v="Espinoza,Ana"/>
    <s v="Munoz,Jonan"/>
    <n v="0"/>
    <n v="0"/>
    <n v="0"/>
    <n v="0"/>
    <n v="0.26"/>
    <e v="#N/A"/>
    <s v="eanespi"/>
  </r>
  <r>
    <x v="315"/>
    <x v="43"/>
    <s v="Admin/HR/IT"/>
    <s v="AMCARE NonOcc In"/>
    <s v="TEMP"/>
    <n v="202274001"/>
    <s v="Reynoso,Esmeralda"/>
    <s v="Munoz,Jonan"/>
    <n v="0"/>
    <n v="0"/>
    <n v="0"/>
    <n v="0"/>
    <n v="0.34"/>
    <e v="#N/A"/>
    <s v="esmecrey"/>
  </r>
  <r>
    <x v="315"/>
    <x v="43"/>
    <s v="Admin/HR/IT"/>
    <s v="AMCARE NonOcc In"/>
    <s v="TEMP"/>
    <n v="202282801"/>
    <s v="Flores,Fer"/>
    <s v="Cortes,Alejandra"/>
    <n v="0"/>
    <n v="0"/>
    <n v="0"/>
    <n v="0"/>
    <n v="0.15"/>
    <e v="#N/A"/>
    <s v="cflorfer"/>
  </r>
  <r>
    <x v="315"/>
    <x v="43"/>
    <s v="Admin/HR/IT"/>
    <s v="AMCARE NonOcc In"/>
    <s v="TEMP"/>
    <n v="202353921"/>
    <s v="Arechar Ortiz,Lindi Noemi"/>
    <s v="Corona Arriaga,Fernando"/>
    <n v="0"/>
    <n v="0"/>
    <n v="0"/>
    <n v="0"/>
    <n v="0.18"/>
    <e v="#N/A"/>
    <s v="lindinoe"/>
  </r>
  <r>
    <x v="315"/>
    <x v="43"/>
    <s v="Admin/HR/IT"/>
    <s v="AMCARE NonOcc In"/>
    <s v="TEMP"/>
    <n v="202373445"/>
    <s v="Aranda,Cesar"/>
    <s v="Piedra,Valentina"/>
    <n v="0"/>
    <n v="0"/>
    <n v="0"/>
    <n v="0"/>
    <n v="0.7"/>
    <e v="#N/A"/>
    <s v="cearandr"/>
  </r>
  <r>
    <x v="315"/>
    <x v="43"/>
    <s v="Admin/HR/IT"/>
    <s v="AMCARE NonOcc In"/>
    <s v="TEMP"/>
    <n v="202408077"/>
    <s v="Zuniga,Rosario"/>
    <s v="Munoz,Jonan"/>
    <n v="0"/>
    <n v="0"/>
    <n v="0"/>
    <n v="0"/>
    <n v="0.18"/>
    <e v="#N/A"/>
    <s v="kroszuni"/>
  </r>
  <r>
    <x v="315"/>
    <x v="43"/>
    <s v="Admin/HR/IT"/>
    <s v="AMCARE NonOcc In"/>
    <s v="TEMP"/>
    <n v="202408564"/>
    <s v="Manriquez,Cristina"/>
    <s v="Munoz,Jonan"/>
    <n v="0"/>
    <n v="0"/>
    <n v="0"/>
    <n v="0"/>
    <n v="0.18"/>
    <e v="#N/A"/>
    <s v="xmanricr"/>
  </r>
  <r>
    <x v="315"/>
    <x v="43"/>
    <s v="Admin/HR/IT"/>
    <s v="AMCARE NonOcc In"/>
    <s v="TEMP"/>
    <n v="202417370"/>
    <s v="Hernandez,Enrique"/>
    <s v="Cortes,Alejandra"/>
    <n v="0"/>
    <n v="0"/>
    <n v="0"/>
    <n v="0"/>
    <n v="0.67"/>
    <e v="#N/A"/>
    <s v="rherenri"/>
  </r>
  <r>
    <x v="315"/>
    <x v="43"/>
    <s v="Admin/HR/IT"/>
    <s v="AMCARE NonOcc In"/>
    <s v="TEMP"/>
    <n v="202421453"/>
    <s v="Checo,Sergio"/>
    <s v="Cortes,Alejandra"/>
    <n v="0"/>
    <n v="0"/>
    <n v="0"/>
    <n v="0"/>
    <n v="0.28000000000000003"/>
    <e v="#N/A"/>
    <s v="chejserg"/>
  </r>
  <r>
    <x v="316"/>
    <x v="44"/>
    <s v="Admin/HR/IT"/>
    <s v="AMCARE NonOcc In"/>
    <s v="TEMP"/>
    <n v="112912984"/>
    <s v="Ortiz,Isaac"/>
    <s v="Pizana,Diego"/>
    <n v="0"/>
    <n v="0"/>
    <n v="0"/>
    <n v="0"/>
    <n v="0.11"/>
    <s v="DJ-X0700"/>
    <s v="ortizdui"/>
  </r>
  <r>
    <x v="316"/>
    <x v="44"/>
    <s v="Admin/HR/IT"/>
    <s v="AMCARE NonOcc In"/>
    <s v="AMZN"/>
    <n v="112920654"/>
    <s v="Horta,Julieta"/>
    <s v="Hernandez,Nataly"/>
    <n v="0"/>
    <n v="0"/>
    <n v="0"/>
    <n v="0"/>
    <n v="0.04"/>
    <s v="DB-X0700"/>
    <s v="qhojulie"/>
  </r>
  <r>
    <x v="316"/>
    <x v="44"/>
    <s v="Admin/HR/IT"/>
    <s v="AMCARE NonOcc In"/>
    <s v="AMZN"/>
    <n v="112981014"/>
    <s v="Roldan Gutierrez,Pablo"/>
    <s v="Lopez,Alexa"/>
    <n v="0"/>
    <n v="0"/>
    <n v="0"/>
    <n v="0"/>
    <n v="0.25"/>
    <s v="DJ-X0700"/>
    <s v="rpabloul"/>
  </r>
  <r>
    <x v="316"/>
    <x v="44"/>
    <s v="Admin/HR/IT"/>
    <s v="AMCARE NonOcc In"/>
    <s v="AMZN"/>
    <n v="113101453"/>
    <s v="Isaac,Geovanna"/>
    <s v="Corona Arriaga,Fernando"/>
    <n v="0"/>
    <n v="0"/>
    <n v="0"/>
    <n v="0"/>
    <n v="0.15"/>
    <e v="#N/A"/>
    <s v="qisgeova"/>
  </r>
  <r>
    <x v="316"/>
    <x v="44"/>
    <s v="Admin/HR/IT"/>
    <s v="AMCARE NonOcc In"/>
    <s v="AMZN"/>
    <n v="200564895"/>
    <s v="Mendoza Corona,Brianda"/>
    <s v="Corona Arriaga,Fernando"/>
    <n v="0"/>
    <n v="0"/>
    <n v="0"/>
    <n v="0"/>
    <n v="0.1"/>
    <e v="#N/A"/>
    <s v="hmendobr"/>
  </r>
  <r>
    <x v="316"/>
    <x v="44"/>
    <s v="Admin/HR/IT"/>
    <s v="AMCARE NonOcc In"/>
    <s v="AMZN"/>
    <n v="200625528"/>
    <s v="Oliva,Lizbeth"/>
    <s v="Bueno Mendoza,Susana"/>
    <n v="0"/>
    <n v="0"/>
    <n v="0"/>
    <n v="0"/>
    <n v="0.12"/>
    <e v="#N/A"/>
    <s v="olivlizb"/>
  </r>
  <r>
    <x v="316"/>
    <x v="44"/>
    <s v="Admin/HR/IT"/>
    <s v="AMCARE NonOcc In"/>
    <s v="AMZN"/>
    <n v="201197964"/>
    <s v="Quijas,Matzayani"/>
    <s v="Rosas Negrete,Sebastian"/>
    <n v="0"/>
    <n v="0"/>
    <n v="0"/>
    <n v="0"/>
    <n v="0.74"/>
    <e v="#N/A"/>
    <s v="matzquij"/>
  </r>
  <r>
    <x v="316"/>
    <x v="44"/>
    <s v="Admin/HR/IT"/>
    <s v="AMCARE NonOcc In"/>
    <s v="AMZN"/>
    <n v="201300426"/>
    <s v="Lira,Adrian"/>
    <s v="Hernandez,Nataly"/>
    <n v="0"/>
    <n v="0"/>
    <n v="0"/>
    <n v="0"/>
    <n v="0.57999999999999996"/>
    <e v="#N/A"/>
    <s v="adriauli"/>
  </r>
  <r>
    <x v="316"/>
    <x v="44"/>
    <s v="Admin/HR/IT"/>
    <s v="AMCARE NonOcc In"/>
    <s v="AMZN"/>
    <n v="201353085"/>
    <s v="Garcia,Elva"/>
    <s v="Lopez,Alexa"/>
    <n v="0"/>
    <n v="0"/>
    <n v="0"/>
    <n v="0"/>
    <n v="0.2"/>
    <e v="#N/A"/>
    <s v="lelvgarc"/>
  </r>
  <r>
    <x v="316"/>
    <x v="44"/>
    <s v="Admin/HR/IT"/>
    <s v="AMCARE NonOcc In"/>
    <s v="AMZN"/>
    <n v="201390638"/>
    <s v="Bernal,Uriel"/>
    <s v="Corona Arriaga,Fernando"/>
    <n v="0"/>
    <n v="0"/>
    <n v="0"/>
    <n v="0"/>
    <n v="0.53"/>
    <e v="#N/A"/>
    <s v="furielbe"/>
  </r>
  <r>
    <x v="316"/>
    <x v="44"/>
    <s v="Admin/HR/IT"/>
    <s v="AMCARE NonOcc In"/>
    <s v="AMZN"/>
    <n v="201890790"/>
    <s v="Zuniga,Victor"/>
    <s v="Corona Arriaga,Fernando"/>
    <n v="0"/>
    <n v="0"/>
    <n v="0"/>
    <n v="0"/>
    <n v="0.26"/>
    <e v="#N/A"/>
    <s v="vicxzuni"/>
  </r>
  <r>
    <x v="316"/>
    <x v="44"/>
    <s v="Admin/HR/IT"/>
    <s v="AMCARE NonOcc In"/>
    <s v="TEMP"/>
    <n v="201901324"/>
    <s v="VelÃ¡zquez,Alejandro"/>
    <s v="Madrid Molina,Ramon"/>
    <n v="0"/>
    <n v="0"/>
    <n v="0"/>
    <n v="0"/>
    <n v="0.25"/>
    <e v="#N/A"/>
    <s v="velpalej"/>
  </r>
  <r>
    <x v="316"/>
    <x v="44"/>
    <s v="Admin/HR/IT"/>
    <s v="AMCARE NonOcc In"/>
    <s v="TEMP"/>
    <n v="202167308"/>
    <s v="Alcocer,Carlos"/>
    <s v="Bueno Mendoza,Susana"/>
    <n v="0"/>
    <n v="0"/>
    <n v="0"/>
    <n v="0"/>
    <n v="0.82"/>
    <e v="#N/A"/>
    <s v="cjalcoce"/>
  </r>
  <r>
    <x v="316"/>
    <x v="44"/>
    <s v="Admin/HR/IT"/>
    <s v="AMCARE NonOcc In"/>
    <s v="TEMP"/>
    <n v="202176797"/>
    <s v="Castro,Eduardo"/>
    <s v="Bueno Mendoza,Susana"/>
    <n v="0"/>
    <n v="0"/>
    <n v="0"/>
    <n v="0"/>
    <n v="0.21"/>
    <e v="#N/A"/>
    <s v="veducast"/>
  </r>
  <r>
    <x v="316"/>
    <x v="44"/>
    <s v="Admin/HR/IT"/>
    <s v="AMCARE NonOcc In"/>
    <s v="TEMP"/>
    <n v="202188434"/>
    <s v="Rivera,Aidza"/>
    <s v="Hernandez,Nataly"/>
    <n v="0"/>
    <n v="0"/>
    <n v="0"/>
    <n v="0"/>
    <n v="0.59"/>
    <e v="#N/A"/>
    <s v="aidzariv"/>
  </r>
  <r>
    <x v="316"/>
    <x v="44"/>
    <s v="Admin/HR/IT"/>
    <s v="AMCARE NonOcc In"/>
    <s v="TEMP"/>
    <n v="202219678"/>
    <s v="HernÃ¡ndez,Cinthia"/>
    <s v="Rosas Negrete,Sebastian"/>
    <n v="0"/>
    <n v="0"/>
    <n v="0"/>
    <n v="0"/>
    <n v="1.02"/>
    <e v="#N/A"/>
    <s v="cihernaf"/>
  </r>
  <r>
    <x v="316"/>
    <x v="44"/>
    <s v="Admin/HR/IT"/>
    <s v="AMCARE NonOcc In"/>
    <s v="TEMP"/>
    <n v="202235929"/>
    <s v="Villegas,Meylli"/>
    <s v="Pizana,Diego"/>
    <n v="0"/>
    <n v="0"/>
    <n v="0"/>
    <n v="0"/>
    <n v="0.62"/>
    <e v="#N/A"/>
    <s v="meyville"/>
  </r>
  <r>
    <x v="316"/>
    <x v="44"/>
    <s v="Admin/HR/IT"/>
    <s v="AMCARE NonOcc In"/>
    <s v="TEMP"/>
    <n v="202308823"/>
    <s v="Perez,Roberto"/>
    <s v="Rosas Negrete,Sebastian"/>
    <n v="0"/>
    <n v="0"/>
    <n v="0"/>
    <n v="0"/>
    <n v="0.25"/>
    <e v="#N/A"/>
    <s v="peroberp"/>
  </r>
  <r>
    <x v="316"/>
    <x v="44"/>
    <s v="Admin/HR/IT"/>
    <s v="AMCARE NonOcc In"/>
    <s v="TEMP"/>
    <n v="202350464"/>
    <s v="Garcia,Joselyn"/>
    <s v="Madrid Molina,Ramon"/>
    <n v="0"/>
    <n v="0"/>
    <n v="0"/>
    <n v="0"/>
    <n v="0.15"/>
    <e v="#N/A"/>
    <s v="gapjosel"/>
  </r>
  <r>
    <x v="316"/>
    <x v="44"/>
    <s v="Admin/HR/IT"/>
    <s v="AMCARE NonOcc In"/>
    <s v="TEMP"/>
    <n v="202364552"/>
    <s v="Rocha,Apolo"/>
    <s v="Cortes,Alejandra"/>
    <n v="0"/>
    <n v="0"/>
    <n v="0"/>
    <n v="0"/>
    <n v="1.73"/>
    <e v="#N/A"/>
    <s v="roapolot"/>
  </r>
  <r>
    <x v="316"/>
    <x v="44"/>
    <s v="Admin/HR/IT"/>
    <s v="AMCARE NonOcc In"/>
    <s v="TEMP"/>
    <n v="202480064"/>
    <s v="Hernandez Murillo,Cesar Daniel"/>
    <s v="Camarena,Grecia"/>
    <n v="0"/>
    <n v="0"/>
    <n v="0"/>
    <n v="0"/>
    <n v="0.16"/>
    <e v="#N/A"/>
    <s v="hcesarda"/>
  </r>
  <r>
    <x v="317"/>
    <x v="44"/>
    <s v="Admin/HR/IT"/>
    <s v="AMCARE NonOcc In"/>
    <s v="AMZN"/>
    <n v="113014078"/>
    <s v="Nunez Lopez,Aldair"/>
    <s v="Bueno Mendoza,Susana"/>
    <n v="0"/>
    <n v="0"/>
    <n v="0"/>
    <n v="0"/>
    <n v="0.12"/>
    <e v="#N/A"/>
    <s v="dnaldair"/>
  </r>
  <r>
    <x v="317"/>
    <x v="44"/>
    <s v="Admin/HR/IT"/>
    <s v="AMCARE NonOcc In"/>
    <s v="AMZN"/>
    <n v="113019099"/>
    <s v="Rios,Eric"/>
    <s v="Piedra,Valentina"/>
    <n v="0"/>
    <n v="0"/>
    <n v="0"/>
    <n v="0"/>
    <n v="0.1"/>
    <e v="#N/A"/>
    <s v="sericrio"/>
  </r>
  <r>
    <x v="317"/>
    <x v="44"/>
    <s v="Admin/HR/IT"/>
    <s v="AMCARE NonOcc In"/>
    <s v="AMZN"/>
    <n v="113101453"/>
    <s v="Isaac,Geovanna"/>
    <s v="Corona Arriaga,Fernando"/>
    <n v="0"/>
    <n v="0"/>
    <n v="0"/>
    <n v="0"/>
    <n v="0.15"/>
    <e v="#N/A"/>
    <s v="qisgeova"/>
  </r>
  <r>
    <x v="317"/>
    <x v="44"/>
    <s v="Admin/HR/IT"/>
    <s v="AMCARE NonOcc In"/>
    <s v="AMZN"/>
    <n v="200562303"/>
    <s v="Hernandez Cruz,Jorge"/>
    <s v="Corona Arriaga,Fernando"/>
    <n v="0"/>
    <n v="0"/>
    <n v="0"/>
    <n v="0"/>
    <n v="0.28000000000000003"/>
    <e v="#N/A"/>
    <s v="hejorgea"/>
  </r>
  <r>
    <x v="317"/>
    <x v="44"/>
    <s v="Admin/HR/IT"/>
    <s v="AMCARE NonOcc In"/>
    <s v="AMZN"/>
    <n v="200570729"/>
    <s v="Rodriguez,Carolina"/>
    <s v="Lopez,Alexa"/>
    <n v="0"/>
    <n v="0"/>
    <n v="0"/>
    <n v="0"/>
    <n v="0.04"/>
    <e v="#N/A"/>
    <s v="srodcaro"/>
  </r>
  <r>
    <x v="317"/>
    <x v="44"/>
    <s v="Admin/HR/IT"/>
    <s v="AMCARE NonOcc In"/>
    <s v="AMZN"/>
    <n v="201202093"/>
    <s v="Ortega,Elizabeth"/>
    <s v="Romero Sanchez,Gustavo Gabriel"/>
    <n v="0"/>
    <n v="0"/>
    <n v="0"/>
    <n v="0"/>
    <n v="0.42"/>
    <e v="#N/A"/>
    <s v="eliorten"/>
  </r>
  <r>
    <x v="317"/>
    <x v="44"/>
    <s v="Admin/HR/IT"/>
    <s v="AMCARE NonOcc In"/>
    <s v="AMZN"/>
    <n v="201320536"/>
    <s v="Ibarra,Miguel"/>
    <s v="Piedra,Valentina"/>
    <n v="0"/>
    <n v="0"/>
    <n v="0"/>
    <n v="0"/>
    <n v="0.53"/>
    <e v="#N/A"/>
    <s v="ibalmigu"/>
  </r>
  <r>
    <x v="317"/>
    <x v="44"/>
    <s v="Admin/HR/IT"/>
    <s v="AMCARE NonOcc In"/>
    <s v="AMZN"/>
    <n v="201402212"/>
    <s v="Padron,Karla"/>
    <s v="Rosas Negrete,Sebastian"/>
    <n v="0"/>
    <n v="0"/>
    <n v="0"/>
    <n v="0"/>
    <n v="0.25"/>
    <e v="#N/A"/>
    <s v="karlpadr"/>
  </r>
  <r>
    <x v="317"/>
    <x v="44"/>
    <s v="Admin/HR/IT"/>
    <s v="AMCARE NonOcc In"/>
    <s v="AMZN"/>
    <n v="201841804"/>
    <s v="Ruiz,Michelle"/>
    <s v="Piedra,Valentina"/>
    <n v="0"/>
    <n v="0"/>
    <n v="0"/>
    <n v="0"/>
    <n v="0.75"/>
    <e v="#N/A"/>
    <s v="ruizhmic"/>
  </r>
  <r>
    <x v="317"/>
    <x v="44"/>
    <s v="Admin/HR/IT"/>
    <s v="AMCARE NonOcc In"/>
    <s v="AMZN"/>
    <n v="201848180"/>
    <s v="Pacheco,Jack"/>
    <s v="Corona Arriaga,Fernando"/>
    <n v="0"/>
    <n v="0"/>
    <n v="0"/>
    <n v="0"/>
    <n v="0.04"/>
    <e v="#N/A"/>
    <s v="ljackpac"/>
  </r>
  <r>
    <x v="317"/>
    <x v="44"/>
    <s v="Admin/HR/IT"/>
    <s v="AMCARE NonOcc In"/>
    <s v="AMZN"/>
    <n v="201858330"/>
    <s v="Arrona,Pablo"/>
    <s v="Bueno Mendoza,Susana"/>
    <n v="0"/>
    <n v="0"/>
    <n v="0"/>
    <n v="0"/>
    <n v="0.15"/>
    <e v="#N/A"/>
    <s v="arrwpabl"/>
  </r>
  <r>
    <x v="317"/>
    <x v="44"/>
    <s v="Admin/HR/IT"/>
    <s v="AMCARE NonOcc In"/>
    <s v="TEMP"/>
    <n v="201901324"/>
    <s v="VelÃ¡zquez,Alejandro"/>
    <s v="Madrid Molina,Ramon"/>
    <n v="0"/>
    <n v="0"/>
    <n v="0"/>
    <n v="0"/>
    <n v="0.45"/>
    <e v="#N/A"/>
    <s v="velpalej"/>
  </r>
  <r>
    <x v="317"/>
    <x v="44"/>
    <s v="Admin/HR/IT"/>
    <s v="AMCARE NonOcc In"/>
    <s v="TEMP"/>
    <n v="202173728"/>
    <s v="Cob,Perla"/>
    <s v="Manzanares Navarro,Sandra"/>
    <n v="0"/>
    <n v="0"/>
    <n v="0"/>
    <n v="0"/>
    <n v="0.03"/>
    <e v="#N/A"/>
    <s v="perlcobx"/>
  </r>
  <r>
    <x v="317"/>
    <x v="44"/>
    <s v="Admin/HR/IT"/>
    <s v="AMCARE NonOcc In"/>
    <s v="TEMP"/>
    <n v="202186227"/>
    <s v="Aguilar,Karen"/>
    <s v="Bueno Mendoza,Susana"/>
    <n v="0"/>
    <n v="0"/>
    <n v="0"/>
    <n v="0"/>
    <n v="0.46"/>
    <e v="#N/A"/>
    <s v="agkarenw"/>
  </r>
  <r>
    <x v="317"/>
    <x v="44"/>
    <s v="Admin/HR/IT"/>
    <s v="AMCARE NonOcc In"/>
    <s v="TEMP"/>
    <n v="202188434"/>
    <s v="Rivera,Aidza"/>
    <s v="Bueno Mendoza,Susana"/>
    <n v="0"/>
    <n v="0"/>
    <n v="0"/>
    <n v="0"/>
    <n v="0.28000000000000003"/>
    <e v="#N/A"/>
    <s v="aidzariv"/>
  </r>
  <r>
    <x v="317"/>
    <x v="44"/>
    <s v="Admin/HR/IT"/>
    <s v="AMCARE NonOcc In"/>
    <s v="TEMP"/>
    <n v="202189809"/>
    <s v="Luna,Mario"/>
    <s v="Piedra,Valentina"/>
    <n v="0"/>
    <n v="0"/>
    <n v="0"/>
    <n v="0"/>
    <n v="0.79"/>
    <e v="#N/A"/>
    <s v="pmarilun"/>
  </r>
  <r>
    <x v="317"/>
    <x v="44"/>
    <s v="Admin/HR/IT"/>
    <s v="AMCARE NonOcc In"/>
    <s v="TEMP"/>
    <n v="202225994"/>
    <s v="Jauregui,IvÃ¡n"/>
    <s v="Rosas Negrete,Sebastian"/>
    <n v="0"/>
    <n v="0"/>
    <n v="0"/>
    <n v="0"/>
    <n v="0.06"/>
    <e v="#N/A"/>
    <s v="jaureyiv"/>
  </r>
  <r>
    <x v="317"/>
    <x v="44"/>
    <s v="Admin/HR/IT"/>
    <s v="AMCARE NonOcc In"/>
    <s v="TEMP"/>
    <n v="202253584"/>
    <s v="Armenta,Alan"/>
    <s v="Rosas Negrete,Sebastian"/>
    <n v="0"/>
    <n v="0"/>
    <n v="0"/>
    <n v="0"/>
    <n v="0.27"/>
    <e v="#N/A"/>
    <s v="alanarmr"/>
  </r>
  <r>
    <x v="317"/>
    <x v="44"/>
    <s v="Admin/HR/IT"/>
    <s v="AMCARE NonOcc In"/>
    <s v="TEMP"/>
    <n v="202265858"/>
    <s v="Salmeron,Alexa"/>
    <s v="Corona Arriaga,Fernando"/>
    <n v="0"/>
    <n v="0"/>
    <n v="0"/>
    <n v="0"/>
    <n v="0.38"/>
    <e v="#N/A"/>
    <s v="nalesalm"/>
  </r>
  <r>
    <x v="317"/>
    <x v="44"/>
    <s v="Admin/HR/IT"/>
    <s v="AMCARE NonOcc In"/>
    <s v="TEMP"/>
    <n v="202265870"/>
    <s v="Hidalgo,Alexander"/>
    <s v="Corona Arriaga,Fernando"/>
    <n v="0"/>
    <n v="0"/>
    <n v="0"/>
    <n v="0"/>
    <n v="0.42"/>
    <e v="#N/A"/>
    <s v="falexahi"/>
  </r>
  <r>
    <x v="317"/>
    <x v="44"/>
    <s v="Admin/HR/IT"/>
    <s v="AMCARE NonOcc In"/>
    <s v="TEMP"/>
    <n v="202304940"/>
    <s v="Jasso,Lily"/>
    <s v="Lopez,Alexa"/>
    <n v="0"/>
    <n v="0"/>
    <n v="0"/>
    <n v="0"/>
    <n v="0.28000000000000003"/>
    <e v="#N/A"/>
    <s v="jaslilyz"/>
  </r>
  <r>
    <x v="317"/>
    <x v="44"/>
    <s v="Admin/HR/IT"/>
    <s v="AMCARE NonOcc In"/>
    <s v="TEMP"/>
    <n v="202334621"/>
    <s v="Ramos,Karla"/>
    <s v="Lopez,Alexa"/>
    <n v="0"/>
    <n v="0"/>
    <n v="0"/>
    <n v="0"/>
    <n v="0.14000000000000001"/>
    <e v="#N/A"/>
    <s v="tkarlram"/>
  </r>
  <r>
    <x v="317"/>
    <x v="44"/>
    <s v="Admin/HR/IT"/>
    <s v="AMCARE NonOcc In"/>
    <s v="TEMP"/>
    <n v="202385959"/>
    <s v="Teran,Denisse"/>
    <s v="Manzanares Navarro,Sandra"/>
    <n v="0"/>
    <n v="0"/>
    <n v="0"/>
    <n v="0"/>
    <n v="0.28000000000000003"/>
    <e v="#N/A"/>
    <s v="teradeni"/>
  </r>
  <r>
    <x v="317"/>
    <x v="44"/>
    <s v="Admin/HR/IT"/>
    <s v="AMCARE NonOcc In"/>
    <s v="TEMP"/>
    <n v="202417687"/>
    <s v="Cordova,Edith"/>
    <s v="Manzanares Navarro,Sandra"/>
    <n v="0"/>
    <n v="0"/>
    <n v="0"/>
    <n v="0"/>
    <n v="0.2"/>
    <e v="#N/A"/>
    <s v="cordoedt"/>
  </r>
  <r>
    <x v="317"/>
    <x v="44"/>
    <s v="Admin/HR/IT"/>
    <s v="AMCARE NonOcc In"/>
    <s v="TEMP"/>
    <n v="202421791"/>
    <s v="AviÃ±a,Ramses"/>
    <s v="Pizana,Diego"/>
    <n v="0"/>
    <n v="0"/>
    <n v="0"/>
    <n v="0"/>
    <n v="0.04"/>
    <e v="#N/A"/>
    <s v="ramsesua"/>
  </r>
  <r>
    <x v="317"/>
    <x v="44"/>
    <s v="Admin/HR/IT"/>
    <s v="AMCARE NonOcc In"/>
    <s v="TEMP"/>
    <n v="202479908"/>
    <s v="Marquez,Diana"/>
    <s v="Camarena,Grecia"/>
    <n v="0"/>
    <n v="0"/>
    <n v="0"/>
    <n v="0"/>
    <n v="0.81"/>
    <e v="#N/A"/>
    <s v="jmadiana"/>
  </r>
  <r>
    <x v="317"/>
    <x v="44"/>
    <s v="Admin/HR/IT"/>
    <s v="AMCARE NonOcc In"/>
    <s v="TEMP"/>
    <n v="202479923"/>
    <s v="Arredondo,Grecia"/>
    <s v="Camarena,Grecia"/>
    <n v="0"/>
    <n v="0"/>
    <n v="0"/>
    <n v="0"/>
    <n v="0.97"/>
    <e v="#N/A"/>
    <s v="arredgre"/>
  </r>
  <r>
    <x v="317"/>
    <x v="44"/>
    <s v="Admin/HR/IT"/>
    <s v="AMCARE NonOcc In"/>
    <s v="TEMP"/>
    <n v="202480098"/>
    <s v="Ibarra,Alexa"/>
    <s v="Bueno Mendoza,Susana"/>
    <n v="0"/>
    <n v="0"/>
    <n v="0"/>
    <n v="0"/>
    <n v="0.6"/>
    <e v="#N/A"/>
    <s v="uibarale"/>
  </r>
  <r>
    <x v="317"/>
    <x v="44"/>
    <s v="Admin/HR/IT"/>
    <s v="AMCARE NonOcc In"/>
    <s v="TEMP"/>
    <n v="202518716"/>
    <s v="Araujo,Patricio"/>
    <s v="Camarena,Grecia"/>
    <n v="0"/>
    <n v="0"/>
    <n v="0"/>
    <n v="0"/>
    <n v="0.32"/>
    <e v="#N/A"/>
    <s v="patrarau"/>
  </r>
  <r>
    <x v="318"/>
    <x v="44"/>
    <s v="Admin/HR/IT"/>
    <s v="AMCARE NonOcc In"/>
    <s v="AMZN"/>
    <n v="112912661"/>
    <s v="Morales Gonzalez,Francisco"/>
    <s v="Hernandez,Nataly"/>
    <n v="0"/>
    <n v="0"/>
    <n v="0"/>
    <n v="0"/>
    <n v="0.27"/>
    <s v="DA-X0700"/>
    <s v="franmorb"/>
  </r>
  <r>
    <x v="318"/>
    <x v="44"/>
    <s v="Admin/HR/IT"/>
    <s v="AMCARE NonOcc In"/>
    <s v="AMZN"/>
    <n v="112912752"/>
    <s v="Valderrama Gomez,Leslie"/>
    <s v="Camarena,Grecia"/>
    <n v="0"/>
    <n v="0"/>
    <n v="0"/>
    <n v="0"/>
    <n v="0.4"/>
    <s v="NF-X1900"/>
    <s v="valderle"/>
  </r>
  <r>
    <x v="318"/>
    <x v="44"/>
    <s v="Admin/HR/IT"/>
    <s v="AMCARE NonOcc In"/>
    <s v="AMZN"/>
    <n v="112950795"/>
    <s v="Espinosa Espitia,Ali"/>
    <s v="Madrid Molina,Ramon"/>
    <n v="0"/>
    <n v="0"/>
    <n v="0"/>
    <n v="0"/>
    <n v="0.31"/>
    <s v="DA-X0700"/>
    <s v="oespiali"/>
  </r>
  <r>
    <x v="318"/>
    <x v="44"/>
    <s v="Admin/HR/IT"/>
    <s v="AMCARE NonOcc In"/>
    <s v="AMZN"/>
    <n v="112980899"/>
    <s v="Avila Cabrera,Ari"/>
    <s v="Camarena,Grecia"/>
    <n v="0"/>
    <n v="0"/>
    <n v="0"/>
    <n v="0"/>
    <n v="0.4"/>
    <s v="NF-X1900"/>
    <s v="aravilac"/>
  </r>
  <r>
    <x v="318"/>
    <x v="44"/>
    <s v="Admin/HR/IT"/>
    <s v="AMCARE NonOcc In"/>
    <s v="AMZN"/>
    <n v="112981014"/>
    <s v="Roldan Gutierrez,Pablo"/>
    <s v="Lopez,Alexa"/>
    <n v="0"/>
    <n v="0"/>
    <n v="0"/>
    <n v="0"/>
    <n v="0.34"/>
    <s v="DJ-X0700"/>
    <s v="rpabloul"/>
  </r>
  <r>
    <x v="318"/>
    <x v="44"/>
    <s v="Admin/HR/IT"/>
    <s v="AMCARE NonOcc In"/>
    <s v="AMZN"/>
    <n v="113014078"/>
    <s v="Nunez Lopez,Aldair"/>
    <s v="Bueno Mendoza,Susana"/>
    <n v="0"/>
    <n v="0"/>
    <n v="0"/>
    <n v="0"/>
    <n v="0.17"/>
    <e v="#N/A"/>
    <s v="dnaldair"/>
  </r>
  <r>
    <x v="318"/>
    <x v="44"/>
    <s v="Admin/HR/IT"/>
    <s v="AMCARE NonOcc In"/>
    <s v="AMZN"/>
    <n v="113014094"/>
    <s v="Mercado,Erika"/>
    <s v="Corona Arriaga,Fernando"/>
    <n v="0"/>
    <n v="0"/>
    <n v="0"/>
    <n v="0"/>
    <n v="0.19"/>
    <e v="#N/A"/>
    <s v="erikaadm"/>
  </r>
  <r>
    <x v="318"/>
    <x v="44"/>
    <s v="Admin/HR/IT"/>
    <s v="AMCARE NonOcc In"/>
    <s v="AMZN"/>
    <n v="113019001"/>
    <s v="Lozano Hernandez,Donny"/>
    <s v="Bueno Mendoza,Susana"/>
    <n v="0"/>
    <n v="0"/>
    <n v="0"/>
    <n v="0"/>
    <n v="7.0000000000000007E-2"/>
    <e v="#N/A"/>
    <s v="dolozane"/>
  </r>
  <r>
    <x v="318"/>
    <x v="44"/>
    <s v="Admin/HR/IT"/>
    <s v="AMCARE NonOcc In"/>
    <s v="AMZN"/>
    <n v="113020463"/>
    <s v="Valtierra,Alejandra"/>
    <s v="Corona Arriaga,Fernando"/>
    <n v="0"/>
    <n v="0"/>
    <n v="0"/>
    <n v="0"/>
    <n v="0.48"/>
    <e v="#N/A"/>
    <s v="myriamav"/>
  </r>
  <r>
    <x v="318"/>
    <x v="44"/>
    <s v="Admin/HR/IT"/>
    <s v="AMCARE NonOcc In"/>
    <s v="AMZN"/>
    <n v="200534675"/>
    <s v="Munoz Macias,Juan Pablo"/>
    <s v="Rosas Negrete,Sebastian"/>
    <n v="0"/>
    <n v="0"/>
    <n v="0"/>
    <n v="0"/>
    <n v="0.41"/>
    <e v="#N/A"/>
    <s v="juanpmun"/>
  </r>
  <r>
    <x v="318"/>
    <x v="44"/>
    <s v="Admin/HR/IT"/>
    <s v="AMCARE NonOcc In"/>
    <s v="AMZN"/>
    <n v="200562303"/>
    <s v="Hernandez Cruz,Jorge"/>
    <s v="Corona Arriaga,Fernando"/>
    <n v="0"/>
    <n v="0"/>
    <n v="0"/>
    <n v="0"/>
    <n v="0.46"/>
    <e v="#N/A"/>
    <s v="hejorgea"/>
  </r>
  <r>
    <x v="318"/>
    <x v="44"/>
    <s v="Admin/HR/IT"/>
    <s v="AMCARE NonOcc In"/>
    <s v="AMZN"/>
    <n v="201159033"/>
    <s v="Arrona,Monserrat"/>
    <s v="Piedra,Valentina"/>
    <n v="0"/>
    <n v="0"/>
    <n v="0"/>
    <n v="0"/>
    <n v="0.12"/>
    <e v="#N/A"/>
    <s v="monsarru"/>
  </r>
  <r>
    <x v="318"/>
    <x v="44"/>
    <s v="Admin/HR/IT"/>
    <s v="AMCARE NonOcc In"/>
    <s v="AMZN"/>
    <n v="201167501"/>
    <s v="Rodriguez,Ruben"/>
    <s v="Corona Arriaga,Fernando"/>
    <n v="0"/>
    <n v="0"/>
    <n v="0"/>
    <n v="0"/>
    <n v="0.17"/>
    <e v="#N/A"/>
    <s v="wguanajr"/>
  </r>
  <r>
    <x v="318"/>
    <x v="44"/>
    <s v="Admin/HR/IT"/>
    <s v="AMCARE NonOcc In"/>
    <s v="AMZN"/>
    <n v="201318220"/>
    <s v="Jasso,Raul"/>
    <s v="Bueno Mendoza,Susana"/>
    <n v="0"/>
    <n v="0"/>
    <n v="0"/>
    <n v="0"/>
    <n v="0.53"/>
    <e v="#N/A"/>
    <s v="raufjas"/>
  </r>
  <r>
    <x v="318"/>
    <x v="44"/>
    <s v="Admin/HR/IT"/>
    <s v="AMCARE NonOcc In"/>
    <s v="AMZN"/>
    <n v="201842039"/>
    <s v="Martinez,Antonio"/>
    <s v="Piedra,Valentina"/>
    <n v="0"/>
    <n v="0"/>
    <n v="0"/>
    <n v="0"/>
    <n v="0.32"/>
    <e v="#N/A"/>
    <s v="fantmar"/>
  </r>
  <r>
    <x v="318"/>
    <x v="44"/>
    <s v="Admin/HR/IT"/>
    <s v="AMCARE NonOcc In"/>
    <s v="AMZN"/>
    <n v="201858867"/>
    <s v="Cruz Velazquez,Gabriela"/>
    <s v="Piedra,Valentina"/>
    <n v="0"/>
    <n v="0"/>
    <n v="0"/>
    <n v="0"/>
    <n v="0.48"/>
    <e v="#N/A"/>
    <s v="tcruzvel"/>
  </r>
  <r>
    <x v="318"/>
    <x v="44"/>
    <s v="Admin/HR/IT"/>
    <s v="AMCARE NonOcc In"/>
    <s v="AMZN"/>
    <n v="201864225"/>
    <s v="Flores,Ivan"/>
    <s v="Piedra,Valentina"/>
    <n v="0"/>
    <n v="0"/>
    <n v="0"/>
    <n v="0"/>
    <n v="0.28999999999999998"/>
    <e v="#N/A"/>
    <s v="floreivc"/>
  </r>
  <r>
    <x v="318"/>
    <x v="44"/>
    <s v="Admin/HR/IT"/>
    <s v="AMCARE NonOcc In"/>
    <s v="TEMP"/>
    <n v="202080758"/>
    <s v="Centeno,Claudio"/>
    <s v="Madrid Molina,Ramon"/>
    <n v="0"/>
    <n v="0"/>
    <n v="0"/>
    <n v="0"/>
    <n v="0.02"/>
    <e v="#N/A"/>
    <s v="clcenteu"/>
  </r>
  <r>
    <x v="318"/>
    <x v="44"/>
    <s v="Admin/HR/IT"/>
    <s v="AMCARE NonOcc In"/>
    <s v="TEMP"/>
    <n v="202165242"/>
    <s v="Gonzalez,Marco"/>
    <s v="Munoz,Jonan"/>
    <n v="0"/>
    <n v="0"/>
    <n v="0"/>
    <n v="0"/>
    <n v="0.18"/>
    <e v="#N/A"/>
    <s v="marcqgon"/>
  </r>
  <r>
    <x v="318"/>
    <x v="44"/>
    <s v="Admin/HR/IT"/>
    <s v="AMCARE NonOcc In"/>
    <s v="TEMP"/>
    <n v="202167361"/>
    <s v="Gil Rico,Frida Ernestina"/>
    <s v="Bueno Mendoza,Susana"/>
    <n v="0"/>
    <n v="0"/>
    <n v="0"/>
    <n v="0"/>
    <n v="0.15"/>
    <e v="#N/A"/>
    <s v="gifridae"/>
  </r>
  <r>
    <x v="318"/>
    <x v="44"/>
    <s v="Admin/HR/IT"/>
    <s v="AMCARE NonOcc In"/>
    <s v="TEMP"/>
    <n v="202175835"/>
    <s v="Gonzalez,Abraham"/>
    <s v="Munoz,Jonan"/>
    <n v="0"/>
    <n v="0"/>
    <n v="0"/>
    <n v="0"/>
    <n v="0.28999999999999998"/>
    <e v="#N/A"/>
    <s v="gonzaoab"/>
  </r>
  <r>
    <x v="318"/>
    <x v="44"/>
    <s v="Admin/HR/IT"/>
    <s v="AMCARE NonOcc In"/>
    <s v="TEMP"/>
    <n v="202185222"/>
    <s v="Jaime,Alejandro"/>
    <s v="Hernandez,Nataly"/>
    <n v="0"/>
    <n v="0"/>
    <n v="0"/>
    <n v="0"/>
    <n v="0.68"/>
    <e v="#N/A"/>
    <s v="jalejaja"/>
  </r>
  <r>
    <x v="318"/>
    <x v="44"/>
    <s v="Admin/HR/IT"/>
    <s v="AMCARE NonOcc In"/>
    <s v="TEMP"/>
    <n v="202188434"/>
    <s v="Rivera,Aidza"/>
    <s v="Bueno Mendoza,Susana"/>
    <n v="0"/>
    <n v="0"/>
    <n v="0"/>
    <n v="0"/>
    <n v="1.47"/>
    <e v="#N/A"/>
    <s v="aidzariv"/>
  </r>
  <r>
    <x v="318"/>
    <x v="44"/>
    <s v="Admin/HR/IT"/>
    <s v="AMCARE NonOcc In"/>
    <s v="TEMP"/>
    <n v="202188991"/>
    <s v="Jimenez,Saul"/>
    <s v="Bueno Mendoza,Susana"/>
    <n v="0"/>
    <n v="0"/>
    <n v="0"/>
    <n v="0"/>
    <n v="0.25"/>
    <e v="#N/A"/>
    <s v="sjimesau"/>
  </r>
  <r>
    <x v="318"/>
    <x v="44"/>
    <s v="Admin/HR/IT"/>
    <s v="AMCARE NonOcc In"/>
    <s v="TEMP"/>
    <n v="202189092"/>
    <s v="Carpio,Gabriel"/>
    <s v="Munoz,Jonan"/>
    <n v="0"/>
    <n v="0"/>
    <n v="0"/>
    <n v="0"/>
    <n v="0.12"/>
    <e v="#N/A"/>
    <s v="lgabrica"/>
  </r>
  <r>
    <x v="318"/>
    <x v="44"/>
    <s v="Admin/HR/IT"/>
    <s v="AMCARE NonOcc In"/>
    <s v="TEMP"/>
    <n v="202194973"/>
    <s v="Huerta,Blanca"/>
    <s v="Corona Arriaga,Fernando"/>
    <n v="0"/>
    <n v="0"/>
    <n v="0"/>
    <n v="0"/>
    <n v="0.23"/>
    <e v="#N/A"/>
    <s v="huerblan"/>
  </r>
  <r>
    <x v="318"/>
    <x v="44"/>
    <s v="Admin/HR/IT"/>
    <s v="AMCARE NonOcc In"/>
    <s v="TEMP"/>
    <n v="202225994"/>
    <s v="Jauregui,IvÃ¡n"/>
    <s v="Rosas Negrete,Sebastian"/>
    <n v="0"/>
    <n v="0"/>
    <n v="0"/>
    <n v="0"/>
    <n v="0.13"/>
    <e v="#N/A"/>
    <s v="jaureyiv"/>
  </r>
  <r>
    <x v="318"/>
    <x v="44"/>
    <s v="Admin/HR/IT"/>
    <s v="AMCARE NonOcc In"/>
    <s v="TEMP"/>
    <n v="202237267"/>
    <s v="Marquez,Abraham"/>
    <s v="Pizana,Diego"/>
    <n v="0"/>
    <n v="0"/>
    <n v="0"/>
    <n v="0"/>
    <n v="0.18"/>
    <e v="#N/A"/>
    <s v="abrahlma"/>
  </r>
  <r>
    <x v="318"/>
    <x v="44"/>
    <s v="Admin/HR/IT"/>
    <s v="AMCARE NonOcc In"/>
    <s v="TEMP"/>
    <n v="202237290"/>
    <s v="Quiroz,Patricio"/>
    <s v="Pizana,Diego"/>
    <n v="0"/>
    <n v="0"/>
    <n v="0"/>
    <n v="0"/>
    <n v="0.25"/>
    <e v="#N/A"/>
    <s v="quiropat"/>
  </r>
  <r>
    <x v="318"/>
    <x v="44"/>
    <s v="Admin/HR/IT"/>
    <s v="AMCARE NonOcc In"/>
    <s v="TEMP"/>
    <n v="202249806"/>
    <s v="Valtierra,Saul Angel"/>
    <s v="Rosas Negrete,Sebastian"/>
    <n v="0"/>
    <n v="0"/>
    <n v="0"/>
    <n v="0"/>
    <n v="0.11"/>
    <e v="#N/A"/>
    <s v="valtinsa"/>
  </r>
  <r>
    <x v="318"/>
    <x v="44"/>
    <s v="Admin/HR/IT"/>
    <s v="AMCARE NonOcc In"/>
    <s v="TEMP"/>
    <n v="202265858"/>
    <s v="Salmeron,Alexa"/>
    <s v="Corona Arriaga,Fernando"/>
    <n v="0"/>
    <n v="0"/>
    <n v="0"/>
    <n v="0"/>
    <n v="0.27"/>
    <e v="#N/A"/>
    <s v="nalesalm"/>
  </r>
  <r>
    <x v="318"/>
    <x v="44"/>
    <s v="Admin/HR/IT"/>
    <s v="AMCARE NonOcc In"/>
    <s v="TEMP"/>
    <n v="202283406"/>
    <s v="Vazquez,Angelica"/>
    <s v="Rosas Negrete,Sebastian"/>
    <n v="0"/>
    <n v="0"/>
    <n v="0"/>
    <n v="0"/>
    <n v="0.09"/>
    <e v="#N/A"/>
    <s v="iangevaz"/>
  </r>
  <r>
    <x v="318"/>
    <x v="44"/>
    <s v="Admin/HR/IT"/>
    <s v="AMCARE NonOcc In"/>
    <s v="TEMP"/>
    <n v="202287922"/>
    <s v="Andrade,Gema"/>
    <s v="Lopez,Alexa"/>
    <n v="0"/>
    <n v="0"/>
    <n v="0"/>
    <n v="0"/>
    <n v="0.34"/>
    <e v="#N/A"/>
    <s v="gemandra"/>
  </r>
  <r>
    <x v="318"/>
    <x v="44"/>
    <s v="Admin/HR/IT"/>
    <s v="AMCARE NonOcc In"/>
    <s v="TEMP"/>
    <n v="202323890"/>
    <s v="Castillo,Pablo"/>
    <s v="Rosas Negrete,Sebastian"/>
    <n v="0"/>
    <n v="0"/>
    <n v="0"/>
    <n v="0"/>
    <n v="0.36"/>
    <e v="#N/A"/>
    <s v="castilpw"/>
  </r>
  <r>
    <x v="318"/>
    <x v="44"/>
    <s v="Admin/HR/IT"/>
    <s v="AMCARE NonOcc In"/>
    <s v="TEMP"/>
    <n v="202323975"/>
    <s v="Hernandez,Alejandro"/>
    <s v="Piedra,Valentina"/>
    <n v="0"/>
    <n v="0"/>
    <n v="0"/>
    <n v="0"/>
    <n v="0.32"/>
    <e v="#N/A"/>
    <s v="alhernk"/>
  </r>
  <r>
    <x v="318"/>
    <x v="44"/>
    <s v="Admin/HR/IT"/>
    <s v="AMCARE NonOcc In"/>
    <s v="TEMP"/>
    <n v="202329407"/>
    <s v="Medel,Sandra"/>
    <s v="Madrid Molina,Ramon"/>
    <n v="0"/>
    <n v="0"/>
    <n v="0"/>
    <n v="0"/>
    <n v="0.3"/>
    <e v="#N/A"/>
    <s v="omedesan"/>
  </r>
  <r>
    <x v="318"/>
    <x v="44"/>
    <s v="Admin/HR/IT"/>
    <s v="AMCARE NonOcc In"/>
    <s v="TEMP"/>
    <n v="202334620"/>
    <s v="Vera,Alejandro"/>
    <s v="Piedra,Valentina"/>
    <n v="0"/>
    <n v="0"/>
    <n v="0"/>
    <n v="0"/>
    <n v="0.21"/>
    <e v="#N/A"/>
    <s v="veraaled"/>
  </r>
  <r>
    <x v="318"/>
    <x v="44"/>
    <s v="Admin/HR/IT"/>
    <s v="AMCARE NonOcc In"/>
    <s v="TEMP"/>
    <n v="202389824"/>
    <s v="Brito,Ernesto"/>
    <s v="Lopez,Alexa"/>
    <n v="0"/>
    <n v="0"/>
    <n v="0"/>
    <n v="0"/>
    <n v="0.19"/>
    <e v="#N/A"/>
    <s v="ernsbrit"/>
  </r>
  <r>
    <x v="318"/>
    <x v="44"/>
    <s v="Admin/HR/IT"/>
    <s v="AMCARE NonOcc In"/>
    <s v="TEMP"/>
    <n v="202490913"/>
    <s v="Valadez,Frida"/>
    <s v="Madrid Molina,Ramon"/>
    <n v="0"/>
    <n v="0"/>
    <n v="0"/>
    <n v="0"/>
    <n v="0.28999999999999998"/>
    <e v="#N/A"/>
    <s v="valadfri"/>
  </r>
  <r>
    <x v="318"/>
    <x v="44"/>
    <s v="Admin/HR/IT"/>
    <s v="AMCARE NonOcc In"/>
    <s v="TEMP"/>
    <n v="202518714"/>
    <s v="Urrutia,JesÃºs"/>
    <s v="Madrid Molina,Ramon"/>
    <n v="0"/>
    <n v="0"/>
    <n v="0"/>
    <n v="0"/>
    <n v="7.0000000000000007E-2"/>
    <e v="#N/A"/>
    <s v="jeurrutj"/>
  </r>
  <r>
    <x v="319"/>
    <x v="44"/>
    <s v="Adm+C4345:M4432in/HR/IT"/>
    <s v="AMCARE NonOcc In"/>
    <s v="AMZN"/>
    <n v="112950795"/>
    <s v="Espinosa Espitia,Ali"/>
    <s v="Madrid Molina,Ramon"/>
    <n v="0"/>
    <n v="0"/>
    <n v="0"/>
    <n v="0"/>
    <n v="0.19"/>
    <s v="DA-X0700"/>
    <s v="oespiali"/>
  </r>
  <r>
    <x v="319"/>
    <x v="44"/>
    <s v="Admin/HR/IT"/>
    <s v="AMCARE NonOcc In"/>
    <s v="AMZN"/>
    <n v="112981013"/>
    <s v="Lopez Neri,Norma"/>
    <s v="Rosas Negrete,Sebastian"/>
    <n v="0"/>
    <n v="0"/>
    <n v="0"/>
    <n v="0"/>
    <n v="0.19"/>
    <s v="DA-X0700"/>
    <s v="normaelo"/>
  </r>
  <r>
    <x v="319"/>
    <x v="44"/>
    <s v="Admin/HR/IT"/>
    <s v="AMCARE NonOcc In"/>
    <s v="AMZN"/>
    <n v="113014078"/>
    <s v="Nunez Lopez,Aldair"/>
    <s v="Bueno Mendoza,Susana"/>
    <n v="0"/>
    <n v="0"/>
    <n v="0"/>
    <n v="0"/>
    <n v="1.18"/>
    <e v="#N/A"/>
    <s v="dnaldair"/>
  </r>
  <r>
    <x v="319"/>
    <x v="44"/>
    <s v="Admin/HR/IT"/>
    <s v="AMCARE NonOcc In"/>
    <s v="AMZN"/>
    <n v="113014094"/>
    <s v="Mercado,Erika"/>
    <s v="Corona Arriaga,Fernando"/>
    <n v="0"/>
    <n v="0"/>
    <n v="0"/>
    <n v="0"/>
    <n v="0.19"/>
    <e v="#N/A"/>
    <s v="erikaadm"/>
  </r>
  <r>
    <x v="319"/>
    <x v="44"/>
    <s v="Admin/HR/IT"/>
    <s v="AMCARE NonOcc In"/>
    <s v="AMZN"/>
    <n v="113014560"/>
    <s v="Lopez Moreno,Americo"/>
    <s v="Romero Sanchez,Gustavo Gabriel"/>
    <n v="0"/>
    <n v="0"/>
    <n v="0"/>
    <n v="0"/>
    <n v="0.33"/>
    <e v="#N/A"/>
    <s v="zlopamer"/>
  </r>
  <r>
    <x v="319"/>
    <x v="44"/>
    <s v="Admin/HR/IT"/>
    <s v="AMCARE NonOcc In"/>
    <s v="AMZN"/>
    <n v="200404250"/>
    <s v="Hurtado,Caty"/>
    <s v="Corona Arriaga,Fernando"/>
    <n v="0"/>
    <n v="0"/>
    <n v="0"/>
    <n v="0"/>
    <n v="0.33"/>
    <e v="#N/A"/>
    <s v="xcathurt"/>
  </r>
  <r>
    <x v="319"/>
    <x v="44"/>
    <s v="Admin/HR/IT"/>
    <s v="AMCARE NonOcc In"/>
    <s v="AMZN"/>
    <n v="200508323"/>
    <s v="Espejel Lopez,Emmanuel"/>
    <s v="Romero Sanchez,Gustavo Gabriel"/>
    <n v="0"/>
    <n v="0"/>
    <n v="0"/>
    <n v="0"/>
    <n v="0.13"/>
    <e v="#N/A"/>
    <s v="espejell"/>
  </r>
  <r>
    <x v="319"/>
    <x v="44"/>
    <s v="Admin/HR/IT"/>
    <s v="AMCARE NonOcc In"/>
    <s v="AMZN"/>
    <n v="200564895"/>
    <s v="Mendoza Corona,Brianda"/>
    <s v="Corona Arriaga,Fernando"/>
    <n v="0"/>
    <n v="0"/>
    <n v="0"/>
    <n v="0"/>
    <n v="0.16"/>
    <e v="#N/A"/>
    <s v="hmendobr"/>
  </r>
  <r>
    <x v="319"/>
    <x v="44"/>
    <s v="Admin/HR/IT"/>
    <s v="AMCARE NonOcc In"/>
    <s v="AMZN"/>
    <n v="200574345"/>
    <s v="Contreras,Jony"/>
    <s v="Corona Arriaga,Fernando"/>
    <n v="0"/>
    <n v="0"/>
    <n v="0"/>
    <n v="0"/>
    <n v="0.67"/>
    <e v="#N/A"/>
    <s v="contrexj"/>
  </r>
  <r>
    <x v="319"/>
    <x v="44"/>
    <s v="Admin/HR/IT"/>
    <s v="AMCARE NonOcc In"/>
    <s v="AMZN"/>
    <n v="201167501"/>
    <s v="Rodriguez,Ruben"/>
    <s v="Corona Arriaga,Fernando"/>
    <n v="0"/>
    <n v="0"/>
    <n v="0"/>
    <n v="0"/>
    <n v="0.19"/>
    <e v="#N/A"/>
    <s v="wguanajr"/>
  </r>
  <r>
    <x v="319"/>
    <x v="44"/>
    <s v="Admin/HR/IT"/>
    <s v="AMCARE NonOcc In"/>
    <s v="AMZN"/>
    <n v="201198922"/>
    <s v="Mendez,Joy"/>
    <s v="Munoz,Jonan"/>
    <n v="0"/>
    <n v="0"/>
    <n v="0"/>
    <n v="0"/>
    <n v="0.26"/>
    <e v="#N/A"/>
    <s v="mendejoy"/>
  </r>
  <r>
    <x v="319"/>
    <x v="44"/>
    <s v="Admin/HR/IT"/>
    <s v="AMCARE NonOcc In"/>
    <s v="AMZN"/>
    <n v="201341534"/>
    <s v="Becerra,Esmeralda"/>
    <s v="Bueno Mendoza,Susana"/>
    <n v="0"/>
    <n v="0"/>
    <n v="0"/>
    <n v="0"/>
    <n v="0.18"/>
    <e v="#N/A"/>
    <s v="beceresm"/>
  </r>
  <r>
    <x v="319"/>
    <x v="44"/>
    <s v="Admin/HR/IT"/>
    <s v="AMCARE NonOcc In"/>
    <s v="AMZN"/>
    <n v="201354965"/>
    <s v="JimÃ©nez,Aline"/>
    <s v="Piedra,Valentina"/>
    <n v="0"/>
    <n v="0"/>
    <n v="0"/>
    <n v="0"/>
    <n v="0.08"/>
    <e v="#N/A"/>
    <s v="alinejim"/>
  </r>
  <r>
    <x v="319"/>
    <x v="44"/>
    <s v="Admin/HR/IT"/>
    <s v="AMCARE NonOcc In"/>
    <s v="AMZN"/>
    <n v="201880542"/>
    <s v="ORTIZ,CORPUS"/>
    <s v="Bueno Mendoza,Susana"/>
    <n v="0"/>
    <n v="0"/>
    <n v="0"/>
    <n v="0"/>
    <n v="0.99"/>
    <e v="#N/A"/>
    <s v="orticorp"/>
  </r>
  <r>
    <x v="319"/>
    <x v="44"/>
    <s v="Admin/HR/IT"/>
    <s v="AMCARE NonOcc In"/>
    <s v="AMZN"/>
    <n v="201882567"/>
    <s v="Valtierra,Salvador"/>
    <s v="Corona Arriaga,Fernando"/>
    <n v="0"/>
    <n v="0"/>
    <n v="0"/>
    <n v="0"/>
    <n v="0.22"/>
    <e v="#N/A"/>
    <s v="valtsalv"/>
  </r>
  <r>
    <x v="319"/>
    <x v="44"/>
    <s v="Admin/HR/IT"/>
    <s v="AMCARE NonOcc In"/>
    <s v="TEMP"/>
    <n v="202068103"/>
    <s v="BarrÃ³n,Noe"/>
    <s v="AlarcÃ³n,Irving"/>
    <n v="0"/>
    <n v="0"/>
    <n v="0"/>
    <n v="0"/>
    <n v="0.14000000000000001"/>
    <e v="#N/A"/>
    <s v="barrqnoe"/>
  </r>
  <r>
    <x v="319"/>
    <x v="44"/>
    <s v="Admin/HR/IT"/>
    <s v="AMCARE NonOcc In"/>
    <s v="TEMP"/>
    <n v="202068119"/>
    <s v="Castillo,Saul"/>
    <s v="Manzanares Navarro,Sandra"/>
    <n v="0"/>
    <n v="0"/>
    <n v="0"/>
    <n v="0"/>
    <n v="0.02"/>
    <e v="#N/A"/>
    <s v="casosaul"/>
  </r>
  <r>
    <x v="319"/>
    <x v="44"/>
    <s v="Admin/HR/IT"/>
    <s v="AMCARE NonOcc In"/>
    <s v="TEMP"/>
    <n v="202070021"/>
    <s v="PatiÃ±o,Max"/>
    <s v="Madrid Molina,Ramon"/>
    <n v="0"/>
    <n v="0"/>
    <n v="0"/>
    <n v="0"/>
    <n v="0.17"/>
    <e v="#N/A"/>
    <s v="patiguil"/>
  </r>
  <r>
    <x v="319"/>
    <x v="44"/>
    <s v="Admin/HR/IT"/>
    <s v="AMCARE NonOcc In"/>
    <s v="TEMP"/>
    <n v="202081087"/>
    <s v="Martinez,Lilian"/>
    <s v="AlarcÃ³n,Irving"/>
    <n v="0"/>
    <n v="0"/>
    <n v="0"/>
    <n v="0"/>
    <n v="0.13"/>
    <e v="#N/A"/>
    <s v="rlimarti"/>
  </r>
  <r>
    <x v="319"/>
    <x v="44"/>
    <s v="Admin/HR/IT"/>
    <s v="AMCARE NonOcc In"/>
    <s v="TEMP"/>
    <n v="202118346"/>
    <s v="Ponce,Jessi"/>
    <s v="Rosas Negrete,Sebastian"/>
    <n v="0"/>
    <n v="0"/>
    <n v="0"/>
    <n v="0"/>
    <n v="0.08"/>
    <e v="#N/A"/>
    <s v="jesponcu"/>
  </r>
  <r>
    <x v="319"/>
    <x v="44"/>
    <s v="Admin/HR/IT"/>
    <s v="AMCARE NonOcc In"/>
    <s v="TEMP"/>
    <n v="202120362"/>
    <s v="Aguilar Franco,Viridiana"/>
    <s v="AlarcÃ³n,Irving"/>
    <n v="0"/>
    <n v="0"/>
    <n v="0"/>
    <n v="0"/>
    <n v="1.32"/>
    <e v="#N/A"/>
    <s v="aghvirid"/>
  </r>
  <r>
    <x v="319"/>
    <x v="44"/>
    <s v="Admin/HR/IT"/>
    <s v="AMCARE NonOcc In"/>
    <s v="TEMP"/>
    <n v="202137341"/>
    <s v="Bravo,Edgar"/>
    <s v="Rosas Negrete,Sebastian"/>
    <n v="0"/>
    <n v="0"/>
    <n v="0"/>
    <n v="0"/>
    <n v="0.36"/>
    <e v="#N/A"/>
    <s v="xedgabra"/>
  </r>
  <r>
    <x v="319"/>
    <x v="44"/>
    <s v="Admin/HR/IT"/>
    <s v="AMCARE NonOcc In"/>
    <s v="TEMP"/>
    <n v="202167308"/>
    <s v="Alcocer,Carlos"/>
    <s v="Bueno Mendoza,Susana"/>
    <n v="0"/>
    <n v="0"/>
    <n v="0"/>
    <n v="0"/>
    <n v="0.18"/>
    <e v="#N/A"/>
    <s v="cjalcoce"/>
  </r>
  <r>
    <x v="319"/>
    <x v="44"/>
    <s v="Admin/HR/IT"/>
    <s v="AMCARE NonOcc In"/>
    <s v="TEMP"/>
    <n v="202190946"/>
    <s v="Gonzalez,Caro"/>
    <s v="Bueno Mendoza,Susana"/>
    <n v="0"/>
    <n v="0"/>
    <n v="0"/>
    <n v="0"/>
    <n v="0.14000000000000001"/>
    <e v="#N/A"/>
    <s v="ggonzcar"/>
  </r>
  <r>
    <x v="319"/>
    <x v="44"/>
    <s v="Admin/HR/IT"/>
    <s v="AMCARE NonOcc In"/>
    <s v="TEMP"/>
    <n v="202194928"/>
    <s v="Garcia Castillo,Jose Miguel"/>
    <s v="Rosas Negrete,Sebastian"/>
    <n v="0"/>
    <n v="0"/>
    <n v="0"/>
    <n v="0"/>
    <n v="0.26"/>
    <e v="#N/A"/>
    <s v="gajosemr"/>
  </r>
  <r>
    <x v="319"/>
    <x v="44"/>
    <s v="Admin/HR/IT"/>
    <s v="AMCARE NonOcc In"/>
    <s v="TEMP"/>
    <n v="202219558"/>
    <s v="Cortes,Ricardo"/>
    <s v="Munoz,Jonan"/>
    <n v="0"/>
    <n v="0"/>
    <n v="0"/>
    <n v="0"/>
    <n v="0.32"/>
    <e v="#N/A"/>
    <s v="ricaqcor"/>
  </r>
  <r>
    <x v="319"/>
    <x v="44"/>
    <s v="Admin/HR/IT"/>
    <s v="AMCARE NonOcc In"/>
    <s v="TEMP"/>
    <n v="202265858"/>
    <s v="Salmeron,Alexa"/>
    <s v="Corona Arriaga,Fernando"/>
    <n v="0"/>
    <n v="0"/>
    <n v="0"/>
    <n v="0"/>
    <n v="0.19"/>
    <e v="#N/A"/>
    <s v="nalesalm"/>
  </r>
  <r>
    <x v="319"/>
    <x v="44"/>
    <s v="Admin/HR/IT"/>
    <s v="AMCARE NonOcc In"/>
    <s v="TEMP"/>
    <n v="202273970"/>
    <s v="Medina,Jafet"/>
    <s v="Camarena,Grecia"/>
    <n v="0"/>
    <n v="0"/>
    <n v="0"/>
    <n v="0"/>
    <n v="0.12"/>
    <e v="#N/A"/>
    <s v="jafemedi"/>
  </r>
  <r>
    <x v="319"/>
    <x v="44"/>
    <s v="Admin/HR/IT"/>
    <s v="AMCARE NonOcc In"/>
    <s v="TEMP"/>
    <n v="202282459"/>
    <s v="VelÃ¡zquez,Alexis"/>
    <s v="Romero Sanchez,Gustavo Gabriel"/>
    <n v="0"/>
    <n v="0"/>
    <n v="0"/>
    <n v="0"/>
    <n v="0.37"/>
    <e v="#N/A"/>
    <s v="velazalr"/>
  </r>
  <r>
    <x v="319"/>
    <x v="44"/>
    <s v="Admin/HR/IT"/>
    <s v="AMCARE NonOcc In"/>
    <s v="TEMP"/>
    <n v="202287533"/>
    <s v="Hernandez,Antonio"/>
    <s v="Lopez,Alexa"/>
    <n v="0"/>
    <n v="0"/>
    <n v="0"/>
    <n v="0"/>
    <n v="0.3"/>
    <e v="#N/A"/>
    <s v="antonhee"/>
  </r>
  <r>
    <x v="319"/>
    <x v="44"/>
    <s v="Admin/HR/IT"/>
    <s v="AMCARE NonOcc In"/>
    <s v="TEMP"/>
    <n v="202287922"/>
    <s v="Andrade,Gema"/>
    <s v="Lopez,Alexa"/>
    <n v="0"/>
    <n v="0"/>
    <n v="0"/>
    <n v="0"/>
    <n v="0.33"/>
    <e v="#N/A"/>
    <s v="gemandra"/>
  </r>
  <r>
    <x v="319"/>
    <x v="44"/>
    <s v="Admin/HR/IT"/>
    <s v="AMCARE NonOcc In"/>
    <s v="TEMP"/>
    <n v="202329407"/>
    <s v="Medel,Sandra"/>
    <s v="Madrid Molina,Ramon"/>
    <n v="0"/>
    <n v="0"/>
    <n v="0"/>
    <n v="0"/>
    <n v="0.34"/>
    <e v="#N/A"/>
    <s v="omedesan"/>
  </r>
  <r>
    <x v="319"/>
    <x v="44"/>
    <s v="Admin/HR/IT"/>
    <s v="AMCARE NonOcc In"/>
    <s v="TEMP"/>
    <n v="202334751"/>
    <s v="Marquez,Luz Maria"/>
    <s v="Madrid Molina,Ramon"/>
    <n v="0"/>
    <n v="0"/>
    <n v="0"/>
    <n v="0"/>
    <n v="0.34"/>
    <e v="#N/A"/>
    <s v="luzmmarq"/>
  </r>
  <r>
    <x v="319"/>
    <x v="44"/>
    <s v="Admin/HR/IT"/>
    <s v="AMCARE NonOcc In"/>
    <s v="TEMP"/>
    <n v="202350464"/>
    <s v="Garcia,Joselyn"/>
    <s v="Madrid Molina,Ramon"/>
    <n v="0"/>
    <n v="0"/>
    <n v="0"/>
    <n v="0"/>
    <n v="1.1200000000000001"/>
    <e v="#N/A"/>
    <s v="gapjosel"/>
  </r>
  <r>
    <x v="319"/>
    <x v="44"/>
    <s v="Admin/HR/IT"/>
    <s v="AMCARE NonOcc In"/>
    <s v="TEMP"/>
    <n v="202374145"/>
    <s v="Gascon,Abraham"/>
    <s v="Cortes,Alejandra"/>
    <n v="0"/>
    <n v="0"/>
    <n v="0"/>
    <n v="0"/>
    <n v="0.27"/>
    <e v="#N/A"/>
    <s v="gasconab"/>
  </r>
  <r>
    <x v="319"/>
    <x v="44"/>
    <s v="Admin/HR/IT"/>
    <s v="AMCARE NonOcc In"/>
    <s v="TEMP"/>
    <n v="202417673"/>
    <s v="LÃ³pez,Valeria"/>
    <s v="Cortes,Alejandra"/>
    <n v="0"/>
    <n v="0"/>
    <n v="0"/>
    <n v="0"/>
    <n v="0.3"/>
    <e v="#N/A"/>
    <s v="valezlop"/>
  </r>
  <r>
    <x v="319"/>
    <x v="44"/>
    <s v="Admin/HR/IT"/>
    <s v="AMCARE NonOcc In"/>
    <s v="TEMP"/>
    <n v="202421453"/>
    <s v="Checo,Sergio"/>
    <s v="Cortes,Alejandra"/>
    <n v="0"/>
    <n v="0"/>
    <n v="0"/>
    <n v="0"/>
    <n v="0.7"/>
    <e v="#N/A"/>
    <s v="chejserg"/>
  </r>
  <r>
    <x v="319"/>
    <x v="44"/>
    <s v="Admin/HR/IT"/>
    <s v="AMCARE NonOcc In"/>
    <s v="TEMP"/>
    <n v="202442784"/>
    <s v="Vera,Ana"/>
    <s v="Pizana,Diego"/>
    <n v="0"/>
    <n v="0"/>
    <n v="0"/>
    <n v="0"/>
    <n v="0.16"/>
    <e v="#N/A"/>
    <s v="lanavera"/>
  </r>
  <r>
    <x v="319"/>
    <x v="44"/>
    <s v="Admin/HR/IT"/>
    <s v="AMCARE NonOcc In"/>
    <s v="TEMP"/>
    <n v="202479830"/>
    <s v="Medina,Montserrat"/>
    <s v="Bueno Mendoza,Susana"/>
    <n v="0"/>
    <n v="0"/>
    <n v="0"/>
    <n v="0"/>
    <n v="1.22"/>
    <e v="#N/A"/>
    <s v="montmedi"/>
  </r>
  <r>
    <x v="319"/>
    <x v="44"/>
    <s v="Admin/HR/IT"/>
    <s v="AMCARE NonOcc In"/>
    <s v="TEMP"/>
    <n v="202479893"/>
    <s v="Torres,Luza"/>
    <s v="Bueno Mendoza,Susana"/>
    <n v="0"/>
    <n v="0"/>
    <n v="0"/>
    <n v="0"/>
    <n v="0.66"/>
    <e v="#N/A"/>
    <s v="torluzaf"/>
  </r>
  <r>
    <x v="319"/>
    <x v="44"/>
    <s v="Admin/HR/IT"/>
    <s v="AMCARE NonOcc In"/>
    <s v="TEMP"/>
    <n v="202479901"/>
    <s v="Torres,Delia"/>
    <s v="Camarena,Grecia"/>
    <n v="0"/>
    <n v="0"/>
    <n v="0"/>
    <n v="0"/>
    <n v="1.1299999999999999"/>
    <e v="#N/A"/>
    <s v="delhtorr"/>
  </r>
  <r>
    <x v="319"/>
    <x v="44"/>
    <s v="Admin/HR/IT"/>
    <s v="AMCARE NonOcc In"/>
    <s v="TEMP"/>
    <n v="202518715"/>
    <s v="Sandoval,Cecilia"/>
    <s v="Camarena,Grecia"/>
    <n v="0"/>
    <n v="0"/>
    <n v="0"/>
    <n v="0"/>
    <n v="0.45"/>
    <e v="#N/A"/>
    <s v="sandceci"/>
  </r>
  <r>
    <x v="319"/>
    <x v="44"/>
    <s v="Admin/HR/IT"/>
    <s v="AMCARE NonOcc In"/>
    <s v="TEMP"/>
    <n v="202538455"/>
    <s v="sandoval,israel"/>
    <s v="Pizana,Diego"/>
    <n v="0"/>
    <n v="0"/>
    <n v="0"/>
    <n v="0"/>
    <n v="1.4"/>
    <e v="#N/A"/>
    <e v="#N/A"/>
  </r>
  <r>
    <x v="320"/>
    <x v="44"/>
    <s v="Admin/HR/IT"/>
    <s v="AMCARE NonOcc In"/>
    <s v="AMZN"/>
    <n v="103979960"/>
    <s v="Suchil Angel,Guillermo"/>
    <s v="Corona Arriaga,Fernando"/>
    <n v="0"/>
    <n v="0"/>
    <n v="0"/>
    <n v="0"/>
    <n v="0.18"/>
    <e v="#N/A"/>
    <e v="#N/A"/>
  </r>
  <r>
    <x v="320"/>
    <x v="44"/>
    <s v="Admin/HR/IT"/>
    <s v="AMCARE NonOcc In"/>
    <s v="TEMP"/>
    <n v="112912984"/>
    <s v="Ortiz,Isaac"/>
    <s v="Pizana,Diego"/>
    <n v="0"/>
    <n v="0"/>
    <n v="0"/>
    <n v="0"/>
    <n v="0.08"/>
    <s v="DJ-X0700"/>
    <s v="ortizdui"/>
  </r>
  <r>
    <x v="320"/>
    <x v="44"/>
    <s v="Admin/HR/IT"/>
    <s v="AMCARE NonOcc In"/>
    <s v="AMZN"/>
    <n v="112971962"/>
    <s v="Reyes  Montes de oca,Alejandra"/>
    <s v="Romero Sanchez,Gustavo Gabriel"/>
    <n v="0"/>
    <n v="0"/>
    <n v="0"/>
    <n v="0"/>
    <n v="0.19"/>
    <s v="DB-X0700"/>
    <s v="creyesal"/>
  </r>
  <r>
    <x v="320"/>
    <x v="44"/>
    <s v="Admin/HR/IT"/>
    <s v="AMCARE NonOcc In"/>
    <s v="AMZN"/>
    <n v="112972215"/>
    <s v="Cruz,Ana"/>
    <s v="Romero Sanchez,Gustavo Gabriel"/>
    <n v="0"/>
    <n v="0"/>
    <n v="0"/>
    <n v="0"/>
    <n v="0.15"/>
    <s v="DB-X0700"/>
    <s v="cruzbana"/>
  </r>
  <r>
    <x v="320"/>
    <x v="44"/>
    <s v="Admin/HR/IT"/>
    <s v="AMCARE NonOcc In"/>
    <s v="AMZN"/>
    <n v="113014560"/>
    <s v="Lopez Moreno,Americo"/>
    <s v="Romero Sanchez,Gustavo Gabriel"/>
    <n v="0"/>
    <n v="0"/>
    <n v="0"/>
    <n v="0"/>
    <n v="0.27"/>
    <e v="#N/A"/>
    <s v="zlopamer"/>
  </r>
  <r>
    <x v="320"/>
    <x v="44"/>
    <s v="Admin/HR/IT"/>
    <s v="AMCARE NonOcc In"/>
    <s v="AMZN"/>
    <n v="113020476"/>
    <s v="Puente Aguilar,Polette"/>
    <s v="Lopez,Alexa"/>
    <n v="0"/>
    <n v="0"/>
    <n v="0"/>
    <n v="0"/>
    <n v="0.09"/>
    <e v="#N/A"/>
    <s v="polettpu"/>
  </r>
  <r>
    <x v="320"/>
    <x v="44"/>
    <s v="Admin/HR/IT"/>
    <s v="AMCARE NonOcc In"/>
    <s v="AMZN"/>
    <n v="113052151"/>
    <s v="Nieves Mendez,Laura"/>
    <s v="Piedra,Valentina"/>
    <n v="0"/>
    <n v="0"/>
    <n v="0"/>
    <n v="0"/>
    <n v="0.14000000000000001"/>
    <e v="#N/A"/>
    <s v="nilaurab"/>
  </r>
  <r>
    <x v="320"/>
    <x v="44"/>
    <s v="Admin/HR/IT"/>
    <s v="AMCARE NonOcc In"/>
    <s v="AMZN"/>
    <n v="201172306"/>
    <s v="Valdez,CÃ©sar"/>
    <s v="Lopez,Alexa"/>
    <n v="0"/>
    <n v="0"/>
    <n v="0"/>
    <n v="0"/>
    <n v="0.09"/>
    <e v="#N/A"/>
    <s v="cesarvae"/>
  </r>
  <r>
    <x v="320"/>
    <x v="44"/>
    <s v="Admin/HR/IT"/>
    <s v="AMCARE NonOcc In"/>
    <s v="AMZN"/>
    <n v="201191390"/>
    <s v="GarcÃ­a,jesus"/>
    <s v="Romero Sanchez,Gustavo Gabriel"/>
    <n v="0"/>
    <n v="0"/>
    <n v="0"/>
    <n v="0"/>
    <n v="0.08"/>
    <e v="#N/A"/>
    <s v="bgajesus"/>
  </r>
  <r>
    <x v="320"/>
    <x v="44"/>
    <s v="Admin/HR/IT"/>
    <s v="AMCARE NonOcc In"/>
    <s v="AMZN"/>
    <n v="201354965"/>
    <s v="JimÃ©nez,Aline"/>
    <s v="Piedra,Valentina"/>
    <n v="0"/>
    <n v="0"/>
    <n v="0"/>
    <n v="0"/>
    <n v="0.47"/>
    <e v="#N/A"/>
    <s v="alinejim"/>
  </r>
  <r>
    <x v="320"/>
    <x v="44"/>
    <s v="Admin/HR/IT"/>
    <s v="AMCARE NonOcc In"/>
    <s v="TEMP"/>
    <n v="201365023"/>
    <s v="Centeno,Ara"/>
    <s v="Romero Sanchez,Gustavo Gabriel"/>
    <n v="0"/>
    <n v="0"/>
    <n v="0"/>
    <n v="0"/>
    <n v="1.27"/>
    <e v="#N/A"/>
    <s v="varacent"/>
  </r>
  <r>
    <x v="320"/>
    <x v="44"/>
    <s v="Admin/HR/IT"/>
    <s v="AMCARE NonOcc In"/>
    <s v="AMZN"/>
    <n v="201406984"/>
    <s v="Perez,Misael"/>
    <s v="Manzanares Navarro,Sandra"/>
    <n v="0"/>
    <n v="0"/>
    <n v="0"/>
    <n v="0"/>
    <n v="0.56999999999999995"/>
    <e v="#N/A"/>
    <s v="dmisaelp"/>
  </r>
  <r>
    <x v="320"/>
    <x v="44"/>
    <s v="Admin/HR/IT"/>
    <s v="AMCARE NonOcc In"/>
    <s v="AMZN"/>
    <n v="201841804"/>
    <s v="Ruiz,Michelle"/>
    <s v="Piedra,Valentina"/>
    <n v="0"/>
    <n v="0"/>
    <n v="0"/>
    <n v="0"/>
    <n v="0.22"/>
    <e v="#N/A"/>
    <s v="ruizhmic"/>
  </r>
  <r>
    <x v="320"/>
    <x v="44"/>
    <s v="Admin/HR/IT"/>
    <s v="AMCARE NonOcc In"/>
    <s v="AMZN"/>
    <n v="201858789"/>
    <s v="HINOJOSA,IGNACIO"/>
    <s v="Piedra,Valentina"/>
    <n v="0"/>
    <n v="0"/>
    <n v="0"/>
    <n v="0"/>
    <n v="0.27"/>
    <e v="#N/A"/>
    <s v="ignachis"/>
  </r>
  <r>
    <x v="320"/>
    <x v="44"/>
    <s v="Admin/HR/IT"/>
    <s v="AMCARE NonOcc In"/>
    <s v="AMZN"/>
    <n v="201858867"/>
    <s v="Cruz Velazquez,Gabriela"/>
    <s v="Piedra,Valentina"/>
    <n v="0"/>
    <n v="0"/>
    <n v="0"/>
    <n v="0"/>
    <n v="0.12"/>
    <e v="#N/A"/>
    <s v="tcruzvel"/>
  </r>
  <r>
    <x v="320"/>
    <x v="44"/>
    <s v="Admin/HR/IT"/>
    <s v="AMCARE NonOcc In"/>
    <s v="TEMP"/>
    <n v="201901967"/>
    <s v="Dominguez,Diana"/>
    <s v="AlarcÃ³n,Irving"/>
    <n v="0"/>
    <n v="0"/>
    <n v="0"/>
    <n v="0"/>
    <n v="0.26"/>
    <e v="#N/A"/>
    <s v="ndomindi"/>
  </r>
  <r>
    <x v="320"/>
    <x v="44"/>
    <s v="Admin/HR/IT"/>
    <s v="AMCARE NonOcc In"/>
    <s v="TEMP"/>
    <n v="202062181"/>
    <s v="Trejo,Luis"/>
    <s v="Lopez,Alexa"/>
    <n v="0"/>
    <n v="0"/>
    <n v="0"/>
    <n v="0"/>
    <n v="0.22"/>
    <e v="#N/A"/>
    <s v="xlutrejo"/>
  </r>
  <r>
    <x v="320"/>
    <x v="44"/>
    <s v="Admin/HR/IT"/>
    <s v="AMCARE NonOcc In"/>
    <s v="TEMP"/>
    <n v="202117420"/>
    <s v="Cervera,Israel"/>
    <s v="Manzanares Navarro,Sandra"/>
    <n v="0"/>
    <n v="0"/>
    <n v="0"/>
    <n v="0"/>
    <n v="0.4"/>
    <e v="#N/A"/>
    <s v="iscerver"/>
  </r>
  <r>
    <x v="320"/>
    <x v="44"/>
    <s v="Admin/HR/IT"/>
    <s v="AMCARE NonOcc In"/>
    <s v="TEMP"/>
    <n v="202120417"/>
    <s v="Hernandez,Jose"/>
    <s v="Manzanares Navarro,Sandra"/>
    <n v="0"/>
    <n v="0"/>
    <n v="0"/>
    <n v="0"/>
    <n v="0.19"/>
    <e v="#N/A"/>
    <s v="bhejose"/>
  </r>
  <r>
    <x v="320"/>
    <x v="44"/>
    <s v="Admin/HR/IT"/>
    <s v="AMCARE NonOcc In"/>
    <s v="TEMP"/>
    <n v="202137149"/>
    <s v="Caudillo,Carlos"/>
    <s v="Munoz,Jonan"/>
    <n v="0"/>
    <n v="0"/>
    <n v="0"/>
    <n v="0"/>
    <n v="0.09"/>
    <e v="#N/A"/>
    <s v="caudicar"/>
  </r>
  <r>
    <x v="320"/>
    <x v="44"/>
    <s v="Admin/HR/IT"/>
    <s v="AMCARE NonOcc In"/>
    <s v="TEMP"/>
    <n v="202165242"/>
    <s v="Gonzalez,Marco"/>
    <s v="Munoz,Jonan"/>
    <n v="0"/>
    <n v="0"/>
    <n v="0"/>
    <n v="0"/>
    <n v="0.16"/>
    <e v="#N/A"/>
    <s v="marcqgon"/>
  </r>
  <r>
    <x v="320"/>
    <x v="44"/>
    <s v="Admin/HR/IT"/>
    <s v="AMCARE NonOcc In"/>
    <s v="TEMP"/>
    <n v="202175649"/>
    <s v="Galvan,Lia"/>
    <s v="Manzanares Navarro,Sandra"/>
    <n v="0"/>
    <n v="0"/>
    <n v="0"/>
    <n v="0"/>
    <n v="0.09"/>
    <e v="#N/A"/>
    <s v="galvali"/>
  </r>
  <r>
    <x v="320"/>
    <x v="44"/>
    <s v="Admin/HR/IT"/>
    <s v="AMCARE NonOcc In"/>
    <s v="TEMP"/>
    <n v="202194885"/>
    <s v="Bermejo,Israel"/>
    <s v="Piedra,Valentina"/>
    <n v="0"/>
    <n v="0"/>
    <n v="0"/>
    <n v="0"/>
    <n v="0.69"/>
    <e v="#N/A"/>
    <s v="bermisrq"/>
  </r>
  <r>
    <x v="320"/>
    <x v="44"/>
    <s v="Admin/HR/IT"/>
    <s v="AMCARE NonOcc In"/>
    <s v="TEMP"/>
    <n v="202229859"/>
    <s v="DÃ­az,Gus"/>
    <s v="Pizana,Diego"/>
    <n v="0"/>
    <n v="0"/>
    <n v="0"/>
    <n v="0"/>
    <n v="0.22"/>
    <e v="#N/A"/>
    <s v="gusudiaz"/>
  </r>
  <r>
    <x v="320"/>
    <x v="44"/>
    <s v="Admin/HR/IT"/>
    <s v="AMCARE NonOcc In"/>
    <s v="TEMP"/>
    <n v="202237223"/>
    <s v="Nunez Gonzalez,Gabriela"/>
    <s v="Camarena,Grecia"/>
    <n v="0"/>
    <n v="0"/>
    <n v="0"/>
    <n v="0"/>
    <n v="0.25"/>
    <e v="#N/A"/>
    <s v="nunezgog"/>
  </r>
  <r>
    <x v="320"/>
    <x v="44"/>
    <s v="Admin/HR/IT"/>
    <s v="AMCARE NonOcc In"/>
    <s v="TEMP"/>
    <n v="202274001"/>
    <s v="Reynoso,Esmeralda"/>
    <s v="Lopez,Alexa"/>
    <n v="0"/>
    <n v="0"/>
    <n v="0"/>
    <n v="0"/>
    <n v="0.63"/>
    <e v="#N/A"/>
    <s v="esmecrey"/>
  </r>
  <r>
    <x v="320"/>
    <x v="44"/>
    <s v="Admin/HR/IT"/>
    <s v="AMCARE NonOcc In"/>
    <s v="TEMP"/>
    <n v="202288453"/>
    <s v="Aguirre,Gerardo"/>
    <s v="Camarena,Grecia"/>
    <n v="0"/>
    <n v="0"/>
    <n v="0"/>
    <n v="0"/>
    <n v="0.21"/>
    <e v="#N/A"/>
    <s v="geroagui"/>
  </r>
  <r>
    <x v="320"/>
    <x v="44"/>
    <s v="Admin/HR/IT"/>
    <s v="AMCARE NonOcc In"/>
    <s v="TEMP"/>
    <n v="202304940"/>
    <s v="Jasso,Lily"/>
    <s v="Lopez,Alexa"/>
    <n v="0"/>
    <n v="0"/>
    <n v="0"/>
    <n v="0"/>
    <n v="0.33"/>
    <e v="#N/A"/>
    <s v="jaslilyz"/>
  </r>
  <r>
    <x v="320"/>
    <x v="44"/>
    <s v="Admin/HR/IT"/>
    <s v="AMCARE NonOcc In"/>
    <s v="TEMP"/>
    <n v="202320279"/>
    <s v="Oliva,Aldair"/>
    <s v="Piedra,Valentina"/>
    <n v="0"/>
    <n v="0"/>
    <n v="0"/>
    <n v="0"/>
    <n v="0.42"/>
    <e v="#N/A"/>
    <s v="zaldaiol"/>
  </r>
  <r>
    <x v="320"/>
    <x v="44"/>
    <s v="Admin/HR/IT"/>
    <s v="AMCARE NonOcc In"/>
    <s v="TEMP"/>
    <n v="202353921"/>
    <s v="Arechar Ortiz,Lindi Noemi"/>
    <s v="Piedra,Valentina"/>
    <n v="0"/>
    <n v="0"/>
    <n v="0"/>
    <n v="0"/>
    <n v="0.12"/>
    <e v="#N/A"/>
    <s v="lindinoe"/>
  </r>
  <r>
    <x v="320"/>
    <x v="44"/>
    <s v="Admin/HR/IT"/>
    <s v="AMCARE NonOcc In"/>
    <s v="TEMP"/>
    <n v="202369419"/>
    <s v="Fabian,Ary"/>
    <s v="Romero Sanchez,Gustavo Gabriel"/>
    <n v="0"/>
    <n v="0"/>
    <n v="0"/>
    <n v="0"/>
    <n v="0.12"/>
    <e v="#N/A"/>
    <s v="afabianx"/>
  </r>
  <r>
    <x v="320"/>
    <x v="44"/>
    <s v="Admin/HR/IT"/>
    <s v="AMCARE NonOcc In"/>
    <s v="TEMP"/>
    <n v="202407947"/>
    <s v="Morales Afanador,Alberto"/>
    <s v="Munoz,Jonan"/>
    <n v="0"/>
    <n v="0"/>
    <n v="0"/>
    <n v="0"/>
    <n v="0.7"/>
    <e v="#N/A"/>
    <s v="lalbmora"/>
  </r>
  <r>
    <x v="320"/>
    <x v="44"/>
    <s v="Admin/HR/IT"/>
    <s v="AMCARE NonOcc In"/>
    <s v="TEMP"/>
    <n v="202410665"/>
    <s v="Osvaldo,Erik"/>
    <s v="Cortes,Alejandra"/>
    <n v="0"/>
    <n v="0"/>
    <n v="0"/>
    <n v="0"/>
    <n v="0.16"/>
    <e v="#N/A"/>
    <s v="erosvald"/>
  </r>
  <r>
    <x v="320"/>
    <x v="44"/>
    <s v="Admin/HR/IT"/>
    <s v="AMCARE NonOcc In"/>
    <s v="TEMP"/>
    <n v="202421453"/>
    <s v="Checo,Sergio"/>
    <s v="Cortes,Alejandra"/>
    <n v="0"/>
    <n v="0"/>
    <n v="0"/>
    <n v="0"/>
    <n v="0.74"/>
    <e v="#N/A"/>
    <s v="chejserg"/>
  </r>
  <r>
    <x v="320"/>
    <x v="44"/>
    <s v="Admin/HR/IT"/>
    <s v="AMCARE NonOcc In"/>
    <s v="TEMP"/>
    <n v="202442581"/>
    <s v="Araiza,Yocktan"/>
    <s v="Piedra,Valentina"/>
    <n v="0"/>
    <n v="0"/>
    <n v="0"/>
    <n v="0"/>
    <n v="0.11"/>
    <e v="#N/A"/>
    <s v="ayocktan"/>
  </r>
  <r>
    <x v="320"/>
    <x v="44"/>
    <s v="Admin/HR/IT"/>
    <s v="AMCARE NonOcc In"/>
    <s v="TEMP"/>
    <n v="202479908"/>
    <s v="Marquez,Diana"/>
    <s v="Camarena,Grecia"/>
    <n v="0"/>
    <n v="0"/>
    <n v="0"/>
    <n v="0"/>
    <n v="0.06"/>
    <e v="#N/A"/>
    <s v="jmadiana"/>
  </r>
  <r>
    <x v="321"/>
    <x v="44"/>
    <s v="Admin/HR/IT"/>
    <s v="AMCARE NonOcc In"/>
    <s v="AMZN"/>
    <n v="112912049"/>
    <s v="Vazquez Rodriguez,Christian"/>
    <s v="Camarena,Grecia"/>
    <n v="0"/>
    <n v="0"/>
    <n v="0"/>
    <n v="0"/>
    <n v="0.03"/>
    <s v="NF-X1900"/>
    <s v="zchvazqu"/>
  </r>
  <r>
    <x v="321"/>
    <x v="44"/>
    <s v="Admin/HR/IT"/>
    <s v="AMCARE NonOcc In"/>
    <s v="AMZN"/>
    <n v="112920666"/>
    <s v="Rocha,Jose"/>
    <s v="Manzanares Navarro,Sandra"/>
    <n v="0"/>
    <n v="0"/>
    <n v="0"/>
    <n v="0"/>
    <n v="0.12"/>
    <s v="D5-X0700"/>
    <s v="jorochai"/>
  </r>
  <r>
    <x v="321"/>
    <x v="44"/>
    <s v="Admin/HR/IT"/>
    <s v="AMCARE NonOcc In"/>
    <s v="AMZN"/>
    <n v="112976017"/>
    <s v="Baez Diaz,Ale"/>
    <s v="Ãvila,Arturo"/>
    <n v="0"/>
    <n v="0"/>
    <n v="0"/>
    <n v="0"/>
    <n v="0.38"/>
    <s v="DB-X0700"/>
    <s v="baezdiaw"/>
  </r>
  <r>
    <x v="321"/>
    <x v="44"/>
    <s v="Admin/HR/IT"/>
    <s v="AMCARE NonOcc In"/>
    <s v="AMZN"/>
    <n v="112981014"/>
    <s v="Roldan Gutierrez,Pablo"/>
    <s v="Lopez,Alexa"/>
    <n v="0"/>
    <n v="0"/>
    <n v="0"/>
    <n v="0"/>
    <n v="0.18"/>
    <s v="DJ-X0700"/>
    <s v="rpabloul"/>
  </r>
  <r>
    <x v="321"/>
    <x v="44"/>
    <s v="Admin/HR/IT"/>
    <s v="AMCARE NonOcc In"/>
    <s v="AMZN"/>
    <n v="113101453"/>
    <s v="Isaac,Geovanna"/>
    <s v="Corona Arriaga,Fernando"/>
    <n v="0"/>
    <n v="0"/>
    <n v="0"/>
    <n v="0"/>
    <n v="0.17"/>
    <e v="#N/A"/>
    <s v="qisgeova"/>
  </r>
  <r>
    <x v="321"/>
    <x v="44"/>
    <s v="Admin/HR/IT"/>
    <s v="AMCARE NonOcc In"/>
    <s v="AMZN"/>
    <n v="200404250"/>
    <s v="Hurtado,Caty"/>
    <s v="Corona Arriaga,Fernando"/>
    <n v="0"/>
    <n v="0"/>
    <n v="0"/>
    <n v="0"/>
    <n v="0.53"/>
    <e v="#N/A"/>
    <s v="xcathurt"/>
  </r>
  <r>
    <x v="321"/>
    <x v="44"/>
    <s v="Admin/HR/IT"/>
    <s v="AMCARE NonOcc In"/>
    <s v="AMZN"/>
    <n v="200562303"/>
    <s v="Hernandez Cruz,Jorge"/>
    <s v="Corona Arriaga,Fernando"/>
    <n v="0"/>
    <n v="0"/>
    <n v="0"/>
    <n v="0"/>
    <n v="1.1200000000000001"/>
    <e v="#N/A"/>
    <s v="hejorgea"/>
  </r>
  <r>
    <x v="321"/>
    <x v="44"/>
    <s v="Admin/HR/IT"/>
    <s v="AMCARE NonOcc In"/>
    <s v="AMZN"/>
    <n v="201165769"/>
    <s v="Puente,Karen"/>
    <s v="Lopez,Alexa"/>
    <n v="0"/>
    <n v="0"/>
    <n v="0"/>
    <n v="0"/>
    <n v="0.36"/>
    <e v="#N/A"/>
    <s v="puenkare"/>
  </r>
  <r>
    <x v="321"/>
    <x v="44"/>
    <s v="Admin/HR/IT"/>
    <s v="AMCARE NonOcc In"/>
    <s v="AMZN"/>
    <n v="201172306"/>
    <s v="Valdez,CÃ©sar"/>
    <s v="Lopez,Alexa"/>
    <n v="0"/>
    <n v="0"/>
    <n v="0"/>
    <n v="0"/>
    <n v="0.2"/>
    <e v="#N/A"/>
    <s v="cesarvae"/>
  </r>
  <r>
    <x v="321"/>
    <x v="44"/>
    <s v="Admin/HR/IT"/>
    <s v="AMCARE NonOcc In"/>
    <s v="AMZN"/>
    <n v="201185299"/>
    <s v="Garcia,Noemi"/>
    <s v="Piedra,Valentina"/>
    <n v="0"/>
    <n v="0"/>
    <n v="0"/>
    <n v="0"/>
    <n v="0.15"/>
    <e v="#N/A"/>
    <s v="sganoemi"/>
  </r>
  <r>
    <x v="321"/>
    <x v="44"/>
    <s v="Admin/HR/IT"/>
    <s v="AMCARE NonOcc In"/>
    <s v="AMZN"/>
    <n v="201191198"/>
    <s v="Mojica,Emmanuel"/>
    <s v="Piedra,Valentina"/>
    <n v="0"/>
    <n v="0"/>
    <n v="0"/>
    <n v="0"/>
    <n v="1.02"/>
    <e v="#N/A"/>
    <s v="mojicemm"/>
  </r>
  <r>
    <x v="321"/>
    <x v="44"/>
    <s v="Admin/HR/IT"/>
    <s v="AMCARE NonOcc In"/>
    <s v="AMZN"/>
    <n v="201198922"/>
    <s v="Mendez,Joy"/>
    <s v="Munoz,Jonan"/>
    <n v="0"/>
    <n v="0"/>
    <n v="0"/>
    <n v="0"/>
    <n v="0.27"/>
    <e v="#N/A"/>
    <s v="mendejoy"/>
  </r>
  <r>
    <x v="321"/>
    <x v="44"/>
    <s v="Admin/HR/IT"/>
    <s v="AMCARE NonOcc In"/>
    <s v="AMZN"/>
    <n v="201378452"/>
    <s v="Perez,Omar"/>
    <s v="Bueno Mendoza,Susana"/>
    <n v="0"/>
    <n v="0"/>
    <n v="0"/>
    <n v="0"/>
    <n v="0.36"/>
    <e v="#N/A"/>
    <s v="omhperez"/>
  </r>
  <r>
    <x v="321"/>
    <x v="44"/>
    <s v="Admin/HR/IT"/>
    <s v="AMCARE NonOcc In"/>
    <s v="AMZN"/>
    <n v="201403462"/>
    <s v="Valdovino,Jorge"/>
    <s v="Manzanares Navarro,Sandra"/>
    <n v="0"/>
    <n v="0"/>
    <n v="0"/>
    <n v="0"/>
    <n v="0.47"/>
    <e v="#N/A"/>
    <s v="valdojoe"/>
  </r>
  <r>
    <x v="321"/>
    <x v="44"/>
    <s v="Admin/HR/IT"/>
    <s v="AMCARE NonOcc In"/>
    <s v="AMZN"/>
    <n v="201864225"/>
    <s v="Flores,Ivan"/>
    <s v="Piedra,Valentina"/>
    <n v="0"/>
    <n v="0"/>
    <n v="0"/>
    <n v="0"/>
    <n v="0.46"/>
    <e v="#N/A"/>
    <s v="floreivc"/>
  </r>
  <r>
    <x v="321"/>
    <x v="44"/>
    <s v="Admin/HR/IT"/>
    <s v="AMCARE NonOcc In"/>
    <s v="AMZN"/>
    <n v="201901910"/>
    <s v="Flores,Edwin"/>
    <s v="Piedra,Valentina"/>
    <n v="0"/>
    <n v="0"/>
    <n v="0"/>
    <n v="0"/>
    <n v="0.09"/>
    <e v="#N/A"/>
    <s v="sfloredw"/>
  </r>
  <r>
    <x v="321"/>
    <x v="44"/>
    <s v="Admin/HR/IT"/>
    <s v="AMCARE NonOcc In"/>
    <s v="TEMP"/>
    <n v="201901967"/>
    <s v="Dominguez,Diana"/>
    <s v="AlarcÃ³n,Irving"/>
    <n v="0"/>
    <n v="0"/>
    <n v="0"/>
    <n v="0"/>
    <n v="0.32"/>
    <e v="#N/A"/>
    <s v="ndomindi"/>
  </r>
  <r>
    <x v="321"/>
    <x v="44"/>
    <s v="Admin/HR/IT"/>
    <s v="AMCARE NonOcc In"/>
    <s v="AMZN"/>
    <n v="201903097"/>
    <s v="Oliva,Montserrat"/>
    <s v="Piedra,Valentina"/>
    <n v="0"/>
    <n v="0"/>
    <n v="0"/>
    <n v="0"/>
    <n v="0.08"/>
    <e v="#N/A"/>
    <s v="montoliy"/>
  </r>
  <r>
    <x v="321"/>
    <x v="44"/>
    <s v="Admin/HR/IT"/>
    <s v="AMCARE NonOcc In"/>
    <s v="TEMP"/>
    <n v="202063545"/>
    <s v="GarcÃ­a,Ana"/>
    <s v="Lopez,Alexa"/>
    <n v="0"/>
    <n v="0"/>
    <n v="0"/>
    <n v="0"/>
    <n v="0.75"/>
    <e v="#N/A"/>
    <s v="angarcz"/>
  </r>
  <r>
    <x v="321"/>
    <x v="44"/>
    <s v="Admin/HR/IT"/>
    <s v="AMCARE NonOcc In"/>
    <s v="TEMP"/>
    <n v="202068111"/>
    <s v="PÃ©rez,Ismael"/>
    <s v="AlarcÃ³n,Irving"/>
    <n v="0"/>
    <n v="0"/>
    <n v="0"/>
    <n v="0"/>
    <n v="0.09"/>
    <e v="#N/A"/>
    <s v="ismcpere"/>
  </r>
  <r>
    <x v="321"/>
    <x v="44"/>
    <s v="Admin/HR/IT"/>
    <s v="AMCARE NonOcc In"/>
    <s v="TEMP"/>
    <n v="202117420"/>
    <s v="Cervera,Israel"/>
    <s v="Manzanares Navarro,Sandra"/>
    <n v="0"/>
    <n v="0"/>
    <n v="0"/>
    <n v="0"/>
    <n v="0.33"/>
    <e v="#N/A"/>
    <s v="iscerver"/>
  </r>
  <r>
    <x v="321"/>
    <x v="44"/>
    <s v="Admin/HR/IT"/>
    <s v="AMCARE NonOcc In"/>
    <s v="TEMP"/>
    <n v="202120077"/>
    <s v="Aguilar,Mauricio"/>
    <s v="Munoz,Jonan"/>
    <n v="0"/>
    <n v="0"/>
    <n v="0"/>
    <n v="0"/>
    <n v="0.18"/>
    <e v="#N/A"/>
    <s v="mauaguid"/>
  </r>
  <r>
    <x v="321"/>
    <x v="44"/>
    <s v="Admin/HR/IT"/>
    <s v="AMCARE NonOcc In"/>
    <s v="TEMP"/>
    <n v="202154904"/>
    <s v="Almaguer,Mauricio"/>
    <s v="Romero Sanchez,Gustavo Gabriel"/>
    <n v="0"/>
    <n v="0"/>
    <n v="0"/>
    <n v="0"/>
    <n v="0.16"/>
    <e v="#N/A"/>
    <s v="maalmagn"/>
  </r>
  <r>
    <x v="321"/>
    <x v="44"/>
    <s v="Admin/HR/IT"/>
    <s v="AMCARE NonOcc In"/>
    <s v="TEMP"/>
    <n v="202194885"/>
    <s v="Bermejo,Israel"/>
    <s v="Piedra,Valentina"/>
    <n v="0"/>
    <n v="0"/>
    <n v="0"/>
    <n v="0"/>
    <n v="0.67"/>
    <e v="#N/A"/>
    <s v="bermisrq"/>
  </r>
  <r>
    <x v="321"/>
    <x v="44"/>
    <s v="Admin/HR/IT"/>
    <s v="AMCARE NonOcc In"/>
    <s v="TEMP"/>
    <n v="202254886"/>
    <s v="Mendoza,Jared"/>
    <s v="Munoz,Jonan"/>
    <n v="0"/>
    <n v="0"/>
    <n v="0"/>
    <n v="0"/>
    <n v="1.52"/>
    <e v="#N/A"/>
    <s v="xmenjare"/>
  </r>
  <r>
    <x v="321"/>
    <x v="44"/>
    <s v="Admin/HR/IT"/>
    <s v="AMCARE NonOcc In"/>
    <s v="TEMP"/>
    <n v="202291384"/>
    <s v="Vela,Sergio"/>
    <s v="Romero Sanchez,Gustavo Gabriel"/>
    <n v="0"/>
    <n v="0"/>
    <n v="0"/>
    <n v="0"/>
    <n v="0.13"/>
    <e v="#N/A"/>
    <s v="servelaj"/>
  </r>
  <r>
    <x v="321"/>
    <x v="44"/>
    <s v="Admin/HR/IT"/>
    <s v="AMCARE NonOcc In"/>
    <s v="TEMP"/>
    <n v="202323975"/>
    <s v="Hernandez,Alejandro"/>
    <s v="Piedra,Valentina"/>
    <n v="0"/>
    <n v="0"/>
    <n v="0"/>
    <n v="0"/>
    <n v="0.14000000000000001"/>
    <e v="#N/A"/>
    <s v="alhernk"/>
  </r>
  <r>
    <x v="321"/>
    <x v="44"/>
    <s v="Admin/HR/IT"/>
    <s v="AMCARE NonOcc In"/>
    <s v="TEMP"/>
    <n v="202364552"/>
    <s v="Rocha,Apolo"/>
    <s v="Cortes,Alejandra"/>
    <n v="0"/>
    <n v="0"/>
    <n v="0"/>
    <n v="0"/>
    <n v="0.69"/>
    <e v="#N/A"/>
    <s v="roapolot"/>
  </r>
  <r>
    <x v="321"/>
    <x v="44"/>
    <s v="Admin/HR/IT"/>
    <s v="AMCARE NonOcc In"/>
    <s v="TEMP"/>
    <n v="202375403"/>
    <s v="Galvan,Antonio"/>
    <s v="Manzanares Navarro,Sandra"/>
    <n v="0"/>
    <n v="0"/>
    <n v="0"/>
    <n v="0"/>
    <n v="1.78"/>
    <e v="#N/A"/>
    <s v="wantgalv"/>
  </r>
  <r>
    <x v="321"/>
    <x v="44"/>
    <s v="Admin/HR/IT"/>
    <s v="AMCARE NonOcc In"/>
    <s v="TEMP"/>
    <n v="202407947"/>
    <s v="Morales Afanador,Alberto"/>
    <s v="Munoz,Jonan"/>
    <n v="0"/>
    <n v="0"/>
    <n v="0"/>
    <n v="0"/>
    <n v="0.44"/>
    <e v="#N/A"/>
    <s v="lalbmora"/>
  </r>
  <r>
    <x v="321"/>
    <x v="44"/>
    <s v="Admin/HR/IT"/>
    <s v="AMCARE NonOcc In"/>
    <s v="TEMP"/>
    <n v="202417673"/>
    <s v="LÃ³pez,Valeria"/>
    <s v="Cortes,Alejandra"/>
    <n v="0"/>
    <n v="0"/>
    <n v="0"/>
    <n v="0"/>
    <n v="0.19"/>
    <e v="#N/A"/>
    <s v="valezlop"/>
  </r>
  <r>
    <x v="321"/>
    <x v="44"/>
    <s v="Admin/HR/IT"/>
    <s v="AMCARE NonOcc In"/>
    <s v="TEMP"/>
    <n v="202417687"/>
    <s v="Cordova,Edith"/>
    <s v="Manzanares Navarro,Sandra"/>
    <n v="0"/>
    <n v="0"/>
    <n v="0"/>
    <n v="0"/>
    <n v="0.22"/>
    <e v="#N/A"/>
    <s v="cordoedt"/>
  </r>
  <r>
    <x v="321"/>
    <x v="44"/>
    <s v="Admin/HR/IT"/>
    <s v="AMCARE NonOcc In"/>
    <s v="TEMP"/>
    <n v="202421453"/>
    <s v="Checo,Sergio"/>
    <s v="Cortes,Alejandra"/>
    <n v="0"/>
    <n v="0"/>
    <n v="0"/>
    <n v="0"/>
    <n v="0.28000000000000003"/>
    <e v="#N/A"/>
    <s v="chejserg"/>
  </r>
  <r>
    <x v="321"/>
    <x v="44"/>
    <s v="Admin/HR/IT"/>
    <s v="AMCARE NonOcc In"/>
    <s v="TEMP"/>
    <n v="202442581"/>
    <s v="Araiza,Yocktan"/>
    <s v="Piedra,Valentina"/>
    <n v="0"/>
    <n v="0"/>
    <n v="0"/>
    <n v="0"/>
    <n v="0.21"/>
    <e v="#N/A"/>
    <s v="ayocktan"/>
  </r>
  <r>
    <x v="321"/>
    <x v="44"/>
    <s v="Admin/HR/IT"/>
    <s v="AMCARE NonOcc In"/>
    <s v="TEMP"/>
    <n v="202510544"/>
    <s v="Morales,Eduardo"/>
    <s v="Madrid Molina,Ramon"/>
    <n v="0"/>
    <n v="0"/>
    <n v="0"/>
    <n v="0"/>
    <n v="0.38"/>
    <e v="#N/A"/>
    <s v="moralhed"/>
  </r>
  <r>
    <x v="321"/>
    <x v="44"/>
    <s v="Admin/HR/IT"/>
    <s v="AMCARE NonOcc In"/>
    <s v="TEMP"/>
    <n v="202518714"/>
    <s v="Urrutia,JesÃºs"/>
    <s v="Madrid Molina,Ramon"/>
    <n v="0"/>
    <n v="0"/>
    <n v="0"/>
    <n v="0"/>
    <n v="0.32"/>
    <e v="#N/A"/>
    <s v="jeurrutj"/>
  </r>
  <r>
    <x v="322"/>
    <x v="44"/>
    <s v="Admin/HR/IT"/>
    <s v="AMCARE NonOcc In"/>
    <s v="AMZN"/>
    <n v="112973049"/>
    <s v="Tavares Parra,Ely"/>
    <s v="Piedra,Valentina"/>
    <n v="0"/>
    <n v="0"/>
    <n v="0"/>
    <n v="0"/>
    <n v="0.83"/>
    <s v="DB-X0700"/>
    <s v="afatimae"/>
  </r>
  <r>
    <x v="322"/>
    <x v="44"/>
    <s v="Admin/HR/IT"/>
    <s v="AMCARE NonOcc In"/>
    <s v="TEMP"/>
    <n v="112980843"/>
    <s v="Santos,Israel"/>
    <s v="Bueno Mendoza,Susana"/>
    <n v="0"/>
    <n v="0"/>
    <n v="0"/>
    <n v="0"/>
    <n v="0.12"/>
    <s v="DA-X0700"/>
    <s v="lsisrael"/>
  </r>
  <r>
    <x v="322"/>
    <x v="44"/>
    <s v="Admin/HR/IT"/>
    <s v="AMCARE NonOcc In"/>
    <s v="AMZN"/>
    <n v="113003510"/>
    <s v="PÃ©rez MÃ©ndez,Cecy"/>
    <s v="Munoz,Jonan"/>
    <n v="0"/>
    <n v="0"/>
    <n v="0"/>
    <n v="0"/>
    <n v="0.1"/>
    <e v="#N/A"/>
    <s v="nperezmc"/>
  </r>
  <r>
    <x v="322"/>
    <x v="44"/>
    <s v="Admin/HR/IT"/>
    <s v="AMCARE NonOcc In"/>
    <s v="AMZN"/>
    <n v="113014092"/>
    <s v="Sanchez,Cristina"/>
    <s v="Lopez,Alexa"/>
    <n v="0"/>
    <n v="0"/>
    <n v="0"/>
    <n v="0"/>
    <n v="0.08"/>
    <e v="#N/A"/>
    <s v="rsanccri"/>
  </r>
  <r>
    <x v="322"/>
    <x v="44"/>
    <s v="Admin/HR/IT"/>
    <s v="AMCARE NonOcc In"/>
    <s v="AMZN"/>
    <n v="113020497"/>
    <s v="Martinez Ruiz,Diana"/>
    <s v="Munoz,Jonan"/>
    <n v="0"/>
    <n v="0"/>
    <n v="0"/>
    <n v="0"/>
    <n v="0.3"/>
    <e v="#N/A"/>
    <s v="diamartd"/>
  </r>
  <r>
    <x v="322"/>
    <x v="44"/>
    <s v="Admin/HR/IT"/>
    <s v="AMCARE NonOcc In"/>
    <s v="AMZN"/>
    <n v="200508323"/>
    <s v="Espejel Lopez,Emmanuel"/>
    <s v="Romero Sanchez,Gustavo Gabriel"/>
    <n v="0"/>
    <n v="0"/>
    <n v="0"/>
    <n v="0"/>
    <n v="3.98"/>
    <e v="#N/A"/>
    <s v="espejell"/>
  </r>
  <r>
    <x v="322"/>
    <x v="44"/>
    <s v="Admin/HR/IT"/>
    <s v="AMCARE NonOcc In"/>
    <s v="AMZN"/>
    <n v="200564895"/>
    <s v="Mendoza Corona,Brianda"/>
    <s v="Corona Arriaga,Fernando"/>
    <n v="0"/>
    <n v="0"/>
    <n v="0"/>
    <n v="0"/>
    <n v="0.08"/>
    <e v="#N/A"/>
    <s v="hmendobr"/>
  </r>
  <r>
    <x v="322"/>
    <x v="44"/>
    <s v="Admin/HR/IT"/>
    <s v="AMCARE NonOcc In"/>
    <s v="AMZN"/>
    <n v="201198922"/>
    <s v="Mendez,Joy"/>
    <s v="Munoz,Jonan"/>
    <n v="0"/>
    <n v="0"/>
    <n v="0"/>
    <n v="0"/>
    <n v="0.18"/>
    <e v="#N/A"/>
    <s v="mendejoy"/>
  </r>
  <r>
    <x v="322"/>
    <x v="44"/>
    <s v="Admin/HR/IT"/>
    <s v="AMCARE NonOcc In"/>
    <s v="AMZN"/>
    <n v="201223730"/>
    <s v="Sanchiz,Cesarito"/>
    <s v="Romero Sanchez,Gustavo Gabriel"/>
    <n v="0"/>
    <n v="0"/>
    <n v="0"/>
    <n v="0"/>
    <n v="0.19"/>
    <e v="#N/A"/>
    <s v="cesarito"/>
  </r>
  <r>
    <x v="322"/>
    <x v="44"/>
    <s v="Admin/HR/IT"/>
    <s v="AMCARE NonOcc In"/>
    <s v="AMZN"/>
    <n v="201228411"/>
    <s v="Hernandez Soriano,Jazmin"/>
    <s v="Romero Sanchez,Gustavo Gabriel"/>
    <n v="0"/>
    <n v="0"/>
    <n v="0"/>
    <n v="0"/>
    <n v="0.18"/>
    <e v="#N/A"/>
    <s v="jazmiwhe"/>
  </r>
  <r>
    <x v="322"/>
    <x v="44"/>
    <s v="Admin/HR/IT"/>
    <s v="AMCARE NonOcc In"/>
    <s v="AMZN"/>
    <n v="201354965"/>
    <s v="JimÃ©nez,Aline"/>
    <s v="Piedra,Valentina"/>
    <n v="0"/>
    <n v="0"/>
    <n v="0"/>
    <n v="0"/>
    <n v="0.14000000000000001"/>
    <e v="#N/A"/>
    <s v="alinejim"/>
  </r>
  <r>
    <x v="322"/>
    <x v="44"/>
    <s v="Admin/HR/IT"/>
    <s v="AMCARE NonOcc In"/>
    <s v="AMZN"/>
    <n v="201396328"/>
    <s v="Canchola,Alejandro"/>
    <s v="Rosas Negrete,Sebastian"/>
    <n v="0"/>
    <n v="0"/>
    <n v="0"/>
    <n v="0"/>
    <n v="0.2"/>
    <e v="#N/A"/>
    <s v="nalcanch"/>
  </r>
  <r>
    <x v="322"/>
    <x v="44"/>
    <s v="Admin/HR/IT"/>
    <s v="AMCARE NonOcc In"/>
    <s v="AMZN"/>
    <n v="201403462"/>
    <s v="Valdovino,Jorge"/>
    <s v="Manzanares Navarro,Sandra"/>
    <n v="0"/>
    <n v="0"/>
    <n v="0"/>
    <n v="0"/>
    <n v="0.05"/>
    <e v="#N/A"/>
    <s v="valdojoe"/>
  </r>
  <r>
    <x v="322"/>
    <x v="44"/>
    <s v="Admin/HR/IT"/>
    <s v="AMCARE NonOcc In"/>
    <s v="TEMP"/>
    <n v="202062181"/>
    <s v="Trejo,Luis"/>
    <s v="Lopez,Alexa"/>
    <n v="0"/>
    <n v="0"/>
    <n v="0"/>
    <n v="0"/>
    <n v="0.8"/>
    <e v="#N/A"/>
    <s v="xlutrejo"/>
  </r>
  <r>
    <x v="322"/>
    <x v="44"/>
    <s v="Admin/HR/IT"/>
    <s v="AMCARE NonOcc In"/>
    <s v="TEMP"/>
    <n v="202117420"/>
    <s v="Cervera,Israel"/>
    <s v="Manzanares Navarro,Sandra"/>
    <n v="0"/>
    <n v="0"/>
    <n v="0"/>
    <n v="0"/>
    <n v="0.27"/>
    <e v="#N/A"/>
    <s v="iscerver"/>
  </r>
  <r>
    <x v="322"/>
    <x v="44"/>
    <s v="Admin/HR/IT"/>
    <s v="AMCARE NonOcc In"/>
    <s v="TEMP"/>
    <n v="202117472"/>
    <s v="Munoz,Gabriel"/>
    <s v="Hernandez,Nataly"/>
    <n v="0"/>
    <n v="0"/>
    <n v="0"/>
    <n v="0"/>
    <n v="0.09"/>
    <e v="#N/A"/>
    <s v="gamunoza"/>
  </r>
  <r>
    <x v="322"/>
    <x v="44"/>
    <s v="Admin/HR/IT"/>
    <s v="AMCARE NonOcc In"/>
    <s v="TEMP"/>
    <n v="202129731"/>
    <s v="Flores,Christian"/>
    <s v="Romero Sanchez,Gustavo Gabriel"/>
    <n v="0"/>
    <n v="0"/>
    <n v="0"/>
    <n v="0"/>
    <n v="0.11"/>
    <e v="#N/A"/>
    <s v="dchrflor"/>
  </r>
  <r>
    <x v="322"/>
    <x v="44"/>
    <s v="Admin/HR/IT"/>
    <s v="AMCARE NonOcc In"/>
    <s v="TEMP"/>
    <n v="202159550"/>
    <s v="Mora,Isabel"/>
    <s v="Piedra,Valentina"/>
    <n v="0"/>
    <n v="0"/>
    <n v="0"/>
    <n v="0"/>
    <n v="0.32"/>
    <e v="#N/A"/>
    <s v="eisabmor"/>
  </r>
  <r>
    <x v="322"/>
    <x v="44"/>
    <s v="Admin/HR/IT"/>
    <s v="AMCARE NonOcc In"/>
    <s v="TEMP"/>
    <n v="202165242"/>
    <s v="Gonzalez,Marco"/>
    <s v="Munoz,Jonan"/>
    <n v="0"/>
    <n v="0"/>
    <n v="0"/>
    <n v="0"/>
    <n v="0.57999999999999996"/>
    <e v="#N/A"/>
    <s v="marcqgon"/>
  </r>
  <r>
    <x v="322"/>
    <x v="44"/>
    <s v="Admin/HR/IT"/>
    <s v="AMCARE NonOcc In"/>
    <s v="TEMP"/>
    <n v="202175671"/>
    <s v="Cruz,Lau"/>
    <s v="Munoz,Jonan"/>
    <n v="0"/>
    <n v="0"/>
    <n v="0"/>
    <n v="0"/>
    <n v="0.37"/>
    <e v="#N/A"/>
    <s v="laucruzc"/>
  </r>
  <r>
    <x v="322"/>
    <x v="44"/>
    <s v="Admin/HR/IT"/>
    <s v="AMCARE NonOcc In"/>
    <s v="TEMP"/>
    <n v="202188991"/>
    <s v="Jimenez,Saul"/>
    <s v="Bueno Mendoza,Susana"/>
    <n v="0"/>
    <n v="0"/>
    <n v="0"/>
    <n v="0"/>
    <n v="0.34"/>
    <e v="#N/A"/>
    <s v="sjimesau"/>
  </r>
  <r>
    <x v="322"/>
    <x v="44"/>
    <s v="Admin/HR/IT"/>
    <s v="AMCARE NonOcc In"/>
    <s v="TEMP"/>
    <n v="202194928"/>
    <s v="Garcia Castillo,Jose Miguel"/>
    <s v="Rosas Negrete,Sebastian"/>
    <n v="0"/>
    <n v="0"/>
    <n v="0"/>
    <n v="0"/>
    <n v="0.19"/>
    <e v="#N/A"/>
    <s v="gajosemr"/>
  </r>
  <r>
    <x v="322"/>
    <x v="44"/>
    <s v="Admin/HR/IT"/>
    <s v="AMCARE NonOcc In"/>
    <s v="TEMP"/>
    <n v="202254886"/>
    <s v="Mendoza,Jared"/>
    <s v="Munoz,Jonan"/>
    <n v="0"/>
    <n v="0"/>
    <n v="0"/>
    <n v="0"/>
    <n v="0.04"/>
    <e v="#N/A"/>
    <s v="xmenjare"/>
  </r>
  <r>
    <x v="322"/>
    <x v="44"/>
    <s v="Admin/HR/IT"/>
    <s v="AMCARE NonOcc In"/>
    <s v="TEMP"/>
    <n v="202274001"/>
    <s v="Reynoso,Esmeralda"/>
    <s v="Lopez,Alexa"/>
    <n v="0"/>
    <n v="0"/>
    <n v="0"/>
    <n v="0"/>
    <n v="0.32"/>
    <e v="#N/A"/>
    <s v="esmecrey"/>
  </r>
  <r>
    <x v="322"/>
    <x v="44"/>
    <s v="Admin/HR/IT"/>
    <s v="AMCARE NonOcc In"/>
    <s v="TEMP"/>
    <n v="202279474"/>
    <s v="Torres Parga,Ma Felicitas"/>
    <s v="Munoz,Jonan"/>
    <n v="0"/>
    <n v="0"/>
    <n v="0"/>
    <n v="0"/>
    <n v="0.13"/>
    <e v="#N/A"/>
    <s v="torrmafe"/>
  </r>
  <r>
    <x v="322"/>
    <x v="44"/>
    <s v="Admin/HR/IT"/>
    <s v="AMCARE NonOcc In"/>
    <s v="TEMP"/>
    <n v="202291460"/>
    <s v="Ornelas,Ana"/>
    <s v="Lopez,Alexa"/>
    <n v="0"/>
    <n v="0"/>
    <n v="0"/>
    <n v="0"/>
    <n v="0.06"/>
    <e v="#N/A"/>
    <s v="anaornev"/>
  </r>
  <r>
    <x v="322"/>
    <x v="44"/>
    <s v="Admin/HR/IT"/>
    <s v="AMCARE NonOcc In"/>
    <s v="TEMP"/>
    <n v="202353921"/>
    <s v="Arechar Ortiz,Lindi Noemi"/>
    <s v="Piedra,Valentina"/>
    <n v="0"/>
    <n v="0"/>
    <n v="0"/>
    <n v="0"/>
    <n v="0.1"/>
    <e v="#N/A"/>
    <s v="lindinoe"/>
  </r>
  <r>
    <x v="322"/>
    <x v="44"/>
    <s v="Admin/HR/IT"/>
    <s v="AMCARE NonOcc In"/>
    <s v="TEMP"/>
    <n v="202408564"/>
    <s v="Manriquez,Cristina"/>
    <s v="Munoz,Jonan"/>
    <n v="0"/>
    <n v="0"/>
    <n v="0"/>
    <n v="0"/>
    <n v="0.16"/>
    <e v="#N/A"/>
    <s v="xmanricr"/>
  </r>
  <r>
    <x v="322"/>
    <x v="44"/>
    <s v="Admin/HR/IT"/>
    <s v="AMCARE NonOcc In"/>
    <s v="TEMP"/>
    <n v="202417752"/>
    <s v="Anguiano,Daniel"/>
    <s v="Cortes,Alejandra"/>
    <n v="0"/>
    <n v="0"/>
    <n v="0"/>
    <n v="0"/>
    <n v="0.18"/>
    <e v="#N/A"/>
    <s v="angdanii"/>
  </r>
  <r>
    <x v="322"/>
    <x v="44"/>
    <s v="Admin/HR/IT"/>
    <s v="AMCARE NonOcc In"/>
    <s v="TEMP"/>
    <n v="202417927"/>
    <s v="Valdivia,Jazmin"/>
    <s v="Cortes,Alejandra"/>
    <n v="0"/>
    <n v="0"/>
    <n v="0"/>
    <n v="0"/>
    <n v="0.03"/>
    <e v="#N/A"/>
    <s v="jazvaldi"/>
  </r>
  <r>
    <x v="322"/>
    <x v="44"/>
    <s v="Admin/HR/IT"/>
    <s v="AMCARE NonOcc In"/>
    <s v="TEMP"/>
    <n v="202421453"/>
    <s v="Checo,Sergio"/>
    <s v="Cortes,Alejandra"/>
    <n v="0"/>
    <n v="0"/>
    <n v="0"/>
    <n v="0"/>
    <n v="0.51"/>
    <e v="#N/A"/>
    <s v="chejserg"/>
  </r>
  <r>
    <x v="322"/>
    <x v="44"/>
    <s v="Admin/HR/IT"/>
    <s v="AMCARE NonOcc In"/>
    <s v="TEMP"/>
    <n v="202442581"/>
    <s v="Araiza,Yocktan"/>
    <s v="Piedra,Valentina"/>
    <n v="0"/>
    <n v="0"/>
    <n v="0"/>
    <n v="0"/>
    <n v="0.15"/>
    <e v="#N/A"/>
    <s v="ayocktan"/>
  </r>
  <r>
    <x v="322"/>
    <x v="44"/>
    <s v="Admin/HR/IT"/>
    <s v="AMCARE Out"/>
    <s v="TEMP"/>
    <n v="202417927"/>
    <s v="Valdivia,Jazmin"/>
    <s v="Cortes,Alejandra"/>
    <n v="0"/>
    <n v="0"/>
    <n v="0"/>
    <n v="0"/>
    <n v="0.36"/>
    <e v="#N/A"/>
    <s v="jazvaldi"/>
  </r>
  <r>
    <x v="323"/>
    <x v="45"/>
    <s v="Admin/HR/IT"/>
    <s v="AMCARE NonOcc In"/>
    <s v="AMZN"/>
    <n v="112912014"/>
    <s v="Ramos,Sofia"/>
    <s v="Madrid Molina,Ramon"/>
    <n v="0"/>
    <n v="0"/>
    <n v="0"/>
    <n v="0"/>
    <n v="0.19"/>
    <s v="DA-X0700"/>
    <s v="ravsofia"/>
  </r>
  <r>
    <x v="324"/>
    <x v="45"/>
    <s v="Admin/HR/IT"/>
    <s v="AMCARE NonOcc In"/>
    <s v="AMZN"/>
    <n v="112912506"/>
    <s v="Garcia  Caudillo,Jessica"/>
    <s v="Madrid Molina,Ramon"/>
    <n v="0"/>
    <n v="0"/>
    <n v="0"/>
    <n v="0"/>
    <n v="0.18"/>
    <s v="DA-X0700"/>
    <s v="gakjessi"/>
  </r>
  <r>
    <x v="324"/>
    <x v="45"/>
    <s v="Admin/HR/IT"/>
    <s v="AMCARE NonOcc In"/>
    <s v="AMZN"/>
    <n v="112981196"/>
    <s v="Gomez,Andrea"/>
    <s v="Lopez,Alexa"/>
    <n v="0"/>
    <n v="0"/>
    <n v="0"/>
    <n v="0"/>
    <n v="0.05"/>
    <e v="#N/A"/>
    <s v="vandgome"/>
  </r>
  <r>
    <x v="324"/>
    <x v="45"/>
    <s v="Admin/HR/IT"/>
    <s v="AMCARE NonOcc In"/>
    <s v="AMZN"/>
    <n v="113004013"/>
    <s v="Garcia,Manuel"/>
    <s v="Velazquez Bustamante,Alejandro"/>
    <n v="0"/>
    <n v="0"/>
    <n v="0"/>
    <n v="0"/>
    <n v="1.17"/>
    <e v="#N/A"/>
    <s v="garmanum"/>
  </r>
  <r>
    <x v="324"/>
    <x v="45"/>
    <s v="Admin/HR/IT"/>
    <s v="AMCARE NonOcc In"/>
    <s v="AMZN"/>
    <n v="113014560"/>
    <s v="Lopez Moreno,Americo"/>
    <s v="Romero Sanchez,Gustavo Gabriel"/>
    <n v="0"/>
    <n v="0"/>
    <n v="0"/>
    <n v="0"/>
    <n v="0.25"/>
    <e v="#N/A"/>
    <s v="zlopamer"/>
  </r>
  <r>
    <x v="324"/>
    <x v="45"/>
    <s v="Admin/HR/IT"/>
    <s v="AMCARE NonOcc In"/>
    <s v="AMZN"/>
    <n v="200404250"/>
    <s v="Hurtado,Caty"/>
    <s v="Corona Arriaga,Fernando"/>
    <n v="0"/>
    <n v="0"/>
    <n v="0"/>
    <n v="0"/>
    <n v="0.45"/>
    <e v="#N/A"/>
    <s v="xcathurt"/>
  </r>
  <r>
    <x v="324"/>
    <x v="45"/>
    <s v="Admin/HR/IT"/>
    <s v="AMCARE NonOcc In"/>
    <s v="AMZN"/>
    <n v="200534675"/>
    <s v="Munoz Macias,Juan Pablo"/>
    <s v="Rosas Negrete,Sebastian"/>
    <n v="0"/>
    <n v="0"/>
    <n v="0"/>
    <n v="0"/>
    <n v="0.1"/>
    <e v="#N/A"/>
    <s v="juanpmun"/>
  </r>
  <r>
    <x v="324"/>
    <x v="45"/>
    <s v="Admin/HR/IT"/>
    <s v="AMCARE NonOcc In"/>
    <s v="AMZN"/>
    <n v="200564895"/>
    <s v="Mendoza Corona,Brianda"/>
    <s v="Corona Arriaga,Fernando"/>
    <n v="0"/>
    <n v="0"/>
    <n v="0"/>
    <n v="0"/>
    <n v="0.2"/>
    <e v="#N/A"/>
    <s v="hmendobr"/>
  </r>
  <r>
    <x v="324"/>
    <x v="45"/>
    <s v="Admin/HR/IT"/>
    <s v="AMCARE NonOcc In"/>
    <s v="AMZN"/>
    <n v="200625528"/>
    <s v="Oliva,Lizbeth"/>
    <s v="Bueno Mendoza,Susana"/>
    <n v="0"/>
    <n v="0"/>
    <n v="0"/>
    <n v="0"/>
    <n v="0.05"/>
    <e v="#N/A"/>
    <s v="olivlizb"/>
  </r>
  <r>
    <x v="324"/>
    <x v="45"/>
    <s v="Admin/HR/IT"/>
    <s v="AMCARE NonOcc In"/>
    <s v="AMZN"/>
    <n v="201166890"/>
    <s v="Caballero,Daniel"/>
    <s v="Rosas Negrete,Sebastian"/>
    <n v="0"/>
    <n v="0"/>
    <n v="0"/>
    <n v="0"/>
    <n v="0.22"/>
    <e v="#N/A"/>
    <s v="lcabadan"/>
  </r>
  <r>
    <x v="324"/>
    <x v="45"/>
    <s v="Admin/HR/IT"/>
    <s v="AMCARE NonOcc In"/>
    <s v="AMZN"/>
    <n v="201167501"/>
    <s v="Rodriguez,Ruben"/>
    <s v="Corona Arriaga,Fernando"/>
    <n v="0"/>
    <n v="0"/>
    <n v="0"/>
    <n v="0"/>
    <n v="0.62"/>
    <e v="#N/A"/>
    <s v="wguanajr"/>
  </r>
  <r>
    <x v="324"/>
    <x v="45"/>
    <s v="Admin/HR/IT"/>
    <s v="AMCARE NonOcc In"/>
    <s v="AMZN"/>
    <n v="201186777"/>
    <s v="Monzon,Berenice"/>
    <s v="Lopez,Alexa"/>
    <n v="0"/>
    <n v="0"/>
    <n v="0"/>
    <n v="0"/>
    <n v="0.18"/>
    <e v="#N/A"/>
    <s v="bemonzon"/>
  </r>
  <r>
    <x v="324"/>
    <x v="45"/>
    <s v="Admin/HR/IT"/>
    <s v="AMCARE NonOcc In"/>
    <s v="AMZN"/>
    <n v="201191390"/>
    <s v="GarcÃ­a,jesus"/>
    <s v="Romero Sanchez,Gustavo Gabriel"/>
    <n v="0"/>
    <n v="0"/>
    <n v="0"/>
    <n v="0"/>
    <n v="0.3"/>
    <e v="#N/A"/>
    <s v="bgajesus"/>
  </r>
  <r>
    <x v="324"/>
    <x v="45"/>
    <s v="Admin/HR/IT"/>
    <s v="AMCARE NonOcc In"/>
    <s v="AMZN"/>
    <n v="201197964"/>
    <s v="Quijas,Matzayani"/>
    <s v="Rosas Negrete,Sebastian"/>
    <n v="0"/>
    <n v="0"/>
    <n v="0"/>
    <n v="0"/>
    <n v="0.6"/>
    <e v="#N/A"/>
    <s v="matzquij"/>
  </r>
  <r>
    <x v="324"/>
    <x v="45"/>
    <s v="Admin/HR/IT"/>
    <s v="AMCARE NonOcc In"/>
    <s v="AMZN"/>
    <n v="201198922"/>
    <s v="Mendez,Joy"/>
    <s v="Munoz,Jonan"/>
    <n v="0"/>
    <n v="0"/>
    <n v="0"/>
    <n v="0"/>
    <n v="0.09"/>
    <e v="#N/A"/>
    <s v="mendejoy"/>
  </r>
  <r>
    <x v="324"/>
    <x v="45"/>
    <s v="Admin/HR/IT"/>
    <s v="AMCARE NonOcc In"/>
    <s v="AMZN"/>
    <n v="201219500"/>
    <s v="Mazy,RamsÃ©s"/>
    <s v="Piedra,Valentina"/>
    <n v="0"/>
    <n v="0"/>
    <n v="0"/>
    <n v="0"/>
    <n v="0.21"/>
    <e v="#N/A"/>
    <s v="ramsmazy"/>
  </r>
  <r>
    <x v="324"/>
    <x v="45"/>
    <s v="Admin/HR/IT"/>
    <s v="AMCARE NonOcc In"/>
    <s v="TEMP"/>
    <n v="201294217"/>
    <s v="Montes,Bibiana"/>
    <s v="Cortes,Alejandra"/>
    <n v="0"/>
    <n v="0"/>
    <n v="0"/>
    <n v="0"/>
    <n v="0.18"/>
    <e v="#N/A"/>
    <s v="montebib"/>
  </r>
  <r>
    <x v="324"/>
    <x v="45"/>
    <s v="Admin/HR/IT"/>
    <s v="AMCARE NonOcc In"/>
    <s v="AMZN"/>
    <n v="201347361"/>
    <s v="Hernandez,Joshua"/>
    <s v="Munoz,Jonan"/>
    <n v="0"/>
    <n v="0"/>
    <n v="0"/>
    <n v="0"/>
    <n v="0.19"/>
    <e v="#N/A"/>
    <s v="joshhev"/>
  </r>
  <r>
    <x v="324"/>
    <x v="45"/>
    <s v="Admin/HR/IT"/>
    <s v="AMCARE NonOcc In"/>
    <s v="AMZN"/>
    <n v="201396328"/>
    <s v="Canchola,Alejandro"/>
    <s v="Rosas Negrete,Sebastian"/>
    <n v="0"/>
    <n v="0"/>
    <n v="0"/>
    <n v="0"/>
    <n v="0.19"/>
    <e v="#N/A"/>
    <s v="nalcanch"/>
  </r>
  <r>
    <x v="324"/>
    <x v="45"/>
    <s v="Admin/HR/IT"/>
    <s v="AMCARE NonOcc In"/>
    <s v="AMZN"/>
    <n v="201880542"/>
    <s v="ORTIZ,CORPUS"/>
    <s v="Bueno Mendoza,Susana"/>
    <n v="0"/>
    <n v="0"/>
    <n v="0"/>
    <n v="0"/>
    <n v="0.2"/>
    <e v="#N/A"/>
    <s v="orticorp"/>
  </r>
  <r>
    <x v="324"/>
    <x v="45"/>
    <s v="Admin/HR/IT"/>
    <s v="AMCARE NonOcc In"/>
    <s v="AMZN"/>
    <n v="201882567"/>
    <s v="Valtierra,Salvador"/>
    <s v="Corona Arriaga,Fernando"/>
    <n v="0"/>
    <n v="0"/>
    <n v="0"/>
    <n v="0"/>
    <n v="0.21"/>
    <e v="#N/A"/>
    <s v="valtsalv"/>
  </r>
  <r>
    <x v="324"/>
    <x v="45"/>
    <s v="Admin/HR/IT"/>
    <s v="AMCARE NonOcc In"/>
    <s v="TEMP"/>
    <n v="202109486"/>
    <s v="Medina,Abigail"/>
    <s v="Corona Arriaga,Fernando"/>
    <n v="0"/>
    <n v="0"/>
    <n v="0"/>
    <n v="0"/>
    <n v="0.1"/>
    <e v="#N/A"/>
    <s v="abigmedy"/>
  </r>
  <r>
    <x v="324"/>
    <x v="45"/>
    <s v="Admin/HR/IT"/>
    <s v="AMCARE NonOcc In"/>
    <s v="TEMP"/>
    <n v="202118346"/>
    <s v="Ponce,Jessi"/>
    <s v="Rosas Negrete,Sebastian"/>
    <n v="0"/>
    <n v="0"/>
    <n v="0"/>
    <n v="0"/>
    <n v="0.14000000000000001"/>
    <e v="#N/A"/>
    <s v="jesponcu"/>
  </r>
  <r>
    <x v="324"/>
    <x v="45"/>
    <s v="Admin/HR/IT"/>
    <s v="AMCARE NonOcc In"/>
    <s v="TEMP"/>
    <n v="202129193"/>
    <s v="Hernandez Montiel,Angelica Teresa"/>
    <s v="Madrid Molina,Ramon"/>
    <n v="0"/>
    <n v="0"/>
    <n v="0"/>
    <n v="0"/>
    <n v="0.57999999999999996"/>
    <e v="#N/A"/>
    <s v="herngang"/>
  </r>
  <r>
    <x v="324"/>
    <x v="45"/>
    <s v="Admin/HR/IT"/>
    <s v="AMCARE NonOcc In"/>
    <s v="TEMP"/>
    <n v="202159550"/>
    <s v="Mora,Isabel"/>
    <s v="Piedra,Valentina"/>
    <n v="0"/>
    <n v="0"/>
    <n v="0"/>
    <n v="0"/>
    <n v="0.17"/>
    <e v="#N/A"/>
    <s v="eisabmor"/>
  </r>
  <r>
    <x v="324"/>
    <x v="45"/>
    <s v="Admin/HR/IT"/>
    <s v="AMCARE NonOcc In"/>
    <s v="TEMP"/>
    <n v="202175835"/>
    <s v="Gonzalez,Abraham"/>
    <s v="Munoz,Jonan"/>
    <n v="0"/>
    <n v="0"/>
    <n v="0"/>
    <n v="0"/>
    <n v="0.16"/>
    <e v="#N/A"/>
    <s v="gonzaoab"/>
  </r>
  <r>
    <x v="324"/>
    <x v="45"/>
    <s v="Admin/HR/IT"/>
    <s v="AMCARE NonOcc In"/>
    <s v="TEMP"/>
    <n v="202225994"/>
    <s v="Jauregui,IvÃ¡n"/>
    <s v="Rosas Negrete,Sebastian"/>
    <n v="0"/>
    <n v="0"/>
    <n v="0"/>
    <n v="0"/>
    <n v="0.73"/>
    <e v="#N/A"/>
    <s v="jaureyiv"/>
  </r>
  <r>
    <x v="324"/>
    <x v="45"/>
    <s v="Admin/HR/IT"/>
    <s v="AMCARE NonOcc In"/>
    <s v="TEMP"/>
    <n v="202254886"/>
    <s v="Mendoza,Jared"/>
    <s v="Munoz,Jonan"/>
    <n v="0"/>
    <n v="0"/>
    <n v="0"/>
    <n v="0"/>
    <n v="0.37"/>
    <e v="#N/A"/>
    <s v="xmenjare"/>
  </r>
  <r>
    <x v="324"/>
    <x v="45"/>
    <s v="Admin/HR/IT"/>
    <s v="AMCARE NonOcc In"/>
    <s v="TEMP"/>
    <n v="202287922"/>
    <s v="Andrade,Gema"/>
    <s v="Lopez,Alexa"/>
    <n v="0"/>
    <n v="0"/>
    <n v="0"/>
    <n v="0"/>
    <n v="0.19"/>
    <e v="#N/A"/>
    <s v="gemandra"/>
  </r>
  <r>
    <x v="324"/>
    <x v="45"/>
    <s v="Admin/HR/IT"/>
    <s v="AMCARE NonOcc In"/>
    <s v="TEMP"/>
    <n v="202291188"/>
    <s v="Alvarez,Fernanda"/>
    <s v="Madrid Molina,Ramon"/>
    <n v="0"/>
    <n v="0"/>
    <n v="0"/>
    <n v="0"/>
    <n v="0.94"/>
    <e v="#N/A"/>
    <s v="alvqfern"/>
  </r>
  <r>
    <x v="324"/>
    <x v="45"/>
    <s v="Admin/HR/IT"/>
    <s v="AMCARE NonOcc In"/>
    <s v="TEMP"/>
    <n v="202291418"/>
    <s v="Ibarra,Sandra"/>
    <s v="Madrid Molina,Ramon"/>
    <n v="0"/>
    <n v="0"/>
    <n v="0"/>
    <n v="0"/>
    <n v="0.3"/>
    <e v="#N/A"/>
    <s v="saiibarr"/>
  </r>
  <r>
    <x v="324"/>
    <x v="45"/>
    <s v="Admin/HR/IT"/>
    <s v="AMCARE NonOcc In"/>
    <s v="TEMP"/>
    <n v="202334621"/>
    <s v="Ramos,Karla"/>
    <s v="Lopez,Alexa"/>
    <n v="0"/>
    <n v="0"/>
    <n v="0"/>
    <n v="0"/>
    <n v="0.24"/>
    <e v="#N/A"/>
    <s v="tkarlram"/>
  </r>
  <r>
    <x v="324"/>
    <x v="45"/>
    <s v="Admin/HR/IT"/>
    <s v="AMCARE NonOcc In"/>
    <s v="TEMP"/>
    <n v="202353921"/>
    <s v="Arechar Ortiz,Lindi Noemi"/>
    <s v="Piedra,Valentina"/>
    <n v="0"/>
    <n v="0"/>
    <n v="0"/>
    <n v="0"/>
    <n v="0.63"/>
    <e v="#N/A"/>
    <s v="lindinoe"/>
  </r>
  <r>
    <x v="324"/>
    <x v="45"/>
    <s v="Admin/HR/IT"/>
    <s v="AMCARE NonOcc In"/>
    <s v="TEMP"/>
    <n v="202369419"/>
    <s v="Fabian,Ary"/>
    <s v="Romero Sanchez,Gustavo Gabriel"/>
    <n v="0"/>
    <n v="0"/>
    <n v="0"/>
    <n v="0"/>
    <n v="0.22"/>
    <e v="#N/A"/>
    <s v="afabianx"/>
  </r>
  <r>
    <x v="324"/>
    <x v="45"/>
    <s v="Admin/HR/IT"/>
    <s v="AMCARE NonOcc In"/>
    <s v="TEMP"/>
    <n v="202408564"/>
    <s v="Manriquez,Cristina"/>
    <s v="Munoz,Jonan"/>
    <n v="0"/>
    <n v="0"/>
    <n v="0"/>
    <n v="0"/>
    <n v="0.38"/>
    <e v="#N/A"/>
    <s v="xmanricr"/>
  </r>
  <r>
    <x v="324"/>
    <x v="45"/>
    <s v="Admin/HR/IT"/>
    <s v="AMCARE NonOcc In"/>
    <s v="TEMP"/>
    <n v="202421453"/>
    <s v="Checo,Sergio"/>
    <s v="Cortes,Alejandra"/>
    <n v="0"/>
    <n v="0"/>
    <n v="0"/>
    <n v="0"/>
    <n v="0.57999999999999996"/>
    <e v="#N/A"/>
    <s v="chejserg"/>
  </r>
  <r>
    <x v="324"/>
    <x v="45"/>
    <s v="Admin/HR/IT"/>
    <s v="AMCARE NonOcc In"/>
    <s v="TEMP"/>
    <n v="202432521"/>
    <s v="Samarron Prado,Luis Gerardo"/>
    <s v="Pizana,Diego"/>
    <n v="0"/>
    <n v="0"/>
    <n v="0"/>
    <n v="0"/>
    <n v="0.14000000000000001"/>
    <e v="#N/A"/>
    <s v="samarrlu"/>
  </r>
  <r>
    <x v="324"/>
    <x v="45"/>
    <s v="Admin/HR/IT"/>
    <s v="AMCARE NonOcc In"/>
    <s v="TEMP"/>
    <n v="202442581"/>
    <s v="Araiza,Yocktan"/>
    <s v="Piedra,Valentina"/>
    <n v="0"/>
    <n v="0"/>
    <n v="0"/>
    <n v="0"/>
    <n v="1.54"/>
    <e v="#N/A"/>
    <s v="ayocktan"/>
  </r>
  <r>
    <x v="324"/>
    <x v="45"/>
    <s v="Admin/HR/IT"/>
    <s v="AMCARE NonOcc In"/>
    <s v="TEMP"/>
    <n v="202442761"/>
    <s v="Vallejo,Sarahi"/>
    <s v="Pizana,Diego"/>
    <n v="0"/>
    <n v="0"/>
    <n v="0"/>
    <n v="0"/>
    <n v="0.13"/>
    <e v="#N/A"/>
    <s v="valqsara"/>
  </r>
  <r>
    <x v="324"/>
    <x v="45"/>
    <s v="Admin/HR/IT"/>
    <s v="AMCARE NonOcc In"/>
    <s v="TEMP"/>
    <n v="202512055"/>
    <s v="Alvarez,Ricardo"/>
    <s v="Camarena,Grecia"/>
    <n v="0"/>
    <n v="0"/>
    <n v="0"/>
    <n v="0"/>
    <n v="0.38"/>
    <e v="#N/A"/>
    <s v="alvsrica"/>
  </r>
  <r>
    <x v="324"/>
    <x v="45"/>
    <s v="Admin/HR/IT"/>
    <s v="AMCARE NonOcc In"/>
    <s v="TEMP"/>
    <n v="202513047"/>
    <s v="GÃ³mez,Alexis"/>
    <s v="Camarena,Grecia"/>
    <n v="0"/>
    <n v="0"/>
    <n v="0"/>
    <n v="0"/>
    <n v="0.33"/>
    <e v="#N/A"/>
    <s v="ngomezal"/>
  </r>
  <r>
    <x v="324"/>
    <x v="45"/>
    <s v="Admin/HR/IT"/>
    <s v="AMCARE NonOcc In"/>
    <s v="TEMP"/>
    <n v="202534146"/>
    <s v="Mendoza,Delia"/>
    <s v="Munoz,Jonan"/>
    <n v="0"/>
    <n v="0"/>
    <n v="0"/>
    <n v="0"/>
    <n v="0.14000000000000001"/>
    <e v="#N/A"/>
    <e v="#N/A"/>
  </r>
  <r>
    <x v="325"/>
    <x v="45"/>
    <s v="Admin/HR/IT"/>
    <s v="AMCARE NonOcc In"/>
    <s v="AMZN"/>
    <n v="112912014"/>
    <s v="Ramos,Sofia"/>
    <s v="Madrid Molina,Ramon"/>
    <n v="0"/>
    <n v="0"/>
    <n v="0"/>
    <n v="0"/>
    <n v="0.2"/>
    <s v="DA-X0700"/>
    <s v="ravsofia"/>
  </r>
  <r>
    <x v="325"/>
    <x v="45"/>
    <s v="Admin/HR/IT"/>
    <s v="AMCARE NonOcc In"/>
    <s v="AMZN"/>
    <n v="112912050"/>
    <s v="Hernadez Serna,Said"/>
    <s v="Madrid Molina,Ramon"/>
    <n v="0"/>
    <n v="0"/>
    <n v="0"/>
    <n v="0"/>
    <n v="0.15"/>
    <s v="DA-X0700"/>
    <s v="shernadt"/>
  </r>
  <r>
    <x v="325"/>
    <x v="45"/>
    <s v="Admin/HR/IT"/>
    <s v="AMCARE NonOcc In"/>
    <s v="AMZN"/>
    <n v="112912506"/>
    <s v="Garcia  Caudillo,Jessica"/>
    <s v="Madrid Molina,Ramon"/>
    <n v="0"/>
    <n v="0"/>
    <n v="0"/>
    <n v="0"/>
    <n v="0.01"/>
    <s v="DA-X0700"/>
    <s v="gakjessi"/>
  </r>
  <r>
    <x v="325"/>
    <x v="45"/>
    <s v="Admin/HR/IT"/>
    <s v="AMCARE NonOcc In"/>
    <s v="TEMP"/>
    <n v="112912984"/>
    <s v="Ortiz,Isaac"/>
    <s v="Pizana,Diego"/>
    <n v="0"/>
    <n v="0"/>
    <n v="0"/>
    <n v="0"/>
    <n v="0.36"/>
    <s v="DJ-X0700"/>
    <s v="ortizdui"/>
  </r>
  <r>
    <x v="325"/>
    <x v="45"/>
    <s v="Admin/HR/IT"/>
    <s v="AMCARE NonOcc In"/>
    <s v="AMZN"/>
    <n v="112950784"/>
    <s v="Rojas,Samuel"/>
    <s v="Camarena,Grecia"/>
    <n v="0"/>
    <n v="0"/>
    <n v="0"/>
    <n v="0"/>
    <n v="0.28000000000000003"/>
    <s v="NF-X1900"/>
    <s v="sarojast"/>
  </r>
  <r>
    <x v="325"/>
    <x v="45"/>
    <s v="Admin/HR/IT"/>
    <s v="AMCARE NonOcc In"/>
    <s v="AMZN"/>
    <n v="112981196"/>
    <s v="Gomez,Andrea"/>
    <s v="Lopez,Alexa"/>
    <n v="0"/>
    <n v="0"/>
    <n v="0"/>
    <n v="0"/>
    <n v="0.08"/>
    <e v="#N/A"/>
    <s v="vandgome"/>
  </r>
  <r>
    <x v="325"/>
    <x v="45"/>
    <s v="Admin/HR/IT"/>
    <s v="AMCARE NonOcc In"/>
    <s v="AMZN"/>
    <n v="113020497"/>
    <s v="Martinez Ruiz,Diana"/>
    <s v="Munoz,Jonan"/>
    <n v="0"/>
    <n v="0"/>
    <n v="0"/>
    <n v="0"/>
    <n v="0.05"/>
    <e v="#N/A"/>
    <s v="diamartd"/>
  </r>
  <r>
    <x v="325"/>
    <x v="45"/>
    <s v="Admin/HR/IT"/>
    <s v="AMCARE NonOcc In"/>
    <s v="AMZN"/>
    <n v="113044763"/>
    <s v="Urbina Avila,Stephany"/>
    <s v="Munoz,Jonan"/>
    <n v="0"/>
    <n v="0"/>
    <n v="0"/>
    <n v="0"/>
    <n v="0.22"/>
    <e v="#N/A"/>
    <s v="urbistep"/>
  </r>
  <r>
    <x v="325"/>
    <x v="45"/>
    <s v="Admin/HR/IT"/>
    <s v="AMCARE NonOcc In"/>
    <s v="AMZN"/>
    <n v="200404250"/>
    <s v="Hurtado,Caty"/>
    <s v="Corona Arriaga,Fernando"/>
    <n v="0"/>
    <n v="0"/>
    <n v="0"/>
    <n v="0"/>
    <n v="0.16"/>
    <e v="#N/A"/>
    <s v="xcathurt"/>
  </r>
  <r>
    <x v="325"/>
    <x v="45"/>
    <s v="Admin/HR/IT"/>
    <s v="AMCARE NonOcc In"/>
    <s v="AMZN"/>
    <n v="200509662"/>
    <s v="Chico,Carlos"/>
    <s v="Bueno Mendoza,Susana"/>
    <n v="0"/>
    <n v="0"/>
    <n v="0"/>
    <n v="0"/>
    <n v="0.12"/>
    <e v="#N/A"/>
    <s v="carchico"/>
  </r>
  <r>
    <x v="325"/>
    <x v="45"/>
    <s v="Admin/HR/IT"/>
    <s v="AMCARE NonOcc In"/>
    <s v="AMZN"/>
    <n v="201165769"/>
    <s v="Puente,Karen"/>
    <s v="Lopez,Alexa"/>
    <n v="0"/>
    <n v="0"/>
    <n v="0"/>
    <n v="0"/>
    <n v="0.22"/>
    <e v="#N/A"/>
    <s v="puenkare"/>
  </r>
  <r>
    <x v="325"/>
    <x v="45"/>
    <s v="Admin/HR/IT"/>
    <s v="AMCARE NonOcc In"/>
    <s v="AMZN"/>
    <n v="201166890"/>
    <s v="Caballero,Daniel"/>
    <s v="Rosas Negrete,Sebastian"/>
    <n v="0"/>
    <n v="0"/>
    <n v="0"/>
    <n v="0"/>
    <n v="0.19"/>
    <e v="#N/A"/>
    <s v="lcabadan"/>
  </r>
  <r>
    <x v="325"/>
    <x v="45"/>
    <s v="Admin/HR/IT"/>
    <s v="AMCARE NonOcc In"/>
    <s v="AMZN"/>
    <n v="201167501"/>
    <s v="Rodriguez,Ruben"/>
    <s v="Corona Arriaga,Fernando"/>
    <n v="0"/>
    <n v="0"/>
    <n v="0"/>
    <n v="0"/>
    <n v="0.15"/>
    <e v="#N/A"/>
    <s v="wguanajr"/>
  </r>
  <r>
    <x v="325"/>
    <x v="45"/>
    <s v="Admin/HR/IT"/>
    <s v="AMCARE NonOcc In"/>
    <s v="AMZN"/>
    <n v="201202093"/>
    <s v="Ortega,Elizabeth"/>
    <s v="Romero Sanchez,Gustavo Gabriel"/>
    <n v="0"/>
    <n v="0"/>
    <n v="0"/>
    <n v="0"/>
    <n v="0.23"/>
    <e v="#N/A"/>
    <s v="eliorten"/>
  </r>
  <r>
    <x v="325"/>
    <x v="45"/>
    <s v="Admin/HR/IT"/>
    <s v="AMCARE NonOcc In"/>
    <s v="AMZN"/>
    <n v="201347331"/>
    <s v="Castillo,Fernando"/>
    <s v="Madrid Molina,Ramon"/>
    <n v="0"/>
    <n v="0"/>
    <n v="0"/>
    <n v="0"/>
    <n v="0.03"/>
    <e v="#N/A"/>
    <s v="scastfer"/>
  </r>
  <r>
    <x v="325"/>
    <x v="45"/>
    <s v="Admin/HR/IT"/>
    <s v="AMCARE NonOcc In"/>
    <s v="AMZN"/>
    <n v="201378542"/>
    <s v="Contreras,Evelyn"/>
    <s v="Bueno Mendoza,Susana"/>
    <n v="0"/>
    <n v="0"/>
    <n v="0"/>
    <n v="0"/>
    <n v="0.14000000000000001"/>
    <e v="#N/A"/>
    <s v="tcontree"/>
  </r>
  <r>
    <x v="325"/>
    <x v="45"/>
    <s v="Admin/HR/IT"/>
    <s v="AMCARE NonOcc In"/>
    <s v="TEMP"/>
    <n v="202062181"/>
    <s v="Trejo,Luis"/>
    <s v="Lopez,Alexa"/>
    <n v="0"/>
    <n v="0"/>
    <n v="0"/>
    <n v="0"/>
    <n v="0.45"/>
    <e v="#N/A"/>
    <s v="xlutrejo"/>
  </r>
  <r>
    <x v="325"/>
    <x v="45"/>
    <s v="Admin/HR/IT"/>
    <s v="AMCARE NonOcc In"/>
    <s v="TEMP"/>
    <n v="202063545"/>
    <s v="GarcÃ­a,Ana"/>
    <s v="Lopez,Alexa"/>
    <n v="0"/>
    <n v="0"/>
    <n v="0"/>
    <n v="0"/>
    <n v="0.42"/>
    <e v="#N/A"/>
    <s v="angarcz"/>
  </r>
  <r>
    <x v="325"/>
    <x v="45"/>
    <s v="Admin/HR/IT"/>
    <s v="AMCARE NonOcc In"/>
    <s v="TEMP"/>
    <n v="202099131"/>
    <s v="Castillo,Enedina"/>
    <s v="Lopez,Alexa"/>
    <n v="0"/>
    <n v="0"/>
    <n v="0"/>
    <n v="0"/>
    <n v="0.17"/>
    <e v="#N/A"/>
    <s v="enecasti"/>
  </r>
  <r>
    <x v="325"/>
    <x v="45"/>
    <s v="Admin/HR/IT"/>
    <s v="AMCARE NonOcc In"/>
    <s v="TEMP"/>
    <n v="202129193"/>
    <s v="Hernandez Montiel,Angelica Teresa"/>
    <s v="Madrid Molina,Ramon"/>
    <n v="0"/>
    <n v="0"/>
    <n v="0"/>
    <n v="0"/>
    <n v="0.52"/>
    <e v="#N/A"/>
    <s v="herngang"/>
  </r>
  <r>
    <x v="325"/>
    <x v="45"/>
    <s v="Admin/HR/IT"/>
    <s v="AMCARE NonOcc In"/>
    <s v="TEMP"/>
    <n v="202137988"/>
    <s v="Torres,Aylen Aylen"/>
    <s v="Lopez,Alexa"/>
    <n v="0"/>
    <n v="0"/>
    <n v="0"/>
    <n v="0"/>
    <n v="0.22"/>
    <e v="#N/A"/>
    <s v="toraylen"/>
  </r>
  <r>
    <x v="325"/>
    <x v="45"/>
    <s v="Admin/HR/IT"/>
    <s v="AMCARE NonOcc In"/>
    <s v="TEMP"/>
    <n v="202145314"/>
    <s v="Palomares,Neftali"/>
    <s v="Camarena,Grecia"/>
    <n v="0"/>
    <n v="0"/>
    <n v="0"/>
    <n v="0"/>
    <n v="0.26"/>
    <e v="#N/A"/>
    <s v="neftalpa"/>
  </r>
  <r>
    <x v="325"/>
    <x v="45"/>
    <s v="Admin/HR/IT"/>
    <s v="AMCARE NonOcc In"/>
    <s v="TEMP"/>
    <n v="202166757"/>
    <s v="Cortes,Axel"/>
    <s v="Bueno Mendoza,Susana"/>
    <n v="0"/>
    <n v="0"/>
    <n v="0"/>
    <n v="0"/>
    <n v="0.17"/>
    <e v="#N/A"/>
    <s v="corteax"/>
  </r>
  <r>
    <x v="325"/>
    <x v="45"/>
    <s v="Admin/HR/IT"/>
    <s v="AMCARE NonOcc In"/>
    <s v="TEMP"/>
    <n v="202190946"/>
    <s v="Gonzalez,Caro"/>
    <s v="Bueno Mendoza,Susana"/>
    <n v="0"/>
    <n v="0"/>
    <n v="0"/>
    <n v="0"/>
    <n v="0.11"/>
    <e v="#N/A"/>
    <s v="ggonzcar"/>
  </r>
  <r>
    <x v="325"/>
    <x v="45"/>
    <s v="Admin/HR/IT"/>
    <s v="AMCARE NonOcc In"/>
    <s v="TEMP"/>
    <n v="202206014"/>
    <s v="Cuellar,Karina"/>
    <s v="Corona Arriaga,Fernando"/>
    <n v="0"/>
    <n v="0"/>
    <n v="0"/>
    <n v="0"/>
    <n v="0.25"/>
    <e v="#N/A"/>
    <s v="jcuellka"/>
  </r>
  <r>
    <x v="325"/>
    <x v="45"/>
    <s v="Admin/HR/IT"/>
    <s v="AMCARE NonOcc In"/>
    <s v="TEMP"/>
    <n v="202226202"/>
    <s v="Moreno,Nayeli Naye"/>
    <s v="Rosas Negrete,Sebastian"/>
    <n v="0"/>
    <n v="0"/>
    <n v="0"/>
    <n v="0"/>
    <n v="0.23"/>
    <e v="#N/A"/>
    <s v="naymoren"/>
  </r>
  <r>
    <x v="325"/>
    <x v="45"/>
    <s v="Admin/HR/IT"/>
    <s v="AMCARE NonOcc In"/>
    <s v="TEMP"/>
    <n v="202245845"/>
    <s v="Medina,Angel"/>
    <s v="Rosas Negrete,Sebastian"/>
    <n v="0"/>
    <n v="0"/>
    <n v="0"/>
    <n v="0"/>
    <n v="0.55000000000000004"/>
    <e v="#N/A"/>
    <s v="cangmedi"/>
  </r>
  <r>
    <x v="325"/>
    <x v="45"/>
    <s v="Admin/HR/IT"/>
    <s v="AMCARE NonOcc In"/>
    <s v="TEMP"/>
    <n v="202245854"/>
    <s v="Manzo GonzÃ¡lez,Luis Fernando"/>
    <s v="Camarena,Grecia"/>
    <n v="0"/>
    <n v="0"/>
    <n v="0"/>
    <n v="0"/>
    <n v="0.28999999999999998"/>
    <e v="#N/A"/>
    <s v="manluisf"/>
  </r>
  <r>
    <x v="325"/>
    <x v="45"/>
    <s v="Admin/HR/IT"/>
    <s v="AMCARE NonOcc In"/>
    <s v="TEMP"/>
    <n v="202265921"/>
    <s v="Perea,Mauricio"/>
    <s v="Rosas Negrete,Sebastian"/>
    <n v="0"/>
    <n v="0"/>
    <n v="0"/>
    <n v="0"/>
    <n v="0.16"/>
    <e v="#N/A"/>
    <s v="mauperea"/>
  </r>
  <r>
    <x v="325"/>
    <x v="45"/>
    <s v="Admin/HR/IT"/>
    <s v="AMCARE NonOcc In"/>
    <s v="TEMP"/>
    <n v="202287922"/>
    <s v="Andrade,Gema"/>
    <s v="Lopez,Alexa"/>
    <n v="0"/>
    <n v="0"/>
    <n v="0"/>
    <n v="0"/>
    <n v="0.38"/>
    <e v="#N/A"/>
    <s v="gemandra"/>
  </r>
  <r>
    <x v="325"/>
    <x v="45"/>
    <s v="Admin/HR/IT"/>
    <s v="AMCARE NonOcc In"/>
    <s v="TEMP"/>
    <n v="202289699"/>
    <s v="Araujo,Hisela"/>
    <s v="Lopez,Alexa"/>
    <n v="0"/>
    <n v="0"/>
    <n v="0"/>
    <n v="0"/>
    <n v="0.32"/>
    <e v="#N/A"/>
    <s v="hiselara"/>
  </r>
  <r>
    <x v="325"/>
    <x v="45"/>
    <s v="Admin/HR/IT"/>
    <s v="AMCARE NonOcc In"/>
    <s v="TEMP"/>
    <n v="202304949"/>
    <s v="Barajas,Claudia"/>
    <s v="Madrid Molina,Ramon"/>
    <n v="0"/>
    <n v="0"/>
    <n v="0"/>
    <n v="0"/>
    <n v="0.25"/>
    <e v="#N/A"/>
    <s v="barajcla"/>
  </r>
  <r>
    <x v="325"/>
    <x v="45"/>
    <s v="Admin/HR/IT"/>
    <s v="AMCARE NonOcc In"/>
    <s v="TEMP"/>
    <n v="202353921"/>
    <s v="Arechar Ortiz,Lindi Noemi"/>
    <s v="Piedra,Valentina"/>
    <n v="0"/>
    <n v="0"/>
    <n v="0"/>
    <n v="0"/>
    <n v="0.39"/>
    <e v="#N/A"/>
    <s v="lindinoe"/>
  </r>
  <r>
    <x v="325"/>
    <x v="45"/>
    <s v="Admin/HR/IT"/>
    <s v="AMCARE NonOcc In"/>
    <s v="TEMP"/>
    <n v="202432341"/>
    <s v="ALATORRE,ABRAHAM"/>
    <s v="Madrid Molina,Ramon"/>
    <n v="0"/>
    <n v="0"/>
    <n v="0"/>
    <n v="0"/>
    <n v="0.38"/>
    <e v="#N/A"/>
    <s v="xalatorr"/>
  </r>
  <r>
    <x v="325"/>
    <x v="45"/>
    <s v="Admin/HR/IT"/>
    <s v="AMCARE NonOcc In"/>
    <s v="TEMP"/>
    <n v="202479923"/>
    <s v="Arredondo,Grecia"/>
    <s v="Camarena,Grecia"/>
    <n v="0"/>
    <n v="0"/>
    <n v="0"/>
    <n v="0"/>
    <n v="0.2"/>
    <e v="#N/A"/>
    <s v="arredgre"/>
  </r>
  <r>
    <x v="325"/>
    <x v="45"/>
    <s v="Admin/HR/IT"/>
    <s v="AMCARE NonOcc In"/>
    <s v="TEMP"/>
    <n v="202507047"/>
    <s v="MartÃ­nez,Jesus"/>
    <s v="Madrid Molina,Ramon"/>
    <n v="0"/>
    <n v="0"/>
    <n v="0"/>
    <n v="0"/>
    <n v="1.27"/>
    <e v="#N/A"/>
    <s v="martcjes"/>
  </r>
  <r>
    <x v="325"/>
    <x v="45"/>
    <s v="Admin/HR/IT"/>
    <s v="AMCARE NonOcc In"/>
    <s v="TEMP"/>
    <n v="202510583"/>
    <s v="Jimenez Becerra,Juan Carlos"/>
    <s v="Madrid Molina,Ramon"/>
    <n v="0"/>
    <n v="0"/>
    <n v="0"/>
    <n v="0"/>
    <n v="0.45"/>
    <e v="#N/A"/>
    <s v="jifjuanc"/>
  </r>
  <r>
    <x v="325"/>
    <x v="45"/>
    <s v="Admin/HR/IT"/>
    <s v="AMCARE NonOcc In"/>
    <s v="TEMP"/>
    <n v="202513047"/>
    <s v="GÃ³mez,Alexis"/>
    <s v="Camarena,Grecia"/>
    <n v="0"/>
    <n v="0"/>
    <n v="0"/>
    <n v="0"/>
    <n v="0.22"/>
    <e v="#N/A"/>
    <s v="ngomezal"/>
  </r>
  <r>
    <x v="326"/>
    <x v="45"/>
    <s v="Admin/HR/IT"/>
    <s v="AMCARE NonOcc In"/>
    <s v="AMZN"/>
    <n v="112912511"/>
    <s v="Elorza,Sergio"/>
    <s v="Munoz,Jonan"/>
    <n v="0"/>
    <n v="0"/>
    <n v="0"/>
    <n v="0"/>
    <n v="0.1"/>
    <s v="DB-X0700"/>
    <s v="sergelor"/>
  </r>
  <r>
    <x v="326"/>
    <x v="45"/>
    <s v="Admin/HR/IT"/>
    <s v="AMCARE NonOcc In"/>
    <s v="AMZN"/>
    <n v="112912745"/>
    <s v="Gomez Meza,Alex"/>
    <s v="Rosas Negrete,Sebastian"/>
    <n v="0"/>
    <n v="0"/>
    <n v="0"/>
    <n v="0"/>
    <n v="0.15"/>
    <s v="DA-X0700"/>
    <s v="nalexgom"/>
  </r>
  <r>
    <x v="326"/>
    <x v="45"/>
    <s v="Admin/HR/IT"/>
    <s v="AMCARE NonOcc In"/>
    <s v="AMZN"/>
    <n v="112916534"/>
    <s v="Esparza Sanchez,Areli"/>
    <s v="Romero Sanchez,Gustavo Gabriel"/>
    <n v="0"/>
    <n v="0"/>
    <n v="0"/>
    <n v="0"/>
    <n v="0.22"/>
    <s v="DB-X0700"/>
    <s v="earelili"/>
  </r>
  <r>
    <x v="326"/>
    <x v="45"/>
    <s v="Admin/HR/IT"/>
    <s v="AMCARE NonOcc In"/>
    <s v="AMZN"/>
    <n v="112950784"/>
    <s v="Rojas,Samuel"/>
    <s v="Camarena,Grecia"/>
    <n v="0"/>
    <n v="0"/>
    <n v="0"/>
    <n v="0"/>
    <n v="0.22"/>
    <s v="NF-X1900"/>
    <s v="sarojast"/>
  </r>
  <r>
    <x v="326"/>
    <x v="45"/>
    <s v="Admin/HR/IT"/>
    <s v="AMCARE NonOcc In"/>
    <s v="TEMP"/>
    <n v="112980843"/>
    <s v="Santos,Israel"/>
    <s v="Bueno Mendoza,Susana"/>
    <n v="0"/>
    <n v="0"/>
    <n v="0"/>
    <n v="0"/>
    <n v="0.13"/>
    <s v="DA-X0700"/>
    <s v="lsisrael"/>
  </r>
  <r>
    <x v="326"/>
    <x v="45"/>
    <s v="Admin/HR/IT"/>
    <s v="AMCARE NonOcc In"/>
    <s v="AMZN"/>
    <n v="112981014"/>
    <s v="Roldan Gutierrez,Pablo"/>
    <s v="Lopez,Alexa"/>
    <n v="0"/>
    <n v="0"/>
    <n v="0"/>
    <n v="0"/>
    <n v="0.03"/>
    <s v="DJ-X0700"/>
    <s v="rpabloul"/>
  </r>
  <r>
    <x v="326"/>
    <x v="45"/>
    <s v="Admin/HR/IT"/>
    <s v="AMCARE NonOcc In"/>
    <s v="AMZN"/>
    <n v="112981194"/>
    <s v="Camacho Delgado,Karina"/>
    <s v="Camarena,Grecia"/>
    <n v="0"/>
    <n v="0"/>
    <n v="0"/>
    <n v="0"/>
    <n v="0.16"/>
    <s v="NF-X1900"/>
    <s v="csandrak"/>
  </r>
  <r>
    <x v="326"/>
    <x v="45"/>
    <s v="Admin/HR/IT"/>
    <s v="AMCARE NonOcc In"/>
    <s v="AMZN"/>
    <n v="200404250"/>
    <s v="Hurtado,Caty"/>
    <s v="Corona Arriaga,Fernando"/>
    <n v="0"/>
    <n v="0"/>
    <n v="0"/>
    <n v="0"/>
    <n v="0.3"/>
    <e v="#N/A"/>
    <s v="xcathurt"/>
  </r>
  <r>
    <x v="326"/>
    <x v="45"/>
    <s v="Admin/HR/IT"/>
    <s v="AMCARE NonOcc In"/>
    <s v="AMZN"/>
    <n v="200574345"/>
    <s v="Contreras,Jony"/>
    <s v="Corona Arriaga,Fernando"/>
    <n v="0"/>
    <n v="0"/>
    <n v="0"/>
    <n v="0"/>
    <n v="0.11"/>
    <e v="#N/A"/>
    <s v="contrexj"/>
  </r>
  <r>
    <x v="326"/>
    <x v="45"/>
    <s v="Admin/HR/IT"/>
    <s v="AMCARE NonOcc In"/>
    <s v="AMZN"/>
    <n v="201167501"/>
    <s v="Rodriguez,Ruben"/>
    <s v="Corona Arriaga,Fernando"/>
    <n v="0"/>
    <n v="0"/>
    <n v="0"/>
    <n v="0"/>
    <n v="0.09"/>
    <e v="#N/A"/>
    <s v="wguanajr"/>
  </r>
  <r>
    <x v="326"/>
    <x v="45"/>
    <s v="Admin/HR/IT"/>
    <s v="AMCARE NonOcc In"/>
    <s v="AMZN"/>
    <n v="201202093"/>
    <s v="Ortega,Elizabeth"/>
    <s v="Romero Sanchez,Gustavo Gabriel"/>
    <n v="0"/>
    <n v="0"/>
    <n v="0"/>
    <n v="0"/>
    <n v="0.03"/>
    <e v="#N/A"/>
    <s v="eliorten"/>
  </r>
  <r>
    <x v="326"/>
    <x v="45"/>
    <s v="Admin/HR/IT"/>
    <s v="AMCARE NonOcc In"/>
    <s v="AMZN"/>
    <n v="201223730"/>
    <s v="Sanchiz,Cesarito"/>
    <s v="Romero Sanchez,Gustavo Gabriel"/>
    <n v="0"/>
    <n v="0"/>
    <n v="0"/>
    <n v="0"/>
    <n v="0.15"/>
    <e v="#N/A"/>
    <s v="cesarito"/>
  </r>
  <r>
    <x v="326"/>
    <x v="45"/>
    <s v="Admin/HR/IT"/>
    <s v="AMCARE NonOcc In"/>
    <s v="AMZN"/>
    <n v="201228411"/>
    <s v="Hernandez Soriano,Jazmin"/>
    <s v="Romero Sanchez,Gustavo Gabriel"/>
    <n v="0"/>
    <n v="0"/>
    <n v="0"/>
    <n v="0"/>
    <n v="0.14000000000000001"/>
    <e v="#N/A"/>
    <s v="jazmiwhe"/>
  </r>
  <r>
    <x v="326"/>
    <x v="45"/>
    <s v="Admin/HR/IT"/>
    <s v="AMCARE NonOcc In"/>
    <s v="AMZN"/>
    <n v="201378452"/>
    <s v="Perez,Omar"/>
    <s v="Bueno Mendoza,Susana"/>
    <n v="0"/>
    <n v="0"/>
    <n v="0"/>
    <n v="0"/>
    <n v="0.37"/>
    <e v="#N/A"/>
    <s v="omhperez"/>
  </r>
  <r>
    <x v="326"/>
    <x v="45"/>
    <s v="Admin/HR/IT"/>
    <s v="AMCARE NonOcc In"/>
    <s v="AMZN"/>
    <n v="201842064"/>
    <s v="Agripino,Andrea"/>
    <s v="Piedra,Valentina"/>
    <n v="0"/>
    <n v="0"/>
    <n v="0"/>
    <n v="0"/>
    <n v="0.19"/>
    <e v="#N/A"/>
    <s v="agriandl"/>
  </r>
  <r>
    <x v="326"/>
    <x v="45"/>
    <s v="Admin/HR/IT"/>
    <s v="AMCARE NonOcc In"/>
    <s v="AMZN"/>
    <n v="201858867"/>
    <s v="Cruz Velazquez,Gabriela"/>
    <s v="Piedra,Valentina"/>
    <n v="0"/>
    <n v="0"/>
    <n v="0"/>
    <n v="0"/>
    <n v="0.47"/>
    <e v="#N/A"/>
    <s v="tcruzvel"/>
  </r>
  <r>
    <x v="326"/>
    <x v="45"/>
    <s v="Admin/HR/IT"/>
    <s v="AMCARE NonOcc In"/>
    <s v="AMZN"/>
    <n v="201890790"/>
    <s v="Zuniga,Victor"/>
    <s v="Corona Arriaga,Fernando"/>
    <n v="0"/>
    <n v="0"/>
    <n v="0"/>
    <n v="0"/>
    <n v="0.17"/>
    <e v="#N/A"/>
    <s v="vicxzuni"/>
  </r>
  <r>
    <x v="326"/>
    <x v="45"/>
    <s v="Admin/HR/IT"/>
    <s v="AMCARE NonOcc In"/>
    <s v="AMZN"/>
    <n v="201901910"/>
    <s v="Flores,Edwin"/>
    <s v="Piedra,Valentina"/>
    <n v="0"/>
    <n v="0"/>
    <n v="0"/>
    <n v="0"/>
    <n v="7.0000000000000007E-2"/>
    <e v="#N/A"/>
    <s v="sfloredw"/>
  </r>
  <r>
    <x v="326"/>
    <x v="45"/>
    <s v="Admin/HR/IT"/>
    <s v="AMCARE NonOcc In"/>
    <s v="TEMP"/>
    <n v="202118346"/>
    <s v="Ponce,Jessi"/>
    <s v="Rosas Negrete,Sebastian"/>
    <n v="0"/>
    <n v="0"/>
    <n v="0"/>
    <n v="0"/>
    <n v="0.11"/>
    <e v="#N/A"/>
    <s v="jesponcu"/>
  </r>
  <r>
    <x v="326"/>
    <x v="45"/>
    <s v="Admin/HR/IT"/>
    <s v="AMCARE NonOcc In"/>
    <s v="TEMP"/>
    <n v="202129193"/>
    <s v="Hernandez Montiel,Angelica Teresa"/>
    <s v="Madrid Molina,Ramon"/>
    <n v="0"/>
    <n v="0"/>
    <n v="0"/>
    <n v="0"/>
    <n v="0.28000000000000003"/>
    <e v="#N/A"/>
    <s v="herngang"/>
  </r>
  <r>
    <x v="326"/>
    <x v="45"/>
    <s v="Admin/HR/IT"/>
    <s v="AMCARE NonOcc In"/>
    <s v="TEMP"/>
    <n v="202133575"/>
    <s v="Alcantar,Andres"/>
    <s v="Rosas Negrete,Sebastian"/>
    <n v="0"/>
    <n v="0"/>
    <n v="0"/>
    <n v="0"/>
    <n v="0.14000000000000001"/>
    <e v="#N/A"/>
    <s v="andfalca"/>
  </r>
  <r>
    <x v="326"/>
    <x v="45"/>
    <s v="Admin/HR/IT"/>
    <s v="AMCARE NonOcc In"/>
    <s v="TEMP"/>
    <n v="202137341"/>
    <s v="Bravo,Edgar"/>
    <s v="Rosas Negrete,Sebastian"/>
    <n v="0"/>
    <n v="0"/>
    <n v="0"/>
    <n v="0"/>
    <n v="0.25"/>
    <e v="#N/A"/>
    <s v="xedgabra"/>
  </r>
  <r>
    <x v="326"/>
    <x v="45"/>
    <s v="Admin/HR/IT"/>
    <s v="AMCARE NonOcc In"/>
    <s v="TEMP"/>
    <n v="202165242"/>
    <s v="Gonzalez,Marco"/>
    <s v="Munoz,Jonan"/>
    <n v="0"/>
    <n v="0"/>
    <n v="0"/>
    <n v="0"/>
    <n v="0.23"/>
    <e v="#N/A"/>
    <s v="marcqgon"/>
  </r>
  <r>
    <x v="326"/>
    <x v="45"/>
    <s v="Admin/HR/IT"/>
    <s v="AMCARE NonOcc In"/>
    <s v="TEMP"/>
    <n v="202175671"/>
    <s v="Cruz,Lau"/>
    <s v="Munoz,Jonan"/>
    <n v="0"/>
    <n v="0"/>
    <n v="0"/>
    <n v="0"/>
    <n v="1.24"/>
    <e v="#N/A"/>
    <s v="laucruzc"/>
  </r>
  <r>
    <x v="326"/>
    <x v="45"/>
    <s v="Admin/HR/IT"/>
    <s v="AMCARE NonOcc In"/>
    <s v="TEMP"/>
    <n v="202189092"/>
    <s v="Carpio,Gabriel"/>
    <s v="Munoz,Jonan"/>
    <n v="0"/>
    <n v="0"/>
    <n v="0"/>
    <n v="0"/>
    <n v="0.41"/>
    <e v="#N/A"/>
    <s v="lgabrica"/>
  </r>
  <r>
    <x v="326"/>
    <x v="45"/>
    <s v="Admin/HR/IT"/>
    <s v="AMCARE NonOcc In"/>
    <s v="TEMP"/>
    <n v="202253767"/>
    <s v="Romero,Francisco"/>
    <s v="Camarena,Grecia"/>
    <n v="0"/>
    <n v="0"/>
    <n v="0"/>
    <n v="0"/>
    <n v="0.13"/>
    <e v="#N/A"/>
    <s v="jromefra"/>
  </r>
  <r>
    <x v="326"/>
    <x v="45"/>
    <s v="Admin/HR/IT"/>
    <s v="AMCARE NonOcc In"/>
    <s v="TEMP"/>
    <n v="202265870"/>
    <s v="Hidalgo,Alexander"/>
    <s v="Corona Arriaga,Fernando"/>
    <n v="0"/>
    <n v="0"/>
    <n v="0"/>
    <n v="0"/>
    <n v="0.19"/>
    <e v="#N/A"/>
    <s v="falexahi"/>
  </r>
  <r>
    <x v="326"/>
    <x v="45"/>
    <s v="Admin/HR/IT"/>
    <s v="AMCARE NonOcc In"/>
    <s v="TEMP"/>
    <n v="202265921"/>
    <s v="Perea,Mauricio"/>
    <s v="Rosas Negrete,Sebastian"/>
    <n v="0"/>
    <n v="0"/>
    <n v="0"/>
    <n v="0"/>
    <n v="0.33"/>
    <e v="#N/A"/>
    <s v="mauperea"/>
  </r>
  <r>
    <x v="326"/>
    <x v="45"/>
    <s v="Admin/HR/IT"/>
    <s v="AMCARE NonOcc In"/>
    <s v="TEMP"/>
    <n v="202288453"/>
    <s v="Aguirre,Gerardo"/>
    <s v="Camarena,Grecia"/>
    <n v="0"/>
    <n v="0"/>
    <n v="0"/>
    <n v="0"/>
    <n v="0.18"/>
    <e v="#N/A"/>
    <s v="geroagui"/>
  </r>
  <r>
    <x v="326"/>
    <x v="45"/>
    <s v="Admin/HR/IT"/>
    <s v="AMCARE NonOcc In"/>
    <s v="TEMP"/>
    <n v="202291418"/>
    <s v="Ibarra,Sandra"/>
    <s v="Madrid Molina,Ramon"/>
    <n v="0"/>
    <n v="0"/>
    <n v="0"/>
    <n v="0"/>
    <n v="0.28999999999999998"/>
    <e v="#N/A"/>
    <s v="saiibarr"/>
  </r>
  <r>
    <x v="326"/>
    <x v="45"/>
    <s v="Admin/HR/IT"/>
    <s v="AMCARE NonOcc In"/>
    <s v="TEMP"/>
    <n v="202304949"/>
    <s v="Barajas,Claudia"/>
    <s v="Madrid Molina,Ramon"/>
    <n v="0"/>
    <n v="0"/>
    <n v="0"/>
    <n v="0"/>
    <n v="0.25"/>
    <e v="#N/A"/>
    <s v="barajcla"/>
  </r>
  <r>
    <x v="326"/>
    <x v="45"/>
    <s v="Admin/HR/IT"/>
    <s v="AMCARE NonOcc In"/>
    <s v="TEMP"/>
    <n v="202408362"/>
    <s v="Paz,Alhe"/>
    <s v="Pizana,Diego"/>
    <n v="0"/>
    <n v="0"/>
    <n v="0"/>
    <n v="0"/>
    <n v="0.27"/>
    <e v="#N/A"/>
    <s v="alhepaz"/>
  </r>
  <r>
    <x v="326"/>
    <x v="45"/>
    <s v="Admin/HR/IT"/>
    <s v="AMCARE NonOcc In"/>
    <s v="TEMP"/>
    <n v="202442761"/>
    <s v="Vallejo,Sarahi"/>
    <s v="Pizana,Diego"/>
    <n v="0"/>
    <n v="0"/>
    <n v="0"/>
    <n v="0"/>
    <n v="0.13"/>
    <e v="#N/A"/>
    <s v="valqsara"/>
  </r>
  <r>
    <x v="326"/>
    <x v="45"/>
    <s v="Admin/HR/IT"/>
    <s v="AMCARE NonOcc In"/>
    <s v="TEMP"/>
    <n v="202474285"/>
    <s v="Vargas,David"/>
    <s v="Camarena,Grecia"/>
    <n v="0"/>
    <n v="0"/>
    <n v="0"/>
    <n v="0"/>
    <n v="0.5"/>
    <e v="#N/A"/>
    <s v="idavvarg"/>
  </r>
  <r>
    <x v="326"/>
    <x v="45"/>
    <s v="Admin/HR/IT"/>
    <s v="AMCARE NonOcc In"/>
    <s v="TEMP"/>
    <n v="202480064"/>
    <s v="Hernandez Murillo,Cesar Daniel"/>
    <s v="Camarena,Grecia"/>
    <n v="0"/>
    <n v="0"/>
    <n v="0"/>
    <n v="0"/>
    <n v="0.05"/>
    <e v="#N/A"/>
    <s v="hcesarda"/>
  </r>
  <r>
    <x v="326"/>
    <x v="45"/>
    <s v="Admin/HR/IT"/>
    <s v="AMCARE NonOcc In"/>
    <s v="TEMP"/>
    <n v="202480065"/>
    <s v="Estrada,Tere"/>
    <s v="Camarena,Grecia"/>
    <n v="0"/>
    <n v="0"/>
    <n v="0"/>
    <n v="0"/>
    <n v="0.4"/>
    <e v="#N/A"/>
    <s v="estatere"/>
  </r>
  <r>
    <x v="326"/>
    <x v="45"/>
    <s v="Admin/HR/IT"/>
    <s v="AMCARE NonOcc In"/>
    <s v="TEMP"/>
    <n v="202480098"/>
    <s v="Ibarra,Alexa"/>
    <s v="Bueno Mendoza,Susana"/>
    <n v="0"/>
    <n v="0"/>
    <n v="0"/>
    <n v="0"/>
    <n v="0.1"/>
    <e v="#N/A"/>
    <s v="uibarale"/>
  </r>
  <r>
    <x v="326"/>
    <x v="45"/>
    <s v="Admin/HR/IT"/>
    <s v="AMCARE NonOcc In"/>
    <s v="TEMP"/>
    <n v="202484078"/>
    <s v="Lopez Rodriguez,Juan Antonio"/>
    <s v="Camarena,Grecia"/>
    <n v="0"/>
    <n v="0"/>
    <n v="0"/>
    <n v="0"/>
    <n v="0.19"/>
    <e v="#N/A"/>
    <s v="ljuananm"/>
  </r>
  <r>
    <x v="326"/>
    <x v="45"/>
    <s v="Admin/HR/IT"/>
    <s v="AMCARE NonOcc In"/>
    <s v="TEMP"/>
    <n v="202512055"/>
    <s v="Alvarez,Ricardo"/>
    <s v="Camarena,Grecia"/>
    <n v="0"/>
    <n v="0"/>
    <n v="0"/>
    <n v="0"/>
    <n v="0.44"/>
    <e v="#N/A"/>
    <s v="alvsrica"/>
  </r>
  <r>
    <x v="326"/>
    <x v="45"/>
    <s v="Admin/HR/IT"/>
    <s v="AMCARE NonOcc In"/>
    <s v="TEMP"/>
    <n v="202534151"/>
    <s v="Lira,Arath"/>
    <s v="Pizana,Diego"/>
    <n v="0"/>
    <n v="0"/>
    <n v="0"/>
    <n v="0"/>
    <n v="1.02"/>
    <e v="#N/A"/>
    <e v="#N/A"/>
  </r>
  <r>
    <x v="69"/>
    <x v="4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C6205-24CC-4F70-8758-315054AF41C3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X21:Y43" firstHeaderRow="1" firstDataRow="1" firstDataCol="1" rowPageCount="1" colPageCount="1"/>
  <pivotFields count="15">
    <pivotField axis="axisRow" numFmtId="15" showAll="0">
      <items count="32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n="zz" h="1" x="69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36"/>
        <item h="1" x="62"/>
        <item h="1" x="63"/>
        <item h="1" x="64"/>
        <item h="1" x="65"/>
        <item h="1" x="66"/>
        <item h="1" x="67"/>
        <item h="1" x="68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8"/>
        <item h="1" x="107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4"/>
        <item h="1" x="323"/>
        <item x="325"/>
        <item x="326"/>
        <item t="default"/>
      </items>
    </pivotField>
    <pivotField axis="axisPage" multipleItemSelectionAllowed="1" showAll="0">
      <items count="48">
        <item h="1" x="0"/>
        <item h="1" x="1"/>
        <item h="1" x="2"/>
        <item h="1" x="3"/>
        <item h="1" x="46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2"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5"/>
    </i>
    <i>
      <x v="326"/>
    </i>
    <i t="grand">
      <x/>
    </i>
  </rowItems>
  <colItems count="1">
    <i/>
  </colItems>
  <pageFields count="1">
    <pageField fld="1" hier="-1"/>
  </pageFields>
  <dataFields count="1">
    <dataField name="Sum of Paid Hours-Total(function,employee)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058EE-8768-4326-8753-A284D47A6EB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>
  <location ref="W3:X14" firstHeaderRow="1" firstDataRow="1" firstDataCol="1" rowPageCount="1" colPageCount="1"/>
  <pivotFields count="15">
    <pivotField numFmtId="15" showAll="0"/>
    <pivotField axis="axisPage" multipleItemSelectionAllowed="1" showAll="0">
      <items count="4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x="41"/>
        <item h="1" x="46"/>
        <item h="1" x="42"/>
        <item h="1" x="43"/>
        <item h="1" x="44"/>
        <item h="1"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>
      <items count="490">
        <item x="14"/>
        <item x="52"/>
        <item x="38"/>
        <item x="7"/>
        <item x="34"/>
        <item x="8"/>
        <item x="43"/>
        <item x="39"/>
        <item x="54"/>
        <item x="45"/>
        <item x="26"/>
        <item x="15"/>
        <item x="47"/>
        <item x="48"/>
        <item x="40"/>
        <item x="49"/>
        <item x="9"/>
        <item x="10"/>
        <item x="27"/>
        <item x="1"/>
        <item x="63"/>
        <item x="3"/>
        <item x="23"/>
        <item x="35"/>
        <item x="30"/>
        <item x="36"/>
        <item x="24"/>
        <item x="31"/>
        <item x="11"/>
        <item x="17"/>
        <item x="55"/>
        <item x="56"/>
        <item x="12"/>
        <item x="33"/>
        <item x="28"/>
        <item x="18"/>
        <item x="19"/>
        <item x="57"/>
        <item x="25"/>
        <item x="61"/>
        <item x="4"/>
        <item x="42"/>
        <item x="20"/>
        <item x="62"/>
        <item x="29"/>
        <item x="2"/>
        <item x="53"/>
        <item x="13"/>
        <item x="50"/>
        <item x="41"/>
        <item x="59"/>
        <item x="21"/>
        <item x="44"/>
        <item x="37"/>
        <item x="5"/>
        <item x="22"/>
        <item x="46"/>
        <item x="51"/>
        <item x="32"/>
        <item m="1" x="487"/>
        <item x="6"/>
        <item x="60"/>
        <item x="0"/>
        <item x="64"/>
        <item x="65"/>
        <item x="67"/>
        <item x="68"/>
        <item x="69"/>
        <item x="70"/>
        <item x="71"/>
        <item x="72"/>
        <item x="73"/>
        <item x="74"/>
        <item x="75"/>
        <item x="76"/>
        <item x="476"/>
        <item x="77"/>
        <item x="78"/>
        <item x="79"/>
        <item x="16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21"/>
        <item x="119"/>
        <item x="120"/>
        <item x="122"/>
        <item x="123"/>
        <item x="124"/>
        <item x="126"/>
        <item x="125"/>
        <item x="127"/>
        <item x="128"/>
        <item x="130"/>
        <item x="132"/>
        <item x="133"/>
        <item x="134"/>
        <item x="135"/>
        <item x="136"/>
        <item x="137"/>
        <item x="138"/>
        <item x="140"/>
        <item x="141"/>
        <item x="142"/>
        <item x="143"/>
        <item x="139"/>
        <item x="144"/>
        <item x="145"/>
        <item x="147"/>
        <item x="148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4"/>
        <item x="165"/>
        <item x="166"/>
        <item x="167"/>
        <item x="169"/>
        <item x="170"/>
        <item x="171"/>
        <item x="172"/>
        <item x="173"/>
        <item x="174"/>
        <item m="1" x="481"/>
        <item x="175"/>
        <item x="176"/>
        <item x="177"/>
        <item x="178"/>
        <item x="179"/>
        <item x="181"/>
        <item x="182"/>
        <item x="183"/>
        <item x="185"/>
        <item x="187"/>
        <item x="188"/>
        <item x="189"/>
        <item x="190"/>
        <item x="180"/>
        <item x="146"/>
        <item x="162"/>
        <item x="163"/>
        <item x="168"/>
        <item m="1" x="485"/>
        <item x="184"/>
        <item x="186"/>
        <item x="160"/>
        <item x="191"/>
        <item x="192"/>
        <item x="193"/>
        <item x="194"/>
        <item x="195"/>
        <item m="1" x="482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m="1" x="480"/>
        <item x="222"/>
        <item x="223"/>
        <item x="224"/>
        <item x="225"/>
        <item m="1" x="479"/>
        <item x="226"/>
        <item x="227"/>
        <item x="228"/>
        <item x="229"/>
        <item x="230"/>
        <item x="231"/>
        <item x="232"/>
        <item x="233"/>
        <item x="234"/>
        <item x="235"/>
        <item m="1" x="478"/>
        <item x="236"/>
        <item m="1" x="484"/>
        <item x="237"/>
        <item x="238"/>
        <item x="239"/>
        <item x="240"/>
        <item x="241"/>
        <item x="242"/>
        <item x="243"/>
        <item x="244"/>
        <item m="1" x="488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m="1" x="483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m="1" x="486"/>
        <item x="271"/>
        <item x="272"/>
        <item x="273"/>
        <item m="1" x="477"/>
        <item x="274"/>
        <item x="275"/>
        <item x="276"/>
        <item x="277"/>
        <item x="278"/>
        <item x="279"/>
        <item x="280"/>
        <item x="282"/>
        <item x="283"/>
        <item x="285"/>
        <item x="286"/>
        <item x="288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12"/>
        <item x="313"/>
        <item x="314"/>
        <item x="315"/>
        <item x="316"/>
        <item x="321"/>
        <item x="322"/>
        <item x="323"/>
        <item x="328"/>
        <item x="329"/>
        <item x="330"/>
        <item x="334"/>
        <item x="335"/>
        <item x="336"/>
        <item x="339"/>
        <item x="340"/>
        <item x="341"/>
        <item x="342"/>
        <item x="343"/>
        <item x="352"/>
        <item x="353"/>
        <item x="358"/>
        <item x="359"/>
        <item x="360"/>
        <item x="363"/>
        <item x="368"/>
        <item x="372"/>
        <item x="373"/>
        <item x="374"/>
        <item x="381"/>
        <item x="382"/>
        <item x="383"/>
        <item x="58"/>
        <item x="66"/>
        <item x="118"/>
        <item x="129"/>
        <item x="131"/>
        <item x="149"/>
        <item x="281"/>
        <item x="284"/>
        <item x="287"/>
        <item x="289"/>
        <item x="293"/>
        <item x="307"/>
        <item x="308"/>
        <item x="309"/>
        <item x="310"/>
        <item x="311"/>
        <item x="317"/>
        <item x="318"/>
        <item x="319"/>
        <item x="320"/>
        <item x="324"/>
        <item x="325"/>
        <item x="326"/>
        <item x="327"/>
        <item x="331"/>
        <item x="332"/>
        <item x="333"/>
        <item x="337"/>
        <item x="338"/>
        <item x="344"/>
        <item x="345"/>
        <item x="346"/>
        <item x="347"/>
        <item x="348"/>
        <item x="349"/>
        <item x="350"/>
        <item x="351"/>
        <item x="354"/>
        <item x="355"/>
        <item x="356"/>
        <item x="357"/>
        <item x="361"/>
        <item x="362"/>
        <item x="364"/>
        <item x="365"/>
        <item x="366"/>
        <item x="367"/>
        <item x="369"/>
        <item x="370"/>
        <item x="371"/>
        <item x="375"/>
        <item x="376"/>
        <item x="377"/>
        <item x="378"/>
        <item x="379"/>
        <item x="3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t="default"/>
      </items>
    </pivotField>
  </pivotFields>
  <rowFields count="1">
    <field x="14"/>
  </rowFields>
  <rowItems count="11">
    <i>
      <x/>
    </i>
    <i>
      <x v="62"/>
    </i>
    <i>
      <x v="128"/>
    </i>
    <i>
      <x v="149"/>
    </i>
    <i>
      <x v="245"/>
    </i>
    <i>
      <x v="255"/>
    </i>
    <i>
      <x v="270"/>
    </i>
    <i>
      <x v="346"/>
    </i>
    <i>
      <x v="353"/>
    </i>
    <i>
      <x v="359"/>
    </i>
    <i t="grand">
      <x/>
    </i>
  </rowItems>
  <colItems count="1">
    <i/>
  </colItems>
  <pageFields count="1">
    <pageField fld="1" hier="-1"/>
  </pageFields>
  <dataFields count="1">
    <dataField name="Sum of Paid Hours-Total(function,employee)" fld="12" baseField="1" baseItem="1"/>
  </dataField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29863-8EB1-4667-8DC0-031DB018030F}" name="NEUROLOGICO" displayName="NEUROLOGICO" ref="A2:A17" totalsRowShown="0">
  <autoFilter ref="A2:A17" xr:uid="{5D83C502-798E-45B1-A6DA-5DFFD7C821BC}"/>
  <tableColumns count="1">
    <tableColumn id="1" xr3:uid="{B87A0B14-260D-443D-8EA2-4DF234C79B0D}" name="NEUROLOG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3961B-205F-41EB-B2DF-EF7BC9994781}" name="DIGESTIVO" displayName="DIGESTIVO" ref="B2:B15" totalsRowShown="0">
  <autoFilter ref="B2:B15" xr:uid="{134794E2-DCB7-4286-AA6A-B90851417889}"/>
  <tableColumns count="1">
    <tableColumn id="1" xr3:uid="{10495D4A-B140-40A5-A892-77725E3AD84F}" name="DIGES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1071EC-E6CD-4E35-87DA-0345374FF54F}" name="RESPIRATORIO" displayName="RESPIRATORIO" ref="C2:C12" totalsRowShown="0">
  <autoFilter ref="C2:C12" xr:uid="{3BBF68FD-CD6B-4882-AECC-E26EED7EA992}"/>
  <tableColumns count="1">
    <tableColumn id="1" xr3:uid="{64972752-2AA1-491D-94CD-0118F6E39AC7}" name="RESPIRATO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AE85EA-8F19-4398-9AE3-5002313A27C6}" name="MUSCULOESQUELETICO" displayName="MUSCULOESQUELETICO" ref="D2:D21" totalsRowShown="0">
  <autoFilter ref="D2:D21" xr:uid="{62B7DB28-8E22-4DD5-A871-FF5F938AC811}"/>
  <tableColumns count="1">
    <tableColumn id="1" xr3:uid="{1E2E7183-132A-41D9-8FD2-7D60DB5D543D}" name="MUSCULOESQUELETIC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4ABD7E-B18B-4EC1-8621-D8E56A44D349}" name="GINECOLOGICO" displayName="GINECOLOGICO" ref="E2:E6" totalsRowShown="0">
  <autoFilter ref="E2:E6" xr:uid="{6AC98831-5A1E-473F-ABDA-8E5A60F2A2F6}"/>
  <tableColumns count="1">
    <tableColumn id="1" xr3:uid="{07A86545-0D12-4841-B446-9EB76511C270}" name="GINECOLOGIC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705112-27F8-4CEF-9FE6-FC3F39DE3749}" name="CARDIOVASCULAR" displayName="CARDIOVASCULAR" ref="F2:F6" totalsRowShown="0">
  <autoFilter ref="F2:F6" xr:uid="{D93200A7-4AC1-4FA5-A3C3-653427724148}"/>
  <tableColumns count="1">
    <tableColumn id="1" xr3:uid="{D81FB91B-950F-4D47-9BAE-5FC3358231F9}" name="CARDIOVASCUL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B51719-D0E9-4D0C-81B7-B07E9B48C4BF}" name="UROLOGICO" displayName="UROLOGICO" ref="G2:G6" totalsRowShown="0">
  <autoFilter ref="G2:G6" xr:uid="{FFC7759E-E42E-4379-8281-6037207E61D8}"/>
  <tableColumns count="1">
    <tableColumn id="1" xr3:uid="{22C4ACD1-B184-4759-BF00-4010DDFEA558}" name="UROLOGIC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F4D1C7-B69A-4146-9307-C1FB2AA63314}" name="OFTALMOLOGICO" displayName="OFTALMOLOGICO" ref="H2:H8" totalsRowShown="0">
  <autoFilter ref="H2:H8" xr:uid="{B7C851A4-21CC-4498-B3F3-EB40CB21B1C6}"/>
  <tableColumns count="1">
    <tableColumn id="1" xr3:uid="{81879398-D5AD-4C53-A469-BFC72F317302}" name="OFTALMOLOGIC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1BF7BC-3DA3-478C-AD31-C59007FC2759}" name="ODONTOLOGICO" displayName="ODONTOLOGICO" ref="I2:I9" totalsRowShown="0">
  <autoFilter ref="I2:I9" xr:uid="{ED6481E5-F7F4-4D95-98A1-52A5362D4682}"/>
  <tableColumns count="1">
    <tableColumn id="1" xr3:uid="{D9E56B4A-6B7E-46E8-8579-6739BEA3F46A}" name="ODONTOLOGIC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204681-45FF-41EA-A8C0-024835A3D207}" name="DERMATOLOGICO" displayName="DERMATOLOGICO" ref="J2:J18" totalsRowShown="0">
  <autoFilter ref="J2:J18" xr:uid="{A4D87568-10B2-4576-9CC0-0B501801C38A}"/>
  <tableColumns count="1">
    <tableColumn id="1" xr3:uid="{BE2B237C-7C18-40DA-BB9B-6BA443AB8F56}" name="DERMATOLOGIC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EB2116-C2C2-4E86-B042-5A222AD52BBC}" name="OTICO" displayName="OTICO" ref="K2:K6" totalsRowShown="0">
  <autoFilter ref="K2:K6" xr:uid="{FCF1CADC-4B86-4C1A-B3C9-C4074B8F94ED}"/>
  <tableColumns count="1">
    <tableColumn id="1" xr3:uid="{B5D723A2-FD9A-45BB-97A7-01C1186ECFFE}" name="RECUPERACION FIS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19BD-EB31-4382-8F0D-B082A3CC7057}">
  <sheetPr codeName="Sheet23"/>
  <dimension ref="A2:K21"/>
  <sheetViews>
    <sheetView workbookViewId="0">
      <selection activeCell="K2" sqref="K2"/>
    </sheetView>
  </sheetViews>
  <sheetFormatPr defaultRowHeight="15" x14ac:dyDescent="0.25"/>
  <cols>
    <col min="1" max="1" width="17.85546875" customWidth="1"/>
    <col min="2" max="2" width="27.42578125" customWidth="1"/>
    <col min="3" max="3" width="19.140625" customWidth="1"/>
    <col min="4" max="4" width="23.7109375" bestFit="1" customWidth="1"/>
    <col min="5" max="5" width="23.85546875" customWidth="1"/>
    <col min="6" max="6" width="24.42578125" customWidth="1"/>
    <col min="7" max="7" width="17.5703125" customWidth="1"/>
    <col min="8" max="8" width="19.85546875" customWidth="1"/>
    <col min="9" max="9" width="16.85546875" customWidth="1"/>
    <col min="10" max="11" width="20.5703125" customWidth="1"/>
  </cols>
  <sheetData>
    <row r="2" spans="1:11" x14ac:dyDescent="0.25">
      <c r="A2" t="s">
        <v>661</v>
      </c>
      <c r="B2" t="s">
        <v>662</v>
      </c>
      <c r="C2" t="s">
        <v>663</v>
      </c>
      <c r="D2" t="s">
        <v>664</v>
      </c>
      <c r="E2" t="s">
        <v>665</v>
      </c>
      <c r="F2" t="s">
        <v>666</v>
      </c>
      <c r="G2" t="s">
        <v>667</v>
      </c>
      <c r="H2" t="s">
        <v>668</v>
      </c>
      <c r="I2" t="s">
        <v>669</v>
      </c>
      <c r="J2" t="s">
        <v>670</v>
      </c>
      <c r="K2" t="s">
        <v>675</v>
      </c>
    </row>
    <row r="3" spans="1:11" x14ac:dyDescent="0.25">
      <c r="A3" t="s">
        <v>681</v>
      </c>
      <c r="B3" t="s">
        <v>687</v>
      </c>
      <c r="C3" t="s">
        <v>692</v>
      </c>
      <c r="D3" t="s">
        <v>708</v>
      </c>
      <c r="E3" t="s">
        <v>722</v>
      </c>
      <c r="F3" t="s">
        <v>768</v>
      </c>
      <c r="G3" t="s">
        <v>306</v>
      </c>
      <c r="H3" t="s">
        <v>727</v>
      </c>
      <c r="I3" t="s">
        <v>734</v>
      </c>
      <c r="J3" t="s">
        <v>740</v>
      </c>
      <c r="K3" t="s">
        <v>750</v>
      </c>
    </row>
    <row r="4" spans="1:11" x14ac:dyDescent="0.25">
      <c r="A4" t="s">
        <v>682</v>
      </c>
      <c r="B4" t="s">
        <v>688</v>
      </c>
      <c r="C4" t="s">
        <v>703</v>
      </c>
      <c r="D4" t="s">
        <v>709</v>
      </c>
      <c r="E4" t="s">
        <v>769</v>
      </c>
      <c r="F4" t="s">
        <v>724</v>
      </c>
      <c r="G4" t="s">
        <v>773</v>
      </c>
      <c r="H4" t="s">
        <v>728</v>
      </c>
      <c r="I4" t="s">
        <v>735</v>
      </c>
      <c r="J4" t="s">
        <v>741</v>
      </c>
      <c r="K4" t="s">
        <v>751</v>
      </c>
    </row>
    <row r="5" spans="1:11" x14ac:dyDescent="0.25">
      <c r="A5" t="s">
        <v>683</v>
      </c>
      <c r="B5" t="s">
        <v>702</v>
      </c>
      <c r="C5" t="s">
        <v>705</v>
      </c>
      <c r="D5" t="s">
        <v>710</v>
      </c>
      <c r="E5" t="s">
        <v>723</v>
      </c>
      <c r="F5" t="s">
        <v>774</v>
      </c>
      <c r="G5" t="s">
        <v>725</v>
      </c>
      <c r="H5" t="s">
        <v>729</v>
      </c>
      <c r="I5" t="s">
        <v>736</v>
      </c>
      <c r="J5" t="s">
        <v>742</v>
      </c>
      <c r="K5" t="s">
        <v>752</v>
      </c>
    </row>
    <row r="6" spans="1:11" x14ac:dyDescent="0.25">
      <c r="A6" t="s">
        <v>684</v>
      </c>
      <c r="B6" t="s">
        <v>689</v>
      </c>
      <c r="C6" t="s">
        <v>693</v>
      </c>
      <c r="D6" t="s">
        <v>1399</v>
      </c>
      <c r="E6" t="s">
        <v>756</v>
      </c>
      <c r="F6" t="s">
        <v>814</v>
      </c>
      <c r="G6" t="s">
        <v>726</v>
      </c>
      <c r="H6" t="s">
        <v>730</v>
      </c>
      <c r="I6" t="s">
        <v>737</v>
      </c>
      <c r="J6" t="s">
        <v>743</v>
      </c>
      <c r="K6" t="s">
        <v>2101</v>
      </c>
    </row>
    <row r="7" spans="1:11" x14ac:dyDescent="0.25">
      <c r="A7" t="s">
        <v>700</v>
      </c>
      <c r="B7" t="s">
        <v>690</v>
      </c>
      <c r="C7" t="s">
        <v>707</v>
      </c>
      <c r="D7" t="s">
        <v>711</v>
      </c>
      <c r="H7" t="s">
        <v>731</v>
      </c>
      <c r="I7" t="s">
        <v>738</v>
      </c>
      <c r="J7" t="s">
        <v>744</v>
      </c>
    </row>
    <row r="8" spans="1:11" x14ac:dyDescent="0.25">
      <c r="A8" t="s">
        <v>685</v>
      </c>
      <c r="B8" t="s">
        <v>691</v>
      </c>
      <c r="C8" t="s">
        <v>704</v>
      </c>
      <c r="D8" t="s">
        <v>712</v>
      </c>
      <c r="H8" t="s">
        <v>732</v>
      </c>
      <c r="I8" t="s">
        <v>739</v>
      </c>
      <c r="J8" t="s">
        <v>745</v>
      </c>
    </row>
    <row r="9" spans="1:11" x14ac:dyDescent="0.25">
      <c r="A9" t="s">
        <v>686</v>
      </c>
      <c r="B9" t="s">
        <v>757</v>
      </c>
      <c r="C9" t="s">
        <v>694</v>
      </c>
      <c r="D9" t="s">
        <v>713</v>
      </c>
      <c r="J9" t="s">
        <v>746</v>
      </c>
    </row>
    <row r="10" spans="1:11" x14ac:dyDescent="0.25">
      <c r="A10" t="s">
        <v>701</v>
      </c>
      <c r="B10" t="s">
        <v>766</v>
      </c>
      <c r="C10" t="s">
        <v>695</v>
      </c>
      <c r="D10" t="s">
        <v>714</v>
      </c>
      <c r="J10" t="s">
        <v>747</v>
      </c>
    </row>
    <row r="11" spans="1:11" x14ac:dyDescent="0.25">
      <c r="A11" t="s">
        <v>733</v>
      </c>
      <c r="B11" t="s">
        <v>767</v>
      </c>
      <c r="C11" t="s">
        <v>706</v>
      </c>
      <c r="D11" t="s">
        <v>715</v>
      </c>
      <c r="J11" t="s">
        <v>748</v>
      </c>
    </row>
    <row r="12" spans="1:11" x14ac:dyDescent="0.25">
      <c r="A12" t="s">
        <v>758</v>
      </c>
      <c r="B12" t="s">
        <v>785</v>
      </c>
      <c r="C12" t="s">
        <v>804</v>
      </c>
      <c r="D12" t="s">
        <v>716</v>
      </c>
      <c r="J12" t="s">
        <v>749</v>
      </c>
    </row>
    <row r="13" spans="1:11" x14ac:dyDescent="0.25">
      <c r="A13" t="s">
        <v>759</v>
      </c>
      <c r="B13" t="s">
        <v>1215</v>
      </c>
      <c r="D13" t="s">
        <v>717</v>
      </c>
      <c r="J13" t="s">
        <v>763</v>
      </c>
    </row>
    <row r="14" spans="1:11" x14ac:dyDescent="0.25">
      <c r="A14" t="s">
        <v>760</v>
      </c>
      <c r="B14" t="s">
        <v>2099</v>
      </c>
      <c r="D14" t="s">
        <v>720</v>
      </c>
      <c r="J14" t="s">
        <v>764</v>
      </c>
    </row>
    <row r="15" spans="1:11" x14ac:dyDescent="0.25">
      <c r="A15" t="s">
        <v>765</v>
      </c>
      <c r="B15" t="s">
        <v>2100</v>
      </c>
      <c r="D15" t="s">
        <v>721</v>
      </c>
      <c r="J15" t="s">
        <v>744</v>
      </c>
    </row>
    <row r="16" spans="1:11" x14ac:dyDescent="0.25">
      <c r="A16" t="s">
        <v>775</v>
      </c>
      <c r="D16" t="s">
        <v>761</v>
      </c>
      <c r="J16" t="s">
        <v>784</v>
      </c>
    </row>
    <row r="17" spans="1:10" x14ac:dyDescent="0.25">
      <c r="A17" t="s">
        <v>2098</v>
      </c>
      <c r="D17" t="s">
        <v>762</v>
      </c>
      <c r="J17" t="s">
        <v>805</v>
      </c>
    </row>
    <row r="18" spans="1:10" x14ac:dyDescent="0.25">
      <c r="D18" t="s">
        <v>770</v>
      </c>
      <c r="J18" t="s">
        <v>1260</v>
      </c>
    </row>
    <row r="19" spans="1:10" x14ac:dyDescent="0.25">
      <c r="D19" t="s">
        <v>771</v>
      </c>
    </row>
    <row r="20" spans="1:10" x14ac:dyDescent="0.25">
      <c r="D20" t="s">
        <v>772</v>
      </c>
    </row>
    <row r="21" spans="1:10" x14ac:dyDescent="0.25">
      <c r="D21" t="s">
        <v>777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2D0E-4F4D-4EBC-9A61-E8454A2F9B6D}">
  <sheetPr codeName="Sheet1"/>
  <dimension ref="A1:D767"/>
  <sheetViews>
    <sheetView tabSelected="1" zoomScale="82" workbookViewId="0">
      <selection activeCell="V13" sqref="V13"/>
    </sheetView>
  </sheetViews>
  <sheetFormatPr defaultRowHeight="15" x14ac:dyDescent="0.25"/>
  <cols>
    <col min="3" max="3" width="43.140625" customWidth="1"/>
  </cols>
  <sheetData>
    <row r="1" spans="1:4" x14ac:dyDescent="0.25">
      <c r="A1" t="s">
        <v>58</v>
      </c>
      <c r="B1" t="s">
        <v>39</v>
      </c>
      <c r="C1" t="s">
        <v>223</v>
      </c>
      <c r="D1" t="s">
        <v>1980</v>
      </c>
    </row>
    <row r="2" spans="1:4" x14ac:dyDescent="0.25">
      <c r="A2">
        <v>103427877</v>
      </c>
      <c r="B2" t="s">
        <v>59</v>
      </c>
      <c r="C2" t="s">
        <v>224</v>
      </c>
      <c r="D2" t="s">
        <v>1981</v>
      </c>
    </row>
    <row r="3" spans="1:4" x14ac:dyDescent="0.25">
      <c r="A3">
        <v>103979960</v>
      </c>
      <c r="B3" t="s">
        <v>60</v>
      </c>
      <c r="C3" t="s">
        <v>229</v>
      </c>
      <c r="D3" t="s">
        <v>1982</v>
      </c>
    </row>
    <row r="4" spans="1:4" x14ac:dyDescent="0.25">
      <c r="A4">
        <v>106386523</v>
      </c>
      <c r="B4" t="s">
        <v>61</v>
      </c>
      <c r="C4" t="s">
        <v>224</v>
      </c>
      <c r="D4" t="s">
        <v>1983</v>
      </c>
    </row>
    <row r="5" spans="1:4" x14ac:dyDescent="0.25">
      <c r="A5">
        <v>106783846</v>
      </c>
      <c r="B5" t="s">
        <v>62</v>
      </c>
      <c r="C5" t="s">
        <v>224</v>
      </c>
      <c r="D5" t="s">
        <v>1983</v>
      </c>
    </row>
    <row r="6" spans="1:4" x14ac:dyDescent="0.25">
      <c r="A6">
        <v>107351579</v>
      </c>
      <c r="B6" t="s">
        <v>63</v>
      </c>
      <c r="C6" t="s">
        <v>1978</v>
      </c>
      <c r="D6" t="s">
        <v>1984</v>
      </c>
    </row>
    <row r="7" spans="1:4" x14ac:dyDescent="0.25">
      <c r="A7">
        <v>108021151</v>
      </c>
      <c r="B7" t="s">
        <v>65</v>
      </c>
      <c r="C7" t="s">
        <v>225</v>
      </c>
      <c r="D7" t="s">
        <v>1985</v>
      </c>
    </row>
    <row r="8" spans="1:4" x14ac:dyDescent="0.25">
      <c r="A8">
        <v>108592084</v>
      </c>
      <c r="B8" t="s">
        <v>1292</v>
      </c>
      <c r="C8" t="s">
        <v>1978</v>
      </c>
      <c r="D8" t="s">
        <v>1986</v>
      </c>
    </row>
    <row r="9" spans="1:4" x14ac:dyDescent="0.25">
      <c r="A9">
        <v>110249579</v>
      </c>
      <c r="B9" t="s">
        <v>66</v>
      </c>
      <c r="C9" t="s">
        <v>225</v>
      </c>
      <c r="D9" t="s">
        <v>1982</v>
      </c>
    </row>
    <row r="10" spans="1:4" x14ac:dyDescent="0.25">
      <c r="A10">
        <v>110249592</v>
      </c>
      <c r="B10" t="s">
        <v>67</v>
      </c>
      <c r="C10" t="s">
        <v>224</v>
      </c>
      <c r="D10" t="s">
        <v>1987</v>
      </c>
    </row>
    <row r="11" spans="1:4" x14ac:dyDescent="0.25">
      <c r="A11">
        <v>111261444</v>
      </c>
      <c r="B11" t="s">
        <v>68</v>
      </c>
      <c r="C11" t="s">
        <v>224</v>
      </c>
      <c r="D11" t="s">
        <v>1988</v>
      </c>
    </row>
    <row r="12" spans="1:4" x14ac:dyDescent="0.25">
      <c r="A12">
        <v>111280597</v>
      </c>
      <c r="B12" t="s">
        <v>69</v>
      </c>
      <c r="C12" t="s">
        <v>224</v>
      </c>
      <c r="D12" t="s">
        <v>1985</v>
      </c>
    </row>
    <row r="13" spans="1:4" x14ac:dyDescent="0.25">
      <c r="A13">
        <v>111283072</v>
      </c>
      <c r="B13" t="s">
        <v>1796</v>
      </c>
      <c r="C13" t="s">
        <v>227</v>
      </c>
      <c r="D13" t="s">
        <v>1982</v>
      </c>
    </row>
    <row r="14" spans="1:4" x14ac:dyDescent="0.25">
      <c r="A14">
        <v>111434478</v>
      </c>
      <c r="B14" t="s">
        <v>70</v>
      </c>
      <c r="C14" t="s">
        <v>225</v>
      </c>
      <c r="D14" t="s">
        <v>1989</v>
      </c>
    </row>
    <row r="15" spans="1:4" x14ac:dyDescent="0.25">
      <c r="A15">
        <v>112485255</v>
      </c>
      <c r="B15" t="s">
        <v>71</v>
      </c>
      <c r="C15" t="s">
        <v>224</v>
      </c>
      <c r="D15" t="s">
        <v>1987</v>
      </c>
    </row>
    <row r="16" spans="1:4" x14ac:dyDescent="0.25">
      <c r="A16">
        <v>112698209</v>
      </c>
      <c r="B16" t="s">
        <v>72</v>
      </c>
      <c r="C16" t="s">
        <v>225</v>
      </c>
      <c r="D16" t="s">
        <v>1990</v>
      </c>
    </row>
    <row r="17" spans="1:4" x14ac:dyDescent="0.25">
      <c r="A17">
        <v>112912014</v>
      </c>
      <c r="B17" t="s">
        <v>73</v>
      </c>
      <c r="C17" t="s">
        <v>225</v>
      </c>
      <c r="D17" t="s">
        <v>1989</v>
      </c>
    </row>
    <row r="18" spans="1:4" x14ac:dyDescent="0.25">
      <c r="A18">
        <v>112912049</v>
      </c>
      <c r="B18" t="s">
        <v>74</v>
      </c>
      <c r="C18" t="s">
        <v>1978</v>
      </c>
      <c r="D18" t="s">
        <v>1986</v>
      </c>
    </row>
    <row r="19" spans="1:4" x14ac:dyDescent="0.25">
      <c r="A19">
        <v>112912050</v>
      </c>
      <c r="B19" t="s">
        <v>75</v>
      </c>
      <c r="C19" t="s">
        <v>225</v>
      </c>
      <c r="D19" t="s">
        <v>1989</v>
      </c>
    </row>
    <row r="20" spans="1:4" x14ac:dyDescent="0.25">
      <c r="A20">
        <v>112912052</v>
      </c>
      <c r="B20" t="s">
        <v>76</v>
      </c>
      <c r="C20" t="s">
        <v>224</v>
      </c>
      <c r="D20" t="s">
        <v>1981</v>
      </c>
    </row>
    <row r="21" spans="1:4" x14ac:dyDescent="0.25">
      <c r="A21">
        <v>112912054</v>
      </c>
      <c r="B21" t="s">
        <v>77</v>
      </c>
      <c r="C21" t="s">
        <v>224</v>
      </c>
      <c r="D21" t="s">
        <v>64</v>
      </c>
    </row>
    <row r="22" spans="1:4" x14ac:dyDescent="0.25">
      <c r="A22">
        <v>112912164</v>
      </c>
      <c r="B22" t="s">
        <v>78</v>
      </c>
      <c r="C22" t="s">
        <v>224</v>
      </c>
      <c r="D22" t="s">
        <v>1991</v>
      </c>
    </row>
    <row r="23" spans="1:4" x14ac:dyDescent="0.25">
      <c r="A23">
        <v>112912203</v>
      </c>
      <c r="B23" t="s">
        <v>79</v>
      </c>
      <c r="C23" t="s">
        <v>225</v>
      </c>
      <c r="D23" t="s">
        <v>1989</v>
      </c>
    </row>
    <row r="24" spans="1:4" x14ac:dyDescent="0.25">
      <c r="A24">
        <v>112912209</v>
      </c>
      <c r="B24" t="s">
        <v>80</v>
      </c>
      <c r="C24" t="s">
        <v>1978</v>
      </c>
      <c r="D24" t="s">
        <v>1986</v>
      </c>
    </row>
    <row r="25" spans="1:4" x14ac:dyDescent="0.25">
      <c r="A25">
        <v>112912397</v>
      </c>
      <c r="B25" t="s">
        <v>81</v>
      </c>
      <c r="C25" t="s">
        <v>226</v>
      </c>
      <c r="D25" t="s">
        <v>1984</v>
      </c>
    </row>
    <row r="26" spans="1:4" x14ac:dyDescent="0.25">
      <c r="A26">
        <v>112912411</v>
      </c>
      <c r="B26" t="s">
        <v>82</v>
      </c>
      <c r="C26" t="s">
        <v>225</v>
      </c>
      <c r="D26" t="s">
        <v>1985</v>
      </c>
    </row>
    <row r="27" spans="1:4" x14ac:dyDescent="0.25">
      <c r="A27">
        <v>112912506</v>
      </c>
      <c r="B27" t="s">
        <v>83</v>
      </c>
      <c r="C27" t="s">
        <v>225</v>
      </c>
      <c r="D27" t="s">
        <v>1989</v>
      </c>
    </row>
    <row r="28" spans="1:4" x14ac:dyDescent="0.25">
      <c r="A28">
        <v>112912507</v>
      </c>
      <c r="B28" t="s">
        <v>84</v>
      </c>
      <c r="C28" t="s">
        <v>225</v>
      </c>
      <c r="D28" t="s">
        <v>1989</v>
      </c>
    </row>
    <row r="29" spans="1:4" x14ac:dyDescent="0.25">
      <c r="A29">
        <v>112912511</v>
      </c>
      <c r="B29" t="s">
        <v>85</v>
      </c>
      <c r="C29" t="s">
        <v>224</v>
      </c>
      <c r="D29" t="s">
        <v>1988</v>
      </c>
    </row>
    <row r="30" spans="1:4" x14ac:dyDescent="0.25">
      <c r="A30">
        <v>112912661</v>
      </c>
      <c r="B30" t="s">
        <v>86</v>
      </c>
      <c r="C30" t="s">
        <v>225</v>
      </c>
      <c r="D30" t="s">
        <v>1985</v>
      </c>
    </row>
    <row r="31" spans="1:4" x14ac:dyDescent="0.25">
      <c r="A31">
        <v>112912674</v>
      </c>
      <c r="B31" t="s">
        <v>87</v>
      </c>
      <c r="C31" t="s">
        <v>225</v>
      </c>
      <c r="D31" t="s">
        <v>1989</v>
      </c>
    </row>
    <row r="32" spans="1:4" x14ac:dyDescent="0.25">
      <c r="A32">
        <v>112912745</v>
      </c>
      <c r="B32" t="s">
        <v>88</v>
      </c>
      <c r="C32" t="s">
        <v>225</v>
      </c>
      <c r="D32" t="s">
        <v>1990</v>
      </c>
    </row>
    <row r="33" spans="1:4" x14ac:dyDescent="0.25">
      <c r="A33">
        <v>112912752</v>
      </c>
      <c r="B33" t="s">
        <v>89</v>
      </c>
      <c r="C33" t="s">
        <v>1978</v>
      </c>
      <c r="D33" t="s">
        <v>1986</v>
      </c>
    </row>
    <row r="34" spans="1:4" x14ac:dyDescent="0.25">
      <c r="A34">
        <v>112912983</v>
      </c>
      <c r="B34" t="s">
        <v>90</v>
      </c>
      <c r="C34" t="s">
        <v>1978</v>
      </c>
      <c r="D34" t="s">
        <v>1986</v>
      </c>
    </row>
    <row r="35" spans="1:4" x14ac:dyDescent="0.25">
      <c r="A35">
        <v>112912984</v>
      </c>
      <c r="B35" t="s">
        <v>1797</v>
      </c>
      <c r="C35" t="s">
        <v>229</v>
      </c>
      <c r="D35" t="s">
        <v>1992</v>
      </c>
    </row>
    <row r="36" spans="1:4" x14ac:dyDescent="0.25">
      <c r="A36">
        <v>112913521</v>
      </c>
      <c r="B36" t="s">
        <v>91</v>
      </c>
      <c r="C36" t="s">
        <v>225</v>
      </c>
      <c r="D36" t="s">
        <v>1983</v>
      </c>
    </row>
    <row r="37" spans="1:4" x14ac:dyDescent="0.25">
      <c r="A37">
        <v>112913641</v>
      </c>
      <c r="B37" t="s">
        <v>92</v>
      </c>
      <c r="C37" t="s">
        <v>224</v>
      </c>
      <c r="D37" t="s">
        <v>1987</v>
      </c>
    </row>
    <row r="38" spans="1:4" x14ac:dyDescent="0.25">
      <c r="A38">
        <v>112913680</v>
      </c>
      <c r="B38" t="s">
        <v>1190</v>
      </c>
      <c r="C38" t="s">
        <v>1212</v>
      </c>
      <c r="D38" t="s">
        <v>1993</v>
      </c>
    </row>
    <row r="39" spans="1:4" x14ac:dyDescent="0.25">
      <c r="A39">
        <v>112916533</v>
      </c>
      <c r="B39" t="s">
        <v>93</v>
      </c>
      <c r="C39" t="s">
        <v>224</v>
      </c>
      <c r="D39" t="s">
        <v>1988</v>
      </c>
    </row>
    <row r="40" spans="1:4" x14ac:dyDescent="0.25">
      <c r="A40">
        <v>112916534</v>
      </c>
      <c r="B40" t="s">
        <v>94</v>
      </c>
      <c r="C40" t="s">
        <v>224</v>
      </c>
      <c r="D40" t="s">
        <v>1987</v>
      </c>
    </row>
    <row r="41" spans="1:4" x14ac:dyDescent="0.25">
      <c r="A41">
        <v>112920637</v>
      </c>
      <c r="B41" t="s">
        <v>95</v>
      </c>
      <c r="C41" t="s">
        <v>224</v>
      </c>
      <c r="D41" t="s">
        <v>64</v>
      </c>
    </row>
    <row r="42" spans="1:4" x14ac:dyDescent="0.25">
      <c r="A42">
        <v>112920638</v>
      </c>
      <c r="B42" t="s">
        <v>96</v>
      </c>
      <c r="C42" t="s">
        <v>224</v>
      </c>
      <c r="D42" t="s">
        <v>64</v>
      </c>
    </row>
    <row r="43" spans="1:4" x14ac:dyDescent="0.25">
      <c r="A43">
        <v>112920654</v>
      </c>
      <c r="B43" t="s">
        <v>97</v>
      </c>
      <c r="C43" t="s">
        <v>224</v>
      </c>
      <c r="D43" t="s">
        <v>1985</v>
      </c>
    </row>
    <row r="44" spans="1:4" x14ac:dyDescent="0.25">
      <c r="A44">
        <v>112920664</v>
      </c>
      <c r="B44" t="s">
        <v>98</v>
      </c>
      <c r="C44" t="s">
        <v>225</v>
      </c>
      <c r="D44" t="s">
        <v>1985</v>
      </c>
    </row>
    <row r="45" spans="1:4" x14ac:dyDescent="0.25">
      <c r="A45">
        <v>112920665</v>
      </c>
      <c r="B45" t="s">
        <v>99</v>
      </c>
      <c r="C45" t="s">
        <v>224</v>
      </c>
      <c r="D45" t="s">
        <v>1987</v>
      </c>
    </row>
    <row r="46" spans="1:4" x14ac:dyDescent="0.25">
      <c r="A46">
        <v>112920666</v>
      </c>
      <c r="B46" t="s">
        <v>100</v>
      </c>
      <c r="C46" t="s">
        <v>226</v>
      </c>
      <c r="D46" t="s">
        <v>1984</v>
      </c>
    </row>
    <row r="47" spans="1:4" x14ac:dyDescent="0.25">
      <c r="A47">
        <v>112920676</v>
      </c>
      <c r="B47" t="s">
        <v>101</v>
      </c>
      <c r="C47" t="s">
        <v>226</v>
      </c>
      <c r="D47" t="s">
        <v>1984</v>
      </c>
    </row>
    <row r="48" spans="1:4" x14ac:dyDescent="0.25">
      <c r="A48">
        <v>112920678</v>
      </c>
      <c r="B48" t="s">
        <v>102</v>
      </c>
      <c r="C48" t="s">
        <v>224</v>
      </c>
      <c r="D48" t="s">
        <v>64</v>
      </c>
    </row>
    <row r="49" spans="1:4" x14ac:dyDescent="0.25">
      <c r="A49">
        <v>112942472</v>
      </c>
      <c r="B49" t="s">
        <v>103</v>
      </c>
      <c r="C49" t="s">
        <v>225</v>
      </c>
      <c r="D49" t="s">
        <v>1994</v>
      </c>
    </row>
    <row r="50" spans="1:4" x14ac:dyDescent="0.25">
      <c r="A50">
        <v>112942473</v>
      </c>
      <c r="B50" t="s">
        <v>104</v>
      </c>
      <c r="C50" t="s">
        <v>228</v>
      </c>
      <c r="D50" t="s">
        <v>1989</v>
      </c>
    </row>
    <row r="51" spans="1:4" x14ac:dyDescent="0.25">
      <c r="A51">
        <v>112942556</v>
      </c>
      <c r="B51" t="s">
        <v>105</v>
      </c>
      <c r="C51" t="s">
        <v>224</v>
      </c>
      <c r="D51" t="s">
        <v>1991</v>
      </c>
    </row>
    <row r="52" spans="1:4" x14ac:dyDescent="0.25">
      <c r="A52">
        <v>112946953</v>
      </c>
      <c r="B52" t="s">
        <v>106</v>
      </c>
      <c r="C52" t="s">
        <v>225</v>
      </c>
      <c r="D52" t="s">
        <v>1983</v>
      </c>
    </row>
    <row r="53" spans="1:4" x14ac:dyDescent="0.25">
      <c r="A53">
        <v>112950784</v>
      </c>
      <c r="B53" t="s">
        <v>107</v>
      </c>
      <c r="C53" t="s">
        <v>1978</v>
      </c>
      <c r="D53" t="s">
        <v>1986</v>
      </c>
    </row>
    <row r="54" spans="1:4" x14ac:dyDescent="0.25">
      <c r="A54">
        <v>112950792</v>
      </c>
      <c r="B54" t="s">
        <v>108</v>
      </c>
      <c r="C54" t="s">
        <v>1978</v>
      </c>
      <c r="D54" t="s">
        <v>1986</v>
      </c>
    </row>
    <row r="55" spans="1:4" x14ac:dyDescent="0.25">
      <c r="A55">
        <v>112950795</v>
      </c>
      <c r="B55" t="s">
        <v>109</v>
      </c>
      <c r="C55" t="s">
        <v>225</v>
      </c>
      <c r="D55" t="s">
        <v>1989</v>
      </c>
    </row>
    <row r="56" spans="1:4" x14ac:dyDescent="0.25">
      <c r="A56">
        <v>112950797</v>
      </c>
      <c r="B56" t="s">
        <v>110</v>
      </c>
      <c r="C56" t="s">
        <v>225</v>
      </c>
      <c r="D56" t="s">
        <v>1989</v>
      </c>
    </row>
    <row r="57" spans="1:4" x14ac:dyDescent="0.25">
      <c r="A57">
        <v>112950800</v>
      </c>
      <c r="B57" t="s">
        <v>111</v>
      </c>
      <c r="C57" t="s">
        <v>1978</v>
      </c>
      <c r="D57" t="s">
        <v>1986</v>
      </c>
    </row>
    <row r="58" spans="1:4" x14ac:dyDescent="0.25">
      <c r="A58">
        <v>112950807</v>
      </c>
      <c r="B58" t="s">
        <v>112</v>
      </c>
      <c r="C58" t="s">
        <v>225</v>
      </c>
      <c r="D58" t="s">
        <v>1989</v>
      </c>
    </row>
    <row r="59" spans="1:4" x14ac:dyDescent="0.25">
      <c r="A59">
        <v>112950809</v>
      </c>
      <c r="B59" t="s">
        <v>113</v>
      </c>
      <c r="C59" t="s">
        <v>225</v>
      </c>
      <c r="D59" t="s">
        <v>1989</v>
      </c>
    </row>
    <row r="60" spans="1:4" x14ac:dyDescent="0.25">
      <c r="A60">
        <v>112950818</v>
      </c>
      <c r="B60" t="s">
        <v>114</v>
      </c>
      <c r="C60" t="s">
        <v>225</v>
      </c>
      <c r="D60" t="s">
        <v>1989</v>
      </c>
    </row>
    <row r="61" spans="1:4" x14ac:dyDescent="0.25">
      <c r="A61">
        <v>112950819</v>
      </c>
      <c r="B61" t="s">
        <v>115</v>
      </c>
      <c r="C61" t="s">
        <v>225</v>
      </c>
      <c r="D61" t="s">
        <v>1990</v>
      </c>
    </row>
    <row r="62" spans="1:4" x14ac:dyDescent="0.25">
      <c r="A62">
        <v>112950840</v>
      </c>
      <c r="B62" t="s">
        <v>116</v>
      </c>
      <c r="C62" t="s">
        <v>228</v>
      </c>
      <c r="D62" t="s">
        <v>1992</v>
      </c>
    </row>
    <row r="63" spans="1:4" x14ac:dyDescent="0.25">
      <c r="A63">
        <v>112951256</v>
      </c>
      <c r="B63" t="s">
        <v>117</v>
      </c>
      <c r="C63" t="s">
        <v>225</v>
      </c>
      <c r="D63" t="s">
        <v>1992</v>
      </c>
    </row>
    <row r="64" spans="1:4" x14ac:dyDescent="0.25">
      <c r="A64">
        <v>112955736</v>
      </c>
      <c r="B64" t="s">
        <v>118</v>
      </c>
      <c r="C64" t="s">
        <v>225</v>
      </c>
      <c r="D64" t="s">
        <v>1989</v>
      </c>
    </row>
    <row r="65" spans="1:4" x14ac:dyDescent="0.25">
      <c r="A65">
        <v>112956153</v>
      </c>
      <c r="B65" t="s">
        <v>119</v>
      </c>
      <c r="C65" t="s">
        <v>225</v>
      </c>
      <c r="D65" t="s">
        <v>1993</v>
      </c>
    </row>
    <row r="66" spans="1:4" x14ac:dyDescent="0.25">
      <c r="A66">
        <v>112971933</v>
      </c>
      <c r="B66" t="s">
        <v>1484</v>
      </c>
      <c r="C66" t="s">
        <v>224</v>
      </c>
      <c r="D66" t="s">
        <v>1985</v>
      </c>
    </row>
    <row r="67" spans="1:4" x14ac:dyDescent="0.25">
      <c r="A67">
        <v>112971953</v>
      </c>
      <c r="B67" t="s">
        <v>120</v>
      </c>
      <c r="C67" t="s">
        <v>224</v>
      </c>
      <c r="D67" t="s">
        <v>1984</v>
      </c>
    </row>
    <row r="68" spans="1:4" x14ac:dyDescent="0.25">
      <c r="A68">
        <v>112971962</v>
      </c>
      <c r="B68" t="s">
        <v>121</v>
      </c>
      <c r="C68" t="s">
        <v>224</v>
      </c>
      <c r="D68" t="s">
        <v>1987</v>
      </c>
    </row>
    <row r="69" spans="1:4" x14ac:dyDescent="0.25">
      <c r="A69">
        <v>112971972</v>
      </c>
      <c r="B69" t="s">
        <v>122</v>
      </c>
      <c r="C69" t="s">
        <v>226</v>
      </c>
      <c r="D69" t="s">
        <v>1984</v>
      </c>
    </row>
    <row r="70" spans="1:4" x14ac:dyDescent="0.25">
      <c r="A70">
        <v>112971976</v>
      </c>
      <c r="B70" t="s">
        <v>123</v>
      </c>
      <c r="C70" t="s">
        <v>224</v>
      </c>
      <c r="D70" t="s">
        <v>64</v>
      </c>
    </row>
    <row r="71" spans="1:4" x14ac:dyDescent="0.25">
      <c r="A71">
        <v>112971980</v>
      </c>
      <c r="B71" t="s">
        <v>124</v>
      </c>
      <c r="C71" t="s">
        <v>228</v>
      </c>
      <c r="D71" t="s">
        <v>1984</v>
      </c>
    </row>
    <row r="72" spans="1:4" x14ac:dyDescent="0.25">
      <c r="A72">
        <v>112971986</v>
      </c>
      <c r="B72" t="s">
        <v>125</v>
      </c>
      <c r="C72" t="s">
        <v>225</v>
      </c>
      <c r="D72" t="s">
        <v>1985</v>
      </c>
    </row>
    <row r="73" spans="1:4" x14ac:dyDescent="0.25">
      <c r="A73">
        <v>112971988</v>
      </c>
      <c r="B73" t="s">
        <v>126</v>
      </c>
      <c r="C73" t="s">
        <v>224</v>
      </c>
      <c r="D73" t="s">
        <v>64</v>
      </c>
    </row>
    <row r="74" spans="1:4" x14ac:dyDescent="0.25">
      <c r="A74">
        <v>112971997</v>
      </c>
      <c r="B74" t="s">
        <v>127</v>
      </c>
      <c r="C74" t="s">
        <v>225</v>
      </c>
      <c r="D74" t="s">
        <v>1985</v>
      </c>
    </row>
    <row r="75" spans="1:4" x14ac:dyDescent="0.25">
      <c r="A75">
        <v>112971998</v>
      </c>
      <c r="B75" t="s">
        <v>128</v>
      </c>
      <c r="C75" t="s">
        <v>224</v>
      </c>
      <c r="D75" t="s">
        <v>64</v>
      </c>
    </row>
    <row r="76" spans="1:4" x14ac:dyDescent="0.25">
      <c r="A76">
        <v>112972194</v>
      </c>
      <c r="B76" t="s">
        <v>129</v>
      </c>
      <c r="C76" t="s">
        <v>224</v>
      </c>
      <c r="D76" t="s">
        <v>64</v>
      </c>
    </row>
    <row r="77" spans="1:4" x14ac:dyDescent="0.25">
      <c r="A77">
        <v>112972201</v>
      </c>
      <c r="B77" t="s">
        <v>130</v>
      </c>
      <c r="C77" t="s">
        <v>228</v>
      </c>
      <c r="D77" t="s">
        <v>1984</v>
      </c>
    </row>
    <row r="78" spans="1:4" x14ac:dyDescent="0.25">
      <c r="A78">
        <v>112972215</v>
      </c>
      <c r="B78" t="s">
        <v>131</v>
      </c>
      <c r="C78" t="s">
        <v>224</v>
      </c>
      <c r="D78" t="s">
        <v>1987</v>
      </c>
    </row>
    <row r="79" spans="1:4" x14ac:dyDescent="0.25">
      <c r="A79">
        <v>112972521</v>
      </c>
      <c r="B79" t="s">
        <v>132</v>
      </c>
      <c r="C79" t="s">
        <v>224</v>
      </c>
      <c r="D79" t="s">
        <v>1985</v>
      </c>
    </row>
    <row r="80" spans="1:4" x14ac:dyDescent="0.25">
      <c r="A80">
        <v>112972524</v>
      </c>
      <c r="B80" t="s">
        <v>133</v>
      </c>
      <c r="C80" t="s">
        <v>224</v>
      </c>
      <c r="D80" t="s">
        <v>1985</v>
      </c>
    </row>
    <row r="81" spans="1:4" x14ac:dyDescent="0.25">
      <c r="A81">
        <v>112972710</v>
      </c>
      <c r="B81" t="s">
        <v>134</v>
      </c>
      <c r="C81" t="s">
        <v>227</v>
      </c>
      <c r="D81" t="s">
        <v>1984</v>
      </c>
    </row>
    <row r="82" spans="1:4" x14ac:dyDescent="0.25">
      <c r="A82">
        <v>112972798</v>
      </c>
      <c r="B82" t="s">
        <v>135</v>
      </c>
      <c r="C82" t="s">
        <v>226</v>
      </c>
      <c r="D82" t="s">
        <v>1984</v>
      </c>
    </row>
    <row r="83" spans="1:4" x14ac:dyDescent="0.25">
      <c r="A83">
        <v>112972802</v>
      </c>
      <c r="B83" t="s">
        <v>136</v>
      </c>
      <c r="C83" t="s">
        <v>224</v>
      </c>
      <c r="D83" t="s">
        <v>1987</v>
      </c>
    </row>
    <row r="84" spans="1:4" x14ac:dyDescent="0.25">
      <c r="A84">
        <v>112972803</v>
      </c>
      <c r="B84" t="s">
        <v>1798</v>
      </c>
      <c r="C84" t="s">
        <v>230</v>
      </c>
      <c r="D84" t="s">
        <v>1989</v>
      </c>
    </row>
    <row r="85" spans="1:4" x14ac:dyDescent="0.25">
      <c r="A85">
        <v>112972897</v>
      </c>
      <c r="B85" t="s">
        <v>137</v>
      </c>
      <c r="C85" t="s">
        <v>224</v>
      </c>
      <c r="D85" t="s">
        <v>64</v>
      </c>
    </row>
    <row r="86" spans="1:4" x14ac:dyDescent="0.25">
      <c r="A86">
        <v>112972958</v>
      </c>
      <c r="B86" t="s">
        <v>138</v>
      </c>
      <c r="C86" t="s">
        <v>226</v>
      </c>
      <c r="D86" t="s">
        <v>1984</v>
      </c>
    </row>
    <row r="87" spans="1:4" x14ac:dyDescent="0.25">
      <c r="A87">
        <v>112973049</v>
      </c>
      <c r="B87" t="s">
        <v>139</v>
      </c>
      <c r="C87" t="s">
        <v>224</v>
      </c>
      <c r="D87" t="s">
        <v>1991</v>
      </c>
    </row>
    <row r="88" spans="1:4" x14ac:dyDescent="0.25">
      <c r="A88">
        <v>112976014</v>
      </c>
      <c r="B88" t="s">
        <v>140</v>
      </c>
      <c r="C88" t="s">
        <v>225</v>
      </c>
      <c r="D88" t="s">
        <v>1989</v>
      </c>
    </row>
    <row r="89" spans="1:4" x14ac:dyDescent="0.25">
      <c r="A89">
        <v>112976017</v>
      </c>
      <c r="B89" t="s">
        <v>1191</v>
      </c>
      <c r="C89" t="s">
        <v>224</v>
      </c>
      <c r="D89" t="s">
        <v>1993</v>
      </c>
    </row>
    <row r="90" spans="1:4" x14ac:dyDescent="0.25">
      <c r="A90">
        <v>112976019</v>
      </c>
      <c r="B90" t="s">
        <v>1192</v>
      </c>
      <c r="C90" t="s">
        <v>225</v>
      </c>
      <c r="D90" t="s">
        <v>1993</v>
      </c>
    </row>
    <row r="91" spans="1:4" x14ac:dyDescent="0.25">
      <c r="A91">
        <v>112976043</v>
      </c>
      <c r="B91" t="s">
        <v>1193</v>
      </c>
      <c r="C91" t="s">
        <v>1979</v>
      </c>
      <c r="D91" t="s">
        <v>1993</v>
      </c>
    </row>
    <row r="92" spans="1:4" x14ac:dyDescent="0.25">
      <c r="A92">
        <v>112980812</v>
      </c>
      <c r="B92" t="s">
        <v>141</v>
      </c>
      <c r="C92" t="s">
        <v>225</v>
      </c>
      <c r="D92" t="s">
        <v>1994</v>
      </c>
    </row>
    <row r="93" spans="1:4" x14ac:dyDescent="0.25">
      <c r="A93">
        <v>112980843</v>
      </c>
      <c r="B93" t="s">
        <v>142</v>
      </c>
      <c r="C93" t="s">
        <v>225</v>
      </c>
      <c r="D93" t="s">
        <v>1994</v>
      </c>
    </row>
    <row r="94" spans="1:4" x14ac:dyDescent="0.25">
      <c r="A94">
        <v>112980844</v>
      </c>
      <c r="B94" t="s">
        <v>143</v>
      </c>
      <c r="C94" t="s">
        <v>225</v>
      </c>
      <c r="D94" t="s">
        <v>1982</v>
      </c>
    </row>
    <row r="95" spans="1:4" x14ac:dyDescent="0.25">
      <c r="A95">
        <v>112980899</v>
      </c>
      <c r="B95" t="s">
        <v>144</v>
      </c>
      <c r="C95" t="s">
        <v>1978</v>
      </c>
      <c r="D95" t="s">
        <v>1986</v>
      </c>
    </row>
    <row r="96" spans="1:4" x14ac:dyDescent="0.25">
      <c r="A96">
        <v>112980986</v>
      </c>
      <c r="B96" t="s">
        <v>145</v>
      </c>
      <c r="C96" t="s">
        <v>229</v>
      </c>
      <c r="D96" t="s">
        <v>1990</v>
      </c>
    </row>
    <row r="97" spans="1:4" x14ac:dyDescent="0.25">
      <c r="A97">
        <v>112981013</v>
      </c>
      <c r="B97" t="s">
        <v>146</v>
      </c>
      <c r="C97" t="s">
        <v>225</v>
      </c>
      <c r="D97" t="s">
        <v>1990</v>
      </c>
    </row>
    <row r="98" spans="1:4" x14ac:dyDescent="0.25">
      <c r="A98">
        <v>112981014</v>
      </c>
      <c r="B98" t="s">
        <v>147</v>
      </c>
      <c r="C98" t="s">
        <v>229</v>
      </c>
      <c r="D98" t="s">
        <v>1990</v>
      </c>
    </row>
    <row r="99" spans="1:4" x14ac:dyDescent="0.25">
      <c r="A99">
        <v>112981061</v>
      </c>
      <c r="B99" t="s">
        <v>148</v>
      </c>
      <c r="C99" t="s">
        <v>225</v>
      </c>
      <c r="D99" t="s">
        <v>1982</v>
      </c>
    </row>
    <row r="100" spans="1:4" x14ac:dyDescent="0.25">
      <c r="A100">
        <v>112981194</v>
      </c>
      <c r="B100" t="s">
        <v>149</v>
      </c>
      <c r="C100" t="s">
        <v>1978</v>
      </c>
      <c r="D100" t="s">
        <v>1986</v>
      </c>
    </row>
    <row r="101" spans="1:4" x14ac:dyDescent="0.25">
      <c r="A101">
        <v>112981196</v>
      </c>
      <c r="B101" t="s">
        <v>150</v>
      </c>
      <c r="C101" t="s">
        <v>229</v>
      </c>
      <c r="D101" t="s">
        <v>1994</v>
      </c>
    </row>
    <row r="102" spans="1:4" x14ac:dyDescent="0.25">
      <c r="A102">
        <v>112981212</v>
      </c>
      <c r="B102" t="s">
        <v>151</v>
      </c>
      <c r="C102" t="s">
        <v>225</v>
      </c>
      <c r="D102" t="s">
        <v>1993</v>
      </c>
    </row>
    <row r="103" spans="1:4" x14ac:dyDescent="0.25">
      <c r="A103">
        <v>112981221</v>
      </c>
      <c r="B103" t="s">
        <v>152</v>
      </c>
      <c r="C103" t="s">
        <v>225</v>
      </c>
      <c r="D103" t="s">
        <v>1994</v>
      </c>
    </row>
    <row r="104" spans="1:4" x14ac:dyDescent="0.25">
      <c r="A104">
        <v>112984460</v>
      </c>
      <c r="B104" t="s">
        <v>153</v>
      </c>
      <c r="C104" t="s">
        <v>227</v>
      </c>
      <c r="D104" t="s">
        <v>1991</v>
      </c>
    </row>
    <row r="105" spans="1:4" x14ac:dyDescent="0.25">
      <c r="A105">
        <v>113003510</v>
      </c>
      <c r="B105" t="s">
        <v>154</v>
      </c>
      <c r="C105" t="s">
        <v>224</v>
      </c>
      <c r="D105" t="s">
        <v>1988</v>
      </c>
    </row>
    <row r="106" spans="1:4" x14ac:dyDescent="0.25">
      <c r="A106">
        <v>113003614</v>
      </c>
      <c r="B106" t="s">
        <v>155</v>
      </c>
      <c r="C106" t="s">
        <v>228</v>
      </c>
      <c r="D106" t="s">
        <v>1995</v>
      </c>
    </row>
    <row r="107" spans="1:4" x14ac:dyDescent="0.25">
      <c r="A107">
        <v>113003656</v>
      </c>
      <c r="B107" t="s">
        <v>157</v>
      </c>
      <c r="C107" t="s">
        <v>224</v>
      </c>
      <c r="D107" t="s">
        <v>1988</v>
      </c>
    </row>
    <row r="108" spans="1:4" x14ac:dyDescent="0.25">
      <c r="A108">
        <v>113003674</v>
      </c>
      <c r="B108" t="s">
        <v>158</v>
      </c>
      <c r="C108" t="s">
        <v>224</v>
      </c>
      <c r="D108" t="s">
        <v>1988</v>
      </c>
    </row>
    <row r="109" spans="1:4" x14ac:dyDescent="0.25">
      <c r="A109">
        <v>113003971</v>
      </c>
      <c r="B109" t="s">
        <v>159</v>
      </c>
      <c r="C109" t="s">
        <v>224</v>
      </c>
      <c r="D109" t="s">
        <v>1987</v>
      </c>
    </row>
    <row r="110" spans="1:4" x14ac:dyDescent="0.25">
      <c r="A110">
        <v>113004099</v>
      </c>
      <c r="B110" t="s">
        <v>160</v>
      </c>
      <c r="C110" t="s">
        <v>224</v>
      </c>
      <c r="D110" t="s">
        <v>1987</v>
      </c>
    </row>
    <row r="111" spans="1:4" x14ac:dyDescent="0.25">
      <c r="A111">
        <v>113013999</v>
      </c>
      <c r="B111" t="s">
        <v>1005</v>
      </c>
      <c r="C111" t="s">
        <v>225</v>
      </c>
      <c r="D111" t="s">
        <v>1994</v>
      </c>
    </row>
    <row r="112" spans="1:4" x14ac:dyDescent="0.25">
      <c r="A112">
        <v>113014036</v>
      </c>
      <c r="B112" t="s">
        <v>161</v>
      </c>
      <c r="C112" t="s">
        <v>225</v>
      </c>
      <c r="D112" t="s">
        <v>1982</v>
      </c>
    </row>
    <row r="113" spans="1:4" x14ac:dyDescent="0.25">
      <c r="A113">
        <v>113014042</v>
      </c>
      <c r="B113" t="s">
        <v>162</v>
      </c>
      <c r="C113" t="s">
        <v>226</v>
      </c>
      <c r="D113" t="s">
        <v>1984</v>
      </c>
    </row>
    <row r="114" spans="1:4" x14ac:dyDescent="0.25">
      <c r="A114">
        <v>113014071</v>
      </c>
      <c r="B114" t="s">
        <v>163</v>
      </c>
      <c r="C114" t="s">
        <v>225</v>
      </c>
      <c r="D114" t="s">
        <v>1990</v>
      </c>
    </row>
    <row r="115" spans="1:4" x14ac:dyDescent="0.25">
      <c r="A115">
        <v>113014073</v>
      </c>
      <c r="B115" t="s">
        <v>164</v>
      </c>
      <c r="C115" t="s">
        <v>224</v>
      </c>
      <c r="D115" t="s">
        <v>1988</v>
      </c>
    </row>
    <row r="116" spans="1:4" x14ac:dyDescent="0.25">
      <c r="A116">
        <v>113014078</v>
      </c>
      <c r="B116" t="s">
        <v>165</v>
      </c>
      <c r="C116" t="s">
        <v>225</v>
      </c>
      <c r="D116" t="s">
        <v>1994</v>
      </c>
    </row>
    <row r="117" spans="1:4" x14ac:dyDescent="0.25">
      <c r="A117">
        <v>113014081</v>
      </c>
      <c r="B117" t="s">
        <v>166</v>
      </c>
      <c r="C117" t="s">
        <v>224</v>
      </c>
      <c r="D117" t="s">
        <v>64</v>
      </c>
    </row>
    <row r="118" spans="1:4" x14ac:dyDescent="0.25">
      <c r="A118">
        <v>113014084</v>
      </c>
      <c r="B118" t="s">
        <v>167</v>
      </c>
      <c r="C118" t="s">
        <v>230</v>
      </c>
      <c r="D118" t="s">
        <v>1990</v>
      </c>
    </row>
    <row r="119" spans="1:4" x14ac:dyDescent="0.25">
      <c r="A119">
        <v>113014092</v>
      </c>
      <c r="B119" t="s">
        <v>168</v>
      </c>
      <c r="C119" t="s">
        <v>227</v>
      </c>
      <c r="D119" t="s">
        <v>1987</v>
      </c>
    </row>
    <row r="120" spans="1:4" x14ac:dyDescent="0.25">
      <c r="A120">
        <v>113014094</v>
      </c>
      <c r="B120" t="s">
        <v>169</v>
      </c>
      <c r="C120" t="s">
        <v>225</v>
      </c>
      <c r="D120" t="s">
        <v>1982</v>
      </c>
    </row>
    <row r="121" spans="1:4" x14ac:dyDescent="0.25">
      <c r="A121">
        <v>113014182</v>
      </c>
      <c r="B121" t="s">
        <v>1485</v>
      </c>
      <c r="C121" t="s">
        <v>227</v>
      </c>
      <c r="D121" t="s">
        <v>1982</v>
      </c>
    </row>
    <row r="122" spans="1:4" x14ac:dyDescent="0.25">
      <c r="A122">
        <v>113014402</v>
      </c>
      <c r="B122" t="s">
        <v>170</v>
      </c>
      <c r="C122" t="s">
        <v>225</v>
      </c>
      <c r="D122" t="s">
        <v>1994</v>
      </c>
    </row>
    <row r="123" spans="1:4" x14ac:dyDescent="0.25">
      <c r="A123">
        <v>113014403</v>
      </c>
      <c r="B123" t="s">
        <v>171</v>
      </c>
      <c r="C123" t="s">
        <v>225</v>
      </c>
      <c r="D123" t="s">
        <v>1990</v>
      </c>
    </row>
    <row r="124" spans="1:4" x14ac:dyDescent="0.25">
      <c r="A124">
        <v>113014470</v>
      </c>
      <c r="B124" t="s">
        <v>172</v>
      </c>
      <c r="C124" t="s">
        <v>225</v>
      </c>
      <c r="D124" t="s">
        <v>1982</v>
      </c>
    </row>
    <row r="125" spans="1:4" x14ac:dyDescent="0.25">
      <c r="A125">
        <v>113014560</v>
      </c>
      <c r="B125" t="s">
        <v>173</v>
      </c>
      <c r="C125" t="s">
        <v>224</v>
      </c>
      <c r="D125" t="s">
        <v>1987</v>
      </c>
    </row>
    <row r="126" spans="1:4" x14ac:dyDescent="0.25">
      <c r="A126">
        <v>113014592</v>
      </c>
      <c r="B126" t="s">
        <v>174</v>
      </c>
      <c r="C126" t="s">
        <v>225</v>
      </c>
      <c r="D126" t="s">
        <v>1982</v>
      </c>
    </row>
    <row r="127" spans="1:4" x14ac:dyDescent="0.25">
      <c r="A127">
        <v>113019001</v>
      </c>
      <c r="B127" t="s">
        <v>175</v>
      </c>
      <c r="C127" t="s">
        <v>225</v>
      </c>
      <c r="D127" t="s">
        <v>1994</v>
      </c>
    </row>
    <row r="128" spans="1:4" x14ac:dyDescent="0.25">
      <c r="A128">
        <v>113019031</v>
      </c>
      <c r="B128" t="s">
        <v>176</v>
      </c>
      <c r="C128" t="s">
        <v>230</v>
      </c>
      <c r="D128" t="s">
        <v>1982</v>
      </c>
    </row>
    <row r="129" spans="1:4" x14ac:dyDescent="0.25">
      <c r="A129">
        <v>113019033</v>
      </c>
      <c r="B129" t="s">
        <v>177</v>
      </c>
      <c r="C129" t="s">
        <v>224</v>
      </c>
      <c r="D129" t="s">
        <v>1988</v>
      </c>
    </row>
    <row r="130" spans="1:4" x14ac:dyDescent="0.25">
      <c r="A130">
        <v>113019055</v>
      </c>
      <c r="B130" t="s">
        <v>1799</v>
      </c>
      <c r="C130" t="s">
        <v>230</v>
      </c>
      <c r="D130" t="s">
        <v>1989</v>
      </c>
    </row>
    <row r="131" spans="1:4" x14ac:dyDescent="0.25">
      <c r="A131">
        <v>113019078</v>
      </c>
      <c r="B131" t="s">
        <v>1293</v>
      </c>
      <c r="C131" t="s">
        <v>224</v>
      </c>
      <c r="D131" t="s">
        <v>64</v>
      </c>
    </row>
    <row r="132" spans="1:4" x14ac:dyDescent="0.25">
      <c r="A132">
        <v>113019099</v>
      </c>
      <c r="B132" t="s">
        <v>178</v>
      </c>
      <c r="C132" t="s">
        <v>227</v>
      </c>
      <c r="D132" t="s">
        <v>1991</v>
      </c>
    </row>
    <row r="133" spans="1:4" x14ac:dyDescent="0.25">
      <c r="A133">
        <v>113019111</v>
      </c>
      <c r="B133" t="s">
        <v>1294</v>
      </c>
      <c r="C133" t="s">
        <v>1978</v>
      </c>
      <c r="D133" t="s">
        <v>1986</v>
      </c>
    </row>
    <row r="134" spans="1:4" x14ac:dyDescent="0.25">
      <c r="A134">
        <v>113020463</v>
      </c>
      <c r="B134" t="s">
        <v>179</v>
      </c>
      <c r="C134" t="s">
        <v>229</v>
      </c>
      <c r="D134" t="s">
        <v>1982</v>
      </c>
    </row>
    <row r="135" spans="1:4" x14ac:dyDescent="0.25">
      <c r="A135">
        <v>113020476</v>
      </c>
      <c r="B135" t="s">
        <v>180</v>
      </c>
      <c r="C135" t="s">
        <v>226</v>
      </c>
      <c r="D135" t="s">
        <v>1987</v>
      </c>
    </row>
    <row r="136" spans="1:4" x14ac:dyDescent="0.25">
      <c r="A136">
        <v>113020497</v>
      </c>
      <c r="B136" t="s">
        <v>181</v>
      </c>
      <c r="C136" t="s">
        <v>227</v>
      </c>
      <c r="D136" t="s">
        <v>1988</v>
      </c>
    </row>
    <row r="137" spans="1:4" x14ac:dyDescent="0.25">
      <c r="A137">
        <v>113020654</v>
      </c>
      <c r="B137" t="s">
        <v>182</v>
      </c>
      <c r="C137" t="s">
        <v>224</v>
      </c>
      <c r="D137" t="s">
        <v>1988</v>
      </c>
    </row>
    <row r="138" spans="1:4" x14ac:dyDescent="0.25">
      <c r="A138">
        <v>113020667</v>
      </c>
      <c r="B138" t="s">
        <v>183</v>
      </c>
      <c r="C138" t="s">
        <v>224</v>
      </c>
      <c r="D138" t="s">
        <v>1988</v>
      </c>
    </row>
    <row r="139" spans="1:4" x14ac:dyDescent="0.25">
      <c r="A139">
        <v>113039519</v>
      </c>
      <c r="B139" t="s">
        <v>1194</v>
      </c>
      <c r="C139" t="s">
        <v>224</v>
      </c>
      <c r="D139" t="s">
        <v>1993</v>
      </c>
    </row>
    <row r="140" spans="1:4" x14ac:dyDescent="0.25">
      <c r="A140">
        <v>113040582</v>
      </c>
      <c r="B140" t="s">
        <v>184</v>
      </c>
      <c r="C140" t="s">
        <v>225</v>
      </c>
      <c r="D140" t="s">
        <v>1982</v>
      </c>
    </row>
    <row r="141" spans="1:4" x14ac:dyDescent="0.25">
      <c r="A141">
        <v>113044620</v>
      </c>
      <c r="B141" t="s">
        <v>185</v>
      </c>
      <c r="C141" t="s">
        <v>225</v>
      </c>
      <c r="D141" t="s">
        <v>1982</v>
      </c>
    </row>
    <row r="142" spans="1:4" x14ac:dyDescent="0.25">
      <c r="A142">
        <v>113044739</v>
      </c>
      <c r="B142" t="s">
        <v>1195</v>
      </c>
      <c r="C142" t="s">
        <v>227</v>
      </c>
      <c r="D142" t="s">
        <v>1991</v>
      </c>
    </row>
    <row r="143" spans="1:4" x14ac:dyDescent="0.25">
      <c r="A143">
        <v>113044763</v>
      </c>
      <c r="B143" t="s">
        <v>186</v>
      </c>
      <c r="C143" t="s">
        <v>227</v>
      </c>
      <c r="D143" t="s">
        <v>1988</v>
      </c>
    </row>
    <row r="144" spans="1:4" x14ac:dyDescent="0.25">
      <c r="A144">
        <v>113052151</v>
      </c>
      <c r="B144" t="s">
        <v>187</v>
      </c>
      <c r="C144" t="s">
        <v>227</v>
      </c>
      <c r="D144" t="s">
        <v>1991</v>
      </c>
    </row>
    <row r="145" spans="1:4" x14ac:dyDescent="0.25">
      <c r="A145">
        <v>113101262</v>
      </c>
      <c r="B145" t="s">
        <v>218</v>
      </c>
      <c r="C145" t="s">
        <v>224</v>
      </c>
      <c r="D145" t="s">
        <v>1987</v>
      </c>
    </row>
    <row r="146" spans="1:4" x14ac:dyDescent="0.25">
      <c r="A146">
        <v>113101453</v>
      </c>
      <c r="B146" t="s">
        <v>188</v>
      </c>
      <c r="C146" t="s">
        <v>225</v>
      </c>
      <c r="D146" t="s">
        <v>1982</v>
      </c>
    </row>
    <row r="147" spans="1:4" x14ac:dyDescent="0.25">
      <c r="A147">
        <v>113103540</v>
      </c>
      <c r="B147" t="s">
        <v>189</v>
      </c>
      <c r="C147" t="s">
        <v>227</v>
      </c>
      <c r="D147" t="s">
        <v>1988</v>
      </c>
    </row>
    <row r="148" spans="1:4" x14ac:dyDescent="0.25">
      <c r="A148">
        <v>113138273</v>
      </c>
      <c r="B148" t="s">
        <v>190</v>
      </c>
      <c r="C148" t="s">
        <v>225</v>
      </c>
      <c r="D148" t="s">
        <v>1994</v>
      </c>
    </row>
    <row r="149" spans="1:4" x14ac:dyDescent="0.25">
      <c r="A149">
        <v>113138338</v>
      </c>
      <c r="B149" t="s">
        <v>191</v>
      </c>
      <c r="C149" t="s">
        <v>228</v>
      </c>
      <c r="D149" t="s">
        <v>1986</v>
      </c>
    </row>
    <row r="150" spans="1:4" x14ac:dyDescent="0.25">
      <c r="A150">
        <v>200404250</v>
      </c>
      <c r="B150" t="s">
        <v>192</v>
      </c>
      <c r="C150" t="s">
        <v>225</v>
      </c>
      <c r="D150" t="s">
        <v>1982</v>
      </c>
    </row>
    <row r="151" spans="1:4" x14ac:dyDescent="0.25">
      <c r="A151">
        <v>200463510</v>
      </c>
      <c r="B151" t="s">
        <v>193</v>
      </c>
      <c r="C151" t="s">
        <v>224</v>
      </c>
      <c r="D151" t="s">
        <v>1987</v>
      </c>
    </row>
    <row r="152" spans="1:4" x14ac:dyDescent="0.25">
      <c r="A152">
        <v>200464838</v>
      </c>
      <c r="B152" t="s">
        <v>194</v>
      </c>
      <c r="C152" t="s">
        <v>227</v>
      </c>
      <c r="D152" t="s">
        <v>1987</v>
      </c>
    </row>
    <row r="153" spans="1:4" x14ac:dyDescent="0.25">
      <c r="A153">
        <v>200508315</v>
      </c>
      <c r="B153" t="s">
        <v>195</v>
      </c>
      <c r="C153" t="s">
        <v>224</v>
      </c>
      <c r="D153" t="s">
        <v>1987</v>
      </c>
    </row>
    <row r="154" spans="1:4" x14ac:dyDescent="0.25">
      <c r="A154">
        <v>200508323</v>
      </c>
      <c r="B154" t="s">
        <v>1006</v>
      </c>
      <c r="C154" t="s">
        <v>224</v>
      </c>
      <c r="D154" t="s">
        <v>1987</v>
      </c>
    </row>
    <row r="155" spans="1:4" x14ac:dyDescent="0.25">
      <c r="A155">
        <v>200509662</v>
      </c>
      <c r="B155" t="s">
        <v>196</v>
      </c>
      <c r="C155" t="s">
        <v>225</v>
      </c>
      <c r="D155" t="s">
        <v>1994</v>
      </c>
    </row>
    <row r="156" spans="1:4" x14ac:dyDescent="0.25">
      <c r="A156">
        <v>200509691</v>
      </c>
      <c r="B156" t="s">
        <v>197</v>
      </c>
      <c r="C156" t="s">
        <v>225</v>
      </c>
      <c r="D156" t="s">
        <v>1994</v>
      </c>
    </row>
    <row r="157" spans="1:4" x14ac:dyDescent="0.25">
      <c r="A157">
        <v>200513583</v>
      </c>
      <c r="B157" t="s">
        <v>198</v>
      </c>
      <c r="C157" t="s">
        <v>224</v>
      </c>
      <c r="D157" t="s">
        <v>1987</v>
      </c>
    </row>
    <row r="158" spans="1:4" x14ac:dyDescent="0.25">
      <c r="A158">
        <v>200514421</v>
      </c>
      <c r="B158" t="s">
        <v>199</v>
      </c>
      <c r="C158" t="s">
        <v>224</v>
      </c>
      <c r="D158" t="s">
        <v>1988</v>
      </c>
    </row>
    <row r="159" spans="1:4" x14ac:dyDescent="0.25">
      <c r="A159">
        <v>200534675</v>
      </c>
      <c r="B159" t="s">
        <v>200</v>
      </c>
      <c r="C159" t="s">
        <v>225</v>
      </c>
      <c r="D159" t="s">
        <v>1990</v>
      </c>
    </row>
    <row r="160" spans="1:4" x14ac:dyDescent="0.25">
      <c r="A160">
        <v>200552186</v>
      </c>
      <c r="B160" t="s">
        <v>1007</v>
      </c>
      <c r="C160" t="s">
        <v>1978</v>
      </c>
      <c r="D160" t="s">
        <v>1986</v>
      </c>
    </row>
    <row r="161" spans="1:4" x14ac:dyDescent="0.25">
      <c r="A161">
        <v>200552338</v>
      </c>
      <c r="B161" t="s">
        <v>1800</v>
      </c>
      <c r="C161" t="s">
        <v>230</v>
      </c>
      <c r="D161" t="s">
        <v>1981</v>
      </c>
    </row>
    <row r="162" spans="1:4" x14ac:dyDescent="0.25">
      <c r="A162">
        <v>200552457</v>
      </c>
      <c r="B162" t="s">
        <v>201</v>
      </c>
      <c r="C162" t="s">
        <v>230</v>
      </c>
      <c r="D162" t="s">
        <v>1994</v>
      </c>
    </row>
    <row r="163" spans="1:4" x14ac:dyDescent="0.25">
      <c r="A163">
        <v>200552835</v>
      </c>
      <c r="B163" t="s">
        <v>202</v>
      </c>
      <c r="C163" t="s">
        <v>224</v>
      </c>
      <c r="D163" t="s">
        <v>1988</v>
      </c>
    </row>
    <row r="164" spans="1:4" x14ac:dyDescent="0.25">
      <c r="A164">
        <v>200553975</v>
      </c>
      <c r="B164" t="s">
        <v>203</v>
      </c>
      <c r="C164" t="s">
        <v>224</v>
      </c>
      <c r="D164" t="s">
        <v>64</v>
      </c>
    </row>
    <row r="165" spans="1:4" x14ac:dyDescent="0.25">
      <c r="A165">
        <v>200562154</v>
      </c>
      <c r="B165" t="s">
        <v>204</v>
      </c>
      <c r="C165" t="s">
        <v>227</v>
      </c>
      <c r="D165" t="s">
        <v>1991</v>
      </c>
    </row>
    <row r="166" spans="1:4" x14ac:dyDescent="0.25">
      <c r="A166">
        <v>200562303</v>
      </c>
      <c r="B166" t="s">
        <v>205</v>
      </c>
      <c r="C166" t="s">
        <v>229</v>
      </c>
      <c r="D166" t="s">
        <v>1982</v>
      </c>
    </row>
    <row r="167" spans="1:4" x14ac:dyDescent="0.25">
      <c r="A167">
        <v>200563038</v>
      </c>
      <c r="B167" t="s">
        <v>206</v>
      </c>
      <c r="C167" t="s">
        <v>227</v>
      </c>
      <c r="D167" t="s">
        <v>1988</v>
      </c>
    </row>
    <row r="168" spans="1:4" x14ac:dyDescent="0.25">
      <c r="A168">
        <v>200564895</v>
      </c>
      <c r="B168" t="s">
        <v>207</v>
      </c>
      <c r="C168" t="s">
        <v>225</v>
      </c>
      <c r="D168" t="s">
        <v>1982</v>
      </c>
    </row>
    <row r="169" spans="1:4" x14ac:dyDescent="0.25">
      <c r="A169">
        <v>200570729</v>
      </c>
      <c r="B169" t="s">
        <v>208</v>
      </c>
      <c r="C169" t="s">
        <v>230</v>
      </c>
      <c r="D169" t="s">
        <v>1994</v>
      </c>
    </row>
    <row r="170" spans="1:4" x14ac:dyDescent="0.25">
      <c r="A170">
        <v>200574345</v>
      </c>
      <c r="B170" t="s">
        <v>209</v>
      </c>
      <c r="C170" t="s">
        <v>225</v>
      </c>
      <c r="D170" t="s">
        <v>1982</v>
      </c>
    </row>
    <row r="171" spans="1:4" x14ac:dyDescent="0.25">
      <c r="A171">
        <v>200574655</v>
      </c>
      <c r="B171" t="s">
        <v>210</v>
      </c>
      <c r="C171" t="s">
        <v>224</v>
      </c>
      <c r="D171" t="s">
        <v>1987</v>
      </c>
    </row>
    <row r="172" spans="1:4" x14ac:dyDescent="0.25">
      <c r="A172">
        <v>200584282</v>
      </c>
      <c r="B172" t="s">
        <v>211</v>
      </c>
      <c r="C172" t="s">
        <v>224</v>
      </c>
      <c r="D172" t="s">
        <v>1987</v>
      </c>
    </row>
    <row r="173" spans="1:4" x14ac:dyDescent="0.25">
      <c r="A173">
        <v>200585084</v>
      </c>
      <c r="B173" t="s">
        <v>1801</v>
      </c>
      <c r="C173" t="s">
        <v>224</v>
      </c>
      <c r="D173" t="s">
        <v>1988</v>
      </c>
    </row>
    <row r="174" spans="1:4" x14ac:dyDescent="0.25">
      <c r="A174">
        <v>200594806</v>
      </c>
      <c r="B174" t="s">
        <v>212</v>
      </c>
      <c r="C174" t="s">
        <v>225</v>
      </c>
      <c r="D174" t="s">
        <v>1982</v>
      </c>
    </row>
    <row r="175" spans="1:4" x14ac:dyDescent="0.25">
      <c r="A175">
        <v>200594875</v>
      </c>
      <c r="B175" t="s">
        <v>213</v>
      </c>
      <c r="C175" t="s">
        <v>230</v>
      </c>
      <c r="D175" t="s">
        <v>1994</v>
      </c>
    </row>
    <row r="176" spans="1:4" x14ac:dyDescent="0.25">
      <c r="A176">
        <v>200609384</v>
      </c>
      <c r="B176" t="s">
        <v>1486</v>
      </c>
      <c r="C176" t="s">
        <v>227</v>
      </c>
      <c r="D176" t="s">
        <v>1991</v>
      </c>
    </row>
    <row r="177" spans="1:4" x14ac:dyDescent="0.25">
      <c r="A177">
        <v>200615315</v>
      </c>
      <c r="B177" t="s">
        <v>214</v>
      </c>
      <c r="C177" t="s">
        <v>225</v>
      </c>
      <c r="D177" t="s">
        <v>1994</v>
      </c>
    </row>
    <row r="178" spans="1:4" x14ac:dyDescent="0.25">
      <c r="A178">
        <v>200615801</v>
      </c>
      <c r="B178" t="s">
        <v>215</v>
      </c>
      <c r="C178" t="s">
        <v>225</v>
      </c>
      <c r="D178" t="s">
        <v>1994</v>
      </c>
    </row>
    <row r="179" spans="1:4" x14ac:dyDescent="0.25">
      <c r="A179">
        <v>200625528</v>
      </c>
      <c r="B179" t="s">
        <v>216</v>
      </c>
      <c r="C179" t="s">
        <v>225</v>
      </c>
      <c r="D179" t="s">
        <v>1994</v>
      </c>
    </row>
    <row r="180" spans="1:4" x14ac:dyDescent="0.25">
      <c r="A180">
        <v>200628716</v>
      </c>
      <c r="B180" t="s">
        <v>1802</v>
      </c>
      <c r="C180" t="s">
        <v>225</v>
      </c>
      <c r="D180" t="s">
        <v>1990</v>
      </c>
    </row>
    <row r="181" spans="1:4" x14ac:dyDescent="0.25">
      <c r="A181">
        <v>200628760</v>
      </c>
      <c r="B181" t="s">
        <v>1803</v>
      </c>
      <c r="C181" t="s">
        <v>224</v>
      </c>
      <c r="D181" t="s">
        <v>1981</v>
      </c>
    </row>
    <row r="182" spans="1:4" x14ac:dyDescent="0.25">
      <c r="A182">
        <v>200871209</v>
      </c>
      <c r="B182" t="s">
        <v>1295</v>
      </c>
      <c r="C182" t="s">
        <v>224</v>
      </c>
      <c r="D182" t="s">
        <v>1987</v>
      </c>
    </row>
    <row r="183" spans="1:4" x14ac:dyDescent="0.25">
      <c r="A183">
        <v>201159033</v>
      </c>
      <c r="B183" t="s">
        <v>867</v>
      </c>
      <c r="C183" t="s">
        <v>226</v>
      </c>
      <c r="D183" t="s">
        <v>1991</v>
      </c>
    </row>
    <row r="184" spans="1:4" x14ac:dyDescent="0.25">
      <c r="A184">
        <v>201162225</v>
      </c>
      <c r="B184" t="s">
        <v>868</v>
      </c>
      <c r="C184" t="s">
        <v>229</v>
      </c>
      <c r="D184" t="s">
        <v>1994</v>
      </c>
    </row>
    <row r="185" spans="1:4" x14ac:dyDescent="0.25">
      <c r="A185">
        <v>201162388</v>
      </c>
      <c r="B185" t="s">
        <v>869</v>
      </c>
      <c r="C185" t="s">
        <v>229</v>
      </c>
      <c r="D185" t="s">
        <v>1994</v>
      </c>
    </row>
    <row r="186" spans="1:4" x14ac:dyDescent="0.25">
      <c r="A186">
        <v>201162477</v>
      </c>
      <c r="B186" t="s">
        <v>870</v>
      </c>
      <c r="C186" t="s">
        <v>229</v>
      </c>
      <c r="D186" t="s">
        <v>1994</v>
      </c>
    </row>
    <row r="187" spans="1:4" x14ac:dyDescent="0.25">
      <c r="A187">
        <v>201165646</v>
      </c>
      <c r="B187" t="s">
        <v>871</v>
      </c>
      <c r="C187" t="s">
        <v>226</v>
      </c>
      <c r="D187" t="s">
        <v>1991</v>
      </c>
    </row>
    <row r="188" spans="1:4" x14ac:dyDescent="0.25">
      <c r="A188">
        <v>201165769</v>
      </c>
      <c r="B188" t="s">
        <v>872</v>
      </c>
      <c r="C188" t="s">
        <v>229</v>
      </c>
      <c r="D188" t="s">
        <v>1994</v>
      </c>
    </row>
    <row r="189" spans="1:4" x14ac:dyDescent="0.25">
      <c r="A189">
        <v>201166890</v>
      </c>
      <c r="B189" t="s">
        <v>873</v>
      </c>
      <c r="C189" t="s">
        <v>225</v>
      </c>
      <c r="D189" t="s">
        <v>1990</v>
      </c>
    </row>
    <row r="190" spans="1:4" x14ac:dyDescent="0.25">
      <c r="A190">
        <v>201167388</v>
      </c>
      <c r="B190" t="s">
        <v>874</v>
      </c>
      <c r="C190" t="s">
        <v>226</v>
      </c>
      <c r="D190" t="s">
        <v>1987</v>
      </c>
    </row>
    <row r="191" spans="1:4" x14ac:dyDescent="0.25">
      <c r="A191">
        <v>201167501</v>
      </c>
      <c r="B191" t="s">
        <v>875</v>
      </c>
      <c r="C191" t="s">
        <v>225</v>
      </c>
      <c r="D191" t="s">
        <v>1982</v>
      </c>
    </row>
    <row r="192" spans="1:4" x14ac:dyDescent="0.25">
      <c r="A192">
        <v>201172306</v>
      </c>
      <c r="B192" t="s">
        <v>876</v>
      </c>
      <c r="C192" t="s">
        <v>229</v>
      </c>
      <c r="D192" t="s">
        <v>1990</v>
      </c>
    </row>
    <row r="193" spans="1:4" x14ac:dyDescent="0.25">
      <c r="A193">
        <v>201172412</v>
      </c>
      <c r="B193" t="s">
        <v>877</v>
      </c>
      <c r="C193" t="s">
        <v>229</v>
      </c>
      <c r="D193" t="s">
        <v>1982</v>
      </c>
    </row>
    <row r="194" spans="1:4" x14ac:dyDescent="0.25">
      <c r="A194">
        <v>201185299</v>
      </c>
      <c r="B194" t="s">
        <v>878</v>
      </c>
      <c r="C194" t="s">
        <v>226</v>
      </c>
      <c r="D194" t="s">
        <v>1991</v>
      </c>
    </row>
    <row r="195" spans="1:4" x14ac:dyDescent="0.25">
      <c r="A195">
        <v>201185653</v>
      </c>
      <c r="B195" t="s">
        <v>879</v>
      </c>
      <c r="C195" t="s">
        <v>226</v>
      </c>
      <c r="D195" t="s">
        <v>1991</v>
      </c>
    </row>
    <row r="196" spans="1:4" x14ac:dyDescent="0.25">
      <c r="A196">
        <v>201186777</v>
      </c>
      <c r="B196" t="s">
        <v>880</v>
      </c>
      <c r="C196" t="s">
        <v>230</v>
      </c>
      <c r="D196" t="s">
        <v>1994</v>
      </c>
    </row>
    <row r="197" spans="1:4" x14ac:dyDescent="0.25">
      <c r="A197">
        <v>201186833</v>
      </c>
      <c r="B197" t="s">
        <v>881</v>
      </c>
      <c r="C197" t="s">
        <v>225</v>
      </c>
      <c r="D197" t="s">
        <v>1990</v>
      </c>
    </row>
    <row r="198" spans="1:4" x14ac:dyDescent="0.25">
      <c r="A198">
        <v>201191198</v>
      </c>
      <c r="B198" t="s">
        <v>882</v>
      </c>
      <c r="C198" t="s">
        <v>226</v>
      </c>
      <c r="D198" t="s">
        <v>1991</v>
      </c>
    </row>
    <row r="199" spans="1:4" x14ac:dyDescent="0.25">
      <c r="A199">
        <v>201191217</v>
      </c>
      <c r="B199" t="s">
        <v>883</v>
      </c>
      <c r="C199" t="s">
        <v>225</v>
      </c>
      <c r="D199" t="s">
        <v>1994</v>
      </c>
    </row>
    <row r="200" spans="1:4" x14ac:dyDescent="0.25">
      <c r="A200">
        <v>201191390</v>
      </c>
      <c r="B200" t="s">
        <v>884</v>
      </c>
      <c r="C200" t="s">
        <v>224</v>
      </c>
      <c r="D200" t="s">
        <v>1987</v>
      </c>
    </row>
    <row r="201" spans="1:4" x14ac:dyDescent="0.25">
      <c r="A201">
        <v>201195215</v>
      </c>
      <c r="B201" t="s">
        <v>885</v>
      </c>
      <c r="C201" t="s">
        <v>224</v>
      </c>
      <c r="D201" t="s">
        <v>1993</v>
      </c>
    </row>
    <row r="202" spans="1:4" x14ac:dyDescent="0.25">
      <c r="A202">
        <v>201195217</v>
      </c>
      <c r="B202" t="s">
        <v>886</v>
      </c>
      <c r="C202" t="s">
        <v>224</v>
      </c>
      <c r="D202" t="s">
        <v>1988</v>
      </c>
    </row>
    <row r="203" spans="1:4" x14ac:dyDescent="0.25">
      <c r="A203">
        <v>201197964</v>
      </c>
      <c r="B203" t="s">
        <v>864</v>
      </c>
      <c r="C203" t="s">
        <v>225</v>
      </c>
      <c r="D203" t="s">
        <v>1990</v>
      </c>
    </row>
    <row r="204" spans="1:4" x14ac:dyDescent="0.25">
      <c r="A204">
        <v>201198427</v>
      </c>
      <c r="B204" t="s">
        <v>940</v>
      </c>
      <c r="C204" t="s">
        <v>224</v>
      </c>
      <c r="D204" t="s">
        <v>1988</v>
      </c>
    </row>
    <row r="205" spans="1:4" x14ac:dyDescent="0.25">
      <c r="A205">
        <v>201198922</v>
      </c>
      <c r="B205" t="s">
        <v>941</v>
      </c>
      <c r="C205" t="s">
        <v>224</v>
      </c>
      <c r="D205" t="s">
        <v>1988</v>
      </c>
    </row>
    <row r="206" spans="1:4" x14ac:dyDescent="0.25">
      <c r="A206">
        <v>201199077</v>
      </c>
      <c r="B206" t="s">
        <v>1804</v>
      </c>
      <c r="C206" t="s">
        <v>225</v>
      </c>
      <c r="D206" t="s">
        <v>1992</v>
      </c>
    </row>
    <row r="207" spans="1:4" x14ac:dyDescent="0.25">
      <c r="A207">
        <v>201211157</v>
      </c>
      <c r="B207" t="s">
        <v>887</v>
      </c>
      <c r="C207" t="s">
        <v>1978</v>
      </c>
      <c r="D207" t="s">
        <v>1986</v>
      </c>
    </row>
    <row r="208" spans="1:4" x14ac:dyDescent="0.25">
      <c r="A208">
        <v>201215233</v>
      </c>
      <c r="B208" t="s">
        <v>1487</v>
      </c>
      <c r="C208" t="s">
        <v>224</v>
      </c>
      <c r="D208" t="s">
        <v>1985</v>
      </c>
    </row>
    <row r="209" spans="1:4" x14ac:dyDescent="0.25">
      <c r="A209">
        <v>201219500</v>
      </c>
      <c r="B209" t="s">
        <v>942</v>
      </c>
      <c r="C209" t="s">
        <v>226</v>
      </c>
      <c r="D209" t="s">
        <v>1991</v>
      </c>
    </row>
    <row r="210" spans="1:4" x14ac:dyDescent="0.25">
      <c r="A210">
        <v>201221772</v>
      </c>
      <c r="B210" t="s">
        <v>866</v>
      </c>
      <c r="C210" t="s">
        <v>226</v>
      </c>
      <c r="D210" t="s">
        <v>1988</v>
      </c>
    </row>
    <row r="211" spans="1:4" x14ac:dyDescent="0.25">
      <c r="A211">
        <v>201223730</v>
      </c>
      <c r="B211" t="s">
        <v>943</v>
      </c>
      <c r="C211" t="s">
        <v>224</v>
      </c>
      <c r="D211" t="s">
        <v>1987</v>
      </c>
    </row>
    <row r="212" spans="1:4" x14ac:dyDescent="0.25">
      <c r="A212">
        <v>201228411</v>
      </c>
      <c r="B212" t="s">
        <v>944</v>
      </c>
      <c r="C212" t="s">
        <v>224</v>
      </c>
      <c r="D212" t="s">
        <v>1987</v>
      </c>
    </row>
    <row r="213" spans="1:4" x14ac:dyDescent="0.25">
      <c r="A213">
        <v>201294058</v>
      </c>
      <c r="B213" t="s">
        <v>962</v>
      </c>
      <c r="C213" t="s">
        <v>225</v>
      </c>
      <c r="D213" t="s">
        <v>1994</v>
      </c>
    </row>
    <row r="214" spans="1:4" x14ac:dyDescent="0.25">
      <c r="A214">
        <v>201294217</v>
      </c>
      <c r="B214" t="s">
        <v>1805</v>
      </c>
      <c r="C214" t="s">
        <v>224</v>
      </c>
      <c r="D214" t="s">
        <v>1981</v>
      </c>
    </row>
    <row r="215" spans="1:4" x14ac:dyDescent="0.25">
      <c r="A215">
        <v>201294789</v>
      </c>
      <c r="B215" t="s">
        <v>1008</v>
      </c>
      <c r="C215" t="s">
        <v>224</v>
      </c>
      <c r="D215" t="s">
        <v>1987</v>
      </c>
    </row>
    <row r="216" spans="1:4" x14ac:dyDescent="0.25">
      <c r="A216">
        <v>201295429</v>
      </c>
      <c r="B216" t="s">
        <v>1009</v>
      </c>
      <c r="C216" t="s">
        <v>224</v>
      </c>
      <c r="D216" t="s">
        <v>1988</v>
      </c>
    </row>
    <row r="217" spans="1:4" x14ac:dyDescent="0.25">
      <c r="A217">
        <v>201295559</v>
      </c>
      <c r="B217" t="s">
        <v>1010</v>
      </c>
      <c r="C217" t="s">
        <v>224</v>
      </c>
      <c r="D217" t="s">
        <v>1988</v>
      </c>
    </row>
    <row r="218" spans="1:4" x14ac:dyDescent="0.25">
      <c r="A218">
        <v>201298365</v>
      </c>
      <c r="B218" t="s">
        <v>963</v>
      </c>
      <c r="C218" t="s">
        <v>225</v>
      </c>
      <c r="D218" t="s">
        <v>1990</v>
      </c>
    </row>
    <row r="219" spans="1:4" x14ac:dyDescent="0.25">
      <c r="A219">
        <v>201300426</v>
      </c>
      <c r="B219" t="s">
        <v>1011</v>
      </c>
      <c r="C219" t="s">
        <v>224</v>
      </c>
      <c r="D219" t="s">
        <v>1985</v>
      </c>
    </row>
    <row r="220" spans="1:4" x14ac:dyDescent="0.25">
      <c r="A220">
        <v>201318220</v>
      </c>
      <c r="B220" t="s">
        <v>1012</v>
      </c>
      <c r="C220" t="s">
        <v>225</v>
      </c>
      <c r="D220" t="s">
        <v>1994</v>
      </c>
    </row>
    <row r="221" spans="1:4" x14ac:dyDescent="0.25">
      <c r="A221">
        <v>201320536</v>
      </c>
      <c r="B221" t="s">
        <v>1013</v>
      </c>
      <c r="C221" t="s">
        <v>227</v>
      </c>
      <c r="D221" t="s">
        <v>1991</v>
      </c>
    </row>
    <row r="222" spans="1:4" x14ac:dyDescent="0.25">
      <c r="A222">
        <v>201329479</v>
      </c>
      <c r="B222" t="s">
        <v>1014</v>
      </c>
      <c r="C222" t="s">
        <v>230</v>
      </c>
      <c r="D222" t="s">
        <v>1994</v>
      </c>
    </row>
    <row r="223" spans="1:4" x14ac:dyDescent="0.25">
      <c r="A223">
        <v>201341534</v>
      </c>
      <c r="B223" t="s">
        <v>1015</v>
      </c>
      <c r="C223" t="s">
        <v>225</v>
      </c>
      <c r="D223" t="s">
        <v>1994</v>
      </c>
    </row>
    <row r="224" spans="1:4" x14ac:dyDescent="0.25">
      <c r="A224">
        <v>201341857</v>
      </c>
      <c r="B224" t="s">
        <v>1016</v>
      </c>
      <c r="C224" t="s">
        <v>1978</v>
      </c>
      <c r="D224" t="s">
        <v>1986</v>
      </c>
    </row>
    <row r="225" spans="1:4" x14ac:dyDescent="0.25">
      <c r="A225">
        <v>201345737</v>
      </c>
      <c r="B225" t="s">
        <v>1017</v>
      </c>
      <c r="C225" t="s">
        <v>224</v>
      </c>
      <c r="D225" t="s">
        <v>1988</v>
      </c>
    </row>
    <row r="226" spans="1:4" x14ac:dyDescent="0.25">
      <c r="A226">
        <v>201345774</v>
      </c>
      <c r="B226" t="s">
        <v>1018</v>
      </c>
      <c r="C226" t="s">
        <v>225</v>
      </c>
      <c r="D226" t="s">
        <v>1982</v>
      </c>
    </row>
    <row r="227" spans="1:4" x14ac:dyDescent="0.25">
      <c r="A227">
        <v>201347331</v>
      </c>
      <c r="B227" t="s">
        <v>1019</v>
      </c>
      <c r="C227" t="s">
        <v>225</v>
      </c>
      <c r="D227" t="s">
        <v>1989</v>
      </c>
    </row>
    <row r="228" spans="1:4" x14ac:dyDescent="0.25">
      <c r="A228">
        <v>201347361</v>
      </c>
      <c r="B228" t="s">
        <v>1020</v>
      </c>
      <c r="C228" t="s">
        <v>224</v>
      </c>
      <c r="D228" t="s">
        <v>1988</v>
      </c>
    </row>
    <row r="229" spans="1:4" x14ac:dyDescent="0.25">
      <c r="A229">
        <v>201350949</v>
      </c>
      <c r="B229" t="s">
        <v>1021</v>
      </c>
      <c r="C229" t="s">
        <v>225</v>
      </c>
      <c r="D229" t="s">
        <v>1982</v>
      </c>
    </row>
    <row r="230" spans="1:4" x14ac:dyDescent="0.25">
      <c r="A230">
        <v>201351399</v>
      </c>
      <c r="B230" t="s">
        <v>1022</v>
      </c>
      <c r="C230" t="s">
        <v>224</v>
      </c>
      <c r="D230" t="s">
        <v>64</v>
      </c>
    </row>
    <row r="231" spans="1:4" x14ac:dyDescent="0.25">
      <c r="A231">
        <v>201353085</v>
      </c>
      <c r="B231" t="s">
        <v>1023</v>
      </c>
      <c r="C231" t="s">
        <v>229</v>
      </c>
      <c r="D231" t="s">
        <v>1990</v>
      </c>
    </row>
    <row r="232" spans="1:4" x14ac:dyDescent="0.25">
      <c r="A232">
        <v>201353153</v>
      </c>
      <c r="B232" t="s">
        <v>1024</v>
      </c>
      <c r="C232" t="s">
        <v>1978</v>
      </c>
      <c r="D232" t="s">
        <v>1986</v>
      </c>
    </row>
    <row r="233" spans="1:4" x14ac:dyDescent="0.25">
      <c r="A233">
        <v>201353166</v>
      </c>
      <c r="B233" t="s">
        <v>1025</v>
      </c>
      <c r="C233" t="s">
        <v>224</v>
      </c>
      <c r="D233" t="s">
        <v>1987</v>
      </c>
    </row>
    <row r="234" spans="1:4" x14ac:dyDescent="0.25">
      <c r="A234">
        <v>201353234</v>
      </c>
      <c r="B234" t="s">
        <v>1026</v>
      </c>
      <c r="C234" t="s">
        <v>224</v>
      </c>
      <c r="D234" t="s">
        <v>64</v>
      </c>
    </row>
    <row r="235" spans="1:4" x14ac:dyDescent="0.25">
      <c r="A235">
        <v>201353293</v>
      </c>
      <c r="B235" t="s">
        <v>1027</v>
      </c>
      <c r="C235" t="s">
        <v>225</v>
      </c>
      <c r="D235" t="s">
        <v>1989</v>
      </c>
    </row>
    <row r="236" spans="1:4" x14ac:dyDescent="0.25">
      <c r="A236">
        <v>201353328</v>
      </c>
      <c r="B236" t="s">
        <v>1028</v>
      </c>
      <c r="C236" t="s">
        <v>1978</v>
      </c>
      <c r="D236" t="s">
        <v>1986</v>
      </c>
    </row>
    <row r="237" spans="1:4" x14ac:dyDescent="0.25">
      <c r="A237">
        <v>201354944</v>
      </c>
      <c r="B237" t="s">
        <v>1029</v>
      </c>
      <c r="C237" t="s">
        <v>225</v>
      </c>
      <c r="D237" t="s">
        <v>1989</v>
      </c>
    </row>
    <row r="238" spans="1:4" x14ac:dyDescent="0.25">
      <c r="A238">
        <v>201354965</v>
      </c>
      <c r="B238" t="s">
        <v>1030</v>
      </c>
      <c r="C238" t="s">
        <v>224</v>
      </c>
      <c r="D238" t="s">
        <v>1991</v>
      </c>
    </row>
    <row r="239" spans="1:4" x14ac:dyDescent="0.25">
      <c r="A239">
        <v>201360639</v>
      </c>
      <c r="B239" t="s">
        <v>1031</v>
      </c>
      <c r="C239" t="s">
        <v>229</v>
      </c>
      <c r="D239" t="s">
        <v>1984</v>
      </c>
    </row>
    <row r="240" spans="1:4" x14ac:dyDescent="0.25">
      <c r="A240">
        <v>201363254</v>
      </c>
      <c r="B240" t="s">
        <v>1032</v>
      </c>
      <c r="C240" t="s">
        <v>224</v>
      </c>
      <c r="D240" t="s">
        <v>64</v>
      </c>
    </row>
    <row r="241" spans="1:4" x14ac:dyDescent="0.25">
      <c r="A241">
        <v>201365023</v>
      </c>
      <c r="B241" t="s">
        <v>1488</v>
      </c>
      <c r="C241" t="s">
        <v>224</v>
      </c>
      <c r="D241" t="s">
        <v>1987</v>
      </c>
    </row>
    <row r="242" spans="1:4" x14ac:dyDescent="0.25">
      <c r="A242">
        <v>201378452</v>
      </c>
      <c r="B242" t="s">
        <v>1033</v>
      </c>
      <c r="C242" t="s">
        <v>225</v>
      </c>
      <c r="D242" t="s">
        <v>1994</v>
      </c>
    </row>
    <row r="243" spans="1:4" x14ac:dyDescent="0.25">
      <c r="A243">
        <v>201378542</v>
      </c>
      <c r="B243" t="s">
        <v>1034</v>
      </c>
      <c r="C243" t="s">
        <v>225</v>
      </c>
      <c r="D243" t="s">
        <v>1994</v>
      </c>
    </row>
    <row r="244" spans="1:4" x14ac:dyDescent="0.25">
      <c r="A244">
        <v>201379035</v>
      </c>
      <c r="B244" t="s">
        <v>1035</v>
      </c>
      <c r="C244" t="s">
        <v>225</v>
      </c>
      <c r="D244" t="s">
        <v>1990</v>
      </c>
    </row>
    <row r="245" spans="1:4" x14ac:dyDescent="0.25">
      <c r="A245">
        <v>201386201</v>
      </c>
      <c r="B245" t="s">
        <v>1196</v>
      </c>
      <c r="C245" t="s">
        <v>225</v>
      </c>
      <c r="D245" t="s">
        <v>1994</v>
      </c>
    </row>
    <row r="246" spans="1:4" x14ac:dyDescent="0.25">
      <c r="A246">
        <v>201390638</v>
      </c>
      <c r="B246" t="s">
        <v>1036</v>
      </c>
      <c r="C246" t="s">
        <v>229</v>
      </c>
      <c r="D246" t="s">
        <v>1982</v>
      </c>
    </row>
    <row r="247" spans="1:4" x14ac:dyDescent="0.25">
      <c r="A247">
        <v>201392150</v>
      </c>
      <c r="B247" t="s">
        <v>1197</v>
      </c>
      <c r="C247" t="s">
        <v>224</v>
      </c>
      <c r="D247" t="s">
        <v>1987</v>
      </c>
    </row>
    <row r="248" spans="1:4" x14ac:dyDescent="0.25">
      <c r="A248">
        <v>201396328</v>
      </c>
      <c r="B248" t="s">
        <v>1037</v>
      </c>
      <c r="C248" t="s">
        <v>225</v>
      </c>
      <c r="D248" t="s">
        <v>1990</v>
      </c>
    </row>
    <row r="249" spans="1:4" x14ac:dyDescent="0.25">
      <c r="A249">
        <v>201401219</v>
      </c>
      <c r="B249" t="s">
        <v>1038</v>
      </c>
      <c r="C249" t="s">
        <v>225</v>
      </c>
      <c r="D249" t="s">
        <v>1994</v>
      </c>
    </row>
    <row r="250" spans="1:4" x14ac:dyDescent="0.25">
      <c r="A250">
        <v>201402212</v>
      </c>
      <c r="B250" t="s">
        <v>1039</v>
      </c>
      <c r="C250" t="s">
        <v>225</v>
      </c>
      <c r="D250" t="s">
        <v>1990</v>
      </c>
    </row>
    <row r="251" spans="1:4" x14ac:dyDescent="0.25">
      <c r="A251">
        <v>201403462</v>
      </c>
      <c r="B251" t="s">
        <v>1198</v>
      </c>
      <c r="C251" t="s">
        <v>226</v>
      </c>
      <c r="D251" t="s">
        <v>1984</v>
      </c>
    </row>
    <row r="252" spans="1:4" x14ac:dyDescent="0.25">
      <c r="A252">
        <v>201403532</v>
      </c>
      <c r="B252" t="s">
        <v>1199</v>
      </c>
      <c r="C252" t="s">
        <v>224</v>
      </c>
      <c r="D252" t="s">
        <v>64</v>
      </c>
    </row>
    <row r="253" spans="1:4" x14ac:dyDescent="0.25">
      <c r="A253">
        <v>201406954</v>
      </c>
      <c r="B253" t="s">
        <v>1200</v>
      </c>
      <c r="C253" t="s">
        <v>226</v>
      </c>
      <c r="D253" t="s">
        <v>1991</v>
      </c>
    </row>
    <row r="254" spans="1:4" x14ac:dyDescent="0.25">
      <c r="A254">
        <v>201406984</v>
      </c>
      <c r="B254" t="s">
        <v>1004</v>
      </c>
      <c r="C254" t="s">
        <v>227</v>
      </c>
      <c r="D254" t="s">
        <v>1984</v>
      </c>
    </row>
    <row r="255" spans="1:4" x14ac:dyDescent="0.25">
      <c r="A255">
        <v>201408141</v>
      </c>
      <c r="B255" t="s">
        <v>1201</v>
      </c>
      <c r="C255" t="s">
        <v>224</v>
      </c>
      <c r="D255" t="s">
        <v>64</v>
      </c>
    </row>
    <row r="256" spans="1:4" x14ac:dyDescent="0.25">
      <c r="A256">
        <v>201408478</v>
      </c>
      <c r="B256" t="s">
        <v>1296</v>
      </c>
      <c r="C256" t="s">
        <v>224</v>
      </c>
      <c r="D256" t="s">
        <v>1987</v>
      </c>
    </row>
    <row r="257" spans="1:4" x14ac:dyDescent="0.25">
      <c r="A257">
        <v>201409624</v>
      </c>
      <c r="B257" t="s">
        <v>1202</v>
      </c>
      <c r="C257" t="s">
        <v>224</v>
      </c>
      <c r="D257" t="s">
        <v>64</v>
      </c>
    </row>
    <row r="258" spans="1:4" x14ac:dyDescent="0.25">
      <c r="A258">
        <v>201835860</v>
      </c>
      <c r="B258" t="s">
        <v>1297</v>
      </c>
      <c r="C258" t="s">
        <v>224</v>
      </c>
      <c r="D258" t="s">
        <v>1987</v>
      </c>
    </row>
    <row r="259" spans="1:4" x14ac:dyDescent="0.25">
      <c r="A259">
        <v>201837318</v>
      </c>
      <c r="B259" t="s">
        <v>1203</v>
      </c>
      <c r="C259" t="s">
        <v>225</v>
      </c>
      <c r="D259" t="s">
        <v>1994</v>
      </c>
    </row>
    <row r="260" spans="1:4" x14ac:dyDescent="0.25">
      <c r="A260">
        <v>201841804</v>
      </c>
      <c r="B260" t="s">
        <v>1204</v>
      </c>
      <c r="C260" t="s">
        <v>227</v>
      </c>
      <c r="D260" t="s">
        <v>1991</v>
      </c>
    </row>
    <row r="261" spans="1:4" x14ac:dyDescent="0.25">
      <c r="A261">
        <v>201841831</v>
      </c>
      <c r="B261" t="s">
        <v>1205</v>
      </c>
      <c r="C261" t="s">
        <v>227</v>
      </c>
      <c r="D261" t="s">
        <v>1991</v>
      </c>
    </row>
    <row r="262" spans="1:4" x14ac:dyDescent="0.25">
      <c r="A262">
        <v>201842039</v>
      </c>
      <c r="B262" t="s">
        <v>1185</v>
      </c>
      <c r="C262" t="s">
        <v>226</v>
      </c>
      <c r="D262" t="s">
        <v>1991</v>
      </c>
    </row>
    <row r="263" spans="1:4" x14ac:dyDescent="0.25">
      <c r="A263">
        <v>201842064</v>
      </c>
      <c r="B263" t="s">
        <v>1186</v>
      </c>
      <c r="C263" t="s">
        <v>226</v>
      </c>
      <c r="D263" t="s">
        <v>1991</v>
      </c>
    </row>
    <row r="264" spans="1:4" x14ac:dyDescent="0.25">
      <c r="A264">
        <v>201847876</v>
      </c>
      <c r="B264" t="s">
        <v>1206</v>
      </c>
      <c r="C264" t="s">
        <v>225</v>
      </c>
      <c r="D264" t="s">
        <v>1994</v>
      </c>
    </row>
    <row r="265" spans="1:4" x14ac:dyDescent="0.25">
      <c r="A265">
        <v>201847967</v>
      </c>
      <c r="B265" t="s">
        <v>1207</v>
      </c>
      <c r="C265" t="s">
        <v>230</v>
      </c>
      <c r="D265" t="s">
        <v>1982</v>
      </c>
    </row>
    <row r="266" spans="1:4" x14ac:dyDescent="0.25">
      <c r="A266">
        <v>201848180</v>
      </c>
      <c r="B266" t="s">
        <v>1208</v>
      </c>
      <c r="C266" t="s">
        <v>230</v>
      </c>
      <c r="D266" t="s">
        <v>1982</v>
      </c>
    </row>
    <row r="267" spans="1:4" x14ac:dyDescent="0.25">
      <c r="A267">
        <v>201858330</v>
      </c>
      <c r="B267" t="s">
        <v>1209</v>
      </c>
      <c r="C267" t="s">
        <v>225</v>
      </c>
      <c r="D267" t="s">
        <v>1994</v>
      </c>
    </row>
    <row r="268" spans="1:4" x14ac:dyDescent="0.25">
      <c r="A268">
        <v>201858605</v>
      </c>
      <c r="B268" t="s">
        <v>1210</v>
      </c>
      <c r="C268" t="s">
        <v>225</v>
      </c>
      <c r="D268" t="s">
        <v>1994</v>
      </c>
    </row>
    <row r="269" spans="1:4" x14ac:dyDescent="0.25">
      <c r="A269">
        <v>201858789</v>
      </c>
      <c r="B269" t="s">
        <v>1187</v>
      </c>
      <c r="C269" t="s">
        <v>226</v>
      </c>
      <c r="D269" t="s">
        <v>1991</v>
      </c>
    </row>
    <row r="270" spans="1:4" x14ac:dyDescent="0.25">
      <c r="A270">
        <v>201858867</v>
      </c>
      <c r="B270" t="s">
        <v>1188</v>
      </c>
      <c r="C270" t="s">
        <v>226</v>
      </c>
      <c r="D270" t="s">
        <v>1991</v>
      </c>
    </row>
    <row r="271" spans="1:4" x14ac:dyDescent="0.25">
      <c r="A271">
        <v>201864225</v>
      </c>
      <c r="B271" t="s">
        <v>1189</v>
      </c>
      <c r="C271" t="s">
        <v>226</v>
      </c>
      <c r="D271" t="s">
        <v>1991</v>
      </c>
    </row>
    <row r="272" spans="1:4" x14ac:dyDescent="0.25">
      <c r="A272">
        <v>201874223</v>
      </c>
      <c r="B272" t="s">
        <v>1298</v>
      </c>
      <c r="C272" t="s">
        <v>224</v>
      </c>
      <c r="D272" t="s">
        <v>64</v>
      </c>
    </row>
    <row r="273" spans="1:4" x14ac:dyDescent="0.25">
      <c r="A273">
        <v>201874248</v>
      </c>
      <c r="B273" t="s">
        <v>1299</v>
      </c>
      <c r="C273" t="s">
        <v>224</v>
      </c>
      <c r="D273" t="s">
        <v>64</v>
      </c>
    </row>
    <row r="274" spans="1:4" x14ac:dyDescent="0.25">
      <c r="A274">
        <v>201880542</v>
      </c>
      <c r="B274" t="s">
        <v>1300</v>
      </c>
      <c r="C274" t="s">
        <v>225</v>
      </c>
      <c r="D274" t="s">
        <v>1994</v>
      </c>
    </row>
    <row r="275" spans="1:4" x14ac:dyDescent="0.25">
      <c r="A275">
        <v>201882567</v>
      </c>
      <c r="B275" t="s">
        <v>1301</v>
      </c>
      <c r="C275" t="s">
        <v>225</v>
      </c>
      <c r="D275" t="s">
        <v>1982</v>
      </c>
    </row>
    <row r="276" spans="1:4" x14ac:dyDescent="0.25">
      <c r="A276">
        <v>201890790</v>
      </c>
      <c r="B276" t="s">
        <v>1302</v>
      </c>
      <c r="C276" t="s">
        <v>225</v>
      </c>
      <c r="D276" t="s">
        <v>1982</v>
      </c>
    </row>
    <row r="277" spans="1:4" x14ac:dyDescent="0.25">
      <c r="A277">
        <v>201891076</v>
      </c>
      <c r="B277" t="s">
        <v>1303</v>
      </c>
      <c r="C277" t="s">
        <v>225</v>
      </c>
      <c r="D277" t="s">
        <v>1982</v>
      </c>
    </row>
    <row r="278" spans="1:4" x14ac:dyDescent="0.25">
      <c r="A278">
        <v>201891999</v>
      </c>
      <c r="B278" t="s">
        <v>1304</v>
      </c>
      <c r="C278" t="s">
        <v>224</v>
      </c>
      <c r="D278" t="s">
        <v>64</v>
      </c>
    </row>
    <row r="279" spans="1:4" x14ac:dyDescent="0.25">
      <c r="A279">
        <v>201892022</v>
      </c>
      <c r="B279" t="s">
        <v>1305</v>
      </c>
      <c r="C279" t="s">
        <v>224</v>
      </c>
      <c r="D279" t="s">
        <v>64</v>
      </c>
    </row>
    <row r="280" spans="1:4" x14ac:dyDescent="0.25">
      <c r="A280">
        <v>201892028</v>
      </c>
      <c r="B280" t="s">
        <v>1489</v>
      </c>
      <c r="C280" t="s">
        <v>226</v>
      </c>
      <c r="D280" t="s">
        <v>1988</v>
      </c>
    </row>
    <row r="281" spans="1:4" x14ac:dyDescent="0.25">
      <c r="A281">
        <v>201901324</v>
      </c>
      <c r="B281" t="s">
        <v>1306</v>
      </c>
      <c r="C281" t="s">
        <v>225</v>
      </c>
      <c r="D281" t="s">
        <v>1989</v>
      </c>
    </row>
    <row r="282" spans="1:4" x14ac:dyDescent="0.25">
      <c r="A282">
        <v>201901910</v>
      </c>
      <c r="B282" t="s">
        <v>1307</v>
      </c>
      <c r="C282" t="s">
        <v>226</v>
      </c>
      <c r="D282" t="s">
        <v>1991</v>
      </c>
    </row>
    <row r="283" spans="1:4" x14ac:dyDescent="0.25">
      <c r="A283">
        <v>201901967</v>
      </c>
      <c r="B283" t="s">
        <v>1308</v>
      </c>
      <c r="C283" t="s">
        <v>224</v>
      </c>
      <c r="D283" t="s">
        <v>64</v>
      </c>
    </row>
    <row r="284" spans="1:4" x14ac:dyDescent="0.25">
      <c r="A284">
        <v>201902140</v>
      </c>
      <c r="B284" t="s">
        <v>1309</v>
      </c>
      <c r="C284" t="s">
        <v>225</v>
      </c>
      <c r="D284" t="s">
        <v>1989</v>
      </c>
    </row>
    <row r="285" spans="1:4" x14ac:dyDescent="0.25">
      <c r="A285">
        <v>201902975</v>
      </c>
      <c r="B285" t="s">
        <v>1310</v>
      </c>
      <c r="C285" t="s">
        <v>227</v>
      </c>
      <c r="D285" t="s">
        <v>1991</v>
      </c>
    </row>
    <row r="286" spans="1:4" x14ac:dyDescent="0.25">
      <c r="A286">
        <v>201903088</v>
      </c>
      <c r="B286" t="s">
        <v>1311</v>
      </c>
      <c r="C286" t="s">
        <v>225</v>
      </c>
      <c r="D286" t="s">
        <v>1989</v>
      </c>
    </row>
    <row r="287" spans="1:4" x14ac:dyDescent="0.25">
      <c r="A287">
        <v>201903097</v>
      </c>
      <c r="B287" t="s">
        <v>1312</v>
      </c>
      <c r="C287" t="s">
        <v>226</v>
      </c>
      <c r="D287" t="s">
        <v>1991</v>
      </c>
    </row>
    <row r="288" spans="1:4" x14ac:dyDescent="0.25">
      <c r="A288">
        <v>201906503</v>
      </c>
      <c r="B288" t="s">
        <v>1313</v>
      </c>
      <c r="C288" t="s">
        <v>224</v>
      </c>
      <c r="D288" t="s">
        <v>64</v>
      </c>
    </row>
    <row r="289" spans="1:4" x14ac:dyDescent="0.25">
      <c r="A289">
        <v>201908189</v>
      </c>
      <c r="B289" t="s">
        <v>1314</v>
      </c>
      <c r="C289" t="s">
        <v>226</v>
      </c>
      <c r="D289" t="s">
        <v>1991</v>
      </c>
    </row>
    <row r="290" spans="1:4" x14ac:dyDescent="0.25">
      <c r="A290">
        <v>202055011</v>
      </c>
      <c r="B290" t="s">
        <v>1315</v>
      </c>
      <c r="C290" t="s">
        <v>1978</v>
      </c>
      <c r="D290" t="s">
        <v>1986</v>
      </c>
    </row>
    <row r="291" spans="1:4" x14ac:dyDescent="0.25">
      <c r="A291">
        <v>202062181</v>
      </c>
      <c r="B291" t="s">
        <v>1316</v>
      </c>
      <c r="C291" t="s">
        <v>229</v>
      </c>
      <c r="D291" t="s">
        <v>1990</v>
      </c>
    </row>
    <row r="292" spans="1:4" x14ac:dyDescent="0.25">
      <c r="A292">
        <v>202062210</v>
      </c>
      <c r="B292" t="s">
        <v>1317</v>
      </c>
      <c r="C292" t="s">
        <v>225</v>
      </c>
      <c r="D292" t="s">
        <v>1994</v>
      </c>
    </row>
    <row r="293" spans="1:4" x14ac:dyDescent="0.25">
      <c r="A293">
        <v>202063545</v>
      </c>
      <c r="B293" t="s">
        <v>1318</v>
      </c>
      <c r="C293" t="s">
        <v>229</v>
      </c>
      <c r="D293" t="s">
        <v>1990</v>
      </c>
    </row>
    <row r="294" spans="1:4" x14ac:dyDescent="0.25">
      <c r="A294">
        <v>202063602</v>
      </c>
      <c r="B294" t="s">
        <v>1319</v>
      </c>
      <c r="C294" t="s">
        <v>225</v>
      </c>
      <c r="D294" t="s">
        <v>1985</v>
      </c>
    </row>
    <row r="295" spans="1:4" x14ac:dyDescent="0.25">
      <c r="A295">
        <v>202067403</v>
      </c>
      <c r="B295" t="s">
        <v>1320</v>
      </c>
      <c r="C295" t="s">
        <v>229</v>
      </c>
      <c r="D295" t="s">
        <v>1990</v>
      </c>
    </row>
    <row r="296" spans="1:4" x14ac:dyDescent="0.25">
      <c r="A296">
        <v>202068103</v>
      </c>
      <c r="B296" t="s">
        <v>1321</v>
      </c>
      <c r="C296" t="s">
        <v>224</v>
      </c>
      <c r="D296" t="s">
        <v>64</v>
      </c>
    </row>
    <row r="297" spans="1:4" x14ac:dyDescent="0.25">
      <c r="A297">
        <v>202068111</v>
      </c>
      <c r="B297" t="s">
        <v>1322</v>
      </c>
      <c r="C297" t="s">
        <v>224</v>
      </c>
      <c r="D297" t="s">
        <v>64</v>
      </c>
    </row>
    <row r="298" spans="1:4" x14ac:dyDescent="0.25">
      <c r="A298">
        <v>202068119</v>
      </c>
      <c r="B298" t="s">
        <v>1323</v>
      </c>
      <c r="C298" t="s">
        <v>224</v>
      </c>
      <c r="D298" t="s">
        <v>1984</v>
      </c>
    </row>
    <row r="299" spans="1:4" x14ac:dyDescent="0.25">
      <c r="A299">
        <v>202070021</v>
      </c>
      <c r="B299" t="s">
        <v>1324</v>
      </c>
      <c r="C299" t="s">
        <v>225</v>
      </c>
      <c r="D299" t="s">
        <v>1989</v>
      </c>
    </row>
    <row r="300" spans="1:4" x14ac:dyDescent="0.25">
      <c r="A300">
        <v>202070149</v>
      </c>
      <c r="B300" t="s">
        <v>1806</v>
      </c>
      <c r="C300" t="s">
        <v>225</v>
      </c>
      <c r="D300" t="s">
        <v>1989</v>
      </c>
    </row>
    <row r="301" spans="1:4" x14ac:dyDescent="0.25">
      <c r="A301">
        <v>202070218</v>
      </c>
      <c r="B301" t="s">
        <v>1325</v>
      </c>
      <c r="C301" t="s">
        <v>225</v>
      </c>
      <c r="D301" t="s">
        <v>1989</v>
      </c>
    </row>
    <row r="302" spans="1:4" x14ac:dyDescent="0.25">
      <c r="A302">
        <v>202077601</v>
      </c>
      <c r="B302" t="s">
        <v>1326</v>
      </c>
      <c r="C302" t="s">
        <v>225</v>
      </c>
      <c r="D302" t="s">
        <v>1994</v>
      </c>
    </row>
    <row r="303" spans="1:4" x14ac:dyDescent="0.25">
      <c r="A303">
        <v>202077845</v>
      </c>
      <c r="B303" t="s">
        <v>1327</v>
      </c>
      <c r="C303" t="s">
        <v>224</v>
      </c>
      <c r="D303" t="s">
        <v>64</v>
      </c>
    </row>
    <row r="304" spans="1:4" x14ac:dyDescent="0.25">
      <c r="A304">
        <v>202078459</v>
      </c>
      <c r="B304" t="s">
        <v>1328</v>
      </c>
      <c r="C304" t="s">
        <v>224</v>
      </c>
      <c r="D304" t="s">
        <v>64</v>
      </c>
    </row>
    <row r="305" spans="1:4" x14ac:dyDescent="0.25">
      <c r="A305">
        <v>202079441</v>
      </c>
      <c r="B305" t="s">
        <v>1329</v>
      </c>
      <c r="C305" t="s">
        <v>224</v>
      </c>
      <c r="D305" t="s">
        <v>64</v>
      </c>
    </row>
    <row r="306" spans="1:4" x14ac:dyDescent="0.25">
      <c r="A306">
        <v>202079504</v>
      </c>
      <c r="B306" t="s">
        <v>1330</v>
      </c>
      <c r="C306" t="s">
        <v>224</v>
      </c>
      <c r="D306" t="s">
        <v>64</v>
      </c>
    </row>
    <row r="307" spans="1:4" x14ac:dyDescent="0.25">
      <c r="A307">
        <v>202080758</v>
      </c>
      <c r="B307" t="s">
        <v>1331</v>
      </c>
      <c r="C307" t="s">
        <v>225</v>
      </c>
      <c r="D307" t="s">
        <v>1989</v>
      </c>
    </row>
    <row r="308" spans="1:4" x14ac:dyDescent="0.25">
      <c r="A308">
        <v>202081087</v>
      </c>
      <c r="B308" t="s">
        <v>1332</v>
      </c>
      <c r="C308" t="s">
        <v>224</v>
      </c>
      <c r="D308" t="s">
        <v>64</v>
      </c>
    </row>
    <row r="309" spans="1:4" x14ac:dyDescent="0.25">
      <c r="A309">
        <v>202081527</v>
      </c>
      <c r="B309" t="s">
        <v>1333</v>
      </c>
      <c r="C309" t="s">
        <v>224</v>
      </c>
      <c r="D309" t="s">
        <v>1985</v>
      </c>
    </row>
    <row r="310" spans="1:4" x14ac:dyDescent="0.25">
      <c r="A310">
        <v>202081574</v>
      </c>
      <c r="B310" t="s">
        <v>1334</v>
      </c>
      <c r="C310" t="s">
        <v>1978</v>
      </c>
      <c r="D310" t="s">
        <v>1986</v>
      </c>
    </row>
    <row r="311" spans="1:4" x14ac:dyDescent="0.25">
      <c r="A311">
        <v>202084638</v>
      </c>
      <c r="B311" t="s">
        <v>1335</v>
      </c>
      <c r="C311" t="s">
        <v>229</v>
      </c>
      <c r="D311" t="s">
        <v>1982</v>
      </c>
    </row>
    <row r="312" spans="1:4" x14ac:dyDescent="0.25">
      <c r="A312">
        <v>202099131</v>
      </c>
      <c r="B312" t="s">
        <v>1336</v>
      </c>
      <c r="C312" t="s">
        <v>225</v>
      </c>
      <c r="D312" t="s">
        <v>1989</v>
      </c>
    </row>
    <row r="313" spans="1:4" x14ac:dyDescent="0.25">
      <c r="A313">
        <v>202099137</v>
      </c>
      <c r="B313" t="s">
        <v>1337</v>
      </c>
      <c r="C313" t="s">
        <v>229</v>
      </c>
      <c r="D313" t="s">
        <v>1982</v>
      </c>
    </row>
    <row r="314" spans="1:4" x14ac:dyDescent="0.25">
      <c r="A314">
        <v>202099144</v>
      </c>
      <c r="B314" t="s">
        <v>1338</v>
      </c>
      <c r="C314" t="s">
        <v>229</v>
      </c>
      <c r="D314" t="s">
        <v>1982</v>
      </c>
    </row>
    <row r="315" spans="1:4" x14ac:dyDescent="0.25">
      <c r="A315">
        <v>202099228</v>
      </c>
      <c r="B315" t="s">
        <v>1339</v>
      </c>
      <c r="C315" t="s">
        <v>224</v>
      </c>
      <c r="D315" t="s">
        <v>1984</v>
      </c>
    </row>
    <row r="316" spans="1:4" x14ac:dyDescent="0.25">
      <c r="A316">
        <v>202099229</v>
      </c>
      <c r="B316" t="s">
        <v>1340</v>
      </c>
      <c r="C316" t="s">
        <v>1978</v>
      </c>
      <c r="D316" t="s">
        <v>1986</v>
      </c>
    </row>
    <row r="317" spans="1:4" x14ac:dyDescent="0.25">
      <c r="A317">
        <v>202103139</v>
      </c>
      <c r="B317" t="s">
        <v>1341</v>
      </c>
      <c r="C317" t="s">
        <v>224</v>
      </c>
      <c r="D317" t="s">
        <v>1987</v>
      </c>
    </row>
    <row r="318" spans="1:4" x14ac:dyDescent="0.25">
      <c r="A318">
        <v>202109398</v>
      </c>
      <c r="B318" t="s">
        <v>1342</v>
      </c>
      <c r="C318" t="s">
        <v>225</v>
      </c>
      <c r="D318" t="s">
        <v>1989</v>
      </c>
    </row>
    <row r="319" spans="1:4" x14ac:dyDescent="0.25">
      <c r="A319">
        <v>202109486</v>
      </c>
      <c r="B319" t="s">
        <v>1343</v>
      </c>
      <c r="C319" t="s">
        <v>229</v>
      </c>
      <c r="D319" t="s">
        <v>1982</v>
      </c>
    </row>
    <row r="320" spans="1:4" x14ac:dyDescent="0.25">
      <c r="A320">
        <v>202109750</v>
      </c>
      <c r="B320" t="s">
        <v>1344</v>
      </c>
      <c r="C320" t="s">
        <v>1978</v>
      </c>
      <c r="D320" t="s">
        <v>1986</v>
      </c>
    </row>
    <row r="321" spans="1:4" x14ac:dyDescent="0.25">
      <c r="A321">
        <v>202113008</v>
      </c>
      <c r="B321" t="s">
        <v>1345</v>
      </c>
      <c r="C321" t="s">
        <v>225</v>
      </c>
      <c r="D321" t="s">
        <v>1985</v>
      </c>
    </row>
    <row r="322" spans="1:4" x14ac:dyDescent="0.25">
      <c r="A322">
        <v>202117420</v>
      </c>
      <c r="B322" t="s">
        <v>1346</v>
      </c>
      <c r="C322" t="s">
        <v>224</v>
      </c>
      <c r="D322" t="s">
        <v>1984</v>
      </c>
    </row>
    <row r="323" spans="1:4" x14ac:dyDescent="0.25">
      <c r="A323">
        <v>202117472</v>
      </c>
      <c r="B323" t="s">
        <v>1347</v>
      </c>
      <c r="C323" t="s">
        <v>224</v>
      </c>
      <c r="D323" t="s">
        <v>1985</v>
      </c>
    </row>
    <row r="324" spans="1:4" x14ac:dyDescent="0.25">
      <c r="A324">
        <v>202117751</v>
      </c>
      <c r="B324" t="s">
        <v>1348</v>
      </c>
      <c r="C324" t="s">
        <v>1978</v>
      </c>
      <c r="D324" t="s">
        <v>1986</v>
      </c>
    </row>
    <row r="325" spans="1:4" x14ac:dyDescent="0.25">
      <c r="A325">
        <v>202118021</v>
      </c>
      <c r="B325" t="s">
        <v>1349</v>
      </c>
      <c r="C325" t="s">
        <v>225</v>
      </c>
      <c r="D325" t="s">
        <v>1994</v>
      </c>
    </row>
    <row r="326" spans="1:4" x14ac:dyDescent="0.25">
      <c r="A326">
        <v>202118311</v>
      </c>
      <c r="B326" t="s">
        <v>1350</v>
      </c>
      <c r="C326" t="s">
        <v>224</v>
      </c>
      <c r="D326" t="s">
        <v>1981</v>
      </c>
    </row>
    <row r="327" spans="1:4" x14ac:dyDescent="0.25">
      <c r="A327">
        <v>202118346</v>
      </c>
      <c r="B327" t="s">
        <v>1351</v>
      </c>
      <c r="C327" t="s">
        <v>225</v>
      </c>
      <c r="D327" t="s">
        <v>1990</v>
      </c>
    </row>
    <row r="328" spans="1:4" x14ac:dyDescent="0.25">
      <c r="A328">
        <v>202118479</v>
      </c>
      <c r="B328" t="s">
        <v>1352</v>
      </c>
      <c r="C328" t="s">
        <v>224</v>
      </c>
      <c r="D328" t="s">
        <v>64</v>
      </c>
    </row>
    <row r="329" spans="1:4" x14ac:dyDescent="0.25">
      <c r="A329">
        <v>202118504</v>
      </c>
      <c r="B329" t="s">
        <v>1353</v>
      </c>
      <c r="C329" t="s">
        <v>224</v>
      </c>
      <c r="D329" t="s">
        <v>64</v>
      </c>
    </row>
    <row r="330" spans="1:4" x14ac:dyDescent="0.25">
      <c r="A330">
        <v>202120077</v>
      </c>
      <c r="B330" t="s">
        <v>1354</v>
      </c>
      <c r="C330" t="s">
        <v>224</v>
      </c>
      <c r="D330" t="s">
        <v>64</v>
      </c>
    </row>
    <row r="331" spans="1:4" x14ac:dyDescent="0.25">
      <c r="A331">
        <v>202120274</v>
      </c>
      <c r="B331" t="s">
        <v>1355</v>
      </c>
      <c r="C331" t="s">
        <v>224</v>
      </c>
      <c r="D331" t="s">
        <v>1985</v>
      </c>
    </row>
    <row r="332" spans="1:4" x14ac:dyDescent="0.25">
      <c r="A332">
        <v>202120362</v>
      </c>
      <c r="B332" t="s">
        <v>1356</v>
      </c>
      <c r="C332" t="s">
        <v>224</v>
      </c>
      <c r="D332" t="s">
        <v>64</v>
      </c>
    </row>
    <row r="333" spans="1:4" x14ac:dyDescent="0.25">
      <c r="A333">
        <v>202120417</v>
      </c>
      <c r="B333" t="s">
        <v>1357</v>
      </c>
      <c r="C333" t="s">
        <v>224</v>
      </c>
      <c r="D333" t="s">
        <v>1984</v>
      </c>
    </row>
    <row r="334" spans="1:4" x14ac:dyDescent="0.25">
      <c r="A334">
        <v>202120444</v>
      </c>
      <c r="B334" t="s">
        <v>1358</v>
      </c>
      <c r="C334" t="s">
        <v>1978</v>
      </c>
      <c r="D334" t="s">
        <v>1986</v>
      </c>
    </row>
    <row r="335" spans="1:4" x14ac:dyDescent="0.25">
      <c r="A335">
        <v>202129139</v>
      </c>
      <c r="B335" t="s">
        <v>1359</v>
      </c>
      <c r="C335" t="s">
        <v>224</v>
      </c>
      <c r="D335" t="s">
        <v>1981</v>
      </c>
    </row>
    <row r="336" spans="1:4" x14ac:dyDescent="0.25">
      <c r="A336">
        <v>202129193</v>
      </c>
      <c r="B336" t="s">
        <v>1360</v>
      </c>
      <c r="C336" t="s">
        <v>225</v>
      </c>
      <c r="D336" t="s">
        <v>1989</v>
      </c>
    </row>
    <row r="337" spans="1:4" x14ac:dyDescent="0.25">
      <c r="A337">
        <v>202129214</v>
      </c>
      <c r="B337" t="s">
        <v>1361</v>
      </c>
      <c r="C337" t="s">
        <v>228</v>
      </c>
      <c r="D337" t="s">
        <v>1984</v>
      </c>
    </row>
    <row r="338" spans="1:4" x14ac:dyDescent="0.25">
      <c r="A338">
        <v>202129731</v>
      </c>
      <c r="B338" t="s">
        <v>1362</v>
      </c>
      <c r="C338" t="s">
        <v>224</v>
      </c>
      <c r="D338" t="s">
        <v>1987</v>
      </c>
    </row>
    <row r="339" spans="1:4" x14ac:dyDescent="0.25">
      <c r="A339">
        <v>202130113</v>
      </c>
      <c r="B339" t="s">
        <v>1363</v>
      </c>
      <c r="C339" t="s">
        <v>225</v>
      </c>
      <c r="D339" t="s">
        <v>1989</v>
      </c>
    </row>
    <row r="340" spans="1:4" x14ac:dyDescent="0.25">
      <c r="A340">
        <v>202133575</v>
      </c>
      <c r="B340" t="s">
        <v>1364</v>
      </c>
      <c r="C340" t="s">
        <v>225</v>
      </c>
      <c r="D340" t="s">
        <v>1990</v>
      </c>
    </row>
    <row r="341" spans="1:4" x14ac:dyDescent="0.25">
      <c r="A341">
        <v>202133678</v>
      </c>
      <c r="B341" t="s">
        <v>1365</v>
      </c>
      <c r="C341" t="s">
        <v>227</v>
      </c>
      <c r="D341" t="s">
        <v>1987</v>
      </c>
    </row>
    <row r="342" spans="1:4" x14ac:dyDescent="0.25">
      <c r="A342">
        <v>202137020</v>
      </c>
      <c r="B342" t="s">
        <v>1366</v>
      </c>
      <c r="C342" t="s">
        <v>224</v>
      </c>
      <c r="D342" t="s">
        <v>1987</v>
      </c>
    </row>
    <row r="343" spans="1:4" x14ac:dyDescent="0.25">
      <c r="A343">
        <v>202137022</v>
      </c>
      <c r="B343" t="s">
        <v>1367</v>
      </c>
      <c r="C343" t="s">
        <v>224</v>
      </c>
      <c r="D343" t="s">
        <v>1981</v>
      </c>
    </row>
    <row r="344" spans="1:4" x14ac:dyDescent="0.25">
      <c r="A344">
        <v>202137099</v>
      </c>
      <c r="B344" t="s">
        <v>1368</v>
      </c>
      <c r="C344" t="s">
        <v>224</v>
      </c>
      <c r="D344" t="s">
        <v>1984</v>
      </c>
    </row>
    <row r="345" spans="1:4" x14ac:dyDescent="0.25">
      <c r="A345">
        <v>202137142</v>
      </c>
      <c r="B345" t="s">
        <v>1369</v>
      </c>
      <c r="C345" t="s">
        <v>226</v>
      </c>
      <c r="D345" t="s">
        <v>1988</v>
      </c>
    </row>
    <row r="346" spans="1:4" x14ac:dyDescent="0.25">
      <c r="A346">
        <v>202137149</v>
      </c>
      <c r="B346" t="s">
        <v>1370</v>
      </c>
      <c r="C346" t="s">
        <v>226</v>
      </c>
      <c r="D346" t="s">
        <v>1988</v>
      </c>
    </row>
    <row r="347" spans="1:4" x14ac:dyDescent="0.25">
      <c r="A347">
        <v>202137341</v>
      </c>
      <c r="B347" t="s">
        <v>1371</v>
      </c>
      <c r="C347" t="s">
        <v>225</v>
      </c>
      <c r="D347" t="s">
        <v>1990</v>
      </c>
    </row>
    <row r="348" spans="1:4" x14ac:dyDescent="0.25">
      <c r="A348">
        <v>202137348</v>
      </c>
      <c r="B348" t="s">
        <v>1372</v>
      </c>
      <c r="C348" t="s">
        <v>225</v>
      </c>
      <c r="D348" t="s">
        <v>1990</v>
      </c>
    </row>
    <row r="349" spans="1:4" x14ac:dyDescent="0.25">
      <c r="A349">
        <v>202137757</v>
      </c>
      <c r="B349" t="s">
        <v>1373</v>
      </c>
      <c r="C349" t="s">
        <v>225</v>
      </c>
      <c r="D349" t="s">
        <v>1989</v>
      </c>
    </row>
    <row r="350" spans="1:4" x14ac:dyDescent="0.25">
      <c r="A350">
        <v>202137988</v>
      </c>
      <c r="B350" t="s">
        <v>1374</v>
      </c>
      <c r="C350" t="s">
        <v>225</v>
      </c>
      <c r="D350" t="s">
        <v>1989</v>
      </c>
    </row>
    <row r="351" spans="1:4" x14ac:dyDescent="0.25">
      <c r="A351">
        <v>202145314</v>
      </c>
      <c r="B351" t="s">
        <v>1375</v>
      </c>
      <c r="C351" t="s">
        <v>1978</v>
      </c>
      <c r="D351" t="s">
        <v>1986</v>
      </c>
    </row>
    <row r="352" spans="1:4" x14ac:dyDescent="0.25">
      <c r="A352">
        <v>202147376</v>
      </c>
      <c r="B352" t="s">
        <v>1376</v>
      </c>
      <c r="C352" t="s">
        <v>227</v>
      </c>
      <c r="D352" t="s">
        <v>1984</v>
      </c>
    </row>
    <row r="353" spans="1:4" x14ac:dyDescent="0.25">
      <c r="A353">
        <v>202147378</v>
      </c>
      <c r="B353" t="s">
        <v>1377</v>
      </c>
      <c r="C353" t="s">
        <v>224</v>
      </c>
      <c r="D353" t="s">
        <v>1984</v>
      </c>
    </row>
    <row r="354" spans="1:4" x14ac:dyDescent="0.25">
      <c r="A354">
        <v>202147405</v>
      </c>
      <c r="B354" t="s">
        <v>1378</v>
      </c>
      <c r="C354" t="s">
        <v>224</v>
      </c>
      <c r="D354" t="s">
        <v>1984</v>
      </c>
    </row>
    <row r="355" spans="1:4" x14ac:dyDescent="0.25">
      <c r="A355">
        <v>202147574</v>
      </c>
      <c r="B355" t="s">
        <v>1379</v>
      </c>
      <c r="C355" t="s">
        <v>226</v>
      </c>
      <c r="D355" t="s">
        <v>1988</v>
      </c>
    </row>
    <row r="356" spans="1:4" x14ac:dyDescent="0.25">
      <c r="A356">
        <v>202154904</v>
      </c>
      <c r="B356" t="s">
        <v>1380</v>
      </c>
      <c r="C356" t="s">
        <v>224</v>
      </c>
      <c r="D356" t="s">
        <v>1987</v>
      </c>
    </row>
    <row r="357" spans="1:4" x14ac:dyDescent="0.25">
      <c r="A357">
        <v>202159550</v>
      </c>
      <c r="B357" t="s">
        <v>1490</v>
      </c>
      <c r="C357" t="s">
        <v>224</v>
      </c>
      <c r="D357" t="s">
        <v>1991</v>
      </c>
    </row>
    <row r="358" spans="1:4" x14ac:dyDescent="0.25">
      <c r="A358">
        <v>202159554</v>
      </c>
      <c r="B358" t="s">
        <v>1491</v>
      </c>
      <c r="C358" t="s">
        <v>224</v>
      </c>
      <c r="D358" t="s">
        <v>1991</v>
      </c>
    </row>
    <row r="359" spans="1:4" x14ac:dyDescent="0.25">
      <c r="A359">
        <v>202159583</v>
      </c>
      <c r="B359" t="s">
        <v>1381</v>
      </c>
      <c r="C359" t="s">
        <v>225</v>
      </c>
      <c r="D359" t="s">
        <v>1982</v>
      </c>
    </row>
    <row r="360" spans="1:4" x14ac:dyDescent="0.25">
      <c r="A360">
        <v>202163952</v>
      </c>
      <c r="B360" t="s">
        <v>1382</v>
      </c>
      <c r="C360" t="s">
        <v>225</v>
      </c>
      <c r="D360" t="s">
        <v>1989</v>
      </c>
    </row>
    <row r="361" spans="1:4" x14ac:dyDescent="0.25">
      <c r="A361">
        <v>202163986</v>
      </c>
      <c r="B361" t="s">
        <v>1383</v>
      </c>
      <c r="C361" t="s">
        <v>225</v>
      </c>
      <c r="D361" t="s">
        <v>1990</v>
      </c>
    </row>
    <row r="362" spans="1:4" x14ac:dyDescent="0.25">
      <c r="A362">
        <v>202165085</v>
      </c>
      <c r="B362" t="s">
        <v>1384</v>
      </c>
      <c r="C362" t="s">
        <v>227</v>
      </c>
      <c r="D362" t="s">
        <v>1984</v>
      </c>
    </row>
    <row r="363" spans="1:4" x14ac:dyDescent="0.25">
      <c r="A363">
        <v>202165115</v>
      </c>
      <c r="B363" t="s">
        <v>1385</v>
      </c>
      <c r="C363" t="s">
        <v>226</v>
      </c>
      <c r="D363" t="s">
        <v>1988</v>
      </c>
    </row>
    <row r="364" spans="1:4" x14ac:dyDescent="0.25">
      <c r="A364">
        <v>202165242</v>
      </c>
      <c r="B364" t="s">
        <v>1386</v>
      </c>
      <c r="C364" t="s">
        <v>226</v>
      </c>
      <c r="D364" t="s">
        <v>1988</v>
      </c>
    </row>
    <row r="365" spans="1:4" x14ac:dyDescent="0.25">
      <c r="A365">
        <v>202165417</v>
      </c>
      <c r="B365" t="s">
        <v>1387</v>
      </c>
      <c r="C365" t="s">
        <v>224</v>
      </c>
      <c r="D365" t="s">
        <v>1987</v>
      </c>
    </row>
    <row r="366" spans="1:4" x14ac:dyDescent="0.25">
      <c r="A366">
        <v>202166757</v>
      </c>
      <c r="B366" t="s">
        <v>1492</v>
      </c>
      <c r="C366" t="s">
        <v>225</v>
      </c>
      <c r="D366" t="s">
        <v>1985</v>
      </c>
    </row>
    <row r="367" spans="1:4" x14ac:dyDescent="0.25">
      <c r="A367">
        <v>202167308</v>
      </c>
      <c r="B367" t="s">
        <v>1493</v>
      </c>
      <c r="C367" t="s">
        <v>225</v>
      </c>
      <c r="D367" t="s">
        <v>1994</v>
      </c>
    </row>
    <row r="368" spans="1:4" x14ac:dyDescent="0.25">
      <c r="A368">
        <v>202167361</v>
      </c>
      <c r="B368" t="s">
        <v>1494</v>
      </c>
      <c r="C368" t="s">
        <v>225</v>
      </c>
      <c r="D368" t="s">
        <v>1994</v>
      </c>
    </row>
    <row r="369" spans="1:4" x14ac:dyDescent="0.25">
      <c r="A369">
        <v>202167572</v>
      </c>
      <c r="B369" t="s">
        <v>1388</v>
      </c>
      <c r="C369" t="s">
        <v>227</v>
      </c>
      <c r="D369" t="s">
        <v>1991</v>
      </c>
    </row>
    <row r="370" spans="1:4" x14ac:dyDescent="0.25">
      <c r="A370">
        <v>202172472</v>
      </c>
      <c r="B370" t="s">
        <v>1495</v>
      </c>
      <c r="C370" t="s">
        <v>227</v>
      </c>
      <c r="D370" t="s">
        <v>1991</v>
      </c>
    </row>
    <row r="371" spans="1:4" x14ac:dyDescent="0.25">
      <c r="A371">
        <v>202173223</v>
      </c>
      <c r="B371" t="s">
        <v>1496</v>
      </c>
      <c r="C371" t="s">
        <v>229</v>
      </c>
      <c r="D371" t="s">
        <v>1990</v>
      </c>
    </row>
    <row r="372" spans="1:4" x14ac:dyDescent="0.25">
      <c r="A372">
        <v>202173728</v>
      </c>
      <c r="B372" t="s">
        <v>1389</v>
      </c>
      <c r="C372" t="s">
        <v>227</v>
      </c>
      <c r="D372" t="s">
        <v>1984</v>
      </c>
    </row>
    <row r="373" spans="1:4" x14ac:dyDescent="0.25">
      <c r="A373">
        <v>202173806</v>
      </c>
      <c r="B373" t="s">
        <v>1497</v>
      </c>
      <c r="C373" t="s">
        <v>225</v>
      </c>
      <c r="D373" t="s">
        <v>1994</v>
      </c>
    </row>
    <row r="374" spans="1:4" x14ac:dyDescent="0.25">
      <c r="A374">
        <v>202173886</v>
      </c>
      <c r="B374" t="s">
        <v>1498</v>
      </c>
      <c r="C374" t="s">
        <v>225</v>
      </c>
      <c r="D374" t="s">
        <v>1985</v>
      </c>
    </row>
    <row r="375" spans="1:4" x14ac:dyDescent="0.25">
      <c r="A375">
        <v>202174029</v>
      </c>
      <c r="B375" t="s">
        <v>1390</v>
      </c>
      <c r="C375" t="s">
        <v>224</v>
      </c>
      <c r="D375" t="s">
        <v>1984</v>
      </c>
    </row>
    <row r="376" spans="1:4" x14ac:dyDescent="0.25">
      <c r="A376">
        <v>202175649</v>
      </c>
      <c r="B376" t="s">
        <v>1391</v>
      </c>
      <c r="C376" t="s">
        <v>227</v>
      </c>
      <c r="D376" t="s">
        <v>1984</v>
      </c>
    </row>
    <row r="377" spans="1:4" x14ac:dyDescent="0.25">
      <c r="A377">
        <v>202175671</v>
      </c>
      <c r="B377" t="s">
        <v>1392</v>
      </c>
      <c r="C377" t="s">
        <v>226</v>
      </c>
      <c r="D377" t="s">
        <v>1988</v>
      </c>
    </row>
    <row r="378" spans="1:4" x14ac:dyDescent="0.25">
      <c r="A378">
        <v>202175835</v>
      </c>
      <c r="B378" t="s">
        <v>1499</v>
      </c>
      <c r="C378" t="s">
        <v>226</v>
      </c>
      <c r="D378" t="s">
        <v>1988</v>
      </c>
    </row>
    <row r="379" spans="1:4" x14ac:dyDescent="0.25">
      <c r="A379">
        <v>202176783</v>
      </c>
      <c r="B379" t="s">
        <v>1500</v>
      </c>
      <c r="C379" t="s">
        <v>226</v>
      </c>
      <c r="D379" t="s">
        <v>1988</v>
      </c>
    </row>
    <row r="380" spans="1:4" x14ac:dyDescent="0.25">
      <c r="A380">
        <v>202176797</v>
      </c>
      <c r="B380" t="s">
        <v>1501</v>
      </c>
      <c r="C380" t="s">
        <v>225</v>
      </c>
      <c r="D380" t="s">
        <v>1994</v>
      </c>
    </row>
    <row r="381" spans="1:4" x14ac:dyDescent="0.25">
      <c r="A381">
        <v>202185202</v>
      </c>
      <c r="B381" t="s">
        <v>1502</v>
      </c>
      <c r="C381" t="s">
        <v>225</v>
      </c>
      <c r="D381" t="s">
        <v>1994</v>
      </c>
    </row>
    <row r="382" spans="1:4" x14ac:dyDescent="0.25">
      <c r="A382">
        <v>202185222</v>
      </c>
      <c r="B382" t="s">
        <v>1503</v>
      </c>
      <c r="C382" t="s">
        <v>225</v>
      </c>
      <c r="D382" t="s">
        <v>1985</v>
      </c>
    </row>
    <row r="383" spans="1:4" x14ac:dyDescent="0.25">
      <c r="A383">
        <v>202185231</v>
      </c>
      <c r="B383" t="s">
        <v>1504</v>
      </c>
      <c r="C383" t="s">
        <v>227</v>
      </c>
      <c r="D383" t="s">
        <v>1991</v>
      </c>
    </row>
    <row r="384" spans="1:4" x14ac:dyDescent="0.25">
      <c r="A384">
        <v>202185991</v>
      </c>
      <c r="B384" t="s">
        <v>1505</v>
      </c>
      <c r="C384" t="s">
        <v>225</v>
      </c>
      <c r="D384" t="s">
        <v>1994</v>
      </c>
    </row>
    <row r="385" spans="1:4" x14ac:dyDescent="0.25">
      <c r="A385">
        <v>202186000</v>
      </c>
      <c r="B385" t="s">
        <v>1506</v>
      </c>
      <c r="C385" t="s">
        <v>224</v>
      </c>
      <c r="D385" t="s">
        <v>1991</v>
      </c>
    </row>
    <row r="386" spans="1:4" x14ac:dyDescent="0.25">
      <c r="A386">
        <v>202186227</v>
      </c>
      <c r="B386" t="s">
        <v>1507</v>
      </c>
      <c r="C386" t="s">
        <v>225</v>
      </c>
      <c r="D386" t="s">
        <v>1994</v>
      </c>
    </row>
    <row r="387" spans="1:4" x14ac:dyDescent="0.25">
      <c r="A387">
        <v>202186438</v>
      </c>
      <c r="B387" t="s">
        <v>1393</v>
      </c>
      <c r="C387" t="s">
        <v>224</v>
      </c>
      <c r="D387" t="s">
        <v>1981</v>
      </c>
    </row>
    <row r="388" spans="1:4" x14ac:dyDescent="0.25">
      <c r="A388">
        <v>202186645</v>
      </c>
      <c r="B388" t="s">
        <v>1508</v>
      </c>
      <c r="C388" t="s">
        <v>224</v>
      </c>
      <c r="D388" t="s">
        <v>1991</v>
      </c>
    </row>
    <row r="389" spans="1:4" x14ac:dyDescent="0.25">
      <c r="A389">
        <v>202188434</v>
      </c>
      <c r="B389" t="s">
        <v>1509</v>
      </c>
      <c r="C389" t="s">
        <v>225</v>
      </c>
      <c r="D389" t="s">
        <v>1985</v>
      </c>
    </row>
    <row r="390" spans="1:4" x14ac:dyDescent="0.25">
      <c r="A390">
        <v>202188991</v>
      </c>
      <c r="B390" t="s">
        <v>1510</v>
      </c>
      <c r="C390" t="s">
        <v>225</v>
      </c>
      <c r="D390" t="s">
        <v>1994</v>
      </c>
    </row>
    <row r="391" spans="1:4" x14ac:dyDescent="0.25">
      <c r="A391">
        <v>202189084</v>
      </c>
      <c r="B391" t="s">
        <v>1511</v>
      </c>
      <c r="C391" t="s">
        <v>225</v>
      </c>
      <c r="D391" t="s">
        <v>1994</v>
      </c>
    </row>
    <row r="392" spans="1:4" x14ac:dyDescent="0.25">
      <c r="A392">
        <v>202189092</v>
      </c>
      <c r="B392" t="s">
        <v>1512</v>
      </c>
      <c r="C392" t="s">
        <v>226</v>
      </c>
      <c r="D392" t="s">
        <v>1988</v>
      </c>
    </row>
    <row r="393" spans="1:4" x14ac:dyDescent="0.25">
      <c r="A393">
        <v>202189809</v>
      </c>
      <c r="B393" t="s">
        <v>1513</v>
      </c>
      <c r="C393" t="s">
        <v>227</v>
      </c>
      <c r="D393" t="s">
        <v>1991</v>
      </c>
    </row>
    <row r="394" spans="1:4" x14ac:dyDescent="0.25">
      <c r="A394">
        <v>202190946</v>
      </c>
      <c r="B394" t="s">
        <v>1514</v>
      </c>
      <c r="C394" t="s">
        <v>225</v>
      </c>
      <c r="D394" t="s">
        <v>1994</v>
      </c>
    </row>
    <row r="395" spans="1:4" x14ac:dyDescent="0.25">
      <c r="A395">
        <v>202194773</v>
      </c>
      <c r="B395" t="s">
        <v>1515</v>
      </c>
      <c r="C395" t="s">
        <v>225</v>
      </c>
      <c r="D395" t="s">
        <v>1990</v>
      </c>
    </row>
    <row r="396" spans="1:4" x14ac:dyDescent="0.25">
      <c r="A396">
        <v>202194855</v>
      </c>
      <c r="B396" t="s">
        <v>1516</v>
      </c>
      <c r="C396" t="s">
        <v>229</v>
      </c>
      <c r="D396" t="s">
        <v>1982</v>
      </c>
    </row>
    <row r="397" spans="1:4" x14ac:dyDescent="0.25">
      <c r="A397">
        <v>202194859</v>
      </c>
      <c r="B397" t="s">
        <v>1517</v>
      </c>
      <c r="C397" t="s">
        <v>229</v>
      </c>
      <c r="D397" t="s">
        <v>1982</v>
      </c>
    </row>
    <row r="398" spans="1:4" x14ac:dyDescent="0.25">
      <c r="A398">
        <v>202194885</v>
      </c>
      <c r="B398" t="s">
        <v>1518</v>
      </c>
      <c r="C398" t="s">
        <v>224</v>
      </c>
      <c r="D398" t="s">
        <v>1991</v>
      </c>
    </row>
    <row r="399" spans="1:4" x14ac:dyDescent="0.25">
      <c r="A399">
        <v>202194928</v>
      </c>
      <c r="B399" t="s">
        <v>1519</v>
      </c>
      <c r="C399" t="s">
        <v>225</v>
      </c>
      <c r="D399" t="s">
        <v>1990</v>
      </c>
    </row>
    <row r="400" spans="1:4" x14ac:dyDescent="0.25">
      <c r="A400">
        <v>202194961</v>
      </c>
      <c r="B400" t="s">
        <v>1520</v>
      </c>
      <c r="C400" t="s">
        <v>225</v>
      </c>
      <c r="D400" t="s">
        <v>1990</v>
      </c>
    </row>
    <row r="401" spans="1:4" x14ac:dyDescent="0.25">
      <c r="A401">
        <v>202194973</v>
      </c>
      <c r="B401" t="s">
        <v>1521</v>
      </c>
      <c r="C401" t="s">
        <v>229</v>
      </c>
      <c r="D401" t="s">
        <v>1982</v>
      </c>
    </row>
    <row r="402" spans="1:4" x14ac:dyDescent="0.25">
      <c r="A402">
        <v>202195532</v>
      </c>
      <c r="B402" t="s">
        <v>1522</v>
      </c>
      <c r="C402" t="s">
        <v>224</v>
      </c>
      <c r="D402" t="s">
        <v>1991</v>
      </c>
    </row>
    <row r="403" spans="1:4" x14ac:dyDescent="0.25">
      <c r="A403">
        <v>202204920</v>
      </c>
      <c r="B403" t="s">
        <v>1523</v>
      </c>
      <c r="C403" t="s">
        <v>229</v>
      </c>
      <c r="D403" t="s">
        <v>1982</v>
      </c>
    </row>
    <row r="404" spans="1:4" x14ac:dyDescent="0.25">
      <c r="A404">
        <v>202204935</v>
      </c>
      <c r="B404" t="s">
        <v>1524</v>
      </c>
      <c r="C404" t="s">
        <v>225</v>
      </c>
      <c r="D404" t="s">
        <v>1990</v>
      </c>
    </row>
    <row r="405" spans="1:4" x14ac:dyDescent="0.25">
      <c r="A405">
        <v>202205225</v>
      </c>
      <c r="B405" t="s">
        <v>1525</v>
      </c>
      <c r="C405" t="s">
        <v>225</v>
      </c>
      <c r="D405" t="s">
        <v>1989</v>
      </c>
    </row>
    <row r="406" spans="1:4" x14ac:dyDescent="0.25">
      <c r="A406">
        <v>202206014</v>
      </c>
      <c r="B406" t="s">
        <v>1526</v>
      </c>
      <c r="C406" t="s">
        <v>229</v>
      </c>
      <c r="D406" t="s">
        <v>1991</v>
      </c>
    </row>
    <row r="407" spans="1:4" x14ac:dyDescent="0.25">
      <c r="A407">
        <v>202206745</v>
      </c>
      <c r="B407" t="s">
        <v>1527</v>
      </c>
      <c r="C407" t="s">
        <v>226</v>
      </c>
      <c r="D407" t="s">
        <v>1988</v>
      </c>
    </row>
    <row r="408" spans="1:4" x14ac:dyDescent="0.25">
      <c r="A408">
        <v>202206867</v>
      </c>
      <c r="B408" t="s">
        <v>1528</v>
      </c>
      <c r="C408" t="s">
        <v>225</v>
      </c>
      <c r="D408" t="s">
        <v>1990</v>
      </c>
    </row>
    <row r="409" spans="1:4" x14ac:dyDescent="0.25">
      <c r="A409">
        <v>202209099</v>
      </c>
      <c r="B409" t="s">
        <v>1529</v>
      </c>
      <c r="C409" t="s">
        <v>224</v>
      </c>
      <c r="D409" t="s">
        <v>1991</v>
      </c>
    </row>
    <row r="410" spans="1:4" x14ac:dyDescent="0.25">
      <c r="A410">
        <v>202213411</v>
      </c>
      <c r="B410" t="s">
        <v>1530</v>
      </c>
      <c r="C410" t="s">
        <v>225</v>
      </c>
      <c r="D410" t="s">
        <v>1990</v>
      </c>
    </row>
    <row r="411" spans="1:4" x14ac:dyDescent="0.25">
      <c r="A411">
        <v>202213572</v>
      </c>
      <c r="B411" t="s">
        <v>1531</v>
      </c>
      <c r="C411" t="s">
        <v>226</v>
      </c>
      <c r="D411" t="s">
        <v>1988</v>
      </c>
    </row>
    <row r="412" spans="1:4" x14ac:dyDescent="0.25">
      <c r="A412">
        <v>202216907</v>
      </c>
      <c r="B412" t="s">
        <v>1532</v>
      </c>
      <c r="C412" t="s">
        <v>225</v>
      </c>
      <c r="D412" t="s">
        <v>1990</v>
      </c>
    </row>
    <row r="413" spans="1:4" x14ac:dyDescent="0.25">
      <c r="A413">
        <v>202219332</v>
      </c>
      <c r="B413" t="s">
        <v>1533</v>
      </c>
      <c r="C413" t="s">
        <v>224</v>
      </c>
      <c r="D413" t="s">
        <v>1985</v>
      </c>
    </row>
    <row r="414" spans="1:4" x14ac:dyDescent="0.25">
      <c r="A414">
        <v>202219460</v>
      </c>
      <c r="B414" t="s">
        <v>1534</v>
      </c>
      <c r="C414" t="s">
        <v>225</v>
      </c>
      <c r="D414" t="s">
        <v>1989</v>
      </c>
    </row>
    <row r="415" spans="1:4" x14ac:dyDescent="0.25">
      <c r="A415">
        <v>202219506</v>
      </c>
      <c r="B415" t="s">
        <v>1535</v>
      </c>
      <c r="C415" t="s">
        <v>226</v>
      </c>
      <c r="D415" t="s">
        <v>1988</v>
      </c>
    </row>
    <row r="416" spans="1:4" x14ac:dyDescent="0.25">
      <c r="A416">
        <v>202219546</v>
      </c>
      <c r="B416" t="s">
        <v>1536</v>
      </c>
      <c r="C416" t="s">
        <v>226</v>
      </c>
      <c r="D416" t="s">
        <v>1988</v>
      </c>
    </row>
    <row r="417" spans="1:4" x14ac:dyDescent="0.25">
      <c r="A417">
        <v>202219558</v>
      </c>
      <c r="B417" t="s">
        <v>1537</v>
      </c>
      <c r="C417" t="s">
        <v>224</v>
      </c>
      <c r="D417" t="s">
        <v>1988</v>
      </c>
    </row>
    <row r="418" spans="1:4" x14ac:dyDescent="0.25">
      <c r="A418">
        <v>202219678</v>
      </c>
      <c r="B418" t="s">
        <v>1449</v>
      </c>
      <c r="C418" t="s">
        <v>225</v>
      </c>
      <c r="D418" t="s">
        <v>1990</v>
      </c>
    </row>
    <row r="419" spans="1:4" x14ac:dyDescent="0.25">
      <c r="A419">
        <v>202220221</v>
      </c>
      <c r="B419" t="s">
        <v>1538</v>
      </c>
      <c r="C419" t="s">
        <v>227</v>
      </c>
      <c r="D419" t="s">
        <v>1988</v>
      </c>
    </row>
    <row r="420" spans="1:4" x14ac:dyDescent="0.25">
      <c r="A420">
        <v>202225896</v>
      </c>
      <c r="B420" t="s">
        <v>1539</v>
      </c>
      <c r="C420" t="s">
        <v>229</v>
      </c>
      <c r="D420" t="s">
        <v>1990</v>
      </c>
    </row>
    <row r="421" spans="1:4" x14ac:dyDescent="0.25">
      <c r="A421">
        <v>202225994</v>
      </c>
      <c r="B421" t="s">
        <v>1540</v>
      </c>
      <c r="C421" t="s">
        <v>225</v>
      </c>
      <c r="D421" t="s">
        <v>1990</v>
      </c>
    </row>
    <row r="422" spans="1:4" x14ac:dyDescent="0.25">
      <c r="A422">
        <v>202226045</v>
      </c>
      <c r="B422" t="s">
        <v>1541</v>
      </c>
      <c r="C422" t="s">
        <v>225</v>
      </c>
      <c r="D422" t="s">
        <v>1989</v>
      </c>
    </row>
    <row r="423" spans="1:4" x14ac:dyDescent="0.25">
      <c r="A423">
        <v>202226099</v>
      </c>
      <c r="B423" t="s">
        <v>1542</v>
      </c>
      <c r="C423" t="s">
        <v>1978</v>
      </c>
      <c r="D423" t="s">
        <v>1986</v>
      </c>
    </row>
    <row r="424" spans="1:4" x14ac:dyDescent="0.25">
      <c r="A424">
        <v>202226189</v>
      </c>
      <c r="B424" t="s">
        <v>1543</v>
      </c>
      <c r="C424" t="s">
        <v>229</v>
      </c>
      <c r="D424" t="s">
        <v>1992</v>
      </c>
    </row>
    <row r="425" spans="1:4" x14ac:dyDescent="0.25">
      <c r="A425">
        <v>202226202</v>
      </c>
      <c r="B425" t="s">
        <v>1544</v>
      </c>
      <c r="C425" t="s">
        <v>225</v>
      </c>
      <c r="D425" t="s">
        <v>1990</v>
      </c>
    </row>
    <row r="426" spans="1:4" x14ac:dyDescent="0.25">
      <c r="A426">
        <v>202226550</v>
      </c>
      <c r="B426" t="s">
        <v>1545</v>
      </c>
      <c r="C426" t="s">
        <v>225</v>
      </c>
      <c r="D426" t="s">
        <v>1989</v>
      </c>
    </row>
    <row r="427" spans="1:4" x14ac:dyDescent="0.25">
      <c r="A427">
        <v>202227108</v>
      </c>
      <c r="B427" t="s">
        <v>1546</v>
      </c>
      <c r="C427" t="s">
        <v>224</v>
      </c>
      <c r="D427" t="s">
        <v>1988</v>
      </c>
    </row>
    <row r="428" spans="1:4" x14ac:dyDescent="0.25">
      <c r="A428">
        <v>202227880</v>
      </c>
      <c r="B428" t="s">
        <v>1547</v>
      </c>
      <c r="C428" t="s">
        <v>224</v>
      </c>
      <c r="D428" t="s">
        <v>1987</v>
      </c>
    </row>
    <row r="429" spans="1:4" x14ac:dyDescent="0.25">
      <c r="A429">
        <v>202227928</v>
      </c>
      <c r="B429" t="s">
        <v>1548</v>
      </c>
      <c r="C429" t="s">
        <v>224</v>
      </c>
      <c r="D429" t="s">
        <v>1987</v>
      </c>
    </row>
    <row r="430" spans="1:4" x14ac:dyDescent="0.25">
      <c r="A430">
        <v>202228011</v>
      </c>
      <c r="B430" t="s">
        <v>1549</v>
      </c>
      <c r="C430" t="s">
        <v>225</v>
      </c>
      <c r="D430" t="s">
        <v>1989</v>
      </c>
    </row>
    <row r="431" spans="1:4" x14ac:dyDescent="0.25">
      <c r="A431">
        <v>202229509</v>
      </c>
      <c r="B431" t="s">
        <v>1550</v>
      </c>
      <c r="C431" t="s">
        <v>226</v>
      </c>
      <c r="D431" t="s">
        <v>1988</v>
      </c>
    </row>
    <row r="432" spans="1:4" x14ac:dyDescent="0.25">
      <c r="A432">
        <v>202229514</v>
      </c>
      <c r="B432" t="s">
        <v>1551</v>
      </c>
      <c r="C432" t="s">
        <v>226</v>
      </c>
      <c r="D432" t="s">
        <v>1988</v>
      </c>
    </row>
    <row r="433" spans="1:4" x14ac:dyDescent="0.25">
      <c r="A433">
        <v>202229832</v>
      </c>
      <c r="B433" t="s">
        <v>1552</v>
      </c>
      <c r="C433" t="s">
        <v>224</v>
      </c>
      <c r="D433" t="s">
        <v>1988</v>
      </c>
    </row>
    <row r="434" spans="1:4" x14ac:dyDescent="0.25">
      <c r="A434">
        <v>202229859</v>
      </c>
      <c r="B434" t="s">
        <v>1553</v>
      </c>
      <c r="C434" t="s">
        <v>229</v>
      </c>
      <c r="D434" t="s">
        <v>1992</v>
      </c>
    </row>
    <row r="435" spans="1:4" x14ac:dyDescent="0.25">
      <c r="A435">
        <v>202235289</v>
      </c>
      <c r="B435" t="s">
        <v>1554</v>
      </c>
      <c r="C435" t="s">
        <v>224</v>
      </c>
      <c r="D435" t="s">
        <v>1988</v>
      </c>
    </row>
    <row r="436" spans="1:4" x14ac:dyDescent="0.25">
      <c r="A436">
        <v>202235589</v>
      </c>
      <c r="B436" t="s">
        <v>1555</v>
      </c>
      <c r="C436" t="s">
        <v>227</v>
      </c>
      <c r="D436" t="s">
        <v>1987</v>
      </c>
    </row>
    <row r="437" spans="1:4" x14ac:dyDescent="0.25">
      <c r="A437">
        <v>202235770</v>
      </c>
      <c r="B437" t="s">
        <v>1556</v>
      </c>
      <c r="C437" t="s">
        <v>225</v>
      </c>
      <c r="D437" t="s">
        <v>1994</v>
      </c>
    </row>
    <row r="438" spans="1:4" x14ac:dyDescent="0.25">
      <c r="A438">
        <v>202235853</v>
      </c>
      <c r="B438" t="s">
        <v>1807</v>
      </c>
      <c r="C438" t="s">
        <v>228</v>
      </c>
      <c r="D438" t="s">
        <v>1984</v>
      </c>
    </row>
    <row r="439" spans="1:4" x14ac:dyDescent="0.25">
      <c r="A439">
        <v>202235929</v>
      </c>
      <c r="B439" t="s">
        <v>1557</v>
      </c>
      <c r="C439" t="s">
        <v>229</v>
      </c>
      <c r="D439" t="s">
        <v>1992</v>
      </c>
    </row>
    <row r="440" spans="1:4" x14ac:dyDescent="0.25">
      <c r="A440">
        <v>202236342</v>
      </c>
      <c r="B440" t="s">
        <v>1558</v>
      </c>
      <c r="C440" t="s">
        <v>1978</v>
      </c>
      <c r="D440" t="s">
        <v>1986</v>
      </c>
    </row>
    <row r="441" spans="1:4" x14ac:dyDescent="0.25">
      <c r="A441">
        <v>202237223</v>
      </c>
      <c r="B441" t="s">
        <v>1559</v>
      </c>
      <c r="C441" t="s">
        <v>1978</v>
      </c>
      <c r="D441" t="s">
        <v>1986</v>
      </c>
    </row>
    <row r="442" spans="1:4" x14ac:dyDescent="0.25">
      <c r="A442">
        <v>202237267</v>
      </c>
      <c r="B442" t="s">
        <v>1560</v>
      </c>
      <c r="C442" t="s">
        <v>229</v>
      </c>
      <c r="D442" t="s">
        <v>1992</v>
      </c>
    </row>
    <row r="443" spans="1:4" x14ac:dyDescent="0.25">
      <c r="A443">
        <v>202237281</v>
      </c>
      <c r="B443" t="s">
        <v>1808</v>
      </c>
      <c r="C443" t="s">
        <v>225</v>
      </c>
      <c r="D443" t="s">
        <v>1992</v>
      </c>
    </row>
    <row r="444" spans="1:4" x14ac:dyDescent="0.25">
      <c r="A444">
        <v>202237290</v>
      </c>
      <c r="B444" t="s">
        <v>1561</v>
      </c>
      <c r="C444" t="s">
        <v>229</v>
      </c>
      <c r="D444" t="s">
        <v>1992</v>
      </c>
    </row>
    <row r="445" spans="1:4" x14ac:dyDescent="0.25">
      <c r="A445">
        <v>202238583</v>
      </c>
      <c r="B445" t="s">
        <v>1562</v>
      </c>
      <c r="C445" t="s">
        <v>224</v>
      </c>
      <c r="D445" t="s">
        <v>1988</v>
      </c>
    </row>
    <row r="446" spans="1:4" x14ac:dyDescent="0.25">
      <c r="A446">
        <v>202238732</v>
      </c>
      <c r="B446" t="s">
        <v>1563</v>
      </c>
      <c r="C446" t="s">
        <v>1978</v>
      </c>
      <c r="D446" t="s">
        <v>1986</v>
      </c>
    </row>
    <row r="447" spans="1:4" x14ac:dyDescent="0.25">
      <c r="A447">
        <v>202238741</v>
      </c>
      <c r="B447" t="s">
        <v>1564</v>
      </c>
      <c r="C447" t="s">
        <v>225</v>
      </c>
      <c r="D447" t="s">
        <v>1990</v>
      </c>
    </row>
    <row r="448" spans="1:4" x14ac:dyDescent="0.25">
      <c r="A448">
        <v>202245845</v>
      </c>
      <c r="B448" t="s">
        <v>1565</v>
      </c>
      <c r="C448" t="s">
        <v>225</v>
      </c>
      <c r="D448" t="s">
        <v>1990</v>
      </c>
    </row>
    <row r="449" spans="1:4" x14ac:dyDescent="0.25">
      <c r="A449">
        <v>202245854</v>
      </c>
      <c r="B449" t="s">
        <v>1566</v>
      </c>
      <c r="C449" t="s">
        <v>1978</v>
      </c>
      <c r="D449" t="s">
        <v>1986</v>
      </c>
    </row>
    <row r="450" spans="1:4" x14ac:dyDescent="0.25">
      <c r="A450">
        <v>202246000</v>
      </c>
      <c r="B450" t="s">
        <v>1567</v>
      </c>
      <c r="C450" t="s">
        <v>226</v>
      </c>
      <c r="D450" t="s">
        <v>1988</v>
      </c>
    </row>
    <row r="451" spans="1:4" x14ac:dyDescent="0.25">
      <c r="A451">
        <v>202246028</v>
      </c>
      <c r="B451" t="s">
        <v>1568</v>
      </c>
      <c r="C451" t="s">
        <v>224</v>
      </c>
      <c r="D451" t="s">
        <v>1988</v>
      </c>
    </row>
    <row r="452" spans="1:4" x14ac:dyDescent="0.25">
      <c r="A452">
        <v>202246652</v>
      </c>
      <c r="B452" t="s">
        <v>1569</v>
      </c>
      <c r="C452" t="s">
        <v>229</v>
      </c>
      <c r="D452" t="s">
        <v>1982</v>
      </c>
    </row>
    <row r="453" spans="1:4" x14ac:dyDescent="0.25">
      <c r="A453">
        <v>202247877</v>
      </c>
      <c r="B453" t="s">
        <v>1570</v>
      </c>
      <c r="C453" t="s">
        <v>225</v>
      </c>
      <c r="D453" t="s">
        <v>1990</v>
      </c>
    </row>
    <row r="454" spans="1:4" x14ac:dyDescent="0.25">
      <c r="A454">
        <v>202249806</v>
      </c>
      <c r="B454" t="s">
        <v>1571</v>
      </c>
      <c r="C454" t="s">
        <v>225</v>
      </c>
      <c r="D454" t="s">
        <v>1990</v>
      </c>
    </row>
    <row r="455" spans="1:4" x14ac:dyDescent="0.25">
      <c r="A455">
        <v>202250087</v>
      </c>
      <c r="B455" t="s">
        <v>1572</v>
      </c>
      <c r="C455" t="s">
        <v>227</v>
      </c>
      <c r="D455" t="s">
        <v>1988</v>
      </c>
    </row>
    <row r="456" spans="1:4" x14ac:dyDescent="0.25">
      <c r="A456">
        <v>202250181</v>
      </c>
      <c r="B456" t="s">
        <v>1573</v>
      </c>
      <c r="C456" t="s">
        <v>229</v>
      </c>
      <c r="D456" t="s">
        <v>1982</v>
      </c>
    </row>
    <row r="457" spans="1:4" x14ac:dyDescent="0.25">
      <c r="A457">
        <v>202250323</v>
      </c>
      <c r="B457" t="s">
        <v>1574</v>
      </c>
      <c r="C457" t="s">
        <v>225</v>
      </c>
      <c r="D457" t="s">
        <v>1982</v>
      </c>
    </row>
    <row r="458" spans="1:4" x14ac:dyDescent="0.25">
      <c r="A458">
        <v>202253578</v>
      </c>
      <c r="B458" t="s">
        <v>1575</v>
      </c>
      <c r="C458" t="s">
        <v>225</v>
      </c>
      <c r="D458" t="s">
        <v>1990</v>
      </c>
    </row>
    <row r="459" spans="1:4" x14ac:dyDescent="0.25">
      <c r="A459">
        <v>202253583</v>
      </c>
      <c r="B459" t="s">
        <v>1576</v>
      </c>
      <c r="C459" t="s">
        <v>229</v>
      </c>
      <c r="D459" t="s">
        <v>1992</v>
      </c>
    </row>
    <row r="460" spans="1:4" x14ac:dyDescent="0.25">
      <c r="A460">
        <v>202253584</v>
      </c>
      <c r="B460" t="s">
        <v>1577</v>
      </c>
      <c r="C460" t="s">
        <v>225</v>
      </c>
      <c r="D460" t="s">
        <v>1990</v>
      </c>
    </row>
    <row r="461" spans="1:4" x14ac:dyDescent="0.25">
      <c r="A461">
        <v>202253745</v>
      </c>
      <c r="B461" t="s">
        <v>1578</v>
      </c>
      <c r="C461" t="s">
        <v>1978</v>
      </c>
      <c r="D461" t="s">
        <v>1986</v>
      </c>
    </row>
    <row r="462" spans="1:4" x14ac:dyDescent="0.25">
      <c r="A462">
        <v>202253761</v>
      </c>
      <c r="B462" t="s">
        <v>1579</v>
      </c>
      <c r="C462" t="s">
        <v>225</v>
      </c>
      <c r="D462" t="s">
        <v>1990</v>
      </c>
    </row>
    <row r="463" spans="1:4" x14ac:dyDescent="0.25">
      <c r="A463">
        <v>202253767</v>
      </c>
      <c r="B463" t="s">
        <v>1580</v>
      </c>
      <c r="C463" t="s">
        <v>1978</v>
      </c>
      <c r="D463" t="s">
        <v>1986</v>
      </c>
    </row>
    <row r="464" spans="1:4" x14ac:dyDescent="0.25">
      <c r="A464">
        <v>202253780</v>
      </c>
      <c r="B464" t="s">
        <v>1581</v>
      </c>
      <c r="C464" t="s">
        <v>1978</v>
      </c>
      <c r="D464" t="s">
        <v>64</v>
      </c>
    </row>
    <row r="465" spans="1:4" x14ac:dyDescent="0.25">
      <c r="A465">
        <v>202253781</v>
      </c>
      <c r="B465" t="s">
        <v>1582</v>
      </c>
      <c r="C465" t="s">
        <v>225</v>
      </c>
      <c r="D465" t="s">
        <v>1989</v>
      </c>
    </row>
    <row r="466" spans="1:4" x14ac:dyDescent="0.25">
      <c r="A466">
        <v>202254886</v>
      </c>
      <c r="B466" t="s">
        <v>1583</v>
      </c>
      <c r="C466" t="s">
        <v>224</v>
      </c>
      <c r="D466" t="s">
        <v>1988</v>
      </c>
    </row>
    <row r="467" spans="1:4" x14ac:dyDescent="0.25">
      <c r="A467">
        <v>202254894</v>
      </c>
      <c r="B467" t="s">
        <v>1584</v>
      </c>
      <c r="C467" t="s">
        <v>224</v>
      </c>
      <c r="D467" t="s">
        <v>1988</v>
      </c>
    </row>
    <row r="468" spans="1:4" x14ac:dyDescent="0.25">
      <c r="A468">
        <v>202254896</v>
      </c>
      <c r="B468" t="s">
        <v>1585</v>
      </c>
      <c r="C468" t="s">
        <v>225</v>
      </c>
      <c r="D468" t="s">
        <v>1982</v>
      </c>
    </row>
    <row r="469" spans="1:4" x14ac:dyDescent="0.25">
      <c r="A469">
        <v>202262575</v>
      </c>
      <c r="B469" t="s">
        <v>1586</v>
      </c>
      <c r="C469" t="s">
        <v>225</v>
      </c>
      <c r="D469" t="s">
        <v>1982</v>
      </c>
    </row>
    <row r="470" spans="1:4" x14ac:dyDescent="0.25">
      <c r="A470">
        <v>202265842</v>
      </c>
      <c r="B470" t="s">
        <v>1587</v>
      </c>
      <c r="C470" t="s">
        <v>229</v>
      </c>
      <c r="D470" t="s">
        <v>1992</v>
      </c>
    </row>
    <row r="471" spans="1:4" x14ac:dyDescent="0.25">
      <c r="A471">
        <v>202265851</v>
      </c>
      <c r="B471" t="s">
        <v>1588</v>
      </c>
      <c r="C471" t="s">
        <v>225</v>
      </c>
      <c r="D471" t="s">
        <v>1982</v>
      </c>
    </row>
    <row r="472" spans="1:4" x14ac:dyDescent="0.25">
      <c r="A472">
        <v>202265858</v>
      </c>
      <c r="B472" t="s">
        <v>1589</v>
      </c>
      <c r="C472" t="s">
        <v>225</v>
      </c>
      <c r="D472" t="s">
        <v>1982</v>
      </c>
    </row>
    <row r="473" spans="1:4" x14ac:dyDescent="0.25">
      <c r="A473">
        <v>202265859</v>
      </c>
      <c r="B473" t="s">
        <v>1590</v>
      </c>
      <c r="C473" t="s">
        <v>230</v>
      </c>
      <c r="D473" t="s">
        <v>1981</v>
      </c>
    </row>
    <row r="474" spans="1:4" x14ac:dyDescent="0.25">
      <c r="A474">
        <v>202265870</v>
      </c>
      <c r="B474" t="s">
        <v>1591</v>
      </c>
      <c r="C474" t="s">
        <v>225</v>
      </c>
      <c r="D474" t="s">
        <v>1982</v>
      </c>
    </row>
    <row r="475" spans="1:4" x14ac:dyDescent="0.25">
      <c r="A475">
        <v>202265877</v>
      </c>
      <c r="B475" t="s">
        <v>1592</v>
      </c>
      <c r="C475" t="s">
        <v>224</v>
      </c>
      <c r="D475" t="s">
        <v>1981</v>
      </c>
    </row>
    <row r="476" spans="1:4" x14ac:dyDescent="0.25">
      <c r="A476">
        <v>202265898</v>
      </c>
      <c r="B476" t="s">
        <v>1593</v>
      </c>
      <c r="C476" t="s">
        <v>229</v>
      </c>
      <c r="D476" t="s">
        <v>1982</v>
      </c>
    </row>
    <row r="477" spans="1:4" x14ac:dyDescent="0.25">
      <c r="A477">
        <v>202265921</v>
      </c>
      <c r="B477" t="s">
        <v>1594</v>
      </c>
      <c r="C477" t="s">
        <v>225</v>
      </c>
      <c r="D477" t="s">
        <v>1990</v>
      </c>
    </row>
    <row r="478" spans="1:4" x14ac:dyDescent="0.25">
      <c r="A478">
        <v>202265969</v>
      </c>
      <c r="B478" t="s">
        <v>1595</v>
      </c>
      <c r="C478" t="s">
        <v>1978</v>
      </c>
      <c r="D478" t="s">
        <v>1986</v>
      </c>
    </row>
    <row r="479" spans="1:4" x14ac:dyDescent="0.25">
      <c r="A479">
        <v>202265981</v>
      </c>
      <c r="B479" t="s">
        <v>1596</v>
      </c>
      <c r="C479" t="s">
        <v>225</v>
      </c>
      <c r="D479" t="s">
        <v>1990</v>
      </c>
    </row>
    <row r="480" spans="1:4" x14ac:dyDescent="0.25">
      <c r="A480">
        <v>202266030</v>
      </c>
      <c r="B480" t="s">
        <v>1597</v>
      </c>
      <c r="C480" t="s">
        <v>224</v>
      </c>
      <c r="D480" t="s">
        <v>1981</v>
      </c>
    </row>
    <row r="481" spans="1:4" x14ac:dyDescent="0.25">
      <c r="A481">
        <v>202266126</v>
      </c>
      <c r="B481" t="s">
        <v>1598</v>
      </c>
      <c r="C481" t="s">
        <v>229</v>
      </c>
      <c r="D481" t="s">
        <v>1982</v>
      </c>
    </row>
    <row r="482" spans="1:4" x14ac:dyDescent="0.25">
      <c r="A482">
        <v>202266131</v>
      </c>
      <c r="B482" t="s">
        <v>1599</v>
      </c>
      <c r="C482" t="s">
        <v>229</v>
      </c>
      <c r="D482" t="s">
        <v>1982</v>
      </c>
    </row>
    <row r="483" spans="1:4" x14ac:dyDescent="0.25">
      <c r="A483">
        <v>202270646</v>
      </c>
      <c r="B483" t="s">
        <v>1600</v>
      </c>
      <c r="C483" t="s">
        <v>227</v>
      </c>
      <c r="D483" t="s">
        <v>1988</v>
      </c>
    </row>
    <row r="484" spans="1:4" x14ac:dyDescent="0.25">
      <c r="A484">
        <v>202270651</v>
      </c>
      <c r="B484" t="s">
        <v>1601</v>
      </c>
      <c r="C484" t="s">
        <v>1978</v>
      </c>
      <c r="D484" t="s">
        <v>1986</v>
      </c>
    </row>
    <row r="485" spans="1:4" x14ac:dyDescent="0.25">
      <c r="A485">
        <v>202270652</v>
      </c>
      <c r="B485" t="s">
        <v>1602</v>
      </c>
      <c r="C485" t="s">
        <v>226</v>
      </c>
      <c r="D485" t="s">
        <v>1988</v>
      </c>
    </row>
    <row r="486" spans="1:4" x14ac:dyDescent="0.25">
      <c r="A486">
        <v>202273970</v>
      </c>
      <c r="B486" t="s">
        <v>1603</v>
      </c>
      <c r="C486" t="s">
        <v>1978</v>
      </c>
      <c r="D486" t="s">
        <v>1986</v>
      </c>
    </row>
    <row r="487" spans="1:4" x14ac:dyDescent="0.25">
      <c r="A487">
        <v>202273994</v>
      </c>
      <c r="B487" t="s">
        <v>1604</v>
      </c>
      <c r="C487" t="s">
        <v>225</v>
      </c>
      <c r="D487" t="s">
        <v>1982</v>
      </c>
    </row>
    <row r="488" spans="1:4" x14ac:dyDescent="0.25">
      <c r="A488">
        <v>202274001</v>
      </c>
      <c r="B488" t="s">
        <v>1605</v>
      </c>
      <c r="C488" t="s">
        <v>227</v>
      </c>
      <c r="D488" t="s">
        <v>1988</v>
      </c>
    </row>
    <row r="489" spans="1:4" x14ac:dyDescent="0.25">
      <c r="A489">
        <v>202274003</v>
      </c>
      <c r="B489" t="s">
        <v>1606</v>
      </c>
      <c r="C489" t="s">
        <v>229</v>
      </c>
      <c r="D489" t="s">
        <v>1992</v>
      </c>
    </row>
    <row r="490" spans="1:4" x14ac:dyDescent="0.25">
      <c r="A490">
        <v>202274041</v>
      </c>
      <c r="B490" t="s">
        <v>1607</v>
      </c>
      <c r="C490" t="s">
        <v>227</v>
      </c>
      <c r="D490" t="s">
        <v>1987</v>
      </c>
    </row>
    <row r="491" spans="1:4" x14ac:dyDescent="0.25">
      <c r="A491">
        <v>202274962</v>
      </c>
      <c r="B491" t="s">
        <v>1608</v>
      </c>
      <c r="C491" t="s">
        <v>224</v>
      </c>
      <c r="D491" t="s">
        <v>1987</v>
      </c>
    </row>
    <row r="492" spans="1:4" x14ac:dyDescent="0.25">
      <c r="A492">
        <v>202274977</v>
      </c>
      <c r="B492" t="s">
        <v>1609</v>
      </c>
      <c r="C492" t="s">
        <v>224</v>
      </c>
      <c r="D492" t="s">
        <v>1987</v>
      </c>
    </row>
    <row r="493" spans="1:4" x14ac:dyDescent="0.25">
      <c r="A493">
        <v>202275013</v>
      </c>
      <c r="B493" t="s">
        <v>1610</v>
      </c>
      <c r="C493" t="s">
        <v>224</v>
      </c>
      <c r="D493" t="s">
        <v>1987</v>
      </c>
    </row>
    <row r="494" spans="1:4" x14ac:dyDescent="0.25">
      <c r="A494">
        <v>202279437</v>
      </c>
      <c r="B494" t="s">
        <v>1611</v>
      </c>
      <c r="C494" t="s">
        <v>224</v>
      </c>
      <c r="D494" t="s">
        <v>1988</v>
      </c>
    </row>
    <row r="495" spans="1:4" x14ac:dyDescent="0.25">
      <c r="A495">
        <v>202279474</v>
      </c>
      <c r="B495" t="s">
        <v>1612</v>
      </c>
      <c r="C495" t="s">
        <v>224</v>
      </c>
      <c r="D495" t="s">
        <v>1988</v>
      </c>
    </row>
    <row r="496" spans="1:4" x14ac:dyDescent="0.25">
      <c r="A496">
        <v>202279661</v>
      </c>
      <c r="B496" t="s">
        <v>1613</v>
      </c>
      <c r="C496" t="s">
        <v>225</v>
      </c>
      <c r="D496" t="s">
        <v>1990</v>
      </c>
    </row>
    <row r="497" spans="1:4" x14ac:dyDescent="0.25">
      <c r="A497">
        <v>202279666</v>
      </c>
      <c r="B497" t="s">
        <v>1614</v>
      </c>
      <c r="C497" t="s">
        <v>1978</v>
      </c>
      <c r="D497" t="s">
        <v>1986</v>
      </c>
    </row>
    <row r="498" spans="1:4" x14ac:dyDescent="0.25">
      <c r="A498">
        <v>202282409</v>
      </c>
      <c r="B498" t="s">
        <v>1615</v>
      </c>
      <c r="C498" t="s">
        <v>224</v>
      </c>
      <c r="D498" t="s">
        <v>1987</v>
      </c>
    </row>
    <row r="499" spans="1:4" x14ac:dyDescent="0.25">
      <c r="A499">
        <v>202282434</v>
      </c>
      <c r="B499" t="s">
        <v>1616</v>
      </c>
      <c r="C499" t="s">
        <v>224</v>
      </c>
      <c r="D499" t="s">
        <v>1987</v>
      </c>
    </row>
    <row r="500" spans="1:4" x14ac:dyDescent="0.25">
      <c r="A500">
        <v>202282459</v>
      </c>
      <c r="B500" t="s">
        <v>1617</v>
      </c>
      <c r="C500" t="s">
        <v>224</v>
      </c>
      <c r="D500" t="s">
        <v>1987</v>
      </c>
    </row>
    <row r="501" spans="1:4" x14ac:dyDescent="0.25">
      <c r="A501">
        <v>202282538</v>
      </c>
      <c r="B501" t="s">
        <v>1618</v>
      </c>
      <c r="C501" t="s">
        <v>225</v>
      </c>
      <c r="D501" t="s">
        <v>1994</v>
      </c>
    </row>
    <row r="502" spans="1:4" x14ac:dyDescent="0.25">
      <c r="A502">
        <v>202282541</v>
      </c>
      <c r="B502" t="s">
        <v>1619</v>
      </c>
      <c r="C502" t="s">
        <v>227</v>
      </c>
      <c r="D502" t="s">
        <v>1988</v>
      </c>
    </row>
    <row r="503" spans="1:4" x14ac:dyDescent="0.25">
      <c r="A503">
        <v>202282620</v>
      </c>
      <c r="B503" t="s">
        <v>1620</v>
      </c>
      <c r="C503" t="s">
        <v>229</v>
      </c>
      <c r="D503" t="s">
        <v>1992</v>
      </c>
    </row>
    <row r="504" spans="1:4" x14ac:dyDescent="0.25">
      <c r="A504">
        <v>202282656</v>
      </c>
      <c r="B504" t="s">
        <v>1809</v>
      </c>
      <c r="C504" t="s">
        <v>229</v>
      </c>
      <c r="D504" t="s">
        <v>1986</v>
      </c>
    </row>
    <row r="505" spans="1:4" x14ac:dyDescent="0.25">
      <c r="A505">
        <v>202282801</v>
      </c>
      <c r="B505" t="s">
        <v>1621</v>
      </c>
      <c r="C505" t="s">
        <v>224</v>
      </c>
      <c r="D505" t="s">
        <v>1981</v>
      </c>
    </row>
    <row r="506" spans="1:4" x14ac:dyDescent="0.25">
      <c r="A506">
        <v>202283406</v>
      </c>
      <c r="B506" t="s">
        <v>1622</v>
      </c>
      <c r="C506" t="s">
        <v>225</v>
      </c>
      <c r="D506" t="s">
        <v>1990</v>
      </c>
    </row>
    <row r="507" spans="1:4" x14ac:dyDescent="0.25">
      <c r="A507">
        <v>202287533</v>
      </c>
      <c r="B507" t="s">
        <v>1623</v>
      </c>
      <c r="C507" t="s">
        <v>225</v>
      </c>
      <c r="D507" t="s">
        <v>1989</v>
      </c>
    </row>
    <row r="508" spans="1:4" x14ac:dyDescent="0.25">
      <c r="A508">
        <v>202287922</v>
      </c>
      <c r="B508" t="s">
        <v>1624</v>
      </c>
      <c r="C508" t="s">
        <v>225</v>
      </c>
      <c r="D508" t="s">
        <v>1989</v>
      </c>
    </row>
    <row r="509" spans="1:4" x14ac:dyDescent="0.25">
      <c r="A509">
        <v>202287945</v>
      </c>
      <c r="B509" t="s">
        <v>1625</v>
      </c>
      <c r="C509" t="s">
        <v>1978</v>
      </c>
      <c r="D509" t="s">
        <v>1986</v>
      </c>
    </row>
    <row r="510" spans="1:4" x14ac:dyDescent="0.25">
      <c r="A510">
        <v>202288018</v>
      </c>
      <c r="B510" t="s">
        <v>1626</v>
      </c>
      <c r="C510" t="s">
        <v>1978</v>
      </c>
      <c r="D510" t="s">
        <v>1986</v>
      </c>
    </row>
    <row r="511" spans="1:4" x14ac:dyDescent="0.25">
      <c r="A511">
        <v>202288453</v>
      </c>
      <c r="B511" t="s">
        <v>1627</v>
      </c>
      <c r="C511" t="s">
        <v>1978</v>
      </c>
      <c r="D511" t="s">
        <v>1986</v>
      </c>
    </row>
    <row r="512" spans="1:4" x14ac:dyDescent="0.25">
      <c r="A512">
        <v>202289699</v>
      </c>
      <c r="B512" t="s">
        <v>1628</v>
      </c>
      <c r="C512" t="s">
        <v>227</v>
      </c>
      <c r="D512" t="s">
        <v>1982</v>
      </c>
    </row>
    <row r="513" spans="1:4" x14ac:dyDescent="0.25">
      <c r="A513">
        <v>202290540</v>
      </c>
      <c r="B513" t="s">
        <v>1629</v>
      </c>
      <c r="C513" t="s">
        <v>225</v>
      </c>
      <c r="D513" t="s">
        <v>1989</v>
      </c>
    </row>
    <row r="514" spans="1:4" x14ac:dyDescent="0.25">
      <c r="A514">
        <v>202290564</v>
      </c>
      <c r="B514" t="s">
        <v>1630</v>
      </c>
      <c r="C514" t="s">
        <v>225</v>
      </c>
      <c r="D514" t="s">
        <v>1994</v>
      </c>
    </row>
    <row r="515" spans="1:4" x14ac:dyDescent="0.25">
      <c r="A515">
        <v>202291188</v>
      </c>
      <c r="B515" t="s">
        <v>1631</v>
      </c>
      <c r="C515" t="s">
        <v>225</v>
      </c>
      <c r="D515" t="s">
        <v>1989</v>
      </c>
    </row>
    <row r="516" spans="1:4" x14ac:dyDescent="0.25">
      <c r="A516">
        <v>202291200</v>
      </c>
      <c r="B516" t="s">
        <v>1632</v>
      </c>
      <c r="C516" t="s">
        <v>229</v>
      </c>
      <c r="D516" t="s">
        <v>1990</v>
      </c>
    </row>
    <row r="517" spans="1:4" x14ac:dyDescent="0.25">
      <c r="A517">
        <v>202291208</v>
      </c>
      <c r="B517" t="s">
        <v>1633</v>
      </c>
      <c r="C517" t="s">
        <v>225</v>
      </c>
      <c r="D517" t="s">
        <v>1994</v>
      </c>
    </row>
    <row r="518" spans="1:4" x14ac:dyDescent="0.25">
      <c r="A518">
        <v>202291219</v>
      </c>
      <c r="B518" t="s">
        <v>1634</v>
      </c>
      <c r="C518" t="s">
        <v>226</v>
      </c>
      <c r="D518" t="s">
        <v>1991</v>
      </c>
    </row>
    <row r="519" spans="1:4" x14ac:dyDescent="0.25">
      <c r="A519">
        <v>202291245</v>
      </c>
      <c r="B519" t="s">
        <v>1635</v>
      </c>
      <c r="C519" t="s">
        <v>224</v>
      </c>
      <c r="D519" t="s">
        <v>1987</v>
      </c>
    </row>
    <row r="520" spans="1:4" x14ac:dyDescent="0.25">
      <c r="A520">
        <v>202291247</v>
      </c>
      <c r="B520" t="s">
        <v>1636</v>
      </c>
      <c r="C520" t="s">
        <v>224</v>
      </c>
      <c r="D520" t="s">
        <v>1987</v>
      </c>
    </row>
    <row r="521" spans="1:4" x14ac:dyDescent="0.25">
      <c r="A521">
        <v>202291248</v>
      </c>
      <c r="B521" t="s">
        <v>1637</v>
      </c>
      <c r="C521" t="s">
        <v>225</v>
      </c>
      <c r="D521" t="s">
        <v>1994</v>
      </c>
    </row>
    <row r="522" spans="1:4" x14ac:dyDescent="0.25">
      <c r="A522">
        <v>202291254</v>
      </c>
      <c r="B522" t="s">
        <v>1638</v>
      </c>
      <c r="C522" t="s">
        <v>227</v>
      </c>
      <c r="D522" t="s">
        <v>1982</v>
      </c>
    </row>
    <row r="523" spans="1:4" x14ac:dyDescent="0.25">
      <c r="A523">
        <v>202291384</v>
      </c>
      <c r="B523" t="s">
        <v>1639</v>
      </c>
      <c r="C523" t="s">
        <v>224</v>
      </c>
      <c r="D523" t="s">
        <v>1987</v>
      </c>
    </row>
    <row r="524" spans="1:4" x14ac:dyDescent="0.25">
      <c r="A524">
        <v>202291418</v>
      </c>
      <c r="B524" t="s">
        <v>1640</v>
      </c>
      <c r="C524" t="s">
        <v>225</v>
      </c>
      <c r="D524" t="s">
        <v>1989</v>
      </c>
    </row>
    <row r="525" spans="1:4" x14ac:dyDescent="0.25">
      <c r="A525">
        <v>202291420</v>
      </c>
      <c r="B525" t="s">
        <v>1641</v>
      </c>
      <c r="C525" t="s">
        <v>225</v>
      </c>
      <c r="D525" t="s">
        <v>1994</v>
      </c>
    </row>
    <row r="526" spans="1:4" x14ac:dyDescent="0.25">
      <c r="A526">
        <v>202291460</v>
      </c>
      <c r="B526" t="s">
        <v>1642</v>
      </c>
      <c r="C526" t="s">
        <v>227</v>
      </c>
      <c r="D526" t="s">
        <v>1982</v>
      </c>
    </row>
    <row r="527" spans="1:4" x14ac:dyDescent="0.25">
      <c r="A527">
        <v>202298491</v>
      </c>
      <c r="B527" t="s">
        <v>1643</v>
      </c>
      <c r="C527" t="s">
        <v>225</v>
      </c>
      <c r="D527" t="s">
        <v>1994</v>
      </c>
    </row>
    <row r="528" spans="1:4" x14ac:dyDescent="0.25">
      <c r="A528">
        <v>202304805</v>
      </c>
      <c r="B528" t="s">
        <v>1644</v>
      </c>
      <c r="C528" t="s">
        <v>225</v>
      </c>
      <c r="D528" t="s">
        <v>1989</v>
      </c>
    </row>
    <row r="529" spans="1:4" x14ac:dyDescent="0.25">
      <c r="A529">
        <v>202304940</v>
      </c>
      <c r="B529" t="s">
        <v>1645</v>
      </c>
      <c r="C529" t="s">
        <v>229</v>
      </c>
      <c r="D529" t="s">
        <v>1990</v>
      </c>
    </row>
    <row r="530" spans="1:4" x14ac:dyDescent="0.25">
      <c r="A530">
        <v>202304949</v>
      </c>
      <c r="B530" t="s">
        <v>1646</v>
      </c>
      <c r="C530" t="s">
        <v>225</v>
      </c>
      <c r="D530" t="s">
        <v>1989</v>
      </c>
    </row>
    <row r="531" spans="1:4" x14ac:dyDescent="0.25">
      <c r="A531">
        <v>202308330</v>
      </c>
      <c r="B531" t="s">
        <v>1647</v>
      </c>
      <c r="C531" t="s">
        <v>226</v>
      </c>
      <c r="D531" t="s">
        <v>1988</v>
      </c>
    </row>
    <row r="532" spans="1:4" x14ac:dyDescent="0.25">
      <c r="A532">
        <v>202308781</v>
      </c>
      <c r="B532" t="s">
        <v>1648</v>
      </c>
      <c r="C532" t="s">
        <v>229</v>
      </c>
      <c r="D532" t="s">
        <v>1990</v>
      </c>
    </row>
    <row r="533" spans="1:4" x14ac:dyDescent="0.25">
      <c r="A533">
        <v>202308806</v>
      </c>
      <c r="B533" t="s">
        <v>1649</v>
      </c>
      <c r="C533" t="s">
        <v>226</v>
      </c>
      <c r="D533" t="s">
        <v>1988</v>
      </c>
    </row>
    <row r="534" spans="1:4" x14ac:dyDescent="0.25">
      <c r="A534">
        <v>202308823</v>
      </c>
      <c r="B534" t="s">
        <v>1650</v>
      </c>
      <c r="C534" t="s">
        <v>225</v>
      </c>
      <c r="D534" t="s">
        <v>1994</v>
      </c>
    </row>
    <row r="535" spans="1:4" x14ac:dyDescent="0.25">
      <c r="A535">
        <v>202308881</v>
      </c>
      <c r="B535" t="s">
        <v>1651</v>
      </c>
      <c r="C535" t="s">
        <v>224</v>
      </c>
      <c r="D535" t="s">
        <v>1987</v>
      </c>
    </row>
    <row r="536" spans="1:4" x14ac:dyDescent="0.25">
      <c r="A536">
        <v>202308885</v>
      </c>
      <c r="B536" t="s">
        <v>1652</v>
      </c>
      <c r="C536" t="s">
        <v>224</v>
      </c>
      <c r="D536" t="s">
        <v>1995</v>
      </c>
    </row>
    <row r="537" spans="1:4" x14ac:dyDescent="0.25">
      <c r="A537">
        <v>202309019</v>
      </c>
      <c r="B537" t="s">
        <v>1653</v>
      </c>
      <c r="C537" t="s">
        <v>229</v>
      </c>
      <c r="D537" t="s">
        <v>1982</v>
      </c>
    </row>
    <row r="538" spans="1:4" x14ac:dyDescent="0.25">
      <c r="A538">
        <v>202309022</v>
      </c>
      <c r="B538" t="s">
        <v>1654</v>
      </c>
      <c r="C538" t="s">
        <v>225</v>
      </c>
      <c r="D538" t="s">
        <v>1989</v>
      </c>
    </row>
    <row r="539" spans="1:4" x14ac:dyDescent="0.25">
      <c r="A539">
        <v>202309038</v>
      </c>
      <c r="B539" t="s">
        <v>1655</v>
      </c>
      <c r="C539" t="s">
        <v>1978</v>
      </c>
      <c r="D539" t="s">
        <v>1986</v>
      </c>
    </row>
    <row r="540" spans="1:4" x14ac:dyDescent="0.25">
      <c r="A540">
        <v>202320013</v>
      </c>
      <c r="B540" t="s">
        <v>1656</v>
      </c>
      <c r="C540" t="s">
        <v>224</v>
      </c>
      <c r="D540" t="s">
        <v>1987</v>
      </c>
    </row>
    <row r="541" spans="1:4" x14ac:dyDescent="0.25">
      <c r="A541">
        <v>202320279</v>
      </c>
      <c r="B541" t="s">
        <v>1657</v>
      </c>
      <c r="C541" t="s">
        <v>226</v>
      </c>
      <c r="D541" t="s">
        <v>1991</v>
      </c>
    </row>
    <row r="542" spans="1:4" x14ac:dyDescent="0.25">
      <c r="A542">
        <v>202323538</v>
      </c>
      <c r="B542" t="s">
        <v>1483</v>
      </c>
      <c r="C542" t="s">
        <v>225</v>
      </c>
      <c r="D542" t="s">
        <v>1989</v>
      </c>
    </row>
    <row r="543" spans="1:4" x14ac:dyDescent="0.25">
      <c r="A543">
        <v>202323562</v>
      </c>
      <c r="B543" t="s">
        <v>1658</v>
      </c>
      <c r="C543" t="s">
        <v>229</v>
      </c>
      <c r="D543" t="s">
        <v>1990</v>
      </c>
    </row>
    <row r="544" spans="1:4" x14ac:dyDescent="0.25">
      <c r="A544">
        <v>202323595</v>
      </c>
      <c r="B544" t="s">
        <v>1659</v>
      </c>
      <c r="C544" t="s">
        <v>224</v>
      </c>
      <c r="D544" t="s">
        <v>1987</v>
      </c>
    </row>
    <row r="545" spans="1:4" x14ac:dyDescent="0.25">
      <c r="A545">
        <v>202323767</v>
      </c>
      <c r="B545" t="s">
        <v>1660</v>
      </c>
      <c r="C545" t="s">
        <v>229</v>
      </c>
      <c r="D545" t="s">
        <v>1990</v>
      </c>
    </row>
    <row r="546" spans="1:4" x14ac:dyDescent="0.25">
      <c r="A546">
        <v>202323796</v>
      </c>
      <c r="B546" t="s">
        <v>1810</v>
      </c>
      <c r="C546" t="s">
        <v>229</v>
      </c>
      <c r="D546" t="s">
        <v>1992</v>
      </c>
    </row>
    <row r="547" spans="1:4" x14ac:dyDescent="0.25">
      <c r="A547">
        <v>202323818</v>
      </c>
      <c r="B547" t="s">
        <v>1661</v>
      </c>
      <c r="C547" t="s">
        <v>225</v>
      </c>
      <c r="D547" t="s">
        <v>1989</v>
      </c>
    </row>
    <row r="548" spans="1:4" x14ac:dyDescent="0.25">
      <c r="A548">
        <v>202323890</v>
      </c>
      <c r="B548" t="s">
        <v>1662</v>
      </c>
      <c r="C548" t="s">
        <v>225</v>
      </c>
      <c r="D548" t="s">
        <v>1994</v>
      </c>
    </row>
    <row r="549" spans="1:4" x14ac:dyDescent="0.25">
      <c r="A549">
        <v>202323975</v>
      </c>
      <c r="B549" t="s">
        <v>1663</v>
      </c>
      <c r="C549" t="s">
        <v>226</v>
      </c>
      <c r="D549" t="s">
        <v>1991</v>
      </c>
    </row>
    <row r="550" spans="1:4" x14ac:dyDescent="0.25">
      <c r="A550">
        <v>202328862</v>
      </c>
      <c r="B550" t="s">
        <v>1664</v>
      </c>
      <c r="C550" t="s">
        <v>224</v>
      </c>
      <c r="D550" t="s">
        <v>1987</v>
      </c>
    </row>
    <row r="551" spans="1:4" x14ac:dyDescent="0.25">
      <c r="A551">
        <v>202328881</v>
      </c>
      <c r="B551" t="s">
        <v>1665</v>
      </c>
      <c r="C551" t="s">
        <v>224</v>
      </c>
      <c r="D551" t="s">
        <v>1987</v>
      </c>
    </row>
    <row r="552" spans="1:4" x14ac:dyDescent="0.25">
      <c r="A552">
        <v>202329407</v>
      </c>
      <c r="B552" t="s">
        <v>1666</v>
      </c>
      <c r="C552" t="s">
        <v>225</v>
      </c>
      <c r="D552" t="s">
        <v>1989</v>
      </c>
    </row>
    <row r="553" spans="1:4" x14ac:dyDescent="0.25">
      <c r="A553">
        <v>202329548</v>
      </c>
      <c r="B553" t="s">
        <v>1667</v>
      </c>
      <c r="C553" t="s">
        <v>225</v>
      </c>
      <c r="D553" t="s">
        <v>1989</v>
      </c>
    </row>
    <row r="554" spans="1:4" x14ac:dyDescent="0.25">
      <c r="A554">
        <v>202334620</v>
      </c>
      <c r="B554" t="s">
        <v>1668</v>
      </c>
      <c r="C554" t="s">
        <v>226</v>
      </c>
      <c r="D554" t="s">
        <v>1991</v>
      </c>
    </row>
    <row r="555" spans="1:4" x14ac:dyDescent="0.25">
      <c r="A555">
        <v>202334621</v>
      </c>
      <c r="B555" t="s">
        <v>1669</v>
      </c>
      <c r="C555" t="s">
        <v>229</v>
      </c>
      <c r="D555" t="s">
        <v>1990</v>
      </c>
    </row>
    <row r="556" spans="1:4" x14ac:dyDescent="0.25">
      <c r="A556">
        <v>202334636</v>
      </c>
      <c r="B556" t="s">
        <v>1811</v>
      </c>
      <c r="C556" t="s">
        <v>225</v>
      </c>
      <c r="D556" t="s">
        <v>1994</v>
      </c>
    </row>
    <row r="557" spans="1:4" x14ac:dyDescent="0.25">
      <c r="A557">
        <v>202334667</v>
      </c>
      <c r="B557" t="s">
        <v>1812</v>
      </c>
      <c r="C557" t="s">
        <v>225</v>
      </c>
      <c r="D557" t="s">
        <v>1994</v>
      </c>
    </row>
    <row r="558" spans="1:4" x14ac:dyDescent="0.25">
      <c r="A558">
        <v>202334715</v>
      </c>
      <c r="B558" t="s">
        <v>1813</v>
      </c>
      <c r="C558" t="s">
        <v>225</v>
      </c>
      <c r="D558" t="s">
        <v>1994</v>
      </c>
    </row>
    <row r="559" spans="1:4" x14ac:dyDescent="0.25">
      <c r="A559">
        <v>202334746</v>
      </c>
      <c r="B559" t="s">
        <v>1670</v>
      </c>
      <c r="C559" t="s">
        <v>229</v>
      </c>
      <c r="D559" t="s">
        <v>1990</v>
      </c>
    </row>
    <row r="560" spans="1:4" x14ac:dyDescent="0.25">
      <c r="A560">
        <v>202334747</v>
      </c>
      <c r="B560" t="s">
        <v>1671</v>
      </c>
      <c r="C560" t="s">
        <v>225</v>
      </c>
      <c r="D560" t="s">
        <v>1994</v>
      </c>
    </row>
    <row r="561" spans="1:4" x14ac:dyDescent="0.25">
      <c r="A561">
        <v>202334751</v>
      </c>
      <c r="B561" t="s">
        <v>1672</v>
      </c>
      <c r="C561" t="s">
        <v>225</v>
      </c>
      <c r="D561" t="s">
        <v>1989</v>
      </c>
    </row>
    <row r="562" spans="1:4" x14ac:dyDescent="0.25">
      <c r="A562">
        <v>202334756</v>
      </c>
      <c r="B562" t="s">
        <v>1673</v>
      </c>
      <c r="C562" t="s">
        <v>225</v>
      </c>
      <c r="D562" t="s">
        <v>1994</v>
      </c>
    </row>
    <row r="563" spans="1:4" x14ac:dyDescent="0.25">
      <c r="A563">
        <v>202334830</v>
      </c>
      <c r="B563" t="s">
        <v>1674</v>
      </c>
      <c r="C563" t="s">
        <v>227</v>
      </c>
      <c r="D563" t="s">
        <v>1982</v>
      </c>
    </row>
    <row r="564" spans="1:4" x14ac:dyDescent="0.25">
      <c r="A564">
        <v>202334866</v>
      </c>
      <c r="B564" t="s">
        <v>1675</v>
      </c>
      <c r="C564" t="s">
        <v>225</v>
      </c>
      <c r="D564" t="s">
        <v>1989</v>
      </c>
    </row>
    <row r="565" spans="1:4" x14ac:dyDescent="0.25">
      <c r="A565">
        <v>202334891</v>
      </c>
      <c r="B565" t="s">
        <v>1814</v>
      </c>
      <c r="C565" t="s">
        <v>225</v>
      </c>
      <c r="D565" t="s">
        <v>1994</v>
      </c>
    </row>
    <row r="566" spans="1:4" x14ac:dyDescent="0.25">
      <c r="A566">
        <v>202334920</v>
      </c>
      <c r="B566" t="s">
        <v>1676</v>
      </c>
      <c r="C566" t="s">
        <v>226</v>
      </c>
      <c r="D566" t="s">
        <v>1991</v>
      </c>
    </row>
    <row r="567" spans="1:4" x14ac:dyDescent="0.25">
      <c r="A567">
        <v>202341246</v>
      </c>
      <c r="B567" t="s">
        <v>1677</v>
      </c>
      <c r="C567" t="s">
        <v>224</v>
      </c>
      <c r="D567" t="s">
        <v>1987</v>
      </c>
    </row>
    <row r="568" spans="1:4" x14ac:dyDescent="0.25">
      <c r="A568">
        <v>202350464</v>
      </c>
      <c r="B568" t="s">
        <v>1678</v>
      </c>
      <c r="C568" t="s">
        <v>225</v>
      </c>
      <c r="D568" t="s">
        <v>1989</v>
      </c>
    </row>
    <row r="569" spans="1:4" x14ac:dyDescent="0.25">
      <c r="A569">
        <v>202350547</v>
      </c>
      <c r="B569" t="s">
        <v>1679</v>
      </c>
      <c r="C569" t="s">
        <v>225</v>
      </c>
      <c r="D569" t="s">
        <v>1994</v>
      </c>
    </row>
    <row r="570" spans="1:4" x14ac:dyDescent="0.25">
      <c r="A570">
        <v>202351307</v>
      </c>
      <c r="B570" t="s">
        <v>1680</v>
      </c>
      <c r="C570" t="s">
        <v>225</v>
      </c>
      <c r="D570" t="s">
        <v>1994</v>
      </c>
    </row>
    <row r="571" spans="1:4" x14ac:dyDescent="0.25">
      <c r="A571">
        <v>202351748</v>
      </c>
      <c r="B571" t="s">
        <v>1681</v>
      </c>
      <c r="C571" t="s">
        <v>225</v>
      </c>
      <c r="D571" t="s">
        <v>1989</v>
      </c>
    </row>
    <row r="572" spans="1:4" x14ac:dyDescent="0.25">
      <c r="A572">
        <v>202351848</v>
      </c>
      <c r="B572" t="s">
        <v>1682</v>
      </c>
      <c r="C572" t="s">
        <v>229</v>
      </c>
      <c r="D572" t="s">
        <v>1990</v>
      </c>
    </row>
    <row r="573" spans="1:4" x14ac:dyDescent="0.25">
      <c r="A573">
        <v>202353810</v>
      </c>
      <c r="B573" t="s">
        <v>1683</v>
      </c>
      <c r="C573" t="s">
        <v>227</v>
      </c>
      <c r="D573" t="s">
        <v>1982</v>
      </c>
    </row>
    <row r="574" spans="1:4" x14ac:dyDescent="0.25">
      <c r="A574">
        <v>202353921</v>
      </c>
      <c r="B574" t="s">
        <v>1684</v>
      </c>
      <c r="C574" t="s">
        <v>227</v>
      </c>
      <c r="D574" t="s">
        <v>1982</v>
      </c>
    </row>
    <row r="575" spans="1:4" x14ac:dyDescent="0.25">
      <c r="A575">
        <v>202354007</v>
      </c>
      <c r="B575" t="s">
        <v>1685</v>
      </c>
      <c r="C575" t="s">
        <v>226</v>
      </c>
      <c r="D575" t="s">
        <v>1991</v>
      </c>
    </row>
    <row r="576" spans="1:4" x14ac:dyDescent="0.25">
      <c r="A576">
        <v>202364552</v>
      </c>
      <c r="B576" t="s">
        <v>1815</v>
      </c>
      <c r="C576" t="s">
        <v>230</v>
      </c>
      <c r="D576" t="s">
        <v>1981</v>
      </c>
    </row>
    <row r="577" spans="1:4" x14ac:dyDescent="0.25">
      <c r="A577">
        <v>202364853</v>
      </c>
      <c r="B577" t="s">
        <v>1816</v>
      </c>
      <c r="C577" t="s">
        <v>229</v>
      </c>
      <c r="D577" t="s">
        <v>1992</v>
      </c>
    </row>
    <row r="578" spans="1:4" x14ac:dyDescent="0.25">
      <c r="A578">
        <v>202364897</v>
      </c>
      <c r="B578" t="s">
        <v>1817</v>
      </c>
      <c r="C578" t="s">
        <v>229</v>
      </c>
      <c r="D578" t="s">
        <v>1992</v>
      </c>
    </row>
    <row r="579" spans="1:4" x14ac:dyDescent="0.25">
      <c r="A579">
        <v>202364968</v>
      </c>
      <c r="B579" t="s">
        <v>1818</v>
      </c>
      <c r="C579" t="s">
        <v>230</v>
      </c>
      <c r="D579" t="s">
        <v>1992</v>
      </c>
    </row>
    <row r="580" spans="1:4" x14ac:dyDescent="0.25">
      <c r="A580">
        <v>202364997</v>
      </c>
      <c r="B580" t="s">
        <v>1819</v>
      </c>
      <c r="C580" t="s">
        <v>230</v>
      </c>
      <c r="D580" t="s">
        <v>1981</v>
      </c>
    </row>
    <row r="581" spans="1:4" x14ac:dyDescent="0.25">
      <c r="A581">
        <v>202365704</v>
      </c>
      <c r="B581" t="s">
        <v>1686</v>
      </c>
      <c r="C581" t="s">
        <v>225</v>
      </c>
      <c r="D581" t="s">
        <v>1989</v>
      </c>
    </row>
    <row r="582" spans="1:4" x14ac:dyDescent="0.25">
      <c r="A582">
        <v>202366232</v>
      </c>
      <c r="B582" t="s">
        <v>1687</v>
      </c>
      <c r="C582" t="s">
        <v>225</v>
      </c>
      <c r="D582" t="s">
        <v>1989</v>
      </c>
    </row>
    <row r="583" spans="1:4" x14ac:dyDescent="0.25">
      <c r="A583">
        <v>202367536</v>
      </c>
      <c r="B583" t="s">
        <v>1688</v>
      </c>
      <c r="C583" t="s">
        <v>225</v>
      </c>
      <c r="D583" t="s">
        <v>1994</v>
      </c>
    </row>
    <row r="584" spans="1:4" x14ac:dyDescent="0.25">
      <c r="A584">
        <v>202368491</v>
      </c>
      <c r="B584" t="s">
        <v>1820</v>
      </c>
      <c r="C584" t="s">
        <v>229</v>
      </c>
      <c r="D584" t="s">
        <v>1986</v>
      </c>
    </row>
    <row r="585" spans="1:4" x14ac:dyDescent="0.25">
      <c r="A585">
        <v>202368707</v>
      </c>
      <c r="B585" t="s">
        <v>1689</v>
      </c>
      <c r="C585" t="s">
        <v>229</v>
      </c>
      <c r="D585" t="s">
        <v>1990</v>
      </c>
    </row>
    <row r="586" spans="1:4" x14ac:dyDescent="0.25">
      <c r="A586">
        <v>202369419</v>
      </c>
      <c r="B586" t="s">
        <v>1690</v>
      </c>
      <c r="C586" t="s">
        <v>224</v>
      </c>
      <c r="D586" t="s">
        <v>1987</v>
      </c>
    </row>
    <row r="587" spans="1:4" x14ac:dyDescent="0.25">
      <c r="A587">
        <v>202369438</v>
      </c>
      <c r="B587" t="s">
        <v>1691</v>
      </c>
      <c r="C587" t="s">
        <v>224</v>
      </c>
      <c r="D587" t="s">
        <v>1987</v>
      </c>
    </row>
    <row r="588" spans="1:4" x14ac:dyDescent="0.25">
      <c r="A588">
        <v>202369458</v>
      </c>
      <c r="B588" t="s">
        <v>1692</v>
      </c>
      <c r="C588" t="s">
        <v>224</v>
      </c>
      <c r="D588" t="s">
        <v>1987</v>
      </c>
    </row>
    <row r="589" spans="1:4" x14ac:dyDescent="0.25">
      <c r="A589">
        <v>202369464</v>
      </c>
      <c r="B589" t="s">
        <v>1693</v>
      </c>
      <c r="C589" t="s">
        <v>224</v>
      </c>
      <c r="D589" t="s">
        <v>1981</v>
      </c>
    </row>
    <row r="590" spans="1:4" x14ac:dyDescent="0.25">
      <c r="A590">
        <v>202370186</v>
      </c>
      <c r="B590" t="s">
        <v>1694</v>
      </c>
      <c r="C590" t="s">
        <v>224</v>
      </c>
      <c r="D590" t="s">
        <v>1987</v>
      </c>
    </row>
    <row r="591" spans="1:4" x14ac:dyDescent="0.25">
      <c r="A591">
        <v>202373445</v>
      </c>
      <c r="B591" t="s">
        <v>1821</v>
      </c>
      <c r="C591" t="s">
        <v>224</v>
      </c>
      <c r="D591" t="s">
        <v>1991</v>
      </c>
    </row>
    <row r="592" spans="1:4" x14ac:dyDescent="0.25">
      <c r="A592">
        <v>202373465</v>
      </c>
      <c r="B592" t="s">
        <v>1695</v>
      </c>
      <c r="C592" t="s">
        <v>225</v>
      </c>
      <c r="D592" t="s">
        <v>1989</v>
      </c>
    </row>
    <row r="593" spans="1:4" x14ac:dyDescent="0.25">
      <c r="A593">
        <v>202373676</v>
      </c>
      <c r="B593" t="s">
        <v>1822</v>
      </c>
      <c r="C593" t="s">
        <v>230</v>
      </c>
      <c r="D593" t="s">
        <v>1981</v>
      </c>
    </row>
    <row r="594" spans="1:4" x14ac:dyDescent="0.25">
      <c r="A594">
        <v>202373678</v>
      </c>
      <c r="B594" t="s">
        <v>1823</v>
      </c>
      <c r="C594" t="s">
        <v>230</v>
      </c>
      <c r="D594" t="s">
        <v>1981</v>
      </c>
    </row>
    <row r="595" spans="1:4" x14ac:dyDescent="0.25">
      <c r="A595">
        <v>202374145</v>
      </c>
      <c r="B595" t="s">
        <v>1824</v>
      </c>
      <c r="C595" t="s">
        <v>224</v>
      </c>
      <c r="D595" t="s">
        <v>1981</v>
      </c>
    </row>
    <row r="596" spans="1:4" x14ac:dyDescent="0.25">
      <c r="A596">
        <v>202375403</v>
      </c>
      <c r="B596" t="s">
        <v>1825</v>
      </c>
      <c r="C596" t="s">
        <v>228</v>
      </c>
      <c r="D596" t="s">
        <v>1984</v>
      </c>
    </row>
    <row r="597" spans="1:4" x14ac:dyDescent="0.25">
      <c r="A597">
        <v>202385714</v>
      </c>
      <c r="B597" t="s">
        <v>1826</v>
      </c>
      <c r="C597" t="s">
        <v>230</v>
      </c>
      <c r="D597" t="s">
        <v>1990</v>
      </c>
    </row>
    <row r="598" spans="1:4" x14ac:dyDescent="0.25">
      <c r="A598">
        <v>202385797</v>
      </c>
      <c r="B598" t="s">
        <v>1827</v>
      </c>
      <c r="C598" t="s">
        <v>229</v>
      </c>
      <c r="D598" t="s">
        <v>1992</v>
      </c>
    </row>
    <row r="599" spans="1:4" x14ac:dyDescent="0.25">
      <c r="A599">
        <v>202385959</v>
      </c>
      <c r="B599" t="s">
        <v>1770</v>
      </c>
      <c r="C599" t="s">
        <v>228</v>
      </c>
      <c r="D599" t="s">
        <v>1984</v>
      </c>
    </row>
    <row r="600" spans="1:4" x14ac:dyDescent="0.25">
      <c r="A600">
        <v>202389824</v>
      </c>
      <c r="B600" t="s">
        <v>1828</v>
      </c>
      <c r="C600" t="s">
        <v>229</v>
      </c>
      <c r="D600" t="s">
        <v>1990</v>
      </c>
    </row>
    <row r="601" spans="1:4" x14ac:dyDescent="0.25">
      <c r="A601">
        <v>202389873</v>
      </c>
      <c r="B601" t="s">
        <v>1829</v>
      </c>
      <c r="C601" t="s">
        <v>224</v>
      </c>
      <c r="D601" t="s">
        <v>1985</v>
      </c>
    </row>
    <row r="602" spans="1:4" x14ac:dyDescent="0.25">
      <c r="A602">
        <v>202389887</v>
      </c>
      <c r="B602" t="s">
        <v>1830</v>
      </c>
      <c r="C602" t="s">
        <v>224</v>
      </c>
      <c r="D602" t="s">
        <v>1985</v>
      </c>
    </row>
    <row r="603" spans="1:4" x14ac:dyDescent="0.25">
      <c r="A603">
        <v>202390006</v>
      </c>
      <c r="B603" t="s">
        <v>1831</v>
      </c>
      <c r="C603" t="s">
        <v>228</v>
      </c>
      <c r="D603" t="s">
        <v>1984</v>
      </c>
    </row>
    <row r="604" spans="1:4" x14ac:dyDescent="0.25">
      <c r="A604">
        <v>202394636</v>
      </c>
      <c r="B604" t="s">
        <v>1832</v>
      </c>
      <c r="C604" t="s">
        <v>227</v>
      </c>
      <c r="D604" t="s">
        <v>1984</v>
      </c>
    </row>
    <row r="605" spans="1:4" x14ac:dyDescent="0.25">
      <c r="A605">
        <v>202394729</v>
      </c>
      <c r="B605" t="s">
        <v>1833</v>
      </c>
      <c r="C605" t="s">
        <v>227</v>
      </c>
      <c r="D605" t="s">
        <v>1984</v>
      </c>
    </row>
    <row r="606" spans="1:4" x14ac:dyDescent="0.25">
      <c r="A606">
        <v>202396758</v>
      </c>
      <c r="B606" t="s">
        <v>1834</v>
      </c>
      <c r="C606" t="s">
        <v>224</v>
      </c>
      <c r="D606" t="s">
        <v>1981</v>
      </c>
    </row>
    <row r="607" spans="1:4" x14ac:dyDescent="0.25">
      <c r="A607">
        <v>202400703</v>
      </c>
      <c r="B607" t="s">
        <v>1835</v>
      </c>
      <c r="C607" t="s">
        <v>228</v>
      </c>
      <c r="D607" t="s">
        <v>1984</v>
      </c>
    </row>
    <row r="608" spans="1:4" x14ac:dyDescent="0.25">
      <c r="A608">
        <v>202400705</v>
      </c>
      <c r="B608" t="s">
        <v>1836</v>
      </c>
      <c r="C608" t="s">
        <v>228</v>
      </c>
      <c r="D608" t="s">
        <v>1981</v>
      </c>
    </row>
    <row r="609" spans="1:4" x14ac:dyDescent="0.25">
      <c r="A609">
        <v>202407947</v>
      </c>
      <c r="B609" t="s">
        <v>1837</v>
      </c>
      <c r="C609" t="s">
        <v>224</v>
      </c>
      <c r="D609" t="s">
        <v>1988</v>
      </c>
    </row>
    <row r="610" spans="1:4" x14ac:dyDescent="0.25">
      <c r="A610">
        <v>202407967</v>
      </c>
      <c r="B610" t="s">
        <v>1838</v>
      </c>
      <c r="C610" t="s">
        <v>224</v>
      </c>
      <c r="D610" t="s">
        <v>1981</v>
      </c>
    </row>
    <row r="611" spans="1:4" x14ac:dyDescent="0.25">
      <c r="A611">
        <v>202408023</v>
      </c>
      <c r="B611" t="s">
        <v>1839</v>
      </c>
      <c r="C611" t="s">
        <v>224</v>
      </c>
      <c r="D611" t="s">
        <v>1981</v>
      </c>
    </row>
    <row r="612" spans="1:4" x14ac:dyDescent="0.25">
      <c r="A612">
        <v>202408077</v>
      </c>
      <c r="B612" t="s">
        <v>1840</v>
      </c>
      <c r="C612" t="s">
        <v>224</v>
      </c>
      <c r="D612" t="s">
        <v>1988</v>
      </c>
    </row>
    <row r="613" spans="1:4" x14ac:dyDescent="0.25">
      <c r="A613">
        <v>202408362</v>
      </c>
      <c r="B613" t="s">
        <v>1841</v>
      </c>
      <c r="C613" t="s">
        <v>225</v>
      </c>
      <c r="D613" t="s">
        <v>1992</v>
      </c>
    </row>
    <row r="614" spans="1:4" x14ac:dyDescent="0.25">
      <c r="A614">
        <v>202408564</v>
      </c>
      <c r="B614" t="s">
        <v>1842</v>
      </c>
      <c r="C614" t="s">
        <v>224</v>
      </c>
      <c r="D614" t="s">
        <v>1988</v>
      </c>
    </row>
    <row r="615" spans="1:4" x14ac:dyDescent="0.25">
      <c r="A615">
        <v>202409091</v>
      </c>
      <c r="B615" t="s">
        <v>1843</v>
      </c>
      <c r="C615" t="s">
        <v>225</v>
      </c>
      <c r="D615" t="s">
        <v>1992</v>
      </c>
    </row>
    <row r="616" spans="1:4" x14ac:dyDescent="0.25">
      <c r="A616">
        <v>202409832</v>
      </c>
      <c r="B616" t="s">
        <v>1844</v>
      </c>
      <c r="C616" t="s">
        <v>225</v>
      </c>
      <c r="D616" t="s">
        <v>1985</v>
      </c>
    </row>
    <row r="617" spans="1:4" x14ac:dyDescent="0.25">
      <c r="A617">
        <v>202410548</v>
      </c>
      <c r="B617" t="s">
        <v>1845</v>
      </c>
      <c r="C617" t="s">
        <v>225</v>
      </c>
      <c r="D617" t="s">
        <v>1992</v>
      </c>
    </row>
    <row r="618" spans="1:4" x14ac:dyDescent="0.25">
      <c r="A618">
        <v>202410570</v>
      </c>
      <c r="B618" t="s">
        <v>1846</v>
      </c>
      <c r="C618" t="s">
        <v>225</v>
      </c>
      <c r="D618" t="s">
        <v>1992</v>
      </c>
    </row>
    <row r="619" spans="1:4" x14ac:dyDescent="0.25">
      <c r="A619">
        <v>202410575</v>
      </c>
      <c r="B619" t="s">
        <v>1847</v>
      </c>
      <c r="C619" t="s">
        <v>225</v>
      </c>
      <c r="D619" t="s">
        <v>1992</v>
      </c>
    </row>
    <row r="620" spans="1:4" x14ac:dyDescent="0.25">
      <c r="A620">
        <v>202410665</v>
      </c>
      <c r="B620" t="s">
        <v>1848</v>
      </c>
      <c r="C620" t="s">
        <v>224</v>
      </c>
      <c r="D620" t="s">
        <v>1981</v>
      </c>
    </row>
    <row r="621" spans="1:4" x14ac:dyDescent="0.25">
      <c r="A621">
        <v>202410680</v>
      </c>
      <c r="B621" t="s">
        <v>1849</v>
      </c>
      <c r="C621" t="s">
        <v>224</v>
      </c>
      <c r="D621" t="s">
        <v>1981</v>
      </c>
    </row>
    <row r="622" spans="1:4" x14ac:dyDescent="0.25">
      <c r="A622">
        <v>202410739</v>
      </c>
      <c r="B622" t="s">
        <v>1850</v>
      </c>
      <c r="C622" t="s">
        <v>229</v>
      </c>
      <c r="D622" t="s">
        <v>1986</v>
      </c>
    </row>
    <row r="623" spans="1:4" x14ac:dyDescent="0.25">
      <c r="A623">
        <v>202416655</v>
      </c>
      <c r="B623" t="s">
        <v>1851</v>
      </c>
      <c r="C623" t="s">
        <v>225</v>
      </c>
      <c r="D623" t="s">
        <v>1992</v>
      </c>
    </row>
    <row r="624" spans="1:4" x14ac:dyDescent="0.25">
      <c r="A624">
        <v>202416680</v>
      </c>
      <c r="B624" t="s">
        <v>1852</v>
      </c>
      <c r="C624" t="s">
        <v>225</v>
      </c>
      <c r="D624" t="s">
        <v>1994</v>
      </c>
    </row>
    <row r="625" spans="1:4" x14ac:dyDescent="0.25">
      <c r="A625">
        <v>202417370</v>
      </c>
      <c r="B625" t="s">
        <v>1853</v>
      </c>
      <c r="C625" t="s">
        <v>224</v>
      </c>
      <c r="D625" t="s">
        <v>1981</v>
      </c>
    </row>
    <row r="626" spans="1:4" x14ac:dyDescent="0.25">
      <c r="A626">
        <v>202417391</v>
      </c>
      <c r="B626" t="s">
        <v>1854</v>
      </c>
      <c r="C626" t="s">
        <v>224</v>
      </c>
      <c r="D626" t="s">
        <v>1981</v>
      </c>
    </row>
    <row r="627" spans="1:4" x14ac:dyDescent="0.25">
      <c r="A627">
        <v>202417673</v>
      </c>
      <c r="B627" t="s">
        <v>1855</v>
      </c>
      <c r="C627" t="s">
        <v>224</v>
      </c>
      <c r="D627" t="s">
        <v>1981</v>
      </c>
    </row>
    <row r="628" spans="1:4" x14ac:dyDescent="0.25">
      <c r="A628">
        <v>202417683</v>
      </c>
      <c r="B628" t="s">
        <v>1856</v>
      </c>
      <c r="C628" t="s">
        <v>230</v>
      </c>
      <c r="D628" t="s">
        <v>1989</v>
      </c>
    </row>
    <row r="629" spans="1:4" x14ac:dyDescent="0.25">
      <c r="A629">
        <v>202417687</v>
      </c>
      <c r="B629" t="s">
        <v>1857</v>
      </c>
      <c r="C629" t="s">
        <v>227</v>
      </c>
      <c r="D629" t="s">
        <v>1984</v>
      </c>
    </row>
    <row r="630" spans="1:4" x14ac:dyDescent="0.25">
      <c r="A630">
        <v>202417703</v>
      </c>
      <c r="B630" t="s">
        <v>1858</v>
      </c>
      <c r="C630" t="s">
        <v>224</v>
      </c>
      <c r="D630" t="s">
        <v>1981</v>
      </c>
    </row>
    <row r="631" spans="1:4" x14ac:dyDescent="0.25">
      <c r="A631">
        <v>202417752</v>
      </c>
      <c r="B631" t="s">
        <v>1859</v>
      </c>
      <c r="C631" t="s">
        <v>224</v>
      </c>
      <c r="D631" t="s">
        <v>1981</v>
      </c>
    </row>
    <row r="632" spans="1:4" x14ac:dyDescent="0.25">
      <c r="A632">
        <v>202417761</v>
      </c>
      <c r="B632" t="s">
        <v>1860</v>
      </c>
      <c r="C632" t="s">
        <v>224</v>
      </c>
      <c r="D632" t="s">
        <v>1981</v>
      </c>
    </row>
    <row r="633" spans="1:4" x14ac:dyDescent="0.25">
      <c r="A633">
        <v>202417770</v>
      </c>
      <c r="B633" t="s">
        <v>1861</v>
      </c>
      <c r="C633" t="s">
        <v>224</v>
      </c>
      <c r="D633" t="s">
        <v>1981</v>
      </c>
    </row>
    <row r="634" spans="1:4" x14ac:dyDescent="0.25">
      <c r="A634">
        <v>202417830</v>
      </c>
      <c r="B634" t="s">
        <v>1862</v>
      </c>
      <c r="C634" t="s">
        <v>230</v>
      </c>
      <c r="D634" t="s">
        <v>1981</v>
      </c>
    </row>
    <row r="635" spans="1:4" x14ac:dyDescent="0.25">
      <c r="A635">
        <v>202417920</v>
      </c>
      <c r="B635" t="s">
        <v>1863</v>
      </c>
      <c r="C635" t="s">
        <v>224</v>
      </c>
      <c r="D635" t="s">
        <v>1981</v>
      </c>
    </row>
    <row r="636" spans="1:4" x14ac:dyDescent="0.25">
      <c r="A636">
        <v>202417927</v>
      </c>
      <c r="B636" t="s">
        <v>1864</v>
      </c>
      <c r="C636" t="s">
        <v>224</v>
      </c>
      <c r="D636" t="s">
        <v>1981</v>
      </c>
    </row>
    <row r="637" spans="1:4" x14ac:dyDescent="0.25">
      <c r="A637">
        <v>202421453</v>
      </c>
      <c r="B637" t="s">
        <v>1865</v>
      </c>
      <c r="C637" t="s">
        <v>224</v>
      </c>
      <c r="D637" t="s">
        <v>1981</v>
      </c>
    </row>
    <row r="638" spans="1:4" x14ac:dyDescent="0.25">
      <c r="A638">
        <v>202421776</v>
      </c>
      <c r="B638" t="s">
        <v>1866</v>
      </c>
      <c r="C638" t="s">
        <v>225</v>
      </c>
      <c r="D638" t="s">
        <v>1994</v>
      </c>
    </row>
    <row r="639" spans="1:4" x14ac:dyDescent="0.25">
      <c r="A639">
        <v>202421784</v>
      </c>
      <c r="B639" t="s">
        <v>1867</v>
      </c>
      <c r="C639" t="s">
        <v>225</v>
      </c>
      <c r="D639" t="s">
        <v>1992</v>
      </c>
    </row>
    <row r="640" spans="1:4" x14ac:dyDescent="0.25">
      <c r="A640">
        <v>202421785</v>
      </c>
      <c r="B640" t="s">
        <v>1868</v>
      </c>
      <c r="C640" t="s">
        <v>230</v>
      </c>
      <c r="D640" t="s">
        <v>1981</v>
      </c>
    </row>
    <row r="641" spans="1:4" x14ac:dyDescent="0.25">
      <c r="A641">
        <v>202421791</v>
      </c>
      <c r="B641" t="s">
        <v>1869</v>
      </c>
      <c r="C641" t="s">
        <v>225</v>
      </c>
      <c r="D641" t="s">
        <v>1992</v>
      </c>
    </row>
    <row r="642" spans="1:4" x14ac:dyDescent="0.25">
      <c r="A642">
        <v>202421861</v>
      </c>
      <c r="B642" t="s">
        <v>1870</v>
      </c>
      <c r="C642" t="s">
        <v>225</v>
      </c>
      <c r="D642" t="s">
        <v>1992</v>
      </c>
    </row>
    <row r="643" spans="1:4" x14ac:dyDescent="0.25">
      <c r="A643">
        <v>202421970</v>
      </c>
      <c r="B643" t="s">
        <v>1871</v>
      </c>
      <c r="C643" t="s">
        <v>225</v>
      </c>
      <c r="D643" t="s">
        <v>1992</v>
      </c>
    </row>
    <row r="644" spans="1:4" x14ac:dyDescent="0.25">
      <c r="A644">
        <v>202421987</v>
      </c>
      <c r="B644" t="s">
        <v>1872</v>
      </c>
      <c r="C644" t="s">
        <v>225</v>
      </c>
      <c r="D644" t="s">
        <v>1989</v>
      </c>
    </row>
    <row r="645" spans="1:4" x14ac:dyDescent="0.25">
      <c r="A645">
        <v>202431765</v>
      </c>
      <c r="B645" t="s">
        <v>1873</v>
      </c>
      <c r="C645" t="s">
        <v>225</v>
      </c>
      <c r="D645" t="s">
        <v>1992</v>
      </c>
    </row>
    <row r="646" spans="1:4" x14ac:dyDescent="0.25">
      <c r="A646">
        <v>202432096</v>
      </c>
      <c r="B646" t="s">
        <v>1874</v>
      </c>
      <c r="C646" t="s">
        <v>225</v>
      </c>
      <c r="D646" t="s">
        <v>1992</v>
      </c>
    </row>
    <row r="647" spans="1:4" x14ac:dyDescent="0.25">
      <c r="A647">
        <v>202432138</v>
      </c>
      <c r="B647" t="s">
        <v>1875</v>
      </c>
      <c r="C647" t="s">
        <v>225</v>
      </c>
      <c r="D647" t="s">
        <v>1992</v>
      </c>
    </row>
    <row r="648" spans="1:4" x14ac:dyDescent="0.25">
      <c r="A648">
        <v>202432224</v>
      </c>
      <c r="B648" t="s">
        <v>1876</v>
      </c>
      <c r="C648" t="s">
        <v>225</v>
      </c>
      <c r="D648" t="s">
        <v>1992</v>
      </c>
    </row>
    <row r="649" spans="1:4" x14ac:dyDescent="0.25">
      <c r="A649">
        <v>202432341</v>
      </c>
      <c r="B649" t="s">
        <v>1877</v>
      </c>
      <c r="C649" t="s">
        <v>230</v>
      </c>
      <c r="D649" t="s">
        <v>1989</v>
      </c>
    </row>
    <row r="650" spans="1:4" x14ac:dyDescent="0.25">
      <c r="A650">
        <v>202432521</v>
      </c>
      <c r="B650" t="s">
        <v>1878</v>
      </c>
      <c r="C650" t="s">
        <v>225</v>
      </c>
      <c r="D650" t="s">
        <v>1992</v>
      </c>
    </row>
    <row r="651" spans="1:4" x14ac:dyDescent="0.25">
      <c r="A651">
        <v>202435705</v>
      </c>
      <c r="B651" t="s">
        <v>1879</v>
      </c>
      <c r="C651" t="s">
        <v>224</v>
      </c>
      <c r="D651" t="s">
        <v>1981</v>
      </c>
    </row>
    <row r="652" spans="1:4" x14ac:dyDescent="0.25">
      <c r="A652">
        <v>202436525</v>
      </c>
      <c r="B652" t="s">
        <v>1880</v>
      </c>
      <c r="C652" t="s">
        <v>230</v>
      </c>
      <c r="D652" t="s">
        <v>1981</v>
      </c>
    </row>
    <row r="653" spans="1:4" x14ac:dyDescent="0.25">
      <c r="A653">
        <v>202437991</v>
      </c>
      <c r="B653" t="s">
        <v>1881</v>
      </c>
      <c r="C653" t="s">
        <v>225</v>
      </c>
      <c r="D653" t="s">
        <v>1989</v>
      </c>
    </row>
    <row r="654" spans="1:4" x14ac:dyDescent="0.25">
      <c r="A654">
        <v>202437992</v>
      </c>
      <c r="B654" t="s">
        <v>1882</v>
      </c>
      <c r="C654" t="s">
        <v>225</v>
      </c>
      <c r="D654" t="s">
        <v>1992</v>
      </c>
    </row>
    <row r="655" spans="1:4" x14ac:dyDescent="0.25">
      <c r="A655">
        <v>202442581</v>
      </c>
      <c r="B655" t="s">
        <v>1883</v>
      </c>
      <c r="C655" t="s">
        <v>227</v>
      </c>
      <c r="D655" t="s">
        <v>1982</v>
      </c>
    </row>
    <row r="656" spans="1:4" x14ac:dyDescent="0.25">
      <c r="A656">
        <v>202442754</v>
      </c>
      <c r="B656" t="s">
        <v>1884</v>
      </c>
      <c r="C656" t="s">
        <v>230</v>
      </c>
      <c r="D656" t="s">
        <v>1981</v>
      </c>
    </row>
    <row r="657" spans="1:4" x14ac:dyDescent="0.25">
      <c r="A657">
        <v>202442759</v>
      </c>
      <c r="B657" t="s">
        <v>1885</v>
      </c>
      <c r="C657" t="s">
        <v>225</v>
      </c>
      <c r="D657" t="s">
        <v>1992</v>
      </c>
    </row>
    <row r="658" spans="1:4" x14ac:dyDescent="0.25">
      <c r="A658">
        <v>202442760</v>
      </c>
      <c r="B658" t="s">
        <v>1886</v>
      </c>
      <c r="C658" t="s">
        <v>230</v>
      </c>
      <c r="D658" t="s">
        <v>1981</v>
      </c>
    </row>
    <row r="659" spans="1:4" x14ac:dyDescent="0.25">
      <c r="A659">
        <v>202442761</v>
      </c>
      <c r="B659" t="s">
        <v>1887</v>
      </c>
      <c r="C659" t="s">
        <v>225</v>
      </c>
      <c r="D659" t="s">
        <v>1992</v>
      </c>
    </row>
    <row r="660" spans="1:4" x14ac:dyDescent="0.25">
      <c r="A660">
        <v>202442767</v>
      </c>
      <c r="B660" t="s">
        <v>1888</v>
      </c>
      <c r="C660" t="s">
        <v>225</v>
      </c>
      <c r="D660" t="s">
        <v>1992</v>
      </c>
    </row>
    <row r="661" spans="1:4" x14ac:dyDescent="0.25">
      <c r="A661">
        <v>202442773</v>
      </c>
      <c r="B661" t="s">
        <v>1889</v>
      </c>
      <c r="C661" t="s">
        <v>230</v>
      </c>
      <c r="D661" t="s">
        <v>1981</v>
      </c>
    </row>
    <row r="662" spans="1:4" x14ac:dyDescent="0.25">
      <c r="A662">
        <v>202442774</v>
      </c>
      <c r="B662" t="s">
        <v>1890</v>
      </c>
      <c r="C662" t="s">
        <v>225</v>
      </c>
      <c r="D662" t="s">
        <v>1994</v>
      </c>
    </row>
    <row r="663" spans="1:4" x14ac:dyDescent="0.25">
      <c r="A663">
        <v>202442777</v>
      </c>
      <c r="B663" t="s">
        <v>1891</v>
      </c>
      <c r="C663" t="s">
        <v>225</v>
      </c>
      <c r="D663" t="s">
        <v>1992</v>
      </c>
    </row>
    <row r="664" spans="1:4" x14ac:dyDescent="0.25">
      <c r="A664">
        <v>202442784</v>
      </c>
      <c r="B664" t="s">
        <v>1892</v>
      </c>
      <c r="C664" t="s">
        <v>225</v>
      </c>
      <c r="D664" t="s">
        <v>1992</v>
      </c>
    </row>
    <row r="665" spans="1:4" x14ac:dyDescent="0.25">
      <c r="A665">
        <v>202442794</v>
      </c>
      <c r="B665" t="s">
        <v>1893</v>
      </c>
      <c r="C665" t="s">
        <v>225</v>
      </c>
      <c r="D665" t="s">
        <v>1985</v>
      </c>
    </row>
    <row r="666" spans="1:4" x14ac:dyDescent="0.25">
      <c r="A666">
        <v>202442797</v>
      </c>
      <c r="B666" t="s">
        <v>1894</v>
      </c>
      <c r="C666" t="s">
        <v>225</v>
      </c>
      <c r="D666" t="s">
        <v>1992</v>
      </c>
    </row>
    <row r="667" spans="1:4" x14ac:dyDescent="0.25">
      <c r="A667">
        <v>202442798</v>
      </c>
      <c r="B667" t="s">
        <v>1895</v>
      </c>
      <c r="C667" t="s">
        <v>225</v>
      </c>
      <c r="D667" t="s">
        <v>1992</v>
      </c>
    </row>
    <row r="668" spans="1:4" x14ac:dyDescent="0.25">
      <c r="A668">
        <v>202442908</v>
      </c>
      <c r="B668" t="s">
        <v>1896</v>
      </c>
      <c r="C668" t="s">
        <v>229</v>
      </c>
      <c r="D668" t="s">
        <v>1991</v>
      </c>
    </row>
    <row r="669" spans="1:4" x14ac:dyDescent="0.25">
      <c r="A669">
        <v>202461133</v>
      </c>
      <c r="B669" t="s">
        <v>1897</v>
      </c>
      <c r="C669" t="s">
        <v>224</v>
      </c>
      <c r="D669" t="s">
        <v>1991</v>
      </c>
    </row>
    <row r="670" spans="1:4" x14ac:dyDescent="0.25">
      <c r="A670">
        <v>202461254</v>
      </c>
      <c r="B670" t="s">
        <v>1898</v>
      </c>
      <c r="C670" t="s">
        <v>225</v>
      </c>
      <c r="D670" t="s">
        <v>1994</v>
      </c>
    </row>
    <row r="671" spans="1:4" x14ac:dyDescent="0.25">
      <c r="A671">
        <v>202461268</v>
      </c>
      <c r="B671" t="s">
        <v>1899</v>
      </c>
      <c r="C671" t="s">
        <v>225</v>
      </c>
      <c r="D671" t="s">
        <v>1994</v>
      </c>
    </row>
    <row r="672" spans="1:4" x14ac:dyDescent="0.25">
      <c r="A672">
        <v>202474175</v>
      </c>
      <c r="B672" t="s">
        <v>1900</v>
      </c>
      <c r="C672" t="s">
        <v>229</v>
      </c>
      <c r="D672" t="s">
        <v>1986</v>
      </c>
    </row>
    <row r="673" spans="1:4" x14ac:dyDescent="0.25">
      <c r="A673">
        <v>202474226</v>
      </c>
      <c r="B673" t="s">
        <v>1901</v>
      </c>
      <c r="C673" t="s">
        <v>227</v>
      </c>
      <c r="D673" t="s">
        <v>1982</v>
      </c>
    </row>
    <row r="674" spans="1:4" x14ac:dyDescent="0.25">
      <c r="A674">
        <v>202474241</v>
      </c>
      <c r="B674" t="s">
        <v>1902</v>
      </c>
      <c r="C674" t="s">
        <v>225</v>
      </c>
      <c r="D674" t="s">
        <v>1986</v>
      </c>
    </row>
    <row r="675" spans="1:4" x14ac:dyDescent="0.25">
      <c r="A675">
        <v>202474285</v>
      </c>
      <c r="B675" t="s">
        <v>1903</v>
      </c>
      <c r="C675" t="s">
        <v>229</v>
      </c>
      <c r="D675" t="s">
        <v>1986</v>
      </c>
    </row>
    <row r="676" spans="1:4" x14ac:dyDescent="0.25">
      <c r="A676">
        <v>202474314</v>
      </c>
      <c r="B676" t="s">
        <v>1904</v>
      </c>
      <c r="C676" t="s">
        <v>229</v>
      </c>
      <c r="D676" t="s">
        <v>1986</v>
      </c>
    </row>
    <row r="677" spans="1:4" x14ac:dyDescent="0.25">
      <c r="A677">
        <v>202474322</v>
      </c>
      <c r="B677" t="s">
        <v>1905</v>
      </c>
      <c r="C677" t="s">
        <v>229</v>
      </c>
      <c r="D677" t="s">
        <v>1986</v>
      </c>
    </row>
    <row r="678" spans="1:4" x14ac:dyDescent="0.25">
      <c r="A678">
        <v>202479830</v>
      </c>
      <c r="B678" t="s">
        <v>1906</v>
      </c>
      <c r="C678" t="s">
        <v>225</v>
      </c>
      <c r="D678" t="s">
        <v>1994</v>
      </c>
    </row>
    <row r="679" spans="1:4" x14ac:dyDescent="0.25">
      <c r="A679">
        <v>202479885</v>
      </c>
      <c r="B679" t="s">
        <v>1907</v>
      </c>
      <c r="C679" t="s">
        <v>225</v>
      </c>
      <c r="D679" t="s">
        <v>1994</v>
      </c>
    </row>
    <row r="680" spans="1:4" x14ac:dyDescent="0.25">
      <c r="A680">
        <v>202479893</v>
      </c>
      <c r="B680" t="s">
        <v>1908</v>
      </c>
      <c r="C680" t="s">
        <v>225</v>
      </c>
      <c r="D680" t="s">
        <v>1994</v>
      </c>
    </row>
    <row r="681" spans="1:4" x14ac:dyDescent="0.25">
      <c r="A681">
        <v>202479901</v>
      </c>
      <c r="B681" t="s">
        <v>1909</v>
      </c>
      <c r="C681" t="s">
        <v>225</v>
      </c>
      <c r="D681" t="s">
        <v>1986</v>
      </c>
    </row>
    <row r="682" spans="1:4" x14ac:dyDescent="0.25">
      <c r="A682">
        <v>202479908</v>
      </c>
      <c r="B682" t="s">
        <v>1910</v>
      </c>
      <c r="C682" t="s">
        <v>229</v>
      </c>
      <c r="D682" t="s">
        <v>1986</v>
      </c>
    </row>
    <row r="683" spans="1:4" x14ac:dyDescent="0.25">
      <c r="A683">
        <v>202479923</v>
      </c>
      <c r="B683" t="s">
        <v>1911</v>
      </c>
      <c r="C683" t="s">
        <v>229</v>
      </c>
      <c r="D683" t="s">
        <v>1986</v>
      </c>
    </row>
    <row r="684" spans="1:4" x14ac:dyDescent="0.25">
      <c r="A684">
        <v>202480064</v>
      </c>
      <c r="B684" t="s">
        <v>1912</v>
      </c>
      <c r="C684" t="s">
        <v>229</v>
      </c>
      <c r="D684" t="s">
        <v>1986</v>
      </c>
    </row>
    <row r="685" spans="1:4" x14ac:dyDescent="0.25">
      <c r="A685">
        <v>202480065</v>
      </c>
      <c r="B685" t="s">
        <v>1913</v>
      </c>
      <c r="C685" t="s">
        <v>229</v>
      </c>
      <c r="D685" t="s">
        <v>1986</v>
      </c>
    </row>
    <row r="686" spans="1:4" x14ac:dyDescent="0.25">
      <c r="A686">
        <v>202480089</v>
      </c>
      <c r="B686" t="s">
        <v>1914</v>
      </c>
      <c r="C686" t="s">
        <v>229</v>
      </c>
      <c r="D686" t="s">
        <v>1986</v>
      </c>
    </row>
    <row r="687" spans="1:4" x14ac:dyDescent="0.25">
      <c r="A687">
        <v>202480098</v>
      </c>
      <c r="B687" t="s">
        <v>1915</v>
      </c>
      <c r="C687" t="s">
        <v>225</v>
      </c>
      <c r="D687" t="s">
        <v>1994</v>
      </c>
    </row>
    <row r="688" spans="1:4" x14ac:dyDescent="0.25">
      <c r="A688">
        <v>202484029</v>
      </c>
      <c r="B688" t="s">
        <v>1916</v>
      </c>
      <c r="C688" t="s">
        <v>229</v>
      </c>
      <c r="D688" t="s">
        <v>1986</v>
      </c>
    </row>
    <row r="689" spans="1:4" x14ac:dyDescent="0.25">
      <c r="A689">
        <v>202484078</v>
      </c>
      <c r="B689" t="s">
        <v>1917</v>
      </c>
      <c r="C689" t="s">
        <v>229</v>
      </c>
      <c r="D689" t="s">
        <v>1986</v>
      </c>
    </row>
    <row r="690" spans="1:4" x14ac:dyDescent="0.25">
      <c r="A690">
        <v>202484082</v>
      </c>
      <c r="B690" t="s">
        <v>1918</v>
      </c>
      <c r="C690" t="s">
        <v>225</v>
      </c>
      <c r="D690" t="s">
        <v>1994</v>
      </c>
    </row>
    <row r="691" spans="1:4" x14ac:dyDescent="0.25">
      <c r="A691">
        <v>202484094</v>
      </c>
      <c r="B691" t="s">
        <v>1919</v>
      </c>
      <c r="C691" t="s">
        <v>229</v>
      </c>
      <c r="D691" t="s">
        <v>1986</v>
      </c>
    </row>
    <row r="692" spans="1:4" x14ac:dyDescent="0.25">
      <c r="A692">
        <v>202484096</v>
      </c>
      <c r="B692" t="s">
        <v>1920</v>
      </c>
      <c r="C692" t="s">
        <v>230</v>
      </c>
      <c r="D692" t="s">
        <v>1989</v>
      </c>
    </row>
    <row r="693" spans="1:4" x14ac:dyDescent="0.25">
      <c r="A693">
        <v>202484142</v>
      </c>
      <c r="B693" t="s">
        <v>1921</v>
      </c>
      <c r="C693" t="s">
        <v>225</v>
      </c>
      <c r="D693" t="s">
        <v>1986</v>
      </c>
    </row>
    <row r="694" spans="1:4" x14ac:dyDescent="0.25">
      <c r="A694">
        <v>202484145</v>
      </c>
      <c r="B694" t="s">
        <v>1922</v>
      </c>
      <c r="C694" t="s">
        <v>230</v>
      </c>
      <c r="D694" t="s">
        <v>1989</v>
      </c>
    </row>
    <row r="695" spans="1:4" x14ac:dyDescent="0.25">
      <c r="A695">
        <v>202484148</v>
      </c>
      <c r="B695" t="s">
        <v>1923</v>
      </c>
      <c r="C695" t="s">
        <v>230</v>
      </c>
      <c r="D695" t="s">
        <v>1989</v>
      </c>
    </row>
    <row r="696" spans="1:4" x14ac:dyDescent="0.25">
      <c r="A696">
        <v>202484149</v>
      </c>
      <c r="B696" t="s">
        <v>1924</v>
      </c>
      <c r="C696" t="s">
        <v>229</v>
      </c>
      <c r="D696" t="s">
        <v>1986</v>
      </c>
    </row>
    <row r="697" spans="1:4" x14ac:dyDescent="0.25">
      <c r="A697">
        <v>202484150</v>
      </c>
      <c r="B697" t="s">
        <v>1925</v>
      </c>
      <c r="C697" t="s">
        <v>229</v>
      </c>
      <c r="D697" t="s">
        <v>1986</v>
      </c>
    </row>
    <row r="698" spans="1:4" x14ac:dyDescent="0.25">
      <c r="A698">
        <v>202484155</v>
      </c>
      <c r="B698" t="s">
        <v>1926</v>
      </c>
      <c r="C698" t="s">
        <v>230</v>
      </c>
      <c r="D698" t="s">
        <v>1989</v>
      </c>
    </row>
    <row r="699" spans="1:4" x14ac:dyDescent="0.25">
      <c r="A699">
        <v>202484159</v>
      </c>
      <c r="B699" t="s">
        <v>1927</v>
      </c>
      <c r="C699" t="s">
        <v>229</v>
      </c>
      <c r="D699" t="s">
        <v>1986</v>
      </c>
    </row>
    <row r="700" spans="1:4" x14ac:dyDescent="0.25">
      <c r="A700">
        <v>202484164</v>
      </c>
      <c r="B700" t="s">
        <v>1928</v>
      </c>
      <c r="C700" t="s">
        <v>229</v>
      </c>
      <c r="D700" t="s">
        <v>1986</v>
      </c>
    </row>
    <row r="701" spans="1:4" x14ac:dyDescent="0.25">
      <c r="A701">
        <v>202484171</v>
      </c>
      <c r="B701" t="s">
        <v>1929</v>
      </c>
      <c r="C701" t="s">
        <v>229</v>
      </c>
      <c r="D701" t="s">
        <v>1986</v>
      </c>
    </row>
    <row r="702" spans="1:4" x14ac:dyDescent="0.25">
      <c r="A702">
        <v>202484172</v>
      </c>
      <c r="B702" t="s">
        <v>1930</v>
      </c>
      <c r="C702" t="s">
        <v>229</v>
      </c>
      <c r="D702" t="s">
        <v>1986</v>
      </c>
    </row>
    <row r="703" spans="1:4" x14ac:dyDescent="0.25">
      <c r="A703">
        <v>202490898</v>
      </c>
      <c r="B703" t="s">
        <v>1931</v>
      </c>
      <c r="C703" t="s">
        <v>225</v>
      </c>
      <c r="D703" t="s">
        <v>1982</v>
      </c>
    </row>
    <row r="704" spans="1:4" x14ac:dyDescent="0.25">
      <c r="A704">
        <v>202490913</v>
      </c>
      <c r="B704" t="s">
        <v>1932</v>
      </c>
      <c r="C704" t="s">
        <v>230</v>
      </c>
      <c r="D704" t="s">
        <v>1989</v>
      </c>
    </row>
    <row r="705" spans="1:4" x14ac:dyDescent="0.25">
      <c r="A705">
        <v>202507030</v>
      </c>
      <c r="B705" t="s">
        <v>1933</v>
      </c>
      <c r="C705" t="s">
        <v>230</v>
      </c>
      <c r="D705" t="s">
        <v>1989</v>
      </c>
    </row>
    <row r="706" spans="1:4" x14ac:dyDescent="0.25">
      <c r="A706">
        <v>202507039</v>
      </c>
      <c r="B706" t="s">
        <v>1934</v>
      </c>
      <c r="C706" t="s">
        <v>230</v>
      </c>
      <c r="D706" t="s">
        <v>1989</v>
      </c>
    </row>
    <row r="707" spans="1:4" x14ac:dyDescent="0.25">
      <c r="A707">
        <v>202507047</v>
      </c>
      <c r="B707" t="s">
        <v>1780</v>
      </c>
      <c r="C707" t="s">
        <v>230</v>
      </c>
      <c r="D707" t="s">
        <v>1989</v>
      </c>
    </row>
    <row r="708" spans="1:4" x14ac:dyDescent="0.25">
      <c r="A708">
        <v>202507059</v>
      </c>
      <c r="B708" t="s">
        <v>1935</v>
      </c>
      <c r="C708" t="s">
        <v>225</v>
      </c>
      <c r="D708" t="s">
        <v>1982</v>
      </c>
    </row>
    <row r="709" spans="1:4" x14ac:dyDescent="0.25">
      <c r="A709">
        <v>202507063</v>
      </c>
      <c r="B709" t="s">
        <v>1936</v>
      </c>
      <c r="C709" t="s">
        <v>225</v>
      </c>
      <c r="D709" t="s">
        <v>1982</v>
      </c>
    </row>
    <row r="710" spans="1:4" x14ac:dyDescent="0.25">
      <c r="A710">
        <v>202507079</v>
      </c>
      <c r="B710" t="s">
        <v>1937</v>
      </c>
      <c r="C710" t="s">
        <v>230</v>
      </c>
      <c r="D710" t="s">
        <v>1989</v>
      </c>
    </row>
    <row r="711" spans="1:4" x14ac:dyDescent="0.25">
      <c r="A711">
        <v>202507083</v>
      </c>
      <c r="B711" t="s">
        <v>1938</v>
      </c>
      <c r="C711" t="s">
        <v>230</v>
      </c>
      <c r="D711" t="s">
        <v>1989</v>
      </c>
    </row>
    <row r="712" spans="1:4" x14ac:dyDescent="0.25">
      <c r="A712">
        <v>202507128</v>
      </c>
      <c r="B712" t="s">
        <v>1939</v>
      </c>
      <c r="C712" t="s">
        <v>230</v>
      </c>
      <c r="D712" t="s">
        <v>1989</v>
      </c>
    </row>
    <row r="713" spans="1:4" x14ac:dyDescent="0.25">
      <c r="A713">
        <v>202507247</v>
      </c>
      <c r="B713" t="s">
        <v>1940</v>
      </c>
      <c r="C713" t="s">
        <v>230</v>
      </c>
      <c r="D713" t="s">
        <v>1989</v>
      </c>
    </row>
    <row r="714" spans="1:4" x14ac:dyDescent="0.25">
      <c r="A714">
        <v>202507255</v>
      </c>
      <c r="B714" t="s">
        <v>1941</v>
      </c>
      <c r="C714" t="s">
        <v>225</v>
      </c>
      <c r="D714" t="s">
        <v>1982</v>
      </c>
    </row>
    <row r="715" spans="1:4" x14ac:dyDescent="0.25">
      <c r="A715">
        <v>202507279</v>
      </c>
      <c r="B715" t="s">
        <v>1942</v>
      </c>
      <c r="C715" t="s">
        <v>225</v>
      </c>
      <c r="D715" t="s">
        <v>1982</v>
      </c>
    </row>
    <row r="716" spans="1:4" x14ac:dyDescent="0.25">
      <c r="A716">
        <v>202510540</v>
      </c>
      <c r="B716" t="s">
        <v>1943</v>
      </c>
      <c r="C716" t="s">
        <v>225</v>
      </c>
      <c r="D716" t="s">
        <v>1982</v>
      </c>
    </row>
    <row r="717" spans="1:4" x14ac:dyDescent="0.25">
      <c r="A717">
        <v>202510541</v>
      </c>
      <c r="B717" t="s">
        <v>1944</v>
      </c>
      <c r="C717" t="s">
        <v>230</v>
      </c>
      <c r="D717" t="s">
        <v>1989</v>
      </c>
    </row>
    <row r="718" spans="1:4" x14ac:dyDescent="0.25">
      <c r="A718">
        <v>202510544</v>
      </c>
      <c r="B718" t="s">
        <v>1945</v>
      </c>
      <c r="C718" t="s">
        <v>230</v>
      </c>
      <c r="D718" t="s">
        <v>1989</v>
      </c>
    </row>
    <row r="719" spans="1:4" x14ac:dyDescent="0.25">
      <c r="A719">
        <v>202510547</v>
      </c>
      <c r="B719" t="s">
        <v>1946</v>
      </c>
      <c r="C719" t="s">
        <v>230</v>
      </c>
      <c r="D719" t="s">
        <v>1989</v>
      </c>
    </row>
    <row r="720" spans="1:4" x14ac:dyDescent="0.25">
      <c r="A720">
        <v>202510553</v>
      </c>
      <c r="B720" t="s">
        <v>1947</v>
      </c>
      <c r="C720" t="s">
        <v>229</v>
      </c>
      <c r="D720" t="s">
        <v>1986</v>
      </c>
    </row>
    <row r="721" spans="1:4" x14ac:dyDescent="0.25">
      <c r="A721">
        <v>202510559</v>
      </c>
      <c r="B721" t="s">
        <v>1948</v>
      </c>
      <c r="C721" t="s">
        <v>225</v>
      </c>
      <c r="D721" t="s">
        <v>1982</v>
      </c>
    </row>
    <row r="722" spans="1:4" x14ac:dyDescent="0.25">
      <c r="A722">
        <v>202510583</v>
      </c>
      <c r="B722" t="s">
        <v>1949</v>
      </c>
      <c r="C722" t="s">
        <v>230</v>
      </c>
      <c r="D722" t="s">
        <v>1989</v>
      </c>
    </row>
    <row r="723" spans="1:4" x14ac:dyDescent="0.25">
      <c r="A723">
        <v>202511854</v>
      </c>
      <c r="B723" t="s">
        <v>1950</v>
      </c>
      <c r="C723" t="s">
        <v>230</v>
      </c>
      <c r="D723" t="s">
        <v>1989</v>
      </c>
    </row>
    <row r="724" spans="1:4" x14ac:dyDescent="0.25">
      <c r="A724">
        <v>202511949</v>
      </c>
      <c r="B724" t="s">
        <v>1951</v>
      </c>
      <c r="C724" t="s">
        <v>230</v>
      </c>
      <c r="D724" t="s">
        <v>1989</v>
      </c>
    </row>
    <row r="725" spans="1:4" x14ac:dyDescent="0.25">
      <c r="A725">
        <v>202512055</v>
      </c>
      <c r="B725" t="s">
        <v>1952</v>
      </c>
      <c r="C725" t="s">
        <v>229</v>
      </c>
      <c r="D725" t="s">
        <v>1986</v>
      </c>
    </row>
    <row r="726" spans="1:4" x14ac:dyDescent="0.25">
      <c r="A726">
        <v>202512090</v>
      </c>
      <c r="B726" t="s">
        <v>1953</v>
      </c>
      <c r="C726" t="s">
        <v>225</v>
      </c>
      <c r="D726" t="s">
        <v>1990</v>
      </c>
    </row>
    <row r="727" spans="1:4" x14ac:dyDescent="0.25">
      <c r="A727">
        <v>202512720</v>
      </c>
      <c r="B727" t="s">
        <v>1954</v>
      </c>
      <c r="C727" t="s">
        <v>225</v>
      </c>
      <c r="D727" t="s">
        <v>1990</v>
      </c>
    </row>
    <row r="728" spans="1:4" x14ac:dyDescent="0.25">
      <c r="A728">
        <v>202512731</v>
      </c>
      <c r="B728" t="s">
        <v>1955</v>
      </c>
      <c r="C728" t="s">
        <v>230</v>
      </c>
      <c r="D728" t="s">
        <v>1989</v>
      </c>
    </row>
    <row r="729" spans="1:4" x14ac:dyDescent="0.25">
      <c r="A729">
        <v>202513006</v>
      </c>
      <c r="B729" t="s">
        <v>1956</v>
      </c>
      <c r="C729" t="s">
        <v>230</v>
      </c>
      <c r="D729" t="s">
        <v>1989</v>
      </c>
    </row>
    <row r="730" spans="1:4" x14ac:dyDescent="0.25">
      <c r="A730">
        <v>202513042</v>
      </c>
      <c r="B730" t="s">
        <v>1957</v>
      </c>
      <c r="C730" t="s">
        <v>230</v>
      </c>
      <c r="D730" t="s">
        <v>1989</v>
      </c>
    </row>
    <row r="731" spans="1:4" x14ac:dyDescent="0.25">
      <c r="A731">
        <v>202513047</v>
      </c>
      <c r="B731" t="s">
        <v>1958</v>
      </c>
      <c r="C731" t="s">
        <v>229</v>
      </c>
      <c r="D731" t="s">
        <v>1986</v>
      </c>
    </row>
    <row r="732" spans="1:4" x14ac:dyDescent="0.25">
      <c r="A732">
        <v>202513840</v>
      </c>
      <c r="B732" t="s">
        <v>1959</v>
      </c>
      <c r="C732" t="s">
        <v>230</v>
      </c>
      <c r="D732" t="s">
        <v>1989</v>
      </c>
    </row>
    <row r="733" spans="1:4" x14ac:dyDescent="0.25">
      <c r="A733">
        <v>202518284</v>
      </c>
      <c r="B733" t="s">
        <v>1960</v>
      </c>
      <c r="C733" t="s">
        <v>225</v>
      </c>
      <c r="D733" t="s">
        <v>1990</v>
      </c>
    </row>
    <row r="734" spans="1:4" x14ac:dyDescent="0.25">
      <c r="A734">
        <v>202518318</v>
      </c>
      <c r="B734" t="s">
        <v>1961</v>
      </c>
      <c r="C734" t="s">
        <v>225</v>
      </c>
      <c r="D734" t="s">
        <v>1990</v>
      </c>
    </row>
    <row r="735" spans="1:4" x14ac:dyDescent="0.25">
      <c r="A735">
        <v>202518421</v>
      </c>
      <c r="B735" t="s">
        <v>1962</v>
      </c>
      <c r="C735" t="s">
        <v>229</v>
      </c>
      <c r="D735" t="s">
        <v>1986</v>
      </c>
    </row>
    <row r="736" spans="1:4" x14ac:dyDescent="0.25">
      <c r="A736">
        <v>202518711</v>
      </c>
      <c r="B736" t="s">
        <v>1963</v>
      </c>
      <c r="C736" t="s">
        <v>230</v>
      </c>
      <c r="D736" t="s">
        <v>1989</v>
      </c>
    </row>
    <row r="737" spans="1:4" x14ac:dyDescent="0.25">
      <c r="A737">
        <v>202518714</v>
      </c>
      <c r="B737" t="s">
        <v>1964</v>
      </c>
      <c r="C737" t="s">
        <v>230</v>
      </c>
      <c r="D737" t="s">
        <v>1989</v>
      </c>
    </row>
    <row r="738" spans="1:4" x14ac:dyDescent="0.25">
      <c r="A738">
        <v>202518715</v>
      </c>
      <c r="B738" t="s">
        <v>1965</v>
      </c>
      <c r="C738" t="s">
        <v>225</v>
      </c>
      <c r="D738" t="s">
        <v>1986</v>
      </c>
    </row>
    <row r="739" spans="1:4" x14ac:dyDescent="0.25">
      <c r="A739">
        <v>202518716</v>
      </c>
      <c r="B739" t="s">
        <v>1966</v>
      </c>
      <c r="C739" t="s">
        <v>229</v>
      </c>
      <c r="D739" t="s">
        <v>1986</v>
      </c>
    </row>
    <row r="740" spans="1:4" x14ac:dyDescent="0.25">
      <c r="A740">
        <v>202518717</v>
      </c>
      <c r="B740" t="s">
        <v>1967</v>
      </c>
      <c r="C740" t="s">
        <v>230</v>
      </c>
      <c r="D740" t="s">
        <v>1989</v>
      </c>
    </row>
    <row r="741" spans="1:4" x14ac:dyDescent="0.25">
      <c r="A741">
        <v>202518719</v>
      </c>
      <c r="B741" t="s">
        <v>1968</v>
      </c>
      <c r="C741" t="s">
        <v>230</v>
      </c>
      <c r="D741" t="s">
        <v>1989</v>
      </c>
    </row>
    <row r="742" spans="1:4" x14ac:dyDescent="0.25">
      <c r="A742">
        <v>202518720</v>
      </c>
      <c r="B742" t="s">
        <v>1969</v>
      </c>
      <c r="C742" t="s">
        <v>229</v>
      </c>
      <c r="D742" t="s">
        <v>1986</v>
      </c>
    </row>
    <row r="743" spans="1:4" x14ac:dyDescent="0.25">
      <c r="A743">
        <v>202518721</v>
      </c>
      <c r="B743" t="s">
        <v>1970</v>
      </c>
      <c r="C743" t="s">
        <v>230</v>
      </c>
      <c r="D743" t="s">
        <v>1989</v>
      </c>
    </row>
    <row r="744" spans="1:4" x14ac:dyDescent="0.25">
      <c r="A744">
        <v>202518722</v>
      </c>
      <c r="B744" t="s">
        <v>1971</v>
      </c>
      <c r="C744" t="s">
        <v>225</v>
      </c>
      <c r="D744" t="s">
        <v>1986</v>
      </c>
    </row>
    <row r="745" spans="1:4" x14ac:dyDescent="0.25">
      <c r="A745">
        <v>202518724</v>
      </c>
      <c r="B745" t="s">
        <v>1972</v>
      </c>
      <c r="C745" t="s">
        <v>225</v>
      </c>
      <c r="D745" t="s">
        <v>1986</v>
      </c>
    </row>
    <row r="746" spans="1:4" x14ac:dyDescent="0.25">
      <c r="A746">
        <v>202518727</v>
      </c>
      <c r="B746" t="s">
        <v>1973</v>
      </c>
      <c r="C746" t="s">
        <v>229</v>
      </c>
      <c r="D746" t="s">
        <v>1986</v>
      </c>
    </row>
    <row r="747" spans="1:4" x14ac:dyDescent="0.25">
      <c r="A747">
        <v>202518734</v>
      </c>
      <c r="B747" t="s">
        <v>1974</v>
      </c>
      <c r="C747" t="s">
        <v>230</v>
      </c>
      <c r="D747" t="s">
        <v>1989</v>
      </c>
    </row>
    <row r="748" spans="1:4" x14ac:dyDescent="0.25">
      <c r="A748">
        <v>202518735</v>
      </c>
      <c r="B748" t="s">
        <v>1975</v>
      </c>
      <c r="C748" t="s">
        <v>225</v>
      </c>
      <c r="D748" t="s">
        <v>1986</v>
      </c>
    </row>
    <row r="749" spans="1:4" x14ac:dyDescent="0.25">
      <c r="A749">
        <v>202518739</v>
      </c>
      <c r="B749" t="s">
        <v>1976</v>
      </c>
      <c r="C749" t="s">
        <v>230</v>
      </c>
      <c r="D749" t="s">
        <v>1989</v>
      </c>
    </row>
    <row r="750" spans="1:4" x14ac:dyDescent="0.25">
      <c r="A750">
        <v>202518740</v>
      </c>
      <c r="B750" t="s">
        <v>1977</v>
      </c>
      <c r="C750" t="s">
        <v>229</v>
      </c>
      <c r="D750" t="s">
        <v>1986</v>
      </c>
    </row>
    <row r="751" spans="1:4" x14ac:dyDescent="0.25">
      <c r="A751">
        <v>112250008</v>
      </c>
      <c r="B751" t="s">
        <v>888</v>
      </c>
      <c r="C751" t="s">
        <v>231</v>
      </c>
      <c r="D751" t="s">
        <v>1996</v>
      </c>
    </row>
    <row r="752" spans="1:4" x14ac:dyDescent="0.25">
      <c r="A752">
        <v>113003635</v>
      </c>
      <c r="B752" t="s">
        <v>156</v>
      </c>
      <c r="C752" t="s">
        <v>231</v>
      </c>
      <c r="D752" t="s">
        <v>1997</v>
      </c>
    </row>
    <row r="753" spans="1:4" x14ac:dyDescent="0.25">
      <c r="A753">
        <v>201202093</v>
      </c>
      <c r="B753" t="s">
        <v>865</v>
      </c>
      <c r="C753" t="s">
        <v>231</v>
      </c>
      <c r="D753" t="s">
        <v>1997</v>
      </c>
    </row>
    <row r="754" spans="1:4" x14ac:dyDescent="0.25">
      <c r="A754">
        <v>113004013</v>
      </c>
      <c r="B754" t="s">
        <v>217</v>
      </c>
      <c r="C754" t="s">
        <v>224</v>
      </c>
      <c r="D754" t="s">
        <v>1998</v>
      </c>
    </row>
    <row r="755" spans="1:4" x14ac:dyDescent="0.25">
      <c r="A755">
        <v>113194024</v>
      </c>
      <c r="B755" t="s">
        <v>219</v>
      </c>
      <c r="C755" t="s">
        <v>231</v>
      </c>
      <c r="D755" t="s">
        <v>1999</v>
      </c>
    </row>
    <row r="756" spans="1:4" x14ac:dyDescent="0.25">
      <c r="A756">
        <v>101365606</v>
      </c>
      <c r="B756" t="s">
        <v>220</v>
      </c>
      <c r="C756" t="s">
        <v>224</v>
      </c>
      <c r="D756" t="s">
        <v>2000</v>
      </c>
    </row>
    <row r="757" spans="1:4" x14ac:dyDescent="0.25">
      <c r="A757">
        <v>112506580</v>
      </c>
      <c r="B757" t="s">
        <v>221</v>
      </c>
      <c r="C757" t="s">
        <v>228</v>
      </c>
      <c r="D757" t="s">
        <v>2000</v>
      </c>
    </row>
    <row r="758" spans="1:4" x14ac:dyDescent="0.25">
      <c r="A758">
        <v>112911988</v>
      </c>
      <c r="B758" t="s">
        <v>1211</v>
      </c>
      <c r="C758" t="s">
        <v>231</v>
      </c>
      <c r="D758" t="s">
        <v>2000</v>
      </c>
    </row>
    <row r="759" spans="1:4" x14ac:dyDescent="0.25">
      <c r="A759">
        <v>113143044</v>
      </c>
      <c r="B759" t="s">
        <v>222</v>
      </c>
      <c r="C759" t="s">
        <v>225</v>
      </c>
      <c r="D759" t="s">
        <v>2000</v>
      </c>
    </row>
    <row r="760" spans="1:4" x14ac:dyDescent="0.25">
      <c r="A760">
        <v>111732814</v>
      </c>
      <c r="B760" t="s">
        <v>889</v>
      </c>
      <c r="C760" t="s">
        <v>897</v>
      </c>
      <c r="D760" t="s">
        <v>2001</v>
      </c>
    </row>
    <row r="761" spans="1:4" x14ac:dyDescent="0.25">
      <c r="A761">
        <v>111872502</v>
      </c>
      <c r="B761" t="s">
        <v>890</v>
      </c>
      <c r="C761" t="s">
        <v>897</v>
      </c>
      <c r="D761" t="s">
        <v>2001</v>
      </c>
    </row>
    <row r="762" spans="1:4" x14ac:dyDescent="0.25">
      <c r="A762">
        <v>112400601</v>
      </c>
      <c r="B762" t="s">
        <v>891</v>
      </c>
      <c r="C762" t="s">
        <v>897</v>
      </c>
      <c r="D762" t="s">
        <v>2001</v>
      </c>
    </row>
    <row r="763" spans="1:4" x14ac:dyDescent="0.25">
      <c r="A763">
        <v>113154728</v>
      </c>
      <c r="B763" t="s">
        <v>892</v>
      </c>
      <c r="C763" t="s">
        <v>897</v>
      </c>
      <c r="D763" t="s">
        <v>2001</v>
      </c>
    </row>
    <row r="764" spans="1:4" x14ac:dyDescent="0.25">
      <c r="A764">
        <v>113168202</v>
      </c>
      <c r="B764" t="s">
        <v>893</v>
      </c>
      <c r="C764" t="s">
        <v>897</v>
      </c>
      <c r="D764" t="s">
        <v>2001</v>
      </c>
    </row>
    <row r="765" spans="1:4" x14ac:dyDescent="0.25">
      <c r="A765">
        <v>103427686</v>
      </c>
      <c r="B765" t="s">
        <v>894</v>
      </c>
      <c r="C765" t="s">
        <v>231</v>
      </c>
      <c r="D765" t="s">
        <v>2002</v>
      </c>
    </row>
    <row r="766" spans="1:4" x14ac:dyDescent="0.25">
      <c r="A766">
        <v>112913614</v>
      </c>
      <c r="B766" t="s">
        <v>895</v>
      </c>
      <c r="C766" t="s">
        <v>225</v>
      </c>
      <c r="D766" t="s">
        <v>2002</v>
      </c>
    </row>
    <row r="767" spans="1:4" x14ac:dyDescent="0.25">
      <c r="A767">
        <v>112913615</v>
      </c>
      <c r="B767" t="s">
        <v>896</v>
      </c>
      <c r="C767" t="s">
        <v>224</v>
      </c>
      <c r="D767" t="s">
        <v>2002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3902-D55C-4795-8C6C-F9115E093402}">
  <sheetPr codeName="Sheet2"/>
  <dimension ref="A1:BV4612"/>
  <sheetViews>
    <sheetView zoomScale="115" zoomScaleNormal="115" workbookViewId="0">
      <selection activeCell="M10" sqref="M10"/>
    </sheetView>
  </sheetViews>
  <sheetFormatPr defaultRowHeight="37.5" customHeight="1" x14ac:dyDescent="0.25"/>
  <cols>
    <col min="1" max="1" width="10.85546875" customWidth="1"/>
    <col min="2" max="2" width="7.5703125" style="7" customWidth="1"/>
    <col min="6" max="8" width="13.5703125" customWidth="1"/>
    <col min="9" max="13" width="6.42578125" customWidth="1"/>
    <col min="14" max="15" width="13.5703125" customWidth="1"/>
    <col min="16" max="16" width="21" customWidth="1"/>
    <col min="17" max="17" width="16.140625" customWidth="1"/>
    <col min="18" max="18" width="24.42578125" customWidth="1"/>
    <col min="19" max="19" width="14.85546875" style="2" customWidth="1"/>
    <col min="20" max="20" width="13.140625" customWidth="1"/>
    <col min="21" max="21" width="10.85546875" customWidth="1"/>
    <col min="23" max="23" width="10.7109375" bestFit="1" customWidth="1"/>
    <col min="24" max="24" width="13.5703125" bestFit="1" customWidth="1"/>
    <col min="25" max="25" width="39.42578125" bestFit="1" customWidth="1"/>
    <col min="26" max="26" width="12.42578125" bestFit="1" customWidth="1"/>
    <col min="27" max="27" width="14.42578125" customWidth="1"/>
    <col min="32" max="32" width="14.140625" customWidth="1"/>
    <col min="36" max="36" width="15.42578125" customWidth="1"/>
    <col min="38" max="38" width="8.85546875" customWidth="1"/>
    <col min="40" max="40" width="13.5703125" customWidth="1"/>
    <col min="44" max="44" width="11.85546875" customWidth="1"/>
    <col min="48" max="48" width="16.85546875" customWidth="1"/>
    <col min="52" max="52" width="15.85546875" customWidth="1"/>
    <col min="53" max="53" width="14.140625" customWidth="1"/>
    <col min="54" max="54" width="13.42578125" customWidth="1"/>
    <col min="56" max="56" width="9.7109375" bestFit="1" customWidth="1"/>
    <col min="58" max="58" width="13.85546875" customWidth="1"/>
    <col min="60" max="60" width="14.140625" customWidth="1"/>
    <col min="62" max="62" width="8.85546875" customWidth="1"/>
    <col min="64" max="64" width="20.28515625" customWidth="1"/>
    <col min="65" max="65" width="10.42578125" customWidth="1"/>
    <col min="68" max="68" width="12.28515625" customWidth="1"/>
    <col min="72" max="72" width="10.140625" bestFit="1" customWidth="1"/>
  </cols>
  <sheetData>
    <row r="1" spans="1:74" ht="37.5" customHeight="1" x14ac:dyDescent="0.25">
      <c r="A1" s="3" t="s">
        <v>26</v>
      </c>
      <c r="B1" s="12" t="s">
        <v>455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s="7" t="s">
        <v>38</v>
      </c>
      <c r="O1" t="s">
        <v>39</v>
      </c>
      <c r="P1" t="s">
        <v>660</v>
      </c>
      <c r="Q1" t="s">
        <v>2009</v>
      </c>
      <c r="R1" t="s">
        <v>40</v>
      </c>
      <c r="S1" s="2" t="s">
        <v>41</v>
      </c>
      <c r="T1" s="2" t="s">
        <v>42</v>
      </c>
      <c r="U1" s="7" t="s">
        <v>57</v>
      </c>
      <c r="W1" s="4" t="s">
        <v>455</v>
      </c>
      <c r="X1" t="s">
        <v>1234</v>
      </c>
    </row>
    <row r="2" spans="1:74" ht="37.5" customHeight="1" x14ac:dyDescent="0.25">
      <c r="A2" s="1">
        <v>44928</v>
      </c>
      <c r="B2" s="13">
        <v>1</v>
      </c>
      <c r="C2" t="s">
        <v>3</v>
      </c>
      <c r="D2" t="s">
        <v>4</v>
      </c>
      <c r="E2" t="s">
        <v>5</v>
      </c>
      <c r="F2" s="6">
        <v>112981009</v>
      </c>
      <c r="G2" t="s">
        <v>16</v>
      </c>
      <c r="H2" t="s">
        <v>17</v>
      </c>
      <c r="I2">
        <v>0</v>
      </c>
      <c r="J2">
        <v>0</v>
      </c>
      <c r="K2">
        <v>0</v>
      </c>
      <c r="L2">
        <v>0</v>
      </c>
      <c r="M2">
        <v>1.08</v>
      </c>
      <c r="N2" s="7" t="e">
        <f>VLOOKUP(F2,HC!A$6:D$100,3,FALSE)</f>
        <v>#N/A</v>
      </c>
      <c r="O2" s="7" t="e">
        <f>VLOOKUP(F2,HC!A$6:D$1000,2,FALSE)</f>
        <v>#N/A</v>
      </c>
      <c r="P2" s="7" t="s">
        <v>661</v>
      </c>
      <c r="Q2" s="7" t="s">
        <v>700</v>
      </c>
      <c r="R2" t="s">
        <v>18</v>
      </c>
      <c r="U2">
        <f t="shared" ref="U2:U33" si="0">COUNTIF(O$2:O$4999,O2)</f>
        <v>1395</v>
      </c>
      <c r="Z2" s="4" t="s">
        <v>237</v>
      </c>
      <c r="AA2" s="4" t="s">
        <v>287</v>
      </c>
      <c r="AB2" s="4" t="s">
        <v>1</v>
      </c>
      <c r="AC2" s="4" t="s">
        <v>954</v>
      </c>
      <c r="AD2" s="4"/>
      <c r="AE2" s="4"/>
      <c r="AF2" s="4" t="s">
        <v>1</v>
      </c>
      <c r="AG2" s="4" t="s">
        <v>288</v>
      </c>
      <c r="AH2" s="4" t="s">
        <v>289</v>
      </c>
      <c r="AI2" s="4" t="s">
        <v>310</v>
      </c>
      <c r="AJ2" t="s">
        <v>1</v>
      </c>
      <c r="AK2" t="s">
        <v>288</v>
      </c>
      <c r="AL2" t="s">
        <v>289</v>
      </c>
      <c r="AN2" t="s">
        <v>1</v>
      </c>
      <c r="AO2" t="s">
        <v>288</v>
      </c>
      <c r="AP2" t="s">
        <v>289</v>
      </c>
      <c r="AR2" t="s">
        <v>1</v>
      </c>
      <c r="AS2" t="s">
        <v>288</v>
      </c>
      <c r="AT2" t="s">
        <v>289</v>
      </c>
      <c r="AV2" t="s">
        <v>1</v>
      </c>
      <c r="AW2" t="s">
        <v>288</v>
      </c>
      <c r="AX2" t="s">
        <v>289</v>
      </c>
      <c r="AZ2" t="s">
        <v>1</v>
      </c>
      <c r="BA2" t="s">
        <v>288</v>
      </c>
      <c r="BB2" t="s">
        <v>289</v>
      </c>
      <c r="BD2" t="s">
        <v>1</v>
      </c>
      <c r="BE2" t="s">
        <v>288</v>
      </c>
      <c r="BF2" t="s">
        <v>289</v>
      </c>
      <c r="BH2" t="s">
        <v>1</v>
      </c>
      <c r="BI2" t="s">
        <v>288</v>
      </c>
      <c r="BJ2" t="s">
        <v>289</v>
      </c>
      <c r="BL2" t="s">
        <v>1</v>
      </c>
      <c r="BM2" t="s">
        <v>288</v>
      </c>
      <c r="BN2" t="s">
        <v>289</v>
      </c>
      <c r="BP2" t="s">
        <v>1</v>
      </c>
      <c r="BQ2" t="s">
        <v>288</v>
      </c>
      <c r="BR2" t="s">
        <v>289</v>
      </c>
      <c r="BT2" t="s">
        <v>1</v>
      </c>
      <c r="BU2" t="s">
        <v>288</v>
      </c>
      <c r="BV2" t="s">
        <v>289</v>
      </c>
    </row>
    <row r="3" spans="1:74" ht="37.5" customHeight="1" x14ac:dyDescent="0.25">
      <c r="A3" s="1">
        <v>44928</v>
      </c>
      <c r="B3" s="13">
        <v>1</v>
      </c>
      <c r="C3" t="s">
        <v>3</v>
      </c>
      <c r="D3" t="s">
        <v>4</v>
      </c>
      <c r="E3" t="s">
        <v>5</v>
      </c>
      <c r="F3" s="6">
        <v>112950797</v>
      </c>
      <c r="G3" t="s">
        <v>11</v>
      </c>
      <c r="H3" t="s">
        <v>7</v>
      </c>
      <c r="I3">
        <v>0</v>
      </c>
      <c r="J3">
        <v>0</v>
      </c>
      <c r="K3">
        <v>0</v>
      </c>
      <c r="L3">
        <v>0</v>
      </c>
      <c r="M3">
        <v>0.32</v>
      </c>
      <c r="N3" s="7" t="str">
        <f>VLOOKUP(F3,HC!A$6:D$100,3,FALSE)</f>
        <v>DA-X0700</v>
      </c>
      <c r="O3" s="7" t="str">
        <f>VLOOKUP(F3,HC!A$6:D$1000,2,FALSE)</f>
        <v>hesdenis</v>
      </c>
      <c r="P3" s="7" t="s">
        <v>669</v>
      </c>
      <c r="Q3" s="7" t="s">
        <v>739</v>
      </c>
      <c r="R3" t="s">
        <v>12</v>
      </c>
      <c r="U3">
        <f t="shared" si="0"/>
        <v>7</v>
      </c>
      <c r="X3" t="s">
        <v>56</v>
      </c>
      <c r="Z3" t="s">
        <v>238</v>
      </c>
      <c r="AA3">
        <v>172</v>
      </c>
      <c r="AB3" s="9">
        <f>(AA3/31)</f>
        <v>5.5483870967741939</v>
      </c>
      <c r="AC3" s="9">
        <f>SUM(AG3:AG32)</f>
        <v>268.67</v>
      </c>
      <c r="AD3" s="9"/>
      <c r="AF3" s="5">
        <v>44928</v>
      </c>
      <c r="AG3" s="6">
        <v>3.18</v>
      </c>
      <c r="AH3" s="9">
        <v>5.55</v>
      </c>
      <c r="AJ3" s="5">
        <v>44958</v>
      </c>
      <c r="AK3" s="6">
        <v>10.74</v>
      </c>
      <c r="AL3" s="9">
        <v>5.26</v>
      </c>
      <c r="AN3" s="5">
        <v>44986</v>
      </c>
      <c r="AO3" s="6">
        <v>4.93</v>
      </c>
      <c r="AP3" s="9">
        <v>5.68</v>
      </c>
      <c r="AR3" s="26">
        <v>45017</v>
      </c>
      <c r="AS3">
        <v>14.87</v>
      </c>
      <c r="AT3">
        <v>6.39</v>
      </c>
      <c r="AV3" s="28">
        <v>45046</v>
      </c>
      <c r="AW3" s="6">
        <v>2.94</v>
      </c>
      <c r="AX3">
        <v>8.7100000000000009</v>
      </c>
      <c r="AZ3" s="5">
        <v>45078</v>
      </c>
      <c r="BA3" s="6">
        <v>8.7100000000000009</v>
      </c>
      <c r="BB3" s="31">
        <v>6.3</v>
      </c>
      <c r="BD3" s="25">
        <v>45108</v>
      </c>
      <c r="BE3">
        <v>6.2</v>
      </c>
      <c r="BF3">
        <v>7.03</v>
      </c>
      <c r="BH3" s="5">
        <v>45137</v>
      </c>
      <c r="BI3" s="6">
        <v>3.1100000000000003</v>
      </c>
      <c r="BJ3" s="6">
        <v>7.03</v>
      </c>
      <c r="BL3" s="25">
        <v>45170</v>
      </c>
      <c r="BM3">
        <v>9.02</v>
      </c>
      <c r="BN3">
        <v>5.16</v>
      </c>
      <c r="BP3" s="25">
        <v>45200</v>
      </c>
      <c r="BQ3">
        <v>1.91</v>
      </c>
      <c r="BR3">
        <v>7.84</v>
      </c>
      <c r="BT3" s="25">
        <v>45231</v>
      </c>
      <c r="BU3" s="9">
        <v>18.46</v>
      </c>
      <c r="BV3">
        <v>9.9</v>
      </c>
    </row>
    <row r="4" spans="1:74" ht="37.5" customHeight="1" x14ac:dyDescent="0.25">
      <c r="A4" s="1">
        <v>44928</v>
      </c>
      <c r="B4" s="13">
        <v>1</v>
      </c>
      <c r="C4" t="s">
        <v>3</v>
      </c>
      <c r="D4" t="s">
        <v>4</v>
      </c>
      <c r="E4" t="s">
        <v>5</v>
      </c>
      <c r="F4" s="6">
        <v>112912210</v>
      </c>
      <c r="G4" t="s">
        <v>6</v>
      </c>
      <c r="H4" t="s">
        <v>7</v>
      </c>
      <c r="I4">
        <v>0</v>
      </c>
      <c r="J4">
        <v>0</v>
      </c>
      <c r="K4">
        <v>0</v>
      </c>
      <c r="L4">
        <v>0</v>
      </c>
      <c r="M4">
        <v>0.03</v>
      </c>
      <c r="N4" s="7" t="e">
        <f>VLOOKUP(F4,HC!A$6:D$100,3,FALSE)</f>
        <v>#N/A</v>
      </c>
      <c r="O4" s="7" t="e">
        <f>VLOOKUP(F4,HC!A$6:D$1000,2,FALSE)</f>
        <v>#N/A</v>
      </c>
      <c r="P4" s="7" t="s">
        <v>666</v>
      </c>
      <c r="Q4" s="7" t="s">
        <v>724</v>
      </c>
      <c r="R4" t="s">
        <v>292</v>
      </c>
      <c r="U4">
        <f t="shared" si="0"/>
        <v>1395</v>
      </c>
      <c r="W4" s="10" t="s">
        <v>139</v>
      </c>
      <c r="X4" s="6">
        <v>2.71</v>
      </c>
      <c r="Z4" t="s">
        <v>239</v>
      </c>
      <c r="AA4">
        <v>163</v>
      </c>
      <c r="AB4" s="9">
        <f>(AA4/31)</f>
        <v>5.258064516129032</v>
      </c>
      <c r="AC4" s="9">
        <f>SUM(AK3:AK30)</f>
        <v>226.04999999999995</v>
      </c>
      <c r="AD4" s="9"/>
      <c r="AF4" s="5">
        <v>44929</v>
      </c>
      <c r="AG4" s="6">
        <v>6.2700000000000005</v>
      </c>
      <c r="AH4" s="9">
        <v>5.55</v>
      </c>
      <c r="AJ4" s="5">
        <v>44959</v>
      </c>
      <c r="AK4" s="6">
        <v>26.559999999999995</v>
      </c>
      <c r="AL4" s="9">
        <v>5.26</v>
      </c>
      <c r="AN4" s="5">
        <v>44987</v>
      </c>
      <c r="AO4" s="6">
        <v>10.42</v>
      </c>
      <c r="AP4" s="9">
        <v>5.68</v>
      </c>
      <c r="AR4" s="26">
        <v>45018</v>
      </c>
      <c r="AS4">
        <v>1.41</v>
      </c>
      <c r="AT4">
        <v>6.39</v>
      </c>
      <c r="AV4" s="28">
        <v>45047</v>
      </c>
      <c r="AW4">
        <v>7.37</v>
      </c>
      <c r="AX4">
        <v>8.7100000000000009</v>
      </c>
      <c r="AZ4" s="5">
        <v>45079</v>
      </c>
      <c r="BA4" s="6">
        <v>2.63</v>
      </c>
      <c r="BB4" s="31">
        <v>6.3</v>
      </c>
      <c r="BD4" s="25">
        <v>45109</v>
      </c>
      <c r="BE4">
        <v>2.5</v>
      </c>
      <c r="BF4">
        <v>7.03</v>
      </c>
      <c r="BH4" s="5">
        <v>45138</v>
      </c>
      <c r="BI4" s="6">
        <v>4.6900000000000004</v>
      </c>
      <c r="BJ4" s="6">
        <v>7.03</v>
      </c>
      <c r="BL4" s="25">
        <v>45171</v>
      </c>
      <c r="BM4">
        <v>10.47</v>
      </c>
      <c r="BN4">
        <v>5.16</v>
      </c>
      <c r="BP4" s="25">
        <v>45201</v>
      </c>
      <c r="BQ4">
        <v>3.48</v>
      </c>
      <c r="BR4">
        <v>7.84</v>
      </c>
      <c r="BT4" s="25">
        <v>45232</v>
      </c>
      <c r="BU4" s="6">
        <v>13.32</v>
      </c>
      <c r="BV4">
        <v>9.9</v>
      </c>
    </row>
    <row r="5" spans="1:74" ht="37.5" customHeight="1" x14ac:dyDescent="0.25">
      <c r="A5" s="1">
        <v>44928</v>
      </c>
      <c r="B5" s="13">
        <v>1</v>
      </c>
      <c r="C5" t="s">
        <v>3</v>
      </c>
      <c r="D5" t="s">
        <v>4</v>
      </c>
      <c r="E5" t="s">
        <v>5</v>
      </c>
      <c r="F5" s="6">
        <v>113014195</v>
      </c>
      <c r="G5" t="s">
        <v>19</v>
      </c>
      <c r="H5" t="s">
        <v>7</v>
      </c>
      <c r="I5">
        <v>0</v>
      </c>
      <c r="J5">
        <v>0</v>
      </c>
      <c r="K5">
        <v>0</v>
      </c>
      <c r="L5">
        <v>0</v>
      </c>
      <c r="M5">
        <v>0.13</v>
      </c>
      <c r="N5" s="7" t="e">
        <f>VLOOKUP(F5,HC!A$6:D$100,3,FALSE)</f>
        <v>#N/A</v>
      </c>
      <c r="O5" s="7" t="e">
        <f>VLOOKUP(F5,HC!A$6:D$1000,2,FALSE)</f>
        <v>#N/A</v>
      </c>
      <c r="P5" s="7" t="s">
        <v>663</v>
      </c>
      <c r="Q5" s="7" t="s">
        <v>705</v>
      </c>
      <c r="R5" t="s">
        <v>20</v>
      </c>
      <c r="U5">
        <f t="shared" si="0"/>
        <v>1395</v>
      </c>
      <c r="W5" s="10" t="s">
        <v>977</v>
      </c>
      <c r="X5" s="6">
        <v>31.430000000000003</v>
      </c>
      <c r="Z5" t="s">
        <v>240</v>
      </c>
      <c r="AA5">
        <v>176</v>
      </c>
      <c r="AB5" s="9">
        <f t="shared" ref="AB5:AB10" si="1">(AA5/31)</f>
        <v>5.67741935483871</v>
      </c>
      <c r="AC5" s="9">
        <f>SUM(AO3:AO33)</f>
        <v>246.75000000000003</v>
      </c>
      <c r="AD5" s="9"/>
      <c r="AF5" s="5">
        <v>44930</v>
      </c>
      <c r="AG5" s="6">
        <v>10.4</v>
      </c>
      <c r="AH5" s="9">
        <v>5.55</v>
      </c>
      <c r="AJ5" s="5">
        <v>44960</v>
      </c>
      <c r="AK5" s="6">
        <v>14.230000000000002</v>
      </c>
      <c r="AL5" s="9">
        <v>5.26</v>
      </c>
      <c r="AN5" s="5">
        <v>44988</v>
      </c>
      <c r="AO5" s="6">
        <v>5.42</v>
      </c>
      <c r="AP5" s="9">
        <v>5.68</v>
      </c>
      <c r="AR5" s="26">
        <v>45019</v>
      </c>
      <c r="AS5">
        <v>4.38</v>
      </c>
      <c r="AT5">
        <v>6.39</v>
      </c>
      <c r="AV5" s="28">
        <v>45048</v>
      </c>
      <c r="AW5">
        <v>9.7200000000000006</v>
      </c>
      <c r="AX5">
        <v>8.7100000000000009</v>
      </c>
      <c r="AZ5" s="5">
        <v>45080</v>
      </c>
      <c r="BA5" s="6">
        <v>1.54</v>
      </c>
      <c r="BB5" s="31">
        <v>6.3</v>
      </c>
      <c r="BD5" s="25">
        <v>45110</v>
      </c>
      <c r="BE5">
        <v>3.24</v>
      </c>
      <c r="BF5">
        <v>7.03</v>
      </c>
      <c r="BH5" s="25">
        <v>45139</v>
      </c>
      <c r="BI5" s="6">
        <v>5.1600000000000019</v>
      </c>
      <c r="BJ5">
        <v>5.81</v>
      </c>
      <c r="BL5" s="25">
        <v>45172</v>
      </c>
      <c r="BM5" s="6">
        <v>2.2000000000000002</v>
      </c>
      <c r="BN5">
        <v>5.16</v>
      </c>
      <c r="BP5" s="25">
        <v>45202</v>
      </c>
      <c r="BQ5">
        <v>7.46</v>
      </c>
      <c r="BR5">
        <v>7.84</v>
      </c>
      <c r="BT5" s="25">
        <v>45233</v>
      </c>
      <c r="BU5" s="6">
        <v>18.52</v>
      </c>
      <c r="BV5">
        <v>9.9</v>
      </c>
    </row>
    <row r="6" spans="1:74" ht="37.5" customHeight="1" x14ac:dyDescent="0.25">
      <c r="A6" s="1">
        <v>44928</v>
      </c>
      <c r="B6" s="13">
        <v>1</v>
      </c>
      <c r="C6" t="s">
        <v>3</v>
      </c>
      <c r="D6" t="s">
        <v>4</v>
      </c>
      <c r="E6" t="s">
        <v>21</v>
      </c>
      <c r="F6" s="6">
        <v>200502532</v>
      </c>
      <c r="G6" t="s">
        <v>22</v>
      </c>
      <c r="H6" t="s">
        <v>7</v>
      </c>
      <c r="I6">
        <v>0</v>
      </c>
      <c r="J6">
        <v>0</v>
      </c>
      <c r="K6">
        <v>0</v>
      </c>
      <c r="L6">
        <v>0</v>
      </c>
      <c r="M6">
        <v>0.22</v>
      </c>
      <c r="N6" s="7" t="e">
        <f>VLOOKUP(F6,HC!A$6:D$100,3,FALSE)</f>
        <v>#N/A</v>
      </c>
      <c r="O6" s="7" t="e">
        <f>VLOOKUP(F6,HC!A$6:D$1000,2,FALSE)</f>
        <v>#N/A</v>
      </c>
      <c r="P6" s="7" t="s">
        <v>661</v>
      </c>
      <c r="Q6" s="7" t="s">
        <v>681</v>
      </c>
      <c r="R6" t="s">
        <v>10</v>
      </c>
      <c r="U6">
        <f t="shared" si="0"/>
        <v>1395</v>
      </c>
      <c r="W6" s="10" t="s">
        <v>882</v>
      </c>
      <c r="X6" s="6">
        <v>2.8200000000000003</v>
      </c>
      <c r="Z6" t="s">
        <v>241</v>
      </c>
      <c r="AA6">
        <v>198</v>
      </c>
      <c r="AB6" s="9">
        <f>(AA6/31)</f>
        <v>6.387096774193548</v>
      </c>
      <c r="AC6" s="9">
        <f>SUM(AS3:AS32)</f>
        <v>175.17999999999998</v>
      </c>
      <c r="AD6" s="9"/>
      <c r="AF6" s="5">
        <v>44931</v>
      </c>
      <c r="AG6" s="6">
        <v>14</v>
      </c>
      <c r="AH6" s="9">
        <v>5.55</v>
      </c>
      <c r="AJ6" s="5">
        <v>44961</v>
      </c>
      <c r="AK6" s="6">
        <v>2.46</v>
      </c>
      <c r="AL6" s="9">
        <v>5.26</v>
      </c>
      <c r="AN6" s="5">
        <v>44989</v>
      </c>
      <c r="AO6" s="6">
        <v>1.71</v>
      </c>
      <c r="AP6" s="9">
        <v>5.68</v>
      </c>
      <c r="AR6" s="26">
        <v>45020</v>
      </c>
      <c r="AS6">
        <v>14.25</v>
      </c>
      <c r="AT6">
        <v>6.39</v>
      </c>
      <c r="AV6" s="28">
        <v>45049</v>
      </c>
      <c r="AW6" s="6">
        <v>5.7500000000000009</v>
      </c>
      <c r="AX6">
        <v>8.7100000000000009</v>
      </c>
      <c r="AZ6" s="5">
        <v>45081</v>
      </c>
      <c r="BA6" s="6">
        <v>5.0999999999999996</v>
      </c>
      <c r="BB6" s="31">
        <v>6.3</v>
      </c>
      <c r="BD6" s="25">
        <v>45111</v>
      </c>
      <c r="BE6">
        <v>7.58</v>
      </c>
      <c r="BF6">
        <v>7.03</v>
      </c>
      <c r="BH6" s="25">
        <v>45140</v>
      </c>
      <c r="BI6" s="6">
        <v>4.25</v>
      </c>
      <c r="BJ6">
        <v>5.81</v>
      </c>
      <c r="BL6" s="25">
        <v>45173</v>
      </c>
      <c r="BM6" s="6">
        <v>2.11</v>
      </c>
      <c r="BN6">
        <v>5.16</v>
      </c>
      <c r="BP6" s="25">
        <v>45203</v>
      </c>
      <c r="BQ6">
        <v>5.35</v>
      </c>
      <c r="BR6">
        <v>7.84</v>
      </c>
      <c r="BT6" s="25">
        <v>45234</v>
      </c>
      <c r="BU6" s="6">
        <v>12.39</v>
      </c>
      <c r="BV6">
        <v>9.9</v>
      </c>
    </row>
    <row r="7" spans="1:74" ht="37.5" customHeight="1" x14ac:dyDescent="0.25">
      <c r="A7" s="1">
        <v>44928</v>
      </c>
      <c r="B7" s="13">
        <v>1</v>
      </c>
      <c r="C7" t="s">
        <v>3</v>
      </c>
      <c r="D7" t="s">
        <v>4</v>
      </c>
      <c r="E7" t="s">
        <v>5</v>
      </c>
      <c r="F7" s="6">
        <v>112980844</v>
      </c>
      <c r="G7" t="s">
        <v>13</v>
      </c>
      <c r="H7" t="s">
        <v>14</v>
      </c>
      <c r="I7">
        <v>0</v>
      </c>
      <c r="J7">
        <v>0</v>
      </c>
      <c r="K7">
        <v>0</v>
      </c>
      <c r="L7">
        <v>0</v>
      </c>
      <c r="M7">
        <v>0.36</v>
      </c>
      <c r="N7" s="7" t="str">
        <f>VLOOKUP(F7,HC!A$6:D$100,3,FALSE)</f>
        <v>DA-X0700</v>
      </c>
      <c r="O7" s="7" t="str">
        <f>VLOOKUP(F7,HC!A$6:D$1000,2,FALSE)</f>
        <v>samajpad</v>
      </c>
      <c r="P7" s="7" t="s">
        <v>662</v>
      </c>
      <c r="Q7" s="7" t="s">
        <v>691</v>
      </c>
      <c r="R7" t="s">
        <v>15</v>
      </c>
      <c r="U7">
        <f t="shared" si="0"/>
        <v>20</v>
      </c>
      <c r="W7" s="10" t="s">
        <v>1018</v>
      </c>
      <c r="X7" s="6">
        <v>2.1100000000000003</v>
      </c>
      <c r="Z7" t="s">
        <v>242</v>
      </c>
      <c r="AA7">
        <v>270</v>
      </c>
      <c r="AB7" s="9">
        <f t="shared" si="1"/>
        <v>8.7096774193548381</v>
      </c>
      <c r="AC7" s="9">
        <f>SUM(AW3:AW34)</f>
        <v>224.88000000000002</v>
      </c>
      <c r="AD7" s="9"/>
      <c r="AF7" s="5">
        <v>44932</v>
      </c>
      <c r="AG7" s="6">
        <v>6.07</v>
      </c>
      <c r="AH7" s="9">
        <v>5.55</v>
      </c>
      <c r="AJ7" s="5">
        <v>44962</v>
      </c>
      <c r="AK7" s="6">
        <v>3.28</v>
      </c>
      <c r="AL7" s="9">
        <v>5.26</v>
      </c>
      <c r="AN7" s="5">
        <v>44990</v>
      </c>
      <c r="AO7" s="6">
        <v>4.1100000000000003</v>
      </c>
      <c r="AP7" s="9">
        <v>5.68</v>
      </c>
      <c r="AR7" s="26">
        <v>45021</v>
      </c>
      <c r="AS7" s="6">
        <v>7.2399999999999993</v>
      </c>
      <c r="AT7">
        <v>6.39</v>
      </c>
      <c r="AV7" s="28">
        <v>45050</v>
      </c>
      <c r="AW7" s="6">
        <v>7.09</v>
      </c>
      <c r="AX7">
        <v>8.7100000000000009</v>
      </c>
      <c r="AZ7" s="5">
        <v>45082</v>
      </c>
      <c r="BA7" s="6">
        <v>9.91</v>
      </c>
      <c r="BB7" s="31">
        <v>6.3</v>
      </c>
      <c r="BD7" s="25">
        <v>45112</v>
      </c>
      <c r="BE7" s="6">
        <v>5.2299999999999995</v>
      </c>
      <c r="BF7">
        <v>7.03</v>
      </c>
      <c r="BH7" s="25">
        <v>45141</v>
      </c>
      <c r="BI7" s="6">
        <v>6.2900000000000018</v>
      </c>
      <c r="BJ7">
        <v>5.81</v>
      </c>
      <c r="BL7" s="25">
        <v>45174</v>
      </c>
      <c r="BM7" s="6">
        <v>2.71</v>
      </c>
      <c r="BN7">
        <v>5.16</v>
      </c>
      <c r="BP7" s="25">
        <v>45204</v>
      </c>
      <c r="BQ7">
        <v>10.65</v>
      </c>
      <c r="BR7">
        <v>7.84</v>
      </c>
      <c r="BT7" s="25">
        <v>45235</v>
      </c>
      <c r="BU7" s="6">
        <v>7.82</v>
      </c>
      <c r="BV7">
        <v>9.9</v>
      </c>
    </row>
    <row r="8" spans="1:74" ht="37.5" customHeight="1" x14ac:dyDescent="0.25">
      <c r="A8" s="1">
        <v>44928</v>
      </c>
      <c r="B8" s="13">
        <v>1</v>
      </c>
      <c r="C8" t="s">
        <v>3</v>
      </c>
      <c r="D8" t="s">
        <v>4</v>
      </c>
      <c r="E8" t="s">
        <v>5</v>
      </c>
      <c r="F8" s="6">
        <v>112912663</v>
      </c>
      <c r="G8" t="s">
        <v>8</v>
      </c>
      <c r="H8" t="s">
        <v>9</v>
      </c>
      <c r="I8">
        <v>0</v>
      </c>
      <c r="J8">
        <v>0</v>
      </c>
      <c r="K8">
        <v>0</v>
      </c>
      <c r="L8">
        <v>0</v>
      </c>
      <c r="M8">
        <v>0.16</v>
      </c>
      <c r="N8" s="7" t="e">
        <f>VLOOKUP(F8,HC!A$6:D$100,3,FALSE)</f>
        <v>#N/A</v>
      </c>
      <c r="O8" s="7" t="e">
        <f>VLOOKUP(F8,HC!A$6:D$1000,2,FALSE)</f>
        <v>#N/A</v>
      </c>
      <c r="P8" s="7" t="s">
        <v>661</v>
      </c>
      <c r="Q8" s="7" t="s">
        <v>681</v>
      </c>
      <c r="R8" t="s">
        <v>10</v>
      </c>
      <c r="U8">
        <f t="shared" si="0"/>
        <v>1395</v>
      </c>
      <c r="W8" s="10" t="s">
        <v>1358</v>
      </c>
      <c r="X8" s="6">
        <v>24.59</v>
      </c>
      <c r="Z8" t="s">
        <v>243</v>
      </c>
      <c r="AA8">
        <v>189</v>
      </c>
      <c r="AB8" s="9">
        <f>(AA8/30)</f>
        <v>6.3</v>
      </c>
      <c r="AC8" s="9">
        <f>SUM(BA3:BA33)</f>
        <v>131.75</v>
      </c>
      <c r="AD8" s="9"/>
      <c r="AF8" s="5">
        <v>44933</v>
      </c>
      <c r="AG8" s="6">
        <v>15.36</v>
      </c>
      <c r="AH8" s="9">
        <v>5.55</v>
      </c>
      <c r="AJ8" s="5">
        <v>44963</v>
      </c>
      <c r="AK8" s="6">
        <v>8.15</v>
      </c>
      <c r="AL8" s="9">
        <v>5.26</v>
      </c>
      <c r="AN8" s="5">
        <v>44991</v>
      </c>
      <c r="AO8" s="6">
        <v>4.9000000000000004</v>
      </c>
      <c r="AP8" s="9">
        <v>5.68</v>
      </c>
      <c r="AR8" s="26">
        <v>45022</v>
      </c>
      <c r="AS8" s="6">
        <v>4.41</v>
      </c>
      <c r="AT8">
        <v>6.39</v>
      </c>
      <c r="AV8" s="28">
        <v>45051</v>
      </c>
      <c r="AW8" s="6">
        <v>5.15</v>
      </c>
      <c r="AX8">
        <v>8.7100000000000009</v>
      </c>
      <c r="AZ8" s="5">
        <v>45083</v>
      </c>
      <c r="BA8" s="6">
        <v>9.32</v>
      </c>
      <c r="BB8" s="31">
        <v>6.3</v>
      </c>
      <c r="BD8" s="25">
        <v>45113</v>
      </c>
      <c r="BE8" s="6">
        <v>2.8000000000000003</v>
      </c>
      <c r="BF8">
        <v>7.03</v>
      </c>
      <c r="BH8" s="25">
        <v>45142</v>
      </c>
      <c r="BI8" s="6">
        <v>10.499999999999998</v>
      </c>
      <c r="BJ8">
        <v>5.81</v>
      </c>
      <c r="BL8" s="25">
        <v>45175</v>
      </c>
      <c r="BM8" s="6">
        <v>6.74</v>
      </c>
      <c r="BN8">
        <v>5.16</v>
      </c>
      <c r="BP8" s="25">
        <v>45205</v>
      </c>
      <c r="BQ8">
        <v>6.35</v>
      </c>
      <c r="BR8">
        <v>7.84</v>
      </c>
      <c r="BT8" s="25">
        <v>45236</v>
      </c>
      <c r="BU8" s="6">
        <v>10.199999999999999</v>
      </c>
      <c r="BV8">
        <v>9.9</v>
      </c>
    </row>
    <row r="9" spans="1:74" ht="37.5" customHeight="1" x14ac:dyDescent="0.25">
      <c r="A9" s="1">
        <v>44928</v>
      </c>
      <c r="B9" s="13">
        <v>1</v>
      </c>
      <c r="C9" t="s">
        <v>3</v>
      </c>
      <c r="D9" t="s">
        <v>4</v>
      </c>
      <c r="E9" t="s">
        <v>21</v>
      </c>
      <c r="F9" s="6">
        <v>200564823</v>
      </c>
      <c r="G9" t="s">
        <v>23</v>
      </c>
      <c r="H9" t="s">
        <v>24</v>
      </c>
      <c r="I9">
        <v>0</v>
      </c>
      <c r="J9">
        <v>0</v>
      </c>
      <c r="K9">
        <v>0</v>
      </c>
      <c r="L9">
        <v>0</v>
      </c>
      <c r="M9">
        <v>0.88</v>
      </c>
      <c r="N9" s="7" t="e">
        <f>VLOOKUP(F9,HC!A$6:D$100,3,FALSE)</f>
        <v>#N/A</v>
      </c>
      <c r="O9" s="7" t="e">
        <f>VLOOKUP(F9,HC!A$6:D$1000,2,FALSE)</f>
        <v>#N/A</v>
      </c>
      <c r="P9" s="7" t="s">
        <v>662</v>
      </c>
      <c r="Q9" s="7" t="s">
        <v>687</v>
      </c>
      <c r="R9" t="s">
        <v>25</v>
      </c>
      <c r="U9">
        <f t="shared" si="0"/>
        <v>1395</v>
      </c>
      <c r="W9" s="10" t="s">
        <v>1386</v>
      </c>
      <c r="X9" s="6">
        <v>3.7700000000000005</v>
      </c>
      <c r="Z9" t="s">
        <v>244</v>
      </c>
      <c r="AA9">
        <v>218</v>
      </c>
      <c r="AB9" s="9">
        <f t="shared" si="1"/>
        <v>7.032258064516129</v>
      </c>
      <c r="AC9" s="9">
        <f>SUM(BE3:BE33)</f>
        <v>152.38</v>
      </c>
      <c r="AD9" s="9"/>
      <c r="AF9" s="5">
        <v>44934</v>
      </c>
      <c r="AG9" s="6">
        <v>6.16</v>
      </c>
      <c r="AH9" s="9">
        <v>5.55</v>
      </c>
      <c r="AJ9" s="5">
        <v>44964</v>
      </c>
      <c r="AK9" s="6">
        <v>7.99</v>
      </c>
      <c r="AL9" s="9">
        <v>5.26</v>
      </c>
      <c r="AN9" s="5">
        <v>44992</v>
      </c>
      <c r="AO9" s="6">
        <v>9.69</v>
      </c>
      <c r="AP9" s="9">
        <v>5.68</v>
      </c>
      <c r="AR9" s="26">
        <v>45023</v>
      </c>
      <c r="AS9" s="6">
        <v>2.61</v>
      </c>
      <c r="AT9">
        <v>6.39</v>
      </c>
      <c r="AV9" s="28">
        <v>45052</v>
      </c>
      <c r="AW9" s="6">
        <v>3.89</v>
      </c>
      <c r="AX9">
        <v>8.7100000000000009</v>
      </c>
      <c r="AZ9" s="5">
        <v>45084</v>
      </c>
      <c r="BA9" s="6">
        <v>12.030000000000001</v>
      </c>
      <c r="BB9" s="31">
        <v>6.3</v>
      </c>
      <c r="BD9" s="25">
        <v>45114</v>
      </c>
      <c r="BE9" s="6">
        <v>2.04</v>
      </c>
      <c r="BF9">
        <v>7.03</v>
      </c>
      <c r="BH9" s="25">
        <v>45143</v>
      </c>
      <c r="BI9" s="6">
        <v>2.48</v>
      </c>
      <c r="BJ9">
        <v>5.81</v>
      </c>
      <c r="BL9" s="25">
        <v>45176</v>
      </c>
      <c r="BM9" s="6">
        <v>9.49</v>
      </c>
      <c r="BN9">
        <v>5.16</v>
      </c>
      <c r="BP9" s="25">
        <v>45206</v>
      </c>
      <c r="BQ9">
        <v>10.41</v>
      </c>
      <c r="BR9">
        <v>7.84</v>
      </c>
      <c r="BT9" s="25">
        <v>45237</v>
      </c>
      <c r="BU9" s="6">
        <v>10.48</v>
      </c>
      <c r="BV9">
        <v>9.9</v>
      </c>
    </row>
    <row r="10" spans="1:74" ht="37.5" customHeight="1" x14ac:dyDescent="0.25">
      <c r="A10" s="1">
        <v>44929</v>
      </c>
      <c r="B10" s="13">
        <v>1</v>
      </c>
      <c r="C10" t="s">
        <v>3</v>
      </c>
      <c r="D10" t="s">
        <v>4</v>
      </c>
      <c r="E10" t="s">
        <v>21</v>
      </c>
      <c r="F10" s="6">
        <v>200574329</v>
      </c>
      <c r="G10" t="s">
        <v>52</v>
      </c>
      <c r="H10" t="s">
        <v>47</v>
      </c>
      <c r="I10">
        <v>0</v>
      </c>
      <c r="J10">
        <v>0</v>
      </c>
      <c r="K10">
        <v>0</v>
      </c>
      <c r="L10">
        <v>0</v>
      </c>
      <c r="M10">
        <v>0.25</v>
      </c>
      <c r="N10" s="7" t="e">
        <f>VLOOKUP(F10,HC!A$6:D$100,3,FALSE)</f>
        <v>#N/A</v>
      </c>
      <c r="O10" s="7" t="e">
        <f>VLOOKUP(F10,HC!A$6:D$1000,2,FALSE)</f>
        <v>#N/A</v>
      </c>
      <c r="P10" s="7" t="s">
        <v>663</v>
      </c>
      <c r="Q10" s="7" t="s">
        <v>695</v>
      </c>
      <c r="R10" t="s">
        <v>236</v>
      </c>
      <c r="U10">
        <f t="shared" si="0"/>
        <v>1395</v>
      </c>
      <c r="W10" s="10" t="s">
        <v>1361</v>
      </c>
      <c r="X10" s="6">
        <v>5.5</v>
      </c>
      <c r="Z10" t="s">
        <v>792</v>
      </c>
      <c r="AA10">
        <v>180</v>
      </c>
      <c r="AB10" s="9">
        <f t="shared" si="1"/>
        <v>5.806451612903226</v>
      </c>
      <c r="AC10" s="9">
        <f>SUM(BI3:BI35)</f>
        <v>145.28000000000003</v>
      </c>
      <c r="AD10" s="9"/>
      <c r="AF10" s="5">
        <v>44935</v>
      </c>
      <c r="AG10" s="6">
        <v>6.39</v>
      </c>
      <c r="AH10" s="9">
        <v>5.55</v>
      </c>
      <c r="AJ10" s="5">
        <v>44965</v>
      </c>
      <c r="AK10" s="6">
        <v>7.7200000000000006</v>
      </c>
      <c r="AL10" s="9">
        <v>5.26</v>
      </c>
      <c r="AN10" s="5">
        <v>44993</v>
      </c>
      <c r="AO10" s="6">
        <v>6.0600000000000005</v>
      </c>
      <c r="AP10" s="9">
        <v>5.68</v>
      </c>
      <c r="AR10" s="26">
        <v>45024</v>
      </c>
      <c r="AS10" s="6">
        <v>4.84</v>
      </c>
      <c r="AT10">
        <v>6.39</v>
      </c>
      <c r="AV10" s="28">
        <v>45053</v>
      </c>
      <c r="AW10" s="6">
        <v>9.24</v>
      </c>
      <c r="AX10">
        <v>8.7100000000000009</v>
      </c>
      <c r="AZ10" s="5">
        <v>45085</v>
      </c>
      <c r="BA10" s="6">
        <v>0.3</v>
      </c>
      <c r="BB10" s="31">
        <v>6.3</v>
      </c>
      <c r="BD10" s="25">
        <v>45115</v>
      </c>
      <c r="BE10" s="6">
        <v>2.56</v>
      </c>
      <c r="BF10" s="6">
        <v>7.03</v>
      </c>
      <c r="BH10" s="25">
        <v>45144</v>
      </c>
      <c r="BI10" s="6">
        <v>2.5100000000000002</v>
      </c>
      <c r="BJ10" s="6">
        <v>5.81</v>
      </c>
      <c r="BL10" s="25">
        <v>45177</v>
      </c>
      <c r="BM10" s="6">
        <v>8.17</v>
      </c>
      <c r="BN10">
        <v>5.16</v>
      </c>
      <c r="BP10" s="25">
        <v>45207</v>
      </c>
      <c r="BQ10">
        <v>2.42</v>
      </c>
      <c r="BR10">
        <v>7.84</v>
      </c>
      <c r="BT10" s="25">
        <v>45238</v>
      </c>
      <c r="BU10" s="6">
        <v>11.98</v>
      </c>
      <c r="BV10" s="6">
        <v>9.9</v>
      </c>
    </row>
    <row r="11" spans="1:74" ht="37.5" customHeight="1" x14ac:dyDescent="0.25">
      <c r="A11" s="1">
        <v>44929</v>
      </c>
      <c r="B11" s="13">
        <v>1</v>
      </c>
      <c r="C11" t="s">
        <v>3</v>
      </c>
      <c r="D11" t="s">
        <v>4</v>
      </c>
      <c r="E11" t="s">
        <v>5</v>
      </c>
      <c r="F11" s="6">
        <v>112912008</v>
      </c>
      <c r="G11" t="s">
        <v>249</v>
      </c>
      <c r="H11" t="s">
        <v>250</v>
      </c>
      <c r="I11">
        <v>0</v>
      </c>
      <c r="J11">
        <v>0</v>
      </c>
      <c r="K11">
        <v>0</v>
      </c>
      <c r="L11">
        <v>0</v>
      </c>
      <c r="M11">
        <v>0.13</v>
      </c>
      <c r="N11" s="7" t="e">
        <f>VLOOKUP(F11,HC!A$6:D$100,3,FALSE)</f>
        <v>#N/A</v>
      </c>
      <c r="O11" s="7" t="e">
        <f>VLOOKUP(F11,HC!A$6:D$1000,2,FALSE)</f>
        <v>#N/A</v>
      </c>
      <c r="P11" s="7" t="s">
        <v>662</v>
      </c>
      <c r="Q11" s="7" t="s">
        <v>691</v>
      </c>
      <c r="R11" t="s">
        <v>256</v>
      </c>
      <c r="U11">
        <f t="shared" si="0"/>
        <v>1395</v>
      </c>
      <c r="W11" s="10" t="s">
        <v>896</v>
      </c>
      <c r="X11" s="6">
        <v>12.63</v>
      </c>
      <c r="Z11" t="s">
        <v>245</v>
      </c>
      <c r="AA11">
        <v>181</v>
      </c>
      <c r="AB11" s="9">
        <f>(AA11/31)</f>
        <v>5.838709677419355</v>
      </c>
      <c r="AC11" s="9">
        <f>SUM(BM3:BM32)</f>
        <v>204.48999999999998</v>
      </c>
      <c r="AD11" s="9"/>
      <c r="AF11" s="5">
        <v>44936</v>
      </c>
      <c r="AG11" s="6">
        <v>5.09</v>
      </c>
      <c r="AH11" s="9">
        <v>5.55</v>
      </c>
      <c r="AJ11" s="5">
        <v>44966</v>
      </c>
      <c r="AK11" s="6">
        <v>7.96</v>
      </c>
      <c r="AL11" s="9">
        <v>5.26</v>
      </c>
      <c r="AN11" s="5">
        <v>44994</v>
      </c>
      <c r="AO11" s="6">
        <v>4.7</v>
      </c>
      <c r="AP11" s="9">
        <v>5.68</v>
      </c>
      <c r="AR11" s="26">
        <v>45025</v>
      </c>
      <c r="AS11" s="6">
        <v>2.7</v>
      </c>
      <c r="AT11">
        <v>6.39</v>
      </c>
      <c r="AV11" s="28">
        <v>45054</v>
      </c>
      <c r="AW11" s="6">
        <v>15.17</v>
      </c>
      <c r="AX11" s="6">
        <v>8.7100000000000009</v>
      </c>
      <c r="AZ11" s="5">
        <v>45086</v>
      </c>
      <c r="BA11" s="6">
        <v>4.0200000000000005</v>
      </c>
      <c r="BB11" s="31">
        <v>6.3</v>
      </c>
      <c r="BD11" s="25">
        <v>45116</v>
      </c>
      <c r="BE11" s="6">
        <v>2.54</v>
      </c>
      <c r="BF11" s="6">
        <v>7.03</v>
      </c>
      <c r="BH11" s="25">
        <v>45145</v>
      </c>
      <c r="BI11" s="6">
        <v>4.8600000000000003</v>
      </c>
      <c r="BJ11" s="6">
        <v>5.81</v>
      </c>
      <c r="BL11" s="25">
        <v>45178</v>
      </c>
      <c r="BM11" s="6">
        <v>9.76</v>
      </c>
      <c r="BN11">
        <v>5.16</v>
      </c>
      <c r="BP11" s="25">
        <v>45208</v>
      </c>
      <c r="BQ11">
        <v>5.52</v>
      </c>
      <c r="BR11">
        <v>7.84</v>
      </c>
      <c r="BT11" s="25">
        <v>45239</v>
      </c>
      <c r="BU11" s="6">
        <v>11.07</v>
      </c>
      <c r="BV11" s="6">
        <v>9.9</v>
      </c>
    </row>
    <row r="12" spans="1:74" ht="37.5" customHeight="1" x14ac:dyDescent="0.25">
      <c r="A12" s="1">
        <v>44929</v>
      </c>
      <c r="B12" s="13">
        <v>1</v>
      </c>
      <c r="C12" t="s">
        <v>3</v>
      </c>
      <c r="D12" t="s">
        <v>4</v>
      </c>
      <c r="E12" t="s">
        <v>5</v>
      </c>
      <c r="F12" s="6">
        <v>113014472</v>
      </c>
      <c r="G12" t="s">
        <v>48</v>
      </c>
      <c r="H12" t="s">
        <v>49</v>
      </c>
      <c r="I12">
        <v>0</v>
      </c>
      <c r="J12">
        <v>0</v>
      </c>
      <c r="K12">
        <v>0</v>
      </c>
      <c r="L12">
        <v>0</v>
      </c>
      <c r="M12">
        <v>1.67</v>
      </c>
      <c r="N12" s="7" t="e">
        <f>VLOOKUP(F12,HC!A$6:D$100,3,FALSE)</f>
        <v>#N/A</v>
      </c>
      <c r="O12" s="7" t="e">
        <f>VLOOKUP(F12,HC!A$6:D$1000,2,FALSE)</f>
        <v>#N/A</v>
      </c>
      <c r="P12" s="7"/>
      <c r="Q12" s="7"/>
      <c r="R12" s="16" t="s">
        <v>446</v>
      </c>
      <c r="U12">
        <f t="shared" si="0"/>
        <v>1395</v>
      </c>
      <c r="W12" s="10" t="s">
        <v>1639</v>
      </c>
      <c r="X12" s="6">
        <v>3.72</v>
      </c>
      <c r="Z12" t="s">
        <v>246</v>
      </c>
      <c r="AA12">
        <v>243</v>
      </c>
      <c r="AB12" s="9">
        <f>(AA12/31)</f>
        <v>7.838709677419355</v>
      </c>
      <c r="AC12" s="9">
        <v>310.25</v>
      </c>
      <c r="AD12" s="9"/>
      <c r="AE12" s="4"/>
      <c r="AF12" s="5">
        <v>44937</v>
      </c>
      <c r="AG12" s="6">
        <v>11.31</v>
      </c>
      <c r="AH12" s="9">
        <v>5.55</v>
      </c>
      <c r="AI12" s="4"/>
      <c r="AJ12" s="5">
        <v>44967</v>
      </c>
      <c r="AK12" s="6">
        <v>9.1999999999999993</v>
      </c>
      <c r="AL12" s="9">
        <v>5.26</v>
      </c>
      <c r="AN12" s="5">
        <v>44995</v>
      </c>
      <c r="AO12" s="6">
        <v>4.91</v>
      </c>
      <c r="AP12" s="9">
        <v>5.68</v>
      </c>
      <c r="AR12" s="26">
        <v>45026</v>
      </c>
      <c r="AS12" s="6">
        <v>14.56</v>
      </c>
      <c r="AT12">
        <v>6.39</v>
      </c>
      <c r="AV12" s="28">
        <v>45055</v>
      </c>
      <c r="AW12" s="6">
        <v>5.07</v>
      </c>
      <c r="AX12" s="6">
        <v>8.7100000000000009</v>
      </c>
      <c r="AZ12" s="5">
        <v>45087</v>
      </c>
      <c r="BA12" s="6">
        <v>1.1299999999999999</v>
      </c>
      <c r="BB12" s="31">
        <v>6.3</v>
      </c>
      <c r="BD12" s="26">
        <v>45117</v>
      </c>
      <c r="BE12" s="6">
        <v>0.64</v>
      </c>
      <c r="BF12" s="6">
        <v>7.03</v>
      </c>
      <c r="BH12" s="25">
        <v>45146</v>
      </c>
      <c r="BI12" s="6">
        <v>5.7100000000000009</v>
      </c>
      <c r="BJ12">
        <v>5.81</v>
      </c>
      <c r="BL12" s="25">
        <v>45179</v>
      </c>
      <c r="BM12" s="6">
        <v>3.07</v>
      </c>
      <c r="BN12">
        <v>5.16</v>
      </c>
      <c r="BP12" s="25">
        <v>45209</v>
      </c>
      <c r="BQ12">
        <v>8.3000000000000007</v>
      </c>
      <c r="BR12">
        <v>7.84</v>
      </c>
      <c r="BT12" s="25">
        <v>45240</v>
      </c>
      <c r="BU12" s="6">
        <v>15.72</v>
      </c>
      <c r="BV12" s="6">
        <v>9.9</v>
      </c>
    </row>
    <row r="13" spans="1:74" ht="37.5" customHeight="1" x14ac:dyDescent="0.25">
      <c r="A13" s="1">
        <v>44929</v>
      </c>
      <c r="B13" s="13">
        <v>1</v>
      </c>
      <c r="C13" t="s">
        <v>3</v>
      </c>
      <c r="D13" t="s">
        <v>4</v>
      </c>
      <c r="E13" t="s">
        <v>21</v>
      </c>
      <c r="F13" s="6">
        <v>200589316</v>
      </c>
      <c r="G13" t="s">
        <v>53</v>
      </c>
      <c r="H13" t="s">
        <v>49</v>
      </c>
      <c r="I13">
        <v>0</v>
      </c>
      <c r="J13">
        <v>0</v>
      </c>
      <c r="K13">
        <v>0</v>
      </c>
      <c r="L13">
        <v>0</v>
      </c>
      <c r="M13">
        <v>0.11</v>
      </c>
      <c r="N13" s="7" t="e">
        <f>VLOOKUP(F13,HC!A$6:D$100,3,FALSE)</f>
        <v>#N/A</v>
      </c>
      <c r="O13" s="7" t="e">
        <f>VLOOKUP(F13,HC!A$6:D$1000,2,FALSE)</f>
        <v>#N/A</v>
      </c>
      <c r="P13" s="7" t="s">
        <v>661</v>
      </c>
      <c r="Q13" s="7" t="s">
        <v>681</v>
      </c>
      <c r="R13" t="s">
        <v>234</v>
      </c>
      <c r="U13">
        <f t="shared" si="0"/>
        <v>1395</v>
      </c>
      <c r="W13" s="10" t="s">
        <v>1677</v>
      </c>
      <c r="X13" s="6">
        <v>9.92</v>
      </c>
      <c r="Z13" s="4" t="s">
        <v>247</v>
      </c>
      <c r="AA13" s="4">
        <v>307</v>
      </c>
      <c r="AB13" s="14">
        <f>(AA13/31)</f>
        <v>9.9032258064516121</v>
      </c>
      <c r="AC13" s="14"/>
      <c r="AD13" s="14"/>
      <c r="AF13" s="5">
        <v>44938</v>
      </c>
      <c r="AG13" s="6">
        <v>18.46</v>
      </c>
      <c r="AH13" s="9">
        <v>5.55</v>
      </c>
      <c r="AJ13" s="5">
        <v>44968</v>
      </c>
      <c r="AK13" s="6">
        <v>4.34</v>
      </c>
      <c r="AL13" s="9">
        <v>5.26</v>
      </c>
      <c r="AN13" s="5">
        <v>44996</v>
      </c>
      <c r="AO13" s="6">
        <v>6.75</v>
      </c>
      <c r="AP13" s="9">
        <v>5.68</v>
      </c>
      <c r="AR13" s="26">
        <v>45027</v>
      </c>
      <c r="AS13" s="6">
        <v>4.5999999999999996</v>
      </c>
      <c r="AT13">
        <v>6.39</v>
      </c>
      <c r="AV13" s="28">
        <v>45056</v>
      </c>
      <c r="AW13" s="6">
        <v>4.4800000000000004</v>
      </c>
      <c r="AX13" s="6">
        <v>8.7100000000000009</v>
      </c>
      <c r="AZ13" s="5">
        <v>45088</v>
      </c>
      <c r="BA13" s="6">
        <v>1.88</v>
      </c>
      <c r="BB13" s="31">
        <v>6.3</v>
      </c>
      <c r="BD13" s="26">
        <v>45118</v>
      </c>
      <c r="BE13" s="6">
        <v>4.24</v>
      </c>
      <c r="BF13" s="6">
        <v>7.03</v>
      </c>
      <c r="BH13" s="28">
        <v>45147</v>
      </c>
      <c r="BI13" s="6">
        <v>2.27</v>
      </c>
      <c r="BJ13">
        <v>5.81</v>
      </c>
      <c r="BL13" s="25">
        <v>45180</v>
      </c>
      <c r="BM13" s="6">
        <v>6.12</v>
      </c>
      <c r="BN13">
        <v>5.16</v>
      </c>
      <c r="BP13" s="25">
        <v>45210</v>
      </c>
      <c r="BQ13">
        <v>11.2</v>
      </c>
      <c r="BR13">
        <v>7.84</v>
      </c>
      <c r="BT13" s="25">
        <v>45241</v>
      </c>
      <c r="BU13" s="6">
        <v>14.02</v>
      </c>
      <c r="BV13" s="6">
        <v>9.9</v>
      </c>
    </row>
    <row r="14" spans="1:74" ht="37.5" customHeight="1" x14ac:dyDescent="0.25">
      <c r="A14" s="1">
        <v>44929</v>
      </c>
      <c r="B14" s="13">
        <v>1</v>
      </c>
      <c r="C14" t="s">
        <v>3</v>
      </c>
      <c r="D14" t="s">
        <v>4</v>
      </c>
      <c r="E14" t="s">
        <v>5</v>
      </c>
      <c r="F14" s="6">
        <v>113014045</v>
      </c>
      <c r="G14" t="s">
        <v>46</v>
      </c>
      <c r="H14" t="s">
        <v>47</v>
      </c>
      <c r="I14">
        <v>0</v>
      </c>
      <c r="J14">
        <v>0</v>
      </c>
      <c r="K14">
        <v>0</v>
      </c>
      <c r="L14">
        <v>0</v>
      </c>
      <c r="M14">
        <v>0.12</v>
      </c>
      <c r="N14" s="7" t="e">
        <f>VLOOKUP(F14,HC!A$6:D$100,3,FALSE)</f>
        <v>#N/A</v>
      </c>
      <c r="O14" s="7" t="e">
        <f>VLOOKUP(F14,HC!A$6:D$1000,2,FALSE)</f>
        <v>#N/A</v>
      </c>
      <c r="P14" s="7" t="s">
        <v>664</v>
      </c>
      <c r="Q14" s="7" t="s">
        <v>711</v>
      </c>
      <c r="R14" t="s">
        <v>233</v>
      </c>
      <c r="U14">
        <f t="shared" si="0"/>
        <v>1395</v>
      </c>
      <c r="W14" s="10" t="s">
        <v>55</v>
      </c>
      <c r="X14" s="6">
        <v>99.199999999999989</v>
      </c>
      <c r="Z14" t="s">
        <v>248</v>
      </c>
      <c r="AA14">
        <v>254</v>
      </c>
      <c r="AB14" s="9">
        <f>(AA14/31)</f>
        <v>8.193548387096774</v>
      </c>
      <c r="AC14" s="9"/>
      <c r="AD14" s="9"/>
      <c r="AF14" s="5">
        <v>44939</v>
      </c>
      <c r="AG14" s="6">
        <v>6.05</v>
      </c>
      <c r="AH14" s="9">
        <v>5.55</v>
      </c>
      <c r="AJ14" s="5">
        <v>44969</v>
      </c>
      <c r="AK14" s="6">
        <v>4.42</v>
      </c>
      <c r="AL14" s="9">
        <v>5.26</v>
      </c>
      <c r="AN14" s="5">
        <v>44997</v>
      </c>
      <c r="AO14" s="6">
        <v>7.65</v>
      </c>
      <c r="AP14" s="9">
        <v>5.68</v>
      </c>
      <c r="AR14" s="28">
        <v>45028</v>
      </c>
      <c r="AS14" s="6">
        <v>9.8199999999999985</v>
      </c>
      <c r="AT14">
        <v>6.39</v>
      </c>
      <c r="AV14" s="28">
        <v>45057</v>
      </c>
      <c r="AW14" s="6">
        <v>4.92</v>
      </c>
      <c r="AX14" s="6">
        <v>8.7100000000000009</v>
      </c>
      <c r="AZ14" s="5">
        <v>45089</v>
      </c>
      <c r="BA14" s="6">
        <v>3.65</v>
      </c>
      <c r="BB14" s="31">
        <v>6.3</v>
      </c>
      <c r="BD14" s="26">
        <v>45119</v>
      </c>
      <c r="BE14" s="6">
        <v>4.24</v>
      </c>
      <c r="BF14" s="6">
        <v>7.03</v>
      </c>
      <c r="BH14" s="28">
        <v>45148</v>
      </c>
      <c r="BI14" s="6">
        <v>3.66</v>
      </c>
      <c r="BJ14">
        <v>5.81</v>
      </c>
      <c r="BL14" s="25">
        <v>45181</v>
      </c>
      <c r="BM14" s="6">
        <v>5.51</v>
      </c>
      <c r="BN14">
        <v>5.16</v>
      </c>
      <c r="BP14" s="25">
        <v>45211</v>
      </c>
      <c r="BQ14">
        <v>13.38</v>
      </c>
      <c r="BR14">
        <v>7.84</v>
      </c>
      <c r="BT14" s="25">
        <v>45242</v>
      </c>
      <c r="BU14" s="6">
        <v>8.8000000000000007</v>
      </c>
      <c r="BV14" s="6">
        <v>9.9</v>
      </c>
    </row>
    <row r="15" spans="1:74" ht="37.5" customHeight="1" x14ac:dyDescent="0.25">
      <c r="A15" s="1">
        <v>44929</v>
      </c>
      <c r="B15" s="13">
        <v>1</v>
      </c>
      <c r="C15" t="s">
        <v>3</v>
      </c>
      <c r="D15" t="s">
        <v>4</v>
      </c>
      <c r="E15" t="s">
        <v>5</v>
      </c>
      <c r="F15" s="6">
        <v>112920666</v>
      </c>
      <c r="G15" t="s">
        <v>252</v>
      </c>
      <c r="H15" t="s">
        <v>253</v>
      </c>
      <c r="I15">
        <v>0</v>
      </c>
      <c r="J15">
        <v>0</v>
      </c>
      <c r="K15">
        <v>0</v>
      </c>
      <c r="L15">
        <v>0</v>
      </c>
      <c r="M15">
        <v>0.14000000000000001</v>
      </c>
      <c r="N15" s="7" t="str">
        <f>VLOOKUP(F15,HC!A$6:D$100,3,FALSE)</f>
        <v>D5-X0700</v>
      </c>
      <c r="O15" s="7" t="str">
        <f>VLOOKUP(F15,HC!A$6:D$1000,2,FALSE)</f>
        <v>jorochai</v>
      </c>
      <c r="P15" s="7" t="s">
        <v>663</v>
      </c>
      <c r="Q15" s="7" t="s">
        <v>692</v>
      </c>
      <c r="R15" t="s">
        <v>258</v>
      </c>
      <c r="U15">
        <f t="shared" si="0"/>
        <v>19</v>
      </c>
      <c r="AF15" s="5">
        <v>44940</v>
      </c>
      <c r="AG15" s="6">
        <v>4.66</v>
      </c>
      <c r="AH15" s="9">
        <v>5.55</v>
      </c>
      <c r="AJ15" s="5">
        <v>44970</v>
      </c>
      <c r="AK15" s="6">
        <v>8.4700000000000006</v>
      </c>
      <c r="AL15" s="9">
        <v>5.26</v>
      </c>
      <c r="AN15" s="5">
        <v>44998</v>
      </c>
      <c r="AO15" s="6">
        <v>23.7</v>
      </c>
      <c r="AP15" s="9">
        <v>5.68</v>
      </c>
      <c r="AR15" s="28">
        <v>45029</v>
      </c>
      <c r="AS15" s="6">
        <v>9.57</v>
      </c>
      <c r="AT15">
        <v>6.39</v>
      </c>
      <c r="AV15" s="28">
        <v>45058</v>
      </c>
      <c r="AW15" s="6">
        <v>4.79</v>
      </c>
      <c r="AX15" s="6">
        <v>8.7100000000000009</v>
      </c>
      <c r="AZ15" s="5">
        <v>45090</v>
      </c>
      <c r="BA15" s="6">
        <v>3</v>
      </c>
      <c r="BB15" s="31">
        <v>6.3</v>
      </c>
      <c r="BD15" s="26">
        <v>45120</v>
      </c>
      <c r="BE15" s="6">
        <v>7.05</v>
      </c>
      <c r="BF15" s="6">
        <v>7.03</v>
      </c>
      <c r="BH15" s="28">
        <v>45149</v>
      </c>
      <c r="BI15" s="6">
        <v>2.92</v>
      </c>
      <c r="BJ15">
        <v>5.81</v>
      </c>
      <c r="BL15" s="25">
        <v>45182</v>
      </c>
      <c r="BM15" s="6">
        <v>25.24</v>
      </c>
      <c r="BN15">
        <v>5.16</v>
      </c>
      <c r="BP15" s="25">
        <v>45212</v>
      </c>
      <c r="BQ15">
        <v>7.01</v>
      </c>
      <c r="BR15">
        <v>7.84</v>
      </c>
      <c r="BT15" s="25">
        <v>45243</v>
      </c>
      <c r="BU15" s="6">
        <v>9.61</v>
      </c>
      <c r="BV15" s="6">
        <v>9.9</v>
      </c>
    </row>
    <row r="16" spans="1:74" ht="37.5" customHeight="1" x14ac:dyDescent="0.25">
      <c r="A16" s="1">
        <v>44929</v>
      </c>
      <c r="B16" s="13">
        <v>1</v>
      </c>
      <c r="C16" t="s">
        <v>3</v>
      </c>
      <c r="D16" t="s">
        <v>4</v>
      </c>
      <c r="E16" t="s">
        <v>5</v>
      </c>
      <c r="F16" s="6">
        <v>113014011</v>
      </c>
      <c r="G16" t="s">
        <v>45</v>
      </c>
      <c r="H16" t="s">
        <v>44</v>
      </c>
      <c r="I16">
        <v>0</v>
      </c>
      <c r="J16">
        <v>0</v>
      </c>
      <c r="K16">
        <v>0</v>
      </c>
      <c r="L16">
        <v>0</v>
      </c>
      <c r="M16">
        <v>0.92</v>
      </c>
      <c r="N16" s="7" t="e">
        <f>VLOOKUP(F16,HC!A$6:D$100,3,FALSE)</f>
        <v>#N/A</v>
      </c>
      <c r="O16" s="7" t="e">
        <f>VLOOKUP(F16,HC!A$6:D$1000,2,FALSE)</f>
        <v>#N/A</v>
      </c>
      <c r="P16" s="7" t="s">
        <v>664</v>
      </c>
      <c r="Q16" s="7" t="s">
        <v>711</v>
      </c>
      <c r="R16" t="s">
        <v>233</v>
      </c>
      <c r="U16">
        <f t="shared" si="0"/>
        <v>1395</v>
      </c>
      <c r="AF16" s="5">
        <v>44941</v>
      </c>
      <c r="AG16" s="6">
        <v>7.33</v>
      </c>
      <c r="AH16" s="9">
        <v>5.55</v>
      </c>
      <c r="AJ16" s="5">
        <v>44971</v>
      </c>
      <c r="AK16" s="6">
        <v>11.240000000000002</v>
      </c>
      <c r="AL16" s="9">
        <v>5.26</v>
      </c>
      <c r="AN16" s="5">
        <v>44999</v>
      </c>
      <c r="AO16" s="6">
        <v>13.64</v>
      </c>
      <c r="AP16" s="9">
        <v>5.68</v>
      </c>
      <c r="AR16" s="28">
        <v>45030</v>
      </c>
      <c r="AS16" s="6">
        <v>3.2199999999999998</v>
      </c>
      <c r="AT16">
        <v>6.39</v>
      </c>
      <c r="AV16" s="28">
        <v>45059</v>
      </c>
      <c r="AW16" s="6">
        <v>5.0199999999999996</v>
      </c>
      <c r="AX16" s="6">
        <v>8.7100000000000009</v>
      </c>
      <c r="AZ16" s="5">
        <v>45091</v>
      </c>
      <c r="BA16" s="6">
        <v>8.4</v>
      </c>
      <c r="BB16" s="31">
        <v>6.3</v>
      </c>
      <c r="BD16" s="26">
        <v>45121</v>
      </c>
      <c r="BE16" s="6">
        <v>5.5</v>
      </c>
      <c r="BF16" s="6">
        <v>7.03</v>
      </c>
      <c r="BH16" s="28">
        <v>45150</v>
      </c>
      <c r="BI16" s="6">
        <v>4.1899999999999995</v>
      </c>
      <c r="BJ16">
        <v>5.81</v>
      </c>
      <c r="BL16" s="25">
        <v>45183</v>
      </c>
      <c r="BM16" s="6">
        <v>11.58</v>
      </c>
      <c r="BN16">
        <v>5.16</v>
      </c>
      <c r="BP16" s="25">
        <v>45213</v>
      </c>
      <c r="BQ16">
        <v>6.28</v>
      </c>
      <c r="BR16">
        <v>7.84</v>
      </c>
      <c r="BT16" s="25">
        <v>45244</v>
      </c>
      <c r="BU16" s="6">
        <v>11.91</v>
      </c>
      <c r="BV16" s="6">
        <v>9.9</v>
      </c>
    </row>
    <row r="17" spans="1:74" ht="37.5" customHeight="1" x14ac:dyDescent="0.25">
      <c r="A17" s="1">
        <v>44929</v>
      </c>
      <c r="B17" s="13">
        <v>1</v>
      </c>
      <c r="C17" t="s">
        <v>3</v>
      </c>
      <c r="D17" t="s">
        <v>4</v>
      </c>
      <c r="E17" t="s">
        <v>5</v>
      </c>
      <c r="F17" s="6">
        <v>113101453</v>
      </c>
      <c r="G17" t="s">
        <v>50</v>
      </c>
      <c r="H17" t="s">
        <v>47</v>
      </c>
      <c r="I17">
        <v>0</v>
      </c>
      <c r="J17">
        <v>0</v>
      </c>
      <c r="K17">
        <v>0</v>
      </c>
      <c r="L17">
        <v>0</v>
      </c>
      <c r="M17">
        <v>0.14000000000000001</v>
      </c>
      <c r="N17" s="7" t="e">
        <f>VLOOKUP(F17,HC!A$6:D$100,3,FALSE)</f>
        <v>#N/A</v>
      </c>
      <c r="O17" s="7" t="str">
        <f>VLOOKUP(F17,HC!A$6:D$1000,2,FALSE)</f>
        <v>qisgeova</v>
      </c>
      <c r="P17" s="7" t="s">
        <v>661</v>
      </c>
      <c r="Q17" s="7" t="s">
        <v>681</v>
      </c>
      <c r="R17" t="s">
        <v>234</v>
      </c>
      <c r="U17">
        <f t="shared" si="0"/>
        <v>57</v>
      </c>
      <c r="AF17" s="5">
        <v>44942</v>
      </c>
      <c r="AG17" s="6">
        <v>6.88</v>
      </c>
      <c r="AH17" s="9">
        <v>5.55</v>
      </c>
      <c r="AJ17" s="5">
        <v>44972</v>
      </c>
      <c r="AK17" s="6">
        <v>1.7499999999999998</v>
      </c>
      <c r="AL17" s="9">
        <v>5.26</v>
      </c>
      <c r="AN17" s="5">
        <v>45000</v>
      </c>
      <c r="AO17" s="6">
        <v>13.36</v>
      </c>
      <c r="AP17" s="9">
        <v>5.68</v>
      </c>
      <c r="AR17" s="28">
        <v>45031</v>
      </c>
      <c r="AS17" s="6">
        <v>1.62</v>
      </c>
      <c r="AT17">
        <v>6.39</v>
      </c>
      <c r="AV17" s="28">
        <v>45060</v>
      </c>
      <c r="AW17" s="6">
        <v>16.3</v>
      </c>
      <c r="AX17" s="6">
        <v>8.7100000000000009</v>
      </c>
      <c r="AZ17" s="5">
        <v>45092</v>
      </c>
      <c r="BA17" s="6">
        <v>4.12</v>
      </c>
      <c r="BB17" s="31">
        <v>6.3</v>
      </c>
      <c r="BD17" s="26">
        <v>45122</v>
      </c>
      <c r="BE17" s="6">
        <v>5.82</v>
      </c>
      <c r="BF17" s="6">
        <v>7.03</v>
      </c>
      <c r="BH17" s="28">
        <v>45151</v>
      </c>
      <c r="BI17" s="6">
        <v>0.52</v>
      </c>
      <c r="BJ17">
        <v>5.81</v>
      </c>
      <c r="BL17" s="25">
        <v>45184</v>
      </c>
      <c r="BM17" s="6">
        <v>12.13</v>
      </c>
      <c r="BN17">
        <v>5.16</v>
      </c>
      <c r="BP17" s="25">
        <v>45214</v>
      </c>
      <c r="BQ17">
        <v>10.76</v>
      </c>
      <c r="BR17">
        <v>7.84</v>
      </c>
      <c r="BT17" s="25">
        <v>45245</v>
      </c>
      <c r="BU17" s="6">
        <v>17.809999999999999</v>
      </c>
      <c r="BV17" s="6">
        <v>9.9</v>
      </c>
    </row>
    <row r="18" spans="1:74" ht="37.5" customHeight="1" x14ac:dyDescent="0.25">
      <c r="A18" s="1">
        <v>44929</v>
      </c>
      <c r="B18" s="13">
        <v>1</v>
      </c>
      <c r="C18" t="s">
        <v>3</v>
      </c>
      <c r="D18" t="s">
        <v>4</v>
      </c>
      <c r="E18" t="s">
        <v>5</v>
      </c>
      <c r="F18" s="6">
        <v>113018997</v>
      </c>
      <c r="G18" t="s">
        <v>254</v>
      </c>
      <c r="H18" t="s">
        <v>17</v>
      </c>
      <c r="I18">
        <v>0</v>
      </c>
      <c r="J18">
        <v>0</v>
      </c>
      <c r="K18">
        <v>0</v>
      </c>
      <c r="L18">
        <v>0</v>
      </c>
      <c r="M18">
        <v>1.62</v>
      </c>
      <c r="N18" s="7" t="e">
        <f>VLOOKUP(F18,HC!A$6:D$100,3,FALSE)</f>
        <v>#N/A</v>
      </c>
      <c r="O18" s="7" t="e">
        <f>VLOOKUP(F18,HC!A$6:D$1000,2,FALSE)</f>
        <v>#N/A</v>
      </c>
      <c r="P18" s="7" t="s">
        <v>662</v>
      </c>
      <c r="Q18" s="7" t="s">
        <v>687</v>
      </c>
      <c r="R18" t="s">
        <v>259</v>
      </c>
      <c r="U18">
        <f t="shared" si="0"/>
        <v>1395</v>
      </c>
      <c r="AF18" s="5">
        <v>44943</v>
      </c>
      <c r="AG18" s="6">
        <v>7.52</v>
      </c>
      <c r="AH18" s="9">
        <v>5.55</v>
      </c>
      <c r="AJ18" s="5">
        <v>44973</v>
      </c>
      <c r="AK18" s="6">
        <v>6.4</v>
      </c>
      <c r="AL18" s="9">
        <v>5.26</v>
      </c>
      <c r="AN18" s="5">
        <v>45001</v>
      </c>
      <c r="AO18" s="6">
        <v>7.62</v>
      </c>
      <c r="AP18" s="9">
        <v>5.68</v>
      </c>
      <c r="AR18" s="25">
        <v>45032</v>
      </c>
      <c r="AS18" s="6">
        <v>4.8899999999999997</v>
      </c>
      <c r="AT18">
        <v>6.39</v>
      </c>
      <c r="AV18" s="28">
        <v>45061</v>
      </c>
      <c r="AW18" s="6">
        <v>8.27</v>
      </c>
      <c r="AX18" s="6">
        <v>8.7100000000000009</v>
      </c>
      <c r="AZ18" s="5">
        <v>45093</v>
      </c>
      <c r="BA18" s="6">
        <v>1.67</v>
      </c>
      <c r="BB18" s="31">
        <v>6.3</v>
      </c>
      <c r="BD18" s="26">
        <v>45123</v>
      </c>
      <c r="BE18" s="6">
        <v>5.26</v>
      </c>
      <c r="BF18" s="6">
        <v>7.03</v>
      </c>
      <c r="BH18" s="28">
        <v>45152</v>
      </c>
      <c r="BI18" s="6">
        <v>2.37</v>
      </c>
      <c r="BJ18" s="6">
        <v>5.81</v>
      </c>
      <c r="BL18" s="25">
        <v>45185</v>
      </c>
      <c r="BM18" s="6">
        <v>5.41</v>
      </c>
      <c r="BN18">
        <v>5.16</v>
      </c>
      <c r="BP18" s="25">
        <v>45215</v>
      </c>
      <c r="BQ18">
        <v>33.22</v>
      </c>
      <c r="BR18">
        <v>7.84</v>
      </c>
      <c r="BT18" s="25">
        <v>45246</v>
      </c>
      <c r="BU18" s="6">
        <v>10.36</v>
      </c>
      <c r="BV18" s="6">
        <v>9.9</v>
      </c>
    </row>
    <row r="19" spans="1:74" ht="37.5" customHeight="1" x14ac:dyDescent="0.25">
      <c r="A19" s="1">
        <v>44929</v>
      </c>
      <c r="B19" s="13">
        <v>1</v>
      </c>
      <c r="C19" t="s">
        <v>3</v>
      </c>
      <c r="D19" t="s">
        <v>4</v>
      </c>
      <c r="E19" t="s">
        <v>5</v>
      </c>
      <c r="F19" s="6">
        <v>112980844</v>
      </c>
      <c r="G19" t="s">
        <v>13</v>
      </c>
      <c r="H19" t="s">
        <v>14</v>
      </c>
      <c r="I19">
        <v>0</v>
      </c>
      <c r="J19">
        <v>0</v>
      </c>
      <c r="K19">
        <v>0</v>
      </c>
      <c r="L19">
        <v>0</v>
      </c>
      <c r="M19">
        <v>0.35</v>
      </c>
      <c r="N19" s="7" t="str">
        <f>VLOOKUP(F19,HC!A$6:D$100,3,FALSE)</f>
        <v>DA-X0700</v>
      </c>
      <c r="O19" s="7" t="str">
        <f>VLOOKUP(F19,HC!A$6:D$1000,2,FALSE)</f>
        <v>samajpad</v>
      </c>
      <c r="P19" s="7" t="s">
        <v>661</v>
      </c>
      <c r="Q19" s="7" t="s">
        <v>681</v>
      </c>
      <c r="R19" t="s">
        <v>234</v>
      </c>
      <c r="U19">
        <f t="shared" si="0"/>
        <v>20</v>
      </c>
      <c r="X19" s="4" t="s">
        <v>455</v>
      </c>
      <c r="Y19" t="s">
        <v>1234</v>
      </c>
      <c r="AF19" s="5">
        <v>44944</v>
      </c>
      <c r="AG19" s="6">
        <v>26.61</v>
      </c>
      <c r="AH19" s="9">
        <v>5.55</v>
      </c>
      <c r="AJ19" s="5">
        <v>44974</v>
      </c>
      <c r="AK19" s="6">
        <v>5.93</v>
      </c>
      <c r="AL19" s="9">
        <v>5.26</v>
      </c>
      <c r="AN19" s="5">
        <v>45002</v>
      </c>
      <c r="AO19" s="6">
        <v>7.9700000000000024</v>
      </c>
      <c r="AP19" s="9">
        <v>5.68</v>
      </c>
      <c r="AR19" s="25">
        <v>45033</v>
      </c>
      <c r="AS19" s="6">
        <v>5.31</v>
      </c>
      <c r="AT19" s="6">
        <v>6.39</v>
      </c>
      <c r="AV19" s="28">
        <v>45062</v>
      </c>
      <c r="AW19" s="6">
        <v>11.77</v>
      </c>
      <c r="AX19" s="6">
        <v>8.7100000000000009</v>
      </c>
      <c r="AZ19" s="5">
        <v>45094</v>
      </c>
      <c r="BA19" s="6">
        <v>4.5400000000000009</v>
      </c>
      <c r="BB19" s="31">
        <v>6.3</v>
      </c>
      <c r="BD19" s="26">
        <v>45124</v>
      </c>
      <c r="BE19" s="6">
        <v>10.95</v>
      </c>
      <c r="BF19" s="6">
        <v>7.03</v>
      </c>
      <c r="BH19" s="28">
        <v>45153</v>
      </c>
      <c r="BI19" s="6">
        <v>2.6399999999999997</v>
      </c>
      <c r="BJ19" s="6">
        <v>5.81</v>
      </c>
      <c r="BL19" s="25">
        <v>45186</v>
      </c>
      <c r="BM19" s="6">
        <v>2.54</v>
      </c>
      <c r="BN19">
        <v>5.16</v>
      </c>
      <c r="BP19" s="25">
        <v>45216</v>
      </c>
      <c r="BQ19">
        <v>7.89</v>
      </c>
      <c r="BR19">
        <v>7.84</v>
      </c>
      <c r="BT19" s="25">
        <v>45247</v>
      </c>
      <c r="BU19" s="6">
        <v>14.79</v>
      </c>
      <c r="BV19" s="6">
        <v>9.9</v>
      </c>
    </row>
    <row r="20" spans="1:74" ht="37.5" customHeight="1" x14ac:dyDescent="0.25">
      <c r="A20" s="1">
        <v>44929</v>
      </c>
      <c r="B20" s="13">
        <v>1</v>
      </c>
      <c r="C20" t="s">
        <v>3</v>
      </c>
      <c r="D20" t="s">
        <v>4</v>
      </c>
      <c r="E20" t="s">
        <v>5</v>
      </c>
      <c r="F20" s="6">
        <v>112980862</v>
      </c>
      <c r="G20" t="s">
        <v>43</v>
      </c>
      <c r="H20" t="s">
        <v>44</v>
      </c>
      <c r="I20">
        <v>0</v>
      </c>
      <c r="J20">
        <v>0</v>
      </c>
      <c r="K20">
        <v>0</v>
      </c>
      <c r="L20">
        <v>0</v>
      </c>
      <c r="M20">
        <v>0.17</v>
      </c>
      <c r="N20" s="7" t="e">
        <f>VLOOKUP(F20,HC!A$6:D$100,3,FALSE)</f>
        <v>#N/A</v>
      </c>
      <c r="O20" s="7" t="e">
        <f>VLOOKUP(F20,HC!A$6:D$1000,2,FALSE)</f>
        <v>#N/A</v>
      </c>
      <c r="P20" s="7" t="s">
        <v>661</v>
      </c>
      <c r="Q20" s="7" t="s">
        <v>775</v>
      </c>
      <c r="R20" t="s">
        <v>232</v>
      </c>
      <c r="U20">
        <f t="shared" si="0"/>
        <v>1395</v>
      </c>
      <c r="AF20" s="5">
        <v>44945</v>
      </c>
      <c r="AG20" s="6">
        <v>20.99</v>
      </c>
      <c r="AH20" s="9">
        <v>5.55</v>
      </c>
      <c r="AJ20" s="5">
        <v>44975</v>
      </c>
      <c r="AK20" s="6">
        <v>5.15</v>
      </c>
      <c r="AL20" s="9">
        <v>5.26</v>
      </c>
      <c r="AN20" s="5">
        <v>45003</v>
      </c>
      <c r="AO20" s="6">
        <v>4.05</v>
      </c>
      <c r="AP20" s="9">
        <v>5.68</v>
      </c>
      <c r="AR20" s="25">
        <v>45034</v>
      </c>
      <c r="AS20" s="6">
        <v>11.2</v>
      </c>
      <c r="AT20" s="6">
        <v>6.39</v>
      </c>
      <c r="AV20" s="28">
        <v>45063</v>
      </c>
      <c r="AW20" s="6">
        <v>11.139999999999999</v>
      </c>
      <c r="AX20" s="6">
        <v>8.7100000000000009</v>
      </c>
      <c r="AZ20" s="5">
        <v>45095</v>
      </c>
      <c r="BA20">
        <v>6.67</v>
      </c>
      <c r="BB20" s="31">
        <v>6.3</v>
      </c>
      <c r="BD20" s="26">
        <v>45125</v>
      </c>
      <c r="BE20" s="6">
        <v>19.329999999999998</v>
      </c>
      <c r="BF20" s="6">
        <v>7.03</v>
      </c>
      <c r="BG20" t="s">
        <v>1156</v>
      </c>
      <c r="BH20" s="28">
        <v>45154</v>
      </c>
      <c r="BI20" s="6">
        <v>7.8400000000000007</v>
      </c>
      <c r="BJ20" s="6">
        <v>5.81</v>
      </c>
      <c r="BL20" s="25">
        <v>45187</v>
      </c>
      <c r="BM20" s="6">
        <v>3.93</v>
      </c>
      <c r="BN20">
        <v>5.16</v>
      </c>
      <c r="BP20" s="25">
        <v>45217</v>
      </c>
      <c r="BQ20">
        <v>9.5399999999999991</v>
      </c>
      <c r="BR20">
        <v>7.84</v>
      </c>
      <c r="BT20" s="25">
        <v>45248</v>
      </c>
      <c r="BU20" s="6">
        <v>11.54</v>
      </c>
      <c r="BV20" s="6">
        <v>9.9</v>
      </c>
    </row>
    <row r="21" spans="1:74" ht="37.5" customHeight="1" x14ac:dyDescent="0.25">
      <c r="A21" s="1">
        <v>44929</v>
      </c>
      <c r="B21" s="13">
        <v>1</v>
      </c>
      <c r="C21" t="s">
        <v>3</v>
      </c>
      <c r="D21" t="s">
        <v>4</v>
      </c>
      <c r="E21" t="s">
        <v>5</v>
      </c>
      <c r="F21" s="6">
        <v>112912752</v>
      </c>
      <c r="G21" t="s">
        <v>251</v>
      </c>
      <c r="H21" t="s">
        <v>14</v>
      </c>
      <c r="I21">
        <v>0</v>
      </c>
      <c r="J21">
        <v>0</v>
      </c>
      <c r="K21">
        <v>0</v>
      </c>
      <c r="L21">
        <v>0</v>
      </c>
      <c r="M21">
        <v>0.28999999999999998</v>
      </c>
      <c r="N21" s="7" t="str">
        <f>VLOOKUP(F21,HC!A$6:D$100,3,FALSE)</f>
        <v>NF-X1900</v>
      </c>
      <c r="O21" s="7" t="str">
        <f>VLOOKUP(F21,HC!A$6:D$1000,2,FALSE)</f>
        <v>valderle</v>
      </c>
      <c r="P21" s="7" t="s">
        <v>664</v>
      </c>
      <c r="Q21" s="7" t="s">
        <v>710</v>
      </c>
      <c r="R21" t="s">
        <v>257</v>
      </c>
      <c r="U21">
        <f t="shared" si="0"/>
        <v>50</v>
      </c>
      <c r="X21" s="4" t="s">
        <v>54</v>
      </c>
      <c r="Y21" t="s">
        <v>56</v>
      </c>
      <c r="AF21" s="5">
        <v>44946</v>
      </c>
      <c r="AG21" s="6">
        <v>10.14</v>
      </c>
      <c r="AH21" s="9">
        <v>5.55</v>
      </c>
      <c r="AJ21" s="5">
        <v>44976</v>
      </c>
      <c r="AK21" s="6">
        <v>18.489999999999998</v>
      </c>
      <c r="AL21" s="9">
        <v>5.26</v>
      </c>
      <c r="AN21" s="5">
        <v>45004</v>
      </c>
      <c r="AO21" s="6">
        <v>2.7</v>
      </c>
      <c r="AP21" s="9">
        <v>5.68</v>
      </c>
      <c r="AR21" s="25">
        <v>45035</v>
      </c>
      <c r="AS21" s="6">
        <v>6.34</v>
      </c>
      <c r="AT21" s="6">
        <v>6.39</v>
      </c>
      <c r="AV21" s="28">
        <v>45064</v>
      </c>
      <c r="AW21" s="6">
        <v>3.2200000000000006</v>
      </c>
      <c r="AX21" s="6">
        <v>8.7100000000000009</v>
      </c>
      <c r="AZ21" s="5">
        <v>45096</v>
      </c>
      <c r="BA21">
        <v>2.11</v>
      </c>
      <c r="BB21" s="31">
        <v>6.3</v>
      </c>
      <c r="BD21" s="28">
        <v>45126</v>
      </c>
      <c r="BE21" s="6">
        <v>9.59</v>
      </c>
      <c r="BF21" s="6">
        <v>7.03</v>
      </c>
      <c r="BH21" s="28">
        <v>45155</v>
      </c>
      <c r="BI21" s="6">
        <v>2.16</v>
      </c>
      <c r="BJ21" s="6">
        <v>5.81</v>
      </c>
      <c r="BL21" s="25">
        <v>45188</v>
      </c>
      <c r="BM21" s="6">
        <v>1.35</v>
      </c>
      <c r="BN21">
        <v>5.16</v>
      </c>
      <c r="BP21" s="25">
        <v>45218</v>
      </c>
      <c r="BQ21">
        <v>7.34</v>
      </c>
      <c r="BR21">
        <v>7.84</v>
      </c>
      <c r="BT21" s="25">
        <v>45249</v>
      </c>
      <c r="BU21" s="6">
        <v>14.22</v>
      </c>
      <c r="BV21" s="6">
        <v>9.9</v>
      </c>
    </row>
    <row r="22" spans="1:74" ht="37.5" customHeight="1" x14ac:dyDescent="0.25">
      <c r="A22" s="1">
        <v>44929</v>
      </c>
      <c r="B22" s="13">
        <v>1</v>
      </c>
      <c r="C22" t="s">
        <v>3</v>
      </c>
      <c r="D22" t="s">
        <v>4</v>
      </c>
      <c r="E22" t="s">
        <v>21</v>
      </c>
      <c r="F22" s="6">
        <v>200620341</v>
      </c>
      <c r="G22" t="s">
        <v>255</v>
      </c>
      <c r="H22" t="s">
        <v>7</v>
      </c>
      <c r="I22">
        <v>0</v>
      </c>
      <c r="J22">
        <v>0</v>
      </c>
      <c r="K22">
        <v>0</v>
      </c>
      <c r="L22">
        <v>0</v>
      </c>
      <c r="M22">
        <v>0.36</v>
      </c>
      <c r="N22" s="7" t="e">
        <f>VLOOKUP(F22,HC!A$6:D$100,3,FALSE)</f>
        <v>#N/A</v>
      </c>
      <c r="O22" s="7" t="e">
        <f>VLOOKUP(F22,HC!A$6:D$1000,2,FALSE)</f>
        <v>#N/A</v>
      </c>
      <c r="P22" s="7" t="s">
        <v>664</v>
      </c>
      <c r="Q22" s="7" t="s">
        <v>709</v>
      </c>
      <c r="R22" t="s">
        <v>260</v>
      </c>
      <c r="U22">
        <f t="shared" si="0"/>
        <v>1395</v>
      </c>
      <c r="X22" s="5">
        <v>45231</v>
      </c>
      <c r="Y22" s="6">
        <v>18.46</v>
      </c>
      <c r="AF22" s="5">
        <v>44947</v>
      </c>
      <c r="AG22" s="6">
        <v>9.9</v>
      </c>
      <c r="AH22" s="9">
        <v>5.55</v>
      </c>
      <c r="AJ22" s="5">
        <v>44977</v>
      </c>
      <c r="AK22" s="6">
        <v>13.040000000000003</v>
      </c>
      <c r="AL22" s="9">
        <v>5.26</v>
      </c>
      <c r="AN22" s="5">
        <v>45005</v>
      </c>
      <c r="AO22" s="6">
        <v>6.41</v>
      </c>
      <c r="AP22" s="9">
        <v>5.68</v>
      </c>
      <c r="AR22" s="28">
        <v>45036</v>
      </c>
      <c r="AS22" s="6">
        <v>3.44</v>
      </c>
      <c r="AT22" s="6">
        <v>6.39</v>
      </c>
      <c r="AV22" s="28">
        <v>45065</v>
      </c>
      <c r="AW22" s="6">
        <v>5.5499999999999989</v>
      </c>
      <c r="AX22" s="6">
        <v>8.7100000000000009</v>
      </c>
      <c r="AZ22" s="5">
        <v>45097</v>
      </c>
      <c r="BA22" s="6">
        <v>2.84</v>
      </c>
      <c r="BB22" s="31">
        <v>6.3</v>
      </c>
      <c r="BD22" s="28">
        <v>45127</v>
      </c>
      <c r="BE22" s="6">
        <v>5.3900000000000006</v>
      </c>
      <c r="BF22" s="6">
        <v>7.03</v>
      </c>
      <c r="BH22" s="28">
        <v>45156</v>
      </c>
      <c r="BI22" s="6">
        <v>4.25</v>
      </c>
      <c r="BJ22" s="6">
        <v>5.81</v>
      </c>
      <c r="BL22" s="25">
        <v>45189</v>
      </c>
      <c r="BM22">
        <v>7.6899999999999995</v>
      </c>
      <c r="BN22">
        <v>5.16</v>
      </c>
      <c r="BP22" s="25">
        <v>45219</v>
      </c>
      <c r="BQ22">
        <v>8.2200000000000006</v>
      </c>
      <c r="BR22">
        <v>7.84</v>
      </c>
      <c r="BT22" s="25">
        <v>45250</v>
      </c>
      <c r="BU22" s="6">
        <v>10.25</v>
      </c>
      <c r="BV22" s="6">
        <v>9.9</v>
      </c>
    </row>
    <row r="23" spans="1:74" ht="37.5" customHeight="1" x14ac:dyDescent="0.25">
      <c r="A23" s="1">
        <v>44929</v>
      </c>
      <c r="B23" s="13">
        <v>1</v>
      </c>
      <c r="C23" t="s">
        <v>3</v>
      </c>
      <c r="D23" t="s">
        <v>4</v>
      </c>
      <c r="E23" t="s">
        <v>5</v>
      </c>
      <c r="F23" s="6">
        <v>200404250</v>
      </c>
      <c r="G23" t="s">
        <v>51</v>
      </c>
      <c r="H23" s="8" t="s">
        <v>44</v>
      </c>
      <c r="I23">
        <v>0</v>
      </c>
      <c r="J23">
        <v>0</v>
      </c>
      <c r="K23">
        <v>0</v>
      </c>
      <c r="L23">
        <v>0</v>
      </c>
      <c r="M23">
        <v>0</v>
      </c>
      <c r="N23" s="7" t="e">
        <f>VLOOKUP(F23,HC!A$6:D$100,3,FALSE)</f>
        <v>#N/A</v>
      </c>
      <c r="O23" s="7" t="str">
        <f>VLOOKUP(F23,HC!A$6:D$1000,2,FALSE)</f>
        <v>xcathurt</v>
      </c>
      <c r="P23" s="7" t="s">
        <v>662</v>
      </c>
      <c r="Q23" s="7" t="s">
        <v>785</v>
      </c>
      <c r="R23" t="s">
        <v>235</v>
      </c>
      <c r="U23">
        <f t="shared" si="0"/>
        <v>124</v>
      </c>
      <c r="X23" s="5">
        <v>45232</v>
      </c>
      <c r="Y23" s="6">
        <v>13.320000000000004</v>
      </c>
      <c r="AF23" s="5">
        <v>44948</v>
      </c>
      <c r="AG23" s="6">
        <v>4.1500000000000004</v>
      </c>
      <c r="AH23" s="9">
        <v>5.55</v>
      </c>
      <c r="AJ23" s="5">
        <v>44978</v>
      </c>
      <c r="AK23" s="6">
        <v>13.069999999999999</v>
      </c>
      <c r="AL23" s="9">
        <v>5.26</v>
      </c>
      <c r="AN23" s="5">
        <v>45006</v>
      </c>
      <c r="AO23" s="6">
        <v>14.05</v>
      </c>
      <c r="AP23" s="9">
        <v>5.68</v>
      </c>
      <c r="AR23" s="28">
        <v>45037</v>
      </c>
      <c r="AS23" s="6">
        <v>1.9100000000000001</v>
      </c>
      <c r="AT23" s="6">
        <v>6.39</v>
      </c>
      <c r="AV23" s="28">
        <v>45066</v>
      </c>
      <c r="AW23" s="6">
        <v>3.5300000000000002</v>
      </c>
      <c r="AX23" s="6">
        <v>8.7100000000000009</v>
      </c>
      <c r="AZ23" s="5">
        <v>45098</v>
      </c>
      <c r="BA23" s="6">
        <v>9</v>
      </c>
      <c r="BB23" s="31">
        <v>6.3</v>
      </c>
      <c r="BD23" s="28">
        <v>45128</v>
      </c>
      <c r="BE23" s="6">
        <v>7.21</v>
      </c>
      <c r="BF23" s="6">
        <v>7.03</v>
      </c>
      <c r="BH23" s="28">
        <v>45157</v>
      </c>
      <c r="BI23" s="6">
        <v>3.11</v>
      </c>
      <c r="BJ23" s="6">
        <v>5.81</v>
      </c>
      <c r="BL23" s="25">
        <v>45190</v>
      </c>
      <c r="BM23">
        <v>6.9</v>
      </c>
      <c r="BN23">
        <v>5.16</v>
      </c>
      <c r="BP23" s="25">
        <v>45220</v>
      </c>
      <c r="BQ23">
        <v>8.57</v>
      </c>
      <c r="BR23">
        <v>7.84</v>
      </c>
      <c r="BT23" s="25">
        <v>45251</v>
      </c>
      <c r="BU23" s="6">
        <v>10.23</v>
      </c>
      <c r="BV23" s="6">
        <v>9.9</v>
      </c>
    </row>
    <row r="24" spans="1:74" ht="37.5" customHeight="1" x14ac:dyDescent="0.25">
      <c r="A24" s="1">
        <v>44930</v>
      </c>
      <c r="B24" s="13">
        <v>1</v>
      </c>
      <c r="C24" t="s">
        <v>3</v>
      </c>
      <c r="D24" t="s">
        <v>4</v>
      </c>
      <c r="E24" t="s">
        <v>5</v>
      </c>
      <c r="F24" s="6">
        <v>112971953</v>
      </c>
      <c r="G24" t="s">
        <v>262</v>
      </c>
      <c r="H24" t="s">
        <v>263</v>
      </c>
      <c r="I24">
        <v>0</v>
      </c>
      <c r="J24">
        <v>0</v>
      </c>
      <c r="K24">
        <v>0</v>
      </c>
      <c r="L24">
        <v>0</v>
      </c>
      <c r="M24">
        <v>0.32</v>
      </c>
      <c r="N24" s="7" t="str">
        <f>VLOOKUP(F24,HC!A$6:D$100,3,FALSE)</f>
        <v>DB-X0700</v>
      </c>
      <c r="O24" s="7" t="str">
        <f>VLOOKUP(F24,HC!A$6:D$1000,2,FALSE)</f>
        <v>anzpalom</v>
      </c>
      <c r="P24" s="7" t="s">
        <v>666</v>
      </c>
      <c r="Q24" s="7" t="s">
        <v>768</v>
      </c>
      <c r="R24" t="s">
        <v>277</v>
      </c>
      <c r="U24">
        <f t="shared" si="0"/>
        <v>14</v>
      </c>
      <c r="X24" s="5">
        <v>45233</v>
      </c>
      <c r="Y24" s="6">
        <v>18.52</v>
      </c>
      <c r="AF24" s="5">
        <v>44949</v>
      </c>
      <c r="AG24" s="6">
        <v>7.9</v>
      </c>
      <c r="AH24" s="9">
        <v>5.55</v>
      </c>
      <c r="AJ24" s="5">
        <v>44979</v>
      </c>
      <c r="AK24" s="6">
        <v>6.0700000000000012</v>
      </c>
      <c r="AL24" s="9">
        <v>5.26</v>
      </c>
      <c r="AN24" s="5">
        <v>45007</v>
      </c>
      <c r="AO24" s="6">
        <v>4.8099999999999996</v>
      </c>
      <c r="AP24" s="9">
        <v>5.68</v>
      </c>
      <c r="AR24" s="28">
        <v>45038</v>
      </c>
      <c r="AS24" s="6">
        <v>3.2500000000000004</v>
      </c>
      <c r="AT24" s="6">
        <v>6.39</v>
      </c>
      <c r="AV24" s="28">
        <v>45067</v>
      </c>
      <c r="AW24" s="6">
        <v>5.35</v>
      </c>
      <c r="AX24" s="6">
        <v>8.7100000000000009</v>
      </c>
      <c r="AZ24" s="5">
        <v>45099</v>
      </c>
      <c r="BA24" s="6">
        <v>2.08</v>
      </c>
      <c r="BB24" s="31">
        <v>6.3</v>
      </c>
      <c r="BD24" s="28">
        <v>45129</v>
      </c>
      <c r="BE24" s="6">
        <v>4</v>
      </c>
      <c r="BF24" s="6">
        <v>7.03</v>
      </c>
      <c r="BH24" s="28">
        <v>45158</v>
      </c>
      <c r="BI24" s="6">
        <v>4.87</v>
      </c>
      <c r="BJ24" s="6">
        <v>5.81</v>
      </c>
      <c r="BL24" s="25">
        <v>45191</v>
      </c>
      <c r="BM24">
        <v>5.19</v>
      </c>
      <c r="BN24">
        <v>5.16</v>
      </c>
      <c r="BP24" s="25">
        <v>45221</v>
      </c>
      <c r="BQ24">
        <v>2.44</v>
      </c>
      <c r="BR24">
        <v>7.84</v>
      </c>
      <c r="BT24" s="25"/>
    </row>
    <row r="25" spans="1:74" ht="37.5" customHeight="1" x14ac:dyDescent="0.25">
      <c r="A25" s="1">
        <v>44930</v>
      </c>
      <c r="B25" s="13">
        <v>1</v>
      </c>
      <c r="C25" t="s">
        <v>3</v>
      </c>
      <c r="D25" t="s">
        <v>4</v>
      </c>
      <c r="E25" t="s">
        <v>5</v>
      </c>
      <c r="F25" s="6">
        <v>112971953</v>
      </c>
      <c r="G25" t="s">
        <v>262</v>
      </c>
      <c r="H25" t="s">
        <v>263</v>
      </c>
      <c r="I25">
        <v>0</v>
      </c>
      <c r="J25">
        <v>0</v>
      </c>
      <c r="K25">
        <v>0</v>
      </c>
      <c r="L25">
        <v>0</v>
      </c>
      <c r="M25">
        <v>0.32</v>
      </c>
      <c r="N25" s="7" t="str">
        <f>VLOOKUP(F25,HC!A$6:D$100,3,FALSE)</f>
        <v>DB-X0700</v>
      </c>
      <c r="O25" s="7" t="str">
        <f>VLOOKUP(F25,HC!A$6:D$1000,2,FALSE)</f>
        <v>anzpalom</v>
      </c>
      <c r="P25" s="7" t="s">
        <v>666</v>
      </c>
      <c r="Q25" s="7" t="s">
        <v>768</v>
      </c>
      <c r="R25" t="s">
        <v>293</v>
      </c>
      <c r="U25">
        <f t="shared" si="0"/>
        <v>14</v>
      </c>
      <c r="X25" s="5">
        <v>45234</v>
      </c>
      <c r="Y25" s="6">
        <v>12.389999999999999</v>
      </c>
      <c r="AF25" s="5">
        <v>44950</v>
      </c>
      <c r="AG25" s="6">
        <v>9.3699999999999992</v>
      </c>
      <c r="AH25" s="9">
        <v>5.55</v>
      </c>
      <c r="AJ25" s="5">
        <v>44980</v>
      </c>
      <c r="AK25" s="6">
        <v>7.23</v>
      </c>
      <c r="AL25" s="9">
        <v>5.26</v>
      </c>
      <c r="AN25" s="5">
        <v>45008</v>
      </c>
      <c r="AO25" s="6">
        <v>8.36</v>
      </c>
      <c r="AP25" s="9">
        <v>5.68</v>
      </c>
      <c r="AR25" s="28">
        <v>45039</v>
      </c>
      <c r="AS25" s="6">
        <v>3.51</v>
      </c>
      <c r="AT25" s="6">
        <v>6.39</v>
      </c>
      <c r="AV25" s="28">
        <v>45068</v>
      </c>
      <c r="AW25" s="6">
        <v>8.0500000000000007</v>
      </c>
      <c r="AX25" s="6">
        <v>8.7100000000000009</v>
      </c>
      <c r="AZ25" s="5">
        <v>45100</v>
      </c>
      <c r="BA25" s="6">
        <v>1.19</v>
      </c>
      <c r="BB25" s="31">
        <v>6.3</v>
      </c>
      <c r="BD25" s="28">
        <v>45130</v>
      </c>
      <c r="BE25" s="6">
        <v>4.63</v>
      </c>
      <c r="BF25" s="6">
        <v>7.03</v>
      </c>
      <c r="BH25" s="25">
        <v>45159</v>
      </c>
      <c r="BI25" s="6">
        <v>3.45</v>
      </c>
      <c r="BJ25" s="6">
        <v>5.81</v>
      </c>
      <c r="BL25" s="25">
        <v>45192</v>
      </c>
      <c r="BM25">
        <v>4.29</v>
      </c>
      <c r="BN25">
        <v>5.16</v>
      </c>
      <c r="BP25" s="25">
        <v>45222</v>
      </c>
      <c r="BQ25">
        <v>6.19</v>
      </c>
      <c r="BR25">
        <v>7.84</v>
      </c>
      <c r="BT25" s="25"/>
    </row>
    <row r="26" spans="1:74" ht="37.5" customHeight="1" x14ac:dyDescent="0.25">
      <c r="A26" s="1">
        <v>44930</v>
      </c>
      <c r="B26" s="13">
        <v>1</v>
      </c>
      <c r="C26" t="s">
        <v>3</v>
      </c>
      <c r="D26" t="s">
        <v>4</v>
      </c>
      <c r="E26" t="s">
        <v>21</v>
      </c>
      <c r="F26" s="6">
        <v>200513583</v>
      </c>
      <c r="G26" t="s">
        <v>286</v>
      </c>
      <c r="H26" t="s">
        <v>24</v>
      </c>
      <c r="I26">
        <v>0</v>
      </c>
      <c r="J26">
        <v>0</v>
      </c>
      <c r="K26">
        <v>0</v>
      </c>
      <c r="L26">
        <v>0</v>
      </c>
      <c r="M26">
        <v>0.32</v>
      </c>
      <c r="N26" s="7" t="e">
        <f>VLOOKUP(F26,HC!A$6:D$100,3,FALSE)</f>
        <v>#N/A</v>
      </c>
      <c r="O26" s="7" t="str">
        <f>VLOOKUP(F26,HC!A$6:D$1000,2,FALSE)</f>
        <v>caherras</v>
      </c>
      <c r="P26" s="7" t="s">
        <v>662</v>
      </c>
      <c r="Q26" s="7" t="s">
        <v>687</v>
      </c>
      <c r="R26" t="s">
        <v>291</v>
      </c>
      <c r="U26">
        <f t="shared" si="0"/>
        <v>2</v>
      </c>
      <c r="X26" s="5">
        <v>45235</v>
      </c>
      <c r="Y26" s="6">
        <v>7.8200000000000012</v>
      </c>
      <c r="AF26" s="5">
        <v>44951</v>
      </c>
      <c r="AG26" s="6">
        <v>6.75</v>
      </c>
      <c r="AH26" s="9">
        <v>5.55</v>
      </c>
      <c r="AJ26" s="5">
        <v>44981</v>
      </c>
      <c r="AK26" s="6">
        <v>3.9199999999999995</v>
      </c>
      <c r="AL26" s="9">
        <v>5.26</v>
      </c>
      <c r="AN26" s="5">
        <v>45009</v>
      </c>
      <c r="AO26" s="6">
        <v>1.9899999999999998</v>
      </c>
      <c r="AP26" s="9">
        <v>5.68</v>
      </c>
      <c r="AR26" s="28">
        <v>45040</v>
      </c>
      <c r="AS26" s="6">
        <v>10.24</v>
      </c>
      <c r="AT26" s="6">
        <v>6.39</v>
      </c>
      <c r="AV26" s="28">
        <v>45069</v>
      </c>
      <c r="AW26" s="6">
        <v>13.47</v>
      </c>
      <c r="AX26" s="6">
        <v>8.7100000000000009</v>
      </c>
      <c r="AZ26" s="5">
        <v>45101</v>
      </c>
      <c r="BA26" s="6">
        <v>1.07</v>
      </c>
      <c r="BB26" s="31">
        <v>6.3</v>
      </c>
      <c r="BD26" s="28">
        <v>45131</v>
      </c>
      <c r="BE26" s="6">
        <v>3.45</v>
      </c>
      <c r="BF26" s="6">
        <v>7.03</v>
      </c>
      <c r="BH26" s="25">
        <v>45160</v>
      </c>
      <c r="BI26" s="6">
        <v>9.0399999999999991</v>
      </c>
      <c r="BJ26" s="6">
        <v>5.81</v>
      </c>
      <c r="BL26" s="25">
        <v>45193</v>
      </c>
      <c r="BM26">
        <v>2.68</v>
      </c>
      <c r="BN26">
        <v>5.16</v>
      </c>
      <c r="BP26" s="25">
        <v>45223</v>
      </c>
      <c r="BQ26">
        <v>17.649999999999999</v>
      </c>
      <c r="BR26">
        <v>7.84</v>
      </c>
      <c r="BT26" s="25"/>
    </row>
    <row r="27" spans="1:74" ht="37.5" customHeight="1" x14ac:dyDescent="0.25">
      <c r="A27" s="1">
        <v>44930</v>
      </c>
      <c r="B27" s="13">
        <v>1</v>
      </c>
      <c r="C27" t="s">
        <v>3</v>
      </c>
      <c r="D27" t="s">
        <v>4</v>
      </c>
      <c r="E27" t="s">
        <v>5</v>
      </c>
      <c r="F27" s="6">
        <v>112912008</v>
      </c>
      <c r="G27" t="s">
        <v>249</v>
      </c>
      <c r="H27" t="s">
        <v>250</v>
      </c>
      <c r="I27">
        <v>0</v>
      </c>
      <c r="J27">
        <v>0</v>
      </c>
      <c r="K27">
        <v>0</v>
      </c>
      <c r="L27">
        <v>0</v>
      </c>
      <c r="M27">
        <v>0.14000000000000001</v>
      </c>
      <c r="N27" s="7" t="e">
        <f>VLOOKUP(F27,HC!A$6:D$100,3,FALSE)</f>
        <v>#N/A</v>
      </c>
      <c r="O27" s="7" t="e">
        <f>VLOOKUP(F27,HC!A$6:D$1000,2,FALSE)</f>
        <v>#N/A</v>
      </c>
      <c r="P27" s="7" t="s">
        <v>662</v>
      </c>
      <c r="Q27" s="7" t="s">
        <v>687</v>
      </c>
      <c r="R27" t="s">
        <v>291</v>
      </c>
      <c r="U27">
        <f t="shared" si="0"/>
        <v>1395</v>
      </c>
      <c r="X27" s="5">
        <v>45236</v>
      </c>
      <c r="Y27" s="6">
        <v>10.02</v>
      </c>
      <c r="AF27" s="5">
        <v>44952</v>
      </c>
      <c r="AG27" s="6">
        <v>7.98</v>
      </c>
      <c r="AH27" s="9">
        <v>5.55</v>
      </c>
      <c r="AJ27" s="5">
        <v>44982</v>
      </c>
      <c r="AK27" s="6">
        <v>2.6</v>
      </c>
      <c r="AL27" s="9">
        <v>5.26</v>
      </c>
      <c r="AN27" s="5">
        <v>45010</v>
      </c>
      <c r="AO27" s="6">
        <v>1.94</v>
      </c>
      <c r="AP27" s="9">
        <v>5.68</v>
      </c>
      <c r="AR27" s="28">
        <v>45041</v>
      </c>
      <c r="AS27" s="6">
        <v>5.31</v>
      </c>
      <c r="AT27" s="6">
        <v>6.39</v>
      </c>
      <c r="AV27" s="28">
        <v>45070</v>
      </c>
      <c r="AW27" s="6">
        <v>5.54</v>
      </c>
      <c r="AX27" s="6">
        <v>8.7100000000000009</v>
      </c>
      <c r="AZ27" s="5">
        <v>45102</v>
      </c>
      <c r="BA27" s="6">
        <v>3.26</v>
      </c>
      <c r="BB27" s="31">
        <v>6.3</v>
      </c>
      <c r="BD27" s="28">
        <v>45132</v>
      </c>
      <c r="BE27" s="6">
        <v>3.59</v>
      </c>
      <c r="BF27" s="6">
        <v>7.03</v>
      </c>
      <c r="BH27" s="25">
        <v>45161</v>
      </c>
      <c r="BI27" s="6">
        <v>6.72</v>
      </c>
      <c r="BJ27" s="6">
        <v>5.81</v>
      </c>
      <c r="BL27" s="25">
        <v>45194</v>
      </c>
      <c r="BM27">
        <v>2.04</v>
      </c>
      <c r="BN27">
        <v>5.16</v>
      </c>
      <c r="BP27" s="25">
        <v>45224</v>
      </c>
      <c r="BQ27">
        <v>9.35</v>
      </c>
      <c r="BR27">
        <v>7.84</v>
      </c>
      <c r="BT27" s="25"/>
    </row>
    <row r="28" spans="1:74" ht="37.5" customHeight="1" x14ac:dyDescent="0.25">
      <c r="A28" s="1">
        <v>44930</v>
      </c>
      <c r="B28" s="13">
        <v>1</v>
      </c>
      <c r="C28" t="s">
        <v>3</v>
      </c>
      <c r="D28" t="s">
        <v>4</v>
      </c>
      <c r="E28" t="s">
        <v>5</v>
      </c>
      <c r="F28" s="6">
        <v>113014060</v>
      </c>
      <c r="G28" t="s">
        <v>266</v>
      </c>
      <c r="H28" t="s">
        <v>47</v>
      </c>
      <c r="I28">
        <v>0</v>
      </c>
      <c r="J28">
        <v>0</v>
      </c>
      <c r="K28">
        <v>0</v>
      </c>
      <c r="L28">
        <v>0</v>
      </c>
      <c r="M28">
        <v>0.34</v>
      </c>
      <c r="N28" s="7" t="e">
        <f>VLOOKUP(F28,HC!A$6:D$100,3,FALSE)</f>
        <v>#N/A</v>
      </c>
      <c r="O28" s="7" t="e">
        <f>VLOOKUP(F28,HC!A$6:D$1000,2,FALSE)</f>
        <v>#N/A</v>
      </c>
      <c r="P28" s="7" t="s">
        <v>664</v>
      </c>
      <c r="Q28" s="7" t="s">
        <v>711</v>
      </c>
      <c r="R28" t="s">
        <v>233</v>
      </c>
      <c r="U28">
        <f t="shared" si="0"/>
        <v>1395</v>
      </c>
      <c r="X28" s="5">
        <v>45237</v>
      </c>
      <c r="Y28" s="6">
        <v>10.479999999999999</v>
      </c>
      <c r="AF28" s="5">
        <v>44953</v>
      </c>
      <c r="AG28" s="6">
        <v>5.21</v>
      </c>
      <c r="AH28" s="9">
        <v>5.55</v>
      </c>
      <c r="AJ28" s="5">
        <v>44983</v>
      </c>
      <c r="AK28" s="6">
        <v>3.82</v>
      </c>
      <c r="AL28" s="9">
        <v>5.26</v>
      </c>
      <c r="AN28" s="5">
        <v>45011</v>
      </c>
      <c r="AO28" s="6">
        <v>4.6099999999999994</v>
      </c>
      <c r="AP28" s="9">
        <v>5.68</v>
      </c>
      <c r="AR28" s="28">
        <v>45042</v>
      </c>
      <c r="AS28" s="6">
        <v>9.5100000000000016</v>
      </c>
      <c r="AT28" s="6">
        <v>6.39</v>
      </c>
      <c r="AV28" s="28">
        <v>45071</v>
      </c>
      <c r="AW28" s="6">
        <v>7.0900000000000007</v>
      </c>
      <c r="AX28" s="6">
        <v>8.7100000000000009</v>
      </c>
      <c r="AZ28" s="5">
        <v>45103</v>
      </c>
      <c r="BA28" s="6">
        <v>2.77</v>
      </c>
      <c r="BB28" s="31">
        <v>6.3</v>
      </c>
      <c r="BD28" s="5">
        <v>45133</v>
      </c>
      <c r="BE28" s="6">
        <v>1.19</v>
      </c>
      <c r="BF28" s="6">
        <v>7.03</v>
      </c>
      <c r="BH28" s="25">
        <v>45162</v>
      </c>
      <c r="BI28" s="6">
        <v>7.51</v>
      </c>
      <c r="BJ28" s="6">
        <v>5.81</v>
      </c>
      <c r="BL28" s="25">
        <v>45195</v>
      </c>
      <c r="BM28">
        <v>5.32</v>
      </c>
      <c r="BN28">
        <v>5.16</v>
      </c>
      <c r="BP28" s="25">
        <v>45225</v>
      </c>
      <c r="BQ28">
        <v>14.15</v>
      </c>
      <c r="BR28">
        <v>7.84</v>
      </c>
      <c r="BT28" s="25"/>
    </row>
    <row r="29" spans="1:74" ht="37.5" customHeight="1" x14ac:dyDescent="0.25">
      <c r="A29" s="1">
        <v>44930</v>
      </c>
      <c r="B29" s="13">
        <v>1</v>
      </c>
      <c r="C29" t="s">
        <v>3</v>
      </c>
      <c r="D29" t="s">
        <v>4</v>
      </c>
      <c r="E29" t="s">
        <v>21</v>
      </c>
      <c r="F29" s="6">
        <v>200514471</v>
      </c>
      <c r="G29" t="s">
        <v>273</v>
      </c>
      <c r="H29" t="s">
        <v>47</v>
      </c>
      <c r="I29">
        <v>0</v>
      </c>
      <c r="J29">
        <v>0</v>
      </c>
      <c r="K29">
        <v>0</v>
      </c>
      <c r="L29">
        <v>0</v>
      </c>
      <c r="M29">
        <v>0.42</v>
      </c>
      <c r="N29" s="7" t="e">
        <f>VLOOKUP(F29,HC!A$6:D$100,3,FALSE)</f>
        <v>#N/A</v>
      </c>
      <c r="O29" s="7" t="e">
        <f>VLOOKUP(F29,HC!A$6:D$1000,2,FALSE)</f>
        <v>#N/A</v>
      </c>
      <c r="P29" s="7" t="s">
        <v>661</v>
      </c>
      <c r="Q29" s="7" t="s">
        <v>681</v>
      </c>
      <c r="R29" t="s">
        <v>234</v>
      </c>
      <c r="U29">
        <f t="shared" si="0"/>
        <v>1395</v>
      </c>
      <c r="X29" s="5">
        <v>45238</v>
      </c>
      <c r="Y29" s="6">
        <v>11.950000000000001</v>
      </c>
      <c r="AF29" s="5">
        <v>44954</v>
      </c>
      <c r="AG29" s="6">
        <v>11.74</v>
      </c>
      <c r="AH29" s="9">
        <v>5.55</v>
      </c>
      <c r="AJ29" s="5">
        <v>44984</v>
      </c>
      <c r="AK29" s="6">
        <v>3.54</v>
      </c>
      <c r="AL29" s="9">
        <v>5.26</v>
      </c>
      <c r="AN29" s="5">
        <v>45012</v>
      </c>
      <c r="AO29" s="6">
        <v>6.29</v>
      </c>
      <c r="AP29" s="9">
        <v>5.68</v>
      </c>
      <c r="AR29" s="28">
        <v>45043</v>
      </c>
      <c r="AS29" s="6">
        <v>4.59</v>
      </c>
      <c r="AT29" s="6">
        <v>6.39</v>
      </c>
      <c r="AV29" s="28">
        <v>45072</v>
      </c>
      <c r="AW29" s="6">
        <v>3.7700000000000005</v>
      </c>
      <c r="AX29" s="6">
        <v>8.7100000000000009</v>
      </c>
      <c r="AZ29" s="5">
        <v>45104</v>
      </c>
      <c r="BA29" s="6">
        <v>2.08</v>
      </c>
      <c r="BB29" s="31">
        <v>6.3</v>
      </c>
      <c r="BD29" s="5">
        <v>45134</v>
      </c>
      <c r="BE29" s="6">
        <v>2.7</v>
      </c>
      <c r="BF29" s="6">
        <v>7.03</v>
      </c>
      <c r="BH29" s="25">
        <v>45163</v>
      </c>
      <c r="BI29" s="6">
        <v>5.42</v>
      </c>
      <c r="BJ29" s="6">
        <v>5.81</v>
      </c>
      <c r="BL29" s="25">
        <v>45196</v>
      </c>
      <c r="BM29">
        <v>10.86</v>
      </c>
      <c r="BN29">
        <v>5.16</v>
      </c>
      <c r="BP29" s="25">
        <v>45226</v>
      </c>
      <c r="BQ29">
        <v>44.52</v>
      </c>
      <c r="BR29">
        <v>7.84</v>
      </c>
      <c r="BT29" s="25"/>
    </row>
    <row r="30" spans="1:74" ht="37.5" customHeight="1" x14ac:dyDescent="0.25">
      <c r="A30" s="1">
        <v>44930</v>
      </c>
      <c r="B30" s="13">
        <v>1</v>
      </c>
      <c r="C30" t="s">
        <v>3</v>
      </c>
      <c r="D30" t="s">
        <v>4</v>
      </c>
      <c r="E30" t="s">
        <v>5</v>
      </c>
      <c r="F30" s="6">
        <v>113014081</v>
      </c>
      <c r="G30" t="s">
        <v>267</v>
      </c>
      <c r="H30" t="s">
        <v>268</v>
      </c>
      <c r="I30">
        <v>0</v>
      </c>
      <c r="J30">
        <v>0</v>
      </c>
      <c r="K30">
        <v>0</v>
      </c>
      <c r="L30">
        <v>0</v>
      </c>
      <c r="M30">
        <v>0.25</v>
      </c>
      <c r="N30" s="7" t="e">
        <f>VLOOKUP(F30,HC!A$6:D$100,3,FALSE)</f>
        <v>#N/A</v>
      </c>
      <c r="O30" s="7" t="str">
        <f>VLOOKUP(F30,HC!A$6:D$1000,2,FALSE)</f>
        <v>fraugene</v>
      </c>
      <c r="P30" s="7" t="s">
        <v>661</v>
      </c>
      <c r="Q30" s="7" t="s">
        <v>684</v>
      </c>
      <c r="R30" t="s">
        <v>276</v>
      </c>
      <c r="U30">
        <f t="shared" si="0"/>
        <v>32</v>
      </c>
      <c r="X30" s="5">
        <v>45239</v>
      </c>
      <c r="Y30" s="6">
        <v>11.070000000000002</v>
      </c>
      <c r="AF30" s="5">
        <v>44955</v>
      </c>
      <c r="AG30" s="6">
        <v>2.63</v>
      </c>
      <c r="AH30" s="9">
        <v>5.55</v>
      </c>
      <c r="AJ30" s="5">
        <v>44985</v>
      </c>
      <c r="AK30" s="6">
        <v>8.2799999999999994</v>
      </c>
      <c r="AL30" s="9">
        <v>5.26</v>
      </c>
      <c r="AN30" s="5">
        <v>45013</v>
      </c>
      <c r="AO30" s="6">
        <v>11.54</v>
      </c>
      <c r="AP30" s="9">
        <v>5.68</v>
      </c>
      <c r="AR30" s="28">
        <v>45044</v>
      </c>
      <c r="AS30" s="6">
        <v>1.89</v>
      </c>
      <c r="AT30" s="6">
        <v>6.39</v>
      </c>
      <c r="AV30" s="28">
        <v>45073</v>
      </c>
      <c r="AW30" s="6">
        <v>2.82</v>
      </c>
      <c r="AX30" s="6">
        <v>8.7100000000000009</v>
      </c>
      <c r="AZ30" s="5">
        <v>45105</v>
      </c>
      <c r="BA30" s="6">
        <v>4.66</v>
      </c>
      <c r="BB30" s="31">
        <v>6.3</v>
      </c>
      <c r="BD30" s="5">
        <v>45135</v>
      </c>
      <c r="BE30" s="6">
        <v>1.6800000000000002</v>
      </c>
      <c r="BF30" s="6">
        <v>7.03</v>
      </c>
      <c r="BH30" s="25">
        <v>45164</v>
      </c>
      <c r="BI30" s="6">
        <v>3</v>
      </c>
      <c r="BJ30" s="6">
        <v>5.81</v>
      </c>
      <c r="BL30" s="25">
        <v>45197</v>
      </c>
      <c r="BM30">
        <v>13.72</v>
      </c>
      <c r="BN30">
        <v>5.16</v>
      </c>
      <c r="BP30" s="25">
        <v>45227</v>
      </c>
      <c r="BQ30">
        <v>18.57</v>
      </c>
      <c r="BR30">
        <v>7.84</v>
      </c>
      <c r="BT30" s="25"/>
    </row>
    <row r="31" spans="1:74" ht="37.5" customHeight="1" x14ac:dyDescent="0.25">
      <c r="A31" s="1">
        <v>44930</v>
      </c>
      <c r="B31" s="13">
        <v>1</v>
      </c>
      <c r="C31" t="s">
        <v>3</v>
      </c>
      <c r="D31" t="s">
        <v>4</v>
      </c>
      <c r="E31" t="s">
        <v>5</v>
      </c>
      <c r="F31" s="6">
        <v>113003971</v>
      </c>
      <c r="G31" t="s">
        <v>284</v>
      </c>
      <c r="H31" t="s">
        <v>285</v>
      </c>
      <c r="I31">
        <v>0</v>
      </c>
      <c r="J31">
        <v>0</v>
      </c>
      <c r="K31">
        <v>0</v>
      </c>
      <c r="L31">
        <v>0</v>
      </c>
      <c r="M31">
        <v>0.2</v>
      </c>
      <c r="N31" s="7" t="e">
        <f>VLOOKUP(F31,HC!A$6:D$100,3,FALSE)</f>
        <v>#N/A</v>
      </c>
      <c r="O31" s="7" t="str">
        <f>VLOOKUP(F31,HC!A$6:D$1000,2,FALSE)</f>
        <v>garamird</v>
      </c>
      <c r="P31" s="7" t="s">
        <v>661</v>
      </c>
      <c r="Q31" s="7" t="s">
        <v>681</v>
      </c>
      <c r="R31" t="s">
        <v>234</v>
      </c>
      <c r="U31">
        <f t="shared" si="0"/>
        <v>14</v>
      </c>
      <c r="X31" s="5">
        <v>45240</v>
      </c>
      <c r="Y31" s="6">
        <v>15.719999999999999</v>
      </c>
      <c r="AF31" s="5">
        <v>44956</v>
      </c>
      <c r="AG31" s="6">
        <v>5.71</v>
      </c>
      <c r="AH31" s="9">
        <v>5.55</v>
      </c>
      <c r="AN31" s="5">
        <v>45014</v>
      </c>
      <c r="AO31" s="6">
        <v>9.77</v>
      </c>
      <c r="AP31" s="9">
        <v>5.68</v>
      </c>
      <c r="AR31" s="28">
        <v>45045</v>
      </c>
      <c r="AS31" s="6">
        <v>0.75</v>
      </c>
      <c r="AT31" s="6">
        <v>6.39</v>
      </c>
      <c r="AV31" s="28">
        <v>45074</v>
      </c>
      <c r="AW31" s="6">
        <v>7.69</v>
      </c>
      <c r="AX31" s="6">
        <v>8.7100000000000009</v>
      </c>
      <c r="AZ31" s="5">
        <v>45106</v>
      </c>
      <c r="BA31" s="6">
        <v>5.95</v>
      </c>
      <c r="BB31" s="31">
        <v>6.3</v>
      </c>
      <c r="BD31" s="5">
        <v>45136</v>
      </c>
      <c r="BE31" s="6">
        <v>3.4299999999999997</v>
      </c>
      <c r="BF31" s="6">
        <v>7.03</v>
      </c>
      <c r="BH31" s="25">
        <v>45165</v>
      </c>
      <c r="BI31" s="6">
        <v>2.25</v>
      </c>
      <c r="BJ31" s="6">
        <v>5.81</v>
      </c>
      <c r="BL31" s="25">
        <v>45198</v>
      </c>
      <c r="BM31">
        <v>1.69</v>
      </c>
      <c r="BN31">
        <v>5.16</v>
      </c>
      <c r="BP31" s="25">
        <v>45228</v>
      </c>
      <c r="BQ31">
        <v>9.09</v>
      </c>
      <c r="BR31">
        <v>7.84</v>
      </c>
      <c r="BT31" s="25"/>
    </row>
    <row r="32" spans="1:74" ht="37.5" customHeight="1" x14ac:dyDescent="0.25">
      <c r="A32" s="1">
        <v>44930</v>
      </c>
      <c r="B32" s="13">
        <v>1</v>
      </c>
      <c r="C32" t="s">
        <v>3</v>
      </c>
      <c r="D32" t="s">
        <v>4</v>
      </c>
      <c r="E32" t="s">
        <v>5</v>
      </c>
      <c r="F32" s="6">
        <v>112912210</v>
      </c>
      <c r="G32" t="s">
        <v>6</v>
      </c>
      <c r="H32" t="s">
        <v>7</v>
      </c>
      <c r="I32">
        <v>0</v>
      </c>
      <c r="J32">
        <v>0</v>
      </c>
      <c r="K32">
        <v>0</v>
      </c>
      <c r="L32">
        <v>0</v>
      </c>
      <c r="M32">
        <v>0.31</v>
      </c>
      <c r="N32" s="7" t="e">
        <f>VLOOKUP(F32,HC!A$6:D$100,3,FALSE)</f>
        <v>#N/A</v>
      </c>
      <c r="O32" s="7" t="e">
        <f>VLOOKUP(F32,HC!A$6:D$1000,2,FALSE)</f>
        <v>#N/A</v>
      </c>
      <c r="P32" s="7" t="s">
        <v>666</v>
      </c>
      <c r="Q32" s="7" t="s">
        <v>724</v>
      </c>
      <c r="R32" t="s">
        <v>292</v>
      </c>
      <c r="U32">
        <f t="shared" si="0"/>
        <v>1395</v>
      </c>
      <c r="X32" s="5">
        <v>45241</v>
      </c>
      <c r="Y32" s="6">
        <v>14.02</v>
      </c>
      <c r="AF32" s="5">
        <v>44957</v>
      </c>
      <c r="AG32" s="6">
        <v>4.46</v>
      </c>
      <c r="AH32" s="9">
        <v>5.55</v>
      </c>
      <c r="AN32" s="5">
        <v>45015</v>
      </c>
      <c r="AO32" s="6">
        <v>11.21</v>
      </c>
      <c r="AP32" s="9">
        <v>5.68</v>
      </c>
      <c r="AR32" s="28">
        <v>45046</v>
      </c>
      <c r="AS32" s="6">
        <v>2.94</v>
      </c>
      <c r="AT32" s="6">
        <v>6.39</v>
      </c>
      <c r="AV32" s="28">
        <v>45075</v>
      </c>
      <c r="AW32" s="6">
        <v>8.3699999999999992</v>
      </c>
      <c r="AX32" s="6">
        <v>8.7100000000000009</v>
      </c>
      <c r="AZ32" s="5">
        <v>45107</v>
      </c>
      <c r="BA32" s="6">
        <v>6.120000000000001</v>
      </c>
      <c r="BB32" s="31">
        <v>6.3</v>
      </c>
      <c r="BD32" s="5">
        <v>45137</v>
      </c>
      <c r="BE32" s="6">
        <v>3.1100000000000003</v>
      </c>
      <c r="BF32" s="6">
        <v>7.03</v>
      </c>
      <c r="BH32" s="25">
        <v>45166</v>
      </c>
      <c r="BI32" s="6">
        <v>2.36</v>
      </c>
      <c r="BJ32" s="6">
        <v>5.81</v>
      </c>
      <c r="BL32" s="25">
        <v>45199</v>
      </c>
      <c r="BM32">
        <v>6.56</v>
      </c>
      <c r="BN32">
        <v>5.16</v>
      </c>
      <c r="BP32" s="25">
        <v>45229</v>
      </c>
      <c r="BQ32">
        <v>8.94</v>
      </c>
      <c r="BR32">
        <v>7.84</v>
      </c>
      <c r="BT32" s="25"/>
    </row>
    <row r="33" spans="1:72" ht="37.5" customHeight="1" x14ac:dyDescent="0.25">
      <c r="A33" s="1">
        <v>44930</v>
      </c>
      <c r="B33" s="13">
        <v>1</v>
      </c>
      <c r="C33" t="s">
        <v>3</v>
      </c>
      <c r="D33" t="s">
        <v>4</v>
      </c>
      <c r="E33" t="s">
        <v>5</v>
      </c>
      <c r="F33" s="6">
        <v>113014113</v>
      </c>
      <c r="G33" t="s">
        <v>269</v>
      </c>
      <c r="H33" t="s">
        <v>268</v>
      </c>
      <c r="I33">
        <v>0</v>
      </c>
      <c r="J33">
        <v>0</v>
      </c>
      <c r="K33">
        <v>0</v>
      </c>
      <c r="L33">
        <v>0</v>
      </c>
      <c r="M33">
        <v>0.27</v>
      </c>
      <c r="N33" s="7" t="e">
        <f>VLOOKUP(F33,HC!A$6:D$100,3,FALSE)</f>
        <v>#N/A</v>
      </c>
      <c r="O33" s="7" t="e">
        <f>VLOOKUP(F33,HC!A$6:D$1000,2,FALSE)</f>
        <v>#N/A</v>
      </c>
      <c r="P33" s="7" t="s">
        <v>664</v>
      </c>
      <c r="Q33" s="7" t="s">
        <v>710</v>
      </c>
      <c r="R33" t="s">
        <v>257</v>
      </c>
      <c r="U33">
        <f t="shared" si="0"/>
        <v>1395</v>
      </c>
      <c r="X33" s="5">
        <v>45242</v>
      </c>
      <c r="Y33" s="6">
        <v>8.879999999999999</v>
      </c>
      <c r="AN33" s="5">
        <v>45016</v>
      </c>
      <c r="AO33" s="6">
        <v>21.479999999999997</v>
      </c>
      <c r="AP33" s="9">
        <v>5.68</v>
      </c>
      <c r="AV33" s="28">
        <v>45076</v>
      </c>
      <c r="AW33" s="6">
        <v>6.38</v>
      </c>
      <c r="AX33" s="6">
        <v>8.7100000000000009</v>
      </c>
      <c r="BD33" s="5">
        <v>45138</v>
      </c>
      <c r="BE33" s="6">
        <v>4.6900000000000004</v>
      </c>
      <c r="BF33" s="6">
        <v>7.03</v>
      </c>
      <c r="BH33" s="25">
        <v>45167</v>
      </c>
      <c r="BI33" s="6">
        <v>5.59</v>
      </c>
      <c r="BJ33" s="6">
        <v>5.81</v>
      </c>
      <c r="BP33" s="25">
        <v>45230</v>
      </c>
      <c r="BQ33">
        <v>18.45</v>
      </c>
      <c r="BR33">
        <v>7.84</v>
      </c>
      <c r="BT33" s="25"/>
    </row>
    <row r="34" spans="1:72" ht="37.5" customHeight="1" x14ac:dyDescent="0.25">
      <c r="A34" s="1">
        <v>44930</v>
      </c>
      <c r="B34" s="13">
        <v>1</v>
      </c>
      <c r="C34" t="s">
        <v>3</v>
      </c>
      <c r="D34" t="s">
        <v>4</v>
      </c>
      <c r="E34" t="s">
        <v>5</v>
      </c>
      <c r="F34" s="6">
        <v>112981061</v>
      </c>
      <c r="G34" t="s">
        <v>264</v>
      </c>
      <c r="H34" t="s">
        <v>44</v>
      </c>
      <c r="I34">
        <v>0</v>
      </c>
      <c r="J34">
        <v>0</v>
      </c>
      <c r="K34">
        <v>0</v>
      </c>
      <c r="L34">
        <v>0</v>
      </c>
      <c r="M34">
        <v>0.15</v>
      </c>
      <c r="N34" s="7" t="str">
        <f>VLOOKUP(F34,HC!A$6:D$100,3,FALSE)</f>
        <v>DA-X0700</v>
      </c>
      <c r="O34" s="7" t="str">
        <f>VLOOKUP(F34,HC!A$6:D$1000,2,FALSE)</f>
        <v>mclaudol</v>
      </c>
      <c r="P34" s="7" t="s">
        <v>664</v>
      </c>
      <c r="Q34" s="7" t="s">
        <v>710</v>
      </c>
      <c r="R34" t="s">
        <v>278</v>
      </c>
      <c r="U34">
        <f t="shared" ref="U34:U66" si="2">COUNTIF(O$2:O$4999,O34)</f>
        <v>44</v>
      </c>
      <c r="X34" s="5">
        <v>45243</v>
      </c>
      <c r="Y34" s="6">
        <v>9.61</v>
      </c>
      <c r="AV34" s="26">
        <v>45077</v>
      </c>
      <c r="AW34" s="6">
        <v>5.97</v>
      </c>
      <c r="AX34" s="6">
        <v>8.7100000000000009</v>
      </c>
      <c r="BH34" s="25">
        <v>45168</v>
      </c>
      <c r="BI34">
        <v>4.84</v>
      </c>
      <c r="BJ34" s="6">
        <v>5.81</v>
      </c>
    </row>
    <row r="35" spans="1:72" ht="37.5" customHeight="1" x14ac:dyDescent="0.25">
      <c r="A35" s="1">
        <v>44930</v>
      </c>
      <c r="B35" s="13">
        <v>1</v>
      </c>
      <c r="C35" t="s">
        <v>3</v>
      </c>
      <c r="D35" t="s">
        <v>4</v>
      </c>
      <c r="E35" t="s">
        <v>5</v>
      </c>
      <c r="F35" s="6">
        <v>112981013</v>
      </c>
      <c r="G35" t="s">
        <v>283</v>
      </c>
      <c r="H35" t="s">
        <v>17</v>
      </c>
      <c r="I35">
        <v>0</v>
      </c>
      <c r="J35">
        <v>0</v>
      </c>
      <c r="K35">
        <v>0</v>
      </c>
      <c r="L35">
        <v>0</v>
      </c>
      <c r="M35">
        <v>0.94</v>
      </c>
      <c r="N35" s="7" t="str">
        <f>VLOOKUP(F35,HC!A$6:D$100,3,FALSE)</f>
        <v>DA-X0700</v>
      </c>
      <c r="O35" s="7" t="str">
        <f>VLOOKUP(F35,HC!A$6:D$1000,2,FALSE)</f>
        <v>normaelo</v>
      </c>
      <c r="P35" s="7" t="s">
        <v>661</v>
      </c>
      <c r="Q35" s="7" t="s">
        <v>681</v>
      </c>
      <c r="R35" t="s">
        <v>234</v>
      </c>
      <c r="U35">
        <f t="shared" si="2"/>
        <v>24</v>
      </c>
      <c r="X35" s="5">
        <v>45244</v>
      </c>
      <c r="Y35" s="6">
        <v>11.91</v>
      </c>
      <c r="BH35" s="25">
        <v>45169</v>
      </c>
      <c r="BI35">
        <v>4.74</v>
      </c>
      <c r="BJ35" s="6">
        <v>5.81</v>
      </c>
    </row>
    <row r="36" spans="1:72" ht="37.5" customHeight="1" x14ac:dyDescent="0.25">
      <c r="A36" s="1">
        <v>44930</v>
      </c>
      <c r="B36" s="13">
        <v>1</v>
      </c>
      <c r="C36" t="s">
        <v>3</v>
      </c>
      <c r="D36" t="s">
        <v>4</v>
      </c>
      <c r="E36" t="s">
        <v>5</v>
      </c>
      <c r="F36" s="6">
        <v>113014178</v>
      </c>
      <c r="G36" t="s">
        <v>270</v>
      </c>
      <c r="H36" t="s">
        <v>268</v>
      </c>
      <c r="I36">
        <v>0</v>
      </c>
      <c r="J36">
        <v>0</v>
      </c>
      <c r="K36">
        <v>0</v>
      </c>
      <c r="L36">
        <v>0</v>
      </c>
      <c r="M36">
        <v>0.13</v>
      </c>
      <c r="N36" s="7" t="e">
        <f>VLOOKUP(F36,HC!A$6:D$100,3,FALSE)</f>
        <v>#N/A</v>
      </c>
      <c r="O36" s="7" t="e">
        <f>VLOOKUP(F36,HC!A$6:D$1000,2,FALSE)</f>
        <v>#N/A</v>
      </c>
      <c r="P36" s="7" t="s">
        <v>661</v>
      </c>
      <c r="Q36" s="7" t="s">
        <v>2098</v>
      </c>
      <c r="R36" t="s">
        <v>279</v>
      </c>
      <c r="U36">
        <f t="shared" si="2"/>
        <v>1395</v>
      </c>
      <c r="X36" s="5">
        <v>45245</v>
      </c>
      <c r="Y36" s="6">
        <v>17.810000000000002</v>
      </c>
    </row>
    <row r="37" spans="1:72" ht="37.5" customHeight="1" x14ac:dyDescent="0.25">
      <c r="A37" s="1">
        <v>44930</v>
      </c>
      <c r="B37" s="13">
        <v>1</v>
      </c>
      <c r="C37" t="s">
        <v>3</v>
      </c>
      <c r="D37" t="s">
        <v>4</v>
      </c>
      <c r="E37" t="s">
        <v>5</v>
      </c>
      <c r="F37" s="6">
        <v>103427877</v>
      </c>
      <c r="G37" t="s">
        <v>281</v>
      </c>
      <c r="H37" t="s">
        <v>282</v>
      </c>
      <c r="I37">
        <v>0</v>
      </c>
      <c r="J37">
        <v>0</v>
      </c>
      <c r="K37">
        <v>0</v>
      </c>
      <c r="L37">
        <v>0</v>
      </c>
      <c r="M37">
        <v>0.83</v>
      </c>
      <c r="N37" s="7" t="e">
        <f>VLOOKUP(F37,HC!A$6:D$100,3,FALSE)</f>
        <v>#N/A</v>
      </c>
      <c r="O37" s="7" t="e">
        <f>VLOOKUP(F37,HC!A$6:D$1000,2,FALSE)</f>
        <v>#N/A</v>
      </c>
      <c r="P37" s="7" t="s">
        <v>664</v>
      </c>
      <c r="Q37" s="7" t="s">
        <v>711</v>
      </c>
      <c r="R37" t="s">
        <v>290</v>
      </c>
      <c r="U37">
        <f t="shared" si="2"/>
        <v>1395</v>
      </c>
      <c r="X37" s="5">
        <v>45246</v>
      </c>
      <c r="Y37" s="6">
        <v>10.360000000000001</v>
      </c>
    </row>
    <row r="38" spans="1:72" ht="37.5" customHeight="1" x14ac:dyDescent="0.25">
      <c r="A38" s="1">
        <v>44930</v>
      </c>
      <c r="B38" s="13">
        <v>1</v>
      </c>
      <c r="C38" t="s">
        <v>3</v>
      </c>
      <c r="D38" t="s">
        <v>4</v>
      </c>
      <c r="E38" t="s">
        <v>21</v>
      </c>
      <c r="F38" s="6">
        <v>200536194</v>
      </c>
      <c r="G38" t="s">
        <v>274</v>
      </c>
      <c r="H38" t="s">
        <v>24</v>
      </c>
      <c r="I38">
        <v>0</v>
      </c>
      <c r="J38">
        <v>0</v>
      </c>
      <c r="K38">
        <v>0</v>
      </c>
      <c r="L38">
        <v>0</v>
      </c>
      <c r="M38">
        <v>0.95</v>
      </c>
      <c r="N38" s="7" t="e">
        <f>VLOOKUP(F38,HC!A$6:D$100,3,FALSE)</f>
        <v>#N/A</v>
      </c>
      <c r="O38" s="7" t="e">
        <f>VLOOKUP(F38,HC!A$6:D$1000,2,FALSE)</f>
        <v>#N/A</v>
      </c>
      <c r="P38" s="7" t="s">
        <v>664</v>
      </c>
      <c r="Q38" s="7" t="s">
        <v>708</v>
      </c>
      <c r="R38" t="s">
        <v>280</v>
      </c>
      <c r="U38">
        <f t="shared" si="2"/>
        <v>1395</v>
      </c>
      <c r="X38" s="5">
        <v>45247</v>
      </c>
      <c r="Y38" s="6">
        <v>14.789999999999997</v>
      </c>
    </row>
    <row r="39" spans="1:72" ht="37.5" customHeight="1" x14ac:dyDescent="0.25">
      <c r="A39" s="1">
        <v>44930</v>
      </c>
      <c r="B39" s="13">
        <v>1</v>
      </c>
      <c r="C39" t="s">
        <v>3</v>
      </c>
      <c r="D39" t="s">
        <v>4</v>
      </c>
      <c r="E39" t="s">
        <v>5</v>
      </c>
      <c r="F39" s="6">
        <v>113020655</v>
      </c>
      <c r="G39" t="s">
        <v>271</v>
      </c>
      <c r="H39" t="s">
        <v>268</v>
      </c>
      <c r="I39">
        <v>0</v>
      </c>
      <c r="J39">
        <v>0</v>
      </c>
      <c r="K39">
        <v>0</v>
      </c>
      <c r="L39">
        <v>0</v>
      </c>
      <c r="M39">
        <v>1.49</v>
      </c>
      <c r="N39" s="7" t="e">
        <f>VLOOKUP(F39,HC!A$6:D$100,3,FALSE)</f>
        <v>#N/A</v>
      </c>
      <c r="O39" s="7" t="e">
        <f>VLOOKUP(F39,HC!A$6:D$1000,2,FALSE)</f>
        <v>#N/A</v>
      </c>
      <c r="P39" s="7" t="s">
        <v>661</v>
      </c>
      <c r="Q39" s="7" t="s">
        <v>775</v>
      </c>
      <c r="R39" t="s">
        <v>232</v>
      </c>
      <c r="U39">
        <f t="shared" si="2"/>
        <v>1395</v>
      </c>
      <c r="X39" s="5">
        <v>45248</v>
      </c>
      <c r="Y39" s="6">
        <v>11.54</v>
      </c>
    </row>
    <row r="40" spans="1:72" ht="37.5" customHeight="1" x14ac:dyDescent="0.25">
      <c r="A40" s="1">
        <v>44930</v>
      </c>
      <c r="B40" s="13">
        <v>1</v>
      </c>
      <c r="C40" t="s">
        <v>3</v>
      </c>
      <c r="D40" t="s">
        <v>4</v>
      </c>
      <c r="E40" t="s">
        <v>5</v>
      </c>
      <c r="F40" s="6">
        <v>112950784</v>
      </c>
      <c r="G40" t="s">
        <v>261</v>
      </c>
      <c r="H40" t="s">
        <v>47</v>
      </c>
      <c r="I40">
        <v>0</v>
      </c>
      <c r="J40">
        <v>0</v>
      </c>
      <c r="K40">
        <v>0</v>
      </c>
      <c r="L40">
        <v>0</v>
      </c>
      <c r="M40">
        <v>0.15</v>
      </c>
      <c r="N40" s="7" t="str">
        <f>VLOOKUP(F40,HC!A$6:D$100,3,FALSE)</f>
        <v>NF-X1900</v>
      </c>
      <c r="O40" s="7" t="str">
        <f>VLOOKUP(F40,HC!A$6:D$1000,2,FALSE)</f>
        <v>sarojast</v>
      </c>
      <c r="P40" s="7" t="s">
        <v>661</v>
      </c>
      <c r="Q40" s="7" t="s">
        <v>684</v>
      </c>
      <c r="R40" t="s">
        <v>276</v>
      </c>
      <c r="U40">
        <f t="shared" si="2"/>
        <v>33</v>
      </c>
      <c r="X40" s="5">
        <v>45249</v>
      </c>
      <c r="Y40" s="6">
        <v>14.030000000000001</v>
      </c>
    </row>
    <row r="41" spans="1:72" ht="37.5" customHeight="1" x14ac:dyDescent="0.25">
      <c r="A41" s="1">
        <v>44930</v>
      </c>
      <c r="B41" s="13">
        <v>1</v>
      </c>
      <c r="C41" t="s">
        <v>3</v>
      </c>
      <c r="D41" t="s">
        <v>4</v>
      </c>
      <c r="E41" t="s">
        <v>5</v>
      </c>
      <c r="F41" s="6">
        <v>112980862</v>
      </c>
      <c r="G41" t="s">
        <v>43</v>
      </c>
      <c r="H41" t="s">
        <v>44</v>
      </c>
      <c r="I41">
        <v>0</v>
      </c>
      <c r="J41">
        <v>0</v>
      </c>
      <c r="K41">
        <v>0</v>
      </c>
      <c r="L41">
        <v>0</v>
      </c>
      <c r="M41">
        <v>0.12</v>
      </c>
      <c r="N41" s="7" t="e">
        <f>VLOOKUP(F41,HC!A$6:D$100,3,FALSE)</f>
        <v>#N/A</v>
      </c>
      <c r="O41" s="7" t="e">
        <f>VLOOKUP(F41,HC!A$6:D$1000,2,FALSE)</f>
        <v>#N/A</v>
      </c>
      <c r="P41" s="7" t="s">
        <v>662</v>
      </c>
      <c r="Q41" s="7" t="s">
        <v>691</v>
      </c>
      <c r="R41" t="s">
        <v>256</v>
      </c>
      <c r="U41">
        <f t="shared" si="2"/>
        <v>1395</v>
      </c>
      <c r="X41" s="5">
        <v>45250</v>
      </c>
      <c r="Y41" s="6">
        <v>10.249999999999998</v>
      </c>
    </row>
    <row r="42" spans="1:72" ht="37.5" customHeight="1" x14ac:dyDescent="0.25">
      <c r="A42" s="1">
        <v>44930</v>
      </c>
      <c r="B42" s="13">
        <v>1</v>
      </c>
      <c r="C42" t="s">
        <v>3</v>
      </c>
      <c r="D42" t="s">
        <v>4</v>
      </c>
      <c r="E42" t="s">
        <v>5</v>
      </c>
      <c r="F42" s="6">
        <v>112912752</v>
      </c>
      <c r="G42" t="s">
        <v>251</v>
      </c>
      <c r="H42" t="s">
        <v>14</v>
      </c>
      <c r="I42">
        <v>0</v>
      </c>
      <c r="J42">
        <v>0</v>
      </c>
      <c r="K42">
        <v>0</v>
      </c>
      <c r="L42">
        <v>0</v>
      </c>
      <c r="M42">
        <v>0.21</v>
      </c>
      <c r="N42" s="7" t="str">
        <f>VLOOKUP(F42,HC!A$6:D$100,3,FALSE)</f>
        <v>NF-X1900</v>
      </c>
      <c r="O42" s="7" t="str">
        <f>VLOOKUP(F42,HC!A$6:D$1000,2,FALSE)</f>
        <v>valderle</v>
      </c>
      <c r="P42" s="7" t="s">
        <v>664</v>
      </c>
      <c r="Q42" s="7" t="s">
        <v>710</v>
      </c>
      <c r="R42" t="s">
        <v>275</v>
      </c>
      <c r="U42">
        <f t="shared" si="2"/>
        <v>50</v>
      </c>
      <c r="X42" s="5">
        <v>45251</v>
      </c>
      <c r="Y42" s="6">
        <v>10.230000000000002</v>
      </c>
    </row>
    <row r="43" spans="1:72" ht="37.5" customHeight="1" x14ac:dyDescent="0.25">
      <c r="A43" s="1">
        <v>44930</v>
      </c>
      <c r="B43" s="13">
        <v>1</v>
      </c>
      <c r="C43" t="s">
        <v>3</v>
      </c>
      <c r="D43" t="s">
        <v>4</v>
      </c>
      <c r="E43" t="s">
        <v>5</v>
      </c>
      <c r="F43" s="6">
        <v>112912163</v>
      </c>
      <c r="G43" t="s">
        <v>294</v>
      </c>
      <c r="H43" t="s">
        <v>47</v>
      </c>
      <c r="I43">
        <v>0</v>
      </c>
      <c r="J43">
        <v>0</v>
      </c>
      <c r="K43">
        <v>0</v>
      </c>
      <c r="L43">
        <v>0</v>
      </c>
      <c r="M43">
        <v>0.21</v>
      </c>
      <c r="N43" s="7" t="e">
        <f>VLOOKUP(F43,HC!A$6:D$100,3,FALSE)</f>
        <v>#N/A</v>
      </c>
      <c r="O43" s="7" t="e">
        <f>VLOOKUP(F43,HC!A$6:D$1000,2,FALSE)</f>
        <v>#N/A</v>
      </c>
      <c r="P43" s="7" t="s">
        <v>662</v>
      </c>
      <c r="Q43" s="7" t="s">
        <v>687</v>
      </c>
      <c r="R43" t="s">
        <v>291</v>
      </c>
      <c r="U43">
        <f t="shared" si="2"/>
        <v>1395</v>
      </c>
      <c r="X43" s="5" t="s">
        <v>55</v>
      </c>
      <c r="Y43" s="6">
        <v>263.18</v>
      </c>
    </row>
    <row r="44" spans="1:72" ht="37.5" customHeight="1" x14ac:dyDescent="0.25">
      <c r="A44" s="1">
        <v>44930</v>
      </c>
      <c r="B44" s="13">
        <v>1</v>
      </c>
      <c r="C44" t="s">
        <v>3</v>
      </c>
      <c r="D44" t="s">
        <v>4</v>
      </c>
      <c r="E44" t="s">
        <v>5</v>
      </c>
      <c r="F44" s="6">
        <v>200404250</v>
      </c>
      <c r="G44" t="s">
        <v>51</v>
      </c>
      <c r="H44" t="s">
        <v>44</v>
      </c>
      <c r="I44">
        <v>0</v>
      </c>
      <c r="J44">
        <v>0</v>
      </c>
      <c r="K44">
        <v>0</v>
      </c>
      <c r="L44">
        <v>0</v>
      </c>
      <c r="M44">
        <v>0.49</v>
      </c>
      <c r="N44" s="7" t="e">
        <f>VLOOKUP(F44,HC!A$6:D$100,3,FALSE)</f>
        <v>#N/A</v>
      </c>
      <c r="O44" s="7" t="str">
        <f>VLOOKUP(F44,HC!A$6:D$1000,2,FALSE)</f>
        <v>xcathurt</v>
      </c>
      <c r="P44" s="7" t="s">
        <v>662</v>
      </c>
      <c r="Q44" s="7" t="s">
        <v>785</v>
      </c>
      <c r="R44" t="s">
        <v>235</v>
      </c>
      <c r="U44">
        <f t="shared" si="2"/>
        <v>124</v>
      </c>
    </row>
    <row r="45" spans="1:72" ht="37.5" customHeight="1" x14ac:dyDescent="0.25">
      <c r="A45" s="1">
        <v>44930</v>
      </c>
      <c r="B45" s="13">
        <v>1</v>
      </c>
      <c r="C45" t="s">
        <v>3</v>
      </c>
      <c r="D45" t="s">
        <v>4</v>
      </c>
      <c r="E45" t="s">
        <v>5</v>
      </c>
      <c r="F45" s="6">
        <v>112912666</v>
      </c>
      <c r="G45" t="s">
        <v>296</v>
      </c>
      <c r="H45" t="s">
        <v>9</v>
      </c>
      <c r="I45">
        <v>0</v>
      </c>
      <c r="J45">
        <v>0</v>
      </c>
      <c r="K45">
        <v>0</v>
      </c>
      <c r="L45">
        <v>0</v>
      </c>
      <c r="M45">
        <v>0.4</v>
      </c>
      <c r="N45" s="7" t="e">
        <f>VLOOKUP(F45,HC!A$6:D$100,3,FALSE)</f>
        <v>#N/A</v>
      </c>
      <c r="O45" s="7" t="e">
        <f>VLOOKUP(F45,HC!A$6:D$1000,2,FALSE)</f>
        <v>#N/A</v>
      </c>
      <c r="P45" s="7" t="s">
        <v>661</v>
      </c>
      <c r="Q45" s="7" t="s">
        <v>681</v>
      </c>
      <c r="R45" t="s">
        <v>234</v>
      </c>
      <c r="U45">
        <f t="shared" si="2"/>
        <v>1395</v>
      </c>
    </row>
    <row r="46" spans="1:72" ht="37.5" customHeight="1" x14ac:dyDescent="0.25">
      <c r="A46" s="1">
        <v>44930</v>
      </c>
      <c r="B46" s="13">
        <v>1</v>
      </c>
      <c r="C46" t="s">
        <v>3</v>
      </c>
      <c r="D46" t="s">
        <v>4</v>
      </c>
      <c r="E46" t="s">
        <v>5</v>
      </c>
      <c r="F46" s="6">
        <v>112912509</v>
      </c>
      <c r="G46" t="s">
        <v>295</v>
      </c>
      <c r="H46" t="s">
        <v>9</v>
      </c>
      <c r="I46">
        <v>0</v>
      </c>
      <c r="J46">
        <v>0</v>
      </c>
      <c r="K46">
        <v>0</v>
      </c>
      <c r="L46">
        <v>0</v>
      </c>
      <c r="M46">
        <v>0.64</v>
      </c>
      <c r="N46" s="7" t="e">
        <f>VLOOKUP(F46,HC!A$6:D$100,3,FALSE)</f>
        <v>#N/A</v>
      </c>
      <c r="O46" s="7" t="e">
        <f>VLOOKUP(F46,HC!A$6:D$1000,2,FALSE)</f>
        <v>#N/A</v>
      </c>
      <c r="P46" s="7" t="s">
        <v>661</v>
      </c>
      <c r="Q46" s="7" t="s">
        <v>684</v>
      </c>
      <c r="R46" t="s">
        <v>303</v>
      </c>
      <c r="U46">
        <f t="shared" si="2"/>
        <v>1395</v>
      </c>
      <c r="Z46" s="4"/>
    </row>
    <row r="47" spans="1:72" ht="37.5" customHeight="1" x14ac:dyDescent="0.25">
      <c r="A47" s="1">
        <v>44930</v>
      </c>
      <c r="B47" s="13">
        <v>1</v>
      </c>
      <c r="C47" t="s">
        <v>3</v>
      </c>
      <c r="D47" t="s">
        <v>4</v>
      </c>
      <c r="E47" t="s">
        <v>5</v>
      </c>
      <c r="F47" s="6">
        <v>112984097</v>
      </c>
      <c r="G47" t="s">
        <v>265</v>
      </c>
      <c r="H47" t="s">
        <v>47</v>
      </c>
      <c r="I47">
        <v>0</v>
      </c>
      <c r="J47">
        <v>0</v>
      </c>
      <c r="K47">
        <v>0</v>
      </c>
      <c r="L47">
        <v>0</v>
      </c>
      <c r="M47">
        <v>0.08</v>
      </c>
      <c r="N47" s="7" t="e">
        <f>VLOOKUP(F47,HC!A$6:D$100,3,FALSE)</f>
        <v>#N/A</v>
      </c>
      <c r="O47" s="7" t="e">
        <f>VLOOKUP(F47,HC!A$6:D$1000,2,FALSE)</f>
        <v>#N/A</v>
      </c>
      <c r="P47" s="7" t="s">
        <v>661</v>
      </c>
      <c r="Q47" s="7" t="s">
        <v>681</v>
      </c>
      <c r="R47" t="s">
        <v>234</v>
      </c>
      <c r="U47">
        <f t="shared" si="2"/>
        <v>1395</v>
      </c>
    </row>
    <row r="48" spans="1:72" ht="37.5" customHeight="1" x14ac:dyDescent="0.25">
      <c r="A48" s="1">
        <v>44930</v>
      </c>
      <c r="B48" s="13">
        <v>1</v>
      </c>
      <c r="C48" t="s">
        <v>3</v>
      </c>
      <c r="D48" t="s">
        <v>4</v>
      </c>
      <c r="E48" t="s">
        <v>5</v>
      </c>
      <c r="F48" s="6">
        <v>112984097</v>
      </c>
      <c r="G48" t="s">
        <v>265</v>
      </c>
      <c r="H48" t="s">
        <v>47</v>
      </c>
      <c r="I48">
        <v>0</v>
      </c>
      <c r="J48">
        <v>0</v>
      </c>
      <c r="K48">
        <v>0</v>
      </c>
      <c r="L48">
        <v>0</v>
      </c>
      <c r="M48">
        <v>0.1</v>
      </c>
      <c r="N48" s="7" t="e">
        <f>VLOOKUP(F48,HC!A$6:D$100,3,FALSE)</f>
        <v>#N/A</v>
      </c>
      <c r="O48" s="7" t="e">
        <f>VLOOKUP(F48,HC!A$6:D$1000,2,FALSE)</f>
        <v>#N/A</v>
      </c>
      <c r="P48" s="7" t="s">
        <v>662</v>
      </c>
      <c r="Q48" s="7" t="s">
        <v>687</v>
      </c>
      <c r="R48" t="s">
        <v>291</v>
      </c>
      <c r="U48">
        <f t="shared" si="2"/>
        <v>1395</v>
      </c>
    </row>
    <row r="49" spans="1:21" ht="37.5" customHeight="1" x14ac:dyDescent="0.25">
      <c r="A49" s="1">
        <v>44930</v>
      </c>
      <c r="B49" s="13">
        <v>1</v>
      </c>
      <c r="C49" t="s">
        <v>3</v>
      </c>
      <c r="D49" t="s">
        <v>4</v>
      </c>
      <c r="E49" t="s">
        <v>21</v>
      </c>
      <c r="F49" s="6">
        <v>200509428</v>
      </c>
      <c r="G49" t="s">
        <v>272</v>
      </c>
      <c r="H49" t="s">
        <v>47</v>
      </c>
      <c r="I49">
        <v>0</v>
      </c>
      <c r="J49">
        <v>0</v>
      </c>
      <c r="K49">
        <v>0</v>
      </c>
      <c r="L49">
        <v>0</v>
      </c>
      <c r="M49">
        <v>0.62</v>
      </c>
      <c r="N49" s="7" t="e">
        <f>VLOOKUP(F49,HC!A$6:D$100,3,FALSE)</f>
        <v>#N/A</v>
      </c>
      <c r="O49" s="7" t="e">
        <f>VLOOKUP(F49,HC!A$6:D$1000,2,FALSE)</f>
        <v>#N/A</v>
      </c>
      <c r="P49" s="7" t="s">
        <v>661</v>
      </c>
      <c r="Q49" s="7" t="s">
        <v>681</v>
      </c>
      <c r="R49" t="s">
        <v>234</v>
      </c>
      <c r="U49">
        <f t="shared" si="2"/>
        <v>1395</v>
      </c>
    </row>
    <row r="50" spans="1:21" ht="37.5" customHeight="1" x14ac:dyDescent="0.25">
      <c r="A50" s="1">
        <v>44931</v>
      </c>
      <c r="B50" s="13">
        <v>1</v>
      </c>
      <c r="C50" t="s">
        <v>3</v>
      </c>
      <c r="D50" t="s">
        <v>4</v>
      </c>
      <c r="E50" t="s">
        <v>5</v>
      </c>
      <c r="F50" s="6">
        <v>112973049</v>
      </c>
      <c r="G50" t="s">
        <v>314</v>
      </c>
      <c r="H50" t="s">
        <v>285</v>
      </c>
      <c r="I50">
        <v>0</v>
      </c>
      <c r="J50">
        <v>0</v>
      </c>
      <c r="K50">
        <v>0</v>
      </c>
      <c r="L50">
        <v>0</v>
      </c>
      <c r="M50">
        <v>1.37</v>
      </c>
      <c r="N50" s="7" t="str">
        <f>VLOOKUP(F50,HC!A$6:D$100,3,FALSE)</f>
        <v>DB-X0700</v>
      </c>
      <c r="O50" s="7" t="str">
        <f>VLOOKUP(F50,HC!A$6:D$1000,2,FALSE)</f>
        <v>afatimae</v>
      </c>
      <c r="P50" s="7" t="s">
        <v>663</v>
      </c>
      <c r="Q50" s="7" t="s">
        <v>695</v>
      </c>
      <c r="R50" t="s">
        <v>236</v>
      </c>
      <c r="U50">
        <f t="shared" si="2"/>
        <v>29</v>
      </c>
    </row>
    <row r="51" spans="1:21" ht="37.5" customHeight="1" x14ac:dyDescent="0.25">
      <c r="A51" s="1">
        <v>44931</v>
      </c>
      <c r="B51" s="13">
        <v>1</v>
      </c>
      <c r="C51" t="s">
        <v>3</v>
      </c>
      <c r="D51" t="s">
        <v>4</v>
      </c>
      <c r="E51" t="s">
        <v>5</v>
      </c>
      <c r="F51" s="6">
        <v>112912666</v>
      </c>
      <c r="G51" t="s">
        <v>296</v>
      </c>
      <c r="H51" t="s">
        <v>9</v>
      </c>
      <c r="I51">
        <v>0</v>
      </c>
      <c r="J51">
        <v>0</v>
      </c>
      <c r="K51">
        <v>0</v>
      </c>
      <c r="L51">
        <v>0</v>
      </c>
      <c r="M51">
        <v>0.4</v>
      </c>
      <c r="N51" s="7" t="e">
        <f>VLOOKUP(F51,HC!A$6:D$100,3,FALSE)</f>
        <v>#N/A</v>
      </c>
      <c r="O51" s="7" t="e">
        <f>VLOOKUP(F51,HC!A$6:D$1000,2,FALSE)</f>
        <v>#N/A</v>
      </c>
      <c r="P51" s="7" t="s">
        <v>667</v>
      </c>
      <c r="Q51" s="7" t="s">
        <v>306</v>
      </c>
      <c r="R51" t="s">
        <v>306</v>
      </c>
      <c r="U51">
        <f t="shared" si="2"/>
        <v>1395</v>
      </c>
    </row>
    <row r="52" spans="1:21" ht="37.5" customHeight="1" x14ac:dyDescent="0.25">
      <c r="A52" s="1">
        <v>44931</v>
      </c>
      <c r="B52" s="13">
        <v>1</v>
      </c>
      <c r="C52" t="s">
        <v>3</v>
      </c>
      <c r="D52" t="s">
        <v>4</v>
      </c>
      <c r="E52" t="s">
        <v>21</v>
      </c>
      <c r="F52" s="6">
        <v>200614224</v>
      </c>
      <c r="G52" t="s">
        <v>322</v>
      </c>
      <c r="H52" t="s">
        <v>298</v>
      </c>
      <c r="I52">
        <v>0</v>
      </c>
      <c r="J52">
        <v>0</v>
      </c>
      <c r="K52">
        <v>0</v>
      </c>
      <c r="L52">
        <v>0</v>
      </c>
      <c r="M52">
        <v>0.13</v>
      </c>
      <c r="N52" s="7" t="e">
        <f>VLOOKUP(F52,HC!A$6:D$100,3,FALSE)</f>
        <v>#N/A</v>
      </c>
      <c r="O52" s="7" t="e">
        <f>VLOOKUP(F52,HC!A$6:D$1000,2,FALSE)</f>
        <v>#N/A</v>
      </c>
      <c r="P52" s="7" t="s">
        <v>663</v>
      </c>
      <c r="Q52" s="7" t="s">
        <v>695</v>
      </c>
      <c r="R52" t="s">
        <v>236</v>
      </c>
      <c r="U52">
        <f t="shared" si="2"/>
        <v>1395</v>
      </c>
    </row>
    <row r="53" spans="1:21" ht="37.5" customHeight="1" x14ac:dyDescent="0.25">
      <c r="A53" s="1">
        <v>44931</v>
      </c>
      <c r="B53" s="13">
        <v>1</v>
      </c>
      <c r="C53" t="s">
        <v>3</v>
      </c>
      <c r="D53" t="s">
        <v>4</v>
      </c>
      <c r="E53" t="s">
        <v>5</v>
      </c>
      <c r="F53" s="6">
        <v>112972524</v>
      </c>
      <c r="G53" t="s">
        <v>312</v>
      </c>
      <c r="H53" t="s">
        <v>263</v>
      </c>
      <c r="I53">
        <v>0</v>
      </c>
      <c r="J53">
        <v>0</v>
      </c>
      <c r="K53">
        <v>0</v>
      </c>
      <c r="L53">
        <v>0</v>
      </c>
      <c r="M53">
        <v>0.36</v>
      </c>
      <c r="N53" s="7" t="str">
        <f>VLOOKUP(F53,HC!A$6:D$100,3,FALSE)</f>
        <v>DB-X0700</v>
      </c>
      <c r="O53" s="7" t="str">
        <f>VLOOKUP(F53,HC!A$6:D$1000,2,FALSE)</f>
        <v>csantibl</v>
      </c>
      <c r="P53" s="7" t="s">
        <v>663</v>
      </c>
      <c r="Q53" s="7" t="s">
        <v>692</v>
      </c>
      <c r="R53" t="s">
        <v>318</v>
      </c>
      <c r="U53">
        <f t="shared" si="2"/>
        <v>17</v>
      </c>
    </row>
    <row r="54" spans="1:21" ht="37.5" customHeight="1" x14ac:dyDescent="0.25">
      <c r="A54" s="1">
        <v>44931</v>
      </c>
      <c r="B54" s="13">
        <v>1</v>
      </c>
      <c r="C54" t="s">
        <v>3</v>
      </c>
      <c r="D54" t="s">
        <v>4</v>
      </c>
      <c r="E54" t="s">
        <v>5</v>
      </c>
      <c r="F54" s="6">
        <v>113014006</v>
      </c>
      <c r="G54" t="s">
        <v>299</v>
      </c>
      <c r="H54" t="s">
        <v>47</v>
      </c>
      <c r="I54">
        <v>0</v>
      </c>
      <c r="J54">
        <v>0</v>
      </c>
      <c r="K54">
        <v>0</v>
      </c>
      <c r="L54">
        <v>0</v>
      </c>
      <c r="M54">
        <v>0.25</v>
      </c>
      <c r="N54" s="7" t="e">
        <f>VLOOKUP(F54,HC!A$6:D$100,3,FALSE)</f>
        <v>#N/A</v>
      </c>
      <c r="O54" s="7" t="e">
        <f>VLOOKUP(F54,HC!A$6:D$1000,2,FALSE)</f>
        <v>#N/A</v>
      </c>
      <c r="P54" s="7" t="s">
        <v>661</v>
      </c>
      <c r="Q54" s="7" t="s">
        <v>681</v>
      </c>
      <c r="R54" t="s">
        <v>234</v>
      </c>
      <c r="U54">
        <f t="shared" si="2"/>
        <v>1395</v>
      </c>
    </row>
    <row r="55" spans="1:21" ht="37.5" customHeight="1" x14ac:dyDescent="0.25">
      <c r="A55" s="1">
        <v>44931</v>
      </c>
      <c r="B55" s="13">
        <v>1</v>
      </c>
      <c r="C55" t="s">
        <v>3</v>
      </c>
      <c r="D55" t="s">
        <v>4</v>
      </c>
      <c r="E55" t="s">
        <v>5</v>
      </c>
      <c r="F55" s="6">
        <v>112984442</v>
      </c>
      <c r="G55" t="s">
        <v>315</v>
      </c>
      <c r="H55" t="s">
        <v>285</v>
      </c>
      <c r="I55">
        <v>0</v>
      </c>
      <c r="J55">
        <v>0</v>
      </c>
      <c r="K55">
        <v>0</v>
      </c>
      <c r="L55">
        <v>0</v>
      </c>
      <c r="M55">
        <v>0.56999999999999995</v>
      </c>
      <c r="N55" s="7" t="e">
        <f>VLOOKUP(F55,HC!A$6:D$100,3,FALSE)</f>
        <v>#N/A</v>
      </c>
      <c r="O55" s="7" t="e">
        <f>VLOOKUP(F55,HC!A$6:D$1000,2,FALSE)</f>
        <v>#N/A</v>
      </c>
      <c r="P55" s="7" t="s">
        <v>664</v>
      </c>
      <c r="Q55" s="7" t="s">
        <v>708</v>
      </c>
      <c r="R55" t="s">
        <v>320</v>
      </c>
      <c r="U55">
        <f t="shared" si="2"/>
        <v>1395</v>
      </c>
    </row>
    <row r="56" spans="1:21" ht="37.5" customHeight="1" x14ac:dyDescent="0.25">
      <c r="A56" s="1">
        <v>44931</v>
      </c>
      <c r="B56" s="13">
        <v>1</v>
      </c>
      <c r="C56" t="s">
        <v>3</v>
      </c>
      <c r="D56" t="s">
        <v>4</v>
      </c>
      <c r="E56" t="s">
        <v>5</v>
      </c>
      <c r="F56" s="6">
        <v>113014452</v>
      </c>
      <c r="G56" t="s">
        <v>300</v>
      </c>
      <c r="H56" t="s">
        <v>47</v>
      </c>
      <c r="I56">
        <v>0</v>
      </c>
      <c r="J56">
        <v>0</v>
      </c>
      <c r="K56">
        <v>0</v>
      </c>
      <c r="L56">
        <v>0</v>
      </c>
      <c r="M56">
        <v>0.49</v>
      </c>
      <c r="N56" s="7" t="e">
        <f>VLOOKUP(F56,HC!A$6:D$100,3,FALSE)</f>
        <v>#N/A</v>
      </c>
      <c r="O56" s="7" t="e">
        <f>VLOOKUP(F56,HC!A$6:D$1000,2,FALSE)</f>
        <v>#N/A</v>
      </c>
      <c r="P56" s="7" t="s">
        <v>664</v>
      </c>
      <c r="Q56" s="7" t="s">
        <v>708</v>
      </c>
      <c r="R56" t="s">
        <v>325</v>
      </c>
      <c r="U56">
        <f t="shared" si="2"/>
        <v>1395</v>
      </c>
    </row>
    <row r="57" spans="1:21" ht="37.5" customHeight="1" x14ac:dyDescent="0.25">
      <c r="A57" s="1">
        <v>44931</v>
      </c>
      <c r="B57" s="13">
        <v>1</v>
      </c>
      <c r="C57" t="s">
        <v>3</v>
      </c>
      <c r="D57" t="s">
        <v>4</v>
      </c>
      <c r="E57" t="s">
        <v>5</v>
      </c>
      <c r="F57" s="6">
        <v>112971965</v>
      </c>
      <c r="G57" t="s">
        <v>327</v>
      </c>
      <c r="H57" t="s">
        <v>24</v>
      </c>
      <c r="I57">
        <v>0</v>
      </c>
      <c r="J57">
        <v>0</v>
      </c>
      <c r="K57">
        <v>0</v>
      </c>
      <c r="L57">
        <v>0</v>
      </c>
      <c r="M57">
        <v>0.22</v>
      </c>
      <c r="N57" s="7" t="e">
        <f>VLOOKUP(F57,HC!A$6:D$100,3,FALSE)</f>
        <v>#N/A</v>
      </c>
      <c r="O57" s="7" t="e">
        <f>VLOOKUP(F57,HC!A$6:D$1000,2,FALSE)</f>
        <v>#N/A</v>
      </c>
      <c r="P57" s="7" t="s">
        <v>663</v>
      </c>
      <c r="Q57" s="7" t="s">
        <v>707</v>
      </c>
      <c r="R57" t="s">
        <v>309</v>
      </c>
      <c r="U57">
        <f t="shared" si="2"/>
        <v>1395</v>
      </c>
    </row>
    <row r="58" spans="1:21" ht="37.5" customHeight="1" x14ac:dyDescent="0.25">
      <c r="A58" s="1">
        <v>44931</v>
      </c>
      <c r="B58" s="13">
        <v>1</v>
      </c>
      <c r="C58" t="s">
        <v>3</v>
      </c>
      <c r="D58" t="s">
        <v>4</v>
      </c>
      <c r="E58" t="s">
        <v>5</v>
      </c>
      <c r="F58" s="6">
        <v>112920666</v>
      </c>
      <c r="G58" t="s">
        <v>252</v>
      </c>
      <c r="H58" t="s">
        <v>253</v>
      </c>
      <c r="I58">
        <v>0</v>
      </c>
      <c r="J58">
        <v>0</v>
      </c>
      <c r="K58">
        <v>0</v>
      </c>
      <c r="L58">
        <v>0</v>
      </c>
      <c r="M58">
        <v>0.12</v>
      </c>
      <c r="N58" s="7" t="str">
        <f>VLOOKUP(F58,HC!A$6:D$100,3,FALSE)</f>
        <v>D5-X0700</v>
      </c>
      <c r="O58" s="7" t="str">
        <f>VLOOKUP(F58,HC!A$6:D$1000,2,FALSE)</f>
        <v>jorochai</v>
      </c>
      <c r="P58" s="7" t="s">
        <v>662</v>
      </c>
      <c r="Q58" s="7" t="s">
        <v>2099</v>
      </c>
      <c r="R58" t="s">
        <v>308</v>
      </c>
      <c r="U58">
        <f t="shared" si="2"/>
        <v>19</v>
      </c>
    </row>
    <row r="59" spans="1:21" ht="37.5" customHeight="1" x14ac:dyDescent="0.25">
      <c r="A59" s="1">
        <v>44931</v>
      </c>
      <c r="B59" s="13">
        <v>1</v>
      </c>
      <c r="C59" t="s">
        <v>3</v>
      </c>
      <c r="D59" t="s">
        <v>4</v>
      </c>
      <c r="E59" t="s">
        <v>5</v>
      </c>
      <c r="F59" s="6">
        <v>112912675</v>
      </c>
      <c r="G59" t="s">
        <v>326</v>
      </c>
      <c r="H59" t="s">
        <v>317</v>
      </c>
      <c r="I59">
        <v>0</v>
      </c>
      <c r="J59">
        <v>0</v>
      </c>
      <c r="K59">
        <v>0</v>
      </c>
      <c r="L59">
        <v>0</v>
      </c>
      <c r="M59">
        <v>0.81</v>
      </c>
      <c r="N59" s="7" t="e">
        <f>VLOOKUP(F59,HC!A$6:D$100,3,FALSE)</f>
        <v>#N/A</v>
      </c>
      <c r="O59" s="7" t="e">
        <f>VLOOKUP(F59,HC!A$6:D$1000,2,FALSE)</f>
        <v>#N/A</v>
      </c>
      <c r="P59" s="7" t="s">
        <v>664</v>
      </c>
      <c r="Q59" s="7" t="s">
        <v>709</v>
      </c>
      <c r="R59" t="s">
        <v>307</v>
      </c>
      <c r="U59">
        <f t="shared" si="2"/>
        <v>1395</v>
      </c>
    </row>
    <row r="60" spans="1:21" ht="37.5" customHeight="1" x14ac:dyDescent="0.25">
      <c r="A60" s="1">
        <v>44931</v>
      </c>
      <c r="B60" s="13">
        <v>1</v>
      </c>
      <c r="C60" t="s">
        <v>3</v>
      </c>
      <c r="D60" t="s">
        <v>4</v>
      </c>
      <c r="E60" t="s">
        <v>5</v>
      </c>
      <c r="F60" s="6">
        <v>112971972</v>
      </c>
      <c r="G60" t="s">
        <v>311</v>
      </c>
      <c r="H60" t="s">
        <v>253</v>
      </c>
      <c r="I60">
        <v>0</v>
      </c>
      <c r="J60">
        <v>0</v>
      </c>
      <c r="K60">
        <v>0</v>
      </c>
      <c r="L60">
        <v>0</v>
      </c>
      <c r="M60">
        <v>0.85</v>
      </c>
      <c r="N60" s="7" t="str">
        <f>VLOOKUP(F60,HC!A$6:D$100,3,FALSE)</f>
        <v>D5-X0700</v>
      </c>
      <c r="O60" s="7" t="str">
        <f>VLOOKUP(F60,HC!A$6:D$1000,2,FALSE)</f>
        <v>luriverr</v>
      </c>
      <c r="P60" s="7" t="s">
        <v>662</v>
      </c>
      <c r="Q60" s="7" t="s">
        <v>687</v>
      </c>
      <c r="R60" t="s">
        <v>291</v>
      </c>
      <c r="U60">
        <f t="shared" si="2"/>
        <v>1</v>
      </c>
    </row>
    <row r="61" spans="1:21" ht="37.5" customHeight="1" x14ac:dyDescent="0.25">
      <c r="A61" s="1">
        <v>44931</v>
      </c>
      <c r="B61" s="13">
        <v>1</v>
      </c>
      <c r="C61" t="s">
        <v>3</v>
      </c>
      <c r="D61" t="s">
        <v>4</v>
      </c>
      <c r="E61" t="s">
        <v>21</v>
      </c>
      <c r="F61" s="6">
        <v>200514885</v>
      </c>
      <c r="G61" t="s">
        <v>302</v>
      </c>
      <c r="H61" t="s">
        <v>47</v>
      </c>
      <c r="I61">
        <v>0</v>
      </c>
      <c r="J61">
        <v>0</v>
      </c>
      <c r="K61">
        <v>0</v>
      </c>
      <c r="L61">
        <v>0</v>
      </c>
      <c r="M61">
        <v>0.74</v>
      </c>
      <c r="N61" s="7" t="e">
        <f>VLOOKUP(F61,HC!A$6:D$100,3,FALSE)</f>
        <v>#N/A</v>
      </c>
      <c r="O61" s="7" t="e">
        <f>VLOOKUP(F61,HC!A$6:D$1000,2,FALSE)</f>
        <v>#N/A</v>
      </c>
      <c r="P61" s="7" t="s">
        <v>662</v>
      </c>
      <c r="Q61" s="7" t="s">
        <v>687</v>
      </c>
      <c r="R61" t="s">
        <v>291</v>
      </c>
      <c r="U61">
        <f t="shared" si="2"/>
        <v>1395</v>
      </c>
    </row>
    <row r="62" spans="1:21" ht="37.5" customHeight="1" x14ac:dyDescent="0.25">
      <c r="A62" s="1">
        <v>44931</v>
      </c>
      <c r="B62" s="13">
        <v>1</v>
      </c>
      <c r="C62" t="s">
        <v>3</v>
      </c>
      <c r="D62" t="s">
        <v>4</v>
      </c>
      <c r="E62" t="s">
        <v>5</v>
      </c>
      <c r="F62" s="6">
        <v>112972791</v>
      </c>
      <c r="G62" t="s">
        <v>313</v>
      </c>
      <c r="H62" t="s">
        <v>253</v>
      </c>
      <c r="I62">
        <v>0</v>
      </c>
      <c r="J62">
        <v>0</v>
      </c>
      <c r="K62">
        <v>0</v>
      </c>
      <c r="L62">
        <v>0</v>
      </c>
      <c r="M62">
        <v>0.14000000000000001</v>
      </c>
      <c r="N62" s="7" t="e">
        <f>VLOOKUP(F62,HC!A$6:D$100,3,FALSE)</f>
        <v>#N/A</v>
      </c>
      <c r="O62" s="7" t="e">
        <f>VLOOKUP(F62,HC!A$6:D$1000,2,FALSE)</f>
        <v>#N/A</v>
      </c>
      <c r="P62" s="7" t="s">
        <v>664</v>
      </c>
      <c r="Q62" s="7" t="s">
        <v>711</v>
      </c>
      <c r="R62" t="s">
        <v>319</v>
      </c>
      <c r="U62">
        <f t="shared" si="2"/>
        <v>1395</v>
      </c>
    </row>
    <row r="63" spans="1:21" ht="37.5" customHeight="1" x14ac:dyDescent="0.25">
      <c r="A63" s="1">
        <v>44931</v>
      </c>
      <c r="B63" s="13">
        <v>1</v>
      </c>
      <c r="C63" t="s">
        <v>3</v>
      </c>
      <c r="D63" t="s">
        <v>4</v>
      </c>
      <c r="E63" t="s">
        <v>5</v>
      </c>
      <c r="F63" s="6">
        <v>112912163</v>
      </c>
      <c r="G63" t="s">
        <v>294</v>
      </c>
      <c r="H63" t="s">
        <v>47</v>
      </c>
      <c r="I63">
        <v>0</v>
      </c>
      <c r="J63">
        <v>0</v>
      </c>
      <c r="K63">
        <v>0</v>
      </c>
      <c r="L63">
        <v>0</v>
      </c>
      <c r="M63">
        <v>0.21</v>
      </c>
      <c r="N63" s="7" t="e">
        <f>VLOOKUP(F63,HC!A$6:D$100,3,FALSE)</f>
        <v>#N/A</v>
      </c>
      <c r="O63" s="7" t="e">
        <f>VLOOKUP(F63,HC!A$6:D$1000,2,FALSE)</f>
        <v>#N/A</v>
      </c>
      <c r="P63" s="7" t="s">
        <v>664</v>
      </c>
      <c r="Q63" s="7" t="s">
        <v>1399</v>
      </c>
      <c r="R63" t="s">
        <v>304</v>
      </c>
      <c r="U63">
        <f t="shared" si="2"/>
        <v>1395</v>
      </c>
    </row>
    <row r="64" spans="1:21" ht="37.5" customHeight="1" x14ac:dyDescent="0.25">
      <c r="A64" s="1">
        <v>44931</v>
      </c>
      <c r="B64" s="13">
        <v>1</v>
      </c>
      <c r="C64" t="s">
        <v>3</v>
      </c>
      <c r="D64" t="s">
        <v>4</v>
      </c>
      <c r="E64" t="s">
        <v>5</v>
      </c>
      <c r="F64" s="6">
        <v>113020463</v>
      </c>
      <c r="G64" t="s">
        <v>321</v>
      </c>
      <c r="H64" t="s">
        <v>268</v>
      </c>
      <c r="I64">
        <v>0</v>
      </c>
      <c r="J64">
        <v>0</v>
      </c>
      <c r="K64">
        <v>0</v>
      </c>
      <c r="L64">
        <v>0</v>
      </c>
      <c r="M64">
        <v>0.27</v>
      </c>
      <c r="N64" s="7" t="e">
        <f>VLOOKUP(F64,HC!A$6:D$100,3,FALSE)</f>
        <v>#N/A</v>
      </c>
      <c r="O64" s="7" t="str">
        <f>VLOOKUP(F64,HC!A$6:D$1000,2,FALSE)</f>
        <v>myriamav</v>
      </c>
      <c r="P64" s="7" t="s">
        <v>661</v>
      </c>
      <c r="Q64" s="7" t="s">
        <v>681</v>
      </c>
      <c r="R64" t="s">
        <v>234</v>
      </c>
      <c r="U64">
        <f t="shared" si="2"/>
        <v>24</v>
      </c>
    </row>
    <row r="65" spans="1:21" ht="37.5" customHeight="1" x14ac:dyDescent="0.25">
      <c r="A65" s="1">
        <v>44931</v>
      </c>
      <c r="B65" s="13">
        <v>1</v>
      </c>
      <c r="C65" t="s">
        <v>3</v>
      </c>
      <c r="D65" t="s">
        <v>4</v>
      </c>
      <c r="E65" t="s">
        <v>21</v>
      </c>
      <c r="F65" s="6">
        <v>200514421</v>
      </c>
      <c r="G65" t="s">
        <v>301</v>
      </c>
      <c r="H65" t="s">
        <v>44</v>
      </c>
      <c r="I65">
        <v>0</v>
      </c>
      <c r="J65">
        <v>0</v>
      </c>
      <c r="K65">
        <v>0</v>
      </c>
      <c r="L65">
        <v>0</v>
      </c>
      <c r="M65">
        <v>0.2</v>
      </c>
      <c r="N65" s="7" t="e">
        <f>VLOOKUP(F65,HC!A$6:D$100,3,FALSE)</f>
        <v>#N/A</v>
      </c>
      <c r="O65" s="7" t="str">
        <f>VLOOKUP(F65,HC!A$6:D$1000,2,FALSE)</f>
        <v>padillms</v>
      </c>
      <c r="P65" s="7" t="s">
        <v>663</v>
      </c>
      <c r="Q65" s="7" t="s">
        <v>695</v>
      </c>
      <c r="R65" t="s">
        <v>236</v>
      </c>
      <c r="U65">
        <f t="shared" si="2"/>
        <v>21</v>
      </c>
    </row>
    <row r="66" spans="1:21" ht="37.5" customHeight="1" x14ac:dyDescent="0.25">
      <c r="A66" s="1">
        <v>44931</v>
      </c>
      <c r="B66" s="13">
        <v>1</v>
      </c>
      <c r="C66" t="s">
        <v>3</v>
      </c>
      <c r="D66" t="s">
        <v>4</v>
      </c>
      <c r="E66" t="s">
        <v>5</v>
      </c>
      <c r="F66" s="6">
        <v>113020476</v>
      </c>
      <c r="G66" t="s">
        <v>330</v>
      </c>
      <c r="H66" t="s">
        <v>24</v>
      </c>
      <c r="I66">
        <v>0</v>
      </c>
      <c r="J66">
        <v>0</v>
      </c>
      <c r="K66">
        <v>0</v>
      </c>
      <c r="L66">
        <v>0</v>
      </c>
      <c r="M66">
        <v>0.09</v>
      </c>
      <c r="N66" s="7" t="e">
        <f>VLOOKUP(F66,HC!A$6:D$100,3,FALSE)</f>
        <v>#N/A</v>
      </c>
      <c r="O66" s="7" t="str">
        <f>VLOOKUP(F66,HC!A$6:D$1000,2,FALSE)</f>
        <v>polettpu</v>
      </c>
      <c r="P66" s="7" t="s">
        <v>661</v>
      </c>
      <c r="Q66" s="7" t="s">
        <v>681</v>
      </c>
      <c r="R66" t="s">
        <v>234</v>
      </c>
      <c r="U66">
        <f t="shared" si="2"/>
        <v>55</v>
      </c>
    </row>
    <row r="67" spans="1:21" ht="37.5" customHeight="1" x14ac:dyDescent="0.25">
      <c r="A67" s="1">
        <v>44931</v>
      </c>
      <c r="B67" s="13">
        <v>1</v>
      </c>
      <c r="C67" t="s">
        <v>3</v>
      </c>
      <c r="D67" t="s">
        <v>4</v>
      </c>
      <c r="E67" t="s">
        <v>5</v>
      </c>
      <c r="F67" s="6">
        <v>113101453</v>
      </c>
      <c r="G67" t="s">
        <v>50</v>
      </c>
      <c r="H67" t="s">
        <v>47</v>
      </c>
      <c r="I67">
        <v>0</v>
      </c>
      <c r="J67">
        <v>0</v>
      </c>
      <c r="K67">
        <v>0</v>
      </c>
      <c r="L67">
        <v>0</v>
      </c>
      <c r="M67">
        <v>0.11</v>
      </c>
      <c r="N67" s="7" t="e">
        <f>VLOOKUP(F67,HC!A$6:D$100,3,FALSE)</f>
        <v>#N/A</v>
      </c>
      <c r="O67" s="7" t="str">
        <f>VLOOKUP(F67,HC!A$6:D$1000,2,FALSE)</f>
        <v>qisgeova</v>
      </c>
      <c r="P67" s="7" t="s">
        <v>661</v>
      </c>
      <c r="Q67" s="7" t="s">
        <v>681</v>
      </c>
      <c r="R67" t="s">
        <v>234</v>
      </c>
      <c r="U67">
        <f t="shared" ref="U67:U130" si="3">COUNTIF(O$2:O$4999,O67)</f>
        <v>57</v>
      </c>
    </row>
    <row r="68" spans="1:21" ht="37.5" customHeight="1" x14ac:dyDescent="0.25">
      <c r="A68" s="1">
        <v>44931</v>
      </c>
      <c r="B68" s="13">
        <v>1</v>
      </c>
      <c r="C68" t="s">
        <v>3</v>
      </c>
      <c r="D68" t="s">
        <v>4</v>
      </c>
      <c r="E68" t="s">
        <v>21</v>
      </c>
      <c r="F68" s="6">
        <v>200625517</v>
      </c>
      <c r="G68" t="s">
        <v>323</v>
      </c>
      <c r="H68" t="s">
        <v>49</v>
      </c>
      <c r="I68">
        <v>0</v>
      </c>
      <c r="J68">
        <v>0</v>
      </c>
      <c r="K68">
        <v>0</v>
      </c>
      <c r="L68">
        <v>0</v>
      </c>
      <c r="M68">
        <v>0.43</v>
      </c>
      <c r="N68" s="7" t="e">
        <f>VLOOKUP(F68,HC!A$6:D$100,3,FALSE)</f>
        <v>#N/A</v>
      </c>
      <c r="O68" s="7" t="e">
        <f>VLOOKUP(F68,HC!A$6:D$1000,2,FALSE)</f>
        <v>#N/A</v>
      </c>
      <c r="P68" s="7" t="s">
        <v>664</v>
      </c>
      <c r="Q68" s="7" t="s">
        <v>1399</v>
      </c>
      <c r="R68" t="s">
        <v>304</v>
      </c>
      <c r="U68">
        <f t="shared" si="3"/>
        <v>1395</v>
      </c>
    </row>
    <row r="69" spans="1:21" ht="37.5" customHeight="1" x14ac:dyDescent="0.25">
      <c r="A69" s="1">
        <v>44931</v>
      </c>
      <c r="B69" s="13">
        <v>1</v>
      </c>
      <c r="C69" t="s">
        <v>3</v>
      </c>
      <c r="D69" t="s">
        <v>4</v>
      </c>
      <c r="E69" t="s">
        <v>5</v>
      </c>
      <c r="F69" s="6">
        <v>113014042</v>
      </c>
      <c r="G69" t="s">
        <v>329</v>
      </c>
      <c r="H69" t="s">
        <v>24</v>
      </c>
      <c r="I69">
        <v>0</v>
      </c>
      <c r="J69">
        <v>0</v>
      </c>
      <c r="K69">
        <v>0</v>
      </c>
      <c r="L69">
        <v>0</v>
      </c>
      <c r="M69">
        <v>0.37</v>
      </c>
      <c r="N69" s="7" t="e">
        <f>VLOOKUP(F69,HC!A$6:D$100,3,FALSE)</f>
        <v>#N/A</v>
      </c>
      <c r="O69" s="7" t="str">
        <f>VLOOKUP(F69,HC!A$6:D$1000,2,FALSE)</f>
        <v>rfcervan</v>
      </c>
      <c r="P69" s="7" t="s">
        <v>663</v>
      </c>
      <c r="Q69" s="7" t="s">
        <v>695</v>
      </c>
      <c r="R69" t="s">
        <v>236</v>
      </c>
      <c r="U69">
        <f t="shared" si="3"/>
        <v>23</v>
      </c>
    </row>
    <row r="70" spans="1:21" ht="37.5" customHeight="1" x14ac:dyDescent="0.25">
      <c r="A70" s="1">
        <v>44931</v>
      </c>
      <c r="B70" s="13">
        <v>1</v>
      </c>
      <c r="C70" t="s">
        <v>3</v>
      </c>
      <c r="D70" t="s">
        <v>4</v>
      </c>
      <c r="E70" t="s">
        <v>5</v>
      </c>
      <c r="F70" s="6">
        <v>113003656</v>
      </c>
      <c r="G70" t="s">
        <v>297</v>
      </c>
      <c r="H70" t="s">
        <v>298</v>
      </c>
      <c r="I70">
        <v>0</v>
      </c>
      <c r="J70">
        <v>0</v>
      </c>
      <c r="K70">
        <v>0</v>
      </c>
      <c r="L70">
        <v>0</v>
      </c>
      <c r="M70">
        <v>1.91</v>
      </c>
      <c r="N70" s="7" t="e">
        <f>VLOOKUP(F70,HC!A$6:D$100,3,FALSE)</f>
        <v>#N/A</v>
      </c>
      <c r="O70" s="7" t="str">
        <f>VLOOKUP(F70,HC!A$6:D$1000,2,FALSE)</f>
        <v>uargoten</v>
      </c>
      <c r="P70" s="7" t="s">
        <v>675</v>
      </c>
      <c r="Q70" s="7"/>
      <c r="R70" t="s">
        <v>305</v>
      </c>
      <c r="U70">
        <f t="shared" si="3"/>
        <v>8</v>
      </c>
    </row>
    <row r="71" spans="1:21" ht="37.5" customHeight="1" x14ac:dyDescent="0.25">
      <c r="A71" s="1">
        <v>44931</v>
      </c>
      <c r="B71" s="13">
        <v>1</v>
      </c>
      <c r="C71" t="s">
        <v>3</v>
      </c>
      <c r="D71" t="s">
        <v>4</v>
      </c>
      <c r="E71" t="s">
        <v>5</v>
      </c>
      <c r="F71" s="6">
        <v>112981196</v>
      </c>
      <c r="G71" t="s">
        <v>328</v>
      </c>
      <c r="H71" t="s">
        <v>7</v>
      </c>
      <c r="I71">
        <v>0</v>
      </c>
      <c r="J71">
        <v>0</v>
      </c>
      <c r="K71">
        <v>0</v>
      </c>
      <c r="L71">
        <v>0</v>
      </c>
      <c r="M71">
        <v>0.39</v>
      </c>
      <c r="N71" s="7" t="e">
        <f>VLOOKUP(F71,HC!A$6:D$100,3,FALSE)</f>
        <v>#N/A</v>
      </c>
      <c r="O71" s="7" t="str">
        <f>VLOOKUP(F71,HC!A$6:D$1000,2,FALSE)</f>
        <v>vandgome</v>
      </c>
      <c r="P71" s="7" t="s">
        <v>661</v>
      </c>
      <c r="Q71" s="7" t="s">
        <v>681</v>
      </c>
      <c r="R71" t="s">
        <v>234</v>
      </c>
      <c r="U71">
        <f t="shared" si="3"/>
        <v>24</v>
      </c>
    </row>
    <row r="72" spans="1:21" ht="37.5" customHeight="1" x14ac:dyDescent="0.25">
      <c r="A72" s="1">
        <v>44931</v>
      </c>
      <c r="B72" s="13">
        <v>1</v>
      </c>
      <c r="C72" t="s">
        <v>3</v>
      </c>
      <c r="D72" t="s">
        <v>4</v>
      </c>
      <c r="E72" t="s">
        <v>5</v>
      </c>
      <c r="F72" s="6">
        <v>112912509</v>
      </c>
      <c r="G72" t="s">
        <v>295</v>
      </c>
      <c r="H72" t="s">
        <v>9</v>
      </c>
      <c r="I72">
        <v>0</v>
      </c>
      <c r="J72">
        <v>0</v>
      </c>
      <c r="K72">
        <v>0</v>
      </c>
      <c r="L72">
        <v>0</v>
      </c>
      <c r="M72">
        <v>0.64</v>
      </c>
      <c r="N72" s="7" t="e">
        <f>VLOOKUP(F72,HC!A$6:D$100,3,FALSE)</f>
        <v>#N/A</v>
      </c>
      <c r="O72" s="7" t="e">
        <f>VLOOKUP(F72,HC!A$6:D$1000,2,FALSE)</f>
        <v>#N/A</v>
      </c>
      <c r="P72" s="7" t="s">
        <v>675</v>
      </c>
      <c r="Q72" s="7"/>
      <c r="R72" t="s">
        <v>305</v>
      </c>
      <c r="U72">
        <f t="shared" si="3"/>
        <v>1395</v>
      </c>
    </row>
    <row r="73" spans="1:21" ht="37.5" customHeight="1" x14ac:dyDescent="0.25">
      <c r="A73" s="1">
        <v>44931</v>
      </c>
      <c r="B73" s="13">
        <v>1</v>
      </c>
      <c r="C73" t="s">
        <v>3</v>
      </c>
      <c r="D73" t="s">
        <v>4</v>
      </c>
      <c r="E73" t="s">
        <v>21</v>
      </c>
      <c r="F73" s="6">
        <v>200564823</v>
      </c>
      <c r="G73" t="s">
        <v>23</v>
      </c>
      <c r="H73" t="s">
        <v>24</v>
      </c>
      <c r="I73">
        <v>0</v>
      </c>
      <c r="J73">
        <v>0</v>
      </c>
      <c r="K73">
        <v>0</v>
      </c>
      <c r="L73">
        <v>0</v>
      </c>
      <c r="M73">
        <v>2.0699999999999998</v>
      </c>
      <c r="N73" s="7" t="e">
        <f>VLOOKUP(F73,HC!A$6:D$100,3,FALSE)</f>
        <v>#N/A</v>
      </c>
      <c r="O73" s="7" t="e">
        <f>VLOOKUP(F73,HC!A$6:D$1000,2,FALSE)</f>
        <v>#N/A</v>
      </c>
      <c r="P73" s="7" t="s">
        <v>661</v>
      </c>
      <c r="Q73" s="7" t="s">
        <v>681</v>
      </c>
      <c r="R73" t="s">
        <v>234</v>
      </c>
      <c r="U73">
        <f t="shared" si="3"/>
        <v>1395</v>
      </c>
    </row>
    <row r="74" spans="1:21" ht="37.5" customHeight="1" x14ac:dyDescent="0.25">
      <c r="A74" s="1">
        <v>44931</v>
      </c>
      <c r="B74" s="13">
        <v>1</v>
      </c>
      <c r="C74" t="s">
        <v>3</v>
      </c>
      <c r="D74" t="s">
        <v>4</v>
      </c>
      <c r="E74" t="s">
        <v>5</v>
      </c>
      <c r="F74" s="6">
        <v>200404250</v>
      </c>
      <c r="G74" t="s">
        <v>51</v>
      </c>
      <c r="H74" t="s">
        <v>44</v>
      </c>
      <c r="I74">
        <v>0</v>
      </c>
      <c r="J74">
        <v>0</v>
      </c>
      <c r="K74">
        <v>0</v>
      </c>
      <c r="L74">
        <v>0</v>
      </c>
      <c r="M74">
        <v>0.48</v>
      </c>
      <c r="N74" s="7" t="e">
        <f>VLOOKUP(F74,HC!A$6:D$100,3,FALSE)</f>
        <v>#N/A</v>
      </c>
      <c r="O74" s="7" t="str">
        <f>VLOOKUP(F74,HC!A$6:D$1000,2,FALSE)</f>
        <v>xcathurt</v>
      </c>
      <c r="P74" s="7" t="s">
        <v>662</v>
      </c>
      <c r="Q74" s="7" t="s">
        <v>785</v>
      </c>
      <c r="R74" t="s">
        <v>235</v>
      </c>
      <c r="U74">
        <f t="shared" si="3"/>
        <v>124</v>
      </c>
    </row>
    <row r="75" spans="1:21" ht="37.5" customHeight="1" x14ac:dyDescent="0.25">
      <c r="A75" s="1">
        <v>44931</v>
      </c>
      <c r="B75" s="13">
        <v>1</v>
      </c>
      <c r="C75" t="s">
        <v>3</v>
      </c>
      <c r="D75" t="s">
        <v>4</v>
      </c>
      <c r="E75" t="s">
        <v>5</v>
      </c>
      <c r="F75" s="6">
        <v>112984097</v>
      </c>
      <c r="G75" t="s">
        <v>265</v>
      </c>
      <c r="H75" t="s">
        <v>47</v>
      </c>
      <c r="I75">
        <v>0</v>
      </c>
      <c r="J75">
        <v>0</v>
      </c>
      <c r="K75">
        <v>0</v>
      </c>
      <c r="L75">
        <v>0</v>
      </c>
      <c r="M75">
        <v>0.1</v>
      </c>
      <c r="N75" s="7" t="e">
        <f>VLOOKUP(F75,HC!A$6:D$100,3,FALSE)</f>
        <v>#N/A</v>
      </c>
      <c r="O75" s="7" t="e">
        <f>VLOOKUP(F75,HC!A$6:D$1000,2,FALSE)</f>
        <v>#N/A</v>
      </c>
      <c r="P75" s="7" t="s">
        <v>663</v>
      </c>
      <c r="Q75" s="7" t="s">
        <v>692</v>
      </c>
      <c r="R75" t="s">
        <v>318</v>
      </c>
      <c r="U75">
        <f t="shared" si="3"/>
        <v>1395</v>
      </c>
    </row>
    <row r="76" spans="1:21" ht="37.5" customHeight="1" x14ac:dyDescent="0.25">
      <c r="A76" s="1">
        <v>44931</v>
      </c>
      <c r="B76" s="13">
        <v>1</v>
      </c>
      <c r="C76" t="s">
        <v>3</v>
      </c>
      <c r="D76" t="s">
        <v>4</v>
      </c>
      <c r="E76" t="s">
        <v>5</v>
      </c>
      <c r="F76" s="6">
        <v>112984971</v>
      </c>
      <c r="G76" t="s">
        <v>316</v>
      </c>
      <c r="H76" t="s">
        <v>317</v>
      </c>
      <c r="I76">
        <v>0</v>
      </c>
      <c r="J76">
        <v>0</v>
      </c>
      <c r="K76">
        <v>0</v>
      </c>
      <c r="L76">
        <v>0</v>
      </c>
      <c r="M76">
        <v>0.28000000000000003</v>
      </c>
      <c r="N76" s="7" t="e">
        <f>VLOOKUP(F76,HC!A$6:D$100,3,FALSE)</f>
        <v>#N/A</v>
      </c>
      <c r="O76" s="7" t="e">
        <f>VLOOKUP(F76,HC!A$6:D$1000,2,FALSE)</f>
        <v>#N/A</v>
      </c>
      <c r="P76" s="7" t="s">
        <v>675</v>
      </c>
      <c r="Q76" s="7"/>
      <c r="R76" t="s">
        <v>305</v>
      </c>
      <c r="U76">
        <f t="shared" si="3"/>
        <v>1395</v>
      </c>
    </row>
    <row r="77" spans="1:21" ht="37.5" customHeight="1" x14ac:dyDescent="0.25">
      <c r="A77" s="1">
        <v>44932</v>
      </c>
      <c r="B77" s="13">
        <v>1</v>
      </c>
      <c r="C77" t="s">
        <v>3</v>
      </c>
      <c r="D77" t="s">
        <v>4</v>
      </c>
      <c r="E77" t="s">
        <v>5</v>
      </c>
      <c r="F77" s="6">
        <v>112973049</v>
      </c>
      <c r="G77" t="s">
        <v>314</v>
      </c>
      <c r="H77" t="s">
        <v>285</v>
      </c>
      <c r="I77">
        <v>0</v>
      </c>
      <c r="J77">
        <v>0</v>
      </c>
      <c r="K77">
        <v>0</v>
      </c>
      <c r="L77">
        <v>0</v>
      </c>
      <c r="M77">
        <v>0.21</v>
      </c>
      <c r="N77" s="7" t="str">
        <f>VLOOKUP(F77,HC!A$6:D$100,3,FALSE)</f>
        <v>DB-X0700</v>
      </c>
      <c r="O77" s="7" t="str">
        <f>VLOOKUP(F77,HC!A$6:D$1000,2,FALSE)</f>
        <v>afatimae</v>
      </c>
      <c r="P77" s="7" t="s">
        <v>664</v>
      </c>
      <c r="Q77" s="7" t="s">
        <v>711</v>
      </c>
      <c r="R77" t="s">
        <v>233</v>
      </c>
      <c r="U77">
        <f t="shared" si="3"/>
        <v>29</v>
      </c>
    </row>
    <row r="78" spans="1:21" ht="37.5" customHeight="1" x14ac:dyDescent="0.25">
      <c r="A78" s="1">
        <v>44932</v>
      </c>
      <c r="B78" s="13">
        <v>1</v>
      </c>
      <c r="C78" t="s">
        <v>3</v>
      </c>
      <c r="D78" t="s">
        <v>4</v>
      </c>
      <c r="E78" t="s">
        <v>5</v>
      </c>
      <c r="F78" s="6">
        <v>112971953</v>
      </c>
      <c r="G78" t="s">
        <v>262</v>
      </c>
      <c r="H78" t="s">
        <v>263</v>
      </c>
      <c r="I78">
        <v>0</v>
      </c>
      <c r="J78">
        <v>0</v>
      </c>
      <c r="K78">
        <v>0</v>
      </c>
      <c r="L78">
        <v>0</v>
      </c>
      <c r="M78">
        <v>0.44</v>
      </c>
      <c r="N78" s="7" t="str">
        <f>VLOOKUP(F78,HC!A$6:D$100,3,FALSE)</f>
        <v>DB-X0700</v>
      </c>
      <c r="O78" s="7" t="str">
        <f>VLOOKUP(F78,HC!A$6:D$1000,2,FALSE)</f>
        <v>anzpalom</v>
      </c>
      <c r="P78" s="7" t="s">
        <v>666</v>
      </c>
      <c r="Q78" s="7" t="s">
        <v>768</v>
      </c>
      <c r="R78" t="s">
        <v>345</v>
      </c>
      <c r="U78">
        <f t="shared" si="3"/>
        <v>14</v>
      </c>
    </row>
    <row r="79" spans="1:21" ht="37.5" customHeight="1" x14ac:dyDescent="0.25">
      <c r="A79" s="1">
        <v>44932</v>
      </c>
      <c r="B79" s="13">
        <v>1</v>
      </c>
      <c r="C79" t="s">
        <v>3</v>
      </c>
      <c r="D79" t="s">
        <v>4</v>
      </c>
      <c r="E79" t="s">
        <v>21</v>
      </c>
      <c r="F79" s="6">
        <v>200565283</v>
      </c>
      <c r="G79" t="s">
        <v>335</v>
      </c>
      <c r="H79" t="s">
        <v>317</v>
      </c>
      <c r="I79">
        <v>0</v>
      </c>
      <c r="J79">
        <v>0</v>
      </c>
      <c r="K79">
        <v>0</v>
      </c>
      <c r="L79">
        <v>0</v>
      </c>
      <c r="M79">
        <v>0.28999999999999998</v>
      </c>
      <c r="N79" s="7" t="e">
        <f>VLOOKUP(F79,HC!A$6:D$100,3,FALSE)</f>
        <v>#N/A</v>
      </c>
      <c r="O79" s="7" t="e">
        <f>VLOOKUP(F79,HC!A$6:D$1000,2,FALSE)</f>
        <v>#N/A</v>
      </c>
      <c r="P79" s="7" t="s">
        <v>661</v>
      </c>
      <c r="Q79" s="7" t="s">
        <v>684</v>
      </c>
      <c r="R79" t="s">
        <v>276</v>
      </c>
      <c r="U79">
        <f t="shared" si="3"/>
        <v>1395</v>
      </c>
    </row>
    <row r="80" spans="1:21" ht="37.5" customHeight="1" x14ac:dyDescent="0.25">
      <c r="A80" s="1">
        <v>44932</v>
      </c>
      <c r="B80" s="13">
        <v>1</v>
      </c>
      <c r="C80" t="s">
        <v>3</v>
      </c>
      <c r="D80" t="s">
        <v>4</v>
      </c>
      <c r="E80" t="s">
        <v>21</v>
      </c>
      <c r="F80" s="6">
        <v>200614224</v>
      </c>
      <c r="G80" t="s">
        <v>322</v>
      </c>
      <c r="H80" t="s">
        <v>298</v>
      </c>
      <c r="I80">
        <v>0</v>
      </c>
      <c r="J80">
        <v>0</v>
      </c>
      <c r="K80">
        <v>0</v>
      </c>
      <c r="L80">
        <v>0</v>
      </c>
      <c r="M80">
        <v>0.14000000000000001</v>
      </c>
      <c r="N80" s="7" t="e">
        <f>VLOOKUP(F80,HC!A$6:D$100,3,FALSE)</f>
        <v>#N/A</v>
      </c>
      <c r="O80" s="7" t="e">
        <f>VLOOKUP(F80,HC!A$6:D$1000,2,FALSE)</f>
        <v>#N/A</v>
      </c>
      <c r="P80" s="7" t="s">
        <v>663</v>
      </c>
      <c r="Q80" s="7" t="s">
        <v>695</v>
      </c>
      <c r="R80" t="s">
        <v>236</v>
      </c>
      <c r="U80">
        <f t="shared" si="3"/>
        <v>1395</v>
      </c>
    </row>
    <row r="81" spans="1:21" ht="37.5" customHeight="1" x14ac:dyDescent="0.25">
      <c r="A81" s="1">
        <v>44932</v>
      </c>
      <c r="B81" s="13">
        <v>1</v>
      </c>
      <c r="C81" t="s">
        <v>3</v>
      </c>
      <c r="D81" t="s">
        <v>4</v>
      </c>
      <c r="E81" t="s">
        <v>5</v>
      </c>
      <c r="F81" s="6">
        <v>112984928</v>
      </c>
      <c r="G81" t="s">
        <v>334</v>
      </c>
      <c r="H81" t="s">
        <v>317</v>
      </c>
      <c r="I81">
        <v>0</v>
      </c>
      <c r="J81">
        <v>0</v>
      </c>
      <c r="K81">
        <v>0</v>
      </c>
      <c r="L81">
        <v>0</v>
      </c>
      <c r="M81">
        <v>0.11</v>
      </c>
      <c r="N81" s="7" t="e">
        <f>VLOOKUP(F81,HC!A$6:D$100,3,FALSE)</f>
        <v>#N/A</v>
      </c>
      <c r="O81" s="7" t="e">
        <f>VLOOKUP(F81,HC!A$6:D$1000,2,FALSE)</f>
        <v>#N/A</v>
      </c>
      <c r="P81" s="7" t="s">
        <v>663</v>
      </c>
      <c r="Q81" s="7" t="s">
        <v>692</v>
      </c>
      <c r="R81" t="s">
        <v>258</v>
      </c>
      <c r="U81">
        <f t="shared" si="3"/>
        <v>1395</v>
      </c>
    </row>
    <row r="82" spans="1:21" ht="37.5" customHeight="1" x14ac:dyDescent="0.25">
      <c r="A82" s="1">
        <v>44932</v>
      </c>
      <c r="B82" s="13">
        <v>1</v>
      </c>
      <c r="C82" t="s">
        <v>3</v>
      </c>
      <c r="D82" t="s">
        <v>4</v>
      </c>
      <c r="E82" t="s">
        <v>21</v>
      </c>
      <c r="F82" s="6">
        <v>200589316</v>
      </c>
      <c r="G82" t="s">
        <v>53</v>
      </c>
      <c r="H82" t="s">
        <v>49</v>
      </c>
      <c r="I82">
        <v>0</v>
      </c>
      <c r="J82">
        <v>0</v>
      </c>
      <c r="K82">
        <v>0</v>
      </c>
      <c r="L82">
        <v>0</v>
      </c>
      <c r="M82">
        <v>0.21</v>
      </c>
      <c r="N82" s="7" t="e">
        <f>VLOOKUP(F82,HC!A$6:D$100,3,FALSE)</f>
        <v>#N/A</v>
      </c>
      <c r="O82" s="7" t="e">
        <f>VLOOKUP(F82,HC!A$6:D$1000,2,FALSE)</f>
        <v>#N/A</v>
      </c>
      <c r="P82" s="7" t="s">
        <v>661</v>
      </c>
      <c r="Q82" s="7" t="s">
        <v>681</v>
      </c>
      <c r="R82" t="s">
        <v>234</v>
      </c>
      <c r="U82">
        <f t="shared" si="3"/>
        <v>1395</v>
      </c>
    </row>
    <row r="83" spans="1:21" ht="37.5" customHeight="1" x14ac:dyDescent="0.25">
      <c r="A83" s="1">
        <v>44932</v>
      </c>
      <c r="B83" s="13">
        <v>1</v>
      </c>
      <c r="C83" t="s">
        <v>3</v>
      </c>
      <c r="D83" t="s">
        <v>4</v>
      </c>
      <c r="E83" t="s">
        <v>5</v>
      </c>
      <c r="F83" s="6">
        <v>111434478</v>
      </c>
      <c r="G83" t="s">
        <v>331</v>
      </c>
      <c r="H83" t="s">
        <v>332</v>
      </c>
      <c r="I83">
        <v>0</v>
      </c>
      <c r="J83">
        <v>0</v>
      </c>
      <c r="K83">
        <v>0</v>
      </c>
      <c r="L83">
        <v>0</v>
      </c>
      <c r="M83">
        <v>0.77</v>
      </c>
      <c r="N83" s="7" t="str">
        <f>VLOOKUP(F83,HC!A$6:D$100,3,FALSE)</f>
        <v>DA-X0700</v>
      </c>
      <c r="O83" s="7" t="str">
        <f>VLOOKUP(F83,HC!A$6:D$1000,2,FALSE)</f>
        <v>juanapam</v>
      </c>
      <c r="P83" s="7" t="s">
        <v>664</v>
      </c>
      <c r="Q83" s="7" t="s">
        <v>713</v>
      </c>
      <c r="R83" t="s">
        <v>343</v>
      </c>
      <c r="U83">
        <f t="shared" si="3"/>
        <v>32</v>
      </c>
    </row>
    <row r="84" spans="1:21" ht="37.5" customHeight="1" x14ac:dyDescent="0.25">
      <c r="A84" s="1">
        <v>44932</v>
      </c>
      <c r="B84" s="13">
        <v>1</v>
      </c>
      <c r="C84" t="s">
        <v>3</v>
      </c>
      <c r="D84" t="s">
        <v>4</v>
      </c>
      <c r="E84" t="s">
        <v>5</v>
      </c>
      <c r="F84" s="6">
        <v>112912675</v>
      </c>
      <c r="G84" t="s">
        <v>326</v>
      </c>
      <c r="H84" t="s">
        <v>317</v>
      </c>
      <c r="I84">
        <v>0</v>
      </c>
      <c r="J84">
        <v>0</v>
      </c>
      <c r="K84">
        <v>0</v>
      </c>
      <c r="L84">
        <v>0</v>
      </c>
      <c r="M84">
        <v>1.44</v>
      </c>
      <c r="N84" s="7" t="e">
        <f>VLOOKUP(F84,HC!A$6:D$100,3,FALSE)</f>
        <v>#N/A</v>
      </c>
      <c r="O84" s="7" t="e">
        <f>VLOOKUP(F84,HC!A$6:D$1000,2,FALSE)</f>
        <v>#N/A</v>
      </c>
      <c r="P84" s="7" t="s">
        <v>664</v>
      </c>
      <c r="Q84" s="7" t="s">
        <v>710</v>
      </c>
      <c r="R84" t="s">
        <v>344</v>
      </c>
      <c r="U84">
        <f t="shared" si="3"/>
        <v>1395</v>
      </c>
    </row>
    <row r="85" spans="1:21" ht="37.5" customHeight="1" x14ac:dyDescent="0.25">
      <c r="A85" s="1">
        <v>44932</v>
      </c>
      <c r="B85" s="13">
        <v>1</v>
      </c>
      <c r="C85" t="s">
        <v>3</v>
      </c>
      <c r="D85" t="s">
        <v>4</v>
      </c>
      <c r="E85" t="s">
        <v>5</v>
      </c>
      <c r="F85" s="6">
        <v>113014011</v>
      </c>
      <c r="G85" t="s">
        <v>45</v>
      </c>
      <c r="H85" t="s">
        <v>44</v>
      </c>
      <c r="I85">
        <v>0</v>
      </c>
      <c r="J85">
        <v>0</v>
      </c>
      <c r="K85">
        <v>0</v>
      </c>
      <c r="L85">
        <v>0</v>
      </c>
      <c r="M85">
        <v>0.79</v>
      </c>
      <c r="N85" s="7" t="e">
        <f>VLOOKUP(F85,HC!A$6:D$100,3,FALSE)</f>
        <v>#N/A</v>
      </c>
      <c r="O85" s="7" t="e">
        <f>VLOOKUP(F85,HC!A$6:D$1000,2,FALSE)</f>
        <v>#N/A</v>
      </c>
      <c r="P85" s="7" t="s">
        <v>661</v>
      </c>
      <c r="Q85" s="7" t="s">
        <v>681</v>
      </c>
      <c r="R85" t="s">
        <v>234</v>
      </c>
      <c r="U85">
        <f t="shared" si="3"/>
        <v>1395</v>
      </c>
    </row>
    <row r="86" spans="1:21" ht="37.5" customHeight="1" x14ac:dyDescent="0.25">
      <c r="A86" s="1">
        <v>44932</v>
      </c>
      <c r="B86" s="13">
        <v>1</v>
      </c>
      <c r="C86" t="s">
        <v>3</v>
      </c>
      <c r="D86" t="s">
        <v>4</v>
      </c>
      <c r="E86" t="s">
        <v>5</v>
      </c>
      <c r="F86" s="6">
        <v>112980812</v>
      </c>
      <c r="G86" t="s">
        <v>324</v>
      </c>
      <c r="H86" t="s">
        <v>298</v>
      </c>
      <c r="I86">
        <v>0</v>
      </c>
      <c r="J86">
        <v>0</v>
      </c>
      <c r="K86">
        <v>0</v>
      </c>
      <c r="L86">
        <v>0</v>
      </c>
      <c r="M86">
        <v>0.46</v>
      </c>
      <c r="N86" s="7" t="str">
        <f>VLOOKUP(F86,HC!A$6:D$100,3,FALSE)</f>
        <v>DA-X0700</v>
      </c>
      <c r="O86" s="7" t="str">
        <f>VLOOKUP(F86,HC!A$6:D$1000,2,FALSE)</f>
        <v>maryjacp</v>
      </c>
      <c r="P86" s="7" t="s">
        <v>661</v>
      </c>
      <c r="Q86" s="7" t="s">
        <v>681</v>
      </c>
      <c r="R86" t="s">
        <v>234</v>
      </c>
      <c r="U86">
        <f t="shared" si="3"/>
        <v>15</v>
      </c>
    </row>
    <row r="87" spans="1:21" ht="37.5" customHeight="1" x14ac:dyDescent="0.25">
      <c r="A87" s="1">
        <v>44932</v>
      </c>
      <c r="B87" s="13">
        <v>1</v>
      </c>
      <c r="C87" t="s">
        <v>3</v>
      </c>
      <c r="D87" t="s">
        <v>4</v>
      </c>
      <c r="E87" t="s">
        <v>5</v>
      </c>
      <c r="F87" s="6">
        <v>112912054</v>
      </c>
      <c r="G87" t="s">
        <v>333</v>
      </c>
      <c r="H87" t="s">
        <v>282</v>
      </c>
      <c r="I87">
        <v>0</v>
      </c>
      <c r="J87">
        <v>0</v>
      </c>
      <c r="K87">
        <v>0</v>
      </c>
      <c r="L87">
        <v>0</v>
      </c>
      <c r="M87">
        <v>0.24</v>
      </c>
      <c r="N87" s="7" t="str">
        <f>VLOOKUP(F87,HC!A$6:D$100,3,FALSE)</f>
        <v>DB-X0700</v>
      </c>
      <c r="O87" s="7" t="str">
        <f>VLOOKUP(F87,HC!A$6:D$1000,2,FALSE)</f>
        <v>privejor</v>
      </c>
      <c r="P87" s="7" t="s">
        <v>663</v>
      </c>
      <c r="Q87" s="7" t="s">
        <v>692</v>
      </c>
      <c r="R87" t="s">
        <v>258</v>
      </c>
      <c r="U87">
        <f t="shared" si="3"/>
        <v>14</v>
      </c>
    </row>
    <row r="88" spans="1:21" ht="37.5" customHeight="1" x14ac:dyDescent="0.25">
      <c r="A88" s="1">
        <v>44932</v>
      </c>
      <c r="B88" s="13">
        <v>1</v>
      </c>
      <c r="C88" t="s">
        <v>3</v>
      </c>
      <c r="D88" t="s">
        <v>4</v>
      </c>
      <c r="E88" t="s">
        <v>21</v>
      </c>
      <c r="F88" s="6">
        <v>200625517</v>
      </c>
      <c r="G88" t="s">
        <v>323</v>
      </c>
      <c r="H88" t="s">
        <v>49</v>
      </c>
      <c r="I88">
        <v>0</v>
      </c>
      <c r="J88">
        <v>0</v>
      </c>
      <c r="K88">
        <v>0</v>
      </c>
      <c r="L88">
        <v>0</v>
      </c>
      <c r="M88">
        <v>0.22</v>
      </c>
      <c r="N88" s="7" t="e">
        <f>VLOOKUP(F88,HC!A$6:D$100,3,FALSE)</f>
        <v>#N/A</v>
      </c>
      <c r="O88" s="7" t="e">
        <f>VLOOKUP(F88,HC!A$6:D$1000,2,FALSE)</f>
        <v>#N/A</v>
      </c>
      <c r="P88" s="7" t="s">
        <v>664</v>
      </c>
      <c r="Q88" s="7" t="s">
        <v>1399</v>
      </c>
      <c r="R88" t="s">
        <v>304</v>
      </c>
      <c r="U88">
        <f t="shared" si="3"/>
        <v>1395</v>
      </c>
    </row>
    <row r="89" spans="1:21" ht="37.5" customHeight="1" x14ac:dyDescent="0.25">
      <c r="A89" s="1">
        <v>44932</v>
      </c>
      <c r="B89" s="13">
        <v>1</v>
      </c>
      <c r="C89" t="s">
        <v>3</v>
      </c>
      <c r="D89" t="s">
        <v>4</v>
      </c>
      <c r="E89" t="s">
        <v>21</v>
      </c>
      <c r="F89" s="6">
        <v>200564823</v>
      </c>
      <c r="G89" t="s">
        <v>23</v>
      </c>
      <c r="H89" t="s">
        <v>24</v>
      </c>
      <c r="I89">
        <v>0</v>
      </c>
      <c r="J89">
        <v>0</v>
      </c>
      <c r="K89">
        <v>0</v>
      </c>
      <c r="L89">
        <v>0</v>
      </c>
      <c r="M89">
        <v>0.75</v>
      </c>
      <c r="N89" s="7" t="e">
        <f>VLOOKUP(F89,HC!A$6:D$100,3,FALSE)</f>
        <v>#N/A</v>
      </c>
      <c r="O89" s="7" t="e">
        <f>VLOOKUP(F89,HC!A$6:D$1000,2,FALSE)</f>
        <v>#N/A</v>
      </c>
      <c r="P89" s="7" t="s">
        <v>664</v>
      </c>
      <c r="Q89" s="7" t="s">
        <v>710</v>
      </c>
      <c r="R89" t="s">
        <v>347</v>
      </c>
      <c r="U89">
        <f t="shared" si="3"/>
        <v>1395</v>
      </c>
    </row>
    <row r="90" spans="1:21" ht="37.5" customHeight="1" x14ac:dyDescent="0.25">
      <c r="A90" s="1">
        <v>44933</v>
      </c>
      <c r="B90" s="13">
        <v>1</v>
      </c>
      <c r="C90" t="s">
        <v>3</v>
      </c>
      <c r="D90" t="s">
        <v>4</v>
      </c>
      <c r="E90" t="s">
        <v>5</v>
      </c>
      <c r="F90" s="6">
        <v>112973049</v>
      </c>
      <c r="G90" t="s">
        <v>314</v>
      </c>
      <c r="H90" t="s">
        <v>285</v>
      </c>
      <c r="I90">
        <v>0</v>
      </c>
      <c r="J90">
        <v>0</v>
      </c>
      <c r="K90">
        <v>0</v>
      </c>
      <c r="L90">
        <v>0</v>
      </c>
      <c r="M90">
        <v>0.53</v>
      </c>
      <c r="N90" s="7" t="str">
        <f>VLOOKUP(F90,HC!A$6:D$100,3,FALSE)</f>
        <v>DB-X0700</v>
      </c>
      <c r="O90" s="7" t="str">
        <f>VLOOKUP(F90,HC!A$6:D$1000,2,FALSE)</f>
        <v>afatimae</v>
      </c>
      <c r="P90" s="7" t="s">
        <v>664</v>
      </c>
      <c r="Q90" s="7" t="s">
        <v>711</v>
      </c>
      <c r="R90" t="s">
        <v>233</v>
      </c>
      <c r="U90">
        <f t="shared" si="3"/>
        <v>29</v>
      </c>
    </row>
    <row r="91" spans="1:21" ht="37.5" customHeight="1" x14ac:dyDescent="0.25">
      <c r="A91" s="1">
        <v>44933</v>
      </c>
      <c r="B91" s="13">
        <v>1</v>
      </c>
      <c r="C91" t="s">
        <v>3</v>
      </c>
      <c r="D91" t="s">
        <v>4</v>
      </c>
      <c r="E91" t="s">
        <v>21</v>
      </c>
      <c r="F91" s="6">
        <v>200563210</v>
      </c>
      <c r="G91" t="s">
        <v>341</v>
      </c>
      <c r="H91" t="s">
        <v>298</v>
      </c>
      <c r="I91">
        <v>0</v>
      </c>
      <c r="J91">
        <v>0</v>
      </c>
      <c r="K91">
        <v>0</v>
      </c>
      <c r="L91">
        <v>0</v>
      </c>
      <c r="M91">
        <v>2.21</v>
      </c>
      <c r="N91" s="7" t="e">
        <f>VLOOKUP(F91,HC!A$6:D$100,3,FALSE)</f>
        <v>#N/A</v>
      </c>
      <c r="O91" s="7" t="e">
        <f>VLOOKUP(F91,HC!A$6:D$1000,2,FALSE)</f>
        <v>#N/A</v>
      </c>
      <c r="P91" s="7" t="s">
        <v>662</v>
      </c>
      <c r="Q91" s="7" t="s">
        <v>757</v>
      </c>
      <c r="R91" t="s">
        <v>353</v>
      </c>
      <c r="U91">
        <f t="shared" si="3"/>
        <v>1395</v>
      </c>
    </row>
    <row r="92" spans="1:21" ht="37.5" customHeight="1" x14ac:dyDescent="0.25">
      <c r="A92" s="1">
        <v>44933</v>
      </c>
      <c r="B92" s="13">
        <v>1</v>
      </c>
      <c r="C92" t="s">
        <v>3</v>
      </c>
      <c r="D92" t="s">
        <v>4</v>
      </c>
      <c r="E92" t="s">
        <v>21</v>
      </c>
      <c r="F92" s="6">
        <v>200564835</v>
      </c>
      <c r="G92" t="s">
        <v>342</v>
      </c>
      <c r="H92" t="s">
        <v>317</v>
      </c>
      <c r="I92">
        <v>0</v>
      </c>
      <c r="J92">
        <v>0</v>
      </c>
      <c r="K92">
        <v>0</v>
      </c>
      <c r="L92">
        <v>0</v>
      </c>
      <c r="M92">
        <v>0.11</v>
      </c>
      <c r="N92" s="7" t="e">
        <f>VLOOKUP(F92,HC!A$6:D$100,3,FALSE)</f>
        <v>#N/A</v>
      </c>
      <c r="O92" s="7" t="e">
        <f>VLOOKUP(F92,HC!A$6:D$1000,2,FALSE)</f>
        <v>#N/A</v>
      </c>
      <c r="P92" s="7" t="s">
        <v>661</v>
      </c>
      <c r="Q92" s="7" t="s">
        <v>681</v>
      </c>
      <c r="R92" t="s">
        <v>234</v>
      </c>
      <c r="U92">
        <f t="shared" si="3"/>
        <v>1395</v>
      </c>
    </row>
    <row r="93" spans="1:21" ht="37.5" customHeight="1" x14ac:dyDescent="0.25">
      <c r="A93" s="1">
        <v>44933</v>
      </c>
      <c r="B93" s="13">
        <v>1</v>
      </c>
      <c r="C93" t="s">
        <v>3</v>
      </c>
      <c r="D93" t="s">
        <v>4</v>
      </c>
      <c r="E93" t="s">
        <v>21</v>
      </c>
      <c r="F93" s="6">
        <v>200564835</v>
      </c>
      <c r="G93" t="s">
        <v>342</v>
      </c>
      <c r="H93" t="s">
        <v>317</v>
      </c>
      <c r="I93">
        <v>0</v>
      </c>
      <c r="J93">
        <v>0</v>
      </c>
      <c r="K93">
        <v>0</v>
      </c>
      <c r="L93">
        <v>0</v>
      </c>
      <c r="M93">
        <v>0.2</v>
      </c>
      <c r="N93" s="7" t="e">
        <f>VLOOKUP(F93,HC!A$6:D$100,3,FALSE)</f>
        <v>#N/A</v>
      </c>
      <c r="O93" s="7" t="e">
        <f>VLOOKUP(F93,HC!A$6:D$1000,2,FALSE)</f>
        <v>#N/A</v>
      </c>
      <c r="P93" s="7" t="s">
        <v>675</v>
      </c>
      <c r="Q93" s="7"/>
      <c r="R93" t="s">
        <v>363</v>
      </c>
      <c r="U93">
        <f t="shared" si="3"/>
        <v>1395</v>
      </c>
    </row>
    <row r="94" spans="1:21" ht="37.5" customHeight="1" x14ac:dyDescent="0.25">
      <c r="A94" s="1">
        <v>44933</v>
      </c>
      <c r="B94" s="13">
        <v>1</v>
      </c>
      <c r="C94" t="s">
        <v>3</v>
      </c>
      <c r="D94" t="s">
        <v>4</v>
      </c>
      <c r="E94" t="s">
        <v>5</v>
      </c>
      <c r="F94" s="6">
        <v>112971962</v>
      </c>
      <c r="G94" t="s">
        <v>338</v>
      </c>
      <c r="H94" t="s">
        <v>49</v>
      </c>
      <c r="I94">
        <v>0</v>
      </c>
      <c r="J94">
        <v>0</v>
      </c>
      <c r="K94">
        <v>0</v>
      </c>
      <c r="L94">
        <v>0</v>
      </c>
      <c r="M94">
        <v>0.43</v>
      </c>
      <c r="N94" s="7" t="str">
        <f>VLOOKUP(F94,HC!A$6:D$100,3,FALSE)</f>
        <v>DB-X0700</v>
      </c>
      <c r="O94" s="7" t="str">
        <f>VLOOKUP(F94,HC!A$6:D$1000,2,FALSE)</f>
        <v>creyesal</v>
      </c>
      <c r="P94" s="7" t="s">
        <v>663</v>
      </c>
      <c r="Q94" s="7" t="s">
        <v>704</v>
      </c>
      <c r="R94" t="s">
        <v>348</v>
      </c>
      <c r="U94">
        <f t="shared" si="3"/>
        <v>38</v>
      </c>
    </row>
    <row r="95" spans="1:21" ht="37.5" customHeight="1" x14ac:dyDescent="0.25">
      <c r="A95" s="1">
        <v>44933</v>
      </c>
      <c r="B95" s="13">
        <v>1</v>
      </c>
      <c r="C95" t="s">
        <v>3</v>
      </c>
      <c r="D95" t="s">
        <v>4</v>
      </c>
      <c r="E95" t="s">
        <v>21</v>
      </c>
      <c r="F95" s="6">
        <v>200508371</v>
      </c>
      <c r="G95" t="s">
        <v>339</v>
      </c>
      <c r="H95" t="s">
        <v>24</v>
      </c>
      <c r="I95">
        <v>0</v>
      </c>
      <c r="J95">
        <v>0</v>
      </c>
      <c r="K95">
        <v>0</v>
      </c>
      <c r="L95">
        <v>0</v>
      </c>
      <c r="M95">
        <v>1.73</v>
      </c>
      <c r="N95" s="7" t="e">
        <f>VLOOKUP(F95,HC!A$6:D$100,3,FALSE)</f>
        <v>#N/A</v>
      </c>
      <c r="O95" s="7" t="e">
        <f>VLOOKUP(F95,HC!A$6:D$1000,2,FALSE)</f>
        <v>#N/A</v>
      </c>
      <c r="P95" s="7" t="s">
        <v>664</v>
      </c>
      <c r="Q95" s="7" t="s">
        <v>1399</v>
      </c>
      <c r="R95" t="s">
        <v>351</v>
      </c>
      <c r="U95">
        <f t="shared" si="3"/>
        <v>1395</v>
      </c>
    </row>
    <row r="96" spans="1:21" ht="37.5" customHeight="1" x14ac:dyDescent="0.25">
      <c r="A96" s="1">
        <v>44933</v>
      </c>
      <c r="B96" s="13">
        <v>1</v>
      </c>
      <c r="C96" t="s">
        <v>3</v>
      </c>
      <c r="D96" t="s">
        <v>4</v>
      </c>
      <c r="E96" t="s">
        <v>5</v>
      </c>
      <c r="F96" s="6">
        <v>112984928</v>
      </c>
      <c r="G96" t="s">
        <v>334</v>
      </c>
      <c r="H96" t="s">
        <v>317</v>
      </c>
      <c r="I96">
        <v>0</v>
      </c>
      <c r="J96">
        <v>0</v>
      </c>
      <c r="K96">
        <v>0</v>
      </c>
      <c r="L96">
        <v>0</v>
      </c>
      <c r="M96">
        <v>0.08</v>
      </c>
      <c r="N96" s="7" t="e">
        <f>VLOOKUP(F96,HC!A$6:D$100,3,FALSE)</f>
        <v>#N/A</v>
      </c>
      <c r="O96" s="7" t="e">
        <f>VLOOKUP(F96,HC!A$6:D$1000,2,FALSE)</f>
        <v>#N/A</v>
      </c>
      <c r="P96" s="7" t="s">
        <v>663</v>
      </c>
      <c r="Q96" s="7" t="s">
        <v>692</v>
      </c>
      <c r="R96" t="s">
        <v>258</v>
      </c>
      <c r="U96">
        <f t="shared" si="3"/>
        <v>1395</v>
      </c>
    </row>
    <row r="97" spans="1:21" ht="37.5" customHeight="1" x14ac:dyDescent="0.25">
      <c r="A97" s="1">
        <v>44933</v>
      </c>
      <c r="B97" s="13">
        <v>1</v>
      </c>
      <c r="C97" t="s">
        <v>3</v>
      </c>
      <c r="D97" t="s">
        <v>4</v>
      </c>
      <c r="E97" t="s">
        <v>5</v>
      </c>
      <c r="F97" s="6">
        <v>112984442</v>
      </c>
      <c r="G97" t="s">
        <v>315</v>
      </c>
      <c r="H97" t="s">
        <v>285</v>
      </c>
      <c r="I97">
        <v>0</v>
      </c>
      <c r="J97">
        <v>0</v>
      </c>
      <c r="K97">
        <v>0</v>
      </c>
      <c r="L97">
        <v>0</v>
      </c>
      <c r="M97">
        <v>1.5</v>
      </c>
      <c r="N97" s="7" t="e">
        <f>VLOOKUP(F97,HC!A$6:D$100,3,FALSE)</f>
        <v>#N/A</v>
      </c>
      <c r="O97" s="7" t="e">
        <f>VLOOKUP(F97,HC!A$6:D$1000,2,FALSE)</f>
        <v>#N/A</v>
      </c>
      <c r="P97" s="7" t="s">
        <v>664</v>
      </c>
      <c r="Q97" s="7" t="s">
        <v>770</v>
      </c>
      <c r="R97" t="s">
        <v>349</v>
      </c>
      <c r="U97">
        <f t="shared" si="3"/>
        <v>1395</v>
      </c>
    </row>
    <row r="98" spans="1:21" ht="37.5" customHeight="1" x14ac:dyDescent="0.25">
      <c r="A98" s="1">
        <v>44933</v>
      </c>
      <c r="B98" s="13">
        <v>1</v>
      </c>
      <c r="C98" t="s">
        <v>3</v>
      </c>
      <c r="D98" t="s">
        <v>4</v>
      </c>
      <c r="E98" t="s">
        <v>5</v>
      </c>
      <c r="F98" s="6">
        <v>112951256</v>
      </c>
      <c r="G98" t="s">
        <v>337</v>
      </c>
      <c r="H98" t="s">
        <v>332</v>
      </c>
      <c r="I98">
        <v>0</v>
      </c>
      <c r="J98">
        <v>0</v>
      </c>
      <c r="K98">
        <v>0</v>
      </c>
      <c r="L98">
        <v>0</v>
      </c>
      <c r="M98">
        <v>0.5</v>
      </c>
      <c r="N98" s="7" t="str">
        <f>VLOOKUP(F98,HC!A$6:D$100,3,FALSE)</f>
        <v>DA-X0700</v>
      </c>
      <c r="O98" s="7" t="str">
        <f>VLOOKUP(F98,HC!A$6:D$1000,2,FALSE)</f>
        <v>grkatery</v>
      </c>
      <c r="P98" s="7" t="s">
        <v>661</v>
      </c>
      <c r="Q98" s="7" t="s">
        <v>684</v>
      </c>
      <c r="R98" t="s">
        <v>360</v>
      </c>
      <c r="U98">
        <f t="shared" si="3"/>
        <v>17</v>
      </c>
    </row>
    <row r="99" spans="1:21" ht="37.5" customHeight="1" x14ac:dyDescent="0.25">
      <c r="A99" s="1">
        <v>44933</v>
      </c>
      <c r="B99" s="13">
        <v>1</v>
      </c>
      <c r="C99" t="s">
        <v>3</v>
      </c>
      <c r="D99" t="s">
        <v>4</v>
      </c>
      <c r="E99" t="s">
        <v>5</v>
      </c>
      <c r="F99" s="6">
        <v>112912175</v>
      </c>
      <c r="G99" t="s">
        <v>336</v>
      </c>
      <c r="H99" t="s">
        <v>47</v>
      </c>
      <c r="I99">
        <v>0</v>
      </c>
      <c r="J99">
        <v>0</v>
      </c>
      <c r="K99">
        <v>0</v>
      </c>
      <c r="L99">
        <v>0</v>
      </c>
      <c r="M99">
        <v>0.72</v>
      </c>
      <c r="N99" s="7" t="e">
        <f>VLOOKUP(F99,HC!A$6:D$100,3,FALSE)</f>
        <v>#N/A</v>
      </c>
      <c r="O99" s="7" t="e">
        <f>VLOOKUP(F99,HC!A$6:D$1000,2,FALSE)</f>
        <v>#N/A</v>
      </c>
      <c r="P99" s="7" t="s">
        <v>663</v>
      </c>
      <c r="Q99" s="7" t="s">
        <v>704</v>
      </c>
      <c r="R99" t="s">
        <v>348</v>
      </c>
      <c r="U99">
        <f t="shared" si="3"/>
        <v>1395</v>
      </c>
    </row>
    <row r="100" spans="1:21" ht="37.5" customHeight="1" x14ac:dyDescent="0.25">
      <c r="A100" s="1">
        <v>44933</v>
      </c>
      <c r="B100" s="13">
        <v>1</v>
      </c>
      <c r="C100" t="s">
        <v>3</v>
      </c>
      <c r="D100" t="s">
        <v>4</v>
      </c>
      <c r="E100" t="s">
        <v>5</v>
      </c>
      <c r="F100" s="6">
        <v>111434478</v>
      </c>
      <c r="G100" t="s">
        <v>331</v>
      </c>
      <c r="H100" t="s">
        <v>332</v>
      </c>
      <c r="I100">
        <v>0</v>
      </c>
      <c r="J100">
        <v>0</v>
      </c>
      <c r="K100">
        <v>0</v>
      </c>
      <c r="L100">
        <v>0</v>
      </c>
      <c r="M100">
        <v>0.08</v>
      </c>
      <c r="N100" s="7" t="str">
        <f>VLOOKUP(F100,HC!A$6:D$100,3,FALSE)</f>
        <v>DA-X0700</v>
      </c>
      <c r="O100" s="7" t="str">
        <f>VLOOKUP(F100,HC!A$6:D$1000,2,FALSE)</f>
        <v>juanapam</v>
      </c>
      <c r="P100" s="7" t="s">
        <v>664</v>
      </c>
      <c r="Q100" s="7" t="s">
        <v>1399</v>
      </c>
      <c r="R100" t="s">
        <v>354</v>
      </c>
      <c r="S100" s="2" t="s">
        <v>355</v>
      </c>
      <c r="U100">
        <f t="shared" si="3"/>
        <v>32</v>
      </c>
    </row>
    <row r="101" spans="1:21" ht="37.5" customHeight="1" x14ac:dyDescent="0.25">
      <c r="A101" s="1">
        <v>44933</v>
      </c>
      <c r="B101" s="13">
        <v>1</v>
      </c>
      <c r="C101" t="s">
        <v>3</v>
      </c>
      <c r="D101" t="s">
        <v>4</v>
      </c>
      <c r="E101" t="s">
        <v>5</v>
      </c>
      <c r="F101" s="6">
        <v>112912675</v>
      </c>
      <c r="G101" t="s">
        <v>326</v>
      </c>
      <c r="H101" t="s">
        <v>317</v>
      </c>
      <c r="I101">
        <v>0</v>
      </c>
      <c r="J101">
        <v>0</v>
      </c>
      <c r="K101">
        <v>0</v>
      </c>
      <c r="L101">
        <v>0</v>
      </c>
      <c r="M101">
        <v>0.48</v>
      </c>
      <c r="N101" s="7" t="e">
        <f>VLOOKUP(F101,HC!A$6:D$100,3,FALSE)</f>
        <v>#N/A</v>
      </c>
      <c r="O101" s="7" t="e">
        <f>VLOOKUP(F101,HC!A$6:D$1000,2,FALSE)</f>
        <v>#N/A</v>
      </c>
      <c r="P101" s="7" t="s">
        <v>664</v>
      </c>
      <c r="Q101" s="7" t="s">
        <v>710</v>
      </c>
      <c r="R101" t="s">
        <v>344</v>
      </c>
      <c r="U101">
        <f t="shared" si="3"/>
        <v>1395</v>
      </c>
    </row>
    <row r="102" spans="1:21" ht="37.5" customHeight="1" x14ac:dyDescent="0.25">
      <c r="A102" s="1">
        <v>44933</v>
      </c>
      <c r="B102" s="13">
        <v>1</v>
      </c>
      <c r="C102" t="s">
        <v>3</v>
      </c>
      <c r="D102" t="s">
        <v>4</v>
      </c>
      <c r="E102" t="s">
        <v>5</v>
      </c>
      <c r="F102" s="6">
        <v>112912675</v>
      </c>
      <c r="G102" t="s">
        <v>326</v>
      </c>
      <c r="H102" t="s">
        <v>317</v>
      </c>
      <c r="I102">
        <v>0</v>
      </c>
      <c r="J102">
        <v>0</v>
      </c>
      <c r="K102">
        <v>0</v>
      </c>
      <c r="L102">
        <v>0</v>
      </c>
      <c r="M102">
        <v>0.35</v>
      </c>
      <c r="N102" s="7" t="e">
        <f>VLOOKUP(F102,HC!A$6:D$100,3,FALSE)</f>
        <v>#N/A</v>
      </c>
      <c r="O102" s="7" t="e">
        <f>VLOOKUP(F102,HC!A$6:D$1000,2,FALSE)</f>
        <v>#N/A</v>
      </c>
      <c r="P102" s="7" t="s">
        <v>664</v>
      </c>
      <c r="Q102" s="7" t="s">
        <v>710</v>
      </c>
      <c r="R102" t="s">
        <v>359</v>
      </c>
      <c r="U102">
        <f t="shared" si="3"/>
        <v>1395</v>
      </c>
    </row>
    <row r="103" spans="1:21" ht="37.5" customHeight="1" x14ac:dyDescent="0.25">
      <c r="A103" s="1">
        <v>44933</v>
      </c>
      <c r="B103" s="13">
        <v>1</v>
      </c>
      <c r="C103" t="s">
        <v>3</v>
      </c>
      <c r="D103" t="s">
        <v>4</v>
      </c>
      <c r="E103" t="s">
        <v>5</v>
      </c>
      <c r="F103" s="6">
        <v>113014011</v>
      </c>
      <c r="G103" t="s">
        <v>45</v>
      </c>
      <c r="H103" t="s">
        <v>44</v>
      </c>
      <c r="I103">
        <v>0</v>
      </c>
      <c r="J103">
        <v>0</v>
      </c>
      <c r="K103">
        <v>0</v>
      </c>
      <c r="L103">
        <v>0</v>
      </c>
      <c r="M103">
        <v>0.46</v>
      </c>
      <c r="N103" s="7" t="e">
        <f>VLOOKUP(F103,HC!A$6:D$100,3,FALSE)</f>
        <v>#N/A</v>
      </c>
      <c r="O103" s="7" t="e">
        <f>VLOOKUP(F103,HC!A$6:D$1000,2,FALSE)</f>
        <v>#N/A</v>
      </c>
      <c r="P103" s="7" t="s">
        <v>664</v>
      </c>
      <c r="Q103" s="7" t="s">
        <v>708</v>
      </c>
      <c r="R103" t="s">
        <v>350</v>
      </c>
      <c r="U103">
        <f t="shared" si="3"/>
        <v>1395</v>
      </c>
    </row>
    <row r="104" spans="1:21" ht="37.5" customHeight="1" x14ac:dyDescent="0.25">
      <c r="A104" s="1">
        <v>44933</v>
      </c>
      <c r="B104" s="13">
        <v>1</v>
      </c>
      <c r="C104" t="s">
        <v>3</v>
      </c>
      <c r="D104" t="s">
        <v>4</v>
      </c>
      <c r="E104" t="s">
        <v>5</v>
      </c>
      <c r="F104" s="6">
        <v>112525692</v>
      </c>
      <c r="G104" t="s">
        <v>356</v>
      </c>
      <c r="H104" t="s">
        <v>253</v>
      </c>
      <c r="I104">
        <v>0</v>
      </c>
      <c r="J104">
        <v>0</v>
      </c>
      <c r="K104">
        <v>0</v>
      </c>
      <c r="L104">
        <v>0</v>
      </c>
      <c r="M104">
        <v>0.38</v>
      </c>
      <c r="N104" s="7" t="e">
        <f>VLOOKUP(F104,HC!A$6:D$100,3,FALSE)</f>
        <v>#N/A</v>
      </c>
      <c r="O104" s="7" t="e">
        <f>VLOOKUP(F104,HC!A$6:D$1000,2,FALSE)</f>
        <v>#N/A</v>
      </c>
      <c r="P104" s="7" t="s">
        <v>663</v>
      </c>
      <c r="Q104" s="7" t="s">
        <v>692</v>
      </c>
      <c r="R104" t="s">
        <v>258</v>
      </c>
      <c r="U104">
        <f t="shared" si="3"/>
        <v>1395</v>
      </c>
    </row>
    <row r="105" spans="1:21" ht="37.5" customHeight="1" x14ac:dyDescent="0.25">
      <c r="A105" s="1">
        <v>44933</v>
      </c>
      <c r="B105" s="13">
        <v>1</v>
      </c>
      <c r="C105" t="s">
        <v>3</v>
      </c>
      <c r="D105" t="s">
        <v>4</v>
      </c>
      <c r="E105" t="s">
        <v>5</v>
      </c>
      <c r="F105" s="6">
        <v>200464838</v>
      </c>
      <c r="G105" t="s">
        <v>358</v>
      </c>
      <c r="H105" t="s">
        <v>317</v>
      </c>
      <c r="I105">
        <v>0</v>
      </c>
      <c r="J105">
        <v>0</v>
      </c>
      <c r="K105">
        <v>0</v>
      </c>
      <c r="L105">
        <v>0</v>
      </c>
      <c r="M105">
        <v>1.36</v>
      </c>
      <c r="N105" s="7" t="e">
        <f>VLOOKUP(F105,HC!A$6:D$100,3,FALSE)</f>
        <v>#N/A</v>
      </c>
      <c r="O105" s="7" t="str">
        <f>VLOOKUP(F105,HC!A$6:D$1000,2,FALSE)</f>
        <v>ortfernj</v>
      </c>
      <c r="P105" s="7" t="s">
        <v>675</v>
      </c>
      <c r="Q105" s="7"/>
      <c r="R105" t="s">
        <v>361</v>
      </c>
      <c r="U105">
        <f t="shared" si="3"/>
        <v>9</v>
      </c>
    </row>
    <row r="106" spans="1:21" ht="37.5" customHeight="1" x14ac:dyDescent="0.25">
      <c r="A106" s="1">
        <v>44933</v>
      </c>
      <c r="B106" s="13">
        <v>1</v>
      </c>
      <c r="C106" t="s">
        <v>3</v>
      </c>
      <c r="D106" t="s">
        <v>4</v>
      </c>
      <c r="E106" t="s">
        <v>5</v>
      </c>
      <c r="F106" s="6">
        <v>113020476</v>
      </c>
      <c r="G106" t="s">
        <v>330</v>
      </c>
      <c r="H106" t="s">
        <v>24</v>
      </c>
      <c r="I106">
        <v>0</v>
      </c>
      <c r="J106">
        <v>0</v>
      </c>
      <c r="K106">
        <v>0</v>
      </c>
      <c r="L106">
        <v>0</v>
      </c>
      <c r="M106">
        <v>0.61</v>
      </c>
      <c r="N106" s="7" t="e">
        <f>VLOOKUP(F106,HC!A$6:D$100,3,FALSE)</f>
        <v>#N/A</v>
      </c>
      <c r="O106" s="7" t="str">
        <f>VLOOKUP(F106,HC!A$6:D$1000,2,FALSE)</f>
        <v>polettpu</v>
      </c>
      <c r="P106" s="7" t="s">
        <v>675</v>
      </c>
      <c r="Q106" s="7"/>
      <c r="R106" t="s">
        <v>361</v>
      </c>
      <c r="U106">
        <f t="shared" si="3"/>
        <v>55</v>
      </c>
    </row>
    <row r="107" spans="1:21" ht="37.5" customHeight="1" x14ac:dyDescent="0.25">
      <c r="A107" s="1">
        <v>44933</v>
      </c>
      <c r="B107" s="13">
        <v>1</v>
      </c>
      <c r="C107" t="s">
        <v>3</v>
      </c>
      <c r="D107" t="s">
        <v>4</v>
      </c>
      <c r="E107" t="s">
        <v>21</v>
      </c>
      <c r="F107" s="6">
        <v>200554743</v>
      </c>
      <c r="G107" t="s">
        <v>340</v>
      </c>
      <c r="H107" t="s">
        <v>24</v>
      </c>
      <c r="I107">
        <v>0</v>
      </c>
      <c r="J107">
        <v>0</v>
      </c>
      <c r="K107">
        <v>0</v>
      </c>
      <c r="L107">
        <v>0</v>
      </c>
      <c r="M107">
        <v>1.36</v>
      </c>
      <c r="N107" s="7" t="e">
        <f>VLOOKUP(F107,HC!A$6:D$100,3,FALSE)</f>
        <v>#N/A</v>
      </c>
      <c r="O107" s="7" t="e">
        <f>VLOOKUP(F107,HC!A$6:D$1000,2,FALSE)</f>
        <v>#N/A</v>
      </c>
      <c r="P107" s="7" t="s">
        <v>664</v>
      </c>
      <c r="Q107" s="7" t="s">
        <v>710</v>
      </c>
      <c r="R107" t="s">
        <v>278</v>
      </c>
      <c r="U107">
        <f t="shared" si="3"/>
        <v>1395</v>
      </c>
    </row>
    <row r="108" spans="1:21" ht="37.5" customHeight="1" x14ac:dyDescent="0.25">
      <c r="A108" s="1">
        <v>44933</v>
      </c>
      <c r="B108" s="13">
        <v>1</v>
      </c>
      <c r="C108" t="s">
        <v>3</v>
      </c>
      <c r="D108" t="s">
        <v>4</v>
      </c>
      <c r="E108" t="s">
        <v>21</v>
      </c>
      <c r="F108" s="6">
        <v>200536194</v>
      </c>
      <c r="G108" t="s">
        <v>274</v>
      </c>
      <c r="H108" t="s">
        <v>24</v>
      </c>
      <c r="I108">
        <v>0</v>
      </c>
      <c r="J108">
        <v>0</v>
      </c>
      <c r="K108">
        <v>0</v>
      </c>
      <c r="L108">
        <v>0</v>
      </c>
      <c r="M108">
        <v>0.25</v>
      </c>
      <c r="N108" s="7" t="e">
        <f>VLOOKUP(F108,HC!A$6:D$100,3,FALSE)</f>
        <v>#N/A</v>
      </c>
      <c r="O108" s="7" t="e">
        <f>VLOOKUP(F108,HC!A$6:D$1000,2,FALSE)</f>
        <v>#N/A</v>
      </c>
      <c r="P108" s="7" t="s">
        <v>668</v>
      </c>
      <c r="Q108" s="7" t="s">
        <v>732</v>
      </c>
      <c r="R108" t="s">
        <v>352</v>
      </c>
      <c r="U108">
        <f t="shared" si="3"/>
        <v>1395</v>
      </c>
    </row>
    <row r="109" spans="1:21" ht="37.5" customHeight="1" x14ac:dyDescent="0.25">
      <c r="A109" s="1">
        <v>44933</v>
      </c>
      <c r="B109" s="13">
        <v>1</v>
      </c>
      <c r="C109" t="s">
        <v>3</v>
      </c>
      <c r="D109" t="s">
        <v>4</v>
      </c>
      <c r="E109" t="s">
        <v>21</v>
      </c>
      <c r="F109" s="6">
        <v>200625517</v>
      </c>
      <c r="G109" t="s">
        <v>323</v>
      </c>
      <c r="H109" t="s">
        <v>49</v>
      </c>
      <c r="I109">
        <v>0</v>
      </c>
      <c r="J109">
        <v>0</v>
      </c>
      <c r="K109">
        <v>0</v>
      </c>
      <c r="L109">
        <v>0</v>
      </c>
      <c r="M109">
        <v>0.33</v>
      </c>
      <c r="N109" s="7" t="e">
        <f>VLOOKUP(F109,HC!A$6:D$100,3,FALSE)</f>
        <v>#N/A</v>
      </c>
      <c r="O109" s="7" t="e">
        <f>VLOOKUP(F109,HC!A$6:D$1000,2,FALSE)</f>
        <v>#N/A</v>
      </c>
      <c r="P109" s="7" t="s">
        <v>664</v>
      </c>
      <c r="Q109" s="7" t="s">
        <v>1399</v>
      </c>
      <c r="R109" t="s">
        <v>364</v>
      </c>
      <c r="U109">
        <f t="shared" si="3"/>
        <v>1395</v>
      </c>
    </row>
    <row r="110" spans="1:21" ht="37.5" customHeight="1" x14ac:dyDescent="0.25">
      <c r="A110" s="1">
        <v>44933</v>
      </c>
      <c r="B110" s="13">
        <v>1</v>
      </c>
      <c r="C110" t="s">
        <v>3</v>
      </c>
      <c r="D110" t="s">
        <v>4</v>
      </c>
      <c r="E110" t="s">
        <v>5</v>
      </c>
      <c r="F110" s="6">
        <v>112980835</v>
      </c>
      <c r="G110" t="s">
        <v>357</v>
      </c>
      <c r="H110" t="s">
        <v>49</v>
      </c>
      <c r="I110">
        <v>0</v>
      </c>
      <c r="J110">
        <v>0</v>
      </c>
      <c r="K110">
        <v>0</v>
      </c>
      <c r="L110">
        <v>0</v>
      </c>
      <c r="M110">
        <v>0.28000000000000003</v>
      </c>
      <c r="N110" s="7" t="e">
        <f>VLOOKUP(F110,HC!A$6:D$100,3,FALSE)</f>
        <v>#N/A</v>
      </c>
      <c r="O110" s="7" t="e">
        <f>VLOOKUP(F110,HC!A$6:D$1000,2,FALSE)</f>
        <v>#N/A</v>
      </c>
      <c r="P110" s="7" t="s">
        <v>664</v>
      </c>
      <c r="Q110" s="7" t="s">
        <v>1399</v>
      </c>
      <c r="R110" t="s">
        <v>351</v>
      </c>
      <c r="U110">
        <f t="shared" si="3"/>
        <v>1395</v>
      </c>
    </row>
    <row r="111" spans="1:21" ht="37.5" customHeight="1" x14ac:dyDescent="0.25">
      <c r="A111" s="1">
        <v>44933</v>
      </c>
      <c r="B111" s="13">
        <v>1</v>
      </c>
      <c r="C111" t="s">
        <v>3</v>
      </c>
      <c r="D111" t="s">
        <v>4</v>
      </c>
      <c r="E111" t="s">
        <v>21</v>
      </c>
      <c r="F111" s="6">
        <v>200564823</v>
      </c>
      <c r="G111" t="s">
        <v>23</v>
      </c>
      <c r="H111" t="s">
        <v>24</v>
      </c>
      <c r="I111">
        <v>0</v>
      </c>
      <c r="J111">
        <v>0</v>
      </c>
      <c r="K111">
        <v>0</v>
      </c>
      <c r="L111">
        <v>0</v>
      </c>
      <c r="M111">
        <v>1.41</v>
      </c>
      <c r="N111" s="7" t="e">
        <f>VLOOKUP(F111,HC!A$6:D$100,3,FALSE)</f>
        <v>#N/A</v>
      </c>
      <c r="O111" s="7" t="e">
        <f>VLOOKUP(F111,HC!A$6:D$1000,2,FALSE)</f>
        <v>#N/A</v>
      </c>
      <c r="P111" s="7" t="s">
        <v>675</v>
      </c>
      <c r="Q111" s="7"/>
      <c r="R111" t="s">
        <v>362</v>
      </c>
      <c r="U111">
        <f t="shared" si="3"/>
        <v>1395</v>
      </c>
    </row>
    <row r="112" spans="1:21" ht="37.5" customHeight="1" x14ac:dyDescent="0.25">
      <c r="A112" s="1">
        <v>44934</v>
      </c>
      <c r="B112" s="13">
        <v>2</v>
      </c>
      <c r="C112" t="s">
        <v>3</v>
      </c>
      <c r="D112" t="s">
        <v>4</v>
      </c>
      <c r="E112" t="s">
        <v>5</v>
      </c>
      <c r="F112" s="6">
        <v>113003691</v>
      </c>
      <c r="G112" t="s">
        <v>369</v>
      </c>
      <c r="H112" t="s">
        <v>49</v>
      </c>
      <c r="I112">
        <v>0</v>
      </c>
      <c r="J112">
        <v>0</v>
      </c>
      <c r="K112">
        <v>0</v>
      </c>
      <c r="L112">
        <v>0</v>
      </c>
      <c r="M112">
        <v>0.12</v>
      </c>
      <c r="N112" s="7" t="e">
        <f>VLOOKUP(F112,HC!A$6:D$100,3,FALSE)</f>
        <v>#N/A</v>
      </c>
      <c r="O112" s="7" t="e">
        <f>VLOOKUP(F112,HC!A$6:D$1000,2,FALSE)</f>
        <v>#N/A</v>
      </c>
      <c r="P112" s="7" t="s">
        <v>663</v>
      </c>
      <c r="Q112" s="7" t="s">
        <v>695</v>
      </c>
      <c r="R112" t="s">
        <v>236</v>
      </c>
      <c r="U112">
        <f t="shared" si="3"/>
        <v>1395</v>
      </c>
    </row>
    <row r="113" spans="1:21" ht="37.5" customHeight="1" x14ac:dyDescent="0.25">
      <c r="A113" s="1">
        <v>44934</v>
      </c>
      <c r="B113" s="13">
        <v>2</v>
      </c>
      <c r="C113" t="s">
        <v>3</v>
      </c>
      <c r="D113" t="s">
        <v>4</v>
      </c>
      <c r="E113" t="s">
        <v>21</v>
      </c>
      <c r="F113" s="6">
        <v>200563210</v>
      </c>
      <c r="G113" t="s">
        <v>341</v>
      </c>
      <c r="H113" t="s">
        <v>298</v>
      </c>
      <c r="I113">
        <v>0</v>
      </c>
      <c r="J113">
        <v>0</v>
      </c>
      <c r="K113">
        <v>0</v>
      </c>
      <c r="L113">
        <v>0</v>
      </c>
      <c r="M113">
        <v>0.34</v>
      </c>
      <c r="N113" s="7" t="e">
        <f>VLOOKUP(F113,HC!A$6:D$100,3,FALSE)</f>
        <v>#N/A</v>
      </c>
      <c r="O113" s="7" t="e">
        <f>VLOOKUP(F113,HC!A$6:D$1000,2,FALSE)</f>
        <v>#N/A</v>
      </c>
      <c r="P113" s="7" t="s">
        <v>670</v>
      </c>
      <c r="Q113" s="7" t="s">
        <v>764</v>
      </c>
      <c r="R113" t="s">
        <v>375</v>
      </c>
      <c r="U113">
        <f t="shared" si="3"/>
        <v>1395</v>
      </c>
    </row>
    <row r="114" spans="1:21" ht="37.5" customHeight="1" x14ac:dyDescent="0.25">
      <c r="A114" s="1">
        <v>44934</v>
      </c>
      <c r="B114" s="13">
        <v>2</v>
      </c>
      <c r="C114" t="s">
        <v>3</v>
      </c>
      <c r="D114" t="s">
        <v>4</v>
      </c>
      <c r="E114" t="s">
        <v>5</v>
      </c>
      <c r="F114" s="6">
        <v>112912008</v>
      </c>
      <c r="G114" t="s">
        <v>249</v>
      </c>
      <c r="H114" t="s">
        <v>250</v>
      </c>
      <c r="I114">
        <v>0</v>
      </c>
      <c r="J114">
        <v>0</v>
      </c>
      <c r="K114">
        <v>0</v>
      </c>
      <c r="L114">
        <v>0</v>
      </c>
      <c r="M114">
        <v>0.34</v>
      </c>
      <c r="N114" s="7" t="e">
        <f>VLOOKUP(F114,HC!A$6:D$100,3,FALSE)</f>
        <v>#N/A</v>
      </c>
      <c r="O114" s="7" t="e">
        <f>VLOOKUP(F114,HC!A$6:D$1000,2,FALSE)</f>
        <v>#N/A</v>
      </c>
      <c r="P114" s="7" t="s">
        <v>661</v>
      </c>
      <c r="Q114" s="7" t="s">
        <v>681</v>
      </c>
      <c r="R114" t="s">
        <v>234</v>
      </c>
      <c r="U114">
        <f t="shared" si="3"/>
        <v>1395</v>
      </c>
    </row>
    <row r="115" spans="1:21" ht="37.5" customHeight="1" x14ac:dyDescent="0.25">
      <c r="A115" s="1">
        <v>44934</v>
      </c>
      <c r="B115" s="13">
        <v>2</v>
      </c>
      <c r="C115" t="s">
        <v>3</v>
      </c>
      <c r="D115" t="s">
        <v>4</v>
      </c>
      <c r="E115" t="s">
        <v>21</v>
      </c>
      <c r="F115" s="6">
        <v>200534518</v>
      </c>
      <c r="G115" t="s">
        <v>371</v>
      </c>
      <c r="H115" t="s">
        <v>17</v>
      </c>
      <c r="I115">
        <v>0</v>
      </c>
      <c r="J115">
        <v>0</v>
      </c>
      <c r="K115">
        <v>0</v>
      </c>
      <c r="L115">
        <v>0</v>
      </c>
      <c r="M115">
        <v>1.49</v>
      </c>
      <c r="N115" s="7" t="e">
        <f>VLOOKUP(F115,HC!A$6:D$100,3,FALSE)</f>
        <v>#N/A</v>
      </c>
      <c r="O115" s="7" t="e">
        <f>VLOOKUP(F115,HC!A$6:D$1000,2,FALSE)</f>
        <v>#N/A</v>
      </c>
      <c r="P115" s="7" t="s">
        <v>661</v>
      </c>
      <c r="Q115" s="7" t="s">
        <v>681</v>
      </c>
      <c r="R115" t="s">
        <v>234</v>
      </c>
      <c r="U115">
        <f t="shared" si="3"/>
        <v>1395</v>
      </c>
    </row>
    <row r="116" spans="1:21" ht="37.5" customHeight="1" x14ac:dyDescent="0.25">
      <c r="A116" s="1">
        <v>44934</v>
      </c>
      <c r="B116" s="13">
        <v>2</v>
      </c>
      <c r="C116" t="s">
        <v>3</v>
      </c>
      <c r="D116" t="s">
        <v>4</v>
      </c>
      <c r="E116" t="s">
        <v>5</v>
      </c>
      <c r="F116" s="6">
        <v>112912210</v>
      </c>
      <c r="G116" t="s">
        <v>6</v>
      </c>
      <c r="H116" t="s">
        <v>7</v>
      </c>
      <c r="I116">
        <v>0</v>
      </c>
      <c r="J116">
        <v>0</v>
      </c>
      <c r="K116">
        <v>0</v>
      </c>
      <c r="L116">
        <v>0</v>
      </c>
      <c r="M116">
        <v>0.22</v>
      </c>
      <c r="N116" s="7" t="e">
        <f>VLOOKUP(F116,HC!A$6:D$100,3,FALSE)</f>
        <v>#N/A</v>
      </c>
      <c r="O116" s="7" t="e">
        <f>VLOOKUP(F116,HC!A$6:D$1000,2,FALSE)</f>
        <v>#N/A</v>
      </c>
      <c r="P116" s="7" t="s">
        <v>670</v>
      </c>
      <c r="Q116" s="7" t="s">
        <v>764</v>
      </c>
      <c r="R116" t="s">
        <v>375</v>
      </c>
      <c r="U116">
        <f t="shared" si="3"/>
        <v>1395</v>
      </c>
    </row>
    <row r="117" spans="1:21" ht="37.5" customHeight="1" x14ac:dyDescent="0.25">
      <c r="A117" s="1">
        <v>44934</v>
      </c>
      <c r="B117" s="13">
        <v>2</v>
      </c>
      <c r="C117" t="s">
        <v>3</v>
      </c>
      <c r="D117" t="s">
        <v>4</v>
      </c>
      <c r="E117" t="s">
        <v>5</v>
      </c>
      <c r="F117" s="6">
        <v>112991231</v>
      </c>
      <c r="G117" t="s">
        <v>368</v>
      </c>
      <c r="H117" t="s">
        <v>17</v>
      </c>
      <c r="I117">
        <v>0</v>
      </c>
      <c r="J117">
        <v>0</v>
      </c>
      <c r="K117">
        <v>0</v>
      </c>
      <c r="L117">
        <v>0</v>
      </c>
      <c r="M117">
        <v>0.16</v>
      </c>
      <c r="N117" s="7" t="e">
        <f>VLOOKUP(F117,HC!A$6:D$100,3,FALSE)</f>
        <v>#N/A</v>
      </c>
      <c r="O117" s="7" t="e">
        <f>VLOOKUP(F117,HC!A$6:D$1000,2,FALSE)</f>
        <v>#N/A</v>
      </c>
      <c r="P117" s="7" t="s">
        <v>668</v>
      </c>
      <c r="Q117" s="7" t="s">
        <v>732</v>
      </c>
      <c r="R117" t="s">
        <v>377</v>
      </c>
      <c r="U117">
        <f t="shared" si="3"/>
        <v>1395</v>
      </c>
    </row>
    <row r="118" spans="1:21" ht="37.5" customHeight="1" x14ac:dyDescent="0.25">
      <c r="A118" s="1">
        <v>44934</v>
      </c>
      <c r="B118" s="13">
        <v>2</v>
      </c>
      <c r="C118" t="s">
        <v>3</v>
      </c>
      <c r="D118" t="s">
        <v>4</v>
      </c>
      <c r="E118" t="s">
        <v>5</v>
      </c>
      <c r="F118" s="6">
        <v>112972794</v>
      </c>
      <c r="G118" t="s">
        <v>366</v>
      </c>
      <c r="H118" t="s">
        <v>9</v>
      </c>
      <c r="I118">
        <v>0</v>
      </c>
      <c r="J118">
        <v>0</v>
      </c>
      <c r="K118">
        <v>0</v>
      </c>
      <c r="L118">
        <v>0</v>
      </c>
      <c r="M118">
        <v>0.81</v>
      </c>
      <c r="N118" s="7" t="e">
        <f>VLOOKUP(F118,HC!A$6:D$100,3,FALSE)</f>
        <v>#N/A</v>
      </c>
      <c r="O118" s="7" t="e">
        <f>VLOOKUP(F118,HC!A$6:D$1000,2,FALSE)</f>
        <v>#N/A</v>
      </c>
      <c r="P118" s="7" t="s">
        <v>664</v>
      </c>
      <c r="Q118" s="7" t="s">
        <v>762</v>
      </c>
      <c r="R118" t="s">
        <v>593</v>
      </c>
      <c r="U118">
        <f t="shared" si="3"/>
        <v>1395</v>
      </c>
    </row>
    <row r="119" spans="1:21" ht="37.5" customHeight="1" x14ac:dyDescent="0.25">
      <c r="A119" s="1">
        <v>44934</v>
      </c>
      <c r="B119" s="13">
        <v>2</v>
      </c>
      <c r="C119" t="s">
        <v>3</v>
      </c>
      <c r="D119" t="s">
        <v>4</v>
      </c>
      <c r="E119" t="s">
        <v>5</v>
      </c>
      <c r="F119" s="6">
        <v>112912459</v>
      </c>
      <c r="G119" t="s">
        <v>365</v>
      </c>
      <c r="H119" t="s">
        <v>9</v>
      </c>
      <c r="I119">
        <v>0</v>
      </c>
      <c r="J119">
        <v>0</v>
      </c>
      <c r="K119">
        <v>0</v>
      </c>
      <c r="L119">
        <v>0</v>
      </c>
      <c r="M119">
        <v>1.01</v>
      </c>
      <c r="N119" s="7" t="e">
        <f>VLOOKUP(F119,HC!A$6:D$100,3,FALSE)</f>
        <v>#N/A</v>
      </c>
      <c r="O119" s="7" t="e">
        <f>VLOOKUP(F119,HC!A$6:D$1000,2,FALSE)</f>
        <v>#N/A</v>
      </c>
      <c r="P119" s="7" t="s">
        <v>664</v>
      </c>
      <c r="Q119" s="7" t="s">
        <v>1399</v>
      </c>
      <c r="R119" t="s">
        <v>351</v>
      </c>
      <c r="U119">
        <f t="shared" si="3"/>
        <v>1395</v>
      </c>
    </row>
    <row r="120" spans="1:21" ht="37.5" customHeight="1" x14ac:dyDescent="0.25">
      <c r="A120" s="1">
        <v>44934</v>
      </c>
      <c r="B120" s="13">
        <v>2</v>
      </c>
      <c r="C120" t="s">
        <v>3</v>
      </c>
      <c r="D120" t="s">
        <v>4</v>
      </c>
      <c r="E120" t="s">
        <v>5</v>
      </c>
      <c r="F120" s="6">
        <v>113014046</v>
      </c>
      <c r="G120" t="s">
        <v>370</v>
      </c>
      <c r="H120" t="s">
        <v>14</v>
      </c>
      <c r="I120">
        <v>0</v>
      </c>
      <c r="J120">
        <v>0</v>
      </c>
      <c r="K120">
        <v>0</v>
      </c>
      <c r="L120">
        <v>0</v>
      </c>
      <c r="M120">
        <v>0.25</v>
      </c>
      <c r="N120" s="7" t="e">
        <f>VLOOKUP(F120,HC!A$6:D$100,3,FALSE)</f>
        <v>#N/A</v>
      </c>
      <c r="O120" s="7" t="e">
        <f>VLOOKUP(F120,HC!A$6:D$1000,2,FALSE)</f>
        <v>#N/A</v>
      </c>
      <c r="P120" s="7" t="s">
        <v>663</v>
      </c>
      <c r="Q120" s="7" t="s">
        <v>692</v>
      </c>
      <c r="R120" t="s">
        <v>258</v>
      </c>
      <c r="U120">
        <f t="shared" si="3"/>
        <v>1395</v>
      </c>
    </row>
    <row r="121" spans="1:21" ht="37.5" customHeight="1" x14ac:dyDescent="0.25">
      <c r="A121" s="1">
        <v>44934</v>
      </c>
      <c r="B121" s="13">
        <v>2</v>
      </c>
      <c r="C121" t="s">
        <v>3</v>
      </c>
      <c r="D121" t="s">
        <v>4</v>
      </c>
      <c r="E121" t="s">
        <v>5</v>
      </c>
      <c r="F121" s="6">
        <v>112981014</v>
      </c>
      <c r="G121" t="s">
        <v>367</v>
      </c>
      <c r="H121" t="s">
        <v>14</v>
      </c>
      <c r="I121">
        <v>0</v>
      </c>
      <c r="J121">
        <v>0</v>
      </c>
      <c r="K121">
        <v>0</v>
      </c>
      <c r="L121">
        <v>0</v>
      </c>
      <c r="M121">
        <v>0.23</v>
      </c>
      <c r="N121" s="7" t="str">
        <f>VLOOKUP(F121,HC!A$6:D$100,3,FALSE)</f>
        <v>DJ-X0700</v>
      </c>
      <c r="O121" s="7" t="str">
        <f>VLOOKUP(F121,HC!A$6:D$1000,2,FALSE)</f>
        <v>rpabloul</v>
      </c>
      <c r="P121" s="7" t="s">
        <v>662</v>
      </c>
      <c r="Q121" s="7" t="s">
        <v>757</v>
      </c>
      <c r="R121" t="s">
        <v>353</v>
      </c>
      <c r="U121">
        <f t="shared" si="3"/>
        <v>17</v>
      </c>
    </row>
    <row r="122" spans="1:21" ht="37.5" customHeight="1" x14ac:dyDescent="0.25">
      <c r="A122" s="1">
        <v>44934</v>
      </c>
      <c r="B122" s="13">
        <v>2</v>
      </c>
      <c r="C122" t="s">
        <v>3</v>
      </c>
      <c r="D122" t="s">
        <v>4</v>
      </c>
      <c r="E122" t="s">
        <v>5</v>
      </c>
      <c r="F122" s="6">
        <v>112980844</v>
      </c>
      <c r="G122" t="s">
        <v>13</v>
      </c>
      <c r="H122" t="s">
        <v>14</v>
      </c>
      <c r="I122">
        <v>0</v>
      </c>
      <c r="J122">
        <v>0</v>
      </c>
      <c r="K122">
        <v>0</v>
      </c>
      <c r="L122">
        <v>0</v>
      </c>
      <c r="M122">
        <v>1.19</v>
      </c>
      <c r="N122" s="7" t="str">
        <f>VLOOKUP(F122,HC!A$6:D$100,3,FALSE)</f>
        <v>DA-X0700</v>
      </c>
      <c r="O122" s="7" t="str">
        <f>VLOOKUP(F122,HC!A$6:D$1000,2,FALSE)</f>
        <v>samajpad</v>
      </c>
      <c r="P122" s="7" t="s">
        <v>667</v>
      </c>
      <c r="Q122" s="7" t="s">
        <v>306</v>
      </c>
      <c r="R122" t="s">
        <v>376</v>
      </c>
      <c r="U122">
        <f t="shared" si="3"/>
        <v>20</v>
      </c>
    </row>
    <row r="123" spans="1:21" ht="37.5" customHeight="1" x14ac:dyDescent="0.25">
      <c r="A123" s="1">
        <v>44935</v>
      </c>
      <c r="B123" s="13">
        <v>2</v>
      </c>
      <c r="C123" t="s">
        <v>3</v>
      </c>
      <c r="D123" t="s">
        <v>4</v>
      </c>
      <c r="E123" t="s">
        <v>5</v>
      </c>
      <c r="F123" s="6">
        <v>113003691</v>
      </c>
      <c r="G123" t="s">
        <v>369</v>
      </c>
      <c r="H123" t="s">
        <v>49</v>
      </c>
      <c r="I123">
        <v>0</v>
      </c>
      <c r="J123">
        <v>0</v>
      </c>
      <c r="K123">
        <v>0</v>
      </c>
      <c r="L123">
        <v>0</v>
      </c>
      <c r="M123">
        <v>0.21</v>
      </c>
      <c r="N123" s="7" t="e">
        <f>VLOOKUP(F123,HC!A$6:D$100,3,FALSE)</f>
        <v>#N/A</v>
      </c>
      <c r="O123" s="7" t="e">
        <f>VLOOKUP(F123,HC!A$6:D$1000,2,FALSE)</f>
        <v>#N/A</v>
      </c>
      <c r="P123" s="7" t="s">
        <v>663</v>
      </c>
      <c r="Q123" s="7" t="s">
        <v>695</v>
      </c>
      <c r="R123" t="s">
        <v>236</v>
      </c>
      <c r="U123">
        <f t="shared" si="3"/>
        <v>1395</v>
      </c>
    </row>
    <row r="124" spans="1:21" ht="37.5" customHeight="1" x14ac:dyDescent="0.25">
      <c r="A124" s="1">
        <v>44935</v>
      </c>
      <c r="B124" s="13">
        <v>2</v>
      </c>
      <c r="C124" t="s">
        <v>3</v>
      </c>
      <c r="D124" t="s">
        <v>4</v>
      </c>
      <c r="E124" t="s">
        <v>5</v>
      </c>
      <c r="F124" s="6">
        <v>103979960</v>
      </c>
      <c r="G124" t="s">
        <v>372</v>
      </c>
      <c r="H124" t="s">
        <v>268</v>
      </c>
      <c r="I124">
        <v>0</v>
      </c>
      <c r="J124">
        <v>0</v>
      </c>
      <c r="K124">
        <v>0</v>
      </c>
      <c r="L124">
        <v>0</v>
      </c>
      <c r="M124">
        <v>0.17</v>
      </c>
      <c r="N124" s="7" t="e">
        <f>VLOOKUP(F124,HC!A$6:D$100,3,FALSE)</f>
        <v>#N/A</v>
      </c>
      <c r="O124" s="7" t="e">
        <f>VLOOKUP(F124,HC!A$6:D$1000,2,FALSE)</f>
        <v>#N/A</v>
      </c>
      <c r="P124" s="7" t="s">
        <v>664</v>
      </c>
      <c r="Q124" s="7" t="s">
        <v>770</v>
      </c>
      <c r="R124" t="s">
        <v>378</v>
      </c>
      <c r="U124">
        <f t="shared" si="3"/>
        <v>1395</v>
      </c>
    </row>
    <row r="125" spans="1:21" ht="37.5" customHeight="1" x14ac:dyDescent="0.25">
      <c r="A125" s="1">
        <v>44935</v>
      </c>
      <c r="B125" s="13">
        <v>2</v>
      </c>
      <c r="C125" t="s">
        <v>3</v>
      </c>
      <c r="D125" t="s">
        <v>4</v>
      </c>
      <c r="E125" t="s">
        <v>5</v>
      </c>
      <c r="F125" s="6">
        <v>112912008</v>
      </c>
      <c r="G125" t="s">
        <v>249</v>
      </c>
      <c r="H125" t="s">
        <v>250</v>
      </c>
      <c r="I125">
        <v>0</v>
      </c>
      <c r="J125">
        <v>0</v>
      </c>
      <c r="K125">
        <v>0</v>
      </c>
      <c r="L125">
        <v>0</v>
      </c>
      <c r="M125">
        <v>0.13</v>
      </c>
      <c r="N125" s="7" t="e">
        <f>VLOOKUP(F125,HC!A$6:D$100,3,FALSE)</f>
        <v>#N/A</v>
      </c>
      <c r="O125" s="7" t="e">
        <f>VLOOKUP(F125,HC!A$6:D$1000,2,FALSE)</f>
        <v>#N/A</v>
      </c>
      <c r="P125" s="7" t="s">
        <v>663</v>
      </c>
      <c r="Q125" s="7"/>
      <c r="R125" t="s">
        <v>258</v>
      </c>
      <c r="U125">
        <f t="shared" si="3"/>
        <v>1395</v>
      </c>
    </row>
    <row r="126" spans="1:21" ht="37.5" customHeight="1" x14ac:dyDescent="0.25">
      <c r="A126" s="1">
        <v>44935</v>
      </c>
      <c r="B126" s="13">
        <v>2</v>
      </c>
      <c r="C126" t="s">
        <v>3</v>
      </c>
      <c r="D126" t="s">
        <v>4</v>
      </c>
      <c r="E126" t="s">
        <v>5</v>
      </c>
      <c r="F126" s="6">
        <v>113014081</v>
      </c>
      <c r="G126" t="s">
        <v>267</v>
      </c>
      <c r="H126" t="s">
        <v>268</v>
      </c>
      <c r="I126">
        <v>0</v>
      </c>
      <c r="J126">
        <v>0</v>
      </c>
      <c r="K126">
        <v>0</v>
      </c>
      <c r="L126">
        <v>0</v>
      </c>
      <c r="M126">
        <v>0.13</v>
      </c>
      <c r="N126" s="7" t="e">
        <f>VLOOKUP(F126,HC!A$6:D$100,3,FALSE)</f>
        <v>#N/A</v>
      </c>
      <c r="O126" s="7" t="str">
        <f>VLOOKUP(F126,HC!A$6:D$1000,2,FALSE)</f>
        <v>fraugene</v>
      </c>
      <c r="P126" s="7" t="s">
        <v>661</v>
      </c>
      <c r="Q126" s="7" t="s">
        <v>681</v>
      </c>
      <c r="R126" t="s">
        <v>234</v>
      </c>
      <c r="U126">
        <f t="shared" si="3"/>
        <v>32</v>
      </c>
    </row>
    <row r="127" spans="1:21" ht="37.5" customHeight="1" x14ac:dyDescent="0.25">
      <c r="A127" s="1">
        <v>44935</v>
      </c>
      <c r="B127" s="13">
        <v>2</v>
      </c>
      <c r="C127" t="s">
        <v>3</v>
      </c>
      <c r="D127" t="s">
        <v>4</v>
      </c>
      <c r="E127" t="s">
        <v>5</v>
      </c>
      <c r="F127" s="6">
        <v>112984442</v>
      </c>
      <c r="G127" t="s">
        <v>315</v>
      </c>
      <c r="H127" t="s">
        <v>285</v>
      </c>
      <c r="I127">
        <v>0</v>
      </c>
      <c r="J127">
        <v>0</v>
      </c>
      <c r="K127">
        <v>0</v>
      </c>
      <c r="L127">
        <v>0</v>
      </c>
      <c r="M127">
        <v>1.2</v>
      </c>
      <c r="N127" s="7" t="e">
        <f>VLOOKUP(F127,HC!A$6:D$100,3,FALSE)</f>
        <v>#N/A</v>
      </c>
      <c r="O127" s="7" t="e">
        <f>VLOOKUP(F127,HC!A$6:D$1000,2,FALSE)</f>
        <v>#N/A</v>
      </c>
      <c r="P127" s="7"/>
      <c r="Q127" s="7"/>
      <c r="R127" t="s">
        <v>383</v>
      </c>
      <c r="U127">
        <f t="shared" si="3"/>
        <v>1395</v>
      </c>
    </row>
    <row r="128" spans="1:21" ht="37.5" customHeight="1" x14ac:dyDescent="0.25">
      <c r="A128" s="1">
        <v>44935</v>
      </c>
      <c r="B128" s="13">
        <v>2</v>
      </c>
      <c r="C128" t="s">
        <v>3</v>
      </c>
      <c r="D128" t="s">
        <v>4</v>
      </c>
      <c r="E128" t="s">
        <v>5</v>
      </c>
      <c r="F128" s="6">
        <v>112991231</v>
      </c>
      <c r="G128" t="s">
        <v>368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0.82</v>
      </c>
      <c r="N128" s="7" t="e">
        <f>VLOOKUP(F128,HC!A$6:D$100,3,FALSE)</f>
        <v>#N/A</v>
      </c>
      <c r="O128" s="7" t="e">
        <f>VLOOKUP(F128,HC!A$6:D$1000,2,FALSE)</f>
        <v>#N/A</v>
      </c>
      <c r="P128" s="7" t="s">
        <v>661</v>
      </c>
      <c r="Q128" s="7" t="s">
        <v>775</v>
      </c>
      <c r="R128" t="s">
        <v>232</v>
      </c>
      <c r="U128">
        <f t="shared" si="3"/>
        <v>1395</v>
      </c>
    </row>
    <row r="129" spans="1:21" ht="37.5" customHeight="1" x14ac:dyDescent="0.25">
      <c r="A129" s="1">
        <v>44935</v>
      </c>
      <c r="B129" s="13">
        <v>2</v>
      </c>
      <c r="C129" t="s">
        <v>3</v>
      </c>
      <c r="D129" t="s">
        <v>4</v>
      </c>
      <c r="E129" t="s">
        <v>5</v>
      </c>
      <c r="F129" s="6">
        <v>113014470</v>
      </c>
      <c r="G129" t="s">
        <v>374</v>
      </c>
      <c r="H129" t="s">
        <v>268</v>
      </c>
      <c r="I129">
        <v>0</v>
      </c>
      <c r="J129">
        <v>0</v>
      </c>
      <c r="K129">
        <v>0</v>
      </c>
      <c r="L129">
        <v>0</v>
      </c>
      <c r="M129">
        <v>0.22</v>
      </c>
      <c r="N129" s="7" t="e">
        <f>VLOOKUP(F129,HC!A$6:D$100,3,FALSE)</f>
        <v>#N/A</v>
      </c>
      <c r="O129" s="7" t="str">
        <f>VLOOKUP(F129,HC!A$6:D$1000,2,FALSE)</f>
        <v>lupaguin</v>
      </c>
      <c r="P129" s="7" t="s">
        <v>661</v>
      </c>
      <c r="Q129" s="7" t="s">
        <v>775</v>
      </c>
      <c r="R129" t="s">
        <v>232</v>
      </c>
      <c r="U129">
        <f t="shared" si="3"/>
        <v>23</v>
      </c>
    </row>
    <row r="130" spans="1:21" ht="37.5" customHeight="1" x14ac:dyDescent="0.25">
      <c r="A130" s="1">
        <v>44935</v>
      </c>
      <c r="B130" s="13">
        <v>2</v>
      </c>
      <c r="C130" t="s">
        <v>3</v>
      </c>
      <c r="D130" t="s">
        <v>4</v>
      </c>
      <c r="E130" t="s">
        <v>21</v>
      </c>
      <c r="F130" s="6">
        <v>200514885</v>
      </c>
      <c r="G130" t="s">
        <v>302</v>
      </c>
      <c r="H130" t="s">
        <v>47</v>
      </c>
      <c r="I130">
        <v>0</v>
      </c>
      <c r="J130">
        <v>0</v>
      </c>
      <c r="K130">
        <v>0</v>
      </c>
      <c r="L130">
        <v>0</v>
      </c>
      <c r="M130">
        <v>0.32</v>
      </c>
      <c r="N130" s="7" t="e">
        <f>VLOOKUP(F130,HC!A$6:D$100,3,FALSE)</f>
        <v>#N/A</v>
      </c>
      <c r="O130" s="7" t="e">
        <f>VLOOKUP(F130,HC!A$6:D$1000,2,FALSE)</f>
        <v>#N/A</v>
      </c>
      <c r="P130" s="7"/>
      <c r="Q130" s="7"/>
      <c r="R130" t="s">
        <v>386</v>
      </c>
      <c r="U130">
        <f t="shared" si="3"/>
        <v>1395</v>
      </c>
    </row>
    <row r="131" spans="1:21" ht="37.5" customHeight="1" x14ac:dyDescent="0.25">
      <c r="A131" s="1">
        <v>44935</v>
      </c>
      <c r="B131" s="13">
        <v>2</v>
      </c>
      <c r="C131" t="s">
        <v>3</v>
      </c>
      <c r="D131" t="s">
        <v>4</v>
      </c>
      <c r="E131" t="s">
        <v>21</v>
      </c>
      <c r="F131" s="6">
        <v>200588981</v>
      </c>
      <c r="G131" t="s">
        <v>381</v>
      </c>
      <c r="H131" t="s">
        <v>268</v>
      </c>
      <c r="I131">
        <v>0</v>
      </c>
      <c r="J131">
        <v>0</v>
      </c>
      <c r="K131">
        <v>0</v>
      </c>
      <c r="L131">
        <v>0</v>
      </c>
      <c r="M131">
        <v>0.06</v>
      </c>
      <c r="N131" s="7" t="e">
        <f>VLOOKUP(F131,HC!A$6:D$100,3,FALSE)</f>
        <v>#N/A</v>
      </c>
      <c r="O131" s="7" t="e">
        <f>VLOOKUP(F131,HC!A$6:D$1000,2,FALSE)</f>
        <v>#N/A</v>
      </c>
      <c r="P131" s="7" t="s">
        <v>661</v>
      </c>
      <c r="Q131" s="7" t="s">
        <v>681</v>
      </c>
      <c r="R131" t="s">
        <v>234</v>
      </c>
      <c r="U131">
        <f t="shared" ref="U131:U194" si="4">COUNTIF(O$2:O$4999,O131)</f>
        <v>1395</v>
      </c>
    </row>
    <row r="132" spans="1:21" ht="37.5" customHeight="1" x14ac:dyDescent="0.25">
      <c r="A132" s="1">
        <v>44935</v>
      </c>
      <c r="B132" s="13">
        <v>2</v>
      </c>
      <c r="C132" t="s">
        <v>3</v>
      </c>
      <c r="D132" t="s">
        <v>4</v>
      </c>
      <c r="E132" t="s">
        <v>5</v>
      </c>
      <c r="F132" s="6">
        <v>113020667</v>
      </c>
      <c r="G132" t="s">
        <v>380</v>
      </c>
      <c r="H132" t="s">
        <v>268</v>
      </c>
      <c r="I132">
        <v>0</v>
      </c>
      <c r="J132">
        <v>0</v>
      </c>
      <c r="K132">
        <v>0</v>
      </c>
      <c r="L132">
        <v>0</v>
      </c>
      <c r="M132">
        <v>0.17</v>
      </c>
      <c r="N132" s="7" t="e">
        <f>VLOOKUP(F132,HC!A$6:D$100,3,FALSE)</f>
        <v>#N/A</v>
      </c>
      <c r="O132" s="7" t="str">
        <f>VLOOKUP(F132,HC!A$6:D$1000,2,FALSE)</f>
        <v>mavpauli</v>
      </c>
      <c r="P132" s="7" t="s">
        <v>665</v>
      </c>
      <c r="Q132" s="7" t="s">
        <v>722</v>
      </c>
      <c r="R132" t="s">
        <v>384</v>
      </c>
      <c r="U132">
        <f t="shared" si="4"/>
        <v>12</v>
      </c>
    </row>
    <row r="133" spans="1:21" ht="37.5" customHeight="1" x14ac:dyDescent="0.25">
      <c r="A133" s="1">
        <v>44935</v>
      </c>
      <c r="B133" s="13">
        <v>2</v>
      </c>
      <c r="C133" t="s">
        <v>3</v>
      </c>
      <c r="D133" t="s">
        <v>4</v>
      </c>
      <c r="E133" t="s">
        <v>21</v>
      </c>
      <c r="F133" s="6">
        <v>200625027</v>
      </c>
      <c r="G133" t="s">
        <v>382</v>
      </c>
      <c r="H133" t="s">
        <v>47</v>
      </c>
      <c r="I133">
        <v>0</v>
      </c>
      <c r="J133">
        <v>0</v>
      </c>
      <c r="K133">
        <v>0</v>
      </c>
      <c r="L133">
        <v>0</v>
      </c>
      <c r="M133">
        <v>0.22</v>
      </c>
      <c r="N133" s="7" t="e">
        <f>VLOOKUP(F133,HC!A$6:D$100,3,FALSE)</f>
        <v>#N/A</v>
      </c>
      <c r="O133" s="7" t="e">
        <f>VLOOKUP(F133,HC!A$6:D$1000,2,FALSE)</f>
        <v>#N/A</v>
      </c>
      <c r="P133" s="7"/>
      <c r="Q133" s="7"/>
      <c r="R133" t="s">
        <v>350</v>
      </c>
      <c r="U133">
        <f t="shared" si="4"/>
        <v>1395</v>
      </c>
    </row>
    <row r="134" spans="1:21" ht="37.5" customHeight="1" x14ac:dyDescent="0.25">
      <c r="A134" s="1">
        <v>44935</v>
      </c>
      <c r="B134" s="13">
        <v>2</v>
      </c>
      <c r="C134" t="s">
        <v>3</v>
      </c>
      <c r="D134" t="s">
        <v>4</v>
      </c>
      <c r="E134" t="s">
        <v>5</v>
      </c>
      <c r="F134" s="6">
        <v>113014007</v>
      </c>
      <c r="G134" t="s">
        <v>379</v>
      </c>
      <c r="H134" t="s">
        <v>268</v>
      </c>
      <c r="I134">
        <v>0</v>
      </c>
      <c r="J134">
        <v>0</v>
      </c>
      <c r="K134">
        <v>0</v>
      </c>
      <c r="L134">
        <v>0</v>
      </c>
      <c r="M134">
        <v>0.65</v>
      </c>
      <c r="N134" s="7" t="e">
        <f>VLOOKUP(F134,HC!A$6:D$100,3,FALSE)</f>
        <v>#N/A</v>
      </c>
      <c r="O134" s="7" t="e">
        <f>VLOOKUP(F134,HC!A$6:D$1000,2,FALSE)</f>
        <v>#N/A</v>
      </c>
      <c r="P134" s="7" t="s">
        <v>662</v>
      </c>
      <c r="Q134" s="7"/>
      <c r="R134" t="s">
        <v>385</v>
      </c>
      <c r="U134">
        <f t="shared" si="4"/>
        <v>1395</v>
      </c>
    </row>
    <row r="135" spans="1:21" ht="37.5" customHeight="1" x14ac:dyDescent="0.25">
      <c r="A135" s="1">
        <v>44935</v>
      </c>
      <c r="B135" s="13">
        <v>2</v>
      </c>
      <c r="C135" t="s">
        <v>3</v>
      </c>
      <c r="D135" t="s">
        <v>4</v>
      </c>
      <c r="E135" t="s">
        <v>21</v>
      </c>
      <c r="F135" s="6">
        <v>200514421</v>
      </c>
      <c r="G135" t="s">
        <v>301</v>
      </c>
      <c r="H135" t="s">
        <v>44</v>
      </c>
      <c r="I135">
        <v>0</v>
      </c>
      <c r="J135">
        <v>0</v>
      </c>
      <c r="K135">
        <v>0</v>
      </c>
      <c r="L135">
        <v>0</v>
      </c>
      <c r="M135">
        <v>1.31</v>
      </c>
      <c r="N135" s="7" t="e">
        <f>VLOOKUP(F135,HC!A$6:D$100,3,FALSE)</f>
        <v>#N/A</v>
      </c>
      <c r="O135" s="7" t="str">
        <f>VLOOKUP(F135,HC!A$6:D$1000,2,FALSE)</f>
        <v>padillms</v>
      </c>
      <c r="P135" s="7" t="s">
        <v>666</v>
      </c>
      <c r="Q135" s="7" t="s">
        <v>768</v>
      </c>
      <c r="R135" t="s">
        <v>345</v>
      </c>
      <c r="U135">
        <f t="shared" si="4"/>
        <v>21</v>
      </c>
    </row>
    <row r="136" spans="1:21" ht="37.5" customHeight="1" x14ac:dyDescent="0.25">
      <c r="A136" s="1">
        <v>44935</v>
      </c>
      <c r="B136" s="13">
        <v>2</v>
      </c>
      <c r="C136" t="s">
        <v>3</v>
      </c>
      <c r="D136" t="s">
        <v>4</v>
      </c>
      <c r="E136" t="s">
        <v>5</v>
      </c>
      <c r="F136" s="6">
        <v>113101453</v>
      </c>
      <c r="G136" t="s">
        <v>50</v>
      </c>
      <c r="H136" t="s">
        <v>47</v>
      </c>
      <c r="I136">
        <v>0</v>
      </c>
      <c r="J136">
        <v>0</v>
      </c>
      <c r="K136">
        <v>0</v>
      </c>
      <c r="L136">
        <v>0</v>
      </c>
      <c r="M136">
        <v>0.06</v>
      </c>
      <c r="N136" s="7" t="e">
        <f>VLOOKUP(F136,HC!A$6:D$100,3,FALSE)</f>
        <v>#N/A</v>
      </c>
      <c r="O136" s="7" t="str">
        <f>VLOOKUP(F136,HC!A$6:D$1000,2,FALSE)</f>
        <v>qisgeova</v>
      </c>
      <c r="P136" s="7" t="s">
        <v>661</v>
      </c>
      <c r="Q136" s="7" t="s">
        <v>681</v>
      </c>
      <c r="R136" t="s">
        <v>234</v>
      </c>
      <c r="U136">
        <f t="shared" si="4"/>
        <v>57</v>
      </c>
    </row>
    <row r="137" spans="1:21" ht="37.5" customHeight="1" x14ac:dyDescent="0.25">
      <c r="A137" s="1">
        <v>44935</v>
      </c>
      <c r="B137" s="13">
        <v>2</v>
      </c>
      <c r="C137" t="s">
        <v>3</v>
      </c>
      <c r="D137" t="s">
        <v>4</v>
      </c>
      <c r="E137" t="s">
        <v>5</v>
      </c>
      <c r="F137" s="6">
        <v>113014403</v>
      </c>
      <c r="G137" t="s">
        <v>373</v>
      </c>
      <c r="H137" t="s">
        <v>268</v>
      </c>
      <c r="I137">
        <v>0</v>
      </c>
      <c r="J137">
        <v>0</v>
      </c>
      <c r="K137">
        <v>0</v>
      </c>
      <c r="L137">
        <v>0</v>
      </c>
      <c r="M137">
        <v>0.19</v>
      </c>
      <c r="N137" s="7" t="e">
        <f>VLOOKUP(F137,HC!A$6:D$100,3,FALSE)</f>
        <v>#N/A</v>
      </c>
      <c r="O137" s="7" t="str">
        <f>VLOOKUP(F137,HC!A$6:D$1000,2,FALSE)</f>
        <v>wnoraria</v>
      </c>
      <c r="P137" s="7" t="s">
        <v>661</v>
      </c>
      <c r="Q137" s="7" t="s">
        <v>681</v>
      </c>
      <c r="R137" t="s">
        <v>234</v>
      </c>
      <c r="U137">
        <f t="shared" si="4"/>
        <v>23</v>
      </c>
    </row>
    <row r="138" spans="1:21" ht="37.5" customHeight="1" x14ac:dyDescent="0.25">
      <c r="A138" s="1">
        <v>44935</v>
      </c>
      <c r="B138" s="13">
        <v>2</v>
      </c>
      <c r="C138" t="s">
        <v>3</v>
      </c>
      <c r="D138" t="s">
        <v>4</v>
      </c>
      <c r="E138" t="s">
        <v>5</v>
      </c>
      <c r="F138" s="6">
        <v>200404250</v>
      </c>
      <c r="G138" t="s">
        <v>51</v>
      </c>
      <c r="H138" t="s">
        <v>44</v>
      </c>
      <c r="I138">
        <v>0</v>
      </c>
      <c r="J138">
        <v>0</v>
      </c>
      <c r="K138">
        <v>0</v>
      </c>
      <c r="L138">
        <v>0</v>
      </c>
      <c r="M138">
        <v>0.53</v>
      </c>
      <c r="N138" s="7" t="e">
        <f>VLOOKUP(F138,HC!A$6:D$100,3,FALSE)</f>
        <v>#N/A</v>
      </c>
      <c r="O138" s="7" t="str">
        <f>VLOOKUP(F138,HC!A$6:D$1000,2,FALSE)</f>
        <v>xcathurt</v>
      </c>
      <c r="P138" s="7" t="s">
        <v>662</v>
      </c>
      <c r="Q138" s="7" t="s">
        <v>785</v>
      </c>
      <c r="R138" t="s">
        <v>235</v>
      </c>
      <c r="U138">
        <f t="shared" si="4"/>
        <v>124</v>
      </c>
    </row>
    <row r="139" spans="1:21" ht="37.5" customHeight="1" x14ac:dyDescent="0.25">
      <c r="A139" s="1">
        <v>44936</v>
      </c>
      <c r="B139" s="13">
        <v>2</v>
      </c>
      <c r="C139" t="s">
        <v>3</v>
      </c>
      <c r="D139" t="s">
        <v>4</v>
      </c>
      <c r="E139" t="s">
        <v>21</v>
      </c>
      <c r="F139" s="6">
        <v>200513485</v>
      </c>
      <c r="G139" t="s">
        <v>388</v>
      </c>
      <c r="H139" t="s">
        <v>7</v>
      </c>
      <c r="I139">
        <v>0</v>
      </c>
      <c r="J139">
        <v>0</v>
      </c>
      <c r="K139">
        <v>0</v>
      </c>
      <c r="L139">
        <v>0</v>
      </c>
      <c r="M139">
        <v>0.13</v>
      </c>
      <c r="N139" s="7" t="e">
        <f>VLOOKUP(F139,HC!A$6:D$100,3,FALSE)</f>
        <v>#N/A</v>
      </c>
      <c r="O139" s="7" t="e">
        <f>VLOOKUP(F139,HC!A$6:D$1000,2,FALSE)</f>
        <v>#N/A</v>
      </c>
      <c r="P139" s="7" t="s">
        <v>662</v>
      </c>
      <c r="Q139" s="7" t="s">
        <v>691</v>
      </c>
      <c r="R139" t="s">
        <v>393</v>
      </c>
      <c r="U139">
        <f t="shared" si="4"/>
        <v>1395</v>
      </c>
    </row>
    <row r="140" spans="1:21" ht="37.5" customHeight="1" x14ac:dyDescent="0.25">
      <c r="A140" s="1">
        <v>44936</v>
      </c>
      <c r="B140" s="13">
        <v>2</v>
      </c>
      <c r="C140" t="s">
        <v>3</v>
      </c>
      <c r="D140" t="s">
        <v>4</v>
      </c>
      <c r="E140" t="s">
        <v>21</v>
      </c>
      <c r="F140" s="6">
        <v>200565197</v>
      </c>
      <c r="G140" t="s">
        <v>389</v>
      </c>
      <c r="H140" t="s">
        <v>44</v>
      </c>
      <c r="I140">
        <v>0</v>
      </c>
      <c r="J140">
        <v>0</v>
      </c>
      <c r="K140">
        <v>0</v>
      </c>
      <c r="L140">
        <v>0</v>
      </c>
      <c r="M140">
        <v>0.08</v>
      </c>
      <c r="N140" s="7" t="e">
        <f>VLOOKUP(F140,HC!A$6:D$100,3,FALSE)</f>
        <v>#N/A</v>
      </c>
      <c r="O140" s="7" t="e">
        <f>VLOOKUP(F140,HC!A$6:D$1000,2,FALSE)</f>
        <v>#N/A</v>
      </c>
      <c r="P140" s="7"/>
      <c r="Q140" s="7"/>
      <c r="R140" t="s">
        <v>236</v>
      </c>
      <c r="U140">
        <f t="shared" si="4"/>
        <v>1395</v>
      </c>
    </row>
    <row r="141" spans="1:21" ht="37.5" customHeight="1" x14ac:dyDescent="0.25">
      <c r="A141" s="1">
        <v>44936</v>
      </c>
      <c r="B141" s="13">
        <v>2</v>
      </c>
      <c r="C141" t="s">
        <v>3</v>
      </c>
      <c r="D141" t="s">
        <v>4</v>
      </c>
      <c r="E141" t="s">
        <v>5</v>
      </c>
      <c r="F141" s="6">
        <v>112971965</v>
      </c>
      <c r="G141" t="s">
        <v>327</v>
      </c>
      <c r="H141" t="s">
        <v>24</v>
      </c>
      <c r="I141">
        <v>0</v>
      </c>
      <c r="J141">
        <v>0</v>
      </c>
      <c r="K141">
        <v>0</v>
      </c>
      <c r="L141">
        <v>0</v>
      </c>
      <c r="M141">
        <v>0.13</v>
      </c>
      <c r="N141" s="7" t="e">
        <f>VLOOKUP(F141,HC!A$6:D$100,3,FALSE)</f>
        <v>#N/A</v>
      </c>
      <c r="O141" s="7" t="e">
        <f>VLOOKUP(F141,HC!A$6:D$1000,2,FALSE)</f>
        <v>#N/A</v>
      </c>
      <c r="P141" s="7" t="s">
        <v>661</v>
      </c>
      <c r="Q141" s="7" t="s">
        <v>681</v>
      </c>
      <c r="R141" t="s">
        <v>234</v>
      </c>
      <c r="U141">
        <f t="shared" si="4"/>
        <v>1395</v>
      </c>
    </row>
    <row r="142" spans="1:21" ht="37.5" customHeight="1" x14ac:dyDescent="0.25">
      <c r="A142" s="1">
        <v>44936</v>
      </c>
      <c r="B142" s="13">
        <v>2</v>
      </c>
      <c r="C142" t="s">
        <v>3</v>
      </c>
      <c r="D142" t="s">
        <v>4</v>
      </c>
      <c r="E142" t="s">
        <v>5</v>
      </c>
      <c r="F142" s="6">
        <v>113040583</v>
      </c>
      <c r="G142" t="s">
        <v>387</v>
      </c>
      <c r="H142" t="s">
        <v>317</v>
      </c>
      <c r="I142">
        <v>0</v>
      </c>
      <c r="J142">
        <v>0</v>
      </c>
      <c r="K142">
        <v>0</v>
      </c>
      <c r="L142">
        <v>0</v>
      </c>
      <c r="M142">
        <v>1.62</v>
      </c>
      <c r="N142" s="7" t="e">
        <f>VLOOKUP(F142,HC!A$6:D$100,3,FALSE)</f>
        <v>#N/A</v>
      </c>
      <c r="O142" s="7" t="e">
        <f>VLOOKUP(F142,HC!A$6:D$1000,2,FALSE)</f>
        <v>#N/A</v>
      </c>
      <c r="P142" s="7" t="s">
        <v>664</v>
      </c>
      <c r="Q142" s="7" t="s">
        <v>713</v>
      </c>
      <c r="R142" t="s">
        <v>343</v>
      </c>
      <c r="U142">
        <f t="shared" si="4"/>
        <v>1395</v>
      </c>
    </row>
    <row r="143" spans="1:21" ht="37.5" customHeight="1" x14ac:dyDescent="0.25">
      <c r="A143" s="1">
        <v>44936</v>
      </c>
      <c r="B143" s="13">
        <v>2</v>
      </c>
      <c r="C143" t="s">
        <v>3</v>
      </c>
      <c r="D143" t="s">
        <v>4</v>
      </c>
      <c r="E143" t="s">
        <v>5</v>
      </c>
      <c r="F143" s="6">
        <v>112991231</v>
      </c>
      <c r="G143" t="s">
        <v>368</v>
      </c>
      <c r="H143" t="s">
        <v>17</v>
      </c>
      <c r="I143">
        <v>0</v>
      </c>
      <c r="J143">
        <v>0</v>
      </c>
      <c r="K143">
        <v>0</v>
      </c>
      <c r="L143">
        <v>0</v>
      </c>
      <c r="M143">
        <v>0.24</v>
      </c>
      <c r="N143" s="7" t="e">
        <f>VLOOKUP(F143,HC!A$6:D$100,3,FALSE)</f>
        <v>#N/A</v>
      </c>
      <c r="O143" s="7" t="e">
        <f>VLOOKUP(F143,HC!A$6:D$1000,2,FALSE)</f>
        <v>#N/A</v>
      </c>
      <c r="P143" s="7"/>
      <c r="Q143" s="7"/>
      <c r="R143" t="s">
        <v>391</v>
      </c>
      <c r="U143">
        <f t="shared" si="4"/>
        <v>1395</v>
      </c>
    </row>
    <row r="144" spans="1:21" ht="37.5" customHeight="1" x14ac:dyDescent="0.25">
      <c r="A144" s="1">
        <v>44936</v>
      </c>
      <c r="B144" s="13">
        <v>2</v>
      </c>
      <c r="C144" t="s">
        <v>3</v>
      </c>
      <c r="D144" t="s">
        <v>4</v>
      </c>
      <c r="E144" t="s">
        <v>5</v>
      </c>
      <c r="F144" s="6">
        <v>113020667</v>
      </c>
      <c r="G144" t="s">
        <v>380</v>
      </c>
      <c r="H144" t="s">
        <v>268</v>
      </c>
      <c r="I144">
        <v>0</v>
      </c>
      <c r="J144">
        <v>0</v>
      </c>
      <c r="K144">
        <v>0</v>
      </c>
      <c r="L144">
        <v>0</v>
      </c>
      <c r="M144">
        <v>0.11</v>
      </c>
      <c r="N144" s="7" t="e">
        <f>VLOOKUP(F144,HC!A$6:D$100,3,FALSE)</f>
        <v>#N/A</v>
      </c>
      <c r="O144" s="7" t="str">
        <f>VLOOKUP(F144,HC!A$6:D$1000,2,FALSE)</f>
        <v>mavpauli</v>
      </c>
      <c r="P144" s="7" t="s">
        <v>665</v>
      </c>
      <c r="Q144" s="7" t="s">
        <v>722</v>
      </c>
      <c r="R144" t="s">
        <v>384</v>
      </c>
      <c r="U144">
        <f t="shared" si="4"/>
        <v>12</v>
      </c>
    </row>
    <row r="145" spans="1:26" ht="37.5" customHeight="1" x14ac:dyDescent="0.25">
      <c r="A145" s="1">
        <v>44936</v>
      </c>
      <c r="B145" s="13">
        <v>2</v>
      </c>
      <c r="C145" t="s">
        <v>3</v>
      </c>
      <c r="D145" t="s">
        <v>4</v>
      </c>
      <c r="E145" t="s">
        <v>5</v>
      </c>
      <c r="F145" s="6">
        <v>112981061</v>
      </c>
      <c r="G145" t="s">
        <v>264</v>
      </c>
      <c r="H145" t="s">
        <v>44</v>
      </c>
      <c r="I145">
        <v>0</v>
      </c>
      <c r="J145">
        <v>0</v>
      </c>
      <c r="K145">
        <v>0</v>
      </c>
      <c r="L145">
        <v>0</v>
      </c>
      <c r="M145">
        <v>0.14000000000000001</v>
      </c>
      <c r="N145" s="7" t="str">
        <f>VLOOKUP(F145,HC!A$6:D$100,3,FALSE)</f>
        <v>DA-X0700</v>
      </c>
      <c r="O145" s="7" t="str">
        <f>VLOOKUP(F145,HC!A$6:D$1000,2,FALSE)</f>
        <v>mclaudol</v>
      </c>
      <c r="P145" s="7" t="s">
        <v>661</v>
      </c>
      <c r="Q145" s="7" t="s">
        <v>681</v>
      </c>
      <c r="R145" t="s">
        <v>234</v>
      </c>
      <c r="U145">
        <f t="shared" si="4"/>
        <v>44</v>
      </c>
      <c r="Z145">
        <v>100</v>
      </c>
    </row>
    <row r="146" spans="1:26" ht="37.5" customHeight="1" x14ac:dyDescent="0.25">
      <c r="A146" s="1">
        <v>44936</v>
      </c>
      <c r="B146" s="13">
        <v>2</v>
      </c>
      <c r="C146" t="s">
        <v>3</v>
      </c>
      <c r="D146" t="s">
        <v>4</v>
      </c>
      <c r="E146" t="s">
        <v>5</v>
      </c>
      <c r="F146" s="6">
        <v>112912163</v>
      </c>
      <c r="G146" t="s">
        <v>294</v>
      </c>
      <c r="H146" t="s">
        <v>47</v>
      </c>
      <c r="I146">
        <v>0</v>
      </c>
      <c r="J146">
        <v>0</v>
      </c>
      <c r="K146">
        <v>0</v>
      </c>
      <c r="L146">
        <v>0</v>
      </c>
      <c r="M146">
        <v>0.18</v>
      </c>
      <c r="N146" s="7" t="e">
        <f>VLOOKUP(F146,HC!A$6:D$100,3,FALSE)</f>
        <v>#N/A</v>
      </c>
      <c r="O146" s="7" t="e">
        <f>VLOOKUP(F146,HC!A$6:D$1000,2,FALSE)</f>
        <v>#N/A</v>
      </c>
      <c r="P146" s="7" t="s">
        <v>675</v>
      </c>
      <c r="Q146" s="7"/>
      <c r="R146" t="s">
        <v>362</v>
      </c>
      <c r="U146">
        <f t="shared" si="4"/>
        <v>1395</v>
      </c>
      <c r="Z146" t="e">
        <f>Y146*Z145/Y145</f>
        <v>#DIV/0!</v>
      </c>
    </row>
    <row r="147" spans="1:26" ht="37.5" customHeight="1" x14ac:dyDescent="0.25">
      <c r="A147" s="1">
        <v>44936</v>
      </c>
      <c r="B147" s="13">
        <v>2</v>
      </c>
      <c r="C147" t="s">
        <v>3</v>
      </c>
      <c r="D147" t="s">
        <v>4</v>
      </c>
      <c r="E147" t="s">
        <v>5</v>
      </c>
      <c r="F147" s="6">
        <v>112912459</v>
      </c>
      <c r="G147" t="s">
        <v>365</v>
      </c>
      <c r="H147" t="s">
        <v>9</v>
      </c>
      <c r="I147">
        <v>0</v>
      </c>
      <c r="J147">
        <v>0</v>
      </c>
      <c r="K147">
        <v>0</v>
      </c>
      <c r="L147">
        <v>0</v>
      </c>
      <c r="M147">
        <v>0.56000000000000005</v>
      </c>
      <c r="N147" s="7" t="e">
        <f>VLOOKUP(F147,HC!A$6:D$100,3,FALSE)</f>
        <v>#N/A</v>
      </c>
      <c r="O147" s="7" t="e">
        <f>VLOOKUP(F147,HC!A$6:D$1000,2,FALSE)</f>
        <v>#N/A</v>
      </c>
      <c r="P147" s="7"/>
      <c r="Q147" s="7"/>
      <c r="R147" t="s">
        <v>351</v>
      </c>
      <c r="U147">
        <f t="shared" si="4"/>
        <v>1395</v>
      </c>
    </row>
    <row r="148" spans="1:26" ht="37.5" customHeight="1" x14ac:dyDescent="0.25">
      <c r="A148" s="1">
        <v>44936</v>
      </c>
      <c r="B148" s="13">
        <v>2</v>
      </c>
      <c r="C148" t="s">
        <v>3</v>
      </c>
      <c r="D148" t="s">
        <v>4</v>
      </c>
      <c r="E148" t="s">
        <v>21</v>
      </c>
      <c r="F148" s="6">
        <v>200609384</v>
      </c>
      <c r="G148" t="s">
        <v>390</v>
      </c>
      <c r="H148" t="s">
        <v>268</v>
      </c>
      <c r="I148">
        <v>0</v>
      </c>
      <c r="J148">
        <v>0</v>
      </c>
      <c r="K148">
        <v>0</v>
      </c>
      <c r="L148">
        <v>0</v>
      </c>
      <c r="M148">
        <v>0.21</v>
      </c>
      <c r="N148" s="7" t="e">
        <f>VLOOKUP(F148,HC!A$6:D$100,3,FALSE)</f>
        <v>#N/A</v>
      </c>
      <c r="O148" s="7" t="str">
        <f>VLOOKUP(F148,HC!A$6:D$1000,2,FALSE)</f>
        <v>ohergise</v>
      </c>
      <c r="P148" s="7" t="s">
        <v>668</v>
      </c>
      <c r="Q148" s="7" t="s">
        <v>732</v>
      </c>
      <c r="R148" t="s">
        <v>394</v>
      </c>
      <c r="U148">
        <f t="shared" si="4"/>
        <v>2</v>
      </c>
    </row>
    <row r="149" spans="1:26" ht="37.5" customHeight="1" x14ac:dyDescent="0.25">
      <c r="A149" s="1">
        <v>44936</v>
      </c>
      <c r="B149" s="13">
        <v>2</v>
      </c>
      <c r="C149" t="s">
        <v>3</v>
      </c>
      <c r="D149" t="s">
        <v>4</v>
      </c>
      <c r="E149" t="s">
        <v>5</v>
      </c>
      <c r="F149" s="6">
        <v>113020476</v>
      </c>
      <c r="G149" t="s">
        <v>330</v>
      </c>
      <c r="H149" t="s">
        <v>24</v>
      </c>
      <c r="I149">
        <v>0</v>
      </c>
      <c r="J149">
        <v>0</v>
      </c>
      <c r="K149">
        <v>0</v>
      </c>
      <c r="L149">
        <v>0</v>
      </c>
      <c r="M149">
        <v>0.13</v>
      </c>
      <c r="N149" s="7" t="e">
        <f>VLOOKUP(F149,HC!A$6:D$100,3,FALSE)</f>
        <v>#N/A</v>
      </c>
      <c r="O149" s="7" t="str">
        <f>VLOOKUP(F149,HC!A$6:D$1000,2,FALSE)</f>
        <v>polettpu</v>
      </c>
      <c r="P149" s="7"/>
      <c r="Q149" s="7"/>
      <c r="R149" t="s">
        <v>392</v>
      </c>
      <c r="U149">
        <f t="shared" si="4"/>
        <v>55</v>
      </c>
    </row>
    <row r="150" spans="1:26" ht="37.5" customHeight="1" x14ac:dyDescent="0.25">
      <c r="A150" s="1">
        <v>44936</v>
      </c>
      <c r="B150" s="13">
        <v>2</v>
      </c>
      <c r="C150" t="s">
        <v>3</v>
      </c>
      <c r="D150" t="s">
        <v>4</v>
      </c>
      <c r="E150" t="s">
        <v>21</v>
      </c>
      <c r="F150" s="6">
        <v>200625517</v>
      </c>
      <c r="G150" t="s">
        <v>323</v>
      </c>
      <c r="H150" t="s">
        <v>49</v>
      </c>
      <c r="I150">
        <v>0</v>
      </c>
      <c r="J150">
        <v>0</v>
      </c>
      <c r="K150">
        <v>0</v>
      </c>
      <c r="L150">
        <v>0</v>
      </c>
      <c r="M150">
        <v>0.17</v>
      </c>
      <c r="N150" s="7" t="e">
        <f>VLOOKUP(F150,HC!A$6:D$100,3,FALSE)</f>
        <v>#N/A</v>
      </c>
      <c r="O150" s="7" t="e">
        <f>VLOOKUP(F150,HC!A$6:D$1000,2,FALSE)</f>
        <v>#N/A</v>
      </c>
      <c r="P150" s="7"/>
      <c r="Q150" s="7"/>
      <c r="R150" t="s">
        <v>361</v>
      </c>
      <c r="U150">
        <f t="shared" si="4"/>
        <v>1395</v>
      </c>
    </row>
    <row r="151" spans="1:26" ht="37.5" customHeight="1" x14ac:dyDescent="0.25">
      <c r="A151" s="1">
        <v>44936</v>
      </c>
      <c r="B151" s="13">
        <v>2</v>
      </c>
      <c r="C151" t="s">
        <v>3</v>
      </c>
      <c r="D151" t="s">
        <v>4</v>
      </c>
      <c r="E151" t="s">
        <v>5</v>
      </c>
      <c r="F151" s="6">
        <v>113014046</v>
      </c>
      <c r="G151" t="s">
        <v>370</v>
      </c>
      <c r="H151" t="s">
        <v>14</v>
      </c>
      <c r="I151">
        <v>0</v>
      </c>
      <c r="J151">
        <v>0</v>
      </c>
      <c r="K151">
        <v>0</v>
      </c>
      <c r="L151">
        <v>0</v>
      </c>
      <c r="M151">
        <v>1.25</v>
      </c>
      <c r="N151" s="7" t="e">
        <f>VLOOKUP(F151,HC!A$6:D$100,3,FALSE)</f>
        <v>#N/A</v>
      </c>
      <c r="O151" s="7" t="e">
        <f>VLOOKUP(F151,HC!A$6:D$1000,2,FALSE)</f>
        <v>#N/A</v>
      </c>
      <c r="P151" s="7"/>
      <c r="Q151" s="7"/>
      <c r="R151" t="s">
        <v>351</v>
      </c>
      <c r="U151">
        <f t="shared" si="4"/>
        <v>1395</v>
      </c>
    </row>
    <row r="152" spans="1:26" ht="37.5" customHeight="1" x14ac:dyDescent="0.25">
      <c r="A152" s="1">
        <v>44936</v>
      </c>
      <c r="B152" s="13">
        <v>2</v>
      </c>
      <c r="C152" t="s">
        <v>3</v>
      </c>
      <c r="D152" t="s">
        <v>4</v>
      </c>
      <c r="E152" t="s">
        <v>5</v>
      </c>
      <c r="F152" s="6">
        <v>112912752</v>
      </c>
      <c r="G152" t="s">
        <v>251</v>
      </c>
      <c r="H152" t="s">
        <v>14</v>
      </c>
      <c r="I152">
        <v>0</v>
      </c>
      <c r="J152">
        <v>0</v>
      </c>
      <c r="K152">
        <v>0</v>
      </c>
      <c r="L152">
        <v>0</v>
      </c>
      <c r="M152">
        <v>0.14000000000000001</v>
      </c>
      <c r="N152" s="7" t="str">
        <f>VLOOKUP(F152,HC!A$6:D$100,3,FALSE)</f>
        <v>NF-X1900</v>
      </c>
      <c r="O152" s="7" t="str">
        <f>VLOOKUP(F152,HC!A$6:D$1000,2,FALSE)</f>
        <v>valderle</v>
      </c>
      <c r="P152" s="7" t="s">
        <v>661</v>
      </c>
      <c r="Q152" s="7" t="s">
        <v>681</v>
      </c>
      <c r="R152" t="s">
        <v>234</v>
      </c>
      <c r="U152">
        <f t="shared" si="4"/>
        <v>50</v>
      </c>
    </row>
    <row r="153" spans="1:26" ht="37.5" customHeight="1" x14ac:dyDescent="0.25">
      <c r="A153" s="1">
        <v>44937</v>
      </c>
      <c r="B153" s="13">
        <v>2</v>
      </c>
      <c r="C153" t="s">
        <v>3</v>
      </c>
      <c r="D153" t="s">
        <v>4</v>
      </c>
      <c r="E153" t="s">
        <v>5</v>
      </c>
      <c r="F153" s="6">
        <v>112980899</v>
      </c>
      <c r="G153" t="s">
        <v>396</v>
      </c>
      <c r="H153" t="s">
        <v>17</v>
      </c>
      <c r="I153">
        <v>0</v>
      </c>
      <c r="J153">
        <v>0</v>
      </c>
      <c r="K153">
        <v>0</v>
      </c>
      <c r="L153">
        <v>0</v>
      </c>
      <c r="M153">
        <v>0.95</v>
      </c>
      <c r="N153" s="7" t="str">
        <f>VLOOKUP(F153,HC!A$6:D$100,3,FALSE)</f>
        <v>NF-X1900</v>
      </c>
      <c r="O153" s="7" t="str">
        <f>VLOOKUP(F153,HC!A$6:D$1000,2,FALSE)</f>
        <v>aravilac</v>
      </c>
      <c r="P153" s="7" t="s">
        <v>664</v>
      </c>
      <c r="Q153" s="7" t="s">
        <v>708</v>
      </c>
      <c r="R153" t="s">
        <v>409</v>
      </c>
      <c r="U153">
        <f t="shared" si="4"/>
        <v>33</v>
      </c>
    </row>
    <row r="154" spans="1:26" ht="37.5" customHeight="1" x14ac:dyDescent="0.25">
      <c r="A154" s="1">
        <v>44937</v>
      </c>
      <c r="B154" s="13">
        <v>2</v>
      </c>
      <c r="C154" t="s">
        <v>3</v>
      </c>
      <c r="D154" t="s">
        <v>4</v>
      </c>
      <c r="E154" t="s">
        <v>5</v>
      </c>
      <c r="F154" s="6">
        <v>112971962</v>
      </c>
      <c r="G154" t="s">
        <v>338</v>
      </c>
      <c r="H154" t="s">
        <v>49</v>
      </c>
      <c r="I154">
        <v>0</v>
      </c>
      <c r="J154">
        <v>0</v>
      </c>
      <c r="K154">
        <v>0</v>
      </c>
      <c r="L154">
        <v>0</v>
      </c>
      <c r="M154">
        <v>0.28000000000000003</v>
      </c>
      <c r="N154" s="7" t="str">
        <f>VLOOKUP(F154,HC!A$6:D$100,3,FALSE)</f>
        <v>DB-X0700</v>
      </c>
      <c r="O154" s="7" t="str">
        <f>VLOOKUP(F154,HC!A$6:D$1000,2,FALSE)</f>
        <v>creyesal</v>
      </c>
      <c r="P154" s="7" t="s">
        <v>661</v>
      </c>
      <c r="Q154" s="7" t="s">
        <v>681</v>
      </c>
      <c r="R154" t="s">
        <v>10</v>
      </c>
      <c r="U154">
        <f t="shared" si="4"/>
        <v>38</v>
      </c>
    </row>
    <row r="155" spans="1:26" ht="37.5" customHeight="1" x14ac:dyDescent="0.25">
      <c r="A155" s="1">
        <v>44937</v>
      </c>
      <c r="B155" s="13">
        <v>2</v>
      </c>
      <c r="C155" t="s">
        <v>3</v>
      </c>
      <c r="D155" t="s">
        <v>4</v>
      </c>
      <c r="E155" t="s">
        <v>21</v>
      </c>
      <c r="F155" s="6">
        <v>200508371</v>
      </c>
      <c r="G155" t="s">
        <v>339</v>
      </c>
      <c r="H155" t="s">
        <v>24</v>
      </c>
      <c r="I155">
        <v>0</v>
      </c>
      <c r="J155">
        <v>0</v>
      </c>
      <c r="K155">
        <v>0</v>
      </c>
      <c r="L155">
        <v>0</v>
      </c>
      <c r="M155">
        <v>0.24</v>
      </c>
      <c r="N155" s="7" t="e">
        <f>VLOOKUP(F155,HC!A$6:D$100,3,FALSE)</f>
        <v>#N/A</v>
      </c>
      <c r="O155" s="7" t="e">
        <f>VLOOKUP(F155,HC!A$6:D$1000,2,FALSE)</f>
        <v>#N/A</v>
      </c>
      <c r="P155" s="7" t="s">
        <v>661</v>
      </c>
      <c r="Q155" s="7" t="s">
        <v>681</v>
      </c>
      <c r="R155" t="s">
        <v>10</v>
      </c>
      <c r="U155">
        <f t="shared" si="4"/>
        <v>1395</v>
      </c>
    </row>
    <row r="156" spans="1:26" ht="37.5" customHeight="1" x14ac:dyDescent="0.25">
      <c r="A156" s="1">
        <v>44937</v>
      </c>
      <c r="B156" s="13">
        <v>2</v>
      </c>
      <c r="C156" t="s">
        <v>3</v>
      </c>
      <c r="D156" t="s">
        <v>4</v>
      </c>
      <c r="E156" t="s">
        <v>5</v>
      </c>
      <c r="F156" s="6">
        <v>113014081</v>
      </c>
      <c r="G156" t="s">
        <v>267</v>
      </c>
      <c r="H156" t="s">
        <v>268</v>
      </c>
      <c r="I156">
        <v>0</v>
      </c>
      <c r="J156">
        <v>0</v>
      </c>
      <c r="K156">
        <v>0</v>
      </c>
      <c r="L156">
        <v>0</v>
      </c>
      <c r="M156">
        <v>0.2</v>
      </c>
      <c r="N156" s="7" t="e">
        <f>VLOOKUP(F156,HC!A$6:D$100,3,FALSE)</f>
        <v>#N/A</v>
      </c>
      <c r="O156" s="7" t="str">
        <f>VLOOKUP(F156,HC!A$6:D$1000,2,FALSE)</f>
        <v>fraugene</v>
      </c>
      <c r="P156" t="s">
        <v>665</v>
      </c>
      <c r="Q156" s="7" t="s">
        <v>722</v>
      </c>
      <c r="R156" t="s">
        <v>499</v>
      </c>
      <c r="U156">
        <f t="shared" si="4"/>
        <v>32</v>
      </c>
    </row>
    <row r="157" spans="1:26" ht="37.5" customHeight="1" x14ac:dyDescent="0.25">
      <c r="A157" s="1">
        <v>44937</v>
      </c>
      <c r="B157" s="13">
        <v>2</v>
      </c>
      <c r="C157" t="s">
        <v>3</v>
      </c>
      <c r="D157" t="s">
        <v>4</v>
      </c>
      <c r="E157" t="s">
        <v>5</v>
      </c>
      <c r="F157" s="6">
        <v>113003971</v>
      </c>
      <c r="G157" t="s">
        <v>284</v>
      </c>
      <c r="H157" t="s">
        <v>285</v>
      </c>
      <c r="I157">
        <v>0</v>
      </c>
      <c r="J157">
        <v>0</v>
      </c>
      <c r="K157">
        <v>0</v>
      </c>
      <c r="L157">
        <v>0</v>
      </c>
      <c r="M157">
        <v>0.56999999999999995</v>
      </c>
      <c r="N157" s="7" t="e">
        <f>VLOOKUP(F157,HC!A$6:D$100,3,FALSE)</f>
        <v>#N/A</v>
      </c>
      <c r="O157" s="7" t="str">
        <f>VLOOKUP(F157,HC!A$6:D$1000,2,FALSE)</f>
        <v>garamird</v>
      </c>
      <c r="P157" s="7" t="s">
        <v>664</v>
      </c>
      <c r="Q157" s="7" t="s">
        <v>1399</v>
      </c>
      <c r="R157" t="s">
        <v>410</v>
      </c>
      <c r="U157">
        <f t="shared" si="4"/>
        <v>14</v>
      </c>
    </row>
    <row r="158" spans="1:26" ht="37.5" customHeight="1" x14ac:dyDescent="0.25">
      <c r="A158" s="1">
        <v>44937</v>
      </c>
      <c r="B158" s="13">
        <v>2</v>
      </c>
      <c r="C158" t="s">
        <v>3</v>
      </c>
      <c r="D158" t="s">
        <v>4</v>
      </c>
      <c r="E158" t="s">
        <v>5</v>
      </c>
      <c r="F158" s="6">
        <v>112912210</v>
      </c>
      <c r="G158" t="s">
        <v>6</v>
      </c>
      <c r="H158" t="s">
        <v>7</v>
      </c>
      <c r="I158">
        <v>0</v>
      </c>
      <c r="J158">
        <v>0</v>
      </c>
      <c r="K158">
        <v>0</v>
      </c>
      <c r="L158">
        <v>0</v>
      </c>
      <c r="M158">
        <v>3.3</v>
      </c>
      <c r="N158" s="7" t="e">
        <f>VLOOKUP(F158,HC!A$6:D$100,3,FALSE)</f>
        <v>#N/A</v>
      </c>
      <c r="O158" s="7" t="e">
        <f>VLOOKUP(F158,HC!A$6:D$1000,2,FALSE)</f>
        <v>#N/A</v>
      </c>
      <c r="P158" s="7" t="s">
        <v>664</v>
      </c>
      <c r="Q158" s="7" t="s">
        <v>711</v>
      </c>
      <c r="R158" t="s">
        <v>405</v>
      </c>
      <c r="S158" s="2" t="s">
        <v>355</v>
      </c>
      <c r="U158">
        <f t="shared" si="4"/>
        <v>1395</v>
      </c>
    </row>
    <row r="159" spans="1:26" ht="37.5" customHeight="1" x14ac:dyDescent="0.25">
      <c r="A159" s="1">
        <v>44937</v>
      </c>
      <c r="B159" s="13">
        <v>2</v>
      </c>
      <c r="C159" t="s">
        <v>3</v>
      </c>
      <c r="D159" t="s">
        <v>401</v>
      </c>
      <c r="E159" t="s">
        <v>5</v>
      </c>
      <c r="F159" s="6">
        <v>111434478</v>
      </c>
      <c r="G159" t="s">
        <v>331</v>
      </c>
      <c r="H159" t="s">
        <v>332</v>
      </c>
      <c r="I159">
        <v>0</v>
      </c>
      <c r="J159">
        <v>0</v>
      </c>
      <c r="K159">
        <v>0</v>
      </c>
      <c r="L159">
        <v>0</v>
      </c>
      <c r="M159">
        <v>1.36</v>
      </c>
      <c r="N159" s="7" t="str">
        <f>VLOOKUP(F159,HC!A$6:D$100,3,FALSE)</f>
        <v>DA-X0700</v>
      </c>
      <c r="O159" s="7" t="str">
        <f>VLOOKUP(F159,HC!A$6:D$1000,2,FALSE)</f>
        <v>juanapam</v>
      </c>
      <c r="P159" s="7"/>
      <c r="Q159" s="7"/>
      <c r="R159" t="s">
        <v>411</v>
      </c>
      <c r="U159">
        <f t="shared" si="4"/>
        <v>32</v>
      </c>
    </row>
    <row r="160" spans="1:26" ht="37.5" customHeight="1" x14ac:dyDescent="0.25">
      <c r="A160" s="1">
        <v>44937</v>
      </c>
      <c r="B160" s="13">
        <v>2</v>
      </c>
      <c r="C160" t="s">
        <v>3</v>
      </c>
      <c r="D160" t="s">
        <v>4</v>
      </c>
      <c r="E160" t="s">
        <v>21</v>
      </c>
      <c r="F160" s="6">
        <v>200553975</v>
      </c>
      <c r="G160" t="s">
        <v>399</v>
      </c>
      <c r="H160" t="s">
        <v>317</v>
      </c>
      <c r="I160">
        <v>0</v>
      </c>
      <c r="J160">
        <v>0</v>
      </c>
      <c r="K160">
        <v>0</v>
      </c>
      <c r="L160">
        <v>0</v>
      </c>
      <c r="M160">
        <v>0.12</v>
      </c>
      <c r="N160" s="7" t="e">
        <f>VLOOKUP(F160,HC!A$6:D$100,3,FALSE)</f>
        <v>#N/A</v>
      </c>
      <c r="O160" s="7" t="str">
        <f>VLOOKUP(F160,HC!A$6:D$1000,2,FALSE)</f>
        <v>juandidu</v>
      </c>
      <c r="P160" s="7" t="s">
        <v>661</v>
      </c>
      <c r="Q160" s="7" t="s">
        <v>681</v>
      </c>
      <c r="R160" t="s">
        <v>10</v>
      </c>
      <c r="U160">
        <f t="shared" si="4"/>
        <v>4</v>
      </c>
    </row>
    <row r="161" spans="1:21" ht="37.5" customHeight="1" x14ac:dyDescent="0.25">
      <c r="A161" s="1">
        <v>44937</v>
      </c>
      <c r="B161" s="13">
        <v>2</v>
      </c>
      <c r="C161" t="s">
        <v>3</v>
      </c>
      <c r="D161" t="s">
        <v>4</v>
      </c>
      <c r="E161" t="s">
        <v>5</v>
      </c>
      <c r="F161" s="6">
        <v>112980842</v>
      </c>
      <c r="G161" t="s">
        <v>395</v>
      </c>
      <c r="H161" t="s">
        <v>17</v>
      </c>
      <c r="I161">
        <v>0</v>
      </c>
      <c r="J161">
        <v>0</v>
      </c>
      <c r="K161">
        <v>0</v>
      </c>
      <c r="L161">
        <v>0</v>
      </c>
      <c r="M161">
        <v>0.25</v>
      </c>
      <c r="N161" s="7" t="e">
        <f>VLOOKUP(F161,HC!A$6:D$100,3,FALSE)</f>
        <v>#N/A</v>
      </c>
      <c r="O161" s="7" t="e">
        <f>VLOOKUP(F161,HC!A$6:D$1000,2,FALSE)</f>
        <v>#N/A</v>
      </c>
      <c r="P161" s="7" t="s">
        <v>661</v>
      </c>
      <c r="Q161" s="7" t="s">
        <v>681</v>
      </c>
      <c r="R161" t="s">
        <v>10</v>
      </c>
      <c r="U161">
        <f t="shared" si="4"/>
        <v>1395</v>
      </c>
    </row>
    <row r="162" spans="1:21" ht="37.5" customHeight="1" x14ac:dyDescent="0.25">
      <c r="A162" s="1">
        <v>44937</v>
      </c>
      <c r="B162" s="13">
        <v>2</v>
      </c>
      <c r="C162" t="s">
        <v>3</v>
      </c>
      <c r="D162" t="s">
        <v>4</v>
      </c>
      <c r="E162" t="s">
        <v>5</v>
      </c>
      <c r="F162" s="6">
        <v>112912675</v>
      </c>
      <c r="G162" t="s">
        <v>326</v>
      </c>
      <c r="H162" t="s">
        <v>317</v>
      </c>
      <c r="I162">
        <v>0</v>
      </c>
      <c r="J162">
        <v>0</v>
      </c>
      <c r="K162">
        <v>0</v>
      </c>
      <c r="L162">
        <v>0</v>
      </c>
      <c r="M162">
        <v>0.36</v>
      </c>
      <c r="N162" s="7" t="e">
        <f>VLOOKUP(F162,HC!A$6:D$100,3,FALSE)</f>
        <v>#N/A</v>
      </c>
      <c r="O162" s="7" t="e">
        <f>VLOOKUP(F162,HC!A$6:D$1000,2,FALSE)</f>
        <v>#N/A</v>
      </c>
      <c r="P162" s="7" t="s">
        <v>664</v>
      </c>
      <c r="Q162" s="7" t="s">
        <v>710</v>
      </c>
      <c r="R162" t="s">
        <v>406</v>
      </c>
      <c r="U162">
        <f t="shared" si="4"/>
        <v>1395</v>
      </c>
    </row>
    <row r="163" spans="1:21" ht="37.5" customHeight="1" x14ac:dyDescent="0.25">
      <c r="A163" s="1">
        <v>44937</v>
      </c>
      <c r="B163" s="13">
        <v>2</v>
      </c>
      <c r="C163" t="s">
        <v>3</v>
      </c>
      <c r="D163" t="s">
        <v>401</v>
      </c>
      <c r="E163" t="s">
        <v>5</v>
      </c>
      <c r="F163" s="6">
        <v>112950809</v>
      </c>
      <c r="G163" t="s">
        <v>402</v>
      </c>
      <c r="H163" t="s">
        <v>403</v>
      </c>
      <c r="I163">
        <v>0</v>
      </c>
      <c r="J163">
        <v>0</v>
      </c>
      <c r="K163">
        <v>0</v>
      </c>
      <c r="L163">
        <v>0</v>
      </c>
      <c r="M163">
        <v>0.19</v>
      </c>
      <c r="N163" s="7" t="str">
        <f>VLOOKUP(F163,HC!A$6:D$100,3,FALSE)</f>
        <v>DA-X0700</v>
      </c>
      <c r="O163" s="7" t="str">
        <f>VLOOKUP(F163,HC!A$6:D$1000,2,FALSE)</f>
        <v>lurochae</v>
      </c>
      <c r="P163" s="7"/>
      <c r="Q163" s="7"/>
      <c r="U163">
        <f t="shared" si="4"/>
        <v>14</v>
      </c>
    </row>
    <row r="164" spans="1:21" ht="37.5" customHeight="1" x14ac:dyDescent="0.25">
      <c r="A164" s="1">
        <v>44937</v>
      </c>
      <c r="B164" s="13">
        <v>2</v>
      </c>
      <c r="C164" t="s">
        <v>3</v>
      </c>
      <c r="D164" t="s">
        <v>4</v>
      </c>
      <c r="E164" t="s">
        <v>21</v>
      </c>
      <c r="F164" s="6">
        <v>200562868</v>
      </c>
      <c r="G164" t="s">
        <v>400</v>
      </c>
      <c r="H164" t="s">
        <v>7</v>
      </c>
      <c r="I164">
        <v>0</v>
      </c>
      <c r="J164">
        <v>0</v>
      </c>
      <c r="K164">
        <v>0</v>
      </c>
      <c r="L164">
        <v>0</v>
      </c>
      <c r="M164">
        <v>0.13</v>
      </c>
      <c r="N164" s="7" t="e">
        <f>VLOOKUP(F164,HC!A$6:D$100,3,FALSE)</f>
        <v>#N/A</v>
      </c>
      <c r="O164" s="7" t="e">
        <f>VLOOKUP(F164,HC!A$6:D$1000,2,FALSE)</f>
        <v>#N/A</v>
      </c>
      <c r="P164" s="7"/>
      <c r="Q164" s="7"/>
      <c r="U164">
        <f t="shared" si="4"/>
        <v>1395</v>
      </c>
    </row>
    <row r="165" spans="1:21" ht="37.5" customHeight="1" x14ac:dyDescent="0.25">
      <c r="A165" s="1">
        <v>44937</v>
      </c>
      <c r="B165" s="13">
        <v>2</v>
      </c>
      <c r="C165" t="s">
        <v>3</v>
      </c>
      <c r="D165" t="s">
        <v>4</v>
      </c>
      <c r="E165" t="s">
        <v>5</v>
      </c>
      <c r="F165" s="6">
        <v>112525692</v>
      </c>
      <c r="G165" t="s">
        <v>356</v>
      </c>
      <c r="H165" t="s">
        <v>253</v>
      </c>
      <c r="I165">
        <v>0</v>
      </c>
      <c r="J165">
        <v>0</v>
      </c>
      <c r="K165">
        <v>0</v>
      </c>
      <c r="L165">
        <v>0</v>
      </c>
      <c r="M165">
        <v>0.27</v>
      </c>
      <c r="N165" s="7" t="e">
        <f>VLOOKUP(F165,HC!A$6:D$100,3,FALSE)</f>
        <v>#N/A</v>
      </c>
      <c r="O165" s="7" t="e">
        <f>VLOOKUP(F165,HC!A$6:D$1000,2,FALSE)</f>
        <v>#N/A</v>
      </c>
      <c r="P165" s="7"/>
      <c r="Q165" s="7"/>
      <c r="R165" t="s">
        <v>404</v>
      </c>
      <c r="U165">
        <f t="shared" si="4"/>
        <v>1395</v>
      </c>
    </row>
    <row r="166" spans="1:21" ht="37.5" customHeight="1" x14ac:dyDescent="0.25">
      <c r="A166" s="1">
        <v>44937</v>
      </c>
      <c r="B166" s="13">
        <v>2</v>
      </c>
      <c r="C166" t="s">
        <v>3</v>
      </c>
      <c r="D166" t="s">
        <v>4</v>
      </c>
      <c r="E166" t="s">
        <v>21</v>
      </c>
      <c r="F166" s="6">
        <v>200625517</v>
      </c>
      <c r="G166" t="s">
        <v>323</v>
      </c>
      <c r="H166" t="s">
        <v>49</v>
      </c>
      <c r="I166">
        <v>0</v>
      </c>
      <c r="J166">
        <v>0</v>
      </c>
      <c r="K166">
        <v>0</v>
      </c>
      <c r="L166">
        <v>0</v>
      </c>
      <c r="M166">
        <v>1.41</v>
      </c>
      <c r="N166" s="7" t="e">
        <f>VLOOKUP(F166,HC!A$6:D$100,3,FALSE)</f>
        <v>#N/A</v>
      </c>
      <c r="O166" s="7" t="e">
        <f>VLOOKUP(F166,HC!A$6:D$1000,2,FALSE)</f>
        <v>#N/A</v>
      </c>
      <c r="P166" s="7" t="s">
        <v>664</v>
      </c>
      <c r="Q166" s="7" t="s">
        <v>1399</v>
      </c>
      <c r="R166" t="s">
        <v>414</v>
      </c>
      <c r="U166">
        <f t="shared" si="4"/>
        <v>1395</v>
      </c>
    </row>
    <row r="167" spans="1:21" ht="37.5" customHeight="1" x14ac:dyDescent="0.25">
      <c r="A167" s="1">
        <v>44937</v>
      </c>
      <c r="B167" s="13">
        <v>2</v>
      </c>
      <c r="C167" t="s">
        <v>3</v>
      </c>
      <c r="D167" t="s">
        <v>4</v>
      </c>
      <c r="E167" t="s">
        <v>5</v>
      </c>
      <c r="F167" s="6">
        <v>113014046</v>
      </c>
      <c r="G167" t="s">
        <v>370</v>
      </c>
      <c r="H167" t="s">
        <v>14</v>
      </c>
      <c r="I167">
        <v>0</v>
      </c>
      <c r="J167">
        <v>0</v>
      </c>
      <c r="K167">
        <v>0</v>
      </c>
      <c r="L167">
        <v>0</v>
      </c>
      <c r="M167">
        <v>0.23</v>
      </c>
      <c r="N167" s="7" t="e">
        <f>VLOOKUP(F167,HC!A$6:D$100,3,FALSE)</f>
        <v>#N/A</v>
      </c>
      <c r="O167" s="7" t="e">
        <f>VLOOKUP(F167,HC!A$6:D$1000,2,FALSE)</f>
        <v>#N/A</v>
      </c>
      <c r="P167" s="7"/>
      <c r="Q167" s="7"/>
      <c r="R167" t="s">
        <v>411</v>
      </c>
      <c r="U167">
        <f t="shared" si="4"/>
        <v>1395</v>
      </c>
    </row>
    <row r="168" spans="1:21" ht="37.5" customHeight="1" x14ac:dyDescent="0.25">
      <c r="A168" s="1">
        <v>44937</v>
      </c>
      <c r="B168" s="13">
        <v>2</v>
      </c>
      <c r="C168" t="s">
        <v>3</v>
      </c>
      <c r="D168" t="s">
        <v>4</v>
      </c>
      <c r="E168" t="s">
        <v>5</v>
      </c>
      <c r="F168" s="6">
        <v>112950784</v>
      </c>
      <c r="G168" t="s">
        <v>261</v>
      </c>
      <c r="H168" t="s">
        <v>47</v>
      </c>
      <c r="I168">
        <v>0</v>
      </c>
      <c r="J168">
        <v>0</v>
      </c>
      <c r="K168">
        <v>0</v>
      </c>
      <c r="L168">
        <v>0</v>
      </c>
      <c r="M168">
        <v>0.25</v>
      </c>
      <c r="N168" s="7" t="str">
        <f>VLOOKUP(F168,HC!A$6:D$100,3,FALSE)</f>
        <v>NF-X1900</v>
      </c>
      <c r="O168" s="7" t="str">
        <f>VLOOKUP(F168,HC!A$6:D$1000,2,FALSE)</f>
        <v>sarojast</v>
      </c>
      <c r="P168" s="7" t="s">
        <v>664</v>
      </c>
      <c r="Q168" s="7" t="s">
        <v>1399</v>
      </c>
      <c r="R168" t="s">
        <v>407</v>
      </c>
      <c r="S168" s="2" t="s">
        <v>408</v>
      </c>
      <c r="U168">
        <f t="shared" si="4"/>
        <v>33</v>
      </c>
    </row>
    <row r="169" spans="1:21" ht="37.5" customHeight="1" x14ac:dyDescent="0.25">
      <c r="A169" s="1">
        <v>44937</v>
      </c>
      <c r="B169" s="13">
        <v>2</v>
      </c>
      <c r="C169" t="s">
        <v>3</v>
      </c>
      <c r="D169" t="s">
        <v>4</v>
      </c>
      <c r="E169" t="s">
        <v>5</v>
      </c>
      <c r="F169" s="6">
        <v>113014402</v>
      </c>
      <c r="G169" t="s">
        <v>397</v>
      </c>
      <c r="H169" t="s">
        <v>47</v>
      </c>
      <c r="I169">
        <v>0</v>
      </c>
      <c r="J169">
        <v>0</v>
      </c>
      <c r="K169">
        <v>0</v>
      </c>
      <c r="L169">
        <v>0</v>
      </c>
      <c r="M169">
        <v>0.19</v>
      </c>
      <c r="N169" s="7" t="e">
        <f>VLOOKUP(F169,HC!A$6:D$100,3,FALSE)</f>
        <v>#N/A</v>
      </c>
      <c r="O169" s="7" t="str">
        <f>VLOOKUP(F169,HC!A$6:D$1000,2,FALSE)</f>
        <v>umendoju</v>
      </c>
      <c r="P169" s="7" t="s">
        <v>664</v>
      </c>
      <c r="Q169" s="7" t="s">
        <v>770</v>
      </c>
      <c r="R169" t="s">
        <v>412</v>
      </c>
      <c r="U169">
        <f t="shared" si="4"/>
        <v>4</v>
      </c>
    </row>
    <row r="170" spans="1:21" ht="37.5" customHeight="1" x14ac:dyDescent="0.25">
      <c r="A170" s="1">
        <v>44937</v>
      </c>
      <c r="B170" s="13">
        <v>2</v>
      </c>
      <c r="C170" t="s">
        <v>3</v>
      </c>
      <c r="D170" t="s">
        <v>4</v>
      </c>
      <c r="E170" t="s">
        <v>5</v>
      </c>
      <c r="F170" s="6">
        <v>200404250</v>
      </c>
      <c r="G170" t="s">
        <v>51</v>
      </c>
      <c r="H170" t="s">
        <v>44</v>
      </c>
      <c r="I170">
        <v>0</v>
      </c>
      <c r="J170">
        <v>0</v>
      </c>
      <c r="K170">
        <v>0</v>
      </c>
      <c r="L170">
        <v>0</v>
      </c>
      <c r="M170">
        <v>0.47</v>
      </c>
      <c r="N170" s="7" t="e">
        <f>VLOOKUP(F170,HC!A$6:D$100,3,FALSE)</f>
        <v>#N/A</v>
      </c>
      <c r="O170" s="7" t="str">
        <f>VLOOKUP(F170,HC!A$6:D$1000,2,FALSE)</f>
        <v>xcathurt</v>
      </c>
      <c r="P170" s="7" t="s">
        <v>662</v>
      </c>
      <c r="Q170" s="7" t="s">
        <v>785</v>
      </c>
      <c r="R170" t="s">
        <v>235</v>
      </c>
      <c r="U170">
        <f t="shared" si="4"/>
        <v>124</v>
      </c>
    </row>
    <row r="171" spans="1:21" ht="37.5" customHeight="1" x14ac:dyDescent="0.25">
      <c r="A171" s="1">
        <v>44937</v>
      </c>
      <c r="B171" s="13">
        <v>2</v>
      </c>
      <c r="C171" t="s">
        <v>3</v>
      </c>
      <c r="D171" t="s">
        <v>4</v>
      </c>
      <c r="E171" t="s">
        <v>5</v>
      </c>
      <c r="F171" s="6">
        <v>112984097</v>
      </c>
      <c r="G171" t="s">
        <v>265</v>
      </c>
      <c r="H171" t="s">
        <v>47</v>
      </c>
      <c r="I171">
        <v>0</v>
      </c>
      <c r="J171">
        <v>0</v>
      </c>
      <c r="K171">
        <v>0</v>
      </c>
      <c r="L171">
        <v>0</v>
      </c>
      <c r="M171">
        <v>0.54</v>
      </c>
      <c r="N171" s="7" t="e">
        <f>VLOOKUP(F171,HC!A$6:D$100,3,FALSE)</f>
        <v>#N/A</v>
      </c>
      <c r="O171" s="7" t="e">
        <f>VLOOKUP(F171,HC!A$6:D$1000,2,FALSE)</f>
        <v>#N/A</v>
      </c>
      <c r="P171" s="7" t="s">
        <v>664</v>
      </c>
      <c r="Q171" s="7" t="s">
        <v>711</v>
      </c>
      <c r="R171" t="s">
        <v>405</v>
      </c>
      <c r="U171">
        <f t="shared" si="4"/>
        <v>1395</v>
      </c>
    </row>
    <row r="172" spans="1:21" ht="37.5" customHeight="1" x14ac:dyDescent="0.25">
      <c r="A172" s="1">
        <v>44938</v>
      </c>
      <c r="B172" s="13">
        <v>2</v>
      </c>
      <c r="C172" t="s">
        <v>3</v>
      </c>
      <c r="D172" t="s">
        <v>4</v>
      </c>
      <c r="E172" t="s">
        <v>5</v>
      </c>
      <c r="F172" s="6">
        <v>112920637</v>
      </c>
      <c r="G172" t="s">
        <v>426</v>
      </c>
      <c r="H172" t="s">
        <v>282</v>
      </c>
      <c r="I172">
        <v>0</v>
      </c>
      <c r="J172">
        <v>0</v>
      </c>
      <c r="K172">
        <v>0</v>
      </c>
      <c r="L172">
        <v>0</v>
      </c>
      <c r="M172">
        <v>1.22</v>
      </c>
      <c r="N172" s="7" t="str">
        <f>VLOOKUP(F172,HC!A$6:D$100,3,FALSE)</f>
        <v>DB-X0700</v>
      </c>
      <c r="O172" s="7" t="str">
        <f>VLOOKUP(F172,HC!A$6:D$1000,2,FALSE)</f>
        <v>antonitq</v>
      </c>
      <c r="P172" s="7" t="s">
        <v>661</v>
      </c>
      <c r="Q172" s="7" t="s">
        <v>681</v>
      </c>
      <c r="R172" t="s">
        <v>234</v>
      </c>
      <c r="U172">
        <f t="shared" si="4"/>
        <v>9</v>
      </c>
    </row>
    <row r="173" spans="1:21" ht="37.5" customHeight="1" x14ac:dyDescent="0.25">
      <c r="A173" s="1">
        <v>44938</v>
      </c>
      <c r="B173" s="13">
        <v>2</v>
      </c>
      <c r="C173" t="s">
        <v>3</v>
      </c>
      <c r="D173" t="s">
        <v>4</v>
      </c>
      <c r="E173" t="s">
        <v>21</v>
      </c>
      <c r="F173" s="6">
        <v>200563238</v>
      </c>
      <c r="G173" t="s">
        <v>429</v>
      </c>
      <c r="H173" t="s">
        <v>285</v>
      </c>
      <c r="I173">
        <v>0</v>
      </c>
      <c r="J173">
        <v>0</v>
      </c>
      <c r="K173">
        <v>0</v>
      </c>
      <c r="L173">
        <v>0</v>
      </c>
      <c r="M173">
        <v>0.46</v>
      </c>
      <c r="N173" s="7" t="e">
        <f>VLOOKUP(F173,HC!A$6:D$100,3,FALSE)</f>
        <v>#N/A</v>
      </c>
      <c r="O173" s="7" t="e">
        <f>VLOOKUP(F173,HC!A$6:D$1000,2,FALSE)</f>
        <v>#N/A</v>
      </c>
      <c r="P173" s="7" t="s">
        <v>661</v>
      </c>
      <c r="Q173" s="7" t="s">
        <v>681</v>
      </c>
      <c r="R173" t="s">
        <v>234</v>
      </c>
      <c r="U173">
        <f t="shared" si="4"/>
        <v>1395</v>
      </c>
    </row>
    <row r="174" spans="1:21" ht="37.5" customHeight="1" x14ac:dyDescent="0.25">
      <c r="A174" s="1">
        <v>44938</v>
      </c>
      <c r="B174" s="13">
        <v>2</v>
      </c>
      <c r="C174" t="s">
        <v>3</v>
      </c>
      <c r="D174" t="s">
        <v>4</v>
      </c>
      <c r="E174" t="s">
        <v>21</v>
      </c>
      <c r="F174" s="6">
        <v>200565283</v>
      </c>
      <c r="G174" t="s">
        <v>335</v>
      </c>
      <c r="H174" t="s">
        <v>317</v>
      </c>
      <c r="I174">
        <v>0</v>
      </c>
      <c r="J174">
        <v>0</v>
      </c>
      <c r="K174">
        <v>0</v>
      </c>
      <c r="L174">
        <v>0</v>
      </c>
      <c r="M174">
        <v>0.4</v>
      </c>
      <c r="N174" s="7" t="e">
        <f>VLOOKUP(F174,HC!A$6:D$100,3,FALSE)</f>
        <v>#N/A</v>
      </c>
      <c r="O174" s="7" t="e">
        <f>VLOOKUP(F174,HC!A$6:D$1000,2,FALSE)</f>
        <v>#N/A</v>
      </c>
      <c r="P174" s="7"/>
      <c r="Q174" s="7"/>
      <c r="R174" t="s">
        <v>434</v>
      </c>
      <c r="U174">
        <f t="shared" si="4"/>
        <v>1395</v>
      </c>
    </row>
    <row r="175" spans="1:21" ht="37.5" customHeight="1" x14ac:dyDescent="0.25">
      <c r="A175" s="1">
        <v>44938</v>
      </c>
      <c r="B175" s="13">
        <v>2</v>
      </c>
      <c r="C175" t="s">
        <v>3</v>
      </c>
      <c r="D175" t="s">
        <v>4</v>
      </c>
      <c r="E175" t="s">
        <v>5</v>
      </c>
      <c r="F175" s="6">
        <v>113138338</v>
      </c>
      <c r="G175" t="s">
        <v>398</v>
      </c>
      <c r="H175" s="11" t="s">
        <v>332</v>
      </c>
      <c r="I175">
        <v>0</v>
      </c>
      <c r="J175">
        <v>0</v>
      </c>
      <c r="K175">
        <v>0</v>
      </c>
      <c r="L175">
        <v>0</v>
      </c>
      <c r="M175">
        <v>1.68</v>
      </c>
      <c r="N175" s="7" t="e">
        <f>VLOOKUP(F175,HC!A$6:D$100,3,FALSE)</f>
        <v>#N/A</v>
      </c>
      <c r="O175" s="7" t="str">
        <f>VLOOKUP(F175,HC!A$6:D$1000,2,FALSE)</f>
        <v>cescornh</v>
      </c>
      <c r="P175" s="7" t="s">
        <v>661</v>
      </c>
      <c r="Q175" s="7" t="s">
        <v>681</v>
      </c>
      <c r="R175" t="s">
        <v>234</v>
      </c>
      <c r="U175">
        <f t="shared" si="4"/>
        <v>10</v>
      </c>
    </row>
    <row r="176" spans="1:21" ht="37.5" customHeight="1" x14ac:dyDescent="0.25">
      <c r="A176" s="1">
        <v>44938</v>
      </c>
      <c r="B176" s="13">
        <v>2</v>
      </c>
      <c r="C176" t="s">
        <v>3</v>
      </c>
      <c r="D176" t="s">
        <v>4</v>
      </c>
      <c r="E176" t="s">
        <v>5</v>
      </c>
      <c r="F176" s="6">
        <v>113138338</v>
      </c>
      <c r="G176" t="s">
        <v>398</v>
      </c>
      <c r="H176" t="s">
        <v>332</v>
      </c>
      <c r="I176">
        <v>0</v>
      </c>
      <c r="J176">
        <v>0</v>
      </c>
      <c r="K176">
        <v>0</v>
      </c>
      <c r="L176">
        <v>0</v>
      </c>
      <c r="M176">
        <v>4.5</v>
      </c>
      <c r="N176" s="7" t="e">
        <f>VLOOKUP(F176,HC!A$6:D$100,3,FALSE)</f>
        <v>#N/A</v>
      </c>
      <c r="O176" s="7" t="str">
        <f>VLOOKUP(F176,HC!A$6:D$1000,2,FALSE)</f>
        <v>cescornh</v>
      </c>
      <c r="P176" s="7" t="s">
        <v>661</v>
      </c>
      <c r="Q176" s="7" t="s">
        <v>681</v>
      </c>
      <c r="R176" t="s">
        <v>234</v>
      </c>
      <c r="U176">
        <f t="shared" si="4"/>
        <v>10</v>
      </c>
    </row>
    <row r="177" spans="1:21" ht="37.5" customHeight="1" x14ac:dyDescent="0.25">
      <c r="A177" s="1">
        <v>44938</v>
      </c>
      <c r="B177" s="13">
        <v>2</v>
      </c>
      <c r="C177" t="s">
        <v>3</v>
      </c>
      <c r="D177" t="s">
        <v>4</v>
      </c>
      <c r="E177" t="s">
        <v>5</v>
      </c>
      <c r="F177" s="6">
        <v>112971962</v>
      </c>
      <c r="G177" t="s">
        <v>338</v>
      </c>
      <c r="H177" s="11" t="s">
        <v>49</v>
      </c>
      <c r="I177">
        <v>0</v>
      </c>
      <c r="J177">
        <v>0</v>
      </c>
      <c r="K177">
        <v>0</v>
      </c>
      <c r="L177">
        <v>0</v>
      </c>
      <c r="M177">
        <v>0.28000000000000003</v>
      </c>
      <c r="N177" s="7" t="str">
        <f>VLOOKUP(F177,HC!A$6:D$100,3,FALSE)</f>
        <v>DB-X0700</v>
      </c>
      <c r="O177" s="7" t="str">
        <f>VLOOKUP(F177,HC!A$6:D$1000,2,FALSE)</f>
        <v>creyesal</v>
      </c>
      <c r="P177" s="7" t="s">
        <v>661</v>
      </c>
      <c r="Q177" s="7" t="s">
        <v>681</v>
      </c>
      <c r="R177" t="s">
        <v>234</v>
      </c>
      <c r="U177">
        <f t="shared" si="4"/>
        <v>38</v>
      </c>
    </row>
    <row r="178" spans="1:21" ht="37.5" customHeight="1" x14ac:dyDescent="0.25">
      <c r="A178" s="1">
        <v>44938</v>
      </c>
      <c r="B178" s="13">
        <v>2</v>
      </c>
      <c r="C178" t="s">
        <v>3</v>
      </c>
      <c r="D178" t="s">
        <v>4</v>
      </c>
      <c r="E178" t="s">
        <v>5</v>
      </c>
      <c r="F178" s="6">
        <v>112950802</v>
      </c>
      <c r="G178" t="s">
        <v>416</v>
      </c>
      <c r="H178" t="s">
        <v>9</v>
      </c>
      <c r="I178">
        <v>0</v>
      </c>
      <c r="J178">
        <v>0</v>
      </c>
      <c r="K178">
        <v>0</v>
      </c>
      <c r="L178">
        <v>0</v>
      </c>
      <c r="M178">
        <v>0.15</v>
      </c>
      <c r="N178" s="7" t="e">
        <f>VLOOKUP(F178,HC!A$6:D$100,3,FALSE)</f>
        <v>#N/A</v>
      </c>
      <c r="O178" s="7" t="e">
        <f>VLOOKUP(F178,HC!A$6:D$1000,2,FALSE)</f>
        <v>#N/A</v>
      </c>
      <c r="P178" s="7" t="s">
        <v>675</v>
      </c>
      <c r="Q178" s="7"/>
      <c r="R178" t="s">
        <v>305</v>
      </c>
      <c r="U178">
        <f t="shared" si="4"/>
        <v>1395</v>
      </c>
    </row>
    <row r="179" spans="1:21" ht="37.5" customHeight="1" x14ac:dyDescent="0.25">
      <c r="A179" s="1">
        <v>44938</v>
      </c>
      <c r="B179" s="13">
        <v>2</v>
      </c>
      <c r="C179" t="s">
        <v>3</v>
      </c>
      <c r="D179" t="s">
        <v>4</v>
      </c>
      <c r="E179" t="s">
        <v>21</v>
      </c>
      <c r="F179" s="6">
        <v>200508371</v>
      </c>
      <c r="G179" t="s">
        <v>339</v>
      </c>
      <c r="H179" t="s">
        <v>24</v>
      </c>
      <c r="I179">
        <v>0</v>
      </c>
      <c r="J179">
        <v>0</v>
      </c>
      <c r="K179">
        <v>0</v>
      </c>
      <c r="L179">
        <v>0</v>
      </c>
      <c r="M179">
        <v>0.18</v>
      </c>
      <c r="N179" s="7" t="e">
        <f>VLOOKUP(F179,HC!A$6:D$100,3,FALSE)</f>
        <v>#N/A</v>
      </c>
      <c r="O179" s="7" t="e">
        <f>VLOOKUP(F179,HC!A$6:D$1000,2,FALSE)</f>
        <v>#N/A</v>
      </c>
      <c r="P179" s="7" t="s">
        <v>661</v>
      </c>
      <c r="Q179" s="7" t="s">
        <v>681</v>
      </c>
      <c r="R179" t="s">
        <v>234</v>
      </c>
      <c r="U179">
        <f t="shared" si="4"/>
        <v>1395</v>
      </c>
    </row>
    <row r="180" spans="1:21" ht="37.5" customHeight="1" x14ac:dyDescent="0.25">
      <c r="A180" s="1">
        <v>44938</v>
      </c>
      <c r="B180" s="13">
        <v>2</v>
      </c>
      <c r="C180" t="s">
        <v>3</v>
      </c>
      <c r="D180" t="s">
        <v>4</v>
      </c>
      <c r="E180" t="s">
        <v>5</v>
      </c>
      <c r="F180" s="6">
        <v>112916534</v>
      </c>
      <c r="G180" t="s">
        <v>425</v>
      </c>
      <c r="H180" t="s">
        <v>317</v>
      </c>
      <c r="I180">
        <v>0</v>
      </c>
      <c r="J180">
        <v>0</v>
      </c>
      <c r="K180">
        <v>0</v>
      </c>
      <c r="L180">
        <v>0</v>
      </c>
      <c r="M180">
        <v>1.42</v>
      </c>
      <c r="N180" s="7" t="str">
        <f>VLOOKUP(F180,HC!A$6:D$100,3,FALSE)</f>
        <v>DB-X0700</v>
      </c>
      <c r="O180" s="7" t="str">
        <f>VLOOKUP(F180,HC!A$6:D$1000,2,FALSE)</f>
        <v>earelili</v>
      </c>
      <c r="P180" s="7"/>
      <c r="Q180" s="7"/>
      <c r="R180" t="s">
        <v>420</v>
      </c>
      <c r="U180">
        <f t="shared" si="4"/>
        <v>15</v>
      </c>
    </row>
    <row r="181" spans="1:21" ht="37.5" customHeight="1" x14ac:dyDescent="0.25">
      <c r="A181" s="1">
        <v>44938</v>
      </c>
      <c r="B181" s="13">
        <v>2</v>
      </c>
      <c r="C181" t="s">
        <v>3</v>
      </c>
      <c r="D181" t="s">
        <v>4</v>
      </c>
      <c r="E181" t="s">
        <v>21</v>
      </c>
      <c r="F181" s="6">
        <v>200526598</v>
      </c>
      <c r="G181" t="s">
        <v>424</v>
      </c>
      <c r="H181" t="s">
        <v>285</v>
      </c>
      <c r="I181">
        <v>0</v>
      </c>
      <c r="J181">
        <v>0</v>
      </c>
      <c r="K181">
        <v>0</v>
      </c>
      <c r="L181">
        <v>0</v>
      </c>
      <c r="M181">
        <v>0.39</v>
      </c>
      <c r="N181" s="7" t="e">
        <f>VLOOKUP(F181,HC!A$6:D$100,3,FALSE)</f>
        <v>#N/A</v>
      </c>
      <c r="O181" s="7" t="e">
        <f>VLOOKUP(F181,HC!A$6:D$1000,2,FALSE)</f>
        <v>#N/A</v>
      </c>
      <c r="P181" s="7" t="s">
        <v>661</v>
      </c>
      <c r="Q181" s="7" t="s">
        <v>681</v>
      </c>
      <c r="R181" t="s">
        <v>234</v>
      </c>
      <c r="U181">
        <f t="shared" si="4"/>
        <v>1395</v>
      </c>
    </row>
    <row r="182" spans="1:21" ht="37.5" customHeight="1" x14ac:dyDescent="0.25">
      <c r="A182" s="1">
        <v>44938</v>
      </c>
      <c r="B182" s="13">
        <v>2</v>
      </c>
      <c r="C182" t="s">
        <v>3</v>
      </c>
      <c r="D182" t="s">
        <v>4</v>
      </c>
      <c r="E182" t="s">
        <v>5</v>
      </c>
      <c r="F182" s="6">
        <v>113014081</v>
      </c>
      <c r="G182" t="s">
        <v>267</v>
      </c>
      <c r="H182" s="11" t="s">
        <v>268</v>
      </c>
      <c r="I182">
        <v>0</v>
      </c>
      <c r="J182">
        <v>0</v>
      </c>
      <c r="K182">
        <v>0</v>
      </c>
      <c r="L182">
        <v>0</v>
      </c>
      <c r="M182">
        <v>0.2</v>
      </c>
      <c r="N182" s="7" t="e">
        <f>VLOOKUP(F182,HC!A$6:D$100,3,FALSE)</f>
        <v>#N/A</v>
      </c>
      <c r="O182" s="7" t="str">
        <f>VLOOKUP(F182,HC!A$6:D$1000,2,FALSE)</f>
        <v>fraugene</v>
      </c>
      <c r="P182" t="s">
        <v>665</v>
      </c>
      <c r="Q182" s="7" t="s">
        <v>722</v>
      </c>
      <c r="R182" t="s">
        <v>499</v>
      </c>
      <c r="U182">
        <f t="shared" si="4"/>
        <v>32</v>
      </c>
    </row>
    <row r="183" spans="1:21" ht="37.5" customHeight="1" x14ac:dyDescent="0.25">
      <c r="A183" s="1">
        <v>44938</v>
      </c>
      <c r="B183" s="13">
        <v>2</v>
      </c>
      <c r="C183" t="s">
        <v>3</v>
      </c>
      <c r="D183" t="s">
        <v>4</v>
      </c>
      <c r="E183" t="s">
        <v>5</v>
      </c>
      <c r="F183" s="6">
        <v>112984928</v>
      </c>
      <c r="G183" t="s">
        <v>334</v>
      </c>
      <c r="H183" t="s">
        <v>317</v>
      </c>
      <c r="I183">
        <v>0</v>
      </c>
      <c r="J183">
        <v>0</v>
      </c>
      <c r="K183">
        <v>0</v>
      </c>
      <c r="L183">
        <v>0</v>
      </c>
      <c r="M183">
        <v>0.43</v>
      </c>
      <c r="N183" s="7" t="e">
        <f>VLOOKUP(F183,HC!A$6:D$100,3,FALSE)</f>
        <v>#N/A</v>
      </c>
      <c r="O183" s="7" t="e">
        <f>VLOOKUP(F183,HC!A$6:D$1000,2,FALSE)</f>
        <v>#N/A</v>
      </c>
      <c r="P183" s="7" t="s">
        <v>661</v>
      </c>
      <c r="Q183" s="7" t="s">
        <v>681</v>
      </c>
      <c r="R183" t="s">
        <v>234</v>
      </c>
      <c r="U183">
        <f t="shared" si="4"/>
        <v>1395</v>
      </c>
    </row>
    <row r="184" spans="1:21" ht="37.5" customHeight="1" x14ac:dyDescent="0.25">
      <c r="A184" s="1">
        <v>44938</v>
      </c>
      <c r="B184" s="13">
        <v>2</v>
      </c>
      <c r="C184" t="s">
        <v>3</v>
      </c>
      <c r="D184" t="s">
        <v>4</v>
      </c>
      <c r="E184" t="s">
        <v>5</v>
      </c>
      <c r="F184" s="6">
        <v>112951256</v>
      </c>
      <c r="G184" t="s">
        <v>337</v>
      </c>
      <c r="H184" t="s">
        <v>332</v>
      </c>
      <c r="I184">
        <v>0</v>
      </c>
      <c r="J184">
        <v>0</v>
      </c>
      <c r="K184">
        <v>0</v>
      </c>
      <c r="L184">
        <v>0</v>
      </c>
      <c r="M184">
        <v>0.03</v>
      </c>
      <c r="N184" s="7" t="str">
        <f>VLOOKUP(F184,HC!A$6:D$100,3,FALSE)</f>
        <v>DA-X0700</v>
      </c>
      <c r="O184" s="7" t="str">
        <f>VLOOKUP(F184,HC!A$6:D$1000,2,FALSE)</f>
        <v>grkatery</v>
      </c>
      <c r="P184" s="7"/>
      <c r="Q184" s="7"/>
      <c r="R184" t="s">
        <v>421</v>
      </c>
      <c r="U184">
        <f t="shared" si="4"/>
        <v>17</v>
      </c>
    </row>
    <row r="185" spans="1:21" ht="37.5" customHeight="1" x14ac:dyDescent="0.25">
      <c r="A185" s="1">
        <v>44938</v>
      </c>
      <c r="B185" s="13">
        <v>2</v>
      </c>
      <c r="C185" t="s">
        <v>3</v>
      </c>
      <c r="D185" t="s">
        <v>4</v>
      </c>
      <c r="E185" t="s">
        <v>21</v>
      </c>
      <c r="F185" s="6">
        <v>200589316</v>
      </c>
      <c r="G185" t="s">
        <v>53</v>
      </c>
      <c r="H185" t="s">
        <v>49</v>
      </c>
      <c r="I185">
        <v>0</v>
      </c>
      <c r="J185">
        <v>0</v>
      </c>
      <c r="K185">
        <v>0</v>
      </c>
      <c r="L185">
        <v>0</v>
      </c>
      <c r="M185">
        <v>0.17</v>
      </c>
      <c r="N185" s="7" t="e">
        <f>VLOOKUP(F185,HC!A$6:D$100,3,FALSE)</f>
        <v>#N/A</v>
      </c>
      <c r="O185" s="7" t="e">
        <f>VLOOKUP(F185,HC!A$6:D$1000,2,FALSE)</f>
        <v>#N/A</v>
      </c>
      <c r="P185" s="7" t="s">
        <v>661</v>
      </c>
      <c r="Q185" s="7" t="s">
        <v>681</v>
      </c>
      <c r="R185" t="s">
        <v>234</v>
      </c>
      <c r="U185">
        <f t="shared" si="4"/>
        <v>1395</v>
      </c>
    </row>
    <row r="186" spans="1:21" ht="37.5" customHeight="1" x14ac:dyDescent="0.25">
      <c r="A186" s="1">
        <v>44938</v>
      </c>
      <c r="B186" s="13">
        <v>2</v>
      </c>
      <c r="C186" t="s">
        <v>3</v>
      </c>
      <c r="D186" t="s">
        <v>4</v>
      </c>
      <c r="E186" t="s">
        <v>5</v>
      </c>
      <c r="F186" s="6">
        <v>113040583</v>
      </c>
      <c r="G186" t="s">
        <v>387</v>
      </c>
      <c r="H186" t="s">
        <v>317</v>
      </c>
      <c r="I186">
        <v>0</v>
      </c>
      <c r="J186">
        <v>0</v>
      </c>
      <c r="K186">
        <v>0</v>
      </c>
      <c r="L186">
        <v>0</v>
      </c>
      <c r="M186">
        <v>1.1499999999999999</v>
      </c>
      <c r="N186" s="7" t="e">
        <f>VLOOKUP(F186,HC!A$6:D$100,3,FALSE)</f>
        <v>#N/A</v>
      </c>
      <c r="O186" s="7" t="e">
        <f>VLOOKUP(F186,HC!A$6:D$1000,2,FALSE)</f>
        <v>#N/A</v>
      </c>
      <c r="P186" s="7"/>
      <c r="Q186" s="7"/>
      <c r="R186" t="s">
        <v>432</v>
      </c>
      <c r="U186">
        <f t="shared" si="4"/>
        <v>1395</v>
      </c>
    </row>
    <row r="187" spans="1:21" ht="37.5" customHeight="1" x14ac:dyDescent="0.25">
      <c r="A187" s="1">
        <v>44938</v>
      </c>
      <c r="B187" s="13">
        <v>2</v>
      </c>
      <c r="C187" t="s">
        <v>3</v>
      </c>
      <c r="D187" t="s">
        <v>4</v>
      </c>
      <c r="E187" t="s">
        <v>5</v>
      </c>
      <c r="F187" s="6">
        <v>112912675</v>
      </c>
      <c r="G187" t="s">
        <v>326</v>
      </c>
      <c r="H187" t="s">
        <v>317</v>
      </c>
      <c r="I187">
        <v>0</v>
      </c>
      <c r="J187">
        <v>0</v>
      </c>
      <c r="K187">
        <v>0</v>
      </c>
      <c r="L187">
        <v>0</v>
      </c>
      <c r="M187">
        <v>0.65</v>
      </c>
      <c r="N187" s="7" t="e">
        <f>VLOOKUP(F187,HC!A$6:D$100,3,FALSE)</f>
        <v>#N/A</v>
      </c>
      <c r="O187" s="7" t="e">
        <f>VLOOKUP(F187,HC!A$6:D$1000,2,FALSE)</f>
        <v>#N/A</v>
      </c>
      <c r="P187" s="7"/>
      <c r="Q187" s="7"/>
      <c r="R187" t="s">
        <v>411</v>
      </c>
      <c r="U187">
        <f t="shared" si="4"/>
        <v>1395</v>
      </c>
    </row>
    <row r="188" spans="1:21" ht="37.5" customHeight="1" x14ac:dyDescent="0.25">
      <c r="A188" s="1">
        <v>44938</v>
      </c>
      <c r="B188" s="13">
        <v>2</v>
      </c>
      <c r="C188" t="s">
        <v>3</v>
      </c>
      <c r="D188" t="s">
        <v>4</v>
      </c>
      <c r="E188" t="s">
        <v>5</v>
      </c>
      <c r="F188" s="6">
        <v>200407907</v>
      </c>
      <c r="G188" t="s">
        <v>417</v>
      </c>
      <c r="H188" t="s">
        <v>44</v>
      </c>
      <c r="I188">
        <v>0</v>
      </c>
      <c r="J188">
        <v>0</v>
      </c>
      <c r="K188">
        <v>0</v>
      </c>
      <c r="L188">
        <v>0</v>
      </c>
      <c r="M188">
        <v>0.28000000000000003</v>
      </c>
      <c r="N188" s="7" t="e">
        <f>VLOOKUP(F188,HC!A$6:D$100,3,FALSE)</f>
        <v>#N/A</v>
      </c>
      <c r="O188" s="7" t="e">
        <f>VLOOKUP(F188,HC!A$6:D$1000,2,FALSE)</f>
        <v>#N/A</v>
      </c>
      <c r="P188" s="7" t="s">
        <v>661</v>
      </c>
      <c r="Q188" s="7" t="s">
        <v>681</v>
      </c>
      <c r="R188" t="s">
        <v>234</v>
      </c>
      <c r="U188">
        <f t="shared" si="4"/>
        <v>1395</v>
      </c>
    </row>
    <row r="189" spans="1:21" ht="37.5" customHeight="1" x14ac:dyDescent="0.25">
      <c r="A189" s="1">
        <v>44938</v>
      </c>
      <c r="B189" s="13">
        <v>2</v>
      </c>
      <c r="C189" t="s">
        <v>3</v>
      </c>
      <c r="D189" t="s">
        <v>4</v>
      </c>
      <c r="E189" t="s">
        <v>5</v>
      </c>
      <c r="F189" s="6">
        <v>112912163</v>
      </c>
      <c r="G189" t="s">
        <v>294</v>
      </c>
      <c r="H189" t="s">
        <v>47</v>
      </c>
      <c r="I189">
        <v>0</v>
      </c>
      <c r="J189">
        <v>0</v>
      </c>
      <c r="K189">
        <v>0</v>
      </c>
      <c r="L189">
        <v>0</v>
      </c>
      <c r="M189">
        <v>0.26</v>
      </c>
      <c r="N189" s="7" t="e">
        <f>VLOOKUP(F189,HC!A$6:D$100,3,FALSE)</f>
        <v>#N/A</v>
      </c>
      <c r="O189" s="7" t="e">
        <f>VLOOKUP(F189,HC!A$6:D$1000,2,FALSE)</f>
        <v>#N/A</v>
      </c>
      <c r="P189" s="7"/>
      <c r="Q189" s="7"/>
      <c r="R189" t="s">
        <v>236</v>
      </c>
      <c r="U189">
        <f t="shared" si="4"/>
        <v>1395</v>
      </c>
    </row>
    <row r="190" spans="1:21" ht="37.5" customHeight="1" x14ac:dyDescent="0.25">
      <c r="A190" s="1">
        <v>44938</v>
      </c>
      <c r="B190" s="13">
        <v>2</v>
      </c>
      <c r="C190" t="s">
        <v>3</v>
      </c>
      <c r="D190" t="s">
        <v>4</v>
      </c>
      <c r="E190" t="s">
        <v>21</v>
      </c>
      <c r="F190" s="6">
        <v>200554743</v>
      </c>
      <c r="G190" t="s">
        <v>340</v>
      </c>
      <c r="H190" t="s">
        <v>24</v>
      </c>
      <c r="I190">
        <v>0</v>
      </c>
      <c r="J190">
        <v>0</v>
      </c>
      <c r="K190">
        <v>0</v>
      </c>
      <c r="L190">
        <v>0</v>
      </c>
      <c r="M190">
        <v>0.17</v>
      </c>
      <c r="N190" s="7" t="e">
        <f>VLOOKUP(F190,HC!A$6:D$100,3,FALSE)</f>
        <v>#N/A</v>
      </c>
      <c r="O190" s="7" t="e">
        <f>VLOOKUP(F190,HC!A$6:D$1000,2,FALSE)</f>
        <v>#N/A</v>
      </c>
      <c r="P190" s="7"/>
      <c r="Q190" s="7"/>
      <c r="R190" t="s">
        <v>420</v>
      </c>
      <c r="U190">
        <f t="shared" si="4"/>
        <v>1395</v>
      </c>
    </row>
    <row r="191" spans="1:21" ht="37.5" customHeight="1" x14ac:dyDescent="0.25">
      <c r="A191" s="1">
        <v>44938</v>
      </c>
      <c r="B191" s="13">
        <v>2</v>
      </c>
      <c r="C191" t="s">
        <v>3</v>
      </c>
      <c r="D191" t="s">
        <v>4</v>
      </c>
      <c r="E191" t="s">
        <v>21</v>
      </c>
      <c r="F191" s="6">
        <v>200536194</v>
      </c>
      <c r="G191" t="s">
        <v>274</v>
      </c>
      <c r="H191" t="s">
        <v>24</v>
      </c>
      <c r="I191">
        <v>0</v>
      </c>
      <c r="J191">
        <v>0</v>
      </c>
      <c r="K191">
        <v>0</v>
      </c>
      <c r="L191">
        <v>0</v>
      </c>
      <c r="M191">
        <v>0.3</v>
      </c>
      <c r="N191" s="7" t="e">
        <f>VLOOKUP(F191,HC!A$6:D$100,3,FALSE)</f>
        <v>#N/A</v>
      </c>
      <c r="O191" s="7" t="e">
        <f>VLOOKUP(F191,HC!A$6:D$1000,2,FALSE)</f>
        <v>#N/A</v>
      </c>
      <c r="P191" s="7" t="s">
        <v>662</v>
      </c>
      <c r="Q191" s="7" t="s">
        <v>687</v>
      </c>
      <c r="R191" t="s">
        <v>291</v>
      </c>
      <c r="U191">
        <f t="shared" si="4"/>
        <v>1395</v>
      </c>
    </row>
    <row r="192" spans="1:21" ht="37.5" customHeight="1" x14ac:dyDescent="0.25">
      <c r="A192" s="1">
        <v>44938</v>
      </c>
      <c r="B192" s="13">
        <v>2</v>
      </c>
      <c r="C192" t="s">
        <v>3</v>
      </c>
      <c r="D192" t="s">
        <v>4</v>
      </c>
      <c r="E192" t="s">
        <v>5</v>
      </c>
      <c r="F192" s="6">
        <v>113014042</v>
      </c>
      <c r="G192" t="s">
        <v>329</v>
      </c>
      <c r="H192" t="s">
        <v>24</v>
      </c>
      <c r="I192">
        <v>0</v>
      </c>
      <c r="J192">
        <v>0</v>
      </c>
      <c r="K192">
        <v>0</v>
      </c>
      <c r="L192">
        <v>0</v>
      </c>
      <c r="M192">
        <v>1.1599999999999999</v>
      </c>
      <c r="N192" s="7" t="e">
        <f>VLOOKUP(F192,HC!A$6:D$100,3,FALSE)</f>
        <v>#N/A</v>
      </c>
      <c r="O192" s="7" t="str">
        <f>VLOOKUP(F192,HC!A$6:D$1000,2,FALSE)</f>
        <v>rfcervan</v>
      </c>
      <c r="P192" s="7"/>
      <c r="Q192" s="7"/>
      <c r="R192" t="s">
        <v>411</v>
      </c>
      <c r="U192">
        <f t="shared" si="4"/>
        <v>23</v>
      </c>
    </row>
    <row r="193" spans="1:21" ht="37.5" customHeight="1" x14ac:dyDescent="0.25">
      <c r="A193" s="1">
        <v>44938</v>
      </c>
      <c r="B193" s="13">
        <v>2</v>
      </c>
      <c r="C193" t="s">
        <v>3</v>
      </c>
      <c r="D193" t="s">
        <v>4</v>
      </c>
      <c r="E193" t="s">
        <v>5</v>
      </c>
      <c r="F193" s="6">
        <v>112980832</v>
      </c>
      <c r="G193" t="s">
        <v>427</v>
      </c>
      <c r="H193" t="s">
        <v>7</v>
      </c>
      <c r="I193">
        <v>0</v>
      </c>
      <c r="J193">
        <v>0</v>
      </c>
      <c r="K193">
        <v>0</v>
      </c>
      <c r="L193">
        <v>0</v>
      </c>
      <c r="M193">
        <v>0.23</v>
      </c>
      <c r="N193" s="7" t="e">
        <f>VLOOKUP(F193,HC!A$6:D$100,3,FALSE)</f>
        <v>#N/A</v>
      </c>
      <c r="O193" s="7" t="e">
        <f>VLOOKUP(F193,HC!A$6:D$1000,2,FALSE)</f>
        <v>#N/A</v>
      </c>
      <c r="P193" s="7" t="s">
        <v>661</v>
      </c>
      <c r="Q193" s="7" t="s">
        <v>681</v>
      </c>
      <c r="R193" t="s">
        <v>234</v>
      </c>
      <c r="U193">
        <f t="shared" si="4"/>
        <v>1395</v>
      </c>
    </row>
    <row r="194" spans="1:21" ht="37.5" customHeight="1" x14ac:dyDescent="0.25">
      <c r="A194" s="1">
        <v>44938</v>
      </c>
      <c r="B194" s="13">
        <v>2</v>
      </c>
      <c r="C194" t="s">
        <v>3</v>
      </c>
      <c r="D194" t="s">
        <v>4</v>
      </c>
      <c r="E194" t="s">
        <v>5</v>
      </c>
      <c r="F194" s="6">
        <v>112950784</v>
      </c>
      <c r="G194" t="s">
        <v>261</v>
      </c>
      <c r="H194" s="11" t="s">
        <v>47</v>
      </c>
      <c r="I194">
        <v>0</v>
      </c>
      <c r="J194">
        <v>0</v>
      </c>
      <c r="K194">
        <v>0</v>
      </c>
      <c r="L194">
        <v>0</v>
      </c>
      <c r="M194">
        <v>0.25</v>
      </c>
      <c r="N194" s="7" t="str">
        <f>VLOOKUP(F194,HC!A$6:D$100,3,FALSE)</f>
        <v>NF-X1900</v>
      </c>
      <c r="O194" s="7" t="str">
        <f>VLOOKUP(F194,HC!A$6:D$1000,2,FALSE)</f>
        <v>sarojast</v>
      </c>
      <c r="P194" s="7"/>
      <c r="Q194" s="7"/>
      <c r="R194" t="s">
        <v>418</v>
      </c>
      <c r="U194">
        <f t="shared" si="4"/>
        <v>33</v>
      </c>
    </row>
    <row r="195" spans="1:21" ht="37.5" customHeight="1" x14ac:dyDescent="0.25">
      <c r="A195" s="1">
        <v>44938</v>
      </c>
      <c r="B195" s="13">
        <v>2</v>
      </c>
      <c r="C195" t="s">
        <v>3</v>
      </c>
      <c r="D195" t="s">
        <v>4</v>
      </c>
      <c r="E195" t="s">
        <v>5</v>
      </c>
      <c r="F195" s="6">
        <v>112912753</v>
      </c>
      <c r="G195" t="s">
        <v>415</v>
      </c>
      <c r="H195" t="s">
        <v>47</v>
      </c>
      <c r="I195">
        <v>0</v>
      </c>
      <c r="J195">
        <v>0</v>
      </c>
      <c r="K195">
        <v>0</v>
      </c>
      <c r="L195">
        <v>0</v>
      </c>
      <c r="M195">
        <v>0.05</v>
      </c>
      <c r="N195" s="7" t="e">
        <f>VLOOKUP(F195,HC!A$6:D$100,3,FALSE)</f>
        <v>#N/A</v>
      </c>
      <c r="O195" s="7" t="e">
        <f>VLOOKUP(F195,HC!A$6:D$1000,2,FALSE)</f>
        <v>#N/A</v>
      </c>
      <c r="P195" s="7"/>
      <c r="Q195" s="7"/>
      <c r="R195" t="s">
        <v>420</v>
      </c>
      <c r="U195">
        <f t="shared" ref="U195:U258" si="5">COUNTIF(O$2:O$4999,O195)</f>
        <v>1395</v>
      </c>
    </row>
    <row r="196" spans="1:21" ht="37.5" customHeight="1" x14ac:dyDescent="0.25">
      <c r="A196" s="1">
        <v>44938</v>
      </c>
      <c r="B196" s="13">
        <v>2</v>
      </c>
      <c r="C196" t="s">
        <v>3</v>
      </c>
      <c r="D196" t="s">
        <v>4</v>
      </c>
      <c r="E196" t="s">
        <v>21</v>
      </c>
      <c r="F196" s="6">
        <v>200508315</v>
      </c>
      <c r="G196" t="s">
        <v>428</v>
      </c>
      <c r="H196" t="s">
        <v>24</v>
      </c>
      <c r="I196">
        <v>0</v>
      </c>
      <c r="J196">
        <v>0</v>
      </c>
      <c r="K196">
        <v>0</v>
      </c>
      <c r="L196">
        <v>0</v>
      </c>
      <c r="M196">
        <v>0.19</v>
      </c>
      <c r="N196" s="7" t="e">
        <f>VLOOKUP(F196,HC!A$6:D$100,3,FALSE)</f>
        <v>#N/A</v>
      </c>
      <c r="O196" s="7" t="str">
        <f>VLOOKUP(F196,HC!A$6:D$1000,2,FALSE)</f>
        <v>taldaher</v>
      </c>
      <c r="P196" s="7"/>
      <c r="Q196" s="7"/>
      <c r="R196" t="s">
        <v>433</v>
      </c>
      <c r="U196">
        <f t="shared" si="5"/>
        <v>18</v>
      </c>
    </row>
    <row r="197" spans="1:21" ht="37.5" customHeight="1" x14ac:dyDescent="0.25">
      <c r="A197" s="1">
        <v>44938</v>
      </c>
      <c r="B197" s="13">
        <v>2</v>
      </c>
      <c r="C197" t="s">
        <v>3</v>
      </c>
      <c r="D197" t="s">
        <v>4</v>
      </c>
      <c r="E197" t="s">
        <v>5</v>
      </c>
      <c r="F197" s="6">
        <v>112980862</v>
      </c>
      <c r="G197" t="s">
        <v>43</v>
      </c>
      <c r="H197" t="s">
        <v>44</v>
      </c>
      <c r="I197">
        <v>0</v>
      </c>
      <c r="J197">
        <v>0</v>
      </c>
      <c r="K197">
        <v>0</v>
      </c>
      <c r="L197">
        <v>0</v>
      </c>
      <c r="M197">
        <v>0.37</v>
      </c>
      <c r="N197" s="7" t="e">
        <f>VLOOKUP(F197,HC!A$6:D$100,3,FALSE)</f>
        <v>#N/A</v>
      </c>
      <c r="O197" s="7" t="e">
        <f>VLOOKUP(F197,HC!A$6:D$1000,2,FALSE)</f>
        <v>#N/A</v>
      </c>
      <c r="P197" s="7"/>
      <c r="Q197" s="7"/>
      <c r="R197" t="s">
        <v>422</v>
      </c>
      <c r="U197">
        <f t="shared" si="5"/>
        <v>1395</v>
      </c>
    </row>
    <row r="198" spans="1:21" ht="37.5" customHeight="1" x14ac:dyDescent="0.25">
      <c r="A198" s="1">
        <v>44938</v>
      </c>
      <c r="B198" s="13">
        <v>2</v>
      </c>
      <c r="C198" t="s">
        <v>3</v>
      </c>
      <c r="D198" t="s">
        <v>4</v>
      </c>
      <c r="E198" t="s">
        <v>5</v>
      </c>
      <c r="F198" s="6">
        <v>200404250</v>
      </c>
      <c r="G198" t="s">
        <v>51</v>
      </c>
      <c r="H198" s="11" t="s">
        <v>44</v>
      </c>
      <c r="I198">
        <v>0</v>
      </c>
      <c r="J198">
        <v>0</v>
      </c>
      <c r="K198">
        <v>0</v>
      </c>
      <c r="L198">
        <v>0</v>
      </c>
      <c r="M198">
        <v>0.47</v>
      </c>
      <c r="N198" s="7" t="e">
        <f>VLOOKUP(F198,HC!A$6:D$100,3,FALSE)</f>
        <v>#N/A</v>
      </c>
      <c r="O198" s="7" t="str">
        <f>VLOOKUP(F198,HC!A$6:D$1000,2,FALSE)</f>
        <v>xcathurt</v>
      </c>
      <c r="P198" s="7"/>
      <c r="Q198" s="7"/>
      <c r="R198" t="s">
        <v>411</v>
      </c>
      <c r="U198">
        <f t="shared" si="5"/>
        <v>124</v>
      </c>
    </row>
    <row r="199" spans="1:21" ht="37.5" customHeight="1" x14ac:dyDescent="0.25">
      <c r="A199" s="1">
        <v>44938</v>
      </c>
      <c r="B199" s="13">
        <v>2</v>
      </c>
      <c r="C199" t="s">
        <v>3</v>
      </c>
      <c r="D199" t="s">
        <v>4</v>
      </c>
      <c r="E199" t="s">
        <v>5</v>
      </c>
      <c r="F199" s="6">
        <v>200404250</v>
      </c>
      <c r="G199" t="s">
        <v>51</v>
      </c>
      <c r="H199" t="s">
        <v>44</v>
      </c>
      <c r="I199">
        <v>0</v>
      </c>
      <c r="J199">
        <v>0</v>
      </c>
      <c r="K199">
        <v>0</v>
      </c>
      <c r="L199">
        <v>0</v>
      </c>
      <c r="M199">
        <v>0.56000000000000005</v>
      </c>
      <c r="N199" s="7" t="e">
        <f>VLOOKUP(F199,HC!A$6:D$100,3,FALSE)</f>
        <v>#N/A</v>
      </c>
      <c r="O199" s="7" t="str">
        <f>VLOOKUP(F199,HC!A$6:D$1000,2,FALSE)</f>
        <v>xcathurt</v>
      </c>
      <c r="P199" s="7" t="s">
        <v>662</v>
      </c>
      <c r="Q199" s="7" t="s">
        <v>2099</v>
      </c>
      <c r="R199" t="s">
        <v>423</v>
      </c>
      <c r="U199">
        <f t="shared" si="5"/>
        <v>124</v>
      </c>
    </row>
    <row r="200" spans="1:21" ht="37.5" customHeight="1" x14ac:dyDescent="0.25">
      <c r="A200" s="1">
        <v>44938</v>
      </c>
      <c r="B200" s="13">
        <v>2</v>
      </c>
      <c r="C200" t="s">
        <v>3</v>
      </c>
      <c r="D200" t="s">
        <v>4</v>
      </c>
      <c r="E200" t="s">
        <v>5</v>
      </c>
      <c r="F200" s="6">
        <v>112984097</v>
      </c>
      <c r="G200" t="s">
        <v>265</v>
      </c>
      <c r="H200" s="11" t="s">
        <v>47</v>
      </c>
      <c r="I200">
        <v>0</v>
      </c>
      <c r="J200">
        <v>0</v>
      </c>
      <c r="K200">
        <v>0</v>
      </c>
      <c r="L200">
        <v>0</v>
      </c>
      <c r="M200">
        <v>0.54</v>
      </c>
      <c r="N200" s="7" t="e">
        <f>VLOOKUP(F200,HC!A$6:D$100,3,FALSE)</f>
        <v>#N/A</v>
      </c>
      <c r="O200" s="7" t="e">
        <f>VLOOKUP(F200,HC!A$6:D$1000,2,FALSE)</f>
        <v>#N/A</v>
      </c>
      <c r="P200" s="7" t="s">
        <v>664</v>
      </c>
      <c r="Q200" s="7" t="s">
        <v>711</v>
      </c>
      <c r="R200" t="s">
        <v>419</v>
      </c>
      <c r="U200">
        <f t="shared" si="5"/>
        <v>1395</v>
      </c>
    </row>
    <row r="201" spans="1:21" ht="37.5" customHeight="1" x14ac:dyDescent="0.25">
      <c r="A201" s="1">
        <v>44938</v>
      </c>
      <c r="B201" s="13">
        <v>2</v>
      </c>
      <c r="C201" t="s">
        <v>3</v>
      </c>
      <c r="D201" t="s">
        <v>4</v>
      </c>
      <c r="E201" t="s">
        <v>21</v>
      </c>
      <c r="F201" s="6">
        <v>200509428</v>
      </c>
      <c r="G201" t="s">
        <v>272</v>
      </c>
      <c r="H201" t="s">
        <v>47</v>
      </c>
      <c r="I201">
        <v>0</v>
      </c>
      <c r="J201">
        <v>0</v>
      </c>
      <c r="K201">
        <v>0</v>
      </c>
      <c r="L201">
        <v>0</v>
      </c>
      <c r="M201">
        <v>0.32</v>
      </c>
      <c r="N201" s="7" t="e">
        <f>VLOOKUP(F201,HC!A$6:D$100,3,FALSE)</f>
        <v>#N/A</v>
      </c>
      <c r="O201" s="7" t="e">
        <f>VLOOKUP(F201,HC!A$6:D$1000,2,FALSE)</f>
        <v>#N/A</v>
      </c>
      <c r="P201" s="7" t="s">
        <v>661</v>
      </c>
      <c r="Q201" s="7" t="s">
        <v>681</v>
      </c>
      <c r="R201" t="s">
        <v>234</v>
      </c>
      <c r="U201">
        <f t="shared" si="5"/>
        <v>1395</v>
      </c>
    </row>
    <row r="202" spans="1:21" ht="37.5" customHeight="1" x14ac:dyDescent="0.25">
      <c r="A202" s="1">
        <v>44939</v>
      </c>
      <c r="B202" s="13">
        <v>2</v>
      </c>
      <c r="C202" t="s">
        <v>3</v>
      </c>
      <c r="D202" t="s">
        <v>4</v>
      </c>
      <c r="E202" t="s">
        <v>5</v>
      </c>
      <c r="F202" s="6">
        <v>112973049</v>
      </c>
      <c r="G202" t="s">
        <v>314</v>
      </c>
      <c r="H202" t="s">
        <v>285</v>
      </c>
      <c r="I202">
        <v>0</v>
      </c>
      <c r="J202">
        <v>0</v>
      </c>
      <c r="K202">
        <v>0</v>
      </c>
      <c r="L202">
        <v>0</v>
      </c>
      <c r="M202">
        <v>0.46</v>
      </c>
      <c r="N202" s="7" t="str">
        <f>VLOOKUP(F202,HC!A$6:D$100,3,FALSE)</f>
        <v>DB-X0700</v>
      </c>
      <c r="O202" s="7" t="str">
        <f>VLOOKUP(F202,HC!A$6:D$1000,2,FALSE)</f>
        <v>afatimae</v>
      </c>
      <c r="P202" s="7"/>
      <c r="Q202" s="7"/>
      <c r="R202" t="s">
        <v>420</v>
      </c>
      <c r="U202">
        <f t="shared" si="5"/>
        <v>29</v>
      </c>
    </row>
    <row r="203" spans="1:21" ht="37.5" customHeight="1" x14ac:dyDescent="0.25">
      <c r="A203" s="1">
        <v>44939</v>
      </c>
      <c r="B203" s="13">
        <v>2</v>
      </c>
      <c r="C203" t="s">
        <v>3</v>
      </c>
      <c r="D203" t="s">
        <v>4</v>
      </c>
      <c r="E203" t="s">
        <v>21</v>
      </c>
      <c r="F203" s="6">
        <v>200563210</v>
      </c>
      <c r="G203" t="s">
        <v>341</v>
      </c>
      <c r="H203" t="s">
        <v>298</v>
      </c>
      <c r="I203">
        <v>0</v>
      </c>
      <c r="J203">
        <v>0</v>
      </c>
      <c r="K203">
        <v>0</v>
      </c>
      <c r="L203">
        <v>0</v>
      </c>
      <c r="M203">
        <v>0.09</v>
      </c>
      <c r="N203" s="7" t="e">
        <f>VLOOKUP(F203,HC!A$6:D$100,3,FALSE)</f>
        <v>#N/A</v>
      </c>
      <c r="O203" s="7" t="e">
        <f>VLOOKUP(F203,HC!A$6:D$1000,2,FALSE)</f>
        <v>#N/A</v>
      </c>
      <c r="P203" s="7" t="s">
        <v>675</v>
      </c>
      <c r="Q203" s="7"/>
      <c r="R203" t="s">
        <v>305</v>
      </c>
      <c r="U203">
        <f t="shared" si="5"/>
        <v>1395</v>
      </c>
    </row>
    <row r="204" spans="1:21" ht="37.5" customHeight="1" x14ac:dyDescent="0.25">
      <c r="A204" s="1">
        <v>44939</v>
      </c>
      <c r="B204" s="13">
        <v>2</v>
      </c>
      <c r="C204" t="s">
        <v>3</v>
      </c>
      <c r="D204" t="s">
        <v>4</v>
      </c>
      <c r="E204" t="s">
        <v>5</v>
      </c>
      <c r="F204" s="6">
        <v>111188907</v>
      </c>
      <c r="G204" t="s">
        <v>435</v>
      </c>
      <c r="H204" t="s">
        <v>263</v>
      </c>
      <c r="I204">
        <v>0</v>
      </c>
      <c r="J204">
        <v>0</v>
      </c>
      <c r="K204">
        <v>0</v>
      </c>
      <c r="L204">
        <v>0</v>
      </c>
      <c r="M204">
        <v>0.26</v>
      </c>
      <c r="N204" s="7" t="e">
        <f>VLOOKUP(F204,HC!A$6:D$100,3,FALSE)</f>
        <v>#N/A</v>
      </c>
      <c r="O204" s="7" t="e">
        <f>VLOOKUP(F204,HC!A$6:D$1000,2,FALSE)</f>
        <v>#N/A</v>
      </c>
      <c r="P204" s="7"/>
      <c r="Q204" s="7"/>
      <c r="R204" t="s">
        <v>420</v>
      </c>
      <c r="U204">
        <f t="shared" si="5"/>
        <v>1395</v>
      </c>
    </row>
    <row r="205" spans="1:21" ht="37.5" customHeight="1" x14ac:dyDescent="0.25">
      <c r="A205" s="1">
        <v>44939</v>
      </c>
      <c r="B205" s="13">
        <v>2</v>
      </c>
      <c r="C205" t="s">
        <v>3</v>
      </c>
      <c r="D205" t="s">
        <v>4</v>
      </c>
      <c r="E205" t="s">
        <v>5</v>
      </c>
      <c r="F205" s="6">
        <v>112916534</v>
      </c>
      <c r="G205" t="s">
        <v>425</v>
      </c>
      <c r="H205" t="s">
        <v>317</v>
      </c>
      <c r="I205">
        <v>0</v>
      </c>
      <c r="J205">
        <v>0</v>
      </c>
      <c r="K205">
        <v>0</v>
      </c>
      <c r="L205">
        <v>0</v>
      </c>
      <c r="M205">
        <v>0.54</v>
      </c>
      <c r="N205" s="7" t="str">
        <f>VLOOKUP(F205,HC!A$6:D$100,3,FALSE)</f>
        <v>DB-X0700</v>
      </c>
      <c r="O205" s="7" t="str">
        <f>VLOOKUP(F205,HC!A$6:D$1000,2,FALSE)</f>
        <v>earelili</v>
      </c>
      <c r="P205" s="7"/>
      <c r="Q205" s="7"/>
      <c r="R205" t="s">
        <v>420</v>
      </c>
      <c r="U205">
        <f t="shared" si="5"/>
        <v>15</v>
      </c>
    </row>
    <row r="206" spans="1:21" ht="37.5" customHeight="1" x14ac:dyDescent="0.25">
      <c r="A206" s="1">
        <v>44939</v>
      </c>
      <c r="B206" s="13">
        <v>2</v>
      </c>
      <c r="C206" t="s">
        <v>3</v>
      </c>
      <c r="D206" t="s">
        <v>438</v>
      </c>
      <c r="E206" t="s">
        <v>5</v>
      </c>
      <c r="F206" s="6">
        <v>112916534</v>
      </c>
      <c r="G206" t="s">
        <v>425</v>
      </c>
      <c r="H206" t="s">
        <v>317</v>
      </c>
      <c r="I206">
        <v>0</v>
      </c>
      <c r="J206">
        <v>0</v>
      </c>
      <c r="K206">
        <v>0</v>
      </c>
      <c r="L206">
        <v>0</v>
      </c>
      <c r="M206">
        <v>1.49</v>
      </c>
      <c r="N206" s="7" t="str">
        <f>VLOOKUP(F206,HC!A$6:D$100,3,FALSE)</f>
        <v>DB-X0700</v>
      </c>
      <c r="O206" s="7" t="str">
        <f>VLOOKUP(F206,HC!A$6:D$1000,2,FALSE)</f>
        <v>earelili</v>
      </c>
      <c r="P206" s="7" t="s">
        <v>661</v>
      </c>
      <c r="Q206" s="7" t="s">
        <v>681</v>
      </c>
      <c r="R206" t="s">
        <v>234</v>
      </c>
      <c r="U206">
        <f t="shared" si="5"/>
        <v>15</v>
      </c>
    </row>
    <row r="207" spans="1:21" ht="37.5" customHeight="1" x14ac:dyDescent="0.25">
      <c r="A207" s="1">
        <v>44939</v>
      </c>
      <c r="B207" s="13">
        <v>2</v>
      </c>
      <c r="C207" t="s">
        <v>3</v>
      </c>
      <c r="D207" t="s">
        <v>4</v>
      </c>
      <c r="E207" t="s">
        <v>5</v>
      </c>
      <c r="F207" s="6">
        <v>112980845</v>
      </c>
      <c r="G207" t="s">
        <v>431</v>
      </c>
      <c r="H207" t="s">
        <v>332</v>
      </c>
      <c r="I207">
        <v>0</v>
      </c>
      <c r="J207">
        <v>0</v>
      </c>
      <c r="K207">
        <v>0</v>
      </c>
      <c r="L207">
        <v>0</v>
      </c>
      <c r="M207">
        <v>0.39</v>
      </c>
      <c r="N207" s="7" t="e">
        <f>VLOOKUP(F207,HC!A$6:D$100,3,FALSE)</f>
        <v>#N/A</v>
      </c>
      <c r="O207" s="7" t="e">
        <f>VLOOKUP(F207,HC!A$6:D$1000,2,FALSE)</f>
        <v>#N/A</v>
      </c>
      <c r="P207" s="7" t="s">
        <v>661</v>
      </c>
      <c r="Q207" s="7" t="s">
        <v>681</v>
      </c>
      <c r="R207" t="s">
        <v>234</v>
      </c>
      <c r="U207">
        <f t="shared" si="5"/>
        <v>1395</v>
      </c>
    </row>
    <row r="208" spans="1:21" ht="37.5" customHeight="1" x14ac:dyDescent="0.25">
      <c r="A208" s="1">
        <v>44939</v>
      </c>
      <c r="B208" s="13">
        <v>2</v>
      </c>
      <c r="C208" t="s">
        <v>3</v>
      </c>
      <c r="D208" t="s">
        <v>4</v>
      </c>
      <c r="E208" t="s">
        <v>5</v>
      </c>
      <c r="F208" s="6">
        <v>113141911</v>
      </c>
      <c r="G208" t="s">
        <v>439</v>
      </c>
      <c r="H208" t="s">
        <v>332</v>
      </c>
      <c r="I208">
        <v>0</v>
      </c>
      <c r="J208">
        <v>0</v>
      </c>
      <c r="K208">
        <v>0</v>
      </c>
      <c r="L208">
        <v>0</v>
      </c>
      <c r="M208">
        <v>0.47</v>
      </c>
      <c r="N208" s="7" t="e">
        <f>VLOOKUP(F208,HC!A$6:D$100,3,FALSE)</f>
        <v>#N/A</v>
      </c>
      <c r="O208" s="7" t="e">
        <f>VLOOKUP(F208,HC!A$6:D$1000,2,FALSE)</f>
        <v>#N/A</v>
      </c>
      <c r="P208" s="7"/>
      <c r="Q208" s="7"/>
      <c r="R208" t="s">
        <v>443</v>
      </c>
      <c r="U208">
        <f t="shared" si="5"/>
        <v>1395</v>
      </c>
    </row>
    <row r="209" spans="1:21" ht="37.5" customHeight="1" x14ac:dyDescent="0.25">
      <c r="A209" s="1">
        <v>44939</v>
      </c>
      <c r="B209" s="13">
        <v>2</v>
      </c>
      <c r="C209" t="s">
        <v>3</v>
      </c>
      <c r="D209" t="s">
        <v>4</v>
      </c>
      <c r="E209" t="s">
        <v>21</v>
      </c>
      <c r="F209" s="6">
        <v>200589316</v>
      </c>
      <c r="G209" t="s">
        <v>53</v>
      </c>
      <c r="H209" t="s">
        <v>49</v>
      </c>
      <c r="I209">
        <v>0</v>
      </c>
      <c r="J209">
        <v>0</v>
      </c>
      <c r="K209">
        <v>0</v>
      </c>
      <c r="L209">
        <v>0</v>
      </c>
      <c r="M209">
        <v>0.37</v>
      </c>
      <c r="N209" s="7" t="e">
        <f>VLOOKUP(F209,HC!A$6:D$100,3,FALSE)</f>
        <v>#N/A</v>
      </c>
      <c r="O209" s="7" t="e">
        <f>VLOOKUP(F209,HC!A$6:D$1000,2,FALSE)</f>
        <v>#N/A</v>
      </c>
      <c r="P209" s="7" t="s">
        <v>675</v>
      </c>
      <c r="Q209" s="7"/>
      <c r="R209" t="s">
        <v>305</v>
      </c>
      <c r="U209">
        <f t="shared" si="5"/>
        <v>1395</v>
      </c>
    </row>
    <row r="210" spans="1:21" ht="37.5" customHeight="1" x14ac:dyDescent="0.25">
      <c r="A210" s="1">
        <v>44939</v>
      </c>
      <c r="B210" s="13">
        <v>2</v>
      </c>
      <c r="C210" t="s">
        <v>3</v>
      </c>
      <c r="D210" t="s">
        <v>4</v>
      </c>
      <c r="E210" t="s">
        <v>21</v>
      </c>
      <c r="F210" s="6">
        <v>109227086</v>
      </c>
      <c r="G210" t="s">
        <v>430</v>
      </c>
      <c r="H210" t="s">
        <v>47</v>
      </c>
      <c r="I210">
        <v>0</v>
      </c>
      <c r="J210">
        <v>0</v>
      </c>
      <c r="K210">
        <v>0</v>
      </c>
      <c r="L210">
        <v>0</v>
      </c>
      <c r="M210">
        <v>0.26</v>
      </c>
      <c r="N210" s="7" t="e">
        <f>VLOOKUP(F210,HC!A$6:D$100,3,FALSE)</f>
        <v>#N/A</v>
      </c>
      <c r="O210" s="7" t="e">
        <f>VLOOKUP(F210,HC!A$6:D$1000,2,FALSE)</f>
        <v>#N/A</v>
      </c>
      <c r="P210" s="7" t="s">
        <v>663</v>
      </c>
      <c r="Q210" s="7"/>
      <c r="R210" t="s">
        <v>466</v>
      </c>
      <c r="U210">
        <f t="shared" si="5"/>
        <v>1395</v>
      </c>
    </row>
    <row r="211" spans="1:21" ht="37.5" customHeight="1" x14ac:dyDescent="0.25">
      <c r="A211" s="1">
        <v>44939</v>
      </c>
      <c r="B211" s="13">
        <v>2</v>
      </c>
      <c r="C211" t="s">
        <v>3</v>
      </c>
      <c r="D211" t="s">
        <v>4</v>
      </c>
      <c r="E211" t="s">
        <v>5</v>
      </c>
      <c r="F211" s="6">
        <v>113040583</v>
      </c>
      <c r="G211" t="s">
        <v>387</v>
      </c>
      <c r="H211" t="s">
        <v>317</v>
      </c>
      <c r="I211">
        <v>0</v>
      </c>
      <c r="J211">
        <v>0</v>
      </c>
      <c r="K211">
        <v>0</v>
      </c>
      <c r="L211">
        <v>0</v>
      </c>
      <c r="M211">
        <v>0.36</v>
      </c>
      <c r="N211" s="7" t="e">
        <f>VLOOKUP(F211,HC!A$6:D$100,3,FALSE)</f>
        <v>#N/A</v>
      </c>
      <c r="O211" s="7" t="e">
        <f>VLOOKUP(F211,HC!A$6:D$1000,2,FALSE)</f>
        <v>#N/A</v>
      </c>
      <c r="P211" s="7"/>
      <c r="Q211" s="7"/>
      <c r="R211" t="s">
        <v>433</v>
      </c>
      <c r="U211">
        <f t="shared" si="5"/>
        <v>1395</v>
      </c>
    </row>
    <row r="212" spans="1:21" ht="37.5" customHeight="1" x14ac:dyDescent="0.25">
      <c r="A212" s="1">
        <v>44939</v>
      </c>
      <c r="B212" s="13">
        <v>2</v>
      </c>
      <c r="C212" t="s">
        <v>3</v>
      </c>
      <c r="D212" t="s">
        <v>4</v>
      </c>
      <c r="E212" t="s">
        <v>5</v>
      </c>
      <c r="F212" s="6">
        <v>112912675</v>
      </c>
      <c r="G212" t="s">
        <v>326</v>
      </c>
      <c r="H212" t="s">
        <v>317</v>
      </c>
      <c r="I212">
        <v>0</v>
      </c>
      <c r="J212">
        <v>0</v>
      </c>
      <c r="K212">
        <v>0</v>
      </c>
      <c r="L212">
        <v>0</v>
      </c>
      <c r="M212">
        <v>0.19</v>
      </c>
      <c r="N212" s="7" t="e">
        <f>VLOOKUP(F212,HC!A$6:D$100,3,FALSE)</f>
        <v>#N/A</v>
      </c>
      <c r="O212" s="7" t="e">
        <f>VLOOKUP(F212,HC!A$6:D$1000,2,FALSE)</f>
        <v>#N/A</v>
      </c>
      <c r="P212" s="7"/>
      <c r="Q212" s="7"/>
      <c r="R212" t="s">
        <v>411</v>
      </c>
      <c r="U212">
        <f t="shared" si="5"/>
        <v>1395</v>
      </c>
    </row>
    <row r="213" spans="1:21" ht="37.5" customHeight="1" x14ac:dyDescent="0.25">
      <c r="A213" s="1">
        <v>44939</v>
      </c>
      <c r="B213" s="13">
        <v>2</v>
      </c>
      <c r="C213" t="s">
        <v>3</v>
      </c>
      <c r="D213" t="s">
        <v>4</v>
      </c>
      <c r="E213" t="s">
        <v>5</v>
      </c>
      <c r="F213" s="6">
        <v>112980846</v>
      </c>
      <c r="G213" t="s">
        <v>436</v>
      </c>
      <c r="H213" t="s">
        <v>17</v>
      </c>
      <c r="I213">
        <v>0</v>
      </c>
      <c r="J213">
        <v>0</v>
      </c>
      <c r="K213">
        <v>0</v>
      </c>
      <c r="L213">
        <v>0</v>
      </c>
      <c r="M213">
        <v>0.39</v>
      </c>
      <c r="N213" s="7" t="e">
        <f>VLOOKUP(F213,HC!A$6:D$100,3,FALSE)</f>
        <v>#N/A</v>
      </c>
      <c r="O213" s="7" t="e">
        <f>VLOOKUP(F213,HC!A$6:D$1000,2,FALSE)</f>
        <v>#N/A</v>
      </c>
      <c r="P213" s="7" t="s">
        <v>662</v>
      </c>
      <c r="Q213" s="7" t="s">
        <v>687</v>
      </c>
      <c r="R213" t="s">
        <v>291</v>
      </c>
      <c r="U213">
        <f t="shared" si="5"/>
        <v>1395</v>
      </c>
    </row>
    <row r="214" spans="1:21" ht="37.5" customHeight="1" x14ac:dyDescent="0.25">
      <c r="A214" s="1">
        <v>44939</v>
      </c>
      <c r="B214" s="13">
        <v>2</v>
      </c>
      <c r="C214" t="s">
        <v>3</v>
      </c>
      <c r="D214" t="s">
        <v>4</v>
      </c>
      <c r="E214" t="s">
        <v>21</v>
      </c>
      <c r="F214" s="6">
        <v>200562154</v>
      </c>
      <c r="G214" t="s">
        <v>437</v>
      </c>
      <c r="H214" t="s">
        <v>285</v>
      </c>
      <c r="I214">
        <v>0</v>
      </c>
      <c r="J214">
        <v>0</v>
      </c>
      <c r="K214">
        <v>0</v>
      </c>
      <c r="L214">
        <v>0</v>
      </c>
      <c r="M214">
        <v>0.31</v>
      </c>
      <c r="N214" s="7" t="e">
        <f>VLOOKUP(F214,HC!A$6:D$100,3,FALSE)</f>
        <v>#N/A</v>
      </c>
      <c r="O214" s="7" t="str">
        <f>VLOOKUP(F214,HC!A$6:D$1000,2,FALSE)</f>
        <v>reyesmcw</v>
      </c>
      <c r="P214" s="7"/>
      <c r="Q214" s="7"/>
      <c r="R214" t="s">
        <v>420</v>
      </c>
      <c r="U214">
        <f t="shared" si="5"/>
        <v>38</v>
      </c>
    </row>
    <row r="215" spans="1:21" ht="37.5" customHeight="1" x14ac:dyDescent="0.25">
      <c r="A215" s="1">
        <v>44939</v>
      </c>
      <c r="B215" s="13">
        <v>2</v>
      </c>
      <c r="C215" t="s">
        <v>3</v>
      </c>
      <c r="D215" t="s">
        <v>4</v>
      </c>
      <c r="E215" t="s">
        <v>21</v>
      </c>
      <c r="F215" s="6">
        <v>200564845</v>
      </c>
      <c r="G215" t="s">
        <v>440</v>
      </c>
      <c r="H215" t="s">
        <v>298</v>
      </c>
      <c r="I215">
        <v>0</v>
      </c>
      <c r="J215">
        <v>0</v>
      </c>
      <c r="K215">
        <v>0</v>
      </c>
      <c r="L215">
        <v>0</v>
      </c>
      <c r="M215">
        <v>0.19</v>
      </c>
      <c r="N215" s="7" t="e">
        <f>VLOOKUP(F215,HC!A$6:D$100,3,FALSE)</f>
        <v>#N/A</v>
      </c>
      <c r="O215" s="7" t="e">
        <f>VLOOKUP(F215,HC!A$6:D$1000,2,FALSE)</f>
        <v>#N/A</v>
      </c>
      <c r="P215" s="7" t="s">
        <v>661</v>
      </c>
      <c r="Q215" s="7" t="s">
        <v>681</v>
      </c>
      <c r="R215" t="s">
        <v>234</v>
      </c>
      <c r="U215">
        <f t="shared" si="5"/>
        <v>1395</v>
      </c>
    </row>
    <row r="216" spans="1:21" ht="37.5" customHeight="1" x14ac:dyDescent="0.25">
      <c r="A216" s="1">
        <v>44940</v>
      </c>
      <c r="B216" s="13">
        <v>2</v>
      </c>
      <c r="C216" t="s">
        <v>3</v>
      </c>
      <c r="D216" t="s">
        <v>4</v>
      </c>
      <c r="E216" t="s">
        <v>5</v>
      </c>
      <c r="F216" s="6">
        <v>113003679</v>
      </c>
      <c r="G216" t="s">
        <v>444</v>
      </c>
      <c r="H216" t="s">
        <v>298</v>
      </c>
      <c r="I216">
        <v>0</v>
      </c>
      <c r="J216">
        <v>0</v>
      </c>
      <c r="K216">
        <v>0</v>
      </c>
      <c r="L216">
        <v>0</v>
      </c>
      <c r="M216">
        <v>0.38</v>
      </c>
      <c r="N216" s="7" t="e">
        <f>VLOOKUP(F216,HC!A$6:D$100,3,FALSE)</f>
        <v>#N/A</v>
      </c>
      <c r="O216" s="7" t="e">
        <f>VLOOKUP(F216,HC!A$6:D$1000,2,FALSE)</f>
        <v>#N/A</v>
      </c>
      <c r="P216" s="7" t="s">
        <v>661</v>
      </c>
      <c r="Q216" s="7" t="s">
        <v>681</v>
      </c>
      <c r="R216" t="s">
        <v>234</v>
      </c>
      <c r="U216">
        <f t="shared" si="5"/>
        <v>1395</v>
      </c>
    </row>
    <row r="217" spans="1:21" ht="37.5" customHeight="1" x14ac:dyDescent="0.25">
      <c r="A217" s="1">
        <v>44940</v>
      </c>
      <c r="B217" s="13">
        <v>2</v>
      </c>
      <c r="C217" t="s">
        <v>3</v>
      </c>
      <c r="D217" t="s">
        <v>4</v>
      </c>
      <c r="E217" t="s">
        <v>21</v>
      </c>
      <c r="F217" s="6">
        <v>200562154</v>
      </c>
      <c r="G217" t="s">
        <v>437</v>
      </c>
      <c r="H217" t="s">
        <v>285</v>
      </c>
      <c r="I217">
        <v>0</v>
      </c>
      <c r="J217">
        <v>0</v>
      </c>
      <c r="K217">
        <v>0</v>
      </c>
      <c r="L217">
        <v>0</v>
      </c>
      <c r="M217">
        <v>0.42</v>
      </c>
      <c r="N217" s="7" t="e">
        <f>VLOOKUP(F217,HC!A$6:D$100,3,FALSE)</f>
        <v>#N/A</v>
      </c>
      <c r="O217" s="7" t="str">
        <f>VLOOKUP(F217,HC!A$6:D$1000,2,FALSE)</f>
        <v>reyesmcw</v>
      </c>
      <c r="P217" s="7" t="s">
        <v>661</v>
      </c>
      <c r="Q217" s="7" t="s">
        <v>681</v>
      </c>
      <c r="R217" t="s">
        <v>234</v>
      </c>
      <c r="U217">
        <f t="shared" si="5"/>
        <v>38</v>
      </c>
    </row>
    <row r="218" spans="1:21" ht="37.5" customHeight="1" x14ac:dyDescent="0.25">
      <c r="A218" s="1">
        <v>44940</v>
      </c>
      <c r="B218" s="13">
        <v>2</v>
      </c>
      <c r="C218" t="s">
        <v>3</v>
      </c>
      <c r="D218" t="s">
        <v>4</v>
      </c>
      <c r="E218" t="s">
        <v>5</v>
      </c>
      <c r="F218" s="6">
        <v>113040583</v>
      </c>
      <c r="G218" t="s">
        <v>387</v>
      </c>
      <c r="H218" t="s">
        <v>317</v>
      </c>
      <c r="I218">
        <v>0</v>
      </c>
      <c r="J218">
        <v>0</v>
      </c>
      <c r="K218">
        <v>0</v>
      </c>
      <c r="L218">
        <v>0</v>
      </c>
      <c r="M218">
        <v>0.6</v>
      </c>
      <c r="N218" s="7" t="e">
        <f>VLOOKUP(F218,HC!A$6:D$100,3,FALSE)</f>
        <v>#N/A</v>
      </c>
      <c r="O218" s="7" t="e">
        <f>VLOOKUP(F218,HC!A$6:D$1000,2,FALSE)</f>
        <v>#N/A</v>
      </c>
      <c r="P218" s="7"/>
      <c r="Q218" s="7"/>
      <c r="R218" t="s">
        <v>383</v>
      </c>
      <c r="U218">
        <f t="shared" si="5"/>
        <v>1395</v>
      </c>
    </row>
    <row r="219" spans="1:21" ht="37.5" customHeight="1" x14ac:dyDescent="0.25">
      <c r="A219" s="1">
        <v>44940</v>
      </c>
      <c r="B219" s="13">
        <v>2</v>
      </c>
      <c r="C219" t="s">
        <v>3</v>
      </c>
      <c r="D219" t="s">
        <v>4</v>
      </c>
      <c r="E219" t="s">
        <v>5</v>
      </c>
      <c r="F219" s="6">
        <v>113014042</v>
      </c>
      <c r="G219" t="s">
        <v>329</v>
      </c>
      <c r="H219" t="s">
        <v>24</v>
      </c>
      <c r="I219">
        <v>0</v>
      </c>
      <c r="J219">
        <v>0</v>
      </c>
      <c r="K219">
        <v>0</v>
      </c>
      <c r="L219">
        <v>0</v>
      </c>
      <c r="M219">
        <v>0.34</v>
      </c>
      <c r="N219" s="7" t="e">
        <f>VLOOKUP(F219,HC!A$6:D$100,3,FALSE)</f>
        <v>#N/A</v>
      </c>
      <c r="O219" s="7" t="str">
        <f>VLOOKUP(F219,HC!A$6:D$1000,2,FALSE)</f>
        <v>rfcervan</v>
      </c>
      <c r="P219" s="7"/>
      <c r="Q219" s="7"/>
      <c r="R219" s="7" t="s">
        <v>420</v>
      </c>
      <c r="U219">
        <f t="shared" si="5"/>
        <v>23</v>
      </c>
    </row>
    <row r="220" spans="1:21" ht="37.5" customHeight="1" x14ac:dyDescent="0.25">
      <c r="A220" s="1">
        <v>44940</v>
      </c>
      <c r="B220" s="13">
        <v>2</v>
      </c>
      <c r="C220" t="s">
        <v>3</v>
      </c>
      <c r="D220" t="s">
        <v>4</v>
      </c>
      <c r="E220" t="s">
        <v>5</v>
      </c>
      <c r="F220" s="6">
        <v>113141911</v>
      </c>
      <c r="G220" t="s">
        <v>439</v>
      </c>
      <c r="H220" t="s">
        <v>332</v>
      </c>
      <c r="I220">
        <v>0</v>
      </c>
      <c r="J220">
        <v>0</v>
      </c>
      <c r="K220">
        <v>0</v>
      </c>
      <c r="L220">
        <v>0</v>
      </c>
      <c r="M220">
        <v>0.98</v>
      </c>
      <c r="N220" s="7" t="e">
        <f>VLOOKUP(F220,HC!A$6:D$100,3,FALSE)</f>
        <v>#N/A</v>
      </c>
      <c r="O220" s="7" t="e">
        <f>VLOOKUP(F220,HC!A$6:D$1000,2,FALSE)</f>
        <v>#N/A</v>
      </c>
      <c r="P220" s="7" t="s">
        <v>661</v>
      </c>
      <c r="Q220" s="7" t="s">
        <v>681</v>
      </c>
      <c r="R220" t="s">
        <v>234</v>
      </c>
      <c r="U220">
        <f t="shared" si="5"/>
        <v>1395</v>
      </c>
    </row>
    <row r="221" spans="1:21" ht="37.5" customHeight="1" x14ac:dyDescent="0.25">
      <c r="A221" s="1">
        <v>44940</v>
      </c>
      <c r="B221" s="13">
        <v>2</v>
      </c>
      <c r="C221" t="s">
        <v>3</v>
      </c>
      <c r="D221" t="s">
        <v>4</v>
      </c>
      <c r="E221" t="s">
        <v>5</v>
      </c>
      <c r="F221" s="6">
        <v>113019083</v>
      </c>
      <c r="G221" t="s">
        <v>442</v>
      </c>
      <c r="H221" t="s">
        <v>298</v>
      </c>
      <c r="I221">
        <v>0</v>
      </c>
      <c r="J221">
        <v>0</v>
      </c>
      <c r="K221">
        <v>0</v>
      </c>
      <c r="L221">
        <v>0</v>
      </c>
      <c r="M221">
        <v>0.17</v>
      </c>
      <c r="N221" s="7" t="e">
        <f>VLOOKUP(F221,HC!A$6:D$100,3,FALSE)</f>
        <v>#N/A</v>
      </c>
      <c r="O221" s="7" t="e">
        <f>VLOOKUP(F221,HC!A$6:D$1000,2,FALSE)</f>
        <v>#N/A</v>
      </c>
      <c r="P221" s="7" t="s">
        <v>661</v>
      </c>
      <c r="Q221" s="7" t="s">
        <v>681</v>
      </c>
      <c r="R221" t="s">
        <v>234</v>
      </c>
      <c r="U221">
        <f t="shared" si="5"/>
        <v>1395</v>
      </c>
    </row>
    <row r="222" spans="1:21" ht="37.5" customHeight="1" x14ac:dyDescent="0.25">
      <c r="A222" s="1">
        <v>44940</v>
      </c>
      <c r="B222" s="13">
        <v>2</v>
      </c>
      <c r="C222" t="s">
        <v>3</v>
      </c>
      <c r="D222" t="s">
        <v>4</v>
      </c>
      <c r="E222" t="s">
        <v>5</v>
      </c>
      <c r="F222" s="6">
        <v>112971980</v>
      </c>
      <c r="G222" t="s">
        <v>445</v>
      </c>
      <c r="H222" t="s">
        <v>282</v>
      </c>
      <c r="I222">
        <v>0</v>
      </c>
      <c r="J222">
        <v>0</v>
      </c>
      <c r="K222">
        <v>0</v>
      </c>
      <c r="L222">
        <v>0</v>
      </c>
      <c r="M222">
        <v>0.6</v>
      </c>
      <c r="N222" s="7" t="str">
        <f>VLOOKUP(F222,HC!A$6:D$100,3,FALSE)</f>
        <v>DC-X0700</v>
      </c>
      <c r="O222" s="7" t="str">
        <f>VLOOKUP(F222,HC!A$6:D$1000,2,FALSE)</f>
        <v>cdanirom</v>
      </c>
      <c r="P222" s="7"/>
      <c r="Q222" s="7"/>
      <c r="R222" t="s">
        <v>236</v>
      </c>
      <c r="U222">
        <f t="shared" si="5"/>
        <v>25</v>
      </c>
    </row>
    <row r="223" spans="1:21" ht="37.5" customHeight="1" x14ac:dyDescent="0.25">
      <c r="A223" s="1">
        <v>44940</v>
      </c>
      <c r="B223" s="13">
        <v>2</v>
      </c>
      <c r="C223" t="s">
        <v>3</v>
      </c>
      <c r="D223" t="s">
        <v>4</v>
      </c>
      <c r="E223" t="s">
        <v>5</v>
      </c>
      <c r="F223" s="6">
        <v>112972958</v>
      </c>
      <c r="G223" t="s">
        <v>441</v>
      </c>
      <c r="H223" t="s">
        <v>9</v>
      </c>
      <c r="I223">
        <v>0</v>
      </c>
      <c r="J223">
        <v>0</v>
      </c>
      <c r="K223">
        <v>0</v>
      </c>
      <c r="L223">
        <v>0</v>
      </c>
      <c r="M223">
        <v>0.09</v>
      </c>
      <c r="N223" s="7" t="str">
        <f>VLOOKUP(F223,HC!A$6:D$100,3,FALSE)</f>
        <v>D5-X0700</v>
      </c>
      <c r="O223" s="7" t="str">
        <f>VLOOKUP(F223,HC!A$6:D$1000,2,FALSE)</f>
        <v>ugonzgui</v>
      </c>
      <c r="P223" s="7" t="s">
        <v>661</v>
      </c>
      <c r="Q223" s="7" t="s">
        <v>681</v>
      </c>
      <c r="R223" t="s">
        <v>234</v>
      </c>
      <c r="U223">
        <f t="shared" si="5"/>
        <v>13</v>
      </c>
    </row>
    <row r="224" spans="1:21" ht="37.5" customHeight="1" x14ac:dyDescent="0.25">
      <c r="A224" s="1">
        <v>44940</v>
      </c>
      <c r="B224" s="13">
        <v>2</v>
      </c>
      <c r="C224" t="s">
        <v>3</v>
      </c>
      <c r="D224" t="s">
        <v>4</v>
      </c>
      <c r="E224" t="s">
        <v>5</v>
      </c>
      <c r="F224" s="6">
        <v>112912675</v>
      </c>
      <c r="G224" t="s">
        <v>326</v>
      </c>
      <c r="H224" t="s">
        <v>317</v>
      </c>
      <c r="I224">
        <v>0</v>
      </c>
      <c r="J224">
        <v>0</v>
      </c>
      <c r="K224">
        <v>0</v>
      </c>
      <c r="L224">
        <v>0</v>
      </c>
      <c r="M224">
        <v>0.86</v>
      </c>
      <c r="N224" s="7" t="e">
        <f>VLOOKUP(F224,HC!A$6:D$100,3,FALSE)</f>
        <v>#N/A</v>
      </c>
      <c r="O224" s="7" t="e">
        <f>VLOOKUP(F224,HC!A$6:D$1000,2,FALSE)</f>
        <v>#N/A</v>
      </c>
      <c r="P224" s="7"/>
      <c r="Q224" s="7"/>
      <c r="R224" t="s">
        <v>257</v>
      </c>
      <c r="U224">
        <f t="shared" si="5"/>
        <v>1395</v>
      </c>
    </row>
    <row r="225" spans="1:21" ht="37.5" customHeight="1" x14ac:dyDescent="0.25">
      <c r="A225" s="1">
        <v>44940</v>
      </c>
      <c r="B225" s="13">
        <v>2</v>
      </c>
      <c r="C225" t="s">
        <v>3</v>
      </c>
      <c r="D225" t="s">
        <v>4</v>
      </c>
      <c r="E225" t="s">
        <v>5</v>
      </c>
      <c r="F225" s="6">
        <v>112984928</v>
      </c>
      <c r="G225" t="s">
        <v>334</v>
      </c>
      <c r="H225" t="s">
        <v>317</v>
      </c>
      <c r="I225">
        <v>0</v>
      </c>
      <c r="J225">
        <v>0</v>
      </c>
      <c r="K225">
        <v>0</v>
      </c>
      <c r="L225">
        <v>0</v>
      </c>
      <c r="M225">
        <v>0.23</v>
      </c>
      <c r="N225" s="7" t="e">
        <f>VLOOKUP(F225,HC!A$6:D$100,3,FALSE)</f>
        <v>#N/A</v>
      </c>
      <c r="O225" s="7" t="e">
        <f>VLOOKUP(F225,HC!A$6:D$1000,2,FALSE)</f>
        <v>#N/A</v>
      </c>
      <c r="P225" s="7"/>
      <c r="Q225" s="7"/>
      <c r="R225" t="s">
        <v>420</v>
      </c>
      <c r="U225">
        <f t="shared" si="5"/>
        <v>1395</v>
      </c>
    </row>
    <row r="226" spans="1:21" ht="37.5" customHeight="1" x14ac:dyDescent="0.25">
      <c r="A226" s="1">
        <v>44941</v>
      </c>
      <c r="B226" s="13">
        <v>3</v>
      </c>
      <c r="C226" t="s">
        <v>3</v>
      </c>
      <c r="D226" t="s">
        <v>4</v>
      </c>
      <c r="E226" t="s">
        <v>5</v>
      </c>
      <c r="F226" s="6">
        <v>112972710</v>
      </c>
      <c r="G226" t="s">
        <v>447</v>
      </c>
      <c r="H226" t="s">
        <v>332</v>
      </c>
      <c r="I226">
        <v>0</v>
      </c>
      <c r="J226">
        <v>0</v>
      </c>
      <c r="K226">
        <v>0</v>
      </c>
      <c r="L226">
        <v>0</v>
      </c>
      <c r="M226">
        <v>0.15</v>
      </c>
      <c r="N226" s="7" t="str">
        <f>VLOOKUP(F226,HC!A$6:D$100,3,FALSE)</f>
        <v>DX-X0700</v>
      </c>
      <c r="O226" s="7" t="str">
        <f>VLOOKUP(F226,HC!A$6:D$1000,2,FALSE)</f>
        <v>cortesjj</v>
      </c>
      <c r="P226" s="7" t="s">
        <v>661</v>
      </c>
      <c r="Q226" s="7" t="s">
        <v>681</v>
      </c>
      <c r="R226" t="s">
        <v>234</v>
      </c>
      <c r="U226">
        <f t="shared" si="5"/>
        <v>4</v>
      </c>
    </row>
    <row r="227" spans="1:21" ht="37.5" customHeight="1" x14ac:dyDescent="0.25">
      <c r="A227" s="1">
        <v>44941</v>
      </c>
      <c r="B227" s="13">
        <v>3</v>
      </c>
      <c r="C227" t="s">
        <v>3</v>
      </c>
      <c r="D227" t="s">
        <v>4</v>
      </c>
      <c r="E227" t="s">
        <v>5</v>
      </c>
      <c r="F227" s="6">
        <v>113014081</v>
      </c>
      <c r="G227" t="s">
        <v>267</v>
      </c>
      <c r="H227" t="s">
        <v>268</v>
      </c>
      <c r="I227">
        <v>0</v>
      </c>
      <c r="J227">
        <v>0</v>
      </c>
      <c r="K227">
        <v>0</v>
      </c>
      <c r="L227">
        <v>0</v>
      </c>
      <c r="M227">
        <v>0.44</v>
      </c>
      <c r="N227" s="7" t="e">
        <f>VLOOKUP(F227,HC!A$6:D$100,3,FALSE)</f>
        <v>#N/A</v>
      </c>
      <c r="O227" s="7" t="str">
        <f>VLOOKUP(F227,HC!A$6:D$1000,2,FALSE)</f>
        <v>fraugene</v>
      </c>
      <c r="P227" s="7" t="s">
        <v>664</v>
      </c>
      <c r="Q227" s="7" t="s">
        <v>717</v>
      </c>
      <c r="R227" t="s">
        <v>453</v>
      </c>
      <c r="U227">
        <f t="shared" si="5"/>
        <v>32</v>
      </c>
    </row>
    <row r="228" spans="1:21" ht="37.5" customHeight="1" x14ac:dyDescent="0.25">
      <c r="A228" s="1">
        <v>44941</v>
      </c>
      <c r="B228" s="13">
        <v>3</v>
      </c>
      <c r="C228" t="s">
        <v>3</v>
      </c>
      <c r="D228" t="s">
        <v>4</v>
      </c>
      <c r="E228" t="s">
        <v>5</v>
      </c>
      <c r="F228" s="6">
        <v>112976013</v>
      </c>
      <c r="G228" t="s">
        <v>449</v>
      </c>
      <c r="H228" t="s">
        <v>403</v>
      </c>
      <c r="I228">
        <v>0</v>
      </c>
      <c r="J228">
        <v>0</v>
      </c>
      <c r="K228">
        <v>0</v>
      </c>
      <c r="L228">
        <v>0</v>
      </c>
      <c r="M228">
        <v>0.9</v>
      </c>
      <c r="N228" s="7" t="e">
        <f>VLOOKUP(F228,HC!A$6:D$100,3,FALSE)</f>
        <v>#N/A</v>
      </c>
      <c r="O228" s="7" t="e">
        <f>VLOOKUP(F228,HC!A$6:D$1000,2,FALSE)</f>
        <v>#N/A</v>
      </c>
      <c r="P228" s="7"/>
      <c r="Q228" s="7"/>
      <c r="R228" t="s">
        <v>452</v>
      </c>
      <c r="U228">
        <f t="shared" si="5"/>
        <v>1395</v>
      </c>
    </row>
    <row r="229" spans="1:21" ht="37.5" customHeight="1" x14ac:dyDescent="0.25">
      <c r="A229" s="1">
        <v>44941</v>
      </c>
      <c r="B229" s="13">
        <v>3</v>
      </c>
      <c r="C229" t="s">
        <v>3</v>
      </c>
      <c r="D229" t="s">
        <v>4</v>
      </c>
      <c r="E229" t="s">
        <v>5</v>
      </c>
      <c r="F229" s="6">
        <v>113141911</v>
      </c>
      <c r="G229" t="s">
        <v>439</v>
      </c>
      <c r="H229" t="s">
        <v>332</v>
      </c>
      <c r="I229">
        <v>0</v>
      </c>
      <c r="J229">
        <v>0</v>
      </c>
      <c r="K229">
        <v>0</v>
      </c>
      <c r="L229">
        <v>0</v>
      </c>
      <c r="M229">
        <v>2.35</v>
      </c>
      <c r="N229" s="7" t="e">
        <f>VLOOKUP(F229,HC!A$6:D$100,3,FALSE)</f>
        <v>#N/A</v>
      </c>
      <c r="O229" s="7" t="e">
        <f>VLOOKUP(F229,HC!A$6:D$1000,2,FALSE)</f>
        <v>#N/A</v>
      </c>
      <c r="P229" s="7"/>
      <c r="Q229" s="7"/>
      <c r="R229" t="s">
        <v>454</v>
      </c>
      <c r="U229">
        <f t="shared" si="5"/>
        <v>1395</v>
      </c>
    </row>
    <row r="230" spans="1:21" ht="37.5" customHeight="1" x14ac:dyDescent="0.25">
      <c r="A230" s="1">
        <v>44941</v>
      </c>
      <c r="B230" s="13">
        <v>3</v>
      </c>
      <c r="C230" t="s">
        <v>3</v>
      </c>
      <c r="D230" t="s">
        <v>4</v>
      </c>
      <c r="E230" t="s">
        <v>5</v>
      </c>
      <c r="F230" s="6">
        <v>113003679</v>
      </c>
      <c r="G230" t="s">
        <v>444</v>
      </c>
      <c r="H230" t="s">
        <v>298</v>
      </c>
      <c r="I230">
        <v>0</v>
      </c>
      <c r="J230">
        <v>0</v>
      </c>
      <c r="K230">
        <v>0</v>
      </c>
      <c r="L230">
        <v>0</v>
      </c>
      <c r="M230">
        <v>1</v>
      </c>
      <c r="N230" s="7" t="e">
        <f>VLOOKUP(F230,HC!A$6:D$100,3,FALSE)</f>
        <v>#N/A</v>
      </c>
      <c r="O230" s="7" t="e">
        <f>VLOOKUP(F230,HC!A$6:D$1000,2,FALSE)</f>
        <v>#N/A</v>
      </c>
      <c r="P230" s="7"/>
      <c r="Q230" s="7"/>
      <c r="R230" s="16" t="s">
        <v>446</v>
      </c>
      <c r="U230">
        <f t="shared" si="5"/>
        <v>1395</v>
      </c>
    </row>
    <row r="231" spans="1:21" ht="37.5" customHeight="1" x14ac:dyDescent="0.25">
      <c r="A231" s="1">
        <v>44941</v>
      </c>
      <c r="B231" s="13">
        <v>3</v>
      </c>
      <c r="C231" t="s">
        <v>3</v>
      </c>
      <c r="D231" t="s">
        <v>4</v>
      </c>
      <c r="E231" t="s">
        <v>5</v>
      </c>
      <c r="F231" s="6">
        <v>112912663</v>
      </c>
      <c r="G231" t="s">
        <v>8</v>
      </c>
      <c r="H231" t="s">
        <v>403</v>
      </c>
      <c r="I231">
        <v>0</v>
      </c>
      <c r="J231">
        <v>0</v>
      </c>
      <c r="K231">
        <v>0</v>
      </c>
      <c r="L231">
        <v>0</v>
      </c>
      <c r="M231">
        <v>0.31</v>
      </c>
      <c r="N231" s="7" t="e">
        <f>VLOOKUP(F231,HC!A$6:D$100,3,FALSE)</f>
        <v>#N/A</v>
      </c>
      <c r="O231" s="7" t="e">
        <f>VLOOKUP(F231,HC!A$6:D$1000,2,FALSE)</f>
        <v>#N/A</v>
      </c>
      <c r="P231" s="7"/>
      <c r="Q231" s="7"/>
      <c r="R231" t="s">
        <v>258</v>
      </c>
      <c r="U231">
        <f t="shared" si="5"/>
        <v>1395</v>
      </c>
    </row>
    <row r="232" spans="1:21" ht="37.5" customHeight="1" x14ac:dyDescent="0.25">
      <c r="A232" s="1">
        <v>44941</v>
      </c>
      <c r="B232" s="13">
        <v>3</v>
      </c>
      <c r="C232" t="s">
        <v>3</v>
      </c>
      <c r="D232" t="s">
        <v>4</v>
      </c>
      <c r="E232" t="s">
        <v>5</v>
      </c>
      <c r="F232" s="6">
        <v>113014091</v>
      </c>
      <c r="G232" t="s">
        <v>450</v>
      </c>
      <c r="H232" t="s">
        <v>298</v>
      </c>
      <c r="I232">
        <v>0</v>
      </c>
      <c r="J232">
        <v>0</v>
      </c>
      <c r="K232">
        <v>0</v>
      </c>
      <c r="L232">
        <v>0</v>
      </c>
      <c r="M232">
        <v>0.28000000000000003</v>
      </c>
      <c r="N232" s="7" t="e">
        <f>VLOOKUP(F232,HC!A$6:D$100,3,FALSE)</f>
        <v>#N/A</v>
      </c>
      <c r="O232" s="7" t="e">
        <f>VLOOKUP(F232,HC!A$6:D$1000,2,FALSE)</f>
        <v>#N/A</v>
      </c>
      <c r="P232" s="7" t="s">
        <v>661</v>
      </c>
      <c r="Q232" s="7" t="s">
        <v>681</v>
      </c>
      <c r="R232" t="s">
        <v>234</v>
      </c>
      <c r="U232">
        <f t="shared" si="5"/>
        <v>1395</v>
      </c>
    </row>
    <row r="233" spans="1:21" ht="37.5" customHeight="1" x14ac:dyDescent="0.25">
      <c r="A233" s="1">
        <v>44941</v>
      </c>
      <c r="B233" s="13">
        <v>3</v>
      </c>
      <c r="C233" t="s">
        <v>3</v>
      </c>
      <c r="D233" t="s">
        <v>4</v>
      </c>
      <c r="E233" t="s">
        <v>5</v>
      </c>
      <c r="F233" s="6">
        <v>112972194</v>
      </c>
      <c r="G233" t="s">
        <v>448</v>
      </c>
      <c r="H233" t="s">
        <v>332</v>
      </c>
      <c r="I233">
        <v>0</v>
      </c>
      <c r="J233">
        <v>0</v>
      </c>
      <c r="K233">
        <v>0</v>
      </c>
      <c r="L233">
        <v>0</v>
      </c>
      <c r="M233">
        <v>0.76</v>
      </c>
      <c r="N233" s="7" t="str">
        <f>VLOOKUP(F233,HC!A$6:D$100,3,FALSE)</f>
        <v>DB-X0700</v>
      </c>
      <c r="O233" s="7" t="str">
        <f>VLOOKUP(F233,HC!A$6:D$1000,2,FALSE)</f>
        <v>velaangl</v>
      </c>
      <c r="P233" s="7"/>
      <c r="Q233" s="7"/>
      <c r="R233" t="s">
        <v>451</v>
      </c>
      <c r="U233">
        <f t="shared" si="5"/>
        <v>5</v>
      </c>
    </row>
    <row r="234" spans="1:21" ht="37.5" customHeight="1" x14ac:dyDescent="0.25">
      <c r="A234" s="1">
        <v>44941</v>
      </c>
      <c r="B234" s="13">
        <v>3</v>
      </c>
      <c r="C234" t="s">
        <v>3</v>
      </c>
      <c r="D234" t="s">
        <v>4</v>
      </c>
      <c r="E234" t="s">
        <v>5</v>
      </c>
      <c r="F234" s="6">
        <v>112912509</v>
      </c>
      <c r="G234" t="s">
        <v>295</v>
      </c>
      <c r="H234" t="s">
        <v>7</v>
      </c>
      <c r="I234">
        <v>0</v>
      </c>
      <c r="J234">
        <v>0</v>
      </c>
      <c r="K234">
        <v>0</v>
      </c>
      <c r="L234">
        <v>0</v>
      </c>
      <c r="M234">
        <v>0.17</v>
      </c>
      <c r="N234" s="7" t="e">
        <f>VLOOKUP(F234,HC!A$6:D$100,3,FALSE)</f>
        <v>#N/A</v>
      </c>
      <c r="O234" s="7" t="e">
        <f>VLOOKUP(F234,HC!A$6:D$1000,2,FALSE)</f>
        <v>#N/A</v>
      </c>
      <c r="P234" s="7" t="s">
        <v>665</v>
      </c>
      <c r="Q234" s="7" t="s">
        <v>722</v>
      </c>
      <c r="R234" t="s">
        <v>384</v>
      </c>
      <c r="U234">
        <f t="shared" si="5"/>
        <v>1395</v>
      </c>
    </row>
    <row r="235" spans="1:21" ht="37.5" customHeight="1" x14ac:dyDescent="0.25">
      <c r="A235" s="1">
        <v>44941</v>
      </c>
      <c r="B235" s="13">
        <v>3</v>
      </c>
      <c r="C235" t="s">
        <v>3</v>
      </c>
      <c r="D235" t="s">
        <v>4</v>
      </c>
      <c r="E235" t="s">
        <v>21</v>
      </c>
      <c r="F235" s="6">
        <v>200620341</v>
      </c>
      <c r="G235" t="s">
        <v>255</v>
      </c>
      <c r="H235" t="s">
        <v>7</v>
      </c>
      <c r="I235">
        <v>0</v>
      </c>
      <c r="J235">
        <v>0</v>
      </c>
      <c r="K235">
        <v>0</v>
      </c>
      <c r="L235">
        <v>0</v>
      </c>
      <c r="M235">
        <v>0.83</v>
      </c>
      <c r="N235" s="7" t="e">
        <f>VLOOKUP(F235,HC!A$6:D$100,3,FALSE)</f>
        <v>#N/A</v>
      </c>
      <c r="O235" s="7" t="e">
        <f>VLOOKUP(F235,HC!A$6:D$1000,2,FALSE)</f>
        <v>#N/A</v>
      </c>
      <c r="P235" s="7" t="s">
        <v>662</v>
      </c>
      <c r="Q235" s="7" t="s">
        <v>757</v>
      </c>
      <c r="R235" t="s">
        <v>353</v>
      </c>
      <c r="U235">
        <f t="shared" si="5"/>
        <v>1395</v>
      </c>
    </row>
    <row r="236" spans="1:21" ht="37.5" customHeight="1" x14ac:dyDescent="0.25">
      <c r="A236" s="1">
        <v>44941</v>
      </c>
      <c r="B236" s="13">
        <v>3</v>
      </c>
      <c r="C236" t="s">
        <v>3</v>
      </c>
      <c r="D236" t="s">
        <v>4</v>
      </c>
      <c r="E236" t="s">
        <v>21</v>
      </c>
      <c r="F236" s="6">
        <v>200509428</v>
      </c>
      <c r="G236" t="s">
        <v>272</v>
      </c>
      <c r="H236" t="s">
        <v>47</v>
      </c>
      <c r="I236">
        <v>0</v>
      </c>
      <c r="J236">
        <v>0</v>
      </c>
      <c r="K236">
        <v>0</v>
      </c>
      <c r="L236">
        <v>0</v>
      </c>
      <c r="M236">
        <v>0.14000000000000001</v>
      </c>
      <c r="N236" s="7" t="e">
        <f>VLOOKUP(F236,HC!A$6:D$100,3,FALSE)</f>
        <v>#N/A</v>
      </c>
      <c r="O236" s="7" t="e">
        <f>VLOOKUP(F236,HC!A$6:D$1000,2,FALSE)</f>
        <v>#N/A</v>
      </c>
      <c r="P236" s="7" t="s">
        <v>662</v>
      </c>
      <c r="Q236" s="7" t="s">
        <v>757</v>
      </c>
      <c r="R236" t="s">
        <v>353</v>
      </c>
      <c r="U236">
        <f t="shared" si="5"/>
        <v>1395</v>
      </c>
    </row>
    <row r="237" spans="1:21" ht="37.5" customHeight="1" x14ac:dyDescent="0.25">
      <c r="A237" s="1">
        <v>44942</v>
      </c>
      <c r="B237" s="13">
        <v>3</v>
      </c>
      <c r="C237" t="s">
        <v>3</v>
      </c>
      <c r="D237" t="s">
        <v>4</v>
      </c>
      <c r="E237" t="s">
        <v>5</v>
      </c>
      <c r="F237" s="6">
        <v>112981204</v>
      </c>
      <c r="G237" t="s">
        <v>460</v>
      </c>
      <c r="H237" t="s">
        <v>47</v>
      </c>
      <c r="I237">
        <v>0</v>
      </c>
      <c r="J237">
        <v>0</v>
      </c>
      <c r="K237">
        <v>0</v>
      </c>
      <c r="L237">
        <v>0</v>
      </c>
      <c r="M237">
        <v>0.87</v>
      </c>
      <c r="N237" s="7" t="e">
        <f>VLOOKUP(F237,HC!A$6:D$100,3,FALSE)</f>
        <v>#N/A</v>
      </c>
      <c r="O237" s="7" t="e">
        <f>VLOOKUP(F237,HC!A$6:D$1000,2,FALSE)</f>
        <v>#N/A</v>
      </c>
      <c r="P237" s="7"/>
      <c r="Q237" s="7"/>
      <c r="R237" t="s">
        <v>279</v>
      </c>
      <c r="U237">
        <f t="shared" si="5"/>
        <v>1395</v>
      </c>
    </row>
    <row r="238" spans="1:21" ht="37.5" customHeight="1" x14ac:dyDescent="0.25">
      <c r="A238" s="1">
        <v>44942</v>
      </c>
      <c r="B238" s="13">
        <v>3</v>
      </c>
      <c r="C238" t="s">
        <v>3</v>
      </c>
      <c r="D238" t="s">
        <v>4</v>
      </c>
      <c r="E238" t="s">
        <v>5</v>
      </c>
      <c r="F238" s="6">
        <v>112980899</v>
      </c>
      <c r="G238" t="s">
        <v>396</v>
      </c>
      <c r="H238" t="s">
        <v>17</v>
      </c>
      <c r="I238">
        <v>0</v>
      </c>
      <c r="J238">
        <v>0</v>
      </c>
      <c r="K238">
        <v>0</v>
      </c>
      <c r="L238">
        <v>0</v>
      </c>
      <c r="M238">
        <v>0.4</v>
      </c>
      <c r="N238" s="7" t="str">
        <f>VLOOKUP(F238,HC!A$6:D$100,3,FALSE)</f>
        <v>NF-X1900</v>
      </c>
      <c r="O238" s="7" t="str">
        <f>VLOOKUP(F238,HC!A$6:D$1000,2,FALSE)</f>
        <v>aravilac</v>
      </c>
      <c r="P238" s="7" t="s">
        <v>675</v>
      </c>
      <c r="Q238" s="7"/>
      <c r="R238" t="s">
        <v>362</v>
      </c>
      <c r="U238">
        <f t="shared" si="5"/>
        <v>33</v>
      </c>
    </row>
    <row r="239" spans="1:21" ht="37.5" customHeight="1" x14ac:dyDescent="0.25">
      <c r="A239" s="1">
        <v>44942</v>
      </c>
      <c r="B239" s="13">
        <v>3</v>
      </c>
      <c r="C239" t="s">
        <v>3</v>
      </c>
      <c r="D239" t="s">
        <v>4</v>
      </c>
      <c r="E239" t="s">
        <v>5</v>
      </c>
      <c r="F239" s="6">
        <v>112981009</v>
      </c>
      <c r="G239" t="s">
        <v>16</v>
      </c>
      <c r="H239" t="s">
        <v>17</v>
      </c>
      <c r="I239">
        <v>0</v>
      </c>
      <c r="J239">
        <v>0</v>
      </c>
      <c r="K239">
        <v>0</v>
      </c>
      <c r="L239">
        <v>0</v>
      </c>
      <c r="M239">
        <v>0.19</v>
      </c>
      <c r="N239" s="7" t="e">
        <f>VLOOKUP(F239,HC!A$6:D$100,3,FALSE)</f>
        <v>#N/A</v>
      </c>
      <c r="O239" s="7" t="e">
        <f>VLOOKUP(F239,HC!A$6:D$1000,2,FALSE)</f>
        <v>#N/A</v>
      </c>
      <c r="P239" s="7"/>
      <c r="Q239" s="7"/>
      <c r="R239" t="s">
        <v>258</v>
      </c>
      <c r="U239">
        <f t="shared" si="5"/>
        <v>1395</v>
      </c>
    </row>
    <row r="240" spans="1:21" ht="37.5" customHeight="1" x14ac:dyDescent="0.25">
      <c r="A240" s="1">
        <v>44942</v>
      </c>
      <c r="B240" s="13">
        <v>3</v>
      </c>
      <c r="C240" t="s">
        <v>3</v>
      </c>
      <c r="D240" t="s">
        <v>4</v>
      </c>
      <c r="E240" t="s">
        <v>5</v>
      </c>
      <c r="F240" s="6">
        <v>113014084</v>
      </c>
      <c r="G240" t="s">
        <v>462</v>
      </c>
      <c r="H240" t="s">
        <v>49</v>
      </c>
      <c r="I240">
        <v>0</v>
      </c>
      <c r="J240">
        <v>0</v>
      </c>
      <c r="K240">
        <v>0</v>
      </c>
      <c r="L240">
        <v>0</v>
      </c>
      <c r="M240">
        <v>0.14000000000000001</v>
      </c>
      <c r="N240" s="7" t="e">
        <f>VLOOKUP(F240,HC!A$6:D$100,3,FALSE)</f>
        <v>#N/A</v>
      </c>
      <c r="O240" s="7" t="str">
        <f>VLOOKUP(F240,HC!A$6:D$1000,2,FALSE)</f>
        <v>dnmanuel</v>
      </c>
      <c r="P240" s="7"/>
      <c r="Q240" s="7"/>
      <c r="R240" t="s">
        <v>467</v>
      </c>
      <c r="U240">
        <f t="shared" si="5"/>
        <v>6</v>
      </c>
    </row>
    <row r="241" spans="1:21" ht="37.5" customHeight="1" x14ac:dyDescent="0.25">
      <c r="A241" s="1">
        <v>44942</v>
      </c>
      <c r="B241" s="13">
        <v>3</v>
      </c>
      <c r="C241" t="s">
        <v>3</v>
      </c>
      <c r="D241" t="s">
        <v>4</v>
      </c>
      <c r="E241" t="s">
        <v>5</v>
      </c>
      <c r="F241" s="6">
        <v>113019001</v>
      </c>
      <c r="G241" t="s">
        <v>464</v>
      </c>
      <c r="H241" t="s">
        <v>14</v>
      </c>
      <c r="I241">
        <v>0</v>
      </c>
      <c r="J241">
        <v>0</v>
      </c>
      <c r="K241">
        <v>0</v>
      </c>
      <c r="L241">
        <v>0</v>
      </c>
      <c r="M241">
        <v>0.17</v>
      </c>
      <c r="N241" s="7" t="e">
        <f>VLOOKUP(F241,HC!A$6:D$100,3,FALSE)</f>
        <v>#N/A</v>
      </c>
      <c r="O241" s="7" t="str">
        <f>VLOOKUP(F241,HC!A$6:D$1000,2,FALSE)</f>
        <v>dolozane</v>
      </c>
      <c r="P241" s="7" t="s">
        <v>661</v>
      </c>
      <c r="Q241" s="7" t="s">
        <v>775</v>
      </c>
      <c r="R241" t="s">
        <v>468</v>
      </c>
      <c r="U241">
        <f t="shared" si="5"/>
        <v>17</v>
      </c>
    </row>
    <row r="242" spans="1:21" ht="37.5" customHeight="1" x14ac:dyDescent="0.25">
      <c r="A242" s="1">
        <v>44942</v>
      </c>
      <c r="B242" s="13">
        <v>3</v>
      </c>
      <c r="C242" t="s">
        <v>3</v>
      </c>
      <c r="D242" t="s">
        <v>4</v>
      </c>
      <c r="E242" t="s">
        <v>5</v>
      </c>
      <c r="F242" s="6">
        <v>113014094</v>
      </c>
      <c r="G242" t="s">
        <v>463</v>
      </c>
      <c r="H242" t="s">
        <v>47</v>
      </c>
      <c r="I242">
        <v>0</v>
      </c>
      <c r="J242">
        <v>0</v>
      </c>
      <c r="K242">
        <v>0</v>
      </c>
      <c r="L242">
        <v>0</v>
      </c>
      <c r="M242">
        <v>0.22</v>
      </c>
      <c r="N242" s="7" t="e">
        <f>VLOOKUP(F242,HC!A$6:D$100,3,FALSE)</f>
        <v>#N/A</v>
      </c>
      <c r="O242" s="7" t="str">
        <f>VLOOKUP(F242,HC!A$6:D$1000,2,FALSE)</f>
        <v>erikaadm</v>
      </c>
      <c r="P242" s="7" t="s">
        <v>668</v>
      </c>
      <c r="Q242" s="7" t="s">
        <v>732</v>
      </c>
      <c r="R242" t="s">
        <v>394</v>
      </c>
      <c r="U242">
        <f t="shared" si="5"/>
        <v>21</v>
      </c>
    </row>
    <row r="243" spans="1:21" ht="37.5" customHeight="1" x14ac:dyDescent="0.25">
      <c r="A243" s="1">
        <v>44942</v>
      </c>
      <c r="B243" s="13">
        <v>3</v>
      </c>
      <c r="C243" t="s">
        <v>3</v>
      </c>
      <c r="D243" t="s">
        <v>4</v>
      </c>
      <c r="E243" t="s">
        <v>21</v>
      </c>
      <c r="F243" s="6">
        <v>200534518</v>
      </c>
      <c r="G243" t="s">
        <v>371</v>
      </c>
      <c r="H243" t="s">
        <v>17</v>
      </c>
      <c r="I243">
        <v>0</v>
      </c>
      <c r="J243">
        <v>0</v>
      </c>
      <c r="K243">
        <v>0</v>
      </c>
      <c r="L243">
        <v>0</v>
      </c>
      <c r="M243">
        <v>0.2</v>
      </c>
      <c r="N243" s="7" t="e">
        <f>VLOOKUP(F243,HC!A$6:D$100,3,FALSE)</f>
        <v>#N/A</v>
      </c>
      <c r="O243" s="7" t="e">
        <f>VLOOKUP(F243,HC!A$6:D$1000,2,FALSE)</f>
        <v>#N/A</v>
      </c>
      <c r="P243" s="7" t="s">
        <v>662</v>
      </c>
      <c r="Q243" s="7" t="s">
        <v>757</v>
      </c>
      <c r="R243" t="s">
        <v>353</v>
      </c>
      <c r="U243">
        <f t="shared" si="5"/>
        <v>1395</v>
      </c>
    </row>
    <row r="244" spans="1:21" ht="37.5" customHeight="1" x14ac:dyDescent="0.25">
      <c r="A244" s="1">
        <v>44942</v>
      </c>
      <c r="B244" s="13">
        <v>3</v>
      </c>
      <c r="C244" t="s">
        <v>3</v>
      </c>
      <c r="D244" t="s">
        <v>4</v>
      </c>
      <c r="E244" t="s">
        <v>5</v>
      </c>
      <c r="F244" s="6">
        <v>112950797</v>
      </c>
      <c r="G244" t="s">
        <v>11</v>
      </c>
      <c r="H244" t="s">
        <v>7</v>
      </c>
      <c r="I244">
        <v>0</v>
      </c>
      <c r="J244">
        <v>0</v>
      </c>
      <c r="K244">
        <v>0</v>
      </c>
      <c r="L244">
        <v>0</v>
      </c>
      <c r="M244">
        <v>0.34</v>
      </c>
      <c r="N244" s="7" t="str">
        <f>VLOOKUP(F244,HC!A$6:D$100,3,FALSE)</f>
        <v>DA-X0700</v>
      </c>
      <c r="O244" s="7" t="str">
        <f>VLOOKUP(F244,HC!A$6:D$1000,2,FALSE)</f>
        <v>hesdenis</v>
      </c>
      <c r="P244" s="7" t="s">
        <v>668</v>
      </c>
      <c r="Q244" s="7" t="s">
        <v>732</v>
      </c>
      <c r="R244" t="s">
        <v>377</v>
      </c>
      <c r="U244">
        <f t="shared" si="5"/>
        <v>7</v>
      </c>
    </row>
    <row r="245" spans="1:21" ht="37.5" customHeight="1" x14ac:dyDescent="0.25">
      <c r="A245" s="1">
        <v>44942</v>
      </c>
      <c r="B245" s="13">
        <v>3</v>
      </c>
      <c r="C245" t="s">
        <v>3</v>
      </c>
      <c r="D245" t="s">
        <v>4</v>
      </c>
      <c r="E245" t="s">
        <v>5</v>
      </c>
      <c r="F245" s="6">
        <v>112991231</v>
      </c>
      <c r="G245" t="s">
        <v>368</v>
      </c>
      <c r="H245" t="s">
        <v>17</v>
      </c>
      <c r="I245">
        <v>0</v>
      </c>
      <c r="J245">
        <v>0</v>
      </c>
      <c r="K245">
        <v>0</v>
      </c>
      <c r="L245">
        <v>0</v>
      </c>
      <c r="M245">
        <v>0.36</v>
      </c>
      <c r="N245" s="7" t="e">
        <f>VLOOKUP(F245,HC!A$6:D$100,3,FALSE)</f>
        <v>#N/A</v>
      </c>
      <c r="O245" s="7" t="e">
        <f>VLOOKUP(F245,HC!A$6:D$1000,2,FALSE)</f>
        <v>#N/A</v>
      </c>
      <c r="P245" s="7" t="s">
        <v>675</v>
      </c>
      <c r="Q245" s="7"/>
      <c r="R245" t="s">
        <v>362</v>
      </c>
      <c r="U245">
        <f t="shared" si="5"/>
        <v>1395</v>
      </c>
    </row>
    <row r="246" spans="1:21" ht="37.5" customHeight="1" x14ac:dyDescent="0.25">
      <c r="A246" s="1">
        <v>44942</v>
      </c>
      <c r="B246" s="13">
        <v>3</v>
      </c>
      <c r="C246" t="s">
        <v>3</v>
      </c>
      <c r="D246" t="s">
        <v>4</v>
      </c>
      <c r="E246" t="s">
        <v>21</v>
      </c>
      <c r="F246" s="6">
        <v>200620024</v>
      </c>
      <c r="G246" t="s">
        <v>465</v>
      </c>
      <c r="H246" t="s">
        <v>44</v>
      </c>
      <c r="I246">
        <v>0</v>
      </c>
      <c r="J246">
        <v>0</v>
      </c>
      <c r="K246">
        <v>0</v>
      </c>
      <c r="L246">
        <v>0</v>
      </c>
      <c r="M246">
        <v>0.71</v>
      </c>
      <c r="N246" s="7" t="e">
        <f>VLOOKUP(F246,HC!A$6:D$100,3,FALSE)</f>
        <v>#N/A</v>
      </c>
      <c r="O246" s="7" t="e">
        <f>VLOOKUP(F246,HC!A$6:D$1000,2,FALSE)</f>
        <v>#N/A</v>
      </c>
      <c r="P246" s="7" t="s">
        <v>662</v>
      </c>
      <c r="Q246" s="7" t="s">
        <v>757</v>
      </c>
      <c r="R246" t="s">
        <v>353</v>
      </c>
      <c r="U246">
        <f t="shared" si="5"/>
        <v>1395</v>
      </c>
    </row>
    <row r="247" spans="1:21" ht="37.5" customHeight="1" x14ac:dyDescent="0.25">
      <c r="A247" s="1">
        <v>44942</v>
      </c>
      <c r="B247" s="13">
        <v>3</v>
      </c>
      <c r="C247" t="s">
        <v>3</v>
      </c>
      <c r="D247" t="s">
        <v>4</v>
      </c>
      <c r="E247" t="s">
        <v>5</v>
      </c>
      <c r="F247" s="6">
        <v>113014178</v>
      </c>
      <c r="G247" t="s">
        <v>270</v>
      </c>
      <c r="H247" t="s">
        <v>268</v>
      </c>
      <c r="I247">
        <v>0</v>
      </c>
      <c r="J247">
        <v>0</v>
      </c>
      <c r="K247">
        <v>0</v>
      </c>
      <c r="L247">
        <v>0</v>
      </c>
      <c r="M247">
        <v>0.17</v>
      </c>
      <c r="N247" s="7" t="e">
        <f>VLOOKUP(F247,HC!A$6:D$100,3,FALSE)</f>
        <v>#N/A</v>
      </c>
      <c r="O247" s="7" t="e">
        <f>VLOOKUP(F247,HC!A$6:D$1000,2,FALSE)</f>
        <v>#N/A</v>
      </c>
      <c r="P247" s="7" t="s">
        <v>661</v>
      </c>
      <c r="Q247" s="7" t="s">
        <v>681</v>
      </c>
      <c r="R247" t="s">
        <v>234</v>
      </c>
      <c r="U247">
        <f t="shared" si="5"/>
        <v>1395</v>
      </c>
    </row>
    <row r="248" spans="1:21" ht="37.5" customHeight="1" x14ac:dyDescent="0.25">
      <c r="A248" s="1">
        <v>44942</v>
      </c>
      <c r="B248" s="13">
        <v>3</v>
      </c>
      <c r="C248" t="s">
        <v>3</v>
      </c>
      <c r="D248" t="s">
        <v>4</v>
      </c>
      <c r="E248" t="s">
        <v>5</v>
      </c>
      <c r="F248" s="6">
        <v>200464838</v>
      </c>
      <c r="G248" t="s">
        <v>358</v>
      </c>
      <c r="H248" t="s">
        <v>317</v>
      </c>
      <c r="I248">
        <v>0</v>
      </c>
      <c r="J248">
        <v>0</v>
      </c>
      <c r="K248">
        <v>0</v>
      </c>
      <c r="L248">
        <v>0</v>
      </c>
      <c r="M248">
        <v>1.08</v>
      </c>
      <c r="N248" s="7" t="e">
        <f>VLOOKUP(F248,HC!A$6:D$100,3,FALSE)</f>
        <v>#N/A</v>
      </c>
      <c r="O248" s="7" t="str">
        <f>VLOOKUP(F248,HC!A$6:D$1000,2,FALSE)</f>
        <v>ortfernj</v>
      </c>
      <c r="P248" s="7" t="s">
        <v>662</v>
      </c>
      <c r="Q248" s="7" t="s">
        <v>757</v>
      </c>
      <c r="R248" t="s">
        <v>353</v>
      </c>
      <c r="U248">
        <f t="shared" si="5"/>
        <v>9</v>
      </c>
    </row>
    <row r="249" spans="1:21" ht="37.5" customHeight="1" x14ac:dyDescent="0.25">
      <c r="A249" s="1">
        <v>44942</v>
      </c>
      <c r="B249" s="13">
        <v>3</v>
      </c>
      <c r="C249" t="s">
        <v>3</v>
      </c>
      <c r="D249" t="s">
        <v>4</v>
      </c>
      <c r="E249" t="s">
        <v>5</v>
      </c>
      <c r="F249" s="6">
        <v>112991248</v>
      </c>
      <c r="G249" t="s">
        <v>461</v>
      </c>
      <c r="H249" t="s">
        <v>317</v>
      </c>
      <c r="I249">
        <v>0</v>
      </c>
      <c r="J249">
        <v>0</v>
      </c>
      <c r="K249">
        <v>0</v>
      </c>
      <c r="L249">
        <v>0</v>
      </c>
      <c r="M249">
        <v>0.23</v>
      </c>
      <c r="N249" s="7" t="e">
        <f>VLOOKUP(F249,HC!A$6:D$100,3,FALSE)</f>
        <v>#N/A</v>
      </c>
      <c r="O249" s="7" t="e">
        <f>VLOOKUP(F249,HC!A$6:D$1000,2,FALSE)</f>
        <v>#N/A</v>
      </c>
      <c r="P249" s="7" t="s">
        <v>661</v>
      </c>
      <c r="Q249" s="7" t="s">
        <v>681</v>
      </c>
      <c r="R249" t="s">
        <v>234</v>
      </c>
      <c r="U249">
        <f t="shared" si="5"/>
        <v>1395</v>
      </c>
    </row>
    <row r="250" spans="1:21" ht="37.5" customHeight="1" x14ac:dyDescent="0.25">
      <c r="A250" s="1">
        <v>44942</v>
      </c>
      <c r="B250" s="13">
        <v>3</v>
      </c>
      <c r="C250" t="s">
        <v>3</v>
      </c>
      <c r="D250" t="s">
        <v>4</v>
      </c>
      <c r="E250" t="s">
        <v>5</v>
      </c>
      <c r="F250" s="6">
        <v>112912753</v>
      </c>
      <c r="G250" t="s">
        <v>415</v>
      </c>
      <c r="H250" t="s">
        <v>47</v>
      </c>
      <c r="I250">
        <v>0</v>
      </c>
      <c r="J250">
        <v>0</v>
      </c>
      <c r="K250">
        <v>0</v>
      </c>
      <c r="L250">
        <v>0</v>
      </c>
      <c r="M250">
        <v>0.04</v>
      </c>
      <c r="N250" s="7" t="e">
        <f>VLOOKUP(F250,HC!A$6:D$100,3,FALSE)</f>
        <v>#N/A</v>
      </c>
      <c r="O250" s="7" t="e">
        <f>VLOOKUP(F250,HC!A$6:D$1000,2,FALSE)</f>
        <v>#N/A</v>
      </c>
      <c r="P250" s="7"/>
      <c r="Q250" s="7"/>
      <c r="R250" t="s">
        <v>452</v>
      </c>
      <c r="U250">
        <f t="shared" si="5"/>
        <v>1395</v>
      </c>
    </row>
    <row r="251" spans="1:21" ht="37.5" customHeight="1" x14ac:dyDescent="0.25">
      <c r="A251" s="1">
        <v>44942</v>
      </c>
      <c r="B251" s="13">
        <v>3</v>
      </c>
      <c r="C251" t="s">
        <v>3</v>
      </c>
      <c r="D251" t="s">
        <v>4</v>
      </c>
      <c r="E251" t="s">
        <v>5</v>
      </c>
      <c r="F251" s="6">
        <v>112912201</v>
      </c>
      <c r="G251" t="s">
        <v>456</v>
      </c>
      <c r="H251" t="s">
        <v>7</v>
      </c>
      <c r="I251">
        <v>0</v>
      </c>
      <c r="J251">
        <v>0</v>
      </c>
      <c r="K251">
        <v>0</v>
      </c>
      <c r="L251">
        <v>0</v>
      </c>
      <c r="M251">
        <v>0.23</v>
      </c>
      <c r="N251" s="7" t="e">
        <f>VLOOKUP(F251,HC!A$6:D$100,3,FALSE)</f>
        <v>#N/A</v>
      </c>
      <c r="O251" s="7" t="e">
        <f>VLOOKUP(F251,HC!A$6:D$1000,2,FALSE)</f>
        <v>#N/A</v>
      </c>
      <c r="P251" s="7" t="s">
        <v>661</v>
      </c>
      <c r="Q251" s="7" t="s">
        <v>681</v>
      </c>
      <c r="R251" t="s">
        <v>234</v>
      </c>
      <c r="U251">
        <f t="shared" si="5"/>
        <v>1395</v>
      </c>
    </row>
    <row r="252" spans="1:21" ht="37.5" customHeight="1" x14ac:dyDescent="0.25">
      <c r="A252" s="1">
        <v>44942</v>
      </c>
      <c r="B252" s="13">
        <v>3</v>
      </c>
      <c r="C252" t="s">
        <v>3</v>
      </c>
      <c r="D252" t="s">
        <v>4</v>
      </c>
      <c r="E252" t="s">
        <v>5</v>
      </c>
      <c r="F252" s="6">
        <v>112971976</v>
      </c>
      <c r="G252" t="s">
        <v>458</v>
      </c>
      <c r="H252" t="s">
        <v>459</v>
      </c>
      <c r="I252">
        <v>0</v>
      </c>
      <c r="J252">
        <v>0</v>
      </c>
      <c r="K252">
        <v>0</v>
      </c>
      <c r="L252">
        <v>0</v>
      </c>
      <c r="M252">
        <v>0.63</v>
      </c>
      <c r="N252" s="7" t="str">
        <f>VLOOKUP(F252,HC!A$6:D$100,3,FALSE)</f>
        <v>DB-X0700</v>
      </c>
      <c r="O252" s="7" t="str">
        <f>VLOOKUP(F252,HC!A$6:D$1000,2,FALSE)</f>
        <v>sotodelv</v>
      </c>
      <c r="P252" s="7" t="s">
        <v>661</v>
      </c>
      <c r="Q252" s="7" t="s">
        <v>681</v>
      </c>
      <c r="R252" t="s">
        <v>234</v>
      </c>
      <c r="U252">
        <f t="shared" si="5"/>
        <v>1</v>
      </c>
    </row>
    <row r="253" spans="1:21" ht="37.5" customHeight="1" x14ac:dyDescent="0.25">
      <c r="A253" s="1">
        <v>44942</v>
      </c>
      <c r="B253" s="13">
        <v>3</v>
      </c>
      <c r="C253" t="s">
        <v>3</v>
      </c>
      <c r="D253" t="s">
        <v>4</v>
      </c>
      <c r="E253" t="s">
        <v>5</v>
      </c>
      <c r="F253" s="6">
        <v>112950800</v>
      </c>
      <c r="G253" t="s">
        <v>457</v>
      </c>
      <c r="H253" t="s">
        <v>403</v>
      </c>
      <c r="I253">
        <v>0</v>
      </c>
      <c r="J253">
        <v>0</v>
      </c>
      <c r="K253">
        <v>0</v>
      </c>
      <c r="L253">
        <v>0</v>
      </c>
      <c r="M253">
        <v>0.23</v>
      </c>
      <c r="N253" s="7" t="str">
        <f>VLOOKUP(F253,HC!A$6:D$100,3,FALSE)</f>
        <v>NF-X1900</v>
      </c>
      <c r="O253" s="7" t="str">
        <f>VLOOKUP(F253,HC!A$6:D$1000,2,FALSE)</f>
        <v>virimuni</v>
      </c>
      <c r="P253" s="7" t="s">
        <v>663</v>
      </c>
      <c r="Q253" s="7"/>
      <c r="R253" t="s">
        <v>466</v>
      </c>
      <c r="U253">
        <f t="shared" si="5"/>
        <v>10</v>
      </c>
    </row>
    <row r="254" spans="1:21" ht="37.5" customHeight="1" x14ac:dyDescent="0.25">
      <c r="A254" s="1">
        <v>44942</v>
      </c>
      <c r="B254" s="13">
        <v>3</v>
      </c>
      <c r="C254" t="s">
        <v>3</v>
      </c>
      <c r="D254" t="s">
        <v>4</v>
      </c>
      <c r="E254" t="s">
        <v>5</v>
      </c>
      <c r="F254" s="6">
        <v>200404250</v>
      </c>
      <c r="G254" t="s">
        <v>51</v>
      </c>
      <c r="H254" t="s">
        <v>44</v>
      </c>
      <c r="I254">
        <v>0</v>
      </c>
      <c r="J254">
        <v>0</v>
      </c>
      <c r="K254">
        <v>0</v>
      </c>
      <c r="L254">
        <v>0</v>
      </c>
      <c r="M254">
        <v>0.67</v>
      </c>
      <c r="N254" s="7" t="e">
        <f>VLOOKUP(F254,HC!A$6:D$100,3,FALSE)</f>
        <v>#N/A</v>
      </c>
      <c r="O254" s="7" t="str">
        <f>VLOOKUP(F254,HC!A$6:D$1000,2,FALSE)</f>
        <v>xcathurt</v>
      </c>
      <c r="P254" s="7"/>
      <c r="Q254" s="7"/>
      <c r="R254" s="18" t="s">
        <v>420</v>
      </c>
      <c r="U254">
        <f t="shared" si="5"/>
        <v>124</v>
      </c>
    </row>
    <row r="255" spans="1:21" ht="37.5" customHeight="1" x14ac:dyDescent="0.25">
      <c r="A255" s="1">
        <v>44943</v>
      </c>
      <c r="B255" s="13">
        <v>3</v>
      </c>
      <c r="C255" t="s">
        <v>3</v>
      </c>
      <c r="D255" t="s">
        <v>4</v>
      </c>
      <c r="E255" t="s">
        <v>5</v>
      </c>
      <c r="F255" s="6">
        <v>113044620</v>
      </c>
      <c r="G255" t="s">
        <v>470</v>
      </c>
      <c r="H255" t="s">
        <v>268</v>
      </c>
      <c r="I255">
        <v>0</v>
      </c>
      <c r="J255">
        <v>0</v>
      </c>
      <c r="K255">
        <v>0</v>
      </c>
      <c r="L255">
        <v>0</v>
      </c>
      <c r="M255">
        <v>0.93</v>
      </c>
      <c r="N255" s="7" t="e">
        <f>VLOOKUP(F255,HC!A$6:D$100,3,FALSE)</f>
        <v>#N/A</v>
      </c>
      <c r="O255" s="7" t="str">
        <f>VLOOKUP(F255,HC!A$6:D$1000,2,FALSE)</f>
        <v>aldojasw</v>
      </c>
      <c r="P255" s="7" t="s">
        <v>664</v>
      </c>
      <c r="Q255" s="7" t="s">
        <v>711</v>
      </c>
      <c r="R255" t="s">
        <v>419</v>
      </c>
      <c r="U255">
        <f t="shared" si="5"/>
        <v>11</v>
      </c>
    </row>
    <row r="256" spans="1:21" ht="37.5" customHeight="1" x14ac:dyDescent="0.25">
      <c r="A256" s="1">
        <v>44943</v>
      </c>
      <c r="B256" s="13">
        <v>3</v>
      </c>
      <c r="C256" t="s">
        <v>3</v>
      </c>
      <c r="D256" t="s">
        <v>4</v>
      </c>
      <c r="E256" t="s">
        <v>21</v>
      </c>
      <c r="F256" s="6">
        <v>200589316</v>
      </c>
      <c r="G256" t="s">
        <v>53</v>
      </c>
      <c r="H256" t="s">
        <v>49</v>
      </c>
      <c r="I256">
        <v>0</v>
      </c>
      <c r="J256">
        <v>0</v>
      </c>
      <c r="K256">
        <v>0</v>
      </c>
      <c r="L256">
        <v>0</v>
      </c>
      <c r="M256">
        <v>2.52</v>
      </c>
      <c r="N256" s="7" t="e">
        <f>VLOOKUP(F256,HC!A$6:D$100,3,FALSE)</f>
        <v>#N/A</v>
      </c>
      <c r="O256" s="7" t="e">
        <f>VLOOKUP(F256,HC!A$6:D$1000,2,FALSE)</f>
        <v>#N/A</v>
      </c>
      <c r="P256" s="7"/>
      <c r="Q256" s="7"/>
      <c r="R256" t="s">
        <v>260</v>
      </c>
      <c r="T256" t="s">
        <v>471</v>
      </c>
      <c r="U256">
        <f t="shared" si="5"/>
        <v>1395</v>
      </c>
    </row>
    <row r="257" spans="1:21" ht="37.5" customHeight="1" x14ac:dyDescent="0.25">
      <c r="A257" s="1">
        <v>44943</v>
      </c>
      <c r="B257" s="13">
        <v>3</v>
      </c>
      <c r="C257" t="s">
        <v>3</v>
      </c>
      <c r="D257" t="s">
        <v>4</v>
      </c>
      <c r="E257" t="s">
        <v>5</v>
      </c>
      <c r="F257" s="6">
        <v>112912175</v>
      </c>
      <c r="G257" t="s">
        <v>336</v>
      </c>
      <c r="H257" t="s">
        <v>47</v>
      </c>
      <c r="I257">
        <v>0</v>
      </c>
      <c r="J257">
        <v>0</v>
      </c>
      <c r="K257">
        <v>0</v>
      </c>
      <c r="L257">
        <v>0</v>
      </c>
      <c r="M257">
        <v>0.46</v>
      </c>
      <c r="N257" s="7" t="e">
        <f>VLOOKUP(F257,HC!A$6:D$100,3,FALSE)</f>
        <v>#N/A</v>
      </c>
      <c r="O257" s="7" t="e">
        <f>VLOOKUP(F257,HC!A$6:D$1000,2,FALSE)</f>
        <v>#N/A</v>
      </c>
      <c r="P257" s="7"/>
      <c r="Q257" s="7"/>
      <c r="R257" t="s">
        <v>348</v>
      </c>
      <c r="U257">
        <f t="shared" si="5"/>
        <v>1395</v>
      </c>
    </row>
    <row r="258" spans="1:21" ht="37.5" customHeight="1" x14ac:dyDescent="0.25">
      <c r="A258" s="1">
        <v>44943</v>
      </c>
      <c r="B258" s="13">
        <v>3</v>
      </c>
      <c r="C258" t="s">
        <v>3</v>
      </c>
      <c r="D258" t="s">
        <v>4</v>
      </c>
      <c r="E258" t="s">
        <v>21</v>
      </c>
      <c r="F258" s="6">
        <v>109227086</v>
      </c>
      <c r="G258" t="s">
        <v>430</v>
      </c>
      <c r="H258" t="s">
        <v>7</v>
      </c>
      <c r="I258">
        <v>0</v>
      </c>
      <c r="J258">
        <v>0</v>
      </c>
      <c r="K258">
        <v>0</v>
      </c>
      <c r="L258">
        <v>0</v>
      </c>
      <c r="M258">
        <v>1.1200000000000001</v>
      </c>
      <c r="N258" s="7" t="e">
        <f>VLOOKUP(F258,HC!A$6:D$100,3,FALSE)</f>
        <v>#N/A</v>
      </c>
      <c r="O258" s="7" t="e">
        <f>VLOOKUP(F258,HC!A$6:D$1000,2,FALSE)</f>
        <v>#N/A</v>
      </c>
      <c r="P258" s="7" t="s">
        <v>670</v>
      </c>
      <c r="Q258" s="7" t="s">
        <v>742</v>
      </c>
      <c r="R258" t="s">
        <v>477</v>
      </c>
      <c r="U258">
        <f t="shared" si="5"/>
        <v>1395</v>
      </c>
    </row>
    <row r="259" spans="1:21" ht="37.5" customHeight="1" x14ac:dyDescent="0.25">
      <c r="A259" s="1">
        <v>44943</v>
      </c>
      <c r="B259" s="13">
        <v>3</v>
      </c>
      <c r="C259" t="s">
        <v>3</v>
      </c>
      <c r="D259" t="s">
        <v>4</v>
      </c>
      <c r="E259" t="s">
        <v>5</v>
      </c>
      <c r="F259" s="6">
        <v>112912074</v>
      </c>
      <c r="G259" t="s">
        <v>473</v>
      </c>
      <c r="H259" t="s">
        <v>282</v>
      </c>
      <c r="I259">
        <v>0</v>
      </c>
      <c r="J259">
        <v>0</v>
      </c>
      <c r="K259">
        <v>0</v>
      </c>
      <c r="L259">
        <v>0</v>
      </c>
      <c r="M259">
        <v>0.46</v>
      </c>
      <c r="N259" s="7" t="e">
        <f>VLOOKUP(F259,HC!A$6:D$100,3,FALSE)</f>
        <v>#N/A</v>
      </c>
      <c r="O259" s="7" t="e">
        <f>VLOOKUP(F259,HC!A$6:D$1000,2,FALSE)</f>
        <v>#N/A</v>
      </c>
      <c r="P259" t="s">
        <v>665</v>
      </c>
      <c r="Q259" s="7" t="s">
        <v>722</v>
      </c>
      <c r="R259" t="s">
        <v>499</v>
      </c>
      <c r="U259">
        <f t="shared" ref="U259:U322" si="6">COUNTIF(O$2:O$4999,O259)</f>
        <v>1395</v>
      </c>
    </row>
    <row r="260" spans="1:21" ht="37.5" customHeight="1" x14ac:dyDescent="0.25">
      <c r="A260" s="1">
        <v>44943</v>
      </c>
      <c r="B260" s="13">
        <v>3</v>
      </c>
      <c r="C260" t="s">
        <v>3</v>
      </c>
      <c r="D260" t="s">
        <v>4</v>
      </c>
      <c r="E260" t="s">
        <v>5</v>
      </c>
      <c r="F260" s="6">
        <v>111202227</v>
      </c>
      <c r="G260" t="s">
        <v>472</v>
      </c>
      <c r="H260" t="s">
        <v>253</v>
      </c>
      <c r="I260">
        <v>0</v>
      </c>
      <c r="J260">
        <v>0</v>
      </c>
      <c r="K260">
        <v>0</v>
      </c>
      <c r="L260">
        <v>0</v>
      </c>
      <c r="M260">
        <v>0.26</v>
      </c>
      <c r="N260" s="7" t="e">
        <f>VLOOKUP(F260,HC!A$6:D$100,3,FALSE)</f>
        <v>#N/A</v>
      </c>
      <c r="O260" s="7" t="e">
        <f>VLOOKUP(F260,HC!A$6:D$1000,2,FALSE)</f>
        <v>#N/A</v>
      </c>
      <c r="P260" s="7" t="s">
        <v>664</v>
      </c>
      <c r="Q260" s="7" t="s">
        <v>709</v>
      </c>
      <c r="R260" t="s">
        <v>586</v>
      </c>
      <c r="U260">
        <f t="shared" si="6"/>
        <v>1395</v>
      </c>
    </row>
    <row r="261" spans="1:21" ht="37.5" customHeight="1" x14ac:dyDescent="0.25">
      <c r="A261" s="1">
        <v>44943</v>
      </c>
      <c r="B261" s="13">
        <v>3</v>
      </c>
      <c r="C261" t="s">
        <v>3</v>
      </c>
      <c r="D261" t="s">
        <v>4</v>
      </c>
      <c r="E261" t="s">
        <v>21</v>
      </c>
      <c r="F261" s="6">
        <v>200514421</v>
      </c>
      <c r="G261" t="s">
        <v>301</v>
      </c>
      <c r="H261" t="s">
        <v>14</v>
      </c>
      <c r="I261">
        <v>0</v>
      </c>
      <c r="J261">
        <v>0</v>
      </c>
      <c r="K261">
        <v>0</v>
      </c>
      <c r="L261">
        <v>0</v>
      </c>
      <c r="M261">
        <v>0.19</v>
      </c>
      <c r="N261" s="7" t="e">
        <f>VLOOKUP(F261,HC!A$6:D$100,3,FALSE)</f>
        <v>#N/A</v>
      </c>
      <c r="O261" s="7" t="str">
        <f>VLOOKUP(F261,HC!A$6:D$1000,2,FALSE)</f>
        <v>padillms</v>
      </c>
      <c r="P261" s="7" t="s">
        <v>661</v>
      </c>
      <c r="Q261" s="7" t="s">
        <v>681</v>
      </c>
      <c r="R261" t="s">
        <v>234</v>
      </c>
      <c r="U261">
        <f t="shared" si="6"/>
        <v>21</v>
      </c>
    </row>
    <row r="262" spans="1:21" ht="37.5" customHeight="1" x14ac:dyDescent="0.25">
      <c r="A262" s="1">
        <v>44943</v>
      </c>
      <c r="B262" s="13">
        <v>3</v>
      </c>
      <c r="C262" t="s">
        <v>3</v>
      </c>
      <c r="D262" t="s">
        <v>4</v>
      </c>
      <c r="E262" t="s">
        <v>5</v>
      </c>
      <c r="F262" s="6">
        <v>112920664</v>
      </c>
      <c r="G262" t="s">
        <v>474</v>
      </c>
      <c r="H262" t="s">
        <v>250</v>
      </c>
      <c r="I262">
        <v>0</v>
      </c>
      <c r="J262">
        <v>0</v>
      </c>
      <c r="K262">
        <v>0</v>
      </c>
      <c r="L262">
        <v>0</v>
      </c>
      <c r="M262">
        <v>0.33</v>
      </c>
      <c r="N262" s="7" t="str">
        <f>VLOOKUP(F262,HC!A$6:D$100,3,FALSE)</f>
        <v>DA-X0700</v>
      </c>
      <c r="O262" s="7" t="str">
        <f>VLOOKUP(F262,HC!A$6:D$1000,2,FALSE)</f>
        <v>samualbg</v>
      </c>
      <c r="P262" s="7" t="s">
        <v>661</v>
      </c>
      <c r="Q262" s="7" t="s">
        <v>681</v>
      </c>
      <c r="R262" t="s">
        <v>234</v>
      </c>
      <c r="U262">
        <f t="shared" si="6"/>
        <v>7</v>
      </c>
    </row>
    <row r="263" spans="1:21" ht="37.5" customHeight="1" x14ac:dyDescent="0.25">
      <c r="A263" s="1">
        <v>44943</v>
      </c>
      <c r="B263" s="13">
        <v>3</v>
      </c>
      <c r="C263" t="s">
        <v>3</v>
      </c>
      <c r="D263" t="s">
        <v>4</v>
      </c>
      <c r="E263" t="s">
        <v>5</v>
      </c>
      <c r="F263" s="6">
        <v>112980862</v>
      </c>
      <c r="G263" t="s">
        <v>43</v>
      </c>
      <c r="H263" t="s">
        <v>14</v>
      </c>
      <c r="I263">
        <v>0</v>
      </c>
      <c r="J263">
        <v>0</v>
      </c>
      <c r="K263">
        <v>0</v>
      </c>
      <c r="L263">
        <v>0</v>
      </c>
      <c r="M263">
        <v>0.6</v>
      </c>
      <c r="N263" s="7" t="e">
        <f>VLOOKUP(F263,HC!A$6:D$100,3,FALSE)</f>
        <v>#N/A</v>
      </c>
      <c r="O263" s="7" t="e">
        <f>VLOOKUP(F263,HC!A$6:D$1000,2,FALSE)</f>
        <v>#N/A</v>
      </c>
      <c r="P263" s="7" t="s">
        <v>664</v>
      </c>
      <c r="Q263" s="7"/>
      <c r="R263" t="s">
        <v>405</v>
      </c>
      <c r="U263">
        <f t="shared" si="6"/>
        <v>1395</v>
      </c>
    </row>
    <row r="264" spans="1:21" ht="37.5" customHeight="1" x14ac:dyDescent="0.25">
      <c r="A264" s="1">
        <v>44943</v>
      </c>
      <c r="B264" s="13">
        <v>3</v>
      </c>
      <c r="C264" t="s">
        <v>3</v>
      </c>
      <c r="D264" t="s">
        <v>4</v>
      </c>
      <c r="E264" t="s">
        <v>5</v>
      </c>
      <c r="F264" s="6">
        <v>200404250</v>
      </c>
      <c r="G264" t="s">
        <v>51</v>
      </c>
      <c r="H264" t="s">
        <v>44</v>
      </c>
      <c r="I264">
        <v>0</v>
      </c>
      <c r="J264">
        <v>0</v>
      </c>
      <c r="K264">
        <v>0</v>
      </c>
      <c r="L264">
        <v>0</v>
      </c>
      <c r="M264">
        <v>0.65</v>
      </c>
      <c r="N264" s="7" t="e">
        <f>VLOOKUP(F264,HC!A$6:D$100,3,FALSE)</f>
        <v>#N/A</v>
      </c>
      <c r="O264" s="7" t="str">
        <f>VLOOKUP(F264,HC!A$6:D$1000,2,FALSE)</f>
        <v>xcathurt</v>
      </c>
      <c r="P264" s="7" t="s">
        <v>662</v>
      </c>
      <c r="Q264" s="7" t="s">
        <v>785</v>
      </c>
      <c r="R264" t="s">
        <v>235</v>
      </c>
      <c r="U264">
        <f t="shared" si="6"/>
        <v>124</v>
      </c>
    </row>
    <row r="265" spans="1:21" ht="37.5" customHeight="1" x14ac:dyDescent="0.25">
      <c r="A265" s="1">
        <v>44944</v>
      </c>
      <c r="B265" s="13">
        <v>3</v>
      </c>
      <c r="C265" t="s">
        <v>3</v>
      </c>
      <c r="D265" t="s">
        <v>4</v>
      </c>
      <c r="E265" t="s">
        <v>5</v>
      </c>
      <c r="F265" s="6">
        <v>112973049</v>
      </c>
      <c r="G265" t="s">
        <v>314</v>
      </c>
      <c r="H265" t="s">
        <v>298</v>
      </c>
      <c r="I265">
        <v>0</v>
      </c>
      <c r="J265">
        <v>0</v>
      </c>
      <c r="K265">
        <v>0</v>
      </c>
      <c r="L265">
        <v>0</v>
      </c>
      <c r="M265">
        <v>0.06</v>
      </c>
      <c r="N265" s="7" t="str">
        <f>VLOOKUP(F265,HC!A$6:D$100,3,FALSE)</f>
        <v>DB-X0700</v>
      </c>
      <c r="O265" s="7" t="str">
        <f>VLOOKUP(F265,HC!A$6:D$1000,2,FALSE)</f>
        <v>afatimae</v>
      </c>
      <c r="P265" s="7"/>
      <c r="Q265" s="7"/>
      <c r="R265" t="s">
        <v>236</v>
      </c>
      <c r="U265">
        <f t="shared" si="6"/>
        <v>29</v>
      </c>
    </row>
    <row r="266" spans="1:21" ht="37.5" customHeight="1" x14ac:dyDescent="0.25">
      <c r="A266" s="1">
        <v>44944</v>
      </c>
      <c r="B266" s="13">
        <v>3</v>
      </c>
      <c r="C266" t="s">
        <v>3</v>
      </c>
      <c r="D266" t="s">
        <v>4</v>
      </c>
      <c r="E266" t="s">
        <v>5</v>
      </c>
      <c r="F266" s="6">
        <v>112980899</v>
      </c>
      <c r="G266" t="s">
        <v>396</v>
      </c>
      <c r="H266" t="s">
        <v>268</v>
      </c>
      <c r="I266">
        <v>0</v>
      </c>
      <c r="J266">
        <v>0</v>
      </c>
      <c r="K266">
        <v>0</v>
      </c>
      <c r="L266">
        <v>0</v>
      </c>
      <c r="M266">
        <v>1.78</v>
      </c>
      <c r="N266" s="7" t="str">
        <f>VLOOKUP(F266,HC!A$6:D$100,3,FALSE)</f>
        <v>NF-X1900</v>
      </c>
      <c r="O266" s="7" t="str">
        <f>VLOOKUP(F266,HC!A$6:D$1000,2,FALSE)</f>
        <v>aravilac</v>
      </c>
      <c r="P266" s="7"/>
      <c r="Q266" s="7"/>
      <c r="R266" t="s">
        <v>420</v>
      </c>
      <c r="U266">
        <f t="shared" si="6"/>
        <v>33</v>
      </c>
    </row>
    <row r="267" spans="1:21" ht="37.5" customHeight="1" x14ac:dyDescent="0.25">
      <c r="A267" s="1">
        <v>44944</v>
      </c>
      <c r="B267" s="13">
        <v>3</v>
      </c>
      <c r="C267" t="s">
        <v>3</v>
      </c>
      <c r="D267" t="s">
        <v>4</v>
      </c>
      <c r="E267" t="s">
        <v>5</v>
      </c>
      <c r="F267" s="6">
        <v>112971980</v>
      </c>
      <c r="G267" t="s">
        <v>445</v>
      </c>
      <c r="H267" t="s">
        <v>282</v>
      </c>
      <c r="I267">
        <v>0</v>
      </c>
      <c r="J267">
        <v>0</v>
      </c>
      <c r="K267">
        <v>0</v>
      </c>
      <c r="L267">
        <v>0</v>
      </c>
      <c r="M267">
        <v>0.46</v>
      </c>
      <c r="N267" s="7" t="str">
        <f>VLOOKUP(F267,HC!A$6:D$100,3,FALSE)</f>
        <v>DC-X0700</v>
      </c>
      <c r="O267" s="7" t="str">
        <f>VLOOKUP(F267,HC!A$6:D$1000,2,FALSE)</f>
        <v>cdanirom</v>
      </c>
      <c r="P267" s="7" t="s">
        <v>664</v>
      </c>
      <c r="Q267" s="7" t="s">
        <v>708</v>
      </c>
      <c r="R267" t="s">
        <v>587</v>
      </c>
      <c r="U267">
        <f t="shared" si="6"/>
        <v>25</v>
      </c>
    </row>
    <row r="268" spans="1:21" ht="37.5" customHeight="1" x14ac:dyDescent="0.25">
      <c r="A268" s="1">
        <v>44944</v>
      </c>
      <c r="B268" s="13">
        <v>3</v>
      </c>
      <c r="C268" t="s">
        <v>3</v>
      </c>
      <c r="D268" t="s">
        <v>4</v>
      </c>
      <c r="E268" t="s">
        <v>21</v>
      </c>
      <c r="F268" s="6">
        <v>200574345</v>
      </c>
      <c r="G268" t="s">
        <v>476</v>
      </c>
      <c r="H268" t="s">
        <v>14</v>
      </c>
      <c r="I268">
        <v>0</v>
      </c>
      <c r="J268">
        <v>0</v>
      </c>
      <c r="K268">
        <v>0</v>
      </c>
      <c r="L268">
        <v>0</v>
      </c>
      <c r="M268">
        <v>0.09</v>
      </c>
      <c r="N268" s="7" t="e">
        <f>VLOOKUP(F268,HC!A$6:D$100,3,FALSE)</f>
        <v>#N/A</v>
      </c>
      <c r="O268" s="7" t="str">
        <f>VLOOKUP(F268,HC!A$6:D$1000,2,FALSE)</f>
        <v>contrexj</v>
      </c>
      <c r="P268" s="7" t="s">
        <v>661</v>
      </c>
      <c r="Q268" s="7" t="s">
        <v>681</v>
      </c>
      <c r="R268" t="s">
        <v>234</v>
      </c>
      <c r="U268">
        <f t="shared" si="6"/>
        <v>17</v>
      </c>
    </row>
    <row r="269" spans="1:21" ht="37.5" customHeight="1" x14ac:dyDescent="0.25">
      <c r="A269" s="1">
        <v>44944</v>
      </c>
      <c r="B269" s="13">
        <v>3</v>
      </c>
      <c r="C269" t="s">
        <v>3</v>
      </c>
      <c r="D269" t="s">
        <v>4</v>
      </c>
      <c r="E269" t="s">
        <v>5</v>
      </c>
      <c r="F269" s="6">
        <v>112972524</v>
      </c>
      <c r="G269" t="s">
        <v>312</v>
      </c>
      <c r="H269" t="s">
        <v>263</v>
      </c>
      <c r="I269">
        <v>0</v>
      </c>
      <c r="J269">
        <v>0</v>
      </c>
      <c r="K269">
        <v>0</v>
      </c>
      <c r="L269">
        <v>0</v>
      </c>
      <c r="M269">
        <v>0.52</v>
      </c>
      <c r="N269" s="7" t="str">
        <f>VLOOKUP(F269,HC!A$6:D$100,3,FALSE)</f>
        <v>DB-X0700</v>
      </c>
      <c r="O269" s="7" t="str">
        <f>VLOOKUP(F269,HC!A$6:D$1000,2,FALSE)</f>
        <v>csantibl</v>
      </c>
      <c r="P269" s="7" t="s">
        <v>661</v>
      </c>
      <c r="Q269" s="7" t="s">
        <v>681</v>
      </c>
      <c r="R269" t="s">
        <v>234</v>
      </c>
      <c r="U269">
        <f t="shared" si="6"/>
        <v>17</v>
      </c>
    </row>
    <row r="270" spans="1:21" ht="37.5" customHeight="1" x14ac:dyDescent="0.25">
      <c r="A270" s="1">
        <v>44944</v>
      </c>
      <c r="B270" s="13">
        <v>3</v>
      </c>
      <c r="C270" t="s">
        <v>3</v>
      </c>
      <c r="D270" t="s">
        <v>4</v>
      </c>
      <c r="E270" t="s">
        <v>21</v>
      </c>
      <c r="F270" s="6">
        <v>200508371</v>
      </c>
      <c r="G270" t="s">
        <v>339</v>
      </c>
      <c r="H270" t="s">
        <v>298</v>
      </c>
      <c r="I270">
        <v>0</v>
      </c>
      <c r="J270">
        <v>0</v>
      </c>
      <c r="K270">
        <v>0</v>
      </c>
      <c r="L270">
        <v>0</v>
      </c>
      <c r="M270">
        <v>0.12</v>
      </c>
      <c r="N270" s="7" t="e">
        <f>VLOOKUP(F270,HC!A$6:D$100,3,FALSE)</f>
        <v>#N/A</v>
      </c>
      <c r="O270" s="7" t="e">
        <f>VLOOKUP(F270,HC!A$6:D$1000,2,FALSE)</f>
        <v>#N/A</v>
      </c>
      <c r="P270" s="7" t="s">
        <v>661</v>
      </c>
      <c r="Q270" s="7" t="s">
        <v>681</v>
      </c>
      <c r="R270" t="s">
        <v>234</v>
      </c>
      <c r="U270">
        <f t="shared" si="6"/>
        <v>1395</v>
      </c>
    </row>
    <row r="271" spans="1:21" ht="37.5" customHeight="1" x14ac:dyDescent="0.25">
      <c r="A271" s="1">
        <v>44944</v>
      </c>
      <c r="B271" s="13">
        <v>3</v>
      </c>
      <c r="C271" t="s">
        <v>3</v>
      </c>
      <c r="D271" t="s">
        <v>4</v>
      </c>
      <c r="E271" t="s">
        <v>5</v>
      </c>
      <c r="F271" s="6">
        <v>113014194</v>
      </c>
      <c r="G271" t="s">
        <v>475</v>
      </c>
      <c r="H271" t="s">
        <v>14</v>
      </c>
      <c r="I271">
        <v>0</v>
      </c>
      <c r="J271">
        <v>0</v>
      </c>
      <c r="K271">
        <v>0</v>
      </c>
      <c r="L271">
        <v>0</v>
      </c>
      <c r="M271">
        <v>0.34</v>
      </c>
      <c r="N271" s="7" t="e">
        <f>VLOOKUP(F271,HC!A$6:D$100,3,FALSE)</f>
        <v>#N/A</v>
      </c>
      <c r="O271" s="7" t="e">
        <f>VLOOKUP(F271,HC!A$6:D$1000,2,FALSE)</f>
        <v>#N/A</v>
      </c>
      <c r="P271" s="7" t="s">
        <v>670</v>
      </c>
      <c r="Q271" s="7" t="s">
        <v>764</v>
      </c>
      <c r="R271" t="s">
        <v>375</v>
      </c>
      <c r="U271">
        <f t="shared" si="6"/>
        <v>1395</v>
      </c>
    </row>
    <row r="272" spans="1:21" ht="37.5" customHeight="1" x14ac:dyDescent="0.25">
      <c r="A272" s="1">
        <v>44944</v>
      </c>
      <c r="B272" s="13">
        <v>3</v>
      </c>
      <c r="C272" t="s">
        <v>3</v>
      </c>
      <c r="D272" t="s">
        <v>4</v>
      </c>
      <c r="E272" t="s">
        <v>5</v>
      </c>
      <c r="F272" s="6">
        <v>113019039</v>
      </c>
      <c r="G272" t="s">
        <v>480</v>
      </c>
      <c r="H272" t="s">
        <v>47</v>
      </c>
      <c r="I272">
        <v>0</v>
      </c>
      <c r="J272">
        <v>0</v>
      </c>
      <c r="K272">
        <v>0</v>
      </c>
      <c r="L272">
        <v>0</v>
      </c>
      <c r="M272">
        <v>0.89</v>
      </c>
      <c r="N272" s="7" t="e">
        <f>VLOOKUP(F272,HC!A$6:D$100,3,FALSE)</f>
        <v>#N/A</v>
      </c>
      <c r="O272" s="7" t="e">
        <f>VLOOKUP(F272,HC!A$6:D$1000,2,FALSE)</f>
        <v>#N/A</v>
      </c>
      <c r="P272" s="7"/>
      <c r="Q272" s="7"/>
      <c r="R272" t="s">
        <v>433</v>
      </c>
      <c r="U272">
        <f t="shared" si="6"/>
        <v>1395</v>
      </c>
    </row>
    <row r="273" spans="1:21" ht="37.5" customHeight="1" x14ac:dyDescent="0.25">
      <c r="A273" s="1">
        <v>44944</v>
      </c>
      <c r="B273" s="13">
        <v>3</v>
      </c>
      <c r="C273" t="s">
        <v>3</v>
      </c>
      <c r="D273" t="s">
        <v>4</v>
      </c>
      <c r="E273" t="s">
        <v>5</v>
      </c>
      <c r="F273" s="6">
        <v>113141911</v>
      </c>
      <c r="G273" t="s">
        <v>439</v>
      </c>
      <c r="H273" t="s">
        <v>332</v>
      </c>
      <c r="I273">
        <v>0</v>
      </c>
      <c r="J273">
        <v>0</v>
      </c>
      <c r="K273">
        <v>0</v>
      </c>
      <c r="L273">
        <v>0</v>
      </c>
      <c r="M273">
        <v>2.2000000000000002</v>
      </c>
      <c r="N273" s="7" t="e">
        <f>VLOOKUP(F273,HC!A$6:D$100,3,FALSE)</f>
        <v>#N/A</v>
      </c>
      <c r="O273" s="7" t="e">
        <f>VLOOKUP(F273,HC!A$6:D$1000,2,FALSE)</f>
        <v>#N/A</v>
      </c>
      <c r="P273" s="7" t="s">
        <v>666</v>
      </c>
      <c r="Q273" s="7" t="s">
        <v>774</v>
      </c>
      <c r="R273" t="s">
        <v>517</v>
      </c>
      <c r="U273">
        <f t="shared" si="6"/>
        <v>1395</v>
      </c>
    </row>
    <row r="274" spans="1:21" ht="37.5" customHeight="1" x14ac:dyDescent="0.25">
      <c r="A274" s="1">
        <v>44944</v>
      </c>
      <c r="B274" s="13">
        <v>3</v>
      </c>
      <c r="C274" t="s">
        <v>3</v>
      </c>
      <c r="D274" t="s">
        <v>4</v>
      </c>
      <c r="E274" t="s">
        <v>21</v>
      </c>
      <c r="F274" s="6">
        <v>109227086</v>
      </c>
      <c r="G274" t="s">
        <v>430</v>
      </c>
      <c r="H274" t="s">
        <v>7</v>
      </c>
      <c r="I274">
        <v>0</v>
      </c>
      <c r="J274">
        <v>0</v>
      </c>
      <c r="K274">
        <v>0</v>
      </c>
      <c r="L274">
        <v>0</v>
      </c>
      <c r="M274">
        <v>0.26</v>
      </c>
      <c r="N274" s="7" t="e">
        <f>VLOOKUP(F274,HC!A$6:D$100,3,FALSE)</f>
        <v>#N/A</v>
      </c>
      <c r="O274" s="7" t="e">
        <f>VLOOKUP(F274,HC!A$6:D$1000,2,FALSE)</f>
        <v>#N/A</v>
      </c>
      <c r="P274" s="7" t="s">
        <v>670</v>
      </c>
      <c r="Q274" s="7" t="s">
        <v>742</v>
      </c>
      <c r="R274" t="s">
        <v>477</v>
      </c>
      <c r="U274">
        <f t="shared" si="6"/>
        <v>1395</v>
      </c>
    </row>
    <row r="275" spans="1:21" ht="37.5" customHeight="1" x14ac:dyDescent="0.25">
      <c r="A275" s="1">
        <v>44944</v>
      </c>
      <c r="B275" s="13">
        <v>3</v>
      </c>
      <c r="C275" t="s">
        <v>3</v>
      </c>
      <c r="D275" t="s">
        <v>4</v>
      </c>
      <c r="E275" t="s">
        <v>5</v>
      </c>
      <c r="F275" s="6">
        <v>113003631</v>
      </c>
      <c r="G275" t="s">
        <v>479</v>
      </c>
      <c r="H275" t="s">
        <v>47</v>
      </c>
      <c r="I275">
        <v>0</v>
      </c>
      <c r="J275">
        <v>0</v>
      </c>
      <c r="K275">
        <v>0</v>
      </c>
      <c r="L275">
        <v>0</v>
      </c>
      <c r="M275">
        <v>8.9499999999999993</v>
      </c>
      <c r="N275" s="7" t="e">
        <f>VLOOKUP(F275,HC!A$6:D$100,3,FALSE)</f>
        <v>#N/A</v>
      </c>
      <c r="O275" s="7" t="e">
        <f>VLOOKUP(F275,HC!A$6:D$1000,2,FALSE)</f>
        <v>#N/A</v>
      </c>
      <c r="P275" s="7" t="s">
        <v>667</v>
      </c>
      <c r="Q275" s="7" t="s">
        <v>306</v>
      </c>
      <c r="R275" t="s">
        <v>376</v>
      </c>
      <c r="U275">
        <f t="shared" si="6"/>
        <v>1395</v>
      </c>
    </row>
    <row r="276" spans="1:21" ht="37.5" customHeight="1" x14ac:dyDescent="0.25">
      <c r="A276" s="1">
        <v>44944</v>
      </c>
      <c r="B276" s="13">
        <v>3</v>
      </c>
      <c r="C276" t="s">
        <v>3</v>
      </c>
      <c r="D276" t="s">
        <v>4</v>
      </c>
      <c r="E276" t="s">
        <v>21</v>
      </c>
      <c r="F276" s="6">
        <v>200588981</v>
      </c>
      <c r="G276" t="s">
        <v>381</v>
      </c>
      <c r="H276" t="s">
        <v>17</v>
      </c>
      <c r="I276">
        <v>0</v>
      </c>
      <c r="J276">
        <v>0</v>
      </c>
      <c r="K276">
        <v>0</v>
      </c>
      <c r="L276">
        <v>0</v>
      </c>
      <c r="M276">
        <v>0.48</v>
      </c>
      <c r="N276" s="7" t="e">
        <f>VLOOKUP(F276,HC!A$6:D$100,3,FALSE)</f>
        <v>#N/A</v>
      </c>
      <c r="O276" s="7" t="e">
        <f>VLOOKUP(F276,HC!A$6:D$1000,2,FALSE)</f>
        <v>#N/A</v>
      </c>
      <c r="P276" s="7" t="s">
        <v>670</v>
      </c>
      <c r="Q276" s="7" t="s">
        <v>749</v>
      </c>
      <c r="R276" t="s">
        <v>487</v>
      </c>
      <c r="U276">
        <f t="shared" si="6"/>
        <v>1395</v>
      </c>
    </row>
    <row r="277" spans="1:21" ht="37.5" customHeight="1" x14ac:dyDescent="0.25">
      <c r="A277" s="1">
        <v>44944</v>
      </c>
      <c r="B277" s="13">
        <v>3</v>
      </c>
      <c r="C277" t="s">
        <v>3</v>
      </c>
      <c r="D277" t="s">
        <v>4</v>
      </c>
      <c r="E277" t="s">
        <v>5</v>
      </c>
      <c r="F277" s="6">
        <v>112980812</v>
      </c>
      <c r="G277" t="s">
        <v>324</v>
      </c>
      <c r="H277" t="s">
        <v>285</v>
      </c>
      <c r="I277">
        <v>0</v>
      </c>
      <c r="J277">
        <v>0</v>
      </c>
      <c r="K277">
        <v>0</v>
      </c>
      <c r="L277">
        <v>0</v>
      </c>
      <c r="M277">
        <v>0.09</v>
      </c>
      <c r="N277" s="7" t="str">
        <f>VLOOKUP(F277,HC!A$6:D$100,3,FALSE)</f>
        <v>DA-X0700</v>
      </c>
      <c r="O277" s="7" t="str">
        <f>VLOOKUP(F277,HC!A$6:D$1000,2,FALSE)</f>
        <v>maryjacp</v>
      </c>
      <c r="P277" s="7"/>
      <c r="Q277" s="7"/>
      <c r="R277" t="s">
        <v>514</v>
      </c>
      <c r="U277">
        <f t="shared" si="6"/>
        <v>15</v>
      </c>
    </row>
    <row r="278" spans="1:21" ht="37.5" customHeight="1" x14ac:dyDescent="0.25">
      <c r="A278" s="1">
        <v>44944</v>
      </c>
      <c r="B278" s="13">
        <v>3</v>
      </c>
      <c r="C278" t="s">
        <v>3</v>
      </c>
      <c r="D278" t="s">
        <v>4</v>
      </c>
      <c r="E278" t="s">
        <v>5</v>
      </c>
      <c r="F278" s="6">
        <v>112981061</v>
      </c>
      <c r="G278" t="s">
        <v>264</v>
      </c>
      <c r="H278" t="s">
        <v>14</v>
      </c>
      <c r="I278">
        <v>0</v>
      </c>
      <c r="J278">
        <v>0</v>
      </c>
      <c r="K278">
        <v>0</v>
      </c>
      <c r="L278">
        <v>0</v>
      </c>
      <c r="M278">
        <v>0.23</v>
      </c>
      <c r="N278" s="7" t="str">
        <f>VLOOKUP(F278,HC!A$6:D$100,3,FALSE)</f>
        <v>DA-X0700</v>
      </c>
      <c r="O278" s="7" t="str">
        <f>VLOOKUP(F278,HC!A$6:D$1000,2,FALSE)</f>
        <v>mclaudol</v>
      </c>
      <c r="P278" s="7" t="s">
        <v>661</v>
      </c>
      <c r="Q278" s="7" t="s">
        <v>681</v>
      </c>
      <c r="R278" t="s">
        <v>234</v>
      </c>
      <c r="U278">
        <f t="shared" si="6"/>
        <v>44</v>
      </c>
    </row>
    <row r="279" spans="1:21" ht="37.5" customHeight="1" x14ac:dyDescent="0.25">
      <c r="A279" s="1">
        <v>44944</v>
      </c>
      <c r="B279" s="13">
        <v>3</v>
      </c>
      <c r="C279" t="s">
        <v>3</v>
      </c>
      <c r="D279" t="s">
        <v>4</v>
      </c>
      <c r="E279" t="s">
        <v>5</v>
      </c>
      <c r="F279" s="6">
        <v>112525692</v>
      </c>
      <c r="G279" t="s">
        <v>356</v>
      </c>
      <c r="H279" t="s">
        <v>253</v>
      </c>
      <c r="I279">
        <v>0</v>
      </c>
      <c r="J279">
        <v>0</v>
      </c>
      <c r="K279">
        <v>0</v>
      </c>
      <c r="L279">
        <v>0</v>
      </c>
      <c r="M279">
        <v>0.18</v>
      </c>
      <c r="N279" s="7" t="e">
        <f>VLOOKUP(F279,HC!A$6:D$100,3,FALSE)</f>
        <v>#N/A</v>
      </c>
      <c r="O279" s="7" t="e">
        <f>VLOOKUP(F279,HC!A$6:D$1000,2,FALSE)</f>
        <v>#N/A</v>
      </c>
      <c r="P279" s="7"/>
      <c r="Q279" s="7"/>
      <c r="R279" t="s">
        <v>404</v>
      </c>
      <c r="U279">
        <f t="shared" si="6"/>
        <v>1395</v>
      </c>
    </row>
    <row r="280" spans="1:21" ht="37.5" customHeight="1" x14ac:dyDescent="0.25">
      <c r="A280" s="1">
        <v>44944</v>
      </c>
      <c r="B280" s="13">
        <v>3</v>
      </c>
      <c r="C280" t="s">
        <v>3</v>
      </c>
      <c r="D280" t="s">
        <v>4</v>
      </c>
      <c r="E280" t="s">
        <v>5</v>
      </c>
      <c r="F280" s="6">
        <v>112912163</v>
      </c>
      <c r="G280" t="s">
        <v>294</v>
      </c>
      <c r="H280" t="s">
        <v>7</v>
      </c>
      <c r="I280">
        <v>0</v>
      </c>
      <c r="J280">
        <v>0</v>
      </c>
      <c r="K280">
        <v>0</v>
      </c>
      <c r="L280">
        <v>0</v>
      </c>
      <c r="M280">
        <v>0.23</v>
      </c>
      <c r="N280" s="7" t="e">
        <f>VLOOKUP(F280,HC!A$6:D$100,3,FALSE)</f>
        <v>#N/A</v>
      </c>
      <c r="O280" s="7" t="e">
        <f>VLOOKUP(F280,HC!A$6:D$1000,2,FALSE)</f>
        <v>#N/A</v>
      </c>
      <c r="P280" s="7" t="s">
        <v>664</v>
      </c>
      <c r="Q280" s="7"/>
      <c r="R280" t="s">
        <v>498</v>
      </c>
      <c r="U280">
        <f t="shared" si="6"/>
        <v>1395</v>
      </c>
    </row>
    <row r="281" spans="1:21" ht="37.5" customHeight="1" x14ac:dyDescent="0.25">
      <c r="A281" s="1">
        <v>44944</v>
      </c>
      <c r="B281" s="13">
        <v>3</v>
      </c>
      <c r="C281" t="s">
        <v>3</v>
      </c>
      <c r="D281" t="s">
        <v>4</v>
      </c>
      <c r="E281" t="s">
        <v>5</v>
      </c>
      <c r="F281" s="6">
        <v>112912745</v>
      </c>
      <c r="G281" t="s">
        <v>478</v>
      </c>
      <c r="H281" t="s">
        <v>44</v>
      </c>
      <c r="I281">
        <v>0</v>
      </c>
      <c r="J281">
        <v>0</v>
      </c>
      <c r="K281">
        <v>0</v>
      </c>
      <c r="L281">
        <v>0</v>
      </c>
      <c r="M281">
        <v>1.58</v>
      </c>
      <c r="N281" s="7" t="str">
        <f>VLOOKUP(F281,HC!A$6:D$100,3,FALSE)</f>
        <v>DA-X0700</v>
      </c>
      <c r="O281" s="7" t="str">
        <f>VLOOKUP(F281,HC!A$6:D$1000,2,FALSE)</f>
        <v>nalexgom</v>
      </c>
      <c r="P281" s="7" t="s">
        <v>664</v>
      </c>
      <c r="Q281" s="7" t="s">
        <v>708</v>
      </c>
      <c r="R281" t="s">
        <v>587</v>
      </c>
      <c r="U281">
        <f t="shared" si="6"/>
        <v>22</v>
      </c>
    </row>
    <row r="282" spans="1:21" ht="37.5" customHeight="1" x14ac:dyDescent="0.25">
      <c r="A282" s="1">
        <v>44944</v>
      </c>
      <c r="B282" s="13">
        <v>3</v>
      </c>
      <c r="C282" t="s">
        <v>3</v>
      </c>
      <c r="D282" t="s">
        <v>4</v>
      </c>
      <c r="E282" t="s">
        <v>21</v>
      </c>
      <c r="F282" s="6">
        <v>200514421</v>
      </c>
      <c r="G282" t="s">
        <v>301</v>
      </c>
      <c r="H282" t="s">
        <v>14</v>
      </c>
      <c r="I282">
        <v>0</v>
      </c>
      <c r="J282">
        <v>0</v>
      </c>
      <c r="K282">
        <v>0</v>
      </c>
      <c r="L282">
        <v>0</v>
      </c>
      <c r="M282">
        <v>1</v>
      </c>
      <c r="N282" s="7" t="e">
        <f>VLOOKUP(F282,HC!A$6:D$100,3,FALSE)</f>
        <v>#N/A</v>
      </c>
      <c r="O282" s="7" t="str">
        <f>VLOOKUP(F282,HC!A$6:D$1000,2,FALSE)</f>
        <v>padillms</v>
      </c>
      <c r="P282" s="7" t="s">
        <v>666</v>
      </c>
      <c r="Q282" s="7" t="s">
        <v>768</v>
      </c>
      <c r="R282" t="s">
        <v>293</v>
      </c>
      <c r="U282">
        <f t="shared" si="6"/>
        <v>21</v>
      </c>
    </row>
    <row r="283" spans="1:21" ht="37.5" customHeight="1" x14ac:dyDescent="0.25">
      <c r="A283" s="1">
        <v>44944</v>
      </c>
      <c r="B283" s="13">
        <v>3</v>
      </c>
      <c r="C283" t="s">
        <v>3</v>
      </c>
      <c r="D283" t="s">
        <v>4</v>
      </c>
      <c r="E283" t="s">
        <v>5</v>
      </c>
      <c r="F283" s="6">
        <v>113101453</v>
      </c>
      <c r="G283" t="s">
        <v>50</v>
      </c>
      <c r="H283" t="s">
        <v>7</v>
      </c>
      <c r="I283">
        <v>0</v>
      </c>
      <c r="J283">
        <v>0</v>
      </c>
      <c r="K283">
        <v>0</v>
      </c>
      <c r="L283">
        <v>0</v>
      </c>
      <c r="M283">
        <v>0.22</v>
      </c>
      <c r="N283" s="7" t="e">
        <f>VLOOKUP(F283,HC!A$6:D$100,3,FALSE)</f>
        <v>#N/A</v>
      </c>
      <c r="O283" s="7" t="str">
        <f>VLOOKUP(F283,HC!A$6:D$1000,2,FALSE)</f>
        <v>qisgeova</v>
      </c>
      <c r="P283" s="7" t="s">
        <v>661</v>
      </c>
      <c r="Q283" s="7" t="s">
        <v>681</v>
      </c>
      <c r="R283" t="s">
        <v>234</v>
      </c>
      <c r="U283">
        <f t="shared" si="6"/>
        <v>57</v>
      </c>
    </row>
    <row r="284" spans="1:21" ht="37.5" customHeight="1" x14ac:dyDescent="0.25">
      <c r="A284" s="1">
        <v>44944</v>
      </c>
      <c r="B284" s="13">
        <v>3</v>
      </c>
      <c r="C284" t="s">
        <v>3</v>
      </c>
      <c r="D284" t="s">
        <v>4</v>
      </c>
      <c r="E284" t="s">
        <v>5</v>
      </c>
      <c r="F284" s="6">
        <v>113014046</v>
      </c>
      <c r="G284" t="s">
        <v>370</v>
      </c>
      <c r="H284" t="s">
        <v>47</v>
      </c>
      <c r="I284">
        <v>0</v>
      </c>
      <c r="J284">
        <v>0</v>
      </c>
      <c r="K284">
        <v>0</v>
      </c>
      <c r="L284">
        <v>0</v>
      </c>
      <c r="M284">
        <v>0.34</v>
      </c>
      <c r="N284" s="7" t="e">
        <f>VLOOKUP(F284,HC!A$6:D$100,3,FALSE)</f>
        <v>#N/A</v>
      </c>
      <c r="O284" s="7" t="e">
        <f>VLOOKUP(F284,HC!A$6:D$1000,2,FALSE)</f>
        <v>#N/A</v>
      </c>
      <c r="P284" s="7"/>
      <c r="Q284" s="7"/>
      <c r="R284" t="s">
        <v>420</v>
      </c>
      <c r="U284">
        <f t="shared" si="6"/>
        <v>1395</v>
      </c>
    </row>
    <row r="285" spans="1:21" ht="37.5" customHeight="1" x14ac:dyDescent="0.25">
      <c r="A285" s="1">
        <v>44944</v>
      </c>
      <c r="B285" s="13">
        <v>3</v>
      </c>
      <c r="C285" t="s">
        <v>3</v>
      </c>
      <c r="D285" t="s">
        <v>4</v>
      </c>
      <c r="E285" t="s">
        <v>5</v>
      </c>
      <c r="F285" s="6">
        <v>112950784</v>
      </c>
      <c r="G285" t="s">
        <v>261</v>
      </c>
      <c r="H285" t="s">
        <v>14</v>
      </c>
      <c r="I285">
        <v>0</v>
      </c>
      <c r="J285">
        <v>0</v>
      </c>
      <c r="K285">
        <v>0</v>
      </c>
      <c r="L285">
        <v>0</v>
      </c>
      <c r="M285">
        <v>0.13</v>
      </c>
      <c r="N285" s="7" t="str">
        <f>VLOOKUP(F285,HC!A$6:D$100,3,FALSE)</f>
        <v>NF-X1900</v>
      </c>
      <c r="O285" s="7" t="str">
        <f>VLOOKUP(F285,HC!A$6:D$1000,2,FALSE)</f>
        <v>sarojast</v>
      </c>
      <c r="P285" s="7" t="s">
        <v>661</v>
      </c>
      <c r="Q285" s="7" t="s">
        <v>681</v>
      </c>
      <c r="R285" t="s">
        <v>234</v>
      </c>
      <c r="U285">
        <f t="shared" si="6"/>
        <v>33</v>
      </c>
    </row>
    <row r="286" spans="1:21" ht="37.5" customHeight="1" x14ac:dyDescent="0.25">
      <c r="A286" s="1">
        <v>44944</v>
      </c>
      <c r="B286" s="13">
        <v>3</v>
      </c>
      <c r="C286" t="s">
        <v>3</v>
      </c>
      <c r="D286" t="s">
        <v>4</v>
      </c>
      <c r="E286" t="s">
        <v>5</v>
      </c>
      <c r="F286" s="6">
        <v>112980862</v>
      </c>
      <c r="G286" t="s">
        <v>43</v>
      </c>
      <c r="H286" t="s">
        <v>14</v>
      </c>
      <c r="I286">
        <v>0</v>
      </c>
      <c r="J286">
        <v>0</v>
      </c>
      <c r="K286">
        <v>0</v>
      </c>
      <c r="L286">
        <v>0</v>
      </c>
      <c r="M286">
        <v>1.31</v>
      </c>
      <c r="N286" s="7" t="e">
        <f>VLOOKUP(F286,HC!A$6:D$100,3,FALSE)</f>
        <v>#N/A</v>
      </c>
      <c r="O286" s="7" t="e">
        <f>VLOOKUP(F286,HC!A$6:D$1000,2,FALSE)</f>
        <v>#N/A</v>
      </c>
      <c r="P286" s="7" t="s">
        <v>675</v>
      </c>
      <c r="Q286" s="7"/>
      <c r="R286" t="s">
        <v>305</v>
      </c>
      <c r="U286">
        <f t="shared" si="6"/>
        <v>1395</v>
      </c>
    </row>
    <row r="287" spans="1:21" ht="37.5" customHeight="1" x14ac:dyDescent="0.25">
      <c r="A287" s="1">
        <v>44944</v>
      </c>
      <c r="B287" s="13">
        <v>3</v>
      </c>
      <c r="C287" t="s">
        <v>3</v>
      </c>
      <c r="D287" t="s">
        <v>4</v>
      </c>
      <c r="E287" t="s">
        <v>5</v>
      </c>
      <c r="F287" s="6">
        <v>113014402</v>
      </c>
      <c r="G287" t="s">
        <v>397</v>
      </c>
      <c r="H287" t="s">
        <v>7</v>
      </c>
      <c r="I287">
        <v>0</v>
      </c>
      <c r="J287">
        <v>0</v>
      </c>
      <c r="K287">
        <v>0</v>
      </c>
      <c r="L287">
        <v>0</v>
      </c>
      <c r="M287">
        <v>0.32</v>
      </c>
      <c r="N287" s="7" t="e">
        <f>VLOOKUP(F287,HC!A$6:D$100,3,FALSE)</f>
        <v>#N/A</v>
      </c>
      <c r="O287" s="7" t="str">
        <f>VLOOKUP(F287,HC!A$6:D$1000,2,FALSE)</f>
        <v>umendoju</v>
      </c>
      <c r="P287" s="7"/>
      <c r="Q287" s="7"/>
      <c r="R287" t="s">
        <v>486</v>
      </c>
      <c r="U287">
        <f t="shared" si="6"/>
        <v>4</v>
      </c>
    </row>
    <row r="288" spans="1:21" ht="37.5" customHeight="1" x14ac:dyDescent="0.25">
      <c r="A288" s="1">
        <v>44944</v>
      </c>
      <c r="B288" s="13">
        <v>3</v>
      </c>
      <c r="C288" t="s">
        <v>3</v>
      </c>
      <c r="D288" t="s">
        <v>4</v>
      </c>
      <c r="E288" t="s">
        <v>5</v>
      </c>
      <c r="F288" s="6">
        <v>112912509</v>
      </c>
      <c r="G288" t="s">
        <v>295</v>
      </c>
      <c r="H288" t="s">
        <v>7</v>
      </c>
      <c r="I288">
        <v>0</v>
      </c>
      <c r="J288">
        <v>0</v>
      </c>
      <c r="K288">
        <v>0</v>
      </c>
      <c r="L288">
        <v>0</v>
      </c>
      <c r="M288">
        <v>1.1200000000000001</v>
      </c>
      <c r="N288" s="7" t="e">
        <f>VLOOKUP(F288,HC!A$6:D$100,3,FALSE)</f>
        <v>#N/A</v>
      </c>
      <c r="O288" s="7" t="e">
        <f>VLOOKUP(F288,HC!A$6:D$1000,2,FALSE)</f>
        <v>#N/A</v>
      </c>
      <c r="P288" s="7"/>
      <c r="Q288" s="7"/>
      <c r="R288" t="s">
        <v>420</v>
      </c>
      <c r="U288">
        <f t="shared" si="6"/>
        <v>1395</v>
      </c>
    </row>
    <row r="289" spans="1:21" ht="37.5" customHeight="1" x14ac:dyDescent="0.25">
      <c r="A289" s="1">
        <v>44944</v>
      </c>
      <c r="B289" s="13">
        <v>3</v>
      </c>
      <c r="C289" t="s">
        <v>3</v>
      </c>
      <c r="D289" t="s">
        <v>4</v>
      </c>
      <c r="E289" t="s">
        <v>5</v>
      </c>
      <c r="F289" s="6">
        <v>112912509</v>
      </c>
      <c r="G289" t="s">
        <v>295</v>
      </c>
      <c r="H289" t="s">
        <v>7</v>
      </c>
      <c r="I289">
        <v>0</v>
      </c>
      <c r="J289">
        <v>0</v>
      </c>
      <c r="K289">
        <v>0</v>
      </c>
      <c r="L289">
        <v>0</v>
      </c>
      <c r="M289">
        <v>1.92</v>
      </c>
      <c r="N289" s="7" t="e">
        <f>VLOOKUP(F289,HC!A$6:D$100,3,FALSE)</f>
        <v>#N/A</v>
      </c>
      <c r="O289" s="7" t="e">
        <f>VLOOKUP(F289,HC!A$6:D$1000,2,FALSE)</f>
        <v>#N/A</v>
      </c>
      <c r="P289" s="7" t="s">
        <v>664</v>
      </c>
      <c r="Q289" s="7"/>
      <c r="R289" t="s">
        <v>484</v>
      </c>
      <c r="U289">
        <f t="shared" si="6"/>
        <v>1395</v>
      </c>
    </row>
    <row r="290" spans="1:21" ht="37.5" customHeight="1" x14ac:dyDescent="0.25">
      <c r="A290" s="1">
        <v>44944</v>
      </c>
      <c r="B290" s="13">
        <v>3</v>
      </c>
      <c r="C290" t="s">
        <v>3</v>
      </c>
      <c r="D290" t="s">
        <v>4</v>
      </c>
      <c r="E290" t="s">
        <v>5</v>
      </c>
      <c r="F290" s="6">
        <v>200404250</v>
      </c>
      <c r="G290" t="s">
        <v>51</v>
      </c>
      <c r="H290" t="s">
        <v>14</v>
      </c>
      <c r="I290">
        <v>0</v>
      </c>
      <c r="J290">
        <v>0</v>
      </c>
      <c r="K290">
        <v>0</v>
      </c>
      <c r="L290">
        <v>0</v>
      </c>
      <c r="M290">
        <v>0.74</v>
      </c>
      <c r="N290" s="7" t="e">
        <f>VLOOKUP(F290,HC!A$6:D$100,3,FALSE)</f>
        <v>#N/A</v>
      </c>
      <c r="O290" s="7" t="str">
        <f>VLOOKUP(F290,HC!A$6:D$1000,2,FALSE)</f>
        <v>xcathurt</v>
      </c>
      <c r="P290" s="7" t="s">
        <v>662</v>
      </c>
      <c r="Q290" s="7" t="s">
        <v>785</v>
      </c>
      <c r="R290" t="s">
        <v>235</v>
      </c>
      <c r="U290">
        <f t="shared" si="6"/>
        <v>124</v>
      </c>
    </row>
    <row r="291" spans="1:21" ht="37.5" customHeight="1" x14ac:dyDescent="0.25">
      <c r="A291" s="1">
        <v>44944</v>
      </c>
      <c r="B291" s="13">
        <v>3</v>
      </c>
      <c r="C291" t="s">
        <v>3</v>
      </c>
      <c r="D291" t="s">
        <v>4</v>
      </c>
      <c r="E291" t="s">
        <v>5</v>
      </c>
      <c r="F291" s="6">
        <v>112984097</v>
      </c>
      <c r="G291" t="s">
        <v>265</v>
      </c>
      <c r="H291" t="s">
        <v>7</v>
      </c>
      <c r="I291">
        <v>0</v>
      </c>
      <c r="J291">
        <v>0</v>
      </c>
      <c r="K291">
        <v>0</v>
      </c>
      <c r="L291">
        <v>0</v>
      </c>
      <c r="M291">
        <v>0.11</v>
      </c>
      <c r="N291" s="7" t="e">
        <f>VLOOKUP(F291,HC!A$6:D$100,3,FALSE)</f>
        <v>#N/A</v>
      </c>
      <c r="O291" s="7" t="e">
        <f>VLOOKUP(F291,HC!A$6:D$1000,2,FALSE)</f>
        <v>#N/A</v>
      </c>
      <c r="P291" s="7" t="s">
        <v>664</v>
      </c>
      <c r="Q291" s="7"/>
      <c r="R291" t="s">
        <v>485</v>
      </c>
      <c r="U291">
        <f t="shared" si="6"/>
        <v>1395</v>
      </c>
    </row>
    <row r="292" spans="1:21" ht="37.5" customHeight="1" x14ac:dyDescent="0.25">
      <c r="A292" s="1">
        <v>44944</v>
      </c>
      <c r="B292" s="13">
        <v>3</v>
      </c>
      <c r="C292" t="s">
        <v>3</v>
      </c>
      <c r="D292" t="s">
        <v>4</v>
      </c>
      <c r="E292" t="s">
        <v>21</v>
      </c>
      <c r="F292" s="6">
        <v>200509428</v>
      </c>
      <c r="G292" t="s">
        <v>272</v>
      </c>
      <c r="H292" t="s">
        <v>7</v>
      </c>
      <c r="I292">
        <v>0</v>
      </c>
      <c r="J292">
        <v>0</v>
      </c>
      <c r="K292">
        <v>0</v>
      </c>
      <c r="L292">
        <v>0</v>
      </c>
      <c r="M292">
        <v>0.68</v>
      </c>
      <c r="N292" s="7" t="e">
        <f>VLOOKUP(F292,HC!A$6:D$100,3,FALSE)</f>
        <v>#N/A</v>
      </c>
      <c r="O292" s="7" t="e">
        <f>VLOOKUP(F292,HC!A$6:D$1000,2,FALSE)</f>
        <v>#N/A</v>
      </c>
      <c r="P292" s="7" t="s">
        <v>670</v>
      </c>
      <c r="Q292" s="7" t="s">
        <v>749</v>
      </c>
      <c r="R292" t="s">
        <v>487</v>
      </c>
      <c r="U292">
        <f t="shared" si="6"/>
        <v>1395</v>
      </c>
    </row>
    <row r="293" spans="1:21" ht="37.5" customHeight="1" x14ac:dyDescent="0.25">
      <c r="A293" s="1">
        <v>44944</v>
      </c>
      <c r="B293" s="13">
        <v>3</v>
      </c>
      <c r="C293" t="s">
        <v>3</v>
      </c>
      <c r="D293" t="s">
        <v>4</v>
      </c>
      <c r="E293" t="s">
        <v>21</v>
      </c>
      <c r="F293" s="6">
        <v>109227086</v>
      </c>
      <c r="G293" t="s">
        <v>430</v>
      </c>
      <c r="H293" t="s">
        <v>7</v>
      </c>
      <c r="I293">
        <v>0</v>
      </c>
      <c r="J293">
        <v>0</v>
      </c>
      <c r="K293">
        <v>0</v>
      </c>
      <c r="L293">
        <v>0</v>
      </c>
      <c r="M293">
        <v>0.26</v>
      </c>
      <c r="N293" s="7" t="e">
        <f>VLOOKUP(F293,HC!A$6:D$100,3,FALSE)</f>
        <v>#N/A</v>
      </c>
      <c r="O293" s="7" t="e">
        <f>VLOOKUP(F293,HC!A$6:D$1000,2,FALSE)</f>
        <v>#N/A</v>
      </c>
      <c r="P293" s="7" t="s">
        <v>670</v>
      </c>
      <c r="Q293" s="7" t="s">
        <v>742</v>
      </c>
      <c r="R293" t="s">
        <v>477</v>
      </c>
      <c r="U293">
        <f t="shared" si="6"/>
        <v>1395</v>
      </c>
    </row>
    <row r="294" spans="1:21" ht="37.5" customHeight="1" x14ac:dyDescent="0.25">
      <c r="A294" s="1">
        <v>44945</v>
      </c>
      <c r="B294" s="13">
        <v>3</v>
      </c>
      <c r="C294" t="s">
        <v>3</v>
      </c>
      <c r="D294" t="s">
        <v>4</v>
      </c>
      <c r="E294" t="s">
        <v>21</v>
      </c>
      <c r="F294" s="6">
        <v>200564835</v>
      </c>
      <c r="G294" t="s">
        <v>342</v>
      </c>
      <c r="H294" t="s">
        <v>49</v>
      </c>
      <c r="I294">
        <v>0</v>
      </c>
      <c r="J294">
        <v>0</v>
      </c>
      <c r="K294">
        <v>0</v>
      </c>
      <c r="L294">
        <v>0</v>
      </c>
      <c r="M294">
        <v>0.08</v>
      </c>
      <c r="N294" s="7" t="e">
        <f>VLOOKUP(F294,HC!A$6:D$100,3,FALSE)</f>
        <v>#N/A</v>
      </c>
      <c r="O294" s="7" t="e">
        <f>VLOOKUP(F294,HC!A$6:D$1000,2,FALSE)</f>
        <v>#N/A</v>
      </c>
      <c r="P294" s="7" t="s">
        <v>661</v>
      </c>
      <c r="Q294" s="7" t="s">
        <v>681</v>
      </c>
      <c r="R294" t="s">
        <v>10</v>
      </c>
      <c r="U294">
        <f t="shared" si="6"/>
        <v>1395</v>
      </c>
    </row>
    <row r="295" spans="1:21" ht="37.5" customHeight="1" x14ac:dyDescent="0.25">
      <c r="A295" s="1">
        <v>44945</v>
      </c>
      <c r="B295" s="13">
        <v>3</v>
      </c>
      <c r="C295" t="s">
        <v>3</v>
      </c>
      <c r="D295" t="s">
        <v>4</v>
      </c>
      <c r="E295" t="s">
        <v>5</v>
      </c>
      <c r="F295" s="6">
        <v>112971980</v>
      </c>
      <c r="G295" t="s">
        <v>445</v>
      </c>
      <c r="H295" t="s">
        <v>282</v>
      </c>
      <c r="I295">
        <v>0</v>
      </c>
      <c r="J295">
        <v>0</v>
      </c>
      <c r="K295">
        <v>0</v>
      </c>
      <c r="L295">
        <v>0</v>
      </c>
      <c r="M295">
        <v>0.21</v>
      </c>
      <c r="N295" s="7" t="str">
        <f>VLOOKUP(F295,HC!A$6:D$100,3,FALSE)</f>
        <v>DC-X0700</v>
      </c>
      <c r="O295" s="7" t="str">
        <f>VLOOKUP(F295,HC!A$6:D$1000,2,FALSE)</f>
        <v>cdanirom</v>
      </c>
      <c r="P295" s="7" t="s">
        <v>664</v>
      </c>
      <c r="Q295" s="7"/>
      <c r="R295" t="s">
        <v>20</v>
      </c>
      <c r="U295">
        <f t="shared" si="6"/>
        <v>25</v>
      </c>
    </row>
    <row r="296" spans="1:21" ht="37.5" customHeight="1" x14ac:dyDescent="0.25">
      <c r="A296" s="1">
        <v>44945</v>
      </c>
      <c r="B296" s="13">
        <v>3</v>
      </c>
      <c r="C296" t="s">
        <v>3</v>
      </c>
      <c r="D296" t="s">
        <v>4</v>
      </c>
      <c r="E296" t="s">
        <v>5</v>
      </c>
      <c r="F296" s="6">
        <v>112984442</v>
      </c>
      <c r="G296" t="s">
        <v>315</v>
      </c>
      <c r="H296" t="s">
        <v>268</v>
      </c>
      <c r="I296">
        <v>0</v>
      </c>
      <c r="J296">
        <v>0</v>
      </c>
      <c r="K296">
        <v>0</v>
      </c>
      <c r="L296">
        <v>0</v>
      </c>
      <c r="M296">
        <v>1.62</v>
      </c>
      <c r="N296" s="7" t="e">
        <f>VLOOKUP(F296,HC!A$6:D$100,3,FALSE)</f>
        <v>#N/A</v>
      </c>
      <c r="O296" s="7" t="e">
        <f>VLOOKUP(F296,HC!A$6:D$1000,2,FALSE)</f>
        <v>#N/A</v>
      </c>
      <c r="P296" t="s">
        <v>662</v>
      </c>
      <c r="Q296" s="7" t="s">
        <v>690</v>
      </c>
      <c r="R296" t="s">
        <v>588</v>
      </c>
      <c r="U296">
        <f t="shared" si="6"/>
        <v>1395</v>
      </c>
    </row>
    <row r="297" spans="1:21" ht="37.5" customHeight="1" x14ac:dyDescent="0.25">
      <c r="A297" s="1">
        <v>44945</v>
      </c>
      <c r="B297" s="13">
        <v>3</v>
      </c>
      <c r="C297" t="s">
        <v>3</v>
      </c>
      <c r="D297" t="s">
        <v>4</v>
      </c>
      <c r="E297" t="s">
        <v>5</v>
      </c>
      <c r="F297" s="6">
        <v>112976013</v>
      </c>
      <c r="G297" t="s">
        <v>449</v>
      </c>
      <c r="H297" t="s">
        <v>403</v>
      </c>
      <c r="I297">
        <v>0</v>
      </c>
      <c r="J297">
        <v>0</v>
      </c>
      <c r="K297">
        <v>0</v>
      </c>
      <c r="L297">
        <v>0</v>
      </c>
      <c r="M297">
        <v>0.48</v>
      </c>
      <c r="N297" s="7" t="e">
        <f>VLOOKUP(F297,HC!A$6:D$100,3,FALSE)</f>
        <v>#N/A</v>
      </c>
      <c r="O297" s="7" t="e">
        <f>VLOOKUP(F297,HC!A$6:D$1000,2,FALSE)</f>
        <v>#N/A</v>
      </c>
      <c r="P297" s="7" t="s">
        <v>661</v>
      </c>
      <c r="Q297" s="7" t="s">
        <v>681</v>
      </c>
      <c r="R297" t="s">
        <v>10</v>
      </c>
      <c r="U297">
        <f t="shared" si="6"/>
        <v>1395</v>
      </c>
    </row>
    <row r="298" spans="1:21" ht="37.5" customHeight="1" x14ac:dyDescent="0.25">
      <c r="A298" s="1">
        <v>44945</v>
      </c>
      <c r="B298" s="13">
        <v>3</v>
      </c>
      <c r="C298" t="s">
        <v>3</v>
      </c>
      <c r="D298" t="s">
        <v>4</v>
      </c>
      <c r="E298" t="s">
        <v>5</v>
      </c>
      <c r="F298" s="6">
        <v>113141911</v>
      </c>
      <c r="G298" t="s">
        <v>439</v>
      </c>
      <c r="H298" t="s">
        <v>332</v>
      </c>
      <c r="I298">
        <v>0</v>
      </c>
      <c r="J298">
        <v>0</v>
      </c>
      <c r="K298">
        <v>0</v>
      </c>
      <c r="L298">
        <v>0</v>
      </c>
      <c r="M298">
        <v>1.48</v>
      </c>
      <c r="N298" s="7" t="e">
        <f>VLOOKUP(F298,HC!A$6:D$100,3,FALSE)</f>
        <v>#N/A</v>
      </c>
      <c r="O298" s="7" t="e">
        <f>VLOOKUP(F298,HC!A$6:D$1000,2,FALSE)</f>
        <v>#N/A</v>
      </c>
      <c r="P298" s="7" t="s">
        <v>666</v>
      </c>
      <c r="Q298" s="7" t="s">
        <v>774</v>
      </c>
      <c r="R298" t="s">
        <v>517</v>
      </c>
      <c r="U298">
        <f t="shared" si="6"/>
        <v>1395</v>
      </c>
    </row>
    <row r="299" spans="1:21" ht="37.5" customHeight="1" x14ac:dyDescent="0.25">
      <c r="A299" s="1">
        <v>44945</v>
      </c>
      <c r="B299" s="13">
        <v>3</v>
      </c>
      <c r="C299" t="s">
        <v>3</v>
      </c>
      <c r="D299" t="s">
        <v>4</v>
      </c>
      <c r="E299" t="s">
        <v>5</v>
      </c>
      <c r="F299" s="6">
        <v>112920666</v>
      </c>
      <c r="G299" t="s">
        <v>252</v>
      </c>
      <c r="H299" t="s">
        <v>253</v>
      </c>
      <c r="I299">
        <v>0</v>
      </c>
      <c r="J299">
        <v>0</v>
      </c>
      <c r="K299">
        <v>0</v>
      </c>
      <c r="L299">
        <v>0</v>
      </c>
      <c r="M299">
        <v>0.13</v>
      </c>
      <c r="N299" s="7" t="str">
        <f>VLOOKUP(F299,HC!A$6:D$100,3,FALSE)</f>
        <v>D5-X0700</v>
      </c>
      <c r="O299" s="7" t="str">
        <f>VLOOKUP(F299,HC!A$6:D$1000,2,FALSE)</f>
        <v>jorochai</v>
      </c>
      <c r="P299" s="7" t="s">
        <v>661</v>
      </c>
      <c r="Q299" s="7" t="s">
        <v>681</v>
      </c>
      <c r="R299" t="s">
        <v>10</v>
      </c>
      <c r="U299">
        <f t="shared" si="6"/>
        <v>19</v>
      </c>
    </row>
    <row r="300" spans="1:21" ht="37.5" customHeight="1" x14ac:dyDescent="0.25">
      <c r="A300" s="1">
        <v>44945</v>
      </c>
      <c r="B300" s="13">
        <v>3</v>
      </c>
      <c r="C300" t="s">
        <v>3</v>
      </c>
      <c r="D300" t="s">
        <v>4</v>
      </c>
      <c r="E300" t="s">
        <v>5</v>
      </c>
      <c r="F300" s="6">
        <v>111434478</v>
      </c>
      <c r="G300" t="s">
        <v>331</v>
      </c>
      <c r="H300" t="s">
        <v>332</v>
      </c>
      <c r="I300">
        <v>0</v>
      </c>
      <c r="J300">
        <v>0</v>
      </c>
      <c r="K300">
        <v>0</v>
      </c>
      <c r="L300">
        <v>0</v>
      </c>
      <c r="M300">
        <v>1.84</v>
      </c>
      <c r="N300" s="7" t="str">
        <f>VLOOKUP(F300,HC!A$6:D$100,3,FALSE)</f>
        <v>DA-X0700</v>
      </c>
      <c r="O300" s="7" t="str">
        <f>VLOOKUP(F300,HC!A$6:D$1000,2,FALSE)</f>
        <v>juanapam</v>
      </c>
      <c r="P300" s="7" t="s">
        <v>664</v>
      </c>
      <c r="Q300" s="7"/>
      <c r="R300" t="s">
        <v>354</v>
      </c>
      <c r="U300">
        <f t="shared" si="6"/>
        <v>32</v>
      </c>
    </row>
    <row r="301" spans="1:21" ht="37.5" customHeight="1" x14ac:dyDescent="0.25">
      <c r="A301" s="1">
        <v>44945</v>
      </c>
      <c r="B301" s="13">
        <v>3</v>
      </c>
      <c r="C301" t="s">
        <v>3</v>
      </c>
      <c r="D301" t="s">
        <v>4</v>
      </c>
      <c r="E301" t="s">
        <v>5</v>
      </c>
      <c r="F301" s="6">
        <v>113003631</v>
      </c>
      <c r="G301" t="s">
        <v>479</v>
      </c>
      <c r="H301" t="s">
        <v>47</v>
      </c>
      <c r="I301">
        <v>0</v>
      </c>
      <c r="J301">
        <v>0</v>
      </c>
      <c r="K301">
        <v>0</v>
      </c>
      <c r="L301">
        <v>0</v>
      </c>
      <c r="M301">
        <v>7.67</v>
      </c>
      <c r="N301" s="7" t="e">
        <f>VLOOKUP(F301,HC!A$6:D$100,3,FALSE)</f>
        <v>#N/A</v>
      </c>
      <c r="O301" s="7" t="e">
        <f>VLOOKUP(F301,HC!A$6:D$1000,2,FALSE)</f>
        <v>#N/A</v>
      </c>
      <c r="P301" s="7" t="s">
        <v>662</v>
      </c>
      <c r="Q301" s="7" t="s">
        <v>691</v>
      </c>
      <c r="R301" t="s">
        <v>256</v>
      </c>
      <c r="U301">
        <f t="shared" si="6"/>
        <v>1395</v>
      </c>
    </row>
    <row r="302" spans="1:21" ht="37.5" customHeight="1" x14ac:dyDescent="0.25">
      <c r="A302" s="1">
        <v>44945</v>
      </c>
      <c r="B302" s="13">
        <v>3</v>
      </c>
      <c r="C302" t="s">
        <v>3</v>
      </c>
      <c r="D302" t="s">
        <v>4</v>
      </c>
      <c r="E302" t="s">
        <v>5</v>
      </c>
      <c r="F302" s="6">
        <v>113014011</v>
      </c>
      <c r="G302" t="s">
        <v>45</v>
      </c>
      <c r="H302" t="s">
        <v>14</v>
      </c>
      <c r="I302">
        <v>0</v>
      </c>
      <c r="J302">
        <v>0</v>
      </c>
      <c r="K302">
        <v>0</v>
      </c>
      <c r="L302">
        <v>0</v>
      </c>
      <c r="M302">
        <v>0.24</v>
      </c>
      <c r="N302" s="7" t="e">
        <f>VLOOKUP(F302,HC!A$6:D$100,3,FALSE)</f>
        <v>#N/A</v>
      </c>
      <c r="O302" s="7" t="e">
        <f>VLOOKUP(F302,HC!A$6:D$1000,2,FALSE)</f>
        <v>#N/A</v>
      </c>
      <c r="P302" s="7"/>
      <c r="Q302" s="7"/>
      <c r="R302" t="s">
        <v>404</v>
      </c>
      <c r="U302">
        <f t="shared" si="6"/>
        <v>1395</v>
      </c>
    </row>
    <row r="303" spans="1:21" ht="37.5" customHeight="1" x14ac:dyDescent="0.25">
      <c r="A303" s="1">
        <v>44945</v>
      </c>
      <c r="B303" s="13">
        <v>3</v>
      </c>
      <c r="C303" t="s">
        <v>3</v>
      </c>
      <c r="D303" t="s">
        <v>4</v>
      </c>
      <c r="E303" t="s">
        <v>5</v>
      </c>
      <c r="F303" s="6">
        <v>113014072</v>
      </c>
      <c r="G303" t="s">
        <v>491</v>
      </c>
      <c r="H303" t="s">
        <v>49</v>
      </c>
      <c r="I303">
        <v>0</v>
      </c>
      <c r="J303">
        <v>0</v>
      </c>
      <c r="K303">
        <v>0</v>
      </c>
      <c r="L303">
        <v>0</v>
      </c>
      <c r="M303">
        <v>0.83</v>
      </c>
      <c r="N303" s="7" t="e">
        <f>VLOOKUP(F303,HC!A$6:D$100,3,FALSE)</f>
        <v>#N/A</v>
      </c>
      <c r="O303" s="7" t="e">
        <f>VLOOKUP(F303,HC!A$6:D$1000,2,FALSE)</f>
        <v>#N/A</v>
      </c>
      <c r="P303" s="7"/>
      <c r="Q303" s="7"/>
      <c r="R303" t="s">
        <v>497</v>
      </c>
      <c r="U303">
        <f t="shared" si="6"/>
        <v>1395</v>
      </c>
    </row>
    <row r="304" spans="1:21" ht="37.5" customHeight="1" x14ac:dyDescent="0.25">
      <c r="A304" s="1">
        <v>44945</v>
      </c>
      <c r="B304" s="13">
        <v>3</v>
      </c>
      <c r="C304" t="s">
        <v>3</v>
      </c>
      <c r="D304" t="s">
        <v>4</v>
      </c>
      <c r="E304" t="s">
        <v>5</v>
      </c>
      <c r="F304" s="6">
        <v>113052151</v>
      </c>
      <c r="G304" t="s">
        <v>482</v>
      </c>
      <c r="H304" t="s">
        <v>317</v>
      </c>
      <c r="I304">
        <v>0</v>
      </c>
      <c r="J304">
        <v>0</v>
      </c>
      <c r="K304">
        <v>0</v>
      </c>
      <c r="L304">
        <v>0</v>
      </c>
      <c r="M304">
        <v>0.15</v>
      </c>
      <c r="N304" s="7" t="e">
        <f>VLOOKUP(F304,HC!A$6:D$100,3,FALSE)</f>
        <v>#N/A</v>
      </c>
      <c r="O304" s="7" t="str">
        <f>VLOOKUP(F304,HC!A$6:D$1000,2,FALSE)</f>
        <v>nilaurab</v>
      </c>
      <c r="P304" s="7" t="s">
        <v>664</v>
      </c>
      <c r="Q304" s="7" t="s">
        <v>709</v>
      </c>
      <c r="R304" t="s">
        <v>589</v>
      </c>
      <c r="U304">
        <f t="shared" si="6"/>
        <v>28</v>
      </c>
    </row>
    <row r="305" spans="1:21" ht="37.5" customHeight="1" x14ac:dyDescent="0.25">
      <c r="A305" s="1">
        <v>44945</v>
      </c>
      <c r="B305" s="13">
        <v>3</v>
      </c>
      <c r="C305" t="s">
        <v>3</v>
      </c>
      <c r="D305" t="s">
        <v>4</v>
      </c>
      <c r="E305" t="s">
        <v>5</v>
      </c>
      <c r="F305" s="6">
        <v>200464838</v>
      </c>
      <c r="G305" t="s">
        <v>358</v>
      </c>
      <c r="H305" t="s">
        <v>49</v>
      </c>
      <c r="I305">
        <v>0</v>
      </c>
      <c r="J305">
        <v>0</v>
      </c>
      <c r="K305">
        <v>0</v>
      </c>
      <c r="L305">
        <v>0</v>
      </c>
      <c r="M305">
        <v>0.08</v>
      </c>
      <c r="N305" s="7" t="e">
        <f>VLOOKUP(F305,HC!A$6:D$100,3,FALSE)</f>
        <v>#N/A</v>
      </c>
      <c r="O305" s="7" t="str">
        <f>VLOOKUP(F305,HC!A$6:D$1000,2,FALSE)</f>
        <v>ortfernj</v>
      </c>
      <c r="P305" s="7" t="s">
        <v>661</v>
      </c>
      <c r="Q305" s="7" t="s">
        <v>681</v>
      </c>
      <c r="R305" t="s">
        <v>10</v>
      </c>
      <c r="U305">
        <f t="shared" si="6"/>
        <v>9</v>
      </c>
    </row>
    <row r="306" spans="1:21" ht="37.5" customHeight="1" x14ac:dyDescent="0.25">
      <c r="A306" s="1">
        <v>44945</v>
      </c>
      <c r="B306" s="13">
        <v>3</v>
      </c>
      <c r="C306" t="s">
        <v>3</v>
      </c>
      <c r="D306" t="s">
        <v>4</v>
      </c>
      <c r="E306" t="s">
        <v>5</v>
      </c>
      <c r="F306" s="6">
        <v>113003614</v>
      </c>
      <c r="G306" t="s">
        <v>490</v>
      </c>
      <c r="H306" t="s">
        <v>298</v>
      </c>
      <c r="I306">
        <v>0</v>
      </c>
      <c r="J306">
        <v>0</v>
      </c>
      <c r="K306">
        <v>0</v>
      </c>
      <c r="L306">
        <v>0</v>
      </c>
      <c r="M306">
        <v>0.53</v>
      </c>
      <c r="N306" s="7" t="e">
        <f>VLOOKUP(F306,HC!A$6:D$100,3,FALSE)</f>
        <v>#N/A</v>
      </c>
      <c r="O306" s="7" t="str">
        <f>VLOOKUP(F306,HC!A$6:D$1000,2,FALSE)</f>
        <v>ppalmari</v>
      </c>
      <c r="P306" s="7" t="s">
        <v>661</v>
      </c>
      <c r="Q306" s="7" t="s">
        <v>681</v>
      </c>
      <c r="R306" t="s">
        <v>10</v>
      </c>
      <c r="U306">
        <f t="shared" si="6"/>
        <v>1</v>
      </c>
    </row>
    <row r="307" spans="1:21" ht="37.5" customHeight="1" x14ac:dyDescent="0.25">
      <c r="A307" s="1">
        <v>44945</v>
      </c>
      <c r="B307" s="13">
        <v>3</v>
      </c>
      <c r="C307" t="s">
        <v>3</v>
      </c>
      <c r="D307" t="s">
        <v>4</v>
      </c>
      <c r="E307" t="s">
        <v>21</v>
      </c>
      <c r="F307" s="6">
        <v>200554743</v>
      </c>
      <c r="G307" t="s">
        <v>340</v>
      </c>
      <c r="H307" t="s">
        <v>298</v>
      </c>
      <c r="I307">
        <v>0</v>
      </c>
      <c r="J307">
        <v>0</v>
      </c>
      <c r="K307">
        <v>0</v>
      </c>
      <c r="L307">
        <v>0</v>
      </c>
      <c r="M307">
        <v>0.36</v>
      </c>
      <c r="N307" s="7" t="e">
        <f>VLOOKUP(F307,HC!A$6:D$100,3,FALSE)</f>
        <v>#N/A</v>
      </c>
      <c r="O307" s="7" t="e">
        <f>VLOOKUP(F307,HC!A$6:D$1000,2,FALSE)</f>
        <v>#N/A</v>
      </c>
      <c r="P307" s="7" t="s">
        <v>664</v>
      </c>
      <c r="Q307" s="7"/>
      <c r="R307" t="s">
        <v>498</v>
      </c>
      <c r="U307">
        <f t="shared" si="6"/>
        <v>1395</v>
      </c>
    </row>
    <row r="308" spans="1:21" ht="37.5" customHeight="1" x14ac:dyDescent="0.25">
      <c r="A308" s="1">
        <v>44945</v>
      </c>
      <c r="B308" s="13">
        <v>3</v>
      </c>
      <c r="C308" t="s">
        <v>3</v>
      </c>
      <c r="D308" t="s">
        <v>4</v>
      </c>
      <c r="E308" t="s">
        <v>21</v>
      </c>
      <c r="F308" s="6">
        <v>200615937</v>
      </c>
      <c r="G308" t="s">
        <v>494</v>
      </c>
      <c r="H308" t="s">
        <v>47</v>
      </c>
      <c r="I308">
        <v>0</v>
      </c>
      <c r="J308">
        <v>0</v>
      </c>
      <c r="K308">
        <v>0</v>
      </c>
      <c r="L308">
        <v>0</v>
      </c>
      <c r="M308">
        <v>0.11</v>
      </c>
      <c r="N308" s="7" t="e">
        <f>VLOOKUP(F308,HC!A$6:D$100,3,FALSE)</f>
        <v>#N/A</v>
      </c>
      <c r="O308" s="7" t="e">
        <f>VLOOKUP(F308,HC!A$6:D$1000,2,FALSE)</f>
        <v>#N/A</v>
      </c>
      <c r="P308" s="7" t="s">
        <v>661</v>
      </c>
      <c r="Q308" s="7" t="s">
        <v>681</v>
      </c>
      <c r="R308" t="s">
        <v>10</v>
      </c>
      <c r="U308">
        <f t="shared" si="6"/>
        <v>1395</v>
      </c>
    </row>
    <row r="309" spans="1:21" ht="37.5" customHeight="1" x14ac:dyDescent="0.25">
      <c r="A309" s="1">
        <v>44945</v>
      </c>
      <c r="B309" s="13">
        <v>3</v>
      </c>
      <c r="C309" t="s">
        <v>3</v>
      </c>
      <c r="D309" t="s">
        <v>4</v>
      </c>
      <c r="E309" t="s">
        <v>5</v>
      </c>
      <c r="F309" s="6">
        <v>112980878</v>
      </c>
      <c r="G309" t="s">
        <v>481</v>
      </c>
      <c r="H309" t="s">
        <v>17</v>
      </c>
      <c r="I309">
        <v>0</v>
      </c>
      <c r="J309">
        <v>0</v>
      </c>
      <c r="K309">
        <v>0</v>
      </c>
      <c r="L309">
        <v>0</v>
      </c>
      <c r="M309">
        <v>0.09</v>
      </c>
      <c r="N309" s="7" t="e">
        <f>VLOOKUP(F309,HC!A$6:D$100,3,FALSE)</f>
        <v>#N/A</v>
      </c>
      <c r="O309" s="7" t="e">
        <f>VLOOKUP(F309,HC!A$6:D$1000,2,FALSE)</f>
        <v>#N/A</v>
      </c>
      <c r="P309" s="7" t="s">
        <v>661</v>
      </c>
      <c r="Q309" s="7" t="s">
        <v>681</v>
      </c>
      <c r="R309" t="s">
        <v>10</v>
      </c>
      <c r="U309">
        <f t="shared" si="6"/>
        <v>1395</v>
      </c>
    </row>
    <row r="310" spans="1:21" ht="37.5" customHeight="1" x14ac:dyDescent="0.25">
      <c r="A310" s="1">
        <v>44945</v>
      </c>
      <c r="B310" s="13">
        <v>3</v>
      </c>
      <c r="C310" t="s">
        <v>3</v>
      </c>
      <c r="D310" t="s">
        <v>4</v>
      </c>
      <c r="E310" t="s">
        <v>5</v>
      </c>
      <c r="F310" s="6">
        <v>112991248</v>
      </c>
      <c r="G310" t="s">
        <v>461</v>
      </c>
      <c r="H310" t="s">
        <v>49</v>
      </c>
      <c r="I310">
        <v>0</v>
      </c>
      <c r="J310">
        <v>0</v>
      </c>
      <c r="K310">
        <v>0</v>
      </c>
      <c r="L310">
        <v>0</v>
      </c>
      <c r="M310">
        <v>0.13</v>
      </c>
      <c r="N310" s="7" t="e">
        <f>VLOOKUP(F310,HC!A$6:D$100,3,FALSE)</f>
        <v>#N/A</v>
      </c>
      <c r="O310" s="7" t="e">
        <f>VLOOKUP(F310,HC!A$6:D$1000,2,FALSE)</f>
        <v>#N/A</v>
      </c>
      <c r="P310" s="7" t="s">
        <v>661</v>
      </c>
      <c r="Q310" s="7" t="s">
        <v>681</v>
      </c>
      <c r="R310" t="s">
        <v>10</v>
      </c>
      <c r="U310">
        <f t="shared" si="6"/>
        <v>1395</v>
      </c>
    </row>
    <row r="311" spans="1:21" ht="37.5" customHeight="1" x14ac:dyDescent="0.25">
      <c r="A311" s="1">
        <v>44945</v>
      </c>
      <c r="B311" s="13">
        <v>3</v>
      </c>
      <c r="C311" t="s">
        <v>3</v>
      </c>
      <c r="D311" t="s">
        <v>4</v>
      </c>
      <c r="E311" t="s">
        <v>21</v>
      </c>
      <c r="F311" s="6">
        <v>200552734</v>
      </c>
      <c r="G311" t="s">
        <v>492</v>
      </c>
      <c r="H311" t="s">
        <v>298</v>
      </c>
      <c r="I311">
        <v>0</v>
      </c>
      <c r="J311">
        <v>0</v>
      </c>
      <c r="K311">
        <v>0</v>
      </c>
      <c r="L311">
        <v>0</v>
      </c>
      <c r="M311">
        <v>1.1299999999999999</v>
      </c>
      <c r="N311" s="7" t="e">
        <f>VLOOKUP(F311,HC!A$6:D$100,3,FALSE)</f>
        <v>#N/A</v>
      </c>
      <c r="O311" s="7" t="e">
        <f>VLOOKUP(F311,HC!A$6:D$1000,2,FALSE)</f>
        <v>#N/A</v>
      </c>
      <c r="P311" s="7" t="s">
        <v>664</v>
      </c>
      <c r="Q311" s="7"/>
      <c r="R311" t="s">
        <v>290</v>
      </c>
      <c r="U311">
        <f t="shared" si="6"/>
        <v>1395</v>
      </c>
    </row>
    <row r="312" spans="1:21" ht="37.5" customHeight="1" x14ac:dyDescent="0.25">
      <c r="A312" s="1">
        <v>44945</v>
      </c>
      <c r="B312" s="13">
        <v>3</v>
      </c>
      <c r="C312" t="s">
        <v>3</v>
      </c>
      <c r="D312" t="s">
        <v>4</v>
      </c>
      <c r="E312" t="s">
        <v>21</v>
      </c>
      <c r="F312" s="6">
        <v>200508315</v>
      </c>
      <c r="G312" t="s">
        <v>428</v>
      </c>
      <c r="H312" t="s">
        <v>298</v>
      </c>
      <c r="I312">
        <v>0</v>
      </c>
      <c r="J312">
        <v>0</v>
      </c>
      <c r="K312">
        <v>0</v>
      </c>
      <c r="L312">
        <v>0</v>
      </c>
      <c r="M312">
        <v>0.12</v>
      </c>
      <c r="N312" s="7" t="e">
        <f>VLOOKUP(F312,HC!A$6:D$100,3,FALSE)</f>
        <v>#N/A</v>
      </c>
      <c r="O312" s="7" t="str">
        <f>VLOOKUP(F312,HC!A$6:D$1000,2,FALSE)</f>
        <v>taldaher</v>
      </c>
      <c r="P312" s="7" t="s">
        <v>664</v>
      </c>
      <c r="Q312" s="7"/>
      <c r="R312" t="s">
        <v>25</v>
      </c>
      <c r="U312">
        <f t="shared" si="6"/>
        <v>18</v>
      </c>
    </row>
    <row r="313" spans="1:21" ht="37.5" customHeight="1" x14ac:dyDescent="0.25">
      <c r="A313" s="1">
        <v>44945</v>
      </c>
      <c r="B313" s="13">
        <v>3</v>
      </c>
      <c r="C313" t="s">
        <v>3</v>
      </c>
      <c r="D313" t="s">
        <v>4</v>
      </c>
      <c r="E313" t="s">
        <v>5</v>
      </c>
      <c r="F313" s="6">
        <v>112980862</v>
      </c>
      <c r="G313" t="s">
        <v>43</v>
      </c>
      <c r="H313" t="s">
        <v>14</v>
      </c>
      <c r="I313">
        <v>0</v>
      </c>
      <c r="J313">
        <v>0</v>
      </c>
      <c r="K313">
        <v>0</v>
      </c>
      <c r="L313">
        <v>0</v>
      </c>
      <c r="M313">
        <v>0.7</v>
      </c>
      <c r="N313" s="7" t="e">
        <f>VLOOKUP(F313,HC!A$6:D$100,3,FALSE)</f>
        <v>#N/A</v>
      </c>
      <c r="O313" s="7" t="e">
        <f>VLOOKUP(F313,HC!A$6:D$1000,2,FALSE)</f>
        <v>#N/A</v>
      </c>
      <c r="P313" s="7" t="s">
        <v>661</v>
      </c>
      <c r="Q313" s="7" t="s">
        <v>681</v>
      </c>
      <c r="R313" t="s">
        <v>10</v>
      </c>
      <c r="U313">
        <f t="shared" si="6"/>
        <v>1395</v>
      </c>
    </row>
    <row r="314" spans="1:21" ht="37.5" customHeight="1" x14ac:dyDescent="0.25">
      <c r="A314" s="1">
        <v>44945</v>
      </c>
      <c r="B314" s="13">
        <v>3</v>
      </c>
      <c r="C314" t="s">
        <v>3</v>
      </c>
      <c r="D314" t="s">
        <v>4</v>
      </c>
      <c r="E314" t="s">
        <v>21</v>
      </c>
      <c r="F314" s="6">
        <v>200585084</v>
      </c>
      <c r="G314" t="s">
        <v>493</v>
      </c>
      <c r="H314" t="s">
        <v>24</v>
      </c>
      <c r="I314">
        <v>0</v>
      </c>
      <c r="J314">
        <v>0</v>
      </c>
      <c r="K314">
        <v>0</v>
      </c>
      <c r="L314">
        <v>0</v>
      </c>
      <c r="M314">
        <v>0.68</v>
      </c>
      <c r="N314" s="7" t="e">
        <f>VLOOKUP(F314,HC!A$6:D$100,3,FALSE)</f>
        <v>#N/A</v>
      </c>
      <c r="O314" s="7" t="str">
        <f>VLOOKUP(F314,HC!A$6:D$1000,2,FALSE)</f>
        <v>tessajvi</v>
      </c>
      <c r="P314" t="s">
        <v>665</v>
      </c>
      <c r="Q314" s="7" t="s">
        <v>722</v>
      </c>
      <c r="R314" t="s">
        <v>499</v>
      </c>
      <c r="U314">
        <f t="shared" si="6"/>
        <v>9</v>
      </c>
    </row>
    <row r="315" spans="1:21" ht="37.5" customHeight="1" x14ac:dyDescent="0.25">
      <c r="A315" s="1">
        <v>44945</v>
      </c>
      <c r="B315" s="13">
        <v>3</v>
      </c>
      <c r="C315" t="s">
        <v>3</v>
      </c>
      <c r="D315" t="s">
        <v>4</v>
      </c>
      <c r="E315" t="s">
        <v>5</v>
      </c>
      <c r="F315" s="6">
        <v>112912397</v>
      </c>
      <c r="G315" t="s">
        <v>489</v>
      </c>
      <c r="H315" t="s">
        <v>332</v>
      </c>
      <c r="I315">
        <v>0</v>
      </c>
      <c r="J315">
        <v>0</v>
      </c>
      <c r="K315">
        <v>0</v>
      </c>
      <c r="L315">
        <v>0</v>
      </c>
      <c r="M315">
        <v>0.13</v>
      </c>
      <c r="N315" s="7" t="str">
        <f>VLOOKUP(F315,HC!A$6:D$100,3,FALSE)</f>
        <v>D5-X0700</v>
      </c>
      <c r="O315" s="7" t="str">
        <f>VLOOKUP(F315,HC!A$6:D$1000,2,FALSE)</f>
        <v>tjuandne</v>
      </c>
      <c r="P315" s="7"/>
      <c r="Q315" s="7"/>
      <c r="R315" t="s">
        <v>495</v>
      </c>
      <c r="U315">
        <f t="shared" si="6"/>
        <v>5</v>
      </c>
    </row>
    <row r="316" spans="1:21" ht="37.5" customHeight="1" x14ac:dyDescent="0.25">
      <c r="A316" s="1">
        <v>44945</v>
      </c>
      <c r="B316" s="13">
        <v>3</v>
      </c>
      <c r="C316" t="s">
        <v>3</v>
      </c>
      <c r="D316" t="s">
        <v>4</v>
      </c>
      <c r="E316" t="s">
        <v>5</v>
      </c>
      <c r="F316" s="6">
        <v>112980835</v>
      </c>
      <c r="G316" t="s">
        <v>357</v>
      </c>
      <c r="H316" t="s">
        <v>317</v>
      </c>
      <c r="I316">
        <v>0</v>
      </c>
      <c r="J316">
        <v>0</v>
      </c>
      <c r="K316">
        <v>0</v>
      </c>
      <c r="L316">
        <v>0</v>
      </c>
      <c r="M316">
        <v>0.28000000000000003</v>
      </c>
      <c r="N316" s="7" t="e">
        <f>VLOOKUP(F316,HC!A$6:D$100,3,FALSE)</f>
        <v>#N/A</v>
      </c>
      <c r="O316" s="7" t="e">
        <f>VLOOKUP(F316,HC!A$6:D$1000,2,FALSE)</f>
        <v>#N/A</v>
      </c>
      <c r="P316" s="7" t="s">
        <v>664</v>
      </c>
      <c r="Q316" s="7"/>
      <c r="R316" t="s">
        <v>354</v>
      </c>
      <c r="U316">
        <f t="shared" si="6"/>
        <v>1395</v>
      </c>
    </row>
    <row r="317" spans="1:21" ht="37.5" customHeight="1" x14ac:dyDescent="0.25">
      <c r="A317" s="1">
        <v>44945</v>
      </c>
      <c r="B317" s="13">
        <v>3</v>
      </c>
      <c r="C317" t="s">
        <v>3</v>
      </c>
      <c r="D317" t="s">
        <v>4</v>
      </c>
      <c r="E317" t="s">
        <v>5</v>
      </c>
      <c r="F317" s="6">
        <v>200404250</v>
      </c>
      <c r="G317" t="s">
        <v>51</v>
      </c>
      <c r="H317" t="s">
        <v>14</v>
      </c>
      <c r="I317">
        <v>0</v>
      </c>
      <c r="J317">
        <v>0</v>
      </c>
      <c r="K317">
        <v>0</v>
      </c>
      <c r="L317">
        <v>0</v>
      </c>
      <c r="M317">
        <v>1.02</v>
      </c>
      <c r="N317" s="7" t="e">
        <f>VLOOKUP(F317,HC!A$6:D$100,3,FALSE)</f>
        <v>#N/A</v>
      </c>
      <c r="O317" s="7" t="str">
        <f>VLOOKUP(F317,HC!A$6:D$1000,2,FALSE)</f>
        <v>xcathurt</v>
      </c>
      <c r="P317" s="7" t="s">
        <v>662</v>
      </c>
      <c r="Q317" s="7" t="s">
        <v>785</v>
      </c>
      <c r="R317" t="s">
        <v>235</v>
      </c>
      <c r="U317">
        <f t="shared" si="6"/>
        <v>124</v>
      </c>
    </row>
    <row r="318" spans="1:21" ht="37.5" customHeight="1" x14ac:dyDescent="0.25">
      <c r="A318" s="1">
        <v>44945</v>
      </c>
      <c r="B318" s="13">
        <v>3</v>
      </c>
      <c r="C318" t="s">
        <v>3</v>
      </c>
      <c r="D318" t="s">
        <v>4</v>
      </c>
      <c r="E318" t="s">
        <v>5</v>
      </c>
      <c r="F318" s="6">
        <v>112912049</v>
      </c>
      <c r="G318" t="s">
        <v>488</v>
      </c>
      <c r="H318" t="s">
        <v>282</v>
      </c>
      <c r="I318">
        <v>0</v>
      </c>
      <c r="J318">
        <v>0</v>
      </c>
      <c r="K318">
        <v>0</v>
      </c>
      <c r="L318">
        <v>0</v>
      </c>
      <c r="M318">
        <v>0.75</v>
      </c>
      <c r="N318" s="7" t="str">
        <f>VLOOKUP(F318,HC!A$6:D$100,3,FALSE)</f>
        <v>NF-X1900</v>
      </c>
      <c r="O318" s="7" t="str">
        <f>VLOOKUP(F318,HC!A$6:D$1000,2,FALSE)</f>
        <v>zchvazqu</v>
      </c>
      <c r="P318" s="7" t="s">
        <v>664</v>
      </c>
      <c r="Q318" s="7"/>
      <c r="R318" t="s">
        <v>25</v>
      </c>
      <c r="U318">
        <f t="shared" si="6"/>
        <v>11</v>
      </c>
    </row>
    <row r="319" spans="1:21" ht="37.5" customHeight="1" x14ac:dyDescent="0.25">
      <c r="A319" s="1">
        <v>44946</v>
      </c>
      <c r="B319" s="13">
        <v>3</v>
      </c>
      <c r="C319" t="s">
        <v>3</v>
      </c>
      <c r="D319" t="s">
        <v>4</v>
      </c>
      <c r="E319" t="s">
        <v>21</v>
      </c>
      <c r="F319" s="6">
        <v>200614224</v>
      </c>
      <c r="G319" t="s">
        <v>322</v>
      </c>
      <c r="H319" t="s">
        <v>285</v>
      </c>
      <c r="I319">
        <v>0</v>
      </c>
      <c r="J319">
        <v>0</v>
      </c>
      <c r="K319">
        <v>0</v>
      </c>
      <c r="L319">
        <v>0</v>
      </c>
      <c r="M319">
        <v>1.03</v>
      </c>
      <c r="N319" s="7" t="e">
        <f>VLOOKUP(F319,HC!A$6:D$100,3,FALSE)</f>
        <v>#N/A</v>
      </c>
      <c r="O319" s="7" t="e">
        <f>VLOOKUP(F319,HC!A$6:D$1000,2,FALSE)</f>
        <v>#N/A</v>
      </c>
      <c r="P319" s="7" t="s">
        <v>661</v>
      </c>
      <c r="Q319" s="7" t="s">
        <v>681</v>
      </c>
      <c r="R319" t="s">
        <v>10</v>
      </c>
      <c r="S319" s="2" t="s">
        <v>507</v>
      </c>
      <c r="U319">
        <f t="shared" si="6"/>
        <v>1395</v>
      </c>
    </row>
    <row r="320" spans="1:21" ht="37.5" customHeight="1" x14ac:dyDescent="0.25">
      <c r="A320" s="1">
        <v>44946</v>
      </c>
      <c r="B320" s="13">
        <v>3</v>
      </c>
      <c r="C320" t="s">
        <v>3</v>
      </c>
      <c r="D320" t="s">
        <v>4</v>
      </c>
      <c r="E320" t="s">
        <v>21</v>
      </c>
      <c r="F320" s="6">
        <v>200508371</v>
      </c>
      <c r="G320" t="s">
        <v>339</v>
      </c>
      <c r="H320" t="s">
        <v>298</v>
      </c>
      <c r="I320">
        <v>0</v>
      </c>
      <c r="J320">
        <v>0</v>
      </c>
      <c r="K320">
        <v>0</v>
      </c>
      <c r="L320">
        <v>0</v>
      </c>
      <c r="M320">
        <v>1.52</v>
      </c>
      <c r="N320" s="7" t="e">
        <f>VLOOKUP(F320,HC!A$6:D$100,3,FALSE)</f>
        <v>#N/A</v>
      </c>
      <c r="O320" s="7" t="e">
        <f>VLOOKUP(F320,HC!A$6:D$1000,2,FALSE)</f>
        <v>#N/A</v>
      </c>
      <c r="P320" s="7" t="s">
        <v>664</v>
      </c>
      <c r="Q320" s="7"/>
      <c r="R320" s="2" t="s">
        <v>505</v>
      </c>
      <c r="U320">
        <f t="shared" si="6"/>
        <v>1395</v>
      </c>
    </row>
    <row r="321" spans="1:21" ht="37.5" customHeight="1" x14ac:dyDescent="0.25">
      <c r="A321" s="1">
        <v>44946</v>
      </c>
      <c r="B321" s="13">
        <v>3</v>
      </c>
      <c r="C321" t="s">
        <v>3</v>
      </c>
      <c r="D321" t="s">
        <v>4</v>
      </c>
      <c r="E321" t="s">
        <v>5</v>
      </c>
      <c r="F321" s="6">
        <v>113003971</v>
      </c>
      <c r="G321" t="s">
        <v>284</v>
      </c>
      <c r="H321" t="s">
        <v>49</v>
      </c>
      <c r="I321">
        <v>0</v>
      </c>
      <c r="J321">
        <v>0</v>
      </c>
      <c r="K321">
        <v>0</v>
      </c>
      <c r="L321">
        <v>0</v>
      </c>
      <c r="M321">
        <v>0.11</v>
      </c>
      <c r="N321" s="7" t="e">
        <f>VLOOKUP(F321,HC!A$6:D$100,3,FALSE)</f>
        <v>#N/A</v>
      </c>
      <c r="O321" s="7" t="str">
        <f>VLOOKUP(F321,HC!A$6:D$1000,2,FALSE)</f>
        <v>garamird</v>
      </c>
      <c r="P321" s="7" t="s">
        <v>664</v>
      </c>
      <c r="Q321" s="7"/>
      <c r="R321" t="s">
        <v>503</v>
      </c>
      <c r="U321">
        <f t="shared" si="6"/>
        <v>14</v>
      </c>
    </row>
    <row r="322" spans="1:21" ht="37.5" customHeight="1" x14ac:dyDescent="0.25">
      <c r="A322" s="1">
        <v>44946</v>
      </c>
      <c r="B322" s="13">
        <v>3</v>
      </c>
      <c r="C322" t="s">
        <v>3</v>
      </c>
      <c r="D322" t="s">
        <v>4</v>
      </c>
      <c r="E322" t="s">
        <v>5</v>
      </c>
      <c r="F322" s="6">
        <v>113040583</v>
      </c>
      <c r="G322" t="s">
        <v>387</v>
      </c>
      <c r="H322" t="s">
        <v>268</v>
      </c>
      <c r="I322">
        <v>0</v>
      </c>
      <c r="J322">
        <v>0</v>
      </c>
      <c r="K322">
        <v>0</v>
      </c>
      <c r="L322">
        <v>0</v>
      </c>
      <c r="M322">
        <v>2.21</v>
      </c>
      <c r="N322" s="7" t="e">
        <f>VLOOKUP(F322,HC!A$6:D$100,3,FALSE)</f>
        <v>#N/A</v>
      </c>
      <c r="O322" s="7" t="e">
        <f>VLOOKUP(F322,HC!A$6:D$1000,2,FALSE)</f>
        <v>#N/A</v>
      </c>
      <c r="P322" s="7" t="s">
        <v>664</v>
      </c>
      <c r="Q322" s="7"/>
      <c r="R322" t="s">
        <v>410</v>
      </c>
      <c r="U322">
        <f t="shared" si="6"/>
        <v>1395</v>
      </c>
    </row>
    <row r="323" spans="1:21" ht="37.5" customHeight="1" x14ac:dyDescent="0.25">
      <c r="A323" s="1">
        <v>44946</v>
      </c>
      <c r="B323" s="13">
        <v>3</v>
      </c>
      <c r="C323" t="s">
        <v>3</v>
      </c>
      <c r="D323" t="s">
        <v>4</v>
      </c>
      <c r="E323" t="s">
        <v>5</v>
      </c>
      <c r="F323" s="6">
        <v>112980846</v>
      </c>
      <c r="G323" t="s">
        <v>436</v>
      </c>
      <c r="H323" t="s">
        <v>44</v>
      </c>
      <c r="I323">
        <v>0</v>
      </c>
      <c r="J323">
        <v>0</v>
      </c>
      <c r="K323">
        <v>0</v>
      </c>
      <c r="L323">
        <v>0</v>
      </c>
      <c r="M323">
        <v>0.5</v>
      </c>
      <c r="N323" s="7" t="e">
        <f>VLOOKUP(F323,HC!A$6:D$100,3,FALSE)</f>
        <v>#N/A</v>
      </c>
      <c r="O323" s="7" t="e">
        <f>VLOOKUP(F323,HC!A$6:D$1000,2,FALSE)</f>
        <v>#N/A</v>
      </c>
      <c r="P323" s="7" t="s">
        <v>664</v>
      </c>
      <c r="Q323" s="7"/>
      <c r="R323" t="s">
        <v>320</v>
      </c>
      <c r="U323">
        <f t="shared" ref="U323:U386" si="7">COUNTIF(O$2:O$4999,O323)</f>
        <v>1395</v>
      </c>
    </row>
    <row r="324" spans="1:21" ht="37.5" customHeight="1" x14ac:dyDescent="0.25">
      <c r="A324" s="1">
        <v>44946</v>
      </c>
      <c r="B324" s="13">
        <v>3</v>
      </c>
      <c r="C324" t="s">
        <v>3</v>
      </c>
      <c r="D324" t="s">
        <v>4</v>
      </c>
      <c r="E324" t="s">
        <v>5</v>
      </c>
      <c r="F324" s="6">
        <v>113020463</v>
      </c>
      <c r="G324" t="s">
        <v>321</v>
      </c>
      <c r="H324" t="s">
        <v>17</v>
      </c>
      <c r="I324">
        <v>0</v>
      </c>
      <c r="J324">
        <v>0</v>
      </c>
      <c r="K324">
        <v>0</v>
      </c>
      <c r="L324">
        <v>0</v>
      </c>
      <c r="M324">
        <v>0.39</v>
      </c>
      <c r="N324" s="7" t="e">
        <f>VLOOKUP(F324,HC!A$6:D$100,3,FALSE)</f>
        <v>#N/A</v>
      </c>
      <c r="O324" s="7" t="str">
        <f>VLOOKUP(F324,HC!A$6:D$1000,2,FALSE)</f>
        <v>myriamav</v>
      </c>
      <c r="P324" s="7" t="s">
        <v>663</v>
      </c>
      <c r="Q324" s="7" t="s">
        <v>692</v>
      </c>
      <c r="R324" t="s">
        <v>504</v>
      </c>
      <c r="U324">
        <f t="shared" si="7"/>
        <v>24</v>
      </c>
    </row>
    <row r="325" spans="1:21" ht="37.5" customHeight="1" x14ac:dyDescent="0.25">
      <c r="A325" s="1">
        <v>44946</v>
      </c>
      <c r="B325" s="13">
        <v>3</v>
      </c>
      <c r="C325" t="s">
        <v>3</v>
      </c>
      <c r="D325" t="s">
        <v>4</v>
      </c>
      <c r="E325" t="s">
        <v>5</v>
      </c>
      <c r="F325" s="6">
        <v>113020476</v>
      </c>
      <c r="G325" t="s">
        <v>330</v>
      </c>
      <c r="H325" t="s">
        <v>298</v>
      </c>
      <c r="I325">
        <v>0</v>
      </c>
      <c r="J325">
        <v>0</v>
      </c>
      <c r="K325">
        <v>0</v>
      </c>
      <c r="L325">
        <v>0</v>
      </c>
      <c r="M325">
        <v>0</v>
      </c>
      <c r="N325" s="7" t="e">
        <f>VLOOKUP(F325,HC!A$6:D$100,3,FALSE)</f>
        <v>#N/A</v>
      </c>
      <c r="O325" s="7" t="str">
        <f>VLOOKUP(F325,HC!A$6:D$1000,2,FALSE)</f>
        <v>polettpu</v>
      </c>
      <c r="P325" s="7" t="s">
        <v>661</v>
      </c>
      <c r="Q325" s="7" t="s">
        <v>681</v>
      </c>
      <c r="R325" t="s">
        <v>10</v>
      </c>
      <c r="U325">
        <f t="shared" si="7"/>
        <v>55</v>
      </c>
    </row>
    <row r="326" spans="1:21" ht="37.5" customHeight="1" x14ac:dyDescent="0.25">
      <c r="A326" s="1">
        <v>44946</v>
      </c>
      <c r="B326" s="13">
        <v>3</v>
      </c>
      <c r="C326" t="s">
        <v>3</v>
      </c>
      <c r="D326" t="s">
        <v>4</v>
      </c>
      <c r="E326" t="s">
        <v>21</v>
      </c>
      <c r="F326" s="6">
        <v>200554743</v>
      </c>
      <c r="G326" t="s">
        <v>340</v>
      </c>
      <c r="H326" t="s">
        <v>298</v>
      </c>
      <c r="I326">
        <v>0</v>
      </c>
      <c r="J326">
        <v>0</v>
      </c>
      <c r="K326">
        <v>0</v>
      </c>
      <c r="L326">
        <v>0</v>
      </c>
      <c r="M326">
        <v>1.84</v>
      </c>
      <c r="N326" s="7" t="e">
        <f>VLOOKUP(F326,HC!A$6:D$100,3,FALSE)</f>
        <v>#N/A</v>
      </c>
      <c r="O326" s="7" t="e">
        <f>VLOOKUP(F326,HC!A$6:D$1000,2,FALSE)</f>
        <v>#N/A</v>
      </c>
      <c r="P326" s="7" t="s">
        <v>664</v>
      </c>
      <c r="Q326" s="7"/>
      <c r="R326" t="s">
        <v>506</v>
      </c>
      <c r="U326">
        <f t="shared" si="7"/>
        <v>1395</v>
      </c>
    </row>
    <row r="327" spans="1:21" ht="37.5" customHeight="1" x14ac:dyDescent="0.25">
      <c r="A327" s="1">
        <v>44946</v>
      </c>
      <c r="B327" s="13">
        <v>3</v>
      </c>
      <c r="C327" t="s">
        <v>3</v>
      </c>
      <c r="D327" t="s">
        <v>4</v>
      </c>
      <c r="E327" t="s">
        <v>5</v>
      </c>
      <c r="F327" s="6">
        <v>112920654</v>
      </c>
      <c r="G327" t="s">
        <v>500</v>
      </c>
      <c r="H327" t="s">
        <v>263</v>
      </c>
      <c r="I327">
        <v>0</v>
      </c>
      <c r="J327">
        <v>0</v>
      </c>
      <c r="K327">
        <v>0</v>
      </c>
      <c r="L327">
        <v>0</v>
      </c>
      <c r="M327">
        <v>0.18</v>
      </c>
      <c r="N327" s="7" t="str">
        <f>VLOOKUP(F327,HC!A$6:D$100,3,FALSE)</f>
        <v>DB-X0700</v>
      </c>
      <c r="O327" s="7" t="str">
        <f>VLOOKUP(F327,HC!A$6:D$1000,2,FALSE)</f>
        <v>qhojulie</v>
      </c>
      <c r="P327" s="7" t="s">
        <v>664</v>
      </c>
      <c r="Q327" s="7"/>
      <c r="R327" t="s">
        <v>405</v>
      </c>
      <c r="U327">
        <f t="shared" si="7"/>
        <v>16</v>
      </c>
    </row>
    <row r="328" spans="1:21" ht="37.5" customHeight="1" x14ac:dyDescent="0.25">
      <c r="A328" s="1">
        <v>44946</v>
      </c>
      <c r="B328" s="13">
        <v>3</v>
      </c>
      <c r="C328" t="s">
        <v>3</v>
      </c>
      <c r="D328" t="s">
        <v>4</v>
      </c>
      <c r="E328" t="s">
        <v>5</v>
      </c>
      <c r="F328" s="6">
        <v>113014042</v>
      </c>
      <c r="G328" t="s">
        <v>329</v>
      </c>
      <c r="H328" t="s">
        <v>268</v>
      </c>
      <c r="I328">
        <v>0</v>
      </c>
      <c r="J328">
        <v>0</v>
      </c>
      <c r="K328">
        <v>0</v>
      </c>
      <c r="L328">
        <v>0</v>
      </c>
      <c r="M328">
        <v>0.63</v>
      </c>
      <c r="N328" s="7" t="e">
        <f>VLOOKUP(F328,HC!A$6:D$100,3,FALSE)</f>
        <v>#N/A</v>
      </c>
      <c r="O328" s="7" t="str">
        <f>VLOOKUP(F328,HC!A$6:D$1000,2,FALSE)</f>
        <v>rfcervan</v>
      </c>
      <c r="P328" s="7" t="s">
        <v>664</v>
      </c>
      <c r="Q328" s="7" t="s">
        <v>711</v>
      </c>
      <c r="R328" t="s">
        <v>419</v>
      </c>
      <c r="U328">
        <f t="shared" si="7"/>
        <v>23</v>
      </c>
    </row>
    <row r="329" spans="1:21" ht="37.5" customHeight="1" x14ac:dyDescent="0.25">
      <c r="A329" s="1">
        <v>44946</v>
      </c>
      <c r="B329" s="13">
        <v>3</v>
      </c>
      <c r="C329" t="s">
        <v>3</v>
      </c>
      <c r="D329" t="s">
        <v>4</v>
      </c>
      <c r="E329" t="s">
        <v>5</v>
      </c>
      <c r="F329" s="6">
        <v>200463510</v>
      </c>
      <c r="G329" t="s">
        <v>502</v>
      </c>
      <c r="H329" t="s">
        <v>298</v>
      </c>
      <c r="I329">
        <v>0</v>
      </c>
      <c r="J329">
        <v>0</v>
      </c>
      <c r="K329">
        <v>0</v>
      </c>
      <c r="L329">
        <v>0</v>
      </c>
      <c r="M329">
        <v>0.12</v>
      </c>
      <c r="N329" s="7" t="e">
        <f>VLOOKUP(F329,HC!A$6:D$100,3,FALSE)</f>
        <v>#N/A</v>
      </c>
      <c r="O329" s="7" t="str">
        <f>VLOOKUP(F329,HC!A$6:D$1000,2,FALSE)</f>
        <v>rodrmacj</v>
      </c>
      <c r="P329" s="7" t="s">
        <v>664</v>
      </c>
      <c r="Q329" s="7"/>
      <c r="R329" t="s">
        <v>25</v>
      </c>
      <c r="U329">
        <f t="shared" si="7"/>
        <v>4</v>
      </c>
    </row>
    <row r="330" spans="1:21" ht="37.5" customHeight="1" x14ac:dyDescent="0.25">
      <c r="A330" s="1">
        <v>44946</v>
      </c>
      <c r="B330" s="13">
        <v>3</v>
      </c>
      <c r="C330" t="s">
        <v>3</v>
      </c>
      <c r="D330" t="s">
        <v>4</v>
      </c>
      <c r="E330" t="s">
        <v>21</v>
      </c>
      <c r="F330" s="6">
        <v>200552734</v>
      </c>
      <c r="H330" t="s">
        <v>298</v>
      </c>
      <c r="I330">
        <v>0</v>
      </c>
      <c r="J330">
        <v>0</v>
      </c>
      <c r="K330">
        <v>0</v>
      </c>
      <c r="L330">
        <v>0</v>
      </c>
      <c r="M330">
        <v>1.37</v>
      </c>
      <c r="N330" s="7" t="e">
        <f>VLOOKUP(F330,HC!A$6:D$100,3,FALSE)</f>
        <v>#N/A</v>
      </c>
      <c r="O330" s="7" t="e">
        <f>VLOOKUP(F330,HC!A$6:D$1000,2,FALSE)</f>
        <v>#N/A</v>
      </c>
      <c r="P330" s="7" t="s">
        <v>664</v>
      </c>
      <c r="Q330" s="7"/>
      <c r="R330" t="s">
        <v>405</v>
      </c>
      <c r="U330">
        <f t="shared" si="7"/>
        <v>1395</v>
      </c>
    </row>
    <row r="331" spans="1:21" ht="37.5" customHeight="1" x14ac:dyDescent="0.25">
      <c r="A331" s="1">
        <v>44946</v>
      </c>
      <c r="B331" s="13">
        <v>3</v>
      </c>
      <c r="C331" t="s">
        <v>3</v>
      </c>
      <c r="D331" t="s">
        <v>4</v>
      </c>
      <c r="E331" t="s">
        <v>5</v>
      </c>
      <c r="F331" s="6">
        <v>113003627</v>
      </c>
      <c r="G331" t="s">
        <v>501</v>
      </c>
      <c r="H331" t="s">
        <v>317</v>
      </c>
      <c r="I331">
        <v>0</v>
      </c>
      <c r="J331">
        <v>0</v>
      </c>
      <c r="K331">
        <v>0</v>
      </c>
      <c r="L331">
        <v>0</v>
      </c>
      <c r="M331">
        <v>0.24</v>
      </c>
      <c r="N331" s="7" t="e">
        <f>VLOOKUP(F331,HC!A$6:D$100,3,FALSE)</f>
        <v>#N/A</v>
      </c>
      <c r="O331" s="7" t="e">
        <f>VLOOKUP(F331,HC!A$6:D$1000,2,FALSE)</f>
        <v>#N/A</v>
      </c>
      <c r="P331" s="7"/>
      <c r="Q331" s="7"/>
      <c r="R331" t="s">
        <v>590</v>
      </c>
      <c r="U331">
        <f t="shared" si="7"/>
        <v>1395</v>
      </c>
    </row>
    <row r="332" spans="1:21" ht="37.5" customHeight="1" x14ac:dyDescent="0.25">
      <c r="A332" s="1">
        <v>44947</v>
      </c>
      <c r="B332" s="13">
        <v>3</v>
      </c>
      <c r="C332" t="s">
        <v>3</v>
      </c>
      <c r="D332" t="s">
        <v>4</v>
      </c>
      <c r="E332" t="s">
        <v>21</v>
      </c>
      <c r="F332" s="6">
        <v>200615883</v>
      </c>
      <c r="G332" t="s">
        <v>508</v>
      </c>
      <c r="H332" t="s">
        <v>285</v>
      </c>
      <c r="I332">
        <v>0</v>
      </c>
      <c r="J332">
        <v>0</v>
      </c>
      <c r="K332">
        <v>0</v>
      </c>
      <c r="L332">
        <v>0</v>
      </c>
      <c r="M332">
        <v>0.45</v>
      </c>
      <c r="N332" s="7" t="e">
        <f>VLOOKUP(F332,HC!A$6:D$100,3,FALSE)</f>
        <v>#N/A</v>
      </c>
      <c r="O332" s="7" t="e">
        <f>VLOOKUP(F332,HC!A$6:D$1000,2,FALSE)</f>
        <v>#N/A</v>
      </c>
      <c r="P332" s="7" t="s">
        <v>664</v>
      </c>
      <c r="Q332" s="7"/>
      <c r="R332" t="s">
        <v>591</v>
      </c>
      <c r="S332" s="2" t="s">
        <v>516</v>
      </c>
      <c r="U332">
        <f t="shared" si="7"/>
        <v>1395</v>
      </c>
    </row>
    <row r="333" spans="1:21" ht="37.5" customHeight="1" x14ac:dyDescent="0.25">
      <c r="A333" s="1">
        <v>44947</v>
      </c>
      <c r="B333" s="13">
        <v>3</v>
      </c>
      <c r="C333" t="s">
        <v>3</v>
      </c>
      <c r="D333" t="s">
        <v>4</v>
      </c>
      <c r="E333" t="s">
        <v>5</v>
      </c>
      <c r="F333" s="6">
        <v>112971953</v>
      </c>
      <c r="G333" t="s">
        <v>262</v>
      </c>
      <c r="H333" t="s">
        <v>263</v>
      </c>
      <c r="I333">
        <v>0</v>
      </c>
      <c r="J333">
        <v>0</v>
      </c>
      <c r="K333">
        <v>0</v>
      </c>
      <c r="L333">
        <v>0</v>
      </c>
      <c r="M333">
        <v>0.91</v>
      </c>
      <c r="N333" s="7" t="str">
        <f>VLOOKUP(F333,HC!A$6:D$100,3,FALSE)</f>
        <v>DB-X0700</v>
      </c>
      <c r="O333" s="7" t="str">
        <f>VLOOKUP(F333,HC!A$6:D$1000,2,FALSE)</f>
        <v>anzpalom</v>
      </c>
      <c r="P333" s="7" t="s">
        <v>666</v>
      </c>
      <c r="Q333" s="7" t="s">
        <v>768</v>
      </c>
      <c r="R333" t="s">
        <v>293</v>
      </c>
      <c r="U333">
        <f t="shared" si="7"/>
        <v>14</v>
      </c>
    </row>
    <row r="334" spans="1:21" ht="37.5" customHeight="1" x14ac:dyDescent="0.25">
      <c r="A334" s="1">
        <v>44947</v>
      </c>
      <c r="B334" s="13">
        <v>3</v>
      </c>
      <c r="C334" t="s">
        <v>3</v>
      </c>
      <c r="D334" t="s">
        <v>4</v>
      </c>
      <c r="E334" t="s">
        <v>21</v>
      </c>
      <c r="F334" s="6">
        <v>200614224</v>
      </c>
      <c r="G334" t="s">
        <v>322</v>
      </c>
      <c r="H334" t="s">
        <v>285</v>
      </c>
      <c r="I334">
        <v>0</v>
      </c>
      <c r="J334">
        <v>0</v>
      </c>
      <c r="K334">
        <v>0</v>
      </c>
      <c r="L334">
        <v>0</v>
      </c>
      <c r="M334">
        <v>0.21</v>
      </c>
      <c r="N334" s="7" t="e">
        <f>VLOOKUP(F334,HC!A$6:D$100,3,FALSE)</f>
        <v>#N/A</v>
      </c>
      <c r="O334" s="7" t="e">
        <f>VLOOKUP(F334,HC!A$6:D$1000,2,FALSE)</f>
        <v>#N/A</v>
      </c>
      <c r="P334" s="7"/>
      <c r="Q334" s="7"/>
      <c r="R334" t="s">
        <v>404</v>
      </c>
      <c r="U334">
        <f t="shared" si="7"/>
        <v>1395</v>
      </c>
    </row>
    <row r="335" spans="1:21" ht="37.5" customHeight="1" x14ac:dyDescent="0.25">
      <c r="A335" s="1">
        <v>44947</v>
      </c>
      <c r="B335" s="13">
        <v>3</v>
      </c>
      <c r="C335" t="s">
        <v>3</v>
      </c>
      <c r="D335" t="s">
        <v>4</v>
      </c>
      <c r="E335" t="s">
        <v>5</v>
      </c>
      <c r="F335" s="6">
        <v>113019083</v>
      </c>
      <c r="G335" t="s">
        <v>442</v>
      </c>
      <c r="H335" t="s">
        <v>285</v>
      </c>
      <c r="I335">
        <v>0</v>
      </c>
      <c r="J335">
        <v>0</v>
      </c>
      <c r="K335">
        <v>0</v>
      </c>
      <c r="L335">
        <v>0</v>
      </c>
      <c r="M335">
        <v>0.17</v>
      </c>
      <c r="N335" s="7" t="e">
        <f>VLOOKUP(F335,HC!A$6:D$100,3,FALSE)</f>
        <v>#N/A</v>
      </c>
      <c r="O335" s="7" t="e">
        <f>VLOOKUP(F335,HC!A$6:D$1000,2,FALSE)</f>
        <v>#N/A</v>
      </c>
      <c r="P335" s="7" t="s">
        <v>664</v>
      </c>
      <c r="Q335" s="7"/>
      <c r="R335" t="s">
        <v>25</v>
      </c>
      <c r="U335">
        <f t="shared" si="7"/>
        <v>1395</v>
      </c>
    </row>
    <row r="336" spans="1:21" ht="37.5" customHeight="1" x14ac:dyDescent="0.25">
      <c r="A336" s="1">
        <v>44947</v>
      </c>
      <c r="B336" s="13">
        <v>3</v>
      </c>
      <c r="C336" t="s">
        <v>3</v>
      </c>
      <c r="D336" t="s">
        <v>4</v>
      </c>
      <c r="E336" t="s">
        <v>5</v>
      </c>
      <c r="F336" s="6">
        <v>112971962</v>
      </c>
      <c r="G336" t="s">
        <v>338</v>
      </c>
      <c r="H336" t="s">
        <v>317</v>
      </c>
      <c r="I336">
        <v>0</v>
      </c>
      <c r="J336">
        <v>0</v>
      </c>
      <c r="K336">
        <v>0</v>
      </c>
      <c r="L336">
        <v>0</v>
      </c>
      <c r="M336">
        <v>0.55000000000000004</v>
      </c>
      <c r="N336" s="7" t="str">
        <f>VLOOKUP(F336,HC!A$6:D$100,3,FALSE)</f>
        <v>DB-X0700</v>
      </c>
      <c r="O336" s="7" t="str">
        <f>VLOOKUP(F336,HC!A$6:D$1000,2,FALSE)</f>
        <v>creyesal</v>
      </c>
      <c r="P336" s="7" t="s">
        <v>675</v>
      </c>
      <c r="Q336" s="7"/>
      <c r="R336" t="s">
        <v>513</v>
      </c>
      <c r="U336">
        <f t="shared" si="7"/>
        <v>38</v>
      </c>
    </row>
    <row r="337" spans="1:21" ht="37.5" customHeight="1" x14ac:dyDescent="0.25">
      <c r="A337" s="1">
        <v>44947</v>
      </c>
      <c r="B337" s="13">
        <v>3</v>
      </c>
      <c r="C337" t="s">
        <v>3</v>
      </c>
      <c r="D337" t="s">
        <v>4</v>
      </c>
      <c r="E337" t="s">
        <v>5</v>
      </c>
      <c r="F337" s="6">
        <v>113040582</v>
      </c>
      <c r="G337" t="s">
        <v>512</v>
      </c>
      <c r="H337" t="s">
        <v>317</v>
      </c>
      <c r="I337">
        <v>0</v>
      </c>
      <c r="J337">
        <v>0</v>
      </c>
      <c r="K337">
        <v>0</v>
      </c>
      <c r="L337">
        <v>0</v>
      </c>
      <c r="M337">
        <v>0.28999999999999998</v>
      </c>
      <c r="N337" s="7" t="e">
        <f>VLOOKUP(F337,HC!A$6:D$100,3,FALSE)</f>
        <v>#N/A</v>
      </c>
      <c r="O337" s="7" t="str">
        <f>VLOOKUP(F337,HC!A$6:D$1000,2,FALSE)</f>
        <v>hgerardr</v>
      </c>
      <c r="P337" s="7"/>
      <c r="Q337" s="7"/>
      <c r="R337" t="s">
        <v>515</v>
      </c>
      <c r="U337">
        <f t="shared" si="7"/>
        <v>15</v>
      </c>
    </row>
    <row r="338" spans="1:21" ht="37.5" customHeight="1" x14ac:dyDescent="0.25">
      <c r="A338" s="1">
        <v>44947</v>
      </c>
      <c r="B338" s="13">
        <v>3</v>
      </c>
      <c r="C338" t="s">
        <v>3</v>
      </c>
      <c r="D338" t="s">
        <v>4</v>
      </c>
      <c r="E338" t="s">
        <v>21</v>
      </c>
      <c r="F338" s="6">
        <v>200589316</v>
      </c>
      <c r="G338" t="s">
        <v>53</v>
      </c>
      <c r="H338" t="s">
        <v>24</v>
      </c>
      <c r="I338">
        <v>0</v>
      </c>
      <c r="J338">
        <v>0</v>
      </c>
      <c r="K338">
        <v>0</v>
      </c>
      <c r="L338">
        <v>0</v>
      </c>
      <c r="M338">
        <v>0.27</v>
      </c>
      <c r="N338" s="7" t="e">
        <f>VLOOKUP(F338,HC!A$6:D$100,3,FALSE)</f>
        <v>#N/A</v>
      </c>
      <c r="O338" s="7" t="e">
        <f>VLOOKUP(F338,HC!A$6:D$1000,2,FALSE)</f>
        <v>#N/A</v>
      </c>
      <c r="P338" s="7" t="s">
        <v>661</v>
      </c>
      <c r="Q338" s="7" t="s">
        <v>681</v>
      </c>
      <c r="R338" t="s">
        <v>10</v>
      </c>
      <c r="U338">
        <f t="shared" si="7"/>
        <v>1395</v>
      </c>
    </row>
    <row r="339" spans="1:21" ht="37.5" customHeight="1" x14ac:dyDescent="0.25">
      <c r="A339" s="1">
        <v>44947</v>
      </c>
      <c r="B339" s="13">
        <v>3</v>
      </c>
      <c r="C339" t="s">
        <v>3</v>
      </c>
      <c r="D339" t="s">
        <v>4</v>
      </c>
      <c r="E339" t="s">
        <v>5</v>
      </c>
      <c r="F339" s="6">
        <v>112980812</v>
      </c>
      <c r="G339" t="s">
        <v>324</v>
      </c>
      <c r="H339" t="s">
        <v>285</v>
      </c>
      <c r="I339">
        <v>0</v>
      </c>
      <c r="J339">
        <v>0</v>
      </c>
      <c r="K339">
        <v>0</v>
      </c>
      <c r="L339">
        <v>0</v>
      </c>
      <c r="M339">
        <v>0.37</v>
      </c>
      <c r="N339" s="7" t="str">
        <f>VLOOKUP(F339,HC!A$6:D$100,3,FALSE)</f>
        <v>DA-X0700</v>
      </c>
      <c r="O339" s="7" t="str">
        <f>VLOOKUP(F339,HC!A$6:D$1000,2,FALSE)</f>
        <v>maryjacp</v>
      </c>
      <c r="P339" s="7" t="s">
        <v>666</v>
      </c>
      <c r="Q339" s="7" t="s">
        <v>774</v>
      </c>
      <c r="R339" t="s">
        <v>517</v>
      </c>
      <c r="U339">
        <f t="shared" si="7"/>
        <v>15</v>
      </c>
    </row>
    <row r="340" spans="1:21" ht="37.5" customHeight="1" x14ac:dyDescent="0.25">
      <c r="A340" s="1">
        <v>44947</v>
      </c>
      <c r="B340" s="13">
        <v>3</v>
      </c>
      <c r="C340" t="s">
        <v>3</v>
      </c>
      <c r="D340" t="s">
        <v>4</v>
      </c>
      <c r="E340" t="s">
        <v>5</v>
      </c>
      <c r="F340" s="6">
        <v>112980812</v>
      </c>
      <c r="G340" t="s">
        <v>324</v>
      </c>
      <c r="H340" t="s">
        <v>285</v>
      </c>
      <c r="I340">
        <v>0</v>
      </c>
      <c r="J340">
        <v>0</v>
      </c>
      <c r="K340">
        <v>0</v>
      </c>
      <c r="L340">
        <v>0</v>
      </c>
      <c r="M340">
        <v>0.76</v>
      </c>
      <c r="N340" s="7" t="str">
        <f>VLOOKUP(F340,HC!A$6:D$100,3,FALSE)</f>
        <v>DA-X0700</v>
      </c>
      <c r="O340" s="7" t="str">
        <f>VLOOKUP(F340,HC!A$6:D$1000,2,FALSE)</f>
        <v>maryjacp</v>
      </c>
      <c r="P340" s="7"/>
      <c r="Q340" s="7"/>
      <c r="R340" t="s">
        <v>514</v>
      </c>
      <c r="U340">
        <f t="shared" si="7"/>
        <v>15</v>
      </c>
    </row>
    <row r="341" spans="1:21" ht="37.5" customHeight="1" x14ac:dyDescent="0.25">
      <c r="A341" s="1">
        <v>44947</v>
      </c>
      <c r="B341" s="13">
        <v>3</v>
      </c>
      <c r="C341" t="s">
        <v>3</v>
      </c>
      <c r="D341" t="s">
        <v>4</v>
      </c>
      <c r="E341" t="s">
        <v>5</v>
      </c>
      <c r="F341" s="6">
        <v>113020463</v>
      </c>
      <c r="G341" t="s">
        <v>321</v>
      </c>
      <c r="H341" t="s">
        <v>17</v>
      </c>
      <c r="I341">
        <v>0</v>
      </c>
      <c r="J341">
        <v>0</v>
      </c>
      <c r="K341">
        <v>0</v>
      </c>
      <c r="L341">
        <v>0</v>
      </c>
      <c r="M341">
        <v>0.39</v>
      </c>
      <c r="N341" s="7" t="e">
        <f>VLOOKUP(F341,HC!A$6:D$100,3,FALSE)</f>
        <v>#N/A</v>
      </c>
      <c r="O341" s="7" t="str">
        <f>VLOOKUP(F341,HC!A$6:D$1000,2,FALSE)</f>
        <v>myriamav</v>
      </c>
      <c r="P341" s="7" t="s">
        <v>661</v>
      </c>
      <c r="Q341" s="7" t="s">
        <v>681</v>
      </c>
      <c r="R341" t="s">
        <v>234</v>
      </c>
      <c r="U341">
        <f t="shared" si="7"/>
        <v>24</v>
      </c>
    </row>
    <row r="342" spans="1:21" ht="37.5" customHeight="1" x14ac:dyDescent="0.25">
      <c r="A342" s="1">
        <v>44947</v>
      </c>
      <c r="B342" s="13">
        <v>3</v>
      </c>
      <c r="C342" t="s">
        <v>3</v>
      </c>
      <c r="D342" t="s">
        <v>4</v>
      </c>
      <c r="E342" t="s">
        <v>5</v>
      </c>
      <c r="F342" s="6">
        <v>111202227</v>
      </c>
      <c r="G342" t="s">
        <v>472</v>
      </c>
      <c r="H342" t="s">
        <v>253</v>
      </c>
      <c r="I342">
        <v>0</v>
      </c>
      <c r="J342">
        <v>0</v>
      </c>
      <c r="K342">
        <v>0</v>
      </c>
      <c r="L342">
        <v>0</v>
      </c>
      <c r="M342">
        <v>1.04</v>
      </c>
      <c r="N342" s="7" t="e">
        <f>VLOOKUP(F342,HC!A$6:D$100,3,FALSE)</f>
        <v>#N/A</v>
      </c>
      <c r="O342" s="7" t="e">
        <f>VLOOKUP(F342,HC!A$6:D$1000,2,FALSE)</f>
        <v>#N/A</v>
      </c>
      <c r="P342" s="7"/>
      <c r="Q342" s="7"/>
      <c r="R342" t="s">
        <v>420</v>
      </c>
      <c r="U342">
        <f t="shared" si="7"/>
        <v>1395</v>
      </c>
    </row>
    <row r="343" spans="1:21" ht="37.5" customHeight="1" x14ac:dyDescent="0.25">
      <c r="A343" s="1">
        <v>44947</v>
      </c>
      <c r="B343" s="13">
        <v>3</v>
      </c>
      <c r="C343" t="s">
        <v>3</v>
      </c>
      <c r="D343" t="s">
        <v>4</v>
      </c>
      <c r="E343" t="s">
        <v>5</v>
      </c>
      <c r="F343" s="6">
        <v>112920655</v>
      </c>
      <c r="G343" t="s">
        <v>509</v>
      </c>
      <c r="H343" t="s">
        <v>282</v>
      </c>
      <c r="I343">
        <v>0</v>
      </c>
      <c r="J343">
        <v>0</v>
      </c>
      <c r="K343">
        <v>0</v>
      </c>
      <c r="L343">
        <v>0</v>
      </c>
      <c r="M343">
        <v>0.37</v>
      </c>
      <c r="N343" s="7" t="e">
        <f>VLOOKUP(F343,HC!A$6:D$100,3,FALSE)</f>
        <v>#N/A</v>
      </c>
      <c r="O343" s="7" t="e">
        <f>VLOOKUP(F343,HC!A$6:D$1000,2,FALSE)</f>
        <v>#N/A</v>
      </c>
      <c r="P343" s="7"/>
      <c r="Q343" s="7"/>
      <c r="R343" s="16" t="s">
        <v>446</v>
      </c>
      <c r="U343">
        <f t="shared" si="7"/>
        <v>1395</v>
      </c>
    </row>
    <row r="344" spans="1:21" ht="37.5" customHeight="1" x14ac:dyDescent="0.25">
      <c r="A344" s="1">
        <v>44947</v>
      </c>
      <c r="B344" s="13">
        <v>3</v>
      </c>
      <c r="C344" t="s">
        <v>3</v>
      </c>
      <c r="D344" t="s">
        <v>4</v>
      </c>
      <c r="E344" t="s">
        <v>5</v>
      </c>
      <c r="F344" s="6">
        <v>112972895</v>
      </c>
      <c r="G344" t="s">
        <v>511</v>
      </c>
      <c r="H344" t="s">
        <v>263</v>
      </c>
      <c r="I344">
        <v>0</v>
      </c>
      <c r="J344">
        <v>0</v>
      </c>
      <c r="K344">
        <v>0</v>
      </c>
      <c r="L344">
        <v>0</v>
      </c>
      <c r="M344">
        <v>0.45</v>
      </c>
      <c r="N344" s="7" t="e">
        <f>VLOOKUP(F344,HC!A$6:D$100,3,FALSE)</f>
        <v>#N/A</v>
      </c>
      <c r="O344" s="7" t="e">
        <f>VLOOKUP(F344,HC!A$6:D$1000,2,FALSE)</f>
        <v>#N/A</v>
      </c>
      <c r="P344" s="7" t="s">
        <v>664</v>
      </c>
      <c r="Q344" s="7"/>
      <c r="R344" t="s">
        <v>20</v>
      </c>
      <c r="U344">
        <f t="shared" si="7"/>
        <v>1395</v>
      </c>
    </row>
    <row r="345" spans="1:21" ht="37.5" customHeight="1" x14ac:dyDescent="0.25">
      <c r="A345" s="1">
        <v>44947</v>
      </c>
      <c r="B345" s="13">
        <v>3</v>
      </c>
      <c r="C345" t="s">
        <v>3</v>
      </c>
      <c r="D345" t="s">
        <v>4</v>
      </c>
      <c r="E345" t="s">
        <v>21</v>
      </c>
      <c r="F345" s="6">
        <v>200625517</v>
      </c>
      <c r="G345" t="s">
        <v>323</v>
      </c>
      <c r="H345" t="s">
        <v>317</v>
      </c>
      <c r="I345">
        <v>0</v>
      </c>
      <c r="J345">
        <v>0</v>
      </c>
      <c r="K345">
        <v>0</v>
      </c>
      <c r="L345">
        <v>0</v>
      </c>
      <c r="M345">
        <v>0.98</v>
      </c>
      <c r="N345" s="7" t="e">
        <f>VLOOKUP(F345,HC!A$6:D$100,3,FALSE)</f>
        <v>#N/A</v>
      </c>
      <c r="O345" s="7" t="e">
        <f>VLOOKUP(F345,HC!A$6:D$1000,2,FALSE)</f>
        <v>#N/A</v>
      </c>
      <c r="P345" s="7"/>
      <c r="Q345" s="7"/>
      <c r="R345" s="15" t="s">
        <v>446</v>
      </c>
      <c r="U345">
        <f t="shared" si="7"/>
        <v>1395</v>
      </c>
    </row>
    <row r="346" spans="1:21" ht="37.5" customHeight="1" x14ac:dyDescent="0.25">
      <c r="A346" s="1">
        <v>44947</v>
      </c>
      <c r="B346" s="13">
        <v>3</v>
      </c>
      <c r="C346" t="s">
        <v>3</v>
      </c>
      <c r="D346" t="s">
        <v>4</v>
      </c>
      <c r="E346" t="s">
        <v>21</v>
      </c>
      <c r="F346" s="6">
        <v>200562154</v>
      </c>
      <c r="G346" t="s">
        <v>437</v>
      </c>
      <c r="H346" t="s">
        <v>268</v>
      </c>
      <c r="I346">
        <v>0</v>
      </c>
      <c r="J346">
        <v>0</v>
      </c>
      <c r="K346">
        <v>0</v>
      </c>
      <c r="L346">
        <v>0</v>
      </c>
      <c r="M346">
        <v>0.48</v>
      </c>
      <c r="N346" s="7" t="e">
        <f>VLOOKUP(F346,HC!A$6:D$100,3,FALSE)</f>
        <v>#N/A</v>
      </c>
      <c r="O346" s="7" t="str">
        <f>VLOOKUP(F346,HC!A$6:D$1000,2,FALSE)</f>
        <v>reyesmcw</v>
      </c>
      <c r="P346" s="7" t="s">
        <v>661</v>
      </c>
      <c r="Q346" s="7" t="s">
        <v>681</v>
      </c>
      <c r="R346" t="s">
        <v>10</v>
      </c>
      <c r="U346">
        <f t="shared" si="7"/>
        <v>38</v>
      </c>
    </row>
    <row r="347" spans="1:21" ht="37.5" customHeight="1" x14ac:dyDescent="0.25">
      <c r="A347" s="1">
        <v>44947</v>
      </c>
      <c r="B347" s="13">
        <v>3</v>
      </c>
      <c r="C347" t="s">
        <v>3</v>
      </c>
      <c r="D347" t="s">
        <v>4</v>
      </c>
      <c r="E347" t="s">
        <v>5</v>
      </c>
      <c r="F347" s="6">
        <v>113014042</v>
      </c>
      <c r="G347" t="s">
        <v>329</v>
      </c>
      <c r="H347" t="s">
        <v>268</v>
      </c>
      <c r="I347">
        <v>0</v>
      </c>
      <c r="J347">
        <v>0</v>
      </c>
      <c r="K347">
        <v>0</v>
      </c>
      <c r="L347">
        <v>0</v>
      </c>
      <c r="M347">
        <v>0.16</v>
      </c>
      <c r="N347" s="7" t="e">
        <f>VLOOKUP(F347,HC!A$6:D$100,3,FALSE)</f>
        <v>#N/A</v>
      </c>
      <c r="O347" s="7" t="str">
        <f>VLOOKUP(F347,HC!A$6:D$1000,2,FALSE)</f>
        <v>rfcervan</v>
      </c>
      <c r="P347" s="7" t="s">
        <v>661</v>
      </c>
      <c r="Q347" s="7" t="s">
        <v>681</v>
      </c>
      <c r="R347" t="s">
        <v>10</v>
      </c>
      <c r="U347">
        <f t="shared" si="7"/>
        <v>23</v>
      </c>
    </row>
    <row r="348" spans="1:21" ht="37.5" customHeight="1" x14ac:dyDescent="0.25">
      <c r="A348" s="1">
        <v>44947</v>
      </c>
      <c r="B348" s="13">
        <v>3</v>
      </c>
      <c r="C348" t="s">
        <v>3</v>
      </c>
      <c r="D348" t="s">
        <v>4</v>
      </c>
      <c r="E348" t="s">
        <v>5</v>
      </c>
      <c r="F348" s="6">
        <v>112972608</v>
      </c>
      <c r="G348" t="s">
        <v>510</v>
      </c>
      <c r="H348" t="s">
        <v>282</v>
      </c>
      <c r="I348">
        <v>0</v>
      </c>
      <c r="J348">
        <v>0</v>
      </c>
      <c r="K348">
        <v>0</v>
      </c>
      <c r="L348">
        <v>0</v>
      </c>
      <c r="M348">
        <v>1.1499999999999999</v>
      </c>
      <c r="N348" s="7" t="e">
        <f>VLOOKUP(F348,HC!A$6:D$100,3,FALSE)</f>
        <v>#N/A</v>
      </c>
      <c r="O348" s="7" t="e">
        <f>VLOOKUP(F348,HC!A$6:D$1000,2,FALSE)</f>
        <v>#N/A</v>
      </c>
      <c r="P348" s="7" t="s">
        <v>675</v>
      </c>
      <c r="Q348" s="7"/>
      <c r="R348" t="s">
        <v>305</v>
      </c>
      <c r="U348">
        <f t="shared" si="7"/>
        <v>1395</v>
      </c>
    </row>
    <row r="349" spans="1:21" ht="37.5" customHeight="1" x14ac:dyDescent="0.25">
      <c r="A349" s="1">
        <v>44947</v>
      </c>
      <c r="B349" s="13">
        <v>3</v>
      </c>
      <c r="C349" t="s">
        <v>3</v>
      </c>
      <c r="D349" t="s">
        <v>4</v>
      </c>
      <c r="E349" t="s">
        <v>21</v>
      </c>
      <c r="F349" s="6">
        <v>200564845</v>
      </c>
      <c r="G349" t="s">
        <v>440</v>
      </c>
      <c r="H349" t="s">
        <v>285</v>
      </c>
      <c r="I349">
        <v>0</v>
      </c>
      <c r="J349">
        <v>0</v>
      </c>
      <c r="K349">
        <v>0</v>
      </c>
      <c r="L349">
        <v>0</v>
      </c>
      <c r="M349">
        <v>0.2</v>
      </c>
      <c r="N349" s="7" t="e">
        <f>VLOOKUP(F349,HC!A$6:D$100,3,FALSE)</f>
        <v>#N/A</v>
      </c>
      <c r="O349" s="7" t="e">
        <f>VLOOKUP(F349,HC!A$6:D$1000,2,FALSE)</f>
        <v>#N/A</v>
      </c>
      <c r="P349" s="7" t="s">
        <v>664</v>
      </c>
      <c r="Q349" s="7"/>
      <c r="R349" t="s">
        <v>412</v>
      </c>
      <c r="U349">
        <f t="shared" si="7"/>
        <v>1395</v>
      </c>
    </row>
    <row r="350" spans="1:21" ht="37.5" customHeight="1" x14ac:dyDescent="0.25">
      <c r="A350" s="1">
        <v>44947</v>
      </c>
      <c r="B350" s="13">
        <v>3</v>
      </c>
      <c r="C350" t="s">
        <v>3</v>
      </c>
      <c r="D350" t="s">
        <v>4</v>
      </c>
      <c r="E350" t="s">
        <v>5</v>
      </c>
      <c r="F350" s="6">
        <v>113003627</v>
      </c>
      <c r="G350" t="s">
        <v>501</v>
      </c>
      <c r="H350" t="s">
        <v>317</v>
      </c>
      <c r="I350">
        <v>0</v>
      </c>
      <c r="J350">
        <v>0</v>
      </c>
      <c r="K350">
        <v>0</v>
      </c>
      <c r="L350">
        <v>0</v>
      </c>
      <c r="M350">
        <v>0.7</v>
      </c>
      <c r="N350" s="7" t="e">
        <f>VLOOKUP(F350,HC!A$6:D$100,3,FALSE)</f>
        <v>#N/A</v>
      </c>
      <c r="O350" s="7" t="e">
        <f>VLOOKUP(F350,HC!A$6:D$1000,2,FALSE)</f>
        <v>#N/A</v>
      </c>
      <c r="P350" s="7"/>
      <c r="Q350" s="7"/>
      <c r="R350" t="s">
        <v>497</v>
      </c>
      <c r="U350">
        <f t="shared" si="7"/>
        <v>1395</v>
      </c>
    </row>
    <row r="351" spans="1:21" ht="37.5" customHeight="1" x14ac:dyDescent="0.25">
      <c r="A351" s="1">
        <v>44948</v>
      </c>
      <c r="B351" s="13">
        <v>4</v>
      </c>
      <c r="C351" t="s">
        <v>3</v>
      </c>
      <c r="D351" t="s">
        <v>4</v>
      </c>
      <c r="E351" t="s">
        <v>5</v>
      </c>
      <c r="F351" s="6">
        <v>112980899</v>
      </c>
      <c r="G351" t="s">
        <v>396</v>
      </c>
      <c r="H351" t="s">
        <v>268</v>
      </c>
      <c r="I351">
        <v>0</v>
      </c>
      <c r="J351">
        <v>0</v>
      </c>
      <c r="K351">
        <v>0</v>
      </c>
      <c r="L351">
        <v>0</v>
      </c>
      <c r="M351">
        <v>0.33</v>
      </c>
      <c r="N351" s="7" t="str">
        <f>VLOOKUP(F351,HC!A$6:D$100,3,FALSE)</f>
        <v>NF-X1900</v>
      </c>
      <c r="O351" s="7" t="str">
        <f>VLOOKUP(F351,HC!A$6:D$1000,2,FALSE)</f>
        <v>aravilac</v>
      </c>
      <c r="P351" s="7" t="s">
        <v>662</v>
      </c>
      <c r="Q351" s="7" t="s">
        <v>691</v>
      </c>
      <c r="R351" t="s">
        <v>393</v>
      </c>
      <c r="U351">
        <f t="shared" si="7"/>
        <v>33</v>
      </c>
    </row>
    <row r="352" spans="1:21" ht="37.5" customHeight="1" x14ac:dyDescent="0.25">
      <c r="A352" s="1">
        <v>44948</v>
      </c>
      <c r="B352" s="13">
        <v>4</v>
      </c>
      <c r="C352" t="s">
        <v>3</v>
      </c>
      <c r="D352" t="s">
        <v>4</v>
      </c>
      <c r="E352" t="s">
        <v>5</v>
      </c>
      <c r="F352" s="6">
        <v>113019001</v>
      </c>
      <c r="G352" t="s">
        <v>464</v>
      </c>
      <c r="H352" t="s">
        <v>44</v>
      </c>
      <c r="I352">
        <v>0</v>
      </c>
      <c r="J352">
        <v>0</v>
      </c>
      <c r="K352">
        <v>0</v>
      </c>
      <c r="L352">
        <v>0</v>
      </c>
      <c r="M352">
        <v>0.1</v>
      </c>
      <c r="N352" s="7" t="e">
        <f>VLOOKUP(F352,HC!A$6:D$100,3,FALSE)</f>
        <v>#N/A</v>
      </c>
      <c r="O352" s="7" t="str">
        <f>VLOOKUP(F352,HC!A$6:D$1000,2,FALSE)</f>
        <v>dolozane</v>
      </c>
      <c r="P352" s="7"/>
      <c r="Q352" s="7"/>
      <c r="R352" t="s">
        <v>258</v>
      </c>
      <c r="S352"/>
      <c r="U352">
        <f t="shared" si="7"/>
        <v>17</v>
      </c>
    </row>
    <row r="353" spans="1:21" ht="37.5" customHeight="1" x14ac:dyDescent="0.25">
      <c r="A353" s="1">
        <v>44948</v>
      </c>
      <c r="B353" s="13">
        <v>4</v>
      </c>
      <c r="C353" t="s">
        <v>3</v>
      </c>
      <c r="D353" t="s">
        <v>4</v>
      </c>
      <c r="E353" t="s">
        <v>21</v>
      </c>
      <c r="F353" s="6">
        <v>200534518</v>
      </c>
      <c r="G353" t="s">
        <v>371</v>
      </c>
      <c r="H353" t="s">
        <v>268</v>
      </c>
      <c r="I353">
        <v>0</v>
      </c>
      <c r="J353">
        <v>0</v>
      </c>
      <c r="K353">
        <v>0</v>
      </c>
      <c r="L353">
        <v>0</v>
      </c>
      <c r="M353">
        <v>0.35</v>
      </c>
      <c r="N353" s="7" t="e">
        <f>VLOOKUP(F353,HC!A$6:D$100,3,FALSE)</f>
        <v>#N/A</v>
      </c>
      <c r="O353" s="7" t="e">
        <f>VLOOKUP(F353,HC!A$6:D$1000,2,FALSE)</f>
        <v>#N/A</v>
      </c>
      <c r="P353" s="7" t="s">
        <v>662</v>
      </c>
      <c r="Q353" s="7" t="s">
        <v>757</v>
      </c>
      <c r="R353" t="s">
        <v>353</v>
      </c>
      <c r="U353">
        <f t="shared" si="7"/>
        <v>1395</v>
      </c>
    </row>
    <row r="354" spans="1:21" ht="37.5" customHeight="1" x14ac:dyDescent="0.25">
      <c r="A354" s="1">
        <v>44948</v>
      </c>
      <c r="B354" s="13">
        <v>4</v>
      </c>
      <c r="C354" t="s">
        <v>3</v>
      </c>
      <c r="D354" t="s">
        <v>4</v>
      </c>
      <c r="E354" t="s">
        <v>21</v>
      </c>
      <c r="F354" s="6">
        <v>200564895</v>
      </c>
      <c r="G354" t="s">
        <v>520</v>
      </c>
      <c r="H354" t="s">
        <v>17</v>
      </c>
      <c r="I354">
        <v>0</v>
      </c>
      <c r="J354">
        <v>0</v>
      </c>
      <c r="K354">
        <v>0</v>
      </c>
      <c r="L354">
        <v>0</v>
      </c>
      <c r="M354">
        <v>0.57999999999999996</v>
      </c>
      <c r="N354" s="7" t="e">
        <f>VLOOKUP(F354,HC!A$6:D$100,3,FALSE)</f>
        <v>#N/A</v>
      </c>
      <c r="O354" s="7" t="str">
        <f>VLOOKUP(F354,HC!A$6:D$1000,2,FALSE)</f>
        <v>hmendobr</v>
      </c>
      <c r="P354" s="7" t="s">
        <v>670</v>
      </c>
      <c r="Q354" s="7" t="s">
        <v>749</v>
      </c>
      <c r="R354" t="s">
        <v>2103</v>
      </c>
      <c r="U354">
        <f t="shared" si="7"/>
        <v>16</v>
      </c>
    </row>
    <row r="355" spans="1:21" ht="37.5" customHeight="1" x14ac:dyDescent="0.25">
      <c r="A355" s="1">
        <v>44948</v>
      </c>
      <c r="B355" s="13">
        <v>4</v>
      </c>
      <c r="C355" t="s">
        <v>3</v>
      </c>
      <c r="D355" t="s">
        <v>4</v>
      </c>
      <c r="E355" t="s">
        <v>5</v>
      </c>
      <c r="F355" s="6">
        <v>112920679</v>
      </c>
      <c r="G355" t="s">
        <v>519</v>
      </c>
      <c r="H355" t="s">
        <v>403</v>
      </c>
      <c r="I355">
        <v>0</v>
      </c>
      <c r="J355">
        <v>0</v>
      </c>
      <c r="K355">
        <v>0</v>
      </c>
      <c r="L355">
        <v>0</v>
      </c>
      <c r="M355">
        <v>0.6</v>
      </c>
      <c r="N355" s="7" t="e">
        <f>VLOOKUP(F355,HC!A$6:D$100,3,FALSE)</f>
        <v>#N/A</v>
      </c>
      <c r="O355" s="7" t="e">
        <f>VLOOKUP(F355,HC!A$6:D$1000,2,FALSE)</f>
        <v>#N/A</v>
      </c>
      <c r="P355" s="7" t="s">
        <v>664</v>
      </c>
      <c r="Q355" s="7"/>
      <c r="R355" t="s">
        <v>592</v>
      </c>
      <c r="U355">
        <f t="shared" si="7"/>
        <v>1395</v>
      </c>
    </row>
    <row r="356" spans="1:21" ht="37.5" customHeight="1" x14ac:dyDescent="0.25">
      <c r="A356" s="1">
        <v>44948</v>
      </c>
      <c r="B356" s="13">
        <v>4</v>
      </c>
      <c r="C356" t="s">
        <v>3</v>
      </c>
      <c r="D356" t="s">
        <v>4</v>
      </c>
      <c r="E356" t="s">
        <v>21</v>
      </c>
      <c r="F356" s="6">
        <v>200584282</v>
      </c>
      <c r="G356" t="s">
        <v>521</v>
      </c>
      <c r="H356" t="s">
        <v>17</v>
      </c>
      <c r="I356">
        <v>0</v>
      </c>
      <c r="J356">
        <v>0</v>
      </c>
      <c r="K356">
        <v>0</v>
      </c>
      <c r="L356">
        <v>0</v>
      </c>
      <c r="M356">
        <v>0.48</v>
      </c>
      <c r="N356" s="7" t="e">
        <f>VLOOKUP(F356,HC!A$6:D$100,3,FALSE)</f>
        <v>#N/A</v>
      </c>
      <c r="O356" s="7" t="str">
        <f>VLOOKUP(F356,HC!A$6:D$1000,2,FALSE)</f>
        <v>ldianade</v>
      </c>
      <c r="P356" s="7"/>
      <c r="Q356" s="7"/>
      <c r="R356" t="s">
        <v>360</v>
      </c>
      <c r="U356">
        <f t="shared" si="7"/>
        <v>4</v>
      </c>
    </row>
    <row r="357" spans="1:21" ht="37.5" customHeight="1" x14ac:dyDescent="0.25">
      <c r="A357" s="1">
        <v>44948</v>
      </c>
      <c r="B357" s="13">
        <v>4</v>
      </c>
      <c r="C357" t="s">
        <v>3</v>
      </c>
      <c r="D357" t="s">
        <v>4</v>
      </c>
      <c r="E357" t="s">
        <v>5</v>
      </c>
      <c r="F357" s="6">
        <v>112980812</v>
      </c>
      <c r="G357" t="s">
        <v>324</v>
      </c>
      <c r="H357" t="s">
        <v>285</v>
      </c>
      <c r="I357">
        <v>0</v>
      </c>
      <c r="J357">
        <v>0</v>
      </c>
      <c r="K357">
        <v>0</v>
      </c>
      <c r="L357">
        <v>0</v>
      </c>
      <c r="M357">
        <v>0.33</v>
      </c>
      <c r="N357" s="7" t="str">
        <f>VLOOKUP(F357,HC!A$6:D$100,3,FALSE)</f>
        <v>DA-X0700</v>
      </c>
      <c r="O357" s="7" t="str">
        <f>VLOOKUP(F357,HC!A$6:D$1000,2,FALSE)</f>
        <v>maryjacp</v>
      </c>
      <c r="P357" s="7" t="s">
        <v>666</v>
      </c>
      <c r="Q357" s="7" t="s">
        <v>774</v>
      </c>
      <c r="R357" t="s">
        <v>517</v>
      </c>
      <c r="U357">
        <f t="shared" si="7"/>
        <v>15</v>
      </c>
    </row>
    <row r="358" spans="1:21" ht="37.5" customHeight="1" x14ac:dyDescent="0.25">
      <c r="A358" s="1">
        <v>44948</v>
      </c>
      <c r="B358" s="13">
        <v>4</v>
      </c>
      <c r="C358" t="s">
        <v>3</v>
      </c>
      <c r="D358" t="s">
        <v>4</v>
      </c>
      <c r="E358" t="s">
        <v>21</v>
      </c>
      <c r="F358" s="6">
        <v>112912007</v>
      </c>
      <c r="G358" t="s">
        <v>518</v>
      </c>
      <c r="H358" t="s">
        <v>44</v>
      </c>
      <c r="I358">
        <v>0</v>
      </c>
      <c r="J358">
        <v>0</v>
      </c>
      <c r="K358">
        <v>0</v>
      </c>
      <c r="L358">
        <v>0</v>
      </c>
      <c r="M358">
        <v>0.76</v>
      </c>
      <c r="N358" s="7" t="e">
        <f>VLOOKUP(F358,HC!A$6:D$100,3,FALSE)</f>
        <v>#N/A</v>
      </c>
      <c r="O358" s="7" t="e">
        <f>VLOOKUP(F358,HC!A$6:D$1000,2,FALSE)</f>
        <v>#N/A</v>
      </c>
      <c r="P358" s="7"/>
      <c r="Q358" s="7"/>
      <c r="R358" t="s">
        <v>260</v>
      </c>
      <c r="S358" s="2" t="s">
        <v>522</v>
      </c>
      <c r="U358">
        <f t="shared" si="7"/>
        <v>1395</v>
      </c>
    </row>
    <row r="359" spans="1:21" ht="37.5" customHeight="1" x14ac:dyDescent="0.25">
      <c r="A359" s="1">
        <v>44948</v>
      </c>
      <c r="B359" s="13">
        <v>4</v>
      </c>
      <c r="C359" t="s">
        <v>3</v>
      </c>
      <c r="D359" t="s">
        <v>4</v>
      </c>
      <c r="E359" t="s">
        <v>5</v>
      </c>
      <c r="F359" s="6">
        <v>112981014</v>
      </c>
      <c r="G359" t="s">
        <v>367</v>
      </c>
      <c r="H359" t="s">
        <v>44</v>
      </c>
      <c r="I359">
        <v>0</v>
      </c>
      <c r="J359">
        <v>0</v>
      </c>
      <c r="K359">
        <v>0</v>
      </c>
      <c r="L359">
        <v>0</v>
      </c>
      <c r="M359">
        <v>0.15</v>
      </c>
      <c r="N359" s="7" t="str">
        <f>VLOOKUP(F359,HC!A$6:D$100,3,FALSE)</f>
        <v>DJ-X0700</v>
      </c>
      <c r="O359" s="7" t="str">
        <f>VLOOKUP(F359,HC!A$6:D$1000,2,FALSE)</f>
        <v>rpabloul</v>
      </c>
      <c r="P359" s="7" t="s">
        <v>662</v>
      </c>
      <c r="Q359" s="7" t="s">
        <v>757</v>
      </c>
      <c r="R359" t="s">
        <v>353</v>
      </c>
      <c r="U359">
        <f t="shared" si="7"/>
        <v>17</v>
      </c>
    </row>
    <row r="360" spans="1:21" ht="37.5" customHeight="1" x14ac:dyDescent="0.25">
      <c r="A360" s="1">
        <v>44948</v>
      </c>
      <c r="B360" s="13">
        <v>4</v>
      </c>
      <c r="C360" t="s">
        <v>3</v>
      </c>
      <c r="D360" t="s">
        <v>4</v>
      </c>
      <c r="E360" t="s">
        <v>5</v>
      </c>
      <c r="F360" s="6">
        <v>112980844</v>
      </c>
      <c r="G360" t="s">
        <v>13</v>
      </c>
      <c r="H360" t="s">
        <v>44</v>
      </c>
      <c r="I360">
        <v>0</v>
      </c>
      <c r="J360">
        <v>0</v>
      </c>
      <c r="K360">
        <v>0</v>
      </c>
      <c r="L360">
        <v>0</v>
      </c>
      <c r="M360">
        <v>0.09</v>
      </c>
      <c r="N360" s="7" t="str">
        <f>VLOOKUP(F360,HC!A$6:D$100,3,FALSE)</f>
        <v>DA-X0700</v>
      </c>
      <c r="O360" s="7" t="str">
        <f>VLOOKUP(F360,HC!A$6:D$1000,2,FALSE)</f>
        <v>samajpad</v>
      </c>
      <c r="P360" s="7"/>
      <c r="Q360" s="7"/>
      <c r="R360" t="s">
        <v>258</v>
      </c>
      <c r="U360">
        <f t="shared" si="7"/>
        <v>20</v>
      </c>
    </row>
    <row r="361" spans="1:21" ht="37.5" customHeight="1" x14ac:dyDescent="0.25">
      <c r="A361" s="1">
        <v>44948</v>
      </c>
      <c r="B361" s="13">
        <v>4</v>
      </c>
      <c r="C361" t="s">
        <v>3</v>
      </c>
      <c r="D361" t="s">
        <v>4</v>
      </c>
      <c r="E361" t="s">
        <v>5</v>
      </c>
      <c r="F361" s="6">
        <v>112984097</v>
      </c>
      <c r="G361" t="s">
        <v>265</v>
      </c>
      <c r="H361" t="s">
        <v>7</v>
      </c>
      <c r="I361">
        <v>0</v>
      </c>
      <c r="J361">
        <v>0</v>
      </c>
      <c r="K361">
        <v>0</v>
      </c>
      <c r="L361">
        <v>0</v>
      </c>
      <c r="M361">
        <v>0.38</v>
      </c>
      <c r="N361" s="7" t="e">
        <f>VLOOKUP(F361,HC!A$6:D$100,3,FALSE)</f>
        <v>#N/A</v>
      </c>
      <c r="O361" s="7" t="e">
        <f>VLOOKUP(F361,HC!A$6:D$1000,2,FALSE)</f>
        <v>#N/A</v>
      </c>
      <c r="P361" s="7" t="s">
        <v>664</v>
      </c>
      <c r="Q361" s="7" t="s">
        <v>762</v>
      </c>
      <c r="R361" t="s">
        <v>593</v>
      </c>
      <c r="S361" s="2" t="s">
        <v>523</v>
      </c>
      <c r="U361">
        <f t="shared" si="7"/>
        <v>1395</v>
      </c>
    </row>
    <row r="362" spans="1:21" ht="37.5" customHeight="1" x14ac:dyDescent="0.25">
      <c r="A362" s="1">
        <v>44949</v>
      </c>
      <c r="B362" s="13">
        <v>4</v>
      </c>
      <c r="C362" t="s">
        <v>3</v>
      </c>
      <c r="D362" t="s">
        <v>4</v>
      </c>
      <c r="E362" t="s">
        <v>21</v>
      </c>
      <c r="F362" s="6">
        <v>112912007</v>
      </c>
      <c r="G362" t="s">
        <v>518</v>
      </c>
      <c r="H362" t="s">
        <v>44</v>
      </c>
      <c r="I362">
        <v>0</v>
      </c>
      <c r="J362">
        <v>0</v>
      </c>
      <c r="K362">
        <v>0</v>
      </c>
      <c r="L362">
        <v>0</v>
      </c>
      <c r="M362">
        <v>0.84</v>
      </c>
      <c r="N362" s="7" t="e">
        <f>VLOOKUP(F362,HC!A$6:D$100,3,FALSE)</f>
        <v>#N/A</v>
      </c>
      <c r="O362" s="7" t="e">
        <f>VLOOKUP(F362,HC!A$6:D$1000,2,FALSE)</f>
        <v>#N/A</v>
      </c>
      <c r="P362" s="7" t="s">
        <v>661</v>
      </c>
      <c r="Q362" s="7" t="s">
        <v>681</v>
      </c>
      <c r="R362" t="s">
        <v>10</v>
      </c>
      <c r="U362">
        <f t="shared" si="7"/>
        <v>1395</v>
      </c>
    </row>
    <row r="363" spans="1:21" ht="37.5" customHeight="1" x14ac:dyDescent="0.25">
      <c r="A363" s="1">
        <v>44949</v>
      </c>
      <c r="B363" s="13">
        <v>4</v>
      </c>
      <c r="C363" t="s">
        <v>3</v>
      </c>
      <c r="D363" t="s">
        <v>4</v>
      </c>
      <c r="E363" t="s">
        <v>5</v>
      </c>
      <c r="F363" s="6">
        <v>112912201</v>
      </c>
      <c r="G363" t="s">
        <v>456</v>
      </c>
      <c r="H363" t="s">
        <v>7</v>
      </c>
      <c r="I363">
        <v>0</v>
      </c>
      <c r="J363">
        <v>0</v>
      </c>
      <c r="K363">
        <v>0</v>
      </c>
      <c r="L363">
        <v>0</v>
      </c>
      <c r="M363">
        <v>0.24</v>
      </c>
      <c r="N363" s="7" t="e">
        <f>VLOOKUP(F363,HC!A$6:D$100,3,FALSE)</f>
        <v>#N/A</v>
      </c>
      <c r="O363" s="7" t="e">
        <f>VLOOKUP(F363,HC!A$6:D$1000,2,FALSE)</f>
        <v>#N/A</v>
      </c>
      <c r="P363" s="7" t="s">
        <v>661</v>
      </c>
      <c r="Q363" s="7" t="s">
        <v>681</v>
      </c>
      <c r="R363" t="s">
        <v>234</v>
      </c>
      <c r="U363">
        <f t="shared" si="7"/>
        <v>1395</v>
      </c>
    </row>
    <row r="364" spans="1:21" ht="37.5" customHeight="1" x14ac:dyDescent="0.25">
      <c r="A364" s="1">
        <v>44949</v>
      </c>
      <c r="B364" s="13">
        <v>4</v>
      </c>
      <c r="C364" t="s">
        <v>3</v>
      </c>
      <c r="D364" t="s">
        <v>4</v>
      </c>
      <c r="E364" t="s">
        <v>5</v>
      </c>
      <c r="F364" s="6">
        <v>112912752</v>
      </c>
      <c r="G364" t="s">
        <v>251</v>
      </c>
      <c r="H364" t="s">
        <v>268</v>
      </c>
      <c r="I364">
        <v>0</v>
      </c>
      <c r="J364">
        <v>0</v>
      </c>
      <c r="K364">
        <v>0</v>
      </c>
      <c r="L364">
        <v>0</v>
      </c>
      <c r="M364">
        <v>0.14000000000000001</v>
      </c>
      <c r="N364" s="7" t="str">
        <f>VLOOKUP(F364,HC!A$6:D$100,3,FALSE)</f>
        <v>NF-X1900</v>
      </c>
      <c r="O364" s="7" t="str">
        <f>VLOOKUP(F364,HC!A$6:D$1000,2,FALSE)</f>
        <v>valderle</v>
      </c>
      <c r="P364" s="7" t="s">
        <v>661</v>
      </c>
      <c r="Q364" s="7" t="s">
        <v>681</v>
      </c>
      <c r="R364" t="s">
        <v>234</v>
      </c>
      <c r="U364">
        <f t="shared" si="7"/>
        <v>50</v>
      </c>
    </row>
    <row r="365" spans="1:21" ht="37.5" customHeight="1" x14ac:dyDescent="0.25">
      <c r="A365" s="1">
        <v>44949</v>
      </c>
      <c r="B365" s="13">
        <v>4</v>
      </c>
      <c r="C365" t="s">
        <v>3</v>
      </c>
      <c r="D365" t="s">
        <v>4</v>
      </c>
      <c r="E365" t="s">
        <v>5</v>
      </c>
      <c r="F365" s="6">
        <v>112980847</v>
      </c>
      <c r="G365" t="s">
        <v>524</v>
      </c>
      <c r="H365" t="s">
        <v>44</v>
      </c>
      <c r="I365">
        <v>0</v>
      </c>
      <c r="J365">
        <v>0</v>
      </c>
      <c r="K365">
        <v>0</v>
      </c>
      <c r="L365">
        <v>0</v>
      </c>
      <c r="M365">
        <v>0.48</v>
      </c>
      <c r="N365" s="7" t="e">
        <f>VLOOKUP(F365,HC!A$6:D$100,3,FALSE)</f>
        <v>#N/A</v>
      </c>
      <c r="O365" s="7" t="e">
        <f>VLOOKUP(F365,HC!A$6:D$1000,2,FALSE)</f>
        <v>#N/A</v>
      </c>
      <c r="P365" s="7" t="s">
        <v>663</v>
      </c>
      <c r="Q365" s="7"/>
      <c r="R365" t="s">
        <v>466</v>
      </c>
      <c r="U365">
        <f t="shared" si="7"/>
        <v>1395</v>
      </c>
    </row>
    <row r="366" spans="1:21" ht="37.5" customHeight="1" x14ac:dyDescent="0.25">
      <c r="A366" s="1">
        <v>44949</v>
      </c>
      <c r="B366" s="13">
        <v>4</v>
      </c>
      <c r="C366" t="s">
        <v>3</v>
      </c>
      <c r="D366" t="s">
        <v>4</v>
      </c>
      <c r="E366" t="s">
        <v>5</v>
      </c>
      <c r="F366" s="6">
        <v>112980862</v>
      </c>
      <c r="G366" t="s">
        <v>43</v>
      </c>
      <c r="H366" t="s">
        <v>14</v>
      </c>
      <c r="I366">
        <v>0</v>
      </c>
      <c r="J366">
        <v>0</v>
      </c>
      <c r="K366">
        <v>0</v>
      </c>
      <c r="L366">
        <v>0</v>
      </c>
      <c r="M366">
        <v>0.84</v>
      </c>
      <c r="N366" s="7" t="e">
        <f>VLOOKUP(F366,HC!A$6:D$100,3,FALSE)</f>
        <v>#N/A</v>
      </c>
      <c r="O366" s="7" t="e">
        <f>VLOOKUP(F366,HC!A$6:D$1000,2,FALSE)</f>
        <v>#N/A</v>
      </c>
      <c r="P366" s="7" t="s">
        <v>664</v>
      </c>
      <c r="Q366" s="7" t="s">
        <v>711</v>
      </c>
      <c r="R366" t="s">
        <v>419</v>
      </c>
      <c r="U366">
        <f t="shared" si="7"/>
        <v>1395</v>
      </c>
    </row>
    <row r="367" spans="1:21" ht="37.5" customHeight="1" x14ac:dyDescent="0.25">
      <c r="A367" s="1">
        <v>44949</v>
      </c>
      <c r="B367" s="13">
        <v>4</v>
      </c>
      <c r="C367" t="s">
        <v>3</v>
      </c>
      <c r="D367" t="s">
        <v>4</v>
      </c>
      <c r="E367" t="s">
        <v>5</v>
      </c>
      <c r="F367" s="6">
        <v>113003631</v>
      </c>
      <c r="G367" t="s">
        <v>479</v>
      </c>
      <c r="H367" t="s">
        <v>47</v>
      </c>
      <c r="I367">
        <v>0</v>
      </c>
      <c r="J367">
        <v>0</v>
      </c>
      <c r="K367">
        <v>0</v>
      </c>
      <c r="L367">
        <v>0</v>
      </c>
      <c r="M367">
        <v>0.28999999999999998</v>
      </c>
      <c r="N367" s="7" t="e">
        <f>VLOOKUP(F367,HC!A$6:D$100,3,FALSE)</f>
        <v>#N/A</v>
      </c>
      <c r="O367" s="7" t="e">
        <f>VLOOKUP(F367,HC!A$6:D$1000,2,FALSE)</f>
        <v>#N/A</v>
      </c>
      <c r="P367" s="7" t="s">
        <v>664</v>
      </c>
      <c r="Q367" s="7" t="s">
        <v>711</v>
      </c>
      <c r="R367" t="s">
        <v>419</v>
      </c>
      <c r="U367">
        <f t="shared" si="7"/>
        <v>1395</v>
      </c>
    </row>
    <row r="368" spans="1:21" ht="37.5" customHeight="1" x14ac:dyDescent="0.25">
      <c r="A368" s="1">
        <v>44949</v>
      </c>
      <c r="B368" s="13">
        <v>4</v>
      </c>
      <c r="C368" t="s">
        <v>3</v>
      </c>
      <c r="D368" t="s">
        <v>4</v>
      </c>
      <c r="E368" t="s">
        <v>5</v>
      </c>
      <c r="F368" s="6">
        <v>113014011</v>
      </c>
      <c r="G368" t="s">
        <v>45</v>
      </c>
      <c r="H368" t="s">
        <v>14</v>
      </c>
      <c r="I368">
        <v>0</v>
      </c>
      <c r="J368">
        <v>0</v>
      </c>
      <c r="K368">
        <v>0</v>
      </c>
      <c r="L368">
        <v>0</v>
      </c>
      <c r="M368">
        <v>0.67</v>
      </c>
      <c r="N368" s="7" t="e">
        <f>VLOOKUP(F368,HC!A$6:D$100,3,FALSE)</f>
        <v>#N/A</v>
      </c>
      <c r="O368" s="7" t="e">
        <f>VLOOKUP(F368,HC!A$6:D$1000,2,FALSE)</f>
        <v>#N/A</v>
      </c>
      <c r="P368" s="7" t="s">
        <v>664</v>
      </c>
      <c r="Q368" s="7" t="s">
        <v>711</v>
      </c>
      <c r="R368" t="s">
        <v>419</v>
      </c>
      <c r="U368">
        <f t="shared" si="7"/>
        <v>1395</v>
      </c>
    </row>
    <row r="369" spans="1:21" ht="37.5" customHeight="1" x14ac:dyDescent="0.25">
      <c r="A369" s="1">
        <v>44949</v>
      </c>
      <c r="B369" s="13">
        <v>4</v>
      </c>
      <c r="C369" t="s">
        <v>3</v>
      </c>
      <c r="D369" t="s">
        <v>4</v>
      </c>
      <c r="E369" t="s">
        <v>5</v>
      </c>
      <c r="F369" s="6">
        <v>113014194</v>
      </c>
      <c r="G369" t="s">
        <v>475</v>
      </c>
      <c r="H369" t="s">
        <v>14</v>
      </c>
      <c r="I369">
        <v>0</v>
      </c>
      <c r="J369">
        <v>0</v>
      </c>
      <c r="K369">
        <v>0</v>
      </c>
      <c r="L369">
        <v>0</v>
      </c>
      <c r="M369">
        <v>0.42</v>
      </c>
      <c r="N369" s="7" t="e">
        <f>VLOOKUP(F369,HC!A$6:D$100,3,FALSE)</f>
        <v>#N/A</v>
      </c>
      <c r="O369" s="7" t="e">
        <f>VLOOKUP(F369,HC!A$6:D$1000,2,FALSE)</f>
        <v>#N/A</v>
      </c>
      <c r="P369" s="7" t="s">
        <v>670</v>
      </c>
      <c r="Q369" s="7" t="s">
        <v>764</v>
      </c>
      <c r="R369" t="s">
        <v>375</v>
      </c>
      <c r="U369">
        <f t="shared" si="7"/>
        <v>1395</v>
      </c>
    </row>
    <row r="370" spans="1:21" ht="37.5" customHeight="1" x14ac:dyDescent="0.25">
      <c r="A370" s="1">
        <v>44949</v>
      </c>
      <c r="B370" s="13">
        <v>4</v>
      </c>
      <c r="C370" t="s">
        <v>3</v>
      </c>
      <c r="D370" t="s">
        <v>4</v>
      </c>
      <c r="E370" t="s">
        <v>5</v>
      </c>
      <c r="F370" s="6">
        <v>113018997</v>
      </c>
      <c r="G370" t="s">
        <v>254</v>
      </c>
      <c r="H370" t="s">
        <v>268</v>
      </c>
      <c r="I370">
        <v>0</v>
      </c>
      <c r="J370">
        <v>0</v>
      </c>
      <c r="K370">
        <v>0</v>
      </c>
      <c r="L370">
        <v>0</v>
      </c>
      <c r="M370">
        <v>1.73</v>
      </c>
      <c r="N370" s="7" t="e">
        <f>VLOOKUP(F370,HC!A$6:D$100,3,FALSE)</f>
        <v>#N/A</v>
      </c>
      <c r="O370" s="7" t="e">
        <f>VLOOKUP(F370,HC!A$6:D$1000,2,FALSE)</f>
        <v>#N/A</v>
      </c>
      <c r="P370" s="7"/>
      <c r="Q370" s="7"/>
      <c r="R370" t="s">
        <v>525</v>
      </c>
      <c r="U370">
        <f t="shared" si="7"/>
        <v>1395</v>
      </c>
    </row>
    <row r="371" spans="1:21" s="7" customFormat="1" ht="37.5" customHeight="1" x14ac:dyDescent="0.25">
      <c r="A371" s="1">
        <v>44949</v>
      </c>
      <c r="B371" s="13">
        <v>4</v>
      </c>
      <c r="C371" s="7" t="s">
        <v>3</v>
      </c>
      <c r="D371" s="7" t="s">
        <v>4</v>
      </c>
      <c r="E371" s="7" t="s">
        <v>5</v>
      </c>
      <c r="F371" s="13">
        <v>113019055</v>
      </c>
      <c r="G371" s="7" t="s">
        <v>526</v>
      </c>
      <c r="H371" s="7" t="s">
        <v>14</v>
      </c>
      <c r="I371" s="7">
        <v>0</v>
      </c>
      <c r="J371" s="7">
        <v>0</v>
      </c>
      <c r="K371" s="7">
        <v>0</v>
      </c>
      <c r="L371" s="7">
        <v>0</v>
      </c>
      <c r="M371" s="7">
        <v>0.57999999999999996</v>
      </c>
      <c r="N371" s="7" t="e">
        <f>VLOOKUP(F371,HC!A$6:D$100,3,FALSE)</f>
        <v>#N/A</v>
      </c>
      <c r="O371" s="7" t="str">
        <f>VLOOKUP(F371,HC!A$6:D$1000,2,FALSE)</f>
        <v>jhlopezg</v>
      </c>
      <c r="P371" s="7" t="s">
        <v>661</v>
      </c>
      <c r="Q371" s="7" t="s">
        <v>701</v>
      </c>
      <c r="R371" s="7" t="s">
        <v>527</v>
      </c>
      <c r="S371" s="42"/>
      <c r="U371" s="7">
        <f t="shared" si="7"/>
        <v>2</v>
      </c>
    </row>
    <row r="372" spans="1:21" s="7" customFormat="1" ht="37.5" customHeight="1" x14ac:dyDescent="0.25">
      <c r="A372" s="1">
        <v>44949</v>
      </c>
      <c r="B372" s="13">
        <v>4</v>
      </c>
      <c r="C372" s="7" t="s">
        <v>3</v>
      </c>
      <c r="D372" s="7" t="s">
        <v>4</v>
      </c>
      <c r="E372" s="7" t="s">
        <v>5</v>
      </c>
      <c r="F372" s="13">
        <v>113101453</v>
      </c>
      <c r="G372" s="7" t="s">
        <v>50</v>
      </c>
      <c r="H372" s="7" t="s">
        <v>7</v>
      </c>
      <c r="I372" s="7">
        <v>0</v>
      </c>
      <c r="J372" s="7">
        <v>0</v>
      </c>
      <c r="K372" s="7">
        <v>0</v>
      </c>
      <c r="L372" s="7">
        <v>0</v>
      </c>
      <c r="M372" s="7">
        <v>0.13</v>
      </c>
      <c r="N372" s="7" t="e">
        <f>VLOOKUP(F372,HC!A$6:D$100,3,FALSE)</f>
        <v>#N/A</v>
      </c>
      <c r="O372" s="7" t="str">
        <f>VLOOKUP(F372,HC!A$6:D$1000,2,FALSE)</f>
        <v>qisgeova</v>
      </c>
      <c r="P372" s="7" t="s">
        <v>665</v>
      </c>
      <c r="Q372" s="7" t="s">
        <v>722</v>
      </c>
      <c r="R372" s="7" t="s">
        <v>384</v>
      </c>
      <c r="S372" s="42"/>
      <c r="U372" s="7">
        <f t="shared" si="7"/>
        <v>57</v>
      </c>
    </row>
    <row r="373" spans="1:21" ht="37.5" customHeight="1" x14ac:dyDescent="0.25">
      <c r="A373" s="1">
        <v>44949</v>
      </c>
      <c r="B373" s="13">
        <v>4</v>
      </c>
      <c r="C373" t="s">
        <v>3</v>
      </c>
      <c r="D373" t="s">
        <v>4</v>
      </c>
      <c r="E373" t="s">
        <v>5</v>
      </c>
      <c r="F373" s="6">
        <v>200404250</v>
      </c>
      <c r="G373" t="s">
        <v>51</v>
      </c>
      <c r="H373" t="s">
        <v>14</v>
      </c>
      <c r="I373">
        <v>0</v>
      </c>
      <c r="J373">
        <v>0</v>
      </c>
      <c r="K373">
        <v>0</v>
      </c>
      <c r="L373">
        <v>0</v>
      </c>
      <c r="M373">
        <v>0.55000000000000004</v>
      </c>
      <c r="N373" s="7" t="e">
        <f>VLOOKUP(F373,HC!A$6:D$100,3,FALSE)</f>
        <v>#N/A</v>
      </c>
      <c r="O373" s="7" t="str">
        <f>VLOOKUP(F373,HC!A$6:D$1000,2,FALSE)</f>
        <v>xcathurt</v>
      </c>
      <c r="P373" s="7" t="s">
        <v>662</v>
      </c>
      <c r="Q373" s="7" t="s">
        <v>785</v>
      </c>
      <c r="R373" t="s">
        <v>235</v>
      </c>
      <c r="U373">
        <f t="shared" si="7"/>
        <v>124</v>
      </c>
    </row>
    <row r="374" spans="1:21" ht="37.5" customHeight="1" x14ac:dyDescent="0.25">
      <c r="A374" s="1">
        <v>44949</v>
      </c>
      <c r="B374" s="13">
        <v>4</v>
      </c>
      <c r="C374" t="s">
        <v>3</v>
      </c>
      <c r="D374" t="s">
        <v>4</v>
      </c>
      <c r="E374" t="s">
        <v>21</v>
      </c>
      <c r="F374" s="6">
        <v>200554743</v>
      </c>
      <c r="G374" t="s">
        <v>340</v>
      </c>
      <c r="H374" t="s">
        <v>298</v>
      </c>
      <c r="I374">
        <v>0</v>
      </c>
      <c r="J374">
        <v>0</v>
      </c>
      <c r="K374">
        <v>0</v>
      </c>
      <c r="L374">
        <v>0</v>
      </c>
      <c r="M374">
        <v>0.39</v>
      </c>
      <c r="N374" s="7" t="e">
        <f>VLOOKUP(F374,HC!A$6:D$100,3,FALSE)</f>
        <v>#N/A</v>
      </c>
      <c r="O374" s="7" t="e">
        <f>VLOOKUP(F374,HC!A$6:D$1000,2,FALSE)</f>
        <v>#N/A</v>
      </c>
      <c r="P374" s="7"/>
      <c r="Q374" s="7"/>
      <c r="R374" t="s">
        <v>257</v>
      </c>
      <c r="S374" s="2" t="s">
        <v>530</v>
      </c>
      <c r="U374">
        <f t="shared" si="7"/>
        <v>1395</v>
      </c>
    </row>
    <row r="375" spans="1:21" ht="37.5" customHeight="1" x14ac:dyDescent="0.25">
      <c r="A375" s="1">
        <v>44949</v>
      </c>
      <c r="B375" s="13">
        <v>4</v>
      </c>
      <c r="C375" t="s">
        <v>3</v>
      </c>
      <c r="D375" t="s">
        <v>4</v>
      </c>
      <c r="E375" t="s">
        <v>21</v>
      </c>
      <c r="F375" s="6">
        <v>200564895</v>
      </c>
      <c r="G375" t="s">
        <v>520</v>
      </c>
      <c r="H375" t="s">
        <v>17</v>
      </c>
      <c r="I375">
        <v>0</v>
      </c>
      <c r="J375">
        <v>0</v>
      </c>
      <c r="K375">
        <v>0</v>
      </c>
      <c r="L375">
        <v>0</v>
      </c>
      <c r="M375">
        <v>0.22</v>
      </c>
      <c r="N375" s="7" t="e">
        <f>VLOOKUP(F375,HC!A$6:D$100,3,FALSE)</f>
        <v>#N/A</v>
      </c>
      <c r="O375" s="7" t="str">
        <f>VLOOKUP(F375,HC!A$6:D$1000,2,FALSE)</f>
        <v>hmendobr</v>
      </c>
      <c r="P375" s="7" t="s">
        <v>670</v>
      </c>
      <c r="Q375" s="7" t="s">
        <v>749</v>
      </c>
      <c r="R375" t="s">
        <v>2103</v>
      </c>
      <c r="U375">
        <f t="shared" si="7"/>
        <v>16</v>
      </c>
    </row>
    <row r="376" spans="1:21" ht="37.5" customHeight="1" x14ac:dyDescent="0.25">
      <c r="A376" s="1">
        <v>44949</v>
      </c>
      <c r="B376" s="13">
        <v>4</v>
      </c>
      <c r="C376" t="s">
        <v>3</v>
      </c>
      <c r="D376" t="s">
        <v>4</v>
      </c>
      <c r="E376" t="s">
        <v>21</v>
      </c>
      <c r="F376" s="6">
        <v>200584282</v>
      </c>
      <c r="G376" t="s">
        <v>521</v>
      </c>
      <c r="H376" t="s">
        <v>17</v>
      </c>
      <c r="I376">
        <v>0</v>
      </c>
      <c r="J376">
        <v>0</v>
      </c>
      <c r="K376">
        <v>0</v>
      </c>
      <c r="L376">
        <v>0</v>
      </c>
      <c r="M376">
        <v>0.25</v>
      </c>
      <c r="N376" s="7" t="e">
        <f>VLOOKUP(F376,HC!A$6:D$100,3,FALSE)</f>
        <v>#N/A</v>
      </c>
      <c r="O376" s="7" t="str">
        <f>VLOOKUP(F376,HC!A$6:D$1000,2,FALSE)</f>
        <v>ldianade</v>
      </c>
      <c r="P376" s="7"/>
      <c r="Q376" s="7"/>
      <c r="R376" t="s">
        <v>360</v>
      </c>
      <c r="U376">
        <f t="shared" si="7"/>
        <v>4</v>
      </c>
    </row>
    <row r="377" spans="1:21" ht="37.5" customHeight="1" x14ac:dyDescent="0.25">
      <c r="A377" s="1">
        <v>44949</v>
      </c>
      <c r="B377" s="13">
        <v>4</v>
      </c>
      <c r="C377" t="s">
        <v>3</v>
      </c>
      <c r="D377" t="s">
        <v>4</v>
      </c>
      <c r="E377" t="s">
        <v>21</v>
      </c>
      <c r="F377" s="6">
        <v>200594875</v>
      </c>
      <c r="G377" t="s">
        <v>528</v>
      </c>
      <c r="H377" t="s">
        <v>44</v>
      </c>
      <c r="I377">
        <v>0</v>
      </c>
      <c r="J377">
        <v>0</v>
      </c>
      <c r="K377">
        <v>0</v>
      </c>
      <c r="L377">
        <v>0</v>
      </c>
      <c r="M377">
        <v>0.14000000000000001</v>
      </c>
      <c r="N377" s="7" t="e">
        <f>VLOOKUP(F377,HC!A$6:D$100,3,FALSE)</f>
        <v>#N/A</v>
      </c>
      <c r="O377" s="7" t="str">
        <f>VLOOKUP(F377,HC!A$6:D$1000,2,FALSE)</f>
        <v>jwmaldon</v>
      </c>
      <c r="P377" s="7" t="s">
        <v>670</v>
      </c>
      <c r="Q377" s="7" t="s">
        <v>748</v>
      </c>
      <c r="R377" t="s">
        <v>529</v>
      </c>
      <c r="U377">
        <f t="shared" si="7"/>
        <v>7</v>
      </c>
    </row>
    <row r="378" spans="1:21" ht="37.5" customHeight="1" x14ac:dyDescent="0.25">
      <c r="A378" s="1">
        <v>44950</v>
      </c>
      <c r="B378" s="13">
        <v>4</v>
      </c>
      <c r="C378" t="s">
        <v>3</v>
      </c>
      <c r="D378" t="s">
        <v>4</v>
      </c>
      <c r="E378" t="s">
        <v>5</v>
      </c>
      <c r="F378" s="6">
        <v>112912163</v>
      </c>
      <c r="G378" t="s">
        <v>294</v>
      </c>
      <c r="H378" t="s">
        <v>7</v>
      </c>
      <c r="I378">
        <v>0</v>
      </c>
      <c r="J378">
        <v>0</v>
      </c>
      <c r="K378">
        <v>0</v>
      </c>
      <c r="L378">
        <v>0</v>
      </c>
      <c r="M378">
        <v>0.21</v>
      </c>
      <c r="N378" s="7" t="e">
        <f>VLOOKUP(F378,HC!A$6:D$100,3,FALSE)</f>
        <v>#N/A</v>
      </c>
      <c r="O378" s="7" t="e">
        <f>VLOOKUP(F378,HC!A$6:D$1000,2,FALSE)</f>
        <v>#N/A</v>
      </c>
      <c r="P378" s="7"/>
      <c r="Q378" s="7"/>
      <c r="R378" t="s">
        <v>535</v>
      </c>
      <c r="U378">
        <f t="shared" si="7"/>
        <v>1395</v>
      </c>
    </row>
    <row r="379" spans="1:21" ht="37.5" customHeight="1" x14ac:dyDescent="0.25">
      <c r="A379" s="1">
        <v>44950</v>
      </c>
      <c r="B379" s="13">
        <v>4</v>
      </c>
      <c r="C379" t="s">
        <v>3</v>
      </c>
      <c r="D379" t="s">
        <v>4</v>
      </c>
      <c r="E379" t="s">
        <v>5</v>
      </c>
      <c r="F379" s="6">
        <v>112912464</v>
      </c>
      <c r="G379" t="s">
        <v>531</v>
      </c>
      <c r="H379" t="s">
        <v>253</v>
      </c>
      <c r="I379">
        <v>0</v>
      </c>
      <c r="J379">
        <v>0</v>
      </c>
      <c r="K379">
        <v>0</v>
      </c>
      <c r="L379">
        <v>0</v>
      </c>
      <c r="M379">
        <v>4.0999999999999996</v>
      </c>
      <c r="N379" s="7" t="e">
        <f>VLOOKUP(F379,HC!A$6:D$100,3,FALSE)</f>
        <v>#N/A</v>
      </c>
      <c r="O379" s="7" t="e">
        <f>VLOOKUP(F379,HC!A$6:D$1000,2,FALSE)</f>
        <v>#N/A</v>
      </c>
      <c r="P379" s="7" t="s">
        <v>664</v>
      </c>
      <c r="Q379" s="7" t="s">
        <v>711</v>
      </c>
      <c r="R379" t="s">
        <v>419</v>
      </c>
      <c r="S379" s="2" t="s">
        <v>471</v>
      </c>
      <c r="U379">
        <f t="shared" si="7"/>
        <v>1395</v>
      </c>
    </row>
    <row r="380" spans="1:21" ht="37.5" customHeight="1" x14ac:dyDescent="0.25">
      <c r="A380" s="1">
        <v>44950</v>
      </c>
      <c r="B380" s="13">
        <v>4</v>
      </c>
      <c r="C380" t="s">
        <v>3</v>
      </c>
      <c r="D380" t="s">
        <v>4</v>
      </c>
      <c r="E380" t="s">
        <v>5</v>
      </c>
      <c r="F380" s="6">
        <v>112912752</v>
      </c>
      <c r="G380" t="s">
        <v>251</v>
      </c>
      <c r="H380" t="s">
        <v>268</v>
      </c>
      <c r="I380">
        <v>0</v>
      </c>
      <c r="J380">
        <v>0</v>
      </c>
      <c r="K380">
        <v>0</v>
      </c>
      <c r="L380">
        <v>0</v>
      </c>
      <c r="M380">
        <v>0.21</v>
      </c>
      <c r="N380" s="7" t="str">
        <f>VLOOKUP(F380,HC!A$6:D$100,3,FALSE)</f>
        <v>NF-X1900</v>
      </c>
      <c r="O380" s="7" t="str">
        <f>VLOOKUP(F380,HC!A$6:D$1000,2,FALSE)</f>
        <v>valderle</v>
      </c>
      <c r="P380" s="7" t="s">
        <v>664</v>
      </c>
      <c r="Q380" s="7" t="s">
        <v>711</v>
      </c>
      <c r="R380" t="s">
        <v>419</v>
      </c>
      <c r="U380">
        <f t="shared" si="7"/>
        <v>50</v>
      </c>
    </row>
    <row r="381" spans="1:21" ht="37.5" customHeight="1" x14ac:dyDescent="0.25">
      <c r="A381" s="1">
        <v>44950</v>
      </c>
      <c r="B381" s="13">
        <v>4</v>
      </c>
      <c r="C381" t="s">
        <v>3</v>
      </c>
      <c r="D381" t="s">
        <v>4</v>
      </c>
      <c r="E381" t="s">
        <v>5</v>
      </c>
      <c r="F381" s="6">
        <v>112981201</v>
      </c>
      <c r="G381" t="s">
        <v>532</v>
      </c>
      <c r="H381" t="s">
        <v>17</v>
      </c>
      <c r="I381">
        <v>0</v>
      </c>
      <c r="J381">
        <v>0</v>
      </c>
      <c r="K381">
        <v>0</v>
      </c>
      <c r="L381">
        <v>0</v>
      </c>
      <c r="M381">
        <v>0.44</v>
      </c>
      <c r="N381" s="7" t="e">
        <f>VLOOKUP(F381,HC!A$6:D$100,3,FALSE)</f>
        <v>#N/A</v>
      </c>
      <c r="O381" s="7" t="e">
        <f>VLOOKUP(F381,HC!A$6:D$1000,2,FALSE)</f>
        <v>#N/A</v>
      </c>
      <c r="P381" s="7" t="s">
        <v>665</v>
      </c>
      <c r="Q381" s="7" t="s">
        <v>722</v>
      </c>
      <c r="R381" t="s">
        <v>384</v>
      </c>
      <c r="U381">
        <f t="shared" si="7"/>
        <v>1395</v>
      </c>
    </row>
    <row r="382" spans="1:21" ht="37.5" customHeight="1" x14ac:dyDescent="0.25">
      <c r="A382" s="1">
        <v>44950</v>
      </c>
      <c r="B382" s="13">
        <v>4</v>
      </c>
      <c r="C382" t="s">
        <v>3</v>
      </c>
      <c r="D382" t="s">
        <v>4</v>
      </c>
      <c r="E382" t="s">
        <v>5</v>
      </c>
      <c r="F382" s="6">
        <v>112984097</v>
      </c>
      <c r="G382" t="s">
        <v>265</v>
      </c>
      <c r="H382" t="s">
        <v>7</v>
      </c>
      <c r="I382">
        <v>0</v>
      </c>
      <c r="J382">
        <v>0</v>
      </c>
      <c r="K382">
        <v>0</v>
      </c>
      <c r="L382">
        <v>0</v>
      </c>
      <c r="M382">
        <v>0.13</v>
      </c>
      <c r="N382" s="7" t="e">
        <f>VLOOKUP(F382,HC!A$6:D$100,3,FALSE)</f>
        <v>#N/A</v>
      </c>
      <c r="O382" s="7" t="e">
        <f>VLOOKUP(F382,HC!A$6:D$1000,2,FALSE)</f>
        <v>#N/A</v>
      </c>
      <c r="P382" s="7"/>
      <c r="Q382" s="7"/>
      <c r="R382" t="s">
        <v>420</v>
      </c>
      <c r="U382">
        <f t="shared" si="7"/>
        <v>1395</v>
      </c>
    </row>
    <row r="383" spans="1:21" ht="37.5" customHeight="1" x14ac:dyDescent="0.25">
      <c r="A383" s="1">
        <v>44950</v>
      </c>
      <c r="B383" s="13">
        <v>4</v>
      </c>
      <c r="C383" t="s">
        <v>3</v>
      </c>
      <c r="D383" t="s">
        <v>4</v>
      </c>
      <c r="E383" t="s">
        <v>5</v>
      </c>
      <c r="F383" s="6">
        <v>113014011</v>
      </c>
      <c r="G383" t="s">
        <v>45</v>
      </c>
      <c r="H383" t="s">
        <v>14</v>
      </c>
      <c r="I383">
        <v>0</v>
      </c>
      <c r="J383">
        <v>0</v>
      </c>
      <c r="K383">
        <v>0</v>
      </c>
      <c r="L383">
        <v>0</v>
      </c>
      <c r="M383">
        <v>0.8</v>
      </c>
      <c r="N383" s="7" t="e">
        <f>VLOOKUP(F383,HC!A$6:D$100,3,FALSE)</f>
        <v>#N/A</v>
      </c>
      <c r="O383" s="7" t="e">
        <f>VLOOKUP(F383,HC!A$6:D$1000,2,FALSE)</f>
        <v>#N/A</v>
      </c>
      <c r="P383" s="7" t="s">
        <v>664</v>
      </c>
      <c r="Q383" s="7" t="s">
        <v>711</v>
      </c>
      <c r="R383" t="s">
        <v>419</v>
      </c>
      <c r="U383">
        <f t="shared" si="7"/>
        <v>1395</v>
      </c>
    </row>
    <row r="384" spans="1:21" ht="37.5" customHeight="1" x14ac:dyDescent="0.25">
      <c r="A384" s="1">
        <v>44950</v>
      </c>
      <c r="B384" s="13">
        <v>4</v>
      </c>
      <c r="C384" t="s">
        <v>3</v>
      </c>
      <c r="D384" t="s">
        <v>4</v>
      </c>
      <c r="E384" t="s">
        <v>5</v>
      </c>
      <c r="F384" s="6">
        <v>113014046</v>
      </c>
      <c r="G384" t="s">
        <v>370</v>
      </c>
      <c r="H384" t="s">
        <v>47</v>
      </c>
      <c r="I384">
        <v>0</v>
      </c>
      <c r="J384">
        <v>0</v>
      </c>
      <c r="K384">
        <v>0</v>
      </c>
      <c r="L384">
        <v>0</v>
      </c>
      <c r="M384">
        <v>0.25</v>
      </c>
      <c r="N384" s="7" t="e">
        <f>VLOOKUP(F384,HC!A$6:D$100,3,FALSE)</f>
        <v>#N/A</v>
      </c>
      <c r="O384" s="7" t="e">
        <f>VLOOKUP(F384,HC!A$6:D$1000,2,FALSE)</f>
        <v>#N/A</v>
      </c>
      <c r="P384" s="7"/>
      <c r="Q384" s="7"/>
      <c r="R384" t="s">
        <v>536</v>
      </c>
      <c r="U384">
        <f t="shared" si="7"/>
        <v>1395</v>
      </c>
    </row>
    <row r="385" spans="1:21" ht="37.5" customHeight="1" x14ac:dyDescent="0.25">
      <c r="A385" s="1">
        <v>44950</v>
      </c>
      <c r="B385" s="13">
        <v>4</v>
      </c>
      <c r="C385" t="s">
        <v>3</v>
      </c>
      <c r="D385" t="s">
        <v>4</v>
      </c>
      <c r="E385" t="s">
        <v>5</v>
      </c>
      <c r="F385" s="6">
        <v>113014094</v>
      </c>
      <c r="G385" t="s">
        <v>463</v>
      </c>
      <c r="H385" t="s">
        <v>7</v>
      </c>
      <c r="I385">
        <v>0</v>
      </c>
      <c r="J385">
        <v>0</v>
      </c>
      <c r="K385">
        <v>0</v>
      </c>
      <c r="L385">
        <v>0</v>
      </c>
      <c r="M385">
        <v>0.15</v>
      </c>
      <c r="N385" s="7" t="e">
        <f>VLOOKUP(F385,HC!A$6:D$100,3,FALSE)</f>
        <v>#N/A</v>
      </c>
      <c r="O385" s="7" t="str">
        <f>VLOOKUP(F385,HC!A$6:D$1000,2,FALSE)</f>
        <v>erikaadm</v>
      </c>
      <c r="P385" s="7"/>
      <c r="Q385" s="7"/>
      <c r="R385" t="s">
        <v>537</v>
      </c>
      <c r="U385">
        <f t="shared" si="7"/>
        <v>21</v>
      </c>
    </row>
    <row r="386" spans="1:21" ht="37.5" customHeight="1" x14ac:dyDescent="0.25">
      <c r="A386" s="1">
        <v>44950</v>
      </c>
      <c r="B386" s="13">
        <v>4</v>
      </c>
      <c r="C386" t="s">
        <v>3</v>
      </c>
      <c r="D386" t="s">
        <v>4</v>
      </c>
      <c r="E386" t="s">
        <v>5</v>
      </c>
      <c r="F386" s="6">
        <v>113014113</v>
      </c>
      <c r="G386" t="s">
        <v>269</v>
      </c>
      <c r="H386" t="s">
        <v>17</v>
      </c>
      <c r="I386">
        <v>0</v>
      </c>
      <c r="J386">
        <v>0</v>
      </c>
      <c r="K386">
        <v>0</v>
      </c>
      <c r="L386">
        <v>0</v>
      </c>
      <c r="M386">
        <v>0.31</v>
      </c>
      <c r="N386" s="7" t="e">
        <f>VLOOKUP(F386,HC!A$6:D$100,3,FALSE)</f>
        <v>#N/A</v>
      </c>
      <c r="O386" s="7" t="e">
        <f>VLOOKUP(F386,HC!A$6:D$1000,2,FALSE)</f>
        <v>#N/A</v>
      </c>
      <c r="P386" s="7" t="s">
        <v>661</v>
      </c>
      <c r="Q386" s="7" t="s">
        <v>681</v>
      </c>
      <c r="R386" t="s">
        <v>234</v>
      </c>
      <c r="U386">
        <f t="shared" si="7"/>
        <v>1395</v>
      </c>
    </row>
    <row r="387" spans="1:21" ht="37.5" customHeight="1" x14ac:dyDescent="0.25">
      <c r="A387" s="1">
        <v>44950</v>
      </c>
      <c r="B387" s="13">
        <v>4</v>
      </c>
      <c r="C387" t="s">
        <v>3</v>
      </c>
      <c r="D387" t="s">
        <v>4</v>
      </c>
      <c r="E387" t="s">
        <v>5</v>
      </c>
      <c r="F387" s="6">
        <v>113014402</v>
      </c>
      <c r="G387" t="s">
        <v>397</v>
      </c>
      <c r="H387" t="s">
        <v>7</v>
      </c>
      <c r="I387">
        <v>0</v>
      </c>
      <c r="J387">
        <v>0</v>
      </c>
      <c r="K387">
        <v>0</v>
      </c>
      <c r="L387">
        <v>0</v>
      </c>
      <c r="M387">
        <v>0.84</v>
      </c>
      <c r="N387" s="7" t="e">
        <f>VLOOKUP(F387,HC!A$6:D$100,3,FALSE)</f>
        <v>#N/A</v>
      </c>
      <c r="O387" s="7" t="str">
        <f>VLOOKUP(F387,HC!A$6:D$1000,2,FALSE)</f>
        <v>umendoju</v>
      </c>
      <c r="P387" s="7"/>
      <c r="Q387" s="7"/>
      <c r="R387" t="s">
        <v>538</v>
      </c>
      <c r="U387">
        <f t="shared" ref="U387:U450" si="8">COUNTIF(O$2:O$4999,O387)</f>
        <v>4</v>
      </c>
    </row>
    <row r="388" spans="1:21" ht="37.5" customHeight="1" x14ac:dyDescent="0.25">
      <c r="A388" s="1">
        <v>44950</v>
      </c>
      <c r="B388" s="13">
        <v>4</v>
      </c>
      <c r="C388" t="s">
        <v>3</v>
      </c>
      <c r="D388" t="s">
        <v>4</v>
      </c>
      <c r="E388" t="s">
        <v>5</v>
      </c>
      <c r="F388" s="6">
        <v>113018997</v>
      </c>
      <c r="G388" t="s">
        <v>254</v>
      </c>
      <c r="H388" t="s">
        <v>268</v>
      </c>
      <c r="I388">
        <v>0</v>
      </c>
      <c r="J388">
        <v>0</v>
      </c>
      <c r="K388">
        <v>0</v>
      </c>
      <c r="L388">
        <v>0</v>
      </c>
      <c r="M388">
        <v>0.54</v>
      </c>
      <c r="N388" s="7" t="e">
        <f>VLOOKUP(F388,HC!A$6:D$100,3,FALSE)</f>
        <v>#N/A</v>
      </c>
      <c r="O388" s="7" t="e">
        <f>VLOOKUP(F388,HC!A$6:D$1000,2,FALSE)</f>
        <v>#N/A</v>
      </c>
      <c r="P388" s="7"/>
      <c r="Q388" s="7"/>
      <c r="R388" t="s">
        <v>525</v>
      </c>
      <c r="U388">
        <f t="shared" si="8"/>
        <v>1395</v>
      </c>
    </row>
    <row r="389" spans="1:21" ht="37.5" customHeight="1" x14ac:dyDescent="0.25">
      <c r="A389" s="1">
        <v>44950</v>
      </c>
      <c r="B389" s="13">
        <v>4</v>
      </c>
      <c r="C389" t="s">
        <v>3</v>
      </c>
      <c r="D389" t="s">
        <v>4</v>
      </c>
      <c r="E389" t="s">
        <v>5</v>
      </c>
      <c r="F389" s="6">
        <v>113019111</v>
      </c>
      <c r="G389" t="s">
        <v>533</v>
      </c>
      <c r="H389" t="s">
        <v>17</v>
      </c>
      <c r="I389">
        <v>0</v>
      </c>
      <c r="J389">
        <v>0</v>
      </c>
      <c r="K389">
        <v>0</v>
      </c>
      <c r="L389">
        <v>0</v>
      </c>
      <c r="M389">
        <v>0.15</v>
      </c>
      <c r="N389" s="7" t="e">
        <f>VLOOKUP(F389,HC!A$6:D$100,3,FALSE)</f>
        <v>#N/A</v>
      </c>
      <c r="O389" s="7" t="str">
        <f>VLOOKUP(F389,HC!A$6:D$1000,2,FALSE)</f>
        <v>valdkell</v>
      </c>
      <c r="P389" s="7" t="s">
        <v>661</v>
      </c>
      <c r="Q389" s="7" t="s">
        <v>681</v>
      </c>
      <c r="R389" t="s">
        <v>234</v>
      </c>
      <c r="U389">
        <f t="shared" si="8"/>
        <v>7</v>
      </c>
    </row>
    <row r="390" spans="1:21" ht="37.5" customHeight="1" x14ac:dyDescent="0.25">
      <c r="A390" s="1">
        <v>44950</v>
      </c>
      <c r="B390" s="13">
        <v>4</v>
      </c>
      <c r="C390" t="s">
        <v>3</v>
      </c>
      <c r="D390" t="s">
        <v>4</v>
      </c>
      <c r="E390" t="s">
        <v>5</v>
      </c>
      <c r="F390" s="6">
        <v>200404250</v>
      </c>
      <c r="G390" t="s">
        <v>51</v>
      </c>
      <c r="H390" t="s">
        <v>14</v>
      </c>
      <c r="I390">
        <v>0</v>
      </c>
      <c r="J390">
        <v>0</v>
      </c>
      <c r="K390">
        <v>0</v>
      </c>
      <c r="L390">
        <v>0</v>
      </c>
      <c r="M390">
        <v>0.52</v>
      </c>
      <c r="N390" s="7" t="e">
        <f>VLOOKUP(F390,HC!A$6:D$100,3,FALSE)</f>
        <v>#N/A</v>
      </c>
      <c r="O390" s="7" t="str">
        <f>VLOOKUP(F390,HC!A$6:D$1000,2,FALSE)</f>
        <v>xcathurt</v>
      </c>
      <c r="P390" s="7" t="s">
        <v>662</v>
      </c>
      <c r="Q390" s="7" t="s">
        <v>785</v>
      </c>
      <c r="R390" t="s">
        <v>235</v>
      </c>
      <c r="U390">
        <f t="shared" si="8"/>
        <v>124</v>
      </c>
    </row>
    <row r="391" spans="1:21" ht="37.5" customHeight="1" x14ac:dyDescent="0.25">
      <c r="A391" s="1">
        <v>44950</v>
      </c>
      <c r="B391" s="13">
        <v>4</v>
      </c>
      <c r="C391" t="s">
        <v>3</v>
      </c>
      <c r="D391" t="s">
        <v>4</v>
      </c>
      <c r="E391" t="s">
        <v>21</v>
      </c>
      <c r="F391" s="6">
        <v>200534675</v>
      </c>
      <c r="G391" t="s">
        <v>534</v>
      </c>
      <c r="H391" t="s">
        <v>285</v>
      </c>
      <c r="I391">
        <v>0</v>
      </c>
      <c r="J391">
        <v>0</v>
      </c>
      <c r="K391">
        <v>0</v>
      </c>
      <c r="L391">
        <v>0</v>
      </c>
      <c r="M391">
        <v>0.43</v>
      </c>
      <c r="N391" s="7" t="e">
        <f>VLOOKUP(F391,HC!A$6:D$100,3,FALSE)</f>
        <v>#N/A</v>
      </c>
      <c r="O391" s="7" t="str">
        <f>VLOOKUP(F391,HC!A$6:D$1000,2,FALSE)</f>
        <v>juanpmun</v>
      </c>
      <c r="P391" s="7"/>
      <c r="Q391" s="7"/>
      <c r="R391" s="17" t="s">
        <v>446</v>
      </c>
      <c r="U391">
        <f t="shared" si="8"/>
        <v>16</v>
      </c>
    </row>
    <row r="392" spans="1:21" ht="37.5" customHeight="1" x14ac:dyDescent="0.25">
      <c r="A392" s="1">
        <v>44950</v>
      </c>
      <c r="B392" s="13">
        <v>4</v>
      </c>
      <c r="C392" t="s">
        <v>3</v>
      </c>
      <c r="D392" t="s">
        <v>4</v>
      </c>
      <c r="E392" t="s">
        <v>21</v>
      </c>
      <c r="F392" s="6">
        <v>200564895</v>
      </c>
      <c r="G392" t="s">
        <v>520</v>
      </c>
      <c r="H392" t="s">
        <v>17</v>
      </c>
      <c r="I392">
        <v>0</v>
      </c>
      <c r="J392">
        <v>0</v>
      </c>
      <c r="K392">
        <v>0</v>
      </c>
      <c r="L392">
        <v>0</v>
      </c>
      <c r="M392">
        <v>0.26</v>
      </c>
      <c r="N392" s="7" t="e">
        <f>VLOOKUP(F392,HC!A$6:D$100,3,FALSE)</f>
        <v>#N/A</v>
      </c>
      <c r="O392" s="7" t="str">
        <f>VLOOKUP(F392,HC!A$6:D$1000,2,FALSE)</f>
        <v>hmendobr</v>
      </c>
      <c r="P392" s="7" t="s">
        <v>661</v>
      </c>
      <c r="Q392" s="7" t="s">
        <v>681</v>
      </c>
      <c r="R392" t="s">
        <v>234</v>
      </c>
      <c r="U392">
        <f t="shared" si="8"/>
        <v>16</v>
      </c>
    </row>
    <row r="393" spans="1:21" ht="37.5" customHeight="1" x14ac:dyDescent="0.25">
      <c r="A393" s="1">
        <v>44950</v>
      </c>
      <c r="B393" s="13">
        <v>4</v>
      </c>
      <c r="C393" t="s">
        <v>3</v>
      </c>
      <c r="D393" t="s">
        <v>4</v>
      </c>
      <c r="E393" t="s">
        <v>21</v>
      </c>
      <c r="F393" s="6">
        <v>200625027</v>
      </c>
      <c r="G393" t="s">
        <v>382</v>
      </c>
      <c r="H393" t="s">
        <v>7</v>
      </c>
      <c r="I393">
        <v>0</v>
      </c>
      <c r="J393">
        <v>0</v>
      </c>
      <c r="K393">
        <v>0</v>
      </c>
      <c r="L393">
        <v>0</v>
      </c>
      <c r="M393">
        <v>0.03</v>
      </c>
      <c r="N393" s="7" t="e">
        <f>VLOOKUP(F393,HC!A$6:D$100,3,FALSE)</f>
        <v>#N/A</v>
      </c>
      <c r="O393" s="7" t="e">
        <f>VLOOKUP(F393,HC!A$6:D$1000,2,FALSE)</f>
        <v>#N/A</v>
      </c>
      <c r="P393" s="7" t="s">
        <v>665</v>
      </c>
      <c r="Q393" s="7" t="s">
        <v>722</v>
      </c>
      <c r="R393" t="s">
        <v>384</v>
      </c>
      <c r="U393">
        <f t="shared" si="8"/>
        <v>1395</v>
      </c>
    </row>
    <row r="394" spans="1:21" ht="37.5" customHeight="1" x14ac:dyDescent="0.25">
      <c r="A394" s="1">
        <v>44951</v>
      </c>
      <c r="B394" s="13">
        <v>4</v>
      </c>
      <c r="C394" t="s">
        <v>3</v>
      </c>
      <c r="D394" t="s">
        <v>4</v>
      </c>
      <c r="E394" t="s">
        <v>5</v>
      </c>
      <c r="F394" s="6">
        <v>112912675</v>
      </c>
      <c r="G394" t="s">
        <v>326</v>
      </c>
      <c r="H394" t="s">
        <v>49</v>
      </c>
      <c r="I394">
        <v>0</v>
      </c>
      <c r="J394">
        <v>0</v>
      </c>
      <c r="K394">
        <v>0</v>
      </c>
      <c r="L394">
        <v>0</v>
      </c>
      <c r="M394">
        <v>0.2</v>
      </c>
      <c r="N394" s="7" t="e">
        <f>VLOOKUP(F394,HC!A$6:D$100,3,FALSE)</f>
        <v>#N/A</v>
      </c>
      <c r="O394" s="7" t="e">
        <f>VLOOKUP(F394,HC!A$6:D$1000,2,FALSE)</f>
        <v>#N/A</v>
      </c>
      <c r="P394" s="7"/>
      <c r="Q394" s="7"/>
      <c r="U394">
        <f t="shared" si="8"/>
        <v>1395</v>
      </c>
    </row>
    <row r="395" spans="1:21" ht="37.5" customHeight="1" x14ac:dyDescent="0.25">
      <c r="A395" s="1">
        <v>44951</v>
      </c>
      <c r="B395" s="13">
        <v>4</v>
      </c>
      <c r="C395" t="s">
        <v>3</v>
      </c>
      <c r="D395" t="s">
        <v>4</v>
      </c>
      <c r="E395" t="s">
        <v>5</v>
      </c>
      <c r="F395" s="6">
        <v>112912677</v>
      </c>
      <c r="G395" t="s">
        <v>539</v>
      </c>
      <c r="H395" t="s">
        <v>332</v>
      </c>
      <c r="I395">
        <v>0</v>
      </c>
      <c r="J395">
        <v>0</v>
      </c>
      <c r="K395">
        <v>0</v>
      </c>
      <c r="L395">
        <v>0</v>
      </c>
      <c r="M395">
        <v>0.01</v>
      </c>
      <c r="N395" s="7" t="e">
        <f>VLOOKUP(F395,HC!A$6:D$100,3,FALSE)</f>
        <v>#N/A</v>
      </c>
      <c r="O395" s="7" t="e">
        <f>VLOOKUP(F395,HC!A$6:D$1000,2,FALSE)</f>
        <v>#N/A</v>
      </c>
      <c r="P395" s="7" t="s">
        <v>662</v>
      </c>
      <c r="Q395" s="7" t="s">
        <v>687</v>
      </c>
      <c r="R395" t="s">
        <v>2104</v>
      </c>
      <c r="U395">
        <f t="shared" si="8"/>
        <v>1395</v>
      </c>
    </row>
    <row r="396" spans="1:21" ht="37.5" customHeight="1" x14ac:dyDescent="0.25">
      <c r="A396" s="1">
        <v>44951</v>
      </c>
      <c r="B396" s="13">
        <v>4</v>
      </c>
      <c r="C396" t="s">
        <v>3</v>
      </c>
      <c r="D396" t="s">
        <v>4</v>
      </c>
      <c r="E396" t="s">
        <v>5</v>
      </c>
      <c r="F396" s="6">
        <v>112912752</v>
      </c>
      <c r="G396" t="s">
        <v>251</v>
      </c>
      <c r="H396" t="s">
        <v>268</v>
      </c>
      <c r="I396">
        <v>0</v>
      </c>
      <c r="J396">
        <v>0</v>
      </c>
      <c r="K396">
        <v>0</v>
      </c>
      <c r="L396">
        <v>0</v>
      </c>
      <c r="M396">
        <v>0.49</v>
      </c>
      <c r="N396" s="7" t="str">
        <f>VLOOKUP(F396,HC!A$6:D$100,3,FALSE)</f>
        <v>NF-X1900</v>
      </c>
      <c r="O396" s="7" t="str">
        <f>VLOOKUP(F396,HC!A$6:D$1000,2,FALSE)</f>
        <v>valderle</v>
      </c>
      <c r="P396" s="7" t="s">
        <v>675</v>
      </c>
      <c r="Q396" s="7"/>
      <c r="R396" t="s">
        <v>305</v>
      </c>
      <c r="U396">
        <f t="shared" si="8"/>
        <v>50</v>
      </c>
    </row>
    <row r="397" spans="1:21" ht="37.5" customHeight="1" x14ac:dyDescent="0.25">
      <c r="A397" s="1">
        <v>44951</v>
      </c>
      <c r="B397" s="13">
        <v>4</v>
      </c>
      <c r="C397" t="s">
        <v>3</v>
      </c>
      <c r="D397" t="s">
        <v>4</v>
      </c>
      <c r="E397" t="s">
        <v>5</v>
      </c>
      <c r="F397" s="6">
        <v>112951256</v>
      </c>
      <c r="G397" t="s">
        <v>337</v>
      </c>
      <c r="H397" t="s">
        <v>332</v>
      </c>
      <c r="I397">
        <v>0</v>
      </c>
      <c r="J397">
        <v>0</v>
      </c>
      <c r="K397">
        <v>0</v>
      </c>
      <c r="L397">
        <v>0</v>
      </c>
      <c r="M397">
        <v>0.21</v>
      </c>
      <c r="N397" s="7" t="str">
        <f>VLOOKUP(F397,HC!A$6:D$100,3,FALSE)</f>
        <v>DA-X0700</v>
      </c>
      <c r="O397" s="7" t="str">
        <f>VLOOKUP(F397,HC!A$6:D$1000,2,FALSE)</f>
        <v>grkatery</v>
      </c>
      <c r="P397" s="7" t="s">
        <v>664</v>
      </c>
      <c r="Q397" s="7"/>
      <c r="R397" t="s">
        <v>291</v>
      </c>
      <c r="U397">
        <f t="shared" si="8"/>
        <v>17</v>
      </c>
    </row>
    <row r="398" spans="1:21" ht="37.5" customHeight="1" x14ac:dyDescent="0.25">
      <c r="A398" s="1">
        <v>44951</v>
      </c>
      <c r="B398" s="13">
        <v>4</v>
      </c>
      <c r="C398" t="s">
        <v>3</v>
      </c>
      <c r="D398" t="s">
        <v>4</v>
      </c>
      <c r="E398" t="s">
        <v>5</v>
      </c>
      <c r="F398" s="6">
        <v>112971953</v>
      </c>
      <c r="G398" t="s">
        <v>262</v>
      </c>
      <c r="H398" t="s">
        <v>263</v>
      </c>
      <c r="I398">
        <v>0</v>
      </c>
      <c r="J398">
        <v>0</v>
      </c>
      <c r="K398">
        <v>0</v>
      </c>
      <c r="L398">
        <v>0</v>
      </c>
      <c r="M398">
        <v>0.22</v>
      </c>
      <c r="N398" s="7" t="str">
        <f>VLOOKUP(F398,HC!A$6:D$100,3,FALSE)</f>
        <v>DB-X0700</v>
      </c>
      <c r="O398" s="7" t="str">
        <f>VLOOKUP(F398,HC!A$6:D$1000,2,FALSE)</f>
        <v>anzpalom</v>
      </c>
      <c r="P398" s="7"/>
      <c r="Q398" s="7"/>
      <c r="R398" t="s">
        <v>496</v>
      </c>
      <c r="U398">
        <f t="shared" si="8"/>
        <v>14</v>
      </c>
    </row>
    <row r="399" spans="1:21" ht="37.5" customHeight="1" x14ac:dyDescent="0.25">
      <c r="A399" s="1">
        <v>44951</v>
      </c>
      <c r="B399" s="13">
        <v>4</v>
      </c>
      <c r="C399" t="s">
        <v>3</v>
      </c>
      <c r="D399" t="s">
        <v>4</v>
      </c>
      <c r="E399" t="s">
        <v>5</v>
      </c>
      <c r="F399" s="6">
        <v>112980899</v>
      </c>
      <c r="G399" t="s">
        <v>396</v>
      </c>
      <c r="H399" t="s">
        <v>268</v>
      </c>
      <c r="I399">
        <v>0</v>
      </c>
      <c r="J399">
        <v>0</v>
      </c>
      <c r="K399">
        <v>0</v>
      </c>
      <c r="L399">
        <v>0</v>
      </c>
      <c r="M399">
        <v>0.28999999999999998</v>
      </c>
      <c r="N399" s="7" t="str">
        <f>VLOOKUP(F399,HC!A$6:D$100,3,FALSE)</f>
        <v>NF-X1900</v>
      </c>
      <c r="O399" s="7" t="str">
        <f>VLOOKUP(F399,HC!A$6:D$1000,2,FALSE)</f>
        <v>aravilac</v>
      </c>
      <c r="P399" s="7" t="s">
        <v>661</v>
      </c>
      <c r="Q399" s="7" t="s">
        <v>681</v>
      </c>
      <c r="R399" t="s">
        <v>234</v>
      </c>
      <c r="U399">
        <f t="shared" si="8"/>
        <v>33</v>
      </c>
    </row>
    <row r="400" spans="1:21" ht="37.5" customHeight="1" x14ac:dyDescent="0.25">
      <c r="A400" s="1">
        <v>44951</v>
      </c>
      <c r="B400" s="13">
        <v>4</v>
      </c>
      <c r="C400" t="s">
        <v>3</v>
      </c>
      <c r="D400" t="s">
        <v>4</v>
      </c>
      <c r="E400" t="s">
        <v>5</v>
      </c>
      <c r="F400" s="6">
        <v>112981013</v>
      </c>
      <c r="G400" t="s">
        <v>283</v>
      </c>
      <c r="H400" t="s">
        <v>44</v>
      </c>
      <c r="I400">
        <v>0</v>
      </c>
      <c r="J400">
        <v>0</v>
      </c>
      <c r="K400">
        <v>0</v>
      </c>
      <c r="L400">
        <v>0</v>
      </c>
      <c r="M400">
        <v>0.28000000000000003</v>
      </c>
      <c r="N400" s="7" t="str">
        <f>VLOOKUP(F400,HC!A$6:D$100,3,FALSE)</f>
        <v>DA-X0700</v>
      </c>
      <c r="O400" s="7" t="str">
        <f>VLOOKUP(F400,HC!A$6:D$1000,2,FALSE)</f>
        <v>normaelo</v>
      </c>
      <c r="P400" s="7" t="s">
        <v>661</v>
      </c>
      <c r="Q400" s="7" t="s">
        <v>681</v>
      </c>
      <c r="R400" t="s">
        <v>234</v>
      </c>
      <c r="U400">
        <f t="shared" si="8"/>
        <v>24</v>
      </c>
    </row>
    <row r="401" spans="1:21" ht="37.5" customHeight="1" x14ac:dyDescent="0.25">
      <c r="A401" s="1">
        <v>44951</v>
      </c>
      <c r="B401" s="13">
        <v>4</v>
      </c>
      <c r="C401" t="s">
        <v>3</v>
      </c>
      <c r="D401" t="s">
        <v>4</v>
      </c>
      <c r="E401" t="s">
        <v>5</v>
      </c>
      <c r="F401" s="6">
        <v>112981194</v>
      </c>
      <c r="G401" t="s">
        <v>540</v>
      </c>
      <c r="H401" t="s">
        <v>268</v>
      </c>
      <c r="I401">
        <v>0</v>
      </c>
      <c r="J401">
        <v>0</v>
      </c>
      <c r="K401">
        <v>0</v>
      </c>
      <c r="L401">
        <v>0</v>
      </c>
      <c r="M401">
        <v>0.13</v>
      </c>
      <c r="N401" s="7" t="str">
        <f>VLOOKUP(F401,HC!A$6:D$100,3,FALSE)</f>
        <v>NF-X1900</v>
      </c>
      <c r="O401" s="7" t="str">
        <f>VLOOKUP(F401,HC!A$6:D$1000,2,FALSE)</f>
        <v>csandrak</v>
      </c>
      <c r="P401" s="7" t="s">
        <v>661</v>
      </c>
      <c r="Q401" s="7" t="s">
        <v>681</v>
      </c>
      <c r="R401" t="s">
        <v>234</v>
      </c>
      <c r="U401">
        <f t="shared" si="8"/>
        <v>8</v>
      </c>
    </row>
    <row r="402" spans="1:21" ht="37.5" customHeight="1" x14ac:dyDescent="0.25">
      <c r="A402" s="1">
        <v>44951</v>
      </c>
      <c r="B402" s="13">
        <v>4</v>
      </c>
      <c r="C402" t="s">
        <v>3</v>
      </c>
      <c r="D402" t="s">
        <v>4</v>
      </c>
      <c r="E402" t="s">
        <v>5</v>
      </c>
      <c r="F402" s="6">
        <v>113003637</v>
      </c>
      <c r="G402" t="s">
        <v>541</v>
      </c>
      <c r="H402" t="s">
        <v>298</v>
      </c>
      <c r="I402">
        <v>0</v>
      </c>
      <c r="J402">
        <v>0</v>
      </c>
      <c r="K402">
        <v>0</v>
      </c>
      <c r="L402">
        <v>0</v>
      </c>
      <c r="M402">
        <v>0.28999999999999998</v>
      </c>
      <c r="N402" s="7" t="e">
        <f>VLOOKUP(F402,HC!A$6:D$100,3,FALSE)</f>
        <v>#N/A</v>
      </c>
      <c r="O402" s="7" t="e">
        <f>VLOOKUP(F402,HC!A$6:D$1000,2,FALSE)</f>
        <v>#N/A</v>
      </c>
      <c r="P402" s="7" t="s">
        <v>664</v>
      </c>
      <c r="Q402" s="7"/>
      <c r="R402" t="s">
        <v>291</v>
      </c>
      <c r="U402">
        <f t="shared" si="8"/>
        <v>1395</v>
      </c>
    </row>
    <row r="403" spans="1:21" ht="37.5" customHeight="1" x14ac:dyDescent="0.25">
      <c r="A403" s="1">
        <v>44951</v>
      </c>
      <c r="B403" s="13">
        <v>4</v>
      </c>
      <c r="C403" t="s">
        <v>3</v>
      </c>
      <c r="D403" t="s">
        <v>4</v>
      </c>
      <c r="E403" t="s">
        <v>5</v>
      </c>
      <c r="F403" s="6">
        <v>113004099</v>
      </c>
      <c r="G403" t="s">
        <v>542</v>
      </c>
      <c r="H403" t="s">
        <v>298</v>
      </c>
      <c r="I403">
        <v>0</v>
      </c>
      <c r="J403">
        <v>0</v>
      </c>
      <c r="K403">
        <v>0</v>
      </c>
      <c r="L403">
        <v>0</v>
      </c>
      <c r="M403">
        <v>0.11</v>
      </c>
      <c r="N403" s="7" t="e">
        <f>VLOOKUP(F403,HC!A$6:D$100,3,FALSE)</f>
        <v>#N/A</v>
      </c>
      <c r="O403" s="7" t="str">
        <f>VLOOKUP(F403,HC!A$6:D$1000,2,FALSE)</f>
        <v>partilum</v>
      </c>
      <c r="P403" s="7" t="s">
        <v>661</v>
      </c>
      <c r="Q403" s="7" t="s">
        <v>775</v>
      </c>
      <c r="R403" t="s">
        <v>468</v>
      </c>
      <c r="U403">
        <f t="shared" si="8"/>
        <v>8</v>
      </c>
    </row>
    <row r="404" spans="1:21" ht="37.5" customHeight="1" x14ac:dyDescent="0.25">
      <c r="A404" s="1">
        <v>44951</v>
      </c>
      <c r="B404" s="13">
        <v>4</v>
      </c>
      <c r="C404" t="s">
        <v>3</v>
      </c>
      <c r="D404" t="s">
        <v>4</v>
      </c>
      <c r="E404" t="s">
        <v>5</v>
      </c>
      <c r="F404" s="6">
        <v>113141911</v>
      </c>
      <c r="G404" t="s">
        <v>439</v>
      </c>
      <c r="H404" t="s">
        <v>332</v>
      </c>
      <c r="I404">
        <v>0</v>
      </c>
      <c r="J404">
        <v>0</v>
      </c>
      <c r="K404">
        <v>0</v>
      </c>
      <c r="L404">
        <v>0</v>
      </c>
      <c r="M404">
        <v>0.66</v>
      </c>
      <c r="N404" s="7" t="e">
        <f>VLOOKUP(F404,HC!A$6:D$100,3,FALSE)</f>
        <v>#N/A</v>
      </c>
      <c r="O404" s="7" t="e">
        <f>VLOOKUP(F404,HC!A$6:D$1000,2,FALSE)</f>
        <v>#N/A</v>
      </c>
      <c r="P404" s="7"/>
      <c r="Q404" s="7"/>
      <c r="R404" t="s">
        <v>420</v>
      </c>
      <c r="U404">
        <f t="shared" si="8"/>
        <v>1395</v>
      </c>
    </row>
    <row r="405" spans="1:21" ht="37.5" customHeight="1" x14ac:dyDescent="0.25">
      <c r="A405" s="1">
        <v>44951</v>
      </c>
      <c r="B405" s="13">
        <v>4</v>
      </c>
      <c r="C405" t="s">
        <v>3</v>
      </c>
      <c r="D405" t="s">
        <v>4</v>
      </c>
      <c r="E405" t="s">
        <v>5</v>
      </c>
      <c r="F405" s="6">
        <v>200463510</v>
      </c>
      <c r="G405" t="s">
        <v>502</v>
      </c>
      <c r="H405" t="s">
        <v>298</v>
      </c>
      <c r="I405">
        <v>0</v>
      </c>
      <c r="J405">
        <v>0</v>
      </c>
      <c r="K405">
        <v>0</v>
      </c>
      <c r="L405">
        <v>0</v>
      </c>
      <c r="M405">
        <v>0.14000000000000001</v>
      </c>
      <c r="N405" s="7" t="e">
        <f>VLOOKUP(F405,HC!A$6:D$100,3,FALSE)</f>
        <v>#N/A</v>
      </c>
      <c r="O405" s="7" t="str">
        <f>VLOOKUP(F405,HC!A$6:D$1000,2,FALSE)</f>
        <v>rodrmacj</v>
      </c>
      <c r="P405" s="7" t="s">
        <v>664</v>
      </c>
      <c r="Q405" s="7"/>
      <c r="R405" t="s">
        <v>291</v>
      </c>
      <c r="U405">
        <f t="shared" si="8"/>
        <v>4</v>
      </c>
    </row>
    <row r="406" spans="1:21" ht="37.5" customHeight="1" x14ac:dyDescent="0.25">
      <c r="A406" s="1">
        <v>44951</v>
      </c>
      <c r="B406" s="13">
        <v>4</v>
      </c>
      <c r="C406" t="s">
        <v>3</v>
      </c>
      <c r="D406" t="s">
        <v>4</v>
      </c>
      <c r="E406" t="s">
        <v>21</v>
      </c>
      <c r="F406" s="6">
        <v>200562868</v>
      </c>
      <c r="G406" t="s">
        <v>400</v>
      </c>
      <c r="H406" t="s">
        <v>47</v>
      </c>
      <c r="I406">
        <v>0</v>
      </c>
      <c r="J406">
        <v>0</v>
      </c>
      <c r="K406">
        <v>0</v>
      </c>
      <c r="L406">
        <v>0</v>
      </c>
      <c r="M406">
        <v>0.55000000000000004</v>
      </c>
      <c r="N406" s="7" t="e">
        <f>VLOOKUP(F406,HC!A$6:D$100,3,FALSE)</f>
        <v>#N/A</v>
      </c>
      <c r="O406" s="7" t="e">
        <f>VLOOKUP(F406,HC!A$6:D$1000,2,FALSE)</f>
        <v>#N/A</v>
      </c>
      <c r="P406" s="7" t="s">
        <v>675</v>
      </c>
      <c r="Q406" s="7"/>
      <c r="R406" t="s">
        <v>545</v>
      </c>
      <c r="U406">
        <f t="shared" si="8"/>
        <v>1395</v>
      </c>
    </row>
    <row r="407" spans="1:21" ht="37.5" customHeight="1" x14ac:dyDescent="0.25">
      <c r="A407" s="1">
        <v>44951</v>
      </c>
      <c r="B407" s="13">
        <v>4</v>
      </c>
      <c r="C407" t="s">
        <v>3</v>
      </c>
      <c r="D407" t="s">
        <v>4</v>
      </c>
      <c r="E407" t="s">
        <v>21</v>
      </c>
      <c r="F407" s="6">
        <v>200620341</v>
      </c>
      <c r="G407" t="s">
        <v>255</v>
      </c>
      <c r="H407" t="s">
        <v>47</v>
      </c>
      <c r="I407">
        <v>0</v>
      </c>
      <c r="J407">
        <v>0</v>
      </c>
      <c r="K407">
        <v>0</v>
      </c>
      <c r="L407">
        <v>0</v>
      </c>
      <c r="M407">
        <v>0.42</v>
      </c>
      <c r="N407" s="7" t="e">
        <f>VLOOKUP(F407,HC!A$6:D$100,3,FALSE)</f>
        <v>#N/A</v>
      </c>
      <c r="O407" s="7" t="e">
        <f>VLOOKUP(F407,HC!A$6:D$1000,2,FALSE)</f>
        <v>#N/A</v>
      </c>
      <c r="P407" s="7"/>
      <c r="Q407" s="7"/>
      <c r="U407">
        <f t="shared" si="8"/>
        <v>1395</v>
      </c>
    </row>
    <row r="408" spans="1:21" ht="37.5" customHeight="1" x14ac:dyDescent="0.25">
      <c r="A408" s="1">
        <v>44951</v>
      </c>
      <c r="B408" s="13">
        <v>4</v>
      </c>
      <c r="C408" t="s">
        <v>3</v>
      </c>
      <c r="D408" t="s">
        <v>4</v>
      </c>
      <c r="E408" t="s">
        <v>5</v>
      </c>
      <c r="F408" s="6">
        <v>112920665</v>
      </c>
      <c r="G408" t="s">
        <v>543</v>
      </c>
      <c r="H408" t="s">
        <v>317</v>
      </c>
      <c r="I408">
        <v>0</v>
      </c>
      <c r="J408">
        <v>0</v>
      </c>
      <c r="K408">
        <v>0</v>
      </c>
      <c r="L408">
        <v>0</v>
      </c>
      <c r="M408">
        <v>0.2</v>
      </c>
      <c r="N408" s="7" t="str">
        <f>VLOOKUP(F408,HC!A$6:D$100,3,FALSE)</f>
        <v>DB-X0700</v>
      </c>
      <c r="O408" s="7" t="str">
        <f>VLOOKUP(F408,HC!A$6:D$1000,2,FALSE)</f>
        <v>aguirrak</v>
      </c>
      <c r="P408" s="7" t="s">
        <v>661</v>
      </c>
      <c r="Q408" s="7" t="s">
        <v>681</v>
      </c>
      <c r="R408" t="s">
        <v>234</v>
      </c>
      <c r="U408">
        <f t="shared" si="8"/>
        <v>1</v>
      </c>
    </row>
    <row r="409" spans="1:21" ht="37.5" customHeight="1" x14ac:dyDescent="0.25">
      <c r="A409" s="1">
        <v>44951</v>
      </c>
      <c r="B409" s="13">
        <v>4</v>
      </c>
      <c r="C409" t="s">
        <v>3</v>
      </c>
      <c r="D409" t="s">
        <v>4</v>
      </c>
      <c r="E409" t="s">
        <v>5</v>
      </c>
      <c r="F409" s="6">
        <v>112980835</v>
      </c>
      <c r="G409" t="s">
        <v>357</v>
      </c>
      <c r="H409" t="s">
        <v>317</v>
      </c>
      <c r="I409">
        <v>0</v>
      </c>
      <c r="J409">
        <v>0</v>
      </c>
      <c r="K409">
        <v>0</v>
      </c>
      <c r="L409">
        <v>0</v>
      </c>
      <c r="M409">
        <v>0.46</v>
      </c>
      <c r="N409" s="7" t="e">
        <f>VLOOKUP(F409,HC!A$6:D$100,3,FALSE)</f>
        <v>#N/A</v>
      </c>
      <c r="O409" s="7" t="e">
        <f>VLOOKUP(F409,HC!A$6:D$1000,2,FALSE)</f>
        <v>#N/A</v>
      </c>
      <c r="P409" s="7"/>
      <c r="Q409" s="7"/>
      <c r="R409" t="s">
        <v>418</v>
      </c>
      <c r="S409" s="2" t="s">
        <v>516</v>
      </c>
      <c r="U409">
        <f t="shared" si="8"/>
        <v>1395</v>
      </c>
    </row>
    <row r="410" spans="1:21" ht="37.5" customHeight="1" x14ac:dyDescent="0.25">
      <c r="A410" s="1">
        <v>44951</v>
      </c>
      <c r="B410" s="13">
        <v>4</v>
      </c>
      <c r="C410" t="s">
        <v>3</v>
      </c>
      <c r="D410" t="s">
        <v>4</v>
      </c>
      <c r="E410" t="s">
        <v>5</v>
      </c>
      <c r="F410" s="6">
        <v>113014011</v>
      </c>
      <c r="G410" t="s">
        <v>45</v>
      </c>
      <c r="H410" t="s">
        <v>14</v>
      </c>
      <c r="I410">
        <v>0</v>
      </c>
      <c r="J410">
        <v>0</v>
      </c>
      <c r="K410">
        <v>0</v>
      </c>
      <c r="L410">
        <v>0</v>
      </c>
      <c r="M410">
        <v>0.97</v>
      </c>
      <c r="N410" s="7" t="e">
        <f>VLOOKUP(F410,HC!A$6:D$100,3,FALSE)</f>
        <v>#N/A</v>
      </c>
      <c r="O410" s="7" t="e">
        <f>VLOOKUP(F410,HC!A$6:D$1000,2,FALSE)</f>
        <v>#N/A</v>
      </c>
      <c r="P410" s="7"/>
      <c r="Q410" s="7"/>
      <c r="R410" t="s">
        <v>420</v>
      </c>
      <c r="U410">
        <f t="shared" si="8"/>
        <v>1395</v>
      </c>
    </row>
    <row r="411" spans="1:21" ht="37.5" customHeight="1" x14ac:dyDescent="0.25">
      <c r="A411" s="1">
        <v>44951</v>
      </c>
      <c r="B411" s="13">
        <v>4</v>
      </c>
      <c r="C411" t="s">
        <v>3</v>
      </c>
      <c r="D411" t="s">
        <v>4</v>
      </c>
      <c r="E411" t="s">
        <v>5</v>
      </c>
      <c r="F411" s="6">
        <v>113014081</v>
      </c>
      <c r="G411" t="s">
        <v>267</v>
      </c>
      <c r="H411" t="s">
        <v>17</v>
      </c>
      <c r="I411">
        <v>0</v>
      </c>
      <c r="J411">
        <v>0</v>
      </c>
      <c r="K411">
        <v>0</v>
      </c>
      <c r="L411">
        <v>0</v>
      </c>
      <c r="M411">
        <v>7.0000000000000007E-2</v>
      </c>
      <c r="N411" s="7" t="e">
        <f>VLOOKUP(F411,HC!A$6:D$100,3,FALSE)</f>
        <v>#N/A</v>
      </c>
      <c r="O411" s="7" t="str">
        <f>VLOOKUP(F411,HC!A$6:D$1000,2,FALSE)</f>
        <v>fraugene</v>
      </c>
      <c r="P411" s="7" t="s">
        <v>664</v>
      </c>
      <c r="Q411" s="7"/>
      <c r="R411" t="s">
        <v>25</v>
      </c>
      <c r="U411">
        <f t="shared" si="8"/>
        <v>32</v>
      </c>
    </row>
    <row r="412" spans="1:21" ht="37.5" customHeight="1" x14ac:dyDescent="0.25">
      <c r="A412" s="1">
        <v>44951</v>
      </c>
      <c r="B412" s="13">
        <v>4</v>
      </c>
      <c r="C412" t="s">
        <v>3</v>
      </c>
      <c r="D412" t="s">
        <v>4</v>
      </c>
      <c r="E412" t="s">
        <v>5</v>
      </c>
      <c r="F412" s="6">
        <v>200404250</v>
      </c>
      <c r="G412" t="s">
        <v>51</v>
      </c>
      <c r="H412" t="s">
        <v>14</v>
      </c>
      <c r="I412">
        <v>0</v>
      </c>
      <c r="J412">
        <v>0</v>
      </c>
      <c r="K412">
        <v>0</v>
      </c>
      <c r="L412">
        <v>0</v>
      </c>
      <c r="M412">
        <v>0.51</v>
      </c>
      <c r="N412" s="7" t="e">
        <f>VLOOKUP(F412,HC!A$6:D$100,3,FALSE)</f>
        <v>#N/A</v>
      </c>
      <c r="O412" s="7" t="str">
        <f>VLOOKUP(F412,HC!A$6:D$1000,2,FALSE)</f>
        <v>xcathurt</v>
      </c>
      <c r="P412" s="7" t="s">
        <v>662</v>
      </c>
      <c r="Q412" s="7" t="s">
        <v>785</v>
      </c>
      <c r="R412" t="s">
        <v>235</v>
      </c>
      <c r="S412" s="2" t="s">
        <v>546</v>
      </c>
      <c r="U412">
        <f t="shared" si="8"/>
        <v>124</v>
      </c>
    </row>
    <row r="413" spans="1:21" ht="37.5" customHeight="1" x14ac:dyDescent="0.25">
      <c r="A413" s="1">
        <v>44951</v>
      </c>
      <c r="B413" s="13">
        <v>4</v>
      </c>
      <c r="C413" t="s">
        <v>3</v>
      </c>
      <c r="D413" t="s">
        <v>4</v>
      </c>
      <c r="E413" t="s">
        <v>21</v>
      </c>
      <c r="F413" s="6">
        <v>200588981</v>
      </c>
      <c r="G413" t="s">
        <v>381</v>
      </c>
      <c r="H413" t="s">
        <v>17</v>
      </c>
      <c r="I413">
        <v>0</v>
      </c>
      <c r="J413">
        <v>0</v>
      </c>
      <c r="K413">
        <v>0</v>
      </c>
      <c r="L413">
        <v>0</v>
      </c>
      <c r="M413">
        <v>0.54</v>
      </c>
      <c r="N413" s="7" t="e">
        <f>VLOOKUP(F413,HC!A$6:D$100,3,FALSE)</f>
        <v>#N/A</v>
      </c>
      <c r="O413" s="7" t="e">
        <f>VLOOKUP(F413,HC!A$6:D$1000,2,FALSE)</f>
        <v>#N/A</v>
      </c>
      <c r="P413" s="7" t="s">
        <v>664</v>
      </c>
      <c r="Q413" s="7"/>
      <c r="R413" t="s">
        <v>498</v>
      </c>
      <c r="U413">
        <f t="shared" si="8"/>
        <v>1395</v>
      </c>
    </row>
    <row r="414" spans="1:21" ht="37.5" customHeight="1" x14ac:dyDescent="0.25">
      <c r="A414" s="1">
        <v>44952</v>
      </c>
      <c r="B414" s="13">
        <v>4</v>
      </c>
      <c r="C414" t="s">
        <v>3</v>
      </c>
      <c r="D414" t="s">
        <v>4</v>
      </c>
      <c r="E414" t="s">
        <v>5</v>
      </c>
      <c r="F414" s="6">
        <v>112912464</v>
      </c>
      <c r="G414" t="s">
        <v>531</v>
      </c>
      <c r="H414" t="s">
        <v>253</v>
      </c>
      <c r="I414">
        <v>0</v>
      </c>
      <c r="J414">
        <v>0</v>
      </c>
      <c r="K414">
        <v>0</v>
      </c>
      <c r="L414">
        <v>0</v>
      </c>
      <c r="M414">
        <v>1.28</v>
      </c>
      <c r="N414" s="7" t="e">
        <f>VLOOKUP(F414,HC!A$6:D$100,3,FALSE)</f>
        <v>#N/A</v>
      </c>
      <c r="O414" s="7" t="e">
        <f>VLOOKUP(F414,HC!A$6:D$1000,2,FALSE)</f>
        <v>#N/A</v>
      </c>
      <c r="P414" s="7" t="s">
        <v>664</v>
      </c>
      <c r="Q414" s="7"/>
      <c r="R414" t="s">
        <v>405</v>
      </c>
      <c r="U414">
        <f t="shared" si="8"/>
        <v>1395</v>
      </c>
    </row>
    <row r="415" spans="1:21" ht="37.5" customHeight="1" x14ac:dyDescent="0.25">
      <c r="A415" s="1">
        <v>44952</v>
      </c>
      <c r="B415" s="13">
        <v>4</v>
      </c>
      <c r="C415" t="s">
        <v>3</v>
      </c>
      <c r="D415" t="s">
        <v>4</v>
      </c>
      <c r="E415" t="s">
        <v>5</v>
      </c>
      <c r="F415" s="6">
        <v>112912509</v>
      </c>
      <c r="G415" t="s">
        <v>295</v>
      </c>
      <c r="H415" t="s">
        <v>7</v>
      </c>
      <c r="I415">
        <v>0</v>
      </c>
      <c r="J415">
        <v>0</v>
      </c>
      <c r="K415">
        <v>0</v>
      </c>
      <c r="L415">
        <v>0</v>
      </c>
      <c r="M415">
        <v>0.39</v>
      </c>
      <c r="N415" s="7" t="e">
        <f>VLOOKUP(F415,HC!A$6:D$100,3,FALSE)</f>
        <v>#N/A</v>
      </c>
      <c r="O415" s="7" t="e">
        <f>VLOOKUP(F415,HC!A$6:D$1000,2,FALSE)</f>
        <v>#N/A</v>
      </c>
      <c r="P415" s="7" t="s">
        <v>664</v>
      </c>
      <c r="Q415" s="7"/>
      <c r="R415" t="s">
        <v>594</v>
      </c>
      <c r="U415">
        <f t="shared" si="8"/>
        <v>1395</v>
      </c>
    </row>
    <row r="416" spans="1:21" ht="37.5" customHeight="1" x14ac:dyDescent="0.25">
      <c r="A416" s="1">
        <v>44952</v>
      </c>
      <c r="B416" s="13">
        <v>4</v>
      </c>
      <c r="C416" t="s">
        <v>3</v>
      </c>
      <c r="D416" t="s">
        <v>4</v>
      </c>
      <c r="E416" t="s">
        <v>5</v>
      </c>
      <c r="F416" s="6">
        <v>112980835</v>
      </c>
      <c r="G416" t="s">
        <v>357</v>
      </c>
      <c r="H416" t="s">
        <v>317</v>
      </c>
      <c r="I416">
        <v>0</v>
      </c>
      <c r="J416">
        <v>0</v>
      </c>
      <c r="K416">
        <v>0</v>
      </c>
      <c r="L416">
        <v>0</v>
      </c>
      <c r="M416">
        <v>1.61</v>
      </c>
      <c r="N416" s="7" t="e">
        <f>VLOOKUP(F416,HC!A$6:D$100,3,FALSE)</f>
        <v>#N/A</v>
      </c>
      <c r="O416" s="7" t="e">
        <f>VLOOKUP(F416,HC!A$6:D$1000,2,FALSE)</f>
        <v>#N/A</v>
      </c>
      <c r="P416" s="7" t="s">
        <v>662</v>
      </c>
      <c r="Q416" s="7" t="s">
        <v>691</v>
      </c>
      <c r="R416" t="s">
        <v>393</v>
      </c>
      <c r="U416">
        <f t="shared" si="8"/>
        <v>1395</v>
      </c>
    </row>
    <row r="417" spans="1:21" ht="37.5" customHeight="1" x14ac:dyDescent="0.25">
      <c r="A417" s="1">
        <v>44952</v>
      </c>
      <c r="B417" s="13">
        <v>4</v>
      </c>
      <c r="C417" t="s">
        <v>3</v>
      </c>
      <c r="D417" t="s">
        <v>4</v>
      </c>
      <c r="E417" t="s">
        <v>5</v>
      </c>
      <c r="F417" s="6">
        <v>113014081</v>
      </c>
      <c r="G417" t="s">
        <v>267</v>
      </c>
      <c r="H417" t="s">
        <v>17</v>
      </c>
      <c r="I417">
        <v>0</v>
      </c>
      <c r="J417">
        <v>0</v>
      </c>
      <c r="K417">
        <v>0</v>
      </c>
      <c r="L417">
        <v>0</v>
      </c>
      <c r="M417">
        <v>0.41</v>
      </c>
      <c r="N417" s="7" t="e">
        <f>VLOOKUP(F417,HC!A$6:D$100,3,FALSE)</f>
        <v>#N/A</v>
      </c>
      <c r="O417" s="7" t="str">
        <f>VLOOKUP(F417,HC!A$6:D$1000,2,FALSE)</f>
        <v>fraugene</v>
      </c>
      <c r="P417" s="7" t="s">
        <v>664</v>
      </c>
      <c r="Q417" s="7"/>
      <c r="R417" t="s">
        <v>548</v>
      </c>
      <c r="S417" s="2" t="s">
        <v>516</v>
      </c>
      <c r="U417">
        <f t="shared" si="8"/>
        <v>32</v>
      </c>
    </row>
    <row r="418" spans="1:21" ht="37.5" customHeight="1" x14ac:dyDescent="0.25">
      <c r="A418" s="1">
        <v>44952</v>
      </c>
      <c r="B418" s="13">
        <v>4</v>
      </c>
      <c r="C418" t="s">
        <v>3</v>
      </c>
      <c r="D418" t="s">
        <v>4</v>
      </c>
      <c r="E418" t="s">
        <v>5</v>
      </c>
      <c r="F418" s="6">
        <v>113052151</v>
      </c>
      <c r="G418" t="s">
        <v>482</v>
      </c>
      <c r="H418" t="s">
        <v>317</v>
      </c>
      <c r="I418">
        <v>0</v>
      </c>
      <c r="J418">
        <v>0</v>
      </c>
      <c r="K418">
        <v>0</v>
      </c>
      <c r="L418">
        <v>0</v>
      </c>
      <c r="M418">
        <v>0.23</v>
      </c>
      <c r="N418" s="7" t="e">
        <f>VLOOKUP(F418,HC!A$6:D$100,3,FALSE)</f>
        <v>#N/A</v>
      </c>
      <c r="O418" s="7" t="str">
        <f>VLOOKUP(F418,HC!A$6:D$1000,2,FALSE)</f>
        <v>nilaurab</v>
      </c>
      <c r="P418" s="7"/>
      <c r="Q418" s="7"/>
      <c r="U418">
        <f t="shared" si="8"/>
        <v>28</v>
      </c>
    </row>
    <row r="419" spans="1:21" ht="37.5" customHeight="1" x14ac:dyDescent="0.25">
      <c r="A419" s="1">
        <v>44952</v>
      </c>
      <c r="B419" s="13">
        <v>4</v>
      </c>
      <c r="C419" t="s">
        <v>3</v>
      </c>
      <c r="D419" t="s">
        <v>4</v>
      </c>
      <c r="E419" t="s">
        <v>5</v>
      </c>
      <c r="F419" s="6">
        <v>200404250</v>
      </c>
      <c r="G419" t="s">
        <v>51</v>
      </c>
      <c r="H419" t="s">
        <v>14</v>
      </c>
      <c r="I419">
        <v>0</v>
      </c>
      <c r="J419">
        <v>0</v>
      </c>
      <c r="K419">
        <v>0</v>
      </c>
      <c r="L419">
        <v>0</v>
      </c>
      <c r="M419">
        <v>0.63</v>
      </c>
      <c r="N419" s="7" t="e">
        <f>VLOOKUP(F419,HC!A$6:D$100,3,FALSE)</f>
        <v>#N/A</v>
      </c>
      <c r="O419" s="7" t="str">
        <f>VLOOKUP(F419,HC!A$6:D$1000,2,FALSE)</f>
        <v>xcathurt</v>
      </c>
      <c r="P419" s="7" t="s">
        <v>662</v>
      </c>
      <c r="Q419" s="7" t="s">
        <v>785</v>
      </c>
      <c r="R419" t="s">
        <v>235</v>
      </c>
      <c r="S419" s="2" t="s">
        <v>546</v>
      </c>
      <c r="U419">
        <f t="shared" si="8"/>
        <v>124</v>
      </c>
    </row>
    <row r="420" spans="1:21" ht="37.5" customHeight="1" x14ac:dyDescent="0.25">
      <c r="A420" s="1">
        <v>44952</v>
      </c>
      <c r="B420" s="13">
        <v>4</v>
      </c>
      <c r="C420" t="s">
        <v>3</v>
      </c>
      <c r="D420" t="s">
        <v>401</v>
      </c>
      <c r="E420" t="s">
        <v>5</v>
      </c>
      <c r="F420" s="6">
        <v>113040574</v>
      </c>
      <c r="G420" t="s">
        <v>547</v>
      </c>
      <c r="H420" t="s">
        <v>24</v>
      </c>
      <c r="I420">
        <v>0</v>
      </c>
      <c r="J420">
        <v>0</v>
      </c>
      <c r="K420">
        <v>0</v>
      </c>
      <c r="L420">
        <v>0</v>
      </c>
      <c r="M420">
        <v>0.25</v>
      </c>
      <c r="N420" s="7" t="e">
        <f>VLOOKUP(F420,HC!A$6:D$100,3,FALSE)</f>
        <v>#N/A</v>
      </c>
      <c r="O420" s="7" t="e">
        <f>VLOOKUP(F420,HC!A$6:D$1000,2,FALSE)</f>
        <v>#N/A</v>
      </c>
      <c r="P420" s="7"/>
      <c r="Q420" s="7"/>
      <c r="R420" s="16" t="s">
        <v>446</v>
      </c>
      <c r="U420">
        <f t="shared" si="8"/>
        <v>1395</v>
      </c>
    </row>
    <row r="421" spans="1:21" ht="37.5" customHeight="1" x14ac:dyDescent="0.25">
      <c r="A421" s="1">
        <v>44952</v>
      </c>
      <c r="B421" s="13">
        <v>4</v>
      </c>
      <c r="C421" t="s">
        <v>3</v>
      </c>
      <c r="D421" t="s">
        <v>4</v>
      </c>
      <c r="E421" t="s">
        <v>5</v>
      </c>
      <c r="F421" s="6">
        <v>112971953</v>
      </c>
      <c r="G421" t="s">
        <v>262</v>
      </c>
      <c r="H421" t="s">
        <v>263</v>
      </c>
      <c r="I421">
        <v>0</v>
      </c>
      <c r="J421">
        <v>0</v>
      </c>
      <c r="K421">
        <v>0</v>
      </c>
      <c r="L421">
        <v>0</v>
      </c>
      <c r="M421">
        <v>0.28000000000000003</v>
      </c>
      <c r="N421" s="7" t="str">
        <f>VLOOKUP(F421,HC!A$6:D$100,3,FALSE)</f>
        <v>DB-X0700</v>
      </c>
      <c r="O421" s="7" t="str">
        <f>VLOOKUP(F421,HC!A$6:D$1000,2,FALSE)</f>
        <v>anzpalom</v>
      </c>
      <c r="P421" s="7"/>
      <c r="Q421" s="7"/>
      <c r="R421" t="s">
        <v>496</v>
      </c>
      <c r="U421">
        <f t="shared" si="8"/>
        <v>14</v>
      </c>
    </row>
    <row r="422" spans="1:21" ht="37.5" customHeight="1" x14ac:dyDescent="0.25">
      <c r="A422" s="1">
        <v>44952</v>
      </c>
      <c r="B422" s="13">
        <v>4</v>
      </c>
      <c r="C422" t="s">
        <v>3</v>
      </c>
      <c r="D422" t="s">
        <v>4</v>
      </c>
      <c r="E422" t="s">
        <v>5</v>
      </c>
      <c r="F422" s="6">
        <v>112972524</v>
      </c>
      <c r="G422" t="s">
        <v>312</v>
      </c>
      <c r="H422" t="s">
        <v>263</v>
      </c>
      <c r="I422">
        <v>0</v>
      </c>
      <c r="J422">
        <v>0</v>
      </c>
      <c r="K422">
        <v>0</v>
      </c>
      <c r="L422">
        <v>0</v>
      </c>
      <c r="M422">
        <v>0.12</v>
      </c>
      <c r="N422" s="7" t="str">
        <f>VLOOKUP(F422,HC!A$6:D$100,3,FALSE)</f>
        <v>DB-X0700</v>
      </c>
      <c r="O422" s="7" t="str">
        <f>VLOOKUP(F422,HC!A$6:D$1000,2,FALSE)</f>
        <v>csantibl</v>
      </c>
      <c r="P422" s="7"/>
      <c r="Q422" s="7"/>
      <c r="R422" t="s">
        <v>420</v>
      </c>
      <c r="U422">
        <f t="shared" si="8"/>
        <v>17</v>
      </c>
    </row>
    <row r="423" spans="1:21" ht="37.5" customHeight="1" x14ac:dyDescent="0.25">
      <c r="A423" s="1">
        <v>44952</v>
      </c>
      <c r="B423" s="13">
        <v>4</v>
      </c>
      <c r="C423" t="s">
        <v>3</v>
      </c>
      <c r="D423" t="s">
        <v>4</v>
      </c>
      <c r="E423" t="s">
        <v>5</v>
      </c>
      <c r="F423" s="6">
        <v>112984442</v>
      </c>
      <c r="G423" t="s">
        <v>315</v>
      </c>
      <c r="H423" t="s">
        <v>268</v>
      </c>
      <c r="I423">
        <v>0</v>
      </c>
      <c r="J423">
        <v>0</v>
      </c>
      <c r="K423">
        <v>0</v>
      </c>
      <c r="L423">
        <v>0</v>
      </c>
      <c r="M423">
        <v>0.32</v>
      </c>
      <c r="N423" s="7" t="e">
        <f>VLOOKUP(F423,HC!A$6:D$100,3,FALSE)</f>
        <v>#N/A</v>
      </c>
      <c r="O423" s="7" t="e">
        <f>VLOOKUP(F423,HC!A$6:D$1000,2,FALSE)</f>
        <v>#N/A</v>
      </c>
      <c r="P423" s="7" t="s">
        <v>662</v>
      </c>
      <c r="Q423" s="7" t="s">
        <v>687</v>
      </c>
      <c r="R423" t="s">
        <v>2104</v>
      </c>
      <c r="U423">
        <f t="shared" si="8"/>
        <v>1395</v>
      </c>
    </row>
    <row r="424" spans="1:21" ht="37.5" customHeight="1" x14ac:dyDescent="0.25">
      <c r="A424" s="1">
        <v>44952</v>
      </c>
      <c r="B424" s="13">
        <v>4</v>
      </c>
      <c r="C424" t="s">
        <v>3</v>
      </c>
      <c r="D424" t="s">
        <v>4</v>
      </c>
      <c r="E424" t="s">
        <v>5</v>
      </c>
      <c r="F424" s="6">
        <v>113020476</v>
      </c>
      <c r="G424" t="s">
        <v>330</v>
      </c>
      <c r="H424" t="s">
        <v>298</v>
      </c>
      <c r="I424">
        <v>0</v>
      </c>
      <c r="J424">
        <v>0</v>
      </c>
      <c r="K424">
        <v>0</v>
      </c>
      <c r="L424">
        <v>0</v>
      </c>
      <c r="M424">
        <v>0.15</v>
      </c>
      <c r="N424" s="7" t="e">
        <f>VLOOKUP(F424,HC!A$6:D$100,3,FALSE)</f>
        <v>#N/A</v>
      </c>
      <c r="O424" s="7" t="str">
        <f>VLOOKUP(F424,HC!A$6:D$1000,2,FALSE)</f>
        <v>polettpu</v>
      </c>
      <c r="P424" s="7" t="s">
        <v>664</v>
      </c>
      <c r="Q424" s="7"/>
      <c r="R424" t="s">
        <v>549</v>
      </c>
      <c r="U424">
        <f t="shared" si="8"/>
        <v>55</v>
      </c>
    </row>
    <row r="425" spans="1:21" ht="37.5" customHeight="1" x14ac:dyDescent="0.25">
      <c r="A425" s="1">
        <v>44952</v>
      </c>
      <c r="B425" s="13">
        <v>4</v>
      </c>
      <c r="C425" t="s">
        <v>3</v>
      </c>
      <c r="D425" t="s">
        <v>4</v>
      </c>
      <c r="E425" t="s">
        <v>5</v>
      </c>
      <c r="F425" s="6">
        <v>200464838</v>
      </c>
      <c r="G425" t="s">
        <v>358</v>
      </c>
      <c r="H425" t="s">
        <v>49</v>
      </c>
      <c r="I425">
        <v>0</v>
      </c>
      <c r="J425">
        <v>0</v>
      </c>
      <c r="K425">
        <v>0</v>
      </c>
      <c r="L425">
        <v>0</v>
      </c>
      <c r="M425">
        <v>0.1</v>
      </c>
      <c r="N425" s="7" t="e">
        <f>VLOOKUP(F425,HC!A$6:D$100,3,FALSE)</f>
        <v>#N/A</v>
      </c>
      <c r="O425" s="7" t="str">
        <f>VLOOKUP(F425,HC!A$6:D$1000,2,FALSE)</f>
        <v>ortfernj</v>
      </c>
      <c r="P425" s="7" t="s">
        <v>661</v>
      </c>
      <c r="Q425" s="7" t="s">
        <v>681</v>
      </c>
      <c r="R425" t="s">
        <v>234</v>
      </c>
      <c r="U425">
        <f t="shared" si="8"/>
        <v>9</v>
      </c>
    </row>
    <row r="426" spans="1:21" ht="37.5" customHeight="1" x14ac:dyDescent="0.25">
      <c r="A426" s="1">
        <v>44952</v>
      </c>
      <c r="B426" s="13">
        <v>4</v>
      </c>
      <c r="C426" t="s">
        <v>3</v>
      </c>
      <c r="D426" t="s">
        <v>4</v>
      </c>
      <c r="E426" t="s">
        <v>21</v>
      </c>
      <c r="F426" s="6">
        <v>200508315</v>
      </c>
      <c r="G426" t="s">
        <v>428</v>
      </c>
      <c r="H426" t="s">
        <v>298</v>
      </c>
      <c r="I426">
        <v>0</v>
      </c>
      <c r="J426">
        <v>0</v>
      </c>
      <c r="K426">
        <v>0</v>
      </c>
      <c r="L426">
        <v>0</v>
      </c>
      <c r="M426">
        <v>0.45</v>
      </c>
      <c r="N426" s="7" t="e">
        <f>VLOOKUP(F426,HC!A$6:D$100,3,FALSE)</f>
        <v>#N/A</v>
      </c>
      <c r="O426" s="7" t="str">
        <f>VLOOKUP(F426,HC!A$6:D$1000,2,FALSE)</f>
        <v>taldaher</v>
      </c>
      <c r="P426" s="7"/>
      <c r="Q426" s="7"/>
      <c r="R426" t="s">
        <v>550</v>
      </c>
      <c r="U426">
        <f t="shared" si="8"/>
        <v>18</v>
      </c>
    </row>
    <row r="427" spans="1:21" ht="37.5" customHeight="1" x14ac:dyDescent="0.25">
      <c r="A427" s="1">
        <v>44953</v>
      </c>
      <c r="B427" s="13">
        <v>4</v>
      </c>
      <c r="C427" t="s">
        <v>3</v>
      </c>
      <c r="D427" t="s">
        <v>4</v>
      </c>
      <c r="E427" t="s">
        <v>5</v>
      </c>
      <c r="F427" s="6">
        <v>112912663</v>
      </c>
      <c r="G427" t="s">
        <v>8</v>
      </c>
      <c r="H427" t="s">
        <v>403</v>
      </c>
      <c r="I427">
        <v>0</v>
      </c>
      <c r="J427">
        <v>0</v>
      </c>
      <c r="K427">
        <v>0</v>
      </c>
      <c r="L427">
        <v>0</v>
      </c>
      <c r="M427">
        <v>0.84</v>
      </c>
      <c r="N427" s="7" t="e">
        <f>VLOOKUP(F427,HC!A$6:D$100,3,FALSE)</f>
        <v>#N/A</v>
      </c>
      <c r="O427" s="7" t="e">
        <f>VLOOKUP(F427,HC!A$6:D$1000,2,FALSE)</f>
        <v>#N/A</v>
      </c>
      <c r="P427" s="7"/>
      <c r="Q427" s="7"/>
      <c r="R427" t="s">
        <v>420</v>
      </c>
      <c r="U427">
        <f t="shared" si="8"/>
        <v>1395</v>
      </c>
    </row>
    <row r="428" spans="1:21" ht="37.5" customHeight="1" x14ac:dyDescent="0.25">
      <c r="A428" s="1">
        <v>44953</v>
      </c>
      <c r="B428" s="13">
        <v>4</v>
      </c>
      <c r="C428" t="s">
        <v>3</v>
      </c>
      <c r="D428" t="s">
        <v>4</v>
      </c>
      <c r="E428" t="s">
        <v>5</v>
      </c>
      <c r="F428" s="6">
        <v>112971955</v>
      </c>
      <c r="G428" t="s">
        <v>551</v>
      </c>
      <c r="H428" t="s">
        <v>253</v>
      </c>
      <c r="I428">
        <v>0</v>
      </c>
      <c r="J428">
        <v>0</v>
      </c>
      <c r="K428">
        <v>0</v>
      </c>
      <c r="L428">
        <v>0</v>
      </c>
      <c r="M428">
        <v>0.78</v>
      </c>
      <c r="N428" s="7" t="e">
        <f>VLOOKUP(F428,HC!A$6:D$100,3,FALSE)</f>
        <v>#N/A</v>
      </c>
      <c r="O428" s="7" t="e">
        <f>VLOOKUP(F428,HC!A$6:D$1000,2,FALSE)</f>
        <v>#N/A</v>
      </c>
      <c r="P428" s="7" t="s">
        <v>664</v>
      </c>
      <c r="Q428" s="7"/>
      <c r="R428" t="s">
        <v>554</v>
      </c>
      <c r="U428">
        <f t="shared" si="8"/>
        <v>1395</v>
      </c>
    </row>
    <row r="429" spans="1:21" ht="37.5" customHeight="1" x14ac:dyDescent="0.25">
      <c r="A429" s="1">
        <v>44953</v>
      </c>
      <c r="B429" s="13">
        <v>4</v>
      </c>
      <c r="C429" t="s">
        <v>3</v>
      </c>
      <c r="D429" t="s">
        <v>4</v>
      </c>
      <c r="E429" t="s">
        <v>5</v>
      </c>
      <c r="F429" s="6">
        <v>112984442</v>
      </c>
      <c r="G429" t="s">
        <v>315</v>
      </c>
      <c r="H429" t="s">
        <v>268</v>
      </c>
      <c r="I429">
        <v>0</v>
      </c>
      <c r="J429">
        <v>0</v>
      </c>
      <c r="K429">
        <v>0</v>
      </c>
      <c r="L429">
        <v>0</v>
      </c>
      <c r="M429">
        <v>0.18</v>
      </c>
      <c r="N429" s="7" t="e">
        <f>VLOOKUP(F429,HC!A$6:D$100,3,FALSE)</f>
        <v>#N/A</v>
      </c>
      <c r="O429" s="7" t="e">
        <f>VLOOKUP(F429,HC!A$6:D$1000,2,FALSE)</f>
        <v>#N/A</v>
      </c>
      <c r="P429" s="7" t="s">
        <v>661</v>
      </c>
      <c r="Q429" s="7" t="s">
        <v>681</v>
      </c>
      <c r="R429" t="s">
        <v>234</v>
      </c>
      <c r="U429">
        <f t="shared" si="8"/>
        <v>1395</v>
      </c>
    </row>
    <row r="430" spans="1:21" ht="37.5" customHeight="1" x14ac:dyDescent="0.25">
      <c r="A430" s="1">
        <v>44953</v>
      </c>
      <c r="B430" s="13">
        <v>4</v>
      </c>
      <c r="C430" t="s">
        <v>3</v>
      </c>
      <c r="D430" t="s">
        <v>4</v>
      </c>
      <c r="E430" t="s">
        <v>5</v>
      </c>
      <c r="F430" s="6">
        <v>113003637</v>
      </c>
      <c r="G430" t="s">
        <v>541</v>
      </c>
      <c r="H430" t="s">
        <v>298</v>
      </c>
      <c r="I430">
        <v>0</v>
      </c>
      <c r="J430">
        <v>0</v>
      </c>
      <c r="K430">
        <v>0</v>
      </c>
      <c r="L430">
        <v>0</v>
      </c>
      <c r="M430">
        <v>1.1100000000000001</v>
      </c>
      <c r="N430" s="7" t="e">
        <f>VLOOKUP(F430,HC!A$6:D$100,3,FALSE)</f>
        <v>#N/A</v>
      </c>
      <c r="O430" s="7" t="e">
        <f>VLOOKUP(F430,HC!A$6:D$1000,2,FALSE)</f>
        <v>#N/A</v>
      </c>
      <c r="P430" s="7"/>
      <c r="Q430" s="7"/>
      <c r="R430" t="s">
        <v>420</v>
      </c>
      <c r="U430">
        <f t="shared" si="8"/>
        <v>1395</v>
      </c>
    </row>
    <row r="431" spans="1:21" ht="37.5" customHeight="1" x14ac:dyDescent="0.25">
      <c r="A431" s="1">
        <v>44953</v>
      </c>
      <c r="B431" s="13">
        <v>4</v>
      </c>
      <c r="C431" t="s">
        <v>3</v>
      </c>
      <c r="D431" t="s">
        <v>4</v>
      </c>
      <c r="E431" t="s">
        <v>5</v>
      </c>
      <c r="F431" s="6">
        <v>113014092</v>
      </c>
      <c r="G431" t="s">
        <v>552</v>
      </c>
      <c r="H431" t="s">
        <v>298</v>
      </c>
      <c r="I431">
        <v>0</v>
      </c>
      <c r="J431">
        <v>0</v>
      </c>
      <c r="K431">
        <v>0</v>
      </c>
      <c r="L431">
        <v>0</v>
      </c>
      <c r="M431">
        <v>0.62</v>
      </c>
      <c r="N431" s="7" t="e">
        <f>VLOOKUP(F431,HC!A$6:D$100,3,FALSE)</f>
        <v>#N/A</v>
      </c>
      <c r="O431" s="7" t="str">
        <f>VLOOKUP(F431,HC!A$6:D$1000,2,FALSE)</f>
        <v>rsanccri</v>
      </c>
      <c r="P431" t="s">
        <v>665</v>
      </c>
      <c r="Q431" s="7" t="s">
        <v>722</v>
      </c>
      <c r="R431" t="s">
        <v>499</v>
      </c>
      <c r="U431">
        <f t="shared" si="8"/>
        <v>11</v>
      </c>
    </row>
    <row r="432" spans="1:21" ht="37.5" customHeight="1" x14ac:dyDescent="0.25">
      <c r="A432" s="1">
        <v>44953</v>
      </c>
      <c r="B432" s="13">
        <v>4</v>
      </c>
      <c r="C432" t="s">
        <v>3</v>
      </c>
      <c r="D432" t="s">
        <v>4</v>
      </c>
      <c r="E432" t="s">
        <v>5</v>
      </c>
      <c r="F432" s="6">
        <v>113020476</v>
      </c>
      <c r="G432" t="s">
        <v>330</v>
      </c>
      <c r="H432" t="s">
        <v>298</v>
      </c>
      <c r="I432">
        <v>0</v>
      </c>
      <c r="J432">
        <v>0</v>
      </c>
      <c r="K432">
        <v>0</v>
      </c>
      <c r="L432">
        <v>0</v>
      </c>
      <c r="M432">
        <v>0.33</v>
      </c>
      <c r="N432" s="7" t="e">
        <f>VLOOKUP(F432,HC!A$6:D$100,3,FALSE)</f>
        <v>#N/A</v>
      </c>
      <c r="O432" s="7" t="str">
        <f>VLOOKUP(F432,HC!A$6:D$1000,2,FALSE)</f>
        <v>polettpu</v>
      </c>
      <c r="P432" s="7" t="s">
        <v>664</v>
      </c>
      <c r="Q432" s="7"/>
      <c r="R432" t="s">
        <v>549</v>
      </c>
      <c r="U432">
        <f t="shared" si="8"/>
        <v>55</v>
      </c>
    </row>
    <row r="433" spans="1:21" ht="37.5" customHeight="1" x14ac:dyDescent="0.25">
      <c r="A433" s="1">
        <v>44953</v>
      </c>
      <c r="B433" s="13">
        <v>4</v>
      </c>
      <c r="C433" t="s">
        <v>3</v>
      </c>
      <c r="D433" t="s">
        <v>4</v>
      </c>
      <c r="E433" t="s">
        <v>5</v>
      </c>
      <c r="F433" s="6">
        <v>113044763</v>
      </c>
      <c r="G433" t="s">
        <v>553</v>
      </c>
      <c r="H433" t="s">
        <v>285</v>
      </c>
      <c r="I433">
        <v>0</v>
      </c>
      <c r="J433">
        <v>0</v>
      </c>
      <c r="K433">
        <v>0</v>
      </c>
      <c r="L433">
        <v>0</v>
      </c>
      <c r="M433">
        <v>0.11</v>
      </c>
      <c r="N433" s="7" t="e">
        <f>VLOOKUP(F433,HC!A$6:D$100,3,FALSE)</f>
        <v>#N/A</v>
      </c>
      <c r="O433" s="7" t="str">
        <f>VLOOKUP(F433,HC!A$6:D$1000,2,FALSE)</f>
        <v>urbistep</v>
      </c>
      <c r="P433" s="7" t="s">
        <v>664</v>
      </c>
      <c r="Q433" s="7"/>
      <c r="R433" t="s">
        <v>557</v>
      </c>
      <c r="U433">
        <f t="shared" si="8"/>
        <v>6</v>
      </c>
    </row>
    <row r="434" spans="1:21" ht="37.5" customHeight="1" x14ac:dyDescent="0.25">
      <c r="A434" s="1">
        <v>44953</v>
      </c>
      <c r="B434" s="13">
        <v>4</v>
      </c>
      <c r="C434" t="s">
        <v>3</v>
      </c>
      <c r="D434" t="s">
        <v>4</v>
      </c>
      <c r="E434" t="s">
        <v>21</v>
      </c>
      <c r="F434" s="6">
        <v>200508315</v>
      </c>
      <c r="G434" t="s">
        <v>428</v>
      </c>
      <c r="H434" t="s">
        <v>298</v>
      </c>
      <c r="I434">
        <v>0</v>
      </c>
      <c r="J434">
        <v>0</v>
      </c>
      <c r="K434">
        <v>0</v>
      </c>
      <c r="L434">
        <v>0</v>
      </c>
      <c r="M434">
        <v>0.52</v>
      </c>
      <c r="N434" s="7" t="e">
        <f>VLOOKUP(F434,HC!A$6:D$100,3,FALSE)</f>
        <v>#N/A</v>
      </c>
      <c r="O434" s="7" t="str">
        <f>VLOOKUP(F434,HC!A$6:D$1000,2,FALSE)</f>
        <v>taldaher</v>
      </c>
      <c r="P434" s="7"/>
      <c r="Q434" s="7"/>
      <c r="R434" t="s">
        <v>443</v>
      </c>
      <c r="U434">
        <f t="shared" si="8"/>
        <v>18</v>
      </c>
    </row>
    <row r="435" spans="1:21" ht="37.5" customHeight="1" x14ac:dyDescent="0.25">
      <c r="A435" s="1">
        <v>44953</v>
      </c>
      <c r="B435" s="13">
        <v>4</v>
      </c>
      <c r="C435" t="s">
        <v>3</v>
      </c>
      <c r="D435" t="s">
        <v>4</v>
      </c>
      <c r="E435" t="s">
        <v>21</v>
      </c>
      <c r="F435" s="6">
        <v>200615883</v>
      </c>
      <c r="G435" t="s">
        <v>508</v>
      </c>
      <c r="H435" t="s">
        <v>285</v>
      </c>
      <c r="I435">
        <v>0</v>
      </c>
      <c r="J435">
        <v>0</v>
      </c>
      <c r="K435">
        <v>0</v>
      </c>
      <c r="L435">
        <v>0</v>
      </c>
      <c r="M435">
        <v>0.72</v>
      </c>
      <c r="N435" s="7" t="e">
        <f>VLOOKUP(F435,HC!A$6:D$100,3,FALSE)</f>
        <v>#N/A</v>
      </c>
      <c r="O435" s="7" t="e">
        <f>VLOOKUP(F435,HC!A$6:D$1000,2,FALSE)</f>
        <v>#N/A</v>
      </c>
      <c r="P435" s="7" t="s">
        <v>664</v>
      </c>
      <c r="Q435" s="7" t="s">
        <v>777</v>
      </c>
      <c r="R435" t="s">
        <v>555</v>
      </c>
      <c r="S435" s="2" t="s">
        <v>516</v>
      </c>
      <c r="U435">
        <f t="shared" si="8"/>
        <v>1395</v>
      </c>
    </row>
    <row r="436" spans="1:21" ht="37.5" customHeight="1" x14ac:dyDescent="0.25">
      <c r="A436" s="1">
        <v>44954</v>
      </c>
      <c r="B436" s="13">
        <v>4</v>
      </c>
      <c r="C436" t="s">
        <v>3</v>
      </c>
      <c r="D436" t="s">
        <v>4</v>
      </c>
      <c r="E436" t="s">
        <v>21</v>
      </c>
      <c r="F436" s="6">
        <v>200589316</v>
      </c>
      <c r="G436" t="s">
        <v>53</v>
      </c>
      <c r="H436" t="s">
        <v>24</v>
      </c>
      <c r="I436">
        <v>0</v>
      </c>
      <c r="J436">
        <v>0</v>
      </c>
      <c r="K436">
        <v>0</v>
      </c>
      <c r="L436">
        <v>0</v>
      </c>
      <c r="M436">
        <v>0.08</v>
      </c>
      <c r="N436" s="7" t="e">
        <f>VLOOKUP(F436,HC!A$6:D$100,3,FALSE)</f>
        <v>#N/A</v>
      </c>
      <c r="O436" s="7" t="e">
        <f>VLOOKUP(F436,HC!A$6:D$1000,2,FALSE)</f>
        <v>#N/A</v>
      </c>
      <c r="P436" s="7" t="s">
        <v>664</v>
      </c>
      <c r="Q436" s="7" t="s">
        <v>711</v>
      </c>
      <c r="R436" t="s">
        <v>419</v>
      </c>
      <c r="U436">
        <f t="shared" si="8"/>
        <v>1395</v>
      </c>
    </row>
    <row r="437" spans="1:21" ht="37.5" customHeight="1" x14ac:dyDescent="0.25">
      <c r="A437" s="1">
        <v>44954</v>
      </c>
      <c r="B437" s="13">
        <v>4</v>
      </c>
      <c r="C437" t="s">
        <v>3</v>
      </c>
      <c r="D437" t="s">
        <v>4</v>
      </c>
      <c r="E437" t="s">
        <v>5</v>
      </c>
      <c r="F437" s="6">
        <v>103427877</v>
      </c>
      <c r="G437" t="s">
        <v>281</v>
      </c>
      <c r="H437" t="s">
        <v>282</v>
      </c>
      <c r="I437">
        <v>0</v>
      </c>
      <c r="J437">
        <v>0</v>
      </c>
      <c r="K437">
        <v>0</v>
      </c>
      <c r="L437">
        <v>0</v>
      </c>
      <c r="M437">
        <v>2.14</v>
      </c>
      <c r="N437" s="7" t="e">
        <f>VLOOKUP(F437,HC!A$6:D$100,3,FALSE)</f>
        <v>#N/A</v>
      </c>
      <c r="O437" s="7" t="e">
        <f>VLOOKUP(F437,HC!A$6:D$1000,2,FALSE)</f>
        <v>#N/A</v>
      </c>
      <c r="P437" s="7"/>
      <c r="Q437" s="7"/>
      <c r="R437" s="16" t="s">
        <v>446</v>
      </c>
      <c r="U437">
        <f t="shared" si="8"/>
        <v>1395</v>
      </c>
    </row>
    <row r="438" spans="1:21" ht="37.5" customHeight="1" x14ac:dyDescent="0.25">
      <c r="A438" s="1">
        <v>44954</v>
      </c>
      <c r="B438" s="13">
        <v>4</v>
      </c>
      <c r="C438" t="s">
        <v>3</v>
      </c>
      <c r="D438" t="s">
        <v>4</v>
      </c>
      <c r="E438" t="s">
        <v>5</v>
      </c>
      <c r="F438" s="6">
        <v>112912983</v>
      </c>
      <c r="G438" t="s">
        <v>558</v>
      </c>
      <c r="H438" t="s">
        <v>332</v>
      </c>
      <c r="I438">
        <v>0</v>
      </c>
      <c r="J438">
        <v>0</v>
      </c>
      <c r="K438">
        <v>0</v>
      </c>
      <c r="L438">
        <v>0</v>
      </c>
      <c r="M438">
        <v>0.14000000000000001</v>
      </c>
      <c r="N438" s="7" t="str">
        <f>VLOOKUP(F438,HC!A$6:D$100,3,FALSE)</f>
        <v>NF-X1900</v>
      </c>
      <c r="O438" s="7" t="str">
        <f>VLOOKUP(F438,HC!A$6:D$1000,2,FALSE)</f>
        <v>wrocirod</v>
      </c>
      <c r="P438" s="7" t="s">
        <v>664</v>
      </c>
      <c r="Q438" s="7"/>
      <c r="R438" t="s">
        <v>25</v>
      </c>
      <c r="U438">
        <f t="shared" si="8"/>
        <v>16</v>
      </c>
    </row>
    <row r="439" spans="1:21" ht="37.5" customHeight="1" x14ac:dyDescent="0.25">
      <c r="A439" s="1">
        <v>44954</v>
      </c>
      <c r="B439" s="13">
        <v>4</v>
      </c>
      <c r="C439" t="s">
        <v>3</v>
      </c>
      <c r="D439" t="s">
        <v>4</v>
      </c>
      <c r="E439" t="s">
        <v>5</v>
      </c>
      <c r="F439" s="6">
        <v>113003627</v>
      </c>
      <c r="G439" t="s">
        <v>501</v>
      </c>
      <c r="H439" t="s">
        <v>317</v>
      </c>
      <c r="I439">
        <v>0</v>
      </c>
      <c r="J439">
        <v>0</v>
      </c>
      <c r="K439">
        <v>0</v>
      </c>
      <c r="L439">
        <v>0</v>
      </c>
      <c r="M439">
        <v>0.27</v>
      </c>
      <c r="N439" s="7" t="e">
        <f>VLOOKUP(F439,HC!A$6:D$100,3,FALSE)</f>
        <v>#N/A</v>
      </c>
      <c r="O439" s="7" t="e">
        <f>VLOOKUP(F439,HC!A$6:D$1000,2,FALSE)</f>
        <v>#N/A</v>
      </c>
      <c r="P439" s="7" t="s">
        <v>663</v>
      </c>
      <c r="Q439" s="7" t="s">
        <v>692</v>
      </c>
      <c r="R439" t="s">
        <v>504</v>
      </c>
      <c r="U439">
        <f t="shared" si="8"/>
        <v>1395</v>
      </c>
    </row>
    <row r="440" spans="1:21" ht="37.5" customHeight="1" x14ac:dyDescent="0.25">
      <c r="A440" s="1">
        <v>44954</v>
      </c>
      <c r="B440" s="13">
        <v>4</v>
      </c>
      <c r="C440" t="s">
        <v>3</v>
      </c>
      <c r="D440" t="s">
        <v>4</v>
      </c>
      <c r="E440" t="s">
        <v>5</v>
      </c>
      <c r="F440" s="6">
        <v>113003691</v>
      </c>
      <c r="G440" t="s">
        <v>369</v>
      </c>
      <c r="H440" t="s">
        <v>317</v>
      </c>
      <c r="I440">
        <v>0</v>
      </c>
      <c r="J440">
        <v>0</v>
      </c>
      <c r="K440">
        <v>0</v>
      </c>
      <c r="L440">
        <v>0</v>
      </c>
      <c r="M440">
        <v>0.28999999999999998</v>
      </c>
      <c r="N440" s="7" t="e">
        <f>VLOOKUP(F440,HC!A$6:D$100,3,FALSE)</f>
        <v>#N/A</v>
      </c>
      <c r="O440" s="7" t="e">
        <f>VLOOKUP(F440,HC!A$6:D$1000,2,FALSE)</f>
        <v>#N/A</v>
      </c>
      <c r="P440" s="7" t="s">
        <v>675</v>
      </c>
      <c r="Q440" s="7"/>
      <c r="R440" t="s">
        <v>563</v>
      </c>
      <c r="U440">
        <f t="shared" si="8"/>
        <v>1395</v>
      </c>
    </row>
    <row r="441" spans="1:21" ht="37.5" customHeight="1" x14ac:dyDescent="0.25">
      <c r="A441" s="1">
        <v>44954</v>
      </c>
      <c r="B441" s="13">
        <v>4</v>
      </c>
      <c r="C441" t="s">
        <v>3</v>
      </c>
      <c r="D441" t="s">
        <v>4</v>
      </c>
      <c r="E441" t="s">
        <v>5</v>
      </c>
      <c r="F441" s="6">
        <v>113003692</v>
      </c>
      <c r="G441" t="s">
        <v>556</v>
      </c>
      <c r="H441" t="s">
        <v>559</v>
      </c>
      <c r="I441">
        <v>0</v>
      </c>
      <c r="J441">
        <v>0</v>
      </c>
      <c r="K441">
        <v>0</v>
      </c>
      <c r="L441">
        <v>0</v>
      </c>
      <c r="M441">
        <v>0.97</v>
      </c>
      <c r="N441" s="7" t="e">
        <f>VLOOKUP(F441,HC!A$6:D$100,3,FALSE)</f>
        <v>#N/A</v>
      </c>
      <c r="O441" s="7" t="e">
        <f>VLOOKUP(F441,HC!A$6:D$1000,2,FALSE)</f>
        <v>#N/A</v>
      </c>
      <c r="P441" s="7" t="s">
        <v>664</v>
      </c>
      <c r="Q441" s="7"/>
      <c r="R441" t="s">
        <v>561</v>
      </c>
      <c r="S441" s="2" t="s">
        <v>562</v>
      </c>
      <c r="U441">
        <f t="shared" si="8"/>
        <v>1395</v>
      </c>
    </row>
    <row r="442" spans="1:21" ht="37.5" customHeight="1" x14ac:dyDescent="0.25">
      <c r="A442" s="1">
        <v>44954</v>
      </c>
      <c r="B442" s="13">
        <v>4</v>
      </c>
      <c r="C442" t="s">
        <v>3</v>
      </c>
      <c r="D442" t="s">
        <v>4</v>
      </c>
      <c r="E442" t="s">
        <v>5</v>
      </c>
      <c r="F442" s="6">
        <v>113004099</v>
      </c>
      <c r="G442" t="s">
        <v>542</v>
      </c>
      <c r="H442" t="s">
        <v>298</v>
      </c>
      <c r="I442">
        <v>0</v>
      </c>
      <c r="J442">
        <v>0</v>
      </c>
      <c r="K442">
        <v>0</v>
      </c>
      <c r="L442">
        <v>0</v>
      </c>
      <c r="M442">
        <v>0.69</v>
      </c>
      <c r="N442" s="7" t="e">
        <f>VLOOKUP(F442,HC!A$6:D$100,3,FALSE)</f>
        <v>#N/A</v>
      </c>
      <c r="O442" s="7" t="str">
        <f>VLOOKUP(F442,HC!A$6:D$1000,2,FALSE)</f>
        <v>partilum</v>
      </c>
      <c r="P442" s="7" t="s">
        <v>675</v>
      </c>
      <c r="Q442" s="7"/>
      <c r="R442" t="s">
        <v>564</v>
      </c>
      <c r="U442">
        <f t="shared" si="8"/>
        <v>8</v>
      </c>
    </row>
    <row r="443" spans="1:21" ht="37.5" customHeight="1" x14ac:dyDescent="0.25">
      <c r="A443" s="1">
        <v>44954</v>
      </c>
      <c r="B443" s="13">
        <v>4</v>
      </c>
      <c r="C443" t="s">
        <v>3</v>
      </c>
      <c r="D443" t="s">
        <v>4</v>
      </c>
      <c r="E443" t="s">
        <v>5</v>
      </c>
      <c r="F443" s="6">
        <v>113014072</v>
      </c>
      <c r="G443" t="s">
        <v>491</v>
      </c>
      <c r="H443" t="s">
        <v>49</v>
      </c>
      <c r="I443">
        <v>0</v>
      </c>
      <c r="J443">
        <v>0</v>
      </c>
      <c r="K443">
        <v>0</v>
      </c>
      <c r="L443">
        <v>0</v>
      </c>
      <c r="M443">
        <v>0.21</v>
      </c>
      <c r="N443" s="7" t="e">
        <f>VLOOKUP(F443,HC!A$6:D$100,3,FALSE)</f>
        <v>#N/A</v>
      </c>
      <c r="O443" s="7" t="e">
        <f>VLOOKUP(F443,HC!A$6:D$1000,2,FALSE)</f>
        <v>#N/A</v>
      </c>
      <c r="P443" t="s">
        <v>665</v>
      </c>
      <c r="Q443" s="7" t="s">
        <v>722</v>
      </c>
      <c r="R443" t="s">
        <v>499</v>
      </c>
      <c r="U443">
        <f t="shared" si="8"/>
        <v>1395</v>
      </c>
    </row>
    <row r="444" spans="1:21" ht="37.5" customHeight="1" x14ac:dyDescent="0.25">
      <c r="A444" s="1">
        <v>44954</v>
      </c>
      <c r="B444" s="13">
        <v>4</v>
      </c>
      <c r="C444" t="s">
        <v>3</v>
      </c>
      <c r="D444" t="s">
        <v>4</v>
      </c>
      <c r="E444" t="s">
        <v>5</v>
      </c>
      <c r="F444" s="6">
        <v>113040582</v>
      </c>
      <c r="G444" t="s">
        <v>512</v>
      </c>
      <c r="H444" t="s">
        <v>317</v>
      </c>
      <c r="I444">
        <v>0</v>
      </c>
      <c r="J444">
        <v>0</v>
      </c>
      <c r="K444">
        <v>0</v>
      </c>
      <c r="L444">
        <v>0</v>
      </c>
      <c r="M444">
        <v>0.28999999999999998</v>
      </c>
      <c r="N444" s="7" t="e">
        <f>VLOOKUP(F444,HC!A$6:D$100,3,FALSE)</f>
        <v>#N/A</v>
      </c>
      <c r="O444" s="7" t="str">
        <f>VLOOKUP(F444,HC!A$6:D$1000,2,FALSE)</f>
        <v>hgerardr</v>
      </c>
      <c r="P444" s="7" t="s">
        <v>675</v>
      </c>
      <c r="Q444" s="7"/>
      <c r="R444" t="s">
        <v>565</v>
      </c>
      <c r="U444">
        <f t="shared" si="8"/>
        <v>15</v>
      </c>
    </row>
    <row r="445" spans="1:21" ht="37.5" customHeight="1" x14ac:dyDescent="0.25">
      <c r="A445" s="1">
        <v>44954</v>
      </c>
      <c r="B445" s="13">
        <v>4</v>
      </c>
      <c r="C445" t="s">
        <v>3</v>
      </c>
      <c r="D445" t="s">
        <v>4</v>
      </c>
      <c r="E445" t="s">
        <v>21</v>
      </c>
      <c r="F445" s="6">
        <v>200552734</v>
      </c>
      <c r="G445" t="s">
        <v>492</v>
      </c>
      <c r="H445" t="s">
        <v>298</v>
      </c>
      <c r="I445">
        <v>0</v>
      </c>
      <c r="J445">
        <v>0</v>
      </c>
      <c r="K445">
        <v>0</v>
      </c>
      <c r="L445">
        <v>0</v>
      </c>
      <c r="M445">
        <v>3.8</v>
      </c>
      <c r="N445" s="7" t="e">
        <f>VLOOKUP(F445,HC!A$6:D$100,3,FALSE)</f>
        <v>#N/A</v>
      </c>
      <c r="O445" s="7" t="e">
        <f>VLOOKUP(F445,HC!A$6:D$1000,2,FALSE)</f>
        <v>#N/A</v>
      </c>
      <c r="P445" t="s">
        <v>665</v>
      </c>
      <c r="Q445" s="7" t="s">
        <v>722</v>
      </c>
      <c r="R445" t="s">
        <v>499</v>
      </c>
      <c r="U445">
        <f t="shared" si="8"/>
        <v>1395</v>
      </c>
    </row>
    <row r="446" spans="1:21" ht="37.5" customHeight="1" x14ac:dyDescent="0.25">
      <c r="A446" s="1">
        <v>44954</v>
      </c>
      <c r="B446" s="13">
        <v>4</v>
      </c>
      <c r="C446" t="s">
        <v>3</v>
      </c>
      <c r="D446" t="s">
        <v>4</v>
      </c>
      <c r="E446" t="s">
        <v>21</v>
      </c>
      <c r="F446" s="6">
        <v>200562154</v>
      </c>
      <c r="G446" t="s">
        <v>437</v>
      </c>
      <c r="H446" t="s">
        <v>268</v>
      </c>
      <c r="I446">
        <v>0</v>
      </c>
      <c r="J446">
        <v>0</v>
      </c>
      <c r="K446">
        <v>0</v>
      </c>
      <c r="L446">
        <v>0</v>
      </c>
      <c r="M446">
        <v>0.61</v>
      </c>
      <c r="N446" s="7" t="e">
        <f>VLOOKUP(F446,HC!A$6:D$100,3,FALSE)</f>
        <v>#N/A</v>
      </c>
      <c r="O446" s="7" t="str">
        <f>VLOOKUP(F446,HC!A$6:D$1000,2,FALSE)</f>
        <v>reyesmcw</v>
      </c>
      <c r="P446" s="7"/>
      <c r="Q446" s="7"/>
      <c r="R446" t="s">
        <v>443</v>
      </c>
      <c r="U446">
        <f t="shared" si="8"/>
        <v>38</v>
      </c>
    </row>
    <row r="447" spans="1:21" ht="37.5" customHeight="1" x14ac:dyDescent="0.25">
      <c r="A447" s="1">
        <v>44954</v>
      </c>
      <c r="B447" s="13">
        <v>4</v>
      </c>
      <c r="C447" t="s">
        <v>3</v>
      </c>
      <c r="D447" t="s">
        <v>4</v>
      </c>
      <c r="E447" t="s">
        <v>21</v>
      </c>
      <c r="F447" s="6">
        <v>200562268</v>
      </c>
      <c r="G447" t="s">
        <v>560</v>
      </c>
      <c r="H447" t="s">
        <v>298</v>
      </c>
      <c r="I447">
        <v>0</v>
      </c>
      <c r="J447">
        <v>0</v>
      </c>
      <c r="K447">
        <v>0</v>
      </c>
      <c r="L447">
        <v>0</v>
      </c>
      <c r="M447">
        <v>0.6</v>
      </c>
      <c r="N447" s="7" t="e">
        <f>VLOOKUP(F447,HC!A$6:D$100,3,FALSE)</f>
        <v>#N/A</v>
      </c>
      <c r="O447" s="7" t="e">
        <f>VLOOKUP(F447,HC!A$6:D$1000,2,FALSE)</f>
        <v>#N/A</v>
      </c>
      <c r="P447" s="7" t="s">
        <v>661</v>
      </c>
      <c r="Q447" s="7" t="s">
        <v>681</v>
      </c>
      <c r="R447" t="s">
        <v>234</v>
      </c>
      <c r="U447">
        <f t="shared" si="8"/>
        <v>1395</v>
      </c>
    </row>
    <row r="448" spans="1:21" ht="37.5" customHeight="1" x14ac:dyDescent="0.25">
      <c r="A448" s="1">
        <v>44954</v>
      </c>
      <c r="B448" s="13">
        <v>4</v>
      </c>
      <c r="C448" t="s">
        <v>3</v>
      </c>
      <c r="D448" t="s">
        <v>4</v>
      </c>
      <c r="E448" t="s">
        <v>21</v>
      </c>
      <c r="F448" s="6">
        <v>200589316</v>
      </c>
      <c r="G448" t="s">
        <v>53</v>
      </c>
      <c r="H448" t="s">
        <v>559</v>
      </c>
      <c r="I448">
        <v>0</v>
      </c>
      <c r="J448">
        <v>0</v>
      </c>
      <c r="K448">
        <v>0</v>
      </c>
      <c r="L448">
        <v>0</v>
      </c>
      <c r="M448">
        <v>0.08</v>
      </c>
      <c r="N448" s="7" t="e">
        <f>VLOOKUP(F448,HC!A$6:D$100,3,FALSE)</f>
        <v>#N/A</v>
      </c>
      <c r="O448" s="7" t="e">
        <f>VLOOKUP(F448,HC!A$6:D$1000,2,FALSE)</f>
        <v>#N/A</v>
      </c>
      <c r="P448" s="7" t="s">
        <v>661</v>
      </c>
      <c r="Q448" s="7" t="s">
        <v>681</v>
      </c>
      <c r="R448" t="s">
        <v>234</v>
      </c>
      <c r="U448">
        <f t="shared" si="8"/>
        <v>1395</v>
      </c>
    </row>
    <row r="449" spans="1:21" s="7" customFormat="1" ht="37.5" customHeight="1" x14ac:dyDescent="0.25">
      <c r="A449" s="1">
        <v>44954</v>
      </c>
      <c r="B449" s="13">
        <v>4</v>
      </c>
      <c r="C449" s="7" t="s">
        <v>3</v>
      </c>
      <c r="D449" s="7" t="s">
        <v>4</v>
      </c>
      <c r="E449" s="7" t="s">
        <v>21</v>
      </c>
      <c r="F449" s="13">
        <v>200614224</v>
      </c>
      <c r="G449" s="7" t="s">
        <v>322</v>
      </c>
      <c r="H449" s="7" t="s">
        <v>285</v>
      </c>
      <c r="I449" s="7">
        <v>0</v>
      </c>
      <c r="J449" s="7">
        <v>0</v>
      </c>
      <c r="K449" s="7">
        <v>0</v>
      </c>
      <c r="L449" s="7">
        <v>0</v>
      </c>
      <c r="M449" s="7">
        <v>0.6</v>
      </c>
      <c r="N449" s="7" t="e">
        <f>VLOOKUP(F449,HC!A$6:D$100,3,FALSE)</f>
        <v>#N/A</v>
      </c>
      <c r="O449" s="7" t="e">
        <f>VLOOKUP(F449,HC!A$6:D$1000,2,FALSE)</f>
        <v>#N/A</v>
      </c>
      <c r="P449" s="7" t="s">
        <v>661</v>
      </c>
      <c r="Q449" s="7" t="s">
        <v>701</v>
      </c>
      <c r="R449" s="7" t="s">
        <v>566</v>
      </c>
      <c r="S449" s="42"/>
      <c r="U449" s="7">
        <f t="shared" si="8"/>
        <v>1395</v>
      </c>
    </row>
    <row r="450" spans="1:21" s="7" customFormat="1" ht="37.5" customHeight="1" x14ac:dyDescent="0.25">
      <c r="A450" s="1">
        <v>44955</v>
      </c>
      <c r="B450" s="13">
        <v>5</v>
      </c>
      <c r="C450" s="7" t="s">
        <v>3</v>
      </c>
      <c r="D450" s="7" t="s">
        <v>4</v>
      </c>
      <c r="E450" s="7" t="s">
        <v>5</v>
      </c>
      <c r="F450" s="13">
        <v>112912663</v>
      </c>
      <c r="G450" s="7" t="s">
        <v>8</v>
      </c>
      <c r="H450" s="7" t="s">
        <v>403</v>
      </c>
      <c r="I450" s="7">
        <v>0</v>
      </c>
      <c r="J450" s="7">
        <v>0</v>
      </c>
      <c r="K450" s="7">
        <v>0</v>
      </c>
      <c r="L450" s="7">
        <v>0</v>
      </c>
      <c r="M450" s="7">
        <v>0.61</v>
      </c>
      <c r="N450" s="7" t="e">
        <f>VLOOKUP(F450,HC!A$6:D$100,3,FALSE)</f>
        <v>#N/A</v>
      </c>
      <c r="O450" s="7" t="e">
        <f>VLOOKUP(F450,HC!A$6:D$1000,2,FALSE)</f>
        <v>#N/A</v>
      </c>
      <c r="P450" s="7" t="s">
        <v>664</v>
      </c>
      <c r="Q450" s="7" t="s">
        <v>712</v>
      </c>
      <c r="R450" s="7" t="s">
        <v>569</v>
      </c>
      <c r="S450" s="42"/>
      <c r="U450" s="7">
        <f t="shared" si="8"/>
        <v>1395</v>
      </c>
    </row>
    <row r="451" spans="1:21" ht="37.5" customHeight="1" x14ac:dyDescent="0.25">
      <c r="A451" s="1">
        <v>44955</v>
      </c>
      <c r="B451" s="13">
        <v>5</v>
      </c>
      <c r="C451" t="s">
        <v>3</v>
      </c>
      <c r="D451" t="s">
        <v>4</v>
      </c>
      <c r="E451" t="s">
        <v>5</v>
      </c>
      <c r="F451" s="6">
        <v>112950800</v>
      </c>
      <c r="G451" t="s">
        <v>457</v>
      </c>
      <c r="H451" t="s">
        <v>403</v>
      </c>
      <c r="I451">
        <v>0</v>
      </c>
      <c r="J451">
        <v>0</v>
      </c>
      <c r="K451">
        <v>0</v>
      </c>
      <c r="L451">
        <v>0</v>
      </c>
      <c r="M451">
        <v>0.21</v>
      </c>
      <c r="N451" s="7" t="str">
        <f>VLOOKUP(F451,HC!A$6:D$100,3,FALSE)</f>
        <v>NF-X1900</v>
      </c>
      <c r="O451" s="7" t="str">
        <f>VLOOKUP(F451,HC!A$6:D$1000,2,FALSE)</f>
        <v>virimuni</v>
      </c>
      <c r="P451" s="7" t="s">
        <v>662</v>
      </c>
      <c r="Q451" s="7" t="s">
        <v>757</v>
      </c>
      <c r="R451" t="s">
        <v>353</v>
      </c>
      <c r="U451">
        <f t="shared" ref="U451:U514" si="9">COUNTIF(O$2:O$4999,O451)</f>
        <v>10</v>
      </c>
    </row>
    <row r="452" spans="1:21" ht="37.5" customHeight="1" x14ac:dyDescent="0.25">
      <c r="A452" s="1">
        <v>44955</v>
      </c>
      <c r="B452" s="13">
        <v>5</v>
      </c>
      <c r="C452" t="s">
        <v>3</v>
      </c>
      <c r="D452" t="s">
        <v>4</v>
      </c>
      <c r="E452" t="s">
        <v>5</v>
      </c>
      <c r="F452" s="6">
        <v>113003692</v>
      </c>
      <c r="G452" t="s">
        <v>556</v>
      </c>
      <c r="H452" t="s">
        <v>559</v>
      </c>
      <c r="I452">
        <v>0</v>
      </c>
      <c r="J452">
        <v>0</v>
      </c>
      <c r="K452">
        <v>0</v>
      </c>
      <c r="L452">
        <v>0</v>
      </c>
      <c r="M452">
        <v>0.15</v>
      </c>
      <c r="N452" s="7" t="e">
        <f>VLOOKUP(F452,HC!A$6:D$100,3,FALSE)</f>
        <v>#N/A</v>
      </c>
      <c r="O452" s="7" t="e">
        <f>VLOOKUP(F452,HC!A$6:D$1000,2,FALSE)</f>
        <v>#N/A</v>
      </c>
      <c r="P452" s="7"/>
      <c r="Q452" s="7"/>
      <c r="R452" s="20" t="s">
        <v>496</v>
      </c>
      <c r="U452">
        <f t="shared" si="9"/>
        <v>1395</v>
      </c>
    </row>
    <row r="453" spans="1:21" ht="37.5" customHeight="1" x14ac:dyDescent="0.25">
      <c r="A453" s="1">
        <v>44955</v>
      </c>
      <c r="B453" s="13">
        <v>5</v>
      </c>
      <c r="C453" t="s">
        <v>3</v>
      </c>
      <c r="D453" t="s">
        <v>4</v>
      </c>
      <c r="E453" t="s">
        <v>5</v>
      </c>
      <c r="F453" s="6">
        <v>113014078</v>
      </c>
      <c r="G453" t="s">
        <v>567</v>
      </c>
      <c r="H453" t="s">
        <v>14</v>
      </c>
      <c r="I453">
        <v>0</v>
      </c>
      <c r="J453">
        <v>0</v>
      </c>
      <c r="K453">
        <v>0</v>
      </c>
      <c r="L453">
        <v>0</v>
      </c>
      <c r="M453">
        <v>0.37</v>
      </c>
      <c r="N453" s="7" t="e">
        <f>VLOOKUP(F453,HC!A$6:D$100,3,FALSE)</f>
        <v>#N/A</v>
      </c>
      <c r="O453" s="7" t="str">
        <f>VLOOKUP(F453,HC!A$6:D$1000,2,FALSE)</f>
        <v>dnaldair</v>
      </c>
      <c r="P453" s="7"/>
      <c r="Q453" s="7"/>
      <c r="R453" t="s">
        <v>570</v>
      </c>
      <c r="U453">
        <f t="shared" si="9"/>
        <v>14</v>
      </c>
    </row>
    <row r="454" spans="1:21" ht="37.5" customHeight="1" x14ac:dyDescent="0.25">
      <c r="A454" s="1">
        <v>44955</v>
      </c>
      <c r="B454" s="13">
        <v>5</v>
      </c>
      <c r="C454" t="s">
        <v>3</v>
      </c>
      <c r="D454" t="s">
        <v>4</v>
      </c>
      <c r="E454" t="s">
        <v>21</v>
      </c>
      <c r="F454" s="6">
        <v>200562251</v>
      </c>
      <c r="G454" t="s">
        <v>568</v>
      </c>
      <c r="H454" t="s">
        <v>47</v>
      </c>
      <c r="I454">
        <v>0</v>
      </c>
      <c r="J454">
        <v>0</v>
      </c>
      <c r="K454">
        <v>0</v>
      </c>
      <c r="L454">
        <v>0</v>
      </c>
      <c r="M454">
        <v>0.16</v>
      </c>
      <c r="N454" s="7" t="e">
        <f>VLOOKUP(F454,HC!A$6:D$100,3,FALSE)</f>
        <v>#N/A</v>
      </c>
      <c r="O454" s="7" t="e">
        <f>VLOOKUP(F454,HC!A$6:D$1000,2,FALSE)</f>
        <v>#N/A</v>
      </c>
      <c r="P454" s="7" t="s">
        <v>670</v>
      </c>
      <c r="Q454" s="7"/>
      <c r="R454" t="s">
        <v>571</v>
      </c>
      <c r="U454">
        <f t="shared" si="9"/>
        <v>1395</v>
      </c>
    </row>
    <row r="455" spans="1:21" ht="37.5" customHeight="1" x14ac:dyDescent="0.25">
      <c r="A455" s="1">
        <v>44955</v>
      </c>
      <c r="B455" s="13">
        <v>5</v>
      </c>
      <c r="C455" t="s">
        <v>3</v>
      </c>
      <c r="D455" t="s">
        <v>4</v>
      </c>
      <c r="E455" t="s">
        <v>21</v>
      </c>
      <c r="F455" s="6">
        <v>200589316</v>
      </c>
      <c r="G455" t="s">
        <v>53</v>
      </c>
      <c r="H455" t="s">
        <v>559</v>
      </c>
      <c r="I455">
        <v>0</v>
      </c>
      <c r="J455">
        <v>0</v>
      </c>
      <c r="K455">
        <v>0</v>
      </c>
      <c r="L455">
        <v>0</v>
      </c>
      <c r="M455">
        <v>0.99</v>
      </c>
      <c r="N455" s="7" t="e">
        <f>VLOOKUP(F455,HC!A$6:D$100,3,FALSE)</f>
        <v>#N/A</v>
      </c>
      <c r="O455" s="7" t="e">
        <f>VLOOKUP(F455,HC!A$6:D$1000,2,FALSE)</f>
        <v>#N/A</v>
      </c>
      <c r="P455" s="7" t="s">
        <v>664</v>
      </c>
      <c r="Q455" s="7" t="s">
        <v>717</v>
      </c>
      <c r="R455" t="s">
        <v>453</v>
      </c>
      <c r="U455">
        <f t="shared" si="9"/>
        <v>1395</v>
      </c>
    </row>
    <row r="456" spans="1:21" ht="37.5" customHeight="1" x14ac:dyDescent="0.25">
      <c r="A456" s="1">
        <v>44955</v>
      </c>
      <c r="B456" s="13">
        <v>5</v>
      </c>
      <c r="C456" t="s">
        <v>3</v>
      </c>
      <c r="D456" t="s">
        <v>4</v>
      </c>
      <c r="E456" t="s">
        <v>21</v>
      </c>
      <c r="F456" s="6">
        <v>200620024</v>
      </c>
      <c r="G456" t="s">
        <v>465</v>
      </c>
      <c r="H456" t="s">
        <v>14</v>
      </c>
      <c r="I456">
        <v>0</v>
      </c>
      <c r="J456">
        <v>0</v>
      </c>
      <c r="K456">
        <v>0</v>
      </c>
      <c r="L456">
        <v>0</v>
      </c>
      <c r="M456">
        <v>0.14000000000000001</v>
      </c>
      <c r="N456" s="7" t="e">
        <f>VLOOKUP(F456,HC!A$6:D$100,3,FALSE)</f>
        <v>#N/A</v>
      </c>
      <c r="O456" s="7" t="e">
        <f>VLOOKUP(F456,HC!A$6:D$1000,2,FALSE)</f>
        <v>#N/A</v>
      </c>
      <c r="P456" s="7"/>
      <c r="Q456" s="7"/>
      <c r="R456" t="s">
        <v>276</v>
      </c>
      <c r="U456">
        <f t="shared" si="9"/>
        <v>1395</v>
      </c>
    </row>
    <row r="457" spans="1:21" ht="37.5" customHeight="1" x14ac:dyDescent="0.25">
      <c r="A457" s="1">
        <v>44956</v>
      </c>
      <c r="B457" s="13">
        <v>5</v>
      </c>
      <c r="C457" t="s">
        <v>3</v>
      </c>
      <c r="D457" t="s">
        <v>4</v>
      </c>
      <c r="E457" t="s">
        <v>5</v>
      </c>
      <c r="F457" s="6">
        <v>112976013</v>
      </c>
      <c r="G457" t="s">
        <v>449</v>
      </c>
      <c r="H457" t="s">
        <v>403</v>
      </c>
      <c r="I457">
        <v>0</v>
      </c>
      <c r="J457">
        <v>0</v>
      </c>
      <c r="K457">
        <v>0</v>
      </c>
      <c r="L457">
        <v>0</v>
      </c>
      <c r="M457">
        <v>0.73</v>
      </c>
      <c r="N457" s="7" t="e">
        <f>VLOOKUP(F457,HC!A$6:D$100,3,FALSE)</f>
        <v>#N/A</v>
      </c>
      <c r="O457" s="7" t="e">
        <f>VLOOKUP(F457,HC!A$6:D$1000,2,FALSE)</f>
        <v>#N/A</v>
      </c>
      <c r="P457" s="7" t="s">
        <v>664</v>
      </c>
      <c r="Q457" s="7" t="s">
        <v>717</v>
      </c>
      <c r="R457" t="s">
        <v>574</v>
      </c>
      <c r="S457" s="2" t="s">
        <v>516</v>
      </c>
      <c r="U457">
        <f t="shared" si="9"/>
        <v>1395</v>
      </c>
    </row>
    <row r="458" spans="1:21" ht="37.5" customHeight="1" x14ac:dyDescent="0.25">
      <c r="A458" s="1">
        <v>44956</v>
      </c>
      <c r="B458" s="13">
        <v>5</v>
      </c>
      <c r="C458" t="s">
        <v>3</v>
      </c>
      <c r="D458" t="s">
        <v>4</v>
      </c>
      <c r="E458" t="s">
        <v>5</v>
      </c>
      <c r="F458" s="6">
        <v>112980862</v>
      </c>
      <c r="G458" t="s">
        <v>43</v>
      </c>
      <c r="H458" t="s">
        <v>14</v>
      </c>
      <c r="I458">
        <v>0</v>
      </c>
      <c r="J458">
        <v>0</v>
      </c>
      <c r="K458">
        <v>0</v>
      </c>
      <c r="L458">
        <v>0</v>
      </c>
      <c r="M458">
        <v>0.16</v>
      </c>
      <c r="N458" s="7" t="e">
        <f>VLOOKUP(F458,HC!A$6:D$100,3,FALSE)</f>
        <v>#N/A</v>
      </c>
      <c r="O458" s="7" t="e">
        <f>VLOOKUP(F458,HC!A$6:D$1000,2,FALSE)</f>
        <v>#N/A</v>
      </c>
      <c r="P458" s="7" t="s">
        <v>664</v>
      </c>
      <c r="Q458" s="7" t="s">
        <v>711</v>
      </c>
      <c r="R458" t="s">
        <v>419</v>
      </c>
      <c r="U458">
        <f t="shared" si="9"/>
        <v>1395</v>
      </c>
    </row>
    <row r="459" spans="1:21" ht="37.5" customHeight="1" x14ac:dyDescent="0.25">
      <c r="A459" s="1">
        <v>44956</v>
      </c>
      <c r="B459" s="13">
        <v>5</v>
      </c>
      <c r="C459" t="s">
        <v>3</v>
      </c>
      <c r="D459" t="s">
        <v>4</v>
      </c>
      <c r="E459" t="s">
        <v>5</v>
      </c>
      <c r="F459" s="6">
        <v>112980899</v>
      </c>
      <c r="G459" t="s">
        <v>396</v>
      </c>
      <c r="H459" t="s">
        <v>268</v>
      </c>
      <c r="I459">
        <v>0</v>
      </c>
      <c r="J459">
        <v>0</v>
      </c>
      <c r="K459">
        <v>0</v>
      </c>
      <c r="L459">
        <v>0</v>
      </c>
      <c r="M459">
        <v>0.48</v>
      </c>
      <c r="N459" s="7" t="str">
        <f>VLOOKUP(F459,HC!A$6:D$100,3,FALSE)</f>
        <v>NF-X1900</v>
      </c>
      <c r="O459" s="7" t="str">
        <f>VLOOKUP(F459,HC!A$6:D$1000,2,FALSE)</f>
        <v>aravilac</v>
      </c>
      <c r="P459" s="7"/>
      <c r="Q459" s="7"/>
      <c r="R459" t="s">
        <v>451</v>
      </c>
      <c r="U459">
        <f t="shared" si="9"/>
        <v>33</v>
      </c>
    </row>
    <row r="460" spans="1:21" ht="37.5" customHeight="1" x14ac:dyDescent="0.25">
      <c r="A460" s="1">
        <v>44956</v>
      </c>
      <c r="B460" s="13">
        <v>5</v>
      </c>
      <c r="C460" t="s">
        <v>3</v>
      </c>
      <c r="D460" t="s">
        <v>4</v>
      </c>
      <c r="E460" t="s">
        <v>5</v>
      </c>
      <c r="F460" s="6">
        <v>112981014</v>
      </c>
      <c r="G460" t="s">
        <v>367</v>
      </c>
      <c r="H460" t="s">
        <v>44</v>
      </c>
      <c r="I460">
        <v>0</v>
      </c>
      <c r="J460">
        <v>0</v>
      </c>
      <c r="K460">
        <v>0</v>
      </c>
      <c r="L460">
        <v>0</v>
      </c>
      <c r="M460">
        <v>0.3</v>
      </c>
      <c r="N460" s="7" t="str">
        <f>VLOOKUP(F460,HC!A$6:D$100,3,FALSE)</f>
        <v>DJ-X0700</v>
      </c>
      <c r="O460" s="7" t="str">
        <f>VLOOKUP(F460,HC!A$6:D$1000,2,FALSE)</f>
        <v>rpabloul</v>
      </c>
      <c r="P460" s="7"/>
      <c r="Q460" s="7"/>
      <c r="R460" t="s">
        <v>575</v>
      </c>
      <c r="U460">
        <f t="shared" si="9"/>
        <v>17</v>
      </c>
    </row>
    <row r="461" spans="1:21" ht="37.5" customHeight="1" x14ac:dyDescent="0.25">
      <c r="A461" s="1">
        <v>44956</v>
      </c>
      <c r="B461" s="13">
        <v>5</v>
      </c>
      <c r="C461" t="s">
        <v>3</v>
      </c>
      <c r="D461" t="s">
        <v>4</v>
      </c>
      <c r="E461" t="s">
        <v>5</v>
      </c>
      <c r="F461" s="6">
        <v>112981202</v>
      </c>
      <c r="G461" t="s">
        <v>572</v>
      </c>
      <c r="H461" t="s">
        <v>47</v>
      </c>
      <c r="I461">
        <v>0</v>
      </c>
      <c r="J461">
        <v>0</v>
      </c>
      <c r="K461">
        <v>0</v>
      </c>
      <c r="L461">
        <v>0</v>
      </c>
      <c r="M461">
        <v>0.77</v>
      </c>
      <c r="N461" s="7" t="e">
        <f>VLOOKUP(F461,HC!A$6:D$100,3,FALSE)</f>
        <v>#N/A</v>
      </c>
      <c r="O461" s="7" t="e">
        <f>VLOOKUP(F461,HC!A$6:D$1000,2,FALSE)</f>
        <v>#N/A</v>
      </c>
      <c r="P461" s="7" t="s">
        <v>661</v>
      </c>
      <c r="Q461" s="7" t="s">
        <v>681</v>
      </c>
      <c r="R461" t="s">
        <v>234</v>
      </c>
      <c r="U461">
        <f t="shared" si="9"/>
        <v>1395</v>
      </c>
    </row>
    <row r="462" spans="1:21" ht="37.5" customHeight="1" x14ac:dyDescent="0.25">
      <c r="A462" s="1">
        <v>44956</v>
      </c>
      <c r="B462" s="13">
        <v>5</v>
      </c>
      <c r="C462" t="s">
        <v>3</v>
      </c>
      <c r="D462" t="s">
        <v>4</v>
      </c>
      <c r="E462" t="s">
        <v>5</v>
      </c>
      <c r="F462" s="6">
        <v>112981212</v>
      </c>
      <c r="G462" t="s">
        <v>573</v>
      </c>
      <c r="H462" t="s">
        <v>317</v>
      </c>
      <c r="I462">
        <v>0</v>
      </c>
      <c r="J462">
        <v>0</v>
      </c>
      <c r="K462">
        <v>0</v>
      </c>
      <c r="L462">
        <v>0</v>
      </c>
      <c r="M462">
        <v>0.08</v>
      </c>
      <c r="N462" s="7" t="e">
        <f>VLOOKUP(F462,HC!A$6:D$100,3,FALSE)</f>
        <v>#N/A</v>
      </c>
      <c r="O462" s="7" t="str">
        <f>VLOOKUP(F462,HC!A$6:D$1000,2,FALSE)</f>
        <v>alysonza</v>
      </c>
      <c r="P462" s="7"/>
      <c r="Q462" s="7"/>
      <c r="R462" t="s">
        <v>452</v>
      </c>
      <c r="U462">
        <f t="shared" si="9"/>
        <v>23</v>
      </c>
    </row>
    <row r="463" spans="1:21" ht="37.5" customHeight="1" x14ac:dyDescent="0.25">
      <c r="A463" s="1">
        <v>44956</v>
      </c>
      <c r="B463" s="13">
        <v>5</v>
      </c>
      <c r="C463" t="s">
        <v>3</v>
      </c>
      <c r="D463" t="s">
        <v>4</v>
      </c>
      <c r="E463" t="s">
        <v>5</v>
      </c>
      <c r="F463" s="6">
        <v>112984442</v>
      </c>
      <c r="G463" t="s">
        <v>315</v>
      </c>
      <c r="H463" t="s">
        <v>268</v>
      </c>
      <c r="I463">
        <v>0</v>
      </c>
      <c r="J463">
        <v>0</v>
      </c>
      <c r="K463">
        <v>0</v>
      </c>
      <c r="L463">
        <v>0</v>
      </c>
      <c r="M463">
        <v>0.33</v>
      </c>
      <c r="N463" s="7" t="e">
        <f>VLOOKUP(F463,HC!A$6:D$100,3,FALSE)</f>
        <v>#N/A</v>
      </c>
      <c r="O463" s="7" t="e">
        <f>VLOOKUP(F463,HC!A$6:D$1000,2,FALSE)</f>
        <v>#N/A</v>
      </c>
      <c r="P463" s="7"/>
      <c r="Q463" s="7"/>
      <c r="R463" t="s">
        <v>538</v>
      </c>
      <c r="U463">
        <f t="shared" si="9"/>
        <v>1395</v>
      </c>
    </row>
    <row r="464" spans="1:21" ht="37.5" customHeight="1" x14ac:dyDescent="0.25">
      <c r="A464" s="1">
        <v>44956</v>
      </c>
      <c r="B464" s="13">
        <v>5</v>
      </c>
      <c r="C464" t="s">
        <v>3</v>
      </c>
      <c r="D464" t="s">
        <v>4</v>
      </c>
      <c r="E464" t="s">
        <v>5</v>
      </c>
      <c r="F464" s="6">
        <v>113014011</v>
      </c>
      <c r="G464" t="s">
        <v>45</v>
      </c>
      <c r="H464" t="s">
        <v>14</v>
      </c>
      <c r="I464">
        <v>0</v>
      </c>
      <c r="J464">
        <v>0</v>
      </c>
      <c r="K464">
        <v>0</v>
      </c>
      <c r="L464">
        <v>0</v>
      </c>
      <c r="M464">
        <v>0.28999999999999998</v>
      </c>
      <c r="N464" s="7" t="e">
        <f>VLOOKUP(F464,HC!A$6:D$100,3,FALSE)</f>
        <v>#N/A</v>
      </c>
      <c r="O464" s="7" t="e">
        <f>VLOOKUP(F464,HC!A$6:D$1000,2,FALSE)</f>
        <v>#N/A</v>
      </c>
      <c r="P464" s="7" t="s">
        <v>664</v>
      </c>
      <c r="Q464" s="7" t="s">
        <v>711</v>
      </c>
      <c r="R464" t="s">
        <v>419</v>
      </c>
      <c r="U464">
        <f t="shared" si="9"/>
        <v>1395</v>
      </c>
    </row>
    <row r="465" spans="1:21" ht="37.5" customHeight="1" x14ac:dyDescent="0.25">
      <c r="A465" s="1">
        <v>44956</v>
      </c>
      <c r="B465" s="13">
        <v>5</v>
      </c>
      <c r="C465" t="s">
        <v>3</v>
      </c>
      <c r="D465" t="s">
        <v>4</v>
      </c>
      <c r="E465" t="s">
        <v>5</v>
      </c>
      <c r="F465" s="6">
        <v>113014113</v>
      </c>
      <c r="G465" t="s">
        <v>269</v>
      </c>
      <c r="H465" t="s">
        <v>17</v>
      </c>
      <c r="I465">
        <v>0</v>
      </c>
      <c r="J465">
        <v>0</v>
      </c>
      <c r="K465">
        <v>0</v>
      </c>
      <c r="L465">
        <v>0</v>
      </c>
      <c r="M465">
        <v>0.28999999999999998</v>
      </c>
      <c r="N465" s="7" t="e">
        <f>VLOOKUP(F465,HC!A$6:D$100,3,FALSE)</f>
        <v>#N/A</v>
      </c>
      <c r="O465" s="7" t="e">
        <f>VLOOKUP(F465,HC!A$6:D$1000,2,FALSE)</f>
        <v>#N/A</v>
      </c>
      <c r="P465" s="7"/>
      <c r="Q465" s="7"/>
      <c r="R465" t="s">
        <v>535</v>
      </c>
      <c r="U465">
        <f t="shared" si="9"/>
        <v>1395</v>
      </c>
    </row>
    <row r="466" spans="1:21" ht="37.5" customHeight="1" x14ac:dyDescent="0.25">
      <c r="A466" s="1">
        <v>44956</v>
      </c>
      <c r="B466" s="13">
        <v>5</v>
      </c>
      <c r="C466" t="s">
        <v>3</v>
      </c>
      <c r="D466" t="s">
        <v>4</v>
      </c>
      <c r="E466" t="s">
        <v>5</v>
      </c>
      <c r="F466" s="6">
        <v>113101453</v>
      </c>
      <c r="G466" t="s">
        <v>50</v>
      </c>
      <c r="H466" t="s">
        <v>7</v>
      </c>
      <c r="I466">
        <v>0</v>
      </c>
      <c r="J466">
        <v>0</v>
      </c>
      <c r="K466">
        <v>0</v>
      </c>
      <c r="L466">
        <v>0</v>
      </c>
      <c r="M466">
        <v>0.26</v>
      </c>
      <c r="N466" s="7" t="e">
        <f>VLOOKUP(F466,HC!A$6:D$100,3,FALSE)</f>
        <v>#N/A</v>
      </c>
      <c r="O466" s="7" t="str">
        <f>VLOOKUP(F466,HC!A$6:D$1000,2,FALSE)</f>
        <v>qisgeova</v>
      </c>
      <c r="P466" s="7"/>
      <c r="Q466" s="7"/>
      <c r="R466" t="s">
        <v>452</v>
      </c>
      <c r="U466">
        <f t="shared" si="9"/>
        <v>57</v>
      </c>
    </row>
    <row r="467" spans="1:21" ht="37.5" customHeight="1" x14ac:dyDescent="0.25">
      <c r="A467" s="1">
        <v>44956</v>
      </c>
      <c r="B467" s="13">
        <v>5</v>
      </c>
      <c r="C467" t="s">
        <v>3</v>
      </c>
      <c r="D467" t="s">
        <v>4</v>
      </c>
      <c r="E467" t="s">
        <v>5</v>
      </c>
      <c r="F467" s="6">
        <v>200404250</v>
      </c>
      <c r="G467" t="s">
        <v>51</v>
      </c>
      <c r="H467" t="s">
        <v>14</v>
      </c>
      <c r="I467">
        <v>0</v>
      </c>
      <c r="J467">
        <v>0</v>
      </c>
      <c r="K467">
        <v>0</v>
      </c>
      <c r="L467">
        <v>0</v>
      </c>
      <c r="M467">
        <v>0.74</v>
      </c>
      <c r="N467" s="7" t="e">
        <f>VLOOKUP(F467,HC!A$6:D$100,3,FALSE)</f>
        <v>#N/A</v>
      </c>
      <c r="O467" s="7" t="str">
        <f>VLOOKUP(F467,HC!A$6:D$1000,2,FALSE)</f>
        <v>xcathurt</v>
      </c>
      <c r="P467" s="7" t="s">
        <v>662</v>
      </c>
      <c r="Q467" s="7" t="s">
        <v>757</v>
      </c>
      <c r="R467" t="s">
        <v>353</v>
      </c>
      <c r="U467">
        <f t="shared" si="9"/>
        <v>124</v>
      </c>
    </row>
    <row r="468" spans="1:21" ht="37.5" customHeight="1" x14ac:dyDescent="0.25">
      <c r="A468" s="1">
        <v>44956</v>
      </c>
      <c r="B468" s="13">
        <v>5</v>
      </c>
      <c r="C468" t="s">
        <v>3</v>
      </c>
      <c r="D468" t="s">
        <v>4</v>
      </c>
      <c r="E468" t="s">
        <v>21</v>
      </c>
      <c r="F468" s="6">
        <v>200514471</v>
      </c>
      <c r="G468" t="s">
        <v>273</v>
      </c>
      <c r="H468" t="s">
        <v>7</v>
      </c>
      <c r="I468">
        <v>0</v>
      </c>
      <c r="J468">
        <v>0</v>
      </c>
      <c r="K468">
        <v>0</v>
      </c>
      <c r="L468">
        <v>0</v>
      </c>
      <c r="M468">
        <v>0.24</v>
      </c>
      <c r="N468" s="7" t="e">
        <f>VLOOKUP(F468,HC!A$6:D$100,3,FALSE)</f>
        <v>#N/A</v>
      </c>
      <c r="O468" s="7" t="e">
        <f>VLOOKUP(F468,HC!A$6:D$1000,2,FALSE)</f>
        <v>#N/A</v>
      </c>
      <c r="P468" s="7"/>
      <c r="Q468" s="7"/>
      <c r="R468" t="s">
        <v>392</v>
      </c>
      <c r="U468">
        <f t="shared" si="9"/>
        <v>1395</v>
      </c>
    </row>
    <row r="469" spans="1:21" ht="37.5" customHeight="1" x14ac:dyDescent="0.25">
      <c r="A469" s="1">
        <v>44956</v>
      </c>
      <c r="B469" s="13">
        <v>5</v>
      </c>
      <c r="C469" t="s">
        <v>3</v>
      </c>
      <c r="D469" t="s">
        <v>4</v>
      </c>
      <c r="E469" t="s">
        <v>21</v>
      </c>
      <c r="F469" s="6">
        <v>200574329</v>
      </c>
      <c r="G469" t="s">
        <v>52</v>
      </c>
      <c r="H469" t="s">
        <v>7</v>
      </c>
      <c r="I469">
        <v>0</v>
      </c>
      <c r="J469">
        <v>0</v>
      </c>
      <c r="K469">
        <v>0</v>
      </c>
      <c r="L469">
        <v>0</v>
      </c>
      <c r="M469">
        <v>0.32</v>
      </c>
      <c r="N469" s="7" t="e">
        <f>VLOOKUP(F469,HC!A$6:D$100,3,FALSE)</f>
        <v>#N/A</v>
      </c>
      <c r="O469" s="7" t="e">
        <f>VLOOKUP(F469,HC!A$6:D$1000,2,FALSE)</f>
        <v>#N/A</v>
      </c>
      <c r="P469" s="7"/>
      <c r="Q469" s="7"/>
      <c r="R469" t="s">
        <v>420</v>
      </c>
      <c r="U469">
        <f t="shared" si="9"/>
        <v>1395</v>
      </c>
    </row>
    <row r="470" spans="1:21" ht="37.5" customHeight="1" x14ac:dyDescent="0.25">
      <c r="A470" s="1">
        <v>44956</v>
      </c>
      <c r="B470" s="13">
        <v>5</v>
      </c>
      <c r="C470" t="s">
        <v>3</v>
      </c>
      <c r="D470" t="s">
        <v>4</v>
      </c>
      <c r="E470" t="s">
        <v>21</v>
      </c>
      <c r="F470" s="6">
        <v>200620341</v>
      </c>
      <c r="G470" t="s">
        <v>255</v>
      </c>
      <c r="H470" t="s">
        <v>47</v>
      </c>
      <c r="I470">
        <v>0</v>
      </c>
      <c r="J470">
        <v>0</v>
      </c>
      <c r="K470">
        <v>0</v>
      </c>
      <c r="L470">
        <v>0</v>
      </c>
      <c r="M470">
        <v>0.72</v>
      </c>
      <c r="N470" s="7" t="e">
        <f>VLOOKUP(F470,HC!A$6:D$100,3,FALSE)</f>
        <v>#N/A</v>
      </c>
      <c r="O470" s="7" t="e">
        <f>VLOOKUP(F470,HC!A$6:D$1000,2,FALSE)</f>
        <v>#N/A</v>
      </c>
      <c r="P470" s="7" t="s">
        <v>664</v>
      </c>
      <c r="Q470" s="7" t="s">
        <v>711</v>
      </c>
      <c r="R470" t="s">
        <v>419</v>
      </c>
      <c r="U470">
        <f t="shared" si="9"/>
        <v>1395</v>
      </c>
    </row>
    <row r="471" spans="1:21" ht="37.5" customHeight="1" x14ac:dyDescent="0.25">
      <c r="A471" s="1">
        <v>44957</v>
      </c>
      <c r="B471" s="13">
        <v>5</v>
      </c>
      <c r="C471" t="s">
        <v>3</v>
      </c>
      <c r="D471" t="s">
        <v>4</v>
      </c>
      <c r="E471" t="s">
        <v>21</v>
      </c>
      <c r="F471" s="6">
        <v>112912007</v>
      </c>
      <c r="G471" t="s">
        <v>518</v>
      </c>
      <c r="H471" t="s">
        <v>44</v>
      </c>
      <c r="I471">
        <v>0</v>
      </c>
      <c r="J471">
        <v>0</v>
      </c>
      <c r="K471">
        <v>0</v>
      </c>
      <c r="L471">
        <v>0</v>
      </c>
      <c r="M471">
        <v>0.38</v>
      </c>
      <c r="N471" s="7" t="e">
        <f>VLOOKUP(F471,HC!A$6:D$100,3,FALSE)</f>
        <v>#N/A</v>
      </c>
      <c r="O471" s="7" t="e">
        <f>VLOOKUP(F471,HC!A$6:D$1000,2,FALSE)</f>
        <v>#N/A</v>
      </c>
      <c r="P471" s="7" t="s">
        <v>662</v>
      </c>
      <c r="Q471" s="7" t="s">
        <v>757</v>
      </c>
      <c r="R471" t="s">
        <v>353</v>
      </c>
      <c r="U471">
        <f t="shared" si="9"/>
        <v>1395</v>
      </c>
    </row>
    <row r="472" spans="1:21" ht="37.5" customHeight="1" x14ac:dyDescent="0.25">
      <c r="A472" s="1">
        <v>44957</v>
      </c>
      <c r="B472" s="13">
        <v>5</v>
      </c>
      <c r="C472" t="s">
        <v>3</v>
      </c>
      <c r="D472" t="s">
        <v>4</v>
      </c>
      <c r="E472" t="s">
        <v>5</v>
      </c>
      <c r="F472" s="6">
        <v>112912175</v>
      </c>
      <c r="G472" t="s">
        <v>336</v>
      </c>
      <c r="H472" t="s">
        <v>14</v>
      </c>
      <c r="I472">
        <v>0</v>
      </c>
      <c r="J472">
        <v>0</v>
      </c>
      <c r="K472">
        <v>0</v>
      </c>
      <c r="L472">
        <v>0</v>
      </c>
      <c r="M472">
        <v>0.35</v>
      </c>
      <c r="N472" s="7" t="e">
        <f>VLOOKUP(F472,HC!A$6:D$100,3,FALSE)</f>
        <v>#N/A</v>
      </c>
      <c r="O472" s="7" t="e">
        <f>VLOOKUP(F472,HC!A$6:D$1000,2,FALSE)</f>
        <v>#N/A</v>
      </c>
      <c r="P472" s="7"/>
      <c r="Q472" s="7"/>
      <c r="R472" t="s">
        <v>577</v>
      </c>
      <c r="U472">
        <f t="shared" si="9"/>
        <v>1395</v>
      </c>
    </row>
    <row r="473" spans="1:21" ht="37.5" customHeight="1" x14ac:dyDescent="0.25">
      <c r="A473" s="1">
        <v>44957</v>
      </c>
      <c r="B473" s="13">
        <v>5</v>
      </c>
      <c r="C473" t="s">
        <v>3</v>
      </c>
      <c r="D473" t="s">
        <v>4</v>
      </c>
      <c r="E473" t="s">
        <v>5</v>
      </c>
      <c r="F473" s="6">
        <v>112912753</v>
      </c>
      <c r="G473" t="s">
        <v>415</v>
      </c>
      <c r="H473" t="s">
        <v>7</v>
      </c>
      <c r="I473">
        <v>0</v>
      </c>
      <c r="J473">
        <v>0</v>
      </c>
      <c r="K473">
        <v>0</v>
      </c>
      <c r="L473">
        <v>0</v>
      </c>
      <c r="M473">
        <v>0.19</v>
      </c>
      <c r="N473" s="7" t="e">
        <f>VLOOKUP(F473,HC!A$6:D$100,3,FALSE)</f>
        <v>#N/A</v>
      </c>
      <c r="O473" s="7" t="e">
        <f>VLOOKUP(F473,HC!A$6:D$1000,2,FALSE)</f>
        <v>#N/A</v>
      </c>
      <c r="P473" s="7" t="s">
        <v>661</v>
      </c>
      <c r="Q473" s="7" t="s">
        <v>681</v>
      </c>
      <c r="R473" t="s">
        <v>234</v>
      </c>
      <c r="U473">
        <f t="shared" si="9"/>
        <v>1395</v>
      </c>
    </row>
    <row r="474" spans="1:21" ht="37.5" customHeight="1" x14ac:dyDescent="0.25">
      <c r="A474" s="1">
        <v>44957</v>
      </c>
      <c r="B474" s="13">
        <v>5</v>
      </c>
      <c r="C474" t="s">
        <v>3</v>
      </c>
      <c r="D474" t="s">
        <v>4</v>
      </c>
      <c r="E474" t="s">
        <v>5</v>
      </c>
      <c r="F474" s="6">
        <v>112980846</v>
      </c>
      <c r="G474" t="s">
        <v>436</v>
      </c>
      <c r="H474" t="s">
        <v>44</v>
      </c>
      <c r="I474">
        <v>0</v>
      </c>
      <c r="J474">
        <v>0</v>
      </c>
      <c r="K474">
        <v>0</v>
      </c>
      <c r="L474">
        <v>0</v>
      </c>
      <c r="M474">
        <v>0.21</v>
      </c>
      <c r="N474" s="7" t="e">
        <f>VLOOKUP(F474,HC!A$6:D$100,3,FALSE)</f>
        <v>#N/A</v>
      </c>
      <c r="O474" s="7" t="e">
        <f>VLOOKUP(F474,HC!A$6:D$1000,2,FALSE)</f>
        <v>#N/A</v>
      </c>
      <c r="P474" s="7"/>
      <c r="Q474" s="7"/>
      <c r="R474" t="s">
        <v>578</v>
      </c>
      <c r="U474">
        <f t="shared" si="9"/>
        <v>1395</v>
      </c>
    </row>
    <row r="475" spans="1:21" ht="37.5" customHeight="1" x14ac:dyDescent="0.25">
      <c r="A475" s="1">
        <v>44957</v>
      </c>
      <c r="B475" s="13">
        <v>5</v>
      </c>
      <c r="C475" t="s">
        <v>3</v>
      </c>
      <c r="D475" t="s">
        <v>4</v>
      </c>
      <c r="E475" t="s">
        <v>5</v>
      </c>
      <c r="F475" s="6">
        <v>112980847</v>
      </c>
      <c r="G475" t="s">
        <v>524</v>
      </c>
      <c r="H475" t="s">
        <v>44</v>
      </c>
      <c r="I475">
        <v>0</v>
      </c>
      <c r="J475">
        <v>0</v>
      </c>
      <c r="K475">
        <v>0</v>
      </c>
      <c r="L475">
        <v>0</v>
      </c>
      <c r="M475">
        <v>0.24</v>
      </c>
      <c r="N475" s="7" t="e">
        <f>VLOOKUP(F475,HC!A$6:D$100,3,FALSE)</f>
        <v>#N/A</v>
      </c>
      <c r="O475" s="7" t="e">
        <f>VLOOKUP(F475,HC!A$6:D$1000,2,FALSE)</f>
        <v>#N/A</v>
      </c>
      <c r="P475" s="7" t="s">
        <v>662</v>
      </c>
      <c r="Q475" s="7" t="s">
        <v>691</v>
      </c>
      <c r="R475" t="s">
        <v>393</v>
      </c>
      <c r="U475">
        <f t="shared" si="9"/>
        <v>1395</v>
      </c>
    </row>
    <row r="476" spans="1:21" ht="37.5" customHeight="1" x14ac:dyDescent="0.25">
      <c r="A476" s="1">
        <v>44957</v>
      </c>
      <c r="B476" s="13">
        <v>5</v>
      </c>
      <c r="C476" t="s">
        <v>3</v>
      </c>
      <c r="D476" t="s">
        <v>4</v>
      </c>
      <c r="E476" t="s">
        <v>5</v>
      </c>
      <c r="F476" s="6">
        <v>112980862</v>
      </c>
      <c r="G476" t="s">
        <v>43</v>
      </c>
      <c r="H476" t="s">
        <v>14</v>
      </c>
      <c r="I476">
        <v>0</v>
      </c>
      <c r="J476">
        <v>0</v>
      </c>
      <c r="K476">
        <v>0</v>
      </c>
      <c r="L476">
        <v>0</v>
      </c>
      <c r="M476">
        <v>0.47</v>
      </c>
      <c r="N476" s="7" t="e">
        <f>VLOOKUP(F476,HC!A$6:D$100,3,FALSE)</f>
        <v>#N/A</v>
      </c>
      <c r="O476" s="7" t="e">
        <f>VLOOKUP(F476,HC!A$6:D$1000,2,FALSE)</f>
        <v>#N/A</v>
      </c>
      <c r="P476" s="7" t="s">
        <v>664</v>
      </c>
      <c r="Q476" s="7" t="s">
        <v>711</v>
      </c>
      <c r="R476" t="s">
        <v>419</v>
      </c>
      <c r="U476">
        <f t="shared" si="9"/>
        <v>1395</v>
      </c>
    </row>
    <row r="477" spans="1:21" ht="37.5" customHeight="1" x14ac:dyDescent="0.25">
      <c r="A477" s="1">
        <v>44957</v>
      </c>
      <c r="B477" s="13">
        <v>5</v>
      </c>
      <c r="C477" t="s">
        <v>3</v>
      </c>
      <c r="D477" t="s">
        <v>4</v>
      </c>
      <c r="E477" t="s">
        <v>5</v>
      </c>
      <c r="F477" s="6">
        <v>112981061</v>
      </c>
      <c r="G477" t="s">
        <v>264</v>
      </c>
      <c r="H477" t="s">
        <v>14</v>
      </c>
      <c r="I477">
        <v>0</v>
      </c>
      <c r="J477">
        <v>0</v>
      </c>
      <c r="K477">
        <v>0</v>
      </c>
      <c r="L477">
        <v>0</v>
      </c>
      <c r="M477">
        <v>0.56999999999999995</v>
      </c>
      <c r="N477" s="7" t="str">
        <f>VLOOKUP(F477,HC!A$6:D$100,3,FALSE)</f>
        <v>DA-X0700</v>
      </c>
      <c r="O477" s="7" t="str">
        <f>VLOOKUP(F477,HC!A$6:D$1000,2,FALSE)</f>
        <v>mclaudol</v>
      </c>
      <c r="P477" s="7" t="s">
        <v>662</v>
      </c>
      <c r="Q477" s="7" t="s">
        <v>757</v>
      </c>
      <c r="R477" t="s">
        <v>353</v>
      </c>
      <c r="U477">
        <f t="shared" si="9"/>
        <v>44</v>
      </c>
    </row>
    <row r="478" spans="1:21" ht="37.5" customHeight="1" x14ac:dyDescent="0.25">
      <c r="A478" s="1">
        <v>44957</v>
      </c>
      <c r="B478" s="13">
        <v>5</v>
      </c>
      <c r="C478" t="s">
        <v>3</v>
      </c>
      <c r="D478" t="s">
        <v>4</v>
      </c>
      <c r="E478" t="s">
        <v>5</v>
      </c>
      <c r="F478" s="6">
        <v>112991231</v>
      </c>
      <c r="G478" t="s">
        <v>368</v>
      </c>
      <c r="H478" t="s">
        <v>44</v>
      </c>
      <c r="I478">
        <v>0</v>
      </c>
      <c r="J478">
        <v>0</v>
      </c>
      <c r="K478">
        <v>0</v>
      </c>
      <c r="L478">
        <v>0</v>
      </c>
      <c r="M478">
        <v>0.56000000000000005</v>
      </c>
      <c r="N478" s="7" t="e">
        <f>VLOOKUP(F478,HC!A$6:D$100,3,FALSE)</f>
        <v>#N/A</v>
      </c>
      <c r="O478" s="7" t="e">
        <f>VLOOKUP(F478,HC!A$6:D$1000,2,FALSE)</f>
        <v>#N/A</v>
      </c>
      <c r="P478" s="7" t="s">
        <v>670</v>
      </c>
      <c r="Q478" s="7" t="s">
        <v>749</v>
      </c>
      <c r="R478" t="s">
        <v>2103</v>
      </c>
      <c r="U478">
        <f t="shared" si="9"/>
        <v>1395</v>
      </c>
    </row>
    <row r="479" spans="1:21" ht="37.5" customHeight="1" x14ac:dyDescent="0.25">
      <c r="A479" s="1">
        <v>44957</v>
      </c>
      <c r="B479" s="13">
        <v>5</v>
      </c>
      <c r="C479" t="s">
        <v>3</v>
      </c>
      <c r="D479" t="s">
        <v>4</v>
      </c>
      <c r="E479" t="s">
        <v>5</v>
      </c>
      <c r="F479" s="6">
        <v>112991321</v>
      </c>
      <c r="G479" t="s">
        <v>576</v>
      </c>
      <c r="H479" t="s">
        <v>44</v>
      </c>
      <c r="I479">
        <v>0</v>
      </c>
      <c r="J479">
        <v>0</v>
      </c>
      <c r="K479">
        <v>0</v>
      </c>
      <c r="L479">
        <v>0</v>
      </c>
      <c r="M479">
        <v>0.31</v>
      </c>
      <c r="N479" s="7" t="e">
        <f>VLOOKUP(F479,HC!A$6:D$100,3,FALSE)</f>
        <v>#N/A</v>
      </c>
      <c r="O479" s="7" t="e">
        <f>VLOOKUP(F479,HC!A$6:D$1000,2,FALSE)</f>
        <v>#N/A</v>
      </c>
      <c r="P479" s="7"/>
      <c r="Q479" s="7"/>
      <c r="R479" t="s">
        <v>579</v>
      </c>
      <c r="U479">
        <f t="shared" si="9"/>
        <v>1395</v>
      </c>
    </row>
    <row r="480" spans="1:21" ht="37.5" customHeight="1" x14ac:dyDescent="0.25">
      <c r="A480" s="1">
        <v>44957</v>
      </c>
      <c r="B480" s="13">
        <v>5</v>
      </c>
      <c r="C480" t="s">
        <v>3</v>
      </c>
      <c r="D480" t="s">
        <v>4</v>
      </c>
      <c r="E480" t="s">
        <v>5</v>
      </c>
      <c r="F480" s="6">
        <v>113014042</v>
      </c>
      <c r="G480" t="s">
        <v>329</v>
      </c>
      <c r="H480" t="s">
        <v>268</v>
      </c>
      <c r="I480">
        <v>0</v>
      </c>
      <c r="J480">
        <v>0</v>
      </c>
      <c r="K480">
        <v>0</v>
      </c>
      <c r="L480">
        <v>0</v>
      </c>
      <c r="M480">
        <v>0.11</v>
      </c>
      <c r="N480" s="7" t="e">
        <f>VLOOKUP(F480,HC!A$6:D$100,3,FALSE)</f>
        <v>#N/A</v>
      </c>
      <c r="O480" s="7" t="str">
        <f>VLOOKUP(F480,HC!A$6:D$1000,2,FALSE)</f>
        <v>rfcervan</v>
      </c>
      <c r="P480" s="7"/>
      <c r="Q480" s="7"/>
      <c r="U480">
        <f t="shared" si="9"/>
        <v>23</v>
      </c>
    </row>
    <row r="481" spans="1:21" ht="37.5" customHeight="1" x14ac:dyDescent="0.25">
      <c r="A481" s="1">
        <v>44957</v>
      </c>
      <c r="B481" s="13">
        <v>5</v>
      </c>
      <c r="C481" t="s">
        <v>3</v>
      </c>
      <c r="D481" t="s">
        <v>4</v>
      </c>
      <c r="E481" t="s">
        <v>5</v>
      </c>
      <c r="F481" s="6">
        <v>113020463</v>
      </c>
      <c r="G481" t="s">
        <v>321</v>
      </c>
      <c r="H481" t="s">
        <v>17</v>
      </c>
      <c r="I481">
        <v>0</v>
      </c>
      <c r="J481">
        <v>0</v>
      </c>
      <c r="K481">
        <v>0</v>
      </c>
      <c r="L481">
        <v>0</v>
      </c>
      <c r="M481">
        <v>0.27</v>
      </c>
      <c r="N481" s="7" t="e">
        <f>VLOOKUP(F481,HC!A$6:D$100,3,FALSE)</f>
        <v>#N/A</v>
      </c>
      <c r="O481" s="7" t="str">
        <f>VLOOKUP(F481,HC!A$6:D$1000,2,FALSE)</f>
        <v>myriamav</v>
      </c>
      <c r="P481" s="7" t="s">
        <v>661</v>
      </c>
      <c r="Q481" s="7" t="s">
        <v>681</v>
      </c>
      <c r="R481" t="s">
        <v>234</v>
      </c>
      <c r="U481">
        <f t="shared" si="9"/>
        <v>24</v>
      </c>
    </row>
    <row r="482" spans="1:21" ht="37.5" customHeight="1" x14ac:dyDescent="0.25">
      <c r="A482" s="1">
        <v>44957</v>
      </c>
      <c r="B482" s="13">
        <v>5</v>
      </c>
      <c r="C482" t="s">
        <v>3</v>
      </c>
      <c r="D482" t="s">
        <v>4</v>
      </c>
      <c r="E482" t="s">
        <v>5</v>
      </c>
      <c r="F482" s="6">
        <v>200404250</v>
      </c>
      <c r="G482" t="s">
        <v>51</v>
      </c>
      <c r="H482" t="s">
        <v>14</v>
      </c>
      <c r="I482">
        <v>0</v>
      </c>
      <c r="J482">
        <v>0</v>
      </c>
      <c r="K482">
        <v>0</v>
      </c>
      <c r="L482">
        <v>0</v>
      </c>
      <c r="M482">
        <v>0.09</v>
      </c>
      <c r="N482" s="7" t="e">
        <f>VLOOKUP(F482,HC!A$6:D$100,3,FALSE)</f>
        <v>#N/A</v>
      </c>
      <c r="O482" s="7" t="str">
        <f>VLOOKUP(F482,HC!A$6:D$1000,2,FALSE)</f>
        <v>xcathurt</v>
      </c>
      <c r="P482" s="7" t="s">
        <v>662</v>
      </c>
      <c r="Q482" s="7" t="s">
        <v>757</v>
      </c>
      <c r="R482" t="s">
        <v>353</v>
      </c>
      <c r="U482">
        <f t="shared" si="9"/>
        <v>124</v>
      </c>
    </row>
    <row r="483" spans="1:21" ht="37.5" customHeight="1" x14ac:dyDescent="0.25">
      <c r="A483" s="1">
        <v>44957</v>
      </c>
      <c r="B483" s="13">
        <v>5</v>
      </c>
      <c r="C483" t="s">
        <v>3</v>
      </c>
      <c r="D483" t="s">
        <v>4</v>
      </c>
      <c r="E483" t="s">
        <v>21</v>
      </c>
      <c r="F483" s="6">
        <v>200509428</v>
      </c>
      <c r="G483" t="s">
        <v>272</v>
      </c>
      <c r="H483" t="s">
        <v>7</v>
      </c>
      <c r="I483">
        <v>0</v>
      </c>
      <c r="J483">
        <v>0</v>
      </c>
      <c r="K483">
        <v>0</v>
      </c>
      <c r="L483">
        <v>0</v>
      </c>
      <c r="M483">
        <v>0.23</v>
      </c>
      <c r="N483" s="7" t="e">
        <f>VLOOKUP(F483,HC!A$6:D$100,3,FALSE)</f>
        <v>#N/A</v>
      </c>
      <c r="O483" s="7" t="e">
        <f>VLOOKUP(F483,HC!A$6:D$1000,2,FALSE)</f>
        <v>#N/A</v>
      </c>
      <c r="P483" s="7" t="s">
        <v>670</v>
      </c>
      <c r="Q483" s="7" t="s">
        <v>749</v>
      </c>
      <c r="R483" t="s">
        <v>2103</v>
      </c>
      <c r="U483">
        <f t="shared" si="9"/>
        <v>1395</v>
      </c>
    </row>
    <row r="484" spans="1:21" ht="37.5" customHeight="1" x14ac:dyDescent="0.25">
      <c r="A484" s="1">
        <v>44957</v>
      </c>
      <c r="B484" s="13">
        <v>5</v>
      </c>
      <c r="C484" t="s">
        <v>3</v>
      </c>
      <c r="D484" t="s">
        <v>4</v>
      </c>
      <c r="E484" t="s">
        <v>21</v>
      </c>
      <c r="F484" s="6">
        <v>200514471</v>
      </c>
      <c r="G484" t="s">
        <v>273</v>
      </c>
      <c r="H484" t="s">
        <v>7</v>
      </c>
      <c r="I484">
        <v>0</v>
      </c>
      <c r="J484">
        <v>0</v>
      </c>
      <c r="K484">
        <v>0</v>
      </c>
      <c r="L484">
        <v>0</v>
      </c>
      <c r="M484">
        <v>0.21</v>
      </c>
      <c r="N484" s="7" t="e">
        <f>VLOOKUP(F484,HC!A$6:D$100,3,FALSE)</f>
        <v>#N/A</v>
      </c>
      <c r="O484" s="7" t="e">
        <f>VLOOKUP(F484,HC!A$6:D$1000,2,FALSE)</f>
        <v>#N/A</v>
      </c>
      <c r="P484" s="7" t="s">
        <v>669</v>
      </c>
      <c r="Q484" s="7" t="s">
        <v>739</v>
      </c>
      <c r="R484" t="s">
        <v>392</v>
      </c>
      <c r="U484">
        <f t="shared" si="9"/>
        <v>1395</v>
      </c>
    </row>
    <row r="485" spans="1:21" ht="37.5" customHeight="1" x14ac:dyDescent="0.25">
      <c r="A485" s="1">
        <v>44957</v>
      </c>
      <c r="B485" s="13">
        <v>5</v>
      </c>
      <c r="C485" t="s">
        <v>3</v>
      </c>
      <c r="D485" t="s">
        <v>4</v>
      </c>
      <c r="E485" t="s">
        <v>21</v>
      </c>
      <c r="F485" s="6">
        <v>200588981</v>
      </c>
      <c r="G485" t="s">
        <v>381</v>
      </c>
      <c r="H485" t="s">
        <v>17</v>
      </c>
      <c r="I485">
        <v>0</v>
      </c>
      <c r="J485">
        <v>0</v>
      </c>
      <c r="K485">
        <v>0</v>
      </c>
      <c r="L485">
        <v>0</v>
      </c>
      <c r="M485">
        <v>0.27</v>
      </c>
      <c r="N485" s="7" t="e">
        <f>VLOOKUP(F485,HC!A$6:D$100,3,FALSE)</f>
        <v>#N/A</v>
      </c>
      <c r="O485" s="7" t="e">
        <f>VLOOKUP(F485,HC!A$6:D$1000,2,FALSE)</f>
        <v>#N/A</v>
      </c>
      <c r="P485" s="7" t="s">
        <v>670</v>
      </c>
      <c r="Q485" s="7" t="s">
        <v>740</v>
      </c>
      <c r="R485" t="s">
        <v>477</v>
      </c>
      <c r="U485">
        <f t="shared" si="9"/>
        <v>1395</v>
      </c>
    </row>
    <row r="486" spans="1:21" ht="37.5" customHeight="1" x14ac:dyDescent="0.25">
      <c r="A486" s="19">
        <v>44958</v>
      </c>
      <c r="B486" s="13">
        <v>5</v>
      </c>
      <c r="C486" t="s">
        <v>3</v>
      </c>
      <c r="D486" t="s">
        <v>4</v>
      </c>
      <c r="E486" t="s">
        <v>21</v>
      </c>
      <c r="F486" s="6">
        <v>109227086</v>
      </c>
      <c r="G486" t="s">
        <v>430</v>
      </c>
      <c r="H486" t="s">
        <v>14</v>
      </c>
      <c r="I486">
        <v>0</v>
      </c>
      <c r="J486">
        <v>0</v>
      </c>
      <c r="K486">
        <v>0</v>
      </c>
      <c r="L486">
        <v>0</v>
      </c>
      <c r="M486">
        <v>0.65</v>
      </c>
      <c r="N486" s="7" t="e">
        <f>VLOOKUP(F486,HC!A$6:D$100,3,FALSE)</f>
        <v>#N/A</v>
      </c>
      <c r="O486" s="7" t="e">
        <f>VLOOKUP(F486,HC!A$6:D$1000,2,FALSE)</f>
        <v>#N/A</v>
      </c>
      <c r="P486" s="7" t="s">
        <v>667</v>
      </c>
      <c r="Q486" s="7" t="s">
        <v>306</v>
      </c>
      <c r="R486" t="s">
        <v>376</v>
      </c>
      <c r="U486">
        <f t="shared" si="9"/>
        <v>1395</v>
      </c>
    </row>
    <row r="487" spans="1:21" ht="37.5" customHeight="1" x14ac:dyDescent="0.25">
      <c r="A487" s="19">
        <v>44958</v>
      </c>
      <c r="B487" s="13">
        <v>5</v>
      </c>
      <c r="C487" t="s">
        <v>3</v>
      </c>
      <c r="D487" t="s">
        <v>4</v>
      </c>
      <c r="E487" t="s">
        <v>5</v>
      </c>
      <c r="F487" s="6">
        <v>112912509</v>
      </c>
      <c r="G487" t="s">
        <v>295</v>
      </c>
      <c r="H487" t="s">
        <v>49</v>
      </c>
      <c r="I487">
        <v>0</v>
      </c>
      <c r="J487">
        <v>0</v>
      </c>
      <c r="K487">
        <v>0</v>
      </c>
      <c r="L487">
        <v>0</v>
      </c>
      <c r="M487">
        <v>0.32</v>
      </c>
      <c r="N487" s="7" t="e">
        <f>VLOOKUP(F487,HC!A$6:D$100,3,FALSE)</f>
        <v>#N/A</v>
      </c>
      <c r="O487" s="7" t="e">
        <f>VLOOKUP(F487,HC!A$6:D$1000,2,FALSE)</f>
        <v>#N/A</v>
      </c>
      <c r="P487" s="7" t="s">
        <v>664</v>
      </c>
      <c r="Q487" s="7" t="s">
        <v>710</v>
      </c>
      <c r="R487" t="s">
        <v>498</v>
      </c>
      <c r="U487">
        <f t="shared" si="9"/>
        <v>1395</v>
      </c>
    </row>
    <row r="488" spans="1:21" ht="37.5" customHeight="1" x14ac:dyDescent="0.25">
      <c r="A488" s="19">
        <v>44958</v>
      </c>
      <c r="B488" s="13">
        <v>5</v>
      </c>
      <c r="C488" t="s">
        <v>3</v>
      </c>
      <c r="D488" t="s">
        <v>4</v>
      </c>
      <c r="E488" t="s">
        <v>5</v>
      </c>
      <c r="F488" s="6">
        <v>112916534</v>
      </c>
      <c r="G488" t="s">
        <v>425</v>
      </c>
      <c r="H488" t="s">
        <v>268</v>
      </c>
      <c r="I488">
        <v>0</v>
      </c>
      <c r="J488">
        <v>0</v>
      </c>
      <c r="K488">
        <v>0</v>
      </c>
      <c r="L488">
        <v>0</v>
      </c>
      <c r="M488">
        <v>0.18</v>
      </c>
      <c r="N488" s="7" t="str">
        <f>VLOOKUP(F488,HC!A$6:D$100,3,FALSE)</f>
        <v>DB-X0700</v>
      </c>
      <c r="O488" s="7" t="str">
        <f>VLOOKUP(F488,HC!A$6:D$1000,2,FALSE)</f>
        <v>earelili</v>
      </c>
      <c r="P488" t="s">
        <v>665</v>
      </c>
      <c r="Q488" s="7" t="s">
        <v>722</v>
      </c>
      <c r="R488" t="s">
        <v>499</v>
      </c>
      <c r="U488">
        <f t="shared" si="9"/>
        <v>15</v>
      </c>
    </row>
    <row r="489" spans="1:21" ht="37.5" customHeight="1" x14ac:dyDescent="0.25">
      <c r="A489" s="19">
        <v>44958</v>
      </c>
      <c r="B489" s="13">
        <v>5</v>
      </c>
      <c r="C489" t="s">
        <v>3</v>
      </c>
      <c r="D489" t="s">
        <v>4</v>
      </c>
      <c r="E489" t="s">
        <v>5</v>
      </c>
      <c r="F489" s="6">
        <v>112920654</v>
      </c>
      <c r="G489" t="s">
        <v>500</v>
      </c>
      <c r="H489" t="s">
        <v>263</v>
      </c>
      <c r="I489">
        <v>0</v>
      </c>
      <c r="J489">
        <v>0</v>
      </c>
      <c r="K489">
        <v>0</v>
      </c>
      <c r="L489">
        <v>0</v>
      </c>
      <c r="M489">
        <v>1.08</v>
      </c>
      <c r="N489" s="7" t="str">
        <f>VLOOKUP(F489,HC!A$6:D$100,3,FALSE)</f>
        <v>DB-X0700</v>
      </c>
      <c r="O489" s="7" t="str">
        <f>VLOOKUP(F489,HC!A$6:D$1000,2,FALSE)</f>
        <v>qhojulie</v>
      </c>
      <c r="P489" s="7" t="s">
        <v>663</v>
      </c>
      <c r="Q489" s="7" t="s">
        <v>692</v>
      </c>
      <c r="R489" t="s">
        <v>504</v>
      </c>
      <c r="U489">
        <f t="shared" si="9"/>
        <v>16</v>
      </c>
    </row>
    <row r="490" spans="1:21" ht="37.5" customHeight="1" x14ac:dyDescent="0.25">
      <c r="A490" s="19">
        <v>44958</v>
      </c>
      <c r="B490" s="13">
        <v>5</v>
      </c>
      <c r="C490" t="s">
        <v>3</v>
      </c>
      <c r="D490" t="s">
        <v>4</v>
      </c>
      <c r="E490" t="s">
        <v>5</v>
      </c>
      <c r="F490" s="6">
        <v>112920664</v>
      </c>
      <c r="G490" t="s">
        <v>474</v>
      </c>
      <c r="H490" t="s">
        <v>250</v>
      </c>
      <c r="I490">
        <v>0</v>
      </c>
      <c r="J490">
        <v>0</v>
      </c>
      <c r="K490">
        <v>0</v>
      </c>
      <c r="L490">
        <v>0</v>
      </c>
      <c r="M490">
        <v>0.09</v>
      </c>
      <c r="N490" s="7" t="str">
        <f>VLOOKUP(F490,HC!A$6:D$100,3,FALSE)</f>
        <v>DA-X0700</v>
      </c>
      <c r="O490" s="7" t="str">
        <f>VLOOKUP(F490,HC!A$6:D$1000,2,FALSE)</f>
        <v>samualbg</v>
      </c>
      <c r="P490" s="7" t="s">
        <v>661</v>
      </c>
      <c r="Q490" s="7" t="s">
        <v>775</v>
      </c>
      <c r="R490" t="s">
        <v>585</v>
      </c>
      <c r="U490">
        <f t="shared" si="9"/>
        <v>7</v>
      </c>
    </row>
    <row r="491" spans="1:21" ht="37.5" customHeight="1" x14ac:dyDescent="0.25">
      <c r="A491" s="19">
        <v>44958</v>
      </c>
      <c r="B491" s="13">
        <v>5</v>
      </c>
      <c r="C491" t="s">
        <v>3</v>
      </c>
      <c r="D491" t="s">
        <v>4</v>
      </c>
      <c r="E491" t="s">
        <v>5</v>
      </c>
      <c r="F491" s="6">
        <v>112950784</v>
      </c>
      <c r="G491" t="s">
        <v>261</v>
      </c>
      <c r="H491" t="s">
        <v>285</v>
      </c>
      <c r="I491">
        <v>0</v>
      </c>
      <c r="J491">
        <v>0</v>
      </c>
      <c r="K491">
        <v>0</v>
      </c>
      <c r="L491">
        <v>0</v>
      </c>
      <c r="M491">
        <v>5.0999999999999996</v>
      </c>
      <c r="N491" s="7" t="str">
        <f>VLOOKUP(F491,HC!A$6:D$100,3,FALSE)</f>
        <v>NF-X1900</v>
      </c>
      <c r="O491" s="7" t="str">
        <f>VLOOKUP(F491,HC!A$6:D$1000,2,FALSE)</f>
        <v>sarojast</v>
      </c>
      <c r="P491" s="7" t="s">
        <v>663</v>
      </c>
      <c r="Q491" s="7" t="s">
        <v>692</v>
      </c>
      <c r="R491" t="s">
        <v>504</v>
      </c>
      <c r="U491">
        <f t="shared" si="9"/>
        <v>33</v>
      </c>
    </row>
    <row r="492" spans="1:21" ht="37.5" customHeight="1" x14ac:dyDescent="0.25">
      <c r="A492" s="19">
        <v>44958</v>
      </c>
      <c r="B492" s="13">
        <v>5</v>
      </c>
      <c r="C492" t="s">
        <v>3</v>
      </c>
      <c r="D492" t="s">
        <v>4</v>
      </c>
      <c r="E492" t="s">
        <v>5</v>
      </c>
      <c r="F492" s="6">
        <v>112950795</v>
      </c>
      <c r="G492" t="s">
        <v>580</v>
      </c>
      <c r="H492" t="s">
        <v>403</v>
      </c>
      <c r="I492">
        <v>0</v>
      </c>
      <c r="J492">
        <v>0</v>
      </c>
      <c r="K492">
        <v>0</v>
      </c>
      <c r="L492">
        <v>0</v>
      </c>
      <c r="M492">
        <v>0.13</v>
      </c>
      <c r="N492" s="7" t="str">
        <f>VLOOKUP(F492,HC!A$6:D$100,3,FALSE)</f>
        <v>DA-X0700</v>
      </c>
      <c r="O492" s="7" t="str">
        <f>VLOOKUP(F492,HC!A$6:D$1000,2,FALSE)</f>
        <v>oespiali</v>
      </c>
      <c r="P492" s="7" t="s">
        <v>661</v>
      </c>
      <c r="Q492" s="7" t="s">
        <v>681</v>
      </c>
      <c r="R492" t="s">
        <v>10</v>
      </c>
      <c r="U492">
        <f t="shared" si="9"/>
        <v>10</v>
      </c>
    </row>
    <row r="493" spans="1:21" ht="37.5" customHeight="1" x14ac:dyDescent="0.25">
      <c r="A493" s="19">
        <v>44958</v>
      </c>
      <c r="B493" s="13">
        <v>5</v>
      </c>
      <c r="C493" t="s">
        <v>3</v>
      </c>
      <c r="D493" t="s">
        <v>4</v>
      </c>
      <c r="E493" t="s">
        <v>5</v>
      </c>
      <c r="F493" s="6">
        <v>112971980</v>
      </c>
      <c r="G493" t="s">
        <v>445</v>
      </c>
      <c r="H493" t="s">
        <v>282</v>
      </c>
      <c r="I493">
        <v>0</v>
      </c>
      <c r="J493">
        <v>0</v>
      </c>
      <c r="K493">
        <v>0</v>
      </c>
      <c r="L493">
        <v>0</v>
      </c>
      <c r="M493">
        <v>0.3</v>
      </c>
      <c r="N493" s="7" t="str">
        <f>VLOOKUP(F493,HC!A$6:D$100,3,FALSE)</f>
        <v>DC-X0700</v>
      </c>
      <c r="O493" s="7" t="str">
        <f>VLOOKUP(F493,HC!A$6:D$1000,2,FALSE)</f>
        <v>cdanirom</v>
      </c>
      <c r="P493" s="7" t="s">
        <v>661</v>
      </c>
      <c r="Q493" s="7" t="s">
        <v>681</v>
      </c>
      <c r="R493" t="s">
        <v>10</v>
      </c>
      <c r="U493">
        <f t="shared" si="9"/>
        <v>25</v>
      </c>
    </row>
    <row r="494" spans="1:21" ht="37.5" customHeight="1" x14ac:dyDescent="0.25">
      <c r="A494" s="19">
        <v>44958</v>
      </c>
      <c r="B494" s="13">
        <v>5</v>
      </c>
      <c r="C494" t="s">
        <v>3</v>
      </c>
      <c r="D494" t="s">
        <v>4</v>
      </c>
      <c r="E494" t="s">
        <v>5</v>
      </c>
      <c r="F494" s="6">
        <v>112980899</v>
      </c>
      <c r="G494" t="s">
        <v>396</v>
      </c>
      <c r="H494" t="s">
        <v>44</v>
      </c>
      <c r="I494">
        <v>0</v>
      </c>
      <c r="J494">
        <v>0</v>
      </c>
      <c r="K494">
        <v>0</v>
      </c>
      <c r="L494">
        <v>0</v>
      </c>
      <c r="M494">
        <v>0.18</v>
      </c>
      <c r="N494" s="7" t="str">
        <f>VLOOKUP(F494,HC!A$6:D$100,3,FALSE)</f>
        <v>NF-X1900</v>
      </c>
      <c r="O494" s="7" t="str">
        <f>VLOOKUP(F494,HC!A$6:D$1000,2,FALSE)</f>
        <v>aravilac</v>
      </c>
      <c r="P494" s="7" t="s">
        <v>663</v>
      </c>
      <c r="Q494" s="7" t="s">
        <v>692</v>
      </c>
      <c r="R494" t="s">
        <v>318</v>
      </c>
      <c r="U494">
        <f t="shared" si="9"/>
        <v>33</v>
      </c>
    </row>
    <row r="495" spans="1:21" ht="37.5" customHeight="1" x14ac:dyDescent="0.25">
      <c r="A495" s="19">
        <v>44958</v>
      </c>
      <c r="B495" s="13">
        <v>5</v>
      </c>
      <c r="C495" t="s">
        <v>3</v>
      </c>
      <c r="D495" t="s">
        <v>4</v>
      </c>
      <c r="E495" t="s">
        <v>5</v>
      </c>
      <c r="F495" s="6">
        <v>112981221</v>
      </c>
      <c r="G495" t="s">
        <v>581</v>
      </c>
      <c r="H495" t="s">
        <v>285</v>
      </c>
      <c r="I495">
        <v>0</v>
      </c>
      <c r="J495">
        <v>0</v>
      </c>
      <c r="K495">
        <v>0</v>
      </c>
      <c r="L495">
        <v>0</v>
      </c>
      <c r="M495">
        <v>1.61</v>
      </c>
      <c r="N495" s="7" t="e">
        <f>VLOOKUP(F495,HC!A$6:D$100,3,FALSE)</f>
        <v>#N/A</v>
      </c>
      <c r="O495" s="7" t="str">
        <f>VLOOKUP(F495,HC!A$6:D$1000,2,FALSE)</f>
        <v>spercesa</v>
      </c>
      <c r="P495" s="7" t="s">
        <v>664</v>
      </c>
      <c r="Q495" s="7" t="s">
        <v>709</v>
      </c>
      <c r="R495" t="s">
        <v>586</v>
      </c>
      <c r="S495" s="2" t="s">
        <v>583</v>
      </c>
      <c r="U495">
        <f t="shared" si="9"/>
        <v>6</v>
      </c>
    </row>
    <row r="496" spans="1:21" ht="37.5" customHeight="1" x14ac:dyDescent="0.25">
      <c r="A496" s="19">
        <v>44958</v>
      </c>
      <c r="B496" s="13">
        <v>5</v>
      </c>
      <c r="C496" t="s">
        <v>3</v>
      </c>
      <c r="D496" t="s">
        <v>4</v>
      </c>
      <c r="E496" t="s">
        <v>5</v>
      </c>
      <c r="F496" s="6">
        <v>112991231</v>
      </c>
      <c r="G496" t="s">
        <v>368</v>
      </c>
      <c r="H496" t="s">
        <v>44</v>
      </c>
      <c r="I496">
        <v>0</v>
      </c>
      <c r="J496">
        <v>0</v>
      </c>
      <c r="K496">
        <v>0</v>
      </c>
      <c r="L496">
        <v>0</v>
      </c>
      <c r="M496">
        <v>0.31</v>
      </c>
      <c r="N496" s="7" t="e">
        <f>VLOOKUP(F496,HC!A$6:D$100,3,FALSE)</f>
        <v>#N/A</v>
      </c>
      <c r="O496" s="7" t="e">
        <f>VLOOKUP(F496,HC!A$6:D$1000,2,FALSE)</f>
        <v>#N/A</v>
      </c>
      <c r="P496" s="7" t="s">
        <v>664</v>
      </c>
      <c r="Q496" s="7" t="s">
        <v>711</v>
      </c>
      <c r="R496" t="s">
        <v>582</v>
      </c>
      <c r="S496" s="2" t="s">
        <v>583</v>
      </c>
      <c r="U496">
        <f t="shared" si="9"/>
        <v>1395</v>
      </c>
    </row>
    <row r="497" spans="1:21" ht="37.5" customHeight="1" x14ac:dyDescent="0.25">
      <c r="A497" s="19">
        <v>44958</v>
      </c>
      <c r="B497" s="13">
        <v>5</v>
      </c>
      <c r="C497" t="s">
        <v>3</v>
      </c>
      <c r="D497" t="s">
        <v>4</v>
      </c>
      <c r="E497" t="s">
        <v>5</v>
      </c>
      <c r="F497" s="6">
        <v>113003627</v>
      </c>
      <c r="G497" t="s">
        <v>501</v>
      </c>
      <c r="H497" t="s">
        <v>17</v>
      </c>
      <c r="I497">
        <v>0</v>
      </c>
      <c r="J497">
        <v>0</v>
      </c>
      <c r="K497">
        <v>0</v>
      </c>
      <c r="L497">
        <v>0</v>
      </c>
      <c r="M497">
        <v>0.65</v>
      </c>
      <c r="N497" s="7" t="e">
        <f>VLOOKUP(F497,HC!A$6:D$100,3,FALSE)</f>
        <v>#N/A</v>
      </c>
      <c r="O497" s="7" t="e">
        <f>VLOOKUP(F497,HC!A$6:D$1000,2,FALSE)</f>
        <v>#N/A</v>
      </c>
      <c r="P497" s="7" t="s">
        <v>664</v>
      </c>
      <c r="Q497" s="7" t="s">
        <v>708</v>
      </c>
      <c r="R497" t="s">
        <v>584</v>
      </c>
      <c r="U497">
        <f t="shared" si="9"/>
        <v>1395</v>
      </c>
    </row>
    <row r="498" spans="1:21" ht="37.5" customHeight="1" x14ac:dyDescent="0.25">
      <c r="A498" s="19">
        <v>44958</v>
      </c>
      <c r="B498" s="13">
        <v>5</v>
      </c>
      <c r="C498" t="s">
        <v>3</v>
      </c>
      <c r="D498" t="s">
        <v>4</v>
      </c>
      <c r="E498" t="s">
        <v>21</v>
      </c>
      <c r="F498" s="6">
        <v>200574329</v>
      </c>
      <c r="G498" t="s">
        <v>52</v>
      </c>
      <c r="H498" t="s">
        <v>49</v>
      </c>
      <c r="I498">
        <v>0</v>
      </c>
      <c r="J498">
        <v>0</v>
      </c>
      <c r="K498">
        <v>0</v>
      </c>
      <c r="L498">
        <v>0</v>
      </c>
      <c r="M498">
        <v>0.14000000000000001</v>
      </c>
      <c r="N498" s="7" t="e">
        <f>VLOOKUP(F498,HC!A$6:D$100,3,FALSE)</f>
        <v>#N/A</v>
      </c>
      <c r="O498" s="7" t="e">
        <f>VLOOKUP(F498,HC!A$6:D$1000,2,FALSE)</f>
        <v>#N/A</v>
      </c>
      <c r="P498" s="7" t="s">
        <v>664</v>
      </c>
      <c r="Q498" s="7" t="s">
        <v>711</v>
      </c>
      <c r="R498" t="s">
        <v>582</v>
      </c>
      <c r="U498">
        <f t="shared" si="9"/>
        <v>1395</v>
      </c>
    </row>
    <row r="499" spans="1:21" ht="37.5" customHeight="1" x14ac:dyDescent="0.25">
      <c r="A499" s="19">
        <v>44959</v>
      </c>
      <c r="B499" s="13">
        <v>5</v>
      </c>
      <c r="C499" t="s">
        <v>3</v>
      </c>
      <c r="D499" t="s">
        <v>4</v>
      </c>
      <c r="E499" t="s">
        <v>21</v>
      </c>
      <c r="F499" s="6">
        <v>200565197</v>
      </c>
      <c r="G499" t="s">
        <v>389</v>
      </c>
      <c r="H499" t="s">
        <v>285</v>
      </c>
      <c r="I499">
        <v>0</v>
      </c>
      <c r="J499">
        <v>0</v>
      </c>
      <c r="K499">
        <v>0</v>
      </c>
      <c r="L499">
        <v>0</v>
      </c>
      <c r="M499">
        <v>0.22</v>
      </c>
      <c r="N499" s="7" t="e">
        <f>VLOOKUP(F499,HC!A$6:D$100,3,FALSE)</f>
        <v>#N/A</v>
      </c>
      <c r="O499" s="7" t="e">
        <f>VLOOKUP(F499,HC!A$6:D$1000,2,FALSE)</f>
        <v>#N/A</v>
      </c>
      <c r="P499" s="7" t="s">
        <v>662</v>
      </c>
      <c r="Q499" s="7" t="s">
        <v>688</v>
      </c>
      <c r="R499" t="s">
        <v>291</v>
      </c>
      <c r="U499">
        <f t="shared" si="9"/>
        <v>1395</v>
      </c>
    </row>
    <row r="500" spans="1:21" ht="37.5" customHeight="1" x14ac:dyDescent="0.25">
      <c r="A500" s="19">
        <v>44959</v>
      </c>
      <c r="B500" s="13">
        <v>5</v>
      </c>
      <c r="C500" t="s">
        <v>3</v>
      </c>
      <c r="D500" t="s">
        <v>4</v>
      </c>
      <c r="E500" t="s">
        <v>21</v>
      </c>
      <c r="F500" s="6">
        <v>200514471</v>
      </c>
      <c r="G500" t="s">
        <v>273</v>
      </c>
      <c r="H500" t="s">
        <v>49</v>
      </c>
      <c r="I500">
        <v>0</v>
      </c>
      <c r="J500">
        <v>0</v>
      </c>
      <c r="K500">
        <v>0</v>
      </c>
      <c r="L500">
        <v>0</v>
      </c>
      <c r="M500">
        <v>0.28999999999999998</v>
      </c>
      <c r="N500" s="7" t="e">
        <f>VLOOKUP(F500,HC!A$6:D$100,3,FALSE)</f>
        <v>#N/A</v>
      </c>
      <c r="O500" s="7" t="e">
        <f>VLOOKUP(F500,HC!A$6:D$1000,2,FALSE)</f>
        <v>#N/A</v>
      </c>
      <c r="P500" s="7"/>
      <c r="Q500" s="7"/>
      <c r="U500">
        <f t="shared" si="9"/>
        <v>1395</v>
      </c>
    </row>
    <row r="501" spans="1:21" ht="37.5" customHeight="1" x14ac:dyDescent="0.25">
      <c r="A501" s="19">
        <v>44959</v>
      </c>
      <c r="B501" s="13">
        <v>5</v>
      </c>
      <c r="C501" t="s">
        <v>3</v>
      </c>
      <c r="D501" t="s">
        <v>4</v>
      </c>
      <c r="E501" t="s">
        <v>5</v>
      </c>
      <c r="F501" s="6">
        <v>112971988</v>
      </c>
      <c r="G501" t="s">
        <v>596</v>
      </c>
      <c r="H501" t="s">
        <v>459</v>
      </c>
      <c r="I501">
        <v>0</v>
      </c>
      <c r="J501">
        <v>0</v>
      </c>
      <c r="K501">
        <v>0</v>
      </c>
      <c r="L501">
        <v>0</v>
      </c>
      <c r="M501">
        <v>0.27</v>
      </c>
      <c r="N501" s="7" t="str">
        <f>VLOOKUP(F501,HC!A$6:D$100,3,FALSE)</f>
        <v>DB-X0700</v>
      </c>
      <c r="O501" s="7" t="str">
        <f>VLOOKUP(F501,HC!A$6:D$1000,2,FALSE)</f>
        <v>fadtrejo</v>
      </c>
      <c r="P501" s="7" t="s">
        <v>662</v>
      </c>
      <c r="Q501" s="7" t="s">
        <v>688</v>
      </c>
      <c r="R501" t="s">
        <v>291</v>
      </c>
      <c r="S501"/>
      <c r="U501">
        <f t="shared" si="9"/>
        <v>7</v>
      </c>
    </row>
    <row r="502" spans="1:21" ht="37.5" customHeight="1" x14ac:dyDescent="0.25">
      <c r="A502" s="19">
        <v>44959</v>
      </c>
      <c r="B502" s="13">
        <v>5</v>
      </c>
      <c r="C502" t="s">
        <v>3</v>
      </c>
      <c r="D502" t="s">
        <v>4</v>
      </c>
      <c r="E502" t="s">
        <v>5</v>
      </c>
      <c r="F502" s="6">
        <v>113014194</v>
      </c>
      <c r="G502" t="s">
        <v>475</v>
      </c>
      <c r="H502" t="s">
        <v>49</v>
      </c>
      <c r="I502">
        <v>0</v>
      </c>
      <c r="J502">
        <v>0</v>
      </c>
      <c r="K502">
        <v>0</v>
      </c>
      <c r="L502">
        <v>0</v>
      </c>
      <c r="M502">
        <v>0.25</v>
      </c>
      <c r="N502" s="7" t="e">
        <f>VLOOKUP(F502,HC!A$6:D$100,3,FALSE)</f>
        <v>#N/A</v>
      </c>
      <c r="O502" s="7" t="e">
        <f>VLOOKUP(F502,HC!A$6:D$1000,2,FALSE)</f>
        <v>#N/A</v>
      </c>
      <c r="P502" s="7" t="s">
        <v>661</v>
      </c>
      <c r="Q502" s="7" t="s">
        <v>684</v>
      </c>
      <c r="R502" t="s">
        <v>360</v>
      </c>
      <c r="U502">
        <f t="shared" si="9"/>
        <v>1395</v>
      </c>
    </row>
    <row r="503" spans="1:21" ht="37.5" customHeight="1" x14ac:dyDescent="0.25">
      <c r="A503" s="19">
        <v>44959</v>
      </c>
      <c r="B503" s="13">
        <v>5</v>
      </c>
      <c r="C503" t="s">
        <v>3</v>
      </c>
      <c r="D503" t="s">
        <v>4</v>
      </c>
      <c r="E503" t="s">
        <v>5</v>
      </c>
      <c r="F503" s="6">
        <v>112984442</v>
      </c>
      <c r="G503" t="s">
        <v>315</v>
      </c>
      <c r="H503" t="s">
        <v>268</v>
      </c>
      <c r="I503">
        <v>0</v>
      </c>
      <c r="J503">
        <v>0</v>
      </c>
      <c r="K503">
        <v>0</v>
      </c>
      <c r="L503">
        <v>0</v>
      </c>
      <c r="M503">
        <v>0.54</v>
      </c>
      <c r="N503" s="7" t="e">
        <f>VLOOKUP(F503,HC!A$6:D$100,3,FALSE)</f>
        <v>#N/A</v>
      </c>
      <c r="O503" s="7" t="e">
        <f>VLOOKUP(F503,HC!A$6:D$1000,2,FALSE)</f>
        <v>#N/A</v>
      </c>
      <c r="P503" s="7" t="s">
        <v>662</v>
      </c>
      <c r="Q503" s="7" t="s">
        <v>688</v>
      </c>
      <c r="R503" t="s">
        <v>291</v>
      </c>
      <c r="U503">
        <f t="shared" si="9"/>
        <v>1395</v>
      </c>
    </row>
    <row r="504" spans="1:21" ht="37.5" customHeight="1" x14ac:dyDescent="0.25">
      <c r="A504" s="19">
        <v>44959</v>
      </c>
      <c r="B504" s="13">
        <v>5</v>
      </c>
      <c r="C504" t="s">
        <v>3</v>
      </c>
      <c r="D504" t="s">
        <v>4</v>
      </c>
      <c r="E504" t="s">
        <v>5</v>
      </c>
      <c r="F504" s="6">
        <v>112920666</v>
      </c>
      <c r="G504" t="s">
        <v>252</v>
      </c>
      <c r="H504" t="s">
        <v>459</v>
      </c>
      <c r="I504">
        <v>0</v>
      </c>
      <c r="J504">
        <v>0</v>
      </c>
      <c r="K504">
        <v>0</v>
      </c>
      <c r="L504">
        <v>0</v>
      </c>
      <c r="M504">
        <v>0.1</v>
      </c>
      <c r="N504" s="7" t="str">
        <f>VLOOKUP(F504,HC!A$6:D$100,3,FALSE)</f>
        <v>D5-X0700</v>
      </c>
      <c r="O504" s="7" t="str">
        <f>VLOOKUP(F504,HC!A$6:D$1000,2,FALSE)</f>
        <v>jorochai</v>
      </c>
      <c r="P504" s="7" t="s">
        <v>662</v>
      </c>
      <c r="Q504" s="7" t="s">
        <v>688</v>
      </c>
      <c r="R504" t="s">
        <v>25</v>
      </c>
      <c r="S504"/>
      <c r="U504">
        <f t="shared" si="9"/>
        <v>19</v>
      </c>
    </row>
    <row r="505" spans="1:21" ht="37.5" customHeight="1" x14ac:dyDescent="0.25">
      <c r="A505" s="19">
        <v>44959</v>
      </c>
      <c r="B505" s="13">
        <v>5</v>
      </c>
      <c r="C505" t="s">
        <v>3</v>
      </c>
      <c r="D505" t="s">
        <v>4</v>
      </c>
      <c r="E505" t="s">
        <v>5</v>
      </c>
      <c r="F505" s="6">
        <v>111434478</v>
      </c>
      <c r="G505" t="s">
        <v>331</v>
      </c>
      <c r="H505" t="s">
        <v>332</v>
      </c>
      <c r="I505">
        <v>0</v>
      </c>
      <c r="J505">
        <v>0</v>
      </c>
      <c r="K505">
        <v>0</v>
      </c>
      <c r="L505">
        <v>0</v>
      </c>
      <c r="M505">
        <v>0.91</v>
      </c>
      <c r="N505" s="7" t="str">
        <f>VLOOKUP(F505,HC!A$6:D$100,3,FALSE)</f>
        <v>DA-X0700</v>
      </c>
      <c r="O505" s="7" t="str">
        <f>VLOOKUP(F505,HC!A$6:D$1000,2,FALSE)</f>
        <v>juanapam</v>
      </c>
      <c r="P505" s="7" t="s">
        <v>664</v>
      </c>
      <c r="Q505" s="7" t="s">
        <v>713</v>
      </c>
      <c r="R505" t="s">
        <v>496</v>
      </c>
      <c r="S505"/>
      <c r="U505">
        <f t="shared" si="9"/>
        <v>32</v>
      </c>
    </row>
    <row r="506" spans="1:21" ht="37.5" customHeight="1" x14ac:dyDescent="0.25">
      <c r="A506" s="19">
        <v>44959</v>
      </c>
      <c r="B506" s="13">
        <v>5</v>
      </c>
      <c r="C506" t="s">
        <v>3</v>
      </c>
      <c r="D506" t="s">
        <v>401</v>
      </c>
      <c r="E506" t="s">
        <v>5</v>
      </c>
      <c r="F506" s="6">
        <v>111434478</v>
      </c>
      <c r="G506" t="s">
        <v>331</v>
      </c>
      <c r="H506" t="s">
        <v>332</v>
      </c>
      <c r="I506">
        <v>0</v>
      </c>
      <c r="J506">
        <v>0</v>
      </c>
      <c r="K506">
        <v>0</v>
      </c>
      <c r="L506">
        <v>0</v>
      </c>
      <c r="M506">
        <v>1.7</v>
      </c>
      <c r="N506" s="7" t="str">
        <f>VLOOKUP(F506,HC!A$6:D$100,3,FALSE)</f>
        <v>DA-X0700</v>
      </c>
      <c r="O506" s="7" t="str">
        <f>VLOOKUP(F506,HC!A$6:D$1000,2,FALSE)</f>
        <v>juanapam</v>
      </c>
      <c r="P506" s="7" t="s">
        <v>664</v>
      </c>
      <c r="Q506" s="7" t="s">
        <v>713</v>
      </c>
      <c r="R506" t="s">
        <v>604</v>
      </c>
      <c r="U506">
        <f t="shared" si="9"/>
        <v>32</v>
      </c>
    </row>
    <row r="507" spans="1:21" ht="37.5" customHeight="1" x14ac:dyDescent="0.25">
      <c r="A507" s="19">
        <v>44959</v>
      </c>
      <c r="B507" s="13">
        <v>5</v>
      </c>
      <c r="C507" t="s">
        <v>3</v>
      </c>
      <c r="D507" t="s">
        <v>4</v>
      </c>
      <c r="E507" t="s">
        <v>5</v>
      </c>
      <c r="F507" s="6">
        <v>112912074</v>
      </c>
      <c r="G507" t="s">
        <v>473</v>
      </c>
      <c r="H507" t="s">
        <v>282</v>
      </c>
      <c r="I507">
        <v>0</v>
      </c>
      <c r="J507">
        <v>0</v>
      </c>
      <c r="K507">
        <v>0</v>
      </c>
      <c r="L507">
        <v>0</v>
      </c>
      <c r="M507">
        <v>1.52</v>
      </c>
      <c r="N507" s="7" t="e">
        <f>VLOOKUP(F507,HC!A$6:D$100,3,FALSE)</f>
        <v>#N/A</v>
      </c>
      <c r="O507" s="7" t="e">
        <f>VLOOKUP(F507,HC!A$6:D$1000,2,FALSE)</f>
        <v>#N/A</v>
      </c>
      <c r="P507" s="7" t="s">
        <v>664</v>
      </c>
      <c r="Q507" s="7" t="s">
        <v>711</v>
      </c>
      <c r="R507" t="s">
        <v>405</v>
      </c>
      <c r="S507"/>
      <c r="U507">
        <f t="shared" si="9"/>
        <v>1395</v>
      </c>
    </row>
    <row r="508" spans="1:21" ht="37.5" customHeight="1" x14ac:dyDescent="0.25">
      <c r="A508" s="19">
        <v>44959</v>
      </c>
      <c r="B508" s="13">
        <v>5</v>
      </c>
      <c r="C508" t="s">
        <v>3</v>
      </c>
      <c r="D508" t="s">
        <v>4</v>
      </c>
      <c r="E508" t="s">
        <v>5</v>
      </c>
      <c r="F508" s="6">
        <v>112912163</v>
      </c>
      <c r="G508" t="s">
        <v>294</v>
      </c>
      <c r="H508" t="s">
        <v>285</v>
      </c>
      <c r="I508">
        <v>0</v>
      </c>
      <c r="J508">
        <v>0</v>
      </c>
      <c r="K508">
        <v>0</v>
      </c>
      <c r="L508">
        <v>0</v>
      </c>
      <c r="M508">
        <v>0.21</v>
      </c>
      <c r="N508" s="7" t="e">
        <f>VLOOKUP(F508,HC!A$6:D$100,3,FALSE)</f>
        <v>#N/A</v>
      </c>
      <c r="O508" s="7" t="e">
        <f>VLOOKUP(F508,HC!A$6:D$1000,2,FALSE)</f>
        <v>#N/A</v>
      </c>
      <c r="P508" s="7" t="s">
        <v>670</v>
      </c>
      <c r="Q508" s="7" t="s">
        <v>749</v>
      </c>
      <c r="R508" t="s">
        <v>487</v>
      </c>
      <c r="S508"/>
      <c r="U508">
        <f t="shared" si="9"/>
        <v>1395</v>
      </c>
    </row>
    <row r="509" spans="1:21" ht="37.5" customHeight="1" x14ac:dyDescent="0.25">
      <c r="A509" s="19">
        <v>44959</v>
      </c>
      <c r="B509" s="13">
        <v>5</v>
      </c>
      <c r="C509" t="s">
        <v>3</v>
      </c>
      <c r="D509" t="s">
        <v>4</v>
      </c>
      <c r="E509" t="s">
        <v>21</v>
      </c>
      <c r="F509" s="6">
        <v>200514421</v>
      </c>
      <c r="G509" t="s">
        <v>301</v>
      </c>
      <c r="H509" t="s">
        <v>285</v>
      </c>
      <c r="I509">
        <v>0</v>
      </c>
      <c r="J509">
        <v>0</v>
      </c>
      <c r="K509">
        <v>0</v>
      </c>
      <c r="L509">
        <v>0</v>
      </c>
      <c r="M509">
        <v>0.39</v>
      </c>
      <c r="N509" s="7" t="e">
        <f>VLOOKUP(F509,HC!A$6:D$100,3,FALSE)</f>
        <v>#N/A</v>
      </c>
      <c r="O509" s="7" t="str">
        <f>VLOOKUP(F509,HC!A$6:D$1000,2,FALSE)</f>
        <v>padillms</v>
      </c>
      <c r="P509" s="7" t="s">
        <v>664</v>
      </c>
      <c r="Q509" s="7" t="s">
        <v>709</v>
      </c>
      <c r="R509" t="s">
        <v>586</v>
      </c>
      <c r="U509">
        <f t="shared" si="9"/>
        <v>21</v>
      </c>
    </row>
    <row r="510" spans="1:21" ht="37.5" customHeight="1" x14ac:dyDescent="0.25">
      <c r="A510" s="19">
        <v>44959</v>
      </c>
      <c r="B510" s="13">
        <v>5</v>
      </c>
      <c r="C510" t="s">
        <v>3</v>
      </c>
      <c r="D510" t="s">
        <v>4</v>
      </c>
      <c r="E510" t="s">
        <v>5</v>
      </c>
      <c r="F510" s="6">
        <v>113020476</v>
      </c>
      <c r="G510" t="s">
        <v>330</v>
      </c>
      <c r="H510" t="s">
        <v>298</v>
      </c>
      <c r="I510">
        <v>0</v>
      </c>
      <c r="J510">
        <v>0</v>
      </c>
      <c r="K510">
        <v>0</v>
      </c>
      <c r="L510">
        <v>0</v>
      </c>
      <c r="M510">
        <v>1.9</v>
      </c>
      <c r="N510" s="7" t="e">
        <f>VLOOKUP(F510,HC!A$6:D$100,3,FALSE)</f>
        <v>#N/A</v>
      </c>
      <c r="O510" s="7" t="str">
        <f>VLOOKUP(F510,HC!A$6:D$1000,2,FALSE)</f>
        <v>polettpu</v>
      </c>
      <c r="P510" s="7" t="s">
        <v>664</v>
      </c>
      <c r="Q510" s="7" t="s">
        <v>716</v>
      </c>
      <c r="R510" t="s">
        <v>548</v>
      </c>
      <c r="U510">
        <f t="shared" si="9"/>
        <v>55</v>
      </c>
    </row>
    <row r="511" spans="1:21" ht="37.5" customHeight="1" x14ac:dyDescent="0.25">
      <c r="A511" s="19">
        <v>44959</v>
      </c>
      <c r="B511" s="13">
        <v>5</v>
      </c>
      <c r="C511" t="s">
        <v>3</v>
      </c>
      <c r="D511" t="s">
        <v>4</v>
      </c>
      <c r="E511" t="s">
        <v>21</v>
      </c>
      <c r="F511" s="6">
        <v>200554743</v>
      </c>
      <c r="G511" t="s">
        <v>340</v>
      </c>
      <c r="H511" t="s">
        <v>298</v>
      </c>
      <c r="I511">
        <v>0</v>
      </c>
      <c r="J511">
        <v>0</v>
      </c>
      <c r="K511">
        <v>0</v>
      </c>
      <c r="L511">
        <v>0</v>
      </c>
      <c r="M511">
        <v>0.79</v>
      </c>
      <c r="N511" s="7" t="e">
        <f>VLOOKUP(F511,HC!A$6:D$100,3,FALSE)</f>
        <v>#N/A</v>
      </c>
      <c r="O511" s="7" t="e">
        <f>VLOOKUP(F511,HC!A$6:D$1000,2,FALSE)</f>
        <v>#N/A</v>
      </c>
      <c r="P511" s="7" t="s">
        <v>664</v>
      </c>
      <c r="Q511" s="7" t="s">
        <v>762</v>
      </c>
      <c r="R511" t="s">
        <v>603</v>
      </c>
      <c r="U511">
        <f t="shared" si="9"/>
        <v>1395</v>
      </c>
    </row>
    <row r="512" spans="1:21" ht="37.5" customHeight="1" x14ac:dyDescent="0.25">
      <c r="A512" s="19">
        <v>44959</v>
      </c>
      <c r="B512" s="13">
        <v>5</v>
      </c>
      <c r="C512" t="s">
        <v>3</v>
      </c>
      <c r="D512" t="s">
        <v>4</v>
      </c>
      <c r="E512" t="s">
        <v>5</v>
      </c>
      <c r="F512" s="6">
        <v>112972801</v>
      </c>
      <c r="G512" t="s">
        <v>597</v>
      </c>
      <c r="H512" t="s">
        <v>332</v>
      </c>
      <c r="I512">
        <v>0</v>
      </c>
      <c r="J512">
        <v>0</v>
      </c>
      <c r="K512">
        <v>0</v>
      </c>
      <c r="L512">
        <v>0</v>
      </c>
      <c r="M512">
        <v>0.46</v>
      </c>
      <c r="N512" s="7" t="e">
        <f>VLOOKUP(F512,HC!A$6:D$100,3,FALSE)</f>
        <v>#N/A</v>
      </c>
      <c r="O512" s="7" t="e">
        <f>VLOOKUP(F512,HC!A$6:D$1000,2,FALSE)</f>
        <v>#N/A</v>
      </c>
      <c r="P512" s="7"/>
      <c r="Q512" s="7"/>
      <c r="U512">
        <f t="shared" si="9"/>
        <v>1395</v>
      </c>
    </row>
    <row r="513" spans="1:21" ht="37.5" customHeight="1" x14ac:dyDescent="0.25">
      <c r="A513" s="19">
        <v>44959</v>
      </c>
      <c r="B513" s="13">
        <v>5</v>
      </c>
      <c r="C513" t="s">
        <v>3</v>
      </c>
      <c r="D513" t="s">
        <v>4</v>
      </c>
      <c r="E513" t="s">
        <v>5</v>
      </c>
      <c r="F513" s="6">
        <v>112981014</v>
      </c>
      <c r="G513" t="s">
        <v>367</v>
      </c>
      <c r="H513" t="s">
        <v>44</v>
      </c>
      <c r="I513">
        <v>0</v>
      </c>
      <c r="J513">
        <v>0</v>
      </c>
      <c r="K513">
        <v>0</v>
      </c>
      <c r="L513">
        <v>0</v>
      </c>
      <c r="M513">
        <v>0.46</v>
      </c>
      <c r="N513" s="7" t="str">
        <f>VLOOKUP(F513,HC!A$6:D$100,3,FALSE)</f>
        <v>DJ-X0700</v>
      </c>
      <c r="O513" s="7" t="str">
        <f>VLOOKUP(F513,HC!A$6:D$1000,2,FALSE)</f>
        <v>rpabloul</v>
      </c>
      <c r="P513" s="7" t="s">
        <v>661</v>
      </c>
      <c r="Q513" s="7" t="s">
        <v>775</v>
      </c>
      <c r="R513" t="s">
        <v>468</v>
      </c>
      <c r="U513">
        <f t="shared" si="9"/>
        <v>17</v>
      </c>
    </row>
    <row r="514" spans="1:21" ht="37.5" customHeight="1" x14ac:dyDescent="0.25">
      <c r="A514" s="19">
        <v>44959</v>
      </c>
      <c r="B514" s="13">
        <v>5</v>
      </c>
      <c r="C514" t="s">
        <v>3</v>
      </c>
      <c r="D514" t="s">
        <v>4</v>
      </c>
      <c r="E514" t="s">
        <v>5</v>
      </c>
      <c r="F514" s="6">
        <v>112991248</v>
      </c>
      <c r="G514" t="s">
        <v>461</v>
      </c>
      <c r="H514" t="s">
        <v>298</v>
      </c>
      <c r="I514">
        <v>0</v>
      </c>
      <c r="J514">
        <v>0</v>
      </c>
      <c r="K514">
        <v>0</v>
      </c>
      <c r="L514">
        <v>0</v>
      </c>
      <c r="M514">
        <v>1.1399999999999999</v>
      </c>
      <c r="N514" s="7" t="e">
        <f>VLOOKUP(F514,HC!A$6:D$100,3,FALSE)</f>
        <v>#N/A</v>
      </c>
      <c r="O514" s="7" t="e">
        <f>VLOOKUP(F514,HC!A$6:D$1000,2,FALSE)</f>
        <v>#N/A</v>
      </c>
      <c r="P514" s="7" t="s">
        <v>662</v>
      </c>
      <c r="Q514" s="7" t="s">
        <v>691</v>
      </c>
      <c r="R514" t="s">
        <v>291</v>
      </c>
      <c r="U514">
        <f t="shared" si="9"/>
        <v>1395</v>
      </c>
    </row>
    <row r="515" spans="1:21" ht="37.5" customHeight="1" x14ac:dyDescent="0.25">
      <c r="A515" s="19">
        <v>44959</v>
      </c>
      <c r="B515" s="13">
        <v>5</v>
      </c>
      <c r="C515" t="s">
        <v>3</v>
      </c>
      <c r="D515" t="s">
        <v>4</v>
      </c>
      <c r="E515" t="s">
        <v>5</v>
      </c>
      <c r="F515" s="6">
        <v>112932733</v>
      </c>
      <c r="G515" t="s">
        <v>595</v>
      </c>
      <c r="H515" t="s">
        <v>298</v>
      </c>
      <c r="I515">
        <v>0</v>
      </c>
      <c r="J515">
        <v>0</v>
      </c>
      <c r="K515">
        <v>0</v>
      </c>
      <c r="L515">
        <v>0</v>
      </c>
      <c r="M515">
        <v>0.31</v>
      </c>
      <c r="N515" s="7" t="e">
        <f>VLOOKUP(F515,HC!A$6:D$100,3,FALSE)</f>
        <v>#N/A</v>
      </c>
      <c r="O515" s="7" t="e">
        <f>VLOOKUP(F515,HC!A$6:D$1000,2,FALSE)</f>
        <v>#N/A</v>
      </c>
      <c r="P515" s="7" t="s">
        <v>661</v>
      </c>
      <c r="Q515" s="7" t="s">
        <v>684</v>
      </c>
      <c r="R515" t="s">
        <v>360</v>
      </c>
      <c r="S515"/>
      <c r="U515">
        <f t="shared" ref="U515:U578" si="10">COUNTIF(O$2:O$4999,O515)</f>
        <v>1395</v>
      </c>
    </row>
    <row r="516" spans="1:21" ht="37.5" customHeight="1" x14ac:dyDescent="0.25">
      <c r="A516" s="19">
        <v>44959</v>
      </c>
      <c r="B516" s="13">
        <v>5</v>
      </c>
      <c r="C516" t="s">
        <v>3</v>
      </c>
      <c r="D516" t="s">
        <v>4</v>
      </c>
      <c r="E516" t="s">
        <v>5</v>
      </c>
      <c r="F516" s="6">
        <v>112981221</v>
      </c>
      <c r="G516" t="s">
        <v>581</v>
      </c>
      <c r="H516" t="s">
        <v>285</v>
      </c>
      <c r="I516">
        <v>0</v>
      </c>
      <c r="J516">
        <v>0</v>
      </c>
      <c r="K516">
        <v>0</v>
      </c>
      <c r="L516">
        <v>0</v>
      </c>
      <c r="M516">
        <v>0.28000000000000003</v>
      </c>
      <c r="N516" s="7" t="e">
        <f>VLOOKUP(F516,HC!A$6:D$100,3,FALSE)</f>
        <v>#N/A</v>
      </c>
      <c r="O516" s="7" t="str">
        <f>VLOOKUP(F516,HC!A$6:D$1000,2,FALSE)</f>
        <v>spercesa</v>
      </c>
      <c r="P516" s="7" t="s">
        <v>664</v>
      </c>
      <c r="Q516" s="7" t="s">
        <v>708</v>
      </c>
      <c r="R516" t="s">
        <v>600</v>
      </c>
      <c r="U516">
        <f t="shared" si="10"/>
        <v>6</v>
      </c>
    </row>
    <row r="517" spans="1:21" ht="37.5" customHeight="1" x14ac:dyDescent="0.25">
      <c r="A517" s="19">
        <v>44959</v>
      </c>
      <c r="B517" s="13">
        <v>5</v>
      </c>
      <c r="C517" t="s">
        <v>3</v>
      </c>
      <c r="D517" t="s">
        <v>4</v>
      </c>
      <c r="E517" t="s">
        <v>5</v>
      </c>
      <c r="F517" s="6">
        <v>113003609</v>
      </c>
      <c r="G517" t="s">
        <v>598</v>
      </c>
      <c r="H517" t="s">
        <v>268</v>
      </c>
      <c r="I517">
        <v>0</v>
      </c>
      <c r="J517">
        <v>0</v>
      </c>
      <c r="K517">
        <v>0</v>
      </c>
      <c r="L517">
        <v>0</v>
      </c>
      <c r="M517">
        <v>14.03</v>
      </c>
      <c r="N517" s="7" t="e">
        <f>VLOOKUP(F517,HC!A$6:D$100,3,FALSE)</f>
        <v>#N/A</v>
      </c>
      <c r="O517" s="7" t="e">
        <f>VLOOKUP(F517,HC!A$6:D$1000,2,FALSE)</f>
        <v>#N/A</v>
      </c>
      <c r="P517" s="7" t="s">
        <v>666</v>
      </c>
      <c r="Q517" s="7" t="s">
        <v>768</v>
      </c>
      <c r="R517" t="s">
        <v>601</v>
      </c>
      <c r="U517">
        <f t="shared" si="10"/>
        <v>1395</v>
      </c>
    </row>
    <row r="518" spans="1:21" ht="37.5" customHeight="1" x14ac:dyDescent="0.25">
      <c r="A518" s="19">
        <v>44959</v>
      </c>
      <c r="B518" s="13">
        <v>5</v>
      </c>
      <c r="C518" t="s">
        <v>3</v>
      </c>
      <c r="D518" t="s">
        <v>4</v>
      </c>
      <c r="E518" t="s">
        <v>5</v>
      </c>
      <c r="F518" s="6">
        <v>113019111</v>
      </c>
      <c r="G518" t="s">
        <v>533</v>
      </c>
      <c r="H518" t="s">
        <v>14</v>
      </c>
      <c r="I518">
        <v>0</v>
      </c>
      <c r="J518">
        <v>0</v>
      </c>
      <c r="K518">
        <v>0</v>
      </c>
      <c r="L518">
        <v>0</v>
      </c>
      <c r="M518">
        <v>0.08</v>
      </c>
      <c r="N518" s="7" t="e">
        <f>VLOOKUP(F518,HC!A$6:D$100,3,FALSE)</f>
        <v>#N/A</v>
      </c>
      <c r="O518" s="7" t="str">
        <f>VLOOKUP(F518,HC!A$6:D$1000,2,FALSE)</f>
        <v>valdkell</v>
      </c>
      <c r="P518" s="7" t="s">
        <v>663</v>
      </c>
      <c r="Q518" s="7" t="s">
        <v>692</v>
      </c>
      <c r="R518" t="s">
        <v>504</v>
      </c>
      <c r="U518">
        <f t="shared" si="10"/>
        <v>7</v>
      </c>
    </row>
    <row r="519" spans="1:21" ht="37.5" customHeight="1" x14ac:dyDescent="0.25">
      <c r="A519" s="19">
        <v>44959</v>
      </c>
      <c r="B519" s="13">
        <v>5</v>
      </c>
      <c r="C519" t="s">
        <v>3</v>
      </c>
      <c r="D519" t="s">
        <v>4</v>
      </c>
      <c r="E519" t="s">
        <v>5</v>
      </c>
      <c r="F519" s="6">
        <v>200404250</v>
      </c>
      <c r="G519" t="s">
        <v>51</v>
      </c>
      <c r="H519" t="s">
        <v>285</v>
      </c>
      <c r="I519">
        <v>0</v>
      </c>
      <c r="J519">
        <v>0</v>
      </c>
      <c r="K519">
        <v>0</v>
      </c>
      <c r="L519">
        <v>0</v>
      </c>
      <c r="M519">
        <v>0.71</v>
      </c>
      <c r="N519" s="7" t="e">
        <f>VLOOKUP(F519,HC!A$6:D$100,3,FALSE)</f>
        <v>#N/A</v>
      </c>
      <c r="O519" s="7" t="str">
        <f>VLOOKUP(F519,HC!A$6:D$1000,2,FALSE)</f>
        <v>xcathurt</v>
      </c>
      <c r="P519" s="7" t="s">
        <v>662</v>
      </c>
      <c r="Q519" s="7" t="s">
        <v>785</v>
      </c>
      <c r="R519" t="s">
        <v>235</v>
      </c>
      <c r="U519">
        <f t="shared" si="10"/>
        <v>124</v>
      </c>
    </row>
    <row r="520" spans="1:21" ht="37.5" customHeight="1" x14ac:dyDescent="0.25">
      <c r="A520" s="19">
        <v>44959</v>
      </c>
      <c r="B520" s="13">
        <v>5</v>
      </c>
      <c r="C520" t="s">
        <v>3</v>
      </c>
      <c r="D520" t="s">
        <v>4</v>
      </c>
      <c r="E520" t="s">
        <v>5</v>
      </c>
      <c r="F520" s="6">
        <v>113014560</v>
      </c>
      <c r="G520" t="s">
        <v>599</v>
      </c>
      <c r="H520" t="s">
        <v>17</v>
      </c>
      <c r="I520">
        <v>0</v>
      </c>
      <c r="J520">
        <v>0</v>
      </c>
      <c r="K520">
        <v>0</v>
      </c>
      <c r="L520">
        <v>0</v>
      </c>
      <c r="M520">
        <v>0</v>
      </c>
      <c r="N520" s="7" t="e">
        <f>VLOOKUP(F520,HC!A$6:D$100,3,FALSE)</f>
        <v>#N/A</v>
      </c>
      <c r="O520" s="7" t="str">
        <f>VLOOKUP(F520,HC!A$6:D$1000,2,FALSE)</f>
        <v>zlopamer</v>
      </c>
      <c r="P520" s="7" t="s">
        <v>670</v>
      </c>
      <c r="Q520" s="7" t="s">
        <v>763</v>
      </c>
      <c r="R520" t="s">
        <v>602</v>
      </c>
      <c r="U520">
        <f t="shared" si="10"/>
        <v>15</v>
      </c>
    </row>
    <row r="521" spans="1:21" ht="37.5" customHeight="1" x14ac:dyDescent="0.25">
      <c r="A521" s="19">
        <v>44960</v>
      </c>
      <c r="B521" s="13">
        <v>5</v>
      </c>
      <c r="C521" t="s">
        <v>3</v>
      </c>
      <c r="D521" t="s">
        <v>4</v>
      </c>
      <c r="E521" t="s">
        <v>21</v>
      </c>
      <c r="F521" s="6">
        <v>109227086</v>
      </c>
      <c r="G521" t="s">
        <v>430</v>
      </c>
      <c r="H521" t="s">
        <v>14</v>
      </c>
      <c r="I521">
        <v>0</v>
      </c>
      <c r="J521">
        <v>0</v>
      </c>
      <c r="K521">
        <v>0</v>
      </c>
      <c r="L521">
        <v>0</v>
      </c>
      <c r="M521">
        <v>1.56</v>
      </c>
      <c r="N521" s="7" t="e">
        <f>VLOOKUP(F521,HC!A$6:D$100,3,FALSE)</f>
        <v>#N/A</v>
      </c>
      <c r="O521" s="7" t="e">
        <f>VLOOKUP(F521,HC!A$6:D$1000,2,FALSE)</f>
        <v>#N/A</v>
      </c>
      <c r="P521" s="7" t="s">
        <v>670</v>
      </c>
      <c r="Q521" s="7" t="s">
        <v>746</v>
      </c>
      <c r="R521" t="s">
        <v>609</v>
      </c>
      <c r="U521">
        <f t="shared" si="10"/>
        <v>1395</v>
      </c>
    </row>
    <row r="522" spans="1:21" ht="37.5" customHeight="1" x14ac:dyDescent="0.25">
      <c r="A522" s="19">
        <v>44960</v>
      </c>
      <c r="B522" s="13">
        <v>5</v>
      </c>
      <c r="C522" t="s">
        <v>3</v>
      </c>
      <c r="D522" t="s">
        <v>4</v>
      </c>
      <c r="E522" t="s">
        <v>5</v>
      </c>
      <c r="F522" s="6">
        <v>111188907</v>
      </c>
      <c r="G522" t="s">
        <v>435</v>
      </c>
      <c r="H522" t="s">
        <v>263</v>
      </c>
      <c r="I522">
        <v>0</v>
      </c>
      <c r="J522">
        <v>0</v>
      </c>
      <c r="K522">
        <v>0</v>
      </c>
      <c r="L522">
        <v>0</v>
      </c>
      <c r="M522">
        <v>0.35</v>
      </c>
      <c r="N522" s="7" t="e">
        <f>VLOOKUP(F522,HC!A$6:D$100,3,FALSE)</f>
        <v>#N/A</v>
      </c>
      <c r="O522" s="7" t="e">
        <f>VLOOKUP(F522,HC!A$6:D$1000,2,FALSE)</f>
        <v>#N/A</v>
      </c>
      <c r="P522" s="7" t="s">
        <v>670</v>
      </c>
      <c r="Q522" s="7" t="s">
        <v>748</v>
      </c>
      <c r="R522" t="s">
        <v>610</v>
      </c>
      <c r="U522">
        <f t="shared" si="10"/>
        <v>1395</v>
      </c>
    </row>
    <row r="523" spans="1:21" ht="37.5" customHeight="1" x14ac:dyDescent="0.25">
      <c r="A523" s="19">
        <v>44960</v>
      </c>
      <c r="B523" s="13">
        <v>5</v>
      </c>
      <c r="C523" t="s">
        <v>3</v>
      </c>
      <c r="D523" t="s">
        <v>4</v>
      </c>
      <c r="E523" t="s">
        <v>5</v>
      </c>
      <c r="F523" s="6">
        <v>111434478</v>
      </c>
      <c r="G523" t="s">
        <v>331</v>
      </c>
      <c r="H523" t="s">
        <v>332</v>
      </c>
      <c r="I523">
        <v>0</v>
      </c>
      <c r="J523">
        <v>0</v>
      </c>
      <c r="K523">
        <v>0</v>
      </c>
      <c r="L523">
        <v>0</v>
      </c>
      <c r="M523">
        <v>0.78</v>
      </c>
      <c r="N523" s="7" t="str">
        <f>VLOOKUP(F523,HC!A$6:D$100,3,FALSE)</f>
        <v>DA-X0700</v>
      </c>
      <c r="O523" s="7" t="str">
        <f>VLOOKUP(F523,HC!A$6:D$1000,2,FALSE)</f>
        <v>juanapam</v>
      </c>
      <c r="P523" s="7" t="s">
        <v>664</v>
      </c>
      <c r="Q523" s="7" t="s">
        <v>708</v>
      </c>
      <c r="R523" t="s">
        <v>611</v>
      </c>
      <c r="U523">
        <f t="shared" si="10"/>
        <v>32</v>
      </c>
    </row>
    <row r="524" spans="1:21" ht="37.5" customHeight="1" x14ac:dyDescent="0.25">
      <c r="A524" s="19">
        <v>44960</v>
      </c>
      <c r="B524" s="13">
        <v>5</v>
      </c>
      <c r="C524" t="s">
        <v>3</v>
      </c>
      <c r="D524" t="s">
        <v>4</v>
      </c>
      <c r="E524" t="s">
        <v>5</v>
      </c>
      <c r="F524" s="6">
        <v>112912046</v>
      </c>
      <c r="G524" t="s">
        <v>605</v>
      </c>
      <c r="H524" t="s">
        <v>403</v>
      </c>
      <c r="I524">
        <v>0</v>
      </c>
      <c r="J524">
        <v>0</v>
      </c>
      <c r="K524">
        <v>0</v>
      </c>
      <c r="L524">
        <v>0</v>
      </c>
      <c r="M524">
        <v>0.24</v>
      </c>
      <c r="N524" s="7" t="e">
        <f>VLOOKUP(F524,HC!A$6:D$100,3,FALSE)</f>
        <v>#N/A</v>
      </c>
      <c r="O524" s="7" t="e">
        <f>VLOOKUP(F524,HC!A$6:D$1000,2,FALSE)</f>
        <v>#N/A</v>
      </c>
      <c r="P524" s="7" t="s">
        <v>661</v>
      </c>
      <c r="Q524" s="7" t="s">
        <v>681</v>
      </c>
      <c r="R524" t="s">
        <v>10</v>
      </c>
      <c r="U524">
        <f t="shared" si="10"/>
        <v>1395</v>
      </c>
    </row>
    <row r="525" spans="1:21" ht="37.5" customHeight="1" x14ac:dyDescent="0.25">
      <c r="A525" s="19">
        <v>44960</v>
      </c>
      <c r="B525" s="13">
        <v>5</v>
      </c>
      <c r="C525" t="s">
        <v>3</v>
      </c>
      <c r="D525" t="s">
        <v>4</v>
      </c>
      <c r="E525" t="s">
        <v>5</v>
      </c>
      <c r="F525" s="6">
        <v>112920655</v>
      </c>
      <c r="G525" t="s">
        <v>509</v>
      </c>
      <c r="H525" t="s">
        <v>282</v>
      </c>
      <c r="I525">
        <v>0</v>
      </c>
      <c r="J525">
        <v>0</v>
      </c>
      <c r="K525">
        <v>0</v>
      </c>
      <c r="L525">
        <v>0</v>
      </c>
      <c r="M525">
        <v>0.62</v>
      </c>
      <c r="N525" s="7" t="e">
        <f>VLOOKUP(F525,HC!A$6:D$100,3,FALSE)</f>
        <v>#N/A</v>
      </c>
      <c r="O525" s="7" t="e">
        <f>VLOOKUP(F525,HC!A$6:D$1000,2,FALSE)</f>
        <v>#N/A</v>
      </c>
      <c r="P525" s="7" t="s">
        <v>661</v>
      </c>
      <c r="Q525" s="7" t="s">
        <v>681</v>
      </c>
      <c r="R525" t="s">
        <v>10</v>
      </c>
      <c r="U525">
        <f t="shared" si="10"/>
        <v>1395</v>
      </c>
    </row>
    <row r="526" spans="1:21" ht="37.5" customHeight="1" x14ac:dyDescent="0.25">
      <c r="A526" s="19">
        <v>44960</v>
      </c>
      <c r="B526" s="13">
        <v>5</v>
      </c>
      <c r="C526" t="s">
        <v>3</v>
      </c>
      <c r="D526" t="s">
        <v>4</v>
      </c>
      <c r="E526" t="s">
        <v>5</v>
      </c>
      <c r="F526" s="6">
        <v>112971953</v>
      </c>
      <c r="G526" t="s">
        <v>262</v>
      </c>
      <c r="H526" t="s">
        <v>263</v>
      </c>
      <c r="I526">
        <v>0</v>
      </c>
      <c r="J526">
        <v>0</v>
      </c>
      <c r="K526">
        <v>0</v>
      </c>
      <c r="L526">
        <v>0</v>
      </c>
      <c r="M526">
        <v>8.0500000000000007</v>
      </c>
      <c r="N526" s="7" t="str">
        <f>VLOOKUP(F526,HC!A$6:D$100,3,FALSE)</f>
        <v>DB-X0700</v>
      </c>
      <c r="O526" s="7" t="str">
        <f>VLOOKUP(F526,HC!A$6:D$1000,2,FALSE)</f>
        <v>anzpalom</v>
      </c>
      <c r="P526" s="7" t="s">
        <v>666</v>
      </c>
      <c r="Q526" s="7" t="s">
        <v>768</v>
      </c>
      <c r="R526" t="s">
        <v>776</v>
      </c>
      <c r="U526">
        <f t="shared" si="10"/>
        <v>14</v>
      </c>
    </row>
    <row r="527" spans="1:21" ht="37.5" customHeight="1" x14ac:dyDescent="0.25">
      <c r="A527" s="19">
        <v>44960</v>
      </c>
      <c r="B527" s="13">
        <v>5</v>
      </c>
      <c r="C527" t="s">
        <v>3</v>
      </c>
      <c r="D527" t="s">
        <v>4</v>
      </c>
      <c r="E527" t="s">
        <v>5</v>
      </c>
      <c r="F527" s="6">
        <v>112971980</v>
      </c>
      <c r="G527" t="s">
        <v>445</v>
      </c>
      <c r="H527" t="s">
        <v>282</v>
      </c>
      <c r="I527">
        <v>0</v>
      </c>
      <c r="J527">
        <v>0</v>
      </c>
      <c r="K527">
        <v>0</v>
      </c>
      <c r="L527">
        <v>0</v>
      </c>
      <c r="M527">
        <v>0.21</v>
      </c>
      <c r="N527" s="7" t="str">
        <f>VLOOKUP(F527,HC!A$6:D$100,3,FALSE)</f>
        <v>DC-X0700</v>
      </c>
      <c r="O527" s="7" t="str">
        <f>VLOOKUP(F527,HC!A$6:D$1000,2,FALSE)</f>
        <v>cdanirom</v>
      </c>
      <c r="P527" s="7" t="s">
        <v>663</v>
      </c>
      <c r="Q527" s="7" t="s">
        <v>704</v>
      </c>
      <c r="R527" t="s">
        <v>477</v>
      </c>
      <c r="U527">
        <f t="shared" si="10"/>
        <v>25</v>
      </c>
    </row>
    <row r="528" spans="1:21" ht="37.5" customHeight="1" x14ac:dyDescent="0.25">
      <c r="A528" s="19">
        <v>44960</v>
      </c>
      <c r="B528" s="13">
        <v>5</v>
      </c>
      <c r="C528" t="s">
        <v>3</v>
      </c>
      <c r="D528" t="s">
        <v>4</v>
      </c>
      <c r="E528" t="s">
        <v>5</v>
      </c>
      <c r="F528" s="6">
        <v>113014011</v>
      </c>
      <c r="G528" t="s">
        <v>45</v>
      </c>
      <c r="H528" t="s">
        <v>14</v>
      </c>
      <c r="I528">
        <v>0</v>
      </c>
      <c r="J528">
        <v>0</v>
      </c>
      <c r="K528">
        <v>0</v>
      </c>
      <c r="L528">
        <v>0</v>
      </c>
      <c r="M528">
        <v>0.86</v>
      </c>
      <c r="N528" s="7" t="e">
        <f>VLOOKUP(F528,HC!A$6:D$100,3,FALSE)</f>
        <v>#N/A</v>
      </c>
      <c r="O528" s="7" t="e">
        <f>VLOOKUP(F528,HC!A$6:D$1000,2,FALSE)</f>
        <v>#N/A</v>
      </c>
      <c r="P528" s="7" t="s">
        <v>664</v>
      </c>
      <c r="Q528" s="7" t="s">
        <v>711</v>
      </c>
      <c r="R528" t="s">
        <v>405</v>
      </c>
      <c r="S528" s="2" t="s">
        <v>613</v>
      </c>
      <c r="U528">
        <f t="shared" si="10"/>
        <v>1395</v>
      </c>
    </row>
    <row r="529" spans="1:21" ht="37.5" customHeight="1" x14ac:dyDescent="0.25">
      <c r="A529" s="19">
        <v>44960</v>
      </c>
      <c r="B529" s="13">
        <v>5</v>
      </c>
      <c r="C529" t="s">
        <v>3</v>
      </c>
      <c r="D529" t="s">
        <v>4</v>
      </c>
      <c r="E529" t="s">
        <v>5</v>
      </c>
      <c r="F529" s="6">
        <v>113020497</v>
      </c>
      <c r="G529" t="s">
        <v>606</v>
      </c>
      <c r="H529" t="s">
        <v>285</v>
      </c>
      <c r="I529">
        <v>0</v>
      </c>
      <c r="J529">
        <v>0</v>
      </c>
      <c r="K529">
        <v>0</v>
      </c>
      <c r="L529">
        <v>0</v>
      </c>
      <c r="M529">
        <v>0.39</v>
      </c>
      <c r="N529" s="7" t="e">
        <f>VLOOKUP(F529,HC!A$6:D$100,3,FALSE)</f>
        <v>#N/A</v>
      </c>
      <c r="O529" s="7" t="str">
        <f>VLOOKUP(F529,HC!A$6:D$1000,2,FALSE)</f>
        <v>diamartd</v>
      </c>
      <c r="P529" s="7" t="s">
        <v>675</v>
      </c>
      <c r="Q529" s="7"/>
      <c r="R529" t="s">
        <v>362</v>
      </c>
      <c r="U529">
        <f t="shared" si="10"/>
        <v>14</v>
      </c>
    </row>
    <row r="530" spans="1:21" ht="37.5" customHeight="1" x14ac:dyDescent="0.25">
      <c r="A530" s="19">
        <v>44960</v>
      </c>
      <c r="B530" s="13">
        <v>5</v>
      </c>
      <c r="C530" t="s">
        <v>3</v>
      </c>
      <c r="D530" t="s">
        <v>4</v>
      </c>
      <c r="E530" t="s">
        <v>5</v>
      </c>
      <c r="F530" s="6">
        <v>113141911</v>
      </c>
      <c r="G530" t="s">
        <v>439</v>
      </c>
      <c r="H530" t="s">
        <v>332</v>
      </c>
      <c r="I530">
        <v>0</v>
      </c>
      <c r="J530">
        <v>0</v>
      </c>
      <c r="K530">
        <v>0</v>
      </c>
      <c r="L530">
        <v>0</v>
      </c>
      <c r="M530">
        <v>0.44</v>
      </c>
      <c r="N530" s="7" t="e">
        <f>VLOOKUP(F530,HC!A$6:D$100,3,FALSE)</f>
        <v>#N/A</v>
      </c>
      <c r="O530" s="7" t="e">
        <f>VLOOKUP(F530,HC!A$6:D$1000,2,FALSE)</f>
        <v>#N/A</v>
      </c>
      <c r="P530" s="7" t="s">
        <v>666</v>
      </c>
      <c r="Q530" s="7" t="s">
        <v>774</v>
      </c>
      <c r="R530" t="s">
        <v>483</v>
      </c>
      <c r="U530">
        <f t="shared" si="10"/>
        <v>1395</v>
      </c>
    </row>
    <row r="531" spans="1:21" ht="37.5" customHeight="1" x14ac:dyDescent="0.25">
      <c r="A531" s="19">
        <v>44960</v>
      </c>
      <c r="B531" s="13">
        <v>5</v>
      </c>
      <c r="C531" t="s">
        <v>3</v>
      </c>
      <c r="D531" t="s">
        <v>4</v>
      </c>
      <c r="E531" t="s">
        <v>21</v>
      </c>
      <c r="F531" s="6">
        <v>200534675</v>
      </c>
      <c r="G531" t="s">
        <v>534</v>
      </c>
      <c r="H531" t="s">
        <v>17</v>
      </c>
      <c r="I531">
        <v>0</v>
      </c>
      <c r="J531">
        <v>0</v>
      </c>
      <c r="K531">
        <v>0</v>
      </c>
      <c r="L531">
        <v>0</v>
      </c>
      <c r="M531">
        <v>0.24</v>
      </c>
      <c r="N531" s="7" t="e">
        <f>VLOOKUP(F531,HC!A$6:D$100,3,FALSE)</f>
        <v>#N/A</v>
      </c>
      <c r="O531" s="7" t="str">
        <f>VLOOKUP(F531,HC!A$6:D$1000,2,FALSE)</f>
        <v>juanpmun</v>
      </c>
      <c r="P531" s="7" t="s">
        <v>661</v>
      </c>
      <c r="Q531" s="7" t="s">
        <v>681</v>
      </c>
      <c r="R531" t="s">
        <v>10</v>
      </c>
      <c r="U531">
        <f t="shared" si="10"/>
        <v>16</v>
      </c>
    </row>
    <row r="532" spans="1:21" ht="37.5" customHeight="1" x14ac:dyDescent="0.25">
      <c r="A532" s="19">
        <v>44960</v>
      </c>
      <c r="B532" s="13">
        <v>5</v>
      </c>
      <c r="C532" t="s">
        <v>3</v>
      </c>
      <c r="D532" t="s">
        <v>4</v>
      </c>
      <c r="E532" t="s">
        <v>21</v>
      </c>
      <c r="F532" s="6">
        <v>200564835</v>
      </c>
      <c r="G532" t="s">
        <v>342</v>
      </c>
      <c r="H532" t="s">
        <v>268</v>
      </c>
      <c r="I532">
        <v>0</v>
      </c>
      <c r="J532">
        <v>0</v>
      </c>
      <c r="K532">
        <v>0</v>
      </c>
      <c r="L532">
        <v>0</v>
      </c>
      <c r="M532">
        <v>0.16</v>
      </c>
      <c r="N532" s="7" t="e">
        <f>VLOOKUP(F532,HC!A$6:D$100,3,FALSE)</f>
        <v>#N/A</v>
      </c>
      <c r="O532" s="7" t="e">
        <f>VLOOKUP(F532,HC!A$6:D$1000,2,FALSE)</f>
        <v>#N/A</v>
      </c>
      <c r="P532" s="7" t="s">
        <v>661</v>
      </c>
      <c r="Q532" s="7" t="s">
        <v>681</v>
      </c>
      <c r="R532" t="s">
        <v>10</v>
      </c>
      <c r="U532">
        <f t="shared" si="10"/>
        <v>1395</v>
      </c>
    </row>
    <row r="533" spans="1:21" ht="37.5" customHeight="1" x14ac:dyDescent="0.25">
      <c r="A533" s="19">
        <v>44960</v>
      </c>
      <c r="B533" s="13">
        <v>5</v>
      </c>
      <c r="C533" t="s">
        <v>3</v>
      </c>
      <c r="D533" t="s">
        <v>4</v>
      </c>
      <c r="E533" t="s">
        <v>21</v>
      </c>
      <c r="F533" s="6">
        <v>200564845</v>
      </c>
      <c r="G533" t="s">
        <v>440</v>
      </c>
      <c r="H533" t="s">
        <v>285</v>
      </c>
      <c r="I533">
        <v>0</v>
      </c>
      <c r="J533">
        <v>0</v>
      </c>
      <c r="K533">
        <v>0</v>
      </c>
      <c r="L533">
        <v>0</v>
      </c>
      <c r="M533">
        <v>0.12</v>
      </c>
      <c r="N533" s="7" t="e">
        <f>VLOOKUP(F533,HC!A$6:D$100,3,FALSE)</f>
        <v>#N/A</v>
      </c>
      <c r="O533" s="7" t="e">
        <f>VLOOKUP(F533,HC!A$6:D$1000,2,FALSE)</f>
        <v>#N/A</v>
      </c>
      <c r="P533" s="7" t="s">
        <v>664</v>
      </c>
      <c r="Q533" s="7" t="s">
        <v>708</v>
      </c>
      <c r="R533" t="s">
        <v>614</v>
      </c>
      <c r="U533">
        <f t="shared" si="10"/>
        <v>1395</v>
      </c>
    </row>
    <row r="534" spans="1:21" ht="37.5" customHeight="1" x14ac:dyDescent="0.25">
      <c r="A534" s="19">
        <v>44960</v>
      </c>
      <c r="B534" s="13">
        <v>5</v>
      </c>
      <c r="C534" t="s">
        <v>3</v>
      </c>
      <c r="D534" t="s">
        <v>4</v>
      </c>
      <c r="E534" t="s">
        <v>21</v>
      </c>
      <c r="F534" s="6">
        <v>200625528</v>
      </c>
      <c r="G534" t="s">
        <v>607</v>
      </c>
      <c r="H534" t="s">
        <v>47</v>
      </c>
      <c r="I534">
        <v>0</v>
      </c>
      <c r="J534">
        <v>0</v>
      </c>
      <c r="K534">
        <v>0</v>
      </c>
      <c r="L534">
        <v>0</v>
      </c>
      <c r="M534">
        <v>0.21</v>
      </c>
      <c r="N534" s="7" t="e">
        <f>VLOOKUP(F534,HC!A$6:D$100,3,FALSE)</f>
        <v>#N/A</v>
      </c>
      <c r="O534" s="7" t="str">
        <f>VLOOKUP(F534,HC!A$6:D$1000,2,FALSE)</f>
        <v>olivlizb</v>
      </c>
      <c r="P534" s="7" t="s">
        <v>661</v>
      </c>
      <c r="Q534" s="7" t="s">
        <v>681</v>
      </c>
      <c r="R534" t="s">
        <v>10</v>
      </c>
      <c r="U534">
        <f t="shared" si="10"/>
        <v>50</v>
      </c>
    </row>
    <row r="535" spans="1:21" ht="37.5" customHeight="1" x14ac:dyDescent="0.25">
      <c r="A535" s="19">
        <v>44961</v>
      </c>
      <c r="B535" s="13">
        <v>5</v>
      </c>
      <c r="C535" t="s">
        <v>3</v>
      </c>
      <c r="D535" t="s">
        <v>4</v>
      </c>
      <c r="E535" t="s">
        <v>5</v>
      </c>
      <c r="F535" s="6">
        <v>112912983</v>
      </c>
      <c r="G535" t="s">
        <v>558</v>
      </c>
      <c r="H535" t="s">
        <v>332</v>
      </c>
      <c r="I535">
        <v>0</v>
      </c>
      <c r="J535">
        <v>0</v>
      </c>
      <c r="K535">
        <v>0</v>
      </c>
      <c r="L535">
        <v>0</v>
      </c>
      <c r="M535">
        <v>0.14000000000000001</v>
      </c>
      <c r="N535" s="7" t="str">
        <f>VLOOKUP(F535,HC!A$6:D$100,3,FALSE)</f>
        <v>NF-X1900</v>
      </c>
      <c r="O535" s="7" t="str">
        <f>VLOOKUP(F535,HC!A$6:D$1000,2,FALSE)</f>
        <v>wrocirod</v>
      </c>
      <c r="P535" s="7" t="s">
        <v>661</v>
      </c>
      <c r="Q535" s="7" t="s">
        <v>681</v>
      </c>
      <c r="R535" t="s">
        <v>10</v>
      </c>
      <c r="U535">
        <f t="shared" si="10"/>
        <v>16</v>
      </c>
    </row>
    <row r="536" spans="1:21" ht="37.5" customHeight="1" x14ac:dyDescent="0.25">
      <c r="A536" s="19">
        <v>44961</v>
      </c>
      <c r="B536" s="13">
        <v>5</v>
      </c>
      <c r="C536" t="s">
        <v>3</v>
      </c>
      <c r="D536" t="s">
        <v>4</v>
      </c>
      <c r="E536" t="s">
        <v>5</v>
      </c>
      <c r="F536" s="6">
        <v>112916497</v>
      </c>
      <c r="G536" t="s">
        <v>608</v>
      </c>
      <c r="H536" t="s">
        <v>263</v>
      </c>
      <c r="I536">
        <v>0</v>
      </c>
      <c r="J536">
        <v>0</v>
      </c>
      <c r="K536">
        <v>0</v>
      </c>
      <c r="L536">
        <v>0</v>
      </c>
      <c r="M536">
        <v>0.42</v>
      </c>
      <c r="N536" s="7" t="e">
        <f>VLOOKUP(F536,HC!A$6:D$100,3,FALSE)</f>
        <v>#N/A</v>
      </c>
      <c r="O536" s="7" t="e">
        <f>VLOOKUP(F536,HC!A$6:D$1000,2,FALSE)</f>
        <v>#N/A</v>
      </c>
      <c r="P536" s="7" t="s">
        <v>662</v>
      </c>
      <c r="Q536" s="7" t="s">
        <v>691</v>
      </c>
      <c r="R536" t="s">
        <v>615</v>
      </c>
      <c r="U536">
        <f t="shared" si="10"/>
        <v>1395</v>
      </c>
    </row>
    <row r="537" spans="1:21" ht="37.5" customHeight="1" x14ac:dyDescent="0.25">
      <c r="A537" s="19">
        <v>44961</v>
      </c>
      <c r="B537" s="13">
        <v>5</v>
      </c>
      <c r="C537" t="s">
        <v>3</v>
      </c>
      <c r="D537" t="s">
        <v>4</v>
      </c>
      <c r="E537" t="s">
        <v>5</v>
      </c>
      <c r="F537" s="6">
        <v>112920654</v>
      </c>
      <c r="G537" t="s">
        <v>500</v>
      </c>
      <c r="H537" t="s">
        <v>263</v>
      </c>
      <c r="I537">
        <v>0</v>
      </c>
      <c r="J537">
        <v>0</v>
      </c>
      <c r="K537">
        <v>0</v>
      </c>
      <c r="L537">
        <v>0</v>
      </c>
      <c r="M537">
        <v>0.24</v>
      </c>
      <c r="N537" s="7" t="str">
        <f>VLOOKUP(F537,HC!A$6:D$100,3,FALSE)</f>
        <v>DB-X0700</v>
      </c>
      <c r="O537" s="7" t="str">
        <f>VLOOKUP(F537,HC!A$6:D$1000,2,FALSE)</f>
        <v>qhojulie</v>
      </c>
      <c r="P537" s="7" t="s">
        <v>663</v>
      </c>
      <c r="Q537" s="7" t="s">
        <v>692</v>
      </c>
      <c r="R537" t="s">
        <v>616</v>
      </c>
      <c r="U537">
        <f t="shared" si="10"/>
        <v>16</v>
      </c>
    </row>
    <row r="538" spans="1:21" ht="37.5" customHeight="1" x14ac:dyDescent="0.25">
      <c r="A538" s="19">
        <v>44961</v>
      </c>
      <c r="B538" s="13">
        <v>5</v>
      </c>
      <c r="C538" t="s">
        <v>3</v>
      </c>
      <c r="D538" t="s">
        <v>4</v>
      </c>
      <c r="E538" t="s">
        <v>5</v>
      </c>
      <c r="F538" s="6">
        <v>112971953</v>
      </c>
      <c r="G538" t="s">
        <v>262</v>
      </c>
      <c r="H538" t="s">
        <v>263</v>
      </c>
      <c r="I538">
        <v>0</v>
      </c>
      <c r="J538">
        <v>0</v>
      </c>
      <c r="K538">
        <v>0</v>
      </c>
      <c r="L538">
        <v>0</v>
      </c>
      <c r="M538">
        <v>0.97</v>
      </c>
      <c r="N538" s="7" t="str">
        <f>VLOOKUP(F538,HC!A$6:D$100,3,FALSE)</f>
        <v>DB-X0700</v>
      </c>
      <c r="O538" s="7" t="str">
        <f>VLOOKUP(F538,HC!A$6:D$1000,2,FALSE)</f>
        <v>anzpalom</v>
      </c>
      <c r="P538" s="7" t="s">
        <v>666</v>
      </c>
      <c r="Q538" s="7" t="s">
        <v>768</v>
      </c>
      <c r="R538" t="s">
        <v>496</v>
      </c>
      <c r="U538">
        <f t="shared" si="10"/>
        <v>14</v>
      </c>
    </row>
    <row r="539" spans="1:21" ht="37.5" customHeight="1" x14ac:dyDescent="0.25">
      <c r="A539" s="19">
        <v>44961</v>
      </c>
      <c r="B539" s="13">
        <v>5</v>
      </c>
      <c r="C539" t="s">
        <v>3</v>
      </c>
      <c r="D539" t="s">
        <v>4</v>
      </c>
      <c r="E539" t="s">
        <v>5</v>
      </c>
      <c r="F539" s="6">
        <v>112972958</v>
      </c>
      <c r="G539" t="s">
        <v>441</v>
      </c>
      <c r="H539" t="s">
        <v>459</v>
      </c>
      <c r="I539">
        <v>0</v>
      </c>
      <c r="J539">
        <v>0</v>
      </c>
      <c r="K539">
        <v>0</v>
      </c>
      <c r="L539">
        <v>0</v>
      </c>
      <c r="M539">
        <v>0.45</v>
      </c>
      <c r="N539" s="7" t="str">
        <f>VLOOKUP(F539,HC!A$6:D$100,3,FALSE)</f>
        <v>D5-X0700</v>
      </c>
      <c r="O539" s="7" t="str">
        <f>VLOOKUP(F539,HC!A$6:D$1000,2,FALSE)</f>
        <v>ugonzgui</v>
      </c>
      <c r="P539" s="7" t="s">
        <v>664</v>
      </c>
      <c r="Q539" s="7" t="s">
        <v>708</v>
      </c>
      <c r="R539" t="s">
        <v>409</v>
      </c>
      <c r="U539">
        <f t="shared" si="10"/>
        <v>13</v>
      </c>
    </row>
    <row r="540" spans="1:21" ht="37.5" customHeight="1" x14ac:dyDescent="0.25">
      <c r="A540" s="19">
        <v>44961</v>
      </c>
      <c r="B540" s="13">
        <v>5</v>
      </c>
      <c r="C540" t="s">
        <v>3</v>
      </c>
      <c r="D540" t="s">
        <v>4</v>
      </c>
      <c r="E540" t="s">
        <v>5</v>
      </c>
      <c r="F540" s="6">
        <v>112991248</v>
      </c>
      <c r="G540" t="s">
        <v>461</v>
      </c>
      <c r="H540" t="s">
        <v>298</v>
      </c>
      <c r="I540">
        <v>0</v>
      </c>
      <c r="J540">
        <v>0</v>
      </c>
      <c r="K540">
        <v>0</v>
      </c>
      <c r="L540">
        <v>0</v>
      </c>
      <c r="M540">
        <v>0.13</v>
      </c>
      <c r="N540" s="7" t="e">
        <f>VLOOKUP(F540,HC!A$6:D$100,3,FALSE)</f>
        <v>#N/A</v>
      </c>
      <c r="O540" s="7" t="e">
        <f>VLOOKUP(F540,HC!A$6:D$1000,2,FALSE)</f>
        <v>#N/A</v>
      </c>
      <c r="P540" s="7" t="s">
        <v>661</v>
      </c>
      <c r="Q540" s="7" t="s">
        <v>681</v>
      </c>
      <c r="R540" t="s">
        <v>10</v>
      </c>
      <c r="U540">
        <f t="shared" si="10"/>
        <v>1395</v>
      </c>
    </row>
    <row r="541" spans="1:21" ht="37.5" customHeight="1" x14ac:dyDescent="0.25">
      <c r="A541" s="19">
        <v>44961</v>
      </c>
      <c r="B541" s="13">
        <v>5</v>
      </c>
      <c r="C541" t="s">
        <v>3</v>
      </c>
      <c r="D541" t="s">
        <v>4</v>
      </c>
      <c r="E541" t="s">
        <v>5</v>
      </c>
      <c r="F541" s="6">
        <v>113003609</v>
      </c>
      <c r="G541" t="s">
        <v>598</v>
      </c>
      <c r="H541" t="s">
        <v>268</v>
      </c>
      <c r="I541">
        <v>0</v>
      </c>
      <c r="J541">
        <v>0</v>
      </c>
      <c r="K541">
        <v>0</v>
      </c>
      <c r="L541">
        <v>0</v>
      </c>
      <c r="M541">
        <v>0.11</v>
      </c>
      <c r="N541" s="7" t="e">
        <f>VLOOKUP(F541,HC!A$6:D$100,3,FALSE)</f>
        <v>#N/A</v>
      </c>
      <c r="O541" s="7" t="e">
        <f>VLOOKUP(F541,HC!A$6:D$1000,2,FALSE)</f>
        <v>#N/A</v>
      </c>
      <c r="P541" s="7" t="s">
        <v>661</v>
      </c>
      <c r="Q541" s="7" t="s">
        <v>681</v>
      </c>
      <c r="R541" t="s">
        <v>10</v>
      </c>
      <c r="U541">
        <f t="shared" si="10"/>
        <v>1395</v>
      </c>
    </row>
    <row r="542" spans="1:21" ht="37.5" customHeight="1" x14ac:dyDescent="0.25">
      <c r="A542" s="19">
        <v>44962</v>
      </c>
      <c r="B542" s="13">
        <v>6</v>
      </c>
      <c r="C542" t="s">
        <v>3</v>
      </c>
      <c r="D542" t="s">
        <v>4</v>
      </c>
      <c r="E542" t="s">
        <v>5</v>
      </c>
      <c r="F542" s="6">
        <v>112533782</v>
      </c>
      <c r="G542" t="s">
        <v>617</v>
      </c>
      <c r="H542" t="s">
        <v>47</v>
      </c>
      <c r="I542">
        <v>0</v>
      </c>
      <c r="J542">
        <v>0</v>
      </c>
      <c r="K542">
        <v>0</v>
      </c>
      <c r="L542">
        <v>0</v>
      </c>
      <c r="M542">
        <v>0.14000000000000001</v>
      </c>
      <c r="N542" s="7" t="e">
        <f>VLOOKUP(F542,HC!A$6:D$100,3,FALSE)</f>
        <v>#N/A</v>
      </c>
      <c r="O542" s="7" t="e">
        <f>VLOOKUP(F542,HC!A$6:D$1000,2,FALSE)</f>
        <v>#N/A</v>
      </c>
      <c r="P542" s="7" t="s">
        <v>664</v>
      </c>
      <c r="Q542" s="7" t="s">
        <v>770</v>
      </c>
      <c r="R542" t="s">
        <v>538</v>
      </c>
      <c r="U542">
        <f t="shared" si="10"/>
        <v>1395</v>
      </c>
    </row>
    <row r="543" spans="1:21" ht="37.5" customHeight="1" x14ac:dyDescent="0.25">
      <c r="A543" s="19">
        <v>44962</v>
      </c>
      <c r="B543" s="13">
        <v>6</v>
      </c>
      <c r="C543" t="s">
        <v>3</v>
      </c>
      <c r="D543" t="s">
        <v>4</v>
      </c>
      <c r="E543" t="s">
        <v>5</v>
      </c>
      <c r="F543" s="6">
        <v>112950792</v>
      </c>
      <c r="G543" t="s">
        <v>618</v>
      </c>
      <c r="H543" t="s">
        <v>44</v>
      </c>
      <c r="I543">
        <v>0</v>
      </c>
      <c r="J543">
        <v>0</v>
      </c>
      <c r="K543">
        <v>0</v>
      </c>
      <c r="L543">
        <v>0</v>
      </c>
      <c r="M543">
        <v>0.16</v>
      </c>
      <c r="N543" s="7" t="str">
        <f>VLOOKUP(F543,HC!A$6:D$100,3,FALSE)</f>
        <v>NF-X1900</v>
      </c>
      <c r="O543" s="7" t="str">
        <f>VLOOKUP(F543,HC!A$6:D$1000,2,FALSE)</f>
        <v>genevmor</v>
      </c>
      <c r="P543" s="7" t="s">
        <v>664</v>
      </c>
      <c r="Q543" s="7" t="s">
        <v>770</v>
      </c>
      <c r="R543" t="s">
        <v>538</v>
      </c>
      <c r="U543">
        <f t="shared" si="10"/>
        <v>8</v>
      </c>
    </row>
    <row r="544" spans="1:21" ht="37.5" customHeight="1" x14ac:dyDescent="0.25">
      <c r="A544" s="19">
        <v>44962</v>
      </c>
      <c r="B544" s="13">
        <v>6</v>
      </c>
      <c r="C544" t="s">
        <v>3</v>
      </c>
      <c r="D544" t="s">
        <v>4</v>
      </c>
      <c r="E544" t="s">
        <v>5</v>
      </c>
      <c r="F544" s="6">
        <v>112980842</v>
      </c>
      <c r="G544" t="s">
        <v>395</v>
      </c>
      <c r="H544" t="s">
        <v>44</v>
      </c>
      <c r="I544">
        <v>0</v>
      </c>
      <c r="J544">
        <v>0</v>
      </c>
      <c r="K544">
        <v>0</v>
      </c>
      <c r="L544">
        <v>0</v>
      </c>
      <c r="M544">
        <v>1.01</v>
      </c>
      <c r="N544" s="7" t="e">
        <f>VLOOKUP(F544,HC!A$6:D$100,3,FALSE)</f>
        <v>#N/A</v>
      </c>
      <c r="O544" s="7" t="e">
        <f>VLOOKUP(F544,HC!A$6:D$1000,2,FALSE)</f>
        <v>#N/A</v>
      </c>
      <c r="P544" s="7" t="s">
        <v>664</v>
      </c>
      <c r="Q544" s="7" t="s">
        <v>770</v>
      </c>
      <c r="R544" t="s">
        <v>452</v>
      </c>
      <c r="S544" s="2" t="s">
        <v>620</v>
      </c>
      <c r="U544">
        <f t="shared" si="10"/>
        <v>1395</v>
      </c>
    </row>
    <row r="545" spans="1:21" ht="37.5" customHeight="1" x14ac:dyDescent="0.25">
      <c r="A545" s="19">
        <v>44962</v>
      </c>
      <c r="B545" s="13">
        <v>6</v>
      </c>
      <c r="C545" t="s">
        <v>3</v>
      </c>
      <c r="D545" t="s">
        <v>4</v>
      </c>
      <c r="E545" t="s">
        <v>5</v>
      </c>
      <c r="F545" s="6">
        <v>112980843</v>
      </c>
      <c r="G545" t="s">
        <v>619</v>
      </c>
      <c r="H545" t="s">
        <v>44</v>
      </c>
      <c r="I545">
        <v>0</v>
      </c>
      <c r="J545">
        <v>0</v>
      </c>
      <c r="K545">
        <v>0</v>
      </c>
      <c r="L545">
        <v>0</v>
      </c>
      <c r="M545">
        <v>0.17</v>
      </c>
      <c r="N545" s="7" t="str">
        <f>VLOOKUP(F545,HC!A$6:D$100,3,FALSE)</f>
        <v>DA-X0700</v>
      </c>
      <c r="O545" s="7" t="str">
        <f>VLOOKUP(F545,HC!A$6:D$1000,2,FALSE)</f>
        <v>lsisrael</v>
      </c>
      <c r="P545" s="7" t="s">
        <v>669</v>
      </c>
      <c r="Q545" s="7" t="s">
        <v>739</v>
      </c>
      <c r="R545" t="s">
        <v>392</v>
      </c>
      <c r="U545">
        <f t="shared" si="10"/>
        <v>10</v>
      </c>
    </row>
    <row r="546" spans="1:21" ht="37.5" customHeight="1" x14ac:dyDescent="0.25">
      <c r="A546" s="19">
        <v>44962</v>
      </c>
      <c r="B546" s="13">
        <v>6</v>
      </c>
      <c r="C546" t="s">
        <v>3</v>
      </c>
      <c r="D546" t="s">
        <v>4</v>
      </c>
      <c r="E546" t="s">
        <v>5</v>
      </c>
      <c r="F546" s="6">
        <v>113003691</v>
      </c>
      <c r="G546" t="s">
        <v>369</v>
      </c>
      <c r="H546" t="s">
        <v>17</v>
      </c>
      <c r="I546">
        <v>0</v>
      </c>
      <c r="J546">
        <v>0</v>
      </c>
      <c r="K546">
        <v>0</v>
      </c>
      <c r="L546">
        <v>0</v>
      </c>
      <c r="M546">
        <v>0.16</v>
      </c>
      <c r="N546" s="7" t="e">
        <f>VLOOKUP(F546,HC!A$6:D$100,3,FALSE)</f>
        <v>#N/A</v>
      </c>
      <c r="O546" s="7" t="e">
        <f>VLOOKUP(F546,HC!A$6:D$1000,2,FALSE)</f>
        <v>#N/A</v>
      </c>
      <c r="P546" s="7" t="s">
        <v>661</v>
      </c>
      <c r="Q546" s="7" t="s">
        <v>681</v>
      </c>
      <c r="R546" t="s">
        <v>535</v>
      </c>
      <c r="U546">
        <f t="shared" si="10"/>
        <v>1395</v>
      </c>
    </row>
    <row r="547" spans="1:21" ht="37.5" customHeight="1" x14ac:dyDescent="0.25">
      <c r="A547" s="19">
        <v>44962</v>
      </c>
      <c r="B547" s="13">
        <v>6</v>
      </c>
      <c r="C547" t="s">
        <v>3</v>
      </c>
      <c r="D547" t="s">
        <v>4</v>
      </c>
      <c r="E547" t="s">
        <v>5</v>
      </c>
      <c r="F547" s="6">
        <v>113018997</v>
      </c>
      <c r="G547" t="s">
        <v>254</v>
      </c>
      <c r="H547" t="s">
        <v>44</v>
      </c>
      <c r="I547">
        <v>0</v>
      </c>
      <c r="J547">
        <v>0</v>
      </c>
      <c r="K547">
        <v>0</v>
      </c>
      <c r="L547">
        <v>0</v>
      </c>
      <c r="M547">
        <v>0.79</v>
      </c>
      <c r="N547" s="7" t="e">
        <f>VLOOKUP(F547,HC!A$6:D$100,3,FALSE)</f>
        <v>#N/A</v>
      </c>
      <c r="O547" s="7" t="e">
        <f>VLOOKUP(F547,HC!A$6:D$1000,2,FALSE)</f>
        <v>#N/A</v>
      </c>
      <c r="P547" s="7" t="s">
        <v>665</v>
      </c>
      <c r="Q547" s="7" t="s">
        <v>756</v>
      </c>
      <c r="R547" t="s">
        <v>525</v>
      </c>
      <c r="U547">
        <f t="shared" si="10"/>
        <v>1395</v>
      </c>
    </row>
    <row r="548" spans="1:21" ht="37.5" customHeight="1" x14ac:dyDescent="0.25">
      <c r="A548" s="19">
        <v>44962</v>
      </c>
      <c r="B548" s="13">
        <v>6</v>
      </c>
      <c r="C548" t="s">
        <v>3</v>
      </c>
      <c r="D548" t="s">
        <v>4</v>
      </c>
      <c r="E548" t="s">
        <v>5</v>
      </c>
      <c r="F548" s="6">
        <v>113019083</v>
      </c>
      <c r="G548" t="s">
        <v>442</v>
      </c>
      <c r="H548" t="s">
        <v>7</v>
      </c>
      <c r="I548">
        <v>0</v>
      </c>
      <c r="J548">
        <v>0</v>
      </c>
      <c r="K548">
        <v>0</v>
      </c>
      <c r="L548">
        <v>0</v>
      </c>
      <c r="M548">
        <v>0.1</v>
      </c>
      <c r="N548" s="7" t="e">
        <f>VLOOKUP(F548,HC!A$6:D$100,3,FALSE)</f>
        <v>#N/A</v>
      </c>
      <c r="O548" s="7" t="e">
        <f>VLOOKUP(F548,HC!A$6:D$1000,2,FALSE)</f>
        <v>#N/A</v>
      </c>
      <c r="P548" s="7" t="s">
        <v>664</v>
      </c>
      <c r="Q548" s="7" t="s">
        <v>710</v>
      </c>
      <c r="R548" t="s">
        <v>621</v>
      </c>
      <c r="U548">
        <f t="shared" si="10"/>
        <v>1395</v>
      </c>
    </row>
    <row r="549" spans="1:21" ht="37.5" customHeight="1" x14ac:dyDescent="0.25">
      <c r="A549" s="19">
        <v>44962</v>
      </c>
      <c r="B549" s="13">
        <v>6</v>
      </c>
      <c r="C549" t="s">
        <v>3</v>
      </c>
      <c r="D549" t="s">
        <v>4</v>
      </c>
      <c r="E549" t="s">
        <v>5</v>
      </c>
      <c r="F549" s="6">
        <v>200404250</v>
      </c>
      <c r="G549" t="s">
        <v>51</v>
      </c>
      <c r="H549" t="s">
        <v>285</v>
      </c>
      <c r="I549">
        <v>0</v>
      </c>
      <c r="J549">
        <v>0</v>
      </c>
      <c r="K549">
        <v>0</v>
      </c>
      <c r="L549">
        <v>0</v>
      </c>
      <c r="M549">
        <v>7.0000000000000007E-2</v>
      </c>
      <c r="N549" s="7" t="e">
        <f>VLOOKUP(F549,HC!A$6:D$100,3,FALSE)</f>
        <v>#N/A</v>
      </c>
      <c r="O549" s="7" t="str">
        <f>VLOOKUP(F549,HC!A$6:D$1000,2,FALSE)</f>
        <v>xcathurt</v>
      </c>
      <c r="P549" s="7" t="s">
        <v>664</v>
      </c>
      <c r="Q549" s="7" t="s">
        <v>709</v>
      </c>
      <c r="R549" t="s">
        <v>260</v>
      </c>
      <c r="U549">
        <f t="shared" si="10"/>
        <v>124</v>
      </c>
    </row>
    <row r="550" spans="1:21" ht="37.5" customHeight="1" x14ac:dyDescent="0.25">
      <c r="A550" s="19">
        <v>44962</v>
      </c>
      <c r="B550" s="13">
        <v>6</v>
      </c>
      <c r="C550" t="s">
        <v>3</v>
      </c>
      <c r="D550" t="s">
        <v>4</v>
      </c>
      <c r="E550" t="s">
        <v>21</v>
      </c>
      <c r="F550" s="6">
        <v>200615883</v>
      </c>
      <c r="G550" t="s">
        <v>508</v>
      </c>
      <c r="H550" t="s">
        <v>7</v>
      </c>
      <c r="I550">
        <v>0</v>
      </c>
      <c r="J550">
        <v>0</v>
      </c>
      <c r="K550">
        <v>0</v>
      </c>
      <c r="L550">
        <v>0</v>
      </c>
      <c r="M550">
        <v>0.69</v>
      </c>
      <c r="N550" s="7" t="e">
        <f>VLOOKUP(F550,HC!A$6:D$100,3,FALSE)</f>
        <v>#N/A</v>
      </c>
      <c r="O550" s="7" t="e">
        <f>VLOOKUP(F550,HC!A$6:D$1000,2,FALSE)</f>
        <v>#N/A</v>
      </c>
      <c r="P550" s="7" t="s">
        <v>664</v>
      </c>
      <c r="Q550" s="7" t="s">
        <v>709</v>
      </c>
      <c r="R550" t="s">
        <v>622</v>
      </c>
      <c r="U550">
        <f t="shared" si="10"/>
        <v>1395</v>
      </c>
    </row>
    <row r="551" spans="1:21" ht="37.5" customHeight="1" x14ac:dyDescent="0.25">
      <c r="A551" s="19">
        <v>44963</v>
      </c>
      <c r="B551" s="13">
        <v>6</v>
      </c>
      <c r="C551" t="s">
        <v>3</v>
      </c>
      <c r="D551" t="s">
        <v>4</v>
      </c>
      <c r="E551" t="s">
        <v>21</v>
      </c>
      <c r="F551" s="6">
        <v>109227086</v>
      </c>
      <c r="G551" t="s">
        <v>430</v>
      </c>
      <c r="H551" t="s">
        <v>14</v>
      </c>
      <c r="I551">
        <v>0</v>
      </c>
      <c r="J551">
        <v>0</v>
      </c>
      <c r="K551">
        <v>0</v>
      </c>
      <c r="L551">
        <v>0</v>
      </c>
      <c r="M551">
        <v>0.54</v>
      </c>
      <c r="N551" s="7" t="e">
        <f>VLOOKUP(F551,HC!A$6:D$100,3,FALSE)</f>
        <v>#N/A</v>
      </c>
      <c r="O551" s="7" t="e">
        <f>VLOOKUP(F551,HC!A$6:D$1000,2,FALSE)</f>
        <v>#N/A</v>
      </c>
      <c r="P551" s="7" t="s">
        <v>661</v>
      </c>
      <c r="Q551" s="7" t="s">
        <v>684</v>
      </c>
      <c r="R551" t="s">
        <v>360</v>
      </c>
      <c r="U551">
        <f t="shared" si="10"/>
        <v>1395</v>
      </c>
    </row>
    <row r="552" spans="1:21" ht="37.5" customHeight="1" x14ac:dyDescent="0.25">
      <c r="A552" s="19">
        <v>44963</v>
      </c>
      <c r="B552" s="13">
        <v>6</v>
      </c>
      <c r="C552" t="s">
        <v>3</v>
      </c>
      <c r="D552" t="s">
        <v>4</v>
      </c>
      <c r="E552" t="s">
        <v>5</v>
      </c>
      <c r="F552" s="6">
        <v>112912046</v>
      </c>
      <c r="G552" t="s">
        <v>605</v>
      </c>
      <c r="H552" t="s">
        <v>403</v>
      </c>
      <c r="I552">
        <v>0</v>
      </c>
      <c r="J552">
        <v>0</v>
      </c>
      <c r="K552">
        <v>0</v>
      </c>
      <c r="L552">
        <v>0</v>
      </c>
      <c r="M552">
        <v>0.34</v>
      </c>
      <c r="N552" s="7" t="e">
        <f>VLOOKUP(F552,HC!A$6:D$100,3,FALSE)</f>
        <v>#N/A</v>
      </c>
      <c r="O552" s="7" t="e">
        <f>VLOOKUP(F552,HC!A$6:D$1000,2,FALSE)</f>
        <v>#N/A</v>
      </c>
      <c r="P552" s="7" t="s">
        <v>661</v>
      </c>
      <c r="Q552" s="7" t="s">
        <v>681</v>
      </c>
      <c r="R552" t="s">
        <v>10</v>
      </c>
      <c r="U552">
        <f t="shared" si="10"/>
        <v>1395</v>
      </c>
    </row>
    <row r="553" spans="1:21" ht="37.5" customHeight="1" x14ac:dyDescent="0.25">
      <c r="A553" s="19">
        <v>44963</v>
      </c>
      <c r="B553" s="13">
        <v>6</v>
      </c>
      <c r="C553" t="s">
        <v>3</v>
      </c>
      <c r="D553" t="s">
        <v>4</v>
      </c>
      <c r="E553" t="s">
        <v>5</v>
      </c>
      <c r="F553" s="6">
        <v>112912050</v>
      </c>
      <c r="G553" t="s">
        <v>624</v>
      </c>
      <c r="H553" t="s">
        <v>332</v>
      </c>
      <c r="I553">
        <v>0</v>
      </c>
      <c r="J553">
        <v>0</v>
      </c>
      <c r="K553">
        <v>0</v>
      </c>
      <c r="L553">
        <v>0</v>
      </c>
      <c r="M553">
        <v>2.14</v>
      </c>
      <c r="N553" s="7" t="str">
        <f>VLOOKUP(F553,HC!A$6:D$100,3,FALSE)</f>
        <v>DA-X0700</v>
      </c>
      <c r="O553" s="7" t="str">
        <f>VLOOKUP(F553,HC!A$6:D$1000,2,FALSE)</f>
        <v>shernadt</v>
      </c>
      <c r="P553" s="7" t="s">
        <v>662</v>
      </c>
      <c r="Q553" s="7" t="s">
        <v>757</v>
      </c>
      <c r="R553" t="s">
        <v>353</v>
      </c>
      <c r="U553">
        <f t="shared" si="10"/>
        <v>4</v>
      </c>
    </row>
    <row r="554" spans="1:21" ht="37.5" customHeight="1" x14ac:dyDescent="0.25">
      <c r="A554" s="19">
        <v>44963</v>
      </c>
      <c r="B554" s="13">
        <v>6</v>
      </c>
      <c r="C554" t="s">
        <v>3</v>
      </c>
      <c r="D554" t="s">
        <v>4</v>
      </c>
      <c r="E554" t="s">
        <v>5</v>
      </c>
      <c r="F554" s="6">
        <v>112912752</v>
      </c>
      <c r="G554" t="s">
        <v>251</v>
      </c>
      <c r="H554" t="s">
        <v>44</v>
      </c>
      <c r="I554">
        <v>0</v>
      </c>
      <c r="J554">
        <v>0</v>
      </c>
      <c r="K554">
        <v>0</v>
      </c>
      <c r="L554">
        <v>0</v>
      </c>
      <c r="M554">
        <v>0.06</v>
      </c>
      <c r="N554" s="7" t="str">
        <f>VLOOKUP(F554,HC!A$6:D$100,3,FALSE)</f>
        <v>NF-X1900</v>
      </c>
      <c r="O554" s="7" t="str">
        <f>VLOOKUP(F554,HC!A$6:D$1000,2,FALSE)</f>
        <v>valderle</v>
      </c>
      <c r="P554" s="7" t="s">
        <v>662</v>
      </c>
      <c r="Q554" s="7" t="s">
        <v>757</v>
      </c>
      <c r="R554" t="s">
        <v>640</v>
      </c>
      <c r="U554">
        <f t="shared" si="10"/>
        <v>50</v>
      </c>
    </row>
    <row r="555" spans="1:21" ht="37.5" customHeight="1" x14ac:dyDescent="0.25">
      <c r="A555" s="19">
        <v>44963</v>
      </c>
      <c r="B555" s="13">
        <v>6</v>
      </c>
      <c r="C555" t="s">
        <v>3</v>
      </c>
      <c r="D555" t="s">
        <v>4</v>
      </c>
      <c r="E555" t="s">
        <v>5</v>
      </c>
      <c r="F555" s="6">
        <v>112971965</v>
      </c>
      <c r="G555" t="s">
        <v>327</v>
      </c>
      <c r="H555" t="s">
        <v>298</v>
      </c>
      <c r="I555">
        <v>0</v>
      </c>
      <c r="J555">
        <v>0</v>
      </c>
      <c r="K555">
        <v>0</v>
      </c>
      <c r="L555">
        <v>0</v>
      </c>
      <c r="M555">
        <v>0.01</v>
      </c>
      <c r="N555" s="7" t="e">
        <f>VLOOKUP(F555,HC!A$6:D$100,3,FALSE)</f>
        <v>#N/A</v>
      </c>
      <c r="O555" s="7" t="e">
        <f>VLOOKUP(F555,HC!A$6:D$1000,2,FALSE)</f>
        <v>#N/A</v>
      </c>
      <c r="P555" s="7" t="s">
        <v>665</v>
      </c>
      <c r="Q555" s="7" t="s">
        <v>722</v>
      </c>
      <c r="R555" t="s">
        <v>384</v>
      </c>
      <c r="U555">
        <f t="shared" si="10"/>
        <v>1395</v>
      </c>
    </row>
    <row r="556" spans="1:21" ht="37.5" customHeight="1" x14ac:dyDescent="0.25">
      <c r="A556" s="19">
        <v>44963</v>
      </c>
      <c r="B556" s="13">
        <v>6</v>
      </c>
      <c r="C556" t="s">
        <v>3</v>
      </c>
      <c r="D556" t="s">
        <v>4</v>
      </c>
      <c r="E556" t="s">
        <v>5</v>
      </c>
      <c r="F556" s="6">
        <v>112980842</v>
      </c>
      <c r="G556" t="s">
        <v>395</v>
      </c>
      <c r="H556" t="s">
        <v>44</v>
      </c>
      <c r="I556">
        <v>0</v>
      </c>
      <c r="J556">
        <v>0</v>
      </c>
      <c r="K556">
        <v>0</v>
      </c>
      <c r="L556">
        <v>0</v>
      </c>
      <c r="M556">
        <v>0.28000000000000003</v>
      </c>
      <c r="N556" s="7" t="e">
        <f>VLOOKUP(F556,HC!A$6:D$100,3,FALSE)</f>
        <v>#N/A</v>
      </c>
      <c r="O556" s="7" t="e">
        <f>VLOOKUP(F556,HC!A$6:D$1000,2,FALSE)</f>
        <v>#N/A</v>
      </c>
      <c r="P556" s="7" t="s">
        <v>664</v>
      </c>
      <c r="Q556" s="7" t="s">
        <v>1399</v>
      </c>
      <c r="R556" t="s">
        <v>432</v>
      </c>
      <c r="S556" s="2" t="s">
        <v>471</v>
      </c>
      <c r="U556">
        <f t="shared" si="10"/>
        <v>1395</v>
      </c>
    </row>
    <row r="557" spans="1:21" ht="37.5" customHeight="1" x14ac:dyDescent="0.25">
      <c r="A557" s="19">
        <v>44963</v>
      </c>
      <c r="B557" s="13">
        <v>6</v>
      </c>
      <c r="C557" t="s">
        <v>3</v>
      </c>
      <c r="D557" t="s">
        <v>4</v>
      </c>
      <c r="E557" t="s">
        <v>5</v>
      </c>
      <c r="F557" s="6">
        <v>112980843</v>
      </c>
      <c r="G557" t="s">
        <v>619</v>
      </c>
      <c r="H557" t="s">
        <v>44</v>
      </c>
      <c r="I557">
        <v>0</v>
      </c>
      <c r="J557">
        <v>0</v>
      </c>
      <c r="K557">
        <v>0</v>
      </c>
      <c r="L557">
        <v>0</v>
      </c>
      <c r="M557">
        <v>0.13</v>
      </c>
      <c r="N557" s="7" t="str">
        <f>VLOOKUP(F557,HC!A$6:D$100,3,FALSE)</f>
        <v>DA-X0700</v>
      </c>
      <c r="O557" s="7" t="str">
        <f>VLOOKUP(F557,HC!A$6:D$1000,2,FALSE)</f>
        <v>lsisrael</v>
      </c>
      <c r="P557" s="7" t="s">
        <v>663</v>
      </c>
      <c r="Q557" s="7" t="s">
        <v>695</v>
      </c>
      <c r="R557" t="s">
        <v>236</v>
      </c>
      <c r="U557">
        <f t="shared" si="10"/>
        <v>10</v>
      </c>
    </row>
    <row r="558" spans="1:21" ht="37.5" customHeight="1" x14ac:dyDescent="0.25">
      <c r="A558" s="19">
        <v>44963</v>
      </c>
      <c r="B558" s="13">
        <v>6</v>
      </c>
      <c r="C558" t="s">
        <v>3</v>
      </c>
      <c r="D558" t="s">
        <v>4</v>
      </c>
      <c r="E558" t="s">
        <v>5</v>
      </c>
      <c r="F558" s="6">
        <v>112980847</v>
      </c>
      <c r="G558" t="s">
        <v>524</v>
      </c>
      <c r="H558" t="s">
        <v>44</v>
      </c>
      <c r="I558">
        <v>0</v>
      </c>
      <c r="J558">
        <v>0</v>
      </c>
      <c r="K558">
        <v>0</v>
      </c>
      <c r="L558">
        <v>0</v>
      </c>
      <c r="M558">
        <v>0.85</v>
      </c>
      <c r="N558" s="7" t="e">
        <f>VLOOKUP(F558,HC!A$6:D$100,3,FALSE)</f>
        <v>#N/A</v>
      </c>
      <c r="O558" s="7" t="e">
        <f>VLOOKUP(F558,HC!A$6:D$1000,2,FALSE)</f>
        <v>#N/A</v>
      </c>
      <c r="P558" s="7" t="s">
        <v>662</v>
      </c>
      <c r="Q558" s="7" t="s">
        <v>691</v>
      </c>
      <c r="R558" t="s">
        <v>393</v>
      </c>
      <c r="U558">
        <f t="shared" si="10"/>
        <v>1395</v>
      </c>
    </row>
    <row r="559" spans="1:21" ht="37.5" customHeight="1" x14ac:dyDescent="0.25">
      <c r="A559" s="19">
        <v>44963</v>
      </c>
      <c r="B559" s="13">
        <v>6</v>
      </c>
      <c r="C559" t="s">
        <v>3</v>
      </c>
      <c r="D559" t="s">
        <v>4</v>
      </c>
      <c r="E559" t="s">
        <v>5</v>
      </c>
      <c r="F559" s="6">
        <v>112981221</v>
      </c>
      <c r="G559" t="s">
        <v>581</v>
      </c>
      <c r="H559" t="s">
        <v>285</v>
      </c>
      <c r="I559">
        <v>0</v>
      </c>
      <c r="J559">
        <v>0</v>
      </c>
      <c r="K559">
        <v>0</v>
      </c>
      <c r="L559">
        <v>0</v>
      </c>
      <c r="M559">
        <v>0.28000000000000003</v>
      </c>
      <c r="N559" s="7" t="e">
        <f>VLOOKUP(F559,HC!A$6:D$100,3,FALSE)</f>
        <v>#N/A</v>
      </c>
      <c r="O559" s="7" t="str">
        <f>VLOOKUP(F559,HC!A$6:D$1000,2,FALSE)</f>
        <v>spercesa</v>
      </c>
      <c r="P559" s="7" t="s">
        <v>664</v>
      </c>
      <c r="Q559" s="7" t="s">
        <v>717</v>
      </c>
      <c r="R559" t="s">
        <v>453</v>
      </c>
      <c r="U559">
        <f t="shared" si="10"/>
        <v>6</v>
      </c>
    </row>
    <row r="560" spans="1:21" ht="37.5" customHeight="1" x14ac:dyDescent="0.25">
      <c r="A560" s="19">
        <v>44963</v>
      </c>
      <c r="B560" s="13">
        <v>6</v>
      </c>
      <c r="C560" t="s">
        <v>3</v>
      </c>
      <c r="D560" t="s">
        <v>4</v>
      </c>
      <c r="E560" t="s">
        <v>5</v>
      </c>
      <c r="F560" s="6">
        <v>113003631</v>
      </c>
      <c r="G560" t="s">
        <v>479</v>
      </c>
      <c r="H560" t="s">
        <v>47</v>
      </c>
      <c r="I560">
        <v>0</v>
      </c>
      <c r="J560">
        <v>0</v>
      </c>
      <c r="K560">
        <v>0</v>
      </c>
      <c r="L560">
        <v>0</v>
      </c>
      <c r="M560">
        <v>0.1</v>
      </c>
      <c r="N560" s="7" t="e">
        <f>VLOOKUP(F560,HC!A$6:D$100,3,FALSE)</f>
        <v>#N/A</v>
      </c>
      <c r="O560" s="7" t="e">
        <f>VLOOKUP(F560,HC!A$6:D$1000,2,FALSE)</f>
        <v>#N/A</v>
      </c>
      <c r="P560" s="7" t="s">
        <v>663</v>
      </c>
      <c r="Q560" s="7" t="s">
        <v>695</v>
      </c>
      <c r="R560" t="s">
        <v>236</v>
      </c>
      <c r="U560">
        <f t="shared" si="10"/>
        <v>1395</v>
      </c>
    </row>
    <row r="561" spans="1:21" ht="37.5" customHeight="1" x14ac:dyDescent="0.25">
      <c r="A561" s="19">
        <v>44963</v>
      </c>
      <c r="B561" s="13">
        <v>6</v>
      </c>
      <c r="C561" t="s">
        <v>3</v>
      </c>
      <c r="D561" t="s">
        <v>4</v>
      </c>
      <c r="E561" t="s">
        <v>5</v>
      </c>
      <c r="F561" s="6">
        <v>113014081</v>
      </c>
      <c r="G561" t="s">
        <v>267</v>
      </c>
      <c r="H561" t="s">
        <v>285</v>
      </c>
      <c r="I561">
        <v>0</v>
      </c>
      <c r="J561">
        <v>0</v>
      </c>
      <c r="K561">
        <v>0</v>
      </c>
      <c r="L561">
        <v>0</v>
      </c>
      <c r="M561">
        <v>0.2</v>
      </c>
      <c r="N561" s="7" t="e">
        <f>VLOOKUP(F561,HC!A$6:D$100,3,FALSE)</f>
        <v>#N/A</v>
      </c>
      <c r="O561" s="7" t="str">
        <f>VLOOKUP(F561,HC!A$6:D$1000,2,FALSE)</f>
        <v>fraugene</v>
      </c>
      <c r="P561" s="7" t="s">
        <v>664</v>
      </c>
      <c r="Q561" s="7" t="s">
        <v>708</v>
      </c>
      <c r="R561" t="s">
        <v>641</v>
      </c>
      <c r="U561">
        <f t="shared" si="10"/>
        <v>32</v>
      </c>
    </row>
    <row r="562" spans="1:21" ht="37.5" customHeight="1" x14ac:dyDescent="0.25">
      <c r="A562" s="19">
        <v>44963</v>
      </c>
      <c r="B562" s="13">
        <v>6</v>
      </c>
      <c r="C562" t="s">
        <v>3</v>
      </c>
      <c r="D562" t="s">
        <v>4</v>
      </c>
      <c r="E562" t="s">
        <v>5</v>
      </c>
      <c r="F562" s="6">
        <v>113040582</v>
      </c>
      <c r="G562" t="s">
        <v>625</v>
      </c>
      <c r="H562" t="s">
        <v>7</v>
      </c>
      <c r="I562">
        <v>0</v>
      </c>
      <c r="J562">
        <v>0</v>
      </c>
      <c r="K562">
        <v>0</v>
      </c>
      <c r="L562">
        <v>0</v>
      </c>
      <c r="M562">
        <v>0.53</v>
      </c>
      <c r="N562" s="7" t="e">
        <f>VLOOKUP(F562,HC!A$6:D$100,3,FALSE)</f>
        <v>#N/A</v>
      </c>
      <c r="O562" s="7" t="str">
        <f>VLOOKUP(F562,HC!A$6:D$1000,2,FALSE)</f>
        <v>hgerardr</v>
      </c>
      <c r="P562" s="7" t="s">
        <v>661</v>
      </c>
      <c r="Q562" s="7" t="s">
        <v>775</v>
      </c>
      <c r="R562" t="s">
        <v>468</v>
      </c>
      <c r="U562">
        <f t="shared" si="10"/>
        <v>15</v>
      </c>
    </row>
    <row r="563" spans="1:21" ht="37.5" customHeight="1" x14ac:dyDescent="0.25">
      <c r="A563" s="19">
        <v>44963</v>
      </c>
      <c r="B563" s="13">
        <v>6</v>
      </c>
      <c r="C563" t="s">
        <v>3</v>
      </c>
      <c r="D563" t="s">
        <v>4</v>
      </c>
      <c r="E563" t="s">
        <v>5</v>
      </c>
      <c r="F563" s="6">
        <v>200404250</v>
      </c>
      <c r="G563" t="s">
        <v>51</v>
      </c>
      <c r="H563" t="s">
        <v>285</v>
      </c>
      <c r="I563">
        <v>0</v>
      </c>
      <c r="J563">
        <v>0</v>
      </c>
      <c r="K563">
        <v>0</v>
      </c>
      <c r="L563">
        <v>0</v>
      </c>
      <c r="M563">
        <v>0.47</v>
      </c>
      <c r="N563" s="7" t="e">
        <f>VLOOKUP(F563,HC!A$6:D$100,3,FALSE)</f>
        <v>#N/A</v>
      </c>
      <c r="O563" s="7" t="str">
        <f>VLOOKUP(F563,HC!A$6:D$1000,2,FALSE)</f>
        <v>xcathurt</v>
      </c>
      <c r="P563" s="7" t="s">
        <v>662</v>
      </c>
      <c r="Q563" s="7" t="s">
        <v>785</v>
      </c>
      <c r="R563" t="s">
        <v>235</v>
      </c>
      <c r="U563">
        <f t="shared" si="10"/>
        <v>124</v>
      </c>
    </row>
    <row r="564" spans="1:21" ht="37.5" customHeight="1" x14ac:dyDescent="0.25">
      <c r="A564" s="19" t="s">
        <v>817</v>
      </c>
      <c r="B564" s="13">
        <v>6</v>
      </c>
      <c r="C564" t="s">
        <v>3</v>
      </c>
      <c r="D564" t="s">
        <v>4</v>
      </c>
      <c r="E564" t="s">
        <v>5</v>
      </c>
      <c r="F564" s="6">
        <v>200406187</v>
      </c>
      <c r="G564" t="s">
        <v>626</v>
      </c>
      <c r="H564" t="s">
        <v>14</v>
      </c>
      <c r="I564">
        <v>0</v>
      </c>
      <c r="J564">
        <v>0</v>
      </c>
      <c r="K564">
        <v>0</v>
      </c>
      <c r="L564">
        <v>0</v>
      </c>
      <c r="M564">
        <v>0.43</v>
      </c>
      <c r="N564" s="7" t="e">
        <f>VLOOKUP(F564,HC!A$6:D$100,3,FALSE)</f>
        <v>#N/A</v>
      </c>
      <c r="O564" s="7" t="e">
        <f>VLOOKUP(F564,HC!A$6:D$1000,2,FALSE)</f>
        <v>#N/A</v>
      </c>
      <c r="P564" s="7" t="s">
        <v>664</v>
      </c>
      <c r="Q564" s="7" t="s">
        <v>708</v>
      </c>
      <c r="R564" t="s">
        <v>621</v>
      </c>
      <c r="S564" s="2" t="s">
        <v>361</v>
      </c>
      <c r="U564">
        <f t="shared" si="10"/>
        <v>1395</v>
      </c>
    </row>
    <row r="565" spans="1:21" ht="37.5" customHeight="1" x14ac:dyDescent="0.25">
      <c r="A565" s="19">
        <v>44963</v>
      </c>
      <c r="B565" s="13">
        <v>6</v>
      </c>
      <c r="C565" t="s">
        <v>3</v>
      </c>
      <c r="D565" t="s">
        <v>4</v>
      </c>
      <c r="E565" t="s">
        <v>5</v>
      </c>
      <c r="F565" s="6">
        <v>200408196</v>
      </c>
      <c r="G565" t="s">
        <v>627</v>
      </c>
      <c r="H565" t="s">
        <v>285</v>
      </c>
      <c r="I565">
        <v>0</v>
      </c>
      <c r="J565">
        <v>0</v>
      </c>
      <c r="K565">
        <v>0</v>
      </c>
      <c r="L565">
        <v>0</v>
      </c>
      <c r="M565">
        <v>1.1599999999999999</v>
      </c>
      <c r="N565" s="7" t="e">
        <f>VLOOKUP(F565,HC!A$6:D$100,3,FALSE)</f>
        <v>#N/A</v>
      </c>
      <c r="O565" s="7" t="e">
        <f>VLOOKUP(F565,HC!A$6:D$1000,2,FALSE)</f>
        <v>#N/A</v>
      </c>
      <c r="P565" s="7" t="s">
        <v>662</v>
      </c>
      <c r="Q565" s="7" t="s">
        <v>757</v>
      </c>
      <c r="R565" t="s">
        <v>353</v>
      </c>
      <c r="U565">
        <f t="shared" si="10"/>
        <v>1395</v>
      </c>
    </row>
    <row r="566" spans="1:21" ht="37.5" customHeight="1" x14ac:dyDescent="0.25">
      <c r="A566" s="19">
        <v>44963</v>
      </c>
      <c r="B566" s="13">
        <v>6</v>
      </c>
      <c r="C566" t="s">
        <v>3</v>
      </c>
      <c r="D566" t="s">
        <v>4</v>
      </c>
      <c r="E566" t="s">
        <v>21</v>
      </c>
      <c r="F566" s="6">
        <v>200509428</v>
      </c>
      <c r="G566" t="s">
        <v>272</v>
      </c>
      <c r="H566" t="s">
        <v>49</v>
      </c>
      <c r="I566">
        <v>0</v>
      </c>
      <c r="J566">
        <v>0</v>
      </c>
      <c r="K566">
        <v>0</v>
      </c>
      <c r="L566">
        <v>0</v>
      </c>
      <c r="M566">
        <v>0.24</v>
      </c>
      <c r="N566" s="7" t="e">
        <f>VLOOKUP(F566,HC!A$6:D$100,3,FALSE)</f>
        <v>#N/A</v>
      </c>
      <c r="O566" s="7" t="e">
        <f>VLOOKUP(F566,HC!A$6:D$1000,2,FALSE)</f>
        <v>#N/A</v>
      </c>
      <c r="P566" s="7" t="s">
        <v>662</v>
      </c>
      <c r="Q566" s="7" t="s">
        <v>702</v>
      </c>
      <c r="R566" t="s">
        <v>640</v>
      </c>
      <c r="U566">
        <f t="shared" si="10"/>
        <v>1395</v>
      </c>
    </row>
    <row r="567" spans="1:21" ht="37.5" customHeight="1" x14ac:dyDescent="0.25">
      <c r="A567" s="19">
        <v>44963</v>
      </c>
      <c r="B567" s="13">
        <v>6</v>
      </c>
      <c r="C567" t="s">
        <v>3</v>
      </c>
      <c r="D567" t="s">
        <v>4</v>
      </c>
      <c r="E567" t="s">
        <v>21</v>
      </c>
      <c r="F567" s="6">
        <v>200574329</v>
      </c>
      <c r="G567" t="s">
        <v>52</v>
      </c>
      <c r="H567" t="s">
        <v>49</v>
      </c>
      <c r="I567">
        <v>0</v>
      </c>
      <c r="J567">
        <v>0</v>
      </c>
      <c r="K567">
        <v>0</v>
      </c>
      <c r="L567">
        <v>0</v>
      </c>
      <c r="M567">
        <v>0.39</v>
      </c>
      <c r="N567" s="7" t="e">
        <f>VLOOKUP(F567,HC!A$6:D$100,3,FALSE)</f>
        <v>#N/A</v>
      </c>
      <c r="O567" s="7" t="e">
        <f>VLOOKUP(F567,HC!A$6:D$1000,2,FALSE)</f>
        <v>#N/A</v>
      </c>
      <c r="P567" s="7" t="s">
        <v>661</v>
      </c>
      <c r="Q567" s="7" t="s">
        <v>681</v>
      </c>
      <c r="R567" t="s">
        <v>234</v>
      </c>
      <c r="U567">
        <f t="shared" si="10"/>
        <v>1395</v>
      </c>
    </row>
    <row r="568" spans="1:21" ht="37.5" customHeight="1" x14ac:dyDescent="0.25">
      <c r="A568" s="19">
        <v>44964</v>
      </c>
      <c r="B568" s="13">
        <v>6</v>
      </c>
      <c r="C568" t="s">
        <v>3</v>
      </c>
      <c r="D568" t="s">
        <v>4</v>
      </c>
      <c r="E568" t="s">
        <v>5</v>
      </c>
      <c r="F568" s="6">
        <v>106386523</v>
      </c>
      <c r="G568" t="s">
        <v>628</v>
      </c>
      <c r="H568" t="s">
        <v>47</v>
      </c>
      <c r="I568">
        <v>0</v>
      </c>
      <c r="J568">
        <v>0</v>
      </c>
      <c r="K568">
        <v>0</v>
      </c>
      <c r="L568">
        <v>0</v>
      </c>
      <c r="M568">
        <v>0.52</v>
      </c>
      <c r="N568" s="7" t="e">
        <f>VLOOKUP(F568,HC!A$6:D$100,3,FALSE)</f>
        <v>#N/A</v>
      </c>
      <c r="O568" s="7" t="e">
        <f>VLOOKUP(F568,HC!A$6:D$1000,2,FALSE)</f>
        <v>#N/A</v>
      </c>
      <c r="P568" s="7" t="s">
        <v>661</v>
      </c>
      <c r="Q568" s="7" t="s">
        <v>681</v>
      </c>
      <c r="R568" t="s">
        <v>10</v>
      </c>
      <c r="U568">
        <f t="shared" si="10"/>
        <v>1395</v>
      </c>
    </row>
    <row r="569" spans="1:21" ht="37.5" customHeight="1" x14ac:dyDescent="0.25">
      <c r="A569" s="19">
        <v>44964</v>
      </c>
      <c r="B569" s="13">
        <v>6</v>
      </c>
      <c r="C569" t="s">
        <v>3</v>
      </c>
      <c r="D569" t="s">
        <v>4</v>
      </c>
      <c r="E569" t="s">
        <v>5</v>
      </c>
      <c r="F569" s="6">
        <v>112912074</v>
      </c>
      <c r="G569" t="s">
        <v>473</v>
      </c>
      <c r="H569" t="s">
        <v>282</v>
      </c>
      <c r="I569">
        <v>0</v>
      </c>
      <c r="J569">
        <v>0</v>
      </c>
      <c r="K569">
        <v>0</v>
      </c>
      <c r="L569">
        <v>0</v>
      </c>
      <c r="M569">
        <v>0.11</v>
      </c>
      <c r="N569" s="7" t="e">
        <f>VLOOKUP(F569,HC!A$6:D$100,3,FALSE)</f>
        <v>#N/A</v>
      </c>
      <c r="O569" s="7" t="e">
        <f>VLOOKUP(F569,HC!A$6:D$1000,2,FALSE)</f>
        <v>#N/A</v>
      </c>
      <c r="P569" s="7" t="s">
        <v>670</v>
      </c>
      <c r="Q569" s="7" t="s">
        <v>748</v>
      </c>
      <c r="R569" t="s">
        <v>631</v>
      </c>
      <c r="U569">
        <f t="shared" si="10"/>
        <v>1395</v>
      </c>
    </row>
    <row r="570" spans="1:21" ht="37.5" customHeight="1" x14ac:dyDescent="0.25">
      <c r="A570" s="19">
        <v>44964</v>
      </c>
      <c r="B570" s="13">
        <v>6</v>
      </c>
      <c r="C570" t="s">
        <v>3</v>
      </c>
      <c r="D570" t="s">
        <v>4</v>
      </c>
      <c r="E570" t="s">
        <v>5</v>
      </c>
      <c r="F570" s="6">
        <v>112976013</v>
      </c>
      <c r="G570" t="s">
        <v>449</v>
      </c>
      <c r="H570" t="s">
        <v>403</v>
      </c>
      <c r="I570">
        <v>0</v>
      </c>
      <c r="J570">
        <v>0</v>
      </c>
      <c r="K570">
        <v>0</v>
      </c>
      <c r="L570">
        <v>0</v>
      </c>
      <c r="M570">
        <v>0.62</v>
      </c>
      <c r="N570" s="7" t="e">
        <f>VLOOKUP(F570,HC!A$6:D$100,3,FALSE)</f>
        <v>#N/A</v>
      </c>
      <c r="O570" s="7" t="e">
        <f>VLOOKUP(F570,HC!A$6:D$1000,2,FALSE)</f>
        <v>#N/A</v>
      </c>
      <c r="P570" s="7" t="s">
        <v>664</v>
      </c>
      <c r="Q570" s="7" t="s">
        <v>708</v>
      </c>
      <c r="R570" t="s">
        <v>548</v>
      </c>
      <c r="U570">
        <f t="shared" si="10"/>
        <v>1395</v>
      </c>
    </row>
    <row r="571" spans="1:21" ht="37.5" customHeight="1" x14ac:dyDescent="0.25">
      <c r="A571" s="19">
        <v>44964</v>
      </c>
      <c r="B571" s="13">
        <v>6</v>
      </c>
      <c r="C571" t="s">
        <v>3</v>
      </c>
      <c r="D571" t="s">
        <v>4</v>
      </c>
      <c r="E571" t="s">
        <v>5</v>
      </c>
      <c r="F571" s="6">
        <v>112980842</v>
      </c>
      <c r="G571" t="s">
        <v>395</v>
      </c>
      <c r="H571" t="s">
        <v>44</v>
      </c>
      <c r="I571">
        <v>0</v>
      </c>
      <c r="J571">
        <v>0</v>
      </c>
      <c r="K571">
        <v>0</v>
      </c>
      <c r="L571">
        <v>0</v>
      </c>
      <c r="M571">
        <v>0.43</v>
      </c>
      <c r="N571" s="7" t="e">
        <f>VLOOKUP(F571,HC!A$6:D$100,3,FALSE)</f>
        <v>#N/A</v>
      </c>
      <c r="O571" s="7" t="e">
        <f>VLOOKUP(F571,HC!A$6:D$1000,2,FALSE)</f>
        <v>#N/A</v>
      </c>
      <c r="P571" s="7" t="s">
        <v>675</v>
      </c>
      <c r="Q571" s="7"/>
      <c r="R571" t="s">
        <v>632</v>
      </c>
      <c r="U571">
        <f t="shared" si="10"/>
        <v>1395</v>
      </c>
    </row>
    <row r="572" spans="1:21" ht="37.5" customHeight="1" x14ac:dyDescent="0.25">
      <c r="A572" s="19">
        <v>44964</v>
      </c>
      <c r="B572" s="13">
        <v>6</v>
      </c>
      <c r="C572" t="s">
        <v>3</v>
      </c>
      <c r="D572" t="s">
        <v>4</v>
      </c>
      <c r="E572" t="s">
        <v>5</v>
      </c>
      <c r="F572" s="6">
        <v>112980844</v>
      </c>
      <c r="G572" t="s">
        <v>13</v>
      </c>
      <c r="H572" t="s">
        <v>44</v>
      </c>
      <c r="I572">
        <v>0</v>
      </c>
      <c r="J572">
        <v>0</v>
      </c>
      <c r="K572">
        <v>0</v>
      </c>
      <c r="L572">
        <v>0</v>
      </c>
      <c r="M572">
        <v>0.87</v>
      </c>
      <c r="N572" s="7" t="str">
        <f>VLOOKUP(F572,HC!A$6:D$100,3,FALSE)</f>
        <v>DA-X0700</v>
      </c>
      <c r="O572" s="7" t="str">
        <f>VLOOKUP(F572,HC!A$6:D$1000,2,FALSE)</f>
        <v>samajpad</v>
      </c>
      <c r="P572" s="7" t="s">
        <v>664</v>
      </c>
      <c r="Q572" s="7" t="s">
        <v>708</v>
      </c>
      <c r="R572" t="s">
        <v>633</v>
      </c>
      <c r="U572">
        <f t="shared" si="10"/>
        <v>20</v>
      </c>
    </row>
    <row r="573" spans="1:21" ht="37.5" customHeight="1" x14ac:dyDescent="0.25">
      <c r="A573" s="19">
        <v>44964</v>
      </c>
      <c r="B573" s="13">
        <v>6</v>
      </c>
      <c r="C573" t="s">
        <v>3</v>
      </c>
      <c r="D573" t="s">
        <v>4</v>
      </c>
      <c r="E573" t="s">
        <v>5</v>
      </c>
      <c r="F573" s="6">
        <v>112980899</v>
      </c>
      <c r="G573" t="s">
        <v>396</v>
      </c>
      <c r="H573" t="s">
        <v>44</v>
      </c>
      <c r="I573">
        <v>0</v>
      </c>
      <c r="J573">
        <v>0</v>
      </c>
      <c r="K573">
        <v>0</v>
      </c>
      <c r="L573">
        <v>0</v>
      </c>
      <c r="M573">
        <v>0.61</v>
      </c>
      <c r="N573" s="7" t="str">
        <f>VLOOKUP(F573,HC!A$6:D$100,3,FALSE)</f>
        <v>NF-X1900</v>
      </c>
      <c r="O573" s="7" t="str">
        <f>VLOOKUP(F573,HC!A$6:D$1000,2,FALSE)</f>
        <v>aravilac</v>
      </c>
      <c r="P573" s="7" t="s">
        <v>664</v>
      </c>
      <c r="Q573" s="7" t="s">
        <v>708</v>
      </c>
      <c r="R573" t="s">
        <v>320</v>
      </c>
      <c r="U573">
        <f t="shared" si="10"/>
        <v>33</v>
      </c>
    </row>
    <row r="574" spans="1:21" ht="37.5" customHeight="1" x14ac:dyDescent="0.25">
      <c r="A574" s="19">
        <v>44964</v>
      </c>
      <c r="B574" s="13">
        <v>6</v>
      </c>
      <c r="C574" t="s">
        <v>3</v>
      </c>
      <c r="D574" t="s">
        <v>4</v>
      </c>
      <c r="E574" t="s">
        <v>5</v>
      </c>
      <c r="F574" s="6">
        <v>113014094</v>
      </c>
      <c r="G574" t="s">
        <v>463</v>
      </c>
      <c r="H574" t="s">
        <v>49</v>
      </c>
      <c r="I574">
        <v>0</v>
      </c>
      <c r="J574">
        <v>0</v>
      </c>
      <c r="K574">
        <v>0</v>
      </c>
      <c r="L574">
        <v>0</v>
      </c>
      <c r="M574">
        <v>0.43</v>
      </c>
      <c r="N574" s="7" t="e">
        <f>VLOOKUP(F574,HC!A$6:D$100,3,FALSE)</f>
        <v>#N/A</v>
      </c>
      <c r="O574" s="7" t="str">
        <f>VLOOKUP(F574,HC!A$6:D$1000,2,FALSE)</f>
        <v>erikaadm</v>
      </c>
      <c r="P574" s="7" t="s">
        <v>664</v>
      </c>
      <c r="Q574" s="7" t="s">
        <v>770</v>
      </c>
      <c r="R574" t="s">
        <v>634</v>
      </c>
      <c r="U574">
        <f t="shared" si="10"/>
        <v>21</v>
      </c>
    </row>
    <row r="575" spans="1:21" ht="37.5" customHeight="1" x14ac:dyDescent="0.25">
      <c r="A575" s="19">
        <v>44964</v>
      </c>
      <c r="B575" s="13">
        <v>6</v>
      </c>
      <c r="C575" t="s">
        <v>3</v>
      </c>
      <c r="D575" t="s">
        <v>4</v>
      </c>
      <c r="E575" t="s">
        <v>5</v>
      </c>
      <c r="F575" s="6">
        <v>113019001</v>
      </c>
      <c r="G575" t="s">
        <v>464</v>
      </c>
      <c r="H575" t="s">
        <v>44</v>
      </c>
      <c r="I575">
        <v>0</v>
      </c>
      <c r="J575">
        <v>0</v>
      </c>
      <c r="K575">
        <v>0</v>
      </c>
      <c r="L575">
        <v>0</v>
      </c>
      <c r="M575">
        <v>0.12</v>
      </c>
      <c r="N575" s="7" t="e">
        <f>VLOOKUP(F575,HC!A$6:D$100,3,FALSE)</f>
        <v>#N/A</v>
      </c>
      <c r="O575" s="7" t="str">
        <f>VLOOKUP(F575,HC!A$6:D$1000,2,FALSE)</f>
        <v>dolozane</v>
      </c>
      <c r="P575" s="7" t="s">
        <v>661</v>
      </c>
      <c r="Q575" s="7" t="s">
        <v>681</v>
      </c>
      <c r="R575" t="s">
        <v>10</v>
      </c>
      <c r="U575">
        <f t="shared" si="10"/>
        <v>17</v>
      </c>
    </row>
    <row r="576" spans="1:21" ht="37.5" customHeight="1" x14ac:dyDescent="0.25">
      <c r="A576" s="19">
        <v>44964</v>
      </c>
      <c r="B576" s="13">
        <v>6</v>
      </c>
      <c r="C576" t="s">
        <v>3</v>
      </c>
      <c r="D576" t="s">
        <v>4</v>
      </c>
      <c r="E576" t="s">
        <v>5</v>
      </c>
      <c r="F576" s="6">
        <v>113019039</v>
      </c>
      <c r="G576" t="s">
        <v>480</v>
      </c>
      <c r="H576" t="s">
        <v>47</v>
      </c>
      <c r="I576">
        <v>0</v>
      </c>
      <c r="J576">
        <v>0</v>
      </c>
      <c r="K576">
        <v>0</v>
      </c>
      <c r="L576">
        <v>0</v>
      </c>
      <c r="M576">
        <v>0.97</v>
      </c>
      <c r="N576" s="7" t="e">
        <f>VLOOKUP(F576,HC!A$6:D$100,3,FALSE)</f>
        <v>#N/A</v>
      </c>
      <c r="O576" s="7" t="e">
        <f>VLOOKUP(F576,HC!A$6:D$1000,2,FALSE)</f>
        <v>#N/A</v>
      </c>
      <c r="P576" s="7" t="s">
        <v>664</v>
      </c>
      <c r="Q576" s="7" t="s">
        <v>710</v>
      </c>
      <c r="R576" t="s">
        <v>506</v>
      </c>
      <c r="U576">
        <f t="shared" si="10"/>
        <v>1395</v>
      </c>
    </row>
    <row r="577" spans="1:21" ht="37.5" customHeight="1" x14ac:dyDescent="0.25">
      <c r="A577" s="19">
        <v>44964</v>
      </c>
      <c r="B577" s="13">
        <v>6</v>
      </c>
      <c r="C577" t="s">
        <v>3</v>
      </c>
      <c r="D577" t="s">
        <v>4</v>
      </c>
      <c r="E577" t="s">
        <v>5</v>
      </c>
      <c r="F577" s="6">
        <v>113040582</v>
      </c>
      <c r="G577" t="s">
        <v>625</v>
      </c>
      <c r="H577" t="s">
        <v>7</v>
      </c>
      <c r="I577">
        <v>0</v>
      </c>
      <c r="J577">
        <v>0</v>
      </c>
      <c r="K577">
        <v>0</v>
      </c>
      <c r="L577">
        <v>0</v>
      </c>
      <c r="M577">
        <v>0.33</v>
      </c>
      <c r="N577" s="7" t="e">
        <f>VLOOKUP(F577,HC!A$6:D$100,3,FALSE)</f>
        <v>#N/A</v>
      </c>
      <c r="O577" s="7" t="str">
        <f>VLOOKUP(F577,HC!A$6:D$1000,2,FALSE)</f>
        <v>hgerardr</v>
      </c>
      <c r="P577" s="7" t="s">
        <v>663</v>
      </c>
      <c r="Q577" s="7" t="s">
        <v>692</v>
      </c>
      <c r="R577" t="s">
        <v>818</v>
      </c>
      <c r="U577">
        <f t="shared" si="10"/>
        <v>15</v>
      </c>
    </row>
    <row r="578" spans="1:21" ht="37.5" customHeight="1" x14ac:dyDescent="0.25">
      <c r="A578" s="19">
        <v>44964</v>
      </c>
      <c r="B578" s="13">
        <v>6</v>
      </c>
      <c r="C578" t="s">
        <v>3</v>
      </c>
      <c r="D578" t="s">
        <v>4</v>
      </c>
      <c r="E578" t="s">
        <v>5</v>
      </c>
      <c r="F578" s="6">
        <v>200404250</v>
      </c>
      <c r="G578" t="s">
        <v>51</v>
      </c>
      <c r="H578" t="s">
        <v>285</v>
      </c>
      <c r="I578">
        <v>0</v>
      </c>
      <c r="J578">
        <v>0</v>
      </c>
      <c r="K578">
        <v>0</v>
      </c>
      <c r="L578">
        <v>0</v>
      </c>
      <c r="M578">
        <v>0.35</v>
      </c>
      <c r="N578" s="7" t="e">
        <f>VLOOKUP(F578,HC!A$6:D$100,3,FALSE)</f>
        <v>#N/A</v>
      </c>
      <c r="O578" s="7" t="str">
        <f>VLOOKUP(F578,HC!A$6:D$1000,2,FALSE)</f>
        <v>xcathurt</v>
      </c>
      <c r="P578" s="7" t="s">
        <v>662</v>
      </c>
      <c r="Q578" s="7" t="s">
        <v>785</v>
      </c>
      <c r="R578" t="s">
        <v>235</v>
      </c>
      <c r="U578">
        <f t="shared" si="10"/>
        <v>124</v>
      </c>
    </row>
    <row r="579" spans="1:21" ht="37.5" customHeight="1" x14ac:dyDescent="0.25">
      <c r="A579" s="19">
        <v>44964</v>
      </c>
      <c r="B579" s="13">
        <v>6</v>
      </c>
      <c r="C579" t="s">
        <v>3</v>
      </c>
      <c r="D579" t="s">
        <v>4</v>
      </c>
      <c r="E579" t="s">
        <v>21</v>
      </c>
      <c r="F579" s="6">
        <v>200509428</v>
      </c>
      <c r="G579" t="s">
        <v>272</v>
      </c>
      <c r="H579" t="s">
        <v>49</v>
      </c>
      <c r="I579">
        <v>0</v>
      </c>
      <c r="J579">
        <v>0</v>
      </c>
      <c r="K579">
        <v>0</v>
      </c>
      <c r="L579">
        <v>0</v>
      </c>
      <c r="M579">
        <v>0.22</v>
      </c>
      <c r="N579" s="7" t="e">
        <f>VLOOKUP(F579,HC!A$6:D$100,3,FALSE)</f>
        <v>#N/A</v>
      </c>
      <c r="O579" s="7" t="e">
        <f>VLOOKUP(F579,HC!A$6:D$1000,2,FALSE)</f>
        <v>#N/A</v>
      </c>
      <c r="P579" s="7" t="s">
        <v>670</v>
      </c>
      <c r="Q579" s="7" t="s">
        <v>749</v>
      </c>
      <c r="R579" t="s">
        <v>635</v>
      </c>
      <c r="U579">
        <f t="shared" ref="U579:U642" si="11">COUNTIF(O$2:O$4999,O579)</f>
        <v>1395</v>
      </c>
    </row>
    <row r="580" spans="1:21" ht="37.5" customHeight="1" x14ac:dyDescent="0.25">
      <c r="A580" s="19">
        <v>44964</v>
      </c>
      <c r="B580" s="13">
        <v>6</v>
      </c>
      <c r="C580" t="s">
        <v>3</v>
      </c>
      <c r="D580" t="s">
        <v>4</v>
      </c>
      <c r="E580" t="s">
        <v>21</v>
      </c>
      <c r="F580" s="6">
        <v>200562303</v>
      </c>
      <c r="G580" t="s">
        <v>629</v>
      </c>
      <c r="H580" t="s">
        <v>14</v>
      </c>
      <c r="I580">
        <v>0</v>
      </c>
      <c r="J580">
        <v>0</v>
      </c>
      <c r="K580">
        <v>0</v>
      </c>
      <c r="L580">
        <v>0</v>
      </c>
      <c r="M580">
        <v>0.32</v>
      </c>
      <c r="N580" s="7" t="e">
        <f>VLOOKUP(F580,HC!A$6:D$100,3,FALSE)</f>
        <v>#N/A</v>
      </c>
      <c r="O580" s="7" t="str">
        <f>VLOOKUP(F580,HC!A$6:D$1000,2,FALSE)</f>
        <v>hejorgea</v>
      </c>
      <c r="P580" s="7" t="s">
        <v>664</v>
      </c>
      <c r="Q580" s="7" t="s">
        <v>708</v>
      </c>
      <c r="R580" t="s">
        <v>320</v>
      </c>
      <c r="U580">
        <f t="shared" si="11"/>
        <v>7</v>
      </c>
    </row>
    <row r="581" spans="1:21" ht="37.5" customHeight="1" x14ac:dyDescent="0.25">
      <c r="A581" s="19">
        <v>44964</v>
      </c>
      <c r="B581" s="13">
        <v>6</v>
      </c>
      <c r="C581" t="s">
        <v>3</v>
      </c>
      <c r="D581" t="s">
        <v>4</v>
      </c>
      <c r="E581" t="s">
        <v>21</v>
      </c>
      <c r="F581" s="6">
        <v>200564845</v>
      </c>
      <c r="G581" t="s">
        <v>440</v>
      </c>
      <c r="H581" t="s">
        <v>285</v>
      </c>
      <c r="I581">
        <v>0</v>
      </c>
      <c r="J581">
        <v>0</v>
      </c>
      <c r="K581">
        <v>0</v>
      </c>
      <c r="L581">
        <v>0</v>
      </c>
      <c r="M581">
        <v>0.16</v>
      </c>
      <c r="N581" s="7" t="e">
        <f>VLOOKUP(F581,HC!A$6:D$100,3,FALSE)</f>
        <v>#N/A</v>
      </c>
      <c r="O581" s="7" t="e">
        <f>VLOOKUP(F581,HC!A$6:D$1000,2,FALSE)</f>
        <v>#N/A</v>
      </c>
      <c r="P581" s="7" t="s">
        <v>661</v>
      </c>
      <c r="Q581" s="7" t="s">
        <v>681</v>
      </c>
      <c r="R581" t="s">
        <v>10</v>
      </c>
      <c r="U581">
        <f t="shared" si="11"/>
        <v>1395</v>
      </c>
    </row>
    <row r="582" spans="1:21" ht="37.5" customHeight="1" x14ac:dyDescent="0.25">
      <c r="A582" s="19">
        <v>44964</v>
      </c>
      <c r="B582" s="13">
        <v>6</v>
      </c>
      <c r="C582" t="s">
        <v>3</v>
      </c>
      <c r="D582" t="s">
        <v>4</v>
      </c>
      <c r="E582" t="s">
        <v>21</v>
      </c>
      <c r="F582" s="6">
        <v>200574329</v>
      </c>
      <c r="G582" t="s">
        <v>52</v>
      </c>
      <c r="H582" t="s">
        <v>49</v>
      </c>
      <c r="I582">
        <v>0</v>
      </c>
      <c r="J582">
        <v>0</v>
      </c>
      <c r="K582">
        <v>0</v>
      </c>
      <c r="L582">
        <v>0</v>
      </c>
      <c r="M582">
        <v>0.19</v>
      </c>
      <c r="N582" s="7" t="e">
        <f>VLOOKUP(F582,HC!A$6:D$100,3,FALSE)</f>
        <v>#N/A</v>
      </c>
      <c r="O582" s="7" t="e">
        <f>VLOOKUP(F582,HC!A$6:D$1000,2,FALSE)</f>
        <v>#N/A</v>
      </c>
      <c r="P582" s="7" t="s">
        <v>664</v>
      </c>
      <c r="Q582" s="7" t="s">
        <v>711</v>
      </c>
      <c r="R582" t="s">
        <v>290</v>
      </c>
      <c r="U582">
        <f t="shared" si="11"/>
        <v>1395</v>
      </c>
    </row>
    <row r="583" spans="1:21" ht="37.5" customHeight="1" x14ac:dyDescent="0.25">
      <c r="A583" s="19">
        <v>44964</v>
      </c>
      <c r="B583" s="13">
        <v>6</v>
      </c>
      <c r="C583" t="s">
        <v>3</v>
      </c>
      <c r="D583" t="s">
        <v>4</v>
      </c>
      <c r="E583" t="s">
        <v>21</v>
      </c>
      <c r="F583" s="6">
        <v>200574655</v>
      </c>
      <c r="G583" t="s">
        <v>630</v>
      </c>
      <c r="H583" t="s">
        <v>49</v>
      </c>
      <c r="I583">
        <v>0</v>
      </c>
      <c r="J583">
        <v>0</v>
      </c>
      <c r="K583">
        <v>0</v>
      </c>
      <c r="L583">
        <v>0</v>
      </c>
      <c r="M583">
        <v>1.1299999999999999</v>
      </c>
      <c r="N583" s="7" t="e">
        <f>VLOOKUP(F583,HC!A$6:D$100,3,FALSE)</f>
        <v>#N/A</v>
      </c>
      <c r="O583" s="7" t="str">
        <f>VLOOKUP(F583,HC!A$6:D$1000,2,FALSE)</f>
        <v>dulceami</v>
      </c>
      <c r="P583" s="7" t="s">
        <v>667</v>
      </c>
      <c r="Q583" s="7" t="s">
        <v>773</v>
      </c>
      <c r="R583" t="s">
        <v>623</v>
      </c>
      <c r="U583">
        <f t="shared" si="11"/>
        <v>20</v>
      </c>
    </row>
    <row r="584" spans="1:21" ht="37.5" customHeight="1" x14ac:dyDescent="0.25">
      <c r="A584" s="19">
        <v>44964</v>
      </c>
      <c r="B584" s="13">
        <v>6</v>
      </c>
      <c r="C584" t="s">
        <v>3</v>
      </c>
      <c r="D584" t="s">
        <v>4</v>
      </c>
      <c r="E584" t="s">
        <v>21</v>
      </c>
      <c r="F584" s="6">
        <v>200589316</v>
      </c>
      <c r="G584" t="s">
        <v>53</v>
      </c>
      <c r="H584" t="s">
        <v>7</v>
      </c>
      <c r="I584">
        <v>0</v>
      </c>
      <c r="J584">
        <v>0</v>
      </c>
      <c r="K584">
        <v>0</v>
      </c>
      <c r="L584">
        <v>0</v>
      </c>
      <c r="M584">
        <v>0.14000000000000001</v>
      </c>
      <c r="N584" s="7" t="e">
        <f>VLOOKUP(F584,HC!A$6:D$100,3,FALSE)</f>
        <v>#N/A</v>
      </c>
      <c r="O584" s="7" t="e">
        <f>VLOOKUP(F584,HC!A$6:D$1000,2,FALSE)</f>
        <v>#N/A</v>
      </c>
      <c r="P584" s="7" t="s">
        <v>664</v>
      </c>
      <c r="Q584" s="7" t="s">
        <v>708</v>
      </c>
      <c r="R584" t="s">
        <v>636</v>
      </c>
      <c r="U584">
        <f t="shared" si="11"/>
        <v>1395</v>
      </c>
    </row>
    <row r="585" spans="1:21" ht="37.5" customHeight="1" x14ac:dyDescent="0.25">
      <c r="A585" s="19">
        <v>44964</v>
      </c>
      <c r="B585" s="13">
        <v>6</v>
      </c>
      <c r="C585" t="s">
        <v>3</v>
      </c>
      <c r="D585" t="s">
        <v>4</v>
      </c>
      <c r="E585" t="s">
        <v>21</v>
      </c>
      <c r="F585" s="6">
        <v>200620341</v>
      </c>
      <c r="G585" t="s">
        <v>255</v>
      </c>
      <c r="H585" t="s">
        <v>47</v>
      </c>
      <c r="I585">
        <v>0</v>
      </c>
      <c r="J585">
        <v>0</v>
      </c>
      <c r="K585">
        <v>0</v>
      </c>
      <c r="L585">
        <v>0</v>
      </c>
      <c r="M585">
        <v>0.18</v>
      </c>
      <c r="N585" s="7" t="e">
        <f>VLOOKUP(F585,HC!A$6:D$100,3,FALSE)</f>
        <v>#N/A</v>
      </c>
      <c r="O585" s="7" t="e">
        <f>VLOOKUP(F585,HC!A$6:D$1000,2,FALSE)</f>
        <v>#N/A</v>
      </c>
      <c r="P585" s="7" t="s">
        <v>663</v>
      </c>
      <c r="Q585" s="7" t="s">
        <v>692</v>
      </c>
      <c r="R585" t="s">
        <v>637</v>
      </c>
      <c r="U585">
        <f t="shared" si="11"/>
        <v>1395</v>
      </c>
    </row>
    <row r="586" spans="1:21" ht="37.5" customHeight="1" x14ac:dyDescent="0.25">
      <c r="A586" s="19">
        <v>44964</v>
      </c>
      <c r="B586" s="13">
        <v>6</v>
      </c>
      <c r="C586" t="s">
        <v>3</v>
      </c>
      <c r="D586" t="s">
        <v>4</v>
      </c>
      <c r="E586" t="s">
        <v>21</v>
      </c>
      <c r="F586" s="6">
        <v>200625517</v>
      </c>
      <c r="G586" t="s">
        <v>323</v>
      </c>
      <c r="H586" t="s">
        <v>14</v>
      </c>
      <c r="I586">
        <v>0</v>
      </c>
      <c r="J586">
        <v>0</v>
      </c>
      <c r="K586">
        <v>0</v>
      </c>
      <c r="L586">
        <v>0</v>
      </c>
      <c r="M586">
        <v>0.28999999999999998</v>
      </c>
      <c r="N586" s="7" t="e">
        <f>VLOOKUP(F586,HC!A$6:D$100,3,FALSE)</f>
        <v>#N/A</v>
      </c>
      <c r="O586" s="7" t="e">
        <f>VLOOKUP(F586,HC!A$6:D$1000,2,FALSE)</f>
        <v>#N/A</v>
      </c>
      <c r="P586" s="7" t="s">
        <v>663</v>
      </c>
      <c r="Q586" s="7" t="s">
        <v>692</v>
      </c>
      <c r="R586" t="s">
        <v>638</v>
      </c>
      <c r="U586">
        <f t="shared" si="11"/>
        <v>1395</v>
      </c>
    </row>
    <row r="587" spans="1:21" ht="37.5" customHeight="1" x14ac:dyDescent="0.25">
      <c r="A587" s="19">
        <v>44965</v>
      </c>
      <c r="B587" s="13">
        <v>6</v>
      </c>
      <c r="C587" t="s">
        <v>3</v>
      </c>
      <c r="D587" t="s">
        <v>4</v>
      </c>
      <c r="E587" t="s">
        <v>5</v>
      </c>
      <c r="F587" s="6">
        <v>112525692</v>
      </c>
      <c r="G587" t="s">
        <v>356</v>
      </c>
      <c r="H587" t="s">
        <v>459</v>
      </c>
      <c r="I587">
        <v>0</v>
      </c>
      <c r="J587">
        <v>0</v>
      </c>
      <c r="K587">
        <v>0</v>
      </c>
      <c r="L587">
        <v>0</v>
      </c>
      <c r="M587">
        <v>1.02</v>
      </c>
      <c r="N587" s="7" t="e">
        <f>VLOOKUP(F587,HC!A$6:D$100,3,FALSE)</f>
        <v>#N/A</v>
      </c>
      <c r="O587" s="7" t="e">
        <f>VLOOKUP(F587,HC!A$6:D$1000,2,FALSE)</f>
        <v>#N/A</v>
      </c>
      <c r="P587" s="7" t="s">
        <v>662</v>
      </c>
      <c r="Q587" s="7" t="s">
        <v>702</v>
      </c>
      <c r="R587" t="s">
        <v>418</v>
      </c>
      <c r="U587">
        <f t="shared" si="11"/>
        <v>1395</v>
      </c>
    </row>
    <row r="588" spans="1:21" ht="37.5" customHeight="1" x14ac:dyDescent="0.25">
      <c r="A588" s="19">
        <v>44965</v>
      </c>
      <c r="B588" s="13">
        <v>6</v>
      </c>
      <c r="C588" t="s">
        <v>3</v>
      </c>
      <c r="D588" t="s">
        <v>4</v>
      </c>
      <c r="E588" t="s">
        <v>5</v>
      </c>
      <c r="F588" s="6">
        <v>112912201</v>
      </c>
      <c r="G588" t="s">
        <v>456</v>
      </c>
      <c r="H588" t="s">
        <v>49</v>
      </c>
      <c r="I588">
        <v>0</v>
      </c>
      <c r="J588">
        <v>0</v>
      </c>
      <c r="K588">
        <v>0</v>
      </c>
      <c r="L588">
        <v>0</v>
      </c>
      <c r="M588">
        <v>0.26</v>
      </c>
      <c r="N588" s="7" t="e">
        <f>VLOOKUP(F588,HC!A$6:D$100,3,FALSE)</f>
        <v>#N/A</v>
      </c>
      <c r="O588" s="7" t="e">
        <f>VLOOKUP(F588,HC!A$6:D$1000,2,FALSE)</f>
        <v>#N/A</v>
      </c>
      <c r="P588" s="7" t="s">
        <v>661</v>
      </c>
      <c r="Q588" s="7" t="s">
        <v>684</v>
      </c>
      <c r="R588" t="s">
        <v>360</v>
      </c>
      <c r="U588">
        <f t="shared" si="11"/>
        <v>1395</v>
      </c>
    </row>
    <row r="589" spans="1:21" ht="37.5" customHeight="1" x14ac:dyDescent="0.25">
      <c r="A589" s="19">
        <v>44965</v>
      </c>
      <c r="B589" s="13">
        <v>6</v>
      </c>
      <c r="C589" t="s">
        <v>3</v>
      </c>
      <c r="D589" t="s">
        <v>4</v>
      </c>
      <c r="E589" t="s">
        <v>5</v>
      </c>
      <c r="F589" s="6">
        <v>112912752</v>
      </c>
      <c r="G589" t="s">
        <v>251</v>
      </c>
      <c r="H589" t="s">
        <v>44</v>
      </c>
      <c r="I589">
        <v>0</v>
      </c>
      <c r="J589">
        <v>0</v>
      </c>
      <c r="K589">
        <v>0</v>
      </c>
      <c r="L589">
        <v>0</v>
      </c>
      <c r="M589">
        <v>0.25</v>
      </c>
      <c r="N589" s="7" t="str">
        <f>VLOOKUP(F589,HC!A$6:D$100,3,FALSE)</f>
        <v>NF-X1900</v>
      </c>
      <c r="O589" s="7" t="str">
        <f>VLOOKUP(F589,HC!A$6:D$1000,2,FALSE)</f>
        <v>valderle</v>
      </c>
      <c r="P589" s="7" t="s">
        <v>663</v>
      </c>
      <c r="Q589" s="7" t="s">
        <v>695</v>
      </c>
      <c r="R589" t="s">
        <v>20</v>
      </c>
      <c r="U589">
        <f t="shared" si="11"/>
        <v>50</v>
      </c>
    </row>
    <row r="590" spans="1:21" ht="37.5" customHeight="1" x14ac:dyDescent="0.25">
      <c r="A590" s="19">
        <v>44965</v>
      </c>
      <c r="B590" s="13">
        <v>6</v>
      </c>
      <c r="C590" t="s">
        <v>3</v>
      </c>
      <c r="D590" t="s">
        <v>4</v>
      </c>
      <c r="E590" t="s">
        <v>5</v>
      </c>
      <c r="F590" s="6">
        <v>112920664</v>
      </c>
      <c r="G590" t="s">
        <v>474</v>
      </c>
      <c r="H590" t="s">
        <v>250</v>
      </c>
      <c r="I590">
        <v>0</v>
      </c>
      <c r="J590">
        <v>0</v>
      </c>
      <c r="K590">
        <v>0</v>
      </c>
      <c r="L590">
        <v>0</v>
      </c>
      <c r="M590">
        <v>0.17</v>
      </c>
      <c r="N590" s="7" t="str">
        <f>VLOOKUP(F590,HC!A$6:D$100,3,FALSE)</f>
        <v>DA-X0700</v>
      </c>
      <c r="O590" s="7" t="str">
        <f>VLOOKUP(F590,HC!A$6:D$1000,2,FALSE)</f>
        <v>samualbg</v>
      </c>
      <c r="P590" s="7" t="s">
        <v>670</v>
      </c>
      <c r="Q590" s="7" t="s">
        <v>748</v>
      </c>
      <c r="R590" t="s">
        <v>643</v>
      </c>
      <c r="U590">
        <f t="shared" si="11"/>
        <v>7</v>
      </c>
    </row>
    <row r="591" spans="1:21" ht="37.5" customHeight="1" x14ac:dyDescent="0.25">
      <c r="A591" s="19">
        <v>44965</v>
      </c>
      <c r="B591" s="13">
        <v>6</v>
      </c>
      <c r="C591" t="s">
        <v>3</v>
      </c>
      <c r="D591" t="s">
        <v>4</v>
      </c>
      <c r="E591" t="s">
        <v>5</v>
      </c>
      <c r="F591" s="6">
        <v>112971953</v>
      </c>
      <c r="G591" t="s">
        <v>262</v>
      </c>
      <c r="H591" t="s">
        <v>282</v>
      </c>
      <c r="I591">
        <v>0</v>
      </c>
      <c r="J591">
        <v>0</v>
      </c>
      <c r="K591">
        <v>0</v>
      </c>
      <c r="L591">
        <v>0</v>
      </c>
      <c r="M591">
        <v>1.95</v>
      </c>
      <c r="N591" s="7" t="str">
        <f>VLOOKUP(F591,HC!A$6:D$100,3,FALSE)</f>
        <v>DB-X0700</v>
      </c>
      <c r="O591" s="7" t="str">
        <f>VLOOKUP(F591,HC!A$6:D$1000,2,FALSE)</f>
        <v>anzpalom</v>
      </c>
      <c r="P591" s="7"/>
      <c r="Q591" s="7"/>
      <c r="U591">
        <f t="shared" si="11"/>
        <v>14</v>
      </c>
    </row>
    <row r="592" spans="1:21" ht="37.5" customHeight="1" x14ac:dyDescent="0.25">
      <c r="A592" s="19">
        <v>44965</v>
      </c>
      <c r="B592" s="13">
        <v>6</v>
      </c>
      <c r="C592" t="s">
        <v>3</v>
      </c>
      <c r="D592" t="s">
        <v>4</v>
      </c>
      <c r="E592" t="s">
        <v>5</v>
      </c>
      <c r="F592" s="6">
        <v>112973049</v>
      </c>
      <c r="G592" t="s">
        <v>314</v>
      </c>
      <c r="H592" t="s">
        <v>298</v>
      </c>
      <c r="I592">
        <v>0</v>
      </c>
      <c r="J592">
        <v>0</v>
      </c>
      <c r="K592">
        <v>0</v>
      </c>
      <c r="L592">
        <v>0</v>
      </c>
      <c r="M592">
        <v>0.4</v>
      </c>
      <c r="N592" s="7" t="str">
        <f>VLOOKUP(F592,HC!A$6:D$100,3,FALSE)</f>
        <v>DB-X0700</v>
      </c>
      <c r="O592" s="7" t="str">
        <f>VLOOKUP(F592,HC!A$6:D$1000,2,FALSE)</f>
        <v>afatimae</v>
      </c>
      <c r="P592" s="7" t="s">
        <v>664</v>
      </c>
      <c r="Q592" s="7" t="s">
        <v>761</v>
      </c>
      <c r="R592" t="s">
        <v>646</v>
      </c>
      <c r="U592">
        <f t="shared" si="11"/>
        <v>29</v>
      </c>
    </row>
    <row r="593" spans="1:21" ht="37.5" customHeight="1" x14ac:dyDescent="0.25">
      <c r="A593" s="19">
        <v>44965</v>
      </c>
      <c r="B593" s="13">
        <v>6</v>
      </c>
      <c r="C593" t="s">
        <v>3</v>
      </c>
      <c r="D593" t="s">
        <v>4</v>
      </c>
      <c r="E593" t="s">
        <v>5</v>
      </c>
      <c r="F593" s="6">
        <v>112980842</v>
      </c>
      <c r="G593" t="s">
        <v>395</v>
      </c>
      <c r="H593" t="s">
        <v>44</v>
      </c>
      <c r="I593">
        <v>0</v>
      </c>
      <c r="J593">
        <v>0</v>
      </c>
      <c r="K593">
        <v>0</v>
      </c>
      <c r="L593">
        <v>0</v>
      </c>
      <c r="M593">
        <v>0.56999999999999995</v>
      </c>
      <c r="N593" s="7" t="e">
        <f>VLOOKUP(F593,HC!A$6:D$100,3,FALSE)</f>
        <v>#N/A</v>
      </c>
      <c r="O593" s="7" t="e">
        <f>VLOOKUP(F593,HC!A$6:D$1000,2,FALSE)</f>
        <v>#N/A</v>
      </c>
      <c r="P593" s="7" t="s">
        <v>666</v>
      </c>
      <c r="Q593" s="7" t="s">
        <v>774</v>
      </c>
      <c r="R593" t="s">
        <v>644</v>
      </c>
      <c r="U593">
        <f t="shared" si="11"/>
        <v>1395</v>
      </c>
    </row>
    <row r="594" spans="1:21" ht="37.5" customHeight="1" x14ac:dyDescent="0.25">
      <c r="A594" s="19">
        <v>44965</v>
      </c>
      <c r="B594" s="13">
        <v>6</v>
      </c>
      <c r="C594" t="s">
        <v>3</v>
      </c>
      <c r="D594" t="s">
        <v>4</v>
      </c>
      <c r="E594" t="s">
        <v>5</v>
      </c>
      <c r="F594" s="6">
        <v>113003631</v>
      </c>
      <c r="G594" t="s">
        <v>479</v>
      </c>
      <c r="H594" t="s">
        <v>47</v>
      </c>
      <c r="I594">
        <v>0</v>
      </c>
      <c r="J594">
        <v>0</v>
      </c>
      <c r="K594">
        <v>0</v>
      </c>
      <c r="L594">
        <v>0</v>
      </c>
      <c r="M594">
        <v>0.13</v>
      </c>
      <c r="N594" s="7" t="e">
        <f>VLOOKUP(F594,HC!A$6:D$100,3,FALSE)</f>
        <v>#N/A</v>
      </c>
      <c r="O594" s="7" t="e">
        <f>VLOOKUP(F594,HC!A$6:D$1000,2,FALSE)</f>
        <v>#N/A</v>
      </c>
      <c r="P594" s="7" t="s">
        <v>663</v>
      </c>
      <c r="Q594" s="7" t="s">
        <v>692</v>
      </c>
      <c r="R594" t="s">
        <v>504</v>
      </c>
      <c r="U594">
        <f t="shared" si="11"/>
        <v>1395</v>
      </c>
    </row>
    <row r="595" spans="1:21" ht="37.5" customHeight="1" x14ac:dyDescent="0.25">
      <c r="A595" s="19">
        <v>44965</v>
      </c>
      <c r="B595" s="13">
        <v>6</v>
      </c>
      <c r="C595" t="s">
        <v>3</v>
      </c>
      <c r="D595" t="s">
        <v>4</v>
      </c>
      <c r="E595" t="s">
        <v>5</v>
      </c>
      <c r="F595" s="6">
        <v>113003692</v>
      </c>
      <c r="G595" t="s">
        <v>556</v>
      </c>
      <c r="H595" t="s">
        <v>17</v>
      </c>
      <c r="I595">
        <v>0</v>
      </c>
      <c r="J595">
        <v>0</v>
      </c>
      <c r="K595">
        <v>0</v>
      </c>
      <c r="L595">
        <v>0</v>
      </c>
      <c r="M595">
        <v>0.15</v>
      </c>
      <c r="N595" s="7" t="e">
        <f>VLOOKUP(F595,HC!A$6:D$100,3,FALSE)</f>
        <v>#N/A</v>
      </c>
      <c r="O595" s="7" t="e">
        <f>VLOOKUP(F595,HC!A$6:D$1000,2,FALSE)</f>
        <v>#N/A</v>
      </c>
      <c r="P595" s="7" t="s">
        <v>663</v>
      </c>
      <c r="Q595" s="7" t="s">
        <v>704</v>
      </c>
      <c r="R595" t="s">
        <v>645</v>
      </c>
      <c r="U595">
        <f t="shared" si="11"/>
        <v>1395</v>
      </c>
    </row>
    <row r="596" spans="1:21" ht="37.5" customHeight="1" x14ac:dyDescent="0.25">
      <c r="A596" s="19">
        <v>44965</v>
      </c>
      <c r="B596" s="13">
        <v>6</v>
      </c>
      <c r="C596" t="s">
        <v>3</v>
      </c>
      <c r="D596" t="s">
        <v>4</v>
      </c>
      <c r="E596" t="s">
        <v>5</v>
      </c>
      <c r="F596" s="6">
        <v>113101262</v>
      </c>
      <c r="G596" t="s">
        <v>642</v>
      </c>
      <c r="H596" t="s">
        <v>268</v>
      </c>
      <c r="I596">
        <v>0</v>
      </c>
      <c r="J596">
        <v>0</v>
      </c>
      <c r="K596">
        <v>0</v>
      </c>
      <c r="L596">
        <v>0</v>
      </c>
      <c r="M596">
        <v>0.12</v>
      </c>
      <c r="N596" s="7" t="e">
        <f>VLOOKUP(F596,HC!A$6:D$100,3,FALSE)</f>
        <v>#N/A</v>
      </c>
      <c r="O596" s="7" t="str">
        <f>VLOOKUP(F596,HC!A$6:D$1000,2,FALSE)</f>
        <v>cetinocr</v>
      </c>
      <c r="P596" s="7"/>
      <c r="Q596" s="7"/>
      <c r="U596">
        <f t="shared" si="11"/>
        <v>6</v>
      </c>
    </row>
    <row r="597" spans="1:21" s="7" customFormat="1" ht="37.5" customHeight="1" x14ac:dyDescent="0.25">
      <c r="A597" s="41">
        <v>44965</v>
      </c>
      <c r="B597" s="13">
        <v>6</v>
      </c>
      <c r="C597" s="7" t="s">
        <v>3</v>
      </c>
      <c r="D597" s="7" t="s">
        <v>4</v>
      </c>
      <c r="E597" s="7" t="s">
        <v>5</v>
      </c>
      <c r="F597" s="13">
        <v>200404250</v>
      </c>
      <c r="G597" s="7" t="s">
        <v>51</v>
      </c>
      <c r="H597" s="7" t="s">
        <v>285</v>
      </c>
      <c r="I597" s="7">
        <v>0</v>
      </c>
      <c r="J597" s="7">
        <v>0</v>
      </c>
      <c r="K597" s="7">
        <v>0</v>
      </c>
      <c r="L597" s="7">
        <v>0</v>
      </c>
      <c r="M597" s="7">
        <v>0.4</v>
      </c>
      <c r="N597" s="7" t="e">
        <f>VLOOKUP(F597,HC!A$6:D$100,3,FALSE)</f>
        <v>#N/A</v>
      </c>
      <c r="O597" s="7" t="str">
        <f>VLOOKUP(F597,HC!A$6:D$1000,2,FALSE)</f>
        <v>xcathurt</v>
      </c>
      <c r="P597" s="7" t="s">
        <v>661</v>
      </c>
      <c r="Q597" s="7" t="s">
        <v>701</v>
      </c>
      <c r="R597" s="7" t="s">
        <v>647</v>
      </c>
      <c r="S597" s="42"/>
      <c r="U597" s="7">
        <f t="shared" si="11"/>
        <v>124</v>
      </c>
    </row>
    <row r="598" spans="1:21" s="22" customFormat="1" ht="37.5" customHeight="1" x14ac:dyDescent="0.25">
      <c r="A598" s="19">
        <v>44965</v>
      </c>
      <c r="B598" s="13">
        <v>6</v>
      </c>
      <c r="C598" t="s">
        <v>3</v>
      </c>
      <c r="D598" t="s">
        <v>4</v>
      </c>
      <c r="E598" t="s">
        <v>5</v>
      </c>
      <c r="F598" s="6">
        <v>200408196</v>
      </c>
      <c r="G598" t="s">
        <v>627</v>
      </c>
      <c r="H598" t="s">
        <v>285</v>
      </c>
      <c r="I598">
        <v>0</v>
      </c>
      <c r="J598">
        <v>0</v>
      </c>
      <c r="K598">
        <v>0</v>
      </c>
      <c r="L598">
        <v>0</v>
      </c>
      <c r="M598">
        <v>0.41</v>
      </c>
      <c r="N598" s="7" t="e">
        <f>VLOOKUP(F598,HC!A$6:D$100,3,FALSE)</f>
        <v>#N/A</v>
      </c>
      <c r="O598" s="7" t="e">
        <f>VLOOKUP(F598,HC!A$6:D$1000,2,FALSE)</f>
        <v>#N/A</v>
      </c>
      <c r="P598" s="7" t="s">
        <v>662</v>
      </c>
      <c r="Q598" s="7" t="s">
        <v>688</v>
      </c>
      <c r="R598" t="s">
        <v>25</v>
      </c>
      <c r="S598" s="2"/>
      <c r="T598"/>
      <c r="U598">
        <f t="shared" si="11"/>
        <v>1395</v>
      </c>
    </row>
    <row r="599" spans="1:21" ht="37.5" customHeight="1" x14ac:dyDescent="0.25">
      <c r="A599" s="19">
        <v>44965</v>
      </c>
      <c r="B599" s="13">
        <v>6</v>
      </c>
      <c r="C599" t="s">
        <v>3</v>
      </c>
      <c r="D599" t="s">
        <v>4</v>
      </c>
      <c r="E599" t="s">
        <v>21</v>
      </c>
      <c r="F599" s="6">
        <v>200562251</v>
      </c>
      <c r="G599" t="s">
        <v>568</v>
      </c>
      <c r="H599" t="s">
        <v>47</v>
      </c>
      <c r="I599">
        <v>0</v>
      </c>
      <c r="J599">
        <v>0</v>
      </c>
      <c r="K599">
        <v>0</v>
      </c>
      <c r="L599">
        <v>0</v>
      </c>
      <c r="M599">
        <v>1.1299999999999999</v>
      </c>
      <c r="N599" s="7" t="e">
        <f>VLOOKUP(F599,HC!A$6:D$100,3,FALSE)</f>
        <v>#N/A</v>
      </c>
      <c r="O599" s="7" t="e">
        <f>VLOOKUP(F599,HC!A$6:D$1000,2,FALSE)</f>
        <v>#N/A</v>
      </c>
      <c r="P599" s="7" t="s">
        <v>670</v>
      </c>
      <c r="Q599" s="7" t="s">
        <v>784</v>
      </c>
      <c r="R599" t="s">
        <v>648</v>
      </c>
      <c r="U599">
        <f t="shared" si="11"/>
        <v>1395</v>
      </c>
    </row>
    <row r="600" spans="1:21" ht="37.5" customHeight="1" x14ac:dyDescent="0.25">
      <c r="A600" s="19">
        <v>44965</v>
      </c>
      <c r="B600" s="13">
        <v>6</v>
      </c>
      <c r="C600" t="s">
        <v>3</v>
      </c>
      <c r="D600" t="s">
        <v>4</v>
      </c>
      <c r="E600" t="s">
        <v>21</v>
      </c>
      <c r="F600" s="6">
        <v>200562868</v>
      </c>
      <c r="G600" t="s">
        <v>400</v>
      </c>
      <c r="H600" t="s">
        <v>47</v>
      </c>
      <c r="I600">
        <v>0</v>
      </c>
      <c r="J600">
        <v>0</v>
      </c>
      <c r="K600">
        <v>0</v>
      </c>
      <c r="L600">
        <v>0</v>
      </c>
      <c r="M600">
        <v>0.39</v>
      </c>
      <c r="N600" s="7" t="e">
        <f>VLOOKUP(F600,HC!A$6:D$100,3,FALSE)</f>
        <v>#N/A</v>
      </c>
      <c r="O600" s="7" t="e">
        <f>VLOOKUP(F600,HC!A$6:D$1000,2,FALSE)</f>
        <v>#N/A</v>
      </c>
      <c r="P600" s="7" t="s">
        <v>663</v>
      </c>
      <c r="Q600" s="7" t="s">
        <v>695</v>
      </c>
      <c r="R600" t="s">
        <v>20</v>
      </c>
      <c r="U600">
        <f t="shared" si="11"/>
        <v>1395</v>
      </c>
    </row>
    <row r="601" spans="1:21" ht="37.5" customHeight="1" x14ac:dyDescent="0.25">
      <c r="A601" s="19">
        <v>44965</v>
      </c>
      <c r="B601" s="13">
        <v>6</v>
      </c>
      <c r="C601" t="s">
        <v>3</v>
      </c>
      <c r="D601" t="s">
        <v>4</v>
      </c>
      <c r="E601" t="s">
        <v>21</v>
      </c>
      <c r="F601" s="6">
        <v>200620341</v>
      </c>
      <c r="G601" t="s">
        <v>255</v>
      </c>
      <c r="H601" t="s">
        <v>47</v>
      </c>
      <c r="I601">
        <v>0</v>
      </c>
      <c r="J601">
        <v>0</v>
      </c>
      <c r="K601">
        <v>0</v>
      </c>
      <c r="L601">
        <v>0</v>
      </c>
      <c r="M601">
        <v>0.37</v>
      </c>
      <c r="N601" s="7" t="e">
        <f>VLOOKUP(F601,HC!A$6:D$100,3,FALSE)</f>
        <v>#N/A</v>
      </c>
      <c r="O601" s="7" t="e">
        <f>VLOOKUP(F601,HC!A$6:D$1000,2,FALSE)</f>
        <v>#N/A</v>
      </c>
      <c r="P601" s="7" t="s">
        <v>663</v>
      </c>
      <c r="Q601" s="7" t="s">
        <v>705</v>
      </c>
      <c r="R601" t="s">
        <v>637</v>
      </c>
      <c r="U601">
        <f t="shared" si="11"/>
        <v>1395</v>
      </c>
    </row>
    <row r="602" spans="1:21" ht="37.5" customHeight="1" x14ac:dyDescent="0.25">
      <c r="A602" s="19">
        <v>44966</v>
      </c>
      <c r="B602" s="13">
        <v>6</v>
      </c>
      <c r="C602" t="s">
        <v>3</v>
      </c>
      <c r="D602" t="s">
        <v>4</v>
      </c>
      <c r="E602" t="s">
        <v>5</v>
      </c>
      <c r="F602" s="6">
        <v>103427877</v>
      </c>
      <c r="G602" t="s">
        <v>281</v>
      </c>
      <c r="H602" t="s">
        <v>282</v>
      </c>
      <c r="I602">
        <v>0</v>
      </c>
      <c r="J602">
        <v>0</v>
      </c>
      <c r="K602">
        <v>0</v>
      </c>
      <c r="L602">
        <v>0</v>
      </c>
      <c r="M602">
        <v>0.26</v>
      </c>
      <c r="N602" s="7" t="e">
        <f>VLOOKUP(F602,HC!A$6:D$100,3,FALSE)</f>
        <v>#N/A</v>
      </c>
      <c r="O602" s="7" t="e">
        <f>VLOOKUP(F602,HC!A$6:D$1000,2,FALSE)</f>
        <v>#N/A</v>
      </c>
      <c r="P602" s="7" t="s">
        <v>664</v>
      </c>
      <c r="Q602" s="7" t="s">
        <v>708</v>
      </c>
      <c r="R602" t="s">
        <v>304</v>
      </c>
      <c r="U602">
        <f t="shared" si="11"/>
        <v>1395</v>
      </c>
    </row>
    <row r="603" spans="1:21" ht="37.5" customHeight="1" x14ac:dyDescent="0.25">
      <c r="A603" s="19">
        <v>44966</v>
      </c>
      <c r="B603" s="13">
        <v>6</v>
      </c>
      <c r="C603" t="s">
        <v>3</v>
      </c>
      <c r="D603" t="s">
        <v>4</v>
      </c>
      <c r="E603" t="s">
        <v>21</v>
      </c>
      <c r="F603" s="6">
        <v>109227086</v>
      </c>
      <c r="G603" t="s">
        <v>430</v>
      </c>
      <c r="H603" t="s">
        <v>14</v>
      </c>
      <c r="I603">
        <v>0</v>
      </c>
      <c r="J603">
        <v>0</v>
      </c>
      <c r="K603">
        <v>0</v>
      </c>
      <c r="L603">
        <v>0</v>
      </c>
      <c r="M603">
        <v>0.51</v>
      </c>
      <c r="N603" s="7" t="e">
        <f>VLOOKUP(F603,HC!A$6:D$100,3,FALSE)</f>
        <v>#N/A</v>
      </c>
      <c r="O603" s="7" t="e">
        <f>VLOOKUP(F603,HC!A$6:D$1000,2,FALSE)</f>
        <v>#N/A</v>
      </c>
      <c r="P603" s="7" t="s">
        <v>668</v>
      </c>
      <c r="Q603" s="7" t="s">
        <v>730</v>
      </c>
      <c r="R603" t="s">
        <v>819</v>
      </c>
      <c r="U603">
        <f t="shared" si="11"/>
        <v>1395</v>
      </c>
    </row>
    <row r="604" spans="1:21" ht="37.5" customHeight="1" x14ac:dyDescent="0.25">
      <c r="A604" s="19">
        <v>44966</v>
      </c>
      <c r="B604" s="13">
        <v>6</v>
      </c>
      <c r="C604" t="s">
        <v>3</v>
      </c>
      <c r="D604" t="s">
        <v>4</v>
      </c>
      <c r="E604" t="s">
        <v>5</v>
      </c>
      <c r="F604" s="6">
        <v>111434478</v>
      </c>
      <c r="G604" t="s">
        <v>331</v>
      </c>
      <c r="H604" t="s">
        <v>332</v>
      </c>
      <c r="I604">
        <v>0</v>
      </c>
      <c r="J604">
        <v>0</v>
      </c>
      <c r="K604">
        <v>0</v>
      </c>
      <c r="L604">
        <v>0</v>
      </c>
      <c r="M604">
        <v>0.92</v>
      </c>
      <c r="N604" s="7" t="str">
        <f>VLOOKUP(F604,HC!A$6:D$100,3,FALSE)</f>
        <v>DA-X0700</v>
      </c>
      <c r="O604" s="7" t="str">
        <f>VLOOKUP(F604,HC!A$6:D$1000,2,FALSE)</f>
        <v>juanapam</v>
      </c>
      <c r="P604" s="7" t="s">
        <v>664</v>
      </c>
      <c r="Q604" s="7" t="s">
        <v>711</v>
      </c>
      <c r="R604" t="s">
        <v>554</v>
      </c>
      <c r="U604">
        <f t="shared" si="11"/>
        <v>32</v>
      </c>
    </row>
    <row r="605" spans="1:21" ht="37.5" customHeight="1" x14ac:dyDescent="0.25">
      <c r="A605" s="19">
        <v>44966</v>
      </c>
      <c r="B605" s="13">
        <v>6</v>
      </c>
      <c r="C605" t="s">
        <v>3</v>
      </c>
      <c r="D605" t="s">
        <v>4</v>
      </c>
      <c r="E605" t="s">
        <v>5</v>
      </c>
      <c r="F605" s="6">
        <v>112912201</v>
      </c>
      <c r="G605" t="s">
        <v>456</v>
      </c>
      <c r="H605" t="s">
        <v>49</v>
      </c>
      <c r="I605">
        <v>0</v>
      </c>
      <c r="J605">
        <v>0</v>
      </c>
      <c r="K605">
        <v>0</v>
      </c>
      <c r="L605">
        <v>0</v>
      </c>
      <c r="M605">
        <v>0.38</v>
      </c>
      <c r="N605" s="7" t="e">
        <f>VLOOKUP(F605,HC!A$6:D$100,3,FALSE)</f>
        <v>#N/A</v>
      </c>
      <c r="O605" s="7" t="e">
        <f>VLOOKUP(F605,HC!A$6:D$1000,2,FALSE)</f>
        <v>#N/A</v>
      </c>
      <c r="P605" s="7" t="s">
        <v>661</v>
      </c>
      <c r="Q605" s="7" t="s">
        <v>684</v>
      </c>
      <c r="R605" t="s">
        <v>820</v>
      </c>
      <c r="U605">
        <f t="shared" si="11"/>
        <v>1395</v>
      </c>
    </row>
    <row r="606" spans="1:21" ht="37.5" customHeight="1" x14ac:dyDescent="0.25">
      <c r="A606" s="19">
        <v>44966</v>
      </c>
      <c r="B606" s="13">
        <v>6</v>
      </c>
      <c r="C606" t="s">
        <v>3</v>
      </c>
      <c r="D606" t="s">
        <v>4</v>
      </c>
      <c r="E606" t="s">
        <v>5</v>
      </c>
      <c r="F606" s="6">
        <v>112912464</v>
      </c>
      <c r="G606" t="s">
        <v>531</v>
      </c>
      <c r="H606" t="s">
        <v>459</v>
      </c>
      <c r="I606">
        <v>0</v>
      </c>
      <c r="J606">
        <v>0</v>
      </c>
      <c r="K606">
        <v>0</v>
      </c>
      <c r="L606">
        <v>0</v>
      </c>
      <c r="M606">
        <v>0.47</v>
      </c>
      <c r="N606" s="7" t="e">
        <f>VLOOKUP(F606,HC!A$6:D$100,3,FALSE)</f>
        <v>#N/A</v>
      </c>
      <c r="O606" s="7" t="e">
        <f>VLOOKUP(F606,HC!A$6:D$1000,2,FALSE)</f>
        <v>#N/A</v>
      </c>
      <c r="P606" s="7"/>
      <c r="Q606" s="7"/>
      <c r="R606" t="s">
        <v>604</v>
      </c>
      <c r="U606">
        <f t="shared" si="11"/>
        <v>1395</v>
      </c>
    </row>
    <row r="607" spans="1:21" ht="37.5" customHeight="1" x14ac:dyDescent="0.25">
      <c r="A607" s="19">
        <v>44966</v>
      </c>
      <c r="B607" s="13">
        <v>6</v>
      </c>
      <c r="C607" t="s">
        <v>3</v>
      </c>
      <c r="D607" t="s">
        <v>4</v>
      </c>
      <c r="E607" t="s">
        <v>5</v>
      </c>
      <c r="F607" s="6">
        <v>112912675</v>
      </c>
      <c r="G607" t="s">
        <v>326</v>
      </c>
      <c r="H607" t="s">
        <v>268</v>
      </c>
      <c r="I607">
        <v>0</v>
      </c>
      <c r="J607">
        <v>0</v>
      </c>
      <c r="K607">
        <v>0</v>
      </c>
      <c r="L607">
        <v>0</v>
      </c>
      <c r="M607">
        <v>0.44</v>
      </c>
      <c r="N607" s="7" t="e">
        <f>VLOOKUP(F607,HC!A$6:D$100,3,FALSE)</f>
        <v>#N/A</v>
      </c>
      <c r="O607" s="7" t="e">
        <f>VLOOKUP(F607,HC!A$6:D$1000,2,FALSE)</f>
        <v>#N/A</v>
      </c>
      <c r="P607" s="7"/>
      <c r="Q607" s="7"/>
      <c r="R607" t="s">
        <v>604</v>
      </c>
      <c r="U607">
        <f t="shared" si="11"/>
        <v>1395</v>
      </c>
    </row>
    <row r="608" spans="1:21" ht="37.5" customHeight="1" x14ac:dyDescent="0.25">
      <c r="A608" s="19">
        <v>44966</v>
      </c>
      <c r="B608" s="13">
        <v>6</v>
      </c>
      <c r="C608" t="s">
        <v>3</v>
      </c>
      <c r="D608" t="s">
        <v>4</v>
      </c>
      <c r="E608" t="s">
        <v>5</v>
      </c>
      <c r="F608" s="6">
        <v>112912985</v>
      </c>
      <c r="G608" t="s">
        <v>649</v>
      </c>
      <c r="H608" t="s">
        <v>459</v>
      </c>
      <c r="I608">
        <v>0</v>
      </c>
      <c r="J608">
        <v>0</v>
      </c>
      <c r="K608">
        <v>0</v>
      </c>
      <c r="L608">
        <v>0</v>
      </c>
      <c r="M608">
        <v>0.13</v>
      </c>
      <c r="N608" s="7" t="e">
        <f>VLOOKUP(F608,HC!A$6:D$100,3,FALSE)</f>
        <v>#N/A</v>
      </c>
      <c r="O608" s="7" t="e">
        <f>VLOOKUP(F608,HC!A$6:D$1000,2,FALSE)</f>
        <v>#N/A</v>
      </c>
      <c r="P608" s="7" t="s">
        <v>661</v>
      </c>
      <c r="Q608" s="7" t="s">
        <v>759</v>
      </c>
      <c r="R608" t="s">
        <v>535</v>
      </c>
      <c r="U608">
        <f t="shared" si="11"/>
        <v>1395</v>
      </c>
    </row>
    <row r="609" spans="1:21" ht="37.5" customHeight="1" x14ac:dyDescent="0.25">
      <c r="A609" s="19">
        <v>44966</v>
      </c>
      <c r="B609" s="13">
        <v>6</v>
      </c>
      <c r="C609" t="s">
        <v>3</v>
      </c>
      <c r="D609" t="s">
        <v>4</v>
      </c>
      <c r="E609" t="s">
        <v>5</v>
      </c>
      <c r="F609" s="6">
        <v>112916493</v>
      </c>
      <c r="G609" t="s">
        <v>650</v>
      </c>
      <c r="H609" t="s">
        <v>263</v>
      </c>
      <c r="I609">
        <v>0</v>
      </c>
      <c r="J609">
        <v>0</v>
      </c>
      <c r="K609">
        <v>0</v>
      </c>
      <c r="L609">
        <v>0</v>
      </c>
      <c r="M609">
        <v>1.3</v>
      </c>
      <c r="N609" s="7" t="e">
        <f>VLOOKUP(F609,HC!A$6:D$100,3,FALSE)</f>
        <v>#N/A</v>
      </c>
      <c r="O609" s="7" t="e">
        <f>VLOOKUP(F609,HC!A$6:D$1000,2,FALSE)</f>
        <v>#N/A</v>
      </c>
      <c r="P609" s="7"/>
      <c r="Q609" s="7"/>
      <c r="R609" t="s">
        <v>652</v>
      </c>
      <c r="U609">
        <f t="shared" si="11"/>
        <v>1395</v>
      </c>
    </row>
    <row r="610" spans="1:21" ht="37.5" customHeight="1" x14ac:dyDescent="0.25">
      <c r="A610" s="19">
        <v>44966</v>
      </c>
      <c r="B610" s="13">
        <v>6</v>
      </c>
      <c r="C610" t="s">
        <v>3</v>
      </c>
      <c r="D610" t="s">
        <v>4</v>
      </c>
      <c r="E610" t="s">
        <v>5</v>
      </c>
      <c r="F610" s="6">
        <v>112920655</v>
      </c>
      <c r="G610" t="s">
        <v>509</v>
      </c>
      <c r="H610" t="s">
        <v>282</v>
      </c>
      <c r="I610">
        <v>0</v>
      </c>
      <c r="J610">
        <v>0</v>
      </c>
      <c r="K610">
        <v>0</v>
      </c>
      <c r="L610">
        <v>0</v>
      </c>
      <c r="M610">
        <v>1.01</v>
      </c>
      <c r="N610" s="7" t="e">
        <f>VLOOKUP(F610,HC!A$6:D$100,3,FALSE)</f>
        <v>#N/A</v>
      </c>
      <c r="O610" s="7" t="e">
        <f>VLOOKUP(F610,HC!A$6:D$1000,2,FALSE)</f>
        <v>#N/A</v>
      </c>
      <c r="P610" s="7" t="s">
        <v>661</v>
      </c>
      <c r="Q610" s="7" t="s">
        <v>684</v>
      </c>
      <c r="R610" t="s">
        <v>653</v>
      </c>
      <c r="U610">
        <f t="shared" si="11"/>
        <v>1395</v>
      </c>
    </row>
    <row r="611" spans="1:21" ht="37.5" customHeight="1" x14ac:dyDescent="0.25">
      <c r="A611" s="19">
        <v>44966</v>
      </c>
      <c r="B611" s="13">
        <v>6</v>
      </c>
      <c r="C611" t="s">
        <v>3</v>
      </c>
      <c r="D611" t="s">
        <v>4</v>
      </c>
      <c r="E611" t="s">
        <v>5</v>
      </c>
      <c r="F611" s="6">
        <v>112981061</v>
      </c>
      <c r="G611" t="s">
        <v>264</v>
      </c>
      <c r="H611" t="s">
        <v>49</v>
      </c>
      <c r="I611">
        <v>0</v>
      </c>
      <c r="J611">
        <v>0</v>
      </c>
      <c r="K611">
        <v>0</v>
      </c>
      <c r="L611">
        <v>0</v>
      </c>
      <c r="M611">
        <v>0.18</v>
      </c>
      <c r="N611" s="7" t="str">
        <f>VLOOKUP(F611,HC!A$6:D$100,3,FALSE)</f>
        <v>DA-X0700</v>
      </c>
      <c r="O611" s="7" t="str">
        <f>VLOOKUP(F611,HC!A$6:D$1000,2,FALSE)</f>
        <v>mclaudol</v>
      </c>
      <c r="P611" s="7" t="s">
        <v>675</v>
      </c>
      <c r="Q611" s="7"/>
      <c r="R611" t="s">
        <v>584</v>
      </c>
      <c r="U611">
        <f t="shared" si="11"/>
        <v>44</v>
      </c>
    </row>
    <row r="612" spans="1:21" ht="37.5" customHeight="1" x14ac:dyDescent="0.25">
      <c r="A612" s="19">
        <v>44966</v>
      </c>
      <c r="B612" s="13">
        <v>6</v>
      </c>
      <c r="C612" t="s">
        <v>3</v>
      </c>
      <c r="D612" t="s">
        <v>4</v>
      </c>
      <c r="E612" t="s">
        <v>5</v>
      </c>
      <c r="F612" s="6">
        <v>112984442</v>
      </c>
      <c r="G612" t="s">
        <v>315</v>
      </c>
      <c r="H612" t="s">
        <v>268</v>
      </c>
      <c r="I612">
        <v>0</v>
      </c>
      <c r="J612">
        <v>0</v>
      </c>
      <c r="K612">
        <v>0</v>
      </c>
      <c r="L612">
        <v>0</v>
      </c>
      <c r="M612">
        <v>0.36</v>
      </c>
      <c r="N612" s="7" t="e">
        <f>VLOOKUP(F612,HC!A$6:D$100,3,FALSE)</f>
        <v>#N/A</v>
      </c>
      <c r="O612" s="7" t="e">
        <f>VLOOKUP(F612,HC!A$6:D$1000,2,FALSE)</f>
        <v>#N/A</v>
      </c>
      <c r="P612" s="7" t="s">
        <v>661</v>
      </c>
      <c r="Q612" s="7" t="s">
        <v>681</v>
      </c>
      <c r="R612" t="s">
        <v>10</v>
      </c>
      <c r="U612">
        <f t="shared" si="11"/>
        <v>1395</v>
      </c>
    </row>
    <row r="613" spans="1:21" ht="37.5" customHeight="1" x14ac:dyDescent="0.25">
      <c r="A613" s="19">
        <v>44966</v>
      </c>
      <c r="B613" s="13">
        <v>6</v>
      </c>
      <c r="C613" t="s">
        <v>3</v>
      </c>
      <c r="D613" t="s">
        <v>4</v>
      </c>
      <c r="E613" t="s">
        <v>5</v>
      </c>
      <c r="F613" s="6">
        <v>113003691</v>
      </c>
      <c r="G613" t="s">
        <v>369</v>
      </c>
      <c r="H613" t="s">
        <v>17</v>
      </c>
      <c r="I613">
        <v>0</v>
      </c>
      <c r="J613">
        <v>0</v>
      </c>
      <c r="K613">
        <v>0</v>
      </c>
      <c r="L613">
        <v>0</v>
      </c>
      <c r="M613">
        <v>0.37</v>
      </c>
      <c r="N613" s="7" t="e">
        <f>VLOOKUP(F613,HC!A$6:D$100,3,FALSE)</f>
        <v>#N/A</v>
      </c>
      <c r="O613" s="7" t="e">
        <f>VLOOKUP(F613,HC!A$6:D$1000,2,FALSE)</f>
        <v>#N/A</v>
      </c>
      <c r="P613" s="7" t="s">
        <v>662</v>
      </c>
      <c r="Q613" s="7" t="s">
        <v>691</v>
      </c>
      <c r="R613" t="s">
        <v>15</v>
      </c>
      <c r="U613">
        <f t="shared" si="11"/>
        <v>1395</v>
      </c>
    </row>
    <row r="614" spans="1:21" ht="37.5" customHeight="1" x14ac:dyDescent="0.25">
      <c r="A614" s="19">
        <v>44966</v>
      </c>
      <c r="B614" s="13">
        <v>6</v>
      </c>
      <c r="C614" t="s">
        <v>3</v>
      </c>
      <c r="D614" t="s">
        <v>4</v>
      </c>
      <c r="E614" t="s">
        <v>5</v>
      </c>
      <c r="F614" s="6">
        <v>113052151</v>
      </c>
      <c r="G614" t="s">
        <v>482</v>
      </c>
      <c r="H614" t="s">
        <v>17</v>
      </c>
      <c r="I614">
        <v>0</v>
      </c>
      <c r="J614">
        <v>0</v>
      </c>
      <c r="K614">
        <v>0</v>
      </c>
      <c r="L614">
        <v>0</v>
      </c>
      <c r="M614">
        <v>0.17</v>
      </c>
      <c r="N614" s="7" t="e">
        <f>VLOOKUP(F614,HC!A$6:D$100,3,FALSE)</f>
        <v>#N/A</v>
      </c>
      <c r="O614" s="7" t="str">
        <f>VLOOKUP(F614,HC!A$6:D$1000,2,FALSE)</f>
        <v>nilaurab</v>
      </c>
      <c r="P614" s="7" t="s">
        <v>663</v>
      </c>
      <c r="Q614" s="7" t="s">
        <v>695</v>
      </c>
      <c r="R614" t="s">
        <v>654</v>
      </c>
      <c r="U614">
        <f t="shared" si="11"/>
        <v>28</v>
      </c>
    </row>
    <row r="615" spans="1:21" s="7" customFormat="1" ht="37.5" customHeight="1" x14ac:dyDescent="0.25">
      <c r="A615" s="41">
        <v>44966</v>
      </c>
      <c r="B615" s="13">
        <v>6</v>
      </c>
      <c r="C615" s="7" t="s">
        <v>3</v>
      </c>
      <c r="D615" s="7" t="s">
        <v>4</v>
      </c>
      <c r="E615" s="7" t="s">
        <v>5</v>
      </c>
      <c r="F615" s="13">
        <v>200404250</v>
      </c>
      <c r="G615" s="7" t="s">
        <v>51</v>
      </c>
      <c r="H615" s="7" t="s">
        <v>285</v>
      </c>
      <c r="I615" s="7">
        <v>0</v>
      </c>
      <c r="J615" s="7">
        <v>0</v>
      </c>
      <c r="K615" s="7">
        <v>0</v>
      </c>
      <c r="L615" s="7">
        <v>0</v>
      </c>
      <c r="M615" s="7">
        <v>1.0900000000000001</v>
      </c>
      <c r="N615" s="7" t="e">
        <f>VLOOKUP(F615,HC!A$6:D$100,3,FALSE)</f>
        <v>#N/A</v>
      </c>
      <c r="O615" s="7" t="str">
        <f>VLOOKUP(F615,HC!A$6:D$1000,2,FALSE)</f>
        <v>xcathurt</v>
      </c>
      <c r="P615" s="7" t="s">
        <v>661</v>
      </c>
      <c r="Q615" s="7" t="s">
        <v>701</v>
      </c>
      <c r="R615" s="7" t="s">
        <v>647</v>
      </c>
      <c r="S615" s="42"/>
      <c r="U615" s="7">
        <f t="shared" si="11"/>
        <v>124</v>
      </c>
    </row>
    <row r="616" spans="1:21" s="22" customFormat="1" ht="37.5" customHeight="1" x14ac:dyDescent="0.25">
      <c r="A616" s="19">
        <v>44966</v>
      </c>
      <c r="B616" s="13">
        <v>6</v>
      </c>
      <c r="C616" t="s">
        <v>3</v>
      </c>
      <c r="D616" t="s">
        <v>4</v>
      </c>
      <c r="E616" t="s">
        <v>21</v>
      </c>
      <c r="F616" s="6">
        <v>200514078</v>
      </c>
      <c r="G616" t="s">
        <v>651</v>
      </c>
      <c r="H616" t="s">
        <v>44</v>
      </c>
      <c r="I616">
        <v>0</v>
      </c>
      <c r="J616">
        <v>0</v>
      </c>
      <c r="K616">
        <v>0</v>
      </c>
      <c r="L616">
        <v>0</v>
      </c>
      <c r="M616">
        <v>0.22</v>
      </c>
      <c r="N616" s="7" t="e">
        <f>VLOOKUP(F616,HC!A$6:D$100,3,FALSE)</f>
        <v>#N/A</v>
      </c>
      <c r="O616" s="7" t="e">
        <f>VLOOKUP(F616,HC!A$6:D$1000,2,FALSE)</f>
        <v>#N/A</v>
      </c>
      <c r="P616" s="7" t="s">
        <v>662</v>
      </c>
      <c r="Q616" s="7" t="s">
        <v>688</v>
      </c>
      <c r="R616" t="s">
        <v>25</v>
      </c>
      <c r="S616" s="2"/>
      <c r="T616"/>
      <c r="U616">
        <f t="shared" si="11"/>
        <v>1395</v>
      </c>
    </row>
    <row r="617" spans="1:21" ht="37.5" customHeight="1" x14ac:dyDescent="0.25">
      <c r="A617" s="19">
        <v>44966</v>
      </c>
      <c r="B617" s="13">
        <v>6</v>
      </c>
      <c r="C617" t="s">
        <v>3</v>
      </c>
      <c r="D617" t="s">
        <v>4</v>
      </c>
      <c r="E617" t="s">
        <v>21</v>
      </c>
      <c r="F617" s="6">
        <v>200625517</v>
      </c>
      <c r="G617" t="s">
        <v>323</v>
      </c>
      <c r="H617" t="s">
        <v>14</v>
      </c>
      <c r="I617">
        <v>0</v>
      </c>
      <c r="J617">
        <v>0</v>
      </c>
      <c r="K617">
        <v>0</v>
      </c>
      <c r="L617">
        <v>0</v>
      </c>
      <c r="M617">
        <v>0.15</v>
      </c>
      <c r="N617" s="7" t="e">
        <f>VLOOKUP(F617,HC!A$6:D$100,3,FALSE)</f>
        <v>#N/A</v>
      </c>
      <c r="O617" s="7" t="e">
        <f>VLOOKUP(F617,HC!A$6:D$1000,2,FALSE)</f>
        <v>#N/A</v>
      </c>
      <c r="P617" s="7" t="s">
        <v>661</v>
      </c>
      <c r="Q617" s="7" t="s">
        <v>681</v>
      </c>
      <c r="R617" t="s">
        <v>10</v>
      </c>
      <c r="U617">
        <f t="shared" si="11"/>
        <v>1395</v>
      </c>
    </row>
    <row r="618" spans="1:21" ht="37.5" customHeight="1" x14ac:dyDescent="0.25">
      <c r="A618" s="19">
        <v>44967</v>
      </c>
      <c r="B618" s="13">
        <v>6</v>
      </c>
      <c r="C618" t="s">
        <v>3</v>
      </c>
      <c r="D618" t="s">
        <v>4</v>
      </c>
      <c r="E618" t="s">
        <v>5</v>
      </c>
      <c r="F618" s="6">
        <v>111434478</v>
      </c>
      <c r="G618" t="s">
        <v>331</v>
      </c>
      <c r="H618" t="s">
        <v>332</v>
      </c>
      <c r="I618">
        <v>0</v>
      </c>
      <c r="J618">
        <v>0</v>
      </c>
      <c r="K618">
        <v>0</v>
      </c>
      <c r="L618">
        <v>0</v>
      </c>
      <c r="M618">
        <v>0.51</v>
      </c>
      <c r="N618" s="7" t="str">
        <f>VLOOKUP(F618,HC!A$6:D$100,3,FALSE)</f>
        <v>DA-X0700</v>
      </c>
      <c r="O618" s="7" t="str">
        <f>VLOOKUP(F618,HC!A$6:D$1000,2,FALSE)</f>
        <v>juanapam</v>
      </c>
      <c r="P618" s="7"/>
      <c r="Q618" s="7"/>
      <c r="R618" t="s">
        <v>612</v>
      </c>
      <c r="U618">
        <f t="shared" si="11"/>
        <v>32</v>
      </c>
    </row>
    <row r="619" spans="1:21" ht="37.5" customHeight="1" x14ac:dyDescent="0.25">
      <c r="A619" s="19">
        <v>44967</v>
      </c>
      <c r="B619" s="13">
        <v>6</v>
      </c>
      <c r="C619" t="s">
        <v>3</v>
      </c>
      <c r="D619" t="s">
        <v>4</v>
      </c>
      <c r="E619" t="s">
        <v>5</v>
      </c>
      <c r="F619" s="6">
        <v>112912046</v>
      </c>
      <c r="G619" t="s">
        <v>605</v>
      </c>
      <c r="H619" t="s">
        <v>403</v>
      </c>
      <c r="I619">
        <v>0</v>
      </c>
      <c r="J619">
        <v>0</v>
      </c>
      <c r="K619">
        <v>0</v>
      </c>
      <c r="L619">
        <v>0</v>
      </c>
      <c r="M619">
        <v>0.16</v>
      </c>
      <c r="N619" s="7" t="e">
        <f>VLOOKUP(F619,HC!A$6:D$100,3,FALSE)</f>
        <v>#N/A</v>
      </c>
      <c r="O619" s="7" t="e">
        <f>VLOOKUP(F619,HC!A$6:D$1000,2,FALSE)</f>
        <v>#N/A</v>
      </c>
      <c r="P619" s="7" t="s">
        <v>661</v>
      </c>
      <c r="Q619" s="7" t="s">
        <v>681</v>
      </c>
      <c r="R619" t="s">
        <v>10</v>
      </c>
      <c r="U619">
        <f t="shared" si="11"/>
        <v>1395</v>
      </c>
    </row>
    <row r="620" spans="1:21" ht="37.5" customHeight="1" x14ac:dyDescent="0.25">
      <c r="A620" s="19">
        <v>44967</v>
      </c>
      <c r="B620" s="13">
        <v>6</v>
      </c>
      <c r="C620" t="s">
        <v>3</v>
      </c>
      <c r="D620" t="s">
        <v>4</v>
      </c>
      <c r="E620" t="s">
        <v>5</v>
      </c>
      <c r="F620" s="6">
        <v>112912675</v>
      </c>
      <c r="G620" t="s">
        <v>326</v>
      </c>
      <c r="H620" t="s">
        <v>268</v>
      </c>
      <c r="I620">
        <v>0</v>
      </c>
      <c r="J620">
        <v>0</v>
      </c>
      <c r="K620">
        <v>0</v>
      </c>
      <c r="L620">
        <v>0</v>
      </c>
      <c r="M620">
        <v>0.56999999999999995</v>
      </c>
      <c r="N620" s="7" t="e">
        <f>VLOOKUP(F620,HC!A$6:D$100,3,FALSE)</f>
        <v>#N/A</v>
      </c>
      <c r="O620" s="7" t="e">
        <f>VLOOKUP(F620,HC!A$6:D$1000,2,FALSE)</f>
        <v>#N/A</v>
      </c>
      <c r="P620" s="7"/>
      <c r="Q620" s="7"/>
      <c r="R620" t="s">
        <v>612</v>
      </c>
      <c r="U620">
        <f t="shared" si="11"/>
        <v>1395</v>
      </c>
    </row>
    <row r="621" spans="1:21" ht="37.5" customHeight="1" x14ac:dyDescent="0.25">
      <c r="A621" s="19">
        <v>44967</v>
      </c>
      <c r="B621" s="13">
        <v>6</v>
      </c>
      <c r="C621" t="s">
        <v>3</v>
      </c>
      <c r="D621" t="s">
        <v>4</v>
      </c>
      <c r="E621" t="s">
        <v>5</v>
      </c>
      <c r="F621" s="6">
        <v>112912677</v>
      </c>
      <c r="G621" t="s">
        <v>539</v>
      </c>
      <c r="H621" t="s">
        <v>332</v>
      </c>
      <c r="I621">
        <v>0</v>
      </c>
      <c r="J621">
        <v>0</v>
      </c>
      <c r="K621">
        <v>0</v>
      </c>
      <c r="L621">
        <v>0</v>
      </c>
      <c r="M621">
        <v>1.1299999999999999</v>
      </c>
      <c r="N621" s="7" t="e">
        <f>VLOOKUP(F621,HC!A$6:D$100,3,FALSE)</f>
        <v>#N/A</v>
      </c>
      <c r="O621" s="7" t="e">
        <f>VLOOKUP(F621,HC!A$6:D$1000,2,FALSE)</f>
        <v>#N/A</v>
      </c>
      <c r="P621" s="7" t="s">
        <v>664</v>
      </c>
      <c r="Q621" s="7" t="s">
        <v>711</v>
      </c>
      <c r="R621" t="s">
        <v>405</v>
      </c>
      <c r="U621">
        <f t="shared" si="11"/>
        <v>1395</v>
      </c>
    </row>
    <row r="622" spans="1:21" ht="37.5" customHeight="1" x14ac:dyDescent="0.25">
      <c r="A622" s="19">
        <v>44967</v>
      </c>
      <c r="B622" s="13">
        <v>6</v>
      </c>
      <c r="C622" t="s">
        <v>3</v>
      </c>
      <c r="D622" t="s">
        <v>4</v>
      </c>
      <c r="E622" t="s">
        <v>5</v>
      </c>
      <c r="F622" s="6">
        <v>112912985</v>
      </c>
      <c r="G622" t="s">
        <v>649</v>
      </c>
      <c r="H622" t="s">
        <v>459</v>
      </c>
      <c r="I622">
        <v>0</v>
      </c>
      <c r="J622">
        <v>0</v>
      </c>
      <c r="K622">
        <v>0</v>
      </c>
      <c r="L622">
        <v>0</v>
      </c>
      <c r="M622">
        <v>0.21</v>
      </c>
      <c r="N622" s="7" t="e">
        <f>VLOOKUP(F622,HC!A$6:D$100,3,FALSE)</f>
        <v>#N/A</v>
      </c>
      <c r="O622" s="7" t="e">
        <f>VLOOKUP(F622,HC!A$6:D$1000,2,FALSE)</f>
        <v>#N/A</v>
      </c>
      <c r="P622" s="7" t="s">
        <v>675</v>
      </c>
      <c r="Q622" s="7"/>
      <c r="R622" t="s">
        <v>656</v>
      </c>
      <c r="U622">
        <f t="shared" si="11"/>
        <v>1395</v>
      </c>
    </row>
    <row r="623" spans="1:21" ht="37.5" customHeight="1" x14ac:dyDescent="0.25">
      <c r="A623" s="19">
        <v>44967</v>
      </c>
      <c r="B623" s="13">
        <v>6</v>
      </c>
      <c r="C623" t="s">
        <v>3</v>
      </c>
      <c r="D623" t="s">
        <v>4</v>
      </c>
      <c r="E623" t="s">
        <v>5</v>
      </c>
      <c r="F623" s="6">
        <v>112971953</v>
      </c>
      <c r="G623" t="s">
        <v>262</v>
      </c>
      <c r="H623" t="s">
        <v>282</v>
      </c>
      <c r="I623">
        <v>0</v>
      </c>
      <c r="J623">
        <v>0</v>
      </c>
      <c r="K623">
        <v>0</v>
      </c>
      <c r="L623">
        <v>0</v>
      </c>
      <c r="M623">
        <v>2.39</v>
      </c>
      <c r="N623" s="7" t="str">
        <f>VLOOKUP(F623,HC!A$6:D$100,3,FALSE)</f>
        <v>DB-X0700</v>
      </c>
      <c r="O623" s="7" t="str">
        <f>VLOOKUP(F623,HC!A$6:D$1000,2,FALSE)</f>
        <v>anzpalom</v>
      </c>
      <c r="P623" s="7" t="s">
        <v>664</v>
      </c>
      <c r="Q623" s="7" t="s">
        <v>711</v>
      </c>
      <c r="R623" t="s">
        <v>405</v>
      </c>
      <c r="S623" s="2" t="s">
        <v>620</v>
      </c>
      <c r="U623">
        <f t="shared" si="11"/>
        <v>14</v>
      </c>
    </row>
    <row r="624" spans="1:21" ht="37.5" customHeight="1" x14ac:dyDescent="0.25">
      <c r="A624" s="19">
        <v>44967</v>
      </c>
      <c r="B624" s="13">
        <v>6</v>
      </c>
      <c r="C624" t="s">
        <v>3</v>
      </c>
      <c r="D624" t="s">
        <v>4</v>
      </c>
      <c r="E624" t="s">
        <v>5</v>
      </c>
      <c r="F624" s="6">
        <v>112972801</v>
      </c>
      <c r="G624" t="s">
        <v>597</v>
      </c>
      <c r="H624" t="s">
        <v>332</v>
      </c>
      <c r="I624">
        <v>0</v>
      </c>
      <c r="J624">
        <v>0</v>
      </c>
      <c r="K624">
        <v>0</v>
      </c>
      <c r="L624">
        <v>0</v>
      </c>
      <c r="M624">
        <v>0.44</v>
      </c>
      <c r="N624" s="7" t="e">
        <f>VLOOKUP(F624,HC!A$6:D$100,3,FALSE)</f>
        <v>#N/A</v>
      </c>
      <c r="O624" s="7" t="e">
        <f>VLOOKUP(F624,HC!A$6:D$1000,2,FALSE)</f>
        <v>#N/A</v>
      </c>
      <c r="P624" s="7" t="s">
        <v>661</v>
      </c>
      <c r="Q624" s="7" t="s">
        <v>681</v>
      </c>
      <c r="R624" t="s">
        <v>10</v>
      </c>
      <c r="U624">
        <f t="shared" si="11"/>
        <v>1395</v>
      </c>
    </row>
    <row r="625" spans="1:21" ht="37.5" customHeight="1" x14ac:dyDescent="0.25">
      <c r="A625" s="19">
        <v>44967</v>
      </c>
      <c r="B625" s="13">
        <v>6</v>
      </c>
      <c r="C625" t="s">
        <v>3</v>
      </c>
      <c r="D625" t="s">
        <v>4</v>
      </c>
      <c r="E625" t="s">
        <v>5</v>
      </c>
      <c r="F625" s="6">
        <v>112973049</v>
      </c>
      <c r="G625" t="s">
        <v>314</v>
      </c>
      <c r="H625" t="s">
        <v>298</v>
      </c>
      <c r="I625">
        <v>0</v>
      </c>
      <c r="J625">
        <v>0</v>
      </c>
      <c r="K625">
        <v>0</v>
      </c>
      <c r="L625">
        <v>0</v>
      </c>
      <c r="M625">
        <v>7.0000000000000007E-2</v>
      </c>
      <c r="N625" s="7" t="str">
        <f>VLOOKUP(F625,HC!A$6:D$100,3,FALSE)</f>
        <v>DB-X0700</v>
      </c>
      <c r="O625" s="7" t="str">
        <f>VLOOKUP(F625,HC!A$6:D$1000,2,FALSE)</f>
        <v>afatimae</v>
      </c>
      <c r="P625" s="7" t="s">
        <v>664</v>
      </c>
      <c r="Q625" s="7" t="s">
        <v>711</v>
      </c>
      <c r="R625" t="s">
        <v>405</v>
      </c>
      <c r="S625" s="2" t="s">
        <v>620</v>
      </c>
      <c r="U625">
        <f t="shared" si="11"/>
        <v>29</v>
      </c>
    </row>
    <row r="626" spans="1:21" ht="37.5" customHeight="1" x14ac:dyDescent="0.25">
      <c r="A626" s="19">
        <v>44967</v>
      </c>
      <c r="B626" s="13">
        <v>6</v>
      </c>
      <c r="C626" t="s">
        <v>3</v>
      </c>
      <c r="D626" t="s">
        <v>4</v>
      </c>
      <c r="E626" t="s">
        <v>5</v>
      </c>
      <c r="F626" s="6">
        <v>112984442</v>
      </c>
      <c r="G626" t="s">
        <v>315</v>
      </c>
      <c r="H626" t="s">
        <v>268</v>
      </c>
      <c r="I626">
        <v>0</v>
      </c>
      <c r="J626">
        <v>0</v>
      </c>
      <c r="K626">
        <v>0</v>
      </c>
      <c r="L626">
        <v>0</v>
      </c>
      <c r="M626">
        <v>1.06</v>
      </c>
      <c r="N626" s="7" t="e">
        <f>VLOOKUP(F626,HC!A$6:D$100,3,FALSE)</f>
        <v>#N/A</v>
      </c>
      <c r="O626" s="7" t="e">
        <f>VLOOKUP(F626,HC!A$6:D$1000,2,FALSE)</f>
        <v>#N/A</v>
      </c>
      <c r="P626" s="7" t="s">
        <v>664</v>
      </c>
      <c r="Q626" s="7" t="s">
        <v>708</v>
      </c>
      <c r="R626" t="s">
        <v>320</v>
      </c>
      <c r="U626">
        <f t="shared" si="11"/>
        <v>1395</v>
      </c>
    </row>
    <row r="627" spans="1:21" ht="37.5" customHeight="1" x14ac:dyDescent="0.25">
      <c r="A627" s="19">
        <v>44967</v>
      </c>
      <c r="B627" s="13">
        <v>6</v>
      </c>
      <c r="C627" t="s">
        <v>3</v>
      </c>
      <c r="D627" t="s">
        <v>4</v>
      </c>
      <c r="E627" t="s">
        <v>5</v>
      </c>
      <c r="F627" s="6">
        <v>113019042</v>
      </c>
      <c r="G627" t="s">
        <v>655</v>
      </c>
      <c r="H627" t="s">
        <v>14</v>
      </c>
      <c r="I627">
        <v>0</v>
      </c>
      <c r="J627">
        <v>0</v>
      </c>
      <c r="K627">
        <v>0</v>
      </c>
      <c r="L627">
        <v>0</v>
      </c>
      <c r="M627">
        <v>0.75</v>
      </c>
      <c r="N627" s="7" t="e">
        <f>VLOOKUP(F627,HC!A$6:D$100,3,FALSE)</f>
        <v>#N/A</v>
      </c>
      <c r="O627" s="7" t="e">
        <f>VLOOKUP(F627,HC!A$6:D$1000,2,FALSE)</f>
        <v>#N/A</v>
      </c>
      <c r="P627" s="7" t="s">
        <v>664</v>
      </c>
      <c r="Q627" s="7" t="s">
        <v>777</v>
      </c>
      <c r="R627" t="s">
        <v>555</v>
      </c>
      <c r="U627">
        <f t="shared" si="11"/>
        <v>1395</v>
      </c>
    </row>
    <row r="628" spans="1:21" s="7" customFormat="1" ht="37.5" customHeight="1" x14ac:dyDescent="0.25">
      <c r="A628" s="41">
        <v>44967</v>
      </c>
      <c r="B628" s="13">
        <v>6</v>
      </c>
      <c r="C628" s="7" t="s">
        <v>3</v>
      </c>
      <c r="D628" s="7" t="s">
        <v>4</v>
      </c>
      <c r="E628" s="7" t="s">
        <v>5</v>
      </c>
      <c r="F628" s="13">
        <v>113019083</v>
      </c>
      <c r="G628" s="7" t="s">
        <v>442</v>
      </c>
      <c r="H628" s="7" t="s">
        <v>7</v>
      </c>
      <c r="I628" s="7">
        <v>0</v>
      </c>
      <c r="J628" s="7">
        <v>0</v>
      </c>
      <c r="K628" s="7">
        <v>0</v>
      </c>
      <c r="L628" s="7">
        <v>0</v>
      </c>
      <c r="M628" s="7">
        <v>1.03</v>
      </c>
      <c r="N628" s="7" t="e">
        <f>VLOOKUP(F628,HC!A$6:D$100,3,FALSE)</f>
        <v>#N/A</v>
      </c>
      <c r="O628" s="7" t="e">
        <f>VLOOKUP(F628,HC!A$6:D$1000,2,FALSE)</f>
        <v>#N/A</v>
      </c>
      <c r="P628" s="7" t="s">
        <v>661</v>
      </c>
      <c r="Q628" s="7" t="s">
        <v>701</v>
      </c>
      <c r="R628" s="7" t="s">
        <v>566</v>
      </c>
      <c r="S628" s="42"/>
      <c r="U628" s="7">
        <f t="shared" si="11"/>
        <v>1395</v>
      </c>
    </row>
    <row r="629" spans="1:21" s="22" customFormat="1" ht="37.5" customHeight="1" x14ac:dyDescent="0.25">
      <c r="A629" s="19">
        <v>44967</v>
      </c>
      <c r="B629" s="13">
        <v>6</v>
      </c>
      <c r="C629" t="s">
        <v>3</v>
      </c>
      <c r="D629" t="s">
        <v>4</v>
      </c>
      <c r="E629" t="s">
        <v>21</v>
      </c>
      <c r="F629" s="6">
        <v>200552734</v>
      </c>
      <c r="G629" t="s">
        <v>492</v>
      </c>
      <c r="H629" t="s">
        <v>298</v>
      </c>
      <c r="I629">
        <v>0</v>
      </c>
      <c r="J629">
        <v>0</v>
      </c>
      <c r="K629">
        <v>0</v>
      </c>
      <c r="L629">
        <v>0</v>
      </c>
      <c r="M629">
        <v>0.34</v>
      </c>
      <c r="N629" s="7" t="e">
        <f>VLOOKUP(F629,HC!A$6:D$100,3,FALSE)</f>
        <v>#N/A</v>
      </c>
      <c r="O629" s="7" t="e">
        <f>VLOOKUP(F629,HC!A$6:D$1000,2,FALSE)</f>
        <v>#N/A</v>
      </c>
      <c r="P629" s="7" t="s">
        <v>670</v>
      </c>
      <c r="Q629" s="7" t="s">
        <v>742</v>
      </c>
      <c r="R629" t="s">
        <v>477</v>
      </c>
      <c r="S629" s="2"/>
      <c r="T629"/>
      <c r="U629">
        <f t="shared" si="11"/>
        <v>1395</v>
      </c>
    </row>
    <row r="630" spans="1:21" ht="37.5" customHeight="1" x14ac:dyDescent="0.25">
      <c r="A630" s="19">
        <v>44967</v>
      </c>
      <c r="B630" s="13">
        <v>6</v>
      </c>
      <c r="C630" t="s">
        <v>3</v>
      </c>
      <c r="D630" t="s">
        <v>4</v>
      </c>
      <c r="E630" t="s">
        <v>21</v>
      </c>
      <c r="F630" s="6">
        <v>200589316</v>
      </c>
      <c r="G630" t="s">
        <v>53</v>
      </c>
      <c r="H630" t="s">
        <v>7</v>
      </c>
      <c r="I630">
        <v>0</v>
      </c>
      <c r="J630">
        <v>0</v>
      </c>
      <c r="K630">
        <v>0</v>
      </c>
      <c r="L630">
        <v>0</v>
      </c>
      <c r="M630">
        <v>0.34</v>
      </c>
      <c r="N630" s="7" t="e">
        <f>VLOOKUP(F630,HC!A$6:D$100,3,FALSE)</f>
        <v>#N/A</v>
      </c>
      <c r="O630" s="7" t="e">
        <f>VLOOKUP(F630,HC!A$6:D$1000,2,FALSE)</f>
        <v>#N/A</v>
      </c>
      <c r="P630" s="7" t="s">
        <v>662</v>
      </c>
      <c r="Q630" s="7" t="s">
        <v>757</v>
      </c>
      <c r="R630" t="s">
        <v>15</v>
      </c>
      <c r="U630">
        <f t="shared" si="11"/>
        <v>1395</v>
      </c>
    </row>
    <row r="631" spans="1:21" ht="37.5" customHeight="1" x14ac:dyDescent="0.25">
      <c r="A631" s="19">
        <v>44967</v>
      </c>
      <c r="B631" s="13">
        <v>6</v>
      </c>
      <c r="C631" t="s">
        <v>3</v>
      </c>
      <c r="D631" t="s">
        <v>4</v>
      </c>
      <c r="E631" t="s">
        <v>21</v>
      </c>
      <c r="F631" s="6">
        <v>200625517</v>
      </c>
      <c r="G631" t="s">
        <v>323</v>
      </c>
      <c r="H631" t="s">
        <v>14</v>
      </c>
      <c r="I631">
        <v>0</v>
      </c>
      <c r="J631">
        <v>0</v>
      </c>
      <c r="K631">
        <v>0</v>
      </c>
      <c r="L631">
        <v>0</v>
      </c>
      <c r="M631">
        <v>0.2</v>
      </c>
      <c r="N631" s="7" t="e">
        <f>VLOOKUP(F631,HC!A$6:D$100,3,FALSE)</f>
        <v>#N/A</v>
      </c>
      <c r="O631" s="7" t="e">
        <f>VLOOKUP(F631,HC!A$6:D$1000,2,FALSE)</f>
        <v>#N/A</v>
      </c>
      <c r="P631" s="7" t="s">
        <v>661</v>
      </c>
      <c r="Q631" s="7" t="s">
        <v>681</v>
      </c>
      <c r="R631" t="s">
        <v>10</v>
      </c>
      <c r="U631">
        <f t="shared" si="11"/>
        <v>1395</v>
      </c>
    </row>
    <row r="632" spans="1:21" ht="37.5" customHeight="1" x14ac:dyDescent="0.25">
      <c r="A632" s="19">
        <v>44968</v>
      </c>
      <c r="B632" s="13">
        <v>6</v>
      </c>
      <c r="C632" t="s">
        <v>3</v>
      </c>
      <c r="D632" t="s">
        <v>4</v>
      </c>
      <c r="E632" t="s">
        <v>5</v>
      </c>
      <c r="F632" s="6">
        <v>111434478</v>
      </c>
      <c r="G632" t="s">
        <v>331</v>
      </c>
      <c r="H632" t="s">
        <v>332</v>
      </c>
      <c r="I632">
        <v>0</v>
      </c>
      <c r="J632">
        <v>0</v>
      </c>
      <c r="K632">
        <v>0</v>
      </c>
      <c r="L632">
        <v>0</v>
      </c>
      <c r="M632">
        <v>1.18</v>
      </c>
      <c r="N632" s="7" t="str">
        <f>VLOOKUP(F632,HC!A$6:D$100,3,FALSE)</f>
        <v>DA-X0700</v>
      </c>
      <c r="O632" s="7" t="str">
        <f>VLOOKUP(F632,HC!A$6:D$1000,2,FALSE)</f>
        <v>juanapam</v>
      </c>
      <c r="P632" s="7" t="s">
        <v>664</v>
      </c>
      <c r="Q632" s="7" t="s">
        <v>711</v>
      </c>
      <c r="R632" t="s">
        <v>554</v>
      </c>
      <c r="U632">
        <f t="shared" si="11"/>
        <v>32</v>
      </c>
    </row>
    <row r="633" spans="1:21" ht="37.5" customHeight="1" x14ac:dyDescent="0.25">
      <c r="A633" s="19">
        <v>44968</v>
      </c>
      <c r="B633" s="13">
        <v>6</v>
      </c>
      <c r="C633" t="s">
        <v>3</v>
      </c>
      <c r="D633" t="s">
        <v>4</v>
      </c>
      <c r="E633" t="s">
        <v>5</v>
      </c>
      <c r="F633" s="6">
        <v>112932733</v>
      </c>
      <c r="G633" t="s">
        <v>595</v>
      </c>
      <c r="H633" t="s">
        <v>298</v>
      </c>
      <c r="I633">
        <v>0</v>
      </c>
      <c r="J633">
        <v>0</v>
      </c>
      <c r="K633">
        <v>0</v>
      </c>
      <c r="L633">
        <v>0</v>
      </c>
      <c r="M633">
        <v>0.77</v>
      </c>
      <c r="N633" s="7" t="e">
        <f>VLOOKUP(F633,HC!A$6:D$100,3,FALSE)</f>
        <v>#N/A</v>
      </c>
      <c r="O633" s="7" t="e">
        <f>VLOOKUP(F633,HC!A$6:D$1000,2,FALSE)</f>
        <v>#N/A</v>
      </c>
      <c r="P633" s="7" t="s">
        <v>664</v>
      </c>
      <c r="Q633" s="7" t="s">
        <v>708</v>
      </c>
      <c r="R633" t="s">
        <v>657</v>
      </c>
      <c r="U633">
        <f t="shared" si="11"/>
        <v>1395</v>
      </c>
    </row>
    <row r="634" spans="1:21" ht="37.5" customHeight="1" x14ac:dyDescent="0.25">
      <c r="A634" s="19">
        <v>44968</v>
      </c>
      <c r="B634" s="13">
        <v>6</v>
      </c>
      <c r="C634" t="s">
        <v>3</v>
      </c>
      <c r="D634" t="s">
        <v>4</v>
      </c>
      <c r="E634" t="s">
        <v>5</v>
      </c>
      <c r="F634" s="6">
        <v>112971988</v>
      </c>
      <c r="G634" t="s">
        <v>596</v>
      </c>
      <c r="H634" t="s">
        <v>459</v>
      </c>
      <c r="I634">
        <v>0</v>
      </c>
      <c r="J634">
        <v>0</v>
      </c>
      <c r="K634">
        <v>0</v>
      </c>
      <c r="L634">
        <v>0</v>
      </c>
      <c r="M634">
        <v>0.66</v>
      </c>
      <c r="N634" s="7" t="str">
        <f>VLOOKUP(F634,HC!A$6:D$100,3,FALSE)</f>
        <v>DB-X0700</v>
      </c>
      <c r="O634" s="7" t="str">
        <f>VLOOKUP(F634,HC!A$6:D$1000,2,FALSE)</f>
        <v>fadtrejo</v>
      </c>
      <c r="P634" s="7" t="s">
        <v>664</v>
      </c>
      <c r="Q634" s="7" t="s">
        <v>709</v>
      </c>
      <c r="R634" t="s">
        <v>674</v>
      </c>
      <c r="U634">
        <f t="shared" si="11"/>
        <v>7</v>
      </c>
    </row>
    <row r="635" spans="1:21" ht="37.5" customHeight="1" x14ac:dyDescent="0.25">
      <c r="A635" s="19">
        <v>44968</v>
      </c>
      <c r="B635" s="13">
        <v>6</v>
      </c>
      <c r="C635" t="s">
        <v>3</v>
      </c>
      <c r="D635" t="s">
        <v>4</v>
      </c>
      <c r="E635" t="s">
        <v>5</v>
      </c>
      <c r="F635" s="6">
        <v>112981212</v>
      </c>
      <c r="G635" t="s">
        <v>573</v>
      </c>
      <c r="H635" t="s">
        <v>17</v>
      </c>
      <c r="I635">
        <v>0</v>
      </c>
      <c r="J635">
        <v>0</v>
      </c>
      <c r="K635">
        <v>0</v>
      </c>
      <c r="L635">
        <v>0</v>
      </c>
      <c r="M635">
        <v>0.13</v>
      </c>
      <c r="N635" s="7" t="e">
        <f>VLOOKUP(F635,HC!A$6:D$100,3,FALSE)</f>
        <v>#N/A</v>
      </c>
      <c r="O635" s="7" t="str">
        <f>VLOOKUP(F635,HC!A$6:D$1000,2,FALSE)</f>
        <v>alysonza</v>
      </c>
      <c r="P635" s="7" t="s">
        <v>662</v>
      </c>
      <c r="Q635" s="7" t="s">
        <v>688</v>
      </c>
      <c r="R635" t="s">
        <v>25</v>
      </c>
      <c r="U635">
        <f t="shared" si="11"/>
        <v>23</v>
      </c>
    </row>
    <row r="636" spans="1:21" ht="37.5" customHeight="1" x14ac:dyDescent="0.25">
      <c r="A636" s="19">
        <v>44968</v>
      </c>
      <c r="B636" s="13">
        <v>6</v>
      </c>
      <c r="C636" t="s">
        <v>3</v>
      </c>
      <c r="D636" t="s">
        <v>4</v>
      </c>
      <c r="E636" t="s">
        <v>5</v>
      </c>
      <c r="F636" s="6">
        <v>113014042</v>
      </c>
      <c r="G636" t="s">
        <v>329</v>
      </c>
      <c r="H636" t="s">
        <v>298</v>
      </c>
      <c r="I636">
        <v>0</v>
      </c>
      <c r="J636">
        <v>0</v>
      </c>
      <c r="K636">
        <v>0</v>
      </c>
      <c r="L636">
        <v>0</v>
      </c>
      <c r="M636">
        <v>0.53</v>
      </c>
      <c r="N636" s="7" t="e">
        <f>VLOOKUP(F636,HC!A$6:D$100,3,FALSE)</f>
        <v>#N/A</v>
      </c>
      <c r="O636" s="7" t="str">
        <f>VLOOKUP(F636,HC!A$6:D$1000,2,FALSE)</f>
        <v>rfcervan</v>
      </c>
      <c r="P636" s="7" t="s">
        <v>664</v>
      </c>
      <c r="Q636" s="7" t="s">
        <v>715</v>
      </c>
      <c r="R636" t="s">
        <v>658</v>
      </c>
      <c r="U636">
        <f t="shared" si="11"/>
        <v>23</v>
      </c>
    </row>
    <row r="637" spans="1:21" ht="37.5" customHeight="1" x14ac:dyDescent="0.25">
      <c r="A637" s="19">
        <v>44968</v>
      </c>
      <c r="B637" s="13">
        <v>6</v>
      </c>
      <c r="C637" t="s">
        <v>3</v>
      </c>
      <c r="D637" t="s">
        <v>4</v>
      </c>
      <c r="E637" t="s">
        <v>5</v>
      </c>
      <c r="F637" s="6">
        <v>113040583</v>
      </c>
      <c r="G637" t="s">
        <v>387</v>
      </c>
      <c r="H637" t="s">
        <v>298</v>
      </c>
      <c r="I637">
        <v>0</v>
      </c>
      <c r="J637">
        <v>0</v>
      </c>
      <c r="K637">
        <v>0</v>
      </c>
      <c r="L637">
        <v>0</v>
      </c>
      <c r="M637">
        <v>0.51</v>
      </c>
      <c r="N637" s="7" t="e">
        <f>VLOOKUP(F637,HC!A$6:D$100,3,FALSE)</f>
        <v>#N/A</v>
      </c>
      <c r="O637" s="7" t="e">
        <f>VLOOKUP(F637,HC!A$6:D$1000,2,FALSE)</f>
        <v>#N/A</v>
      </c>
      <c r="P637" s="7" t="s">
        <v>664</v>
      </c>
      <c r="Q637" s="7" t="s">
        <v>711</v>
      </c>
      <c r="R637" t="s">
        <v>405</v>
      </c>
      <c r="U637">
        <f t="shared" si="11"/>
        <v>1395</v>
      </c>
    </row>
    <row r="638" spans="1:21" ht="37.5" customHeight="1" x14ac:dyDescent="0.25">
      <c r="A638" s="19">
        <v>44968</v>
      </c>
      <c r="B638" s="13">
        <v>6</v>
      </c>
      <c r="C638" t="s">
        <v>3</v>
      </c>
      <c r="D638" t="s">
        <v>4</v>
      </c>
      <c r="E638" t="s">
        <v>5</v>
      </c>
      <c r="F638" s="6">
        <v>113052151</v>
      </c>
      <c r="G638" t="s">
        <v>482</v>
      </c>
      <c r="H638" t="s">
        <v>17</v>
      </c>
      <c r="I638">
        <v>0</v>
      </c>
      <c r="J638">
        <v>0</v>
      </c>
      <c r="K638">
        <v>0</v>
      </c>
      <c r="L638">
        <v>0</v>
      </c>
      <c r="M638">
        <v>0.19</v>
      </c>
      <c r="N638" s="7" t="e">
        <f>VLOOKUP(F638,HC!A$6:D$100,3,FALSE)</f>
        <v>#N/A</v>
      </c>
      <c r="O638" s="7" t="str">
        <f>VLOOKUP(F638,HC!A$6:D$1000,2,FALSE)</f>
        <v>nilaurab</v>
      </c>
      <c r="P638" s="7" t="s">
        <v>663</v>
      </c>
      <c r="Q638" s="7" t="s">
        <v>692</v>
      </c>
      <c r="R638" t="s">
        <v>659</v>
      </c>
      <c r="U638">
        <f t="shared" si="11"/>
        <v>28</v>
      </c>
    </row>
    <row r="639" spans="1:21" ht="37.5" customHeight="1" x14ac:dyDescent="0.25">
      <c r="A639" s="19">
        <v>44968</v>
      </c>
      <c r="B639" s="13">
        <v>6</v>
      </c>
      <c r="C639" t="s">
        <v>3</v>
      </c>
      <c r="D639" t="s">
        <v>4</v>
      </c>
      <c r="E639" t="s">
        <v>21</v>
      </c>
      <c r="F639" s="6">
        <v>200534675</v>
      </c>
      <c r="G639" t="s">
        <v>534</v>
      </c>
      <c r="H639" t="s">
        <v>17</v>
      </c>
      <c r="I639">
        <v>0</v>
      </c>
      <c r="J639">
        <v>0</v>
      </c>
      <c r="K639">
        <v>0</v>
      </c>
      <c r="L639">
        <v>0</v>
      </c>
      <c r="M639">
        <v>0.03</v>
      </c>
      <c r="N639" s="7" t="e">
        <f>VLOOKUP(F639,HC!A$6:D$100,3,FALSE)</f>
        <v>#N/A</v>
      </c>
      <c r="O639" s="7" t="str">
        <f>VLOOKUP(F639,HC!A$6:D$1000,2,FALSE)</f>
        <v>juanpmun</v>
      </c>
      <c r="P639" s="7" t="s">
        <v>661</v>
      </c>
      <c r="Q639" s="7" t="s">
        <v>681</v>
      </c>
      <c r="R639" t="s">
        <v>10</v>
      </c>
      <c r="U639">
        <f t="shared" si="11"/>
        <v>16</v>
      </c>
    </row>
    <row r="640" spans="1:21" ht="37.5" customHeight="1" x14ac:dyDescent="0.25">
      <c r="A640" s="19">
        <v>44968</v>
      </c>
      <c r="B640" s="13">
        <v>6</v>
      </c>
      <c r="C640" t="s">
        <v>3</v>
      </c>
      <c r="D640" t="s">
        <v>4</v>
      </c>
      <c r="E640" t="s">
        <v>21</v>
      </c>
      <c r="F640" s="6">
        <v>200564845</v>
      </c>
      <c r="G640" t="s">
        <v>440</v>
      </c>
      <c r="H640" t="s">
        <v>285</v>
      </c>
      <c r="I640">
        <v>0</v>
      </c>
      <c r="J640">
        <v>0</v>
      </c>
      <c r="K640">
        <v>0</v>
      </c>
      <c r="L640">
        <v>0</v>
      </c>
      <c r="M640">
        <v>0.2</v>
      </c>
      <c r="N640" s="7" t="e">
        <f>VLOOKUP(F640,HC!A$6:D$100,3,FALSE)</f>
        <v>#N/A</v>
      </c>
      <c r="O640" s="7" t="e">
        <f>VLOOKUP(F640,HC!A$6:D$1000,2,FALSE)</f>
        <v>#N/A</v>
      </c>
      <c r="P640" s="7" t="s">
        <v>662</v>
      </c>
      <c r="Q640" s="7" t="s">
        <v>688</v>
      </c>
      <c r="R640" t="s">
        <v>25</v>
      </c>
      <c r="U640">
        <f t="shared" si="11"/>
        <v>1395</v>
      </c>
    </row>
    <row r="641" spans="1:21" ht="37.5" customHeight="1" x14ac:dyDescent="0.25">
      <c r="A641" s="19">
        <v>44968</v>
      </c>
      <c r="B641" s="13">
        <v>6</v>
      </c>
      <c r="C641" t="s">
        <v>3</v>
      </c>
      <c r="D641" t="s">
        <v>4</v>
      </c>
      <c r="E641" t="s">
        <v>21</v>
      </c>
      <c r="F641" s="6">
        <v>200589316</v>
      </c>
      <c r="G641" t="s">
        <v>53</v>
      </c>
      <c r="H641" t="s">
        <v>7</v>
      </c>
      <c r="I641">
        <v>0</v>
      </c>
      <c r="J641">
        <v>0</v>
      </c>
      <c r="K641">
        <v>0</v>
      </c>
      <c r="L641">
        <v>0</v>
      </c>
      <c r="M641">
        <v>0.14000000000000001</v>
      </c>
      <c r="N641" s="7" t="e">
        <f>VLOOKUP(F641,HC!A$6:D$100,3,FALSE)</f>
        <v>#N/A</v>
      </c>
      <c r="O641" s="7" t="e">
        <f>VLOOKUP(F641,HC!A$6:D$1000,2,FALSE)</f>
        <v>#N/A</v>
      </c>
      <c r="P641" s="7" t="s">
        <v>664</v>
      </c>
      <c r="Q641" s="7" t="s">
        <v>777</v>
      </c>
      <c r="R641" t="s">
        <v>579</v>
      </c>
      <c r="U641">
        <f t="shared" si="11"/>
        <v>1395</v>
      </c>
    </row>
    <row r="642" spans="1:21" ht="37.5" customHeight="1" x14ac:dyDescent="0.25">
      <c r="A642" s="19">
        <v>44969</v>
      </c>
      <c r="B642" s="13">
        <v>7</v>
      </c>
      <c r="C642" t="s">
        <v>3</v>
      </c>
      <c r="D642" t="s">
        <v>4</v>
      </c>
      <c r="E642" t="s">
        <v>5</v>
      </c>
      <c r="F642" s="6">
        <v>112912209</v>
      </c>
      <c r="G642" t="s">
        <v>671</v>
      </c>
      <c r="H642" t="s">
        <v>403</v>
      </c>
      <c r="I642">
        <v>0</v>
      </c>
      <c r="J642">
        <v>0</v>
      </c>
      <c r="K642">
        <v>0</v>
      </c>
      <c r="L642">
        <v>0</v>
      </c>
      <c r="M642">
        <v>0.23</v>
      </c>
      <c r="N642" s="7" t="str">
        <f>VLOOKUP(F642,HC!A$6:D$100,3,FALSE)</f>
        <v>NF-X1900</v>
      </c>
      <c r="O642" s="7" t="str">
        <f>VLOOKUP(F642,HC!A$6:D$1000,2,FALSE)</f>
        <v>moralefs</v>
      </c>
      <c r="P642" s="7" t="s">
        <v>661</v>
      </c>
      <c r="Q642" s="7" t="s">
        <v>681</v>
      </c>
      <c r="R642" t="s">
        <v>10</v>
      </c>
      <c r="U642">
        <f t="shared" si="11"/>
        <v>11</v>
      </c>
    </row>
    <row r="643" spans="1:21" ht="37.5" customHeight="1" x14ac:dyDescent="0.25">
      <c r="A643" s="19">
        <v>44969</v>
      </c>
      <c r="B643" s="13">
        <v>7</v>
      </c>
      <c r="C643" t="s">
        <v>3</v>
      </c>
      <c r="D643" t="s">
        <v>4</v>
      </c>
      <c r="E643" t="s">
        <v>5</v>
      </c>
      <c r="F643" s="6">
        <v>112912752</v>
      </c>
      <c r="G643" t="s">
        <v>251</v>
      </c>
      <c r="H643" t="s">
        <v>44</v>
      </c>
      <c r="I643">
        <v>0</v>
      </c>
      <c r="J643">
        <v>0</v>
      </c>
      <c r="K643">
        <v>0</v>
      </c>
      <c r="L643">
        <v>0</v>
      </c>
      <c r="M643">
        <v>0.78</v>
      </c>
      <c r="N643" s="7" t="str">
        <f>VLOOKUP(F643,HC!A$6:D$100,3,FALSE)</f>
        <v>NF-X1900</v>
      </c>
      <c r="O643" s="7" t="str">
        <f>VLOOKUP(F643,HC!A$6:D$1000,2,FALSE)</f>
        <v>valderle</v>
      </c>
      <c r="P643" s="7" t="s">
        <v>665</v>
      </c>
      <c r="Q643" s="7" t="s">
        <v>722</v>
      </c>
      <c r="R643" t="s">
        <v>384</v>
      </c>
      <c r="U643">
        <f t="shared" ref="U643:U706" si="12">COUNTIF(O$2:O$4999,O643)</f>
        <v>50</v>
      </c>
    </row>
    <row r="644" spans="1:21" ht="37.5" customHeight="1" x14ac:dyDescent="0.25">
      <c r="A644" s="19">
        <v>44969</v>
      </c>
      <c r="B644" s="13">
        <v>7</v>
      </c>
      <c r="C644" t="s">
        <v>3</v>
      </c>
      <c r="D644" t="s">
        <v>4</v>
      </c>
      <c r="E644" t="s">
        <v>5</v>
      </c>
      <c r="F644" s="6">
        <v>112950792</v>
      </c>
      <c r="G644" t="s">
        <v>618</v>
      </c>
      <c r="H644" t="s">
        <v>44</v>
      </c>
      <c r="I644">
        <v>0</v>
      </c>
      <c r="J644">
        <v>0</v>
      </c>
      <c r="K644">
        <v>0</v>
      </c>
      <c r="L644">
        <v>0</v>
      </c>
      <c r="M644">
        <v>0.79</v>
      </c>
      <c r="N644" s="7" t="str">
        <f>VLOOKUP(F644,HC!A$6:D$100,3,FALSE)</f>
        <v>NF-X1900</v>
      </c>
      <c r="O644" s="7" t="str">
        <f>VLOOKUP(F644,HC!A$6:D$1000,2,FALSE)</f>
        <v>genevmor</v>
      </c>
      <c r="P644" s="7" t="s">
        <v>661</v>
      </c>
      <c r="Q644" s="7" t="s">
        <v>684</v>
      </c>
      <c r="R644" t="s">
        <v>360</v>
      </c>
      <c r="U644">
        <f t="shared" si="12"/>
        <v>8</v>
      </c>
    </row>
    <row r="645" spans="1:21" ht="37.5" customHeight="1" x14ac:dyDescent="0.25">
      <c r="A645" s="19">
        <v>44969</v>
      </c>
      <c r="B645" s="13">
        <v>7</v>
      </c>
      <c r="C645" t="s">
        <v>3</v>
      </c>
      <c r="D645" t="s">
        <v>4</v>
      </c>
      <c r="E645" t="s">
        <v>5</v>
      </c>
      <c r="F645" s="6">
        <v>113014071</v>
      </c>
      <c r="G645" t="s">
        <v>672</v>
      </c>
      <c r="H645" t="s">
        <v>47</v>
      </c>
      <c r="I645">
        <v>0</v>
      </c>
      <c r="J645">
        <v>0</v>
      </c>
      <c r="K645">
        <v>0</v>
      </c>
      <c r="L645">
        <v>0</v>
      </c>
      <c r="M645">
        <v>0.25</v>
      </c>
      <c r="N645" s="7" t="e">
        <f>VLOOKUP(F645,HC!A$6:D$100,3,FALSE)</f>
        <v>#N/A</v>
      </c>
      <c r="O645" s="7" t="str">
        <f>VLOOKUP(F645,HC!A$6:D$1000,2,FALSE)</f>
        <v>gperezrp</v>
      </c>
      <c r="P645" s="7" t="s">
        <v>663</v>
      </c>
      <c r="Q645" s="7" t="s">
        <v>692</v>
      </c>
      <c r="R645" t="s">
        <v>637</v>
      </c>
      <c r="U645">
        <f t="shared" si="12"/>
        <v>1</v>
      </c>
    </row>
    <row r="646" spans="1:21" ht="37.5" customHeight="1" x14ac:dyDescent="0.25">
      <c r="A646" s="19">
        <v>44969</v>
      </c>
      <c r="B646" s="13">
        <v>7</v>
      </c>
      <c r="C646" t="s">
        <v>3</v>
      </c>
      <c r="D646" t="s">
        <v>4</v>
      </c>
      <c r="E646" t="s">
        <v>5</v>
      </c>
      <c r="F646" s="6">
        <v>113019055</v>
      </c>
      <c r="G646" t="s">
        <v>526</v>
      </c>
      <c r="H646" t="s">
        <v>14</v>
      </c>
      <c r="I646">
        <v>0</v>
      </c>
      <c r="J646">
        <v>0</v>
      </c>
      <c r="K646">
        <v>0</v>
      </c>
      <c r="L646">
        <v>0</v>
      </c>
      <c r="M646">
        <v>0.12</v>
      </c>
      <c r="N646" s="7" t="e">
        <f>VLOOKUP(F646,HC!A$6:D$100,3,FALSE)</f>
        <v>#N/A</v>
      </c>
      <c r="O646" s="7" t="str">
        <f>VLOOKUP(F646,HC!A$6:D$1000,2,FALSE)</f>
        <v>jhlopezg</v>
      </c>
      <c r="P646" s="7" t="s">
        <v>669</v>
      </c>
      <c r="Q646" s="7" t="s">
        <v>739</v>
      </c>
      <c r="R646" t="s">
        <v>673</v>
      </c>
      <c r="U646">
        <f t="shared" si="12"/>
        <v>2</v>
      </c>
    </row>
    <row r="647" spans="1:21" ht="37.5" customHeight="1" x14ac:dyDescent="0.25">
      <c r="A647" s="19">
        <v>44969</v>
      </c>
      <c r="B647" s="13">
        <v>7</v>
      </c>
      <c r="C647" t="s">
        <v>3</v>
      </c>
      <c r="D647" t="s">
        <v>4</v>
      </c>
      <c r="E647" t="s">
        <v>21</v>
      </c>
      <c r="F647" s="6">
        <v>200514421</v>
      </c>
      <c r="G647" t="s">
        <v>301</v>
      </c>
      <c r="H647" t="s">
        <v>285</v>
      </c>
      <c r="I647">
        <v>0</v>
      </c>
      <c r="J647">
        <v>0</v>
      </c>
      <c r="K647">
        <v>0</v>
      </c>
      <c r="L647">
        <v>0</v>
      </c>
      <c r="M647">
        <v>1</v>
      </c>
      <c r="N647" s="7" t="e">
        <f>VLOOKUP(F647,HC!A$6:D$100,3,FALSE)</f>
        <v>#N/A</v>
      </c>
      <c r="O647" s="7" t="str">
        <f>VLOOKUP(F647,HC!A$6:D$1000,2,FALSE)</f>
        <v>padillms</v>
      </c>
      <c r="P647" s="7" t="s">
        <v>661</v>
      </c>
      <c r="Q647" s="7" t="s">
        <v>684</v>
      </c>
      <c r="R647" t="s">
        <v>360</v>
      </c>
      <c r="U647">
        <f t="shared" si="12"/>
        <v>21</v>
      </c>
    </row>
    <row r="648" spans="1:21" ht="37.5" customHeight="1" x14ac:dyDescent="0.25">
      <c r="A648" s="19">
        <v>44969</v>
      </c>
      <c r="B648" s="13">
        <v>7</v>
      </c>
      <c r="C648" t="s">
        <v>3</v>
      </c>
      <c r="D648" t="s">
        <v>4</v>
      </c>
      <c r="E648" t="s">
        <v>21</v>
      </c>
      <c r="F648" s="6">
        <v>200534518</v>
      </c>
      <c r="G648" t="s">
        <v>371</v>
      </c>
      <c r="H648" t="s">
        <v>44</v>
      </c>
      <c r="I648">
        <v>0</v>
      </c>
      <c r="J648">
        <v>0</v>
      </c>
      <c r="K648">
        <v>0</v>
      </c>
      <c r="L648">
        <v>0</v>
      </c>
      <c r="M648">
        <v>0.34</v>
      </c>
      <c r="N648" s="7" t="e">
        <f>VLOOKUP(F648,HC!A$6:D$100,3,FALSE)</f>
        <v>#N/A</v>
      </c>
      <c r="O648" s="7" t="e">
        <f>VLOOKUP(F648,HC!A$6:D$1000,2,FALSE)</f>
        <v>#N/A</v>
      </c>
      <c r="P648" s="7" t="s">
        <v>662</v>
      </c>
      <c r="Q648" s="7" t="s">
        <v>688</v>
      </c>
      <c r="R648" t="s">
        <v>25</v>
      </c>
      <c r="U648">
        <f t="shared" si="12"/>
        <v>1395</v>
      </c>
    </row>
    <row r="649" spans="1:21" ht="37.5" customHeight="1" x14ac:dyDescent="0.25">
      <c r="A649" s="19">
        <v>44969</v>
      </c>
      <c r="B649" s="13">
        <v>7</v>
      </c>
      <c r="C649" t="s">
        <v>3</v>
      </c>
      <c r="D649" t="s">
        <v>4</v>
      </c>
      <c r="E649" t="s">
        <v>21</v>
      </c>
      <c r="F649" s="6">
        <v>200564845</v>
      </c>
      <c r="G649" t="s">
        <v>440</v>
      </c>
      <c r="H649" t="s">
        <v>285</v>
      </c>
      <c r="I649">
        <v>0</v>
      </c>
      <c r="J649">
        <v>0</v>
      </c>
      <c r="K649">
        <v>0</v>
      </c>
      <c r="L649">
        <v>0</v>
      </c>
      <c r="M649">
        <v>0.36</v>
      </c>
      <c r="N649" s="7" t="e">
        <f>VLOOKUP(F649,HC!A$6:D$100,3,FALSE)</f>
        <v>#N/A</v>
      </c>
      <c r="O649" s="7" t="e">
        <f>VLOOKUP(F649,HC!A$6:D$1000,2,FALSE)</f>
        <v>#N/A</v>
      </c>
      <c r="P649" s="7" t="s">
        <v>670</v>
      </c>
      <c r="Q649" s="7" t="s">
        <v>747</v>
      </c>
      <c r="R649" t="s">
        <v>477</v>
      </c>
      <c r="U649">
        <f t="shared" si="12"/>
        <v>1395</v>
      </c>
    </row>
    <row r="650" spans="1:21" ht="37.5" customHeight="1" x14ac:dyDescent="0.25">
      <c r="A650" s="19">
        <v>44969</v>
      </c>
      <c r="B650" s="13">
        <v>7</v>
      </c>
      <c r="C650" t="s">
        <v>3</v>
      </c>
      <c r="D650" t="s">
        <v>4</v>
      </c>
      <c r="E650" t="s">
        <v>21</v>
      </c>
      <c r="F650" s="6">
        <v>200589316</v>
      </c>
      <c r="G650" t="s">
        <v>53</v>
      </c>
      <c r="H650" t="s">
        <v>7</v>
      </c>
      <c r="I650">
        <v>0</v>
      </c>
      <c r="J650">
        <v>0</v>
      </c>
      <c r="K650">
        <v>0</v>
      </c>
      <c r="L650">
        <v>0</v>
      </c>
      <c r="M650">
        <v>0.4</v>
      </c>
      <c r="N650" s="7" t="e">
        <f>VLOOKUP(F650,HC!A$6:D$100,3,FALSE)</f>
        <v>#N/A</v>
      </c>
      <c r="O650" s="7" t="e">
        <f>VLOOKUP(F650,HC!A$6:D$1000,2,FALSE)</f>
        <v>#N/A</v>
      </c>
      <c r="P650" s="7" t="s">
        <v>664</v>
      </c>
      <c r="Q650" s="7" t="s">
        <v>716</v>
      </c>
      <c r="R650" t="s">
        <v>548</v>
      </c>
      <c r="U650">
        <f t="shared" si="12"/>
        <v>1395</v>
      </c>
    </row>
    <row r="651" spans="1:21" ht="37.5" customHeight="1" x14ac:dyDescent="0.25">
      <c r="A651" s="19">
        <v>44969</v>
      </c>
      <c r="B651" s="13">
        <v>7</v>
      </c>
      <c r="C651" t="s">
        <v>3</v>
      </c>
      <c r="D651" t="s">
        <v>4</v>
      </c>
      <c r="E651" t="s">
        <v>21</v>
      </c>
      <c r="F651" s="6">
        <v>200625528</v>
      </c>
      <c r="G651" t="s">
        <v>607</v>
      </c>
      <c r="H651" t="s">
        <v>47</v>
      </c>
      <c r="I651">
        <v>0</v>
      </c>
      <c r="J651">
        <v>0</v>
      </c>
      <c r="K651">
        <v>0</v>
      </c>
      <c r="L651">
        <v>0</v>
      </c>
      <c r="M651">
        <v>0.16</v>
      </c>
      <c r="N651" s="7" t="e">
        <f>VLOOKUP(F651,HC!A$6:D$100,3,FALSE)</f>
        <v>#N/A</v>
      </c>
      <c r="O651" s="7" t="str">
        <f>VLOOKUP(F651,HC!A$6:D$1000,2,FALSE)</f>
        <v>olivlizb</v>
      </c>
      <c r="P651" s="7" t="s">
        <v>670</v>
      </c>
      <c r="Q651" s="7" t="s">
        <v>740</v>
      </c>
      <c r="R651" t="s">
        <v>477</v>
      </c>
      <c r="U651">
        <f t="shared" si="12"/>
        <v>50</v>
      </c>
    </row>
    <row r="652" spans="1:21" ht="37.5" customHeight="1" x14ac:dyDescent="0.25">
      <c r="A652" s="19">
        <v>44970</v>
      </c>
      <c r="B652" s="13">
        <v>7</v>
      </c>
      <c r="C652" t="s">
        <v>3</v>
      </c>
      <c r="D652" t="s">
        <v>4</v>
      </c>
      <c r="E652" t="s">
        <v>21</v>
      </c>
      <c r="F652" s="6">
        <v>109227086</v>
      </c>
      <c r="G652" t="s">
        <v>430</v>
      </c>
      <c r="H652" t="s">
        <v>14</v>
      </c>
      <c r="I652">
        <v>0</v>
      </c>
      <c r="J652">
        <v>0</v>
      </c>
      <c r="K652">
        <v>0</v>
      </c>
      <c r="L652">
        <v>0</v>
      </c>
      <c r="M652">
        <v>0.45</v>
      </c>
      <c r="N652" s="7" t="e">
        <f>VLOOKUP(F652,HC!A$6:D$100,3,FALSE)</f>
        <v>#N/A</v>
      </c>
      <c r="O652" s="7" t="e">
        <f>VLOOKUP(F652,HC!A$6:D$1000,2,FALSE)</f>
        <v>#N/A</v>
      </c>
      <c r="P652" s="7" t="s">
        <v>661</v>
      </c>
      <c r="Q652" s="7" t="s">
        <v>684</v>
      </c>
      <c r="R652" t="s">
        <v>276</v>
      </c>
      <c r="U652">
        <f t="shared" si="12"/>
        <v>1395</v>
      </c>
    </row>
    <row r="653" spans="1:21" ht="37.5" customHeight="1" x14ac:dyDescent="0.25">
      <c r="A653" s="19">
        <v>44970</v>
      </c>
      <c r="B653" s="13">
        <v>7</v>
      </c>
      <c r="C653" t="s">
        <v>3</v>
      </c>
      <c r="D653" t="s">
        <v>4</v>
      </c>
      <c r="E653" t="s">
        <v>5</v>
      </c>
      <c r="F653" s="6">
        <v>112912663</v>
      </c>
      <c r="G653" t="s">
        <v>8</v>
      </c>
      <c r="H653" t="s">
        <v>403</v>
      </c>
      <c r="I653">
        <v>0</v>
      </c>
      <c r="J653">
        <v>0</v>
      </c>
      <c r="K653">
        <v>0</v>
      </c>
      <c r="L653">
        <v>0</v>
      </c>
      <c r="M653">
        <v>1.27</v>
      </c>
      <c r="N653" s="7" t="e">
        <f>VLOOKUP(F653,HC!A$6:D$100,3,FALSE)</f>
        <v>#N/A</v>
      </c>
      <c r="O653" s="7" t="e">
        <f>VLOOKUP(F653,HC!A$6:D$1000,2,FALSE)</f>
        <v>#N/A</v>
      </c>
      <c r="P653" s="7" t="s">
        <v>664</v>
      </c>
      <c r="Q653" s="7" t="s">
        <v>708</v>
      </c>
      <c r="R653" t="s">
        <v>697</v>
      </c>
      <c r="U653">
        <f t="shared" si="12"/>
        <v>1395</v>
      </c>
    </row>
    <row r="654" spans="1:21" ht="37.5" customHeight="1" x14ac:dyDescent="0.25">
      <c r="A654" s="19">
        <v>44970</v>
      </c>
      <c r="B654" s="13">
        <v>7</v>
      </c>
      <c r="C654" t="s">
        <v>3</v>
      </c>
      <c r="D654" t="s">
        <v>4</v>
      </c>
      <c r="E654" t="s">
        <v>5</v>
      </c>
      <c r="F654" s="6">
        <v>112950817</v>
      </c>
      <c r="G654" t="s">
        <v>676</v>
      </c>
      <c r="H654" t="s">
        <v>403</v>
      </c>
      <c r="I654">
        <v>0</v>
      </c>
      <c r="J654">
        <v>0</v>
      </c>
      <c r="K654">
        <v>0</v>
      </c>
      <c r="L654">
        <v>0</v>
      </c>
      <c r="M654">
        <v>0.75</v>
      </c>
      <c r="N654" s="7" t="e">
        <f>VLOOKUP(F654,HC!A$6:D$100,3,FALSE)</f>
        <v>#N/A</v>
      </c>
      <c r="O654" s="7" t="e">
        <f>VLOOKUP(F654,HC!A$6:D$1000,2,FALSE)</f>
        <v>#N/A</v>
      </c>
      <c r="P654" s="7" t="s">
        <v>664</v>
      </c>
      <c r="Q654" s="7" t="s">
        <v>708</v>
      </c>
      <c r="R654" t="s">
        <v>698</v>
      </c>
      <c r="U654">
        <f t="shared" si="12"/>
        <v>1395</v>
      </c>
    </row>
    <row r="655" spans="1:21" ht="37.5" customHeight="1" x14ac:dyDescent="0.25">
      <c r="A655" s="19">
        <v>44970</v>
      </c>
      <c r="B655" s="13">
        <v>7</v>
      </c>
      <c r="C655" t="s">
        <v>3</v>
      </c>
      <c r="D655" t="s">
        <v>4</v>
      </c>
      <c r="E655" t="s">
        <v>5</v>
      </c>
      <c r="F655" s="6">
        <v>112976014</v>
      </c>
      <c r="G655" t="s">
        <v>677</v>
      </c>
      <c r="H655" t="s">
        <v>403</v>
      </c>
      <c r="I655">
        <v>0</v>
      </c>
      <c r="J655">
        <v>0</v>
      </c>
      <c r="K655">
        <v>0</v>
      </c>
      <c r="L655">
        <v>0</v>
      </c>
      <c r="M655">
        <v>1.21</v>
      </c>
      <c r="N655" s="7" t="str">
        <f>VLOOKUP(F655,HC!A$6:D$100,3,FALSE)</f>
        <v>DA-X0700</v>
      </c>
      <c r="O655" s="7" t="str">
        <f>VLOOKUP(F655,HC!A$6:D$1000,2,FALSE)</f>
        <v>carhriva</v>
      </c>
      <c r="P655" s="7" t="s">
        <v>664</v>
      </c>
      <c r="Q655" s="7" t="s">
        <v>708</v>
      </c>
      <c r="R655" t="s">
        <v>699</v>
      </c>
      <c r="U655">
        <f t="shared" si="12"/>
        <v>2</v>
      </c>
    </row>
    <row r="656" spans="1:21" ht="37.5" customHeight="1" x14ac:dyDescent="0.25">
      <c r="A656" s="19">
        <v>44970</v>
      </c>
      <c r="B656" s="13">
        <v>7</v>
      </c>
      <c r="C656" t="s">
        <v>3</v>
      </c>
      <c r="D656" t="s">
        <v>4</v>
      </c>
      <c r="E656" t="s">
        <v>5</v>
      </c>
      <c r="F656" s="6">
        <v>112980899</v>
      </c>
      <c r="G656" t="s">
        <v>396</v>
      </c>
      <c r="H656" t="s">
        <v>44</v>
      </c>
      <c r="I656">
        <v>0</v>
      </c>
      <c r="J656">
        <v>0</v>
      </c>
      <c r="K656">
        <v>0</v>
      </c>
      <c r="L656">
        <v>0</v>
      </c>
      <c r="M656">
        <v>0.28999999999999998</v>
      </c>
      <c r="N656" s="7" t="str">
        <f>VLOOKUP(F656,HC!A$6:D$100,3,FALSE)</f>
        <v>NF-X1900</v>
      </c>
      <c r="O656" s="7" t="str">
        <f>VLOOKUP(F656,HC!A$6:D$1000,2,FALSE)</f>
        <v>aravilac</v>
      </c>
      <c r="P656" s="7" t="s">
        <v>662</v>
      </c>
      <c r="Q656" s="7" t="s">
        <v>688</v>
      </c>
      <c r="R656" s="21" t="s">
        <v>696</v>
      </c>
      <c r="U656">
        <f t="shared" si="12"/>
        <v>33</v>
      </c>
    </row>
    <row r="657" spans="1:21" ht="37.5" customHeight="1" x14ac:dyDescent="0.25">
      <c r="A657" s="19">
        <v>44970</v>
      </c>
      <c r="B657" s="13">
        <v>7</v>
      </c>
      <c r="C657" t="s">
        <v>3</v>
      </c>
      <c r="D657" t="s">
        <v>4</v>
      </c>
      <c r="E657" t="s">
        <v>5</v>
      </c>
      <c r="F657" s="6">
        <v>112981061</v>
      </c>
      <c r="G657" t="s">
        <v>264</v>
      </c>
      <c r="H657" t="s">
        <v>49</v>
      </c>
      <c r="I657">
        <v>0</v>
      </c>
      <c r="J657">
        <v>0</v>
      </c>
      <c r="K657">
        <v>0</v>
      </c>
      <c r="L657">
        <v>0</v>
      </c>
      <c r="M657">
        <v>0.17</v>
      </c>
      <c r="N657" s="7" t="str">
        <f>VLOOKUP(F657,HC!A$6:D$100,3,FALSE)</f>
        <v>DA-X0700</v>
      </c>
      <c r="O657" s="7" t="str">
        <f>VLOOKUP(F657,HC!A$6:D$1000,2,FALSE)</f>
        <v>mclaudol</v>
      </c>
      <c r="P657" s="7" t="s">
        <v>661</v>
      </c>
      <c r="Q657" s="7" t="s">
        <v>681</v>
      </c>
      <c r="R657" t="s">
        <v>234</v>
      </c>
      <c r="U657">
        <f t="shared" si="12"/>
        <v>44</v>
      </c>
    </row>
    <row r="658" spans="1:21" ht="37.5" customHeight="1" x14ac:dyDescent="0.25">
      <c r="A658" s="19">
        <v>44970</v>
      </c>
      <c r="B658" s="13">
        <v>7</v>
      </c>
      <c r="C658" t="s">
        <v>3</v>
      </c>
      <c r="D658" t="s">
        <v>4</v>
      </c>
      <c r="E658" t="s">
        <v>5</v>
      </c>
      <c r="F658" s="6">
        <v>112991321</v>
      </c>
      <c r="G658" t="s">
        <v>576</v>
      </c>
      <c r="H658" t="s">
        <v>268</v>
      </c>
      <c r="I658">
        <v>0</v>
      </c>
      <c r="J658">
        <v>0</v>
      </c>
      <c r="K658">
        <v>0</v>
      </c>
      <c r="L658">
        <v>0</v>
      </c>
      <c r="M658">
        <v>1.21</v>
      </c>
      <c r="N658" s="7" t="e">
        <f>VLOOKUP(F658,HC!A$6:D$100,3,FALSE)</f>
        <v>#N/A</v>
      </c>
      <c r="O658" s="7" t="e">
        <f>VLOOKUP(F658,HC!A$6:D$1000,2,FALSE)</f>
        <v>#N/A</v>
      </c>
      <c r="P658" s="7" t="s">
        <v>661</v>
      </c>
      <c r="Q658" s="7" t="s">
        <v>681</v>
      </c>
      <c r="R658" t="s">
        <v>234</v>
      </c>
      <c r="U658">
        <f t="shared" si="12"/>
        <v>1395</v>
      </c>
    </row>
    <row r="659" spans="1:21" ht="37.5" customHeight="1" x14ac:dyDescent="0.25">
      <c r="A659" s="19">
        <v>44970</v>
      </c>
      <c r="B659" s="13">
        <v>7</v>
      </c>
      <c r="C659" t="s">
        <v>3</v>
      </c>
      <c r="D659" t="s">
        <v>4</v>
      </c>
      <c r="E659" t="s">
        <v>5</v>
      </c>
      <c r="F659" s="6">
        <v>113014092</v>
      </c>
      <c r="G659" t="s">
        <v>552</v>
      </c>
      <c r="H659" t="s">
        <v>298</v>
      </c>
      <c r="I659">
        <v>0</v>
      </c>
      <c r="J659">
        <v>0</v>
      </c>
      <c r="K659">
        <v>0</v>
      </c>
      <c r="L659">
        <v>0</v>
      </c>
      <c r="M659">
        <v>0.37</v>
      </c>
      <c r="N659" s="7" t="e">
        <f>VLOOKUP(F659,HC!A$6:D$100,3,FALSE)</f>
        <v>#N/A</v>
      </c>
      <c r="O659" s="7" t="str">
        <f>VLOOKUP(F659,HC!A$6:D$1000,2,FALSE)</f>
        <v>rsanccri</v>
      </c>
      <c r="P659" s="7" t="s">
        <v>664</v>
      </c>
      <c r="Q659" s="7" t="s">
        <v>710</v>
      </c>
      <c r="R659" t="s">
        <v>451</v>
      </c>
      <c r="U659">
        <f t="shared" si="12"/>
        <v>11</v>
      </c>
    </row>
    <row r="660" spans="1:21" s="7" customFormat="1" ht="37.5" customHeight="1" x14ac:dyDescent="0.25">
      <c r="A660" s="41">
        <v>44970</v>
      </c>
      <c r="B660" s="13">
        <v>7</v>
      </c>
      <c r="C660" s="7" t="s">
        <v>3</v>
      </c>
      <c r="D660" s="7" t="s">
        <v>4</v>
      </c>
      <c r="E660" s="7" t="s">
        <v>5</v>
      </c>
      <c r="F660" s="13">
        <v>113014113</v>
      </c>
      <c r="G660" s="7" t="s">
        <v>269</v>
      </c>
      <c r="H660" s="7" t="s">
        <v>49</v>
      </c>
      <c r="I660" s="7">
        <v>0</v>
      </c>
      <c r="J660" s="7">
        <v>0</v>
      </c>
      <c r="K660" s="7">
        <v>0</v>
      </c>
      <c r="L660" s="7">
        <v>0</v>
      </c>
      <c r="M660" s="7">
        <v>0.62</v>
      </c>
      <c r="N660" s="7" t="e">
        <f>VLOOKUP(F660,HC!A$6:D$100,3,FALSE)</f>
        <v>#N/A</v>
      </c>
      <c r="O660" s="7" t="e">
        <f>VLOOKUP(F660,HC!A$6:D$1000,2,FALSE)</f>
        <v>#N/A</v>
      </c>
      <c r="P660" s="7" t="s">
        <v>661</v>
      </c>
      <c r="Q660" s="7" t="s">
        <v>701</v>
      </c>
      <c r="R660" s="7" t="s">
        <v>566</v>
      </c>
      <c r="S660" s="42"/>
      <c r="U660" s="7">
        <f t="shared" si="12"/>
        <v>1395</v>
      </c>
    </row>
    <row r="661" spans="1:21" s="22" customFormat="1" ht="37.5" customHeight="1" x14ac:dyDescent="0.25">
      <c r="A661" s="19">
        <v>44970</v>
      </c>
      <c r="B661" s="13">
        <v>7</v>
      </c>
      <c r="C661" t="s">
        <v>3</v>
      </c>
      <c r="D661" t="s">
        <v>4</v>
      </c>
      <c r="E661" t="s">
        <v>5</v>
      </c>
      <c r="F661" s="6">
        <v>113014401</v>
      </c>
      <c r="G661" t="s">
        <v>678</v>
      </c>
      <c r="H661" t="s">
        <v>17</v>
      </c>
      <c r="I661">
        <v>0</v>
      </c>
      <c r="J661">
        <v>0</v>
      </c>
      <c r="K661">
        <v>0</v>
      </c>
      <c r="L661">
        <v>0</v>
      </c>
      <c r="M661">
        <v>0</v>
      </c>
      <c r="N661" s="7" t="e">
        <f>VLOOKUP(F661,HC!A$6:D$100,3,FALSE)</f>
        <v>#N/A</v>
      </c>
      <c r="O661" s="7" t="e">
        <f>VLOOKUP(F661,HC!A$6:D$1000,2,FALSE)</f>
        <v>#N/A</v>
      </c>
      <c r="P661" s="7" t="s">
        <v>661</v>
      </c>
      <c r="Q661" s="7" t="s">
        <v>681</v>
      </c>
      <c r="R661" t="s">
        <v>234</v>
      </c>
      <c r="S661" s="2"/>
      <c r="T661"/>
      <c r="U661">
        <f t="shared" si="12"/>
        <v>1395</v>
      </c>
    </row>
    <row r="662" spans="1:21" ht="37.5" customHeight="1" x14ac:dyDescent="0.25">
      <c r="A662" s="19">
        <v>44970</v>
      </c>
      <c r="B662" s="13">
        <v>7</v>
      </c>
      <c r="C662" t="s">
        <v>3</v>
      </c>
      <c r="D662" t="s">
        <v>4</v>
      </c>
      <c r="E662" t="s">
        <v>5</v>
      </c>
      <c r="F662" s="6">
        <v>113019039</v>
      </c>
      <c r="G662" t="s">
        <v>480</v>
      </c>
      <c r="H662" t="s">
        <v>47</v>
      </c>
      <c r="I662">
        <v>0</v>
      </c>
      <c r="J662">
        <v>0</v>
      </c>
      <c r="K662">
        <v>0</v>
      </c>
      <c r="L662">
        <v>0</v>
      </c>
      <c r="M662">
        <v>0.7</v>
      </c>
      <c r="N662" s="7" t="e">
        <f>VLOOKUP(F662,HC!A$6:D$100,3,FALSE)</f>
        <v>#N/A</v>
      </c>
      <c r="O662" s="7" t="e">
        <f>VLOOKUP(F662,HC!A$6:D$1000,2,FALSE)</f>
        <v>#N/A</v>
      </c>
      <c r="P662" s="7" t="s">
        <v>664</v>
      </c>
      <c r="Q662" s="7" t="s">
        <v>710</v>
      </c>
      <c r="R662" t="s">
        <v>406</v>
      </c>
      <c r="U662">
        <f t="shared" si="12"/>
        <v>1395</v>
      </c>
    </row>
    <row r="663" spans="1:21" ht="37.5" customHeight="1" x14ac:dyDescent="0.25">
      <c r="A663" s="19">
        <v>44970</v>
      </c>
      <c r="B663" s="13">
        <v>7</v>
      </c>
      <c r="C663" t="s">
        <v>3</v>
      </c>
      <c r="D663" t="s">
        <v>4</v>
      </c>
      <c r="E663" t="s">
        <v>5</v>
      </c>
      <c r="F663" s="6">
        <v>200404250</v>
      </c>
      <c r="G663" t="s">
        <v>51</v>
      </c>
      <c r="H663" t="s">
        <v>285</v>
      </c>
      <c r="I663">
        <v>0</v>
      </c>
      <c r="J663">
        <v>0</v>
      </c>
      <c r="K663">
        <v>0</v>
      </c>
      <c r="L663">
        <v>0</v>
      </c>
      <c r="M663">
        <v>0.88</v>
      </c>
      <c r="N663" s="7" t="e">
        <f>VLOOKUP(F663,HC!A$6:D$100,3,FALSE)</f>
        <v>#N/A</v>
      </c>
      <c r="O663" s="7" t="str">
        <f>VLOOKUP(F663,HC!A$6:D$1000,2,FALSE)</f>
        <v>xcathurt</v>
      </c>
      <c r="P663" s="7" t="s">
        <v>662</v>
      </c>
      <c r="Q663" s="7" t="s">
        <v>767</v>
      </c>
      <c r="R663" t="s">
        <v>680</v>
      </c>
      <c r="U663">
        <f t="shared" si="12"/>
        <v>124</v>
      </c>
    </row>
    <row r="664" spans="1:21" ht="37.5" customHeight="1" x14ac:dyDescent="0.25">
      <c r="A664" s="19">
        <v>44970</v>
      </c>
      <c r="B664" s="13">
        <v>7</v>
      </c>
      <c r="C664" t="s">
        <v>3</v>
      </c>
      <c r="D664" t="s">
        <v>4</v>
      </c>
      <c r="E664" t="s">
        <v>21</v>
      </c>
      <c r="F664" s="6">
        <v>200570729</v>
      </c>
      <c r="G664" t="s">
        <v>679</v>
      </c>
      <c r="H664" t="s">
        <v>47</v>
      </c>
      <c r="I664">
        <v>0</v>
      </c>
      <c r="J664">
        <v>0</v>
      </c>
      <c r="K664">
        <v>0</v>
      </c>
      <c r="L664">
        <v>0</v>
      </c>
      <c r="M664">
        <v>0.23</v>
      </c>
      <c r="N664" s="7" t="e">
        <f>VLOOKUP(F664,HC!A$6:D$100,3,FALSE)</f>
        <v>#N/A</v>
      </c>
      <c r="O664" s="7" t="str">
        <f>VLOOKUP(F664,HC!A$6:D$1000,2,FALSE)</f>
        <v>srodcaro</v>
      </c>
      <c r="P664" s="7" t="s">
        <v>670</v>
      </c>
      <c r="Q664" s="7" t="s">
        <v>742</v>
      </c>
      <c r="R664" t="s">
        <v>477</v>
      </c>
      <c r="U664">
        <f t="shared" si="12"/>
        <v>8</v>
      </c>
    </row>
    <row r="665" spans="1:21" ht="37.5" customHeight="1" x14ac:dyDescent="0.25">
      <c r="A665" s="19">
        <v>44970</v>
      </c>
      <c r="B665" s="13">
        <v>7</v>
      </c>
      <c r="C665" t="s">
        <v>3</v>
      </c>
      <c r="D665" t="s">
        <v>4</v>
      </c>
      <c r="E665" t="s">
        <v>21</v>
      </c>
      <c r="F665" s="6">
        <v>200625027</v>
      </c>
      <c r="G665" t="s">
        <v>382</v>
      </c>
      <c r="H665" t="s">
        <v>14</v>
      </c>
      <c r="I665">
        <v>0</v>
      </c>
      <c r="J665">
        <v>0</v>
      </c>
      <c r="K665">
        <v>0</v>
      </c>
      <c r="L665">
        <v>0</v>
      </c>
      <c r="M665">
        <v>0.32</v>
      </c>
      <c r="N665" s="7" t="e">
        <f>VLOOKUP(F665,HC!A$6:D$100,3,FALSE)</f>
        <v>#N/A</v>
      </c>
      <c r="O665" s="7" t="e">
        <f>VLOOKUP(F665,HC!A$6:D$1000,2,FALSE)</f>
        <v>#N/A</v>
      </c>
      <c r="P665" s="7" t="s">
        <v>663</v>
      </c>
      <c r="Q665" s="7" t="s">
        <v>695</v>
      </c>
      <c r="R665" t="s">
        <v>236</v>
      </c>
      <c r="U665">
        <f t="shared" si="12"/>
        <v>1395</v>
      </c>
    </row>
    <row r="666" spans="1:21" ht="37.5" customHeight="1" x14ac:dyDescent="0.25">
      <c r="A666" s="19">
        <v>44971</v>
      </c>
      <c r="B666" s="13">
        <v>7</v>
      </c>
      <c r="C666" t="s">
        <v>3</v>
      </c>
      <c r="D666" t="s">
        <v>4</v>
      </c>
      <c r="E666" t="s">
        <v>21</v>
      </c>
      <c r="F666" s="6">
        <v>109227086</v>
      </c>
      <c r="G666" t="s">
        <v>430</v>
      </c>
      <c r="H666" t="s">
        <v>14</v>
      </c>
      <c r="I666">
        <v>0</v>
      </c>
      <c r="J666">
        <v>0</v>
      </c>
      <c r="K666">
        <v>0</v>
      </c>
      <c r="L666">
        <v>0</v>
      </c>
      <c r="M666">
        <v>0.2</v>
      </c>
      <c r="N666" s="7" t="e">
        <f>VLOOKUP(F666,HC!A$6:D$100,3,FALSE)</f>
        <v>#N/A</v>
      </c>
      <c r="O666" s="7" t="e">
        <f>VLOOKUP(F666,HC!A$6:D$1000,2,FALSE)</f>
        <v>#N/A</v>
      </c>
      <c r="P666" s="7" t="s">
        <v>661</v>
      </c>
      <c r="Q666" s="7" t="s">
        <v>684</v>
      </c>
      <c r="R666" t="s">
        <v>360</v>
      </c>
      <c r="U666">
        <f t="shared" si="12"/>
        <v>1395</v>
      </c>
    </row>
    <row r="667" spans="1:21" ht="37.5" customHeight="1" x14ac:dyDescent="0.25">
      <c r="A667" s="19">
        <v>44971</v>
      </c>
      <c r="B667" s="13">
        <v>7</v>
      </c>
      <c r="C667" t="s">
        <v>3</v>
      </c>
      <c r="D667" t="s">
        <v>4</v>
      </c>
      <c r="E667" t="s">
        <v>5</v>
      </c>
      <c r="F667" s="6">
        <v>112912008</v>
      </c>
      <c r="G667" t="s">
        <v>249</v>
      </c>
      <c r="H667" t="s">
        <v>250</v>
      </c>
      <c r="I667">
        <v>0</v>
      </c>
      <c r="J667">
        <v>0</v>
      </c>
      <c r="K667">
        <v>0</v>
      </c>
      <c r="L667">
        <v>0</v>
      </c>
      <c r="M667">
        <v>4.71</v>
      </c>
      <c r="N667" s="7" t="e">
        <f>VLOOKUP(F667,HC!A$6:D$100,3,FALSE)</f>
        <v>#N/A</v>
      </c>
      <c r="O667" s="7" t="e">
        <f>VLOOKUP(F667,HC!A$6:D$1000,2,FALSE)</f>
        <v>#N/A</v>
      </c>
      <c r="P667" s="7" t="s">
        <v>664</v>
      </c>
      <c r="Q667" s="7" t="s">
        <v>708</v>
      </c>
      <c r="R667" t="s">
        <v>409</v>
      </c>
      <c r="U667">
        <f t="shared" si="12"/>
        <v>1395</v>
      </c>
    </row>
    <row r="668" spans="1:21" ht="37.5" customHeight="1" x14ac:dyDescent="0.25">
      <c r="A668" s="19">
        <v>44971</v>
      </c>
      <c r="B668" s="13">
        <v>7</v>
      </c>
      <c r="C668" t="s">
        <v>3</v>
      </c>
      <c r="D668" t="s">
        <v>4</v>
      </c>
      <c r="E668" t="s">
        <v>5</v>
      </c>
      <c r="F668" s="6">
        <v>112912049</v>
      </c>
      <c r="G668" t="s">
        <v>488</v>
      </c>
      <c r="H668" t="s">
        <v>282</v>
      </c>
      <c r="I668">
        <v>0</v>
      </c>
      <c r="J668">
        <v>0</v>
      </c>
      <c r="K668">
        <v>0</v>
      </c>
      <c r="L668">
        <v>0</v>
      </c>
      <c r="M668">
        <v>0.56000000000000005</v>
      </c>
      <c r="N668" s="7" t="str">
        <f>VLOOKUP(F668,HC!A$6:D$100,3,FALSE)</f>
        <v>NF-X1900</v>
      </c>
      <c r="O668" s="7" t="str">
        <f>VLOOKUP(F668,HC!A$6:D$1000,2,FALSE)</f>
        <v>zchvazqu</v>
      </c>
      <c r="P668" s="7" t="s">
        <v>670</v>
      </c>
      <c r="Q668" s="7" t="s">
        <v>805</v>
      </c>
      <c r="R668" t="s">
        <v>718</v>
      </c>
      <c r="U668">
        <f t="shared" si="12"/>
        <v>11</v>
      </c>
    </row>
    <row r="669" spans="1:21" ht="37.5" customHeight="1" x14ac:dyDescent="0.25">
      <c r="A669" s="19">
        <v>44971</v>
      </c>
      <c r="B669" s="13">
        <v>7</v>
      </c>
      <c r="C669" t="s">
        <v>3</v>
      </c>
      <c r="D669" t="s">
        <v>4</v>
      </c>
      <c r="E669" t="s">
        <v>5</v>
      </c>
      <c r="F669" s="6">
        <v>112912074</v>
      </c>
      <c r="G669" t="s">
        <v>473</v>
      </c>
      <c r="H669" t="s">
        <v>282</v>
      </c>
      <c r="I669">
        <v>0</v>
      </c>
      <c r="J669">
        <v>0</v>
      </c>
      <c r="K669">
        <v>0</v>
      </c>
      <c r="L669">
        <v>0</v>
      </c>
      <c r="M669">
        <v>1.18</v>
      </c>
      <c r="N669" s="7" t="e">
        <f>VLOOKUP(F669,HC!A$6:D$100,3,FALSE)</f>
        <v>#N/A</v>
      </c>
      <c r="O669" s="7" t="e">
        <f>VLOOKUP(F669,HC!A$6:D$1000,2,FALSE)</f>
        <v>#N/A</v>
      </c>
      <c r="P669" s="7" t="s">
        <v>662</v>
      </c>
      <c r="Q669" s="7" t="s">
        <v>688</v>
      </c>
      <c r="R669" t="s">
        <v>25</v>
      </c>
      <c r="U669">
        <f t="shared" si="12"/>
        <v>1395</v>
      </c>
    </row>
    <row r="670" spans="1:21" ht="37.5" customHeight="1" x14ac:dyDescent="0.25">
      <c r="A670" s="19">
        <v>44971</v>
      </c>
      <c r="B670" s="13">
        <v>7</v>
      </c>
      <c r="C670" t="s">
        <v>3</v>
      </c>
      <c r="D670" t="s">
        <v>4</v>
      </c>
      <c r="E670" t="s">
        <v>5</v>
      </c>
      <c r="F670" s="6">
        <v>112912752</v>
      </c>
      <c r="G670" t="s">
        <v>251</v>
      </c>
      <c r="H670" t="s">
        <v>44</v>
      </c>
      <c r="I670">
        <v>0</v>
      </c>
      <c r="J670">
        <v>0</v>
      </c>
      <c r="K670">
        <v>0</v>
      </c>
      <c r="L670">
        <v>0</v>
      </c>
      <c r="M670">
        <v>0.42</v>
      </c>
      <c r="N670" s="7" t="str">
        <f>VLOOKUP(F670,HC!A$6:D$100,3,FALSE)</f>
        <v>NF-X1900</v>
      </c>
      <c r="O670" s="7" t="str">
        <f>VLOOKUP(F670,HC!A$6:D$1000,2,FALSE)</f>
        <v>valderle</v>
      </c>
      <c r="P670" s="7" t="s">
        <v>665</v>
      </c>
      <c r="Q670" s="7" t="s">
        <v>722</v>
      </c>
      <c r="R670" t="s">
        <v>499</v>
      </c>
      <c r="U670">
        <f t="shared" si="12"/>
        <v>50</v>
      </c>
    </row>
    <row r="671" spans="1:21" ht="37.5" customHeight="1" x14ac:dyDescent="0.25">
      <c r="A671" s="19">
        <v>44971</v>
      </c>
      <c r="B671" s="13">
        <v>7</v>
      </c>
      <c r="C671" t="s">
        <v>3</v>
      </c>
      <c r="D671" t="s">
        <v>4</v>
      </c>
      <c r="E671" t="s">
        <v>5</v>
      </c>
      <c r="F671" s="6">
        <v>112950784</v>
      </c>
      <c r="G671" t="s">
        <v>261</v>
      </c>
      <c r="H671" t="s">
        <v>285</v>
      </c>
      <c r="I671">
        <v>0</v>
      </c>
      <c r="J671">
        <v>0</v>
      </c>
      <c r="K671">
        <v>0</v>
      </c>
      <c r="L671">
        <v>0</v>
      </c>
      <c r="M671">
        <v>0.09</v>
      </c>
      <c r="N671" s="7" t="str">
        <f>VLOOKUP(F671,HC!A$6:D$100,3,FALSE)</f>
        <v>NF-X1900</v>
      </c>
      <c r="O671" s="7" t="str">
        <f>VLOOKUP(F671,HC!A$6:D$1000,2,FALSE)</f>
        <v>sarojast</v>
      </c>
      <c r="P671" s="7" t="s">
        <v>662</v>
      </c>
      <c r="Q671" s="7" t="s">
        <v>688</v>
      </c>
      <c r="R671" t="s">
        <v>25</v>
      </c>
      <c r="U671">
        <f t="shared" si="12"/>
        <v>33</v>
      </c>
    </row>
    <row r="672" spans="1:21" ht="37.5" customHeight="1" x14ac:dyDescent="0.25">
      <c r="A672" s="19">
        <v>44971</v>
      </c>
      <c r="B672" s="13">
        <v>7</v>
      </c>
      <c r="C672" t="s">
        <v>3</v>
      </c>
      <c r="D672" t="s">
        <v>4</v>
      </c>
      <c r="E672" t="s">
        <v>5</v>
      </c>
      <c r="F672" s="6">
        <v>112981009</v>
      </c>
      <c r="G672" t="s">
        <v>16</v>
      </c>
      <c r="H672" t="s">
        <v>44</v>
      </c>
      <c r="I672">
        <v>0</v>
      </c>
      <c r="J672">
        <v>0</v>
      </c>
      <c r="K672">
        <v>0</v>
      </c>
      <c r="L672">
        <v>0</v>
      </c>
      <c r="M672">
        <v>0.2</v>
      </c>
      <c r="N672" s="7" t="e">
        <f>VLOOKUP(F672,HC!A$6:D$100,3,FALSE)</f>
        <v>#N/A</v>
      </c>
      <c r="O672" s="7" t="e">
        <f>VLOOKUP(F672,HC!A$6:D$1000,2,FALSE)</f>
        <v>#N/A</v>
      </c>
      <c r="P672" s="7" t="s">
        <v>661</v>
      </c>
      <c r="Q672" s="7" t="s">
        <v>681</v>
      </c>
      <c r="R672" t="s">
        <v>10</v>
      </c>
      <c r="U672">
        <f t="shared" si="12"/>
        <v>1395</v>
      </c>
    </row>
    <row r="673" spans="1:21" ht="37.5" customHeight="1" x14ac:dyDescent="0.25">
      <c r="A673" s="19">
        <v>44971</v>
      </c>
      <c r="B673" s="13">
        <v>7</v>
      </c>
      <c r="C673" t="s">
        <v>3</v>
      </c>
      <c r="D673" t="s">
        <v>4</v>
      </c>
      <c r="E673" t="s">
        <v>5</v>
      </c>
      <c r="F673" s="6">
        <v>112984097</v>
      </c>
      <c r="G673" t="s">
        <v>265</v>
      </c>
      <c r="H673" t="s">
        <v>49</v>
      </c>
      <c r="I673">
        <v>0</v>
      </c>
      <c r="J673">
        <v>0</v>
      </c>
      <c r="K673">
        <v>0</v>
      </c>
      <c r="L673">
        <v>0</v>
      </c>
      <c r="M673">
        <v>7.0000000000000007E-2</v>
      </c>
      <c r="N673" s="7" t="e">
        <f>VLOOKUP(F673,HC!A$6:D$100,3,FALSE)</f>
        <v>#N/A</v>
      </c>
      <c r="O673" s="7" t="e">
        <f>VLOOKUP(F673,HC!A$6:D$1000,2,FALSE)</f>
        <v>#N/A</v>
      </c>
      <c r="P673" s="7" t="s">
        <v>664</v>
      </c>
      <c r="Q673" s="7" t="s">
        <v>709</v>
      </c>
      <c r="R673" t="s">
        <v>719</v>
      </c>
      <c r="U673">
        <f t="shared" si="12"/>
        <v>1395</v>
      </c>
    </row>
    <row r="674" spans="1:21" ht="37.5" customHeight="1" x14ac:dyDescent="0.25">
      <c r="A674" s="19">
        <v>44971</v>
      </c>
      <c r="B674" s="13">
        <v>7</v>
      </c>
      <c r="C674" t="s">
        <v>3</v>
      </c>
      <c r="D674" t="s">
        <v>4</v>
      </c>
      <c r="E674" t="s">
        <v>5</v>
      </c>
      <c r="F674" s="6">
        <v>113014081</v>
      </c>
      <c r="G674" t="s">
        <v>267</v>
      </c>
      <c r="H674" t="s">
        <v>285</v>
      </c>
      <c r="I674">
        <v>0</v>
      </c>
      <c r="J674">
        <v>0</v>
      </c>
      <c r="K674">
        <v>0</v>
      </c>
      <c r="L674">
        <v>0</v>
      </c>
      <c r="M674">
        <v>0.21</v>
      </c>
      <c r="N674" s="7" t="e">
        <f>VLOOKUP(F674,HC!A$6:D$100,3,FALSE)</f>
        <v>#N/A</v>
      </c>
      <c r="O674" s="7" t="str">
        <f>VLOOKUP(F674,HC!A$6:D$1000,2,FALSE)</f>
        <v>fraugene</v>
      </c>
      <c r="P674" s="7" t="s">
        <v>665</v>
      </c>
      <c r="Q674" s="7" t="s">
        <v>722</v>
      </c>
      <c r="R674" t="s">
        <v>499</v>
      </c>
      <c r="U674">
        <f t="shared" si="12"/>
        <v>32</v>
      </c>
    </row>
    <row r="675" spans="1:21" ht="37.5" customHeight="1" x14ac:dyDescent="0.25">
      <c r="A675" s="19">
        <v>44971</v>
      </c>
      <c r="B675" s="13">
        <v>7</v>
      </c>
      <c r="C675" t="s">
        <v>3</v>
      </c>
      <c r="D675" t="s">
        <v>4</v>
      </c>
      <c r="E675" t="s">
        <v>5</v>
      </c>
      <c r="F675" s="6">
        <v>113020463</v>
      </c>
      <c r="G675" t="s">
        <v>321</v>
      </c>
      <c r="H675" t="s">
        <v>14</v>
      </c>
      <c r="I675">
        <v>0</v>
      </c>
      <c r="J675">
        <v>0</v>
      </c>
      <c r="K675">
        <v>0</v>
      </c>
      <c r="L675">
        <v>0</v>
      </c>
      <c r="M675">
        <v>0.28999999999999998</v>
      </c>
      <c r="N675" s="7" t="e">
        <f>VLOOKUP(F675,HC!A$6:D$100,3,FALSE)</f>
        <v>#N/A</v>
      </c>
      <c r="O675" s="7" t="str">
        <f>VLOOKUP(F675,HC!A$6:D$1000,2,FALSE)</f>
        <v>myriamav</v>
      </c>
      <c r="P675" s="7" t="s">
        <v>661</v>
      </c>
      <c r="Q675" s="7" t="s">
        <v>681</v>
      </c>
      <c r="R675" t="s">
        <v>10</v>
      </c>
      <c r="U675">
        <f t="shared" si="12"/>
        <v>24</v>
      </c>
    </row>
    <row r="676" spans="1:21" ht="37.5" customHeight="1" x14ac:dyDescent="0.25">
      <c r="A676" s="19">
        <v>44971</v>
      </c>
      <c r="B676" s="13">
        <v>7</v>
      </c>
      <c r="C676" t="s">
        <v>3</v>
      </c>
      <c r="D676" t="s">
        <v>4</v>
      </c>
      <c r="E676" t="s">
        <v>5</v>
      </c>
      <c r="F676" s="6">
        <v>200404250</v>
      </c>
      <c r="G676" t="s">
        <v>51</v>
      </c>
      <c r="H676" t="s">
        <v>285</v>
      </c>
      <c r="I676">
        <v>0</v>
      </c>
      <c r="J676">
        <v>0</v>
      </c>
      <c r="K676">
        <v>0</v>
      </c>
      <c r="L676">
        <v>0</v>
      </c>
      <c r="M676">
        <v>1.35</v>
      </c>
      <c r="N676" s="7" t="e">
        <f>VLOOKUP(F676,HC!A$6:D$100,3,FALSE)</f>
        <v>#N/A</v>
      </c>
      <c r="O676" s="7" t="str">
        <f>VLOOKUP(F676,HC!A$6:D$1000,2,FALSE)</f>
        <v>xcathurt</v>
      </c>
      <c r="P676" s="7" t="s">
        <v>662</v>
      </c>
      <c r="Q676" s="7" t="s">
        <v>767</v>
      </c>
      <c r="R676" t="s">
        <v>680</v>
      </c>
      <c r="U676">
        <f t="shared" si="12"/>
        <v>124</v>
      </c>
    </row>
    <row r="677" spans="1:21" ht="37.5" customHeight="1" x14ac:dyDescent="0.25">
      <c r="A677" s="19">
        <v>44971</v>
      </c>
      <c r="B677" s="13">
        <v>7</v>
      </c>
      <c r="C677" t="s">
        <v>3</v>
      </c>
      <c r="D677" t="s">
        <v>4</v>
      </c>
      <c r="E677" t="s">
        <v>21</v>
      </c>
      <c r="F677" s="6">
        <v>200509428</v>
      </c>
      <c r="G677" t="s">
        <v>272</v>
      </c>
      <c r="H677" t="s">
        <v>49</v>
      </c>
      <c r="I677">
        <v>0</v>
      </c>
      <c r="J677">
        <v>0</v>
      </c>
      <c r="K677">
        <v>0</v>
      </c>
      <c r="L677">
        <v>0</v>
      </c>
      <c r="M677">
        <v>0.17</v>
      </c>
      <c r="N677" s="7" t="e">
        <f>VLOOKUP(F677,HC!A$6:D$100,3,FALSE)</f>
        <v>#N/A</v>
      </c>
      <c r="O677" s="7" t="e">
        <f>VLOOKUP(F677,HC!A$6:D$1000,2,FALSE)</f>
        <v>#N/A</v>
      </c>
      <c r="P677" s="7" t="s">
        <v>661</v>
      </c>
      <c r="Q677" s="7" t="s">
        <v>681</v>
      </c>
      <c r="R677" t="s">
        <v>10</v>
      </c>
      <c r="U677">
        <f t="shared" si="12"/>
        <v>1395</v>
      </c>
    </row>
    <row r="678" spans="1:21" ht="37.5" customHeight="1" x14ac:dyDescent="0.25">
      <c r="A678" s="19">
        <v>44971</v>
      </c>
      <c r="B678" s="13">
        <v>7</v>
      </c>
      <c r="C678" t="s">
        <v>3</v>
      </c>
      <c r="D678" t="s">
        <v>4</v>
      </c>
      <c r="E678" t="s">
        <v>21</v>
      </c>
      <c r="F678" s="6">
        <v>200514078</v>
      </c>
      <c r="G678" t="s">
        <v>651</v>
      </c>
      <c r="H678" t="s">
        <v>44</v>
      </c>
      <c r="I678">
        <v>0</v>
      </c>
      <c r="J678">
        <v>0</v>
      </c>
      <c r="K678">
        <v>0</v>
      </c>
      <c r="L678">
        <v>0</v>
      </c>
      <c r="M678">
        <v>1.23</v>
      </c>
      <c r="N678" s="7" t="e">
        <f>VLOOKUP(F678,HC!A$6:D$100,3,FALSE)</f>
        <v>#N/A</v>
      </c>
      <c r="O678" s="7" t="e">
        <f>VLOOKUP(F678,HC!A$6:D$1000,2,FALSE)</f>
        <v>#N/A</v>
      </c>
      <c r="P678" s="7" t="s">
        <v>661</v>
      </c>
      <c r="Q678" s="7" t="s">
        <v>759</v>
      </c>
      <c r="R678" t="s">
        <v>535</v>
      </c>
      <c r="U678">
        <f t="shared" si="12"/>
        <v>1395</v>
      </c>
    </row>
    <row r="679" spans="1:21" ht="37.5" customHeight="1" x14ac:dyDescent="0.25">
      <c r="A679" s="19">
        <v>44971</v>
      </c>
      <c r="B679" s="13">
        <v>7</v>
      </c>
      <c r="C679" t="s">
        <v>3</v>
      </c>
      <c r="D679" t="s">
        <v>4</v>
      </c>
      <c r="E679" t="s">
        <v>21</v>
      </c>
      <c r="F679" s="6">
        <v>200594875</v>
      </c>
      <c r="G679" t="s">
        <v>528</v>
      </c>
      <c r="H679" t="s">
        <v>47</v>
      </c>
      <c r="I679">
        <v>0</v>
      </c>
      <c r="J679">
        <v>0</v>
      </c>
      <c r="K679">
        <v>0</v>
      </c>
      <c r="L679">
        <v>0</v>
      </c>
      <c r="M679">
        <v>0.27</v>
      </c>
      <c r="N679" s="7" t="e">
        <f>VLOOKUP(F679,HC!A$6:D$100,3,FALSE)</f>
        <v>#N/A</v>
      </c>
      <c r="O679" s="7" t="str">
        <f>VLOOKUP(F679,HC!A$6:D$1000,2,FALSE)</f>
        <v>jwmaldon</v>
      </c>
      <c r="P679" s="7" t="s">
        <v>664</v>
      </c>
      <c r="Q679" s="7" t="s">
        <v>708</v>
      </c>
      <c r="R679" t="s">
        <v>719</v>
      </c>
      <c r="U679">
        <f t="shared" si="12"/>
        <v>7</v>
      </c>
    </row>
    <row r="680" spans="1:21" ht="37.5" customHeight="1" x14ac:dyDescent="0.25">
      <c r="A680" s="19">
        <v>44971</v>
      </c>
      <c r="B680" s="13">
        <v>7</v>
      </c>
      <c r="C680" t="s">
        <v>3</v>
      </c>
      <c r="D680" t="s">
        <v>4</v>
      </c>
      <c r="E680" t="s">
        <v>21</v>
      </c>
      <c r="F680" s="6">
        <v>200625027</v>
      </c>
      <c r="G680" t="s">
        <v>382</v>
      </c>
      <c r="H680" t="s">
        <v>14</v>
      </c>
      <c r="I680">
        <v>0</v>
      </c>
      <c r="J680">
        <v>0</v>
      </c>
      <c r="K680">
        <v>0</v>
      </c>
      <c r="L680">
        <v>0</v>
      </c>
      <c r="M680">
        <v>0.16</v>
      </c>
      <c r="N680" s="7" t="e">
        <f>VLOOKUP(F680,HC!A$6:D$100,3,FALSE)</f>
        <v>#N/A</v>
      </c>
      <c r="O680" s="7" t="e">
        <f>VLOOKUP(F680,HC!A$6:D$1000,2,FALSE)</f>
        <v>#N/A</v>
      </c>
      <c r="P680" s="7" t="s">
        <v>662</v>
      </c>
      <c r="Q680" s="7" t="s">
        <v>688</v>
      </c>
      <c r="R680" t="s">
        <v>20</v>
      </c>
      <c r="U680">
        <f t="shared" si="12"/>
        <v>1395</v>
      </c>
    </row>
    <row r="681" spans="1:21" ht="37.5" customHeight="1" x14ac:dyDescent="0.25">
      <c r="A681" s="19">
        <v>44971</v>
      </c>
      <c r="B681" s="13">
        <v>7</v>
      </c>
      <c r="C681" t="s">
        <v>3</v>
      </c>
      <c r="D681" t="s">
        <v>4</v>
      </c>
      <c r="E681" t="s">
        <v>21</v>
      </c>
      <c r="F681" s="6">
        <v>200625528</v>
      </c>
      <c r="G681" t="s">
        <v>607</v>
      </c>
      <c r="H681" t="s">
        <v>47</v>
      </c>
      <c r="I681">
        <v>0</v>
      </c>
      <c r="J681">
        <v>0</v>
      </c>
      <c r="K681">
        <v>0</v>
      </c>
      <c r="L681">
        <v>0</v>
      </c>
      <c r="M681">
        <v>0.13</v>
      </c>
      <c r="N681" s="7" t="e">
        <f>VLOOKUP(F681,HC!A$6:D$100,3,FALSE)</f>
        <v>#N/A</v>
      </c>
      <c r="O681" s="7" t="str">
        <f>VLOOKUP(F681,HC!A$6:D$1000,2,FALSE)</f>
        <v>olivlizb</v>
      </c>
      <c r="P681" s="7" t="s">
        <v>662</v>
      </c>
      <c r="Q681" s="7" t="s">
        <v>688</v>
      </c>
      <c r="R681" t="s">
        <v>25</v>
      </c>
      <c r="U681">
        <f t="shared" si="12"/>
        <v>50</v>
      </c>
    </row>
    <row r="682" spans="1:21" ht="37.5" customHeight="1" x14ac:dyDescent="0.25">
      <c r="A682" s="19">
        <v>44972</v>
      </c>
      <c r="B682" s="13">
        <v>7</v>
      </c>
      <c r="C682" t="s">
        <v>3</v>
      </c>
      <c r="D682" t="s">
        <v>4</v>
      </c>
      <c r="E682" t="s">
        <v>5</v>
      </c>
      <c r="F682" s="6">
        <v>112912675</v>
      </c>
      <c r="G682" t="s">
        <v>326</v>
      </c>
      <c r="H682" t="s">
        <v>268</v>
      </c>
      <c r="I682">
        <v>0</v>
      </c>
      <c r="J682">
        <v>0</v>
      </c>
      <c r="K682">
        <v>0</v>
      </c>
      <c r="L682">
        <v>0</v>
      </c>
      <c r="M682">
        <v>0.96</v>
      </c>
      <c r="N682" s="7" t="e">
        <f>VLOOKUP(F682,HC!A$6:D$100,3,FALSE)</f>
        <v>#N/A</v>
      </c>
      <c r="O682" s="7" t="e">
        <f>VLOOKUP(F682,HC!A$6:D$1000,2,FALSE)</f>
        <v>#N/A</v>
      </c>
      <c r="P682" s="7" t="s">
        <v>664</v>
      </c>
      <c r="Q682" s="7" t="s">
        <v>710</v>
      </c>
      <c r="R682" t="s">
        <v>753</v>
      </c>
      <c r="U682">
        <f t="shared" si="12"/>
        <v>1395</v>
      </c>
    </row>
    <row r="683" spans="1:21" ht="37.5" customHeight="1" x14ac:dyDescent="0.25">
      <c r="A683" s="19">
        <v>44972</v>
      </c>
      <c r="B683" s="13">
        <v>7</v>
      </c>
      <c r="C683" t="s">
        <v>3</v>
      </c>
      <c r="D683" t="s">
        <v>4</v>
      </c>
      <c r="E683" t="s">
        <v>5</v>
      </c>
      <c r="F683" s="6">
        <v>113003631</v>
      </c>
      <c r="G683" t="s">
        <v>479</v>
      </c>
      <c r="H683" t="s">
        <v>47</v>
      </c>
      <c r="I683">
        <v>0</v>
      </c>
      <c r="J683">
        <v>0</v>
      </c>
      <c r="K683">
        <v>0</v>
      </c>
      <c r="L683">
        <v>0</v>
      </c>
      <c r="M683">
        <v>0.15</v>
      </c>
      <c r="N683" s="7" t="e">
        <f>VLOOKUP(F683,HC!A$6:D$100,3,FALSE)</f>
        <v>#N/A</v>
      </c>
      <c r="O683" s="7" t="e">
        <f>VLOOKUP(F683,HC!A$6:D$1000,2,FALSE)</f>
        <v>#N/A</v>
      </c>
      <c r="P683" s="7" t="s">
        <v>662</v>
      </c>
      <c r="Q683" s="7" t="s">
        <v>687</v>
      </c>
      <c r="R683" t="s">
        <v>544</v>
      </c>
      <c r="U683">
        <f t="shared" si="12"/>
        <v>1395</v>
      </c>
    </row>
    <row r="684" spans="1:21" ht="37.5" customHeight="1" x14ac:dyDescent="0.25">
      <c r="A684" s="19">
        <v>44972</v>
      </c>
      <c r="B684" s="13">
        <v>7</v>
      </c>
      <c r="C684" t="s">
        <v>3</v>
      </c>
      <c r="D684" t="s">
        <v>4</v>
      </c>
      <c r="E684" t="s">
        <v>5</v>
      </c>
      <c r="F684" s="6">
        <v>113014560</v>
      </c>
      <c r="G684" t="s">
        <v>599</v>
      </c>
      <c r="H684" t="s">
        <v>17</v>
      </c>
      <c r="I684">
        <v>0</v>
      </c>
      <c r="J684">
        <v>0</v>
      </c>
      <c r="K684">
        <v>0</v>
      </c>
      <c r="L684">
        <v>0</v>
      </c>
      <c r="M684">
        <v>0.27</v>
      </c>
      <c r="N684" s="7" t="e">
        <f>VLOOKUP(F684,HC!A$6:D$100,3,FALSE)</f>
        <v>#N/A</v>
      </c>
      <c r="O684" s="7" t="str">
        <f>VLOOKUP(F684,HC!A$6:D$1000,2,FALSE)</f>
        <v>zlopamer</v>
      </c>
      <c r="P684" s="7" t="s">
        <v>662</v>
      </c>
      <c r="Q684" s="7" t="s">
        <v>691</v>
      </c>
      <c r="R684" t="s">
        <v>15</v>
      </c>
      <c r="U684">
        <f t="shared" si="12"/>
        <v>15</v>
      </c>
    </row>
    <row r="685" spans="1:21" ht="37.5" customHeight="1" x14ac:dyDescent="0.25">
      <c r="A685" s="19">
        <v>44972</v>
      </c>
      <c r="B685" s="13">
        <v>7</v>
      </c>
      <c r="C685" t="s">
        <v>3</v>
      </c>
      <c r="D685" t="s">
        <v>4</v>
      </c>
      <c r="E685" t="s">
        <v>5</v>
      </c>
      <c r="F685" s="6">
        <v>113019083</v>
      </c>
      <c r="G685" t="s">
        <v>442</v>
      </c>
      <c r="H685" t="s">
        <v>7</v>
      </c>
      <c r="I685">
        <v>0</v>
      </c>
      <c r="J685">
        <v>0</v>
      </c>
      <c r="K685">
        <v>0</v>
      </c>
      <c r="L685">
        <v>0</v>
      </c>
      <c r="M685">
        <v>0.18</v>
      </c>
      <c r="N685" s="7" t="e">
        <f>VLOOKUP(F685,HC!A$6:D$100,3,FALSE)</f>
        <v>#N/A</v>
      </c>
      <c r="O685" s="7" t="e">
        <f>VLOOKUP(F685,HC!A$6:D$1000,2,FALSE)</f>
        <v>#N/A</v>
      </c>
      <c r="P685" s="7" t="s">
        <v>663</v>
      </c>
      <c r="Q685" s="7" t="s">
        <v>695</v>
      </c>
      <c r="R685" t="s">
        <v>20</v>
      </c>
      <c r="U685">
        <f t="shared" si="12"/>
        <v>1395</v>
      </c>
    </row>
    <row r="686" spans="1:21" ht="37.5" customHeight="1" x14ac:dyDescent="0.25">
      <c r="A686" s="19">
        <v>44972</v>
      </c>
      <c r="B686" s="13">
        <v>7</v>
      </c>
      <c r="C686" t="s">
        <v>3</v>
      </c>
      <c r="D686" t="s">
        <v>4</v>
      </c>
      <c r="E686" t="s">
        <v>21</v>
      </c>
      <c r="F686" s="6">
        <v>200615883</v>
      </c>
      <c r="G686" t="s">
        <v>508</v>
      </c>
      <c r="H686" t="s">
        <v>7</v>
      </c>
      <c r="I686">
        <v>0</v>
      </c>
      <c r="J686">
        <v>0</v>
      </c>
      <c r="K686">
        <v>0</v>
      </c>
      <c r="L686">
        <v>0</v>
      </c>
      <c r="M686">
        <v>0.19</v>
      </c>
      <c r="N686" s="7" t="e">
        <f>VLOOKUP(F686,HC!A$6:D$100,3,FALSE)</f>
        <v>#N/A</v>
      </c>
      <c r="O686" s="7" t="e">
        <f>VLOOKUP(F686,HC!A$6:D$1000,2,FALSE)</f>
        <v>#N/A</v>
      </c>
      <c r="P686" s="7" t="s">
        <v>662</v>
      </c>
      <c r="Q686" s="7" t="s">
        <v>688</v>
      </c>
      <c r="R686" t="s">
        <v>25</v>
      </c>
      <c r="U686">
        <f t="shared" si="12"/>
        <v>1395</v>
      </c>
    </row>
    <row r="687" spans="1:21" ht="37.5" customHeight="1" x14ac:dyDescent="0.25">
      <c r="A687" s="19">
        <v>44973</v>
      </c>
      <c r="B687" s="13">
        <v>7</v>
      </c>
      <c r="C687" t="s">
        <v>3</v>
      </c>
      <c r="D687" t="s">
        <v>4</v>
      </c>
      <c r="E687" t="s">
        <v>5</v>
      </c>
      <c r="F687" s="6">
        <v>112912983</v>
      </c>
      <c r="G687" t="s">
        <v>558</v>
      </c>
      <c r="H687" t="s">
        <v>332</v>
      </c>
      <c r="I687">
        <v>0</v>
      </c>
      <c r="J687">
        <v>0</v>
      </c>
      <c r="K687">
        <v>0</v>
      </c>
      <c r="L687">
        <v>0</v>
      </c>
      <c r="M687">
        <v>0.19</v>
      </c>
      <c r="N687" s="7" t="str">
        <f>VLOOKUP(F687,HC!A$6:D$100,3,FALSE)</f>
        <v>NF-X1900</v>
      </c>
      <c r="O687" s="7" t="str">
        <f>VLOOKUP(F687,HC!A$6:D$1000,2,FALSE)</f>
        <v>wrocirod</v>
      </c>
      <c r="P687" s="7" t="s">
        <v>664</v>
      </c>
      <c r="Q687" s="7" t="s">
        <v>708</v>
      </c>
      <c r="R687" t="s">
        <v>719</v>
      </c>
      <c r="U687">
        <f t="shared" si="12"/>
        <v>16</v>
      </c>
    </row>
    <row r="688" spans="1:21" ht="37.5" customHeight="1" x14ac:dyDescent="0.25">
      <c r="A688" s="19">
        <v>44973</v>
      </c>
      <c r="B688" s="13">
        <v>7</v>
      </c>
      <c r="C688" t="s">
        <v>3</v>
      </c>
      <c r="D688" t="s">
        <v>4</v>
      </c>
      <c r="E688" t="s">
        <v>5</v>
      </c>
      <c r="F688" s="6">
        <v>112946339</v>
      </c>
      <c r="G688" t="s">
        <v>754</v>
      </c>
      <c r="H688" t="s">
        <v>49</v>
      </c>
      <c r="I688">
        <v>0</v>
      </c>
      <c r="J688">
        <v>0</v>
      </c>
      <c r="K688">
        <v>0</v>
      </c>
      <c r="L688">
        <v>0</v>
      </c>
      <c r="M688">
        <v>0.1</v>
      </c>
      <c r="N688" s="7" t="e">
        <f>VLOOKUP(F688,HC!A$6:D$100,3,FALSE)</f>
        <v>#N/A</v>
      </c>
      <c r="O688" s="7" t="e">
        <f>VLOOKUP(F688,HC!A$6:D$1000,2,FALSE)</f>
        <v>#N/A</v>
      </c>
      <c r="P688" s="7" t="s">
        <v>663</v>
      </c>
      <c r="Q688" s="7" t="s">
        <v>695</v>
      </c>
      <c r="R688" t="s">
        <v>20</v>
      </c>
      <c r="U688">
        <f t="shared" si="12"/>
        <v>1395</v>
      </c>
    </row>
    <row r="689" spans="1:21" ht="37.5" customHeight="1" x14ac:dyDescent="0.25">
      <c r="A689" s="19">
        <v>44973</v>
      </c>
      <c r="B689" s="13">
        <v>7</v>
      </c>
      <c r="C689" t="s">
        <v>3</v>
      </c>
      <c r="D689" t="s">
        <v>4</v>
      </c>
      <c r="E689" t="s">
        <v>5</v>
      </c>
      <c r="F689" s="6">
        <v>112971955</v>
      </c>
      <c r="G689" t="s">
        <v>551</v>
      </c>
      <c r="H689" t="s">
        <v>459</v>
      </c>
      <c r="I689">
        <v>0</v>
      </c>
      <c r="J689">
        <v>0</v>
      </c>
      <c r="K689">
        <v>0</v>
      </c>
      <c r="L689">
        <v>0</v>
      </c>
      <c r="M689">
        <v>0.49</v>
      </c>
      <c r="N689" s="7" t="e">
        <f>VLOOKUP(F689,HC!A$6:D$100,3,FALSE)</f>
        <v>#N/A</v>
      </c>
      <c r="O689" s="7" t="e">
        <f>VLOOKUP(F689,HC!A$6:D$1000,2,FALSE)</f>
        <v>#N/A</v>
      </c>
      <c r="P689" s="7" t="s">
        <v>662</v>
      </c>
      <c r="Q689" s="7" t="s">
        <v>691</v>
      </c>
      <c r="R689" t="s">
        <v>15</v>
      </c>
      <c r="U689">
        <f t="shared" si="12"/>
        <v>1395</v>
      </c>
    </row>
    <row r="690" spans="1:21" ht="37.5" customHeight="1" x14ac:dyDescent="0.25">
      <c r="A690" s="19">
        <v>44973</v>
      </c>
      <c r="B690" s="13">
        <v>7</v>
      </c>
      <c r="C690" t="s">
        <v>3</v>
      </c>
      <c r="D690" t="s">
        <v>4</v>
      </c>
      <c r="E690" t="s">
        <v>5</v>
      </c>
      <c r="F690" s="6">
        <v>112971961</v>
      </c>
      <c r="G690" t="s">
        <v>755</v>
      </c>
      <c r="H690" t="s">
        <v>332</v>
      </c>
      <c r="I690">
        <v>0</v>
      </c>
      <c r="J690">
        <v>0</v>
      </c>
      <c r="K690">
        <v>0</v>
      </c>
      <c r="L690">
        <v>0</v>
      </c>
      <c r="M690">
        <v>0.14000000000000001</v>
      </c>
      <c r="N690" s="7" t="e">
        <f>VLOOKUP(F690,HC!A$6:D$100,3,FALSE)</f>
        <v>#N/A</v>
      </c>
      <c r="O690" s="7" t="e">
        <f>VLOOKUP(F690,HC!A$6:D$1000,2,FALSE)</f>
        <v>#N/A</v>
      </c>
      <c r="P690" s="7" t="s">
        <v>661</v>
      </c>
      <c r="Q690" s="7" t="s">
        <v>681</v>
      </c>
      <c r="R690" t="s">
        <v>10</v>
      </c>
      <c r="U690">
        <f t="shared" si="12"/>
        <v>1395</v>
      </c>
    </row>
    <row r="691" spans="1:21" ht="37.5" customHeight="1" x14ac:dyDescent="0.25">
      <c r="A691" s="19">
        <v>44973</v>
      </c>
      <c r="B691" s="13">
        <v>7</v>
      </c>
      <c r="C691" t="s">
        <v>3</v>
      </c>
      <c r="D691" t="s">
        <v>4</v>
      </c>
      <c r="E691" t="s">
        <v>5</v>
      </c>
      <c r="F691" s="6">
        <v>112980812</v>
      </c>
      <c r="G691" t="s">
        <v>324</v>
      </c>
      <c r="H691" t="s">
        <v>17</v>
      </c>
      <c r="I691">
        <v>0</v>
      </c>
      <c r="J691">
        <v>0</v>
      </c>
      <c r="K691">
        <v>0</v>
      </c>
      <c r="L691">
        <v>0</v>
      </c>
      <c r="M691">
        <v>0.62</v>
      </c>
      <c r="N691" s="7" t="str">
        <f>VLOOKUP(F691,HC!A$6:D$100,3,FALSE)</f>
        <v>DA-X0700</v>
      </c>
      <c r="O691" s="7" t="str">
        <f>VLOOKUP(F691,HC!A$6:D$1000,2,FALSE)</f>
        <v>maryjacp</v>
      </c>
      <c r="P691" s="7" t="s">
        <v>661</v>
      </c>
      <c r="Q691" s="7" t="s">
        <v>681</v>
      </c>
      <c r="R691" t="s">
        <v>10</v>
      </c>
      <c r="U691">
        <f t="shared" si="12"/>
        <v>15</v>
      </c>
    </row>
    <row r="692" spans="1:21" ht="37.5" customHeight="1" x14ac:dyDescent="0.25">
      <c r="A692" s="19">
        <v>44973</v>
      </c>
      <c r="B692" s="13">
        <v>7</v>
      </c>
      <c r="C692" t="s">
        <v>3</v>
      </c>
      <c r="D692" t="s">
        <v>4</v>
      </c>
      <c r="E692" t="s">
        <v>5</v>
      </c>
      <c r="F692" s="6">
        <v>113014081</v>
      </c>
      <c r="G692" t="s">
        <v>267</v>
      </c>
      <c r="H692" t="s">
        <v>285</v>
      </c>
      <c r="I692">
        <v>0</v>
      </c>
      <c r="J692">
        <v>0</v>
      </c>
      <c r="K692">
        <v>0</v>
      </c>
      <c r="L692">
        <v>0</v>
      </c>
      <c r="M692">
        <v>2.04</v>
      </c>
      <c r="N692" s="7" t="e">
        <f>VLOOKUP(F692,HC!A$6:D$100,3,FALSE)</f>
        <v>#N/A</v>
      </c>
      <c r="O692" s="7" t="str">
        <f>VLOOKUP(F692,HC!A$6:D$1000,2,FALSE)</f>
        <v>fraugene</v>
      </c>
      <c r="P692" s="7" t="s">
        <v>664</v>
      </c>
      <c r="Q692" s="7" t="s">
        <v>711</v>
      </c>
      <c r="R692" t="s">
        <v>361</v>
      </c>
      <c r="U692">
        <f t="shared" si="12"/>
        <v>32</v>
      </c>
    </row>
    <row r="693" spans="1:21" ht="37.5" customHeight="1" x14ac:dyDescent="0.25">
      <c r="A693" s="19">
        <v>44973</v>
      </c>
      <c r="B693" s="13">
        <v>7</v>
      </c>
      <c r="C693" t="s">
        <v>3</v>
      </c>
      <c r="D693" t="s">
        <v>4</v>
      </c>
      <c r="E693" t="s">
        <v>5</v>
      </c>
      <c r="F693" s="6">
        <v>113014560</v>
      </c>
      <c r="G693" t="s">
        <v>599</v>
      </c>
      <c r="H693" t="s">
        <v>17</v>
      </c>
      <c r="I693">
        <v>0</v>
      </c>
      <c r="J693">
        <v>0</v>
      </c>
      <c r="K693">
        <v>0</v>
      </c>
      <c r="L693">
        <v>0</v>
      </c>
      <c r="M693">
        <v>0.25</v>
      </c>
      <c r="N693" s="7" t="e">
        <f>VLOOKUP(F693,HC!A$6:D$100,3,FALSE)</f>
        <v>#N/A</v>
      </c>
      <c r="O693" s="7" t="str">
        <f>VLOOKUP(F693,HC!A$6:D$1000,2,FALSE)</f>
        <v>zlopamer</v>
      </c>
      <c r="P693" s="7" t="s">
        <v>662</v>
      </c>
      <c r="Q693" s="7" t="s">
        <v>691</v>
      </c>
      <c r="R693" t="s">
        <v>25</v>
      </c>
      <c r="U693">
        <f t="shared" si="12"/>
        <v>15</v>
      </c>
    </row>
    <row r="694" spans="1:21" ht="37.5" customHeight="1" x14ac:dyDescent="0.25">
      <c r="A694" s="19">
        <v>44973</v>
      </c>
      <c r="B694" s="13">
        <v>7</v>
      </c>
      <c r="C694" t="s">
        <v>3</v>
      </c>
      <c r="D694" t="s">
        <v>4</v>
      </c>
      <c r="E694" t="s">
        <v>5</v>
      </c>
      <c r="F694" s="6">
        <v>113019083</v>
      </c>
      <c r="G694" t="s">
        <v>442</v>
      </c>
      <c r="H694" t="s">
        <v>7</v>
      </c>
      <c r="I694">
        <v>0</v>
      </c>
      <c r="J694">
        <v>0</v>
      </c>
      <c r="K694">
        <v>0</v>
      </c>
      <c r="L694">
        <v>0</v>
      </c>
      <c r="M694">
        <v>0.51</v>
      </c>
      <c r="N694" s="7" t="e">
        <f>VLOOKUP(F694,HC!A$6:D$100,3,FALSE)</f>
        <v>#N/A</v>
      </c>
      <c r="O694" s="7" t="e">
        <f>VLOOKUP(F694,HC!A$6:D$1000,2,FALSE)</f>
        <v>#N/A</v>
      </c>
      <c r="P694" s="7" t="s">
        <v>661</v>
      </c>
      <c r="Q694" s="7" t="s">
        <v>681</v>
      </c>
      <c r="R694" t="s">
        <v>10</v>
      </c>
      <c r="U694">
        <f t="shared" si="12"/>
        <v>1395</v>
      </c>
    </row>
    <row r="695" spans="1:21" ht="37.5" customHeight="1" x14ac:dyDescent="0.25">
      <c r="A695" s="19">
        <v>44973</v>
      </c>
      <c r="B695" s="13">
        <v>7</v>
      </c>
      <c r="C695" t="s">
        <v>3</v>
      </c>
      <c r="D695" t="s">
        <v>4</v>
      </c>
      <c r="E695" t="s">
        <v>5</v>
      </c>
      <c r="F695" s="6">
        <v>113044763</v>
      </c>
      <c r="G695" t="s">
        <v>553</v>
      </c>
      <c r="H695" t="s">
        <v>14</v>
      </c>
      <c r="I695">
        <v>0</v>
      </c>
      <c r="J695">
        <v>0</v>
      </c>
      <c r="K695">
        <v>0</v>
      </c>
      <c r="L695">
        <v>0</v>
      </c>
      <c r="M695">
        <v>0.14000000000000001</v>
      </c>
      <c r="N695" s="7" t="e">
        <f>VLOOKUP(F695,HC!A$6:D$100,3,FALSE)</f>
        <v>#N/A</v>
      </c>
      <c r="O695" s="7" t="str">
        <f>VLOOKUP(F695,HC!A$6:D$1000,2,FALSE)</f>
        <v>urbistep</v>
      </c>
      <c r="P695" s="7" t="s">
        <v>670</v>
      </c>
      <c r="Q695" s="7" t="s">
        <v>749</v>
      </c>
      <c r="R695" t="s">
        <v>635</v>
      </c>
      <c r="U695">
        <f t="shared" si="12"/>
        <v>6</v>
      </c>
    </row>
    <row r="696" spans="1:21" ht="37.5" customHeight="1" x14ac:dyDescent="0.25">
      <c r="A696" s="19">
        <v>44973</v>
      </c>
      <c r="B696" s="13">
        <v>7</v>
      </c>
      <c r="C696" t="s">
        <v>3</v>
      </c>
      <c r="D696" t="s">
        <v>4</v>
      </c>
      <c r="E696" t="s">
        <v>5</v>
      </c>
      <c r="F696" s="6">
        <v>113052151</v>
      </c>
      <c r="G696" t="s">
        <v>482</v>
      </c>
      <c r="H696" t="s">
        <v>17</v>
      </c>
      <c r="I696">
        <v>0</v>
      </c>
      <c r="J696">
        <v>0</v>
      </c>
      <c r="K696">
        <v>0</v>
      </c>
      <c r="L696">
        <v>0</v>
      </c>
      <c r="M696">
        <v>0.6</v>
      </c>
      <c r="N696" s="7" t="e">
        <f>VLOOKUP(F696,HC!A$6:D$100,3,FALSE)</f>
        <v>#N/A</v>
      </c>
      <c r="O696" s="7" t="str">
        <f>VLOOKUP(F696,HC!A$6:D$1000,2,FALSE)</f>
        <v>nilaurab</v>
      </c>
      <c r="P696" s="7"/>
      <c r="Q696" s="7"/>
      <c r="R696" t="s">
        <v>612</v>
      </c>
      <c r="U696">
        <f t="shared" si="12"/>
        <v>28</v>
      </c>
    </row>
    <row r="697" spans="1:21" ht="37.5" customHeight="1" x14ac:dyDescent="0.25">
      <c r="A697" s="19">
        <v>44973</v>
      </c>
      <c r="B697" s="13">
        <v>7</v>
      </c>
      <c r="C697" t="s">
        <v>3</v>
      </c>
      <c r="D697" t="s">
        <v>4</v>
      </c>
      <c r="E697" t="s">
        <v>5</v>
      </c>
      <c r="F697" s="6">
        <v>200404250</v>
      </c>
      <c r="G697" t="s">
        <v>51</v>
      </c>
      <c r="H697" t="s">
        <v>285</v>
      </c>
      <c r="I697">
        <v>0</v>
      </c>
      <c r="J697">
        <v>0</v>
      </c>
      <c r="K697">
        <v>0</v>
      </c>
      <c r="L697">
        <v>0</v>
      </c>
      <c r="M697">
        <v>0.38</v>
      </c>
      <c r="N697" s="7" t="e">
        <f>VLOOKUP(F697,HC!A$6:D$100,3,FALSE)</f>
        <v>#N/A</v>
      </c>
      <c r="O697" s="7" t="str">
        <f>VLOOKUP(F697,HC!A$6:D$1000,2,FALSE)</f>
        <v>xcathurt</v>
      </c>
      <c r="P697" s="7" t="s">
        <v>662</v>
      </c>
      <c r="Q697" s="7" t="s">
        <v>766</v>
      </c>
      <c r="R697" t="s">
        <v>680</v>
      </c>
      <c r="U697">
        <f t="shared" si="12"/>
        <v>124</v>
      </c>
    </row>
    <row r="698" spans="1:21" ht="37.5" customHeight="1" x14ac:dyDescent="0.25">
      <c r="A698" s="19">
        <v>44973</v>
      </c>
      <c r="B698" s="13">
        <v>7</v>
      </c>
      <c r="C698" t="s">
        <v>3</v>
      </c>
      <c r="D698" t="s">
        <v>4</v>
      </c>
      <c r="E698" t="s">
        <v>21</v>
      </c>
      <c r="F698" s="6">
        <v>200508371</v>
      </c>
      <c r="G698" t="s">
        <v>339</v>
      </c>
      <c r="H698" t="s">
        <v>298</v>
      </c>
      <c r="I698">
        <v>0</v>
      </c>
      <c r="J698">
        <v>0</v>
      </c>
      <c r="K698">
        <v>0</v>
      </c>
      <c r="L698">
        <v>0</v>
      </c>
      <c r="M698">
        <v>0.54</v>
      </c>
      <c r="N698" s="7" t="e">
        <f>VLOOKUP(F698,HC!A$6:D$100,3,FALSE)</f>
        <v>#N/A</v>
      </c>
      <c r="O698" s="7" t="e">
        <f>VLOOKUP(F698,HC!A$6:D$1000,2,FALSE)</f>
        <v>#N/A</v>
      </c>
      <c r="P698" s="7" t="s">
        <v>664</v>
      </c>
      <c r="Q698" s="7" t="s">
        <v>710</v>
      </c>
      <c r="R698" t="s">
        <v>634</v>
      </c>
      <c r="U698">
        <f t="shared" si="12"/>
        <v>1395</v>
      </c>
    </row>
    <row r="699" spans="1:21" ht="37.5" customHeight="1" x14ac:dyDescent="0.25">
      <c r="A699" s="19">
        <v>44973</v>
      </c>
      <c r="B699" s="13">
        <v>7</v>
      </c>
      <c r="C699" t="s">
        <v>3</v>
      </c>
      <c r="D699" t="s">
        <v>4</v>
      </c>
      <c r="E699" t="s">
        <v>21</v>
      </c>
      <c r="F699" s="6">
        <v>200514421</v>
      </c>
      <c r="G699" t="s">
        <v>301</v>
      </c>
      <c r="H699" t="s">
        <v>285</v>
      </c>
      <c r="I699">
        <v>0</v>
      </c>
      <c r="J699">
        <v>0</v>
      </c>
      <c r="K699">
        <v>0</v>
      </c>
      <c r="L699">
        <v>0</v>
      </c>
      <c r="M699">
        <v>0.24</v>
      </c>
      <c r="N699" s="7" t="e">
        <f>VLOOKUP(F699,HC!A$6:D$100,3,FALSE)</f>
        <v>#N/A</v>
      </c>
      <c r="O699" s="7" t="str">
        <f>VLOOKUP(F699,HC!A$6:D$1000,2,FALSE)</f>
        <v>padillms</v>
      </c>
      <c r="P699" s="7" t="s">
        <v>664</v>
      </c>
      <c r="Q699" s="7" t="s">
        <v>709</v>
      </c>
      <c r="R699" t="s">
        <v>586</v>
      </c>
      <c r="U699">
        <f t="shared" si="12"/>
        <v>21</v>
      </c>
    </row>
    <row r="700" spans="1:21" ht="37.5" customHeight="1" x14ac:dyDescent="0.25">
      <c r="A700" s="19">
        <v>44973</v>
      </c>
      <c r="B700" s="13">
        <v>7</v>
      </c>
      <c r="C700" t="s">
        <v>3</v>
      </c>
      <c r="D700" t="s">
        <v>4</v>
      </c>
      <c r="E700" t="s">
        <v>21</v>
      </c>
      <c r="F700" s="6">
        <v>200564895</v>
      </c>
      <c r="G700" t="s">
        <v>520</v>
      </c>
      <c r="H700" t="s">
        <v>49</v>
      </c>
      <c r="I700">
        <v>0</v>
      </c>
      <c r="J700">
        <v>0</v>
      </c>
      <c r="K700">
        <v>0</v>
      </c>
      <c r="L700">
        <v>0</v>
      </c>
      <c r="M700">
        <v>0.16</v>
      </c>
      <c r="N700" s="7" t="e">
        <f>VLOOKUP(F700,HC!A$6:D$100,3,FALSE)</f>
        <v>#N/A</v>
      </c>
      <c r="O700" s="7" t="str">
        <f>VLOOKUP(F700,HC!A$6:D$1000,2,FALSE)</f>
        <v>hmendobr</v>
      </c>
      <c r="P700" s="7" t="s">
        <v>662</v>
      </c>
      <c r="Q700" s="7" t="s">
        <v>757</v>
      </c>
      <c r="R700" t="s">
        <v>25</v>
      </c>
      <c r="U700">
        <f t="shared" si="12"/>
        <v>16</v>
      </c>
    </row>
    <row r="701" spans="1:21" ht="37.5" customHeight="1" x14ac:dyDescent="0.25">
      <c r="A701" s="19">
        <v>44974</v>
      </c>
      <c r="B701" s="13">
        <v>7</v>
      </c>
      <c r="C701" t="s">
        <v>3</v>
      </c>
      <c r="D701" t="s">
        <v>4</v>
      </c>
      <c r="E701" t="s">
        <v>21</v>
      </c>
      <c r="F701" s="6">
        <v>109227086</v>
      </c>
      <c r="G701" t="s">
        <v>430</v>
      </c>
      <c r="H701" t="s">
        <v>14</v>
      </c>
      <c r="I701">
        <v>0</v>
      </c>
      <c r="J701">
        <v>0</v>
      </c>
      <c r="K701">
        <v>0</v>
      </c>
      <c r="L701">
        <v>0</v>
      </c>
      <c r="M701">
        <v>1.65</v>
      </c>
      <c r="N701" s="7" t="e">
        <f>VLOOKUP(F701,HC!A$6:D$100,3,FALSE)</f>
        <v>#N/A</v>
      </c>
      <c r="O701" s="7" t="e">
        <f>VLOOKUP(F701,HC!A$6:D$1000,2,FALSE)</f>
        <v>#N/A</v>
      </c>
      <c r="P701" s="7" t="s">
        <v>665</v>
      </c>
      <c r="Q701" s="7" t="s">
        <v>722</v>
      </c>
      <c r="R701" t="s">
        <v>499</v>
      </c>
      <c r="U701">
        <f t="shared" si="12"/>
        <v>1395</v>
      </c>
    </row>
    <row r="702" spans="1:21" ht="37.5" customHeight="1" x14ac:dyDescent="0.25">
      <c r="A702" s="19">
        <v>44974</v>
      </c>
      <c r="B702" s="13">
        <v>7</v>
      </c>
      <c r="C702" t="s">
        <v>3</v>
      </c>
      <c r="D702" t="s">
        <v>4</v>
      </c>
      <c r="E702" t="s">
        <v>5</v>
      </c>
      <c r="F702" s="6">
        <v>112912675</v>
      </c>
      <c r="G702" t="s">
        <v>326</v>
      </c>
      <c r="H702" t="s">
        <v>268</v>
      </c>
      <c r="I702">
        <v>0</v>
      </c>
      <c r="J702">
        <v>0</v>
      </c>
      <c r="K702">
        <v>0</v>
      </c>
      <c r="L702">
        <v>0</v>
      </c>
      <c r="M702">
        <v>0.41</v>
      </c>
      <c r="N702" s="7" t="e">
        <f>VLOOKUP(F702,HC!A$6:D$100,3,FALSE)</f>
        <v>#N/A</v>
      </c>
      <c r="O702" s="7" t="e">
        <f>VLOOKUP(F702,HC!A$6:D$1000,2,FALSE)</f>
        <v>#N/A</v>
      </c>
      <c r="P702" s="7" t="s">
        <v>664</v>
      </c>
      <c r="Q702" s="7" t="s">
        <v>710</v>
      </c>
      <c r="R702" t="s">
        <v>795</v>
      </c>
      <c r="U702">
        <f t="shared" si="12"/>
        <v>1395</v>
      </c>
    </row>
    <row r="703" spans="1:21" ht="37.5" customHeight="1" x14ac:dyDescent="0.25">
      <c r="A703" s="19">
        <v>44974</v>
      </c>
      <c r="B703" s="13">
        <v>7</v>
      </c>
      <c r="C703" t="s">
        <v>3</v>
      </c>
      <c r="D703" t="s">
        <v>4</v>
      </c>
      <c r="E703" t="s">
        <v>5</v>
      </c>
      <c r="F703" s="6">
        <v>112912677</v>
      </c>
      <c r="G703" t="s">
        <v>539</v>
      </c>
      <c r="H703" t="s">
        <v>332</v>
      </c>
      <c r="I703">
        <v>0</v>
      </c>
      <c r="J703">
        <v>0</v>
      </c>
      <c r="K703">
        <v>0</v>
      </c>
      <c r="L703">
        <v>0</v>
      </c>
      <c r="M703">
        <v>0.76</v>
      </c>
      <c r="N703" s="7" t="e">
        <f>VLOOKUP(F703,HC!A$6:D$100,3,FALSE)</f>
        <v>#N/A</v>
      </c>
      <c r="O703" s="7" t="e">
        <f>VLOOKUP(F703,HC!A$6:D$1000,2,FALSE)</f>
        <v>#N/A</v>
      </c>
      <c r="P703" s="7" t="s">
        <v>662</v>
      </c>
      <c r="Q703" s="7" t="s">
        <v>757</v>
      </c>
      <c r="R703" t="s">
        <v>15</v>
      </c>
      <c r="U703">
        <f t="shared" si="12"/>
        <v>1395</v>
      </c>
    </row>
    <row r="704" spans="1:21" ht="37.5" customHeight="1" x14ac:dyDescent="0.25">
      <c r="A704" s="19">
        <v>44974</v>
      </c>
      <c r="B704" s="13">
        <v>7</v>
      </c>
      <c r="C704" t="s">
        <v>3</v>
      </c>
      <c r="D704" t="s">
        <v>4</v>
      </c>
      <c r="E704" t="s">
        <v>5</v>
      </c>
      <c r="F704" s="6">
        <v>112972608</v>
      </c>
      <c r="G704" t="s">
        <v>510</v>
      </c>
      <c r="H704" t="s">
        <v>282</v>
      </c>
      <c r="I704">
        <v>0</v>
      </c>
      <c r="J704">
        <v>0</v>
      </c>
      <c r="K704">
        <v>0</v>
      </c>
      <c r="L704">
        <v>0</v>
      </c>
      <c r="M704">
        <v>0.17</v>
      </c>
      <c r="N704" s="7" t="e">
        <f>VLOOKUP(F704,HC!A$6:D$100,3,FALSE)</f>
        <v>#N/A</v>
      </c>
      <c r="O704" s="7" t="e">
        <f>VLOOKUP(F704,HC!A$6:D$1000,2,FALSE)</f>
        <v>#N/A</v>
      </c>
      <c r="P704" s="7" t="s">
        <v>662</v>
      </c>
      <c r="Q704" s="7" t="s">
        <v>757</v>
      </c>
      <c r="R704" t="s">
        <v>291</v>
      </c>
      <c r="U704">
        <f t="shared" si="12"/>
        <v>1395</v>
      </c>
    </row>
    <row r="705" spans="1:21" ht="37.5" customHeight="1" x14ac:dyDescent="0.25">
      <c r="A705" s="19">
        <v>44974</v>
      </c>
      <c r="B705" s="13">
        <v>7</v>
      </c>
      <c r="C705" t="s">
        <v>3</v>
      </c>
      <c r="D705" t="s">
        <v>4</v>
      </c>
      <c r="E705" t="s">
        <v>5</v>
      </c>
      <c r="F705" s="6">
        <v>112981212</v>
      </c>
      <c r="G705" t="s">
        <v>573</v>
      </c>
      <c r="H705" t="s">
        <v>17</v>
      </c>
      <c r="I705">
        <v>0</v>
      </c>
      <c r="J705">
        <v>0</v>
      </c>
      <c r="K705">
        <v>0</v>
      </c>
      <c r="L705">
        <v>0</v>
      </c>
      <c r="M705">
        <v>0.23</v>
      </c>
      <c r="N705" s="7" t="e">
        <f>VLOOKUP(F705,HC!A$6:D$100,3,FALSE)</f>
        <v>#N/A</v>
      </c>
      <c r="O705" s="7" t="str">
        <f>VLOOKUP(F705,HC!A$6:D$1000,2,FALSE)</f>
        <v>alysonza</v>
      </c>
      <c r="P705" s="7" t="s">
        <v>664</v>
      </c>
      <c r="Q705" s="7" t="s">
        <v>710</v>
      </c>
      <c r="R705" t="s">
        <v>796</v>
      </c>
      <c r="U705">
        <f t="shared" si="12"/>
        <v>23</v>
      </c>
    </row>
    <row r="706" spans="1:21" ht="37.5" customHeight="1" x14ac:dyDescent="0.25">
      <c r="A706" s="19">
        <v>44974</v>
      </c>
      <c r="B706" s="13">
        <v>7</v>
      </c>
      <c r="C706" t="s">
        <v>3</v>
      </c>
      <c r="D706" t="s">
        <v>4</v>
      </c>
      <c r="E706" t="s">
        <v>5</v>
      </c>
      <c r="F706" s="6">
        <v>113019042</v>
      </c>
      <c r="G706" t="s">
        <v>655</v>
      </c>
      <c r="H706" t="s">
        <v>14</v>
      </c>
      <c r="I706">
        <v>0</v>
      </c>
      <c r="J706">
        <v>0</v>
      </c>
      <c r="K706">
        <v>0</v>
      </c>
      <c r="L706">
        <v>0</v>
      </c>
      <c r="M706">
        <v>0.34</v>
      </c>
      <c r="N706" s="7" t="e">
        <f>VLOOKUP(F706,HC!A$6:D$100,3,FALSE)</f>
        <v>#N/A</v>
      </c>
      <c r="O706" s="7" t="e">
        <f>VLOOKUP(F706,HC!A$6:D$1000,2,FALSE)</f>
        <v>#N/A</v>
      </c>
      <c r="P706" s="7" t="s">
        <v>664</v>
      </c>
      <c r="Q706" s="7" t="s">
        <v>717</v>
      </c>
      <c r="R706" t="s">
        <v>797</v>
      </c>
      <c r="U706">
        <f t="shared" si="12"/>
        <v>1395</v>
      </c>
    </row>
    <row r="707" spans="1:21" ht="37.5" customHeight="1" x14ac:dyDescent="0.25">
      <c r="A707" s="19">
        <v>44974</v>
      </c>
      <c r="B707" s="13">
        <v>7</v>
      </c>
      <c r="C707" t="s">
        <v>3</v>
      </c>
      <c r="D707" t="s">
        <v>4</v>
      </c>
      <c r="E707" t="s">
        <v>5</v>
      </c>
      <c r="F707" s="6">
        <v>113019083</v>
      </c>
      <c r="G707" t="s">
        <v>442</v>
      </c>
      <c r="H707" t="s">
        <v>7</v>
      </c>
      <c r="I707">
        <v>0</v>
      </c>
      <c r="J707">
        <v>0</v>
      </c>
      <c r="K707">
        <v>0</v>
      </c>
      <c r="L707">
        <v>0</v>
      </c>
      <c r="M707">
        <v>0.27</v>
      </c>
      <c r="N707" s="7" t="e">
        <f>VLOOKUP(F707,HC!A$6:D$100,3,FALSE)</f>
        <v>#N/A</v>
      </c>
      <c r="O707" s="7" t="e">
        <f>VLOOKUP(F707,HC!A$6:D$1000,2,FALSE)</f>
        <v>#N/A</v>
      </c>
      <c r="P707" s="7" t="s">
        <v>663</v>
      </c>
      <c r="Q707" s="7" t="s">
        <v>695</v>
      </c>
      <c r="R707" t="s">
        <v>20</v>
      </c>
      <c r="U707">
        <f t="shared" ref="U707:U770" si="13">COUNTIF(O$2:O$4999,O707)</f>
        <v>1395</v>
      </c>
    </row>
    <row r="708" spans="1:21" ht="37.5" customHeight="1" x14ac:dyDescent="0.25">
      <c r="A708" s="19">
        <v>44974</v>
      </c>
      <c r="B708" s="13">
        <v>7</v>
      </c>
      <c r="C708" t="s">
        <v>3</v>
      </c>
      <c r="D708" t="s">
        <v>4</v>
      </c>
      <c r="E708" t="s">
        <v>5</v>
      </c>
      <c r="F708" s="6">
        <v>113020497</v>
      </c>
      <c r="G708" t="s">
        <v>606</v>
      </c>
      <c r="H708" t="s">
        <v>285</v>
      </c>
      <c r="I708">
        <v>0</v>
      </c>
      <c r="J708">
        <v>0</v>
      </c>
      <c r="K708">
        <v>0</v>
      </c>
      <c r="L708">
        <v>0</v>
      </c>
      <c r="M708">
        <v>0.54</v>
      </c>
      <c r="N708" s="7" t="e">
        <f>VLOOKUP(F708,HC!A$6:D$100,3,FALSE)</f>
        <v>#N/A</v>
      </c>
      <c r="O708" s="7" t="str">
        <f>VLOOKUP(F708,HC!A$6:D$1000,2,FALSE)</f>
        <v>diamartd</v>
      </c>
      <c r="P708" s="7" t="s">
        <v>666</v>
      </c>
      <c r="Q708" s="7" t="s">
        <v>774</v>
      </c>
      <c r="R708" t="s">
        <v>798</v>
      </c>
      <c r="U708">
        <f t="shared" si="13"/>
        <v>14</v>
      </c>
    </row>
    <row r="709" spans="1:21" ht="37.5" customHeight="1" x14ac:dyDescent="0.25">
      <c r="A709" s="19">
        <v>44974</v>
      </c>
      <c r="B709" s="13">
        <v>7</v>
      </c>
      <c r="C709" t="s">
        <v>3</v>
      </c>
      <c r="D709" t="s">
        <v>4</v>
      </c>
      <c r="E709" t="s">
        <v>5</v>
      </c>
      <c r="F709" s="6">
        <v>113040582</v>
      </c>
      <c r="G709" t="s">
        <v>625</v>
      </c>
      <c r="H709" t="s">
        <v>7</v>
      </c>
      <c r="I709">
        <v>0</v>
      </c>
      <c r="J709">
        <v>0</v>
      </c>
      <c r="K709">
        <v>0</v>
      </c>
      <c r="L709">
        <v>0</v>
      </c>
      <c r="M709">
        <v>0.17</v>
      </c>
      <c r="N709" s="7" t="e">
        <f>VLOOKUP(F709,HC!A$6:D$100,3,FALSE)</f>
        <v>#N/A</v>
      </c>
      <c r="O709" s="7" t="str">
        <f>VLOOKUP(F709,HC!A$6:D$1000,2,FALSE)</f>
        <v>hgerardr</v>
      </c>
      <c r="P709" s="7" t="s">
        <v>664</v>
      </c>
      <c r="Q709" s="7" t="s">
        <v>711</v>
      </c>
      <c r="R709" t="s">
        <v>290</v>
      </c>
      <c r="U709">
        <f t="shared" si="13"/>
        <v>15</v>
      </c>
    </row>
    <row r="710" spans="1:21" ht="37.5" customHeight="1" x14ac:dyDescent="0.25">
      <c r="A710" s="19">
        <v>44974</v>
      </c>
      <c r="B710" s="13">
        <v>7</v>
      </c>
      <c r="C710" t="s">
        <v>3</v>
      </c>
      <c r="D710" t="s">
        <v>4</v>
      </c>
      <c r="E710" t="s">
        <v>21</v>
      </c>
      <c r="F710" s="6">
        <v>200508371</v>
      </c>
      <c r="G710" t="s">
        <v>339</v>
      </c>
      <c r="H710" t="s">
        <v>298</v>
      </c>
      <c r="I710">
        <v>0</v>
      </c>
      <c r="J710">
        <v>0</v>
      </c>
      <c r="K710">
        <v>0</v>
      </c>
      <c r="L710">
        <v>0</v>
      </c>
      <c r="M710">
        <v>1.24</v>
      </c>
      <c r="N710" s="7" t="e">
        <f>VLOOKUP(F710,HC!A$6:D$100,3,FALSE)</f>
        <v>#N/A</v>
      </c>
      <c r="O710" s="7" t="e">
        <f>VLOOKUP(F710,HC!A$6:D$1000,2,FALSE)</f>
        <v>#N/A</v>
      </c>
      <c r="P710" s="7" t="s">
        <v>664</v>
      </c>
      <c r="Q710" s="7" t="s">
        <v>711</v>
      </c>
      <c r="R710" t="s">
        <v>405</v>
      </c>
      <c r="U710">
        <f t="shared" si="13"/>
        <v>1395</v>
      </c>
    </row>
    <row r="711" spans="1:21" ht="37.5" customHeight="1" x14ac:dyDescent="0.25">
      <c r="A711" s="19">
        <v>44974</v>
      </c>
      <c r="B711" s="13">
        <v>7</v>
      </c>
      <c r="C711" t="s">
        <v>3</v>
      </c>
      <c r="D711" t="s">
        <v>4</v>
      </c>
      <c r="E711" t="s">
        <v>21</v>
      </c>
      <c r="F711" s="6">
        <v>200614224</v>
      </c>
      <c r="G711" t="s">
        <v>322</v>
      </c>
      <c r="H711" t="s">
        <v>17</v>
      </c>
      <c r="I711">
        <v>0</v>
      </c>
      <c r="J711">
        <v>0</v>
      </c>
      <c r="K711">
        <v>0</v>
      </c>
      <c r="L711">
        <v>0</v>
      </c>
      <c r="M711">
        <v>0.15</v>
      </c>
      <c r="N711" s="7" t="e">
        <f>VLOOKUP(F711,HC!A$6:D$100,3,FALSE)</f>
        <v>#N/A</v>
      </c>
      <c r="O711" s="7" t="e">
        <f>VLOOKUP(F711,HC!A$6:D$1000,2,FALSE)</f>
        <v>#N/A</v>
      </c>
      <c r="P711" s="7" t="s">
        <v>661</v>
      </c>
      <c r="Q711" s="7" t="s">
        <v>681</v>
      </c>
      <c r="R711" t="s">
        <v>10</v>
      </c>
      <c r="U711">
        <f t="shared" si="13"/>
        <v>1395</v>
      </c>
    </row>
    <row r="712" spans="1:21" ht="37.5" customHeight="1" x14ac:dyDescent="0.25">
      <c r="A712" s="19">
        <v>44975</v>
      </c>
      <c r="B712" s="13">
        <v>7</v>
      </c>
      <c r="C712" t="s">
        <v>3</v>
      </c>
      <c r="D712" t="s">
        <v>4</v>
      </c>
      <c r="E712" t="s">
        <v>5</v>
      </c>
      <c r="F712" s="6">
        <v>111434478</v>
      </c>
      <c r="G712" t="s">
        <v>331</v>
      </c>
      <c r="H712" t="s">
        <v>332</v>
      </c>
      <c r="I712">
        <v>0</v>
      </c>
      <c r="J712">
        <v>0</v>
      </c>
      <c r="K712">
        <v>0</v>
      </c>
      <c r="L712">
        <v>0</v>
      </c>
      <c r="M712">
        <v>1.78</v>
      </c>
      <c r="N712" s="7" t="str">
        <f>VLOOKUP(F712,HC!A$6:D$100,3,FALSE)</f>
        <v>DA-X0700</v>
      </c>
      <c r="O712" s="7" t="str">
        <f>VLOOKUP(F712,HC!A$6:D$1000,2,FALSE)</f>
        <v>juanapam</v>
      </c>
      <c r="P712" s="7" t="s">
        <v>664</v>
      </c>
      <c r="Q712" s="7" t="s">
        <v>713</v>
      </c>
      <c r="R712" t="s">
        <v>304</v>
      </c>
      <c r="U712">
        <f t="shared" si="13"/>
        <v>32</v>
      </c>
    </row>
    <row r="713" spans="1:21" ht="37.5" customHeight="1" x14ac:dyDescent="0.25">
      <c r="A713" s="19">
        <v>44975</v>
      </c>
      <c r="B713" s="13">
        <v>7</v>
      </c>
      <c r="C713" t="s">
        <v>3</v>
      </c>
      <c r="D713" t="s">
        <v>4</v>
      </c>
      <c r="E713" t="s">
        <v>5</v>
      </c>
      <c r="F713" s="6">
        <v>112912175</v>
      </c>
      <c r="G713" t="s">
        <v>336</v>
      </c>
      <c r="H713" t="s">
        <v>14</v>
      </c>
      <c r="I713">
        <v>0</v>
      </c>
      <c r="J713">
        <v>0</v>
      </c>
      <c r="K713">
        <v>0</v>
      </c>
      <c r="L713">
        <v>0</v>
      </c>
      <c r="M713">
        <v>0.91</v>
      </c>
      <c r="N713" s="7" t="e">
        <f>VLOOKUP(F713,HC!A$6:D$100,3,FALSE)</f>
        <v>#N/A</v>
      </c>
      <c r="O713" s="7" t="e">
        <f>VLOOKUP(F713,HC!A$6:D$1000,2,FALSE)</f>
        <v>#N/A</v>
      </c>
      <c r="P713" s="7" t="s">
        <v>670</v>
      </c>
      <c r="Q713" s="7" t="s">
        <v>740</v>
      </c>
      <c r="R713" t="s">
        <v>477</v>
      </c>
      <c r="U713">
        <f t="shared" si="13"/>
        <v>1395</v>
      </c>
    </row>
    <row r="714" spans="1:21" ht="37.5" customHeight="1" x14ac:dyDescent="0.25">
      <c r="A714" s="19">
        <v>44975</v>
      </c>
      <c r="B714" s="13">
        <v>7</v>
      </c>
      <c r="C714" t="s">
        <v>3</v>
      </c>
      <c r="D714" t="s">
        <v>4</v>
      </c>
      <c r="E714" t="s">
        <v>5</v>
      </c>
      <c r="F714" s="6">
        <v>112912677</v>
      </c>
      <c r="G714" t="s">
        <v>539</v>
      </c>
      <c r="H714" t="s">
        <v>332</v>
      </c>
      <c r="I714">
        <v>0</v>
      </c>
      <c r="J714">
        <v>0</v>
      </c>
      <c r="K714">
        <v>0</v>
      </c>
      <c r="L714">
        <v>0</v>
      </c>
      <c r="M714">
        <v>1.68</v>
      </c>
      <c r="N714" s="7" t="e">
        <f>VLOOKUP(F714,HC!A$6:D$100,3,FALSE)</f>
        <v>#N/A</v>
      </c>
      <c r="O714" s="7" t="e">
        <f>VLOOKUP(F714,HC!A$6:D$1000,2,FALSE)</f>
        <v>#N/A</v>
      </c>
      <c r="P714" s="7" t="s">
        <v>662</v>
      </c>
      <c r="Q714" s="7" t="s">
        <v>691</v>
      </c>
      <c r="R714" t="s">
        <v>25</v>
      </c>
      <c r="U714">
        <f t="shared" si="13"/>
        <v>1395</v>
      </c>
    </row>
    <row r="715" spans="1:21" ht="37.5" customHeight="1" x14ac:dyDescent="0.25">
      <c r="A715" s="19">
        <v>44975</v>
      </c>
      <c r="B715" s="13">
        <v>7</v>
      </c>
      <c r="C715" t="s">
        <v>3</v>
      </c>
      <c r="D715" t="s">
        <v>4</v>
      </c>
      <c r="E715" t="s">
        <v>5</v>
      </c>
      <c r="F715" s="6">
        <v>112981212</v>
      </c>
      <c r="G715" t="s">
        <v>573</v>
      </c>
      <c r="H715" t="s">
        <v>17</v>
      </c>
      <c r="I715">
        <v>0</v>
      </c>
      <c r="J715">
        <v>0</v>
      </c>
      <c r="K715">
        <v>0</v>
      </c>
      <c r="L715">
        <v>0</v>
      </c>
      <c r="M715">
        <v>0.41</v>
      </c>
      <c r="N715" s="7" t="e">
        <f>VLOOKUP(F715,HC!A$6:D$100,3,FALSE)</f>
        <v>#N/A</v>
      </c>
      <c r="O715" s="7" t="str">
        <f>VLOOKUP(F715,HC!A$6:D$1000,2,FALSE)</f>
        <v>alysonza</v>
      </c>
      <c r="P715" s="7" t="s">
        <v>664</v>
      </c>
      <c r="Q715" s="7" t="s">
        <v>710</v>
      </c>
      <c r="R715" t="s">
        <v>506</v>
      </c>
      <c r="U715">
        <f t="shared" si="13"/>
        <v>23</v>
      </c>
    </row>
    <row r="716" spans="1:21" ht="37.5" customHeight="1" x14ac:dyDescent="0.25">
      <c r="A716" s="19">
        <v>44975</v>
      </c>
      <c r="B716" s="13">
        <v>7</v>
      </c>
      <c r="C716" t="s">
        <v>3</v>
      </c>
      <c r="D716" t="s">
        <v>4</v>
      </c>
      <c r="E716" t="s">
        <v>5</v>
      </c>
      <c r="F716" s="6">
        <v>112984442</v>
      </c>
      <c r="G716" t="s">
        <v>315</v>
      </c>
      <c r="H716" t="s">
        <v>268</v>
      </c>
      <c r="I716">
        <v>0</v>
      </c>
      <c r="J716">
        <v>0</v>
      </c>
      <c r="K716">
        <v>0</v>
      </c>
      <c r="L716">
        <v>0</v>
      </c>
      <c r="M716">
        <v>0.37</v>
      </c>
      <c r="N716" s="7" t="e">
        <f>VLOOKUP(F716,HC!A$6:D$100,3,FALSE)</f>
        <v>#N/A</v>
      </c>
      <c r="O716" s="7" t="e">
        <f>VLOOKUP(F716,HC!A$6:D$1000,2,FALSE)</f>
        <v>#N/A</v>
      </c>
      <c r="P716" s="7" t="s">
        <v>664</v>
      </c>
      <c r="Q716" s="7" t="s">
        <v>710</v>
      </c>
      <c r="R716" t="s">
        <v>320</v>
      </c>
      <c r="U716">
        <f t="shared" si="13"/>
        <v>1395</v>
      </c>
    </row>
    <row r="717" spans="1:21" ht="37.5" customHeight="1" x14ac:dyDescent="0.25">
      <c r="A717" s="19">
        <v>44976</v>
      </c>
      <c r="B717" s="13">
        <v>8</v>
      </c>
      <c r="C717" t="s">
        <v>3</v>
      </c>
      <c r="D717" t="s">
        <v>4</v>
      </c>
      <c r="E717" t="s">
        <v>5</v>
      </c>
      <c r="F717" s="6">
        <v>112912008</v>
      </c>
      <c r="G717" t="s">
        <v>249</v>
      </c>
      <c r="H717" t="s">
        <v>250</v>
      </c>
      <c r="I717">
        <v>0</v>
      </c>
      <c r="J717">
        <v>0</v>
      </c>
      <c r="K717">
        <v>0</v>
      </c>
      <c r="L717">
        <v>0</v>
      </c>
      <c r="M717">
        <v>0.28999999999999998</v>
      </c>
      <c r="N717" s="7" t="e">
        <f>VLOOKUP(F717,HC!A$6:D$100,3,FALSE)</f>
        <v>#N/A</v>
      </c>
      <c r="O717" s="7" t="e">
        <f>VLOOKUP(F717,HC!A$6:D$1000,2,FALSE)</f>
        <v>#N/A</v>
      </c>
      <c r="P717" s="7" t="s">
        <v>661</v>
      </c>
      <c r="Q717" s="7" t="s">
        <v>681</v>
      </c>
      <c r="R717" t="s">
        <v>780</v>
      </c>
      <c r="U717">
        <f t="shared" si="13"/>
        <v>1395</v>
      </c>
    </row>
    <row r="718" spans="1:21" ht="37.5" customHeight="1" x14ac:dyDescent="0.25">
      <c r="A718" s="19">
        <v>44976</v>
      </c>
      <c r="B718" s="13">
        <v>8</v>
      </c>
      <c r="C718" t="s">
        <v>3</v>
      </c>
      <c r="D718" t="s">
        <v>4</v>
      </c>
      <c r="E718" t="s">
        <v>5</v>
      </c>
      <c r="F718" s="6">
        <v>112912203</v>
      </c>
      <c r="G718" t="s">
        <v>778</v>
      </c>
      <c r="H718" t="s">
        <v>253</v>
      </c>
      <c r="I718">
        <v>0</v>
      </c>
      <c r="J718">
        <v>0</v>
      </c>
      <c r="K718">
        <v>0</v>
      </c>
      <c r="L718">
        <v>0</v>
      </c>
      <c r="M718">
        <v>0.33</v>
      </c>
      <c r="N718" s="7" t="str">
        <f>VLOOKUP(F718,HC!A$6:D$100,3,FALSE)</f>
        <v>DA-X0700</v>
      </c>
      <c r="O718" s="7" t="str">
        <f>VLOOKUP(F718,HC!A$6:D$1000,2,FALSE)</f>
        <v>omarleoa</v>
      </c>
      <c r="P718" s="7" t="s">
        <v>662</v>
      </c>
      <c r="Q718" s="7" t="s">
        <v>757</v>
      </c>
      <c r="R718" t="s">
        <v>799</v>
      </c>
      <c r="U718">
        <f t="shared" si="13"/>
        <v>5</v>
      </c>
    </row>
    <row r="719" spans="1:21" ht="37.5" customHeight="1" x14ac:dyDescent="0.25">
      <c r="A719" s="19">
        <v>44976</v>
      </c>
      <c r="B719" s="13">
        <v>8</v>
      </c>
      <c r="C719" t="s">
        <v>3</v>
      </c>
      <c r="D719" t="s">
        <v>4</v>
      </c>
      <c r="E719" t="s">
        <v>5</v>
      </c>
      <c r="F719" s="6">
        <v>112912663</v>
      </c>
      <c r="G719" t="s">
        <v>8</v>
      </c>
      <c r="H719" t="s">
        <v>403</v>
      </c>
      <c r="I719">
        <v>0</v>
      </c>
      <c r="J719">
        <v>0</v>
      </c>
      <c r="K719">
        <v>0</v>
      </c>
      <c r="L719">
        <v>0</v>
      </c>
      <c r="M719">
        <v>0.22</v>
      </c>
      <c r="N719" s="7" t="e">
        <f>VLOOKUP(F719,HC!A$6:D$100,3,FALSE)</f>
        <v>#N/A</v>
      </c>
      <c r="O719" s="7" t="e">
        <f>VLOOKUP(F719,HC!A$6:D$1000,2,FALSE)</f>
        <v>#N/A</v>
      </c>
      <c r="P719" s="7" t="s">
        <v>661</v>
      </c>
      <c r="Q719" s="7" t="s">
        <v>700</v>
      </c>
      <c r="R719" t="s">
        <v>467</v>
      </c>
      <c r="U719">
        <f t="shared" si="13"/>
        <v>1395</v>
      </c>
    </row>
    <row r="720" spans="1:21" ht="37.5" customHeight="1" x14ac:dyDescent="0.25">
      <c r="A720" s="19">
        <v>44976</v>
      </c>
      <c r="B720" s="13">
        <v>8</v>
      </c>
      <c r="C720" t="s">
        <v>3</v>
      </c>
      <c r="D720" t="s">
        <v>4</v>
      </c>
      <c r="E720" t="s">
        <v>5</v>
      </c>
      <c r="F720" s="6">
        <v>112950809</v>
      </c>
      <c r="G720" t="s">
        <v>402</v>
      </c>
      <c r="H720" t="s">
        <v>403</v>
      </c>
      <c r="I720">
        <v>0</v>
      </c>
      <c r="J720">
        <v>0</v>
      </c>
      <c r="K720">
        <v>0</v>
      </c>
      <c r="L720">
        <v>0</v>
      </c>
      <c r="M720">
        <v>14.83</v>
      </c>
      <c r="N720" s="7" t="str">
        <f>VLOOKUP(F720,HC!A$6:D$100,3,FALSE)</f>
        <v>DA-X0700</v>
      </c>
      <c r="O720" s="7" t="str">
        <f>VLOOKUP(F720,HC!A$6:D$1000,2,FALSE)</f>
        <v>lurochae</v>
      </c>
      <c r="P720" s="7" t="s">
        <v>662</v>
      </c>
      <c r="Q720" s="7" t="s">
        <v>757</v>
      </c>
      <c r="R720" s="2" t="s">
        <v>781</v>
      </c>
      <c r="U720">
        <f t="shared" si="13"/>
        <v>14</v>
      </c>
    </row>
    <row r="721" spans="1:21" ht="37.5" customHeight="1" x14ac:dyDescent="0.25">
      <c r="A721" s="19">
        <v>44976</v>
      </c>
      <c r="B721" s="13">
        <v>8</v>
      </c>
      <c r="C721" t="s">
        <v>3</v>
      </c>
      <c r="D721" t="s">
        <v>4</v>
      </c>
      <c r="E721" t="s">
        <v>5</v>
      </c>
      <c r="F721" s="6">
        <v>112950818</v>
      </c>
      <c r="G721" t="s">
        <v>779</v>
      </c>
      <c r="H721" t="s">
        <v>47</v>
      </c>
      <c r="I721">
        <v>0</v>
      </c>
      <c r="J721">
        <v>0</v>
      </c>
      <c r="K721">
        <v>0</v>
      </c>
      <c r="L721">
        <v>0</v>
      </c>
      <c r="M721">
        <v>0.25</v>
      </c>
      <c r="N721" s="7" t="str">
        <f>VLOOKUP(F721,HC!A$6:D$100,3,FALSE)</f>
        <v>DA-X0700</v>
      </c>
      <c r="O721" s="7" t="str">
        <f>VLOOKUP(F721,HC!A$6:D$1000,2,FALSE)</f>
        <v>xedithsa</v>
      </c>
      <c r="P721" s="7" t="s">
        <v>663</v>
      </c>
      <c r="Q721" s="7" t="s">
        <v>705</v>
      </c>
      <c r="R721" t="s">
        <v>20</v>
      </c>
      <c r="U721">
        <f t="shared" si="13"/>
        <v>4</v>
      </c>
    </row>
    <row r="722" spans="1:21" ht="37.5" customHeight="1" x14ac:dyDescent="0.25">
      <c r="A722" s="19">
        <v>44976</v>
      </c>
      <c r="B722" s="13">
        <v>8</v>
      </c>
      <c r="C722" t="s">
        <v>3</v>
      </c>
      <c r="D722" t="s">
        <v>4</v>
      </c>
      <c r="E722" t="s">
        <v>5</v>
      </c>
      <c r="F722" s="6">
        <v>112980844</v>
      </c>
      <c r="G722" t="s">
        <v>13</v>
      </c>
      <c r="H722" t="s">
        <v>44</v>
      </c>
      <c r="I722">
        <v>0</v>
      </c>
      <c r="J722">
        <v>0</v>
      </c>
      <c r="K722">
        <v>0</v>
      </c>
      <c r="L722">
        <v>0</v>
      </c>
      <c r="M722">
        <v>0.73</v>
      </c>
      <c r="N722" s="7" t="str">
        <f>VLOOKUP(F722,HC!A$6:D$100,3,FALSE)</f>
        <v>DA-X0700</v>
      </c>
      <c r="O722" s="7" t="str">
        <f>VLOOKUP(F722,HC!A$6:D$1000,2,FALSE)</f>
        <v>samajpad</v>
      </c>
      <c r="P722" s="7" t="s">
        <v>664</v>
      </c>
      <c r="Q722" s="7" t="s">
        <v>713</v>
      </c>
      <c r="R722" t="s">
        <v>800</v>
      </c>
      <c r="U722">
        <f t="shared" si="13"/>
        <v>20</v>
      </c>
    </row>
    <row r="723" spans="1:21" ht="37.5" customHeight="1" x14ac:dyDescent="0.25">
      <c r="A723" s="19">
        <v>44976</v>
      </c>
      <c r="B723" s="13">
        <v>8</v>
      </c>
      <c r="C723" t="s">
        <v>3</v>
      </c>
      <c r="D723" t="s">
        <v>4</v>
      </c>
      <c r="E723" t="s">
        <v>5</v>
      </c>
      <c r="F723" s="6">
        <v>112981212</v>
      </c>
      <c r="G723" t="s">
        <v>573</v>
      </c>
      <c r="H723" t="s">
        <v>17</v>
      </c>
      <c r="I723">
        <v>0</v>
      </c>
      <c r="J723">
        <v>0</v>
      </c>
      <c r="K723">
        <v>0</v>
      </c>
      <c r="L723">
        <v>0</v>
      </c>
      <c r="M723">
        <v>0.64</v>
      </c>
      <c r="N723" s="7" t="e">
        <f>VLOOKUP(F723,HC!A$6:D$100,3,FALSE)</f>
        <v>#N/A</v>
      </c>
      <c r="O723" s="7" t="str">
        <f>VLOOKUP(F723,HC!A$6:D$1000,2,FALSE)</f>
        <v>alysonza</v>
      </c>
      <c r="P723" s="7" t="s">
        <v>675</v>
      </c>
      <c r="Q723" s="7"/>
      <c r="R723" t="s">
        <v>362</v>
      </c>
      <c r="U723">
        <f t="shared" si="13"/>
        <v>23</v>
      </c>
    </row>
    <row r="724" spans="1:21" ht="37.5" customHeight="1" x14ac:dyDescent="0.25">
      <c r="A724" s="19">
        <v>44976</v>
      </c>
      <c r="B724" s="13">
        <v>8</v>
      </c>
      <c r="C724" t="s">
        <v>3</v>
      </c>
      <c r="D724" t="s">
        <v>4</v>
      </c>
      <c r="E724" t="s">
        <v>21</v>
      </c>
      <c r="F724" s="6">
        <v>200509428</v>
      </c>
      <c r="G724" t="s">
        <v>272</v>
      </c>
      <c r="H724" t="s">
        <v>49</v>
      </c>
      <c r="I724">
        <v>0</v>
      </c>
      <c r="J724">
        <v>0</v>
      </c>
      <c r="K724">
        <v>0</v>
      </c>
      <c r="L724">
        <v>0</v>
      </c>
      <c r="M724">
        <v>0.63</v>
      </c>
      <c r="N724" s="7" t="e">
        <f>VLOOKUP(F724,HC!A$6:D$100,3,FALSE)</f>
        <v>#N/A</v>
      </c>
      <c r="O724" s="7" t="e">
        <f>VLOOKUP(F724,HC!A$6:D$1000,2,FALSE)</f>
        <v>#N/A</v>
      </c>
      <c r="P724" s="7" t="s">
        <v>661</v>
      </c>
      <c r="Q724" s="7" t="s">
        <v>681</v>
      </c>
      <c r="R724" t="s">
        <v>10</v>
      </c>
      <c r="U724">
        <f t="shared" si="13"/>
        <v>1395</v>
      </c>
    </row>
    <row r="725" spans="1:21" ht="37.5" customHeight="1" x14ac:dyDescent="0.25">
      <c r="A725" s="19">
        <v>44976</v>
      </c>
      <c r="B725" s="13">
        <v>8</v>
      </c>
      <c r="C725" t="s">
        <v>3</v>
      </c>
      <c r="D725" t="s">
        <v>4</v>
      </c>
      <c r="E725" t="s">
        <v>21</v>
      </c>
      <c r="F725" s="6">
        <v>200564845</v>
      </c>
      <c r="G725" t="s">
        <v>440</v>
      </c>
      <c r="H725" t="s">
        <v>285</v>
      </c>
      <c r="I725">
        <v>0</v>
      </c>
      <c r="J725">
        <v>0</v>
      </c>
      <c r="K725">
        <v>0</v>
      </c>
      <c r="L725">
        <v>0</v>
      </c>
      <c r="M725">
        <v>0.37</v>
      </c>
      <c r="N725" s="7" t="e">
        <f>VLOOKUP(F725,HC!A$6:D$100,3,FALSE)</f>
        <v>#N/A</v>
      </c>
      <c r="O725" s="7" t="e">
        <f>VLOOKUP(F725,HC!A$6:D$1000,2,FALSE)</f>
        <v>#N/A</v>
      </c>
      <c r="P725" s="7" t="s">
        <v>662</v>
      </c>
      <c r="Q725" s="7" t="s">
        <v>690</v>
      </c>
      <c r="R725" t="s">
        <v>544</v>
      </c>
      <c r="U725">
        <f t="shared" si="13"/>
        <v>1395</v>
      </c>
    </row>
    <row r="726" spans="1:21" ht="37.5" customHeight="1" x14ac:dyDescent="0.25">
      <c r="A726" s="19">
        <v>44976</v>
      </c>
      <c r="B726" s="13">
        <v>8</v>
      </c>
      <c r="C726" t="s">
        <v>3</v>
      </c>
      <c r="D726" t="s">
        <v>4</v>
      </c>
      <c r="E726" t="s">
        <v>21</v>
      </c>
      <c r="F726" s="6">
        <v>200625528</v>
      </c>
      <c r="G726" t="s">
        <v>607</v>
      </c>
      <c r="H726" t="s">
        <v>47</v>
      </c>
      <c r="I726">
        <v>0</v>
      </c>
      <c r="J726">
        <v>0</v>
      </c>
      <c r="K726">
        <v>0</v>
      </c>
      <c r="L726">
        <v>0</v>
      </c>
      <c r="M726">
        <v>0.2</v>
      </c>
      <c r="N726" s="7" t="e">
        <f>VLOOKUP(F726,HC!A$6:D$100,3,FALSE)</f>
        <v>#N/A</v>
      </c>
      <c r="O726" s="7" t="str">
        <f>VLOOKUP(F726,HC!A$6:D$1000,2,FALSE)</f>
        <v>olivlizb</v>
      </c>
      <c r="P726" s="7" t="s">
        <v>662</v>
      </c>
      <c r="Q726" s="7" t="s">
        <v>757</v>
      </c>
      <c r="R726" t="s">
        <v>25</v>
      </c>
      <c r="U726">
        <f t="shared" si="13"/>
        <v>50</v>
      </c>
    </row>
    <row r="727" spans="1:21" ht="37.5" customHeight="1" x14ac:dyDescent="0.25">
      <c r="A727" s="19">
        <v>44977</v>
      </c>
      <c r="B727" s="13">
        <v>8</v>
      </c>
      <c r="C727" t="s">
        <v>3</v>
      </c>
      <c r="D727" t="s">
        <v>4</v>
      </c>
      <c r="E727" t="s">
        <v>5</v>
      </c>
      <c r="F727" s="6">
        <v>112912008</v>
      </c>
      <c r="G727" t="s">
        <v>249</v>
      </c>
      <c r="H727" t="s">
        <v>250</v>
      </c>
      <c r="I727">
        <v>0</v>
      </c>
      <c r="J727">
        <v>0</v>
      </c>
      <c r="K727">
        <v>0</v>
      </c>
      <c r="L727">
        <v>0</v>
      </c>
      <c r="M727">
        <v>1.97</v>
      </c>
      <c r="N727" s="7" t="e">
        <f>VLOOKUP(F727,HC!A$6:D$100,3,FALSE)</f>
        <v>#N/A</v>
      </c>
      <c r="O727" s="7" t="e">
        <f>VLOOKUP(F727,HC!A$6:D$1000,2,FALSE)</f>
        <v>#N/A</v>
      </c>
      <c r="P727" s="7"/>
      <c r="Q727" s="7"/>
      <c r="U727">
        <f t="shared" si="13"/>
        <v>1395</v>
      </c>
    </row>
    <row r="728" spans="1:21" ht="37.5" customHeight="1" x14ac:dyDescent="0.25">
      <c r="A728" s="19">
        <v>44977</v>
      </c>
      <c r="B728" s="13">
        <v>8</v>
      </c>
      <c r="C728" t="s">
        <v>3</v>
      </c>
      <c r="D728" t="s">
        <v>4</v>
      </c>
      <c r="E728" t="s">
        <v>5</v>
      </c>
      <c r="F728" s="6">
        <v>112912661</v>
      </c>
      <c r="G728" t="s">
        <v>782</v>
      </c>
      <c r="H728" t="s">
        <v>250</v>
      </c>
      <c r="I728">
        <v>0</v>
      </c>
      <c r="J728">
        <v>0</v>
      </c>
      <c r="K728">
        <v>0</v>
      </c>
      <c r="L728">
        <v>0</v>
      </c>
      <c r="M728">
        <v>0.18</v>
      </c>
      <c r="N728" s="7" t="str">
        <f>VLOOKUP(F728,HC!A$6:D$100,3,FALSE)</f>
        <v>DA-X0700</v>
      </c>
      <c r="O728" s="7" t="str">
        <f>VLOOKUP(F728,HC!A$6:D$1000,2,FALSE)</f>
        <v>franmorb</v>
      </c>
      <c r="P728" s="7" t="s">
        <v>670</v>
      </c>
      <c r="Q728" s="7" t="s">
        <v>748</v>
      </c>
      <c r="R728" t="s">
        <v>801</v>
      </c>
      <c r="U728">
        <f t="shared" si="13"/>
        <v>8</v>
      </c>
    </row>
    <row r="729" spans="1:21" ht="37.5" customHeight="1" x14ac:dyDescent="0.25">
      <c r="A729" s="19">
        <v>44977</v>
      </c>
      <c r="B729" s="13">
        <v>8</v>
      </c>
      <c r="C729" t="s">
        <v>3</v>
      </c>
      <c r="D729" t="s">
        <v>4</v>
      </c>
      <c r="E729" t="s">
        <v>5</v>
      </c>
      <c r="F729" s="6">
        <v>112912745</v>
      </c>
      <c r="G729" t="s">
        <v>478</v>
      </c>
      <c r="H729" t="s">
        <v>44</v>
      </c>
      <c r="I729">
        <v>0</v>
      </c>
      <c r="J729">
        <v>0</v>
      </c>
      <c r="K729">
        <v>0</v>
      </c>
      <c r="L729">
        <v>0</v>
      </c>
      <c r="M729">
        <v>0.54</v>
      </c>
      <c r="N729" s="7" t="str">
        <f>VLOOKUP(F729,HC!A$6:D$100,3,FALSE)</f>
        <v>DA-X0700</v>
      </c>
      <c r="O729" s="7" t="str">
        <f>VLOOKUP(F729,HC!A$6:D$1000,2,FALSE)</f>
        <v>nalexgom</v>
      </c>
      <c r="P729" s="7" t="s">
        <v>664</v>
      </c>
      <c r="Q729" s="7" t="s">
        <v>708</v>
      </c>
      <c r="R729" t="s">
        <v>783</v>
      </c>
      <c r="U729">
        <f t="shared" si="13"/>
        <v>22</v>
      </c>
    </row>
    <row r="730" spans="1:21" ht="37.5" customHeight="1" x14ac:dyDescent="0.25">
      <c r="A730" s="19">
        <v>44977</v>
      </c>
      <c r="B730" s="13">
        <v>8</v>
      </c>
      <c r="C730" t="s">
        <v>3</v>
      </c>
      <c r="D730" t="s">
        <v>4</v>
      </c>
      <c r="E730" t="s">
        <v>5</v>
      </c>
      <c r="F730" s="6">
        <v>112950795</v>
      </c>
      <c r="G730" t="s">
        <v>580</v>
      </c>
      <c r="H730" t="s">
        <v>403</v>
      </c>
      <c r="I730">
        <v>0</v>
      </c>
      <c r="J730">
        <v>0</v>
      </c>
      <c r="K730">
        <v>0</v>
      </c>
      <c r="L730">
        <v>0</v>
      </c>
      <c r="M730">
        <v>0.49</v>
      </c>
      <c r="N730" s="7" t="str">
        <f>VLOOKUP(F730,HC!A$6:D$100,3,FALSE)</f>
        <v>DA-X0700</v>
      </c>
      <c r="O730" s="7" t="str">
        <f>VLOOKUP(F730,HC!A$6:D$1000,2,FALSE)</f>
        <v>oespiali</v>
      </c>
      <c r="P730" s="7"/>
      <c r="Q730" s="7"/>
      <c r="R730" t="s">
        <v>604</v>
      </c>
      <c r="U730">
        <f t="shared" si="13"/>
        <v>10</v>
      </c>
    </row>
    <row r="731" spans="1:21" ht="37.5" customHeight="1" x14ac:dyDescent="0.25">
      <c r="A731" s="19">
        <v>44977</v>
      </c>
      <c r="B731" s="13">
        <v>8</v>
      </c>
      <c r="C731" t="s">
        <v>3</v>
      </c>
      <c r="D731" t="s">
        <v>4</v>
      </c>
      <c r="E731" t="s">
        <v>5</v>
      </c>
      <c r="F731" s="6">
        <v>112950809</v>
      </c>
      <c r="G731" t="s">
        <v>402</v>
      </c>
      <c r="H731" t="s">
        <v>403</v>
      </c>
      <c r="I731">
        <v>0</v>
      </c>
      <c r="J731">
        <v>0</v>
      </c>
      <c r="K731">
        <v>0</v>
      </c>
      <c r="L731">
        <v>0</v>
      </c>
      <c r="M731">
        <v>7.92</v>
      </c>
      <c r="N731" s="7" t="str">
        <f>VLOOKUP(F731,HC!A$6:D$100,3,FALSE)</f>
        <v>DA-X0700</v>
      </c>
      <c r="O731" s="7" t="str">
        <f>VLOOKUP(F731,HC!A$6:D$1000,2,FALSE)</f>
        <v>lurochae</v>
      </c>
      <c r="P731" s="7"/>
      <c r="Q731" s="7"/>
      <c r="R731" t="s">
        <v>604</v>
      </c>
      <c r="U731">
        <f t="shared" si="13"/>
        <v>14</v>
      </c>
    </row>
    <row r="732" spans="1:21" ht="37.5" customHeight="1" x14ac:dyDescent="0.25">
      <c r="A732" s="19">
        <v>44977</v>
      </c>
      <c r="B732" s="13">
        <v>8</v>
      </c>
      <c r="C732" t="s">
        <v>3</v>
      </c>
      <c r="D732" t="s">
        <v>4</v>
      </c>
      <c r="E732" t="s">
        <v>5</v>
      </c>
      <c r="F732" s="6">
        <v>113003631</v>
      </c>
      <c r="G732" t="s">
        <v>479</v>
      </c>
      <c r="H732" t="s">
        <v>47</v>
      </c>
      <c r="I732">
        <v>0</v>
      </c>
      <c r="J732">
        <v>0</v>
      </c>
      <c r="K732">
        <v>0</v>
      </c>
      <c r="L732">
        <v>0</v>
      </c>
      <c r="M732">
        <v>0.13</v>
      </c>
      <c r="N732" s="7" t="e">
        <f>VLOOKUP(F732,HC!A$6:D$100,3,FALSE)</f>
        <v>#N/A</v>
      </c>
      <c r="O732" s="7" t="e">
        <f>VLOOKUP(F732,HC!A$6:D$1000,2,FALSE)</f>
        <v>#N/A</v>
      </c>
      <c r="P732" s="7" t="s">
        <v>662</v>
      </c>
      <c r="Q732" s="7" t="s">
        <v>687</v>
      </c>
      <c r="R732" t="s">
        <v>25</v>
      </c>
      <c r="U732">
        <f t="shared" si="13"/>
        <v>1395</v>
      </c>
    </row>
    <row r="733" spans="1:21" ht="37.5" customHeight="1" x14ac:dyDescent="0.25">
      <c r="A733" s="19">
        <v>44977</v>
      </c>
      <c r="B733" s="13">
        <v>8</v>
      </c>
      <c r="C733" t="s">
        <v>3</v>
      </c>
      <c r="D733" t="s">
        <v>4</v>
      </c>
      <c r="E733" t="s">
        <v>5</v>
      </c>
      <c r="F733" s="6">
        <v>113019042</v>
      </c>
      <c r="G733" t="s">
        <v>655</v>
      </c>
      <c r="H733" t="s">
        <v>14</v>
      </c>
      <c r="I733">
        <v>0</v>
      </c>
      <c r="J733">
        <v>0</v>
      </c>
      <c r="K733">
        <v>0</v>
      </c>
      <c r="L733">
        <v>0</v>
      </c>
      <c r="M733">
        <v>0.72</v>
      </c>
      <c r="N733" s="7" t="e">
        <f>VLOOKUP(F733,HC!A$6:D$100,3,FALSE)</f>
        <v>#N/A</v>
      </c>
      <c r="O733" s="7" t="e">
        <f>VLOOKUP(F733,HC!A$6:D$1000,2,FALSE)</f>
        <v>#N/A</v>
      </c>
      <c r="P733" s="7" t="s">
        <v>670</v>
      </c>
      <c r="Q733" s="7" t="s">
        <v>746</v>
      </c>
      <c r="R733" t="s">
        <v>786</v>
      </c>
      <c r="U733">
        <f t="shared" si="13"/>
        <v>1395</v>
      </c>
    </row>
    <row r="734" spans="1:21" ht="37.5" customHeight="1" x14ac:dyDescent="0.25">
      <c r="A734" s="19">
        <v>44977</v>
      </c>
      <c r="B734" s="13">
        <v>8</v>
      </c>
      <c r="C734" t="s">
        <v>3</v>
      </c>
      <c r="D734" t="s">
        <v>4</v>
      </c>
      <c r="E734" t="s">
        <v>5</v>
      </c>
      <c r="F734" s="6">
        <v>113101453</v>
      </c>
      <c r="G734" t="s">
        <v>50</v>
      </c>
      <c r="H734" t="s">
        <v>49</v>
      </c>
      <c r="I734">
        <v>0</v>
      </c>
      <c r="J734">
        <v>0</v>
      </c>
      <c r="K734">
        <v>0</v>
      </c>
      <c r="L734">
        <v>0</v>
      </c>
      <c r="M734">
        <v>0.17</v>
      </c>
      <c r="N734" s="7" t="e">
        <f>VLOOKUP(F734,HC!A$6:D$100,3,FALSE)</f>
        <v>#N/A</v>
      </c>
      <c r="O734" s="7" t="str">
        <f>VLOOKUP(F734,HC!A$6:D$1000,2,FALSE)</f>
        <v>qisgeova</v>
      </c>
      <c r="P734" s="7" t="s">
        <v>665</v>
      </c>
      <c r="Q734" s="7" t="s">
        <v>722</v>
      </c>
      <c r="R734" t="s">
        <v>499</v>
      </c>
      <c r="U734">
        <f t="shared" si="13"/>
        <v>57</v>
      </c>
    </row>
    <row r="735" spans="1:21" ht="37.5" customHeight="1" x14ac:dyDescent="0.25">
      <c r="A735" s="19">
        <v>44977</v>
      </c>
      <c r="B735" s="13">
        <v>8</v>
      </c>
      <c r="C735" t="s">
        <v>3</v>
      </c>
      <c r="D735" t="s">
        <v>4</v>
      </c>
      <c r="E735" t="s">
        <v>5</v>
      </c>
      <c r="F735" s="6">
        <v>200404250</v>
      </c>
      <c r="G735" t="s">
        <v>51</v>
      </c>
      <c r="H735" t="s">
        <v>285</v>
      </c>
      <c r="I735">
        <v>0</v>
      </c>
      <c r="J735">
        <v>0</v>
      </c>
      <c r="K735">
        <v>0</v>
      </c>
      <c r="L735">
        <v>0</v>
      </c>
      <c r="M735">
        <v>0.46</v>
      </c>
      <c r="N735" s="7" t="e">
        <f>VLOOKUP(F735,HC!A$6:D$100,3,FALSE)</f>
        <v>#N/A</v>
      </c>
      <c r="O735" s="7" t="str">
        <f>VLOOKUP(F735,HC!A$6:D$1000,2,FALSE)</f>
        <v>xcathurt</v>
      </c>
      <c r="P735" s="7" t="s">
        <v>662</v>
      </c>
      <c r="Q735" s="7" t="s">
        <v>785</v>
      </c>
      <c r="R735" t="s">
        <v>546</v>
      </c>
      <c r="U735">
        <f t="shared" si="13"/>
        <v>124</v>
      </c>
    </row>
    <row r="736" spans="1:21" ht="37.5" customHeight="1" x14ac:dyDescent="0.25">
      <c r="A736" s="19">
        <v>44977</v>
      </c>
      <c r="B736" s="13">
        <v>8</v>
      </c>
      <c r="C736" t="s">
        <v>3</v>
      </c>
      <c r="D736" t="s">
        <v>4</v>
      </c>
      <c r="E736" t="s">
        <v>21</v>
      </c>
      <c r="F736" s="6">
        <v>200625517</v>
      </c>
      <c r="G736" t="s">
        <v>323</v>
      </c>
      <c r="H736" t="s">
        <v>49</v>
      </c>
      <c r="I736">
        <v>0</v>
      </c>
      <c r="J736">
        <v>0</v>
      </c>
      <c r="K736">
        <v>0</v>
      </c>
      <c r="L736">
        <v>0</v>
      </c>
      <c r="M736">
        <v>0.33</v>
      </c>
      <c r="N736" s="7" t="e">
        <f>VLOOKUP(F736,HC!A$6:D$100,3,FALSE)</f>
        <v>#N/A</v>
      </c>
      <c r="O736" s="7" t="e">
        <f>VLOOKUP(F736,HC!A$6:D$1000,2,FALSE)</f>
        <v>#N/A</v>
      </c>
      <c r="P736" s="7" t="s">
        <v>665</v>
      </c>
      <c r="Q736" s="7" t="s">
        <v>722</v>
      </c>
      <c r="R736" t="s">
        <v>499</v>
      </c>
      <c r="U736">
        <f t="shared" si="13"/>
        <v>1395</v>
      </c>
    </row>
    <row r="737" spans="1:21" ht="37.5" customHeight="1" x14ac:dyDescent="0.25">
      <c r="A737" s="19">
        <v>44977</v>
      </c>
      <c r="B737" s="13">
        <v>8</v>
      </c>
      <c r="C737" t="s">
        <v>3</v>
      </c>
      <c r="D737" t="s">
        <v>4</v>
      </c>
      <c r="E737" t="s">
        <v>21</v>
      </c>
      <c r="F737" s="6">
        <v>200625528</v>
      </c>
      <c r="G737" t="s">
        <v>607</v>
      </c>
      <c r="H737" t="s">
        <v>47</v>
      </c>
      <c r="I737">
        <v>0</v>
      </c>
      <c r="J737">
        <v>0</v>
      </c>
      <c r="K737">
        <v>0</v>
      </c>
      <c r="L737">
        <v>0</v>
      </c>
      <c r="M737">
        <v>0.13</v>
      </c>
      <c r="N737" s="7" t="e">
        <f>VLOOKUP(F737,HC!A$6:D$100,3,FALSE)</f>
        <v>#N/A</v>
      </c>
      <c r="O737" s="7" t="str">
        <f>VLOOKUP(F737,HC!A$6:D$1000,2,FALSE)</f>
        <v>olivlizb</v>
      </c>
      <c r="P737" s="7" t="s">
        <v>661</v>
      </c>
      <c r="Q737" s="7" t="s">
        <v>681</v>
      </c>
      <c r="R737" t="s">
        <v>10</v>
      </c>
      <c r="U737">
        <f t="shared" si="13"/>
        <v>50</v>
      </c>
    </row>
    <row r="738" spans="1:21" ht="37.5" customHeight="1" x14ac:dyDescent="0.25">
      <c r="A738" s="19">
        <v>44978</v>
      </c>
      <c r="B738" s="13">
        <v>8</v>
      </c>
      <c r="C738" t="s">
        <v>3</v>
      </c>
      <c r="D738" t="s">
        <v>4</v>
      </c>
      <c r="E738" t="s">
        <v>21</v>
      </c>
      <c r="F738" s="6">
        <v>200574345</v>
      </c>
      <c r="G738" t="s">
        <v>476</v>
      </c>
      <c r="H738" t="s">
        <v>285</v>
      </c>
      <c r="I738">
        <v>0</v>
      </c>
      <c r="J738">
        <v>0</v>
      </c>
      <c r="K738">
        <v>0</v>
      </c>
      <c r="L738">
        <v>0</v>
      </c>
      <c r="M738">
        <v>0.33</v>
      </c>
      <c r="N738" s="7" t="e">
        <f>VLOOKUP(F738,HC!A$6:D$100,3,FALSE)</f>
        <v>#N/A</v>
      </c>
      <c r="O738" s="7" t="str">
        <f>VLOOKUP(F738,HC!A$6:D$1000,2,FALSE)</f>
        <v>contrexj</v>
      </c>
      <c r="P738" s="7" t="s">
        <v>670</v>
      </c>
      <c r="Q738" t="s">
        <v>764</v>
      </c>
      <c r="R738" t="s">
        <v>477</v>
      </c>
      <c r="U738">
        <f t="shared" si="13"/>
        <v>17</v>
      </c>
    </row>
    <row r="739" spans="1:21" ht="37.5" customHeight="1" x14ac:dyDescent="0.25">
      <c r="A739" s="19">
        <v>44978</v>
      </c>
      <c r="B739" s="13">
        <v>8</v>
      </c>
      <c r="C739" t="s">
        <v>3</v>
      </c>
      <c r="D739" t="s">
        <v>4</v>
      </c>
      <c r="E739" t="s">
        <v>5</v>
      </c>
      <c r="F739" s="6">
        <v>113014078</v>
      </c>
      <c r="G739" t="s">
        <v>567</v>
      </c>
      <c r="H739" t="s">
        <v>14</v>
      </c>
      <c r="I739">
        <v>0</v>
      </c>
      <c r="J739">
        <v>0</v>
      </c>
      <c r="K739">
        <v>0</v>
      </c>
      <c r="L739">
        <v>0</v>
      </c>
      <c r="M739">
        <v>0.17</v>
      </c>
      <c r="N739" s="7" t="e">
        <f>VLOOKUP(F739,HC!A$6:D$100,3,FALSE)</f>
        <v>#N/A</v>
      </c>
      <c r="O739" s="7" t="str">
        <f>VLOOKUP(F739,HC!A$6:D$1000,2,FALSE)</f>
        <v>dnaldair</v>
      </c>
      <c r="P739" s="7" t="s">
        <v>664</v>
      </c>
      <c r="Q739" s="7" t="s">
        <v>708</v>
      </c>
      <c r="R739" t="s">
        <v>320</v>
      </c>
      <c r="U739">
        <f t="shared" si="13"/>
        <v>14</v>
      </c>
    </row>
    <row r="740" spans="1:21" ht="37.5" customHeight="1" x14ac:dyDescent="0.25">
      <c r="A740" s="19">
        <v>44978</v>
      </c>
      <c r="B740" s="13">
        <v>8</v>
      </c>
      <c r="C740" t="s">
        <v>3</v>
      </c>
      <c r="D740" t="s">
        <v>4</v>
      </c>
      <c r="E740" t="s">
        <v>5</v>
      </c>
      <c r="F740" s="6">
        <v>113019001</v>
      </c>
      <c r="G740" t="s">
        <v>464</v>
      </c>
      <c r="H740" t="s">
        <v>44</v>
      </c>
      <c r="I740">
        <v>0</v>
      </c>
      <c r="J740">
        <v>0</v>
      </c>
      <c r="K740">
        <v>0</v>
      </c>
      <c r="L740">
        <v>0</v>
      </c>
      <c r="M740">
        <v>0.45</v>
      </c>
      <c r="N740" s="7" t="e">
        <f>VLOOKUP(F740,HC!A$6:D$100,3,FALSE)</f>
        <v>#N/A</v>
      </c>
      <c r="O740" s="7" t="str">
        <f>VLOOKUP(F740,HC!A$6:D$1000,2,FALSE)</f>
        <v>dolozane</v>
      </c>
      <c r="P740" s="7" t="s">
        <v>663</v>
      </c>
      <c r="Q740" s="7" t="s">
        <v>695</v>
      </c>
      <c r="R740" t="s">
        <v>20</v>
      </c>
      <c r="U740">
        <f t="shared" si="13"/>
        <v>17</v>
      </c>
    </row>
    <row r="741" spans="1:21" ht="37.5" customHeight="1" x14ac:dyDescent="0.25">
      <c r="A741" s="19">
        <v>44978</v>
      </c>
      <c r="B741" s="13">
        <v>8</v>
      </c>
      <c r="C741" t="s">
        <v>3</v>
      </c>
      <c r="D741" t="s">
        <v>4</v>
      </c>
      <c r="E741" t="s">
        <v>5</v>
      </c>
      <c r="F741" s="6">
        <v>112976013</v>
      </c>
      <c r="G741" t="s">
        <v>449</v>
      </c>
      <c r="H741" t="s">
        <v>403</v>
      </c>
      <c r="I741">
        <v>0</v>
      </c>
      <c r="J741">
        <v>0</v>
      </c>
      <c r="K741">
        <v>0</v>
      </c>
      <c r="L741">
        <v>0</v>
      </c>
      <c r="M741">
        <v>0.55000000000000004</v>
      </c>
      <c r="N741" s="7" t="e">
        <f>VLOOKUP(F741,HC!A$6:D$100,3,FALSE)</f>
        <v>#N/A</v>
      </c>
      <c r="O741" s="7" t="e">
        <f>VLOOKUP(F741,HC!A$6:D$1000,2,FALSE)</f>
        <v>#N/A</v>
      </c>
      <c r="P741" s="7" t="s">
        <v>664</v>
      </c>
      <c r="Q741" s="7" t="s">
        <v>709</v>
      </c>
      <c r="R741" t="s">
        <v>361</v>
      </c>
      <c r="U741">
        <f t="shared" si="13"/>
        <v>1395</v>
      </c>
    </row>
    <row r="742" spans="1:21" ht="37.5" customHeight="1" x14ac:dyDescent="0.25">
      <c r="A742" s="19">
        <v>44978</v>
      </c>
      <c r="B742" s="13">
        <v>8</v>
      </c>
      <c r="C742" t="s">
        <v>3</v>
      </c>
      <c r="D742" t="s">
        <v>4</v>
      </c>
      <c r="E742" t="s">
        <v>21</v>
      </c>
      <c r="F742" s="6">
        <v>200589316</v>
      </c>
      <c r="G742" t="s">
        <v>53</v>
      </c>
      <c r="H742" t="s">
        <v>7</v>
      </c>
      <c r="I742">
        <v>0</v>
      </c>
      <c r="J742">
        <v>0</v>
      </c>
      <c r="K742">
        <v>0</v>
      </c>
      <c r="L742">
        <v>0</v>
      </c>
      <c r="M742">
        <v>0.87</v>
      </c>
      <c r="N742" s="7" t="e">
        <f>VLOOKUP(F742,HC!A$6:D$100,3,FALSE)</f>
        <v>#N/A</v>
      </c>
      <c r="O742" s="7" t="e">
        <f>VLOOKUP(F742,HC!A$6:D$1000,2,FALSE)</f>
        <v>#N/A</v>
      </c>
      <c r="P742" s="7" t="s">
        <v>669</v>
      </c>
      <c r="Q742" s="7" t="s">
        <v>739</v>
      </c>
      <c r="R742" t="s">
        <v>673</v>
      </c>
      <c r="U742">
        <f t="shared" si="13"/>
        <v>1395</v>
      </c>
    </row>
    <row r="743" spans="1:21" ht="37.5" customHeight="1" x14ac:dyDescent="0.25">
      <c r="A743" s="19">
        <v>44978</v>
      </c>
      <c r="B743" s="13">
        <v>8</v>
      </c>
      <c r="C743" t="s">
        <v>3</v>
      </c>
      <c r="D743" t="s">
        <v>4</v>
      </c>
      <c r="E743" t="s">
        <v>5</v>
      </c>
      <c r="F743" s="6">
        <v>112981201</v>
      </c>
      <c r="G743" t="s">
        <v>532</v>
      </c>
      <c r="H743" t="s">
        <v>49</v>
      </c>
      <c r="I743">
        <v>0</v>
      </c>
      <c r="J743">
        <v>0</v>
      </c>
      <c r="K743">
        <v>0</v>
      </c>
      <c r="L743">
        <v>0</v>
      </c>
      <c r="M743">
        <v>0.8</v>
      </c>
      <c r="N743" s="7" t="e">
        <f>VLOOKUP(F743,HC!A$6:D$100,3,FALSE)</f>
        <v>#N/A</v>
      </c>
      <c r="O743" s="7" t="e">
        <f>VLOOKUP(F743,HC!A$6:D$1000,2,FALSE)</f>
        <v>#N/A</v>
      </c>
      <c r="P743" s="7" t="s">
        <v>662</v>
      </c>
      <c r="Q743" t="s">
        <v>691</v>
      </c>
      <c r="R743" t="s">
        <v>15</v>
      </c>
      <c r="U743">
        <f t="shared" si="13"/>
        <v>1395</v>
      </c>
    </row>
    <row r="744" spans="1:21" ht="37.5" customHeight="1" x14ac:dyDescent="0.25">
      <c r="A744" s="19">
        <v>44978</v>
      </c>
      <c r="B744" s="13">
        <v>8</v>
      </c>
      <c r="C744" t="s">
        <v>3</v>
      </c>
      <c r="D744" t="s">
        <v>4</v>
      </c>
      <c r="E744" t="s">
        <v>5</v>
      </c>
      <c r="F744" s="6">
        <v>112912175</v>
      </c>
      <c r="G744" t="s">
        <v>336</v>
      </c>
      <c r="H744" t="s">
        <v>14</v>
      </c>
      <c r="I744">
        <v>0</v>
      </c>
      <c r="J744">
        <v>0</v>
      </c>
      <c r="K744">
        <v>0</v>
      </c>
      <c r="L744">
        <v>0</v>
      </c>
      <c r="M744">
        <v>0.46</v>
      </c>
      <c r="N744" s="7" t="e">
        <f>VLOOKUP(F744,HC!A$6:D$100,3,FALSE)</f>
        <v>#N/A</v>
      </c>
      <c r="O744" s="7" t="e">
        <f>VLOOKUP(F744,HC!A$6:D$1000,2,FALSE)</f>
        <v>#N/A</v>
      </c>
      <c r="P744" s="7" t="s">
        <v>664</v>
      </c>
      <c r="Q744" s="7" t="s">
        <v>710</v>
      </c>
      <c r="R744" t="s">
        <v>506</v>
      </c>
      <c r="U744">
        <f t="shared" si="13"/>
        <v>1395</v>
      </c>
    </row>
    <row r="745" spans="1:21" ht="37.5" customHeight="1" x14ac:dyDescent="0.25">
      <c r="A745" s="19">
        <v>44978</v>
      </c>
      <c r="B745" s="13">
        <v>8</v>
      </c>
      <c r="C745" t="s">
        <v>3</v>
      </c>
      <c r="D745" t="s">
        <v>4</v>
      </c>
      <c r="E745" t="s">
        <v>21</v>
      </c>
      <c r="F745" s="6">
        <v>200509691</v>
      </c>
      <c r="G745" t="s">
        <v>787</v>
      </c>
      <c r="H745" t="s">
        <v>44</v>
      </c>
      <c r="I745">
        <v>0</v>
      </c>
      <c r="J745">
        <v>0</v>
      </c>
      <c r="K745">
        <v>0</v>
      </c>
      <c r="L745">
        <v>0</v>
      </c>
      <c r="M745">
        <v>0.23</v>
      </c>
      <c r="N745" s="7" t="e">
        <f>VLOOKUP(F745,HC!A$6:D$100,3,FALSE)</f>
        <v>#N/A</v>
      </c>
      <c r="O745" s="7" t="str">
        <f>VLOOKUP(F745,HC!A$6:D$1000,2,FALSE)</f>
        <v>josedmef</v>
      </c>
      <c r="P745" s="7" t="s">
        <v>664</v>
      </c>
      <c r="Q745" s="7" t="s">
        <v>709</v>
      </c>
      <c r="R745" t="s">
        <v>361</v>
      </c>
      <c r="U745">
        <f t="shared" si="13"/>
        <v>2</v>
      </c>
    </row>
    <row r="746" spans="1:21" ht="37.5" customHeight="1" x14ac:dyDescent="0.25">
      <c r="A746" s="19">
        <v>44978</v>
      </c>
      <c r="B746" s="13">
        <v>8</v>
      </c>
      <c r="C746" t="s">
        <v>3</v>
      </c>
      <c r="D746" t="s">
        <v>4</v>
      </c>
      <c r="E746" t="s">
        <v>5</v>
      </c>
      <c r="F746" s="6">
        <v>111434478</v>
      </c>
      <c r="G746" t="s">
        <v>331</v>
      </c>
      <c r="H746" t="s">
        <v>253</v>
      </c>
      <c r="I746">
        <v>0</v>
      </c>
      <c r="J746">
        <v>0</v>
      </c>
      <c r="K746">
        <v>0</v>
      </c>
      <c r="L746">
        <v>0</v>
      </c>
      <c r="M746">
        <v>0.19</v>
      </c>
      <c r="N746" s="7" t="str">
        <f>VLOOKUP(F746,HC!A$6:D$100,3,FALSE)</f>
        <v>DA-X0700</v>
      </c>
      <c r="O746" s="7" t="str">
        <f>VLOOKUP(F746,HC!A$6:D$1000,2,FALSE)</f>
        <v>juanapam</v>
      </c>
      <c r="P746" s="7"/>
      <c r="Q746" s="7"/>
      <c r="R746" t="s">
        <v>496</v>
      </c>
      <c r="U746">
        <f t="shared" si="13"/>
        <v>32</v>
      </c>
    </row>
    <row r="747" spans="1:21" ht="37.5" customHeight="1" x14ac:dyDescent="0.25">
      <c r="A747" s="19">
        <v>44978</v>
      </c>
      <c r="B747" s="13">
        <v>8</v>
      </c>
      <c r="C747" t="s">
        <v>3</v>
      </c>
      <c r="D747" t="s">
        <v>4</v>
      </c>
      <c r="E747" t="s">
        <v>21</v>
      </c>
      <c r="F747" s="6">
        <v>109227086</v>
      </c>
      <c r="G747" t="s">
        <v>430</v>
      </c>
      <c r="H747" t="s">
        <v>14</v>
      </c>
      <c r="I747">
        <v>0</v>
      </c>
      <c r="J747">
        <v>0</v>
      </c>
      <c r="K747">
        <v>0</v>
      </c>
      <c r="L747">
        <v>0</v>
      </c>
      <c r="M747">
        <v>2.87</v>
      </c>
      <c r="N747" s="7" t="e">
        <f>VLOOKUP(F747,HC!A$6:D$100,3,FALSE)</f>
        <v>#N/A</v>
      </c>
      <c r="O747" s="7" t="e">
        <f>VLOOKUP(F747,HC!A$6:D$1000,2,FALSE)</f>
        <v>#N/A</v>
      </c>
      <c r="P747" s="7" t="s">
        <v>664</v>
      </c>
      <c r="Q747" s="7" t="s">
        <v>762</v>
      </c>
      <c r="R747" t="s">
        <v>788</v>
      </c>
      <c r="U747">
        <f t="shared" si="13"/>
        <v>1395</v>
      </c>
    </row>
    <row r="748" spans="1:21" ht="37.5" customHeight="1" x14ac:dyDescent="0.25">
      <c r="A748" s="19">
        <v>44978</v>
      </c>
      <c r="B748" s="13">
        <v>8</v>
      </c>
      <c r="C748" t="s">
        <v>3</v>
      </c>
      <c r="D748" t="s">
        <v>4</v>
      </c>
      <c r="E748" t="s">
        <v>5</v>
      </c>
      <c r="F748" s="6">
        <v>113014011</v>
      </c>
      <c r="G748" t="s">
        <v>45</v>
      </c>
      <c r="H748" t="s">
        <v>14</v>
      </c>
      <c r="I748">
        <v>0</v>
      </c>
      <c r="J748">
        <v>0</v>
      </c>
      <c r="K748">
        <v>0</v>
      </c>
      <c r="L748">
        <v>0</v>
      </c>
      <c r="M748">
        <v>0.38</v>
      </c>
      <c r="N748" s="7" t="e">
        <f>VLOOKUP(F748,HC!A$6:D$100,3,FALSE)</f>
        <v>#N/A</v>
      </c>
      <c r="O748" s="7" t="e">
        <f>VLOOKUP(F748,HC!A$6:D$1000,2,FALSE)</f>
        <v>#N/A</v>
      </c>
      <c r="P748" t="s">
        <v>664</v>
      </c>
      <c r="Q748" t="s">
        <v>711</v>
      </c>
      <c r="R748" t="s">
        <v>419</v>
      </c>
      <c r="U748">
        <f t="shared" si="13"/>
        <v>1395</v>
      </c>
    </row>
    <row r="749" spans="1:21" ht="37.5" customHeight="1" x14ac:dyDescent="0.25">
      <c r="A749" s="19">
        <v>44978</v>
      </c>
      <c r="B749" s="13">
        <v>8</v>
      </c>
      <c r="C749" t="s">
        <v>3</v>
      </c>
      <c r="D749" t="s">
        <v>4</v>
      </c>
      <c r="E749" t="s">
        <v>5</v>
      </c>
      <c r="F749" s="6">
        <v>112980843</v>
      </c>
      <c r="G749" t="s">
        <v>619</v>
      </c>
      <c r="H749" t="s">
        <v>44</v>
      </c>
      <c r="I749">
        <v>0</v>
      </c>
      <c r="J749">
        <v>0</v>
      </c>
      <c r="K749">
        <v>0</v>
      </c>
      <c r="L749">
        <v>0</v>
      </c>
      <c r="M749">
        <v>0.28999999999999998</v>
      </c>
      <c r="N749" s="7" t="str">
        <f>VLOOKUP(F749,HC!A$6:D$100,3,FALSE)</f>
        <v>DA-X0700</v>
      </c>
      <c r="O749" s="7" t="str">
        <f>VLOOKUP(F749,HC!A$6:D$1000,2,FALSE)</f>
        <v>lsisrael</v>
      </c>
      <c r="P749" s="7" t="s">
        <v>664</v>
      </c>
      <c r="Q749" s="7" t="s">
        <v>708</v>
      </c>
      <c r="R749" t="s">
        <v>789</v>
      </c>
      <c r="U749">
        <f t="shared" si="13"/>
        <v>10</v>
      </c>
    </row>
    <row r="750" spans="1:21" ht="37.5" customHeight="1" x14ac:dyDescent="0.25">
      <c r="A750" s="19">
        <v>44978</v>
      </c>
      <c r="B750" s="13">
        <v>8</v>
      </c>
      <c r="C750" t="s">
        <v>3</v>
      </c>
      <c r="D750" t="s">
        <v>4</v>
      </c>
      <c r="E750" t="s">
        <v>5</v>
      </c>
      <c r="F750" s="6">
        <v>112981061</v>
      </c>
      <c r="G750" t="s">
        <v>264</v>
      </c>
      <c r="H750" t="s">
        <v>49</v>
      </c>
      <c r="I750">
        <v>0</v>
      </c>
      <c r="J750">
        <v>0</v>
      </c>
      <c r="K750">
        <v>0</v>
      </c>
      <c r="L750">
        <v>0</v>
      </c>
      <c r="M750">
        <v>0.2</v>
      </c>
      <c r="N750" s="7" t="str">
        <f>VLOOKUP(F750,HC!A$6:D$100,3,FALSE)</f>
        <v>DA-X0700</v>
      </c>
      <c r="O750" s="7" t="str">
        <f>VLOOKUP(F750,HC!A$6:D$1000,2,FALSE)</f>
        <v>mclaudol</v>
      </c>
      <c r="P750" s="7" t="s">
        <v>664</v>
      </c>
      <c r="Q750" s="7" t="s">
        <v>708</v>
      </c>
      <c r="R750" t="s">
        <v>410</v>
      </c>
      <c r="U750">
        <f t="shared" si="13"/>
        <v>44</v>
      </c>
    </row>
    <row r="751" spans="1:21" ht="37.5" customHeight="1" x14ac:dyDescent="0.25">
      <c r="A751" s="19">
        <v>44978</v>
      </c>
      <c r="B751" s="13">
        <v>8</v>
      </c>
      <c r="C751" t="s">
        <v>3</v>
      </c>
      <c r="D751" t="s">
        <v>4</v>
      </c>
      <c r="E751" t="s">
        <v>5</v>
      </c>
      <c r="F751" s="6">
        <v>113020463</v>
      </c>
      <c r="G751" t="s">
        <v>321</v>
      </c>
      <c r="H751" t="s">
        <v>14</v>
      </c>
      <c r="I751">
        <v>0</v>
      </c>
      <c r="J751">
        <v>0</v>
      </c>
      <c r="K751">
        <v>0</v>
      </c>
      <c r="L751">
        <v>0</v>
      </c>
      <c r="M751">
        <v>0.19</v>
      </c>
      <c r="N751" s="7" t="e">
        <f>VLOOKUP(F751,HC!A$6:D$100,3,FALSE)</f>
        <v>#N/A</v>
      </c>
      <c r="O751" s="7" t="str">
        <f>VLOOKUP(F751,HC!A$6:D$1000,2,FALSE)</f>
        <v>myriamav</v>
      </c>
      <c r="P751" s="7" t="s">
        <v>661</v>
      </c>
      <c r="Q751" t="s">
        <v>700</v>
      </c>
      <c r="R751" t="s">
        <v>467</v>
      </c>
      <c r="U751">
        <f t="shared" si="13"/>
        <v>24</v>
      </c>
    </row>
    <row r="752" spans="1:21" ht="37.5" customHeight="1" x14ac:dyDescent="0.25">
      <c r="A752" s="19">
        <v>44978</v>
      </c>
      <c r="B752" s="13">
        <v>8</v>
      </c>
      <c r="C752" t="s">
        <v>3</v>
      </c>
      <c r="D752" t="s">
        <v>4</v>
      </c>
      <c r="E752" t="s">
        <v>5</v>
      </c>
      <c r="F752" s="6">
        <v>112950795</v>
      </c>
      <c r="G752" t="s">
        <v>580</v>
      </c>
      <c r="H752" t="s">
        <v>403</v>
      </c>
      <c r="I752">
        <v>0</v>
      </c>
      <c r="J752">
        <v>0</v>
      </c>
      <c r="K752">
        <v>0</v>
      </c>
      <c r="L752">
        <v>0</v>
      </c>
      <c r="M752">
        <v>0.32</v>
      </c>
      <c r="N752" s="7" t="str">
        <f>VLOOKUP(F752,HC!A$6:D$100,3,FALSE)</f>
        <v>DA-X0700</v>
      </c>
      <c r="O752" s="7" t="str">
        <f>VLOOKUP(F752,HC!A$6:D$1000,2,FALSE)</f>
        <v>oespiali</v>
      </c>
      <c r="P752" s="7" t="s">
        <v>668</v>
      </c>
      <c r="Q752" s="7" t="s">
        <v>732</v>
      </c>
      <c r="R752" t="s">
        <v>821</v>
      </c>
      <c r="U752">
        <f t="shared" si="13"/>
        <v>10</v>
      </c>
    </row>
    <row r="753" spans="1:21" ht="37.5" customHeight="1" x14ac:dyDescent="0.25">
      <c r="A753" s="19">
        <v>44978</v>
      </c>
      <c r="B753" s="13">
        <v>8</v>
      </c>
      <c r="C753" t="s">
        <v>3</v>
      </c>
      <c r="D753" t="s">
        <v>4</v>
      </c>
      <c r="E753" t="s">
        <v>21</v>
      </c>
      <c r="F753" s="6">
        <v>200514421</v>
      </c>
      <c r="G753" t="s">
        <v>301</v>
      </c>
      <c r="H753" t="s">
        <v>285</v>
      </c>
      <c r="I753">
        <v>0</v>
      </c>
      <c r="J753">
        <v>0</v>
      </c>
      <c r="K753">
        <v>0</v>
      </c>
      <c r="L753">
        <v>0</v>
      </c>
      <c r="M753">
        <v>0.16</v>
      </c>
      <c r="N753" s="7" t="e">
        <f>VLOOKUP(F753,HC!A$6:D$100,3,FALSE)</f>
        <v>#N/A</v>
      </c>
      <c r="O753" s="7" t="str">
        <f>VLOOKUP(F753,HC!A$6:D$1000,2,FALSE)</f>
        <v>padillms</v>
      </c>
      <c r="P753" s="7" t="s">
        <v>661</v>
      </c>
      <c r="Q753" s="7" t="s">
        <v>681</v>
      </c>
      <c r="R753" t="s">
        <v>10</v>
      </c>
      <c r="U753">
        <f t="shared" si="13"/>
        <v>21</v>
      </c>
    </row>
    <row r="754" spans="1:21" ht="37.5" customHeight="1" x14ac:dyDescent="0.25">
      <c r="A754" s="19">
        <v>44978</v>
      </c>
      <c r="B754" s="13">
        <v>8</v>
      </c>
      <c r="C754" t="s">
        <v>3</v>
      </c>
      <c r="D754" t="s">
        <v>4</v>
      </c>
      <c r="E754" t="s">
        <v>5</v>
      </c>
      <c r="F754" s="6">
        <v>113014036</v>
      </c>
      <c r="G754" t="s">
        <v>790</v>
      </c>
      <c r="H754" t="s">
        <v>49</v>
      </c>
      <c r="I754">
        <v>0</v>
      </c>
      <c r="J754">
        <v>0</v>
      </c>
      <c r="K754">
        <v>0</v>
      </c>
      <c r="L754">
        <v>0</v>
      </c>
      <c r="M754">
        <v>0.71</v>
      </c>
      <c r="N754" s="7" t="e">
        <f>VLOOKUP(F754,HC!A$6:D$100,3,FALSE)</f>
        <v>#N/A</v>
      </c>
      <c r="O754" s="7" t="str">
        <f>VLOOKUP(F754,HC!A$6:D$1000,2,FALSE)</f>
        <v>ronjosea</v>
      </c>
      <c r="P754" s="7" t="s">
        <v>661</v>
      </c>
      <c r="Q754" s="7" t="s">
        <v>681</v>
      </c>
      <c r="R754" t="s">
        <v>10</v>
      </c>
      <c r="U754">
        <f t="shared" si="13"/>
        <v>5</v>
      </c>
    </row>
    <row r="755" spans="1:21" ht="37.5" customHeight="1" x14ac:dyDescent="0.25">
      <c r="A755" s="19">
        <v>44978</v>
      </c>
      <c r="B755" s="13">
        <v>8</v>
      </c>
      <c r="C755" t="s">
        <v>3</v>
      </c>
      <c r="D755" t="s">
        <v>4</v>
      </c>
      <c r="E755" t="s">
        <v>5</v>
      </c>
      <c r="F755" s="6">
        <v>112912752</v>
      </c>
      <c r="G755" t="s">
        <v>251</v>
      </c>
      <c r="H755" t="s">
        <v>44</v>
      </c>
      <c r="I755">
        <v>0</v>
      </c>
      <c r="J755">
        <v>0</v>
      </c>
      <c r="K755">
        <v>0</v>
      </c>
      <c r="L755">
        <v>0</v>
      </c>
      <c r="M755">
        <v>0.39</v>
      </c>
      <c r="N755" s="7" t="str">
        <f>VLOOKUP(F755,HC!A$6:D$100,3,FALSE)</f>
        <v>NF-X1900</v>
      </c>
      <c r="O755" s="7" t="str">
        <f>VLOOKUP(F755,HC!A$6:D$1000,2,FALSE)</f>
        <v>valderle</v>
      </c>
      <c r="P755" s="7" t="s">
        <v>661</v>
      </c>
      <c r="Q755" s="7" t="s">
        <v>681</v>
      </c>
      <c r="R755" t="s">
        <v>10</v>
      </c>
      <c r="U755">
        <f t="shared" si="13"/>
        <v>50</v>
      </c>
    </row>
    <row r="756" spans="1:21" ht="37.5" customHeight="1" x14ac:dyDescent="0.25">
      <c r="A756" s="19">
        <v>44978</v>
      </c>
      <c r="B756" s="13">
        <v>8</v>
      </c>
      <c r="C756" t="s">
        <v>3</v>
      </c>
      <c r="D756" t="s">
        <v>4</v>
      </c>
      <c r="E756" t="s">
        <v>5</v>
      </c>
      <c r="F756" s="6">
        <v>112912046</v>
      </c>
      <c r="G756" t="s">
        <v>605</v>
      </c>
      <c r="H756" t="s">
        <v>403</v>
      </c>
      <c r="I756">
        <v>0</v>
      </c>
      <c r="J756">
        <v>0</v>
      </c>
      <c r="K756">
        <v>0</v>
      </c>
      <c r="L756">
        <v>0</v>
      </c>
      <c r="M756">
        <v>0.16</v>
      </c>
      <c r="N756" s="7" t="e">
        <f>VLOOKUP(F756,HC!A$6:D$100,3,FALSE)</f>
        <v>#N/A</v>
      </c>
      <c r="O756" s="7" t="e">
        <f>VLOOKUP(F756,HC!A$6:D$1000,2,FALSE)</f>
        <v>#N/A</v>
      </c>
      <c r="P756" s="7" t="s">
        <v>663</v>
      </c>
      <c r="Q756" s="7" t="s">
        <v>804</v>
      </c>
      <c r="R756" t="s">
        <v>409</v>
      </c>
      <c r="U756">
        <f t="shared" si="13"/>
        <v>1395</v>
      </c>
    </row>
    <row r="757" spans="1:21" ht="37.5" customHeight="1" x14ac:dyDescent="0.25">
      <c r="A757" s="19">
        <v>44978</v>
      </c>
      <c r="B757" s="13">
        <v>8</v>
      </c>
      <c r="C757" t="s">
        <v>3</v>
      </c>
      <c r="D757" t="s">
        <v>4</v>
      </c>
      <c r="E757" t="s">
        <v>5</v>
      </c>
      <c r="F757" s="6">
        <v>112950800</v>
      </c>
      <c r="G757" t="s">
        <v>457</v>
      </c>
      <c r="H757" t="s">
        <v>403</v>
      </c>
      <c r="I757">
        <v>0</v>
      </c>
      <c r="J757">
        <v>0</v>
      </c>
      <c r="K757">
        <v>0</v>
      </c>
      <c r="L757">
        <v>0</v>
      </c>
      <c r="M757">
        <v>0.19</v>
      </c>
      <c r="N757" s="7" t="str">
        <f>VLOOKUP(F757,HC!A$6:D$100,3,FALSE)</f>
        <v>NF-X1900</v>
      </c>
      <c r="O757" s="7" t="str">
        <f>VLOOKUP(F757,HC!A$6:D$1000,2,FALSE)</f>
        <v>virimuni</v>
      </c>
      <c r="P757" s="7" t="s">
        <v>661</v>
      </c>
      <c r="Q757" s="7" t="s">
        <v>681</v>
      </c>
      <c r="R757" t="s">
        <v>234</v>
      </c>
      <c r="U757">
        <f t="shared" si="13"/>
        <v>10</v>
      </c>
    </row>
    <row r="758" spans="1:21" ht="37.5" customHeight="1" x14ac:dyDescent="0.25">
      <c r="A758" s="19">
        <v>44978</v>
      </c>
      <c r="B758" s="13">
        <v>8</v>
      </c>
      <c r="C758" t="s">
        <v>3</v>
      </c>
      <c r="D758" t="s">
        <v>4</v>
      </c>
      <c r="E758" t="s">
        <v>5</v>
      </c>
      <c r="F758" s="6">
        <v>200404250</v>
      </c>
      <c r="G758" t="s">
        <v>51</v>
      </c>
      <c r="H758" t="s">
        <v>285</v>
      </c>
      <c r="I758">
        <v>0</v>
      </c>
      <c r="J758">
        <v>0</v>
      </c>
      <c r="K758">
        <v>0</v>
      </c>
      <c r="L758">
        <v>0</v>
      </c>
      <c r="M758">
        <v>1.26</v>
      </c>
      <c r="N758" s="7" t="e">
        <f>VLOOKUP(F758,HC!A$6:D$100,3,FALSE)</f>
        <v>#N/A</v>
      </c>
      <c r="O758" s="7" t="str">
        <f>VLOOKUP(F758,HC!A$6:D$1000,2,FALSE)</f>
        <v>xcathurt</v>
      </c>
      <c r="P758" s="7" t="s">
        <v>662</v>
      </c>
      <c r="Q758" s="7" t="s">
        <v>785</v>
      </c>
      <c r="R758" t="s">
        <v>235</v>
      </c>
      <c r="U758">
        <f t="shared" si="13"/>
        <v>124</v>
      </c>
    </row>
    <row r="759" spans="1:21" ht="37.5" customHeight="1" x14ac:dyDescent="0.25">
      <c r="A759" s="19">
        <v>44979</v>
      </c>
      <c r="B759" s="13">
        <v>8</v>
      </c>
      <c r="C759" t="s">
        <v>3</v>
      </c>
      <c r="D759" t="s">
        <v>4</v>
      </c>
      <c r="E759" t="s">
        <v>21</v>
      </c>
      <c r="F759" s="6">
        <v>109227086</v>
      </c>
      <c r="G759" t="s">
        <v>430</v>
      </c>
      <c r="H759" t="s">
        <v>14</v>
      </c>
      <c r="I759">
        <v>0</v>
      </c>
      <c r="J759">
        <v>0</v>
      </c>
      <c r="K759">
        <v>0</v>
      </c>
      <c r="L759">
        <v>0</v>
      </c>
      <c r="M759">
        <v>1.46</v>
      </c>
      <c r="N759" s="7" t="e">
        <f>VLOOKUP(F759,HC!A$6:D$100,3,FALSE)</f>
        <v>#N/A</v>
      </c>
      <c r="O759" s="7" t="e">
        <f>VLOOKUP(F759,HC!A$6:D$1000,2,FALSE)</f>
        <v>#N/A</v>
      </c>
      <c r="P759" s="7" t="s">
        <v>664</v>
      </c>
      <c r="Q759" s="7" t="s">
        <v>708</v>
      </c>
      <c r="R759" t="s">
        <v>822</v>
      </c>
      <c r="U759">
        <f t="shared" si="13"/>
        <v>1395</v>
      </c>
    </row>
    <row r="760" spans="1:21" ht="37.5" customHeight="1" x14ac:dyDescent="0.25">
      <c r="A760" s="19">
        <v>44979</v>
      </c>
      <c r="B760" s="13">
        <v>8</v>
      </c>
      <c r="C760" t="s">
        <v>3</v>
      </c>
      <c r="D760" t="s">
        <v>4</v>
      </c>
      <c r="E760" t="s">
        <v>5</v>
      </c>
      <c r="F760" s="6">
        <v>112950800</v>
      </c>
      <c r="G760" t="s">
        <v>457</v>
      </c>
      <c r="H760" t="s">
        <v>403</v>
      </c>
      <c r="I760">
        <v>0</v>
      </c>
      <c r="J760">
        <v>0</v>
      </c>
      <c r="K760">
        <v>0</v>
      </c>
      <c r="L760">
        <v>0</v>
      </c>
      <c r="M760">
        <v>0.13</v>
      </c>
      <c r="N760" s="7" t="str">
        <f>VLOOKUP(F760,HC!A$6:D$100,3,FALSE)</f>
        <v>NF-X1900</v>
      </c>
      <c r="O760" s="7" t="str">
        <f>VLOOKUP(F760,HC!A$6:D$1000,2,FALSE)</f>
        <v>virimuni</v>
      </c>
      <c r="P760" s="7" t="s">
        <v>663</v>
      </c>
      <c r="Q760" s="7" t="s">
        <v>692</v>
      </c>
      <c r="R760" t="s">
        <v>645</v>
      </c>
      <c r="U760">
        <f t="shared" si="13"/>
        <v>10</v>
      </c>
    </row>
    <row r="761" spans="1:21" ht="37.5" customHeight="1" x14ac:dyDescent="0.25">
      <c r="A761" s="19">
        <v>44979</v>
      </c>
      <c r="B761" s="13">
        <v>8</v>
      </c>
      <c r="C761" t="s">
        <v>3</v>
      </c>
      <c r="D761" t="s">
        <v>4</v>
      </c>
      <c r="E761" t="s">
        <v>5</v>
      </c>
      <c r="F761" s="6">
        <v>112950819</v>
      </c>
      <c r="G761" t="s">
        <v>791</v>
      </c>
      <c r="H761" t="s">
        <v>253</v>
      </c>
      <c r="I761">
        <v>0</v>
      </c>
      <c r="J761">
        <v>0</v>
      </c>
      <c r="K761">
        <v>0</v>
      </c>
      <c r="L761">
        <v>0</v>
      </c>
      <c r="M761">
        <v>0.13</v>
      </c>
      <c r="N761" s="7" t="str">
        <f>VLOOKUP(F761,HC!A$6:D$100,3,FALSE)</f>
        <v>DA-X0700</v>
      </c>
      <c r="O761" s="7" t="str">
        <f>VLOOKUP(F761,HC!A$6:D$1000,2,FALSE)</f>
        <v>riojoeli</v>
      </c>
      <c r="P761" s="7" t="s">
        <v>661</v>
      </c>
      <c r="Q761" s="7" t="s">
        <v>681</v>
      </c>
      <c r="R761" t="s">
        <v>10</v>
      </c>
      <c r="U761">
        <f t="shared" si="13"/>
        <v>2</v>
      </c>
    </row>
    <row r="762" spans="1:21" ht="37.5" customHeight="1" x14ac:dyDescent="0.25">
      <c r="A762" s="19">
        <v>44979</v>
      </c>
      <c r="B762" s="13">
        <v>8</v>
      </c>
      <c r="C762" t="s">
        <v>3</v>
      </c>
      <c r="D762" t="s">
        <v>4</v>
      </c>
      <c r="E762" t="s">
        <v>5</v>
      </c>
      <c r="F762" s="6">
        <v>112972608</v>
      </c>
      <c r="G762" t="s">
        <v>510</v>
      </c>
      <c r="H762" t="s">
        <v>282</v>
      </c>
      <c r="I762">
        <v>0</v>
      </c>
      <c r="J762">
        <v>0</v>
      </c>
      <c r="K762">
        <v>0</v>
      </c>
      <c r="L762">
        <v>0</v>
      </c>
      <c r="M762">
        <v>0.09</v>
      </c>
      <c r="N762" s="7" t="e">
        <f>VLOOKUP(F762,HC!A$6:D$100,3,FALSE)</f>
        <v>#N/A</v>
      </c>
      <c r="O762" s="7" t="e">
        <f>VLOOKUP(F762,HC!A$6:D$1000,2,FALSE)</f>
        <v>#N/A</v>
      </c>
      <c r="P762" t="s">
        <v>664</v>
      </c>
      <c r="Q762" s="7" t="s">
        <v>710</v>
      </c>
      <c r="R762" t="s">
        <v>506</v>
      </c>
      <c r="U762">
        <f t="shared" si="13"/>
        <v>1395</v>
      </c>
    </row>
    <row r="763" spans="1:21" ht="37.5" customHeight="1" x14ac:dyDescent="0.25">
      <c r="A763" s="19">
        <v>44979</v>
      </c>
      <c r="B763" s="13">
        <v>8</v>
      </c>
      <c r="C763" t="s">
        <v>3</v>
      </c>
      <c r="D763" t="s">
        <v>4</v>
      </c>
      <c r="E763" t="s">
        <v>5</v>
      </c>
      <c r="F763" s="6">
        <v>112980844</v>
      </c>
      <c r="G763" t="s">
        <v>13</v>
      </c>
      <c r="H763" t="s">
        <v>44</v>
      </c>
      <c r="I763">
        <v>0</v>
      </c>
      <c r="J763">
        <v>0</v>
      </c>
      <c r="K763">
        <v>0</v>
      </c>
      <c r="L763">
        <v>0</v>
      </c>
      <c r="M763">
        <v>0.73</v>
      </c>
      <c r="N763" s="7" t="str">
        <f>VLOOKUP(F763,HC!A$6:D$100,3,FALSE)</f>
        <v>DA-X0700</v>
      </c>
      <c r="O763" s="7" t="str">
        <f>VLOOKUP(F763,HC!A$6:D$1000,2,FALSE)</f>
        <v>samajpad</v>
      </c>
      <c r="P763" t="s">
        <v>664</v>
      </c>
      <c r="Q763" s="7" t="s">
        <v>716</v>
      </c>
      <c r="R763" t="s">
        <v>548</v>
      </c>
      <c r="U763">
        <f t="shared" si="13"/>
        <v>20</v>
      </c>
    </row>
    <row r="764" spans="1:21" ht="37.5" customHeight="1" x14ac:dyDescent="0.25">
      <c r="A764" s="19">
        <v>44979</v>
      </c>
      <c r="B764" s="13">
        <v>8</v>
      </c>
      <c r="C764" t="s">
        <v>3</v>
      </c>
      <c r="D764" t="s">
        <v>4</v>
      </c>
      <c r="E764" t="s">
        <v>5</v>
      </c>
      <c r="F764" s="6">
        <v>112981061</v>
      </c>
      <c r="G764" t="s">
        <v>264</v>
      </c>
      <c r="H764" t="s">
        <v>49</v>
      </c>
      <c r="I764">
        <v>0</v>
      </c>
      <c r="J764">
        <v>0</v>
      </c>
      <c r="K764">
        <v>0</v>
      </c>
      <c r="L764">
        <v>0</v>
      </c>
      <c r="M764">
        <v>0.2</v>
      </c>
      <c r="N764" s="7" t="str">
        <f>VLOOKUP(F764,HC!A$6:D$100,3,FALSE)</f>
        <v>DA-X0700</v>
      </c>
      <c r="O764" s="7" t="str">
        <f>VLOOKUP(F764,HC!A$6:D$1000,2,FALSE)</f>
        <v>mclaudol</v>
      </c>
      <c r="P764" t="s">
        <v>664</v>
      </c>
      <c r="Q764" s="7" t="s">
        <v>708</v>
      </c>
      <c r="R764" t="s">
        <v>410</v>
      </c>
      <c r="U764">
        <f t="shared" si="13"/>
        <v>44</v>
      </c>
    </row>
    <row r="765" spans="1:21" ht="37.5" customHeight="1" x14ac:dyDescent="0.25">
      <c r="A765" s="19">
        <v>44979</v>
      </c>
      <c r="B765" s="13">
        <v>8</v>
      </c>
      <c r="C765" t="s">
        <v>3</v>
      </c>
      <c r="D765" t="s">
        <v>4</v>
      </c>
      <c r="E765" t="s">
        <v>5</v>
      </c>
      <c r="F765" s="6">
        <v>112981201</v>
      </c>
      <c r="G765" t="s">
        <v>532</v>
      </c>
      <c r="H765" t="s">
        <v>49</v>
      </c>
      <c r="I765">
        <v>0</v>
      </c>
      <c r="J765">
        <v>0</v>
      </c>
      <c r="K765">
        <v>0</v>
      </c>
      <c r="L765">
        <v>0</v>
      </c>
      <c r="M765">
        <v>0.91</v>
      </c>
      <c r="N765" s="7" t="e">
        <f>VLOOKUP(F765,HC!A$6:D$100,3,FALSE)</f>
        <v>#N/A</v>
      </c>
      <c r="O765" s="7" t="e">
        <f>VLOOKUP(F765,HC!A$6:D$1000,2,FALSE)</f>
        <v>#N/A</v>
      </c>
      <c r="P765" t="s">
        <v>662</v>
      </c>
      <c r="Q765" s="7" t="s">
        <v>691</v>
      </c>
      <c r="R765" t="s">
        <v>15</v>
      </c>
      <c r="U765">
        <f t="shared" si="13"/>
        <v>1395</v>
      </c>
    </row>
    <row r="766" spans="1:21" ht="37.5" customHeight="1" x14ac:dyDescent="0.25">
      <c r="A766" s="19">
        <v>44979</v>
      </c>
      <c r="B766" s="13">
        <v>8</v>
      </c>
      <c r="C766" t="s">
        <v>3</v>
      </c>
      <c r="D766" t="s">
        <v>4</v>
      </c>
      <c r="E766" t="s">
        <v>5</v>
      </c>
      <c r="F766" s="6">
        <v>113014011</v>
      </c>
      <c r="G766" t="s">
        <v>45</v>
      </c>
      <c r="H766" t="s">
        <v>14</v>
      </c>
      <c r="I766">
        <v>0</v>
      </c>
      <c r="J766">
        <v>0</v>
      </c>
      <c r="K766">
        <v>0</v>
      </c>
      <c r="L766">
        <v>0</v>
      </c>
      <c r="M766">
        <v>0.38</v>
      </c>
      <c r="N766" s="7" t="e">
        <f>VLOOKUP(F766,HC!A$6:D$100,3,FALSE)</f>
        <v>#N/A</v>
      </c>
      <c r="O766" s="7" t="e">
        <f>VLOOKUP(F766,HC!A$6:D$1000,2,FALSE)</f>
        <v>#N/A</v>
      </c>
      <c r="P766" t="s">
        <v>675</v>
      </c>
      <c r="Q766" s="7"/>
      <c r="R766" t="s">
        <v>823</v>
      </c>
      <c r="U766">
        <f t="shared" si="13"/>
        <v>1395</v>
      </c>
    </row>
    <row r="767" spans="1:21" ht="37.5" customHeight="1" x14ac:dyDescent="0.25">
      <c r="A767" s="19">
        <v>44979</v>
      </c>
      <c r="B767" s="13">
        <v>8</v>
      </c>
      <c r="C767" t="s">
        <v>3</v>
      </c>
      <c r="D767" t="s">
        <v>4</v>
      </c>
      <c r="E767" t="s">
        <v>5</v>
      </c>
      <c r="F767" s="6">
        <v>113014036</v>
      </c>
      <c r="G767" t="s">
        <v>790</v>
      </c>
      <c r="H767" t="s">
        <v>49</v>
      </c>
      <c r="I767">
        <v>0</v>
      </c>
      <c r="J767">
        <v>0</v>
      </c>
      <c r="K767">
        <v>0</v>
      </c>
      <c r="L767">
        <v>0</v>
      </c>
      <c r="M767">
        <v>0.71</v>
      </c>
      <c r="N767" s="7" t="e">
        <f>VLOOKUP(F767,HC!A$6:D$100,3,FALSE)</f>
        <v>#N/A</v>
      </c>
      <c r="O767" s="7" t="str">
        <f>VLOOKUP(F767,HC!A$6:D$1000,2,FALSE)</f>
        <v>ronjosea</v>
      </c>
      <c r="P767" s="7" t="s">
        <v>661</v>
      </c>
      <c r="Q767" s="7" t="s">
        <v>681</v>
      </c>
      <c r="R767" t="s">
        <v>10</v>
      </c>
      <c r="U767">
        <f t="shared" si="13"/>
        <v>5</v>
      </c>
    </row>
    <row r="768" spans="1:21" ht="37.5" customHeight="1" x14ac:dyDescent="0.25">
      <c r="A768" s="19">
        <v>44979</v>
      </c>
      <c r="B768" s="13">
        <v>8</v>
      </c>
      <c r="C768" t="s">
        <v>3</v>
      </c>
      <c r="D768" t="s">
        <v>4</v>
      </c>
      <c r="E768" t="s">
        <v>5</v>
      </c>
      <c r="F768" s="6">
        <v>113020463</v>
      </c>
      <c r="G768" t="s">
        <v>321</v>
      </c>
      <c r="H768" t="s">
        <v>14</v>
      </c>
      <c r="I768">
        <v>0</v>
      </c>
      <c r="J768">
        <v>0</v>
      </c>
      <c r="K768">
        <v>0</v>
      </c>
      <c r="L768">
        <v>0</v>
      </c>
      <c r="M768">
        <v>0.19</v>
      </c>
      <c r="N768" s="7" t="e">
        <f>VLOOKUP(F768,HC!A$6:D$100,3,FALSE)</f>
        <v>#N/A</v>
      </c>
      <c r="O768" s="7" t="str">
        <f>VLOOKUP(F768,HC!A$6:D$1000,2,FALSE)</f>
        <v>myriamav</v>
      </c>
      <c r="P768" t="s">
        <v>661</v>
      </c>
      <c r="Q768" s="7" t="s">
        <v>700</v>
      </c>
      <c r="R768" t="s">
        <v>467</v>
      </c>
      <c r="U768">
        <f t="shared" si="13"/>
        <v>24</v>
      </c>
    </row>
    <row r="769" spans="1:21" ht="37.5" customHeight="1" x14ac:dyDescent="0.25">
      <c r="A769" s="19">
        <v>44979</v>
      </c>
      <c r="B769" s="13">
        <v>8</v>
      </c>
      <c r="C769" t="s">
        <v>3</v>
      </c>
      <c r="D769" t="s">
        <v>4</v>
      </c>
      <c r="E769" t="s">
        <v>5</v>
      </c>
      <c r="F769" s="6">
        <v>200404250</v>
      </c>
      <c r="G769" t="s">
        <v>51</v>
      </c>
      <c r="H769" t="s">
        <v>285</v>
      </c>
      <c r="I769">
        <v>0</v>
      </c>
      <c r="J769">
        <v>0</v>
      </c>
      <c r="K769">
        <v>0</v>
      </c>
      <c r="L769">
        <v>0</v>
      </c>
      <c r="M769">
        <v>0.44</v>
      </c>
      <c r="N769" s="7" t="e">
        <f>VLOOKUP(F769,HC!A$6:D$100,3,FALSE)</f>
        <v>#N/A</v>
      </c>
      <c r="O769" s="7" t="str">
        <f>VLOOKUP(F769,HC!A$6:D$1000,2,FALSE)</f>
        <v>xcathurt</v>
      </c>
      <c r="P769" s="7" t="s">
        <v>662</v>
      </c>
      <c r="Q769" s="7" t="s">
        <v>785</v>
      </c>
      <c r="R769" t="s">
        <v>235</v>
      </c>
      <c r="U769">
        <f t="shared" si="13"/>
        <v>124</v>
      </c>
    </row>
    <row r="770" spans="1:21" ht="37.5" customHeight="1" x14ac:dyDescent="0.25">
      <c r="A770" s="19">
        <v>44979</v>
      </c>
      <c r="B770" s="13">
        <v>8</v>
      </c>
      <c r="C770" t="s">
        <v>3</v>
      </c>
      <c r="D770" t="s">
        <v>4</v>
      </c>
      <c r="E770" t="s">
        <v>21</v>
      </c>
      <c r="F770" s="6">
        <v>200508371</v>
      </c>
      <c r="G770" t="s">
        <v>339</v>
      </c>
      <c r="H770" t="s">
        <v>298</v>
      </c>
      <c r="I770">
        <v>0</v>
      </c>
      <c r="J770">
        <v>0</v>
      </c>
      <c r="K770">
        <v>0</v>
      </c>
      <c r="L770">
        <v>0</v>
      </c>
      <c r="M770">
        <v>0.21</v>
      </c>
      <c r="N770" s="7" t="e">
        <f>VLOOKUP(F770,HC!A$6:D$100,3,FALSE)</f>
        <v>#N/A</v>
      </c>
      <c r="O770" s="7" t="e">
        <f>VLOOKUP(F770,HC!A$6:D$1000,2,FALSE)</f>
        <v>#N/A</v>
      </c>
      <c r="P770" s="7" t="s">
        <v>661</v>
      </c>
      <c r="Q770" s="7" t="s">
        <v>681</v>
      </c>
      <c r="R770" t="s">
        <v>10</v>
      </c>
      <c r="U770">
        <f t="shared" si="13"/>
        <v>1395</v>
      </c>
    </row>
    <row r="771" spans="1:21" ht="37.5" customHeight="1" x14ac:dyDescent="0.25">
      <c r="A771" s="19">
        <v>44979</v>
      </c>
      <c r="B771" s="13">
        <v>8</v>
      </c>
      <c r="C771" t="s">
        <v>3</v>
      </c>
      <c r="D771" t="s">
        <v>4</v>
      </c>
      <c r="E771" t="s">
        <v>21</v>
      </c>
      <c r="F771" s="6">
        <v>200514421</v>
      </c>
      <c r="G771" t="s">
        <v>301</v>
      </c>
      <c r="H771" t="s">
        <v>285</v>
      </c>
      <c r="I771">
        <v>0</v>
      </c>
      <c r="J771">
        <v>0</v>
      </c>
      <c r="K771">
        <v>0</v>
      </c>
      <c r="L771">
        <v>0</v>
      </c>
      <c r="M771">
        <v>0.16</v>
      </c>
      <c r="N771" s="7" t="e">
        <f>VLOOKUP(F771,HC!A$6:D$100,3,FALSE)</f>
        <v>#N/A</v>
      </c>
      <c r="O771" s="7" t="str">
        <f>VLOOKUP(F771,HC!A$6:D$1000,2,FALSE)</f>
        <v>padillms</v>
      </c>
      <c r="P771" s="7" t="s">
        <v>661</v>
      </c>
      <c r="Q771" s="7" t="s">
        <v>681</v>
      </c>
      <c r="R771" t="s">
        <v>10</v>
      </c>
      <c r="U771">
        <f t="shared" ref="U771:U834" si="14">COUNTIF(O$2:O$4999,O771)</f>
        <v>21</v>
      </c>
    </row>
    <row r="772" spans="1:21" ht="37.5" customHeight="1" x14ac:dyDescent="0.25">
      <c r="A772" s="19">
        <v>44979</v>
      </c>
      <c r="B772" s="13">
        <v>8</v>
      </c>
      <c r="C772" t="s">
        <v>3</v>
      </c>
      <c r="D772" t="s">
        <v>4</v>
      </c>
      <c r="E772" t="s">
        <v>21</v>
      </c>
      <c r="F772" s="6">
        <v>200574345</v>
      </c>
      <c r="G772" t="s">
        <v>476</v>
      </c>
      <c r="H772" t="s">
        <v>285</v>
      </c>
      <c r="I772">
        <v>0</v>
      </c>
      <c r="J772">
        <v>0</v>
      </c>
      <c r="K772">
        <v>0</v>
      </c>
      <c r="L772">
        <v>0</v>
      </c>
      <c r="M772">
        <v>0.33</v>
      </c>
      <c r="N772" s="7" t="e">
        <f>VLOOKUP(F772,HC!A$6:D$100,3,FALSE)</f>
        <v>#N/A</v>
      </c>
      <c r="O772" s="7" t="str">
        <f>VLOOKUP(F772,HC!A$6:D$1000,2,FALSE)</f>
        <v>contrexj</v>
      </c>
      <c r="P772" t="s">
        <v>670</v>
      </c>
      <c r="Q772" s="7" t="s">
        <v>740</v>
      </c>
      <c r="R772" t="s">
        <v>821</v>
      </c>
      <c r="U772">
        <f t="shared" si="14"/>
        <v>17</v>
      </c>
    </row>
    <row r="773" spans="1:21" ht="37.5" customHeight="1" x14ac:dyDescent="0.25">
      <c r="A773" s="19">
        <v>44980</v>
      </c>
      <c r="B773" s="13">
        <v>8</v>
      </c>
      <c r="C773" t="s">
        <v>3</v>
      </c>
      <c r="D773" t="s">
        <v>4</v>
      </c>
      <c r="E773" t="s">
        <v>5</v>
      </c>
      <c r="F773" s="6">
        <v>103260242</v>
      </c>
      <c r="G773" t="s">
        <v>793</v>
      </c>
      <c r="H773" t="s">
        <v>17</v>
      </c>
      <c r="I773">
        <v>0</v>
      </c>
      <c r="J773">
        <v>0</v>
      </c>
      <c r="K773">
        <v>0</v>
      </c>
      <c r="L773">
        <v>0</v>
      </c>
      <c r="M773">
        <v>1</v>
      </c>
      <c r="N773" s="7" t="e">
        <f>VLOOKUP(F773,HC!A$6:D$100,3,FALSE)</f>
        <v>#N/A</v>
      </c>
      <c r="O773" s="7" t="e">
        <f>VLOOKUP(F773,HC!A$6:D$1000,2,FALSE)</f>
        <v>#N/A</v>
      </c>
      <c r="P773" t="s">
        <v>664</v>
      </c>
      <c r="Q773" s="7" t="s">
        <v>777</v>
      </c>
      <c r="R773" t="s">
        <v>498</v>
      </c>
      <c r="U773">
        <f t="shared" si="14"/>
        <v>1395</v>
      </c>
    </row>
    <row r="774" spans="1:21" ht="37.5" customHeight="1" x14ac:dyDescent="0.25">
      <c r="A774" s="19">
        <v>44980</v>
      </c>
      <c r="B774" s="13">
        <v>8</v>
      </c>
      <c r="C774" t="s">
        <v>3</v>
      </c>
      <c r="D774" t="s">
        <v>4</v>
      </c>
      <c r="E774" t="s">
        <v>5</v>
      </c>
      <c r="F774" s="6">
        <v>111434478</v>
      </c>
      <c r="G774" t="s">
        <v>331</v>
      </c>
      <c r="H774" t="s">
        <v>253</v>
      </c>
      <c r="I774">
        <v>0</v>
      </c>
      <c r="J774">
        <v>0</v>
      </c>
      <c r="K774">
        <v>0</v>
      </c>
      <c r="L774">
        <v>0</v>
      </c>
      <c r="M774">
        <v>1.78</v>
      </c>
      <c r="N774" s="7" t="str">
        <f>VLOOKUP(F774,HC!A$6:D$100,3,FALSE)</f>
        <v>DA-X0700</v>
      </c>
      <c r="O774" s="7" t="str">
        <f>VLOOKUP(F774,HC!A$6:D$1000,2,FALSE)</f>
        <v>juanapam</v>
      </c>
      <c r="P774" t="s">
        <v>664</v>
      </c>
      <c r="Q774" s="7" t="s">
        <v>708</v>
      </c>
      <c r="R774" t="s">
        <v>611</v>
      </c>
      <c r="U774">
        <f t="shared" si="14"/>
        <v>32</v>
      </c>
    </row>
    <row r="775" spans="1:21" ht="37.5" customHeight="1" x14ac:dyDescent="0.25">
      <c r="A775" s="19">
        <v>44980</v>
      </c>
      <c r="B775" s="13">
        <v>8</v>
      </c>
      <c r="C775" t="s">
        <v>3</v>
      </c>
      <c r="D775" t="s">
        <v>4</v>
      </c>
      <c r="E775" t="s">
        <v>5</v>
      </c>
      <c r="F775" s="6">
        <v>112912753</v>
      </c>
      <c r="G775" t="s">
        <v>415</v>
      </c>
      <c r="H775" t="s">
        <v>285</v>
      </c>
      <c r="I775">
        <v>0</v>
      </c>
      <c r="J775">
        <v>0</v>
      </c>
      <c r="K775">
        <v>0</v>
      </c>
      <c r="L775">
        <v>0</v>
      </c>
      <c r="M775">
        <v>0.2</v>
      </c>
      <c r="N775" s="7" t="e">
        <f>VLOOKUP(F775,HC!A$6:D$100,3,FALSE)</f>
        <v>#N/A</v>
      </c>
      <c r="O775" s="7" t="e">
        <f>VLOOKUP(F775,HC!A$6:D$1000,2,FALSE)</f>
        <v>#N/A</v>
      </c>
      <c r="P775" s="7" t="s">
        <v>661</v>
      </c>
      <c r="Q775" s="7" t="s">
        <v>681</v>
      </c>
      <c r="R775" t="s">
        <v>234</v>
      </c>
      <c r="U775">
        <f t="shared" si="14"/>
        <v>1395</v>
      </c>
    </row>
    <row r="776" spans="1:21" ht="37.5" customHeight="1" x14ac:dyDescent="0.25">
      <c r="A776" s="19">
        <v>44980</v>
      </c>
      <c r="B776" s="13">
        <v>8</v>
      </c>
      <c r="C776" t="s">
        <v>3</v>
      </c>
      <c r="D776" t="s">
        <v>4</v>
      </c>
      <c r="E776" t="s">
        <v>5</v>
      </c>
      <c r="F776" s="6">
        <v>112973049</v>
      </c>
      <c r="G776" t="s">
        <v>314</v>
      </c>
      <c r="H776" t="s">
        <v>298</v>
      </c>
      <c r="I776">
        <v>0</v>
      </c>
      <c r="J776">
        <v>0</v>
      </c>
      <c r="K776">
        <v>0</v>
      </c>
      <c r="L776">
        <v>0</v>
      </c>
      <c r="M776">
        <v>0.44</v>
      </c>
      <c r="N776" s="7" t="str">
        <f>VLOOKUP(F776,HC!A$6:D$100,3,FALSE)</f>
        <v>DB-X0700</v>
      </c>
      <c r="O776" s="7" t="str">
        <f>VLOOKUP(F776,HC!A$6:D$1000,2,FALSE)</f>
        <v>afatimae</v>
      </c>
      <c r="P776" t="s">
        <v>666</v>
      </c>
      <c r="Q776" s="7" t="s">
        <v>768</v>
      </c>
      <c r="R776" t="s">
        <v>293</v>
      </c>
      <c r="U776">
        <f t="shared" si="14"/>
        <v>29</v>
      </c>
    </row>
    <row r="777" spans="1:21" ht="37.5" customHeight="1" x14ac:dyDescent="0.25">
      <c r="A777" s="19">
        <v>44980</v>
      </c>
      <c r="B777" s="13">
        <v>8</v>
      </c>
      <c r="C777" t="s">
        <v>3</v>
      </c>
      <c r="D777" t="s">
        <v>4</v>
      </c>
      <c r="E777" t="s">
        <v>5</v>
      </c>
      <c r="F777" s="6">
        <v>112980835</v>
      </c>
      <c r="G777" t="s">
        <v>357</v>
      </c>
      <c r="H777" t="s">
        <v>17</v>
      </c>
      <c r="I777">
        <v>0</v>
      </c>
      <c r="J777">
        <v>0</v>
      </c>
      <c r="K777">
        <v>0</v>
      </c>
      <c r="L777">
        <v>0</v>
      </c>
      <c r="M777">
        <v>0.16</v>
      </c>
      <c r="N777" s="7" t="e">
        <f>VLOOKUP(F777,HC!A$6:D$100,3,FALSE)</f>
        <v>#N/A</v>
      </c>
      <c r="O777" s="7" t="e">
        <f>VLOOKUP(F777,HC!A$6:D$1000,2,FALSE)</f>
        <v>#N/A</v>
      </c>
      <c r="P777" t="s">
        <v>662</v>
      </c>
      <c r="Q777" s="7" t="s">
        <v>691</v>
      </c>
      <c r="R777" t="s">
        <v>15</v>
      </c>
      <c r="U777">
        <f t="shared" si="14"/>
        <v>1395</v>
      </c>
    </row>
    <row r="778" spans="1:21" ht="37.5" customHeight="1" x14ac:dyDescent="0.25">
      <c r="A778" s="19">
        <v>44980</v>
      </c>
      <c r="B778" s="13">
        <v>8</v>
      </c>
      <c r="C778" t="s">
        <v>3</v>
      </c>
      <c r="D778" t="s">
        <v>4</v>
      </c>
      <c r="E778" t="s">
        <v>5</v>
      </c>
      <c r="F778" s="6">
        <v>112980878</v>
      </c>
      <c r="G778" t="s">
        <v>481</v>
      </c>
      <c r="H778" t="s">
        <v>285</v>
      </c>
      <c r="I778">
        <v>0</v>
      </c>
      <c r="J778">
        <v>0</v>
      </c>
      <c r="K778">
        <v>0</v>
      </c>
      <c r="L778">
        <v>0</v>
      </c>
      <c r="M778">
        <v>0.4</v>
      </c>
      <c r="N778" s="7" t="e">
        <f>VLOOKUP(F778,HC!A$6:D$100,3,FALSE)</f>
        <v>#N/A</v>
      </c>
      <c r="O778" s="7" t="e">
        <f>VLOOKUP(F778,HC!A$6:D$1000,2,FALSE)</f>
        <v>#N/A</v>
      </c>
      <c r="P778" s="7" t="s">
        <v>661</v>
      </c>
      <c r="Q778" s="7" t="s">
        <v>681</v>
      </c>
      <c r="R778" t="s">
        <v>234</v>
      </c>
      <c r="U778">
        <f t="shared" si="14"/>
        <v>1395</v>
      </c>
    </row>
    <row r="779" spans="1:21" ht="37.5" customHeight="1" x14ac:dyDescent="0.25">
      <c r="A779" s="19">
        <v>44980</v>
      </c>
      <c r="B779" s="13">
        <v>8</v>
      </c>
      <c r="C779" t="s">
        <v>3</v>
      </c>
      <c r="D779" t="s">
        <v>4</v>
      </c>
      <c r="E779" t="s">
        <v>5</v>
      </c>
      <c r="F779" s="6">
        <v>112984097</v>
      </c>
      <c r="G779" t="s">
        <v>265</v>
      </c>
      <c r="H779" t="s">
        <v>49</v>
      </c>
      <c r="I779">
        <v>0</v>
      </c>
      <c r="J779">
        <v>0</v>
      </c>
      <c r="K779">
        <v>0</v>
      </c>
      <c r="L779">
        <v>0</v>
      </c>
      <c r="M779">
        <v>0.21</v>
      </c>
      <c r="N779" s="7" t="e">
        <f>VLOOKUP(F779,HC!A$6:D$100,3,FALSE)</f>
        <v>#N/A</v>
      </c>
      <c r="O779" s="7" t="e">
        <f>VLOOKUP(F779,HC!A$6:D$1000,2,FALSE)</f>
        <v>#N/A</v>
      </c>
      <c r="P779" t="s">
        <v>664</v>
      </c>
      <c r="Q779" s="7" t="s">
        <v>708</v>
      </c>
      <c r="R779" t="s">
        <v>420</v>
      </c>
      <c r="U779">
        <f t="shared" si="14"/>
        <v>1395</v>
      </c>
    </row>
    <row r="780" spans="1:21" ht="37.5" customHeight="1" x14ac:dyDescent="0.25">
      <c r="A780" s="19">
        <v>44980</v>
      </c>
      <c r="B780" s="13">
        <v>8</v>
      </c>
      <c r="C780" t="s">
        <v>3</v>
      </c>
      <c r="D780" t="s">
        <v>4</v>
      </c>
      <c r="E780" t="s">
        <v>5</v>
      </c>
      <c r="F780" s="6">
        <v>113014008</v>
      </c>
      <c r="G780" t="s">
        <v>794</v>
      </c>
      <c r="H780" t="s">
        <v>7</v>
      </c>
      <c r="I780">
        <v>0</v>
      </c>
      <c r="J780">
        <v>0</v>
      </c>
      <c r="K780">
        <v>0</v>
      </c>
      <c r="L780">
        <v>0</v>
      </c>
      <c r="M780">
        <v>0.13</v>
      </c>
      <c r="N780" s="7" t="e">
        <f>VLOOKUP(F780,HC!A$6:D$100,3,FALSE)</f>
        <v>#N/A</v>
      </c>
      <c r="O780" s="7" t="e">
        <f>VLOOKUP(F780,HC!A$6:D$1000,2,FALSE)</f>
        <v>#N/A</v>
      </c>
      <c r="P780" t="s">
        <v>664</v>
      </c>
      <c r="Q780" s="7" t="s">
        <v>708</v>
      </c>
      <c r="R780" t="s">
        <v>420</v>
      </c>
      <c r="U780">
        <f t="shared" si="14"/>
        <v>1395</v>
      </c>
    </row>
    <row r="781" spans="1:21" ht="37.5" customHeight="1" x14ac:dyDescent="0.25">
      <c r="A781" s="19">
        <v>44980</v>
      </c>
      <c r="B781" s="13">
        <v>8</v>
      </c>
      <c r="C781" t="s">
        <v>3</v>
      </c>
      <c r="D781" t="s">
        <v>4</v>
      </c>
      <c r="E781" t="s">
        <v>5</v>
      </c>
      <c r="F781" s="6">
        <v>113018997</v>
      </c>
      <c r="G781" t="s">
        <v>254</v>
      </c>
      <c r="H781" t="s">
        <v>44</v>
      </c>
      <c r="I781">
        <v>0</v>
      </c>
      <c r="J781">
        <v>0</v>
      </c>
      <c r="K781">
        <v>0</v>
      </c>
      <c r="L781">
        <v>0</v>
      </c>
      <c r="M781">
        <v>0.23</v>
      </c>
      <c r="N781" s="7" t="e">
        <f>VLOOKUP(F781,HC!A$6:D$100,3,FALSE)</f>
        <v>#N/A</v>
      </c>
      <c r="O781" s="7" t="e">
        <f>VLOOKUP(F781,HC!A$6:D$1000,2,FALSE)</f>
        <v>#N/A</v>
      </c>
      <c r="P781" s="7" t="s">
        <v>661</v>
      </c>
      <c r="Q781" s="7" t="s">
        <v>681</v>
      </c>
      <c r="R781" t="s">
        <v>234</v>
      </c>
      <c r="U781">
        <f t="shared" si="14"/>
        <v>1395</v>
      </c>
    </row>
    <row r="782" spans="1:21" ht="37.5" customHeight="1" x14ac:dyDescent="0.25">
      <c r="A782" s="19">
        <v>44980</v>
      </c>
      <c r="B782" s="13">
        <v>8</v>
      </c>
      <c r="C782" t="s">
        <v>3</v>
      </c>
      <c r="D782" t="s">
        <v>4</v>
      </c>
      <c r="E782" t="s">
        <v>5</v>
      </c>
      <c r="F782" s="6">
        <v>113052151</v>
      </c>
      <c r="G782" t="s">
        <v>482</v>
      </c>
      <c r="H782" t="s">
        <v>17</v>
      </c>
      <c r="I782">
        <v>0</v>
      </c>
      <c r="J782">
        <v>0</v>
      </c>
      <c r="K782">
        <v>0</v>
      </c>
      <c r="L782">
        <v>0</v>
      </c>
      <c r="M782">
        <v>0.51</v>
      </c>
      <c r="N782" s="7" t="e">
        <f>VLOOKUP(F782,HC!A$6:D$100,3,FALSE)</f>
        <v>#N/A</v>
      </c>
      <c r="O782" s="7" t="str">
        <f>VLOOKUP(F782,HC!A$6:D$1000,2,FALSE)</f>
        <v>nilaurab</v>
      </c>
      <c r="P782" t="s">
        <v>663</v>
      </c>
      <c r="Q782" s="7" t="s">
        <v>692</v>
      </c>
      <c r="R782" t="s">
        <v>236</v>
      </c>
      <c r="U782">
        <f t="shared" si="14"/>
        <v>28</v>
      </c>
    </row>
    <row r="783" spans="1:21" ht="37.5" customHeight="1" x14ac:dyDescent="0.25">
      <c r="A783" s="19">
        <v>44980</v>
      </c>
      <c r="B783" s="13">
        <v>8</v>
      </c>
      <c r="C783" t="s">
        <v>3</v>
      </c>
      <c r="D783" t="s">
        <v>4</v>
      </c>
      <c r="E783" t="s">
        <v>5</v>
      </c>
      <c r="F783" s="6">
        <v>200404250</v>
      </c>
      <c r="G783" t="s">
        <v>51</v>
      </c>
      <c r="H783" t="s">
        <v>285</v>
      </c>
      <c r="I783">
        <v>0</v>
      </c>
      <c r="J783">
        <v>0</v>
      </c>
      <c r="K783">
        <v>0</v>
      </c>
      <c r="L783">
        <v>0</v>
      </c>
      <c r="M783">
        <v>0.55000000000000004</v>
      </c>
      <c r="N783" s="7" t="e">
        <f>VLOOKUP(F783,HC!A$6:D$100,3,FALSE)</f>
        <v>#N/A</v>
      </c>
      <c r="O783" s="7" t="str">
        <f>VLOOKUP(F783,HC!A$6:D$1000,2,FALSE)</f>
        <v>xcathurt</v>
      </c>
      <c r="P783" t="s">
        <v>666</v>
      </c>
      <c r="Q783" s="7" t="s">
        <v>768</v>
      </c>
      <c r="R783" t="s">
        <v>293</v>
      </c>
      <c r="U783">
        <f t="shared" si="14"/>
        <v>124</v>
      </c>
    </row>
    <row r="784" spans="1:21" ht="37.5" customHeight="1" x14ac:dyDescent="0.25">
      <c r="A784" s="19">
        <v>44980</v>
      </c>
      <c r="B784" s="13">
        <v>8</v>
      </c>
      <c r="C784" t="s">
        <v>3</v>
      </c>
      <c r="D784" t="s">
        <v>4</v>
      </c>
      <c r="E784" t="s">
        <v>21</v>
      </c>
      <c r="F784" s="6">
        <v>200508315</v>
      </c>
      <c r="G784" t="s">
        <v>428</v>
      </c>
      <c r="H784" t="s">
        <v>298</v>
      </c>
      <c r="I784">
        <v>0</v>
      </c>
      <c r="J784">
        <v>0</v>
      </c>
      <c r="K784">
        <v>0</v>
      </c>
      <c r="L784">
        <v>0</v>
      </c>
      <c r="M784">
        <v>0.2</v>
      </c>
      <c r="N784" s="7" t="e">
        <f>VLOOKUP(F784,HC!A$6:D$100,3,FALSE)</f>
        <v>#N/A</v>
      </c>
      <c r="O784" s="7" t="str">
        <f>VLOOKUP(F784,HC!A$6:D$1000,2,FALSE)</f>
        <v>taldaher</v>
      </c>
      <c r="P784" s="7" t="s">
        <v>661</v>
      </c>
      <c r="Q784" s="7" t="s">
        <v>681</v>
      </c>
      <c r="R784" t="s">
        <v>234</v>
      </c>
      <c r="U784">
        <f t="shared" si="14"/>
        <v>18</v>
      </c>
    </row>
    <row r="785" spans="1:21" ht="37.5" customHeight="1" x14ac:dyDescent="0.25">
      <c r="A785" s="19">
        <v>44980</v>
      </c>
      <c r="B785" s="13">
        <v>8</v>
      </c>
      <c r="C785" t="s">
        <v>3</v>
      </c>
      <c r="D785" t="s">
        <v>4</v>
      </c>
      <c r="E785" t="s">
        <v>21</v>
      </c>
      <c r="F785" s="6">
        <v>200564895</v>
      </c>
      <c r="G785" t="s">
        <v>520</v>
      </c>
      <c r="H785" t="s">
        <v>49</v>
      </c>
      <c r="I785">
        <v>0</v>
      </c>
      <c r="J785">
        <v>0</v>
      </c>
      <c r="K785">
        <v>0</v>
      </c>
      <c r="L785">
        <v>0</v>
      </c>
      <c r="M785">
        <v>0.17</v>
      </c>
      <c r="N785" s="7" t="e">
        <f>VLOOKUP(F785,HC!A$6:D$100,3,FALSE)</f>
        <v>#N/A</v>
      </c>
      <c r="O785" s="7" t="str">
        <f>VLOOKUP(F785,HC!A$6:D$1000,2,FALSE)</f>
        <v>hmendobr</v>
      </c>
      <c r="P785" t="s">
        <v>668</v>
      </c>
      <c r="Q785" s="7" t="s">
        <v>732</v>
      </c>
      <c r="R785" t="s">
        <v>803</v>
      </c>
      <c r="U785">
        <f t="shared" si="14"/>
        <v>16</v>
      </c>
    </row>
    <row r="786" spans="1:21" ht="37.5" customHeight="1" x14ac:dyDescent="0.25">
      <c r="A786" s="19">
        <v>44980</v>
      </c>
      <c r="B786" s="13">
        <v>8</v>
      </c>
      <c r="C786" t="s">
        <v>3</v>
      </c>
      <c r="D786" t="s">
        <v>4</v>
      </c>
      <c r="E786" t="s">
        <v>21</v>
      </c>
      <c r="F786" s="6">
        <v>200574655</v>
      </c>
      <c r="G786" t="s">
        <v>630</v>
      </c>
      <c r="H786" t="s">
        <v>49</v>
      </c>
      <c r="I786">
        <v>0</v>
      </c>
      <c r="J786">
        <v>0</v>
      </c>
      <c r="K786">
        <v>0</v>
      </c>
      <c r="L786">
        <v>0</v>
      </c>
      <c r="M786">
        <v>0.47</v>
      </c>
      <c r="N786" s="7" t="e">
        <f>VLOOKUP(F786,HC!A$6:D$100,3,FALSE)</f>
        <v>#N/A</v>
      </c>
      <c r="O786" s="7" t="str">
        <f>VLOOKUP(F786,HC!A$6:D$1000,2,FALSE)</f>
        <v>dulceami</v>
      </c>
      <c r="P786" t="s">
        <v>662</v>
      </c>
      <c r="Q786" s="7" t="s">
        <v>687</v>
      </c>
      <c r="R786" t="s">
        <v>544</v>
      </c>
      <c r="U786">
        <f t="shared" si="14"/>
        <v>20</v>
      </c>
    </row>
    <row r="787" spans="1:21" ht="37.5" customHeight="1" x14ac:dyDescent="0.25">
      <c r="A787" s="19">
        <v>44980</v>
      </c>
      <c r="B787" s="13">
        <v>8</v>
      </c>
      <c r="C787" t="s">
        <v>3</v>
      </c>
      <c r="D787" t="s">
        <v>4</v>
      </c>
      <c r="E787" t="s">
        <v>21</v>
      </c>
      <c r="F787" s="6">
        <v>200589316</v>
      </c>
      <c r="G787" t="s">
        <v>53</v>
      </c>
      <c r="H787" t="s">
        <v>7</v>
      </c>
      <c r="I787">
        <v>0</v>
      </c>
      <c r="J787">
        <v>0</v>
      </c>
      <c r="K787">
        <v>0</v>
      </c>
      <c r="L787">
        <v>0</v>
      </c>
      <c r="M787">
        <v>0.24</v>
      </c>
      <c r="N787" s="7" t="e">
        <f>VLOOKUP(F787,HC!A$6:D$100,3,FALSE)</f>
        <v>#N/A</v>
      </c>
      <c r="O787" s="7" t="e">
        <f>VLOOKUP(F787,HC!A$6:D$1000,2,FALSE)</f>
        <v>#N/A</v>
      </c>
      <c r="P787" s="7" t="s">
        <v>661</v>
      </c>
      <c r="Q787" s="7" t="s">
        <v>681</v>
      </c>
      <c r="R787" t="s">
        <v>234</v>
      </c>
      <c r="U787">
        <f t="shared" si="14"/>
        <v>1395</v>
      </c>
    </row>
    <row r="788" spans="1:21" ht="37.5" customHeight="1" x14ac:dyDescent="0.25">
      <c r="A788" s="19">
        <v>44980</v>
      </c>
      <c r="B788" s="13">
        <v>8</v>
      </c>
      <c r="C788" t="s">
        <v>3</v>
      </c>
      <c r="D788" t="s">
        <v>4</v>
      </c>
      <c r="E788" t="s">
        <v>21</v>
      </c>
      <c r="F788" s="6">
        <v>200615883</v>
      </c>
      <c r="G788" t="s">
        <v>508</v>
      </c>
      <c r="H788" t="s">
        <v>7</v>
      </c>
      <c r="I788">
        <v>0</v>
      </c>
      <c r="J788">
        <v>0</v>
      </c>
      <c r="K788">
        <v>0</v>
      </c>
      <c r="L788">
        <v>0</v>
      </c>
      <c r="M788">
        <v>0.4</v>
      </c>
      <c r="N788" s="7" t="e">
        <f>VLOOKUP(F788,HC!A$6:D$100,3,FALSE)</f>
        <v>#N/A</v>
      </c>
      <c r="O788" s="7" t="e">
        <f>VLOOKUP(F788,HC!A$6:D$1000,2,FALSE)</f>
        <v>#N/A</v>
      </c>
      <c r="P788" t="s">
        <v>663</v>
      </c>
      <c r="Q788" s="7" t="s">
        <v>692</v>
      </c>
      <c r="R788" t="s">
        <v>236</v>
      </c>
      <c r="U788">
        <f t="shared" si="14"/>
        <v>1395</v>
      </c>
    </row>
    <row r="789" spans="1:21" ht="37.5" customHeight="1" x14ac:dyDescent="0.25">
      <c r="A789" s="19">
        <v>44980</v>
      </c>
      <c r="B789" s="13">
        <v>8</v>
      </c>
      <c r="C789" t="s">
        <v>3</v>
      </c>
      <c r="D789" t="s">
        <v>4</v>
      </c>
      <c r="E789" t="s">
        <v>21</v>
      </c>
      <c r="F789" s="6">
        <v>200615937</v>
      </c>
      <c r="G789" t="s">
        <v>494</v>
      </c>
      <c r="H789" t="s">
        <v>47</v>
      </c>
      <c r="I789">
        <v>0</v>
      </c>
      <c r="J789">
        <v>0</v>
      </c>
      <c r="K789">
        <v>0</v>
      </c>
      <c r="L789">
        <v>0</v>
      </c>
      <c r="M789">
        <v>0.14000000000000001</v>
      </c>
      <c r="N789" s="7" t="e">
        <f>VLOOKUP(F789,HC!A$6:D$100,3,FALSE)</f>
        <v>#N/A</v>
      </c>
      <c r="O789" s="7" t="e">
        <f>VLOOKUP(F789,HC!A$6:D$1000,2,FALSE)</f>
        <v>#N/A</v>
      </c>
      <c r="P789" s="7" t="s">
        <v>661</v>
      </c>
      <c r="Q789" s="7" t="s">
        <v>681</v>
      </c>
      <c r="R789" t="s">
        <v>234</v>
      </c>
      <c r="U789">
        <f t="shared" si="14"/>
        <v>1395</v>
      </c>
    </row>
    <row r="790" spans="1:21" ht="37.5" customHeight="1" x14ac:dyDescent="0.25">
      <c r="A790" s="19">
        <v>44981</v>
      </c>
      <c r="B790" s="13">
        <v>8</v>
      </c>
      <c r="C790" t="s">
        <v>3</v>
      </c>
      <c r="D790" t="s">
        <v>4</v>
      </c>
      <c r="E790" t="s">
        <v>21</v>
      </c>
      <c r="F790" s="6">
        <v>109227086</v>
      </c>
      <c r="G790" t="s">
        <v>430</v>
      </c>
      <c r="H790" t="s">
        <v>14</v>
      </c>
      <c r="I790">
        <v>0</v>
      </c>
      <c r="J790">
        <v>0</v>
      </c>
      <c r="K790">
        <v>0</v>
      </c>
      <c r="L790">
        <v>0</v>
      </c>
      <c r="M790">
        <v>0.48</v>
      </c>
      <c r="N790" s="7" t="e">
        <f>VLOOKUP(F790,HC!A$6:D$100,3,FALSE)</f>
        <v>#N/A</v>
      </c>
      <c r="O790" s="7" t="e">
        <f>VLOOKUP(F790,HC!A$6:D$1000,2,FALSE)</f>
        <v>#N/A</v>
      </c>
      <c r="P790" s="7" t="s">
        <v>675</v>
      </c>
      <c r="Q790" s="7"/>
      <c r="R790" t="s">
        <v>305</v>
      </c>
      <c r="U790">
        <f t="shared" si="14"/>
        <v>1395</v>
      </c>
    </row>
    <row r="791" spans="1:21" ht="37.5" customHeight="1" x14ac:dyDescent="0.25">
      <c r="A791" s="19">
        <v>44981</v>
      </c>
      <c r="B791" s="13">
        <v>8</v>
      </c>
      <c r="C791" t="s">
        <v>3</v>
      </c>
      <c r="D791" t="s">
        <v>4</v>
      </c>
      <c r="E791" t="s">
        <v>5</v>
      </c>
      <c r="F791" s="6">
        <v>112912675</v>
      </c>
      <c r="G791" t="s">
        <v>326</v>
      </c>
      <c r="H791" t="s">
        <v>268</v>
      </c>
      <c r="I791">
        <v>0</v>
      </c>
      <c r="J791">
        <v>0</v>
      </c>
      <c r="K791">
        <v>0</v>
      </c>
      <c r="L791">
        <v>0</v>
      </c>
      <c r="M791">
        <v>0.23</v>
      </c>
      <c r="N791" s="7" t="e">
        <f>VLOOKUP(F791,HC!A$6:D$100,3,FALSE)</f>
        <v>#N/A</v>
      </c>
      <c r="O791" s="7" t="e">
        <f>VLOOKUP(F791,HC!A$6:D$1000,2,FALSE)</f>
        <v>#N/A</v>
      </c>
      <c r="P791" s="7" t="s">
        <v>662</v>
      </c>
      <c r="Q791" s="7" t="s">
        <v>785</v>
      </c>
      <c r="R791" t="s">
        <v>235</v>
      </c>
      <c r="U791">
        <f t="shared" si="14"/>
        <v>1395</v>
      </c>
    </row>
    <row r="792" spans="1:21" ht="37.5" customHeight="1" x14ac:dyDescent="0.25">
      <c r="A792" s="19">
        <v>44981</v>
      </c>
      <c r="B792" s="13">
        <v>8</v>
      </c>
      <c r="C792" t="s">
        <v>3</v>
      </c>
      <c r="D792" t="s">
        <v>4</v>
      </c>
      <c r="E792" t="s">
        <v>5</v>
      </c>
      <c r="F792" s="6">
        <v>112972523</v>
      </c>
      <c r="G792" t="s">
        <v>802</v>
      </c>
      <c r="H792" t="s">
        <v>282</v>
      </c>
      <c r="I792">
        <v>0</v>
      </c>
      <c r="J792">
        <v>0</v>
      </c>
      <c r="K792">
        <v>0</v>
      </c>
      <c r="L792">
        <v>0</v>
      </c>
      <c r="M792">
        <v>0.27</v>
      </c>
      <c r="N792" s="7" t="e">
        <f>VLOOKUP(F792,HC!A$6:D$100,3,FALSE)</f>
        <v>#N/A</v>
      </c>
      <c r="O792" s="7" t="e">
        <f>VLOOKUP(F792,HC!A$6:D$1000,2,FALSE)</f>
        <v>#N/A</v>
      </c>
      <c r="P792" s="7" t="s">
        <v>661</v>
      </c>
      <c r="Q792" s="7" t="s">
        <v>681</v>
      </c>
      <c r="R792" t="s">
        <v>234</v>
      </c>
      <c r="U792">
        <f t="shared" si="14"/>
        <v>1395</v>
      </c>
    </row>
    <row r="793" spans="1:21" ht="37.5" customHeight="1" x14ac:dyDescent="0.25">
      <c r="A793" s="19">
        <v>44981</v>
      </c>
      <c r="B793" s="13">
        <v>8</v>
      </c>
      <c r="C793" t="s">
        <v>3</v>
      </c>
      <c r="D793" t="s">
        <v>4</v>
      </c>
      <c r="E793" t="s">
        <v>5</v>
      </c>
      <c r="F793" s="6">
        <v>112980844</v>
      </c>
      <c r="G793" t="s">
        <v>13</v>
      </c>
      <c r="H793" t="s">
        <v>44</v>
      </c>
      <c r="I793">
        <v>0</v>
      </c>
      <c r="J793">
        <v>0</v>
      </c>
      <c r="K793">
        <v>0</v>
      </c>
      <c r="L793">
        <v>0</v>
      </c>
      <c r="M793">
        <v>0.09</v>
      </c>
      <c r="N793" s="7" t="str">
        <f>VLOOKUP(F793,HC!A$6:D$100,3,FALSE)</f>
        <v>DA-X0700</v>
      </c>
      <c r="O793" s="7" t="str">
        <f>VLOOKUP(F793,HC!A$6:D$1000,2,FALSE)</f>
        <v>samajpad</v>
      </c>
      <c r="P793" s="7" t="s">
        <v>661</v>
      </c>
      <c r="Q793" s="7" t="s">
        <v>681</v>
      </c>
      <c r="R793" t="s">
        <v>234</v>
      </c>
      <c r="U793">
        <f t="shared" si="14"/>
        <v>20</v>
      </c>
    </row>
    <row r="794" spans="1:21" ht="37.5" customHeight="1" x14ac:dyDescent="0.25">
      <c r="A794" s="19">
        <v>44981</v>
      </c>
      <c r="B794" s="13">
        <v>8</v>
      </c>
      <c r="C794" t="s">
        <v>3</v>
      </c>
      <c r="D794" t="s">
        <v>4</v>
      </c>
      <c r="E794" t="s">
        <v>5</v>
      </c>
      <c r="F794" s="6">
        <v>112980878</v>
      </c>
      <c r="G794" t="s">
        <v>481</v>
      </c>
      <c r="H794" t="s">
        <v>285</v>
      </c>
      <c r="I794">
        <v>0</v>
      </c>
      <c r="J794">
        <v>0</v>
      </c>
      <c r="K794">
        <v>0</v>
      </c>
      <c r="L794">
        <v>0</v>
      </c>
      <c r="M794">
        <v>0.16</v>
      </c>
      <c r="N794" s="7" t="e">
        <f>VLOOKUP(F794,HC!A$6:D$100,3,FALSE)</f>
        <v>#N/A</v>
      </c>
      <c r="O794" s="7" t="e">
        <f>VLOOKUP(F794,HC!A$6:D$1000,2,FALSE)</f>
        <v>#N/A</v>
      </c>
      <c r="P794" s="7" t="s">
        <v>661</v>
      </c>
      <c r="Q794" s="7" t="s">
        <v>681</v>
      </c>
      <c r="R794" t="s">
        <v>234</v>
      </c>
      <c r="U794">
        <f t="shared" si="14"/>
        <v>1395</v>
      </c>
    </row>
    <row r="795" spans="1:21" ht="37.5" customHeight="1" x14ac:dyDescent="0.25">
      <c r="A795" s="19">
        <v>44981</v>
      </c>
      <c r="B795" s="13">
        <v>8</v>
      </c>
      <c r="C795" t="s">
        <v>3</v>
      </c>
      <c r="D795" t="s">
        <v>4</v>
      </c>
      <c r="E795" t="s">
        <v>5</v>
      </c>
      <c r="F795" s="6">
        <v>113020463</v>
      </c>
      <c r="G795" t="s">
        <v>321</v>
      </c>
      <c r="H795" t="s">
        <v>14</v>
      </c>
      <c r="I795">
        <v>0</v>
      </c>
      <c r="J795">
        <v>0</v>
      </c>
      <c r="K795">
        <v>0</v>
      </c>
      <c r="L795">
        <v>0</v>
      </c>
      <c r="M795">
        <v>1.27</v>
      </c>
      <c r="N795" s="7" t="e">
        <f>VLOOKUP(F795,HC!A$6:D$100,3,FALSE)</f>
        <v>#N/A</v>
      </c>
      <c r="O795" s="7" t="str">
        <f>VLOOKUP(F795,HC!A$6:D$1000,2,FALSE)</f>
        <v>myriamav</v>
      </c>
      <c r="P795" s="7" t="s">
        <v>661</v>
      </c>
      <c r="Q795" s="7" t="s">
        <v>681</v>
      </c>
      <c r="R795" t="s">
        <v>234</v>
      </c>
      <c r="U795">
        <f t="shared" si="14"/>
        <v>24</v>
      </c>
    </row>
    <row r="796" spans="1:21" ht="37.5" customHeight="1" x14ac:dyDescent="0.25">
      <c r="A796" s="19">
        <v>44981</v>
      </c>
      <c r="B796" s="13">
        <v>8</v>
      </c>
      <c r="C796" t="s">
        <v>3</v>
      </c>
      <c r="D796" t="s">
        <v>4</v>
      </c>
      <c r="E796" t="s">
        <v>5</v>
      </c>
      <c r="F796" s="6">
        <v>113052151</v>
      </c>
      <c r="G796" t="s">
        <v>482</v>
      </c>
      <c r="H796" t="s">
        <v>17</v>
      </c>
      <c r="I796">
        <v>0</v>
      </c>
      <c r="J796">
        <v>0</v>
      </c>
      <c r="K796">
        <v>0</v>
      </c>
      <c r="L796">
        <v>0</v>
      </c>
      <c r="M796">
        <v>0.11</v>
      </c>
      <c r="N796" s="7" t="e">
        <f>VLOOKUP(F796,HC!A$6:D$100,3,FALSE)</f>
        <v>#N/A</v>
      </c>
      <c r="O796" s="7" t="str">
        <f>VLOOKUP(F796,HC!A$6:D$1000,2,FALSE)</f>
        <v>nilaurab</v>
      </c>
      <c r="P796" t="s">
        <v>663</v>
      </c>
      <c r="Q796" s="7" t="s">
        <v>692</v>
      </c>
      <c r="R796" t="s">
        <v>236</v>
      </c>
      <c r="U796">
        <f t="shared" si="14"/>
        <v>28</v>
      </c>
    </row>
    <row r="797" spans="1:21" ht="37.5" customHeight="1" x14ac:dyDescent="0.25">
      <c r="A797" s="19">
        <v>44981</v>
      </c>
      <c r="B797" s="13">
        <v>8</v>
      </c>
      <c r="C797" t="s">
        <v>3</v>
      </c>
      <c r="D797" t="s">
        <v>4</v>
      </c>
      <c r="E797" t="s">
        <v>5</v>
      </c>
      <c r="F797" s="6">
        <v>200404250</v>
      </c>
      <c r="G797" t="s">
        <v>51</v>
      </c>
      <c r="H797" t="s">
        <v>285</v>
      </c>
      <c r="I797">
        <v>0</v>
      </c>
      <c r="J797">
        <v>0</v>
      </c>
      <c r="K797">
        <v>0</v>
      </c>
      <c r="L797">
        <v>0</v>
      </c>
      <c r="M797">
        <v>0.49</v>
      </c>
      <c r="N797" s="7" t="e">
        <f>VLOOKUP(F797,HC!A$6:D$100,3,FALSE)</f>
        <v>#N/A</v>
      </c>
      <c r="O797" s="7" t="str">
        <f>VLOOKUP(F797,HC!A$6:D$1000,2,FALSE)</f>
        <v>xcathurt</v>
      </c>
      <c r="P797" s="7" t="s">
        <v>662</v>
      </c>
      <c r="Q797" s="7" t="s">
        <v>785</v>
      </c>
      <c r="R797" t="s">
        <v>235</v>
      </c>
      <c r="U797">
        <f t="shared" si="14"/>
        <v>124</v>
      </c>
    </row>
    <row r="798" spans="1:21" ht="37.5" customHeight="1" x14ac:dyDescent="0.25">
      <c r="A798" s="19">
        <v>44981</v>
      </c>
      <c r="B798" s="13">
        <v>8</v>
      </c>
      <c r="C798" t="s">
        <v>3</v>
      </c>
      <c r="D798" t="s">
        <v>4</v>
      </c>
      <c r="E798" t="s">
        <v>21</v>
      </c>
      <c r="F798" s="6">
        <v>200564845</v>
      </c>
      <c r="G798" t="s">
        <v>440</v>
      </c>
      <c r="H798" t="s">
        <v>285</v>
      </c>
      <c r="I798">
        <v>0</v>
      </c>
      <c r="J798">
        <v>0</v>
      </c>
      <c r="K798">
        <v>0</v>
      </c>
      <c r="L798">
        <v>0</v>
      </c>
      <c r="M798">
        <v>0.11</v>
      </c>
      <c r="N798" s="7" t="e">
        <f>VLOOKUP(F798,HC!A$6:D$100,3,FALSE)</f>
        <v>#N/A</v>
      </c>
      <c r="O798" s="7" t="e">
        <f>VLOOKUP(F798,HC!A$6:D$1000,2,FALSE)</f>
        <v>#N/A</v>
      </c>
      <c r="P798" s="7" t="s">
        <v>661</v>
      </c>
      <c r="Q798" s="7" t="s">
        <v>681</v>
      </c>
      <c r="R798" t="s">
        <v>234</v>
      </c>
      <c r="U798">
        <f t="shared" si="14"/>
        <v>1395</v>
      </c>
    </row>
    <row r="799" spans="1:21" ht="37.5" customHeight="1" x14ac:dyDescent="0.25">
      <c r="A799" s="19">
        <v>44981</v>
      </c>
      <c r="B799" s="13">
        <v>8</v>
      </c>
      <c r="C799" t="s">
        <v>3</v>
      </c>
      <c r="D799" t="s">
        <v>4</v>
      </c>
      <c r="E799" t="s">
        <v>21</v>
      </c>
      <c r="F799" s="6">
        <v>200589316</v>
      </c>
      <c r="G799" t="s">
        <v>53</v>
      </c>
      <c r="H799" t="s">
        <v>7</v>
      </c>
      <c r="I799">
        <v>0</v>
      </c>
      <c r="J799">
        <v>0</v>
      </c>
      <c r="K799">
        <v>0</v>
      </c>
      <c r="L799">
        <v>0</v>
      </c>
      <c r="M799">
        <v>0.13</v>
      </c>
      <c r="N799" s="7" t="e">
        <f>VLOOKUP(F799,HC!A$6:D$100,3,FALSE)</f>
        <v>#N/A</v>
      </c>
      <c r="O799" s="7" t="e">
        <f>VLOOKUP(F799,HC!A$6:D$1000,2,FALSE)</f>
        <v>#N/A</v>
      </c>
      <c r="P799" s="7" t="s">
        <v>661</v>
      </c>
      <c r="Q799" s="7" t="s">
        <v>681</v>
      </c>
      <c r="R799" t="s">
        <v>234</v>
      </c>
      <c r="U799">
        <f t="shared" si="14"/>
        <v>1395</v>
      </c>
    </row>
    <row r="800" spans="1:21" ht="37.5" customHeight="1" x14ac:dyDescent="0.25">
      <c r="A800" s="19">
        <v>44981</v>
      </c>
      <c r="B800" s="13">
        <v>8</v>
      </c>
      <c r="C800" t="s">
        <v>3</v>
      </c>
      <c r="D800" t="s">
        <v>4</v>
      </c>
      <c r="E800" t="s">
        <v>21</v>
      </c>
      <c r="F800" s="6">
        <v>200614224</v>
      </c>
      <c r="G800" t="s">
        <v>322</v>
      </c>
      <c r="H800" t="s">
        <v>17</v>
      </c>
      <c r="I800">
        <v>0</v>
      </c>
      <c r="J800">
        <v>0</v>
      </c>
      <c r="K800">
        <v>0</v>
      </c>
      <c r="L800">
        <v>0</v>
      </c>
      <c r="M800">
        <v>0.12</v>
      </c>
      <c r="N800" s="7" t="e">
        <f>VLOOKUP(F800,HC!A$6:D$100,3,FALSE)</f>
        <v>#N/A</v>
      </c>
      <c r="O800" s="7" t="e">
        <f>VLOOKUP(F800,HC!A$6:D$1000,2,FALSE)</f>
        <v>#N/A</v>
      </c>
      <c r="P800" t="s">
        <v>664</v>
      </c>
      <c r="Q800" s="7" t="s">
        <v>708</v>
      </c>
      <c r="R800" t="s">
        <v>420</v>
      </c>
      <c r="U800">
        <f t="shared" si="14"/>
        <v>1395</v>
      </c>
    </row>
    <row r="801" spans="1:21" ht="37.5" customHeight="1" x14ac:dyDescent="0.25">
      <c r="A801" s="19">
        <v>44981</v>
      </c>
      <c r="B801" s="13">
        <v>8</v>
      </c>
      <c r="C801" t="s">
        <v>3</v>
      </c>
      <c r="D801" t="s">
        <v>4</v>
      </c>
      <c r="E801" t="s">
        <v>21</v>
      </c>
      <c r="F801" s="6">
        <v>200625027</v>
      </c>
      <c r="G801" t="s">
        <v>382</v>
      </c>
      <c r="H801" t="s">
        <v>14</v>
      </c>
      <c r="I801">
        <v>0</v>
      </c>
      <c r="J801">
        <v>0</v>
      </c>
      <c r="K801">
        <v>0</v>
      </c>
      <c r="L801">
        <v>0</v>
      </c>
      <c r="M801">
        <v>0.46</v>
      </c>
      <c r="N801" s="7" t="e">
        <f>VLOOKUP(F801,HC!A$6:D$100,3,FALSE)</f>
        <v>#N/A</v>
      </c>
      <c r="O801" s="7" t="e">
        <f>VLOOKUP(F801,HC!A$6:D$1000,2,FALSE)</f>
        <v>#N/A</v>
      </c>
      <c r="P801" t="s">
        <v>663</v>
      </c>
      <c r="Q801" s="7" t="s">
        <v>705</v>
      </c>
      <c r="R801" t="s">
        <v>236</v>
      </c>
      <c r="U801">
        <f t="shared" si="14"/>
        <v>1395</v>
      </c>
    </row>
    <row r="802" spans="1:21" ht="37.5" customHeight="1" x14ac:dyDescent="0.25">
      <c r="A802" s="19">
        <v>44982</v>
      </c>
      <c r="B802" s="13">
        <v>8</v>
      </c>
      <c r="C802" t="s">
        <v>3</v>
      </c>
      <c r="D802" t="s">
        <v>4</v>
      </c>
      <c r="E802" t="s">
        <v>5</v>
      </c>
      <c r="F802" s="6">
        <v>112912049</v>
      </c>
      <c r="G802" t="s">
        <v>488</v>
      </c>
      <c r="H802" t="s">
        <v>282</v>
      </c>
      <c r="I802">
        <v>0</v>
      </c>
      <c r="J802">
        <v>0</v>
      </c>
      <c r="K802">
        <v>0</v>
      </c>
      <c r="L802">
        <v>0</v>
      </c>
      <c r="M802">
        <v>0.6</v>
      </c>
      <c r="N802" s="7" t="str">
        <f>VLOOKUP(F802,HC!A$6:D$100,3,FALSE)</f>
        <v>NF-X1900</v>
      </c>
      <c r="O802" s="7" t="str">
        <f>VLOOKUP(F802,HC!A$6:D$1000,2,FALSE)</f>
        <v>zchvazqu</v>
      </c>
      <c r="P802" t="s">
        <v>670</v>
      </c>
      <c r="Q802" s="7" t="s">
        <v>805</v>
      </c>
      <c r="R802" t="s">
        <v>718</v>
      </c>
      <c r="U802">
        <f t="shared" si="14"/>
        <v>11</v>
      </c>
    </row>
    <row r="803" spans="1:21" ht="37.5" customHeight="1" x14ac:dyDescent="0.25">
      <c r="A803" s="19">
        <v>44982</v>
      </c>
      <c r="B803" s="13">
        <v>8</v>
      </c>
      <c r="C803" t="s">
        <v>3</v>
      </c>
      <c r="D803" t="s">
        <v>4</v>
      </c>
      <c r="E803" t="s">
        <v>5</v>
      </c>
      <c r="F803" s="6">
        <v>112912074</v>
      </c>
      <c r="G803" t="s">
        <v>473</v>
      </c>
      <c r="H803" t="s">
        <v>282</v>
      </c>
      <c r="I803">
        <v>0</v>
      </c>
      <c r="J803">
        <v>0</v>
      </c>
      <c r="K803">
        <v>0</v>
      </c>
      <c r="L803">
        <v>0</v>
      </c>
      <c r="M803">
        <v>0.93</v>
      </c>
      <c r="N803" s="7" t="e">
        <f>VLOOKUP(F803,HC!A$6:D$100,3,FALSE)</f>
        <v>#N/A</v>
      </c>
      <c r="O803" s="7" t="e">
        <f>VLOOKUP(F803,HC!A$6:D$1000,2,FALSE)</f>
        <v>#N/A</v>
      </c>
      <c r="P803" t="s">
        <v>662</v>
      </c>
      <c r="Q803" s="7" t="s">
        <v>757</v>
      </c>
      <c r="R803" t="s">
        <v>25</v>
      </c>
      <c r="U803">
        <f t="shared" si="14"/>
        <v>1395</v>
      </c>
    </row>
    <row r="804" spans="1:21" ht="37.5" customHeight="1" x14ac:dyDescent="0.25">
      <c r="A804" s="19">
        <v>44982</v>
      </c>
      <c r="B804" s="13">
        <v>8</v>
      </c>
      <c r="C804" t="s">
        <v>3</v>
      </c>
      <c r="D804" t="s">
        <v>4</v>
      </c>
      <c r="E804" t="s">
        <v>5</v>
      </c>
      <c r="F804" s="6">
        <v>112971965</v>
      </c>
      <c r="G804" t="s">
        <v>327</v>
      </c>
      <c r="H804" t="s">
        <v>298</v>
      </c>
      <c r="I804">
        <v>0</v>
      </c>
      <c r="J804">
        <v>0</v>
      </c>
      <c r="K804">
        <v>0</v>
      </c>
      <c r="L804">
        <v>0</v>
      </c>
      <c r="M804">
        <v>0.21</v>
      </c>
      <c r="N804" s="7" t="e">
        <f>VLOOKUP(F804,HC!A$6:D$100,3,FALSE)</f>
        <v>#N/A</v>
      </c>
      <c r="O804" s="7" t="e">
        <f>VLOOKUP(F804,HC!A$6:D$1000,2,FALSE)</f>
        <v>#N/A</v>
      </c>
      <c r="P804" t="s">
        <v>662</v>
      </c>
      <c r="Q804" s="7" t="s">
        <v>757</v>
      </c>
      <c r="R804" t="s">
        <v>15</v>
      </c>
      <c r="U804">
        <f t="shared" si="14"/>
        <v>1395</v>
      </c>
    </row>
    <row r="805" spans="1:21" ht="37.5" customHeight="1" x14ac:dyDescent="0.25">
      <c r="A805" s="19">
        <v>44982</v>
      </c>
      <c r="B805" s="13">
        <v>8</v>
      </c>
      <c r="C805" t="s">
        <v>3</v>
      </c>
      <c r="D805" t="s">
        <v>4</v>
      </c>
      <c r="E805" t="s">
        <v>5</v>
      </c>
      <c r="F805" s="6">
        <v>112984442</v>
      </c>
      <c r="G805" t="s">
        <v>315</v>
      </c>
      <c r="H805" t="s">
        <v>268</v>
      </c>
      <c r="I805">
        <v>0</v>
      </c>
      <c r="J805">
        <v>0</v>
      </c>
      <c r="K805">
        <v>0</v>
      </c>
      <c r="L805">
        <v>0</v>
      </c>
      <c r="M805">
        <v>0.86</v>
      </c>
      <c r="N805" s="7" t="e">
        <f>VLOOKUP(F805,HC!A$6:D$100,3,FALSE)</f>
        <v>#N/A</v>
      </c>
      <c r="O805" s="7" t="e">
        <f>VLOOKUP(F805,HC!A$6:D$1000,2,FALSE)</f>
        <v>#N/A</v>
      </c>
      <c r="P805" t="s">
        <v>664</v>
      </c>
      <c r="Q805" s="7" t="s">
        <v>711</v>
      </c>
      <c r="R805" t="s">
        <v>824</v>
      </c>
      <c r="U805">
        <f t="shared" si="14"/>
        <v>1395</v>
      </c>
    </row>
    <row r="806" spans="1:21" ht="37.5" customHeight="1" x14ac:dyDescent="0.25">
      <c r="A806" s="19">
        <v>44983</v>
      </c>
      <c r="B806" s="13">
        <v>9</v>
      </c>
      <c r="C806" t="s">
        <v>3</v>
      </c>
      <c r="D806" t="s">
        <v>4</v>
      </c>
      <c r="E806" t="s">
        <v>5</v>
      </c>
      <c r="F806" s="6">
        <v>111261444</v>
      </c>
      <c r="G806" t="s">
        <v>806</v>
      </c>
      <c r="H806" t="s">
        <v>7</v>
      </c>
      <c r="I806">
        <v>0</v>
      </c>
      <c r="J806">
        <v>0</v>
      </c>
      <c r="K806">
        <v>0</v>
      </c>
      <c r="L806">
        <v>0</v>
      </c>
      <c r="M806">
        <v>0.11</v>
      </c>
      <c r="N806" s="7" t="str">
        <f>VLOOKUP(F806,HC!A$6:D$100,3,FALSE)</f>
        <v>DB-X0700</v>
      </c>
      <c r="O806" s="7" t="str">
        <f>VLOOKUP(F806,HC!A$6:D$1000,2,FALSE)</f>
        <v>luisfegu</v>
      </c>
      <c r="P806" t="s">
        <v>670</v>
      </c>
      <c r="Q806" s="7" t="s">
        <v>746</v>
      </c>
      <c r="R806" t="s">
        <v>807</v>
      </c>
      <c r="U806">
        <f t="shared" si="14"/>
        <v>3</v>
      </c>
    </row>
    <row r="807" spans="1:21" ht="37.5" customHeight="1" x14ac:dyDescent="0.25">
      <c r="A807" s="19">
        <v>44983</v>
      </c>
      <c r="B807" s="13">
        <v>9</v>
      </c>
      <c r="C807" t="s">
        <v>3</v>
      </c>
      <c r="D807" t="s">
        <v>4</v>
      </c>
      <c r="E807" t="s">
        <v>5</v>
      </c>
      <c r="F807" s="6">
        <v>111434478</v>
      </c>
      <c r="G807" t="s">
        <v>331</v>
      </c>
      <c r="H807" t="s">
        <v>253</v>
      </c>
      <c r="I807">
        <v>0</v>
      </c>
      <c r="J807">
        <v>0</v>
      </c>
      <c r="K807">
        <v>0</v>
      </c>
      <c r="L807">
        <v>0</v>
      </c>
      <c r="M807">
        <v>0.21</v>
      </c>
      <c r="N807" s="7" t="str">
        <f>VLOOKUP(F807,HC!A$6:D$100,3,FALSE)</f>
        <v>DA-X0700</v>
      </c>
      <c r="O807" s="7" t="str">
        <f>VLOOKUP(F807,HC!A$6:D$1000,2,FALSE)</f>
        <v>juanapam</v>
      </c>
      <c r="P807" t="s">
        <v>664</v>
      </c>
      <c r="Q807" s="7" t="s">
        <v>709</v>
      </c>
      <c r="R807" t="s">
        <v>825</v>
      </c>
      <c r="U807">
        <f t="shared" si="14"/>
        <v>32</v>
      </c>
    </row>
    <row r="808" spans="1:21" ht="37.5" customHeight="1" x14ac:dyDescent="0.25">
      <c r="A808" s="19">
        <v>44983</v>
      </c>
      <c r="B808" s="13">
        <v>9</v>
      </c>
      <c r="C808" t="s">
        <v>3</v>
      </c>
      <c r="D808" t="s">
        <v>4</v>
      </c>
      <c r="E808" t="s">
        <v>5</v>
      </c>
      <c r="F808" s="6">
        <v>112912752</v>
      </c>
      <c r="G808" t="s">
        <v>251</v>
      </c>
      <c r="H808" t="s">
        <v>44</v>
      </c>
      <c r="I808">
        <v>0</v>
      </c>
      <c r="J808">
        <v>0</v>
      </c>
      <c r="K808">
        <v>0</v>
      </c>
      <c r="L808">
        <v>0</v>
      </c>
      <c r="M808">
        <v>0.28999999999999998</v>
      </c>
      <c r="N808" s="7" t="str">
        <f>VLOOKUP(F808,HC!A$6:D$100,3,FALSE)</f>
        <v>NF-X1900</v>
      </c>
      <c r="O808" s="7" t="str">
        <f>VLOOKUP(F808,HC!A$6:D$1000,2,FALSE)</f>
        <v>valderle</v>
      </c>
      <c r="P808" t="s">
        <v>662</v>
      </c>
      <c r="Q808" s="7" t="s">
        <v>688</v>
      </c>
      <c r="R808" t="s">
        <v>256</v>
      </c>
      <c r="U808">
        <f t="shared" si="14"/>
        <v>50</v>
      </c>
    </row>
    <row r="809" spans="1:21" ht="37.5" customHeight="1" x14ac:dyDescent="0.25">
      <c r="A809" s="19">
        <v>44983</v>
      </c>
      <c r="B809" s="13">
        <v>9</v>
      </c>
      <c r="C809" t="s">
        <v>3</v>
      </c>
      <c r="D809" t="s">
        <v>4</v>
      </c>
      <c r="E809" t="s">
        <v>5</v>
      </c>
      <c r="F809" s="6">
        <v>112980847</v>
      </c>
      <c r="G809" t="s">
        <v>524</v>
      </c>
      <c r="H809" t="s">
        <v>44</v>
      </c>
      <c r="I809">
        <v>0</v>
      </c>
      <c r="J809">
        <v>0</v>
      </c>
      <c r="K809">
        <v>0</v>
      </c>
      <c r="L809">
        <v>0</v>
      </c>
      <c r="M809">
        <v>1.1299999999999999</v>
      </c>
      <c r="N809" s="7" t="e">
        <f>VLOOKUP(F809,HC!A$6:D$100,3,FALSE)</f>
        <v>#N/A</v>
      </c>
      <c r="O809" s="7" t="e">
        <f>VLOOKUP(F809,HC!A$6:D$1000,2,FALSE)</f>
        <v>#N/A</v>
      </c>
      <c r="P809" t="s">
        <v>663</v>
      </c>
      <c r="Q809" s="7" t="s">
        <v>692</v>
      </c>
      <c r="R809" t="s">
        <v>637</v>
      </c>
      <c r="U809">
        <f t="shared" si="14"/>
        <v>1395</v>
      </c>
    </row>
    <row r="810" spans="1:21" ht="37.5" customHeight="1" x14ac:dyDescent="0.25">
      <c r="A810" s="19">
        <v>44983</v>
      </c>
      <c r="B810" s="13">
        <v>9</v>
      </c>
      <c r="C810" t="s">
        <v>3</v>
      </c>
      <c r="D810" t="s">
        <v>4</v>
      </c>
      <c r="E810" t="s">
        <v>5</v>
      </c>
      <c r="F810" s="6">
        <v>112980899</v>
      </c>
      <c r="G810" t="s">
        <v>396</v>
      </c>
      <c r="H810" t="s">
        <v>44</v>
      </c>
      <c r="I810">
        <v>0</v>
      </c>
      <c r="J810">
        <v>0</v>
      </c>
      <c r="K810">
        <v>0</v>
      </c>
      <c r="L810">
        <v>0</v>
      </c>
      <c r="M810">
        <v>0.27</v>
      </c>
      <c r="N810" s="7" t="str">
        <f>VLOOKUP(F810,HC!A$6:D$100,3,FALSE)</f>
        <v>NF-X1900</v>
      </c>
      <c r="O810" s="7" t="str">
        <f>VLOOKUP(F810,HC!A$6:D$1000,2,FALSE)</f>
        <v>aravilac</v>
      </c>
      <c r="P810" t="s">
        <v>665</v>
      </c>
      <c r="Q810" s="7" t="s">
        <v>722</v>
      </c>
      <c r="R810" t="s">
        <v>499</v>
      </c>
      <c r="U810">
        <f t="shared" si="14"/>
        <v>33</v>
      </c>
    </row>
    <row r="811" spans="1:21" ht="37.5" customHeight="1" x14ac:dyDescent="0.25">
      <c r="A811" s="19">
        <v>44983</v>
      </c>
      <c r="B811" s="13">
        <v>9</v>
      </c>
      <c r="C811" t="s">
        <v>3</v>
      </c>
      <c r="D811" t="s">
        <v>4</v>
      </c>
      <c r="E811" t="s">
        <v>5</v>
      </c>
      <c r="F811" s="6">
        <v>112981196</v>
      </c>
      <c r="G811" t="s">
        <v>328</v>
      </c>
      <c r="H811" t="s">
        <v>47</v>
      </c>
      <c r="I811">
        <v>0</v>
      </c>
      <c r="J811">
        <v>0</v>
      </c>
      <c r="K811">
        <v>0</v>
      </c>
      <c r="L811">
        <v>0</v>
      </c>
      <c r="M811">
        <v>0.65</v>
      </c>
      <c r="N811" s="7" t="e">
        <f>VLOOKUP(F811,HC!A$6:D$100,3,FALSE)</f>
        <v>#N/A</v>
      </c>
      <c r="O811" s="7" t="str">
        <f>VLOOKUP(F811,HC!A$6:D$1000,2,FALSE)</f>
        <v>vandgome</v>
      </c>
      <c r="P811" t="s">
        <v>664</v>
      </c>
      <c r="Q811" s="7" t="s">
        <v>711</v>
      </c>
      <c r="R811" t="s">
        <v>290</v>
      </c>
      <c r="U811">
        <f t="shared" si="14"/>
        <v>24</v>
      </c>
    </row>
    <row r="812" spans="1:21" ht="37.5" customHeight="1" x14ac:dyDescent="0.25">
      <c r="A812" s="19">
        <v>44983</v>
      </c>
      <c r="B812" s="13">
        <v>9</v>
      </c>
      <c r="C812" t="s">
        <v>3</v>
      </c>
      <c r="D812" t="s">
        <v>4</v>
      </c>
      <c r="E812" t="s">
        <v>5</v>
      </c>
      <c r="F812" s="6">
        <v>113019083</v>
      </c>
      <c r="G812" t="s">
        <v>442</v>
      </c>
      <c r="H812" t="s">
        <v>7</v>
      </c>
      <c r="I812">
        <v>0</v>
      </c>
      <c r="J812">
        <v>0</v>
      </c>
      <c r="K812">
        <v>0</v>
      </c>
      <c r="L812">
        <v>0</v>
      </c>
      <c r="M812">
        <v>0.09</v>
      </c>
      <c r="N812" s="7" t="e">
        <f>VLOOKUP(F812,HC!A$6:D$100,3,FALSE)</f>
        <v>#N/A</v>
      </c>
      <c r="O812" s="7" t="e">
        <f>VLOOKUP(F812,HC!A$6:D$1000,2,FALSE)</f>
        <v>#N/A</v>
      </c>
      <c r="P812" s="7" t="s">
        <v>661</v>
      </c>
      <c r="Q812" s="7" t="s">
        <v>681</v>
      </c>
      <c r="R812" t="s">
        <v>10</v>
      </c>
      <c r="U812">
        <f t="shared" si="14"/>
        <v>1395</v>
      </c>
    </row>
    <row r="813" spans="1:21" ht="37.5" customHeight="1" x14ac:dyDescent="0.25">
      <c r="A813" s="19">
        <v>44983</v>
      </c>
      <c r="B813" s="13">
        <v>9</v>
      </c>
      <c r="C813" t="s">
        <v>3</v>
      </c>
      <c r="D813" t="s">
        <v>4</v>
      </c>
      <c r="E813" t="s">
        <v>21</v>
      </c>
      <c r="F813" s="6">
        <v>200589316</v>
      </c>
      <c r="G813" t="s">
        <v>53</v>
      </c>
      <c r="H813" t="s">
        <v>7</v>
      </c>
      <c r="I813">
        <v>0</v>
      </c>
      <c r="J813">
        <v>0</v>
      </c>
      <c r="K813">
        <v>0</v>
      </c>
      <c r="L813">
        <v>0</v>
      </c>
      <c r="M813">
        <v>0.33</v>
      </c>
      <c r="N813" s="7" t="e">
        <f>VLOOKUP(F813,HC!A$6:D$100,3,FALSE)</f>
        <v>#N/A</v>
      </c>
      <c r="O813" s="7" t="e">
        <f>VLOOKUP(F813,HC!A$6:D$1000,2,FALSE)</f>
        <v>#N/A</v>
      </c>
      <c r="P813" t="s">
        <v>662</v>
      </c>
      <c r="Q813" s="7" t="s">
        <v>687</v>
      </c>
      <c r="R813" t="s">
        <v>515</v>
      </c>
      <c r="U813">
        <f t="shared" si="14"/>
        <v>1395</v>
      </c>
    </row>
    <row r="814" spans="1:21" ht="37.5" customHeight="1" x14ac:dyDescent="0.25">
      <c r="A814" s="19">
        <v>44983</v>
      </c>
      <c r="B814" s="13">
        <v>9</v>
      </c>
      <c r="C814" t="s">
        <v>3</v>
      </c>
      <c r="D814" t="s">
        <v>4</v>
      </c>
      <c r="E814" t="s">
        <v>21</v>
      </c>
      <c r="F814" s="6">
        <v>200625517</v>
      </c>
      <c r="G814" t="s">
        <v>323</v>
      </c>
      <c r="H814" t="s">
        <v>49</v>
      </c>
      <c r="I814">
        <v>0</v>
      </c>
      <c r="J814">
        <v>0</v>
      </c>
      <c r="K814">
        <v>0</v>
      </c>
      <c r="L814">
        <v>0</v>
      </c>
      <c r="M814">
        <v>0.65</v>
      </c>
      <c r="N814" s="7" t="e">
        <f>VLOOKUP(F814,HC!A$6:D$100,3,FALSE)</f>
        <v>#N/A</v>
      </c>
      <c r="O814" s="7" t="e">
        <f>VLOOKUP(F814,HC!A$6:D$1000,2,FALSE)</f>
        <v>#N/A</v>
      </c>
      <c r="P814" t="s">
        <v>665</v>
      </c>
      <c r="Q814" s="7" t="s">
        <v>722</v>
      </c>
      <c r="R814" t="s">
        <v>499</v>
      </c>
      <c r="U814">
        <f t="shared" si="14"/>
        <v>1395</v>
      </c>
    </row>
    <row r="815" spans="1:21" ht="37.5" customHeight="1" x14ac:dyDescent="0.25">
      <c r="A815" s="19">
        <v>44983</v>
      </c>
      <c r="B815" s="13">
        <v>9</v>
      </c>
      <c r="C815" t="s">
        <v>3</v>
      </c>
      <c r="D815" t="s">
        <v>4</v>
      </c>
      <c r="E815" t="s">
        <v>21</v>
      </c>
      <c r="F815" s="6">
        <v>200625528</v>
      </c>
      <c r="G815" t="s">
        <v>607</v>
      </c>
      <c r="H815" t="s">
        <v>47</v>
      </c>
      <c r="I815">
        <v>0</v>
      </c>
      <c r="J815">
        <v>0</v>
      </c>
      <c r="K815">
        <v>0</v>
      </c>
      <c r="L815">
        <v>0</v>
      </c>
      <c r="M815">
        <v>0.09</v>
      </c>
      <c r="N815" s="7" t="e">
        <f>VLOOKUP(F815,HC!A$6:D$100,3,FALSE)</f>
        <v>#N/A</v>
      </c>
      <c r="O815" s="7" t="str">
        <f>VLOOKUP(F815,HC!A$6:D$1000,2,FALSE)</f>
        <v>olivlizb</v>
      </c>
      <c r="P815" t="s">
        <v>665</v>
      </c>
      <c r="Q815" s="7" t="s">
        <v>722</v>
      </c>
      <c r="R815" t="s">
        <v>499</v>
      </c>
      <c r="U815">
        <f t="shared" si="14"/>
        <v>50</v>
      </c>
    </row>
    <row r="816" spans="1:21" ht="37.5" customHeight="1" x14ac:dyDescent="0.25">
      <c r="A816" s="19">
        <v>44984</v>
      </c>
      <c r="B816" s="13">
        <v>9</v>
      </c>
      <c r="C816" t="s">
        <v>3</v>
      </c>
      <c r="D816" t="s">
        <v>4</v>
      </c>
      <c r="E816" t="s">
        <v>5</v>
      </c>
      <c r="F816" s="6">
        <v>112912008</v>
      </c>
      <c r="G816" t="s">
        <v>249</v>
      </c>
      <c r="H816" t="s">
        <v>250</v>
      </c>
      <c r="I816">
        <v>0</v>
      </c>
      <c r="J816">
        <v>0</v>
      </c>
      <c r="K816">
        <v>0</v>
      </c>
      <c r="L816">
        <v>0</v>
      </c>
      <c r="M816">
        <v>0.08</v>
      </c>
      <c r="N816" s="7" t="e">
        <f>VLOOKUP(F816,HC!A$6:D$100,3,FALSE)</f>
        <v>#N/A</v>
      </c>
      <c r="O816" s="7" t="e">
        <f>VLOOKUP(F816,HC!A$6:D$1000,2,FALSE)</f>
        <v>#N/A</v>
      </c>
      <c r="P816" s="7" t="s">
        <v>661</v>
      </c>
      <c r="Q816" s="7" t="s">
        <v>681</v>
      </c>
      <c r="R816" t="s">
        <v>10</v>
      </c>
      <c r="U816">
        <f t="shared" si="14"/>
        <v>1395</v>
      </c>
    </row>
    <row r="817" spans="1:21" ht="37.5" customHeight="1" x14ac:dyDescent="0.25">
      <c r="A817" s="19">
        <v>44984</v>
      </c>
      <c r="B817" s="13">
        <v>9</v>
      </c>
      <c r="C817" t="s">
        <v>3</v>
      </c>
      <c r="D817" t="s">
        <v>4</v>
      </c>
      <c r="E817" t="s">
        <v>5</v>
      </c>
      <c r="F817" s="6">
        <v>112912983</v>
      </c>
      <c r="G817" t="s">
        <v>558</v>
      </c>
      <c r="H817" t="s">
        <v>332</v>
      </c>
      <c r="I817">
        <v>0</v>
      </c>
      <c r="J817">
        <v>0</v>
      </c>
      <c r="K817">
        <v>0</v>
      </c>
      <c r="L817">
        <v>0</v>
      </c>
      <c r="M817">
        <v>0.56000000000000005</v>
      </c>
      <c r="N817" s="7" t="str">
        <f>VLOOKUP(F817,HC!A$6:D$100,3,FALSE)</f>
        <v>NF-X1900</v>
      </c>
      <c r="O817" s="7" t="str">
        <f>VLOOKUP(F817,HC!A$6:D$1000,2,FALSE)</f>
        <v>wrocirod</v>
      </c>
      <c r="P817" t="s">
        <v>662</v>
      </c>
      <c r="Q817" s="7" t="s">
        <v>690</v>
      </c>
      <c r="R817" t="s">
        <v>588</v>
      </c>
      <c r="U817">
        <f t="shared" si="14"/>
        <v>16</v>
      </c>
    </row>
    <row r="818" spans="1:21" ht="37.5" customHeight="1" x14ac:dyDescent="0.25">
      <c r="A818" s="19">
        <v>44984</v>
      </c>
      <c r="B818" s="13">
        <v>9</v>
      </c>
      <c r="C818" t="s">
        <v>3</v>
      </c>
      <c r="D818" t="s">
        <v>4</v>
      </c>
      <c r="E818" t="s">
        <v>5</v>
      </c>
      <c r="F818" s="6">
        <v>112950784</v>
      </c>
      <c r="G818" t="s">
        <v>261</v>
      </c>
      <c r="H818" t="s">
        <v>285</v>
      </c>
      <c r="I818">
        <v>0</v>
      </c>
      <c r="J818">
        <v>0</v>
      </c>
      <c r="K818">
        <v>0</v>
      </c>
      <c r="L818">
        <v>0</v>
      </c>
      <c r="M818">
        <v>1.24</v>
      </c>
      <c r="N818" s="7" t="str">
        <f>VLOOKUP(F818,HC!A$6:D$100,3,FALSE)</f>
        <v>NF-X1900</v>
      </c>
      <c r="O818" s="7" t="str">
        <f>VLOOKUP(F818,HC!A$6:D$1000,2,FALSE)</f>
        <v>sarojast</v>
      </c>
      <c r="P818" t="s">
        <v>663</v>
      </c>
      <c r="Q818" s="7" t="s">
        <v>692</v>
      </c>
      <c r="R818" t="s">
        <v>826</v>
      </c>
      <c r="U818">
        <f t="shared" si="14"/>
        <v>33</v>
      </c>
    </row>
    <row r="819" spans="1:21" ht="37.5" customHeight="1" x14ac:dyDescent="0.25">
      <c r="A819" s="19">
        <v>44984</v>
      </c>
      <c r="B819" s="13">
        <v>9</v>
      </c>
      <c r="C819" t="s">
        <v>3</v>
      </c>
      <c r="D819" t="s">
        <v>4</v>
      </c>
      <c r="E819" t="s">
        <v>5</v>
      </c>
      <c r="F819" s="6">
        <v>200404250</v>
      </c>
      <c r="G819" t="s">
        <v>51</v>
      </c>
      <c r="H819" t="s">
        <v>285</v>
      </c>
      <c r="I819">
        <v>0</v>
      </c>
      <c r="J819">
        <v>0</v>
      </c>
      <c r="K819">
        <v>0</v>
      </c>
      <c r="L819">
        <v>0</v>
      </c>
      <c r="M819">
        <v>0.4</v>
      </c>
      <c r="N819" s="7" t="e">
        <f>VLOOKUP(F819,HC!A$6:D$100,3,FALSE)</f>
        <v>#N/A</v>
      </c>
      <c r="O819" s="7" t="str">
        <f>VLOOKUP(F819,HC!A$6:D$1000,2,FALSE)</f>
        <v>xcathurt</v>
      </c>
      <c r="P819" s="7" t="s">
        <v>662</v>
      </c>
      <c r="Q819" s="7" t="s">
        <v>785</v>
      </c>
      <c r="R819" t="s">
        <v>235</v>
      </c>
      <c r="U819">
        <f t="shared" si="14"/>
        <v>124</v>
      </c>
    </row>
    <row r="820" spans="1:21" ht="37.5" customHeight="1" x14ac:dyDescent="0.25">
      <c r="A820" s="19">
        <v>44984</v>
      </c>
      <c r="B820" s="13">
        <v>9</v>
      </c>
      <c r="C820" t="s">
        <v>3</v>
      </c>
      <c r="D820" t="s">
        <v>4</v>
      </c>
      <c r="E820" t="s">
        <v>5</v>
      </c>
      <c r="F820" s="6">
        <v>200408196</v>
      </c>
      <c r="G820" t="s">
        <v>627</v>
      </c>
      <c r="H820" t="s">
        <v>285</v>
      </c>
      <c r="I820">
        <v>0</v>
      </c>
      <c r="J820">
        <v>0</v>
      </c>
      <c r="K820">
        <v>0</v>
      </c>
      <c r="L820">
        <v>0</v>
      </c>
      <c r="M820">
        <v>0.39</v>
      </c>
      <c r="N820" s="7" t="e">
        <f>VLOOKUP(F820,HC!A$6:D$100,3,FALSE)</f>
        <v>#N/A</v>
      </c>
      <c r="O820" s="7" t="e">
        <f>VLOOKUP(F820,HC!A$6:D$1000,2,FALSE)</f>
        <v>#N/A</v>
      </c>
      <c r="P820" t="s">
        <v>663</v>
      </c>
      <c r="Q820" s="7" t="s">
        <v>692</v>
      </c>
      <c r="R820" t="s">
        <v>20</v>
      </c>
      <c r="U820">
        <f t="shared" si="14"/>
        <v>1395</v>
      </c>
    </row>
    <row r="821" spans="1:21" ht="37.5" customHeight="1" x14ac:dyDescent="0.25">
      <c r="A821" s="19">
        <v>44984</v>
      </c>
      <c r="B821" s="13">
        <v>9</v>
      </c>
      <c r="C821" t="s">
        <v>3</v>
      </c>
      <c r="D821" t="s">
        <v>4</v>
      </c>
      <c r="E821" t="s">
        <v>21</v>
      </c>
      <c r="F821" s="6">
        <v>200514421</v>
      </c>
      <c r="G821" t="s">
        <v>301</v>
      </c>
      <c r="H821" t="s">
        <v>285</v>
      </c>
      <c r="I821">
        <v>0</v>
      </c>
      <c r="J821">
        <v>0</v>
      </c>
      <c r="K821">
        <v>0</v>
      </c>
      <c r="L821">
        <v>0</v>
      </c>
      <c r="M821">
        <v>0.39</v>
      </c>
      <c r="N821" s="7" t="e">
        <f>VLOOKUP(F821,HC!A$6:D$100,3,FALSE)</f>
        <v>#N/A</v>
      </c>
      <c r="O821" s="7" t="str">
        <f>VLOOKUP(F821,HC!A$6:D$1000,2,FALSE)</f>
        <v>padillms</v>
      </c>
      <c r="P821" t="s">
        <v>664</v>
      </c>
      <c r="Q821" s="7" t="s">
        <v>708</v>
      </c>
      <c r="R821" t="s">
        <v>808</v>
      </c>
      <c r="U821">
        <f t="shared" si="14"/>
        <v>21</v>
      </c>
    </row>
    <row r="822" spans="1:21" ht="37.5" customHeight="1" x14ac:dyDescent="0.25">
      <c r="A822" s="19">
        <v>44984</v>
      </c>
      <c r="B822" s="13">
        <v>9</v>
      </c>
      <c r="C822" t="s">
        <v>3</v>
      </c>
      <c r="D822" t="s">
        <v>4</v>
      </c>
      <c r="E822" t="s">
        <v>21</v>
      </c>
      <c r="F822" s="6">
        <v>200589316</v>
      </c>
      <c r="G822" t="s">
        <v>53</v>
      </c>
      <c r="H822" t="s">
        <v>7</v>
      </c>
      <c r="I822">
        <v>0</v>
      </c>
      <c r="J822">
        <v>0</v>
      </c>
      <c r="K822">
        <v>0</v>
      </c>
      <c r="L822">
        <v>0</v>
      </c>
      <c r="M822">
        <v>0.18</v>
      </c>
      <c r="N822" s="7" t="e">
        <f>VLOOKUP(F822,HC!A$6:D$100,3,FALSE)</f>
        <v>#N/A</v>
      </c>
      <c r="O822" s="7" t="e">
        <f>VLOOKUP(F822,HC!A$6:D$1000,2,FALSE)</f>
        <v>#N/A</v>
      </c>
      <c r="P822" t="s">
        <v>661</v>
      </c>
      <c r="Q822" s="7" t="s">
        <v>681</v>
      </c>
      <c r="R822" t="s">
        <v>809</v>
      </c>
      <c r="U822">
        <f t="shared" si="14"/>
        <v>1395</v>
      </c>
    </row>
    <row r="823" spans="1:21" ht="37.5" customHeight="1" x14ac:dyDescent="0.25">
      <c r="A823" s="19">
        <v>44984</v>
      </c>
      <c r="B823" s="13">
        <v>9</v>
      </c>
      <c r="C823" t="s">
        <v>3</v>
      </c>
      <c r="D823" t="s">
        <v>4</v>
      </c>
      <c r="E823" t="s">
        <v>21</v>
      </c>
      <c r="F823" s="6">
        <v>200625517</v>
      </c>
      <c r="G823" t="s">
        <v>323</v>
      </c>
      <c r="H823" t="s">
        <v>49</v>
      </c>
      <c r="I823">
        <v>0</v>
      </c>
      <c r="J823">
        <v>0</v>
      </c>
      <c r="K823">
        <v>0</v>
      </c>
      <c r="L823">
        <v>0</v>
      </c>
      <c r="M823">
        <v>0.3</v>
      </c>
      <c r="N823" s="7" t="e">
        <f>VLOOKUP(F823,HC!A$6:D$100,3,FALSE)</f>
        <v>#N/A</v>
      </c>
      <c r="O823" s="7" t="e">
        <f>VLOOKUP(F823,HC!A$6:D$1000,2,FALSE)</f>
        <v>#N/A</v>
      </c>
      <c r="P823" t="s">
        <v>665</v>
      </c>
      <c r="Q823" s="7" t="s">
        <v>722</v>
      </c>
      <c r="R823" t="s">
        <v>499</v>
      </c>
      <c r="U823">
        <f t="shared" si="14"/>
        <v>1395</v>
      </c>
    </row>
    <row r="824" spans="1:21" ht="37.5" customHeight="1" x14ac:dyDescent="0.25">
      <c r="A824" s="19">
        <v>44985</v>
      </c>
      <c r="B824" s="13">
        <v>9</v>
      </c>
      <c r="C824" t="s">
        <v>3</v>
      </c>
      <c r="D824" t="s">
        <v>4</v>
      </c>
      <c r="E824" t="s">
        <v>5</v>
      </c>
      <c r="F824" s="6">
        <v>111434478</v>
      </c>
      <c r="G824" t="s">
        <v>331</v>
      </c>
      <c r="H824" t="s">
        <v>253</v>
      </c>
      <c r="I824">
        <v>0</v>
      </c>
      <c r="J824">
        <v>0</v>
      </c>
      <c r="K824">
        <v>0</v>
      </c>
      <c r="L824">
        <v>0</v>
      </c>
      <c r="M824">
        <v>1.59</v>
      </c>
      <c r="N824" s="7" t="str">
        <f>VLOOKUP(F824,HC!A$6:D$100,3,FALSE)</f>
        <v>DA-X0700</v>
      </c>
      <c r="O824" s="7" t="str">
        <f>VLOOKUP(F824,HC!A$6:D$1000,2,FALSE)</f>
        <v>juanapam</v>
      </c>
      <c r="P824" t="s">
        <v>664</v>
      </c>
      <c r="Q824" s="7" t="s">
        <v>708</v>
      </c>
      <c r="R824" t="s">
        <v>808</v>
      </c>
      <c r="U824">
        <f t="shared" si="14"/>
        <v>32</v>
      </c>
    </row>
    <row r="825" spans="1:21" ht="37.5" customHeight="1" x14ac:dyDescent="0.25">
      <c r="A825" s="19">
        <v>44985</v>
      </c>
      <c r="B825" s="13">
        <v>9</v>
      </c>
      <c r="C825" t="s">
        <v>3</v>
      </c>
      <c r="D825" t="s">
        <v>4</v>
      </c>
      <c r="E825" t="s">
        <v>5</v>
      </c>
      <c r="F825" s="6">
        <v>112912201</v>
      </c>
      <c r="G825" t="s">
        <v>456</v>
      </c>
      <c r="H825" t="s">
        <v>49</v>
      </c>
      <c r="I825">
        <v>0</v>
      </c>
      <c r="J825">
        <v>0</v>
      </c>
      <c r="K825">
        <v>0</v>
      </c>
      <c r="L825">
        <v>0</v>
      </c>
      <c r="M825">
        <v>0.28999999999999998</v>
      </c>
      <c r="N825" s="7" t="e">
        <f>VLOOKUP(F825,HC!A$6:D$100,3,FALSE)</f>
        <v>#N/A</v>
      </c>
      <c r="O825" s="7" t="e">
        <f>VLOOKUP(F825,HC!A$6:D$1000,2,FALSE)</f>
        <v>#N/A</v>
      </c>
      <c r="P825" t="s">
        <v>664</v>
      </c>
      <c r="Q825" s="7" t="s">
        <v>708</v>
      </c>
      <c r="R825" t="s">
        <v>810</v>
      </c>
      <c r="U825">
        <f t="shared" si="14"/>
        <v>1395</v>
      </c>
    </row>
    <row r="826" spans="1:21" ht="37.5" customHeight="1" x14ac:dyDescent="0.25">
      <c r="A826" s="19">
        <v>44985</v>
      </c>
      <c r="B826" s="13">
        <v>9</v>
      </c>
      <c r="C826" t="s">
        <v>3</v>
      </c>
      <c r="D826" t="s">
        <v>4</v>
      </c>
      <c r="E826" t="s">
        <v>5</v>
      </c>
      <c r="F826" s="6">
        <v>112912983</v>
      </c>
      <c r="G826" t="s">
        <v>558</v>
      </c>
      <c r="H826" t="s">
        <v>332</v>
      </c>
      <c r="I826">
        <v>0</v>
      </c>
      <c r="J826">
        <v>0</v>
      </c>
      <c r="K826">
        <v>0</v>
      </c>
      <c r="L826">
        <v>0</v>
      </c>
      <c r="M826">
        <v>0.71</v>
      </c>
      <c r="N826" s="7" t="str">
        <f>VLOOKUP(F826,HC!A$6:D$100,3,FALSE)</f>
        <v>NF-X1900</v>
      </c>
      <c r="O826" s="7" t="str">
        <f>VLOOKUP(F826,HC!A$6:D$1000,2,FALSE)</f>
        <v>wrocirod</v>
      </c>
      <c r="P826" t="s">
        <v>662</v>
      </c>
      <c r="Q826" s="7" t="s">
        <v>688</v>
      </c>
      <c r="R826" t="s">
        <v>25</v>
      </c>
      <c r="U826">
        <f t="shared" si="14"/>
        <v>16</v>
      </c>
    </row>
    <row r="827" spans="1:21" ht="37.5" customHeight="1" x14ac:dyDescent="0.25">
      <c r="A827" s="19">
        <v>44985</v>
      </c>
      <c r="B827" s="13">
        <v>9</v>
      </c>
      <c r="C827" t="s">
        <v>3</v>
      </c>
      <c r="D827" t="s">
        <v>4</v>
      </c>
      <c r="E827" t="s">
        <v>5</v>
      </c>
      <c r="F827" s="6">
        <v>112920655</v>
      </c>
      <c r="G827" t="s">
        <v>509</v>
      </c>
      <c r="H827" t="s">
        <v>282</v>
      </c>
      <c r="I827">
        <v>0</v>
      </c>
      <c r="J827">
        <v>0</v>
      </c>
      <c r="K827">
        <v>0</v>
      </c>
      <c r="L827">
        <v>0</v>
      </c>
      <c r="M827">
        <v>0.8</v>
      </c>
      <c r="N827" s="7" t="e">
        <f>VLOOKUP(F827,HC!A$6:D$100,3,FALSE)</f>
        <v>#N/A</v>
      </c>
      <c r="O827" s="7" t="e">
        <f>VLOOKUP(F827,HC!A$6:D$1000,2,FALSE)</f>
        <v>#N/A</v>
      </c>
      <c r="P827" t="s">
        <v>664</v>
      </c>
      <c r="Q827" s="7" t="s">
        <v>709</v>
      </c>
      <c r="R827" t="s">
        <v>822</v>
      </c>
      <c r="U827">
        <f t="shared" si="14"/>
        <v>1395</v>
      </c>
    </row>
    <row r="828" spans="1:21" ht="37.5" customHeight="1" x14ac:dyDescent="0.25">
      <c r="A828" s="19">
        <v>44985</v>
      </c>
      <c r="B828" s="13">
        <v>9</v>
      </c>
      <c r="C828" t="s">
        <v>3</v>
      </c>
      <c r="D828" t="s">
        <v>4</v>
      </c>
      <c r="E828" t="s">
        <v>5</v>
      </c>
      <c r="F828" s="6">
        <v>112971955</v>
      </c>
      <c r="G828" t="s">
        <v>551</v>
      </c>
      <c r="H828" t="s">
        <v>459</v>
      </c>
      <c r="I828">
        <v>0</v>
      </c>
      <c r="J828">
        <v>0</v>
      </c>
      <c r="K828">
        <v>0</v>
      </c>
      <c r="L828">
        <v>0</v>
      </c>
      <c r="M828">
        <v>0.5</v>
      </c>
      <c r="N828" s="7" t="e">
        <f>VLOOKUP(F828,HC!A$6:D$100,3,FALSE)</f>
        <v>#N/A</v>
      </c>
      <c r="O828" s="7" t="e">
        <f>VLOOKUP(F828,HC!A$6:D$1000,2,FALSE)</f>
        <v>#N/A</v>
      </c>
      <c r="P828" t="s">
        <v>664</v>
      </c>
      <c r="Q828" s="7" t="s">
        <v>710</v>
      </c>
      <c r="R828" t="s">
        <v>827</v>
      </c>
      <c r="U828">
        <f t="shared" si="14"/>
        <v>1395</v>
      </c>
    </row>
    <row r="829" spans="1:21" ht="37.5" customHeight="1" x14ac:dyDescent="0.25">
      <c r="A829" s="19">
        <v>44985</v>
      </c>
      <c r="B829" s="13">
        <v>9</v>
      </c>
      <c r="C829" t="s">
        <v>3</v>
      </c>
      <c r="D829" t="s">
        <v>4</v>
      </c>
      <c r="E829" t="s">
        <v>5</v>
      </c>
      <c r="F829" s="6">
        <v>112980899</v>
      </c>
      <c r="G829" t="s">
        <v>396</v>
      </c>
      <c r="H829" t="s">
        <v>44</v>
      </c>
      <c r="I829">
        <v>0</v>
      </c>
      <c r="J829">
        <v>0</v>
      </c>
      <c r="K829">
        <v>0</v>
      </c>
      <c r="L829">
        <v>0</v>
      </c>
      <c r="M829">
        <v>0.44</v>
      </c>
      <c r="N829" s="7" t="str">
        <f>VLOOKUP(F829,HC!A$6:D$100,3,FALSE)</f>
        <v>NF-X1900</v>
      </c>
      <c r="O829" s="7" t="str">
        <f>VLOOKUP(F829,HC!A$6:D$1000,2,FALSE)</f>
        <v>aravilac</v>
      </c>
      <c r="P829" t="s">
        <v>661</v>
      </c>
      <c r="Q829" s="7" t="s">
        <v>701</v>
      </c>
      <c r="R829" t="s">
        <v>566</v>
      </c>
      <c r="U829">
        <f t="shared" si="14"/>
        <v>33</v>
      </c>
    </row>
    <row r="830" spans="1:21" ht="37.5" customHeight="1" x14ac:dyDescent="0.25">
      <c r="A830" s="19">
        <v>44985</v>
      </c>
      <c r="B830" s="13">
        <v>9</v>
      </c>
      <c r="C830" t="s">
        <v>3</v>
      </c>
      <c r="D830" t="s">
        <v>4</v>
      </c>
      <c r="E830" t="s">
        <v>5</v>
      </c>
      <c r="F830" s="6">
        <v>112981212</v>
      </c>
      <c r="G830" t="s">
        <v>573</v>
      </c>
      <c r="H830" t="s">
        <v>17</v>
      </c>
      <c r="I830">
        <v>0</v>
      </c>
      <c r="J830">
        <v>0</v>
      </c>
      <c r="K830">
        <v>0</v>
      </c>
      <c r="L830">
        <v>0</v>
      </c>
      <c r="M830">
        <v>0.18</v>
      </c>
      <c r="N830" s="7" t="e">
        <f>VLOOKUP(F830,HC!A$6:D$100,3,FALSE)</f>
        <v>#N/A</v>
      </c>
      <c r="O830" s="7" t="str">
        <f>VLOOKUP(F830,HC!A$6:D$1000,2,FALSE)</f>
        <v>alysonza</v>
      </c>
      <c r="P830" t="s">
        <v>662</v>
      </c>
      <c r="Q830" s="7" t="s">
        <v>688</v>
      </c>
      <c r="R830" t="s">
        <v>25</v>
      </c>
      <c r="U830">
        <f t="shared" si="14"/>
        <v>23</v>
      </c>
    </row>
    <row r="831" spans="1:21" ht="37.5" customHeight="1" x14ac:dyDescent="0.25">
      <c r="A831" s="19">
        <v>44985</v>
      </c>
      <c r="B831" s="13">
        <v>9</v>
      </c>
      <c r="C831" t="s">
        <v>3</v>
      </c>
      <c r="D831" t="s">
        <v>4</v>
      </c>
      <c r="E831" t="s">
        <v>5</v>
      </c>
      <c r="F831" s="6">
        <v>113003609</v>
      </c>
      <c r="G831" t="s">
        <v>598</v>
      </c>
      <c r="H831" t="s">
        <v>268</v>
      </c>
      <c r="I831">
        <v>0</v>
      </c>
      <c r="J831">
        <v>0</v>
      </c>
      <c r="K831">
        <v>0</v>
      </c>
      <c r="L831">
        <v>0</v>
      </c>
      <c r="M831">
        <v>1.59</v>
      </c>
      <c r="N831" s="7" t="e">
        <f>VLOOKUP(F831,HC!A$6:D$100,3,FALSE)</f>
        <v>#N/A</v>
      </c>
      <c r="O831" s="7" t="e">
        <f>VLOOKUP(F831,HC!A$6:D$1000,2,FALSE)</f>
        <v>#N/A</v>
      </c>
      <c r="P831" t="s">
        <v>664</v>
      </c>
      <c r="Q831" s="7" t="s">
        <v>708</v>
      </c>
      <c r="R831" t="s">
        <v>811</v>
      </c>
      <c r="U831">
        <f t="shared" si="14"/>
        <v>1395</v>
      </c>
    </row>
    <row r="832" spans="1:21" ht="37.5" customHeight="1" x14ac:dyDescent="0.25">
      <c r="A832" s="19">
        <v>44985</v>
      </c>
      <c r="B832" s="13">
        <v>9</v>
      </c>
      <c r="C832" t="s">
        <v>3</v>
      </c>
      <c r="D832" t="s">
        <v>4</v>
      </c>
      <c r="E832" t="s">
        <v>5</v>
      </c>
      <c r="F832" s="6">
        <v>113014470</v>
      </c>
      <c r="G832" t="s">
        <v>374</v>
      </c>
      <c r="H832" t="s">
        <v>14</v>
      </c>
      <c r="I832">
        <v>0</v>
      </c>
      <c r="J832">
        <v>0</v>
      </c>
      <c r="K832">
        <v>0</v>
      </c>
      <c r="L832">
        <v>0</v>
      </c>
      <c r="M832">
        <v>0.47</v>
      </c>
      <c r="N832" s="7" t="e">
        <f>VLOOKUP(F832,HC!A$6:D$100,3,FALSE)</f>
        <v>#N/A</v>
      </c>
      <c r="O832" s="7" t="str">
        <f>VLOOKUP(F832,HC!A$6:D$1000,2,FALSE)</f>
        <v>lupaguin</v>
      </c>
      <c r="P832" t="s">
        <v>669</v>
      </c>
      <c r="Q832" s="7" t="s">
        <v>739</v>
      </c>
      <c r="R832" t="s">
        <v>673</v>
      </c>
      <c r="U832">
        <f t="shared" si="14"/>
        <v>23</v>
      </c>
    </row>
    <row r="833" spans="1:21" ht="37.5" customHeight="1" x14ac:dyDescent="0.25">
      <c r="A833" s="19">
        <v>44985</v>
      </c>
      <c r="B833" s="13">
        <v>9</v>
      </c>
      <c r="C833" t="s">
        <v>3</v>
      </c>
      <c r="D833" t="s">
        <v>4</v>
      </c>
      <c r="E833" t="s">
        <v>5</v>
      </c>
      <c r="F833" s="6">
        <v>113019042</v>
      </c>
      <c r="G833" t="s">
        <v>655</v>
      </c>
      <c r="H833" t="s">
        <v>14</v>
      </c>
      <c r="I833">
        <v>0</v>
      </c>
      <c r="J833">
        <v>0</v>
      </c>
      <c r="K833">
        <v>0</v>
      </c>
      <c r="L833">
        <v>0</v>
      </c>
      <c r="M833">
        <v>0.54</v>
      </c>
      <c r="N833" s="7" t="e">
        <f>VLOOKUP(F833,HC!A$6:D$100,3,FALSE)</f>
        <v>#N/A</v>
      </c>
      <c r="O833" s="7" t="e">
        <f>VLOOKUP(F833,HC!A$6:D$1000,2,FALSE)</f>
        <v>#N/A</v>
      </c>
      <c r="P833" t="s">
        <v>664</v>
      </c>
      <c r="Q833" s="7" t="s">
        <v>708</v>
      </c>
      <c r="R833" t="s">
        <v>810</v>
      </c>
      <c r="U833">
        <f t="shared" si="14"/>
        <v>1395</v>
      </c>
    </row>
    <row r="834" spans="1:21" ht="37.5" customHeight="1" x14ac:dyDescent="0.25">
      <c r="A834" s="19">
        <v>44985</v>
      </c>
      <c r="B834" s="13">
        <v>9</v>
      </c>
      <c r="C834" t="s">
        <v>3</v>
      </c>
      <c r="D834" t="s">
        <v>4</v>
      </c>
      <c r="E834" t="s">
        <v>5</v>
      </c>
      <c r="F834" s="6">
        <v>113101453</v>
      </c>
      <c r="G834" t="s">
        <v>50</v>
      </c>
      <c r="H834" t="s">
        <v>49</v>
      </c>
      <c r="I834">
        <v>0</v>
      </c>
      <c r="J834">
        <v>0</v>
      </c>
      <c r="K834">
        <v>0</v>
      </c>
      <c r="L834">
        <v>0</v>
      </c>
      <c r="M834">
        <v>7.0000000000000007E-2</v>
      </c>
      <c r="N834" s="7" t="e">
        <f>VLOOKUP(F834,HC!A$6:D$100,3,FALSE)</f>
        <v>#N/A</v>
      </c>
      <c r="O834" s="7" t="str">
        <f>VLOOKUP(F834,HC!A$6:D$1000,2,FALSE)</f>
        <v>qisgeova</v>
      </c>
      <c r="P834" t="s">
        <v>664</v>
      </c>
      <c r="Q834" s="7" t="s">
        <v>771</v>
      </c>
      <c r="R834" t="s">
        <v>828</v>
      </c>
      <c r="U834">
        <f t="shared" si="14"/>
        <v>57</v>
      </c>
    </row>
    <row r="835" spans="1:21" ht="37.5" customHeight="1" x14ac:dyDescent="0.25">
      <c r="A835" s="19">
        <v>44985</v>
      </c>
      <c r="B835" s="13">
        <v>9</v>
      </c>
      <c r="C835" t="s">
        <v>3</v>
      </c>
      <c r="D835" t="s">
        <v>4</v>
      </c>
      <c r="E835" t="s">
        <v>5</v>
      </c>
      <c r="F835" s="6">
        <v>200404250</v>
      </c>
      <c r="G835" t="s">
        <v>51</v>
      </c>
      <c r="H835" t="s">
        <v>285</v>
      </c>
      <c r="I835">
        <v>0</v>
      </c>
      <c r="J835">
        <v>0</v>
      </c>
      <c r="K835">
        <v>0</v>
      </c>
      <c r="L835">
        <v>0</v>
      </c>
      <c r="M835">
        <v>0.51</v>
      </c>
      <c r="N835" s="7" t="e">
        <f>VLOOKUP(F835,HC!A$6:D$100,3,FALSE)</f>
        <v>#N/A</v>
      </c>
      <c r="O835" s="7" t="str">
        <f>VLOOKUP(F835,HC!A$6:D$1000,2,FALSE)</f>
        <v>xcathurt</v>
      </c>
      <c r="P835" s="7" t="s">
        <v>662</v>
      </c>
      <c r="Q835" s="7" t="s">
        <v>785</v>
      </c>
      <c r="R835" t="s">
        <v>235</v>
      </c>
      <c r="U835">
        <f t="shared" ref="U835:U898" si="15">COUNTIF(O$2:O$4999,O835)</f>
        <v>124</v>
      </c>
    </row>
    <row r="836" spans="1:21" ht="37.5" customHeight="1" x14ac:dyDescent="0.25">
      <c r="A836" s="19">
        <v>44985</v>
      </c>
      <c r="B836" s="13">
        <v>9</v>
      </c>
      <c r="C836" t="s">
        <v>3</v>
      </c>
      <c r="D836" t="s">
        <v>4</v>
      </c>
      <c r="E836" t="s">
        <v>21</v>
      </c>
      <c r="F836" s="6">
        <v>200565197</v>
      </c>
      <c r="G836" t="s">
        <v>389</v>
      </c>
      <c r="H836" t="s">
        <v>285</v>
      </c>
      <c r="I836">
        <v>0</v>
      </c>
      <c r="J836">
        <v>0</v>
      </c>
      <c r="K836">
        <v>0</v>
      </c>
      <c r="L836">
        <v>0</v>
      </c>
      <c r="M836">
        <v>0.15</v>
      </c>
      <c r="N836" s="7" t="e">
        <f>VLOOKUP(F836,HC!A$6:D$100,3,FALSE)</f>
        <v>#N/A</v>
      </c>
      <c r="O836" s="7" t="e">
        <f>VLOOKUP(F836,HC!A$6:D$1000,2,FALSE)</f>
        <v>#N/A</v>
      </c>
      <c r="P836" t="s">
        <v>663</v>
      </c>
      <c r="Q836" s="7" t="s">
        <v>692</v>
      </c>
      <c r="R836" t="s">
        <v>318</v>
      </c>
      <c r="U836">
        <f t="shared" si="15"/>
        <v>1395</v>
      </c>
    </row>
    <row r="837" spans="1:21" ht="37.5" customHeight="1" x14ac:dyDescent="0.25">
      <c r="A837" s="19">
        <v>44985</v>
      </c>
      <c r="B837" s="13">
        <v>9</v>
      </c>
      <c r="C837" t="s">
        <v>3</v>
      </c>
      <c r="D837" t="s">
        <v>4</v>
      </c>
      <c r="E837" t="s">
        <v>21</v>
      </c>
      <c r="F837" s="6">
        <v>200620024</v>
      </c>
      <c r="G837" t="s">
        <v>465</v>
      </c>
      <c r="H837" t="s">
        <v>285</v>
      </c>
      <c r="I837">
        <v>0</v>
      </c>
      <c r="J837">
        <v>0</v>
      </c>
      <c r="K837">
        <v>0</v>
      </c>
      <c r="L837">
        <v>0</v>
      </c>
      <c r="M837">
        <v>0.44</v>
      </c>
      <c r="N837" s="7" t="e">
        <f>VLOOKUP(F837,HC!A$6:D$100,3,FALSE)</f>
        <v>#N/A</v>
      </c>
      <c r="O837" s="7" t="e">
        <f>VLOOKUP(F837,HC!A$6:D$1000,2,FALSE)</f>
        <v>#N/A</v>
      </c>
      <c r="P837" s="7" t="s">
        <v>661</v>
      </c>
      <c r="Q837" s="7" t="s">
        <v>681</v>
      </c>
      <c r="R837" t="s">
        <v>10</v>
      </c>
      <c r="U837">
        <f t="shared" si="15"/>
        <v>1395</v>
      </c>
    </row>
    <row r="838" spans="1:21" ht="37.5" customHeight="1" x14ac:dyDescent="0.25">
      <c r="A838" s="23">
        <v>44986</v>
      </c>
      <c r="B838" s="13">
        <v>9</v>
      </c>
      <c r="C838" t="s">
        <v>3</v>
      </c>
      <c r="D838" t="s">
        <v>4</v>
      </c>
      <c r="E838" t="s">
        <v>21</v>
      </c>
      <c r="F838" s="6">
        <v>109227086</v>
      </c>
      <c r="G838" t="s">
        <v>430</v>
      </c>
      <c r="H838" t="s">
        <v>14</v>
      </c>
      <c r="I838">
        <v>0</v>
      </c>
      <c r="J838">
        <v>0</v>
      </c>
      <c r="K838">
        <v>0</v>
      </c>
      <c r="L838">
        <v>0</v>
      </c>
      <c r="M838">
        <v>0.11</v>
      </c>
      <c r="N838" s="7" t="e">
        <f>VLOOKUP(F838,HC!A$6:D$100,3,FALSE)</f>
        <v>#N/A</v>
      </c>
      <c r="O838" s="7" t="e">
        <f>VLOOKUP(F838,HC!A$6:D$1000,2,FALSE)</f>
        <v>#N/A</v>
      </c>
      <c r="P838" t="s">
        <v>665</v>
      </c>
      <c r="Q838" s="7" t="s">
        <v>722</v>
      </c>
      <c r="R838" t="s">
        <v>499</v>
      </c>
      <c r="U838">
        <f t="shared" si="15"/>
        <v>1395</v>
      </c>
    </row>
    <row r="839" spans="1:21" ht="37.5" customHeight="1" x14ac:dyDescent="0.25">
      <c r="A839" s="23">
        <v>44986</v>
      </c>
      <c r="B839" s="13">
        <v>9</v>
      </c>
      <c r="C839" t="s">
        <v>3</v>
      </c>
      <c r="D839" t="s">
        <v>4</v>
      </c>
      <c r="E839" t="s">
        <v>5</v>
      </c>
      <c r="F839" s="6">
        <v>112912163</v>
      </c>
      <c r="G839" t="s">
        <v>294</v>
      </c>
      <c r="H839" t="s">
        <v>285</v>
      </c>
      <c r="I839">
        <v>0</v>
      </c>
      <c r="J839">
        <v>0</v>
      </c>
      <c r="K839">
        <v>0</v>
      </c>
      <c r="L839">
        <v>0</v>
      </c>
      <c r="M839">
        <v>0.18</v>
      </c>
      <c r="N839" s="7" t="e">
        <f>VLOOKUP(F839,HC!A$6:D$100,3,FALSE)</f>
        <v>#N/A</v>
      </c>
      <c r="O839" s="7" t="e">
        <f>VLOOKUP(F839,HC!A$6:D$1000,2,FALSE)</f>
        <v>#N/A</v>
      </c>
      <c r="P839" t="s">
        <v>664</v>
      </c>
      <c r="Q839" s="7" t="s">
        <v>708</v>
      </c>
      <c r="R839" t="s">
        <v>813</v>
      </c>
      <c r="U839">
        <f t="shared" si="15"/>
        <v>1395</v>
      </c>
    </row>
    <row r="840" spans="1:21" ht="37.5" customHeight="1" x14ac:dyDescent="0.25">
      <c r="A840" s="23">
        <v>44986</v>
      </c>
      <c r="B840" s="13">
        <v>9</v>
      </c>
      <c r="C840" t="s">
        <v>3</v>
      </c>
      <c r="D840" t="s">
        <v>4</v>
      </c>
      <c r="E840" t="s">
        <v>5</v>
      </c>
      <c r="F840" s="6">
        <v>112912743</v>
      </c>
      <c r="G840" t="s">
        <v>812</v>
      </c>
      <c r="H840" t="s">
        <v>285</v>
      </c>
      <c r="I840">
        <v>0</v>
      </c>
      <c r="J840">
        <v>0</v>
      </c>
      <c r="K840">
        <v>0</v>
      </c>
      <c r="L840">
        <v>0</v>
      </c>
      <c r="M840">
        <v>0.19</v>
      </c>
      <c r="N840" s="7" t="e">
        <f>VLOOKUP(F840,HC!A$6:D$100,3,FALSE)</f>
        <v>#N/A</v>
      </c>
      <c r="O840" s="7" t="e">
        <f>VLOOKUP(F840,HC!A$6:D$1000,2,FALSE)</f>
        <v>#N/A</v>
      </c>
      <c r="P840" t="s">
        <v>666</v>
      </c>
      <c r="Q840" s="7" t="s">
        <v>814</v>
      </c>
      <c r="R840" t="s">
        <v>829</v>
      </c>
      <c r="U840">
        <f t="shared" si="15"/>
        <v>1395</v>
      </c>
    </row>
    <row r="841" spans="1:21" ht="37.5" customHeight="1" x14ac:dyDescent="0.25">
      <c r="A841" s="23">
        <v>44986</v>
      </c>
      <c r="B841" s="13">
        <v>9</v>
      </c>
      <c r="C841" t="s">
        <v>3</v>
      </c>
      <c r="D841" t="s">
        <v>4</v>
      </c>
      <c r="E841" t="s">
        <v>5</v>
      </c>
      <c r="F841" s="6">
        <v>112912753</v>
      </c>
      <c r="G841" t="s">
        <v>415</v>
      </c>
      <c r="H841" t="s">
        <v>285</v>
      </c>
      <c r="I841">
        <v>0</v>
      </c>
      <c r="J841">
        <v>0</v>
      </c>
      <c r="K841">
        <v>0</v>
      </c>
      <c r="L841">
        <v>0</v>
      </c>
      <c r="M841">
        <v>0.32</v>
      </c>
      <c r="N841" s="7" t="e">
        <f>VLOOKUP(F841,HC!A$6:D$100,3,FALSE)</f>
        <v>#N/A</v>
      </c>
      <c r="O841" s="7" t="e">
        <f>VLOOKUP(F841,HC!A$6:D$1000,2,FALSE)</f>
        <v>#N/A</v>
      </c>
      <c r="P841" s="7" t="s">
        <v>661</v>
      </c>
      <c r="Q841" s="7" t="s">
        <v>681</v>
      </c>
      <c r="R841" t="s">
        <v>10</v>
      </c>
      <c r="U841">
        <f t="shared" si="15"/>
        <v>1395</v>
      </c>
    </row>
    <row r="842" spans="1:21" ht="37.5" customHeight="1" x14ac:dyDescent="0.25">
      <c r="A842" s="23">
        <v>44986</v>
      </c>
      <c r="B842" s="13">
        <v>9</v>
      </c>
      <c r="C842" t="s">
        <v>3</v>
      </c>
      <c r="D842" t="s">
        <v>4</v>
      </c>
      <c r="E842" t="s">
        <v>5</v>
      </c>
      <c r="F842" s="6">
        <v>112984097</v>
      </c>
      <c r="G842" t="s">
        <v>265</v>
      </c>
      <c r="H842" t="s">
        <v>49</v>
      </c>
      <c r="I842">
        <v>0</v>
      </c>
      <c r="J842">
        <v>0</v>
      </c>
      <c r="K842">
        <v>0</v>
      </c>
      <c r="L842">
        <v>0</v>
      </c>
      <c r="M842">
        <v>0.54</v>
      </c>
      <c r="N842" s="7" t="e">
        <f>VLOOKUP(F842,HC!A$6:D$100,3,FALSE)</f>
        <v>#N/A</v>
      </c>
      <c r="O842" s="7" t="e">
        <f>VLOOKUP(F842,HC!A$6:D$1000,2,FALSE)</f>
        <v>#N/A</v>
      </c>
      <c r="P842" t="s">
        <v>662</v>
      </c>
      <c r="Q842" s="7" t="s">
        <v>691</v>
      </c>
      <c r="R842" t="s">
        <v>25</v>
      </c>
      <c r="U842">
        <f t="shared" si="15"/>
        <v>1395</v>
      </c>
    </row>
    <row r="843" spans="1:21" ht="37.5" customHeight="1" x14ac:dyDescent="0.25">
      <c r="A843" s="23">
        <v>44986</v>
      </c>
      <c r="B843" s="13">
        <v>9</v>
      </c>
      <c r="C843" t="s">
        <v>3</v>
      </c>
      <c r="D843" t="s">
        <v>4</v>
      </c>
      <c r="E843" t="s">
        <v>5</v>
      </c>
      <c r="F843" s="6">
        <v>113003609</v>
      </c>
      <c r="G843" t="s">
        <v>598</v>
      </c>
      <c r="H843" t="s">
        <v>268</v>
      </c>
      <c r="I843">
        <v>0</v>
      </c>
      <c r="J843">
        <v>0</v>
      </c>
      <c r="K843">
        <v>0</v>
      </c>
      <c r="L843">
        <v>0</v>
      </c>
      <c r="M843">
        <v>0.45</v>
      </c>
      <c r="N843" s="7" t="e">
        <f>VLOOKUP(F843,HC!A$6:D$100,3,FALSE)</f>
        <v>#N/A</v>
      </c>
      <c r="O843" s="7" t="e">
        <f>VLOOKUP(F843,HC!A$6:D$1000,2,FALSE)</f>
        <v>#N/A</v>
      </c>
      <c r="P843" t="s">
        <v>664</v>
      </c>
      <c r="Q843" s="7" t="s">
        <v>708</v>
      </c>
      <c r="R843" t="s">
        <v>815</v>
      </c>
      <c r="U843">
        <f t="shared" si="15"/>
        <v>1395</v>
      </c>
    </row>
    <row r="844" spans="1:21" ht="37.5" customHeight="1" x14ac:dyDescent="0.25">
      <c r="A844" s="23">
        <v>44986</v>
      </c>
      <c r="B844" s="13">
        <v>9</v>
      </c>
      <c r="C844" t="s">
        <v>3</v>
      </c>
      <c r="D844" t="s">
        <v>4</v>
      </c>
      <c r="E844" t="s">
        <v>5</v>
      </c>
      <c r="F844" s="6">
        <v>113014470</v>
      </c>
      <c r="G844" t="s">
        <v>374</v>
      </c>
      <c r="H844" t="s">
        <v>14</v>
      </c>
      <c r="I844">
        <v>0</v>
      </c>
      <c r="J844">
        <v>0</v>
      </c>
      <c r="K844">
        <v>0</v>
      </c>
      <c r="L844">
        <v>0</v>
      </c>
      <c r="M844">
        <v>0.37</v>
      </c>
      <c r="N844" s="7" t="e">
        <f>VLOOKUP(F844,HC!A$6:D$100,3,FALSE)</f>
        <v>#N/A</v>
      </c>
      <c r="O844" s="7" t="str">
        <f>VLOOKUP(F844,HC!A$6:D$1000,2,FALSE)</f>
        <v>lupaguin</v>
      </c>
      <c r="P844" t="s">
        <v>669</v>
      </c>
      <c r="Q844" s="7" t="s">
        <v>739</v>
      </c>
      <c r="R844" t="s">
        <v>673</v>
      </c>
      <c r="U844">
        <f t="shared" si="15"/>
        <v>23</v>
      </c>
    </row>
    <row r="845" spans="1:21" ht="37.5" customHeight="1" x14ac:dyDescent="0.25">
      <c r="A845" s="23">
        <v>44986</v>
      </c>
      <c r="B845" s="13">
        <v>9</v>
      </c>
      <c r="C845" t="s">
        <v>3</v>
      </c>
      <c r="D845" t="s">
        <v>4</v>
      </c>
      <c r="E845" t="s">
        <v>5</v>
      </c>
      <c r="F845" s="6">
        <v>113101453</v>
      </c>
      <c r="G845" t="s">
        <v>50</v>
      </c>
      <c r="H845" t="s">
        <v>49</v>
      </c>
      <c r="I845">
        <v>0</v>
      </c>
      <c r="J845">
        <v>0</v>
      </c>
      <c r="K845">
        <v>0</v>
      </c>
      <c r="L845">
        <v>0</v>
      </c>
      <c r="M845">
        <v>0.2</v>
      </c>
      <c r="N845" s="7" t="e">
        <f>VLOOKUP(F845,HC!A$6:D$100,3,FALSE)</f>
        <v>#N/A</v>
      </c>
      <c r="O845" s="7" t="str">
        <f>VLOOKUP(F845,HC!A$6:D$1000,2,FALSE)</f>
        <v>qisgeova</v>
      </c>
      <c r="P845" t="s">
        <v>664</v>
      </c>
      <c r="Q845" s="7" t="s">
        <v>709</v>
      </c>
      <c r="R845" t="s">
        <v>586</v>
      </c>
      <c r="U845">
        <f t="shared" si="15"/>
        <v>57</v>
      </c>
    </row>
    <row r="846" spans="1:21" ht="37.5" customHeight="1" x14ac:dyDescent="0.25">
      <c r="A846" s="23">
        <v>44986</v>
      </c>
      <c r="B846" s="13">
        <v>9</v>
      </c>
      <c r="C846" t="s">
        <v>3</v>
      </c>
      <c r="D846" t="s">
        <v>4</v>
      </c>
      <c r="E846" t="s">
        <v>5</v>
      </c>
      <c r="F846" s="6">
        <v>200404250</v>
      </c>
      <c r="G846" t="s">
        <v>51</v>
      </c>
      <c r="H846" t="s">
        <v>285</v>
      </c>
      <c r="I846">
        <v>0</v>
      </c>
      <c r="J846">
        <v>0</v>
      </c>
      <c r="K846">
        <v>0</v>
      </c>
      <c r="L846">
        <v>0</v>
      </c>
      <c r="M846">
        <v>0.54</v>
      </c>
      <c r="N846" s="7" t="e">
        <f>VLOOKUP(F846,HC!A$6:D$100,3,FALSE)</f>
        <v>#N/A</v>
      </c>
      <c r="O846" s="7" t="str">
        <f>VLOOKUP(F846,HC!A$6:D$1000,2,FALSE)</f>
        <v>xcathurt</v>
      </c>
      <c r="P846" s="7" t="s">
        <v>662</v>
      </c>
      <c r="Q846" s="7" t="s">
        <v>785</v>
      </c>
      <c r="R846" t="s">
        <v>235</v>
      </c>
      <c r="U846">
        <f t="shared" si="15"/>
        <v>124</v>
      </c>
    </row>
    <row r="847" spans="1:21" ht="37.5" customHeight="1" x14ac:dyDescent="0.25">
      <c r="A847" s="23">
        <v>44986</v>
      </c>
      <c r="B847" s="13">
        <v>9</v>
      </c>
      <c r="C847" t="s">
        <v>3</v>
      </c>
      <c r="D847" t="s">
        <v>4</v>
      </c>
      <c r="E847" t="s">
        <v>21</v>
      </c>
      <c r="F847" s="6">
        <v>200508315</v>
      </c>
      <c r="G847" t="s">
        <v>428</v>
      </c>
      <c r="H847" t="s">
        <v>298</v>
      </c>
      <c r="I847">
        <v>0</v>
      </c>
      <c r="J847">
        <v>0</v>
      </c>
      <c r="K847">
        <v>0</v>
      </c>
      <c r="L847">
        <v>0</v>
      </c>
      <c r="M847">
        <v>0.51</v>
      </c>
      <c r="N847" s="7" t="e">
        <f>VLOOKUP(F847,HC!A$6:D$100,3,FALSE)</f>
        <v>#N/A</v>
      </c>
      <c r="O847" s="7" t="str">
        <f>VLOOKUP(F847,HC!A$6:D$1000,2,FALSE)</f>
        <v>taldaher</v>
      </c>
      <c r="Q847" s="7"/>
      <c r="U847">
        <f t="shared" si="15"/>
        <v>18</v>
      </c>
    </row>
    <row r="848" spans="1:21" ht="37.5" customHeight="1" x14ac:dyDescent="0.25">
      <c r="A848" s="23">
        <v>44986</v>
      </c>
      <c r="B848" s="13">
        <v>9</v>
      </c>
      <c r="C848" t="s">
        <v>3</v>
      </c>
      <c r="D848" t="s">
        <v>4</v>
      </c>
      <c r="E848" t="s">
        <v>21</v>
      </c>
      <c r="F848" s="6">
        <v>200508371</v>
      </c>
      <c r="G848" t="s">
        <v>339</v>
      </c>
      <c r="H848" t="s">
        <v>298</v>
      </c>
      <c r="I848">
        <v>0</v>
      </c>
      <c r="J848">
        <v>0</v>
      </c>
      <c r="K848">
        <v>0</v>
      </c>
      <c r="L848">
        <v>0</v>
      </c>
      <c r="M848">
        <v>0.56999999999999995</v>
      </c>
      <c r="N848" s="7" t="e">
        <f>VLOOKUP(F848,HC!A$6:D$100,3,FALSE)</f>
        <v>#N/A</v>
      </c>
      <c r="O848" s="7" t="e">
        <f>VLOOKUP(F848,HC!A$6:D$1000,2,FALSE)</f>
        <v>#N/A</v>
      </c>
      <c r="P848" t="s">
        <v>664</v>
      </c>
      <c r="Q848" s="7" t="s">
        <v>711</v>
      </c>
      <c r="R848" t="s">
        <v>405</v>
      </c>
      <c r="U848">
        <f t="shared" si="15"/>
        <v>1395</v>
      </c>
    </row>
    <row r="849" spans="1:21" ht="37.5" customHeight="1" x14ac:dyDescent="0.25">
      <c r="A849" s="23">
        <v>44986</v>
      </c>
      <c r="B849" s="13">
        <v>9</v>
      </c>
      <c r="C849" t="s">
        <v>3</v>
      </c>
      <c r="D849" t="s">
        <v>4</v>
      </c>
      <c r="E849" t="s">
        <v>21</v>
      </c>
      <c r="F849" s="6">
        <v>200562303</v>
      </c>
      <c r="G849" t="s">
        <v>629</v>
      </c>
      <c r="H849" t="s">
        <v>14</v>
      </c>
      <c r="I849">
        <v>0</v>
      </c>
      <c r="J849">
        <v>0</v>
      </c>
      <c r="K849">
        <v>0</v>
      </c>
      <c r="L849">
        <v>0</v>
      </c>
      <c r="M849">
        <v>0.74</v>
      </c>
      <c r="N849" s="7" t="e">
        <f>VLOOKUP(F849,HC!A$6:D$100,3,FALSE)</f>
        <v>#N/A</v>
      </c>
      <c r="O849" s="7" t="str">
        <f>VLOOKUP(F849,HC!A$6:D$1000,2,FALSE)</f>
        <v>hejorgea</v>
      </c>
      <c r="P849" t="s">
        <v>661</v>
      </c>
      <c r="Q849" s="7" t="s">
        <v>684</v>
      </c>
      <c r="R849" t="s">
        <v>360</v>
      </c>
      <c r="U849">
        <f t="shared" si="15"/>
        <v>7</v>
      </c>
    </row>
    <row r="850" spans="1:21" ht="37.5" customHeight="1" x14ac:dyDescent="0.25">
      <c r="A850" s="23">
        <v>44986</v>
      </c>
      <c r="B850" s="13">
        <v>9</v>
      </c>
      <c r="C850" t="s">
        <v>3</v>
      </c>
      <c r="D850" t="s">
        <v>4</v>
      </c>
      <c r="E850" t="s">
        <v>21</v>
      </c>
      <c r="F850" s="6">
        <v>200574329</v>
      </c>
      <c r="G850" t="s">
        <v>52</v>
      </c>
      <c r="H850" t="s">
        <v>49</v>
      </c>
      <c r="I850">
        <v>0</v>
      </c>
      <c r="J850">
        <v>0</v>
      </c>
      <c r="K850">
        <v>0</v>
      </c>
      <c r="L850">
        <v>0</v>
      </c>
      <c r="M850">
        <v>0.21</v>
      </c>
      <c r="N850" s="7" t="e">
        <f>VLOOKUP(F850,HC!A$6:D$100,3,FALSE)</f>
        <v>#N/A</v>
      </c>
      <c r="O850" s="7" t="e">
        <f>VLOOKUP(F850,HC!A$6:D$1000,2,FALSE)</f>
        <v>#N/A</v>
      </c>
      <c r="P850" t="s">
        <v>664</v>
      </c>
      <c r="Q850" s="7" t="s">
        <v>711</v>
      </c>
      <c r="R850" t="s">
        <v>405</v>
      </c>
      <c r="U850">
        <f t="shared" si="15"/>
        <v>1395</v>
      </c>
    </row>
    <row r="851" spans="1:21" ht="37.5" customHeight="1" x14ac:dyDescent="0.25">
      <c r="A851" s="23">
        <v>44987</v>
      </c>
      <c r="B851" s="13">
        <v>9</v>
      </c>
      <c r="C851" t="s">
        <v>3</v>
      </c>
      <c r="D851" t="s">
        <v>4</v>
      </c>
      <c r="E851" t="s">
        <v>21</v>
      </c>
      <c r="F851" s="6">
        <v>109227086</v>
      </c>
      <c r="G851" t="s">
        <v>430</v>
      </c>
      <c r="H851" t="s">
        <v>14</v>
      </c>
      <c r="I851">
        <v>0</v>
      </c>
      <c r="J851">
        <v>0</v>
      </c>
      <c r="K851">
        <v>0</v>
      </c>
      <c r="L851">
        <v>0</v>
      </c>
      <c r="M851">
        <v>3.04</v>
      </c>
      <c r="N851" s="7" t="e">
        <f>VLOOKUP(F851,HC!A$6:D$100,3,FALSE)</f>
        <v>#N/A</v>
      </c>
      <c r="O851" s="7" t="e">
        <f>VLOOKUP(F851,HC!A$6:D$1000,2,FALSE)</f>
        <v>#N/A</v>
      </c>
      <c r="P851" s="7" t="s">
        <v>661</v>
      </c>
      <c r="Q851" s="7" t="s">
        <v>681</v>
      </c>
      <c r="R851" t="s">
        <v>10</v>
      </c>
      <c r="U851">
        <f t="shared" si="15"/>
        <v>1395</v>
      </c>
    </row>
    <row r="852" spans="1:21" ht="37.5" customHeight="1" x14ac:dyDescent="0.25">
      <c r="A852" s="23">
        <v>44987</v>
      </c>
      <c r="B852" s="13">
        <v>9</v>
      </c>
      <c r="C852" t="s">
        <v>3</v>
      </c>
      <c r="D852" t="s">
        <v>4</v>
      </c>
      <c r="E852" t="s">
        <v>5</v>
      </c>
      <c r="F852" s="6">
        <v>112912201</v>
      </c>
      <c r="G852" t="s">
        <v>456</v>
      </c>
      <c r="H852" t="s">
        <v>49</v>
      </c>
      <c r="I852">
        <v>0</v>
      </c>
      <c r="J852">
        <v>0</v>
      </c>
      <c r="K852">
        <v>0</v>
      </c>
      <c r="L852">
        <v>0</v>
      </c>
      <c r="M852">
        <v>0.16</v>
      </c>
      <c r="N852" s="7" t="e">
        <f>VLOOKUP(F852,HC!A$6:D$100,3,FALSE)</f>
        <v>#N/A</v>
      </c>
      <c r="O852" s="7" t="e">
        <f>VLOOKUP(F852,HC!A$6:D$1000,2,FALSE)</f>
        <v>#N/A</v>
      </c>
      <c r="P852" t="s">
        <v>662</v>
      </c>
      <c r="Q852" s="7" t="s">
        <v>690</v>
      </c>
      <c r="R852" t="s">
        <v>588</v>
      </c>
      <c r="U852">
        <f t="shared" si="15"/>
        <v>1395</v>
      </c>
    </row>
    <row r="853" spans="1:21" ht="37.5" customHeight="1" x14ac:dyDescent="0.25">
      <c r="A853" s="23">
        <v>44987</v>
      </c>
      <c r="B853" s="13">
        <v>9</v>
      </c>
      <c r="C853" t="s">
        <v>3</v>
      </c>
      <c r="D853" t="s">
        <v>4</v>
      </c>
      <c r="E853" t="s">
        <v>5</v>
      </c>
      <c r="F853" s="6">
        <v>112912677</v>
      </c>
      <c r="G853" t="s">
        <v>539</v>
      </c>
      <c r="H853" t="s">
        <v>332</v>
      </c>
      <c r="I853">
        <v>0</v>
      </c>
      <c r="J853">
        <v>0</v>
      </c>
      <c r="K853">
        <v>0</v>
      </c>
      <c r="L853">
        <v>0</v>
      </c>
      <c r="M853">
        <v>0.08</v>
      </c>
      <c r="N853" s="7" t="e">
        <f>VLOOKUP(F853,HC!A$6:D$100,3,FALSE)</f>
        <v>#N/A</v>
      </c>
      <c r="O853" s="7" t="e">
        <f>VLOOKUP(F853,HC!A$6:D$1000,2,FALSE)</f>
        <v>#N/A</v>
      </c>
      <c r="P853" s="7" t="s">
        <v>661</v>
      </c>
      <c r="Q853" s="7" t="s">
        <v>681</v>
      </c>
      <c r="R853" t="s">
        <v>10</v>
      </c>
      <c r="U853">
        <f t="shared" si="15"/>
        <v>1395</v>
      </c>
    </row>
    <row r="854" spans="1:21" ht="37.5" customHeight="1" x14ac:dyDescent="0.25">
      <c r="A854" s="23">
        <v>44987</v>
      </c>
      <c r="B854" s="13">
        <v>9</v>
      </c>
      <c r="C854" t="s">
        <v>3</v>
      </c>
      <c r="D854" t="s">
        <v>4</v>
      </c>
      <c r="E854" t="s">
        <v>5</v>
      </c>
      <c r="F854" s="6">
        <v>112912743</v>
      </c>
      <c r="G854" t="s">
        <v>812</v>
      </c>
      <c r="H854" t="s">
        <v>285</v>
      </c>
      <c r="I854">
        <v>0</v>
      </c>
      <c r="J854">
        <v>0</v>
      </c>
      <c r="K854">
        <v>0</v>
      </c>
      <c r="L854">
        <v>0</v>
      </c>
      <c r="M854">
        <v>0.18</v>
      </c>
      <c r="N854" s="7" t="e">
        <f>VLOOKUP(F854,HC!A$6:D$100,3,FALSE)</f>
        <v>#N/A</v>
      </c>
      <c r="O854" s="7" t="e">
        <f>VLOOKUP(F854,HC!A$6:D$1000,2,FALSE)</f>
        <v>#N/A</v>
      </c>
      <c r="P854" s="7" t="s">
        <v>675</v>
      </c>
      <c r="Q854" s="7"/>
      <c r="R854" t="s">
        <v>362</v>
      </c>
      <c r="U854">
        <f t="shared" si="15"/>
        <v>1395</v>
      </c>
    </row>
    <row r="855" spans="1:21" ht="37.5" customHeight="1" x14ac:dyDescent="0.25">
      <c r="A855" s="23">
        <v>44987</v>
      </c>
      <c r="B855" s="13">
        <v>9</v>
      </c>
      <c r="C855" t="s">
        <v>3</v>
      </c>
      <c r="D855" t="s">
        <v>4</v>
      </c>
      <c r="E855" t="s">
        <v>5</v>
      </c>
      <c r="F855" s="6">
        <v>112951256</v>
      </c>
      <c r="G855" t="s">
        <v>337</v>
      </c>
      <c r="H855" t="s">
        <v>332</v>
      </c>
      <c r="I855">
        <v>0</v>
      </c>
      <c r="J855">
        <v>0</v>
      </c>
      <c r="K855">
        <v>0</v>
      </c>
      <c r="L855">
        <v>0</v>
      </c>
      <c r="M855">
        <v>1.1399999999999999</v>
      </c>
      <c r="N855" s="7" t="str">
        <f>VLOOKUP(F855,HC!A$6:D$100,3,FALSE)</f>
        <v>DA-X0700</v>
      </c>
      <c r="O855" s="7" t="str">
        <f>VLOOKUP(F855,HC!A$6:D$1000,2,FALSE)</f>
        <v>grkatery</v>
      </c>
      <c r="P855" t="s">
        <v>666</v>
      </c>
      <c r="Q855" s="7" t="s">
        <v>774</v>
      </c>
      <c r="R855" t="s">
        <v>418</v>
      </c>
      <c r="U855">
        <f t="shared" si="15"/>
        <v>17</v>
      </c>
    </row>
    <row r="856" spans="1:21" ht="37.5" customHeight="1" x14ac:dyDescent="0.25">
      <c r="A856" s="23">
        <v>44987</v>
      </c>
      <c r="B856" s="13">
        <v>9</v>
      </c>
      <c r="C856" t="s">
        <v>3</v>
      </c>
      <c r="D856" t="s">
        <v>4</v>
      </c>
      <c r="E856" t="s">
        <v>5</v>
      </c>
      <c r="F856" s="6">
        <v>112971955</v>
      </c>
      <c r="G856" t="s">
        <v>551</v>
      </c>
      <c r="H856" t="s">
        <v>459</v>
      </c>
      <c r="I856">
        <v>0</v>
      </c>
      <c r="J856">
        <v>0</v>
      </c>
      <c r="K856">
        <v>0</v>
      </c>
      <c r="L856">
        <v>0</v>
      </c>
      <c r="M856">
        <v>0.4</v>
      </c>
      <c r="N856" s="7" t="e">
        <f>VLOOKUP(F856,HC!A$6:D$100,3,FALSE)</f>
        <v>#N/A</v>
      </c>
      <c r="O856" s="7" t="e">
        <f>VLOOKUP(F856,HC!A$6:D$1000,2,FALSE)</f>
        <v>#N/A</v>
      </c>
      <c r="P856" s="7" t="s">
        <v>661</v>
      </c>
      <c r="Q856" s="7" t="s">
        <v>681</v>
      </c>
      <c r="R856" t="s">
        <v>10</v>
      </c>
      <c r="U856">
        <f t="shared" si="15"/>
        <v>1395</v>
      </c>
    </row>
    <row r="857" spans="1:21" ht="37.5" customHeight="1" x14ac:dyDescent="0.25">
      <c r="A857" s="23">
        <v>44987</v>
      </c>
      <c r="B857" s="13">
        <v>9</v>
      </c>
      <c r="C857" t="s">
        <v>3</v>
      </c>
      <c r="D857" t="s">
        <v>4</v>
      </c>
      <c r="E857" t="s">
        <v>5</v>
      </c>
      <c r="F857" s="6">
        <v>112971961</v>
      </c>
      <c r="G857" t="s">
        <v>755</v>
      </c>
      <c r="H857" t="s">
        <v>332</v>
      </c>
      <c r="I857">
        <v>0</v>
      </c>
      <c r="J857">
        <v>0</v>
      </c>
      <c r="K857">
        <v>0</v>
      </c>
      <c r="L857">
        <v>0</v>
      </c>
      <c r="M857">
        <v>1.07</v>
      </c>
      <c r="N857" s="7" t="e">
        <f>VLOOKUP(F857,HC!A$6:D$100,3,FALSE)</f>
        <v>#N/A</v>
      </c>
      <c r="O857" s="7" t="e">
        <f>VLOOKUP(F857,HC!A$6:D$1000,2,FALSE)</f>
        <v>#N/A</v>
      </c>
      <c r="P857" t="s">
        <v>664</v>
      </c>
      <c r="Q857" s="7" t="s">
        <v>709</v>
      </c>
      <c r="R857" t="s">
        <v>822</v>
      </c>
      <c r="U857">
        <f t="shared" si="15"/>
        <v>1395</v>
      </c>
    </row>
    <row r="858" spans="1:21" ht="37.5" customHeight="1" x14ac:dyDescent="0.25">
      <c r="A858" s="23">
        <v>44987</v>
      </c>
      <c r="B858" s="13">
        <v>9</v>
      </c>
      <c r="C858" t="s">
        <v>3</v>
      </c>
      <c r="D858" t="s">
        <v>4</v>
      </c>
      <c r="E858" t="s">
        <v>5</v>
      </c>
      <c r="F858" s="6">
        <v>112980832</v>
      </c>
      <c r="G858" t="s">
        <v>427</v>
      </c>
      <c r="H858" t="s">
        <v>47</v>
      </c>
      <c r="I858">
        <v>0</v>
      </c>
      <c r="J858">
        <v>0</v>
      </c>
      <c r="K858">
        <v>0</v>
      </c>
      <c r="L858">
        <v>0</v>
      </c>
      <c r="M858">
        <v>0.02</v>
      </c>
      <c r="N858" s="7" t="e">
        <f>VLOOKUP(F858,HC!A$6:D$100,3,FALSE)</f>
        <v>#N/A</v>
      </c>
      <c r="O858" s="7" t="e">
        <f>VLOOKUP(F858,HC!A$6:D$1000,2,FALSE)</f>
        <v>#N/A</v>
      </c>
      <c r="P858" t="s">
        <v>664</v>
      </c>
      <c r="Q858" s="7" t="s">
        <v>709</v>
      </c>
      <c r="R858" t="s">
        <v>825</v>
      </c>
      <c r="U858">
        <f t="shared" si="15"/>
        <v>1395</v>
      </c>
    </row>
    <row r="859" spans="1:21" ht="37.5" customHeight="1" x14ac:dyDescent="0.25">
      <c r="A859" s="23">
        <v>44987</v>
      </c>
      <c r="B859" s="13">
        <v>9</v>
      </c>
      <c r="C859" t="s">
        <v>3</v>
      </c>
      <c r="D859" t="s">
        <v>4</v>
      </c>
      <c r="E859" t="s">
        <v>5</v>
      </c>
      <c r="F859" s="6">
        <v>112980844</v>
      </c>
      <c r="G859" t="s">
        <v>13</v>
      </c>
      <c r="H859" t="s">
        <v>44</v>
      </c>
      <c r="I859">
        <v>0</v>
      </c>
      <c r="J859">
        <v>0</v>
      </c>
      <c r="K859">
        <v>0</v>
      </c>
      <c r="L859">
        <v>0</v>
      </c>
      <c r="M859">
        <v>0.24</v>
      </c>
      <c r="N859" s="7" t="str">
        <f>VLOOKUP(F859,HC!A$6:D$100,3,FALSE)</f>
        <v>DA-X0700</v>
      </c>
      <c r="O859" s="7" t="str">
        <f>VLOOKUP(F859,HC!A$6:D$1000,2,FALSE)</f>
        <v>samajpad</v>
      </c>
      <c r="P859" s="7" t="s">
        <v>661</v>
      </c>
      <c r="Q859" s="7" t="s">
        <v>681</v>
      </c>
      <c r="R859" t="s">
        <v>10</v>
      </c>
      <c r="U859">
        <f t="shared" si="15"/>
        <v>20</v>
      </c>
    </row>
    <row r="860" spans="1:21" ht="37.5" customHeight="1" x14ac:dyDescent="0.25">
      <c r="A860" s="23">
        <v>44987</v>
      </c>
      <c r="B860" s="13">
        <v>9</v>
      </c>
      <c r="C860" t="s">
        <v>3</v>
      </c>
      <c r="D860" t="s">
        <v>4</v>
      </c>
      <c r="E860" t="s">
        <v>5</v>
      </c>
      <c r="F860" s="6">
        <v>112981014</v>
      </c>
      <c r="G860" t="s">
        <v>367</v>
      </c>
      <c r="H860" t="s">
        <v>44</v>
      </c>
      <c r="I860">
        <v>0</v>
      </c>
      <c r="J860">
        <v>0</v>
      </c>
      <c r="K860">
        <v>0</v>
      </c>
      <c r="L860">
        <v>0</v>
      </c>
      <c r="M860">
        <v>0.16</v>
      </c>
      <c r="N860" s="7" t="str">
        <f>VLOOKUP(F860,HC!A$6:D$100,3,FALSE)</f>
        <v>DJ-X0700</v>
      </c>
      <c r="O860" s="7" t="str">
        <f>VLOOKUP(F860,HC!A$6:D$1000,2,FALSE)</f>
        <v>rpabloul</v>
      </c>
      <c r="P860" t="s">
        <v>662</v>
      </c>
      <c r="Q860" s="7" t="s">
        <v>690</v>
      </c>
      <c r="R860" t="s">
        <v>544</v>
      </c>
      <c r="U860">
        <f t="shared" si="15"/>
        <v>17</v>
      </c>
    </row>
    <row r="861" spans="1:21" ht="37.5" customHeight="1" x14ac:dyDescent="0.25">
      <c r="A861" s="23">
        <v>44987</v>
      </c>
      <c r="B861" s="13">
        <v>9</v>
      </c>
      <c r="C861" t="s">
        <v>3</v>
      </c>
      <c r="D861" t="s">
        <v>4</v>
      </c>
      <c r="E861" t="s">
        <v>5</v>
      </c>
      <c r="F861" s="6">
        <v>113014011</v>
      </c>
      <c r="G861" t="s">
        <v>45</v>
      </c>
      <c r="H861" t="s">
        <v>14</v>
      </c>
      <c r="I861">
        <v>0</v>
      </c>
      <c r="J861">
        <v>0</v>
      </c>
      <c r="K861">
        <v>0</v>
      </c>
      <c r="L861">
        <v>0</v>
      </c>
      <c r="M861">
        <v>0.09</v>
      </c>
      <c r="N861" s="7" t="e">
        <f>VLOOKUP(F861,HC!A$6:D$100,3,FALSE)</f>
        <v>#N/A</v>
      </c>
      <c r="O861" s="7" t="e">
        <f>VLOOKUP(F861,HC!A$6:D$1000,2,FALSE)</f>
        <v>#N/A</v>
      </c>
      <c r="P861" t="s">
        <v>664</v>
      </c>
      <c r="Q861" s="7" t="s">
        <v>711</v>
      </c>
      <c r="R861" t="s">
        <v>405</v>
      </c>
      <c r="U861">
        <f t="shared" si="15"/>
        <v>1395</v>
      </c>
    </row>
    <row r="862" spans="1:21" ht="37.5" customHeight="1" x14ac:dyDescent="0.25">
      <c r="A862" s="23">
        <v>44987</v>
      </c>
      <c r="B862" s="13">
        <v>9</v>
      </c>
      <c r="C862" t="s">
        <v>3</v>
      </c>
      <c r="D862" t="s">
        <v>4</v>
      </c>
      <c r="E862" t="s">
        <v>5</v>
      </c>
      <c r="F862" s="6">
        <v>113020476</v>
      </c>
      <c r="G862" t="s">
        <v>330</v>
      </c>
      <c r="H862" t="s">
        <v>298</v>
      </c>
      <c r="I862">
        <v>0</v>
      </c>
      <c r="J862">
        <v>0</v>
      </c>
      <c r="K862">
        <v>0</v>
      </c>
      <c r="L862">
        <v>0</v>
      </c>
      <c r="M862">
        <v>0.67</v>
      </c>
      <c r="N862" s="7" t="e">
        <f>VLOOKUP(F862,HC!A$6:D$100,3,FALSE)</f>
        <v>#N/A</v>
      </c>
      <c r="O862" s="7" t="str">
        <f>VLOOKUP(F862,HC!A$6:D$1000,2,FALSE)</f>
        <v>polettpu</v>
      </c>
      <c r="P862" t="s">
        <v>664</v>
      </c>
      <c r="Q862" s="7" t="s">
        <v>716</v>
      </c>
      <c r="R862" t="s">
        <v>831</v>
      </c>
      <c r="U862">
        <f t="shared" si="15"/>
        <v>55</v>
      </c>
    </row>
    <row r="863" spans="1:21" ht="37.5" customHeight="1" x14ac:dyDescent="0.25">
      <c r="A863" s="23">
        <v>44987</v>
      </c>
      <c r="B863" s="13">
        <v>9</v>
      </c>
      <c r="C863" t="s">
        <v>3</v>
      </c>
      <c r="D863" t="s">
        <v>4</v>
      </c>
      <c r="E863" t="s">
        <v>5</v>
      </c>
      <c r="F863" s="6">
        <v>113052151</v>
      </c>
      <c r="G863" t="s">
        <v>482</v>
      </c>
      <c r="H863" t="s">
        <v>17</v>
      </c>
      <c r="I863">
        <v>0</v>
      </c>
      <c r="J863">
        <v>0</v>
      </c>
      <c r="K863">
        <v>0</v>
      </c>
      <c r="L863">
        <v>0</v>
      </c>
      <c r="M863">
        <v>0.26</v>
      </c>
      <c r="N863" s="7" t="e">
        <f>VLOOKUP(F863,HC!A$6:D$100,3,FALSE)</f>
        <v>#N/A</v>
      </c>
      <c r="O863" s="7" t="str">
        <f>VLOOKUP(F863,HC!A$6:D$1000,2,FALSE)</f>
        <v>nilaurab</v>
      </c>
      <c r="P863" t="s">
        <v>663</v>
      </c>
      <c r="Q863" s="7" t="s">
        <v>695</v>
      </c>
      <c r="R863" t="s">
        <v>645</v>
      </c>
      <c r="U863">
        <f t="shared" si="15"/>
        <v>28</v>
      </c>
    </row>
    <row r="864" spans="1:21" ht="37.5" customHeight="1" x14ac:dyDescent="0.25">
      <c r="A864" s="23">
        <v>44987</v>
      </c>
      <c r="B864" s="13">
        <v>9</v>
      </c>
      <c r="C864" t="s">
        <v>3</v>
      </c>
      <c r="D864" t="s">
        <v>4</v>
      </c>
      <c r="E864" t="s">
        <v>5</v>
      </c>
      <c r="F864" s="6">
        <v>113101453</v>
      </c>
      <c r="G864" t="s">
        <v>50</v>
      </c>
      <c r="H864" t="s">
        <v>49</v>
      </c>
      <c r="I864">
        <v>0</v>
      </c>
      <c r="J864">
        <v>0</v>
      </c>
      <c r="K864">
        <v>0</v>
      </c>
      <c r="L864">
        <v>0</v>
      </c>
      <c r="M864">
        <v>0.14000000000000001</v>
      </c>
      <c r="N864" s="7" t="e">
        <f>VLOOKUP(F864,HC!A$6:D$100,3,FALSE)</f>
        <v>#N/A</v>
      </c>
      <c r="O864" s="7" t="str">
        <f>VLOOKUP(F864,HC!A$6:D$1000,2,FALSE)</f>
        <v>qisgeova</v>
      </c>
      <c r="P864" s="7" t="s">
        <v>661</v>
      </c>
      <c r="Q864" s="7" t="s">
        <v>681</v>
      </c>
      <c r="R864" t="s">
        <v>10</v>
      </c>
      <c r="U864">
        <f t="shared" si="15"/>
        <v>57</v>
      </c>
    </row>
    <row r="865" spans="1:21" ht="37.5" customHeight="1" x14ac:dyDescent="0.25">
      <c r="A865" s="23">
        <v>44987</v>
      </c>
      <c r="B865" s="13">
        <v>9</v>
      </c>
      <c r="C865" t="s">
        <v>3</v>
      </c>
      <c r="D865" t="s">
        <v>4</v>
      </c>
      <c r="E865" t="s">
        <v>5</v>
      </c>
      <c r="F865" s="6">
        <v>200404250</v>
      </c>
      <c r="G865" t="s">
        <v>51</v>
      </c>
      <c r="H865" t="s">
        <v>285</v>
      </c>
      <c r="I865">
        <v>0</v>
      </c>
      <c r="J865">
        <v>0</v>
      </c>
      <c r="K865">
        <v>0</v>
      </c>
      <c r="L865">
        <v>0</v>
      </c>
      <c r="M865">
        <v>0.54</v>
      </c>
      <c r="N865" s="7" t="e">
        <f>VLOOKUP(F865,HC!A$6:D$100,3,FALSE)</f>
        <v>#N/A</v>
      </c>
      <c r="O865" s="7" t="str">
        <f>VLOOKUP(F865,HC!A$6:D$1000,2,FALSE)</f>
        <v>xcathurt</v>
      </c>
      <c r="P865" t="s">
        <v>666</v>
      </c>
      <c r="Q865" s="7" t="s">
        <v>768</v>
      </c>
      <c r="R865" t="s">
        <v>832</v>
      </c>
      <c r="U865">
        <f t="shared" si="15"/>
        <v>124</v>
      </c>
    </row>
    <row r="866" spans="1:21" ht="37.5" customHeight="1" x14ac:dyDescent="0.25">
      <c r="A866" s="23">
        <v>44987</v>
      </c>
      <c r="B866" s="13">
        <v>9</v>
      </c>
      <c r="C866" t="s">
        <v>3</v>
      </c>
      <c r="D866" t="s">
        <v>4</v>
      </c>
      <c r="E866" t="s">
        <v>21</v>
      </c>
      <c r="F866" s="6">
        <v>200552734</v>
      </c>
      <c r="G866" t="s">
        <v>492</v>
      </c>
      <c r="H866" t="s">
        <v>298</v>
      </c>
      <c r="I866">
        <v>0</v>
      </c>
      <c r="J866">
        <v>0</v>
      </c>
      <c r="K866">
        <v>0</v>
      </c>
      <c r="L866">
        <v>0</v>
      </c>
      <c r="M866">
        <v>0.56000000000000005</v>
      </c>
      <c r="N866" s="7" t="e">
        <f>VLOOKUP(F866,HC!A$6:D$100,3,FALSE)</f>
        <v>#N/A</v>
      </c>
      <c r="O866" s="7" t="e">
        <f>VLOOKUP(F866,HC!A$6:D$1000,2,FALSE)</f>
        <v>#N/A</v>
      </c>
      <c r="P866" t="s">
        <v>664</v>
      </c>
      <c r="Q866" s="7" t="s">
        <v>710</v>
      </c>
      <c r="R866" t="s">
        <v>506</v>
      </c>
      <c r="U866">
        <f t="shared" si="15"/>
        <v>1395</v>
      </c>
    </row>
    <row r="867" spans="1:21" ht="37.5" customHeight="1" x14ac:dyDescent="0.25">
      <c r="A867" s="23">
        <v>44987</v>
      </c>
      <c r="B867" s="13">
        <v>9</v>
      </c>
      <c r="C867" t="s">
        <v>3</v>
      </c>
      <c r="D867" t="s">
        <v>4</v>
      </c>
      <c r="E867" t="s">
        <v>21</v>
      </c>
      <c r="F867" s="6">
        <v>200565197</v>
      </c>
      <c r="G867" t="s">
        <v>389</v>
      </c>
      <c r="H867" t="s">
        <v>285</v>
      </c>
      <c r="I867">
        <v>0</v>
      </c>
      <c r="J867">
        <v>0</v>
      </c>
      <c r="K867">
        <v>0</v>
      </c>
      <c r="L867">
        <v>0</v>
      </c>
      <c r="M867">
        <v>0.25</v>
      </c>
      <c r="N867" s="7" t="e">
        <f>VLOOKUP(F867,HC!A$6:D$100,3,FALSE)</f>
        <v>#N/A</v>
      </c>
      <c r="O867" s="7" t="e">
        <f>VLOOKUP(F867,HC!A$6:D$1000,2,FALSE)</f>
        <v>#N/A</v>
      </c>
      <c r="P867" t="s">
        <v>663</v>
      </c>
      <c r="Q867" s="7" t="s">
        <v>692</v>
      </c>
      <c r="R867" t="s">
        <v>443</v>
      </c>
      <c r="U867">
        <f t="shared" si="15"/>
        <v>1395</v>
      </c>
    </row>
    <row r="868" spans="1:21" ht="37.5" customHeight="1" x14ac:dyDescent="0.25">
      <c r="A868" s="23">
        <v>44988</v>
      </c>
      <c r="B868" s="13">
        <v>9</v>
      </c>
      <c r="C868" t="s">
        <v>3</v>
      </c>
      <c r="D868" t="s">
        <v>4</v>
      </c>
      <c r="E868" t="s">
        <v>5</v>
      </c>
      <c r="F868" s="6">
        <v>103979960</v>
      </c>
      <c r="G868" t="s">
        <v>372</v>
      </c>
      <c r="H868" t="s">
        <v>14</v>
      </c>
      <c r="I868">
        <v>0</v>
      </c>
      <c r="J868">
        <v>0</v>
      </c>
      <c r="K868">
        <v>0</v>
      </c>
      <c r="L868">
        <v>0</v>
      </c>
      <c r="M868">
        <v>0.26</v>
      </c>
      <c r="N868" s="7" t="e">
        <f>VLOOKUP(F868,HC!A$6:D$100,3,FALSE)</f>
        <v>#N/A</v>
      </c>
      <c r="O868" s="7" t="e">
        <f>VLOOKUP(F868,HC!A$6:D$1000,2,FALSE)</f>
        <v>#N/A</v>
      </c>
      <c r="P868" s="7" t="s">
        <v>661</v>
      </c>
      <c r="Q868" s="7" t="s">
        <v>681</v>
      </c>
      <c r="R868" t="s">
        <v>10</v>
      </c>
      <c r="U868">
        <f t="shared" si="15"/>
        <v>1395</v>
      </c>
    </row>
    <row r="869" spans="1:21" ht="37.5" customHeight="1" x14ac:dyDescent="0.25">
      <c r="A869" s="23">
        <v>44988</v>
      </c>
      <c r="B869" s="13">
        <v>9</v>
      </c>
      <c r="C869" t="s">
        <v>3</v>
      </c>
      <c r="D869" t="s">
        <v>4</v>
      </c>
      <c r="E869" t="s">
        <v>21</v>
      </c>
      <c r="F869" s="6">
        <v>109227086</v>
      </c>
      <c r="G869" t="s">
        <v>430</v>
      </c>
      <c r="H869" t="s">
        <v>14</v>
      </c>
      <c r="I869">
        <v>0</v>
      </c>
      <c r="J869">
        <v>0</v>
      </c>
      <c r="K869">
        <v>0</v>
      </c>
      <c r="L869">
        <v>0</v>
      </c>
      <c r="M869">
        <v>0.21</v>
      </c>
      <c r="N869" s="7" t="e">
        <f>VLOOKUP(F869,HC!A$6:D$100,3,FALSE)</f>
        <v>#N/A</v>
      </c>
      <c r="O869" s="7" t="e">
        <f>VLOOKUP(F869,HC!A$6:D$1000,2,FALSE)</f>
        <v>#N/A</v>
      </c>
      <c r="P869" t="s">
        <v>664</v>
      </c>
      <c r="Q869" s="7" t="s">
        <v>710</v>
      </c>
      <c r="R869" t="s">
        <v>506</v>
      </c>
      <c r="U869">
        <f t="shared" si="15"/>
        <v>1395</v>
      </c>
    </row>
    <row r="870" spans="1:21" ht="37.5" customHeight="1" x14ac:dyDescent="0.25">
      <c r="A870" s="23">
        <v>44988</v>
      </c>
      <c r="B870" s="13">
        <v>9</v>
      </c>
      <c r="C870" t="s">
        <v>3</v>
      </c>
      <c r="D870" t="s">
        <v>4</v>
      </c>
      <c r="E870" t="s">
        <v>5</v>
      </c>
      <c r="F870" s="6">
        <v>112912663</v>
      </c>
      <c r="G870" t="s">
        <v>8</v>
      </c>
      <c r="H870" t="s">
        <v>403</v>
      </c>
      <c r="I870">
        <v>0</v>
      </c>
      <c r="J870">
        <v>0</v>
      </c>
      <c r="K870">
        <v>0</v>
      </c>
      <c r="L870">
        <v>0</v>
      </c>
      <c r="M870">
        <v>0.19</v>
      </c>
      <c r="N870" s="7" t="e">
        <f>VLOOKUP(F870,HC!A$6:D$100,3,FALSE)</f>
        <v>#N/A</v>
      </c>
      <c r="O870" s="7" t="e">
        <f>VLOOKUP(F870,HC!A$6:D$1000,2,FALSE)</f>
        <v>#N/A</v>
      </c>
      <c r="P870" t="s">
        <v>662</v>
      </c>
      <c r="Q870" s="7" t="s">
        <v>691</v>
      </c>
      <c r="R870" t="s">
        <v>15</v>
      </c>
      <c r="U870">
        <f t="shared" si="15"/>
        <v>1395</v>
      </c>
    </row>
    <row r="871" spans="1:21" ht="37.5" customHeight="1" x14ac:dyDescent="0.25">
      <c r="A871" s="23">
        <v>44988</v>
      </c>
      <c r="B871" s="13">
        <v>9</v>
      </c>
      <c r="C871" t="s">
        <v>3</v>
      </c>
      <c r="D871" t="s">
        <v>4</v>
      </c>
      <c r="E871" t="s">
        <v>5</v>
      </c>
      <c r="F871" s="6">
        <v>112980843</v>
      </c>
      <c r="G871" t="s">
        <v>619</v>
      </c>
      <c r="H871" t="s">
        <v>44</v>
      </c>
      <c r="I871">
        <v>0</v>
      </c>
      <c r="J871">
        <v>0</v>
      </c>
      <c r="K871">
        <v>0</v>
      </c>
      <c r="L871">
        <v>0</v>
      </c>
      <c r="M871">
        <v>0.26</v>
      </c>
      <c r="N871" s="7" t="str">
        <f>VLOOKUP(F871,HC!A$6:D$100,3,FALSE)</f>
        <v>DA-X0700</v>
      </c>
      <c r="O871" s="7" t="str">
        <f>VLOOKUP(F871,HC!A$6:D$1000,2,FALSE)</f>
        <v>lsisrael</v>
      </c>
      <c r="P871" t="s">
        <v>663</v>
      </c>
      <c r="Q871" s="7" t="s">
        <v>695</v>
      </c>
      <c r="R871" t="s">
        <v>20</v>
      </c>
      <c r="U871">
        <f t="shared" si="15"/>
        <v>10</v>
      </c>
    </row>
    <row r="872" spans="1:21" ht="37.5" customHeight="1" x14ac:dyDescent="0.25">
      <c r="A872" s="23">
        <v>44988</v>
      </c>
      <c r="B872" s="13">
        <v>9</v>
      </c>
      <c r="C872" t="s">
        <v>3</v>
      </c>
      <c r="D872" t="s">
        <v>4</v>
      </c>
      <c r="E872" t="s">
        <v>5</v>
      </c>
      <c r="F872" s="6">
        <v>112984442</v>
      </c>
      <c r="G872" t="s">
        <v>315</v>
      </c>
      <c r="H872" t="s">
        <v>268</v>
      </c>
      <c r="I872">
        <v>0</v>
      </c>
      <c r="J872">
        <v>0</v>
      </c>
      <c r="K872">
        <v>0</v>
      </c>
      <c r="L872">
        <v>0</v>
      </c>
      <c r="M872">
        <v>0.72</v>
      </c>
      <c r="N872" s="7" t="e">
        <f>VLOOKUP(F872,HC!A$6:D$100,3,FALSE)</f>
        <v>#N/A</v>
      </c>
      <c r="O872" s="7" t="e">
        <f>VLOOKUP(F872,HC!A$6:D$1000,2,FALSE)</f>
        <v>#N/A</v>
      </c>
      <c r="P872" t="s">
        <v>664</v>
      </c>
      <c r="Q872" s="7" t="s">
        <v>708</v>
      </c>
      <c r="R872" t="s">
        <v>833</v>
      </c>
      <c r="U872">
        <f t="shared" si="15"/>
        <v>1395</v>
      </c>
    </row>
    <row r="873" spans="1:21" ht="37.5" customHeight="1" x14ac:dyDescent="0.25">
      <c r="A873" s="23">
        <v>44988</v>
      </c>
      <c r="B873" s="13">
        <v>9</v>
      </c>
      <c r="C873" t="s">
        <v>3</v>
      </c>
      <c r="D873" t="s">
        <v>4</v>
      </c>
      <c r="E873" t="s">
        <v>5</v>
      </c>
      <c r="F873" s="6">
        <v>113003971</v>
      </c>
      <c r="G873" t="s">
        <v>284</v>
      </c>
      <c r="H873" t="s">
        <v>268</v>
      </c>
      <c r="I873">
        <v>0</v>
      </c>
      <c r="J873">
        <v>0</v>
      </c>
      <c r="K873">
        <v>0</v>
      </c>
      <c r="L873">
        <v>0</v>
      </c>
      <c r="M873">
        <v>0.13</v>
      </c>
      <c r="N873" s="7" t="e">
        <f>VLOOKUP(F873,HC!A$6:D$100,3,FALSE)</f>
        <v>#N/A</v>
      </c>
      <c r="O873" s="7" t="str">
        <f>VLOOKUP(F873,HC!A$6:D$1000,2,FALSE)</f>
        <v>garamird</v>
      </c>
      <c r="P873" s="7" t="s">
        <v>675</v>
      </c>
      <c r="Q873" s="7"/>
      <c r="R873" t="s">
        <v>362</v>
      </c>
      <c r="U873">
        <f t="shared" si="15"/>
        <v>14</v>
      </c>
    </row>
    <row r="874" spans="1:21" ht="37.5" customHeight="1" x14ac:dyDescent="0.25">
      <c r="A874" s="23">
        <v>44988</v>
      </c>
      <c r="B874" s="13">
        <v>9</v>
      </c>
      <c r="C874" t="s">
        <v>3</v>
      </c>
      <c r="D874" t="s">
        <v>4</v>
      </c>
      <c r="E874" t="s">
        <v>5</v>
      </c>
      <c r="F874" s="6">
        <v>113014007</v>
      </c>
      <c r="G874" t="s">
        <v>379</v>
      </c>
      <c r="H874" t="s">
        <v>7</v>
      </c>
      <c r="I874">
        <v>0</v>
      </c>
      <c r="J874">
        <v>0</v>
      </c>
      <c r="K874">
        <v>0</v>
      </c>
      <c r="L874">
        <v>0</v>
      </c>
      <c r="M874">
        <v>0.7</v>
      </c>
      <c r="N874" s="7" t="e">
        <f>VLOOKUP(F874,HC!A$6:D$100,3,FALSE)</f>
        <v>#N/A</v>
      </c>
      <c r="O874" s="7" t="e">
        <f>VLOOKUP(F874,HC!A$6:D$1000,2,FALSE)</f>
        <v>#N/A</v>
      </c>
      <c r="P874" s="7" t="s">
        <v>661</v>
      </c>
      <c r="Q874" s="7" t="s">
        <v>681</v>
      </c>
      <c r="R874" t="s">
        <v>10</v>
      </c>
      <c r="U874">
        <f t="shared" si="15"/>
        <v>1395</v>
      </c>
    </row>
    <row r="875" spans="1:21" ht="37.5" customHeight="1" x14ac:dyDescent="0.25">
      <c r="A875" s="23">
        <v>44988</v>
      </c>
      <c r="B875" s="13">
        <v>9</v>
      </c>
      <c r="C875" t="s">
        <v>3</v>
      </c>
      <c r="D875" t="s">
        <v>4</v>
      </c>
      <c r="E875" t="s">
        <v>5</v>
      </c>
      <c r="F875" s="6">
        <v>113019042</v>
      </c>
      <c r="G875" t="s">
        <v>655</v>
      </c>
      <c r="H875" t="s">
        <v>14</v>
      </c>
      <c r="I875">
        <v>0</v>
      </c>
      <c r="J875">
        <v>0</v>
      </c>
      <c r="K875">
        <v>0</v>
      </c>
      <c r="L875">
        <v>0</v>
      </c>
      <c r="M875">
        <v>0.28000000000000003</v>
      </c>
      <c r="N875" s="7" t="e">
        <f>VLOOKUP(F875,HC!A$6:D$100,3,FALSE)</f>
        <v>#N/A</v>
      </c>
      <c r="O875" s="7" t="e">
        <f>VLOOKUP(F875,HC!A$6:D$1000,2,FALSE)</f>
        <v>#N/A</v>
      </c>
      <c r="P875" t="s">
        <v>664</v>
      </c>
      <c r="Q875" s="7" t="s">
        <v>710</v>
      </c>
      <c r="R875" t="s">
        <v>506</v>
      </c>
      <c r="U875">
        <f t="shared" si="15"/>
        <v>1395</v>
      </c>
    </row>
    <row r="876" spans="1:21" ht="37.5" customHeight="1" x14ac:dyDescent="0.25">
      <c r="A876" s="23">
        <v>44988</v>
      </c>
      <c r="B876" s="13">
        <v>9</v>
      </c>
      <c r="C876" t="s">
        <v>3</v>
      </c>
      <c r="D876" t="s">
        <v>4</v>
      </c>
      <c r="E876" t="s">
        <v>5</v>
      </c>
      <c r="F876" s="6">
        <v>200404250</v>
      </c>
      <c r="G876" t="s">
        <v>51</v>
      </c>
      <c r="H876" t="s">
        <v>285</v>
      </c>
      <c r="I876">
        <v>0</v>
      </c>
      <c r="J876">
        <v>0</v>
      </c>
      <c r="K876">
        <v>0</v>
      </c>
      <c r="L876">
        <v>0</v>
      </c>
      <c r="M876">
        <v>0.61</v>
      </c>
      <c r="N876" s="7" t="e">
        <f>VLOOKUP(F876,HC!A$6:D$100,3,FALSE)</f>
        <v>#N/A</v>
      </c>
      <c r="O876" s="7" t="str">
        <f>VLOOKUP(F876,HC!A$6:D$1000,2,FALSE)</f>
        <v>xcathurt</v>
      </c>
      <c r="P876" t="s">
        <v>666</v>
      </c>
      <c r="Q876" s="7" t="s">
        <v>768</v>
      </c>
      <c r="R876" t="s">
        <v>834</v>
      </c>
      <c r="U876">
        <f t="shared" si="15"/>
        <v>124</v>
      </c>
    </row>
    <row r="877" spans="1:21" ht="37.5" customHeight="1" x14ac:dyDescent="0.25">
      <c r="A877" s="23">
        <v>44988</v>
      </c>
      <c r="B877" s="13">
        <v>9</v>
      </c>
      <c r="C877" t="s">
        <v>3</v>
      </c>
      <c r="D877" t="s">
        <v>4</v>
      </c>
      <c r="E877" t="s">
        <v>21</v>
      </c>
      <c r="F877" s="6">
        <v>200614224</v>
      </c>
      <c r="G877" t="s">
        <v>322</v>
      </c>
      <c r="H877" t="s">
        <v>17</v>
      </c>
      <c r="I877">
        <v>0</v>
      </c>
      <c r="J877">
        <v>0</v>
      </c>
      <c r="K877">
        <v>0</v>
      </c>
      <c r="L877">
        <v>0</v>
      </c>
      <c r="M877">
        <v>0.16</v>
      </c>
      <c r="N877" s="7" t="e">
        <f>VLOOKUP(F877,HC!A$6:D$100,3,FALSE)</f>
        <v>#N/A</v>
      </c>
      <c r="O877" s="7" t="e">
        <f>VLOOKUP(F877,HC!A$6:D$1000,2,FALSE)</f>
        <v>#N/A</v>
      </c>
      <c r="P877" t="s">
        <v>664</v>
      </c>
      <c r="Q877" s="7" t="s">
        <v>711</v>
      </c>
      <c r="R877" t="s">
        <v>405</v>
      </c>
      <c r="U877">
        <f t="shared" si="15"/>
        <v>1395</v>
      </c>
    </row>
    <row r="878" spans="1:21" ht="37.5" customHeight="1" x14ac:dyDescent="0.25">
      <c r="A878" s="23">
        <v>44988</v>
      </c>
      <c r="B878" s="13">
        <v>9</v>
      </c>
      <c r="C878" t="s">
        <v>3</v>
      </c>
      <c r="D878" t="s">
        <v>4</v>
      </c>
      <c r="E878" t="s">
        <v>21</v>
      </c>
      <c r="F878" s="6">
        <v>200625528</v>
      </c>
      <c r="G878" t="s">
        <v>607</v>
      </c>
      <c r="H878" t="s">
        <v>47</v>
      </c>
      <c r="I878">
        <v>0</v>
      </c>
      <c r="J878">
        <v>0</v>
      </c>
      <c r="K878">
        <v>0</v>
      </c>
      <c r="L878">
        <v>0</v>
      </c>
      <c r="M878">
        <v>0.28999999999999998</v>
      </c>
      <c r="N878" s="7" t="e">
        <f>VLOOKUP(F878,HC!A$6:D$100,3,FALSE)</f>
        <v>#N/A</v>
      </c>
      <c r="O878" s="7" t="str">
        <f>VLOOKUP(F878,HC!A$6:D$1000,2,FALSE)</f>
        <v>olivlizb</v>
      </c>
      <c r="P878" t="s">
        <v>667</v>
      </c>
      <c r="Q878" s="7" t="s">
        <v>306</v>
      </c>
      <c r="R878" t="s">
        <v>821</v>
      </c>
      <c r="U878">
        <f t="shared" si="15"/>
        <v>50</v>
      </c>
    </row>
    <row r="879" spans="1:21" ht="37.5" customHeight="1" x14ac:dyDescent="0.25">
      <c r="A879" s="23">
        <v>44988</v>
      </c>
      <c r="B879" s="13">
        <v>9</v>
      </c>
      <c r="C879" t="s">
        <v>3</v>
      </c>
      <c r="D879" t="s">
        <v>4</v>
      </c>
      <c r="E879" t="s">
        <v>21</v>
      </c>
      <c r="F879" s="6">
        <v>201159079</v>
      </c>
      <c r="G879" t="s">
        <v>816</v>
      </c>
      <c r="H879" t="s">
        <v>559</v>
      </c>
      <c r="I879">
        <v>0</v>
      </c>
      <c r="J879">
        <v>0</v>
      </c>
      <c r="K879">
        <v>0</v>
      </c>
      <c r="L879">
        <v>0</v>
      </c>
      <c r="M879">
        <v>1.61</v>
      </c>
      <c r="N879" s="7" t="e">
        <f>VLOOKUP(F879,HC!A$6:D$100,3,FALSE)</f>
        <v>#N/A</v>
      </c>
      <c r="O879" s="7" t="e">
        <f>VLOOKUP(F879,HC!A$6:D$1000,2,FALSE)</f>
        <v>#N/A</v>
      </c>
      <c r="P879" t="s">
        <v>661</v>
      </c>
      <c r="Q879" s="7" t="s">
        <v>681</v>
      </c>
      <c r="R879" t="s">
        <v>467</v>
      </c>
      <c r="U879">
        <f t="shared" si="15"/>
        <v>1395</v>
      </c>
    </row>
    <row r="880" spans="1:21" ht="37.5" customHeight="1" x14ac:dyDescent="0.25">
      <c r="A880" s="23">
        <v>44989</v>
      </c>
      <c r="B880" s="13">
        <v>9</v>
      </c>
      <c r="C880" t="s">
        <v>3</v>
      </c>
      <c r="D880" t="s">
        <v>4</v>
      </c>
      <c r="E880" t="s">
        <v>5</v>
      </c>
      <c r="F880" s="6">
        <v>113003679</v>
      </c>
      <c r="G880" t="s">
        <v>444</v>
      </c>
      <c r="H880" t="s">
        <v>7</v>
      </c>
      <c r="I880">
        <v>0</v>
      </c>
      <c r="J880">
        <v>0</v>
      </c>
      <c r="K880">
        <v>0</v>
      </c>
      <c r="L880">
        <v>0</v>
      </c>
      <c r="M880">
        <v>0.21</v>
      </c>
      <c r="N880" s="7" t="e">
        <f>VLOOKUP(F880,HC!A$6:D$100,3,FALSE)</f>
        <v>#N/A</v>
      </c>
      <c r="O880" s="7" t="e">
        <f>VLOOKUP(F880,HC!A$6:D$1000,2,FALSE)</f>
        <v>#N/A</v>
      </c>
      <c r="P880" s="7" t="s">
        <v>661</v>
      </c>
      <c r="Q880" s="7" t="s">
        <v>681</v>
      </c>
      <c r="R880" t="s">
        <v>10</v>
      </c>
      <c r="U880">
        <f t="shared" si="15"/>
        <v>1395</v>
      </c>
    </row>
    <row r="881" spans="1:21" ht="37.5" customHeight="1" x14ac:dyDescent="0.25">
      <c r="A881" s="23">
        <v>44989</v>
      </c>
      <c r="B881" s="13">
        <v>9</v>
      </c>
      <c r="C881" t="s">
        <v>3</v>
      </c>
      <c r="D881" t="s">
        <v>4</v>
      </c>
      <c r="E881" t="s">
        <v>5</v>
      </c>
      <c r="F881" s="6">
        <v>113040582</v>
      </c>
      <c r="G881" t="s">
        <v>625</v>
      </c>
      <c r="H881" t="s">
        <v>7</v>
      </c>
      <c r="I881">
        <v>0</v>
      </c>
      <c r="J881">
        <v>0</v>
      </c>
      <c r="K881">
        <v>0</v>
      </c>
      <c r="L881">
        <v>0</v>
      </c>
      <c r="M881">
        <v>0.02</v>
      </c>
      <c r="N881" s="7" t="e">
        <f>VLOOKUP(F881,HC!A$6:D$100,3,FALSE)</f>
        <v>#N/A</v>
      </c>
      <c r="O881" s="7" t="str">
        <f>VLOOKUP(F881,HC!A$6:D$1000,2,FALSE)</f>
        <v>hgerardr</v>
      </c>
      <c r="P881" t="s">
        <v>664</v>
      </c>
      <c r="Q881" s="7" t="s">
        <v>761</v>
      </c>
      <c r="R881" t="s">
        <v>409</v>
      </c>
      <c r="U881">
        <f t="shared" si="15"/>
        <v>15</v>
      </c>
    </row>
    <row r="882" spans="1:21" ht="37.5" customHeight="1" x14ac:dyDescent="0.25">
      <c r="A882" s="23">
        <v>44989</v>
      </c>
      <c r="B882" s="13">
        <v>9</v>
      </c>
      <c r="C882" t="s">
        <v>3</v>
      </c>
      <c r="D882" t="s">
        <v>4</v>
      </c>
      <c r="E882" t="s">
        <v>21</v>
      </c>
      <c r="F882" s="6">
        <v>200589316</v>
      </c>
      <c r="G882" t="s">
        <v>53</v>
      </c>
      <c r="H882" t="s">
        <v>7</v>
      </c>
      <c r="I882">
        <v>0</v>
      </c>
      <c r="J882">
        <v>0</v>
      </c>
      <c r="K882">
        <v>0</v>
      </c>
      <c r="L882">
        <v>0</v>
      </c>
      <c r="M882">
        <v>0.56000000000000005</v>
      </c>
      <c r="N882" s="7" t="e">
        <f>VLOOKUP(F882,HC!A$6:D$100,3,FALSE)</f>
        <v>#N/A</v>
      </c>
      <c r="O882" s="7" t="e">
        <f>VLOOKUP(F882,HC!A$6:D$1000,2,FALSE)</f>
        <v>#N/A</v>
      </c>
      <c r="P882" t="s">
        <v>670</v>
      </c>
      <c r="Q882" s="7" t="s">
        <v>740</v>
      </c>
      <c r="R882" t="s">
        <v>821</v>
      </c>
      <c r="U882">
        <f t="shared" si="15"/>
        <v>1395</v>
      </c>
    </row>
    <row r="883" spans="1:21" ht="37.5" customHeight="1" x14ac:dyDescent="0.25">
      <c r="A883" s="23">
        <v>44989</v>
      </c>
      <c r="B883" s="13">
        <v>9</v>
      </c>
      <c r="C883" t="s">
        <v>3</v>
      </c>
      <c r="D883" t="s">
        <v>4</v>
      </c>
      <c r="E883" t="s">
        <v>21</v>
      </c>
      <c r="F883" s="6">
        <v>201159079</v>
      </c>
      <c r="G883" t="s">
        <v>816</v>
      </c>
      <c r="H883" t="s">
        <v>559</v>
      </c>
      <c r="I883">
        <v>0</v>
      </c>
      <c r="J883">
        <v>0</v>
      </c>
      <c r="K883">
        <v>0</v>
      </c>
      <c r="L883">
        <v>0</v>
      </c>
      <c r="M883">
        <v>0.92</v>
      </c>
      <c r="N883" s="7" t="e">
        <f>VLOOKUP(F883,HC!A$6:D$100,3,FALSE)</f>
        <v>#N/A</v>
      </c>
      <c r="O883" s="7" t="e">
        <f>VLOOKUP(F883,HC!A$6:D$1000,2,FALSE)</f>
        <v>#N/A</v>
      </c>
      <c r="P883" t="s">
        <v>661</v>
      </c>
      <c r="Q883" s="7" t="s">
        <v>700</v>
      </c>
      <c r="R883" t="s">
        <v>467</v>
      </c>
      <c r="U883">
        <f t="shared" si="15"/>
        <v>1395</v>
      </c>
    </row>
    <row r="884" spans="1:21" ht="37.5" customHeight="1" x14ac:dyDescent="0.25">
      <c r="A884" s="23">
        <v>44990</v>
      </c>
      <c r="B884" s="13">
        <v>10</v>
      </c>
      <c r="C884" t="s">
        <v>3</v>
      </c>
      <c r="D884" t="s">
        <v>4</v>
      </c>
      <c r="E884" t="s">
        <v>5</v>
      </c>
      <c r="F884" s="6">
        <v>112971980</v>
      </c>
      <c r="G884" t="s">
        <v>445</v>
      </c>
      <c r="H884" t="s">
        <v>282</v>
      </c>
      <c r="I884">
        <v>0</v>
      </c>
      <c r="J884">
        <v>0</v>
      </c>
      <c r="K884">
        <v>0</v>
      </c>
      <c r="L884">
        <v>0</v>
      </c>
      <c r="M884">
        <v>0.2</v>
      </c>
      <c r="N884" s="7" t="str">
        <f>VLOOKUP(F884,HC!A$6:D$100,3,FALSE)</f>
        <v>DC-X0700</v>
      </c>
      <c r="O884" s="7" t="str">
        <f>VLOOKUP(F884,HC!A$6:D$1000,2,FALSE)</f>
        <v>cdanirom</v>
      </c>
      <c r="P884" t="s">
        <v>662</v>
      </c>
      <c r="Q884" s="7" t="s">
        <v>688</v>
      </c>
      <c r="U884">
        <f t="shared" si="15"/>
        <v>25</v>
      </c>
    </row>
    <row r="885" spans="1:21" ht="37.5" customHeight="1" x14ac:dyDescent="0.25">
      <c r="A885" s="23">
        <v>44990</v>
      </c>
      <c r="B885" s="13">
        <v>10</v>
      </c>
      <c r="C885" t="s">
        <v>3</v>
      </c>
      <c r="D885" t="s">
        <v>4</v>
      </c>
      <c r="E885" t="s">
        <v>5</v>
      </c>
      <c r="F885" s="6">
        <v>112980832</v>
      </c>
      <c r="G885" t="s">
        <v>427</v>
      </c>
      <c r="H885" t="s">
        <v>47</v>
      </c>
      <c r="I885">
        <v>0</v>
      </c>
      <c r="J885">
        <v>0</v>
      </c>
      <c r="K885">
        <v>0</v>
      </c>
      <c r="L885">
        <v>0</v>
      </c>
      <c r="M885">
        <v>0.5</v>
      </c>
      <c r="N885" s="7" t="e">
        <f>VLOOKUP(F885,HC!A$6:D$100,3,FALSE)</f>
        <v>#N/A</v>
      </c>
      <c r="O885" s="7" t="e">
        <f>VLOOKUP(F885,HC!A$6:D$1000,2,FALSE)</f>
        <v>#N/A</v>
      </c>
      <c r="P885" t="s">
        <v>664</v>
      </c>
      <c r="Q885" s="7" t="s">
        <v>708</v>
      </c>
      <c r="U885">
        <f t="shared" si="15"/>
        <v>1395</v>
      </c>
    </row>
    <row r="886" spans="1:21" ht="37.5" customHeight="1" x14ac:dyDescent="0.25">
      <c r="A886" s="23">
        <v>44990</v>
      </c>
      <c r="B886" s="13">
        <v>10</v>
      </c>
      <c r="C886" t="s">
        <v>3</v>
      </c>
      <c r="D886" t="s">
        <v>4</v>
      </c>
      <c r="E886" t="s">
        <v>5</v>
      </c>
      <c r="F886" s="6">
        <v>112981212</v>
      </c>
      <c r="G886" t="s">
        <v>573</v>
      </c>
      <c r="H886" t="s">
        <v>17</v>
      </c>
      <c r="I886">
        <v>0</v>
      </c>
      <c r="J886">
        <v>0</v>
      </c>
      <c r="K886">
        <v>0</v>
      </c>
      <c r="L886">
        <v>0</v>
      </c>
      <c r="M886">
        <v>0.28999999999999998</v>
      </c>
      <c r="N886" s="7" t="e">
        <f>VLOOKUP(F886,HC!A$6:D$100,3,FALSE)</f>
        <v>#N/A</v>
      </c>
      <c r="O886" s="7" t="str">
        <f>VLOOKUP(F886,HC!A$6:D$1000,2,FALSE)</f>
        <v>alysonza</v>
      </c>
      <c r="P886" t="s">
        <v>664</v>
      </c>
      <c r="Q886" s="7" t="s">
        <v>710</v>
      </c>
      <c r="U886">
        <f t="shared" si="15"/>
        <v>23</v>
      </c>
    </row>
    <row r="887" spans="1:21" ht="37.5" customHeight="1" x14ac:dyDescent="0.25">
      <c r="A887" s="23">
        <v>44990</v>
      </c>
      <c r="B887" s="13">
        <v>10</v>
      </c>
      <c r="C887" t="s">
        <v>3</v>
      </c>
      <c r="D887" t="s">
        <v>4</v>
      </c>
      <c r="E887" t="s">
        <v>5</v>
      </c>
      <c r="F887" s="6">
        <v>112984097</v>
      </c>
      <c r="G887" t="s">
        <v>265</v>
      </c>
      <c r="H887" t="s">
        <v>49</v>
      </c>
      <c r="I887">
        <v>0</v>
      </c>
      <c r="J887">
        <v>0</v>
      </c>
      <c r="K887">
        <v>0</v>
      </c>
      <c r="L887">
        <v>0</v>
      </c>
      <c r="M887">
        <v>0.26</v>
      </c>
      <c r="N887" s="7" t="e">
        <f>VLOOKUP(F887,HC!A$6:D$100,3,FALSE)</f>
        <v>#N/A</v>
      </c>
      <c r="O887" s="7" t="e">
        <f>VLOOKUP(F887,HC!A$6:D$1000,2,FALSE)</f>
        <v>#N/A</v>
      </c>
      <c r="P887" t="s">
        <v>663</v>
      </c>
      <c r="Q887" s="7" t="s">
        <v>692</v>
      </c>
      <c r="U887">
        <f t="shared" si="15"/>
        <v>1395</v>
      </c>
    </row>
    <row r="888" spans="1:21" ht="37.5" customHeight="1" x14ac:dyDescent="0.25">
      <c r="A888" s="23">
        <v>44990</v>
      </c>
      <c r="B888" s="13">
        <v>10</v>
      </c>
      <c r="C888" t="s">
        <v>3</v>
      </c>
      <c r="D888" t="s">
        <v>4</v>
      </c>
      <c r="E888" t="s">
        <v>5</v>
      </c>
      <c r="F888" s="6">
        <v>113003679</v>
      </c>
      <c r="G888" t="s">
        <v>444</v>
      </c>
      <c r="H888" t="s">
        <v>7</v>
      </c>
      <c r="I888">
        <v>0</v>
      </c>
      <c r="J888">
        <v>0</v>
      </c>
      <c r="K888">
        <v>0</v>
      </c>
      <c r="L888">
        <v>0</v>
      </c>
      <c r="M888">
        <v>0.21</v>
      </c>
      <c r="N888" s="7" t="e">
        <f>VLOOKUP(F888,HC!A$6:D$100,3,FALSE)</f>
        <v>#N/A</v>
      </c>
      <c r="O888" s="7" t="e">
        <f>VLOOKUP(F888,HC!A$6:D$1000,2,FALSE)</f>
        <v>#N/A</v>
      </c>
      <c r="P888" t="s">
        <v>670</v>
      </c>
      <c r="Q888" s="7" t="s">
        <v>749</v>
      </c>
      <c r="U888">
        <f t="shared" si="15"/>
        <v>1395</v>
      </c>
    </row>
    <row r="889" spans="1:21" ht="37.5" customHeight="1" x14ac:dyDescent="0.25">
      <c r="A889" s="23">
        <v>44990</v>
      </c>
      <c r="B889" s="13">
        <v>10</v>
      </c>
      <c r="C889" t="s">
        <v>3</v>
      </c>
      <c r="D889" t="s">
        <v>4</v>
      </c>
      <c r="E889" t="s">
        <v>5</v>
      </c>
      <c r="F889" s="6">
        <v>113014011</v>
      </c>
      <c r="G889" t="s">
        <v>45</v>
      </c>
      <c r="H889" t="s">
        <v>14</v>
      </c>
      <c r="I889">
        <v>0</v>
      </c>
      <c r="J889">
        <v>0</v>
      </c>
      <c r="K889">
        <v>0</v>
      </c>
      <c r="L889">
        <v>0</v>
      </c>
      <c r="M889">
        <v>0.94</v>
      </c>
      <c r="N889" s="7" t="e">
        <f>VLOOKUP(F889,HC!A$6:D$100,3,FALSE)</f>
        <v>#N/A</v>
      </c>
      <c r="O889" s="7" t="e">
        <f>VLOOKUP(F889,HC!A$6:D$1000,2,FALSE)</f>
        <v>#N/A</v>
      </c>
      <c r="P889" t="s">
        <v>663</v>
      </c>
      <c r="Q889" s="7" t="s">
        <v>692</v>
      </c>
      <c r="U889">
        <f t="shared" si="15"/>
        <v>1395</v>
      </c>
    </row>
    <row r="890" spans="1:21" ht="37.5" customHeight="1" x14ac:dyDescent="0.25">
      <c r="A890" s="23">
        <v>44990</v>
      </c>
      <c r="B890" s="13">
        <v>10</v>
      </c>
      <c r="C890" t="s">
        <v>3</v>
      </c>
      <c r="D890" t="s">
        <v>4</v>
      </c>
      <c r="E890" t="s">
        <v>5</v>
      </c>
      <c r="F890" s="6">
        <v>113014081</v>
      </c>
      <c r="G890" t="s">
        <v>267</v>
      </c>
      <c r="H890" t="s">
        <v>285</v>
      </c>
      <c r="I890">
        <v>0</v>
      </c>
      <c r="J890">
        <v>0</v>
      </c>
      <c r="K890">
        <v>0</v>
      </c>
      <c r="L890">
        <v>0</v>
      </c>
      <c r="M890">
        <v>0.31</v>
      </c>
      <c r="N890" s="7" t="e">
        <f>VLOOKUP(F890,HC!A$6:D$100,3,FALSE)</f>
        <v>#N/A</v>
      </c>
      <c r="O890" s="7" t="str">
        <f>VLOOKUP(F890,HC!A$6:D$1000,2,FALSE)</f>
        <v>fraugene</v>
      </c>
      <c r="P890" t="s">
        <v>663</v>
      </c>
      <c r="Q890" s="7" t="s">
        <v>692</v>
      </c>
      <c r="U890">
        <f t="shared" si="15"/>
        <v>32</v>
      </c>
    </row>
    <row r="891" spans="1:21" ht="37.5" customHeight="1" x14ac:dyDescent="0.25">
      <c r="A891" s="23">
        <v>44990</v>
      </c>
      <c r="B891" s="13">
        <v>10</v>
      </c>
      <c r="C891" t="s">
        <v>3</v>
      </c>
      <c r="D891" t="s">
        <v>4</v>
      </c>
      <c r="E891" t="s">
        <v>5</v>
      </c>
      <c r="F891" s="6">
        <v>113014472</v>
      </c>
      <c r="G891" t="s">
        <v>48</v>
      </c>
      <c r="H891" t="s">
        <v>7</v>
      </c>
      <c r="I891">
        <v>0</v>
      </c>
      <c r="J891">
        <v>0</v>
      </c>
      <c r="K891">
        <v>0</v>
      </c>
      <c r="L891">
        <v>0</v>
      </c>
      <c r="M891">
        <v>0.61</v>
      </c>
      <c r="N891" s="7" t="e">
        <f>VLOOKUP(F891,HC!A$6:D$100,3,FALSE)</f>
        <v>#N/A</v>
      </c>
      <c r="O891" s="7" t="e">
        <f>VLOOKUP(F891,HC!A$6:D$1000,2,FALSE)</f>
        <v>#N/A</v>
      </c>
      <c r="P891" t="s">
        <v>661</v>
      </c>
      <c r="Q891" s="7" t="s">
        <v>759</v>
      </c>
      <c r="U891">
        <f t="shared" si="15"/>
        <v>1395</v>
      </c>
    </row>
    <row r="892" spans="1:21" ht="37.5" customHeight="1" x14ac:dyDescent="0.25">
      <c r="A892" s="23">
        <v>44990</v>
      </c>
      <c r="B892" s="13">
        <v>10</v>
      </c>
      <c r="C892" t="s">
        <v>3</v>
      </c>
      <c r="D892" t="s">
        <v>4</v>
      </c>
      <c r="E892" t="s">
        <v>21</v>
      </c>
      <c r="F892" s="6">
        <v>200534675</v>
      </c>
      <c r="G892" t="s">
        <v>534</v>
      </c>
      <c r="H892" t="s">
        <v>17</v>
      </c>
      <c r="I892">
        <v>0</v>
      </c>
      <c r="J892">
        <v>0</v>
      </c>
      <c r="K892">
        <v>0</v>
      </c>
      <c r="L892">
        <v>0</v>
      </c>
      <c r="M892">
        <v>0.17</v>
      </c>
      <c r="N892" s="7" t="e">
        <f>VLOOKUP(F892,HC!A$6:D$100,3,FALSE)</f>
        <v>#N/A</v>
      </c>
      <c r="O892" s="7" t="str">
        <f>VLOOKUP(F892,HC!A$6:D$1000,2,FALSE)</f>
        <v>juanpmun</v>
      </c>
      <c r="P892" t="s">
        <v>662</v>
      </c>
      <c r="Q892" s="7" t="s">
        <v>757</v>
      </c>
      <c r="U892">
        <f t="shared" si="15"/>
        <v>16</v>
      </c>
    </row>
    <row r="893" spans="1:21" ht="37.5" customHeight="1" x14ac:dyDescent="0.25">
      <c r="A893" s="23">
        <v>44990</v>
      </c>
      <c r="B893" s="13">
        <v>10</v>
      </c>
      <c r="C893" t="s">
        <v>3</v>
      </c>
      <c r="D893" t="s">
        <v>4</v>
      </c>
      <c r="E893" t="s">
        <v>21</v>
      </c>
      <c r="F893" s="6">
        <v>200564845</v>
      </c>
      <c r="G893" t="s">
        <v>440</v>
      </c>
      <c r="H893" t="s">
        <v>285</v>
      </c>
      <c r="I893">
        <v>0</v>
      </c>
      <c r="J893">
        <v>0</v>
      </c>
      <c r="K893">
        <v>0</v>
      </c>
      <c r="L893">
        <v>0</v>
      </c>
      <c r="M893">
        <v>0.31</v>
      </c>
      <c r="N893" s="7" t="e">
        <f>VLOOKUP(F893,HC!A$6:D$100,3,FALSE)</f>
        <v>#N/A</v>
      </c>
      <c r="O893" s="7" t="e">
        <f>VLOOKUP(F893,HC!A$6:D$1000,2,FALSE)</f>
        <v>#N/A</v>
      </c>
      <c r="P893" t="s">
        <v>661</v>
      </c>
      <c r="Q893" s="7" t="s">
        <v>775</v>
      </c>
      <c r="U893">
        <f t="shared" si="15"/>
        <v>1395</v>
      </c>
    </row>
    <row r="894" spans="1:21" ht="37.5" customHeight="1" x14ac:dyDescent="0.25">
      <c r="A894" s="23">
        <v>44990</v>
      </c>
      <c r="B894" s="13">
        <v>10</v>
      </c>
      <c r="C894" t="s">
        <v>3</v>
      </c>
      <c r="D894" t="s">
        <v>4</v>
      </c>
      <c r="E894" t="s">
        <v>21</v>
      </c>
      <c r="F894" s="6">
        <v>200589316</v>
      </c>
      <c r="G894" t="s">
        <v>53</v>
      </c>
      <c r="H894" t="s">
        <v>7</v>
      </c>
      <c r="I894">
        <v>0</v>
      </c>
      <c r="J894">
        <v>0</v>
      </c>
      <c r="K894">
        <v>0</v>
      </c>
      <c r="L894">
        <v>0</v>
      </c>
      <c r="M894">
        <v>0.31</v>
      </c>
      <c r="N894" s="7" t="e">
        <f>VLOOKUP(F894,HC!A$6:D$100,3,FALSE)</f>
        <v>#N/A</v>
      </c>
      <c r="O894" s="7" t="e">
        <f>VLOOKUP(F894,HC!A$6:D$1000,2,FALSE)</f>
        <v>#N/A</v>
      </c>
      <c r="P894" t="s">
        <v>664</v>
      </c>
      <c r="Q894" s="7" t="s">
        <v>708</v>
      </c>
      <c r="U894">
        <f t="shared" si="15"/>
        <v>1395</v>
      </c>
    </row>
    <row r="895" spans="1:21" ht="37.5" customHeight="1" x14ac:dyDescent="0.25">
      <c r="A895" s="23">
        <v>44991</v>
      </c>
      <c r="B895" s="13">
        <v>10</v>
      </c>
      <c r="C895" t="s">
        <v>3</v>
      </c>
      <c r="D895" t="s">
        <v>4</v>
      </c>
      <c r="E895" t="s">
        <v>5</v>
      </c>
      <c r="F895" s="6">
        <v>112912459</v>
      </c>
      <c r="G895" t="s">
        <v>365</v>
      </c>
      <c r="H895" t="s">
        <v>7</v>
      </c>
      <c r="I895">
        <v>0</v>
      </c>
      <c r="J895">
        <v>0</v>
      </c>
      <c r="K895">
        <v>0</v>
      </c>
      <c r="L895">
        <v>0</v>
      </c>
      <c r="M895">
        <v>0.28999999999999998</v>
      </c>
      <c r="N895" s="7" t="e">
        <f>VLOOKUP(F895,HC!A$6:D$100,3,FALSE)</f>
        <v>#N/A</v>
      </c>
      <c r="O895" s="7" t="e">
        <f>VLOOKUP(F895,HC!A$6:D$1000,2,FALSE)</f>
        <v>#N/A</v>
      </c>
      <c r="P895" t="s">
        <v>662</v>
      </c>
      <c r="Q895" s="7" t="s">
        <v>691</v>
      </c>
      <c r="U895">
        <f t="shared" si="15"/>
        <v>1395</v>
      </c>
    </row>
    <row r="896" spans="1:21" ht="37.5" customHeight="1" x14ac:dyDescent="0.25">
      <c r="A896" s="23">
        <v>44991</v>
      </c>
      <c r="B896" s="13">
        <v>10</v>
      </c>
      <c r="C896" t="s">
        <v>3</v>
      </c>
      <c r="D896" t="s">
        <v>4</v>
      </c>
      <c r="E896" t="s">
        <v>5</v>
      </c>
      <c r="F896" s="6">
        <v>112912674</v>
      </c>
      <c r="G896" t="s">
        <v>835</v>
      </c>
      <c r="H896" t="s">
        <v>253</v>
      </c>
      <c r="I896">
        <v>0</v>
      </c>
      <c r="J896">
        <v>0</v>
      </c>
      <c r="K896">
        <v>0</v>
      </c>
      <c r="L896">
        <v>0</v>
      </c>
      <c r="M896">
        <v>0.62</v>
      </c>
      <c r="N896" s="7" t="str">
        <f>VLOOKUP(F896,HC!A$6:D$100,3,FALSE)</f>
        <v>DA-X0700</v>
      </c>
      <c r="O896" s="7" t="str">
        <f>VLOOKUP(F896,HC!A$6:D$1000,2,FALSE)</f>
        <v>rociodro</v>
      </c>
      <c r="P896" t="s">
        <v>661</v>
      </c>
      <c r="Q896" s="7" t="s">
        <v>681</v>
      </c>
      <c r="U896">
        <f t="shared" si="15"/>
        <v>3</v>
      </c>
    </row>
    <row r="897" spans="1:21" ht="37.5" customHeight="1" x14ac:dyDescent="0.25">
      <c r="A897" s="23">
        <v>44991</v>
      </c>
      <c r="B897" s="13">
        <v>10</v>
      </c>
      <c r="C897" t="s">
        <v>3</v>
      </c>
      <c r="D897" t="s">
        <v>4</v>
      </c>
      <c r="E897" t="s">
        <v>5</v>
      </c>
      <c r="F897" s="6">
        <v>112980843</v>
      </c>
      <c r="G897" t="s">
        <v>619</v>
      </c>
      <c r="H897" t="s">
        <v>44</v>
      </c>
      <c r="I897">
        <v>0</v>
      </c>
      <c r="J897">
        <v>0</v>
      </c>
      <c r="K897">
        <v>0</v>
      </c>
      <c r="L897">
        <v>0</v>
      </c>
      <c r="M897">
        <v>0.16</v>
      </c>
      <c r="N897" s="7" t="str">
        <f>VLOOKUP(F897,HC!A$6:D$100,3,FALSE)</f>
        <v>DA-X0700</v>
      </c>
      <c r="O897" s="7" t="str">
        <f>VLOOKUP(F897,HC!A$6:D$1000,2,FALSE)</f>
        <v>lsisrael</v>
      </c>
      <c r="P897" t="s">
        <v>664</v>
      </c>
      <c r="Q897" s="7" t="s">
        <v>708</v>
      </c>
      <c r="U897">
        <f t="shared" si="15"/>
        <v>10</v>
      </c>
    </row>
    <row r="898" spans="1:21" ht="37.5" customHeight="1" x14ac:dyDescent="0.25">
      <c r="A898" s="23">
        <v>44991</v>
      </c>
      <c r="B898" s="13">
        <v>10</v>
      </c>
      <c r="C898" t="s">
        <v>3</v>
      </c>
      <c r="D898" t="s">
        <v>4</v>
      </c>
      <c r="E898" t="s">
        <v>5</v>
      </c>
      <c r="F898" s="6">
        <v>112980899</v>
      </c>
      <c r="G898" t="s">
        <v>396</v>
      </c>
      <c r="H898" t="s">
        <v>44</v>
      </c>
      <c r="I898">
        <v>0</v>
      </c>
      <c r="J898">
        <v>0</v>
      </c>
      <c r="K898">
        <v>0</v>
      </c>
      <c r="L898">
        <v>0</v>
      </c>
      <c r="M898">
        <v>0.51</v>
      </c>
      <c r="N898" s="7" t="str">
        <f>VLOOKUP(F898,HC!A$6:D$100,3,FALSE)</f>
        <v>NF-X1900</v>
      </c>
      <c r="O898" s="7" t="str">
        <f>VLOOKUP(F898,HC!A$6:D$1000,2,FALSE)</f>
        <v>aravilac</v>
      </c>
      <c r="P898" t="s">
        <v>670</v>
      </c>
      <c r="Q898" s="7" t="s">
        <v>764</v>
      </c>
      <c r="U898">
        <f t="shared" si="15"/>
        <v>33</v>
      </c>
    </row>
    <row r="899" spans="1:21" ht="37.5" customHeight="1" x14ac:dyDescent="0.25">
      <c r="A899" s="23">
        <v>44991</v>
      </c>
      <c r="B899" s="13">
        <v>10</v>
      </c>
      <c r="C899" t="s">
        <v>3</v>
      </c>
      <c r="D899" t="s">
        <v>4</v>
      </c>
      <c r="E899" t="s">
        <v>5</v>
      </c>
      <c r="F899" s="6">
        <v>112981205</v>
      </c>
      <c r="G899" t="s">
        <v>836</v>
      </c>
      <c r="H899" t="s">
        <v>49</v>
      </c>
      <c r="I899">
        <v>0</v>
      </c>
      <c r="J899">
        <v>0</v>
      </c>
      <c r="K899">
        <v>0</v>
      </c>
      <c r="L899">
        <v>0</v>
      </c>
      <c r="M899">
        <v>0.18</v>
      </c>
      <c r="N899" s="7" t="e">
        <f>VLOOKUP(F899,HC!A$6:D$100,3,FALSE)</f>
        <v>#N/A</v>
      </c>
      <c r="O899" s="7" t="e">
        <f>VLOOKUP(F899,HC!A$6:D$1000,2,FALSE)</f>
        <v>#N/A</v>
      </c>
      <c r="P899" t="s">
        <v>664</v>
      </c>
      <c r="Q899" s="7" t="s">
        <v>715</v>
      </c>
      <c r="U899">
        <f t="shared" ref="U899:U962" si="16">COUNTIF(O$2:O$4999,O899)</f>
        <v>1395</v>
      </c>
    </row>
    <row r="900" spans="1:21" ht="37.5" customHeight="1" x14ac:dyDescent="0.25">
      <c r="A900" s="23">
        <v>44991</v>
      </c>
      <c r="B900" s="13">
        <v>10</v>
      </c>
      <c r="C900" t="s">
        <v>3</v>
      </c>
      <c r="D900" t="s">
        <v>4</v>
      </c>
      <c r="E900" t="s">
        <v>5</v>
      </c>
      <c r="F900" s="6">
        <v>113014011</v>
      </c>
      <c r="G900" t="s">
        <v>45</v>
      </c>
      <c r="H900" t="s">
        <v>14</v>
      </c>
      <c r="I900">
        <v>0</v>
      </c>
      <c r="J900">
        <v>0</v>
      </c>
      <c r="K900">
        <v>0</v>
      </c>
      <c r="L900">
        <v>0</v>
      </c>
      <c r="M900">
        <v>0.54</v>
      </c>
      <c r="N900" s="7" t="e">
        <f>VLOOKUP(F900,HC!A$6:D$100,3,FALSE)</f>
        <v>#N/A</v>
      </c>
      <c r="O900" s="7" t="e">
        <f>VLOOKUP(F900,HC!A$6:D$1000,2,FALSE)</f>
        <v>#N/A</v>
      </c>
      <c r="P900" t="s">
        <v>663</v>
      </c>
      <c r="Q900" s="7" t="s">
        <v>692</v>
      </c>
      <c r="U900">
        <f t="shared" si="16"/>
        <v>1395</v>
      </c>
    </row>
    <row r="901" spans="1:21" ht="37.5" customHeight="1" x14ac:dyDescent="0.25">
      <c r="A901" s="23">
        <v>44991</v>
      </c>
      <c r="B901" s="13">
        <v>10</v>
      </c>
      <c r="C901" t="s">
        <v>3</v>
      </c>
      <c r="D901" t="s">
        <v>4</v>
      </c>
      <c r="E901" t="s">
        <v>5</v>
      </c>
      <c r="F901" s="6">
        <v>113014081</v>
      </c>
      <c r="G901" t="s">
        <v>267</v>
      </c>
      <c r="H901" t="s">
        <v>285</v>
      </c>
      <c r="I901">
        <v>0</v>
      </c>
      <c r="J901">
        <v>0</v>
      </c>
      <c r="K901">
        <v>0</v>
      </c>
      <c r="L901">
        <v>0</v>
      </c>
      <c r="M901">
        <v>0.17</v>
      </c>
      <c r="N901" s="7" t="e">
        <f>VLOOKUP(F901,HC!A$6:D$100,3,FALSE)</f>
        <v>#N/A</v>
      </c>
      <c r="O901" s="7" t="str">
        <f>VLOOKUP(F901,HC!A$6:D$1000,2,FALSE)</f>
        <v>fraugene</v>
      </c>
      <c r="P901" t="s">
        <v>662</v>
      </c>
      <c r="Q901" s="7" t="s">
        <v>691</v>
      </c>
      <c r="U901">
        <f t="shared" si="16"/>
        <v>32</v>
      </c>
    </row>
    <row r="902" spans="1:21" ht="37.5" customHeight="1" x14ac:dyDescent="0.25">
      <c r="A902" s="23">
        <v>44991</v>
      </c>
      <c r="B902" s="13">
        <v>10</v>
      </c>
      <c r="C902" t="s">
        <v>3</v>
      </c>
      <c r="D902" t="s">
        <v>4</v>
      </c>
      <c r="E902" t="s">
        <v>5</v>
      </c>
      <c r="F902" s="6">
        <v>113019042</v>
      </c>
      <c r="G902" t="s">
        <v>655</v>
      </c>
      <c r="H902" t="s">
        <v>14</v>
      </c>
      <c r="I902">
        <v>0</v>
      </c>
      <c r="J902">
        <v>0</v>
      </c>
      <c r="K902">
        <v>0</v>
      </c>
      <c r="L902">
        <v>0</v>
      </c>
      <c r="M902">
        <v>0.19</v>
      </c>
      <c r="N902" s="7" t="e">
        <f>VLOOKUP(F902,HC!A$6:D$100,3,FALSE)</f>
        <v>#N/A</v>
      </c>
      <c r="O902" s="7" t="e">
        <f>VLOOKUP(F902,HC!A$6:D$1000,2,FALSE)</f>
        <v>#N/A</v>
      </c>
      <c r="P902" t="s">
        <v>662</v>
      </c>
      <c r="Q902" s="7" t="s">
        <v>691</v>
      </c>
      <c r="U902">
        <f t="shared" si="16"/>
        <v>1395</v>
      </c>
    </row>
    <row r="903" spans="1:21" ht="37.5" customHeight="1" x14ac:dyDescent="0.25">
      <c r="A903" s="23">
        <v>44991</v>
      </c>
      <c r="B903" s="13">
        <v>10</v>
      </c>
      <c r="C903" t="s">
        <v>3</v>
      </c>
      <c r="D903" t="s">
        <v>4</v>
      </c>
      <c r="E903" t="s">
        <v>5</v>
      </c>
      <c r="F903" s="6">
        <v>113040582</v>
      </c>
      <c r="G903" t="s">
        <v>625</v>
      </c>
      <c r="H903" t="s">
        <v>7</v>
      </c>
      <c r="I903">
        <v>0</v>
      </c>
      <c r="J903">
        <v>0</v>
      </c>
      <c r="K903">
        <v>0</v>
      </c>
      <c r="L903">
        <v>0</v>
      </c>
      <c r="M903">
        <v>0.23</v>
      </c>
      <c r="N903" s="7" t="e">
        <f>VLOOKUP(F903,HC!A$6:D$100,3,FALSE)</f>
        <v>#N/A</v>
      </c>
      <c r="O903" s="7" t="str">
        <f>VLOOKUP(F903,HC!A$6:D$1000,2,FALSE)</f>
        <v>hgerardr</v>
      </c>
      <c r="P903" t="s">
        <v>664</v>
      </c>
      <c r="Q903" s="7" t="s">
        <v>710</v>
      </c>
      <c r="U903">
        <f t="shared" si="16"/>
        <v>15</v>
      </c>
    </row>
    <row r="904" spans="1:21" ht="37.5" customHeight="1" x14ac:dyDescent="0.25">
      <c r="A904" s="23">
        <v>44991</v>
      </c>
      <c r="B904" s="13">
        <v>10</v>
      </c>
      <c r="C904" t="s">
        <v>3</v>
      </c>
      <c r="D904" t="s">
        <v>4</v>
      </c>
      <c r="E904" t="s">
        <v>5</v>
      </c>
      <c r="F904" s="6">
        <v>113101453</v>
      </c>
      <c r="G904" t="s">
        <v>50</v>
      </c>
      <c r="H904" t="s">
        <v>49</v>
      </c>
      <c r="I904">
        <v>0</v>
      </c>
      <c r="J904">
        <v>0</v>
      </c>
      <c r="K904">
        <v>0</v>
      </c>
      <c r="L904">
        <v>0</v>
      </c>
      <c r="M904">
        <v>0.37</v>
      </c>
      <c r="N904" s="7" t="e">
        <f>VLOOKUP(F904,HC!A$6:D$100,3,FALSE)</f>
        <v>#N/A</v>
      </c>
      <c r="O904" s="7" t="str">
        <f>VLOOKUP(F904,HC!A$6:D$1000,2,FALSE)</f>
        <v>qisgeova</v>
      </c>
      <c r="P904" t="s">
        <v>662</v>
      </c>
      <c r="Q904" s="7" t="s">
        <v>687</v>
      </c>
      <c r="U904">
        <f t="shared" si="16"/>
        <v>57</v>
      </c>
    </row>
    <row r="905" spans="1:21" ht="37.5" customHeight="1" x14ac:dyDescent="0.25">
      <c r="A905" s="23">
        <v>44991</v>
      </c>
      <c r="B905" s="13">
        <v>10</v>
      </c>
      <c r="C905" t="s">
        <v>3</v>
      </c>
      <c r="D905" t="s">
        <v>4</v>
      </c>
      <c r="E905" t="s">
        <v>5</v>
      </c>
      <c r="F905" s="6">
        <v>200404250</v>
      </c>
      <c r="G905" t="s">
        <v>51</v>
      </c>
      <c r="H905" t="s">
        <v>285</v>
      </c>
      <c r="I905">
        <v>0</v>
      </c>
      <c r="J905">
        <v>0</v>
      </c>
      <c r="K905">
        <v>0</v>
      </c>
      <c r="L905">
        <v>0</v>
      </c>
      <c r="M905">
        <v>1.25</v>
      </c>
      <c r="N905" s="7" t="e">
        <f>VLOOKUP(F905,HC!A$6:D$100,3,FALSE)</f>
        <v>#N/A</v>
      </c>
      <c r="O905" s="7" t="str">
        <f>VLOOKUP(F905,HC!A$6:D$1000,2,FALSE)</f>
        <v>xcathurt</v>
      </c>
      <c r="P905" t="s">
        <v>662</v>
      </c>
      <c r="Q905" s="7" t="s">
        <v>785</v>
      </c>
      <c r="U905">
        <f t="shared" si="16"/>
        <v>124</v>
      </c>
    </row>
    <row r="906" spans="1:21" ht="37.5" customHeight="1" x14ac:dyDescent="0.25">
      <c r="A906" s="23">
        <v>44991</v>
      </c>
      <c r="B906" s="13">
        <v>10</v>
      </c>
      <c r="C906" t="s">
        <v>3</v>
      </c>
      <c r="D906" t="s">
        <v>4</v>
      </c>
      <c r="E906" t="s">
        <v>21</v>
      </c>
      <c r="F906" s="6">
        <v>200534675</v>
      </c>
      <c r="G906" t="s">
        <v>534</v>
      </c>
      <c r="H906" t="s">
        <v>17</v>
      </c>
      <c r="I906">
        <v>0</v>
      </c>
      <c r="J906">
        <v>0</v>
      </c>
      <c r="K906">
        <v>0</v>
      </c>
      <c r="L906">
        <v>0</v>
      </c>
      <c r="M906">
        <v>0.12</v>
      </c>
      <c r="N906" s="7" t="e">
        <f>VLOOKUP(F906,HC!A$6:D$100,3,FALSE)</f>
        <v>#N/A</v>
      </c>
      <c r="O906" s="7" t="str">
        <f>VLOOKUP(F906,HC!A$6:D$1000,2,FALSE)</f>
        <v>juanpmun</v>
      </c>
      <c r="P906" t="s">
        <v>662</v>
      </c>
      <c r="Q906" s="7" t="s">
        <v>757</v>
      </c>
      <c r="U906">
        <f t="shared" si="16"/>
        <v>16</v>
      </c>
    </row>
    <row r="907" spans="1:21" ht="37.5" customHeight="1" x14ac:dyDescent="0.25">
      <c r="A907" s="23">
        <v>44991</v>
      </c>
      <c r="B907" s="13">
        <v>10</v>
      </c>
      <c r="C907" t="s">
        <v>3</v>
      </c>
      <c r="D907" t="s">
        <v>4</v>
      </c>
      <c r="E907" t="s">
        <v>21</v>
      </c>
      <c r="F907" s="6">
        <v>200564845</v>
      </c>
      <c r="G907" t="s">
        <v>440</v>
      </c>
      <c r="H907" t="s">
        <v>285</v>
      </c>
      <c r="I907">
        <v>0</v>
      </c>
      <c r="J907">
        <v>0</v>
      </c>
      <c r="K907">
        <v>0</v>
      </c>
      <c r="L907">
        <v>0</v>
      </c>
      <c r="M907">
        <v>0.27</v>
      </c>
      <c r="N907" s="7" t="e">
        <f>VLOOKUP(F907,HC!A$6:D$100,3,FALSE)</f>
        <v>#N/A</v>
      </c>
      <c r="O907" s="7" t="e">
        <f>VLOOKUP(F907,HC!A$6:D$1000,2,FALSE)</f>
        <v>#N/A</v>
      </c>
      <c r="P907" t="s">
        <v>661</v>
      </c>
      <c r="Q907" s="7" t="s">
        <v>759</v>
      </c>
      <c r="U907">
        <f t="shared" si="16"/>
        <v>1395</v>
      </c>
    </row>
    <row r="908" spans="1:21" ht="37.5" customHeight="1" x14ac:dyDescent="0.25">
      <c r="A908" s="23">
        <v>44992</v>
      </c>
      <c r="B908" s="13">
        <v>10</v>
      </c>
      <c r="C908" t="s">
        <v>3</v>
      </c>
      <c r="D908" t="s">
        <v>4</v>
      </c>
      <c r="E908" t="s">
        <v>21</v>
      </c>
      <c r="F908" s="6">
        <v>109227086</v>
      </c>
      <c r="G908" t="s">
        <v>430</v>
      </c>
      <c r="H908" t="s">
        <v>14</v>
      </c>
      <c r="I908">
        <v>0</v>
      </c>
      <c r="J908">
        <v>0</v>
      </c>
      <c r="K908">
        <v>0</v>
      </c>
      <c r="L908">
        <v>0</v>
      </c>
      <c r="M908">
        <v>0.22</v>
      </c>
      <c r="N908" s="7" t="e">
        <f>VLOOKUP(F908,HC!A$6:D$100,3,FALSE)</f>
        <v>#N/A</v>
      </c>
      <c r="O908" s="7" t="e">
        <f>VLOOKUP(F908,HC!A$6:D$1000,2,FALSE)</f>
        <v>#N/A</v>
      </c>
      <c r="P908" t="s">
        <v>662</v>
      </c>
      <c r="Q908" s="7" t="s">
        <v>757</v>
      </c>
      <c r="U908">
        <f t="shared" si="16"/>
        <v>1395</v>
      </c>
    </row>
    <row r="909" spans="1:21" ht="37.5" customHeight="1" x14ac:dyDescent="0.25">
      <c r="A909" s="23">
        <v>44992</v>
      </c>
      <c r="B909" s="13">
        <v>10</v>
      </c>
      <c r="C909" t="s">
        <v>3</v>
      </c>
      <c r="D909" t="s">
        <v>4</v>
      </c>
      <c r="E909" t="s">
        <v>5</v>
      </c>
      <c r="F909" s="6">
        <v>111434478</v>
      </c>
      <c r="G909" t="s">
        <v>331</v>
      </c>
      <c r="H909" t="s">
        <v>253</v>
      </c>
      <c r="I909">
        <v>0</v>
      </c>
      <c r="J909">
        <v>0</v>
      </c>
      <c r="K909">
        <v>0</v>
      </c>
      <c r="L909">
        <v>0</v>
      </c>
      <c r="M909">
        <v>0.73</v>
      </c>
      <c r="N909" s="7" t="str">
        <f>VLOOKUP(F909,HC!A$6:D$100,3,FALSE)</f>
        <v>DA-X0700</v>
      </c>
      <c r="O909" s="7" t="str">
        <f>VLOOKUP(F909,HC!A$6:D$1000,2,FALSE)</f>
        <v>juanapam</v>
      </c>
      <c r="P909" t="s">
        <v>664</v>
      </c>
      <c r="Q909" s="7" t="s">
        <v>710</v>
      </c>
      <c r="U909">
        <f t="shared" si="16"/>
        <v>32</v>
      </c>
    </row>
    <row r="910" spans="1:21" ht="37.5" customHeight="1" x14ac:dyDescent="0.25">
      <c r="A910" s="23">
        <v>44992</v>
      </c>
      <c r="B910" s="13">
        <v>10</v>
      </c>
      <c r="C910" t="s">
        <v>3</v>
      </c>
      <c r="D910" t="s">
        <v>4</v>
      </c>
      <c r="E910" t="s">
        <v>5</v>
      </c>
      <c r="F910" s="6">
        <v>112912397</v>
      </c>
      <c r="G910" t="s">
        <v>489</v>
      </c>
      <c r="H910" t="s">
        <v>332</v>
      </c>
      <c r="I910">
        <v>0</v>
      </c>
      <c r="J910">
        <v>0</v>
      </c>
      <c r="K910">
        <v>0</v>
      </c>
      <c r="L910">
        <v>0</v>
      </c>
      <c r="M910">
        <v>0.42</v>
      </c>
      <c r="N910" s="7" t="str">
        <f>VLOOKUP(F910,HC!A$6:D$100,3,FALSE)</f>
        <v>D5-X0700</v>
      </c>
      <c r="O910" s="7" t="str">
        <f>VLOOKUP(F910,HC!A$6:D$1000,2,FALSE)</f>
        <v>tjuandne</v>
      </c>
      <c r="P910" t="s">
        <v>664</v>
      </c>
      <c r="Q910" s="7" t="s">
        <v>777</v>
      </c>
      <c r="U910">
        <f t="shared" si="16"/>
        <v>5</v>
      </c>
    </row>
    <row r="911" spans="1:21" ht="37.5" customHeight="1" x14ac:dyDescent="0.25">
      <c r="A911" s="23">
        <v>44992</v>
      </c>
      <c r="B911" s="13">
        <v>10</v>
      </c>
      <c r="C911" t="s">
        <v>3</v>
      </c>
      <c r="D911" t="s">
        <v>4</v>
      </c>
      <c r="E911" t="s">
        <v>5</v>
      </c>
      <c r="F911" s="6">
        <v>112912459</v>
      </c>
      <c r="G911" t="s">
        <v>365</v>
      </c>
      <c r="H911" t="s">
        <v>7</v>
      </c>
      <c r="I911">
        <v>0</v>
      </c>
      <c r="J911">
        <v>0</v>
      </c>
      <c r="K911">
        <v>0</v>
      </c>
      <c r="L911">
        <v>0</v>
      </c>
      <c r="M911">
        <v>0.49</v>
      </c>
      <c r="N911" s="7" t="e">
        <f>VLOOKUP(F911,HC!A$6:D$100,3,FALSE)</f>
        <v>#N/A</v>
      </c>
      <c r="O911" s="7" t="e">
        <f>VLOOKUP(F911,HC!A$6:D$1000,2,FALSE)</f>
        <v>#N/A</v>
      </c>
      <c r="P911" t="s">
        <v>662</v>
      </c>
      <c r="Q911" s="7" t="s">
        <v>691</v>
      </c>
      <c r="U911">
        <f t="shared" si="16"/>
        <v>1395</v>
      </c>
    </row>
    <row r="912" spans="1:21" ht="37.5" customHeight="1" x14ac:dyDescent="0.25">
      <c r="A912" s="23">
        <v>44992</v>
      </c>
      <c r="B912" s="13">
        <v>10</v>
      </c>
      <c r="C912" t="s">
        <v>3</v>
      </c>
      <c r="D912" t="s">
        <v>4</v>
      </c>
      <c r="E912" t="s">
        <v>5</v>
      </c>
      <c r="F912" s="6">
        <v>112912507</v>
      </c>
      <c r="G912" t="s">
        <v>837</v>
      </c>
      <c r="H912" t="s">
        <v>403</v>
      </c>
      <c r="I912">
        <v>0</v>
      </c>
      <c r="J912">
        <v>0</v>
      </c>
      <c r="K912">
        <v>0</v>
      </c>
      <c r="L912">
        <v>0</v>
      </c>
      <c r="M912">
        <v>0.24</v>
      </c>
      <c r="N912" s="7" t="str">
        <f>VLOOKUP(F912,HC!A$6:D$100,3,FALSE)</f>
        <v>DA-X0700</v>
      </c>
      <c r="O912" s="7" t="str">
        <f>VLOOKUP(F912,HC!A$6:D$1000,2,FALSE)</f>
        <v>hvcharli</v>
      </c>
      <c r="P912" t="s">
        <v>661</v>
      </c>
      <c r="Q912" s="7" t="s">
        <v>681</v>
      </c>
      <c r="U912">
        <f t="shared" si="16"/>
        <v>4</v>
      </c>
    </row>
    <row r="913" spans="1:21" ht="37.5" customHeight="1" x14ac:dyDescent="0.25">
      <c r="A913" s="23">
        <v>44992</v>
      </c>
      <c r="B913" s="13">
        <v>10</v>
      </c>
      <c r="C913" t="s">
        <v>3</v>
      </c>
      <c r="D913" t="s">
        <v>4</v>
      </c>
      <c r="E913" t="s">
        <v>5</v>
      </c>
      <c r="F913" s="6">
        <v>112912663</v>
      </c>
      <c r="G913" t="s">
        <v>8</v>
      </c>
      <c r="H913" t="s">
        <v>403</v>
      </c>
      <c r="I913">
        <v>0</v>
      </c>
      <c r="J913">
        <v>0</v>
      </c>
      <c r="K913">
        <v>0</v>
      </c>
      <c r="L913">
        <v>0</v>
      </c>
      <c r="M913">
        <v>0.56000000000000005</v>
      </c>
      <c r="N913" s="7" t="e">
        <f>VLOOKUP(F913,HC!A$6:D$100,3,FALSE)</f>
        <v>#N/A</v>
      </c>
      <c r="O913" s="7" t="e">
        <f>VLOOKUP(F913,HC!A$6:D$1000,2,FALSE)</f>
        <v>#N/A</v>
      </c>
      <c r="P913" t="s">
        <v>664</v>
      </c>
      <c r="Q913" s="7" t="s">
        <v>761</v>
      </c>
      <c r="U913">
        <f t="shared" si="16"/>
        <v>1395</v>
      </c>
    </row>
    <row r="914" spans="1:21" ht="37.5" customHeight="1" x14ac:dyDescent="0.25">
      <c r="A914" s="23">
        <v>44992</v>
      </c>
      <c r="B914" s="13">
        <v>10</v>
      </c>
      <c r="C914" t="s">
        <v>3</v>
      </c>
      <c r="D914" t="s">
        <v>4</v>
      </c>
      <c r="E914" t="s">
        <v>5</v>
      </c>
      <c r="F914" s="6">
        <v>112920664</v>
      </c>
      <c r="G914" t="s">
        <v>474</v>
      </c>
      <c r="H914" t="s">
        <v>250</v>
      </c>
      <c r="I914">
        <v>0</v>
      </c>
      <c r="J914">
        <v>0</v>
      </c>
      <c r="K914">
        <v>0</v>
      </c>
      <c r="L914">
        <v>0</v>
      </c>
      <c r="M914">
        <v>0.34</v>
      </c>
      <c r="N914" s="7" t="str">
        <f>VLOOKUP(F914,HC!A$6:D$100,3,FALSE)</f>
        <v>DA-X0700</v>
      </c>
      <c r="O914" s="7" t="str">
        <f>VLOOKUP(F914,HC!A$6:D$1000,2,FALSE)</f>
        <v>samualbg</v>
      </c>
      <c r="P914" t="s">
        <v>663</v>
      </c>
      <c r="Q914" s="7" t="s">
        <v>692</v>
      </c>
      <c r="U914">
        <f t="shared" si="16"/>
        <v>7</v>
      </c>
    </row>
    <row r="915" spans="1:21" ht="37.5" customHeight="1" x14ac:dyDescent="0.25">
      <c r="A915" s="23">
        <v>44992</v>
      </c>
      <c r="B915" s="13">
        <v>10</v>
      </c>
      <c r="C915" t="s">
        <v>3</v>
      </c>
      <c r="D915" t="s">
        <v>4</v>
      </c>
      <c r="E915" t="s">
        <v>5</v>
      </c>
      <c r="F915" s="6">
        <v>112971965</v>
      </c>
      <c r="G915" t="s">
        <v>327</v>
      </c>
      <c r="H915" t="s">
        <v>298</v>
      </c>
      <c r="I915">
        <v>0</v>
      </c>
      <c r="J915">
        <v>0</v>
      </c>
      <c r="K915">
        <v>0</v>
      </c>
      <c r="L915">
        <v>0</v>
      </c>
      <c r="M915">
        <v>0.63</v>
      </c>
      <c r="N915" s="7" t="e">
        <f>VLOOKUP(F915,HC!A$6:D$100,3,FALSE)</f>
        <v>#N/A</v>
      </c>
      <c r="O915" s="7" t="e">
        <f>VLOOKUP(F915,HC!A$6:D$1000,2,FALSE)</f>
        <v>#N/A</v>
      </c>
      <c r="P915" t="s">
        <v>664</v>
      </c>
      <c r="Q915" s="7" t="s">
        <v>717</v>
      </c>
      <c r="U915">
        <f t="shared" si="16"/>
        <v>1395</v>
      </c>
    </row>
    <row r="916" spans="1:21" ht="37.5" customHeight="1" x14ac:dyDescent="0.25">
      <c r="A916" s="23">
        <v>44992</v>
      </c>
      <c r="B916" s="13">
        <v>10</v>
      </c>
      <c r="C916" t="s">
        <v>3</v>
      </c>
      <c r="D916" t="s">
        <v>4</v>
      </c>
      <c r="E916" t="s">
        <v>5</v>
      </c>
      <c r="F916" s="6">
        <v>112981196</v>
      </c>
      <c r="G916" t="s">
        <v>328</v>
      </c>
      <c r="H916" t="s">
        <v>47</v>
      </c>
      <c r="I916">
        <v>0</v>
      </c>
      <c r="J916">
        <v>0</v>
      </c>
      <c r="K916">
        <v>0</v>
      </c>
      <c r="L916">
        <v>0</v>
      </c>
      <c r="M916">
        <v>0.15</v>
      </c>
      <c r="N916" s="7" t="e">
        <f>VLOOKUP(F916,HC!A$6:D$100,3,FALSE)</f>
        <v>#N/A</v>
      </c>
      <c r="O916" s="7" t="str">
        <f>VLOOKUP(F916,HC!A$6:D$1000,2,FALSE)</f>
        <v>vandgome</v>
      </c>
      <c r="P916" t="s">
        <v>661</v>
      </c>
      <c r="Q916" s="7" t="s">
        <v>681</v>
      </c>
      <c r="U916">
        <f t="shared" si="16"/>
        <v>24</v>
      </c>
    </row>
    <row r="917" spans="1:21" ht="37.5" customHeight="1" x14ac:dyDescent="0.25">
      <c r="A917" s="23">
        <v>44992</v>
      </c>
      <c r="B917" s="13">
        <v>10</v>
      </c>
      <c r="C917" t="s">
        <v>3</v>
      </c>
      <c r="D917" t="s">
        <v>4</v>
      </c>
      <c r="E917" t="s">
        <v>5</v>
      </c>
      <c r="F917" s="6">
        <v>112981205</v>
      </c>
      <c r="G917" t="s">
        <v>836</v>
      </c>
      <c r="H917" t="s">
        <v>49</v>
      </c>
      <c r="I917">
        <v>0</v>
      </c>
      <c r="J917">
        <v>0</v>
      </c>
      <c r="K917">
        <v>0</v>
      </c>
      <c r="L917">
        <v>0</v>
      </c>
      <c r="M917">
        <v>0.72</v>
      </c>
      <c r="N917" s="7" t="e">
        <f>VLOOKUP(F917,HC!A$6:D$100,3,FALSE)</f>
        <v>#N/A</v>
      </c>
      <c r="O917" s="7" t="e">
        <f>VLOOKUP(F917,HC!A$6:D$1000,2,FALSE)</f>
        <v>#N/A</v>
      </c>
      <c r="P917" t="s">
        <v>664</v>
      </c>
      <c r="Q917" s="7" t="s">
        <v>715</v>
      </c>
      <c r="U917">
        <f t="shared" si="16"/>
        <v>1395</v>
      </c>
    </row>
    <row r="918" spans="1:21" ht="37.5" customHeight="1" x14ac:dyDescent="0.25">
      <c r="A918" s="23">
        <v>44992</v>
      </c>
      <c r="B918" s="13">
        <v>10</v>
      </c>
      <c r="C918" t="s">
        <v>3</v>
      </c>
      <c r="D918" t="s">
        <v>4</v>
      </c>
      <c r="E918" t="s">
        <v>5</v>
      </c>
      <c r="F918" s="6">
        <v>113014081</v>
      </c>
      <c r="G918" t="s">
        <v>267</v>
      </c>
      <c r="H918" t="s">
        <v>285</v>
      </c>
      <c r="I918">
        <v>0</v>
      </c>
      <c r="J918">
        <v>0</v>
      </c>
      <c r="K918">
        <v>0</v>
      </c>
      <c r="L918">
        <v>0</v>
      </c>
      <c r="M918">
        <v>0.09</v>
      </c>
      <c r="N918" s="7" t="e">
        <f>VLOOKUP(F918,HC!A$6:D$100,3,FALSE)</f>
        <v>#N/A</v>
      </c>
      <c r="O918" s="7" t="str">
        <f>VLOOKUP(F918,HC!A$6:D$1000,2,FALSE)</f>
        <v>fraugene</v>
      </c>
      <c r="P918" t="s">
        <v>663</v>
      </c>
      <c r="Q918" s="7" t="s">
        <v>692</v>
      </c>
      <c r="U918">
        <f t="shared" si="16"/>
        <v>32</v>
      </c>
    </row>
    <row r="919" spans="1:21" ht="37.5" customHeight="1" x14ac:dyDescent="0.25">
      <c r="A919" s="23">
        <v>44992</v>
      </c>
      <c r="B919" s="13">
        <v>10</v>
      </c>
      <c r="C919" t="s">
        <v>3</v>
      </c>
      <c r="D919" t="s">
        <v>4</v>
      </c>
      <c r="E919" t="s">
        <v>5</v>
      </c>
      <c r="F919" s="6">
        <v>113019042</v>
      </c>
      <c r="G919" t="s">
        <v>655</v>
      </c>
      <c r="H919" t="s">
        <v>14</v>
      </c>
      <c r="I919">
        <v>0</v>
      </c>
      <c r="J919">
        <v>0</v>
      </c>
      <c r="K919">
        <v>0</v>
      </c>
      <c r="L919">
        <v>0</v>
      </c>
      <c r="M919">
        <v>0.67</v>
      </c>
      <c r="N919" s="7" t="e">
        <f>VLOOKUP(F919,HC!A$6:D$100,3,FALSE)</f>
        <v>#N/A</v>
      </c>
      <c r="O919" s="7" t="e">
        <f>VLOOKUP(F919,HC!A$6:D$1000,2,FALSE)</f>
        <v>#N/A</v>
      </c>
      <c r="P919" t="s">
        <v>661</v>
      </c>
      <c r="Q919" s="7" t="s">
        <v>681</v>
      </c>
      <c r="U919">
        <f t="shared" si="16"/>
        <v>1395</v>
      </c>
    </row>
    <row r="920" spans="1:21" ht="37.5" customHeight="1" x14ac:dyDescent="0.25">
      <c r="A920" s="23">
        <v>44992</v>
      </c>
      <c r="B920" s="13">
        <v>10</v>
      </c>
      <c r="C920" t="s">
        <v>3</v>
      </c>
      <c r="D920" t="s">
        <v>4</v>
      </c>
      <c r="E920" t="s">
        <v>5</v>
      </c>
      <c r="F920" s="6">
        <v>113020497</v>
      </c>
      <c r="G920" t="s">
        <v>606</v>
      </c>
      <c r="H920" t="s">
        <v>285</v>
      </c>
      <c r="I920">
        <v>0</v>
      </c>
      <c r="J920">
        <v>0</v>
      </c>
      <c r="K920">
        <v>0</v>
      </c>
      <c r="L920">
        <v>0</v>
      </c>
      <c r="M920">
        <v>0.74</v>
      </c>
      <c r="N920" s="7" t="e">
        <f>VLOOKUP(F920,HC!A$6:D$100,3,FALSE)</f>
        <v>#N/A</v>
      </c>
      <c r="O920" s="7" t="str">
        <f>VLOOKUP(F920,HC!A$6:D$1000,2,FALSE)</f>
        <v>diamartd</v>
      </c>
      <c r="P920" t="s">
        <v>664</v>
      </c>
      <c r="Q920" s="7" t="s">
        <v>777</v>
      </c>
      <c r="U920">
        <f t="shared" si="16"/>
        <v>14</v>
      </c>
    </row>
    <row r="921" spans="1:21" ht="37.5" customHeight="1" x14ac:dyDescent="0.25">
      <c r="A921" s="23">
        <v>44992</v>
      </c>
      <c r="B921" s="13">
        <v>10</v>
      </c>
      <c r="C921" t="s">
        <v>3</v>
      </c>
      <c r="D921" t="s">
        <v>4</v>
      </c>
      <c r="E921" t="s">
        <v>5</v>
      </c>
      <c r="F921" s="6">
        <v>200404250</v>
      </c>
      <c r="G921" t="s">
        <v>51</v>
      </c>
      <c r="H921" t="s">
        <v>285</v>
      </c>
      <c r="I921">
        <v>0</v>
      </c>
      <c r="J921">
        <v>0</v>
      </c>
      <c r="K921">
        <v>0</v>
      </c>
      <c r="L921">
        <v>0</v>
      </c>
      <c r="M921">
        <v>0.96</v>
      </c>
      <c r="N921" s="7" t="e">
        <f>VLOOKUP(F921,HC!A$6:D$100,3,FALSE)</f>
        <v>#N/A</v>
      </c>
      <c r="O921" s="7" t="str">
        <f>VLOOKUP(F921,HC!A$6:D$1000,2,FALSE)</f>
        <v>xcathurt</v>
      </c>
      <c r="P921" t="s">
        <v>662</v>
      </c>
      <c r="Q921" s="7" t="s">
        <v>785</v>
      </c>
      <c r="U921">
        <f t="shared" si="16"/>
        <v>124</v>
      </c>
    </row>
    <row r="922" spans="1:21" ht="37.5" customHeight="1" x14ac:dyDescent="0.25">
      <c r="A922" s="23">
        <v>44992</v>
      </c>
      <c r="B922" s="13">
        <v>10</v>
      </c>
      <c r="C922" t="s">
        <v>3</v>
      </c>
      <c r="D922" t="s">
        <v>4</v>
      </c>
      <c r="E922" t="s">
        <v>21</v>
      </c>
      <c r="F922" s="6">
        <v>200514421</v>
      </c>
      <c r="G922" t="s">
        <v>301</v>
      </c>
      <c r="H922" t="s">
        <v>285</v>
      </c>
      <c r="I922">
        <v>0</v>
      </c>
      <c r="J922">
        <v>0</v>
      </c>
      <c r="K922">
        <v>0</v>
      </c>
      <c r="L922">
        <v>0</v>
      </c>
      <c r="M922">
        <v>1.72</v>
      </c>
      <c r="N922" s="7" t="e">
        <f>VLOOKUP(F922,HC!A$6:D$100,3,FALSE)</f>
        <v>#N/A</v>
      </c>
      <c r="O922" s="7" t="str">
        <f>VLOOKUP(F922,HC!A$6:D$1000,2,FALSE)</f>
        <v>padillms</v>
      </c>
      <c r="P922" t="s">
        <v>664</v>
      </c>
      <c r="Q922" s="7" t="s">
        <v>761</v>
      </c>
      <c r="R922" t="s">
        <v>361</v>
      </c>
      <c r="U922">
        <f t="shared" si="16"/>
        <v>21</v>
      </c>
    </row>
    <row r="923" spans="1:21" ht="37.5" customHeight="1" x14ac:dyDescent="0.25">
      <c r="A923" s="23">
        <v>44992</v>
      </c>
      <c r="B923" s="13">
        <v>10</v>
      </c>
      <c r="C923" t="s">
        <v>3</v>
      </c>
      <c r="D923" t="s">
        <v>4</v>
      </c>
      <c r="E923" t="s">
        <v>21</v>
      </c>
      <c r="F923" s="6">
        <v>200553205</v>
      </c>
      <c r="G923" t="s">
        <v>838</v>
      </c>
      <c r="H923" t="s">
        <v>285</v>
      </c>
      <c r="I923">
        <v>0</v>
      </c>
      <c r="J923">
        <v>0</v>
      </c>
      <c r="K923">
        <v>0</v>
      </c>
      <c r="L923">
        <v>0</v>
      </c>
      <c r="M923">
        <v>0.61</v>
      </c>
      <c r="N923" s="7" t="e">
        <f>VLOOKUP(F923,HC!A$6:D$100,3,FALSE)</f>
        <v>#N/A</v>
      </c>
      <c r="O923" s="7" t="e">
        <f>VLOOKUP(F923,HC!A$6:D$1000,2,FALSE)</f>
        <v>#N/A</v>
      </c>
      <c r="P923" t="s">
        <v>664</v>
      </c>
      <c r="Q923" s="7" t="s">
        <v>717</v>
      </c>
      <c r="U923">
        <f t="shared" si="16"/>
        <v>1395</v>
      </c>
    </row>
    <row r="924" spans="1:21" ht="37.5" customHeight="1" x14ac:dyDescent="0.25">
      <c r="A924" s="23">
        <v>44992</v>
      </c>
      <c r="B924" s="13">
        <v>10</v>
      </c>
      <c r="C924" t="s">
        <v>3</v>
      </c>
      <c r="D924" t="s">
        <v>4</v>
      </c>
      <c r="E924" t="s">
        <v>21</v>
      </c>
      <c r="F924" s="6">
        <v>200625517</v>
      </c>
      <c r="G924" t="s">
        <v>323</v>
      </c>
      <c r="H924" t="s">
        <v>49</v>
      </c>
      <c r="I924">
        <v>0</v>
      </c>
      <c r="J924">
        <v>0</v>
      </c>
      <c r="K924">
        <v>0</v>
      </c>
      <c r="L924">
        <v>0</v>
      </c>
      <c r="M924">
        <v>0.4</v>
      </c>
      <c r="N924" s="7" t="e">
        <f>VLOOKUP(F924,HC!A$6:D$100,3,FALSE)</f>
        <v>#N/A</v>
      </c>
      <c r="O924" s="7" t="e">
        <f>VLOOKUP(F924,HC!A$6:D$1000,2,FALSE)</f>
        <v>#N/A</v>
      </c>
      <c r="P924" t="s">
        <v>661</v>
      </c>
      <c r="Q924" s="7" t="s">
        <v>681</v>
      </c>
      <c r="U924">
        <f t="shared" si="16"/>
        <v>1395</v>
      </c>
    </row>
    <row r="925" spans="1:21" ht="37.5" customHeight="1" x14ac:dyDescent="0.25">
      <c r="A925" s="23">
        <v>44993</v>
      </c>
      <c r="B925" s="13">
        <v>10</v>
      </c>
      <c r="C925" t="s">
        <v>3</v>
      </c>
      <c r="D925" t="s">
        <v>4</v>
      </c>
      <c r="E925" t="s">
        <v>5</v>
      </c>
      <c r="F925" s="6">
        <v>112912163</v>
      </c>
      <c r="G925" t="s">
        <v>294</v>
      </c>
      <c r="H925" t="s">
        <v>285</v>
      </c>
      <c r="I925">
        <v>0</v>
      </c>
      <c r="J925">
        <v>0</v>
      </c>
      <c r="K925">
        <v>0</v>
      </c>
      <c r="L925">
        <v>0</v>
      </c>
      <c r="M925">
        <v>0.4</v>
      </c>
      <c r="N925" s="7" t="e">
        <f>VLOOKUP(F925,HC!A$6:D$100,3,FALSE)</f>
        <v>#N/A</v>
      </c>
      <c r="O925" s="7" t="e">
        <f>VLOOKUP(F925,HC!A$6:D$1000,2,FALSE)</f>
        <v>#N/A</v>
      </c>
      <c r="Q925" s="7"/>
      <c r="U925">
        <f t="shared" si="16"/>
        <v>1395</v>
      </c>
    </row>
    <row r="926" spans="1:21" ht="37.5" customHeight="1" x14ac:dyDescent="0.25">
      <c r="A926" s="23">
        <v>44993</v>
      </c>
      <c r="B926" s="13">
        <v>10</v>
      </c>
      <c r="C926" t="s">
        <v>3</v>
      </c>
      <c r="D926" t="s">
        <v>4</v>
      </c>
      <c r="E926" t="s">
        <v>5</v>
      </c>
      <c r="F926" s="6">
        <v>112972524</v>
      </c>
      <c r="G926" t="s">
        <v>312</v>
      </c>
      <c r="H926" t="s">
        <v>263</v>
      </c>
      <c r="I926">
        <v>0</v>
      </c>
      <c r="J926">
        <v>0</v>
      </c>
      <c r="K926">
        <v>0</v>
      </c>
      <c r="L926">
        <v>0</v>
      </c>
      <c r="M926">
        <v>0.43</v>
      </c>
      <c r="N926" s="7" t="str">
        <f>VLOOKUP(F926,HC!A$6:D$100,3,FALSE)</f>
        <v>DB-X0700</v>
      </c>
      <c r="O926" s="7" t="str">
        <f>VLOOKUP(F926,HC!A$6:D$1000,2,FALSE)</f>
        <v>csantibl</v>
      </c>
      <c r="P926" t="s">
        <v>663</v>
      </c>
      <c r="Q926" s="7" t="s">
        <v>695</v>
      </c>
      <c r="R926" t="s">
        <v>20</v>
      </c>
      <c r="U926">
        <f t="shared" si="16"/>
        <v>17</v>
      </c>
    </row>
    <row r="927" spans="1:21" ht="37.5" customHeight="1" x14ac:dyDescent="0.25">
      <c r="A927" s="23">
        <v>44993</v>
      </c>
      <c r="B927" s="13">
        <v>10</v>
      </c>
      <c r="C927" t="s">
        <v>3</v>
      </c>
      <c r="D927" t="s">
        <v>4</v>
      </c>
      <c r="E927" t="s">
        <v>5</v>
      </c>
      <c r="F927" s="6">
        <v>112980844</v>
      </c>
      <c r="G927" t="s">
        <v>13</v>
      </c>
      <c r="H927" t="s">
        <v>44</v>
      </c>
      <c r="I927">
        <v>0</v>
      </c>
      <c r="J927">
        <v>0</v>
      </c>
      <c r="K927">
        <v>0</v>
      </c>
      <c r="L927">
        <v>0</v>
      </c>
      <c r="M927">
        <v>0.71</v>
      </c>
      <c r="N927" s="7" t="str">
        <f>VLOOKUP(F927,HC!A$6:D$100,3,FALSE)</f>
        <v>DA-X0700</v>
      </c>
      <c r="O927" s="7" t="str">
        <f>VLOOKUP(F927,HC!A$6:D$1000,2,FALSE)</f>
        <v>samajpad</v>
      </c>
      <c r="P927" t="s">
        <v>664</v>
      </c>
      <c r="Q927" s="7" t="s">
        <v>709</v>
      </c>
      <c r="R927" t="s">
        <v>839</v>
      </c>
      <c r="U927">
        <f t="shared" si="16"/>
        <v>20</v>
      </c>
    </row>
    <row r="928" spans="1:21" ht="37.5" customHeight="1" x14ac:dyDescent="0.25">
      <c r="A928" s="23">
        <v>44993</v>
      </c>
      <c r="B928" s="13">
        <v>10</v>
      </c>
      <c r="C928" t="s">
        <v>3</v>
      </c>
      <c r="D928" t="s">
        <v>4</v>
      </c>
      <c r="E928" t="s">
        <v>5</v>
      </c>
      <c r="F928" s="6">
        <v>112981204</v>
      </c>
      <c r="G928" t="s">
        <v>460</v>
      </c>
      <c r="H928" t="s">
        <v>49</v>
      </c>
      <c r="I928">
        <v>0</v>
      </c>
      <c r="J928">
        <v>0</v>
      </c>
      <c r="K928">
        <v>0</v>
      </c>
      <c r="L928">
        <v>0</v>
      </c>
      <c r="M928">
        <v>0.13</v>
      </c>
      <c r="N928" s="7" t="e">
        <f>VLOOKUP(F928,HC!A$6:D$100,3,FALSE)</f>
        <v>#N/A</v>
      </c>
      <c r="O928" s="7" t="e">
        <f>VLOOKUP(F928,HC!A$6:D$1000,2,FALSE)</f>
        <v>#N/A</v>
      </c>
      <c r="P928" s="7" t="s">
        <v>661</v>
      </c>
      <c r="Q928" s="7" t="s">
        <v>681</v>
      </c>
      <c r="R928" t="s">
        <v>10</v>
      </c>
      <c r="U928">
        <f t="shared" si="16"/>
        <v>1395</v>
      </c>
    </row>
    <row r="929" spans="1:21" ht="37.5" customHeight="1" x14ac:dyDescent="0.25">
      <c r="A929" s="23">
        <v>44993</v>
      </c>
      <c r="B929" s="13">
        <v>10</v>
      </c>
      <c r="C929" t="s">
        <v>3</v>
      </c>
      <c r="D929" t="s">
        <v>4</v>
      </c>
      <c r="E929" t="s">
        <v>5</v>
      </c>
      <c r="F929" s="6">
        <v>113003631</v>
      </c>
      <c r="G929" t="s">
        <v>479</v>
      </c>
      <c r="H929" t="s">
        <v>47</v>
      </c>
      <c r="I929">
        <v>0</v>
      </c>
      <c r="J929">
        <v>0</v>
      </c>
      <c r="K929">
        <v>0</v>
      </c>
      <c r="L929">
        <v>0</v>
      </c>
      <c r="M929">
        <v>0.2</v>
      </c>
      <c r="N929" s="7" t="e">
        <f>VLOOKUP(F929,HC!A$6:D$100,3,FALSE)</f>
        <v>#N/A</v>
      </c>
      <c r="O929" s="7" t="e">
        <f>VLOOKUP(F929,HC!A$6:D$1000,2,FALSE)</f>
        <v>#N/A</v>
      </c>
      <c r="P929" t="s">
        <v>664</v>
      </c>
      <c r="Q929" s="7" t="s">
        <v>711</v>
      </c>
      <c r="R929" t="s">
        <v>405</v>
      </c>
      <c r="U929">
        <f t="shared" si="16"/>
        <v>1395</v>
      </c>
    </row>
    <row r="930" spans="1:21" ht="37.5" customHeight="1" x14ac:dyDescent="0.25">
      <c r="A930" s="23">
        <v>44993</v>
      </c>
      <c r="B930" s="13">
        <v>10</v>
      </c>
      <c r="C930" t="s">
        <v>3</v>
      </c>
      <c r="D930" t="s">
        <v>4</v>
      </c>
      <c r="E930" t="s">
        <v>5</v>
      </c>
      <c r="F930" s="6">
        <v>113003656</v>
      </c>
      <c r="G930" t="s">
        <v>297</v>
      </c>
      <c r="H930" t="s">
        <v>7</v>
      </c>
      <c r="I930">
        <v>0</v>
      </c>
      <c r="J930">
        <v>0</v>
      </c>
      <c r="K930">
        <v>0</v>
      </c>
      <c r="L930">
        <v>0</v>
      </c>
      <c r="M930">
        <v>0.11</v>
      </c>
      <c r="N930" s="7" t="e">
        <f>VLOOKUP(F930,HC!A$6:D$100,3,FALSE)</f>
        <v>#N/A</v>
      </c>
      <c r="O930" s="7" t="str">
        <f>VLOOKUP(F930,HC!A$6:D$1000,2,FALSE)</f>
        <v>uargoten</v>
      </c>
      <c r="Q930" s="7"/>
      <c r="U930">
        <f t="shared" si="16"/>
        <v>8</v>
      </c>
    </row>
    <row r="931" spans="1:21" ht="37.5" customHeight="1" x14ac:dyDescent="0.25">
      <c r="A931" s="23">
        <v>44993</v>
      </c>
      <c r="B931" s="13">
        <v>10</v>
      </c>
      <c r="C931" t="s">
        <v>3</v>
      </c>
      <c r="D931" t="s">
        <v>4</v>
      </c>
      <c r="E931" t="s">
        <v>5</v>
      </c>
      <c r="F931" s="6">
        <v>113019042</v>
      </c>
      <c r="G931" t="s">
        <v>655</v>
      </c>
      <c r="H931" t="s">
        <v>14</v>
      </c>
      <c r="I931">
        <v>0</v>
      </c>
      <c r="J931">
        <v>0</v>
      </c>
      <c r="K931">
        <v>0</v>
      </c>
      <c r="L931">
        <v>0</v>
      </c>
      <c r="M931">
        <v>0.81</v>
      </c>
      <c r="N931" s="7" t="e">
        <f>VLOOKUP(F931,HC!A$6:D$100,3,FALSE)</f>
        <v>#N/A</v>
      </c>
      <c r="O931" s="7" t="e">
        <f>VLOOKUP(F931,HC!A$6:D$1000,2,FALSE)</f>
        <v>#N/A</v>
      </c>
      <c r="P931" t="s">
        <v>662</v>
      </c>
      <c r="Q931" s="7" t="s">
        <v>688</v>
      </c>
      <c r="R931" t="s">
        <v>25</v>
      </c>
      <c r="U931">
        <f t="shared" si="16"/>
        <v>1395</v>
      </c>
    </row>
    <row r="932" spans="1:21" ht="37.5" customHeight="1" x14ac:dyDescent="0.25">
      <c r="A932" s="23">
        <v>44993</v>
      </c>
      <c r="B932" s="13">
        <v>10</v>
      </c>
      <c r="C932" t="s">
        <v>3</v>
      </c>
      <c r="D932" t="s">
        <v>4</v>
      </c>
      <c r="E932" t="s">
        <v>5</v>
      </c>
      <c r="F932" s="6">
        <v>200404250</v>
      </c>
      <c r="G932" t="s">
        <v>51</v>
      </c>
      <c r="H932" t="s">
        <v>285</v>
      </c>
      <c r="I932">
        <v>0</v>
      </c>
      <c r="J932">
        <v>0</v>
      </c>
      <c r="K932">
        <v>0</v>
      </c>
      <c r="L932">
        <v>0</v>
      </c>
      <c r="M932">
        <v>0.41</v>
      </c>
      <c r="N932" s="7" t="e">
        <f>VLOOKUP(F932,HC!A$6:D$100,3,FALSE)</f>
        <v>#N/A</v>
      </c>
      <c r="O932" s="7" t="str">
        <f>VLOOKUP(F932,HC!A$6:D$1000,2,FALSE)</f>
        <v>xcathurt</v>
      </c>
      <c r="P932" s="7" t="s">
        <v>662</v>
      </c>
      <c r="Q932" s="7" t="s">
        <v>785</v>
      </c>
      <c r="R932" t="s">
        <v>546</v>
      </c>
      <c r="U932">
        <f t="shared" si="16"/>
        <v>124</v>
      </c>
    </row>
    <row r="933" spans="1:21" ht="37.5" customHeight="1" x14ac:dyDescent="0.25">
      <c r="A933" s="23">
        <v>44993</v>
      </c>
      <c r="B933" s="13">
        <v>10</v>
      </c>
      <c r="C933" t="s">
        <v>3</v>
      </c>
      <c r="D933" t="s">
        <v>4</v>
      </c>
      <c r="E933" t="s">
        <v>21</v>
      </c>
      <c r="F933" s="6">
        <v>200514421</v>
      </c>
      <c r="G933" t="s">
        <v>301</v>
      </c>
      <c r="H933" t="s">
        <v>285</v>
      </c>
      <c r="I933">
        <v>0</v>
      </c>
      <c r="J933">
        <v>0</v>
      </c>
      <c r="K933">
        <v>0</v>
      </c>
      <c r="L933">
        <v>0</v>
      </c>
      <c r="M933">
        <v>2</v>
      </c>
      <c r="N933" s="7" t="e">
        <f>VLOOKUP(F933,HC!A$6:D$100,3,FALSE)</f>
        <v>#N/A</v>
      </c>
      <c r="O933" s="7" t="str">
        <f>VLOOKUP(F933,HC!A$6:D$1000,2,FALSE)</f>
        <v>padillms</v>
      </c>
      <c r="P933" t="s">
        <v>664</v>
      </c>
      <c r="Q933" s="7" t="s">
        <v>710</v>
      </c>
      <c r="R933" t="s">
        <v>620</v>
      </c>
      <c r="U933">
        <f t="shared" si="16"/>
        <v>21</v>
      </c>
    </row>
    <row r="934" spans="1:21" ht="37.5" customHeight="1" x14ac:dyDescent="0.25">
      <c r="A934" s="23">
        <v>44993</v>
      </c>
      <c r="B934" s="13">
        <v>10</v>
      </c>
      <c r="C934" t="s">
        <v>3</v>
      </c>
      <c r="D934" t="s">
        <v>4</v>
      </c>
      <c r="E934" t="s">
        <v>21</v>
      </c>
      <c r="F934" s="6">
        <v>200574345</v>
      </c>
      <c r="G934" t="s">
        <v>476</v>
      </c>
      <c r="H934" t="s">
        <v>285</v>
      </c>
      <c r="I934">
        <v>0</v>
      </c>
      <c r="J934">
        <v>0</v>
      </c>
      <c r="K934">
        <v>0</v>
      </c>
      <c r="L934">
        <v>0</v>
      </c>
      <c r="M934">
        <v>0.41</v>
      </c>
      <c r="N934" s="7" t="e">
        <f>VLOOKUP(F934,HC!A$6:D$100,3,FALSE)</f>
        <v>#N/A</v>
      </c>
      <c r="O934" s="7" t="str">
        <f>VLOOKUP(F934,HC!A$6:D$1000,2,FALSE)</f>
        <v>contrexj</v>
      </c>
      <c r="P934" t="s">
        <v>662</v>
      </c>
      <c r="Q934" s="7" t="s">
        <v>688</v>
      </c>
      <c r="R934" t="s">
        <v>25</v>
      </c>
      <c r="U934">
        <f t="shared" si="16"/>
        <v>17</v>
      </c>
    </row>
    <row r="935" spans="1:21" ht="37.5" customHeight="1" x14ac:dyDescent="0.25">
      <c r="A935" s="23">
        <v>44993</v>
      </c>
      <c r="B935" s="13">
        <v>10</v>
      </c>
      <c r="C935" t="s">
        <v>3</v>
      </c>
      <c r="D935" t="s">
        <v>4</v>
      </c>
      <c r="E935" t="s">
        <v>21</v>
      </c>
      <c r="F935" s="6">
        <v>200620341</v>
      </c>
      <c r="G935" t="s">
        <v>255</v>
      </c>
      <c r="H935" t="s">
        <v>47</v>
      </c>
      <c r="I935">
        <v>0</v>
      </c>
      <c r="J935">
        <v>0</v>
      </c>
      <c r="K935">
        <v>0</v>
      </c>
      <c r="L935">
        <v>0</v>
      </c>
      <c r="M935">
        <v>0.23</v>
      </c>
      <c r="N935" s="7" t="e">
        <f>VLOOKUP(F935,HC!A$6:D$100,3,FALSE)</f>
        <v>#N/A</v>
      </c>
      <c r="O935" s="7" t="e">
        <f>VLOOKUP(F935,HC!A$6:D$1000,2,FALSE)</f>
        <v>#N/A</v>
      </c>
      <c r="P935" t="s">
        <v>664</v>
      </c>
      <c r="Q935" s="7" t="s">
        <v>708</v>
      </c>
      <c r="R935" t="s">
        <v>586</v>
      </c>
      <c r="U935">
        <f t="shared" si="16"/>
        <v>1395</v>
      </c>
    </row>
    <row r="936" spans="1:21" ht="37.5" customHeight="1" x14ac:dyDescent="0.25">
      <c r="A936" s="23">
        <v>44993</v>
      </c>
      <c r="B936" s="13">
        <v>10</v>
      </c>
      <c r="C936" t="s">
        <v>3</v>
      </c>
      <c r="D936" t="s">
        <v>4</v>
      </c>
      <c r="E936" t="s">
        <v>21</v>
      </c>
      <c r="F936" s="6">
        <v>200625517</v>
      </c>
      <c r="G936" t="s">
        <v>323</v>
      </c>
      <c r="H936" t="s">
        <v>49</v>
      </c>
      <c r="I936">
        <v>0</v>
      </c>
      <c r="J936">
        <v>0</v>
      </c>
      <c r="K936">
        <v>0</v>
      </c>
      <c r="L936">
        <v>0</v>
      </c>
      <c r="M936">
        <v>0.22</v>
      </c>
      <c r="N936" s="7" t="e">
        <f>VLOOKUP(F936,HC!A$6:D$100,3,FALSE)</f>
        <v>#N/A</v>
      </c>
      <c r="O936" s="7" t="e">
        <f>VLOOKUP(F936,HC!A$6:D$1000,2,FALSE)</f>
        <v>#N/A</v>
      </c>
      <c r="P936" t="s">
        <v>665</v>
      </c>
      <c r="Q936" s="7" t="s">
        <v>722</v>
      </c>
      <c r="R936" t="s">
        <v>499</v>
      </c>
      <c r="U936">
        <f t="shared" si="16"/>
        <v>1395</v>
      </c>
    </row>
    <row r="937" spans="1:21" ht="37.5" customHeight="1" x14ac:dyDescent="0.25">
      <c r="A937" s="23">
        <v>44994</v>
      </c>
      <c r="B937" s="13">
        <v>10</v>
      </c>
      <c r="C937" t="s">
        <v>3</v>
      </c>
      <c r="D937" t="s">
        <v>4</v>
      </c>
      <c r="E937" t="s">
        <v>5</v>
      </c>
      <c r="F937" s="6">
        <v>112912074</v>
      </c>
      <c r="G937" t="s">
        <v>473</v>
      </c>
      <c r="H937" t="s">
        <v>282</v>
      </c>
      <c r="I937">
        <v>0</v>
      </c>
      <c r="J937">
        <v>0</v>
      </c>
      <c r="K937">
        <v>0</v>
      </c>
      <c r="L937">
        <v>0</v>
      </c>
      <c r="M937">
        <v>0.46</v>
      </c>
      <c r="N937" s="7" t="e">
        <f>VLOOKUP(F937,HC!A$6:D$100,3,FALSE)</f>
        <v>#N/A</v>
      </c>
      <c r="O937" s="7" t="e">
        <f>VLOOKUP(F937,HC!A$6:D$1000,2,FALSE)</f>
        <v>#N/A</v>
      </c>
      <c r="P937" t="s">
        <v>661</v>
      </c>
      <c r="Q937" s="7" t="s">
        <v>700</v>
      </c>
      <c r="R937" t="s">
        <v>843</v>
      </c>
      <c r="U937">
        <f t="shared" si="16"/>
        <v>1395</v>
      </c>
    </row>
    <row r="938" spans="1:21" ht="37.5" customHeight="1" x14ac:dyDescent="0.25">
      <c r="A938" s="23">
        <v>44994</v>
      </c>
      <c r="B938" s="13">
        <v>10</v>
      </c>
      <c r="C938" t="s">
        <v>3</v>
      </c>
      <c r="D938" t="s">
        <v>4</v>
      </c>
      <c r="E938" t="s">
        <v>5</v>
      </c>
      <c r="F938" s="6">
        <v>112912163</v>
      </c>
      <c r="G938" t="s">
        <v>294</v>
      </c>
      <c r="H938" t="s">
        <v>285</v>
      </c>
      <c r="I938">
        <v>0</v>
      </c>
      <c r="J938">
        <v>0</v>
      </c>
      <c r="K938">
        <v>0</v>
      </c>
      <c r="L938">
        <v>0</v>
      </c>
      <c r="M938">
        <v>1.78</v>
      </c>
      <c r="N938" s="7" t="e">
        <f>VLOOKUP(F938,HC!A$6:D$100,3,FALSE)</f>
        <v>#N/A</v>
      </c>
      <c r="O938" s="7" t="e">
        <f>VLOOKUP(F938,HC!A$6:D$1000,2,FALSE)</f>
        <v>#N/A</v>
      </c>
      <c r="P938" t="s">
        <v>661</v>
      </c>
      <c r="Q938" s="7" t="s">
        <v>701</v>
      </c>
      <c r="R938" t="s">
        <v>842</v>
      </c>
      <c r="U938">
        <f t="shared" si="16"/>
        <v>1395</v>
      </c>
    </row>
    <row r="939" spans="1:21" ht="37.5" customHeight="1" x14ac:dyDescent="0.25">
      <c r="A939" s="23">
        <v>44994</v>
      </c>
      <c r="B939" s="13">
        <v>10</v>
      </c>
      <c r="C939" t="s">
        <v>3</v>
      </c>
      <c r="D939" t="s">
        <v>4</v>
      </c>
      <c r="E939" t="s">
        <v>5</v>
      </c>
      <c r="F939" s="6">
        <v>112912753</v>
      </c>
      <c r="G939" t="s">
        <v>415</v>
      </c>
      <c r="H939" t="s">
        <v>285</v>
      </c>
      <c r="I939">
        <v>0</v>
      </c>
      <c r="J939">
        <v>0</v>
      </c>
      <c r="K939">
        <v>0</v>
      </c>
      <c r="L939">
        <v>0</v>
      </c>
      <c r="M939">
        <v>0.16</v>
      </c>
      <c r="N939" s="7" t="e">
        <f>VLOOKUP(F939,HC!A$6:D$100,3,FALSE)</f>
        <v>#N/A</v>
      </c>
      <c r="O939" s="7" t="e">
        <f>VLOOKUP(F939,HC!A$6:D$1000,2,FALSE)</f>
        <v>#N/A</v>
      </c>
      <c r="P939" t="s">
        <v>661</v>
      </c>
      <c r="Q939" s="7" t="s">
        <v>684</v>
      </c>
      <c r="R939" t="s">
        <v>820</v>
      </c>
      <c r="U939">
        <f t="shared" si="16"/>
        <v>1395</v>
      </c>
    </row>
    <row r="940" spans="1:21" ht="37.5" customHeight="1" x14ac:dyDescent="0.25">
      <c r="A940" s="23">
        <v>44994</v>
      </c>
      <c r="B940" s="13">
        <v>10</v>
      </c>
      <c r="C940" t="s">
        <v>3</v>
      </c>
      <c r="D940" t="s">
        <v>4</v>
      </c>
      <c r="E940" t="s">
        <v>5</v>
      </c>
      <c r="F940" s="6">
        <v>112972524</v>
      </c>
      <c r="G940" t="s">
        <v>312</v>
      </c>
      <c r="H940" t="s">
        <v>263</v>
      </c>
      <c r="I940">
        <v>0</v>
      </c>
      <c r="J940">
        <v>0</v>
      </c>
      <c r="K940">
        <v>0</v>
      </c>
      <c r="L940">
        <v>0</v>
      </c>
      <c r="M940">
        <v>0.13</v>
      </c>
      <c r="N940" s="7" t="str">
        <f>VLOOKUP(F940,HC!A$6:D$100,3,FALSE)</f>
        <v>DB-X0700</v>
      </c>
      <c r="O940" s="7" t="str">
        <f>VLOOKUP(F940,HC!A$6:D$1000,2,FALSE)</f>
        <v>csantibl</v>
      </c>
      <c r="P940" t="s">
        <v>663</v>
      </c>
      <c r="Q940" s="7" t="s">
        <v>695</v>
      </c>
      <c r="R940" t="s">
        <v>557</v>
      </c>
      <c r="U940">
        <f t="shared" si="16"/>
        <v>17</v>
      </c>
    </row>
    <row r="941" spans="1:21" ht="37.5" customHeight="1" x14ac:dyDescent="0.25">
      <c r="A941" s="23">
        <v>44994</v>
      </c>
      <c r="B941" s="13">
        <v>10</v>
      </c>
      <c r="C941" t="s">
        <v>3</v>
      </c>
      <c r="D941" t="s">
        <v>4</v>
      </c>
      <c r="E941" t="s">
        <v>5</v>
      </c>
      <c r="F941" s="6">
        <v>112981061</v>
      </c>
      <c r="G941" t="s">
        <v>264</v>
      </c>
      <c r="H941" t="s">
        <v>49</v>
      </c>
      <c r="I941">
        <v>0</v>
      </c>
      <c r="J941">
        <v>0</v>
      </c>
      <c r="K941">
        <v>0</v>
      </c>
      <c r="L941">
        <v>0</v>
      </c>
      <c r="M941">
        <v>0.3</v>
      </c>
      <c r="N941" s="7" t="str">
        <f>VLOOKUP(F941,HC!A$6:D$100,3,FALSE)</f>
        <v>DA-X0700</v>
      </c>
      <c r="O941" s="7" t="str">
        <f>VLOOKUP(F941,HC!A$6:D$1000,2,FALSE)</f>
        <v>mclaudol</v>
      </c>
      <c r="P941" s="7" t="s">
        <v>661</v>
      </c>
      <c r="Q941" s="7" t="s">
        <v>681</v>
      </c>
      <c r="R941" t="s">
        <v>10</v>
      </c>
      <c r="U941">
        <f t="shared" si="16"/>
        <v>44</v>
      </c>
    </row>
    <row r="942" spans="1:21" ht="37.5" customHeight="1" x14ac:dyDescent="0.25">
      <c r="A942" s="23">
        <v>44994</v>
      </c>
      <c r="B942" s="13">
        <v>10</v>
      </c>
      <c r="C942" t="s">
        <v>3</v>
      </c>
      <c r="D942" t="s">
        <v>4</v>
      </c>
      <c r="E942" t="s">
        <v>5</v>
      </c>
      <c r="F942" s="6">
        <v>112984442</v>
      </c>
      <c r="G942" t="s">
        <v>315</v>
      </c>
      <c r="H942" t="s">
        <v>268</v>
      </c>
      <c r="I942">
        <v>0</v>
      </c>
      <c r="J942">
        <v>0</v>
      </c>
      <c r="K942">
        <v>0</v>
      </c>
      <c r="L942">
        <v>0</v>
      </c>
      <c r="M942">
        <v>0.37</v>
      </c>
      <c r="N942" s="7" t="e">
        <f>VLOOKUP(F942,HC!A$6:D$100,3,FALSE)</f>
        <v>#N/A</v>
      </c>
      <c r="O942" s="7" t="e">
        <f>VLOOKUP(F942,HC!A$6:D$1000,2,FALSE)</f>
        <v>#N/A</v>
      </c>
      <c r="P942" t="s">
        <v>675</v>
      </c>
      <c r="Q942" s="7"/>
      <c r="R942" t="s">
        <v>823</v>
      </c>
      <c r="U942">
        <f t="shared" si="16"/>
        <v>1395</v>
      </c>
    </row>
    <row r="943" spans="1:21" ht="37.5" customHeight="1" x14ac:dyDescent="0.25">
      <c r="A943" s="23">
        <v>44994</v>
      </c>
      <c r="B943" s="13">
        <v>10</v>
      </c>
      <c r="C943" t="s">
        <v>3</v>
      </c>
      <c r="D943" t="s">
        <v>4</v>
      </c>
      <c r="E943" t="s">
        <v>5</v>
      </c>
      <c r="F943" s="6">
        <v>113014081</v>
      </c>
      <c r="G943" t="s">
        <v>267</v>
      </c>
      <c r="H943" t="s">
        <v>285</v>
      </c>
      <c r="I943">
        <v>0</v>
      </c>
      <c r="J943">
        <v>0</v>
      </c>
      <c r="K943">
        <v>0</v>
      </c>
      <c r="L943">
        <v>0</v>
      </c>
      <c r="M943">
        <v>0.17</v>
      </c>
      <c r="N943" s="7" t="e">
        <f>VLOOKUP(F943,HC!A$6:D$100,3,FALSE)</f>
        <v>#N/A</v>
      </c>
      <c r="O943" s="7" t="str">
        <f>VLOOKUP(F943,HC!A$6:D$1000,2,FALSE)</f>
        <v>fraugene</v>
      </c>
      <c r="P943" t="s">
        <v>662</v>
      </c>
      <c r="Q943" s="7" t="s">
        <v>702</v>
      </c>
      <c r="R943" t="s">
        <v>840</v>
      </c>
      <c r="U943">
        <f t="shared" si="16"/>
        <v>32</v>
      </c>
    </row>
    <row r="944" spans="1:21" ht="37.5" customHeight="1" x14ac:dyDescent="0.25">
      <c r="A944" s="23">
        <v>44994</v>
      </c>
      <c r="B944" s="13">
        <v>10</v>
      </c>
      <c r="C944" t="s">
        <v>3</v>
      </c>
      <c r="D944" t="s">
        <v>4</v>
      </c>
      <c r="E944" t="s">
        <v>5</v>
      </c>
      <c r="F944" s="6">
        <v>113014092</v>
      </c>
      <c r="G944" t="s">
        <v>552</v>
      </c>
      <c r="H944" t="s">
        <v>298</v>
      </c>
      <c r="I944">
        <v>0</v>
      </c>
      <c r="J944">
        <v>0</v>
      </c>
      <c r="K944">
        <v>0</v>
      </c>
      <c r="L944">
        <v>0</v>
      </c>
      <c r="M944">
        <v>0.15</v>
      </c>
      <c r="N944" s="7" t="e">
        <f>VLOOKUP(F944,HC!A$6:D$100,3,FALSE)</f>
        <v>#N/A</v>
      </c>
      <c r="O944" s="7" t="str">
        <f>VLOOKUP(F944,HC!A$6:D$1000,2,FALSE)</f>
        <v>rsanccri</v>
      </c>
      <c r="P944" t="s">
        <v>664</v>
      </c>
      <c r="Q944" s="7" t="s">
        <v>709</v>
      </c>
      <c r="R944" t="s">
        <v>841</v>
      </c>
      <c r="U944">
        <f t="shared" si="16"/>
        <v>11</v>
      </c>
    </row>
    <row r="945" spans="1:21" ht="37.5" customHeight="1" x14ac:dyDescent="0.25">
      <c r="A945" s="23">
        <v>44994</v>
      </c>
      <c r="B945" s="13">
        <v>10</v>
      </c>
      <c r="C945" t="s">
        <v>3</v>
      </c>
      <c r="D945" t="s">
        <v>4</v>
      </c>
      <c r="E945" t="s">
        <v>5</v>
      </c>
      <c r="F945" s="6">
        <v>113014113</v>
      </c>
      <c r="G945" t="s">
        <v>269</v>
      </c>
      <c r="H945" t="s">
        <v>49</v>
      </c>
      <c r="I945">
        <v>0</v>
      </c>
      <c r="J945">
        <v>0</v>
      </c>
      <c r="K945">
        <v>0</v>
      </c>
      <c r="L945">
        <v>0</v>
      </c>
      <c r="M945">
        <v>0.54</v>
      </c>
      <c r="N945" s="7" t="e">
        <f>VLOOKUP(F945,HC!A$6:D$100,3,FALSE)</f>
        <v>#N/A</v>
      </c>
      <c r="O945" s="7" t="e">
        <f>VLOOKUP(F945,HC!A$6:D$1000,2,FALSE)</f>
        <v>#N/A</v>
      </c>
      <c r="P945" s="7" t="s">
        <v>675</v>
      </c>
      <c r="Q945" s="7"/>
      <c r="R945" t="s">
        <v>362</v>
      </c>
      <c r="U945">
        <f t="shared" si="16"/>
        <v>1395</v>
      </c>
    </row>
    <row r="946" spans="1:21" ht="37.5" customHeight="1" x14ac:dyDescent="0.25">
      <c r="A946" s="23">
        <v>44994</v>
      </c>
      <c r="B946" s="13">
        <v>10</v>
      </c>
      <c r="C946" t="s">
        <v>3</v>
      </c>
      <c r="D946" t="s">
        <v>4</v>
      </c>
      <c r="E946" t="s">
        <v>5</v>
      </c>
      <c r="F946" s="6">
        <v>113052151</v>
      </c>
      <c r="G946" t="s">
        <v>482</v>
      </c>
      <c r="H946" t="s">
        <v>17</v>
      </c>
      <c r="I946">
        <v>0</v>
      </c>
      <c r="J946">
        <v>0</v>
      </c>
      <c r="K946">
        <v>0</v>
      </c>
      <c r="L946">
        <v>0</v>
      </c>
      <c r="M946">
        <v>0.2</v>
      </c>
      <c r="N946" s="7" t="e">
        <f>VLOOKUP(F946,HC!A$6:D$100,3,FALSE)</f>
        <v>#N/A</v>
      </c>
      <c r="O946" s="7" t="str">
        <f>VLOOKUP(F946,HC!A$6:D$1000,2,FALSE)</f>
        <v>nilaurab</v>
      </c>
      <c r="P946" s="7" t="s">
        <v>661</v>
      </c>
      <c r="Q946" s="7" t="s">
        <v>681</v>
      </c>
      <c r="R946" t="s">
        <v>10</v>
      </c>
      <c r="U946">
        <f t="shared" si="16"/>
        <v>28</v>
      </c>
    </row>
    <row r="947" spans="1:21" ht="37.5" customHeight="1" x14ac:dyDescent="0.25">
      <c r="A947" s="23">
        <v>44994</v>
      </c>
      <c r="B947" s="13">
        <v>10</v>
      </c>
      <c r="C947" t="s">
        <v>3</v>
      </c>
      <c r="D947" t="s">
        <v>4</v>
      </c>
      <c r="E947" t="s">
        <v>5</v>
      </c>
      <c r="F947" s="6">
        <v>200404250</v>
      </c>
      <c r="G947" t="s">
        <v>51</v>
      </c>
      <c r="H947" t="s">
        <v>285</v>
      </c>
      <c r="I947">
        <v>0</v>
      </c>
      <c r="J947">
        <v>0</v>
      </c>
      <c r="K947">
        <v>0</v>
      </c>
      <c r="L947">
        <v>0</v>
      </c>
      <c r="M947">
        <v>0.44</v>
      </c>
      <c r="N947" s="7" t="e">
        <f>VLOOKUP(F947,HC!A$6:D$100,3,FALSE)</f>
        <v>#N/A</v>
      </c>
      <c r="O947" s="7" t="str">
        <f>VLOOKUP(F947,HC!A$6:D$1000,2,FALSE)</f>
        <v>xcathurt</v>
      </c>
      <c r="P947" s="7" t="s">
        <v>662</v>
      </c>
      <c r="Q947" s="7" t="s">
        <v>785</v>
      </c>
      <c r="R947" t="s">
        <v>235</v>
      </c>
      <c r="U947">
        <f t="shared" si="16"/>
        <v>124</v>
      </c>
    </row>
    <row r="948" spans="1:21" ht="37.5" customHeight="1" x14ac:dyDescent="0.25">
      <c r="A948" s="23">
        <v>44995</v>
      </c>
      <c r="B948" s="13">
        <v>10</v>
      </c>
      <c r="C948" t="s">
        <v>3</v>
      </c>
      <c r="D948" t="s">
        <v>4</v>
      </c>
      <c r="E948" t="s">
        <v>5</v>
      </c>
      <c r="F948" s="6">
        <v>112485255</v>
      </c>
      <c r="G948" t="s">
        <v>844</v>
      </c>
      <c r="H948" t="s">
        <v>7</v>
      </c>
      <c r="I948">
        <v>0</v>
      </c>
      <c r="J948">
        <v>0</v>
      </c>
      <c r="K948">
        <v>0</v>
      </c>
      <c r="L948">
        <v>0</v>
      </c>
      <c r="M948">
        <v>0.27</v>
      </c>
      <c r="N948" s="7" t="str">
        <f>VLOOKUP(F948,HC!A$6:D$100,3,FALSE)</f>
        <v>DB-X0700</v>
      </c>
      <c r="O948" s="7" t="str">
        <f>VLOOKUP(F948,HC!A$6:D$1000,2,FALSE)</f>
        <v>anacecor</v>
      </c>
      <c r="Q948" s="7"/>
      <c r="U948">
        <f t="shared" si="16"/>
        <v>2</v>
      </c>
    </row>
    <row r="949" spans="1:21" ht="37.5" customHeight="1" x14ac:dyDescent="0.25">
      <c r="A949" s="23">
        <v>44995</v>
      </c>
      <c r="B949" s="13">
        <v>10</v>
      </c>
      <c r="C949" t="s">
        <v>3</v>
      </c>
      <c r="D949" t="s">
        <v>4</v>
      </c>
      <c r="E949" t="s">
        <v>5</v>
      </c>
      <c r="F949" s="6">
        <v>112912663</v>
      </c>
      <c r="G949" t="s">
        <v>8</v>
      </c>
      <c r="H949" t="s">
        <v>403</v>
      </c>
      <c r="I949">
        <v>0</v>
      </c>
      <c r="J949">
        <v>0</v>
      </c>
      <c r="K949">
        <v>0</v>
      </c>
      <c r="L949">
        <v>0</v>
      </c>
      <c r="M949">
        <v>0.19</v>
      </c>
      <c r="N949" s="7" t="e">
        <f>VLOOKUP(F949,HC!A$6:D$100,3,FALSE)</f>
        <v>#N/A</v>
      </c>
      <c r="O949" s="7" t="e">
        <f>VLOOKUP(F949,HC!A$6:D$1000,2,FALSE)</f>
        <v>#N/A</v>
      </c>
      <c r="P949" s="7" t="s">
        <v>661</v>
      </c>
      <c r="Q949" s="7" t="s">
        <v>681</v>
      </c>
      <c r="R949" t="s">
        <v>10</v>
      </c>
      <c r="U949">
        <f t="shared" si="16"/>
        <v>1395</v>
      </c>
    </row>
    <row r="950" spans="1:21" ht="37.5" customHeight="1" x14ac:dyDescent="0.25">
      <c r="A950" s="23">
        <v>44995</v>
      </c>
      <c r="B950" s="13">
        <v>10</v>
      </c>
      <c r="C950" t="s">
        <v>3</v>
      </c>
      <c r="D950" t="s">
        <v>4</v>
      </c>
      <c r="E950" t="s">
        <v>5</v>
      </c>
      <c r="F950" s="6">
        <v>112912677</v>
      </c>
      <c r="G950" t="s">
        <v>539</v>
      </c>
      <c r="H950" t="s">
        <v>332</v>
      </c>
      <c r="I950">
        <v>0</v>
      </c>
      <c r="J950">
        <v>0</v>
      </c>
      <c r="K950">
        <v>0</v>
      </c>
      <c r="L950">
        <v>0</v>
      </c>
      <c r="M950">
        <v>0.22</v>
      </c>
      <c r="N950" s="7" t="e">
        <f>VLOOKUP(F950,HC!A$6:D$100,3,FALSE)</f>
        <v>#N/A</v>
      </c>
      <c r="O950" s="7" t="e">
        <f>VLOOKUP(F950,HC!A$6:D$1000,2,FALSE)</f>
        <v>#N/A</v>
      </c>
      <c r="Q950" s="7"/>
      <c r="U950">
        <f t="shared" si="16"/>
        <v>1395</v>
      </c>
    </row>
    <row r="951" spans="1:21" ht="37.5" customHeight="1" x14ac:dyDescent="0.25">
      <c r="A951" s="23"/>
      <c r="B951" s="13">
        <v>10</v>
      </c>
      <c r="C951" t="s">
        <v>3</v>
      </c>
      <c r="D951" t="s">
        <v>4</v>
      </c>
      <c r="E951" t="s">
        <v>5</v>
      </c>
      <c r="F951" s="6">
        <v>112971980</v>
      </c>
      <c r="G951" t="s">
        <v>445</v>
      </c>
      <c r="H951" t="s">
        <v>282</v>
      </c>
      <c r="I951">
        <v>0</v>
      </c>
      <c r="J951">
        <v>0</v>
      </c>
      <c r="K951">
        <v>0</v>
      </c>
      <c r="L951">
        <v>0</v>
      </c>
      <c r="M951">
        <v>0.24</v>
      </c>
      <c r="N951" s="7" t="str">
        <f>VLOOKUP(F951,HC!A$6:D$100,3,FALSE)</f>
        <v>DC-X0700</v>
      </c>
      <c r="O951" s="7" t="str">
        <f>VLOOKUP(F951,HC!A$6:D$1000,2,FALSE)</f>
        <v>cdanirom</v>
      </c>
      <c r="P951" t="s">
        <v>664</v>
      </c>
      <c r="Q951" s="7" t="s">
        <v>711</v>
      </c>
      <c r="R951" t="s">
        <v>405</v>
      </c>
      <c r="U951">
        <f t="shared" si="16"/>
        <v>25</v>
      </c>
    </row>
    <row r="952" spans="1:21" ht="37.5" customHeight="1" x14ac:dyDescent="0.25">
      <c r="A952" s="23">
        <v>44995</v>
      </c>
      <c r="B952" s="13">
        <v>10</v>
      </c>
      <c r="C952" t="s">
        <v>3</v>
      </c>
      <c r="D952" t="s">
        <v>4</v>
      </c>
      <c r="E952" t="s">
        <v>5</v>
      </c>
      <c r="F952" s="6">
        <v>112976013</v>
      </c>
      <c r="G952" t="s">
        <v>449</v>
      </c>
      <c r="H952" t="s">
        <v>403</v>
      </c>
      <c r="I952">
        <v>0</v>
      </c>
      <c r="J952">
        <v>0</v>
      </c>
      <c r="K952">
        <v>0</v>
      </c>
      <c r="L952">
        <v>0</v>
      </c>
      <c r="M952">
        <v>0.35</v>
      </c>
      <c r="N952" s="7" t="e">
        <f>VLOOKUP(F952,HC!A$6:D$100,3,FALSE)</f>
        <v>#N/A</v>
      </c>
      <c r="O952" s="7" t="e">
        <f>VLOOKUP(F952,HC!A$6:D$1000,2,FALSE)</f>
        <v>#N/A</v>
      </c>
      <c r="P952" s="7" t="s">
        <v>661</v>
      </c>
      <c r="Q952" s="7" t="s">
        <v>681</v>
      </c>
      <c r="R952" t="s">
        <v>10</v>
      </c>
      <c r="U952">
        <f t="shared" si="16"/>
        <v>1395</v>
      </c>
    </row>
    <row r="953" spans="1:21" ht="37.5" customHeight="1" x14ac:dyDescent="0.25">
      <c r="A953" s="23">
        <v>44995</v>
      </c>
      <c r="B953" s="13">
        <v>10</v>
      </c>
      <c r="C953" t="s">
        <v>3</v>
      </c>
      <c r="D953" t="s">
        <v>4</v>
      </c>
      <c r="E953" t="s">
        <v>5</v>
      </c>
      <c r="F953" s="6">
        <v>112984442</v>
      </c>
      <c r="G953" t="s">
        <v>315</v>
      </c>
      <c r="H953" t="s">
        <v>268</v>
      </c>
      <c r="I953">
        <v>0</v>
      </c>
      <c r="J953">
        <v>0</v>
      </c>
      <c r="K953">
        <v>0</v>
      </c>
      <c r="L953">
        <v>0</v>
      </c>
      <c r="M953">
        <v>0.26</v>
      </c>
      <c r="N953" s="7" t="e">
        <f>VLOOKUP(F953,HC!A$6:D$100,3,FALSE)</f>
        <v>#N/A</v>
      </c>
      <c r="O953" s="7" t="e">
        <f>VLOOKUP(F953,HC!A$6:D$1000,2,FALSE)</f>
        <v>#N/A</v>
      </c>
      <c r="P953" t="s">
        <v>670</v>
      </c>
      <c r="Q953" s="7" t="s">
        <v>763</v>
      </c>
      <c r="R953" t="s">
        <v>847</v>
      </c>
      <c r="U953">
        <f t="shared" si="16"/>
        <v>1395</v>
      </c>
    </row>
    <row r="954" spans="1:21" ht="37.5" customHeight="1" x14ac:dyDescent="0.25">
      <c r="A954" s="23">
        <v>44995</v>
      </c>
      <c r="B954" s="13">
        <v>10</v>
      </c>
      <c r="C954" t="s">
        <v>3</v>
      </c>
      <c r="D954" t="s">
        <v>4</v>
      </c>
      <c r="E954" t="s">
        <v>5</v>
      </c>
      <c r="F954" s="6">
        <v>113014042</v>
      </c>
      <c r="G954" t="s">
        <v>329</v>
      </c>
      <c r="H954" t="s">
        <v>298</v>
      </c>
      <c r="I954">
        <v>0</v>
      </c>
      <c r="J954">
        <v>0</v>
      </c>
      <c r="K954">
        <v>0</v>
      </c>
      <c r="L954">
        <v>0</v>
      </c>
      <c r="M954">
        <v>0.46</v>
      </c>
      <c r="N954" s="7" t="e">
        <f>VLOOKUP(F954,HC!A$6:D$100,3,FALSE)</f>
        <v>#N/A</v>
      </c>
      <c r="O954" s="7" t="str">
        <f>VLOOKUP(F954,HC!A$6:D$1000,2,FALSE)</f>
        <v>rfcervan</v>
      </c>
      <c r="Q954" s="7"/>
      <c r="U954">
        <f t="shared" si="16"/>
        <v>23</v>
      </c>
    </row>
    <row r="955" spans="1:21" ht="37.5" customHeight="1" x14ac:dyDescent="0.25">
      <c r="A955" s="23">
        <v>44995</v>
      </c>
      <c r="B955" s="13">
        <v>10</v>
      </c>
      <c r="C955" t="s">
        <v>3</v>
      </c>
      <c r="D955" t="s">
        <v>4</v>
      </c>
      <c r="E955" t="s">
        <v>5</v>
      </c>
      <c r="F955" s="6">
        <v>113014072</v>
      </c>
      <c r="G955" t="s">
        <v>491</v>
      </c>
      <c r="H955" t="s">
        <v>298</v>
      </c>
      <c r="I955">
        <v>0</v>
      </c>
      <c r="J955">
        <v>0</v>
      </c>
      <c r="K955">
        <v>0</v>
      </c>
      <c r="L955">
        <v>0</v>
      </c>
      <c r="M955">
        <v>1.08</v>
      </c>
      <c r="N955" s="7" t="e">
        <f>VLOOKUP(F955,HC!A$6:D$100,3,FALSE)</f>
        <v>#N/A</v>
      </c>
      <c r="O955" s="7" t="e">
        <f>VLOOKUP(F955,HC!A$6:D$1000,2,FALSE)</f>
        <v>#N/A</v>
      </c>
      <c r="P955" t="s">
        <v>664</v>
      </c>
      <c r="Q955" s="7" t="s">
        <v>710</v>
      </c>
      <c r="R955" t="s">
        <v>506</v>
      </c>
      <c r="U955">
        <f t="shared" si="16"/>
        <v>1395</v>
      </c>
    </row>
    <row r="956" spans="1:21" ht="37.5" customHeight="1" x14ac:dyDescent="0.25">
      <c r="A956" s="23">
        <v>44995</v>
      </c>
      <c r="B956" s="13">
        <v>10</v>
      </c>
      <c r="C956" t="s">
        <v>3</v>
      </c>
      <c r="D956" t="s">
        <v>4</v>
      </c>
      <c r="E956" t="s">
        <v>5</v>
      </c>
      <c r="F956" s="6">
        <v>113019042</v>
      </c>
      <c r="G956" t="s">
        <v>655</v>
      </c>
      <c r="H956" t="s">
        <v>14</v>
      </c>
      <c r="I956">
        <v>0</v>
      </c>
      <c r="J956">
        <v>0</v>
      </c>
      <c r="K956">
        <v>0</v>
      </c>
      <c r="L956">
        <v>0</v>
      </c>
      <c r="M956">
        <v>0.55000000000000004</v>
      </c>
      <c r="N956" s="7" t="e">
        <f>VLOOKUP(F956,HC!A$6:D$100,3,FALSE)</f>
        <v>#N/A</v>
      </c>
      <c r="O956" s="7" t="e">
        <f>VLOOKUP(F956,HC!A$6:D$1000,2,FALSE)</f>
        <v>#N/A</v>
      </c>
      <c r="P956" t="s">
        <v>664</v>
      </c>
      <c r="Q956" s="7" t="s">
        <v>777</v>
      </c>
      <c r="R956" t="s">
        <v>506</v>
      </c>
      <c r="U956">
        <f t="shared" si="16"/>
        <v>1395</v>
      </c>
    </row>
    <row r="957" spans="1:21" ht="37.5" customHeight="1" x14ac:dyDescent="0.25">
      <c r="A957" s="23">
        <v>44995</v>
      </c>
      <c r="B957" s="13">
        <v>10</v>
      </c>
      <c r="C957" t="s">
        <v>3</v>
      </c>
      <c r="D957" t="s">
        <v>4</v>
      </c>
      <c r="E957" t="s">
        <v>5</v>
      </c>
      <c r="F957" s="6">
        <v>200404250</v>
      </c>
      <c r="G957" t="s">
        <v>51</v>
      </c>
      <c r="H957" t="s">
        <v>285</v>
      </c>
      <c r="I957">
        <v>0</v>
      </c>
      <c r="J957">
        <v>0</v>
      </c>
      <c r="K957">
        <v>0</v>
      </c>
      <c r="L957">
        <v>0</v>
      </c>
      <c r="M957">
        <v>0.5</v>
      </c>
      <c r="N957" s="7" t="e">
        <f>VLOOKUP(F957,HC!A$6:D$100,3,FALSE)</f>
        <v>#N/A</v>
      </c>
      <c r="O957" s="7" t="str">
        <f>VLOOKUP(F957,HC!A$6:D$1000,2,FALSE)</f>
        <v>xcathurt</v>
      </c>
      <c r="P957" s="7" t="s">
        <v>662</v>
      </c>
      <c r="Q957" s="7" t="s">
        <v>785</v>
      </c>
      <c r="R957" t="s">
        <v>235</v>
      </c>
      <c r="U957">
        <f t="shared" si="16"/>
        <v>124</v>
      </c>
    </row>
    <row r="958" spans="1:21" ht="37.5" customHeight="1" x14ac:dyDescent="0.25">
      <c r="A958" s="23">
        <v>44995</v>
      </c>
      <c r="B958" s="13">
        <v>10</v>
      </c>
      <c r="C958" t="s">
        <v>3</v>
      </c>
      <c r="D958" t="s">
        <v>4</v>
      </c>
      <c r="E958" t="s">
        <v>21</v>
      </c>
      <c r="F958" s="6">
        <v>200615883</v>
      </c>
      <c r="G958" t="s">
        <v>508</v>
      </c>
      <c r="H958" t="s">
        <v>7</v>
      </c>
      <c r="I958">
        <v>0</v>
      </c>
      <c r="J958">
        <v>0</v>
      </c>
      <c r="K958">
        <v>0</v>
      </c>
      <c r="L958">
        <v>0</v>
      </c>
      <c r="M958">
        <v>0.65</v>
      </c>
      <c r="N958" s="7" t="e">
        <f>VLOOKUP(F958,HC!A$6:D$100,3,FALSE)</f>
        <v>#N/A</v>
      </c>
      <c r="O958" s="7" t="e">
        <f>VLOOKUP(F958,HC!A$6:D$1000,2,FALSE)</f>
        <v>#N/A</v>
      </c>
      <c r="P958" t="s">
        <v>664</v>
      </c>
      <c r="Q958" s="7" t="s">
        <v>710</v>
      </c>
      <c r="U958">
        <f t="shared" si="16"/>
        <v>1395</v>
      </c>
    </row>
    <row r="959" spans="1:21" ht="37.5" customHeight="1" x14ac:dyDescent="0.25">
      <c r="A959" s="23">
        <v>44995</v>
      </c>
      <c r="B959" s="13">
        <v>10</v>
      </c>
      <c r="C959" t="s">
        <v>3</v>
      </c>
      <c r="D959" t="s">
        <v>4</v>
      </c>
      <c r="E959" t="s">
        <v>21</v>
      </c>
      <c r="F959" s="6">
        <v>201190781</v>
      </c>
      <c r="G959" t="s">
        <v>845</v>
      </c>
      <c r="H959" t="s">
        <v>846</v>
      </c>
      <c r="I959">
        <v>0</v>
      </c>
      <c r="J959">
        <v>0</v>
      </c>
      <c r="K959">
        <v>0</v>
      </c>
      <c r="L959">
        <v>0</v>
      </c>
      <c r="M959">
        <v>0.38</v>
      </c>
      <c r="N959" s="7" t="e">
        <f>VLOOKUP(F959,HC!A$6:D$100,3,FALSE)</f>
        <v>#N/A</v>
      </c>
      <c r="O959" s="7" t="e">
        <f>VLOOKUP(F959,HC!A$6:D$1000,2,FALSE)</f>
        <v>#N/A</v>
      </c>
      <c r="Q959" s="7"/>
      <c r="U959">
        <f t="shared" si="16"/>
        <v>1395</v>
      </c>
    </row>
    <row r="960" spans="1:21" ht="37.5" customHeight="1" x14ac:dyDescent="0.25">
      <c r="A960" s="23">
        <v>44996</v>
      </c>
      <c r="B960" s="13">
        <v>10</v>
      </c>
      <c r="C960" t="s">
        <v>3</v>
      </c>
      <c r="D960" t="s">
        <v>4</v>
      </c>
      <c r="E960" t="s">
        <v>5</v>
      </c>
      <c r="F960" s="6">
        <v>112912675</v>
      </c>
      <c r="G960" t="s">
        <v>326</v>
      </c>
      <c r="H960" t="s">
        <v>268</v>
      </c>
      <c r="I960">
        <v>0</v>
      </c>
      <c r="J960">
        <v>0</v>
      </c>
      <c r="K960">
        <v>0</v>
      </c>
      <c r="L960">
        <v>0</v>
      </c>
      <c r="M960">
        <v>0.92</v>
      </c>
      <c r="N960" s="7" t="e">
        <f>VLOOKUP(F960,HC!A$6:D$100,3,FALSE)</f>
        <v>#N/A</v>
      </c>
      <c r="O960" s="7" t="e">
        <f>VLOOKUP(F960,HC!A$6:D$1000,2,FALSE)</f>
        <v>#N/A</v>
      </c>
      <c r="P960" t="s">
        <v>664</v>
      </c>
      <c r="Q960" s="7" t="s">
        <v>777</v>
      </c>
      <c r="U960">
        <f t="shared" si="16"/>
        <v>1395</v>
      </c>
    </row>
    <row r="961" spans="1:21" ht="37.5" customHeight="1" x14ac:dyDescent="0.25">
      <c r="A961" s="23">
        <v>44996</v>
      </c>
      <c r="B961" s="13">
        <v>10</v>
      </c>
      <c r="C961" t="s">
        <v>3</v>
      </c>
      <c r="D961" t="s">
        <v>4</v>
      </c>
      <c r="E961" t="s">
        <v>5</v>
      </c>
      <c r="F961" s="6">
        <v>112912983</v>
      </c>
      <c r="G961" t="s">
        <v>558</v>
      </c>
      <c r="H961" t="s">
        <v>332</v>
      </c>
      <c r="I961">
        <v>0</v>
      </c>
      <c r="J961">
        <v>0</v>
      </c>
      <c r="K961">
        <v>0</v>
      </c>
      <c r="L961">
        <v>0</v>
      </c>
      <c r="M961">
        <v>0.14000000000000001</v>
      </c>
      <c r="N961" s="7" t="str">
        <f>VLOOKUP(F961,HC!A$6:D$100,3,FALSE)</f>
        <v>NF-X1900</v>
      </c>
      <c r="O961" s="7" t="str">
        <f>VLOOKUP(F961,HC!A$6:D$1000,2,FALSE)</f>
        <v>wrocirod</v>
      </c>
      <c r="P961" t="s">
        <v>661</v>
      </c>
      <c r="Q961" s="7" t="s">
        <v>681</v>
      </c>
      <c r="U961">
        <f t="shared" si="16"/>
        <v>16</v>
      </c>
    </row>
    <row r="962" spans="1:21" ht="37.5" customHeight="1" x14ac:dyDescent="0.25">
      <c r="A962" s="23">
        <v>44996</v>
      </c>
      <c r="B962" s="13">
        <v>10</v>
      </c>
      <c r="C962" t="s">
        <v>3</v>
      </c>
      <c r="D962" t="s">
        <v>4</v>
      </c>
      <c r="E962" t="s">
        <v>5</v>
      </c>
      <c r="F962" s="6">
        <v>112916534</v>
      </c>
      <c r="G962" t="s">
        <v>425</v>
      </c>
      <c r="H962" t="s">
        <v>268</v>
      </c>
      <c r="I962">
        <v>0</v>
      </c>
      <c r="J962">
        <v>0</v>
      </c>
      <c r="K962">
        <v>0</v>
      </c>
      <c r="L962">
        <v>0</v>
      </c>
      <c r="M962">
        <v>0.02</v>
      </c>
      <c r="N962" s="7" t="str">
        <f>VLOOKUP(F962,HC!A$6:D$100,3,FALSE)</f>
        <v>DB-X0700</v>
      </c>
      <c r="O962" s="7" t="str">
        <f>VLOOKUP(F962,HC!A$6:D$1000,2,FALSE)</f>
        <v>earelili</v>
      </c>
      <c r="P962" t="s">
        <v>665</v>
      </c>
      <c r="Q962" s="7" t="s">
        <v>722</v>
      </c>
      <c r="U962">
        <f t="shared" si="16"/>
        <v>15</v>
      </c>
    </row>
    <row r="963" spans="1:21" ht="37.5" customHeight="1" x14ac:dyDescent="0.25">
      <c r="A963" s="23">
        <v>44996</v>
      </c>
      <c r="B963" s="13">
        <v>10</v>
      </c>
      <c r="C963" t="s">
        <v>3</v>
      </c>
      <c r="D963" t="s">
        <v>4</v>
      </c>
      <c r="E963" t="s">
        <v>5</v>
      </c>
      <c r="F963" s="6">
        <v>112951256</v>
      </c>
      <c r="G963" t="s">
        <v>337</v>
      </c>
      <c r="H963" t="s">
        <v>332</v>
      </c>
      <c r="I963">
        <v>0</v>
      </c>
      <c r="J963">
        <v>0</v>
      </c>
      <c r="K963">
        <v>0</v>
      </c>
      <c r="L963">
        <v>0</v>
      </c>
      <c r="M963">
        <v>0.51</v>
      </c>
      <c r="N963" s="7" t="str">
        <f>VLOOKUP(F963,HC!A$6:D$100,3,FALSE)</f>
        <v>DA-X0700</v>
      </c>
      <c r="O963" s="7" t="str">
        <f>VLOOKUP(F963,HC!A$6:D$1000,2,FALSE)</f>
        <v>grkatery</v>
      </c>
      <c r="Q963" s="7"/>
      <c r="U963">
        <f t="shared" ref="U963:U1026" si="17">COUNTIF(O$2:O$4999,O963)</f>
        <v>17</v>
      </c>
    </row>
    <row r="964" spans="1:21" ht="37.5" customHeight="1" x14ac:dyDescent="0.25">
      <c r="A964" s="23">
        <v>44996</v>
      </c>
      <c r="B964" s="13">
        <v>10</v>
      </c>
      <c r="C964" t="s">
        <v>3</v>
      </c>
      <c r="D964" t="s">
        <v>4</v>
      </c>
      <c r="E964" t="s">
        <v>5</v>
      </c>
      <c r="F964" s="6">
        <v>112972958</v>
      </c>
      <c r="G964" t="s">
        <v>441</v>
      </c>
      <c r="H964" t="s">
        <v>459</v>
      </c>
      <c r="I964">
        <v>0</v>
      </c>
      <c r="J964">
        <v>0</v>
      </c>
      <c r="K964">
        <v>0</v>
      </c>
      <c r="L964">
        <v>0</v>
      </c>
      <c r="M964">
        <v>0.21</v>
      </c>
      <c r="N964" s="7" t="str">
        <f>VLOOKUP(F964,HC!A$6:D$100,3,FALSE)</f>
        <v>D5-X0700</v>
      </c>
      <c r="O964" s="7" t="str">
        <f>VLOOKUP(F964,HC!A$6:D$1000,2,FALSE)</f>
        <v>ugonzgui</v>
      </c>
      <c r="P964" t="s">
        <v>664</v>
      </c>
      <c r="Q964" s="7" t="s">
        <v>711</v>
      </c>
      <c r="U964">
        <f t="shared" si="17"/>
        <v>13</v>
      </c>
    </row>
    <row r="965" spans="1:21" ht="37.5" customHeight="1" x14ac:dyDescent="0.25">
      <c r="A965" s="23">
        <v>44996</v>
      </c>
      <c r="B965" s="13">
        <v>10</v>
      </c>
      <c r="C965" t="s">
        <v>3</v>
      </c>
      <c r="D965" t="s">
        <v>4</v>
      </c>
      <c r="E965" t="s">
        <v>5</v>
      </c>
      <c r="F965" s="6">
        <v>112984442</v>
      </c>
      <c r="G965" t="s">
        <v>315</v>
      </c>
      <c r="H965" t="s">
        <v>268</v>
      </c>
      <c r="I965">
        <v>0</v>
      </c>
      <c r="J965">
        <v>0</v>
      </c>
      <c r="K965">
        <v>0</v>
      </c>
      <c r="L965">
        <v>0</v>
      </c>
      <c r="M965">
        <v>0.38</v>
      </c>
      <c r="N965" s="7" t="e">
        <f>VLOOKUP(F965,HC!A$6:D$100,3,FALSE)</f>
        <v>#N/A</v>
      </c>
      <c r="O965" s="7" t="e">
        <f>VLOOKUP(F965,HC!A$6:D$1000,2,FALSE)</f>
        <v>#N/A</v>
      </c>
      <c r="Q965" s="7"/>
      <c r="U965">
        <f t="shared" si="17"/>
        <v>1395</v>
      </c>
    </row>
    <row r="966" spans="1:21" ht="37.5" customHeight="1" x14ac:dyDescent="0.25">
      <c r="A966" s="23">
        <v>44996</v>
      </c>
      <c r="B966" s="13">
        <v>10</v>
      </c>
      <c r="C966" t="s">
        <v>3</v>
      </c>
      <c r="D966" t="s">
        <v>4</v>
      </c>
      <c r="E966" t="s">
        <v>5</v>
      </c>
      <c r="F966" s="6">
        <v>113014072</v>
      </c>
      <c r="G966" t="s">
        <v>491</v>
      </c>
      <c r="H966" t="s">
        <v>298</v>
      </c>
      <c r="I966">
        <v>0</v>
      </c>
      <c r="J966">
        <v>0</v>
      </c>
      <c r="K966">
        <v>0</v>
      </c>
      <c r="L966">
        <v>0</v>
      </c>
      <c r="M966">
        <v>0.11</v>
      </c>
      <c r="N966" s="7" t="e">
        <f>VLOOKUP(F966,HC!A$6:D$100,3,FALSE)</f>
        <v>#N/A</v>
      </c>
      <c r="O966" s="7" t="e">
        <f>VLOOKUP(F966,HC!A$6:D$1000,2,FALSE)</f>
        <v>#N/A</v>
      </c>
      <c r="P966" t="s">
        <v>665</v>
      </c>
      <c r="Q966" s="7" t="s">
        <v>722</v>
      </c>
      <c r="U966">
        <f t="shared" si="17"/>
        <v>1395</v>
      </c>
    </row>
    <row r="967" spans="1:21" ht="37.5" customHeight="1" x14ac:dyDescent="0.25">
      <c r="A967" s="23">
        <v>44996</v>
      </c>
      <c r="B967" s="13">
        <v>10</v>
      </c>
      <c r="C967" t="s">
        <v>3</v>
      </c>
      <c r="D967" t="s">
        <v>4</v>
      </c>
      <c r="E967" t="s">
        <v>5</v>
      </c>
      <c r="F967" s="6">
        <v>113138338</v>
      </c>
      <c r="G967" t="s">
        <v>398</v>
      </c>
      <c r="H967" t="s">
        <v>332</v>
      </c>
      <c r="I967">
        <v>0</v>
      </c>
      <c r="J967">
        <v>0</v>
      </c>
      <c r="K967">
        <v>0</v>
      </c>
      <c r="L967">
        <v>0</v>
      </c>
      <c r="M967">
        <v>1.86</v>
      </c>
      <c r="N967" s="7" t="e">
        <f>VLOOKUP(F967,HC!A$6:D$100,3,FALSE)</f>
        <v>#N/A</v>
      </c>
      <c r="O967" s="7" t="str">
        <f>VLOOKUP(F967,HC!A$6:D$1000,2,FALSE)</f>
        <v>cescornh</v>
      </c>
      <c r="P967" t="s">
        <v>661</v>
      </c>
      <c r="Q967" s="7" t="s">
        <v>684</v>
      </c>
      <c r="U967">
        <f t="shared" si="17"/>
        <v>10</v>
      </c>
    </row>
    <row r="968" spans="1:21" ht="37.5" customHeight="1" x14ac:dyDescent="0.25">
      <c r="A968" s="23">
        <v>44996</v>
      </c>
      <c r="B968" s="13">
        <v>10</v>
      </c>
      <c r="C968" t="s">
        <v>3</v>
      </c>
      <c r="D968" t="s">
        <v>4</v>
      </c>
      <c r="E968" t="s">
        <v>21</v>
      </c>
      <c r="F968" s="6">
        <v>200552734</v>
      </c>
      <c r="G968" t="s">
        <v>492</v>
      </c>
      <c r="H968" t="s">
        <v>298</v>
      </c>
      <c r="I968">
        <v>0</v>
      </c>
      <c r="J968">
        <v>0</v>
      </c>
      <c r="K968">
        <v>0</v>
      </c>
      <c r="L968">
        <v>0</v>
      </c>
      <c r="M968">
        <v>0.45</v>
      </c>
      <c r="N968" s="7" t="e">
        <f>VLOOKUP(F968,HC!A$6:D$100,3,FALSE)</f>
        <v>#N/A</v>
      </c>
      <c r="O968" s="7" t="e">
        <f>VLOOKUP(F968,HC!A$6:D$1000,2,FALSE)</f>
        <v>#N/A</v>
      </c>
      <c r="P968" t="s">
        <v>662</v>
      </c>
      <c r="Q968" s="7" t="s">
        <v>757</v>
      </c>
      <c r="U968">
        <f t="shared" si="17"/>
        <v>1395</v>
      </c>
    </row>
    <row r="969" spans="1:21" ht="37.5" customHeight="1" x14ac:dyDescent="0.25">
      <c r="A969" s="23">
        <v>44996</v>
      </c>
      <c r="B969" s="13">
        <v>10</v>
      </c>
      <c r="C969" t="s">
        <v>3</v>
      </c>
      <c r="D969" t="s">
        <v>4</v>
      </c>
      <c r="E969" t="s">
        <v>21</v>
      </c>
      <c r="F969" s="6">
        <v>200589316</v>
      </c>
      <c r="G969" t="s">
        <v>53</v>
      </c>
      <c r="H969" t="s">
        <v>7</v>
      </c>
      <c r="I969">
        <v>0</v>
      </c>
      <c r="J969">
        <v>0</v>
      </c>
      <c r="K969">
        <v>0</v>
      </c>
      <c r="L969">
        <v>0</v>
      </c>
      <c r="M969">
        <v>0.86</v>
      </c>
      <c r="N969" s="7" t="e">
        <f>VLOOKUP(F969,HC!A$6:D$100,3,FALSE)</f>
        <v>#N/A</v>
      </c>
      <c r="O969" s="7" t="e">
        <f>VLOOKUP(F969,HC!A$6:D$1000,2,FALSE)</f>
        <v>#N/A</v>
      </c>
      <c r="P969" t="s">
        <v>662</v>
      </c>
      <c r="Q969" s="7" t="s">
        <v>691</v>
      </c>
      <c r="U969">
        <f t="shared" si="17"/>
        <v>1395</v>
      </c>
    </row>
    <row r="970" spans="1:21" ht="37.5" customHeight="1" x14ac:dyDescent="0.25">
      <c r="A970" s="23">
        <v>44996</v>
      </c>
      <c r="B970" s="13">
        <v>10</v>
      </c>
      <c r="C970" t="s">
        <v>3</v>
      </c>
      <c r="D970" t="s">
        <v>4</v>
      </c>
      <c r="E970" t="s">
        <v>21</v>
      </c>
      <c r="F970" s="6">
        <v>200615883</v>
      </c>
      <c r="G970" t="s">
        <v>508</v>
      </c>
      <c r="H970" t="s">
        <v>7</v>
      </c>
      <c r="I970">
        <v>0</v>
      </c>
      <c r="J970">
        <v>0</v>
      </c>
      <c r="K970">
        <v>0</v>
      </c>
      <c r="L970">
        <v>0</v>
      </c>
      <c r="M970">
        <v>0.98</v>
      </c>
      <c r="N970" s="7" t="e">
        <f>VLOOKUP(F970,HC!A$6:D$100,3,FALSE)</f>
        <v>#N/A</v>
      </c>
      <c r="O970" s="7" t="e">
        <f>VLOOKUP(F970,HC!A$6:D$1000,2,FALSE)</f>
        <v>#N/A</v>
      </c>
      <c r="P970" t="s">
        <v>664</v>
      </c>
      <c r="Q970" s="7" t="s">
        <v>708</v>
      </c>
      <c r="R970" t="s">
        <v>850</v>
      </c>
      <c r="U970">
        <f t="shared" si="17"/>
        <v>1395</v>
      </c>
    </row>
    <row r="971" spans="1:21" ht="37.5" customHeight="1" x14ac:dyDescent="0.25">
      <c r="A971" s="23">
        <v>44996</v>
      </c>
      <c r="B971" s="13">
        <v>10</v>
      </c>
      <c r="C971" t="s">
        <v>3</v>
      </c>
      <c r="D971" t="s">
        <v>4</v>
      </c>
      <c r="E971" t="s">
        <v>21</v>
      </c>
      <c r="F971" s="6">
        <v>201167363</v>
      </c>
      <c r="G971" t="s">
        <v>848</v>
      </c>
      <c r="H971" t="s">
        <v>559</v>
      </c>
      <c r="I971">
        <v>0</v>
      </c>
      <c r="J971">
        <v>0</v>
      </c>
      <c r="K971">
        <v>0</v>
      </c>
      <c r="L971">
        <v>0</v>
      </c>
      <c r="M971">
        <v>0.74</v>
      </c>
      <c r="N971" s="7" t="e">
        <f>VLOOKUP(F971,HC!A$6:D$100,3,FALSE)</f>
        <v>#N/A</v>
      </c>
      <c r="O971" s="7" t="e">
        <f>VLOOKUP(F971,HC!A$6:D$1000,2,FALSE)</f>
        <v>#N/A</v>
      </c>
      <c r="P971" t="s">
        <v>664</v>
      </c>
      <c r="Q971" s="7" t="s">
        <v>777</v>
      </c>
      <c r="U971">
        <f t="shared" si="17"/>
        <v>1395</v>
      </c>
    </row>
    <row r="972" spans="1:21" ht="37.5" customHeight="1" x14ac:dyDescent="0.25">
      <c r="A972" s="23">
        <v>44996</v>
      </c>
      <c r="B972" s="13">
        <v>10</v>
      </c>
      <c r="C972" t="s">
        <v>3</v>
      </c>
      <c r="D972" t="s">
        <v>4</v>
      </c>
      <c r="E972" t="s">
        <v>21</v>
      </c>
      <c r="F972" s="6">
        <v>201167517</v>
      </c>
      <c r="G972" t="s">
        <v>849</v>
      </c>
      <c r="H972" t="s">
        <v>17</v>
      </c>
      <c r="I972">
        <v>0</v>
      </c>
      <c r="J972">
        <v>0</v>
      </c>
      <c r="K972">
        <v>0</v>
      </c>
      <c r="L972">
        <v>0</v>
      </c>
      <c r="M972">
        <v>0.47</v>
      </c>
      <c r="N972" s="7" t="e">
        <f>VLOOKUP(F972,HC!A$6:D$100,3,FALSE)</f>
        <v>#N/A</v>
      </c>
      <c r="O972" s="7" t="e">
        <f>VLOOKUP(F972,HC!A$6:D$1000,2,FALSE)</f>
        <v>#N/A</v>
      </c>
      <c r="P972" t="s">
        <v>662</v>
      </c>
      <c r="Q972" s="7" t="s">
        <v>691</v>
      </c>
      <c r="U972">
        <f t="shared" si="17"/>
        <v>1395</v>
      </c>
    </row>
    <row r="973" spans="1:21" ht="37.5" customHeight="1" x14ac:dyDescent="0.25">
      <c r="A973" s="23">
        <v>44997</v>
      </c>
      <c r="B973" s="13">
        <v>11</v>
      </c>
      <c r="C973" t="s">
        <v>3</v>
      </c>
      <c r="D973" t="s">
        <v>4</v>
      </c>
      <c r="E973" t="s">
        <v>5</v>
      </c>
      <c r="F973" s="6">
        <v>112912163</v>
      </c>
      <c r="G973" t="s">
        <v>294</v>
      </c>
      <c r="H973" t="s">
        <v>285</v>
      </c>
      <c r="I973">
        <v>0</v>
      </c>
      <c r="J973">
        <v>0</v>
      </c>
      <c r="K973">
        <v>0</v>
      </c>
      <c r="L973">
        <v>0</v>
      </c>
      <c r="M973">
        <v>0.51</v>
      </c>
      <c r="N973" s="7" t="e">
        <f>VLOOKUP(F973,HC!A$6:D$100,3,FALSE)</f>
        <v>#N/A</v>
      </c>
      <c r="O973" s="7" t="e">
        <f>VLOOKUP(F973,HC!A$6:D$1000,2,FALSE)</f>
        <v>#N/A</v>
      </c>
      <c r="P973" t="s">
        <v>661</v>
      </c>
      <c r="Q973" s="7" t="s">
        <v>681</v>
      </c>
      <c r="U973">
        <f t="shared" si="17"/>
        <v>1395</v>
      </c>
    </row>
    <row r="974" spans="1:21" ht="37.5" customHeight="1" x14ac:dyDescent="0.25">
      <c r="A974" s="23">
        <v>44997</v>
      </c>
      <c r="B974" s="13">
        <v>11</v>
      </c>
      <c r="C974" t="s">
        <v>3</v>
      </c>
      <c r="D974" t="s">
        <v>4</v>
      </c>
      <c r="E974" t="s">
        <v>5</v>
      </c>
      <c r="F974" s="6">
        <v>112912459</v>
      </c>
      <c r="G974" t="s">
        <v>365</v>
      </c>
      <c r="H974" t="s">
        <v>7</v>
      </c>
      <c r="I974">
        <v>0</v>
      </c>
      <c r="J974">
        <v>0</v>
      </c>
      <c r="K974">
        <v>0</v>
      </c>
      <c r="L974">
        <v>0</v>
      </c>
      <c r="M974">
        <v>0.6</v>
      </c>
      <c r="N974" s="7" t="e">
        <f>VLOOKUP(F974,HC!A$6:D$100,3,FALSE)</f>
        <v>#N/A</v>
      </c>
      <c r="O974" s="7" t="e">
        <f>VLOOKUP(F974,HC!A$6:D$1000,2,FALSE)</f>
        <v>#N/A</v>
      </c>
      <c r="P974" t="s">
        <v>664</v>
      </c>
      <c r="Q974" s="7" t="s">
        <v>708</v>
      </c>
      <c r="U974">
        <f t="shared" si="17"/>
        <v>1395</v>
      </c>
    </row>
    <row r="975" spans="1:21" ht="37.5" customHeight="1" x14ac:dyDescent="0.25">
      <c r="A975" s="23">
        <v>44997</v>
      </c>
      <c r="B975" s="13">
        <v>11</v>
      </c>
      <c r="C975" t="s">
        <v>3</v>
      </c>
      <c r="D975" t="s">
        <v>4</v>
      </c>
      <c r="E975" t="s">
        <v>5</v>
      </c>
      <c r="F975" s="6">
        <v>112980844</v>
      </c>
      <c r="G975" t="s">
        <v>13</v>
      </c>
      <c r="H975" t="s">
        <v>44</v>
      </c>
      <c r="I975">
        <v>0</v>
      </c>
      <c r="J975">
        <v>0</v>
      </c>
      <c r="K975">
        <v>0</v>
      </c>
      <c r="L975">
        <v>0</v>
      </c>
      <c r="M975">
        <v>0.08</v>
      </c>
      <c r="N975" s="7" t="str">
        <f>VLOOKUP(F975,HC!A$6:D$100,3,FALSE)</f>
        <v>DA-X0700</v>
      </c>
      <c r="O975" s="7" t="str">
        <f>VLOOKUP(F975,HC!A$6:D$1000,2,FALSE)</f>
        <v>samajpad</v>
      </c>
      <c r="P975" t="s">
        <v>670</v>
      </c>
      <c r="Q975" s="7" t="s">
        <v>764</v>
      </c>
      <c r="U975">
        <f t="shared" si="17"/>
        <v>20</v>
      </c>
    </row>
    <row r="976" spans="1:21" ht="37.5" customHeight="1" x14ac:dyDescent="0.25">
      <c r="A976" s="23">
        <v>44997</v>
      </c>
      <c r="B976" s="13">
        <v>11</v>
      </c>
      <c r="C976" t="s">
        <v>3</v>
      </c>
      <c r="D976" t="s">
        <v>4</v>
      </c>
      <c r="E976" t="s">
        <v>5</v>
      </c>
      <c r="F976" s="6">
        <v>112981013</v>
      </c>
      <c r="G976" t="s">
        <v>283</v>
      </c>
      <c r="H976" t="s">
        <v>44</v>
      </c>
      <c r="I976">
        <v>0</v>
      </c>
      <c r="J976">
        <v>0</v>
      </c>
      <c r="K976">
        <v>0</v>
      </c>
      <c r="L976">
        <v>0</v>
      </c>
      <c r="M976">
        <v>0.53</v>
      </c>
      <c r="N976" s="7" t="str">
        <f>VLOOKUP(F976,HC!A$6:D$100,3,FALSE)</f>
        <v>DA-X0700</v>
      </c>
      <c r="O976" s="7" t="str">
        <f>VLOOKUP(F976,HC!A$6:D$1000,2,FALSE)</f>
        <v>normaelo</v>
      </c>
      <c r="P976" t="s">
        <v>664</v>
      </c>
      <c r="Q976" s="7" t="s">
        <v>717</v>
      </c>
      <c r="U976">
        <f t="shared" si="17"/>
        <v>24</v>
      </c>
    </row>
    <row r="977" spans="1:21" ht="37.5" customHeight="1" x14ac:dyDescent="0.25">
      <c r="A977" s="23">
        <v>44997</v>
      </c>
      <c r="B977" s="13">
        <v>11</v>
      </c>
      <c r="C977" t="s">
        <v>3</v>
      </c>
      <c r="D977" t="s">
        <v>4</v>
      </c>
      <c r="E977" t="s">
        <v>21</v>
      </c>
      <c r="F977" s="6">
        <v>200615883</v>
      </c>
      <c r="G977" t="s">
        <v>508</v>
      </c>
      <c r="H977" t="s">
        <v>7</v>
      </c>
      <c r="I977">
        <v>0</v>
      </c>
      <c r="J977">
        <v>0</v>
      </c>
      <c r="K977">
        <v>0</v>
      </c>
      <c r="L977">
        <v>0</v>
      </c>
      <c r="M977">
        <v>1.47</v>
      </c>
      <c r="N977" s="7" t="e">
        <f>VLOOKUP(F977,HC!A$6:D$100,3,FALSE)</f>
        <v>#N/A</v>
      </c>
      <c r="O977" s="7" t="e">
        <f>VLOOKUP(F977,HC!A$6:D$1000,2,FALSE)</f>
        <v>#N/A</v>
      </c>
      <c r="P977" t="s">
        <v>664</v>
      </c>
      <c r="Q977" s="7" t="s">
        <v>710</v>
      </c>
      <c r="U977">
        <f t="shared" si="17"/>
        <v>1395</v>
      </c>
    </row>
    <row r="978" spans="1:21" ht="37.5" customHeight="1" x14ac:dyDescent="0.25">
      <c r="A978" s="23">
        <v>44997</v>
      </c>
      <c r="B978" s="13">
        <v>11</v>
      </c>
      <c r="C978" t="s">
        <v>3</v>
      </c>
      <c r="D978" t="s">
        <v>4</v>
      </c>
      <c r="E978" t="s">
        <v>21</v>
      </c>
      <c r="F978" s="6">
        <v>200620341</v>
      </c>
      <c r="G978" t="s">
        <v>255</v>
      </c>
      <c r="H978" t="s">
        <v>47</v>
      </c>
      <c r="I978">
        <v>0</v>
      </c>
      <c r="J978">
        <v>0</v>
      </c>
      <c r="K978">
        <v>0</v>
      </c>
      <c r="L978">
        <v>0</v>
      </c>
      <c r="M978">
        <v>0.09</v>
      </c>
      <c r="N978" s="7" t="e">
        <f>VLOOKUP(F978,HC!A$6:D$100,3,FALSE)</f>
        <v>#N/A</v>
      </c>
      <c r="O978" s="7" t="e">
        <f>VLOOKUP(F978,HC!A$6:D$1000,2,FALSE)</f>
        <v>#N/A</v>
      </c>
      <c r="P978" t="s">
        <v>662</v>
      </c>
      <c r="Q978" s="7" t="s">
        <v>687</v>
      </c>
      <c r="U978">
        <f t="shared" si="17"/>
        <v>1395</v>
      </c>
    </row>
    <row r="979" spans="1:21" ht="37.5" customHeight="1" x14ac:dyDescent="0.25">
      <c r="A979" s="23">
        <v>44997</v>
      </c>
      <c r="B979" s="13">
        <v>11</v>
      </c>
      <c r="C979" t="s">
        <v>3</v>
      </c>
      <c r="D979" t="s">
        <v>4</v>
      </c>
      <c r="E979" t="s">
        <v>21</v>
      </c>
      <c r="F979" s="6">
        <v>201160146</v>
      </c>
      <c r="G979" t="s">
        <v>851</v>
      </c>
      <c r="H979" t="s">
        <v>559</v>
      </c>
      <c r="I979">
        <v>0</v>
      </c>
      <c r="J979">
        <v>0</v>
      </c>
      <c r="K979">
        <v>0</v>
      </c>
      <c r="L979">
        <v>0</v>
      </c>
      <c r="M979">
        <v>0.59</v>
      </c>
      <c r="N979" s="7" t="e">
        <f>VLOOKUP(F979,HC!A$6:D$100,3,FALSE)</f>
        <v>#N/A</v>
      </c>
      <c r="O979" s="7" t="e">
        <f>VLOOKUP(F979,HC!A$6:D$1000,2,FALSE)</f>
        <v>#N/A</v>
      </c>
      <c r="P979" t="s">
        <v>662</v>
      </c>
      <c r="Q979" s="7" t="s">
        <v>691</v>
      </c>
      <c r="U979">
        <f t="shared" si="17"/>
        <v>1395</v>
      </c>
    </row>
    <row r="980" spans="1:21" ht="37.5" customHeight="1" x14ac:dyDescent="0.25">
      <c r="A980" s="23">
        <v>44997</v>
      </c>
      <c r="B980" s="13">
        <v>11</v>
      </c>
      <c r="C980" t="s">
        <v>3</v>
      </c>
      <c r="D980" t="s">
        <v>4</v>
      </c>
      <c r="E980" t="s">
        <v>21</v>
      </c>
      <c r="F980" s="6">
        <v>201167363</v>
      </c>
      <c r="G980" t="s">
        <v>848</v>
      </c>
      <c r="H980" t="s">
        <v>559</v>
      </c>
      <c r="I980">
        <v>0</v>
      </c>
      <c r="J980">
        <v>0</v>
      </c>
      <c r="K980">
        <v>0</v>
      </c>
      <c r="L980">
        <v>0</v>
      </c>
      <c r="M980">
        <v>0.23</v>
      </c>
      <c r="N980" s="7" t="e">
        <f>VLOOKUP(F980,HC!A$6:D$100,3,FALSE)</f>
        <v>#N/A</v>
      </c>
      <c r="O980" s="7" t="e">
        <f>VLOOKUP(F980,HC!A$6:D$1000,2,FALSE)</f>
        <v>#N/A</v>
      </c>
      <c r="P980" t="s">
        <v>661</v>
      </c>
      <c r="Q980" s="7" t="s">
        <v>681</v>
      </c>
      <c r="U980">
        <f t="shared" si="17"/>
        <v>1395</v>
      </c>
    </row>
    <row r="981" spans="1:21" ht="37.5" customHeight="1" x14ac:dyDescent="0.25">
      <c r="A981" s="23">
        <v>44998</v>
      </c>
      <c r="B981" s="13">
        <v>11</v>
      </c>
      <c r="C981" t="s">
        <v>3</v>
      </c>
      <c r="D981" t="s">
        <v>4</v>
      </c>
      <c r="E981" t="s">
        <v>5</v>
      </c>
      <c r="F981" s="37">
        <v>112912014</v>
      </c>
      <c r="G981" t="s">
        <v>852</v>
      </c>
      <c r="H981" t="s">
        <v>253</v>
      </c>
      <c r="I981">
        <v>0</v>
      </c>
      <c r="J981">
        <v>0</v>
      </c>
      <c r="K981">
        <v>0</v>
      </c>
      <c r="L981">
        <v>0</v>
      </c>
      <c r="M981">
        <v>0.25</v>
      </c>
      <c r="N981" s="7" t="str">
        <f>VLOOKUP(F981,HC!A$6:D$100,3,FALSE)</f>
        <v>DA-X0700</v>
      </c>
      <c r="O981" s="7" t="str">
        <f>VLOOKUP(F981,HC!A$6:D$1000,2,FALSE)</f>
        <v>ravsofia</v>
      </c>
      <c r="P981" t="s">
        <v>662</v>
      </c>
      <c r="Q981" s="7" t="s">
        <v>688</v>
      </c>
      <c r="U981">
        <f t="shared" si="17"/>
        <v>3</v>
      </c>
    </row>
    <row r="982" spans="1:21" ht="37.5" customHeight="1" x14ac:dyDescent="0.25">
      <c r="A982" s="23">
        <v>44998</v>
      </c>
      <c r="B982" s="13">
        <v>11</v>
      </c>
      <c r="C982" t="s">
        <v>3</v>
      </c>
      <c r="D982" t="s">
        <v>4</v>
      </c>
      <c r="E982" t="s">
        <v>5</v>
      </c>
      <c r="F982" s="37">
        <v>112912163</v>
      </c>
      <c r="G982" t="s">
        <v>294</v>
      </c>
      <c r="H982" t="s">
        <v>285</v>
      </c>
      <c r="I982">
        <v>0</v>
      </c>
      <c r="J982">
        <v>0</v>
      </c>
      <c r="K982">
        <v>0</v>
      </c>
      <c r="L982">
        <v>0</v>
      </c>
      <c r="M982">
        <v>1.21</v>
      </c>
      <c r="N982" s="7" t="e">
        <f>VLOOKUP(F982,HC!A$6:D$100,3,FALSE)</f>
        <v>#N/A</v>
      </c>
      <c r="O982" s="7" t="e">
        <f>VLOOKUP(F982,HC!A$6:D$1000,2,FALSE)</f>
        <v>#N/A</v>
      </c>
      <c r="P982" t="s">
        <v>661</v>
      </c>
      <c r="Q982" s="7" t="s">
        <v>681</v>
      </c>
      <c r="U982">
        <f t="shared" si="17"/>
        <v>1395</v>
      </c>
    </row>
    <row r="983" spans="1:21" ht="37.5" customHeight="1" x14ac:dyDescent="0.25">
      <c r="A983" s="23">
        <v>44998</v>
      </c>
      <c r="B983" s="13">
        <v>11</v>
      </c>
      <c r="C983" t="s">
        <v>3</v>
      </c>
      <c r="D983" t="s">
        <v>4</v>
      </c>
      <c r="E983" t="s">
        <v>5</v>
      </c>
      <c r="F983" s="37">
        <v>112912459</v>
      </c>
      <c r="G983" t="s">
        <v>365</v>
      </c>
      <c r="H983" t="s">
        <v>7</v>
      </c>
      <c r="I983">
        <v>0</v>
      </c>
      <c r="J983">
        <v>0</v>
      </c>
      <c r="K983">
        <v>0</v>
      </c>
      <c r="L983">
        <v>0</v>
      </c>
      <c r="M983">
        <v>0.59</v>
      </c>
      <c r="N983" s="7" t="e">
        <f>VLOOKUP(F983,HC!A$6:D$100,3,FALSE)</f>
        <v>#N/A</v>
      </c>
      <c r="O983" s="7" t="e">
        <f>VLOOKUP(F983,HC!A$6:D$1000,2,FALSE)</f>
        <v>#N/A</v>
      </c>
      <c r="P983" t="s">
        <v>662</v>
      </c>
      <c r="Q983" s="7" t="s">
        <v>687</v>
      </c>
      <c r="U983">
        <f t="shared" si="17"/>
        <v>1395</v>
      </c>
    </row>
    <row r="984" spans="1:21" ht="37.5" customHeight="1" x14ac:dyDescent="0.25">
      <c r="A984" s="23">
        <v>44998</v>
      </c>
      <c r="B984" s="13">
        <v>11</v>
      </c>
      <c r="C984" t="s">
        <v>3</v>
      </c>
      <c r="D984" t="s">
        <v>4</v>
      </c>
      <c r="E984" t="s">
        <v>5</v>
      </c>
      <c r="F984" s="37">
        <v>112912983</v>
      </c>
      <c r="G984" t="s">
        <v>558</v>
      </c>
      <c r="H984" t="s">
        <v>332</v>
      </c>
      <c r="I984">
        <v>0</v>
      </c>
      <c r="J984">
        <v>0</v>
      </c>
      <c r="K984">
        <v>0</v>
      </c>
      <c r="L984">
        <v>0</v>
      </c>
      <c r="M984">
        <v>0.18</v>
      </c>
      <c r="N984" s="7" t="str">
        <f>VLOOKUP(F984,HC!A$6:D$100,3,FALSE)</f>
        <v>NF-X1900</v>
      </c>
      <c r="O984" s="7" t="str">
        <f>VLOOKUP(F984,HC!A$6:D$1000,2,FALSE)</f>
        <v>wrocirod</v>
      </c>
      <c r="P984" t="s">
        <v>661</v>
      </c>
      <c r="Q984" s="7" t="s">
        <v>681</v>
      </c>
      <c r="U984">
        <f t="shared" si="17"/>
        <v>16</v>
      </c>
    </row>
    <row r="985" spans="1:21" ht="37.5" customHeight="1" x14ac:dyDescent="0.25">
      <c r="A985" s="23">
        <v>44998</v>
      </c>
      <c r="B985" s="13">
        <v>11</v>
      </c>
      <c r="C985" t="s">
        <v>3</v>
      </c>
      <c r="D985" t="s">
        <v>4</v>
      </c>
      <c r="E985" t="s">
        <v>5</v>
      </c>
      <c r="F985" s="37">
        <v>112972609</v>
      </c>
      <c r="G985" t="s">
        <v>853</v>
      </c>
      <c r="H985" t="s">
        <v>332</v>
      </c>
      <c r="I985">
        <v>0</v>
      </c>
      <c r="J985">
        <v>0</v>
      </c>
      <c r="K985">
        <v>0</v>
      </c>
      <c r="L985">
        <v>0</v>
      </c>
      <c r="M985">
        <v>0.23</v>
      </c>
      <c r="N985" s="7" t="e">
        <f>VLOOKUP(F985,HC!A$6:D$100,3,FALSE)</f>
        <v>#N/A</v>
      </c>
      <c r="O985" s="7" t="e">
        <f>VLOOKUP(F985,HC!A$6:D$1000,2,FALSE)</f>
        <v>#N/A</v>
      </c>
      <c r="P985" t="s">
        <v>661</v>
      </c>
      <c r="Q985" s="7" t="s">
        <v>681</v>
      </c>
      <c r="U985">
        <f t="shared" si="17"/>
        <v>1395</v>
      </c>
    </row>
    <row r="986" spans="1:21" ht="37.5" customHeight="1" x14ac:dyDescent="0.25">
      <c r="A986" s="23">
        <v>44998</v>
      </c>
      <c r="B986" s="13">
        <v>11</v>
      </c>
      <c r="C986" t="s">
        <v>3</v>
      </c>
      <c r="D986" t="s">
        <v>4</v>
      </c>
      <c r="E986" t="s">
        <v>5</v>
      </c>
      <c r="F986" s="37">
        <v>112981013</v>
      </c>
      <c r="G986" t="s">
        <v>283</v>
      </c>
      <c r="H986" t="s">
        <v>44</v>
      </c>
      <c r="I986">
        <v>0</v>
      </c>
      <c r="J986">
        <v>0</v>
      </c>
      <c r="K986">
        <v>0</v>
      </c>
      <c r="L986">
        <v>0</v>
      </c>
      <c r="M986">
        <v>17</v>
      </c>
      <c r="N986" s="7" t="str">
        <f>VLOOKUP(F986,HC!A$6:D$100,3,FALSE)</f>
        <v>DA-X0700</v>
      </c>
      <c r="O986" s="7" t="str">
        <f>VLOOKUP(F986,HC!A$6:D$1000,2,FALSE)</f>
        <v>normaelo</v>
      </c>
      <c r="P986" t="s">
        <v>664</v>
      </c>
      <c r="Q986" s="7" t="s">
        <v>711</v>
      </c>
      <c r="U986">
        <f t="shared" si="17"/>
        <v>24</v>
      </c>
    </row>
    <row r="987" spans="1:21" ht="37.5" customHeight="1" x14ac:dyDescent="0.25">
      <c r="A987" s="23">
        <v>44998</v>
      </c>
      <c r="B987" s="13">
        <v>11</v>
      </c>
      <c r="C987" t="s">
        <v>3</v>
      </c>
      <c r="D987" t="s">
        <v>4</v>
      </c>
      <c r="E987" t="s">
        <v>5</v>
      </c>
      <c r="F987" s="37">
        <v>112984442</v>
      </c>
      <c r="G987" t="s">
        <v>315</v>
      </c>
      <c r="H987" t="s">
        <v>268</v>
      </c>
      <c r="I987">
        <v>0</v>
      </c>
      <c r="J987">
        <v>0</v>
      </c>
      <c r="K987">
        <v>0</v>
      </c>
      <c r="L987">
        <v>0</v>
      </c>
      <c r="M987">
        <v>0.34</v>
      </c>
      <c r="N987" s="7" t="e">
        <f>VLOOKUP(F987,HC!A$6:D$100,3,FALSE)</f>
        <v>#N/A</v>
      </c>
      <c r="O987" s="7" t="e">
        <f>VLOOKUP(F987,HC!A$6:D$1000,2,FALSE)</f>
        <v>#N/A</v>
      </c>
      <c r="P987" t="s">
        <v>662</v>
      </c>
      <c r="Q987" s="7" t="s">
        <v>688</v>
      </c>
      <c r="U987">
        <f t="shared" si="17"/>
        <v>1395</v>
      </c>
    </row>
    <row r="988" spans="1:21" ht="37.5" customHeight="1" x14ac:dyDescent="0.25">
      <c r="A988" s="23">
        <v>44998</v>
      </c>
      <c r="B988" s="13">
        <v>11</v>
      </c>
      <c r="C988" t="s">
        <v>3</v>
      </c>
      <c r="D988" t="s">
        <v>4</v>
      </c>
      <c r="E988" t="s">
        <v>5</v>
      </c>
      <c r="F988" s="37">
        <v>113014081</v>
      </c>
      <c r="G988" t="s">
        <v>267</v>
      </c>
      <c r="H988" t="s">
        <v>285</v>
      </c>
      <c r="I988">
        <v>0</v>
      </c>
      <c r="J988">
        <v>0</v>
      </c>
      <c r="K988">
        <v>0</v>
      </c>
      <c r="L988">
        <v>0</v>
      </c>
      <c r="M988">
        <v>0.24</v>
      </c>
      <c r="N988" s="7" t="e">
        <f>VLOOKUP(F988,HC!A$6:D$100,3,FALSE)</f>
        <v>#N/A</v>
      </c>
      <c r="O988" s="7" t="str">
        <f>VLOOKUP(F988,HC!A$6:D$1000,2,FALSE)</f>
        <v>fraugene</v>
      </c>
      <c r="P988" t="s">
        <v>663</v>
      </c>
      <c r="Q988" s="7" t="s">
        <v>695</v>
      </c>
      <c r="U988">
        <f t="shared" si="17"/>
        <v>32</v>
      </c>
    </row>
    <row r="989" spans="1:21" ht="37.5" customHeight="1" x14ac:dyDescent="0.25">
      <c r="A989" s="23">
        <v>44998</v>
      </c>
      <c r="B989" s="13">
        <v>11</v>
      </c>
      <c r="C989" t="s">
        <v>3</v>
      </c>
      <c r="D989" t="s">
        <v>4</v>
      </c>
      <c r="E989" t="s">
        <v>5</v>
      </c>
      <c r="F989" s="37">
        <v>113014113</v>
      </c>
      <c r="G989" t="s">
        <v>269</v>
      </c>
      <c r="H989" t="s">
        <v>49</v>
      </c>
      <c r="I989">
        <v>0</v>
      </c>
      <c r="J989">
        <v>0</v>
      </c>
      <c r="K989">
        <v>0</v>
      </c>
      <c r="L989">
        <v>0</v>
      </c>
      <c r="M989">
        <v>0.85</v>
      </c>
      <c r="N989" s="7" t="e">
        <f>VLOOKUP(F989,HC!A$6:D$100,3,FALSE)</f>
        <v>#N/A</v>
      </c>
      <c r="O989" s="7" t="e">
        <f>VLOOKUP(F989,HC!A$6:D$1000,2,FALSE)</f>
        <v>#N/A</v>
      </c>
      <c r="P989" t="s">
        <v>661</v>
      </c>
      <c r="Q989" s="7" t="s">
        <v>681</v>
      </c>
      <c r="U989">
        <f t="shared" si="17"/>
        <v>1395</v>
      </c>
    </row>
    <row r="990" spans="1:21" ht="37.5" customHeight="1" x14ac:dyDescent="0.25">
      <c r="A990" s="23">
        <v>44998</v>
      </c>
      <c r="B990" s="13">
        <v>11</v>
      </c>
      <c r="C990" t="s">
        <v>3</v>
      </c>
      <c r="D990" t="s">
        <v>4</v>
      </c>
      <c r="E990" t="s">
        <v>5</v>
      </c>
      <c r="F990" s="37">
        <v>113103540</v>
      </c>
      <c r="G990" t="s">
        <v>854</v>
      </c>
      <c r="H990" t="s">
        <v>285</v>
      </c>
      <c r="I990">
        <v>0</v>
      </c>
      <c r="J990">
        <v>0</v>
      </c>
      <c r="K990">
        <v>0</v>
      </c>
      <c r="L990">
        <v>0</v>
      </c>
      <c r="M990">
        <v>1.99</v>
      </c>
      <c r="N990" s="7" t="e">
        <f>VLOOKUP(F990,HC!A$6:D$100,3,FALSE)</f>
        <v>#N/A</v>
      </c>
      <c r="O990" s="7" t="str">
        <f>VLOOKUP(F990,HC!A$6:D$1000,2,FALSE)</f>
        <v>delgadax</v>
      </c>
      <c r="P990" t="s">
        <v>661</v>
      </c>
      <c r="Q990" s="7" t="s">
        <v>700</v>
      </c>
      <c r="U990">
        <f t="shared" si="17"/>
        <v>9</v>
      </c>
    </row>
    <row r="991" spans="1:21" ht="37.5" customHeight="1" x14ac:dyDescent="0.25">
      <c r="A991" s="23">
        <v>44998</v>
      </c>
      <c r="B991" s="13">
        <v>11</v>
      </c>
      <c r="C991" t="s">
        <v>3</v>
      </c>
      <c r="D991" t="s">
        <v>4</v>
      </c>
      <c r="E991" t="s">
        <v>5</v>
      </c>
      <c r="F991" s="37">
        <v>200404250</v>
      </c>
      <c r="G991" t="s">
        <v>51</v>
      </c>
      <c r="H991" t="s">
        <v>285</v>
      </c>
      <c r="I991">
        <v>0</v>
      </c>
      <c r="J991">
        <v>0</v>
      </c>
      <c r="K991">
        <v>0</v>
      </c>
      <c r="L991">
        <v>0</v>
      </c>
      <c r="M991">
        <v>0.5</v>
      </c>
      <c r="N991" s="7" t="e">
        <f>VLOOKUP(F991,HC!A$6:D$100,3,FALSE)</f>
        <v>#N/A</v>
      </c>
      <c r="O991" s="7" t="str">
        <f>VLOOKUP(F991,HC!A$6:D$1000,2,FALSE)</f>
        <v>xcathurt</v>
      </c>
      <c r="P991" t="s">
        <v>662</v>
      </c>
      <c r="Q991" s="7" t="s">
        <v>785</v>
      </c>
      <c r="U991">
        <f t="shared" si="17"/>
        <v>124</v>
      </c>
    </row>
    <row r="992" spans="1:21" ht="37.5" customHeight="1" x14ac:dyDescent="0.25">
      <c r="A992" s="23">
        <v>44998</v>
      </c>
      <c r="B992" s="13">
        <v>11</v>
      </c>
      <c r="C992" t="s">
        <v>3</v>
      </c>
      <c r="D992" t="s">
        <v>4</v>
      </c>
      <c r="E992" t="s">
        <v>21</v>
      </c>
      <c r="F992" s="37">
        <v>200553205</v>
      </c>
      <c r="G992" t="s">
        <v>838</v>
      </c>
      <c r="H992" t="s">
        <v>285</v>
      </c>
      <c r="I992">
        <v>0</v>
      </c>
      <c r="J992">
        <v>0</v>
      </c>
      <c r="K992">
        <v>0</v>
      </c>
      <c r="L992">
        <v>0</v>
      </c>
      <c r="M992">
        <v>0.12</v>
      </c>
      <c r="N992" s="7" t="e">
        <f>VLOOKUP(F992,HC!A$6:D$100,3,FALSE)</f>
        <v>#N/A</v>
      </c>
      <c r="O992" s="7" t="e">
        <f>VLOOKUP(F992,HC!A$6:D$1000,2,FALSE)</f>
        <v>#N/A</v>
      </c>
      <c r="P992" t="s">
        <v>661</v>
      </c>
      <c r="Q992" s="7" t="s">
        <v>681</v>
      </c>
      <c r="U992">
        <f t="shared" si="17"/>
        <v>1395</v>
      </c>
    </row>
    <row r="993" spans="1:21" ht="37.5" customHeight="1" x14ac:dyDescent="0.25">
      <c r="A993" s="23">
        <v>44998</v>
      </c>
      <c r="B993" s="13">
        <v>11</v>
      </c>
      <c r="C993" t="s">
        <v>3</v>
      </c>
      <c r="D993" t="s">
        <v>4</v>
      </c>
      <c r="E993" t="s">
        <v>21</v>
      </c>
      <c r="F993" s="37">
        <v>200570729</v>
      </c>
      <c r="G993" t="s">
        <v>679</v>
      </c>
      <c r="H993" t="s">
        <v>47</v>
      </c>
      <c r="I993">
        <v>0</v>
      </c>
      <c r="J993">
        <v>0</v>
      </c>
      <c r="K993">
        <v>0</v>
      </c>
      <c r="L993">
        <v>0</v>
      </c>
      <c r="M993">
        <v>0.2</v>
      </c>
      <c r="N993" s="7" t="e">
        <f>VLOOKUP(F993,HC!A$6:D$100,3,FALSE)</f>
        <v>#N/A</v>
      </c>
      <c r="O993" s="7" t="str">
        <f>VLOOKUP(F993,HC!A$6:D$1000,2,FALSE)</f>
        <v>srodcaro</v>
      </c>
      <c r="P993" t="s">
        <v>661</v>
      </c>
      <c r="Q993" s="7" t="s">
        <v>681</v>
      </c>
      <c r="U993">
        <f t="shared" si="17"/>
        <v>8</v>
      </c>
    </row>
    <row r="994" spans="1:21" ht="37.5" customHeight="1" x14ac:dyDescent="0.25">
      <c r="A994" s="23">
        <v>44999</v>
      </c>
      <c r="B994" s="13">
        <v>11</v>
      </c>
      <c r="C994" t="s">
        <v>3</v>
      </c>
      <c r="D994" t="s">
        <v>4</v>
      </c>
      <c r="E994" t="s">
        <v>5</v>
      </c>
      <c r="F994" s="6">
        <v>112920679</v>
      </c>
      <c r="G994" t="s">
        <v>519</v>
      </c>
      <c r="H994" t="s">
        <v>403</v>
      </c>
      <c r="I994">
        <v>0</v>
      </c>
      <c r="J994">
        <v>0</v>
      </c>
      <c r="K994">
        <v>0</v>
      </c>
      <c r="L994">
        <v>0</v>
      </c>
      <c r="M994">
        <v>1.54</v>
      </c>
      <c r="N994" s="7" t="e">
        <f>VLOOKUP(F994,HC!A$6:D$100,3,FALSE)</f>
        <v>#N/A</v>
      </c>
      <c r="O994" s="7" t="e">
        <f>VLOOKUP(F994,HC!A$6:D$1000,2,FALSE)</f>
        <v>#N/A</v>
      </c>
      <c r="P994" t="s">
        <v>664</v>
      </c>
      <c r="Q994" s="7" t="s">
        <v>711</v>
      </c>
      <c r="U994">
        <f t="shared" si="17"/>
        <v>1395</v>
      </c>
    </row>
    <row r="995" spans="1:21" ht="37.5" customHeight="1" x14ac:dyDescent="0.25">
      <c r="A995" s="23">
        <v>44999</v>
      </c>
      <c r="B995" s="13">
        <v>11</v>
      </c>
      <c r="C995" t="s">
        <v>3</v>
      </c>
      <c r="D995" t="s">
        <v>4</v>
      </c>
      <c r="E995" t="s">
        <v>5</v>
      </c>
      <c r="F995" s="6">
        <v>112976013</v>
      </c>
      <c r="G995" t="s">
        <v>449</v>
      </c>
      <c r="H995" t="s">
        <v>403</v>
      </c>
      <c r="I995">
        <v>0</v>
      </c>
      <c r="J995">
        <v>0</v>
      </c>
      <c r="K995">
        <v>0</v>
      </c>
      <c r="L995">
        <v>0</v>
      </c>
      <c r="M995">
        <v>0.14000000000000001</v>
      </c>
      <c r="N995" s="7" t="e">
        <f>VLOOKUP(F995,HC!A$6:D$100,3,FALSE)</f>
        <v>#N/A</v>
      </c>
      <c r="O995" s="7" t="e">
        <f>VLOOKUP(F995,HC!A$6:D$1000,2,FALSE)</f>
        <v>#N/A</v>
      </c>
      <c r="P995" t="s">
        <v>663</v>
      </c>
      <c r="Q995" s="7" t="s">
        <v>804</v>
      </c>
      <c r="U995">
        <f t="shared" si="17"/>
        <v>1395</v>
      </c>
    </row>
    <row r="996" spans="1:21" ht="37.5" customHeight="1" x14ac:dyDescent="0.25">
      <c r="A996" s="23">
        <v>44999</v>
      </c>
      <c r="B996" s="13">
        <v>11</v>
      </c>
      <c r="C996" t="s">
        <v>3</v>
      </c>
      <c r="D996" t="s">
        <v>4</v>
      </c>
      <c r="E996" t="s">
        <v>5</v>
      </c>
      <c r="F996" s="6">
        <v>112981013</v>
      </c>
      <c r="G996" t="s">
        <v>283</v>
      </c>
      <c r="H996" t="s">
        <v>44</v>
      </c>
      <c r="I996">
        <v>0</v>
      </c>
      <c r="J996">
        <v>0</v>
      </c>
      <c r="K996">
        <v>0</v>
      </c>
      <c r="L996">
        <v>0</v>
      </c>
      <c r="M996">
        <v>7.26</v>
      </c>
      <c r="N996" s="7" t="str">
        <f>VLOOKUP(F996,HC!A$6:D$100,3,FALSE)</f>
        <v>DA-X0700</v>
      </c>
      <c r="O996" s="7" t="str">
        <f>VLOOKUP(F996,HC!A$6:D$1000,2,FALSE)</f>
        <v>normaelo</v>
      </c>
      <c r="P996" t="s">
        <v>664</v>
      </c>
      <c r="Q996" s="7" t="s">
        <v>711</v>
      </c>
      <c r="U996">
        <f t="shared" si="17"/>
        <v>24</v>
      </c>
    </row>
    <row r="997" spans="1:21" ht="37.5" customHeight="1" x14ac:dyDescent="0.25">
      <c r="A997" s="23">
        <v>44999</v>
      </c>
      <c r="B997" s="13">
        <v>11</v>
      </c>
      <c r="C997" t="s">
        <v>3</v>
      </c>
      <c r="D997" t="s">
        <v>4</v>
      </c>
      <c r="E997" t="s">
        <v>5</v>
      </c>
      <c r="F997" s="6">
        <v>112981204</v>
      </c>
      <c r="G997" t="s">
        <v>460</v>
      </c>
      <c r="H997" t="s">
        <v>49</v>
      </c>
      <c r="I997">
        <v>0</v>
      </c>
      <c r="J997">
        <v>0</v>
      </c>
      <c r="K997">
        <v>0</v>
      </c>
      <c r="L997">
        <v>0</v>
      </c>
      <c r="M997">
        <v>0.28999999999999998</v>
      </c>
      <c r="N997" s="7" t="e">
        <f>VLOOKUP(F997,HC!A$6:D$100,3,FALSE)</f>
        <v>#N/A</v>
      </c>
      <c r="O997" s="7" t="e">
        <f>VLOOKUP(F997,HC!A$6:D$1000,2,FALSE)</f>
        <v>#N/A</v>
      </c>
      <c r="P997" t="s">
        <v>668</v>
      </c>
      <c r="Q997" s="7" t="s">
        <v>732</v>
      </c>
      <c r="U997">
        <f t="shared" si="17"/>
        <v>1395</v>
      </c>
    </row>
    <row r="998" spans="1:21" ht="37.5" customHeight="1" x14ac:dyDescent="0.25">
      <c r="A998" s="23">
        <v>44999</v>
      </c>
      <c r="B998" s="13">
        <v>11</v>
      </c>
      <c r="C998" t="s">
        <v>3</v>
      </c>
      <c r="D998" t="s">
        <v>4</v>
      </c>
      <c r="E998" t="s">
        <v>5</v>
      </c>
      <c r="F998" s="6">
        <v>113014011</v>
      </c>
      <c r="G998" t="s">
        <v>45</v>
      </c>
      <c r="H998" t="s">
        <v>14</v>
      </c>
      <c r="I998">
        <v>0</v>
      </c>
      <c r="J998">
        <v>0</v>
      </c>
      <c r="K998">
        <v>0</v>
      </c>
      <c r="L998">
        <v>0</v>
      </c>
      <c r="M998">
        <v>0.09</v>
      </c>
      <c r="N998" s="7" t="e">
        <f>VLOOKUP(F998,HC!A$6:D$100,3,FALSE)</f>
        <v>#N/A</v>
      </c>
      <c r="O998" s="7" t="e">
        <f>VLOOKUP(F998,HC!A$6:D$1000,2,FALSE)</f>
        <v>#N/A</v>
      </c>
      <c r="Q998" s="7"/>
      <c r="R998" t="s">
        <v>612</v>
      </c>
      <c r="U998">
        <f t="shared" si="17"/>
        <v>1395</v>
      </c>
    </row>
    <row r="999" spans="1:21" ht="37.5" customHeight="1" x14ac:dyDescent="0.25">
      <c r="A999" s="23">
        <v>44999</v>
      </c>
      <c r="B999" s="13">
        <v>11</v>
      </c>
      <c r="C999" t="s">
        <v>3</v>
      </c>
      <c r="D999" t="s">
        <v>4</v>
      </c>
      <c r="E999" t="s">
        <v>5</v>
      </c>
      <c r="F999" s="6">
        <v>113014081</v>
      </c>
      <c r="G999" t="s">
        <v>267</v>
      </c>
      <c r="H999" t="s">
        <v>285</v>
      </c>
      <c r="I999">
        <v>0</v>
      </c>
      <c r="J999">
        <v>0</v>
      </c>
      <c r="K999">
        <v>0</v>
      </c>
      <c r="L999">
        <v>0</v>
      </c>
      <c r="M999">
        <v>0.62</v>
      </c>
      <c r="N999" s="7" t="e">
        <f>VLOOKUP(F999,HC!A$6:D$100,3,FALSE)</f>
        <v>#N/A</v>
      </c>
      <c r="O999" s="7" t="str">
        <f>VLOOKUP(F999,HC!A$6:D$1000,2,FALSE)</f>
        <v>fraugene</v>
      </c>
      <c r="P999" t="s">
        <v>664</v>
      </c>
      <c r="Q999" s="7" t="s">
        <v>711</v>
      </c>
      <c r="U999">
        <f t="shared" si="17"/>
        <v>32</v>
      </c>
    </row>
    <row r="1000" spans="1:21" ht="37.5" customHeight="1" x14ac:dyDescent="0.25">
      <c r="A1000" s="23">
        <v>44999</v>
      </c>
      <c r="B1000" s="13">
        <v>11</v>
      </c>
      <c r="C1000" t="s">
        <v>3</v>
      </c>
      <c r="D1000" t="s">
        <v>4</v>
      </c>
      <c r="E1000" t="s">
        <v>5</v>
      </c>
      <c r="F1000" s="6">
        <v>113014094</v>
      </c>
      <c r="G1000" t="s">
        <v>463</v>
      </c>
      <c r="H1000" t="s">
        <v>49</v>
      </c>
      <c r="I1000">
        <v>0</v>
      </c>
      <c r="J1000">
        <v>0</v>
      </c>
      <c r="K1000">
        <v>0</v>
      </c>
      <c r="L1000">
        <v>0</v>
      </c>
      <c r="M1000">
        <v>0.55000000000000004</v>
      </c>
      <c r="N1000" s="7" t="e">
        <f>VLOOKUP(F1000,HC!A$6:D$100,3,FALSE)</f>
        <v>#N/A</v>
      </c>
      <c r="O1000" s="7" t="str">
        <f>VLOOKUP(F1000,HC!A$6:D$1000,2,FALSE)</f>
        <v>erikaadm</v>
      </c>
      <c r="P1000" t="s">
        <v>661</v>
      </c>
      <c r="Q1000" s="7" t="s">
        <v>681</v>
      </c>
      <c r="U1000">
        <f t="shared" si="17"/>
        <v>21</v>
      </c>
    </row>
    <row r="1001" spans="1:21" ht="37.5" customHeight="1" x14ac:dyDescent="0.25">
      <c r="A1001" s="23">
        <v>44999</v>
      </c>
      <c r="B1001" s="13">
        <v>11</v>
      </c>
      <c r="C1001" t="s">
        <v>3</v>
      </c>
      <c r="D1001" t="s">
        <v>4</v>
      </c>
      <c r="E1001" t="s">
        <v>5</v>
      </c>
      <c r="F1001" s="6">
        <v>113019042</v>
      </c>
      <c r="G1001" t="s">
        <v>655</v>
      </c>
      <c r="H1001" t="s">
        <v>14</v>
      </c>
      <c r="I1001">
        <v>0</v>
      </c>
      <c r="J1001">
        <v>0</v>
      </c>
      <c r="K1001">
        <v>0</v>
      </c>
      <c r="L1001">
        <v>0</v>
      </c>
      <c r="M1001">
        <v>0.91</v>
      </c>
      <c r="N1001" s="7" t="e">
        <f>VLOOKUP(F1001,HC!A$6:D$100,3,FALSE)</f>
        <v>#N/A</v>
      </c>
      <c r="O1001" s="7" t="e">
        <f>VLOOKUP(F1001,HC!A$6:D$1000,2,FALSE)</f>
        <v>#N/A</v>
      </c>
      <c r="P1001" t="s">
        <v>664</v>
      </c>
      <c r="Q1001" s="7" t="s">
        <v>717</v>
      </c>
      <c r="U1001">
        <f t="shared" si="17"/>
        <v>1395</v>
      </c>
    </row>
    <row r="1002" spans="1:21" ht="37.5" customHeight="1" x14ac:dyDescent="0.25">
      <c r="A1002" s="23">
        <v>44999</v>
      </c>
      <c r="B1002" s="13">
        <v>11</v>
      </c>
      <c r="C1002" t="s">
        <v>3</v>
      </c>
      <c r="D1002" t="s">
        <v>4</v>
      </c>
      <c r="E1002" t="s">
        <v>5</v>
      </c>
      <c r="F1002" s="6">
        <v>113020463</v>
      </c>
      <c r="G1002" t="s">
        <v>321</v>
      </c>
      <c r="H1002" t="s">
        <v>14</v>
      </c>
      <c r="I1002">
        <v>0</v>
      </c>
      <c r="J1002">
        <v>0</v>
      </c>
      <c r="K1002">
        <v>0</v>
      </c>
      <c r="L1002">
        <v>0</v>
      </c>
      <c r="M1002">
        <v>0.8</v>
      </c>
      <c r="N1002" s="7" t="e">
        <f>VLOOKUP(F1002,HC!A$6:D$100,3,FALSE)</f>
        <v>#N/A</v>
      </c>
      <c r="O1002" s="7" t="str">
        <f>VLOOKUP(F1002,HC!A$6:D$1000,2,FALSE)</f>
        <v>myriamav</v>
      </c>
      <c r="P1002" t="s">
        <v>662</v>
      </c>
      <c r="Q1002" s="7" t="s">
        <v>688</v>
      </c>
      <c r="U1002">
        <f t="shared" si="17"/>
        <v>24</v>
      </c>
    </row>
    <row r="1003" spans="1:21" ht="37.5" customHeight="1" x14ac:dyDescent="0.25">
      <c r="A1003" s="23">
        <v>44999</v>
      </c>
      <c r="B1003" s="13">
        <v>11</v>
      </c>
      <c r="C1003" t="s">
        <v>3</v>
      </c>
      <c r="D1003" t="s">
        <v>4</v>
      </c>
      <c r="E1003" t="s">
        <v>5</v>
      </c>
      <c r="F1003" s="6">
        <v>200404250</v>
      </c>
      <c r="G1003" t="s">
        <v>51</v>
      </c>
      <c r="H1003" t="s">
        <v>285</v>
      </c>
      <c r="I1003">
        <v>0</v>
      </c>
      <c r="J1003">
        <v>0</v>
      </c>
      <c r="K1003">
        <v>0</v>
      </c>
      <c r="L1003">
        <v>0</v>
      </c>
      <c r="M1003">
        <v>0.43</v>
      </c>
      <c r="N1003" s="7" t="e">
        <f>VLOOKUP(F1003,HC!A$6:D$100,3,FALSE)</f>
        <v>#N/A</v>
      </c>
      <c r="O1003" s="7" t="str">
        <f>VLOOKUP(F1003,HC!A$6:D$1000,2,FALSE)</f>
        <v>xcathurt</v>
      </c>
      <c r="P1003" t="s">
        <v>662</v>
      </c>
      <c r="Q1003" s="7" t="s">
        <v>785</v>
      </c>
      <c r="U1003">
        <f t="shared" si="17"/>
        <v>124</v>
      </c>
    </row>
    <row r="1004" spans="1:21" ht="37.5" customHeight="1" x14ac:dyDescent="0.25">
      <c r="A1004" s="23">
        <v>44999</v>
      </c>
      <c r="B1004" s="13">
        <v>11</v>
      </c>
      <c r="C1004" t="s">
        <v>3</v>
      </c>
      <c r="D1004" t="s">
        <v>4</v>
      </c>
      <c r="E1004" t="s">
        <v>21</v>
      </c>
      <c r="F1004" s="6">
        <v>200589316</v>
      </c>
      <c r="G1004" t="s">
        <v>53</v>
      </c>
      <c r="H1004" t="s">
        <v>7</v>
      </c>
      <c r="I1004">
        <v>0</v>
      </c>
      <c r="J1004">
        <v>0</v>
      </c>
      <c r="K1004">
        <v>0</v>
      </c>
      <c r="L1004">
        <v>0</v>
      </c>
      <c r="M1004">
        <v>1.01</v>
      </c>
      <c r="N1004" s="7" t="e">
        <f>VLOOKUP(F1004,HC!A$6:D$100,3,FALSE)</f>
        <v>#N/A</v>
      </c>
      <c r="O1004" s="7" t="e">
        <f>VLOOKUP(F1004,HC!A$6:D$1000,2,FALSE)</f>
        <v>#N/A</v>
      </c>
      <c r="Q1004" s="7"/>
      <c r="R1004" t="s">
        <v>446</v>
      </c>
      <c r="U1004">
        <f t="shared" si="17"/>
        <v>1395</v>
      </c>
    </row>
    <row r="1005" spans="1:21" ht="37.5" customHeight="1" x14ac:dyDescent="0.25">
      <c r="A1005" s="23">
        <v>45000</v>
      </c>
      <c r="B1005" s="13">
        <v>11</v>
      </c>
      <c r="C1005" t="s">
        <v>3</v>
      </c>
      <c r="D1005" t="s">
        <v>4</v>
      </c>
      <c r="E1005" t="s">
        <v>5</v>
      </c>
      <c r="F1005" s="6">
        <v>111261444</v>
      </c>
      <c r="G1005" t="s">
        <v>806</v>
      </c>
      <c r="H1005" t="s">
        <v>7</v>
      </c>
      <c r="I1005">
        <v>0</v>
      </c>
      <c r="J1005">
        <v>0</v>
      </c>
      <c r="K1005">
        <v>0</v>
      </c>
      <c r="L1005">
        <v>0</v>
      </c>
      <c r="M1005">
        <v>0.38</v>
      </c>
      <c r="N1005" s="7" t="str">
        <f>VLOOKUP(F1005,HC!A$6:D$100,3,FALSE)</f>
        <v>DB-X0700</v>
      </c>
      <c r="O1005" s="7" t="str">
        <f>VLOOKUP(F1005,HC!A$6:D$1000,2,FALSE)</f>
        <v>luisfegu</v>
      </c>
      <c r="Q1005" s="7"/>
      <c r="R1005" t="s">
        <v>612</v>
      </c>
      <c r="U1005">
        <f t="shared" si="17"/>
        <v>3</v>
      </c>
    </row>
    <row r="1006" spans="1:21" ht="37.5" customHeight="1" x14ac:dyDescent="0.25">
      <c r="A1006" s="23">
        <v>45000</v>
      </c>
      <c r="B1006" s="13">
        <v>11</v>
      </c>
      <c r="C1006" t="s">
        <v>3</v>
      </c>
      <c r="D1006" t="s">
        <v>4</v>
      </c>
      <c r="E1006" t="s">
        <v>5</v>
      </c>
      <c r="F1006" s="6">
        <v>111434478</v>
      </c>
      <c r="G1006" t="s">
        <v>331</v>
      </c>
      <c r="H1006" t="s">
        <v>253</v>
      </c>
      <c r="I1006">
        <v>0</v>
      </c>
      <c r="J1006">
        <v>0</v>
      </c>
      <c r="K1006">
        <v>0</v>
      </c>
      <c r="L1006">
        <v>0</v>
      </c>
      <c r="M1006">
        <v>0.65</v>
      </c>
      <c r="N1006" s="7" t="str">
        <f>VLOOKUP(F1006,HC!A$6:D$100,3,FALSE)</f>
        <v>DA-X0700</v>
      </c>
      <c r="O1006" s="7" t="str">
        <f>VLOOKUP(F1006,HC!A$6:D$1000,2,FALSE)</f>
        <v>juanapam</v>
      </c>
      <c r="P1006" t="s">
        <v>664</v>
      </c>
      <c r="Q1006" s="7" t="s">
        <v>708</v>
      </c>
      <c r="U1006">
        <f t="shared" si="17"/>
        <v>32</v>
      </c>
    </row>
    <row r="1007" spans="1:21" ht="37.5" customHeight="1" x14ac:dyDescent="0.25">
      <c r="A1007" s="23">
        <v>45000</v>
      </c>
      <c r="B1007" s="13">
        <v>11</v>
      </c>
      <c r="C1007" t="s">
        <v>3</v>
      </c>
      <c r="D1007" t="s">
        <v>4</v>
      </c>
      <c r="E1007" t="s">
        <v>5</v>
      </c>
      <c r="F1007" s="6">
        <v>112912163</v>
      </c>
      <c r="G1007" t="s">
        <v>294</v>
      </c>
      <c r="H1007" t="s">
        <v>285</v>
      </c>
      <c r="I1007">
        <v>0</v>
      </c>
      <c r="J1007">
        <v>0</v>
      </c>
      <c r="K1007">
        <v>0</v>
      </c>
      <c r="L1007">
        <v>0</v>
      </c>
      <c r="M1007">
        <v>0.4</v>
      </c>
      <c r="N1007" s="7" t="e">
        <f>VLOOKUP(F1007,HC!A$6:D$100,3,FALSE)</f>
        <v>#N/A</v>
      </c>
      <c r="O1007" s="7" t="e">
        <f>VLOOKUP(F1007,HC!A$6:D$1000,2,FALSE)</f>
        <v>#N/A</v>
      </c>
      <c r="P1007" t="s">
        <v>661</v>
      </c>
      <c r="Q1007" s="7" t="s">
        <v>681</v>
      </c>
      <c r="U1007">
        <f t="shared" si="17"/>
        <v>1395</v>
      </c>
    </row>
    <row r="1008" spans="1:21" ht="37.5" customHeight="1" x14ac:dyDescent="0.25">
      <c r="A1008" s="23">
        <v>45000</v>
      </c>
      <c r="B1008" s="13">
        <v>11</v>
      </c>
      <c r="C1008" t="s">
        <v>3</v>
      </c>
      <c r="D1008" t="s">
        <v>4</v>
      </c>
      <c r="E1008" t="s">
        <v>5</v>
      </c>
      <c r="F1008" s="6">
        <v>112912459</v>
      </c>
      <c r="G1008" t="s">
        <v>365</v>
      </c>
      <c r="H1008" t="s">
        <v>7</v>
      </c>
      <c r="I1008">
        <v>0</v>
      </c>
      <c r="J1008">
        <v>0</v>
      </c>
      <c r="K1008">
        <v>0</v>
      </c>
      <c r="L1008">
        <v>0</v>
      </c>
      <c r="M1008">
        <v>0.4</v>
      </c>
      <c r="N1008" s="7" t="e">
        <f>VLOOKUP(F1008,HC!A$6:D$100,3,FALSE)</f>
        <v>#N/A</v>
      </c>
      <c r="O1008" s="7" t="e">
        <f>VLOOKUP(F1008,HC!A$6:D$1000,2,FALSE)</f>
        <v>#N/A</v>
      </c>
      <c r="P1008" t="s">
        <v>664</v>
      </c>
      <c r="Q1008" s="7" t="s">
        <v>708</v>
      </c>
      <c r="U1008">
        <f t="shared" si="17"/>
        <v>1395</v>
      </c>
    </row>
    <row r="1009" spans="1:21" ht="37.5" customHeight="1" x14ac:dyDescent="0.25">
      <c r="A1009" s="23">
        <v>45000</v>
      </c>
      <c r="B1009" s="13">
        <v>11</v>
      </c>
      <c r="C1009" t="s">
        <v>3</v>
      </c>
      <c r="D1009" t="s">
        <v>4</v>
      </c>
      <c r="E1009" t="s">
        <v>5</v>
      </c>
      <c r="F1009" s="6">
        <v>112912663</v>
      </c>
      <c r="G1009" t="s">
        <v>8</v>
      </c>
      <c r="H1009" t="s">
        <v>403</v>
      </c>
      <c r="I1009">
        <v>0</v>
      </c>
      <c r="J1009">
        <v>0</v>
      </c>
      <c r="K1009">
        <v>0</v>
      </c>
      <c r="L1009">
        <v>0</v>
      </c>
      <c r="M1009">
        <v>0.09</v>
      </c>
      <c r="N1009" s="7" t="e">
        <f>VLOOKUP(F1009,HC!A$6:D$100,3,FALSE)</f>
        <v>#N/A</v>
      </c>
      <c r="O1009" s="7" t="e">
        <f>VLOOKUP(F1009,HC!A$6:D$1000,2,FALSE)</f>
        <v>#N/A</v>
      </c>
      <c r="P1009" t="s">
        <v>664</v>
      </c>
      <c r="Q1009" s="7" t="s">
        <v>708</v>
      </c>
      <c r="U1009">
        <f t="shared" si="17"/>
        <v>1395</v>
      </c>
    </row>
    <row r="1010" spans="1:21" ht="37.5" customHeight="1" x14ac:dyDescent="0.25">
      <c r="A1010" s="23">
        <v>45000</v>
      </c>
      <c r="B1010" s="13">
        <v>11</v>
      </c>
      <c r="C1010" t="s">
        <v>3</v>
      </c>
      <c r="D1010" t="s">
        <v>4</v>
      </c>
      <c r="E1010" t="s">
        <v>5</v>
      </c>
      <c r="F1010" s="6">
        <v>112912752</v>
      </c>
      <c r="G1010" t="s">
        <v>251</v>
      </c>
      <c r="H1010" t="s">
        <v>44</v>
      </c>
      <c r="I1010">
        <v>0</v>
      </c>
      <c r="J1010">
        <v>0</v>
      </c>
      <c r="K1010">
        <v>0</v>
      </c>
      <c r="L1010">
        <v>0</v>
      </c>
      <c r="M1010">
        <v>0.65</v>
      </c>
      <c r="N1010" s="7" t="str">
        <f>VLOOKUP(F1010,HC!A$6:D$100,3,FALSE)</f>
        <v>NF-X1900</v>
      </c>
      <c r="O1010" s="7" t="str">
        <f>VLOOKUP(F1010,HC!A$6:D$1000,2,FALSE)</f>
        <v>valderle</v>
      </c>
      <c r="P1010" t="s">
        <v>663</v>
      </c>
      <c r="Q1010" s="7" t="s">
        <v>704</v>
      </c>
      <c r="U1010">
        <f t="shared" si="17"/>
        <v>50</v>
      </c>
    </row>
    <row r="1011" spans="1:21" ht="37.5" customHeight="1" x14ac:dyDescent="0.25">
      <c r="A1011" s="23">
        <v>45000</v>
      </c>
      <c r="B1011" s="13">
        <v>11</v>
      </c>
      <c r="C1011" t="s">
        <v>3</v>
      </c>
      <c r="D1011" t="s">
        <v>4</v>
      </c>
      <c r="E1011" t="s">
        <v>5</v>
      </c>
      <c r="F1011" s="6">
        <v>112920654</v>
      </c>
      <c r="G1011" t="s">
        <v>500</v>
      </c>
      <c r="H1011" t="s">
        <v>263</v>
      </c>
      <c r="I1011">
        <v>0</v>
      </c>
      <c r="J1011">
        <v>0</v>
      </c>
      <c r="K1011">
        <v>0</v>
      </c>
      <c r="L1011">
        <v>0</v>
      </c>
      <c r="M1011">
        <v>0.21</v>
      </c>
      <c r="N1011" s="7" t="str">
        <f>VLOOKUP(F1011,HC!A$6:D$100,3,FALSE)</f>
        <v>DB-X0700</v>
      </c>
      <c r="O1011" s="7" t="str">
        <f>VLOOKUP(F1011,HC!A$6:D$1000,2,FALSE)</f>
        <v>qhojulie</v>
      </c>
      <c r="P1011" t="s">
        <v>665</v>
      </c>
      <c r="Q1011" s="7" t="s">
        <v>722</v>
      </c>
      <c r="U1011">
        <f t="shared" si="17"/>
        <v>16</v>
      </c>
    </row>
    <row r="1012" spans="1:21" ht="37.5" customHeight="1" x14ac:dyDescent="0.25">
      <c r="A1012" s="23">
        <v>45000</v>
      </c>
      <c r="B1012" s="13">
        <v>11</v>
      </c>
      <c r="C1012" t="s">
        <v>3</v>
      </c>
      <c r="D1012" t="s">
        <v>4</v>
      </c>
      <c r="E1012" t="s">
        <v>5</v>
      </c>
      <c r="F1012" s="6">
        <v>112950800</v>
      </c>
      <c r="G1012" t="s">
        <v>457</v>
      </c>
      <c r="H1012" t="s">
        <v>403</v>
      </c>
      <c r="I1012">
        <v>0</v>
      </c>
      <c r="J1012">
        <v>0</v>
      </c>
      <c r="K1012">
        <v>0</v>
      </c>
      <c r="L1012">
        <v>0</v>
      </c>
      <c r="M1012">
        <v>0.44</v>
      </c>
      <c r="N1012" s="7" t="str">
        <f>VLOOKUP(F1012,HC!A$6:D$100,3,FALSE)</f>
        <v>NF-X1900</v>
      </c>
      <c r="O1012" s="7" t="str">
        <f>VLOOKUP(F1012,HC!A$6:D$1000,2,FALSE)</f>
        <v>virimuni</v>
      </c>
      <c r="P1012" t="s">
        <v>662</v>
      </c>
      <c r="Q1012" s="7" t="s">
        <v>688</v>
      </c>
      <c r="U1012">
        <f t="shared" si="17"/>
        <v>10</v>
      </c>
    </row>
    <row r="1013" spans="1:21" ht="37.5" customHeight="1" x14ac:dyDescent="0.25">
      <c r="A1013" s="23">
        <v>45000</v>
      </c>
      <c r="B1013" s="13">
        <v>11</v>
      </c>
      <c r="C1013" t="s">
        <v>3</v>
      </c>
      <c r="D1013" t="s">
        <v>4</v>
      </c>
      <c r="E1013" t="s">
        <v>5</v>
      </c>
      <c r="F1013" s="6">
        <v>112980842</v>
      </c>
      <c r="G1013" t="s">
        <v>395</v>
      </c>
      <c r="H1013" t="s">
        <v>285</v>
      </c>
      <c r="I1013">
        <v>0</v>
      </c>
      <c r="J1013">
        <v>0</v>
      </c>
      <c r="K1013">
        <v>0</v>
      </c>
      <c r="L1013">
        <v>0</v>
      </c>
      <c r="M1013">
        <v>0.48</v>
      </c>
      <c r="N1013" s="7" t="e">
        <f>VLOOKUP(F1013,HC!A$6:D$100,3,FALSE)</f>
        <v>#N/A</v>
      </c>
      <c r="O1013" s="7" t="e">
        <f>VLOOKUP(F1013,HC!A$6:D$1000,2,FALSE)</f>
        <v>#N/A</v>
      </c>
      <c r="P1013" t="s">
        <v>670</v>
      </c>
      <c r="Q1013" s="7" t="s">
        <v>764</v>
      </c>
      <c r="U1013">
        <f t="shared" si="17"/>
        <v>1395</v>
      </c>
    </row>
    <row r="1014" spans="1:21" ht="37.5" customHeight="1" x14ac:dyDescent="0.25">
      <c r="A1014" s="23">
        <v>45000</v>
      </c>
      <c r="B1014" s="13">
        <v>11</v>
      </c>
      <c r="C1014" t="s">
        <v>3</v>
      </c>
      <c r="D1014" t="s">
        <v>4</v>
      </c>
      <c r="E1014" t="s">
        <v>5</v>
      </c>
      <c r="F1014" s="6">
        <v>112980899</v>
      </c>
      <c r="G1014" t="s">
        <v>396</v>
      </c>
      <c r="H1014" t="s">
        <v>44</v>
      </c>
      <c r="I1014">
        <v>0</v>
      </c>
      <c r="J1014">
        <v>0</v>
      </c>
      <c r="K1014">
        <v>0</v>
      </c>
      <c r="L1014">
        <v>0</v>
      </c>
      <c r="M1014">
        <v>1.44</v>
      </c>
      <c r="N1014" s="7" t="str">
        <f>VLOOKUP(F1014,HC!A$6:D$100,3,FALSE)</f>
        <v>NF-X1900</v>
      </c>
      <c r="O1014" s="7" t="str">
        <f>VLOOKUP(F1014,HC!A$6:D$1000,2,FALSE)</f>
        <v>aravilac</v>
      </c>
      <c r="P1014" t="s">
        <v>664</v>
      </c>
      <c r="Q1014" s="7" t="s">
        <v>711</v>
      </c>
      <c r="U1014">
        <f t="shared" si="17"/>
        <v>33</v>
      </c>
    </row>
    <row r="1015" spans="1:21" ht="37.5" customHeight="1" x14ac:dyDescent="0.25">
      <c r="A1015" s="23">
        <v>45000</v>
      </c>
      <c r="B1015" s="13">
        <v>11</v>
      </c>
      <c r="C1015" t="s">
        <v>3</v>
      </c>
      <c r="D1015" t="s">
        <v>4</v>
      </c>
      <c r="E1015" t="s">
        <v>5</v>
      </c>
      <c r="F1015" s="6">
        <v>112981061</v>
      </c>
      <c r="G1015" t="s">
        <v>264</v>
      </c>
      <c r="H1015" t="s">
        <v>49</v>
      </c>
      <c r="I1015">
        <v>0</v>
      </c>
      <c r="J1015">
        <v>0</v>
      </c>
      <c r="K1015">
        <v>0</v>
      </c>
      <c r="L1015">
        <v>0</v>
      </c>
      <c r="M1015">
        <v>0.59</v>
      </c>
      <c r="N1015" s="7" t="str">
        <f>VLOOKUP(F1015,HC!A$6:D$100,3,FALSE)</f>
        <v>DA-X0700</v>
      </c>
      <c r="O1015" s="7" t="str">
        <f>VLOOKUP(F1015,HC!A$6:D$1000,2,FALSE)</f>
        <v>mclaudol</v>
      </c>
      <c r="P1015" t="s">
        <v>664</v>
      </c>
      <c r="Q1015" s="7" t="s">
        <v>711</v>
      </c>
      <c r="U1015">
        <f t="shared" si="17"/>
        <v>44</v>
      </c>
    </row>
    <row r="1016" spans="1:21" ht="37.5" customHeight="1" x14ac:dyDescent="0.25">
      <c r="A1016" s="23">
        <v>45000</v>
      </c>
      <c r="B1016" s="13">
        <v>11</v>
      </c>
      <c r="C1016" t="s">
        <v>3</v>
      </c>
      <c r="D1016" t="s">
        <v>4</v>
      </c>
      <c r="E1016" t="s">
        <v>5</v>
      </c>
      <c r="F1016" s="6">
        <v>112981201</v>
      </c>
      <c r="G1016" t="s">
        <v>532</v>
      </c>
      <c r="H1016" t="s">
        <v>49</v>
      </c>
      <c r="I1016">
        <v>0</v>
      </c>
      <c r="J1016">
        <v>0</v>
      </c>
      <c r="K1016">
        <v>0</v>
      </c>
      <c r="L1016">
        <v>0</v>
      </c>
      <c r="M1016">
        <v>0.82</v>
      </c>
      <c r="N1016" s="7" t="e">
        <f>VLOOKUP(F1016,HC!A$6:D$100,3,FALSE)</f>
        <v>#N/A</v>
      </c>
      <c r="O1016" s="7" t="e">
        <f>VLOOKUP(F1016,HC!A$6:D$1000,2,FALSE)</f>
        <v>#N/A</v>
      </c>
      <c r="P1016" t="s">
        <v>664</v>
      </c>
      <c r="Q1016" s="7" t="s">
        <v>709</v>
      </c>
      <c r="R1016" t="s">
        <v>620</v>
      </c>
      <c r="U1016">
        <f t="shared" si="17"/>
        <v>1395</v>
      </c>
    </row>
    <row r="1017" spans="1:21" ht="37.5" customHeight="1" x14ac:dyDescent="0.25">
      <c r="A1017" s="23">
        <v>45000</v>
      </c>
      <c r="B1017" s="13">
        <v>11</v>
      </c>
      <c r="C1017" t="s">
        <v>3</v>
      </c>
      <c r="D1017" t="s">
        <v>4</v>
      </c>
      <c r="E1017" t="s">
        <v>5</v>
      </c>
      <c r="F1017" s="6">
        <v>112984097</v>
      </c>
      <c r="G1017" t="s">
        <v>265</v>
      </c>
      <c r="H1017" t="s">
        <v>49</v>
      </c>
      <c r="I1017">
        <v>0</v>
      </c>
      <c r="J1017">
        <v>0</v>
      </c>
      <c r="K1017">
        <v>0</v>
      </c>
      <c r="L1017">
        <v>0</v>
      </c>
      <c r="M1017">
        <v>0.76</v>
      </c>
      <c r="N1017" s="7" t="e">
        <f>VLOOKUP(F1017,HC!A$6:D$100,3,FALSE)</f>
        <v>#N/A</v>
      </c>
      <c r="O1017" s="7" t="e">
        <f>VLOOKUP(F1017,HC!A$6:D$1000,2,FALSE)</f>
        <v>#N/A</v>
      </c>
      <c r="P1017" t="s">
        <v>663</v>
      </c>
      <c r="Q1017" s="7" t="s">
        <v>692</v>
      </c>
      <c r="U1017">
        <f t="shared" si="17"/>
        <v>1395</v>
      </c>
    </row>
    <row r="1018" spans="1:21" ht="37.5" customHeight="1" x14ac:dyDescent="0.25">
      <c r="A1018" s="23">
        <v>45000</v>
      </c>
      <c r="B1018" s="13">
        <v>11</v>
      </c>
      <c r="C1018" t="s">
        <v>3</v>
      </c>
      <c r="D1018" t="s">
        <v>4</v>
      </c>
      <c r="E1018" t="s">
        <v>5</v>
      </c>
      <c r="F1018" s="6">
        <v>113014006</v>
      </c>
      <c r="G1018" t="s">
        <v>299</v>
      </c>
      <c r="H1018" t="s">
        <v>49</v>
      </c>
      <c r="I1018">
        <v>0</v>
      </c>
      <c r="J1018">
        <v>0</v>
      </c>
      <c r="K1018">
        <v>0</v>
      </c>
      <c r="L1018">
        <v>0</v>
      </c>
      <c r="M1018">
        <v>0.25</v>
      </c>
      <c r="N1018" s="7" t="e">
        <f>VLOOKUP(F1018,HC!A$6:D$100,3,FALSE)</f>
        <v>#N/A</v>
      </c>
      <c r="O1018" s="7" t="e">
        <f>VLOOKUP(F1018,HC!A$6:D$1000,2,FALSE)</f>
        <v>#N/A</v>
      </c>
      <c r="P1018" t="s">
        <v>664</v>
      </c>
      <c r="Q1018" s="7" t="s">
        <v>710</v>
      </c>
      <c r="U1018">
        <f t="shared" si="17"/>
        <v>1395</v>
      </c>
    </row>
    <row r="1019" spans="1:21" ht="37.5" customHeight="1" x14ac:dyDescent="0.25">
      <c r="A1019" s="23">
        <v>45000</v>
      </c>
      <c r="B1019" s="13">
        <v>11</v>
      </c>
      <c r="C1019" t="s">
        <v>3</v>
      </c>
      <c r="D1019" t="s">
        <v>4</v>
      </c>
      <c r="E1019" t="s">
        <v>5</v>
      </c>
      <c r="F1019" s="6">
        <v>113014081</v>
      </c>
      <c r="G1019" t="s">
        <v>267</v>
      </c>
      <c r="H1019" t="s">
        <v>285</v>
      </c>
      <c r="I1019">
        <v>0</v>
      </c>
      <c r="J1019">
        <v>0</v>
      </c>
      <c r="K1019">
        <v>0</v>
      </c>
      <c r="L1019">
        <v>0</v>
      </c>
      <c r="M1019">
        <v>0.66</v>
      </c>
      <c r="N1019" s="7" t="e">
        <f>VLOOKUP(F1019,HC!A$6:D$100,3,FALSE)</f>
        <v>#N/A</v>
      </c>
      <c r="O1019" s="7" t="str">
        <f>VLOOKUP(F1019,HC!A$6:D$1000,2,FALSE)</f>
        <v>fraugene</v>
      </c>
      <c r="P1019" t="s">
        <v>663</v>
      </c>
      <c r="Q1019" s="7" t="s">
        <v>692</v>
      </c>
      <c r="U1019">
        <f t="shared" si="17"/>
        <v>32</v>
      </c>
    </row>
    <row r="1020" spans="1:21" ht="37.5" customHeight="1" x14ac:dyDescent="0.25">
      <c r="A1020" s="23">
        <v>45000</v>
      </c>
      <c r="B1020" s="13">
        <v>11</v>
      </c>
      <c r="C1020" t="s">
        <v>3</v>
      </c>
      <c r="D1020" t="s">
        <v>4</v>
      </c>
      <c r="E1020" t="s">
        <v>5</v>
      </c>
      <c r="F1020" s="6">
        <v>113044620</v>
      </c>
      <c r="G1020" t="s">
        <v>470</v>
      </c>
      <c r="H1020" t="s">
        <v>49</v>
      </c>
      <c r="I1020">
        <v>0</v>
      </c>
      <c r="J1020">
        <v>0</v>
      </c>
      <c r="K1020">
        <v>0</v>
      </c>
      <c r="L1020">
        <v>0</v>
      </c>
      <c r="M1020">
        <v>0.12</v>
      </c>
      <c r="N1020" s="7" t="e">
        <f>VLOOKUP(F1020,HC!A$6:D$100,3,FALSE)</f>
        <v>#N/A</v>
      </c>
      <c r="O1020" s="7" t="str">
        <f>VLOOKUP(F1020,HC!A$6:D$1000,2,FALSE)</f>
        <v>aldojasw</v>
      </c>
      <c r="P1020" t="s">
        <v>661</v>
      </c>
      <c r="Q1020" s="7" t="s">
        <v>681</v>
      </c>
      <c r="U1020">
        <f t="shared" si="17"/>
        <v>11</v>
      </c>
    </row>
    <row r="1021" spans="1:21" ht="37.5" customHeight="1" x14ac:dyDescent="0.25">
      <c r="A1021" s="23">
        <v>45000</v>
      </c>
      <c r="B1021" s="13">
        <v>11</v>
      </c>
      <c r="C1021" t="s">
        <v>3</v>
      </c>
      <c r="D1021" t="s">
        <v>4</v>
      </c>
      <c r="E1021" t="s">
        <v>5</v>
      </c>
      <c r="F1021" s="6">
        <v>200404250</v>
      </c>
      <c r="G1021" t="s">
        <v>51</v>
      </c>
      <c r="H1021" t="s">
        <v>285</v>
      </c>
      <c r="I1021">
        <v>0</v>
      </c>
      <c r="J1021">
        <v>0</v>
      </c>
      <c r="K1021">
        <v>0</v>
      </c>
      <c r="L1021">
        <v>0</v>
      </c>
      <c r="M1021">
        <v>0.47</v>
      </c>
      <c r="N1021" s="7" t="e">
        <f>VLOOKUP(F1021,HC!A$6:D$100,3,FALSE)</f>
        <v>#N/A</v>
      </c>
      <c r="O1021" s="7" t="str">
        <f>VLOOKUP(F1021,HC!A$6:D$1000,2,FALSE)</f>
        <v>xcathurt</v>
      </c>
      <c r="P1021" t="s">
        <v>662</v>
      </c>
      <c r="Q1021" s="7" t="s">
        <v>785</v>
      </c>
      <c r="U1021">
        <f t="shared" si="17"/>
        <v>124</v>
      </c>
    </row>
    <row r="1022" spans="1:21" ht="37.5" customHeight="1" x14ac:dyDescent="0.25">
      <c r="A1022" s="23">
        <v>45000</v>
      </c>
      <c r="B1022" s="13">
        <v>11</v>
      </c>
      <c r="C1022" t="s">
        <v>3</v>
      </c>
      <c r="D1022" t="s">
        <v>4</v>
      </c>
      <c r="E1022" t="s">
        <v>21</v>
      </c>
      <c r="F1022" s="6">
        <v>200508371</v>
      </c>
      <c r="G1022" t="s">
        <v>339</v>
      </c>
      <c r="H1022" t="s">
        <v>298</v>
      </c>
      <c r="I1022">
        <v>0</v>
      </c>
      <c r="J1022">
        <v>0</v>
      </c>
      <c r="K1022">
        <v>0</v>
      </c>
      <c r="L1022">
        <v>0</v>
      </c>
      <c r="M1022">
        <v>0.64</v>
      </c>
      <c r="N1022" s="7" t="e">
        <f>VLOOKUP(F1022,HC!A$6:D$100,3,FALSE)</f>
        <v>#N/A</v>
      </c>
      <c r="O1022" s="7" t="e">
        <f>VLOOKUP(F1022,HC!A$6:D$1000,2,FALSE)</f>
        <v>#N/A</v>
      </c>
      <c r="P1022" t="s">
        <v>664</v>
      </c>
      <c r="Q1022" s="7" t="s">
        <v>711</v>
      </c>
      <c r="U1022">
        <f t="shared" si="17"/>
        <v>1395</v>
      </c>
    </row>
    <row r="1023" spans="1:21" ht="37.5" customHeight="1" x14ac:dyDescent="0.25">
      <c r="A1023" s="23">
        <v>45000</v>
      </c>
      <c r="B1023" s="13">
        <v>11</v>
      </c>
      <c r="C1023" t="s">
        <v>3</v>
      </c>
      <c r="D1023" t="s">
        <v>4</v>
      </c>
      <c r="E1023" t="s">
        <v>21</v>
      </c>
      <c r="F1023" s="6">
        <v>200552734</v>
      </c>
      <c r="G1023" t="s">
        <v>492</v>
      </c>
      <c r="H1023" t="s">
        <v>298</v>
      </c>
      <c r="I1023">
        <v>0</v>
      </c>
      <c r="J1023">
        <v>0</v>
      </c>
      <c r="K1023">
        <v>0</v>
      </c>
      <c r="L1023">
        <v>0</v>
      </c>
      <c r="M1023">
        <v>1.4</v>
      </c>
      <c r="N1023" s="7" t="e">
        <f>VLOOKUP(F1023,HC!A$6:D$100,3,FALSE)</f>
        <v>#N/A</v>
      </c>
      <c r="O1023" s="7" t="e">
        <f>VLOOKUP(F1023,HC!A$6:D$1000,2,FALSE)</f>
        <v>#N/A</v>
      </c>
      <c r="P1023" t="s">
        <v>664</v>
      </c>
      <c r="Q1023" s="7" t="s">
        <v>717</v>
      </c>
      <c r="U1023">
        <f t="shared" si="17"/>
        <v>1395</v>
      </c>
    </row>
    <row r="1024" spans="1:21" ht="37.5" customHeight="1" x14ac:dyDescent="0.25">
      <c r="A1024" s="23">
        <v>45000</v>
      </c>
      <c r="B1024" s="13">
        <v>11</v>
      </c>
      <c r="C1024" t="s">
        <v>3</v>
      </c>
      <c r="D1024" t="s">
        <v>4</v>
      </c>
      <c r="E1024" t="s">
        <v>21</v>
      </c>
      <c r="F1024" s="6">
        <v>200625528</v>
      </c>
      <c r="G1024" t="s">
        <v>607</v>
      </c>
      <c r="H1024" t="s">
        <v>47</v>
      </c>
      <c r="I1024">
        <v>0</v>
      </c>
      <c r="J1024">
        <v>0</v>
      </c>
      <c r="K1024">
        <v>0</v>
      </c>
      <c r="L1024">
        <v>0</v>
      </c>
      <c r="M1024">
        <v>0.16</v>
      </c>
      <c r="N1024" s="7" t="e">
        <f>VLOOKUP(F1024,HC!A$6:D$100,3,FALSE)</f>
        <v>#N/A</v>
      </c>
      <c r="O1024" s="7" t="str">
        <f>VLOOKUP(F1024,HC!A$6:D$1000,2,FALSE)</f>
        <v>olivlizb</v>
      </c>
      <c r="P1024" t="s">
        <v>661</v>
      </c>
      <c r="Q1024" s="7" t="s">
        <v>681</v>
      </c>
      <c r="U1024">
        <f t="shared" si="17"/>
        <v>50</v>
      </c>
    </row>
    <row r="1025" spans="1:21" ht="37.5" customHeight="1" x14ac:dyDescent="0.25">
      <c r="A1025" s="23">
        <v>45000</v>
      </c>
      <c r="B1025" s="13">
        <v>11</v>
      </c>
      <c r="C1025" t="s">
        <v>3</v>
      </c>
      <c r="D1025" t="s">
        <v>4</v>
      </c>
      <c r="E1025" t="s">
        <v>21</v>
      </c>
      <c r="F1025" s="6">
        <v>201159079</v>
      </c>
      <c r="G1025" t="s">
        <v>816</v>
      </c>
      <c r="H1025" t="s">
        <v>559</v>
      </c>
      <c r="I1025">
        <v>0</v>
      </c>
      <c r="J1025">
        <v>0</v>
      </c>
      <c r="K1025">
        <v>0</v>
      </c>
      <c r="L1025">
        <v>0</v>
      </c>
      <c r="M1025">
        <v>1.84</v>
      </c>
      <c r="N1025" s="7" t="e">
        <f>VLOOKUP(F1025,HC!A$6:D$100,3,FALSE)</f>
        <v>#N/A</v>
      </c>
      <c r="O1025" s="7" t="e">
        <f>VLOOKUP(F1025,HC!A$6:D$1000,2,FALSE)</f>
        <v>#N/A</v>
      </c>
      <c r="P1025" t="s">
        <v>661</v>
      </c>
      <c r="Q1025" s="7" t="s">
        <v>684</v>
      </c>
      <c r="U1025">
        <f t="shared" si="17"/>
        <v>1395</v>
      </c>
    </row>
    <row r="1026" spans="1:21" ht="37.5" customHeight="1" x14ac:dyDescent="0.25">
      <c r="A1026" s="23">
        <v>45000</v>
      </c>
      <c r="B1026" s="13">
        <v>11</v>
      </c>
      <c r="C1026" t="s">
        <v>3</v>
      </c>
      <c r="D1026" t="s">
        <v>4</v>
      </c>
      <c r="E1026" t="s">
        <v>21</v>
      </c>
      <c r="F1026" s="6">
        <v>201160146</v>
      </c>
      <c r="G1026" t="s">
        <v>851</v>
      </c>
      <c r="H1026" t="s">
        <v>559</v>
      </c>
      <c r="I1026">
        <v>0</v>
      </c>
      <c r="J1026">
        <v>0</v>
      </c>
      <c r="K1026">
        <v>0</v>
      </c>
      <c r="L1026">
        <v>0</v>
      </c>
      <c r="M1026">
        <v>0.11</v>
      </c>
      <c r="N1026" s="7" t="e">
        <f>VLOOKUP(F1026,HC!A$6:D$100,3,FALSE)</f>
        <v>#N/A</v>
      </c>
      <c r="O1026" s="7" t="e">
        <f>VLOOKUP(F1026,HC!A$6:D$1000,2,FALSE)</f>
        <v>#N/A</v>
      </c>
      <c r="P1026" t="s">
        <v>665</v>
      </c>
      <c r="Q1026" s="7" t="s">
        <v>723</v>
      </c>
      <c r="U1026">
        <f t="shared" si="17"/>
        <v>1395</v>
      </c>
    </row>
    <row r="1027" spans="1:21" ht="37.5" customHeight="1" x14ac:dyDescent="0.25">
      <c r="A1027" s="23">
        <v>45000</v>
      </c>
      <c r="B1027" s="13">
        <v>11</v>
      </c>
      <c r="C1027" t="s">
        <v>3</v>
      </c>
      <c r="D1027" t="s">
        <v>4</v>
      </c>
      <c r="E1027" t="s">
        <v>21</v>
      </c>
      <c r="F1027" s="6">
        <v>201167517</v>
      </c>
      <c r="G1027" t="s">
        <v>849</v>
      </c>
      <c r="H1027" t="s">
        <v>17</v>
      </c>
      <c r="I1027">
        <v>0</v>
      </c>
      <c r="J1027">
        <v>0</v>
      </c>
      <c r="K1027">
        <v>0</v>
      </c>
      <c r="L1027">
        <v>0</v>
      </c>
      <c r="M1027">
        <v>0.4</v>
      </c>
      <c r="N1027" s="7" t="e">
        <f>VLOOKUP(F1027,HC!A$6:D$100,3,FALSE)</f>
        <v>#N/A</v>
      </c>
      <c r="O1027" s="7" t="e">
        <f>VLOOKUP(F1027,HC!A$6:D$1000,2,FALSE)</f>
        <v>#N/A</v>
      </c>
      <c r="P1027" t="s">
        <v>661</v>
      </c>
      <c r="Q1027" s="7" t="s">
        <v>681</v>
      </c>
      <c r="U1027">
        <f t="shared" ref="U1027:U1090" si="18">COUNTIF(O$2:O$4999,O1027)</f>
        <v>1395</v>
      </c>
    </row>
    <row r="1028" spans="1:21" ht="37.5" customHeight="1" x14ac:dyDescent="0.25">
      <c r="A1028" s="23">
        <v>45001</v>
      </c>
      <c r="B1028" s="13">
        <v>11</v>
      </c>
      <c r="C1028" t="s">
        <v>3</v>
      </c>
      <c r="D1028" t="s">
        <v>4</v>
      </c>
      <c r="E1028" t="s">
        <v>5</v>
      </c>
      <c r="F1028" s="6">
        <v>112912163</v>
      </c>
      <c r="G1028" t="s">
        <v>294</v>
      </c>
      <c r="H1028" t="s">
        <v>285</v>
      </c>
      <c r="I1028">
        <v>0</v>
      </c>
      <c r="J1028">
        <v>0</v>
      </c>
      <c r="K1028">
        <v>0</v>
      </c>
      <c r="L1028">
        <v>0</v>
      </c>
      <c r="M1028">
        <v>0.4</v>
      </c>
      <c r="N1028" s="7" t="e">
        <f>VLOOKUP(F1028,HC!A$6:D$100,3,FALSE)</f>
        <v>#N/A</v>
      </c>
      <c r="O1028" s="7" t="e">
        <f>VLOOKUP(F1028,HC!A$6:D$1000,2,FALSE)</f>
        <v>#N/A</v>
      </c>
      <c r="Q1028" s="7"/>
      <c r="R1028" t="s">
        <v>604</v>
      </c>
      <c r="U1028">
        <f t="shared" si="18"/>
        <v>1395</v>
      </c>
    </row>
    <row r="1029" spans="1:21" ht="37.5" customHeight="1" x14ac:dyDescent="0.25">
      <c r="A1029" s="23">
        <v>45001</v>
      </c>
      <c r="B1029" s="13">
        <v>11</v>
      </c>
      <c r="C1029" t="s">
        <v>3</v>
      </c>
      <c r="D1029" t="s">
        <v>4</v>
      </c>
      <c r="E1029" t="s">
        <v>5</v>
      </c>
      <c r="F1029" s="6">
        <v>112912459</v>
      </c>
      <c r="G1029" t="s">
        <v>365</v>
      </c>
      <c r="H1029" t="s">
        <v>7</v>
      </c>
      <c r="I1029">
        <v>0</v>
      </c>
      <c r="J1029">
        <v>0</v>
      </c>
      <c r="K1029">
        <v>0</v>
      </c>
      <c r="L1029">
        <v>0</v>
      </c>
      <c r="M1029">
        <v>1.26</v>
      </c>
      <c r="N1029" s="7" t="e">
        <f>VLOOKUP(F1029,HC!A$6:D$100,3,FALSE)</f>
        <v>#N/A</v>
      </c>
      <c r="O1029" s="7" t="e">
        <f>VLOOKUP(F1029,HC!A$6:D$1000,2,FALSE)</f>
        <v>#N/A</v>
      </c>
      <c r="P1029" t="s">
        <v>663</v>
      </c>
      <c r="Q1029" s="7" t="s">
        <v>692</v>
      </c>
      <c r="U1029">
        <f t="shared" si="18"/>
        <v>1395</v>
      </c>
    </row>
    <row r="1030" spans="1:21" ht="37.5" customHeight="1" x14ac:dyDescent="0.25">
      <c r="A1030" s="23">
        <v>45001</v>
      </c>
      <c r="B1030" s="13">
        <v>11</v>
      </c>
      <c r="C1030" t="s">
        <v>3</v>
      </c>
      <c r="D1030" t="s">
        <v>4</v>
      </c>
      <c r="E1030" t="s">
        <v>5</v>
      </c>
      <c r="F1030" s="6">
        <v>112916497</v>
      </c>
      <c r="G1030" t="s">
        <v>608</v>
      </c>
      <c r="H1030" t="s">
        <v>263</v>
      </c>
      <c r="I1030">
        <v>0</v>
      </c>
      <c r="J1030">
        <v>0</v>
      </c>
      <c r="K1030">
        <v>0</v>
      </c>
      <c r="L1030">
        <v>0</v>
      </c>
      <c r="M1030">
        <v>0.72</v>
      </c>
      <c r="N1030" s="7" t="e">
        <f>VLOOKUP(F1030,HC!A$6:D$100,3,FALSE)</f>
        <v>#N/A</v>
      </c>
      <c r="O1030" s="7" t="e">
        <f>VLOOKUP(F1030,HC!A$6:D$1000,2,FALSE)</f>
        <v>#N/A</v>
      </c>
      <c r="P1030" t="s">
        <v>664</v>
      </c>
      <c r="Q1030" s="7" t="s">
        <v>710</v>
      </c>
      <c r="U1030">
        <f t="shared" si="18"/>
        <v>1395</v>
      </c>
    </row>
    <row r="1031" spans="1:21" ht="37.5" customHeight="1" x14ac:dyDescent="0.25">
      <c r="A1031" s="23">
        <v>45001</v>
      </c>
      <c r="B1031" s="13">
        <v>11</v>
      </c>
      <c r="C1031" t="s">
        <v>3</v>
      </c>
      <c r="D1031" t="s">
        <v>4</v>
      </c>
      <c r="E1031" t="s">
        <v>5</v>
      </c>
      <c r="F1031" s="6">
        <v>112971965</v>
      </c>
      <c r="G1031" t="s">
        <v>327</v>
      </c>
      <c r="H1031" t="s">
        <v>298</v>
      </c>
      <c r="I1031">
        <v>0</v>
      </c>
      <c r="J1031">
        <v>0</v>
      </c>
      <c r="K1031">
        <v>0</v>
      </c>
      <c r="L1031">
        <v>0</v>
      </c>
      <c r="M1031">
        <v>0.36</v>
      </c>
      <c r="N1031" s="7" t="e">
        <f>VLOOKUP(F1031,HC!A$6:D$100,3,FALSE)</f>
        <v>#N/A</v>
      </c>
      <c r="O1031" s="7" t="e">
        <f>VLOOKUP(F1031,HC!A$6:D$1000,2,FALSE)</f>
        <v>#N/A</v>
      </c>
      <c r="P1031" t="s">
        <v>662</v>
      </c>
      <c r="Q1031" s="7" t="s">
        <v>687</v>
      </c>
      <c r="U1031">
        <f t="shared" si="18"/>
        <v>1395</v>
      </c>
    </row>
    <row r="1032" spans="1:21" ht="37.5" customHeight="1" x14ac:dyDescent="0.25">
      <c r="A1032" s="23">
        <v>45001</v>
      </c>
      <c r="B1032" s="13">
        <v>11</v>
      </c>
      <c r="C1032" t="s">
        <v>3</v>
      </c>
      <c r="D1032" t="s">
        <v>4</v>
      </c>
      <c r="E1032" t="s">
        <v>5</v>
      </c>
      <c r="F1032" s="6">
        <v>112981201</v>
      </c>
      <c r="G1032" t="s">
        <v>532</v>
      </c>
      <c r="H1032" t="s">
        <v>49</v>
      </c>
      <c r="I1032">
        <v>0</v>
      </c>
      <c r="J1032">
        <v>0</v>
      </c>
      <c r="K1032">
        <v>0</v>
      </c>
      <c r="L1032">
        <v>0</v>
      </c>
      <c r="M1032">
        <v>0.48</v>
      </c>
      <c r="N1032" s="7" t="e">
        <f>VLOOKUP(F1032,HC!A$6:D$100,3,FALSE)</f>
        <v>#N/A</v>
      </c>
      <c r="O1032" s="7" t="e">
        <f>VLOOKUP(F1032,HC!A$6:D$1000,2,FALSE)</f>
        <v>#N/A</v>
      </c>
      <c r="P1032" t="s">
        <v>662</v>
      </c>
      <c r="Q1032" s="7" t="s">
        <v>687</v>
      </c>
      <c r="U1032">
        <f t="shared" si="18"/>
        <v>1395</v>
      </c>
    </row>
    <row r="1033" spans="1:21" ht="37.5" customHeight="1" x14ac:dyDescent="0.25">
      <c r="A1033" s="23">
        <v>45001</v>
      </c>
      <c r="B1033" s="13">
        <v>11</v>
      </c>
      <c r="C1033" t="s">
        <v>3</v>
      </c>
      <c r="D1033" t="s">
        <v>4</v>
      </c>
      <c r="E1033" t="s">
        <v>5</v>
      </c>
      <c r="F1033" s="6">
        <v>112984097</v>
      </c>
      <c r="G1033" t="s">
        <v>265</v>
      </c>
      <c r="H1033" t="s">
        <v>49</v>
      </c>
      <c r="I1033">
        <v>0</v>
      </c>
      <c r="J1033">
        <v>0</v>
      </c>
      <c r="K1033">
        <v>0</v>
      </c>
      <c r="L1033">
        <v>0</v>
      </c>
      <c r="M1033">
        <v>0.55000000000000004</v>
      </c>
      <c r="N1033" s="7" t="e">
        <f>VLOOKUP(F1033,HC!A$6:D$100,3,FALSE)</f>
        <v>#N/A</v>
      </c>
      <c r="O1033" s="7" t="e">
        <f>VLOOKUP(F1033,HC!A$6:D$1000,2,FALSE)</f>
        <v>#N/A</v>
      </c>
      <c r="P1033" t="s">
        <v>661</v>
      </c>
      <c r="Q1033" s="7" t="s">
        <v>684</v>
      </c>
      <c r="U1033">
        <f t="shared" si="18"/>
        <v>1395</v>
      </c>
    </row>
    <row r="1034" spans="1:21" ht="37.5" customHeight="1" x14ac:dyDescent="0.25">
      <c r="A1034" s="23">
        <v>45001</v>
      </c>
      <c r="B1034" s="13">
        <v>11</v>
      </c>
      <c r="C1034" t="s">
        <v>3</v>
      </c>
      <c r="D1034" t="s">
        <v>4</v>
      </c>
      <c r="E1034" t="s">
        <v>5</v>
      </c>
      <c r="F1034" s="6">
        <v>112984442</v>
      </c>
      <c r="G1034" t="s">
        <v>315</v>
      </c>
      <c r="H1034" t="s">
        <v>268</v>
      </c>
      <c r="I1034">
        <v>0</v>
      </c>
      <c r="J1034">
        <v>0</v>
      </c>
      <c r="K1034">
        <v>0</v>
      </c>
      <c r="L1034">
        <v>0</v>
      </c>
      <c r="M1034">
        <v>0.24</v>
      </c>
      <c r="N1034" s="7" t="e">
        <f>VLOOKUP(F1034,HC!A$6:D$100,3,FALSE)</f>
        <v>#N/A</v>
      </c>
      <c r="O1034" s="7" t="e">
        <f>VLOOKUP(F1034,HC!A$6:D$1000,2,FALSE)</f>
        <v>#N/A</v>
      </c>
      <c r="P1034" t="s">
        <v>664</v>
      </c>
      <c r="Q1034" s="7" t="s">
        <v>708</v>
      </c>
      <c r="U1034">
        <f t="shared" si="18"/>
        <v>1395</v>
      </c>
    </row>
    <row r="1035" spans="1:21" ht="37.5" customHeight="1" x14ac:dyDescent="0.25">
      <c r="A1035" s="23">
        <v>45001</v>
      </c>
      <c r="B1035" s="13">
        <v>11</v>
      </c>
      <c r="C1035" t="s">
        <v>3</v>
      </c>
      <c r="D1035" t="s">
        <v>4</v>
      </c>
      <c r="E1035" t="s">
        <v>5</v>
      </c>
      <c r="F1035" s="6">
        <v>113014007</v>
      </c>
      <c r="G1035" t="s">
        <v>379</v>
      </c>
      <c r="H1035" t="s">
        <v>7</v>
      </c>
      <c r="I1035">
        <v>0</v>
      </c>
      <c r="J1035">
        <v>0</v>
      </c>
      <c r="K1035">
        <v>0</v>
      </c>
      <c r="L1035">
        <v>0</v>
      </c>
      <c r="M1035">
        <v>0.52</v>
      </c>
      <c r="N1035" s="7" t="e">
        <f>VLOOKUP(F1035,HC!A$6:D$100,3,FALSE)</f>
        <v>#N/A</v>
      </c>
      <c r="O1035" s="7" t="e">
        <f>VLOOKUP(F1035,HC!A$6:D$1000,2,FALSE)</f>
        <v>#N/A</v>
      </c>
      <c r="P1035" t="s">
        <v>664</v>
      </c>
      <c r="Q1035" s="7" t="s">
        <v>777</v>
      </c>
      <c r="U1035">
        <f t="shared" si="18"/>
        <v>1395</v>
      </c>
    </row>
    <row r="1036" spans="1:21" ht="37.5" customHeight="1" x14ac:dyDescent="0.25">
      <c r="A1036" s="23">
        <v>45001</v>
      </c>
      <c r="B1036" s="13">
        <v>11</v>
      </c>
      <c r="C1036" t="s">
        <v>3</v>
      </c>
      <c r="D1036" t="s">
        <v>4</v>
      </c>
      <c r="E1036" t="s">
        <v>5</v>
      </c>
      <c r="F1036" s="6">
        <v>113014081</v>
      </c>
      <c r="G1036" t="s">
        <v>267</v>
      </c>
      <c r="H1036" t="s">
        <v>285</v>
      </c>
      <c r="I1036">
        <v>0</v>
      </c>
      <c r="J1036">
        <v>0</v>
      </c>
      <c r="K1036">
        <v>0</v>
      </c>
      <c r="L1036">
        <v>0</v>
      </c>
      <c r="M1036">
        <v>0.5</v>
      </c>
      <c r="N1036" s="7" t="e">
        <f>VLOOKUP(F1036,HC!A$6:D$100,3,FALSE)</f>
        <v>#N/A</v>
      </c>
      <c r="O1036" s="7" t="str">
        <f>VLOOKUP(F1036,HC!A$6:D$1000,2,FALSE)</f>
        <v>fraugene</v>
      </c>
      <c r="P1036" t="s">
        <v>663</v>
      </c>
      <c r="Q1036" s="7" t="s">
        <v>707</v>
      </c>
      <c r="U1036">
        <f t="shared" si="18"/>
        <v>32</v>
      </c>
    </row>
    <row r="1037" spans="1:21" ht="37.5" customHeight="1" x14ac:dyDescent="0.25">
      <c r="A1037" s="23">
        <v>45001</v>
      </c>
      <c r="B1037" s="13">
        <v>11</v>
      </c>
      <c r="C1037" t="s">
        <v>3</v>
      </c>
      <c r="D1037" t="s">
        <v>4</v>
      </c>
      <c r="E1037" t="s">
        <v>5</v>
      </c>
      <c r="F1037" s="6">
        <v>113014092</v>
      </c>
      <c r="G1037" t="s">
        <v>552</v>
      </c>
      <c r="H1037" t="s">
        <v>298</v>
      </c>
      <c r="I1037">
        <v>0</v>
      </c>
      <c r="J1037">
        <v>0</v>
      </c>
      <c r="K1037">
        <v>0</v>
      </c>
      <c r="L1037">
        <v>0</v>
      </c>
      <c r="M1037">
        <v>0.73</v>
      </c>
      <c r="N1037" s="7" t="e">
        <f>VLOOKUP(F1037,HC!A$6:D$100,3,FALSE)</f>
        <v>#N/A</v>
      </c>
      <c r="O1037" s="7" t="str">
        <f>VLOOKUP(F1037,HC!A$6:D$1000,2,FALSE)</f>
        <v>rsanccri</v>
      </c>
      <c r="P1037" t="s">
        <v>664</v>
      </c>
      <c r="Q1037" s="7" t="s">
        <v>761</v>
      </c>
      <c r="U1037">
        <f t="shared" si="18"/>
        <v>11</v>
      </c>
    </row>
    <row r="1038" spans="1:21" ht="37.5" customHeight="1" x14ac:dyDescent="0.25">
      <c r="A1038" s="23">
        <v>45001</v>
      </c>
      <c r="B1038" s="13">
        <v>11</v>
      </c>
      <c r="C1038" t="s">
        <v>3</v>
      </c>
      <c r="D1038" t="s">
        <v>4</v>
      </c>
      <c r="E1038" t="s">
        <v>5</v>
      </c>
      <c r="F1038" s="6">
        <v>113014113</v>
      </c>
      <c r="G1038" t="s">
        <v>269</v>
      </c>
      <c r="H1038" t="s">
        <v>49</v>
      </c>
      <c r="I1038">
        <v>0</v>
      </c>
      <c r="J1038">
        <v>0</v>
      </c>
      <c r="K1038">
        <v>0</v>
      </c>
      <c r="L1038">
        <v>0</v>
      </c>
      <c r="M1038">
        <v>0.37</v>
      </c>
      <c r="N1038" s="7" t="e">
        <f>VLOOKUP(F1038,HC!A$6:D$100,3,FALSE)</f>
        <v>#N/A</v>
      </c>
      <c r="O1038" s="7" t="e">
        <f>VLOOKUP(F1038,HC!A$6:D$1000,2,FALSE)</f>
        <v>#N/A</v>
      </c>
      <c r="P1038" t="s">
        <v>661</v>
      </c>
      <c r="Q1038" s="7" t="s">
        <v>681</v>
      </c>
      <c r="U1038">
        <f t="shared" si="18"/>
        <v>1395</v>
      </c>
    </row>
    <row r="1039" spans="1:21" ht="37.5" customHeight="1" x14ac:dyDescent="0.25">
      <c r="A1039" s="23">
        <v>45001</v>
      </c>
      <c r="B1039" s="13">
        <v>11</v>
      </c>
      <c r="C1039" t="s">
        <v>3</v>
      </c>
      <c r="D1039" t="s">
        <v>4</v>
      </c>
      <c r="E1039" t="s">
        <v>5</v>
      </c>
      <c r="F1039" s="6">
        <v>113019042</v>
      </c>
      <c r="G1039" t="s">
        <v>655</v>
      </c>
      <c r="H1039" t="s">
        <v>14</v>
      </c>
      <c r="I1039">
        <v>0</v>
      </c>
      <c r="J1039">
        <v>0</v>
      </c>
      <c r="K1039">
        <v>0</v>
      </c>
      <c r="L1039">
        <v>0</v>
      </c>
      <c r="M1039">
        <v>0.28999999999999998</v>
      </c>
      <c r="N1039" s="7" t="e">
        <f>VLOOKUP(F1039,HC!A$6:D$100,3,FALSE)</f>
        <v>#N/A</v>
      </c>
      <c r="O1039" s="7" t="e">
        <f>VLOOKUP(F1039,HC!A$6:D$1000,2,FALSE)</f>
        <v>#N/A</v>
      </c>
      <c r="P1039" t="s">
        <v>664</v>
      </c>
      <c r="Q1039" s="7" t="s">
        <v>717</v>
      </c>
      <c r="R1039" t="s">
        <v>811</v>
      </c>
      <c r="U1039">
        <f t="shared" si="18"/>
        <v>1395</v>
      </c>
    </row>
    <row r="1040" spans="1:21" ht="37.5" customHeight="1" x14ac:dyDescent="0.25">
      <c r="A1040" s="23">
        <v>45001</v>
      </c>
      <c r="B1040" s="13">
        <v>11</v>
      </c>
      <c r="C1040" t="s">
        <v>3</v>
      </c>
      <c r="D1040" t="s">
        <v>4</v>
      </c>
      <c r="E1040" t="s">
        <v>5</v>
      </c>
      <c r="F1040" s="6">
        <v>113052151</v>
      </c>
      <c r="G1040" t="s">
        <v>482</v>
      </c>
      <c r="H1040" t="s">
        <v>17</v>
      </c>
      <c r="I1040">
        <v>0</v>
      </c>
      <c r="J1040">
        <v>0</v>
      </c>
      <c r="K1040">
        <v>0</v>
      </c>
      <c r="L1040">
        <v>0</v>
      </c>
      <c r="M1040">
        <v>0.18</v>
      </c>
      <c r="N1040" s="7" t="e">
        <f>VLOOKUP(F1040,HC!A$6:D$100,3,FALSE)</f>
        <v>#N/A</v>
      </c>
      <c r="O1040" s="7" t="str">
        <f>VLOOKUP(F1040,HC!A$6:D$1000,2,FALSE)</f>
        <v>nilaurab</v>
      </c>
      <c r="P1040" t="s">
        <v>662</v>
      </c>
      <c r="Q1040" s="7" t="s">
        <v>691</v>
      </c>
      <c r="U1040">
        <f t="shared" si="18"/>
        <v>28</v>
      </c>
    </row>
    <row r="1041" spans="1:21" ht="37.5" customHeight="1" x14ac:dyDescent="0.25">
      <c r="A1041" s="23">
        <v>45001</v>
      </c>
      <c r="B1041" s="13">
        <v>11</v>
      </c>
      <c r="C1041" t="s">
        <v>3</v>
      </c>
      <c r="D1041" t="s">
        <v>4</v>
      </c>
      <c r="E1041" t="s">
        <v>5</v>
      </c>
      <c r="F1041" s="6">
        <v>200404250</v>
      </c>
      <c r="G1041" t="s">
        <v>51</v>
      </c>
      <c r="H1041" t="s">
        <v>285</v>
      </c>
      <c r="I1041">
        <v>0</v>
      </c>
      <c r="J1041">
        <v>0</v>
      </c>
      <c r="K1041">
        <v>0</v>
      </c>
      <c r="L1041">
        <v>0</v>
      </c>
      <c r="M1041">
        <v>0.46</v>
      </c>
      <c r="N1041" s="7" t="e">
        <f>VLOOKUP(F1041,HC!A$6:D$100,3,FALSE)</f>
        <v>#N/A</v>
      </c>
      <c r="O1041" s="7" t="str">
        <f>VLOOKUP(F1041,HC!A$6:D$1000,2,FALSE)</f>
        <v>xcathurt</v>
      </c>
      <c r="P1041" t="s">
        <v>662</v>
      </c>
      <c r="Q1041" s="7" t="s">
        <v>785</v>
      </c>
      <c r="U1041">
        <f t="shared" si="18"/>
        <v>124</v>
      </c>
    </row>
    <row r="1042" spans="1:21" ht="37.5" customHeight="1" x14ac:dyDescent="0.25">
      <c r="A1042" s="23">
        <v>45001</v>
      </c>
      <c r="B1042" s="13">
        <v>11</v>
      </c>
      <c r="C1042" t="s">
        <v>3</v>
      </c>
      <c r="D1042" t="s">
        <v>4</v>
      </c>
      <c r="E1042" t="s">
        <v>5</v>
      </c>
      <c r="F1042" s="6">
        <v>200407907</v>
      </c>
      <c r="G1042" t="s">
        <v>417</v>
      </c>
      <c r="H1042" t="s">
        <v>285</v>
      </c>
      <c r="I1042">
        <v>0</v>
      </c>
      <c r="J1042">
        <v>0</v>
      </c>
      <c r="K1042">
        <v>0</v>
      </c>
      <c r="L1042">
        <v>0</v>
      </c>
      <c r="M1042">
        <v>0.24</v>
      </c>
      <c r="N1042" s="7" t="e">
        <f>VLOOKUP(F1042,HC!A$6:D$100,3,FALSE)</f>
        <v>#N/A</v>
      </c>
      <c r="O1042" s="7" t="e">
        <f>VLOOKUP(F1042,HC!A$6:D$1000,2,FALSE)</f>
        <v>#N/A</v>
      </c>
      <c r="P1042" t="s">
        <v>664</v>
      </c>
      <c r="Q1042" s="7" t="s">
        <v>777</v>
      </c>
      <c r="U1042">
        <f t="shared" si="18"/>
        <v>1395</v>
      </c>
    </row>
    <row r="1043" spans="1:21" ht="37.5" customHeight="1" x14ac:dyDescent="0.25">
      <c r="A1043" s="23">
        <v>45001</v>
      </c>
      <c r="B1043" s="13">
        <v>11</v>
      </c>
      <c r="C1043" t="s">
        <v>3</v>
      </c>
      <c r="D1043" t="s">
        <v>4</v>
      </c>
      <c r="E1043" t="s">
        <v>21</v>
      </c>
      <c r="F1043" s="6">
        <v>200564845</v>
      </c>
      <c r="G1043" t="s">
        <v>440</v>
      </c>
      <c r="H1043" t="s">
        <v>7</v>
      </c>
      <c r="I1043">
        <v>0</v>
      </c>
      <c r="J1043">
        <v>0</v>
      </c>
      <c r="K1043">
        <v>0</v>
      </c>
      <c r="L1043">
        <v>0</v>
      </c>
      <c r="M1043">
        <v>0.15</v>
      </c>
      <c r="N1043" s="7" t="e">
        <f>VLOOKUP(F1043,HC!A$6:D$100,3,FALSE)</f>
        <v>#N/A</v>
      </c>
      <c r="O1043" s="7" t="e">
        <f>VLOOKUP(F1043,HC!A$6:D$1000,2,FALSE)</f>
        <v>#N/A</v>
      </c>
      <c r="P1043" t="s">
        <v>663</v>
      </c>
      <c r="Q1043" s="7" t="s">
        <v>705</v>
      </c>
      <c r="U1043">
        <f t="shared" si="18"/>
        <v>1395</v>
      </c>
    </row>
    <row r="1044" spans="1:21" ht="37.5" customHeight="1" x14ac:dyDescent="0.25">
      <c r="A1044" s="23">
        <v>45001</v>
      </c>
      <c r="B1044" s="13">
        <v>11</v>
      </c>
      <c r="C1044" t="s">
        <v>3</v>
      </c>
      <c r="D1044" t="s">
        <v>4</v>
      </c>
      <c r="E1044" t="s">
        <v>21</v>
      </c>
      <c r="F1044" s="6">
        <v>200589316</v>
      </c>
      <c r="G1044" t="s">
        <v>53</v>
      </c>
      <c r="H1044" t="s">
        <v>7</v>
      </c>
      <c r="I1044">
        <v>0</v>
      </c>
      <c r="J1044">
        <v>0</v>
      </c>
      <c r="K1044">
        <v>0</v>
      </c>
      <c r="L1044">
        <v>0</v>
      </c>
      <c r="M1044">
        <v>0.17</v>
      </c>
      <c r="N1044" s="7" t="e">
        <f>VLOOKUP(F1044,HC!A$6:D$100,3,FALSE)</f>
        <v>#N/A</v>
      </c>
      <c r="O1044" s="7" t="e">
        <f>VLOOKUP(F1044,HC!A$6:D$1000,2,FALSE)</f>
        <v>#N/A</v>
      </c>
      <c r="P1044" t="s">
        <v>664</v>
      </c>
      <c r="Q1044" s="7" t="s">
        <v>708</v>
      </c>
      <c r="R1044" t="s">
        <v>811</v>
      </c>
      <c r="U1044">
        <f t="shared" si="18"/>
        <v>1395</v>
      </c>
    </row>
    <row r="1045" spans="1:21" ht="37.5" customHeight="1" x14ac:dyDescent="0.25">
      <c r="A1045" s="23">
        <v>45002</v>
      </c>
      <c r="B1045" s="13">
        <v>11</v>
      </c>
      <c r="C1045" t="s">
        <v>3</v>
      </c>
      <c r="D1045" t="s">
        <v>4</v>
      </c>
      <c r="E1045" t="s">
        <v>5</v>
      </c>
      <c r="F1045" s="6">
        <v>112912464</v>
      </c>
      <c r="G1045" t="s">
        <v>531</v>
      </c>
      <c r="H1045" t="s">
        <v>459</v>
      </c>
      <c r="I1045">
        <v>0</v>
      </c>
      <c r="J1045">
        <v>0</v>
      </c>
      <c r="K1045">
        <v>0</v>
      </c>
      <c r="L1045">
        <v>0</v>
      </c>
      <c r="M1045">
        <v>1.82</v>
      </c>
      <c r="N1045" s="7" t="e">
        <f>VLOOKUP(F1045,HC!A$6:D$100,3,FALSE)</f>
        <v>#N/A</v>
      </c>
      <c r="O1045" s="7" t="e">
        <f>VLOOKUP(F1045,HC!A$6:D$1000,2,FALSE)</f>
        <v>#N/A</v>
      </c>
      <c r="P1045" t="s">
        <v>664</v>
      </c>
      <c r="Q1045" s="7" t="s">
        <v>711</v>
      </c>
      <c r="U1045">
        <f t="shared" si="18"/>
        <v>1395</v>
      </c>
    </row>
    <row r="1046" spans="1:21" ht="37.5" customHeight="1" x14ac:dyDescent="0.25">
      <c r="A1046" s="23">
        <v>45002</v>
      </c>
      <c r="B1046" s="13">
        <v>11</v>
      </c>
      <c r="C1046" t="s">
        <v>3</v>
      </c>
      <c r="D1046" t="s">
        <v>4</v>
      </c>
      <c r="E1046" t="s">
        <v>5</v>
      </c>
      <c r="F1046" s="6">
        <v>112971980</v>
      </c>
      <c r="G1046" t="s">
        <v>445</v>
      </c>
      <c r="H1046" t="s">
        <v>282</v>
      </c>
      <c r="I1046">
        <v>0</v>
      </c>
      <c r="J1046">
        <v>0</v>
      </c>
      <c r="K1046">
        <v>0</v>
      </c>
      <c r="L1046">
        <v>0</v>
      </c>
      <c r="M1046">
        <v>0.28999999999999998</v>
      </c>
      <c r="N1046" s="7" t="str">
        <f>VLOOKUP(F1046,HC!A$6:D$100,3,FALSE)</f>
        <v>DC-X0700</v>
      </c>
      <c r="O1046" s="7" t="str">
        <f>VLOOKUP(F1046,HC!A$6:D$1000,2,FALSE)</f>
        <v>cdanirom</v>
      </c>
      <c r="P1046" t="s">
        <v>664</v>
      </c>
      <c r="Q1046" s="7" t="s">
        <v>711</v>
      </c>
      <c r="U1046">
        <f t="shared" si="18"/>
        <v>25</v>
      </c>
    </row>
    <row r="1047" spans="1:21" ht="37.5" customHeight="1" x14ac:dyDescent="0.25">
      <c r="A1047" s="23">
        <v>45002</v>
      </c>
      <c r="B1047" s="13">
        <v>11</v>
      </c>
      <c r="C1047" t="s">
        <v>3</v>
      </c>
      <c r="D1047" t="s">
        <v>4</v>
      </c>
      <c r="E1047" t="s">
        <v>5</v>
      </c>
      <c r="F1047" s="6">
        <v>112984442</v>
      </c>
      <c r="G1047" t="s">
        <v>315</v>
      </c>
      <c r="H1047" t="s">
        <v>268</v>
      </c>
      <c r="I1047">
        <v>0</v>
      </c>
      <c r="J1047">
        <v>0</v>
      </c>
      <c r="K1047">
        <v>0</v>
      </c>
      <c r="L1047">
        <v>0</v>
      </c>
      <c r="M1047">
        <v>0.82</v>
      </c>
      <c r="N1047" s="7" t="e">
        <f>VLOOKUP(F1047,HC!A$6:D$100,3,FALSE)</f>
        <v>#N/A</v>
      </c>
      <c r="O1047" s="7" t="e">
        <f>VLOOKUP(F1047,HC!A$6:D$1000,2,FALSE)</f>
        <v>#N/A</v>
      </c>
      <c r="P1047" t="s">
        <v>664</v>
      </c>
      <c r="Q1047" s="7" t="s">
        <v>770</v>
      </c>
      <c r="U1047">
        <f t="shared" si="18"/>
        <v>1395</v>
      </c>
    </row>
    <row r="1048" spans="1:21" ht="37.5" customHeight="1" x14ac:dyDescent="0.25">
      <c r="A1048" s="23">
        <v>45002</v>
      </c>
      <c r="B1048" s="13">
        <v>11</v>
      </c>
      <c r="C1048" t="s">
        <v>3</v>
      </c>
      <c r="D1048" t="s">
        <v>4</v>
      </c>
      <c r="E1048" t="s">
        <v>5</v>
      </c>
      <c r="F1048" s="6">
        <v>113003674</v>
      </c>
      <c r="G1048" t="s">
        <v>855</v>
      </c>
      <c r="H1048" t="s">
        <v>268</v>
      </c>
      <c r="I1048">
        <v>0</v>
      </c>
      <c r="J1048">
        <v>0</v>
      </c>
      <c r="K1048">
        <v>0</v>
      </c>
      <c r="L1048">
        <v>0</v>
      </c>
      <c r="M1048">
        <v>0.78</v>
      </c>
      <c r="N1048" s="7" t="e">
        <f>VLOOKUP(F1048,HC!A$6:D$100,3,FALSE)</f>
        <v>#N/A</v>
      </c>
      <c r="O1048" s="7" t="str">
        <f>VLOOKUP(F1048,HC!A$6:D$1000,2,FALSE)</f>
        <v>jcarlgas</v>
      </c>
      <c r="P1048" t="s">
        <v>661</v>
      </c>
      <c r="Q1048" s="7" t="s">
        <v>684</v>
      </c>
      <c r="U1048">
        <f t="shared" si="18"/>
        <v>4</v>
      </c>
    </row>
    <row r="1049" spans="1:21" ht="37.5" customHeight="1" x14ac:dyDescent="0.25">
      <c r="A1049" s="23">
        <v>45002</v>
      </c>
      <c r="B1049" s="13">
        <v>11</v>
      </c>
      <c r="C1049" t="s">
        <v>3</v>
      </c>
      <c r="D1049" t="s">
        <v>4</v>
      </c>
      <c r="E1049" t="s">
        <v>5</v>
      </c>
      <c r="F1049" s="6">
        <v>113014042</v>
      </c>
      <c r="G1049" t="s">
        <v>329</v>
      </c>
      <c r="H1049" t="s">
        <v>298</v>
      </c>
      <c r="I1049">
        <v>0</v>
      </c>
      <c r="J1049">
        <v>0</v>
      </c>
      <c r="K1049">
        <v>0</v>
      </c>
      <c r="L1049">
        <v>0</v>
      </c>
      <c r="M1049">
        <v>0.44</v>
      </c>
      <c r="N1049" s="7" t="e">
        <f>VLOOKUP(F1049,HC!A$6:D$100,3,FALSE)</f>
        <v>#N/A</v>
      </c>
      <c r="O1049" s="7" t="str">
        <f>VLOOKUP(F1049,HC!A$6:D$1000,2,FALSE)</f>
        <v>rfcervan</v>
      </c>
      <c r="P1049" t="s">
        <v>661</v>
      </c>
      <c r="Q1049" s="7" t="s">
        <v>681</v>
      </c>
      <c r="U1049">
        <f t="shared" si="18"/>
        <v>23</v>
      </c>
    </row>
    <row r="1050" spans="1:21" ht="37.5" customHeight="1" x14ac:dyDescent="0.25">
      <c r="A1050" s="23">
        <v>45002</v>
      </c>
      <c r="B1050" s="13">
        <v>11</v>
      </c>
      <c r="C1050" t="s">
        <v>3</v>
      </c>
      <c r="D1050" t="s">
        <v>4</v>
      </c>
      <c r="E1050" t="s">
        <v>5</v>
      </c>
      <c r="F1050" s="6">
        <v>113020667</v>
      </c>
      <c r="G1050" t="s">
        <v>380</v>
      </c>
      <c r="H1050" t="s">
        <v>7</v>
      </c>
      <c r="I1050">
        <v>0</v>
      </c>
      <c r="J1050">
        <v>0</v>
      </c>
      <c r="K1050">
        <v>0</v>
      </c>
      <c r="L1050">
        <v>0</v>
      </c>
      <c r="M1050">
        <v>0.2</v>
      </c>
      <c r="N1050" s="7" t="e">
        <f>VLOOKUP(F1050,HC!A$6:D$100,3,FALSE)</f>
        <v>#N/A</v>
      </c>
      <c r="O1050" s="7" t="str">
        <f>VLOOKUP(F1050,HC!A$6:D$1000,2,FALSE)</f>
        <v>mavpauli</v>
      </c>
      <c r="P1050" t="s">
        <v>664</v>
      </c>
      <c r="Q1050" s="7" t="s">
        <v>708</v>
      </c>
      <c r="U1050">
        <f t="shared" si="18"/>
        <v>12</v>
      </c>
    </row>
    <row r="1051" spans="1:21" ht="37.5" customHeight="1" x14ac:dyDescent="0.25">
      <c r="A1051" s="23">
        <v>45002</v>
      </c>
      <c r="B1051" s="13">
        <v>11</v>
      </c>
      <c r="C1051" t="s">
        <v>3</v>
      </c>
      <c r="D1051" t="s">
        <v>4</v>
      </c>
      <c r="E1051" t="s">
        <v>21</v>
      </c>
      <c r="F1051" s="6">
        <v>200589316</v>
      </c>
      <c r="G1051" t="s">
        <v>53</v>
      </c>
      <c r="H1051" t="s">
        <v>7</v>
      </c>
      <c r="I1051">
        <v>0</v>
      </c>
      <c r="J1051">
        <v>0</v>
      </c>
      <c r="K1051">
        <v>0</v>
      </c>
      <c r="L1051">
        <v>0</v>
      </c>
      <c r="M1051">
        <v>0.11</v>
      </c>
      <c r="N1051" s="7" t="e">
        <f>VLOOKUP(F1051,HC!A$6:D$100,3,FALSE)</f>
        <v>#N/A</v>
      </c>
      <c r="O1051" s="7" t="e">
        <f>VLOOKUP(F1051,HC!A$6:D$1000,2,FALSE)</f>
        <v>#N/A</v>
      </c>
      <c r="P1051" t="s">
        <v>664</v>
      </c>
      <c r="Q1051" s="7" t="s">
        <v>710</v>
      </c>
      <c r="U1051">
        <f t="shared" si="18"/>
        <v>1395</v>
      </c>
    </row>
    <row r="1052" spans="1:21" ht="37.5" customHeight="1" x14ac:dyDescent="0.25">
      <c r="A1052" s="23">
        <v>45002</v>
      </c>
      <c r="B1052" s="13">
        <v>11</v>
      </c>
      <c r="C1052" t="s">
        <v>3</v>
      </c>
      <c r="D1052" t="s">
        <v>4</v>
      </c>
      <c r="E1052" t="s">
        <v>21</v>
      </c>
      <c r="F1052" s="6">
        <v>200614224</v>
      </c>
      <c r="G1052" t="s">
        <v>322</v>
      </c>
      <c r="H1052" t="s">
        <v>17</v>
      </c>
      <c r="I1052">
        <v>0</v>
      </c>
      <c r="J1052">
        <v>0</v>
      </c>
      <c r="K1052">
        <v>0</v>
      </c>
      <c r="L1052">
        <v>0</v>
      </c>
      <c r="M1052">
        <v>0.55000000000000004</v>
      </c>
      <c r="N1052" s="7" t="e">
        <f>VLOOKUP(F1052,HC!A$6:D$100,3,FALSE)</f>
        <v>#N/A</v>
      </c>
      <c r="O1052" s="7" t="e">
        <f>VLOOKUP(F1052,HC!A$6:D$1000,2,FALSE)</f>
        <v>#N/A</v>
      </c>
      <c r="P1052" t="s">
        <v>664</v>
      </c>
      <c r="Q1052" s="7" t="s">
        <v>777</v>
      </c>
      <c r="U1052">
        <f t="shared" si="18"/>
        <v>1395</v>
      </c>
    </row>
    <row r="1053" spans="1:21" ht="37.5" customHeight="1" x14ac:dyDescent="0.25">
      <c r="A1053" s="23">
        <v>45002</v>
      </c>
      <c r="B1053" s="13">
        <v>11</v>
      </c>
      <c r="C1053" t="s">
        <v>3</v>
      </c>
      <c r="D1053" t="s">
        <v>4</v>
      </c>
      <c r="E1053" t="s">
        <v>21</v>
      </c>
      <c r="F1053" s="6">
        <v>200615883</v>
      </c>
      <c r="G1053" t="s">
        <v>508</v>
      </c>
      <c r="H1053" t="s">
        <v>7</v>
      </c>
      <c r="I1053">
        <v>0</v>
      </c>
      <c r="J1053">
        <v>0</v>
      </c>
      <c r="K1053">
        <v>0</v>
      </c>
      <c r="L1053">
        <v>0</v>
      </c>
      <c r="M1053">
        <v>1.36</v>
      </c>
      <c r="N1053" s="7" t="e">
        <f>VLOOKUP(F1053,HC!A$6:D$100,3,FALSE)</f>
        <v>#N/A</v>
      </c>
      <c r="O1053" s="7" t="e">
        <f>VLOOKUP(F1053,HC!A$6:D$1000,2,FALSE)</f>
        <v>#N/A</v>
      </c>
      <c r="P1053" t="s">
        <v>664</v>
      </c>
      <c r="Q1053" s="7" t="s">
        <v>708</v>
      </c>
      <c r="R1053" t="s">
        <v>811</v>
      </c>
      <c r="U1053">
        <f t="shared" si="18"/>
        <v>1395</v>
      </c>
    </row>
    <row r="1054" spans="1:21" ht="37.5" customHeight="1" x14ac:dyDescent="0.25">
      <c r="A1054" s="23">
        <v>45002</v>
      </c>
      <c r="B1054" s="13">
        <v>11</v>
      </c>
      <c r="C1054" t="s">
        <v>3</v>
      </c>
      <c r="D1054" t="s">
        <v>4</v>
      </c>
      <c r="E1054" t="s">
        <v>21</v>
      </c>
      <c r="F1054" s="6">
        <v>201186777</v>
      </c>
      <c r="G1054" t="s">
        <v>856</v>
      </c>
      <c r="H1054" t="s">
        <v>559</v>
      </c>
      <c r="I1054">
        <v>0</v>
      </c>
      <c r="J1054">
        <v>0</v>
      </c>
      <c r="K1054">
        <v>0</v>
      </c>
      <c r="L1054">
        <v>0</v>
      </c>
      <c r="M1054">
        <v>0.28999999999999998</v>
      </c>
      <c r="N1054" s="7" t="e">
        <f>VLOOKUP(F1054,HC!A$6:D$100,3,FALSE)</f>
        <v>#N/A</v>
      </c>
      <c r="O1054" s="7" t="str">
        <f>VLOOKUP(F1054,HC!A$6:D$1000,2,FALSE)</f>
        <v>bemonzon</v>
      </c>
      <c r="P1054" t="s">
        <v>670</v>
      </c>
      <c r="Q1054" s="7" t="s">
        <v>748</v>
      </c>
      <c r="R1054" t="s">
        <v>788</v>
      </c>
      <c r="U1054">
        <f t="shared" si="18"/>
        <v>15</v>
      </c>
    </row>
    <row r="1055" spans="1:21" ht="37.5" customHeight="1" x14ac:dyDescent="0.25">
      <c r="A1055" s="23">
        <v>45002</v>
      </c>
      <c r="B1055" s="13">
        <v>11</v>
      </c>
      <c r="C1055" t="s">
        <v>3</v>
      </c>
      <c r="D1055" t="s">
        <v>4</v>
      </c>
      <c r="E1055" t="s">
        <v>21</v>
      </c>
      <c r="F1055" s="6">
        <v>201191101</v>
      </c>
      <c r="G1055" t="s">
        <v>857</v>
      </c>
      <c r="H1055" t="s">
        <v>846</v>
      </c>
      <c r="I1055">
        <v>0</v>
      </c>
      <c r="J1055">
        <v>0</v>
      </c>
      <c r="K1055">
        <v>0</v>
      </c>
      <c r="L1055">
        <v>0</v>
      </c>
      <c r="M1055">
        <v>0.23</v>
      </c>
      <c r="N1055" s="7" t="e">
        <f>VLOOKUP(F1055,HC!A$6:D$100,3,FALSE)</f>
        <v>#N/A</v>
      </c>
      <c r="O1055" s="7" t="e">
        <f>VLOOKUP(F1055,HC!A$6:D$1000,2,FALSE)</f>
        <v>#N/A</v>
      </c>
      <c r="P1055" t="s">
        <v>661</v>
      </c>
      <c r="Q1055" s="7" t="s">
        <v>681</v>
      </c>
      <c r="U1055">
        <f t="shared" si="18"/>
        <v>1395</v>
      </c>
    </row>
    <row r="1056" spans="1:21" ht="37.5" customHeight="1" x14ac:dyDescent="0.25">
      <c r="A1056" s="23">
        <v>45002</v>
      </c>
      <c r="B1056" s="13">
        <v>11</v>
      </c>
      <c r="C1056" t="s">
        <v>3</v>
      </c>
      <c r="D1056" t="s">
        <v>4</v>
      </c>
      <c r="E1056" t="s">
        <v>21</v>
      </c>
      <c r="F1056" s="6">
        <v>201194233</v>
      </c>
      <c r="G1056" t="s">
        <v>858</v>
      </c>
      <c r="H1056" t="s">
        <v>47</v>
      </c>
      <c r="I1056">
        <v>0</v>
      </c>
      <c r="J1056">
        <v>0</v>
      </c>
      <c r="K1056">
        <v>0</v>
      </c>
      <c r="L1056">
        <v>0</v>
      </c>
      <c r="M1056">
        <v>0.55000000000000004</v>
      </c>
      <c r="N1056" s="7" t="e">
        <f>VLOOKUP(F1056,HC!A$6:D$100,3,FALSE)</f>
        <v>#N/A</v>
      </c>
      <c r="O1056" s="7" t="e">
        <f>VLOOKUP(F1056,HC!A$6:D$1000,2,FALSE)</f>
        <v>#N/A</v>
      </c>
      <c r="P1056" t="s">
        <v>664</v>
      </c>
      <c r="Q1056" s="7" t="s">
        <v>708</v>
      </c>
      <c r="U1056">
        <f t="shared" si="18"/>
        <v>1395</v>
      </c>
    </row>
    <row r="1057" spans="1:21" ht="37.5" customHeight="1" x14ac:dyDescent="0.25">
      <c r="A1057" s="23">
        <v>45002</v>
      </c>
      <c r="B1057" s="13">
        <v>11</v>
      </c>
      <c r="C1057" t="s">
        <v>3</v>
      </c>
      <c r="D1057" t="s">
        <v>4</v>
      </c>
      <c r="E1057" t="s">
        <v>21</v>
      </c>
      <c r="F1057" s="6">
        <v>201194285</v>
      </c>
      <c r="G1057" t="s">
        <v>859</v>
      </c>
      <c r="H1057" t="s">
        <v>559</v>
      </c>
      <c r="I1057">
        <v>0</v>
      </c>
      <c r="J1057">
        <v>0</v>
      </c>
      <c r="K1057">
        <v>0</v>
      </c>
      <c r="L1057">
        <v>0</v>
      </c>
      <c r="M1057">
        <v>0.53</v>
      </c>
      <c r="N1057" s="7" t="e">
        <f>VLOOKUP(F1057,HC!A$6:D$100,3,FALSE)</f>
        <v>#N/A</v>
      </c>
      <c r="O1057" s="7" t="e">
        <f>VLOOKUP(F1057,HC!A$6:D$1000,2,FALSE)</f>
        <v>#N/A</v>
      </c>
      <c r="P1057" t="s">
        <v>664</v>
      </c>
      <c r="Q1057" s="7" t="s">
        <v>777</v>
      </c>
      <c r="U1057">
        <f t="shared" si="18"/>
        <v>1395</v>
      </c>
    </row>
    <row r="1058" spans="1:21" ht="37.5" customHeight="1" x14ac:dyDescent="0.25">
      <c r="A1058" s="23">
        <v>45003</v>
      </c>
      <c r="B1058" s="13">
        <v>11</v>
      </c>
      <c r="C1058" t="s">
        <v>3</v>
      </c>
      <c r="D1058" t="s">
        <v>4</v>
      </c>
      <c r="E1058" t="s">
        <v>5</v>
      </c>
      <c r="F1058" s="6">
        <v>112981212</v>
      </c>
      <c r="G1058" t="s">
        <v>573</v>
      </c>
      <c r="H1058" t="s">
        <v>17</v>
      </c>
      <c r="I1058">
        <v>0</v>
      </c>
      <c r="J1058">
        <v>0</v>
      </c>
      <c r="K1058">
        <v>0</v>
      </c>
      <c r="L1058">
        <v>0</v>
      </c>
      <c r="M1058">
        <v>0.22</v>
      </c>
      <c r="N1058" s="7" t="e">
        <f>VLOOKUP(F1058,HC!A$6:D$100,3,FALSE)</f>
        <v>#N/A</v>
      </c>
      <c r="O1058" s="7" t="str">
        <f>VLOOKUP(F1058,HC!A$6:D$1000,2,FALSE)</f>
        <v>alysonza</v>
      </c>
      <c r="P1058" t="s">
        <v>664</v>
      </c>
      <c r="Q1058" s="7" t="s">
        <v>771</v>
      </c>
      <c r="U1058">
        <f t="shared" si="18"/>
        <v>23</v>
      </c>
    </row>
    <row r="1059" spans="1:21" ht="37.5" customHeight="1" x14ac:dyDescent="0.25">
      <c r="A1059" s="23">
        <v>45003</v>
      </c>
      <c r="B1059" s="13">
        <v>11</v>
      </c>
      <c r="C1059" t="s">
        <v>3</v>
      </c>
      <c r="D1059" t="s">
        <v>4</v>
      </c>
      <c r="E1059" t="s">
        <v>21</v>
      </c>
      <c r="F1059" s="6">
        <v>200564845</v>
      </c>
      <c r="G1059" t="s">
        <v>440</v>
      </c>
      <c r="H1059" t="s">
        <v>7</v>
      </c>
      <c r="I1059">
        <v>0</v>
      </c>
      <c r="J1059">
        <v>0</v>
      </c>
      <c r="K1059">
        <v>0</v>
      </c>
      <c r="L1059">
        <v>0</v>
      </c>
      <c r="M1059">
        <v>0.22</v>
      </c>
      <c r="N1059" s="7" t="e">
        <f>VLOOKUP(F1059,HC!A$6:D$100,3,FALSE)</f>
        <v>#N/A</v>
      </c>
      <c r="O1059" s="7" t="e">
        <f>VLOOKUP(F1059,HC!A$6:D$1000,2,FALSE)</f>
        <v>#N/A</v>
      </c>
      <c r="P1059" t="s">
        <v>661</v>
      </c>
      <c r="Q1059" s="7" t="s">
        <v>681</v>
      </c>
      <c r="U1059">
        <f t="shared" si="18"/>
        <v>1395</v>
      </c>
    </row>
    <row r="1060" spans="1:21" ht="37.5" customHeight="1" x14ac:dyDescent="0.25">
      <c r="A1060" s="23">
        <v>45003</v>
      </c>
      <c r="B1060" s="13">
        <v>11</v>
      </c>
      <c r="C1060" t="s">
        <v>3</v>
      </c>
      <c r="D1060" t="s">
        <v>4</v>
      </c>
      <c r="E1060" t="s">
        <v>21</v>
      </c>
      <c r="F1060" s="6">
        <v>200589316</v>
      </c>
      <c r="G1060" t="s">
        <v>53</v>
      </c>
      <c r="H1060" t="s">
        <v>7</v>
      </c>
      <c r="I1060">
        <v>0</v>
      </c>
      <c r="J1060">
        <v>0</v>
      </c>
      <c r="K1060">
        <v>0</v>
      </c>
      <c r="L1060">
        <v>0</v>
      </c>
      <c r="M1060">
        <v>0.12</v>
      </c>
      <c r="N1060" s="7" t="e">
        <f>VLOOKUP(F1060,HC!A$6:D$100,3,FALSE)</f>
        <v>#N/A</v>
      </c>
      <c r="O1060" s="7" t="e">
        <f>VLOOKUP(F1060,HC!A$6:D$1000,2,FALSE)</f>
        <v>#N/A</v>
      </c>
      <c r="P1060" t="s">
        <v>662</v>
      </c>
      <c r="Q1060" s="7" t="s">
        <v>691</v>
      </c>
      <c r="U1060">
        <f t="shared" si="18"/>
        <v>1395</v>
      </c>
    </row>
    <row r="1061" spans="1:21" ht="37.5" customHeight="1" x14ac:dyDescent="0.25">
      <c r="A1061" s="23">
        <v>45003</v>
      </c>
      <c r="B1061" s="13">
        <v>11</v>
      </c>
      <c r="C1061" t="s">
        <v>3</v>
      </c>
      <c r="D1061" t="s">
        <v>4</v>
      </c>
      <c r="E1061" t="s">
        <v>21</v>
      </c>
      <c r="F1061" s="6">
        <v>200615883</v>
      </c>
      <c r="G1061" t="s">
        <v>508</v>
      </c>
      <c r="H1061" t="s">
        <v>7</v>
      </c>
      <c r="I1061">
        <v>0</v>
      </c>
      <c r="J1061">
        <v>0</v>
      </c>
      <c r="K1061">
        <v>0</v>
      </c>
      <c r="L1061">
        <v>0</v>
      </c>
      <c r="M1061">
        <v>1.75</v>
      </c>
      <c r="N1061" s="7" t="e">
        <f>VLOOKUP(F1061,HC!A$6:D$100,3,FALSE)</f>
        <v>#N/A</v>
      </c>
      <c r="O1061" s="7" t="e">
        <f>VLOOKUP(F1061,HC!A$6:D$1000,2,FALSE)</f>
        <v>#N/A</v>
      </c>
      <c r="P1061" t="s">
        <v>664</v>
      </c>
      <c r="Q1061" s="7" t="s">
        <v>716</v>
      </c>
      <c r="U1061">
        <f t="shared" si="18"/>
        <v>1395</v>
      </c>
    </row>
    <row r="1062" spans="1:21" ht="37.5" customHeight="1" x14ac:dyDescent="0.25">
      <c r="A1062" s="23">
        <v>45003</v>
      </c>
      <c r="B1062" s="13">
        <v>11</v>
      </c>
      <c r="C1062" t="s">
        <v>3</v>
      </c>
      <c r="D1062" t="s">
        <v>4</v>
      </c>
      <c r="E1062" t="s">
        <v>21</v>
      </c>
      <c r="F1062" s="6">
        <v>200625339</v>
      </c>
      <c r="G1062" t="s">
        <v>860</v>
      </c>
      <c r="H1062" t="s">
        <v>7</v>
      </c>
      <c r="I1062">
        <v>0</v>
      </c>
      <c r="J1062">
        <v>0</v>
      </c>
      <c r="K1062">
        <v>0</v>
      </c>
      <c r="L1062">
        <v>0</v>
      </c>
      <c r="M1062">
        <v>0.03</v>
      </c>
      <c r="N1062" s="7" t="e">
        <f>VLOOKUP(F1062,HC!A$6:D$100,3,FALSE)</f>
        <v>#N/A</v>
      </c>
      <c r="O1062" s="7" t="e">
        <f>VLOOKUP(F1062,HC!A$6:D$1000,2,FALSE)</f>
        <v>#N/A</v>
      </c>
      <c r="Q1062" s="7"/>
      <c r="R1062" t="s">
        <v>604</v>
      </c>
      <c r="U1062">
        <f t="shared" si="18"/>
        <v>1395</v>
      </c>
    </row>
    <row r="1063" spans="1:21" ht="37.5" customHeight="1" x14ac:dyDescent="0.25">
      <c r="A1063" s="23">
        <v>45003</v>
      </c>
      <c r="B1063" s="13">
        <v>11</v>
      </c>
      <c r="C1063" t="s">
        <v>3</v>
      </c>
      <c r="D1063" t="s">
        <v>4</v>
      </c>
      <c r="E1063" t="s">
        <v>21</v>
      </c>
      <c r="F1063" s="6">
        <v>201160146</v>
      </c>
      <c r="G1063" t="s">
        <v>851</v>
      </c>
      <c r="H1063" t="s">
        <v>559</v>
      </c>
      <c r="I1063">
        <v>0</v>
      </c>
      <c r="J1063">
        <v>0</v>
      </c>
      <c r="K1063">
        <v>0</v>
      </c>
      <c r="L1063">
        <v>0</v>
      </c>
      <c r="M1063">
        <v>0.47</v>
      </c>
      <c r="N1063" s="7" t="e">
        <f>VLOOKUP(F1063,HC!A$6:D$100,3,FALSE)</f>
        <v>#N/A</v>
      </c>
      <c r="O1063" s="7" t="e">
        <f>VLOOKUP(F1063,HC!A$6:D$1000,2,FALSE)</f>
        <v>#N/A</v>
      </c>
      <c r="Q1063" s="7"/>
      <c r="R1063" t="s">
        <v>909</v>
      </c>
      <c r="U1063">
        <f t="shared" si="18"/>
        <v>1395</v>
      </c>
    </row>
    <row r="1064" spans="1:21" ht="37.5" customHeight="1" x14ac:dyDescent="0.25">
      <c r="A1064" s="23">
        <v>45003</v>
      </c>
      <c r="B1064" s="13">
        <v>11</v>
      </c>
      <c r="C1064" t="s">
        <v>3</v>
      </c>
      <c r="D1064" t="s">
        <v>4</v>
      </c>
      <c r="E1064" t="s">
        <v>21</v>
      </c>
      <c r="F1064" s="6">
        <v>201191169</v>
      </c>
      <c r="G1064" t="s">
        <v>861</v>
      </c>
      <c r="H1064" t="s">
        <v>846</v>
      </c>
      <c r="I1064">
        <v>0</v>
      </c>
      <c r="J1064">
        <v>0</v>
      </c>
      <c r="K1064">
        <v>0</v>
      </c>
      <c r="L1064">
        <v>0</v>
      </c>
      <c r="M1064">
        <v>1.24</v>
      </c>
      <c r="N1064" s="7" t="e">
        <f>VLOOKUP(F1064,HC!A$6:D$100,3,FALSE)</f>
        <v>#N/A</v>
      </c>
      <c r="O1064" s="7" t="e">
        <f>VLOOKUP(F1064,HC!A$6:D$1000,2,FALSE)</f>
        <v>#N/A</v>
      </c>
      <c r="P1064" t="s">
        <v>661</v>
      </c>
      <c r="Q1064" s="7" t="s">
        <v>681</v>
      </c>
      <c r="U1064">
        <f t="shared" si="18"/>
        <v>1395</v>
      </c>
    </row>
    <row r="1065" spans="1:21" ht="37.5" customHeight="1" x14ac:dyDescent="0.25">
      <c r="A1065" s="23">
        <v>45004</v>
      </c>
      <c r="B1065" s="13">
        <v>12</v>
      </c>
      <c r="C1065" t="s">
        <v>3</v>
      </c>
      <c r="D1065" t="s">
        <v>4</v>
      </c>
      <c r="E1065" t="s">
        <v>5</v>
      </c>
      <c r="F1065" s="6">
        <v>110249579</v>
      </c>
      <c r="G1065" t="s">
        <v>862</v>
      </c>
      <c r="H1065" t="s">
        <v>44</v>
      </c>
      <c r="I1065">
        <v>0</v>
      </c>
      <c r="J1065">
        <v>0</v>
      </c>
      <c r="K1065">
        <v>0</v>
      </c>
      <c r="L1065">
        <v>0</v>
      </c>
      <c r="M1065">
        <v>0.28000000000000003</v>
      </c>
      <c r="N1065" s="7" t="str">
        <f>VLOOKUP(F1065,HC!A$6:D$100,3,FALSE)</f>
        <v>DA-X0700</v>
      </c>
      <c r="O1065" s="7" t="str">
        <f>VLOOKUP(F1065,HC!A$6:D$1000,2,FALSE)</f>
        <v>ruzcvict</v>
      </c>
      <c r="P1065" t="s">
        <v>662</v>
      </c>
      <c r="Q1065" s="7" t="s">
        <v>757</v>
      </c>
      <c r="U1065">
        <f t="shared" si="18"/>
        <v>3</v>
      </c>
    </row>
    <row r="1066" spans="1:21" ht="37.5" customHeight="1" x14ac:dyDescent="0.25">
      <c r="A1066" s="23">
        <v>45004</v>
      </c>
      <c r="B1066" s="13">
        <v>12</v>
      </c>
      <c r="C1066" t="s">
        <v>3</v>
      </c>
      <c r="D1066" t="s">
        <v>4</v>
      </c>
      <c r="E1066" t="s">
        <v>21</v>
      </c>
      <c r="F1066" s="6">
        <v>112912007</v>
      </c>
      <c r="G1066" t="s">
        <v>518</v>
      </c>
      <c r="H1066" t="s">
        <v>44</v>
      </c>
      <c r="I1066">
        <v>0</v>
      </c>
      <c r="J1066">
        <v>0</v>
      </c>
      <c r="K1066">
        <v>0</v>
      </c>
      <c r="L1066">
        <v>0</v>
      </c>
      <c r="M1066">
        <v>0.64</v>
      </c>
      <c r="N1066" s="7" t="e">
        <f>VLOOKUP(F1066,HC!A$6:D$100,3,FALSE)</f>
        <v>#N/A</v>
      </c>
      <c r="O1066" s="7" t="e">
        <f>VLOOKUP(F1066,HC!A$6:D$1000,2,FALSE)</f>
        <v>#N/A</v>
      </c>
      <c r="P1066" t="s">
        <v>664</v>
      </c>
      <c r="Q1066" s="7" t="s">
        <v>711</v>
      </c>
      <c r="U1066">
        <f t="shared" si="18"/>
        <v>1395</v>
      </c>
    </row>
    <row r="1067" spans="1:21" ht="37.5" customHeight="1" x14ac:dyDescent="0.25">
      <c r="A1067" s="23">
        <v>45004</v>
      </c>
      <c r="B1067" s="13">
        <v>12</v>
      </c>
      <c r="C1067" t="s">
        <v>3</v>
      </c>
      <c r="D1067" t="s">
        <v>4</v>
      </c>
      <c r="E1067" t="s">
        <v>5</v>
      </c>
      <c r="F1067" s="6">
        <v>112912753</v>
      </c>
      <c r="G1067" t="s">
        <v>415</v>
      </c>
      <c r="H1067" t="s">
        <v>285</v>
      </c>
      <c r="I1067">
        <v>0</v>
      </c>
      <c r="J1067">
        <v>0</v>
      </c>
      <c r="K1067">
        <v>0</v>
      </c>
      <c r="L1067">
        <v>0</v>
      </c>
      <c r="M1067">
        <v>0.08</v>
      </c>
      <c r="N1067" s="7" t="e">
        <f>VLOOKUP(F1067,HC!A$6:D$100,3,FALSE)</f>
        <v>#N/A</v>
      </c>
      <c r="O1067" s="7" t="e">
        <f>VLOOKUP(F1067,HC!A$6:D$1000,2,FALSE)</f>
        <v>#N/A</v>
      </c>
      <c r="P1067" t="s">
        <v>664</v>
      </c>
      <c r="Q1067" s="7" t="s">
        <v>708</v>
      </c>
      <c r="U1067">
        <f t="shared" si="18"/>
        <v>1395</v>
      </c>
    </row>
    <row r="1068" spans="1:21" ht="37.5" customHeight="1" x14ac:dyDescent="0.25">
      <c r="A1068" s="23">
        <v>45004</v>
      </c>
      <c r="B1068" s="13">
        <v>12</v>
      </c>
      <c r="C1068" t="s">
        <v>3</v>
      </c>
      <c r="D1068" t="s">
        <v>4</v>
      </c>
      <c r="E1068" t="s">
        <v>5</v>
      </c>
      <c r="F1068" s="6">
        <v>112980843</v>
      </c>
      <c r="G1068" t="s">
        <v>619</v>
      </c>
      <c r="H1068" t="s">
        <v>44</v>
      </c>
      <c r="I1068">
        <v>0</v>
      </c>
      <c r="J1068">
        <v>0</v>
      </c>
      <c r="K1068">
        <v>0</v>
      </c>
      <c r="L1068">
        <v>0</v>
      </c>
      <c r="M1068">
        <v>0.09</v>
      </c>
      <c r="N1068" s="7" t="str">
        <f>VLOOKUP(F1068,HC!A$6:D$100,3,FALSE)</f>
        <v>DA-X0700</v>
      </c>
      <c r="O1068" s="7" t="str">
        <f>VLOOKUP(F1068,HC!A$6:D$1000,2,FALSE)</f>
        <v>lsisrael</v>
      </c>
      <c r="P1068" t="s">
        <v>663</v>
      </c>
      <c r="Q1068" s="7" t="s">
        <v>692</v>
      </c>
      <c r="U1068">
        <f t="shared" si="18"/>
        <v>10</v>
      </c>
    </row>
    <row r="1069" spans="1:21" ht="37.5" customHeight="1" x14ac:dyDescent="0.25">
      <c r="A1069" s="23">
        <v>45004</v>
      </c>
      <c r="B1069" s="13">
        <v>12</v>
      </c>
      <c r="C1069" t="s">
        <v>3</v>
      </c>
      <c r="D1069" t="s">
        <v>4</v>
      </c>
      <c r="E1069" t="s">
        <v>5</v>
      </c>
      <c r="F1069" s="6">
        <v>112981212</v>
      </c>
      <c r="G1069" t="s">
        <v>573</v>
      </c>
      <c r="H1069" t="s">
        <v>17</v>
      </c>
      <c r="I1069">
        <v>0</v>
      </c>
      <c r="J1069">
        <v>0</v>
      </c>
      <c r="K1069">
        <v>0</v>
      </c>
      <c r="L1069">
        <v>0</v>
      </c>
      <c r="M1069">
        <v>0.39</v>
      </c>
      <c r="N1069" s="7" t="e">
        <f>VLOOKUP(F1069,HC!A$6:D$100,3,FALSE)</f>
        <v>#N/A</v>
      </c>
      <c r="O1069" s="7" t="str">
        <f>VLOOKUP(F1069,HC!A$6:D$1000,2,FALSE)</f>
        <v>alysonza</v>
      </c>
      <c r="P1069" t="s">
        <v>661</v>
      </c>
      <c r="Q1069" s="7" t="s">
        <v>681</v>
      </c>
      <c r="U1069">
        <f t="shared" si="18"/>
        <v>23</v>
      </c>
    </row>
    <row r="1070" spans="1:21" ht="37.5" customHeight="1" x14ac:dyDescent="0.25">
      <c r="A1070" s="23">
        <v>45004</v>
      </c>
      <c r="B1070" s="13">
        <v>12</v>
      </c>
      <c r="C1070" t="s">
        <v>3</v>
      </c>
      <c r="D1070" t="s">
        <v>4</v>
      </c>
      <c r="E1070" t="s">
        <v>5</v>
      </c>
      <c r="F1070" s="6">
        <v>113101453</v>
      </c>
      <c r="G1070" t="s">
        <v>50</v>
      </c>
      <c r="H1070" t="s">
        <v>49</v>
      </c>
      <c r="I1070">
        <v>0</v>
      </c>
      <c r="J1070">
        <v>0</v>
      </c>
      <c r="K1070">
        <v>0</v>
      </c>
      <c r="L1070">
        <v>0</v>
      </c>
      <c r="M1070">
        <v>0.16</v>
      </c>
      <c r="N1070" s="7" t="e">
        <f>VLOOKUP(F1070,HC!A$6:D$100,3,FALSE)</f>
        <v>#N/A</v>
      </c>
      <c r="O1070" s="7" t="str">
        <f>VLOOKUP(F1070,HC!A$6:D$1000,2,FALSE)</f>
        <v>qisgeova</v>
      </c>
      <c r="P1070" t="s">
        <v>661</v>
      </c>
      <c r="Q1070" s="7" t="s">
        <v>759</v>
      </c>
      <c r="U1070">
        <f t="shared" si="18"/>
        <v>57</v>
      </c>
    </row>
    <row r="1071" spans="1:21" ht="37.5" customHeight="1" x14ac:dyDescent="0.25">
      <c r="A1071" s="23">
        <v>45004</v>
      </c>
      <c r="B1071" s="13">
        <v>12</v>
      </c>
      <c r="C1071" t="s">
        <v>3</v>
      </c>
      <c r="D1071" t="s">
        <v>4</v>
      </c>
      <c r="E1071" t="s">
        <v>21</v>
      </c>
      <c r="F1071" s="6">
        <v>201160146</v>
      </c>
      <c r="G1071" t="s">
        <v>851</v>
      </c>
      <c r="H1071" t="s">
        <v>17</v>
      </c>
      <c r="I1071">
        <v>0</v>
      </c>
      <c r="J1071">
        <v>0</v>
      </c>
      <c r="K1071">
        <v>0</v>
      </c>
      <c r="L1071">
        <v>0</v>
      </c>
      <c r="M1071">
        <v>0.12</v>
      </c>
      <c r="N1071" s="7" t="e">
        <f>VLOOKUP(F1071,HC!A$6:D$100,3,FALSE)</f>
        <v>#N/A</v>
      </c>
      <c r="O1071" s="7" t="e">
        <f>VLOOKUP(F1071,HC!A$6:D$1000,2,FALSE)</f>
        <v>#N/A</v>
      </c>
      <c r="P1071" t="s">
        <v>661</v>
      </c>
      <c r="Q1071" s="7" t="s">
        <v>681</v>
      </c>
      <c r="U1071">
        <f t="shared" si="18"/>
        <v>1395</v>
      </c>
    </row>
    <row r="1072" spans="1:21" ht="37.5" customHeight="1" x14ac:dyDescent="0.25">
      <c r="A1072" s="23">
        <v>45004</v>
      </c>
      <c r="B1072" s="13">
        <v>12</v>
      </c>
      <c r="C1072" t="s">
        <v>3</v>
      </c>
      <c r="D1072" t="s">
        <v>4</v>
      </c>
      <c r="E1072" t="s">
        <v>21</v>
      </c>
      <c r="F1072" s="6">
        <v>201167501</v>
      </c>
      <c r="G1072" t="s">
        <v>863</v>
      </c>
      <c r="H1072" t="s">
        <v>49</v>
      </c>
      <c r="I1072">
        <v>0</v>
      </c>
      <c r="J1072">
        <v>0</v>
      </c>
      <c r="K1072">
        <v>0</v>
      </c>
      <c r="L1072">
        <v>0</v>
      </c>
      <c r="M1072">
        <v>0.24</v>
      </c>
      <c r="N1072" s="7" t="e">
        <f>VLOOKUP(F1072,HC!A$6:D$100,3,FALSE)</f>
        <v>#N/A</v>
      </c>
      <c r="O1072" s="7" t="str">
        <f>VLOOKUP(F1072,HC!A$6:D$1000,2,FALSE)</f>
        <v>wguanajr</v>
      </c>
      <c r="P1072" t="s">
        <v>661</v>
      </c>
      <c r="Q1072" s="7" t="s">
        <v>681</v>
      </c>
      <c r="U1072">
        <f t="shared" si="18"/>
        <v>36</v>
      </c>
    </row>
    <row r="1073" spans="1:21" ht="37.5" customHeight="1" x14ac:dyDescent="0.25">
      <c r="A1073" s="23">
        <v>45004</v>
      </c>
      <c r="B1073" s="13">
        <v>12</v>
      </c>
      <c r="C1073" t="s">
        <v>3</v>
      </c>
      <c r="D1073" t="s">
        <v>4</v>
      </c>
      <c r="E1073" t="s">
        <v>21</v>
      </c>
      <c r="F1073" s="6">
        <v>201194233</v>
      </c>
      <c r="G1073" t="s">
        <v>858</v>
      </c>
      <c r="H1073" t="s">
        <v>47</v>
      </c>
      <c r="I1073">
        <v>0</v>
      </c>
      <c r="J1073">
        <v>0</v>
      </c>
      <c r="K1073">
        <v>0</v>
      </c>
      <c r="L1073">
        <v>0</v>
      </c>
      <c r="M1073">
        <v>0.7</v>
      </c>
      <c r="N1073" s="7" t="e">
        <f>VLOOKUP(F1073,HC!A$6:D$100,3,FALSE)</f>
        <v>#N/A</v>
      </c>
      <c r="O1073" s="7" t="e">
        <f>VLOOKUP(F1073,HC!A$6:D$1000,2,FALSE)</f>
        <v>#N/A</v>
      </c>
      <c r="P1073" t="s">
        <v>664</v>
      </c>
      <c r="Q1073" s="7" t="s">
        <v>709</v>
      </c>
      <c r="U1073">
        <f t="shared" si="18"/>
        <v>1395</v>
      </c>
    </row>
    <row r="1074" spans="1:21" ht="37.5" customHeight="1" x14ac:dyDescent="0.25">
      <c r="A1074" s="23">
        <v>45005</v>
      </c>
      <c r="B1074" s="13">
        <v>12</v>
      </c>
      <c r="C1074" t="s">
        <v>3</v>
      </c>
      <c r="D1074" t="s">
        <v>4</v>
      </c>
      <c r="E1074" t="s">
        <v>5</v>
      </c>
      <c r="F1074" s="6">
        <v>112932733</v>
      </c>
      <c r="G1074" t="s">
        <v>595</v>
      </c>
      <c r="H1074" t="s">
        <v>298</v>
      </c>
      <c r="I1074">
        <v>0</v>
      </c>
      <c r="J1074">
        <v>0</v>
      </c>
      <c r="K1074">
        <v>0</v>
      </c>
      <c r="L1074">
        <v>0</v>
      </c>
      <c r="M1074">
        <v>0.36</v>
      </c>
      <c r="N1074" s="7" t="e">
        <f>VLOOKUP(F1074,HC!A$6:D$100,3,FALSE)</f>
        <v>#N/A</v>
      </c>
      <c r="O1074" s="7" t="e">
        <f>VLOOKUP(F1074,HC!A$6:D$1000,2,FALSE)</f>
        <v>#N/A</v>
      </c>
      <c r="P1074" t="s">
        <v>661</v>
      </c>
      <c r="Q1074" s="7" t="s">
        <v>681</v>
      </c>
      <c r="U1074">
        <f t="shared" si="18"/>
        <v>1395</v>
      </c>
    </row>
    <row r="1075" spans="1:21" ht="37.5" customHeight="1" x14ac:dyDescent="0.25">
      <c r="A1075" s="23">
        <v>45005</v>
      </c>
      <c r="B1075" s="13">
        <v>12</v>
      </c>
      <c r="C1075" t="s">
        <v>3</v>
      </c>
      <c r="D1075" t="s">
        <v>4</v>
      </c>
      <c r="E1075" t="s">
        <v>5</v>
      </c>
      <c r="F1075" s="6">
        <v>112981013</v>
      </c>
      <c r="G1075" t="s">
        <v>283</v>
      </c>
      <c r="H1075" t="s">
        <v>44</v>
      </c>
      <c r="I1075">
        <v>0</v>
      </c>
      <c r="J1075">
        <v>0</v>
      </c>
      <c r="K1075">
        <v>0</v>
      </c>
      <c r="L1075">
        <v>0</v>
      </c>
      <c r="M1075">
        <v>0.28999999999999998</v>
      </c>
      <c r="N1075" s="7" t="str">
        <f>VLOOKUP(F1075,HC!A$6:D$100,3,FALSE)</f>
        <v>DA-X0700</v>
      </c>
      <c r="O1075" s="7" t="str">
        <f>VLOOKUP(F1075,HC!A$6:D$1000,2,FALSE)</f>
        <v>normaelo</v>
      </c>
      <c r="P1075" t="s">
        <v>664</v>
      </c>
      <c r="Q1075" s="7" t="s">
        <v>717</v>
      </c>
      <c r="U1075">
        <f t="shared" si="18"/>
        <v>24</v>
      </c>
    </row>
    <row r="1076" spans="1:21" ht="37.5" customHeight="1" x14ac:dyDescent="0.25">
      <c r="A1076" s="23">
        <v>45005</v>
      </c>
      <c r="B1076" s="13">
        <v>12</v>
      </c>
      <c r="C1076" t="s">
        <v>3</v>
      </c>
      <c r="D1076" t="s">
        <v>4</v>
      </c>
      <c r="E1076" t="s">
        <v>5</v>
      </c>
      <c r="F1076" s="6">
        <v>112984097</v>
      </c>
      <c r="G1076" t="s">
        <v>265</v>
      </c>
      <c r="H1076" t="s">
        <v>49</v>
      </c>
      <c r="I1076">
        <v>0</v>
      </c>
      <c r="J1076">
        <v>0</v>
      </c>
      <c r="K1076">
        <v>0</v>
      </c>
      <c r="L1076">
        <v>0</v>
      </c>
      <c r="M1076">
        <v>0.55000000000000004</v>
      </c>
      <c r="N1076" s="7" t="e">
        <f>VLOOKUP(F1076,HC!A$6:D$100,3,FALSE)</f>
        <v>#N/A</v>
      </c>
      <c r="O1076" s="7" t="e">
        <f>VLOOKUP(F1076,HC!A$6:D$1000,2,FALSE)</f>
        <v>#N/A</v>
      </c>
      <c r="P1076" t="s">
        <v>664</v>
      </c>
      <c r="Q1076" s="7" t="s">
        <v>712</v>
      </c>
      <c r="U1076">
        <f t="shared" si="18"/>
        <v>1395</v>
      </c>
    </row>
    <row r="1077" spans="1:21" ht="37.5" customHeight="1" x14ac:dyDescent="0.25">
      <c r="A1077" s="23">
        <v>45005</v>
      </c>
      <c r="B1077" s="13">
        <v>12</v>
      </c>
      <c r="C1077" t="s">
        <v>3</v>
      </c>
      <c r="D1077" t="s">
        <v>4</v>
      </c>
      <c r="E1077" t="s">
        <v>5</v>
      </c>
      <c r="F1077" s="6">
        <v>113014113</v>
      </c>
      <c r="G1077" t="s">
        <v>269</v>
      </c>
      <c r="H1077" t="s">
        <v>49</v>
      </c>
      <c r="I1077">
        <v>0</v>
      </c>
      <c r="J1077">
        <v>0</v>
      </c>
      <c r="K1077">
        <v>0</v>
      </c>
      <c r="L1077">
        <v>0</v>
      </c>
      <c r="M1077">
        <v>0.41</v>
      </c>
      <c r="N1077" s="7" t="e">
        <f>VLOOKUP(F1077,HC!A$6:D$100,3,FALSE)</f>
        <v>#N/A</v>
      </c>
      <c r="O1077" s="7" t="e">
        <f>VLOOKUP(F1077,HC!A$6:D$1000,2,FALSE)</f>
        <v>#N/A</v>
      </c>
      <c r="P1077" t="s">
        <v>661</v>
      </c>
      <c r="Q1077" s="7" t="s">
        <v>681</v>
      </c>
      <c r="U1077">
        <f t="shared" si="18"/>
        <v>1395</v>
      </c>
    </row>
    <row r="1078" spans="1:21" ht="37.5" customHeight="1" x14ac:dyDescent="0.25">
      <c r="A1078" s="23">
        <v>45005</v>
      </c>
      <c r="B1078" s="13">
        <v>12</v>
      </c>
      <c r="C1078" t="s">
        <v>3</v>
      </c>
      <c r="D1078" t="s">
        <v>4</v>
      </c>
      <c r="E1078" t="s">
        <v>5</v>
      </c>
      <c r="F1078" s="6">
        <v>113044620</v>
      </c>
      <c r="G1078" t="s">
        <v>470</v>
      </c>
      <c r="H1078" t="s">
        <v>49</v>
      </c>
      <c r="I1078">
        <v>0</v>
      </c>
      <c r="J1078">
        <v>0</v>
      </c>
      <c r="K1078">
        <v>0</v>
      </c>
      <c r="L1078">
        <v>0</v>
      </c>
      <c r="M1078">
        <v>0.11</v>
      </c>
      <c r="N1078" s="7" t="e">
        <f>VLOOKUP(F1078,HC!A$6:D$100,3,FALSE)</f>
        <v>#N/A</v>
      </c>
      <c r="O1078" s="7" t="str">
        <f>VLOOKUP(F1078,HC!A$6:D$1000,2,FALSE)</f>
        <v>aldojasw</v>
      </c>
      <c r="P1078" t="s">
        <v>662</v>
      </c>
      <c r="Q1078" s="7" t="s">
        <v>691</v>
      </c>
      <c r="U1078">
        <f t="shared" si="18"/>
        <v>11</v>
      </c>
    </row>
    <row r="1079" spans="1:21" ht="37.5" customHeight="1" x14ac:dyDescent="0.25">
      <c r="A1079" s="23">
        <v>45005</v>
      </c>
      <c r="B1079" s="13">
        <v>12</v>
      </c>
      <c r="C1079" t="s">
        <v>3</v>
      </c>
      <c r="D1079" t="s">
        <v>4</v>
      </c>
      <c r="E1079" t="s">
        <v>5</v>
      </c>
      <c r="F1079" s="6">
        <v>200404250</v>
      </c>
      <c r="G1079" t="s">
        <v>51</v>
      </c>
      <c r="H1079" t="s">
        <v>285</v>
      </c>
      <c r="I1079">
        <v>0</v>
      </c>
      <c r="J1079">
        <v>0</v>
      </c>
      <c r="K1079">
        <v>0</v>
      </c>
      <c r="L1079">
        <v>0</v>
      </c>
      <c r="M1079">
        <v>1.8</v>
      </c>
      <c r="N1079" s="7" t="e">
        <f>VLOOKUP(F1079,HC!A$6:D$100,3,FALSE)</f>
        <v>#N/A</v>
      </c>
      <c r="O1079" s="7" t="str">
        <f>VLOOKUP(F1079,HC!A$6:D$1000,2,FALSE)</f>
        <v>xcathurt</v>
      </c>
      <c r="P1079" t="s">
        <v>662</v>
      </c>
      <c r="Q1079" s="7" t="s">
        <v>691</v>
      </c>
      <c r="U1079">
        <f t="shared" si="18"/>
        <v>124</v>
      </c>
    </row>
    <row r="1080" spans="1:21" ht="37.5" customHeight="1" x14ac:dyDescent="0.25">
      <c r="A1080" s="23">
        <v>45005</v>
      </c>
      <c r="B1080" s="13">
        <v>12</v>
      </c>
      <c r="C1080" t="s">
        <v>3</v>
      </c>
      <c r="D1080" t="s">
        <v>4</v>
      </c>
      <c r="E1080" t="s">
        <v>5</v>
      </c>
      <c r="F1080" s="6">
        <v>200407907</v>
      </c>
      <c r="G1080" t="s">
        <v>417</v>
      </c>
      <c r="H1080" t="s">
        <v>285</v>
      </c>
      <c r="I1080">
        <v>0</v>
      </c>
      <c r="J1080">
        <v>0</v>
      </c>
      <c r="K1080">
        <v>0</v>
      </c>
      <c r="L1080">
        <v>0</v>
      </c>
      <c r="M1080">
        <v>1.1599999999999999</v>
      </c>
      <c r="N1080" s="7" t="e">
        <f>VLOOKUP(F1080,HC!A$6:D$100,3,FALSE)</f>
        <v>#N/A</v>
      </c>
      <c r="O1080" s="7" t="e">
        <f>VLOOKUP(F1080,HC!A$6:D$1000,2,FALSE)</f>
        <v>#N/A</v>
      </c>
      <c r="P1080" t="s">
        <v>662</v>
      </c>
      <c r="Q1080" s="7" t="s">
        <v>757</v>
      </c>
      <c r="U1080">
        <f t="shared" si="18"/>
        <v>1395</v>
      </c>
    </row>
    <row r="1081" spans="1:21" ht="37.5" customHeight="1" x14ac:dyDescent="0.25">
      <c r="A1081" s="23">
        <v>45005</v>
      </c>
      <c r="B1081" s="13">
        <v>12</v>
      </c>
      <c r="C1081" t="s">
        <v>3</v>
      </c>
      <c r="D1081" t="s">
        <v>4</v>
      </c>
      <c r="E1081" t="s">
        <v>21</v>
      </c>
      <c r="F1081" s="6">
        <v>200509662</v>
      </c>
      <c r="G1081" t="s">
        <v>899</v>
      </c>
      <c r="H1081" t="s">
        <v>268</v>
      </c>
      <c r="I1081">
        <v>0</v>
      </c>
      <c r="J1081">
        <v>0</v>
      </c>
      <c r="K1081">
        <v>0</v>
      </c>
      <c r="L1081">
        <v>0</v>
      </c>
      <c r="M1081">
        <v>0.04</v>
      </c>
      <c r="N1081" s="7" t="e">
        <f>VLOOKUP(F1081,HC!A$6:D$100,3,FALSE)</f>
        <v>#N/A</v>
      </c>
      <c r="O1081" s="7" t="str">
        <f>VLOOKUP(F1081,HC!A$6:D$1000,2,FALSE)</f>
        <v>carchico</v>
      </c>
      <c r="P1081" t="s">
        <v>661</v>
      </c>
      <c r="Q1081" s="7" t="s">
        <v>681</v>
      </c>
      <c r="U1081">
        <f t="shared" si="18"/>
        <v>3</v>
      </c>
    </row>
    <row r="1082" spans="1:21" ht="37.5" customHeight="1" x14ac:dyDescent="0.25">
      <c r="A1082" s="23">
        <v>45005</v>
      </c>
      <c r="B1082" s="13">
        <v>12</v>
      </c>
      <c r="C1082" t="s">
        <v>3</v>
      </c>
      <c r="D1082" t="s">
        <v>4</v>
      </c>
      <c r="E1082" t="s">
        <v>21</v>
      </c>
      <c r="F1082" s="6">
        <v>200574345</v>
      </c>
      <c r="G1082" t="s">
        <v>476</v>
      </c>
      <c r="H1082" t="s">
        <v>285</v>
      </c>
      <c r="I1082">
        <v>0</v>
      </c>
      <c r="J1082">
        <v>0</v>
      </c>
      <c r="K1082">
        <v>0</v>
      </c>
      <c r="L1082">
        <v>0</v>
      </c>
      <c r="M1082">
        <v>0.43</v>
      </c>
      <c r="N1082" s="7" t="e">
        <f>VLOOKUP(F1082,HC!A$6:D$100,3,FALSE)</f>
        <v>#N/A</v>
      </c>
      <c r="O1082" s="7" t="str">
        <f>VLOOKUP(F1082,HC!A$6:D$1000,2,FALSE)</f>
        <v>contrexj</v>
      </c>
      <c r="Q1082" s="7"/>
      <c r="R1082" t="s">
        <v>446</v>
      </c>
      <c r="U1082">
        <f t="shared" si="18"/>
        <v>17</v>
      </c>
    </row>
    <row r="1083" spans="1:21" ht="37.5" customHeight="1" x14ac:dyDescent="0.25">
      <c r="A1083" s="23">
        <v>45005</v>
      </c>
      <c r="B1083" s="13">
        <v>12</v>
      </c>
      <c r="C1083" t="s">
        <v>3</v>
      </c>
      <c r="D1083" t="s">
        <v>4</v>
      </c>
      <c r="E1083" t="s">
        <v>21</v>
      </c>
      <c r="F1083" s="6">
        <v>201186777</v>
      </c>
      <c r="G1083" t="s">
        <v>856</v>
      </c>
      <c r="H1083" t="s">
        <v>7</v>
      </c>
      <c r="I1083">
        <v>0</v>
      </c>
      <c r="J1083">
        <v>0</v>
      </c>
      <c r="K1083">
        <v>0</v>
      </c>
      <c r="L1083">
        <v>0</v>
      </c>
      <c r="M1083">
        <v>1.26</v>
      </c>
      <c r="N1083" s="7" t="e">
        <f>VLOOKUP(F1083,HC!A$6:D$100,3,FALSE)</f>
        <v>#N/A</v>
      </c>
      <c r="O1083" s="7" t="str">
        <f>VLOOKUP(F1083,HC!A$6:D$1000,2,FALSE)</f>
        <v>bemonzon</v>
      </c>
      <c r="P1083" t="s">
        <v>670</v>
      </c>
      <c r="Q1083" s="7" t="s">
        <v>746</v>
      </c>
      <c r="U1083">
        <f t="shared" si="18"/>
        <v>15</v>
      </c>
    </row>
    <row r="1084" spans="1:21" ht="37.5" customHeight="1" x14ac:dyDescent="0.25">
      <c r="A1084" s="23">
        <v>45006</v>
      </c>
      <c r="B1084" s="13">
        <v>12</v>
      </c>
      <c r="C1084" t="s">
        <v>3</v>
      </c>
      <c r="D1084" t="s">
        <v>4</v>
      </c>
      <c r="E1084" t="s">
        <v>5</v>
      </c>
      <c r="F1084" s="6">
        <v>111434478</v>
      </c>
      <c r="G1084" t="s">
        <v>331</v>
      </c>
      <c r="H1084" t="s">
        <v>253</v>
      </c>
      <c r="I1084">
        <v>0</v>
      </c>
      <c r="J1084">
        <v>0</v>
      </c>
      <c r="K1084">
        <v>0</v>
      </c>
      <c r="L1084">
        <v>0</v>
      </c>
      <c r="M1084">
        <v>1.73</v>
      </c>
      <c r="N1084" s="7" t="str">
        <f>VLOOKUP(F1084,HC!A$6:D$100,3,FALSE)</f>
        <v>DA-X0700</v>
      </c>
      <c r="O1084" s="7" t="str">
        <f>VLOOKUP(F1084,HC!A$6:D$1000,2,FALSE)</f>
        <v>juanapam</v>
      </c>
      <c r="P1084" t="s">
        <v>661</v>
      </c>
      <c r="Q1084" s="7" t="s">
        <v>684</v>
      </c>
      <c r="R1084" t="s">
        <v>911</v>
      </c>
      <c r="U1084">
        <f t="shared" si="18"/>
        <v>32</v>
      </c>
    </row>
    <row r="1085" spans="1:21" ht="37.5" customHeight="1" x14ac:dyDescent="0.25">
      <c r="A1085" s="23">
        <v>45006</v>
      </c>
      <c r="B1085" s="13">
        <v>12</v>
      </c>
      <c r="C1085" t="s">
        <v>3</v>
      </c>
      <c r="D1085" t="s">
        <v>4</v>
      </c>
      <c r="E1085" t="s">
        <v>5</v>
      </c>
      <c r="F1085" s="6">
        <v>112912052</v>
      </c>
      <c r="G1085" t="s">
        <v>900</v>
      </c>
      <c r="H1085" t="s">
        <v>459</v>
      </c>
      <c r="I1085">
        <v>0</v>
      </c>
      <c r="J1085">
        <v>0</v>
      </c>
      <c r="K1085">
        <v>0</v>
      </c>
      <c r="L1085">
        <v>0</v>
      </c>
      <c r="M1085">
        <v>0.52</v>
      </c>
      <c r="N1085" s="7" t="str">
        <f>VLOOKUP(F1085,HC!A$6:D$100,3,FALSE)</f>
        <v>DB-X0700</v>
      </c>
      <c r="O1085" s="7" t="str">
        <f>VLOOKUP(F1085,HC!A$6:D$1000,2,FALSE)</f>
        <v>oortizce</v>
      </c>
      <c r="Q1085" s="7"/>
      <c r="R1085" t="s">
        <v>2102</v>
      </c>
      <c r="U1085">
        <f t="shared" si="18"/>
        <v>5</v>
      </c>
    </row>
    <row r="1086" spans="1:21" ht="37.5" customHeight="1" x14ac:dyDescent="0.25">
      <c r="A1086" s="23">
        <v>45006</v>
      </c>
      <c r="B1086" s="13">
        <v>12</v>
      </c>
      <c r="C1086" t="s">
        <v>3</v>
      </c>
      <c r="D1086" t="s">
        <v>4</v>
      </c>
      <c r="E1086" t="s">
        <v>5</v>
      </c>
      <c r="F1086" s="6">
        <v>112912163</v>
      </c>
      <c r="G1086" t="s">
        <v>294</v>
      </c>
      <c r="H1086" t="s">
        <v>285</v>
      </c>
      <c r="I1086">
        <v>0</v>
      </c>
      <c r="J1086">
        <v>0</v>
      </c>
      <c r="K1086">
        <v>0</v>
      </c>
      <c r="L1086">
        <v>0</v>
      </c>
      <c r="M1086">
        <v>0.74</v>
      </c>
      <c r="N1086" s="7" t="e">
        <f>VLOOKUP(F1086,HC!A$6:D$100,3,FALSE)</f>
        <v>#N/A</v>
      </c>
      <c r="O1086" s="7" t="e">
        <f>VLOOKUP(F1086,HC!A$6:D$1000,2,FALSE)</f>
        <v>#N/A</v>
      </c>
      <c r="P1086" t="s">
        <v>661</v>
      </c>
      <c r="Q1086" s="7" t="s">
        <v>733</v>
      </c>
      <c r="R1086" t="s">
        <v>907</v>
      </c>
      <c r="U1086">
        <f t="shared" si="18"/>
        <v>1395</v>
      </c>
    </row>
    <row r="1087" spans="1:21" ht="37.5" customHeight="1" x14ac:dyDescent="0.25">
      <c r="A1087" s="23">
        <v>45006</v>
      </c>
      <c r="B1087" s="13">
        <v>12</v>
      </c>
      <c r="C1087" t="s">
        <v>3</v>
      </c>
      <c r="D1087" t="s">
        <v>4</v>
      </c>
      <c r="E1087" t="s">
        <v>5</v>
      </c>
      <c r="F1087" s="6">
        <v>112912209</v>
      </c>
      <c r="G1087" t="s">
        <v>671</v>
      </c>
      <c r="H1087" t="s">
        <v>403</v>
      </c>
      <c r="I1087">
        <v>0</v>
      </c>
      <c r="J1087">
        <v>0</v>
      </c>
      <c r="K1087">
        <v>0</v>
      </c>
      <c r="L1087">
        <v>0</v>
      </c>
      <c r="M1087">
        <v>0.28999999999999998</v>
      </c>
      <c r="N1087" s="7" t="str">
        <f>VLOOKUP(F1087,HC!A$6:D$100,3,FALSE)</f>
        <v>NF-X1900</v>
      </c>
      <c r="O1087" s="7" t="str">
        <f>VLOOKUP(F1087,HC!A$6:D$1000,2,FALSE)</f>
        <v>moralefs</v>
      </c>
      <c r="P1087" t="s">
        <v>663</v>
      </c>
      <c r="Q1087" s="7" t="s">
        <v>692</v>
      </c>
      <c r="U1087">
        <f t="shared" si="18"/>
        <v>11</v>
      </c>
    </row>
    <row r="1088" spans="1:21" ht="37.5" customHeight="1" x14ac:dyDescent="0.25">
      <c r="A1088" s="23">
        <v>45006</v>
      </c>
      <c r="B1088" s="13">
        <v>12</v>
      </c>
      <c r="C1088" t="s">
        <v>3</v>
      </c>
      <c r="D1088" t="s">
        <v>4</v>
      </c>
      <c r="E1088" t="s">
        <v>5</v>
      </c>
      <c r="F1088" s="6">
        <v>112912745</v>
      </c>
      <c r="G1088" t="s">
        <v>478</v>
      </c>
      <c r="H1088" t="s">
        <v>44</v>
      </c>
      <c r="I1088">
        <v>0</v>
      </c>
      <c r="J1088">
        <v>0</v>
      </c>
      <c r="K1088">
        <v>0</v>
      </c>
      <c r="L1088">
        <v>0</v>
      </c>
      <c r="M1088">
        <v>0.68</v>
      </c>
      <c r="N1088" s="7" t="str">
        <f>VLOOKUP(F1088,HC!A$6:D$100,3,FALSE)</f>
        <v>DA-X0700</v>
      </c>
      <c r="O1088" s="7" t="str">
        <f>VLOOKUP(F1088,HC!A$6:D$1000,2,FALSE)</f>
        <v>nalexgom</v>
      </c>
      <c r="P1088" t="s">
        <v>664</v>
      </c>
      <c r="Q1088" s="7" t="s">
        <v>777</v>
      </c>
      <c r="U1088">
        <f t="shared" si="18"/>
        <v>22</v>
      </c>
    </row>
    <row r="1089" spans="1:21" ht="37.5" customHeight="1" x14ac:dyDescent="0.25">
      <c r="A1089" s="23">
        <v>45006</v>
      </c>
      <c r="B1089" s="13">
        <v>12</v>
      </c>
      <c r="C1089" t="s">
        <v>3</v>
      </c>
      <c r="D1089" t="s">
        <v>4</v>
      </c>
      <c r="E1089" t="s">
        <v>5</v>
      </c>
      <c r="F1089" s="6">
        <v>112912753</v>
      </c>
      <c r="G1089" t="s">
        <v>415</v>
      </c>
      <c r="H1089" t="s">
        <v>285</v>
      </c>
      <c r="I1089">
        <v>0</v>
      </c>
      <c r="J1089">
        <v>0</v>
      </c>
      <c r="K1089">
        <v>0</v>
      </c>
      <c r="L1089">
        <v>0</v>
      </c>
      <c r="M1089">
        <v>0.18</v>
      </c>
      <c r="N1089" s="7" t="e">
        <f>VLOOKUP(F1089,HC!A$6:D$100,3,FALSE)</f>
        <v>#N/A</v>
      </c>
      <c r="O1089" s="7" t="e">
        <f>VLOOKUP(F1089,HC!A$6:D$1000,2,FALSE)</f>
        <v>#N/A</v>
      </c>
      <c r="P1089" t="s">
        <v>661</v>
      </c>
      <c r="Q1089" s="7" t="s">
        <v>681</v>
      </c>
      <c r="U1089">
        <f t="shared" si="18"/>
        <v>1395</v>
      </c>
    </row>
    <row r="1090" spans="1:21" ht="37.5" customHeight="1" x14ac:dyDescent="0.25">
      <c r="A1090" s="23">
        <v>45006</v>
      </c>
      <c r="B1090" s="13">
        <v>12</v>
      </c>
      <c r="C1090" t="s">
        <v>3</v>
      </c>
      <c r="D1090" t="s">
        <v>4</v>
      </c>
      <c r="E1090" t="s">
        <v>5</v>
      </c>
      <c r="F1090" s="6">
        <v>112950807</v>
      </c>
      <c r="G1090" t="s">
        <v>901</v>
      </c>
      <c r="H1090" t="s">
        <v>253</v>
      </c>
      <c r="I1090">
        <v>0</v>
      </c>
      <c r="J1090">
        <v>0</v>
      </c>
      <c r="K1090">
        <v>0</v>
      </c>
      <c r="L1090">
        <v>0</v>
      </c>
      <c r="M1090">
        <v>0.49</v>
      </c>
      <c r="N1090" s="7" t="str">
        <f>VLOOKUP(F1090,HC!A$6:D$100,3,FALSE)</f>
        <v>DA-X0700</v>
      </c>
      <c r="O1090" s="7" t="str">
        <f>VLOOKUP(F1090,HC!A$6:D$1000,2,FALSE)</f>
        <v>kaarsanc</v>
      </c>
      <c r="Q1090" s="7"/>
      <c r="R1090" t="s">
        <v>2102</v>
      </c>
      <c r="U1090">
        <f t="shared" si="18"/>
        <v>4</v>
      </c>
    </row>
    <row r="1091" spans="1:21" ht="37.5" customHeight="1" x14ac:dyDescent="0.25">
      <c r="A1091" s="23">
        <v>45006</v>
      </c>
      <c r="B1091" s="13">
        <v>12</v>
      </c>
      <c r="C1091" t="s">
        <v>3</v>
      </c>
      <c r="D1091" t="s">
        <v>4</v>
      </c>
      <c r="E1091" t="s">
        <v>5</v>
      </c>
      <c r="F1091" s="6">
        <v>112976013</v>
      </c>
      <c r="G1091" t="s">
        <v>449</v>
      </c>
      <c r="H1091" t="s">
        <v>403</v>
      </c>
      <c r="I1091">
        <v>0</v>
      </c>
      <c r="J1091">
        <v>0</v>
      </c>
      <c r="K1091">
        <v>0</v>
      </c>
      <c r="L1091">
        <v>0</v>
      </c>
      <c r="M1091">
        <v>0.31</v>
      </c>
      <c r="N1091" s="7" t="e">
        <f>VLOOKUP(F1091,HC!A$6:D$100,3,FALSE)</f>
        <v>#N/A</v>
      </c>
      <c r="O1091" s="7" t="e">
        <f>VLOOKUP(F1091,HC!A$6:D$1000,2,FALSE)</f>
        <v>#N/A</v>
      </c>
      <c r="P1091" t="s">
        <v>670</v>
      </c>
      <c r="Q1091" s="7" t="s">
        <v>746</v>
      </c>
      <c r="R1091" t="s">
        <v>908</v>
      </c>
      <c r="U1091">
        <f t="shared" ref="U1091:U1154" si="19">COUNTIF(O$2:O$4999,O1091)</f>
        <v>1395</v>
      </c>
    </row>
    <row r="1092" spans="1:21" ht="37.5" customHeight="1" x14ac:dyDescent="0.25">
      <c r="A1092" s="23">
        <v>45006</v>
      </c>
      <c r="B1092" s="13">
        <v>12</v>
      </c>
      <c r="C1092" t="s">
        <v>3</v>
      </c>
      <c r="D1092" t="s">
        <v>4</v>
      </c>
      <c r="E1092" t="s">
        <v>5</v>
      </c>
      <c r="F1092" s="6">
        <v>112980832</v>
      </c>
      <c r="G1092" t="s">
        <v>427</v>
      </c>
      <c r="H1092" t="s">
        <v>47</v>
      </c>
      <c r="I1092">
        <v>0</v>
      </c>
      <c r="J1092">
        <v>0</v>
      </c>
      <c r="K1092">
        <v>0</v>
      </c>
      <c r="L1092">
        <v>0</v>
      </c>
      <c r="M1092">
        <v>1.31</v>
      </c>
      <c r="N1092" s="7" t="e">
        <f>VLOOKUP(F1092,HC!A$6:D$100,3,FALSE)</f>
        <v>#N/A</v>
      </c>
      <c r="O1092" s="7" t="e">
        <f>VLOOKUP(F1092,HC!A$6:D$1000,2,FALSE)</f>
        <v>#N/A</v>
      </c>
      <c r="P1092" t="s">
        <v>662</v>
      </c>
      <c r="Q1092" s="7" t="s">
        <v>691</v>
      </c>
      <c r="R1092" t="s">
        <v>910</v>
      </c>
      <c r="U1092">
        <f t="shared" si="19"/>
        <v>1395</v>
      </c>
    </row>
    <row r="1093" spans="1:21" ht="37.5" customHeight="1" x14ac:dyDescent="0.25">
      <c r="A1093" s="23">
        <v>45006</v>
      </c>
      <c r="B1093" s="13">
        <v>12</v>
      </c>
      <c r="C1093" t="s">
        <v>3</v>
      </c>
      <c r="D1093" t="s">
        <v>4</v>
      </c>
      <c r="E1093" t="s">
        <v>5</v>
      </c>
      <c r="F1093" s="6">
        <v>112980843</v>
      </c>
      <c r="G1093" t="s">
        <v>619</v>
      </c>
      <c r="H1093" t="s">
        <v>44</v>
      </c>
      <c r="I1093">
        <v>0</v>
      </c>
      <c r="J1093">
        <v>0</v>
      </c>
      <c r="K1093">
        <v>0</v>
      </c>
      <c r="L1093">
        <v>0</v>
      </c>
      <c r="M1093">
        <v>0</v>
      </c>
      <c r="N1093" s="7" t="str">
        <f>VLOOKUP(F1093,HC!A$6:D$100,3,FALSE)</f>
        <v>DA-X0700</v>
      </c>
      <c r="O1093" s="7" t="str">
        <f>VLOOKUP(F1093,HC!A$6:D$1000,2,FALSE)</f>
        <v>lsisrael</v>
      </c>
      <c r="P1093" t="s">
        <v>663</v>
      </c>
      <c r="Q1093" s="7" t="s">
        <v>692</v>
      </c>
      <c r="U1093">
        <f t="shared" si="19"/>
        <v>10</v>
      </c>
    </row>
    <row r="1094" spans="1:21" ht="37.5" customHeight="1" x14ac:dyDescent="0.25">
      <c r="A1094" s="23">
        <v>45006</v>
      </c>
      <c r="B1094" s="13">
        <v>12</v>
      </c>
      <c r="C1094" t="s">
        <v>3</v>
      </c>
      <c r="D1094" t="s">
        <v>4</v>
      </c>
      <c r="E1094" t="s">
        <v>5</v>
      </c>
      <c r="F1094" s="6">
        <v>112981013</v>
      </c>
      <c r="G1094" t="s">
        <v>283</v>
      </c>
      <c r="H1094" t="s">
        <v>44</v>
      </c>
      <c r="I1094">
        <v>0</v>
      </c>
      <c r="J1094">
        <v>0</v>
      </c>
      <c r="K1094">
        <v>0</v>
      </c>
      <c r="L1094">
        <v>0</v>
      </c>
      <c r="M1094">
        <v>0.91</v>
      </c>
      <c r="N1094" s="7" t="str">
        <f>VLOOKUP(F1094,HC!A$6:D$100,3,FALSE)</f>
        <v>DA-X0700</v>
      </c>
      <c r="O1094" s="7" t="str">
        <f>VLOOKUP(F1094,HC!A$6:D$1000,2,FALSE)</f>
        <v>normaelo</v>
      </c>
      <c r="P1094" t="s">
        <v>664</v>
      </c>
      <c r="Q1094" s="7" t="s">
        <v>717</v>
      </c>
      <c r="R1094" t="s">
        <v>811</v>
      </c>
      <c r="U1094">
        <f t="shared" si="19"/>
        <v>24</v>
      </c>
    </row>
    <row r="1095" spans="1:21" ht="37.5" customHeight="1" x14ac:dyDescent="0.25">
      <c r="A1095" s="23">
        <v>45006</v>
      </c>
      <c r="B1095" s="13">
        <v>12</v>
      </c>
      <c r="C1095" t="s">
        <v>3</v>
      </c>
      <c r="D1095" t="s">
        <v>4</v>
      </c>
      <c r="E1095" t="s">
        <v>5</v>
      </c>
      <c r="F1095" s="6">
        <v>112981061</v>
      </c>
      <c r="G1095" t="s">
        <v>264</v>
      </c>
      <c r="H1095" t="s">
        <v>49</v>
      </c>
      <c r="I1095">
        <v>0</v>
      </c>
      <c r="J1095">
        <v>0</v>
      </c>
      <c r="K1095">
        <v>0</v>
      </c>
      <c r="L1095">
        <v>0</v>
      </c>
      <c r="M1095">
        <v>0.41</v>
      </c>
      <c r="N1095" s="7" t="str">
        <f>VLOOKUP(F1095,HC!A$6:D$100,3,FALSE)</f>
        <v>DA-X0700</v>
      </c>
      <c r="O1095" s="7" t="str">
        <f>VLOOKUP(F1095,HC!A$6:D$1000,2,FALSE)</f>
        <v>mclaudol</v>
      </c>
      <c r="P1095" t="s">
        <v>661</v>
      </c>
      <c r="Q1095" s="7" t="s">
        <v>681</v>
      </c>
      <c r="U1095">
        <f t="shared" si="19"/>
        <v>44</v>
      </c>
    </row>
    <row r="1096" spans="1:21" ht="37.5" customHeight="1" x14ac:dyDescent="0.25">
      <c r="A1096" s="23">
        <v>45006</v>
      </c>
      <c r="B1096" s="13">
        <v>12</v>
      </c>
      <c r="C1096" t="s">
        <v>3</v>
      </c>
      <c r="D1096" t="s">
        <v>4</v>
      </c>
      <c r="E1096" t="s">
        <v>5</v>
      </c>
      <c r="F1096" s="6">
        <v>112984097</v>
      </c>
      <c r="G1096" t="s">
        <v>265</v>
      </c>
      <c r="H1096" t="s">
        <v>49</v>
      </c>
      <c r="I1096">
        <v>0</v>
      </c>
      <c r="J1096">
        <v>0</v>
      </c>
      <c r="K1096">
        <v>0</v>
      </c>
      <c r="L1096">
        <v>0</v>
      </c>
      <c r="M1096">
        <v>0.3</v>
      </c>
      <c r="N1096" s="7" t="e">
        <f>VLOOKUP(F1096,HC!A$6:D$100,3,FALSE)</f>
        <v>#N/A</v>
      </c>
      <c r="O1096" s="7" t="e">
        <f>VLOOKUP(F1096,HC!A$6:D$1000,2,FALSE)</f>
        <v>#N/A</v>
      </c>
      <c r="P1096" t="s">
        <v>665</v>
      </c>
      <c r="Q1096" s="7" t="s">
        <v>722</v>
      </c>
      <c r="U1096">
        <f t="shared" si="19"/>
        <v>1395</v>
      </c>
    </row>
    <row r="1097" spans="1:21" ht="37.5" customHeight="1" x14ac:dyDescent="0.25">
      <c r="A1097" s="23">
        <v>45006</v>
      </c>
      <c r="B1097" s="13">
        <v>12</v>
      </c>
      <c r="C1097" t="s">
        <v>3</v>
      </c>
      <c r="D1097" t="s">
        <v>4</v>
      </c>
      <c r="E1097" t="s">
        <v>5</v>
      </c>
      <c r="F1097" s="6">
        <v>113014081</v>
      </c>
      <c r="G1097" t="s">
        <v>267</v>
      </c>
      <c r="H1097" t="s">
        <v>285</v>
      </c>
      <c r="I1097">
        <v>0</v>
      </c>
      <c r="J1097">
        <v>0</v>
      </c>
      <c r="K1097">
        <v>0</v>
      </c>
      <c r="L1097">
        <v>0</v>
      </c>
      <c r="M1097">
        <v>1.1299999999999999</v>
      </c>
      <c r="N1097" s="7" t="e">
        <f>VLOOKUP(F1097,HC!A$6:D$100,3,FALSE)</f>
        <v>#N/A</v>
      </c>
      <c r="O1097" s="7" t="str">
        <f>VLOOKUP(F1097,HC!A$6:D$1000,2,FALSE)</f>
        <v>fraugene</v>
      </c>
      <c r="P1097" t="s">
        <v>663</v>
      </c>
      <c r="Q1097" s="7" t="s">
        <v>692</v>
      </c>
      <c r="U1097">
        <f t="shared" si="19"/>
        <v>32</v>
      </c>
    </row>
    <row r="1098" spans="1:21" ht="37.5" customHeight="1" x14ac:dyDescent="0.25">
      <c r="A1098" s="23">
        <v>45006</v>
      </c>
      <c r="B1098" s="13">
        <v>12</v>
      </c>
      <c r="C1098" t="s">
        <v>3</v>
      </c>
      <c r="D1098" t="s">
        <v>4</v>
      </c>
      <c r="E1098" t="s">
        <v>5</v>
      </c>
      <c r="F1098" s="6">
        <v>113014470</v>
      </c>
      <c r="G1098" t="s">
        <v>374</v>
      </c>
      <c r="H1098" t="s">
        <v>49</v>
      </c>
      <c r="I1098">
        <v>0</v>
      </c>
      <c r="J1098">
        <v>0</v>
      </c>
      <c r="K1098">
        <v>0</v>
      </c>
      <c r="L1098">
        <v>0</v>
      </c>
      <c r="M1098">
        <v>0.57999999999999996</v>
      </c>
      <c r="N1098" s="7" t="e">
        <f>VLOOKUP(F1098,HC!A$6:D$100,3,FALSE)</f>
        <v>#N/A</v>
      </c>
      <c r="O1098" s="7" t="str">
        <f>VLOOKUP(F1098,HC!A$6:D$1000,2,FALSE)</f>
        <v>lupaguin</v>
      </c>
      <c r="P1098" t="s">
        <v>662</v>
      </c>
      <c r="Q1098" s="7" t="s">
        <v>688</v>
      </c>
      <c r="U1098">
        <f t="shared" si="19"/>
        <v>23</v>
      </c>
    </row>
    <row r="1099" spans="1:21" ht="37.5" customHeight="1" x14ac:dyDescent="0.25">
      <c r="A1099" s="23">
        <v>45006</v>
      </c>
      <c r="B1099" s="13">
        <v>12</v>
      </c>
      <c r="C1099" t="s">
        <v>3</v>
      </c>
      <c r="D1099" t="s">
        <v>4</v>
      </c>
      <c r="E1099" t="s">
        <v>21</v>
      </c>
      <c r="F1099" s="6">
        <v>200535448</v>
      </c>
      <c r="G1099" t="s">
        <v>902</v>
      </c>
      <c r="H1099" t="s">
        <v>47</v>
      </c>
      <c r="I1099">
        <v>0</v>
      </c>
      <c r="J1099">
        <v>0</v>
      </c>
      <c r="K1099">
        <v>0</v>
      </c>
      <c r="L1099">
        <v>0</v>
      </c>
      <c r="M1099">
        <v>0.44</v>
      </c>
      <c r="N1099" s="7" t="e">
        <f>VLOOKUP(F1099,HC!A$6:D$100,3,FALSE)</f>
        <v>#N/A</v>
      </c>
      <c r="O1099" s="7" t="e">
        <f>VLOOKUP(F1099,HC!A$6:D$1000,2,FALSE)</f>
        <v>#N/A</v>
      </c>
      <c r="P1099" t="s">
        <v>661</v>
      </c>
      <c r="Q1099" s="7" t="s">
        <v>681</v>
      </c>
      <c r="U1099">
        <f t="shared" si="19"/>
        <v>1395</v>
      </c>
    </row>
    <row r="1100" spans="1:21" ht="37.5" customHeight="1" x14ac:dyDescent="0.25">
      <c r="A1100" s="23">
        <v>45006</v>
      </c>
      <c r="B1100" s="13">
        <v>12</v>
      </c>
      <c r="C1100" t="s">
        <v>3</v>
      </c>
      <c r="D1100" t="s">
        <v>4</v>
      </c>
      <c r="E1100" t="s">
        <v>21</v>
      </c>
      <c r="F1100" s="6">
        <v>200570729</v>
      </c>
      <c r="G1100" t="s">
        <v>679</v>
      </c>
      <c r="H1100" t="s">
        <v>47</v>
      </c>
      <c r="I1100">
        <v>0</v>
      </c>
      <c r="J1100">
        <v>0</v>
      </c>
      <c r="K1100">
        <v>0</v>
      </c>
      <c r="L1100">
        <v>0</v>
      </c>
      <c r="M1100">
        <v>0.75</v>
      </c>
      <c r="N1100" s="7" t="e">
        <f>VLOOKUP(F1100,HC!A$6:D$100,3,FALSE)</f>
        <v>#N/A</v>
      </c>
      <c r="O1100" s="7" t="str">
        <f>VLOOKUP(F1100,HC!A$6:D$1000,2,FALSE)</f>
        <v>srodcaro</v>
      </c>
      <c r="P1100" t="s">
        <v>661</v>
      </c>
      <c r="Q1100" s="7" t="s">
        <v>681</v>
      </c>
      <c r="U1100">
        <f t="shared" si="19"/>
        <v>8</v>
      </c>
    </row>
    <row r="1101" spans="1:21" ht="37.5" customHeight="1" x14ac:dyDescent="0.25">
      <c r="A1101" s="23">
        <v>45006</v>
      </c>
      <c r="B1101" s="13">
        <v>12</v>
      </c>
      <c r="C1101" t="s">
        <v>3</v>
      </c>
      <c r="D1101" t="s">
        <v>4</v>
      </c>
      <c r="E1101" t="s">
        <v>21</v>
      </c>
      <c r="F1101" s="6">
        <v>200574655</v>
      </c>
      <c r="G1101" t="s">
        <v>630</v>
      </c>
      <c r="H1101" t="s">
        <v>49</v>
      </c>
      <c r="I1101">
        <v>0</v>
      </c>
      <c r="J1101">
        <v>0</v>
      </c>
      <c r="K1101">
        <v>0</v>
      </c>
      <c r="L1101">
        <v>0</v>
      </c>
      <c r="M1101">
        <v>0.4</v>
      </c>
      <c r="N1101" s="7" t="e">
        <f>VLOOKUP(F1101,HC!A$6:D$100,3,FALSE)</f>
        <v>#N/A</v>
      </c>
      <c r="O1101" s="7" t="str">
        <f>VLOOKUP(F1101,HC!A$6:D$1000,2,FALSE)</f>
        <v>dulceami</v>
      </c>
      <c r="P1101" t="s">
        <v>663</v>
      </c>
      <c r="Q1101" s="7" t="s">
        <v>692</v>
      </c>
      <c r="U1101">
        <f t="shared" si="19"/>
        <v>20</v>
      </c>
    </row>
    <row r="1102" spans="1:21" ht="37.5" customHeight="1" x14ac:dyDescent="0.25">
      <c r="A1102" s="23">
        <v>45006</v>
      </c>
      <c r="B1102" s="13">
        <v>12</v>
      </c>
      <c r="C1102" t="s">
        <v>3</v>
      </c>
      <c r="D1102" t="s">
        <v>4</v>
      </c>
      <c r="E1102" t="s">
        <v>21</v>
      </c>
      <c r="F1102" s="6">
        <v>200625517</v>
      </c>
      <c r="G1102" t="s">
        <v>323</v>
      </c>
      <c r="H1102" t="s">
        <v>49</v>
      </c>
      <c r="I1102">
        <v>0</v>
      </c>
      <c r="J1102">
        <v>0</v>
      </c>
      <c r="K1102">
        <v>0</v>
      </c>
      <c r="L1102">
        <v>0</v>
      </c>
      <c r="M1102">
        <v>0.24</v>
      </c>
      <c r="N1102" s="7" t="e">
        <f>VLOOKUP(F1102,HC!A$6:D$100,3,FALSE)</f>
        <v>#N/A</v>
      </c>
      <c r="O1102" s="7" t="e">
        <f>VLOOKUP(F1102,HC!A$6:D$1000,2,FALSE)</f>
        <v>#N/A</v>
      </c>
      <c r="P1102" t="s">
        <v>664</v>
      </c>
      <c r="Q1102" s="7" t="s">
        <v>709</v>
      </c>
      <c r="U1102">
        <f t="shared" si="19"/>
        <v>1395</v>
      </c>
    </row>
    <row r="1103" spans="1:21" ht="37.5" customHeight="1" x14ac:dyDescent="0.25">
      <c r="A1103" s="23">
        <v>45006</v>
      </c>
      <c r="B1103" s="13">
        <v>12</v>
      </c>
      <c r="C1103" t="s">
        <v>3</v>
      </c>
      <c r="D1103" t="s">
        <v>4</v>
      </c>
      <c r="E1103" t="s">
        <v>21</v>
      </c>
      <c r="F1103" s="6">
        <v>201165769</v>
      </c>
      <c r="G1103" t="s">
        <v>903</v>
      </c>
      <c r="H1103" t="s">
        <v>47</v>
      </c>
      <c r="I1103">
        <v>0</v>
      </c>
      <c r="J1103">
        <v>0</v>
      </c>
      <c r="K1103">
        <v>0</v>
      </c>
      <c r="L1103">
        <v>0</v>
      </c>
      <c r="M1103">
        <v>0.09</v>
      </c>
      <c r="N1103" s="7" t="e">
        <f>VLOOKUP(F1103,HC!A$6:D$100,3,FALSE)</f>
        <v>#N/A</v>
      </c>
      <c r="O1103" s="7" t="str">
        <f>VLOOKUP(F1103,HC!A$6:D$1000,2,FALSE)</f>
        <v>puenkare</v>
      </c>
      <c r="P1103" t="s">
        <v>663</v>
      </c>
      <c r="Q1103" s="7" t="s">
        <v>695</v>
      </c>
      <c r="U1103">
        <f t="shared" si="19"/>
        <v>19</v>
      </c>
    </row>
    <row r="1104" spans="1:21" ht="37.5" customHeight="1" x14ac:dyDescent="0.25">
      <c r="A1104" s="23">
        <v>45006</v>
      </c>
      <c r="B1104" s="13">
        <v>12</v>
      </c>
      <c r="C1104" t="s">
        <v>3</v>
      </c>
      <c r="D1104" t="s">
        <v>4</v>
      </c>
      <c r="E1104" t="s">
        <v>21</v>
      </c>
      <c r="F1104" s="6">
        <v>201186833</v>
      </c>
      <c r="G1104" t="s">
        <v>904</v>
      </c>
      <c r="H1104" t="s">
        <v>846</v>
      </c>
      <c r="I1104">
        <v>0</v>
      </c>
      <c r="J1104">
        <v>0</v>
      </c>
      <c r="K1104">
        <v>0</v>
      </c>
      <c r="L1104">
        <v>0</v>
      </c>
      <c r="M1104">
        <v>0.95</v>
      </c>
      <c r="N1104" s="7" t="e">
        <f>VLOOKUP(F1104,HC!A$6:D$100,3,FALSE)</f>
        <v>#N/A</v>
      </c>
      <c r="O1104" s="7" t="str">
        <f>VLOOKUP(F1104,HC!A$6:D$1000,2,FALSE)</f>
        <v>jaalexav</v>
      </c>
      <c r="P1104" t="s">
        <v>661</v>
      </c>
      <c r="Q1104" s="7" t="s">
        <v>684</v>
      </c>
      <c r="U1104">
        <f t="shared" si="19"/>
        <v>16</v>
      </c>
    </row>
    <row r="1105" spans="1:21" ht="37.5" customHeight="1" x14ac:dyDescent="0.25">
      <c r="A1105" s="23">
        <v>45006</v>
      </c>
      <c r="B1105" s="13">
        <v>12</v>
      </c>
      <c r="C1105" t="s">
        <v>3</v>
      </c>
      <c r="D1105" t="s">
        <v>4</v>
      </c>
      <c r="E1105" t="s">
        <v>21</v>
      </c>
      <c r="F1105" s="6">
        <v>201198979</v>
      </c>
      <c r="G1105" t="s">
        <v>905</v>
      </c>
      <c r="H1105" t="s">
        <v>47</v>
      </c>
      <c r="I1105">
        <v>0</v>
      </c>
      <c r="J1105">
        <v>0</v>
      </c>
      <c r="K1105">
        <v>0</v>
      </c>
      <c r="L1105">
        <v>0</v>
      </c>
      <c r="M1105">
        <v>1.43</v>
      </c>
      <c r="N1105" s="7" t="e">
        <f>VLOOKUP(F1105,HC!A$6:D$100,3,FALSE)</f>
        <v>#N/A</v>
      </c>
      <c r="O1105" s="7" t="e">
        <f>VLOOKUP(F1105,HC!A$6:D$1000,2,FALSE)</f>
        <v>#N/A</v>
      </c>
      <c r="P1105" t="s">
        <v>664</v>
      </c>
      <c r="Q1105" s="7" t="s">
        <v>762</v>
      </c>
      <c r="R1105" t="s">
        <v>408</v>
      </c>
      <c r="U1105">
        <f t="shared" si="19"/>
        <v>1395</v>
      </c>
    </row>
    <row r="1106" spans="1:21" ht="37.5" customHeight="1" x14ac:dyDescent="0.25">
      <c r="A1106" s="23">
        <v>45006</v>
      </c>
      <c r="B1106" s="13">
        <v>12</v>
      </c>
      <c r="C1106" t="s">
        <v>3</v>
      </c>
      <c r="D1106" t="s">
        <v>4</v>
      </c>
      <c r="E1106" t="s">
        <v>21</v>
      </c>
      <c r="F1106" s="6">
        <v>201201993</v>
      </c>
      <c r="G1106" t="s">
        <v>906</v>
      </c>
      <c r="H1106" t="s">
        <v>846</v>
      </c>
      <c r="I1106">
        <v>0</v>
      </c>
      <c r="J1106">
        <v>0</v>
      </c>
      <c r="K1106">
        <v>0</v>
      </c>
      <c r="L1106">
        <v>0</v>
      </c>
      <c r="M1106">
        <v>0.17</v>
      </c>
      <c r="N1106" s="7" t="e">
        <f>VLOOKUP(F1106,HC!A$6:D$100,3,FALSE)</f>
        <v>#N/A</v>
      </c>
      <c r="O1106" s="7" t="e">
        <f>VLOOKUP(F1106,HC!A$6:D$1000,2,FALSE)</f>
        <v>#N/A</v>
      </c>
      <c r="P1106" t="s">
        <v>665</v>
      </c>
      <c r="Q1106" s="7" t="s">
        <v>722</v>
      </c>
      <c r="U1106">
        <f t="shared" si="19"/>
        <v>1395</v>
      </c>
    </row>
    <row r="1107" spans="1:21" ht="37.5" customHeight="1" x14ac:dyDescent="0.25">
      <c r="A1107" s="23">
        <v>45007</v>
      </c>
      <c r="B1107" s="13">
        <v>12</v>
      </c>
      <c r="C1107" t="s">
        <v>3</v>
      </c>
      <c r="D1107" t="s">
        <v>4</v>
      </c>
      <c r="E1107" t="s">
        <v>5</v>
      </c>
      <c r="F1107" s="6">
        <v>103979960</v>
      </c>
      <c r="G1107" t="s">
        <v>372</v>
      </c>
      <c r="H1107" t="s">
        <v>49</v>
      </c>
      <c r="I1107">
        <v>0</v>
      </c>
      <c r="J1107">
        <v>0</v>
      </c>
      <c r="K1107">
        <v>0</v>
      </c>
      <c r="L1107">
        <v>0</v>
      </c>
      <c r="M1107">
        <v>1.38</v>
      </c>
      <c r="N1107" s="7" t="e">
        <f>VLOOKUP(F1107,HC!A$6:D$100,3,FALSE)</f>
        <v>#N/A</v>
      </c>
      <c r="O1107" s="7" t="e">
        <f>VLOOKUP(F1107,HC!A$6:D$1000,2,FALSE)</f>
        <v>#N/A</v>
      </c>
      <c r="P1107" t="s">
        <v>664</v>
      </c>
      <c r="Q1107" s="7" t="s">
        <v>777</v>
      </c>
      <c r="U1107">
        <f t="shared" si="19"/>
        <v>1395</v>
      </c>
    </row>
    <row r="1108" spans="1:21" ht="37.5" customHeight="1" x14ac:dyDescent="0.25">
      <c r="A1108" s="23">
        <v>45007</v>
      </c>
      <c r="B1108" s="13">
        <v>12</v>
      </c>
      <c r="C1108" t="s">
        <v>3</v>
      </c>
      <c r="D1108" t="s">
        <v>4</v>
      </c>
      <c r="E1108" t="s">
        <v>5</v>
      </c>
      <c r="F1108" s="6">
        <v>111434478</v>
      </c>
      <c r="G1108" t="s">
        <v>331</v>
      </c>
      <c r="H1108" t="s">
        <v>253</v>
      </c>
      <c r="I1108">
        <v>0</v>
      </c>
      <c r="J1108">
        <v>0</v>
      </c>
      <c r="K1108">
        <v>0</v>
      </c>
      <c r="L1108">
        <v>0</v>
      </c>
      <c r="M1108">
        <v>0.1</v>
      </c>
      <c r="N1108" s="7" t="str">
        <f>VLOOKUP(F1108,HC!A$6:D$100,3,FALSE)</f>
        <v>DA-X0700</v>
      </c>
      <c r="O1108" s="7" t="str">
        <f>VLOOKUP(F1108,HC!A$6:D$1000,2,FALSE)</f>
        <v>juanapam</v>
      </c>
      <c r="P1108" t="s">
        <v>675</v>
      </c>
      <c r="Q1108" s="7"/>
      <c r="U1108">
        <f t="shared" si="19"/>
        <v>32</v>
      </c>
    </row>
    <row r="1109" spans="1:21" ht="37.5" customHeight="1" x14ac:dyDescent="0.25">
      <c r="A1109" s="23">
        <v>45007</v>
      </c>
      <c r="B1109" s="13">
        <v>12</v>
      </c>
      <c r="C1109" t="s">
        <v>3</v>
      </c>
      <c r="D1109" t="s">
        <v>4</v>
      </c>
      <c r="E1109" t="s">
        <v>5</v>
      </c>
      <c r="F1109" s="6">
        <v>112912752</v>
      </c>
      <c r="G1109" t="s">
        <v>251</v>
      </c>
      <c r="H1109" t="s">
        <v>44</v>
      </c>
      <c r="I1109">
        <v>0</v>
      </c>
      <c r="J1109">
        <v>0</v>
      </c>
      <c r="K1109">
        <v>0</v>
      </c>
      <c r="L1109">
        <v>0</v>
      </c>
      <c r="M1109">
        <v>0.11</v>
      </c>
      <c r="N1109" s="7" t="str">
        <f>VLOOKUP(F1109,HC!A$6:D$100,3,FALSE)</f>
        <v>NF-X1900</v>
      </c>
      <c r="O1109" s="7" t="str">
        <f>VLOOKUP(F1109,HC!A$6:D$1000,2,FALSE)</f>
        <v>valderle</v>
      </c>
      <c r="P1109" t="s">
        <v>665</v>
      </c>
      <c r="Q1109" s="7" t="s">
        <v>722</v>
      </c>
      <c r="U1109">
        <f t="shared" si="19"/>
        <v>50</v>
      </c>
    </row>
    <row r="1110" spans="1:21" ht="37.5" customHeight="1" x14ac:dyDescent="0.25">
      <c r="A1110" s="23">
        <v>45007</v>
      </c>
      <c r="B1110" s="13">
        <v>12</v>
      </c>
      <c r="C1110" t="s">
        <v>3</v>
      </c>
      <c r="D1110" t="s">
        <v>4</v>
      </c>
      <c r="E1110" t="s">
        <v>5</v>
      </c>
      <c r="F1110" s="6">
        <v>112912753</v>
      </c>
      <c r="G1110" t="s">
        <v>415</v>
      </c>
      <c r="H1110" t="s">
        <v>285</v>
      </c>
      <c r="I1110">
        <v>0</v>
      </c>
      <c r="J1110">
        <v>0</v>
      </c>
      <c r="K1110">
        <v>0</v>
      </c>
      <c r="L1110">
        <v>0</v>
      </c>
      <c r="M1110">
        <v>0.04</v>
      </c>
      <c r="N1110" s="7" t="e">
        <f>VLOOKUP(F1110,HC!A$6:D$100,3,FALSE)</f>
        <v>#N/A</v>
      </c>
      <c r="O1110" s="7" t="e">
        <f>VLOOKUP(F1110,HC!A$6:D$1000,2,FALSE)</f>
        <v>#N/A</v>
      </c>
      <c r="P1110" t="s">
        <v>675</v>
      </c>
      <c r="Q1110" s="7"/>
      <c r="U1110">
        <f t="shared" si="19"/>
        <v>1395</v>
      </c>
    </row>
    <row r="1111" spans="1:21" ht="37.5" customHeight="1" x14ac:dyDescent="0.25">
      <c r="A1111" s="23">
        <v>45007</v>
      </c>
      <c r="B1111" s="13">
        <v>12</v>
      </c>
      <c r="C1111" t="s">
        <v>3</v>
      </c>
      <c r="D1111" t="s">
        <v>4</v>
      </c>
      <c r="E1111" t="s">
        <v>5</v>
      </c>
      <c r="F1111" s="6">
        <v>112950819</v>
      </c>
      <c r="G1111" t="s">
        <v>791</v>
      </c>
      <c r="H1111" t="s">
        <v>253</v>
      </c>
      <c r="I1111">
        <v>0</v>
      </c>
      <c r="J1111">
        <v>0</v>
      </c>
      <c r="K1111">
        <v>0</v>
      </c>
      <c r="L1111">
        <v>0</v>
      </c>
      <c r="M1111">
        <v>0.15</v>
      </c>
      <c r="N1111" s="7" t="str">
        <f>VLOOKUP(F1111,HC!A$6:D$100,3,FALSE)</f>
        <v>DA-X0700</v>
      </c>
      <c r="O1111" s="7" t="str">
        <f>VLOOKUP(F1111,HC!A$6:D$1000,2,FALSE)</f>
        <v>riojoeli</v>
      </c>
      <c r="P1111" t="s">
        <v>661</v>
      </c>
      <c r="Q1111" s="7" t="s">
        <v>681</v>
      </c>
      <c r="U1111">
        <f t="shared" si="19"/>
        <v>2</v>
      </c>
    </row>
    <row r="1112" spans="1:21" ht="37.5" customHeight="1" x14ac:dyDescent="0.25">
      <c r="A1112" s="23">
        <v>45007</v>
      </c>
      <c r="B1112" s="13">
        <v>12</v>
      </c>
      <c r="C1112" t="s">
        <v>3</v>
      </c>
      <c r="D1112" t="s">
        <v>4</v>
      </c>
      <c r="E1112" t="s">
        <v>5</v>
      </c>
      <c r="F1112" s="6">
        <v>112980844</v>
      </c>
      <c r="G1112" t="s">
        <v>13</v>
      </c>
      <c r="H1112" t="s">
        <v>44</v>
      </c>
      <c r="I1112">
        <v>0</v>
      </c>
      <c r="J1112">
        <v>0</v>
      </c>
      <c r="K1112">
        <v>0</v>
      </c>
      <c r="L1112">
        <v>0</v>
      </c>
      <c r="M1112">
        <v>0.73</v>
      </c>
      <c r="N1112" s="7" t="str">
        <f>VLOOKUP(F1112,HC!A$6:D$100,3,FALSE)</f>
        <v>DA-X0700</v>
      </c>
      <c r="O1112" s="7" t="str">
        <f>VLOOKUP(F1112,HC!A$6:D$1000,2,FALSE)</f>
        <v>samajpad</v>
      </c>
      <c r="P1112" t="s">
        <v>664</v>
      </c>
      <c r="Q1112" s="7" t="s">
        <v>710</v>
      </c>
      <c r="U1112">
        <f t="shared" si="19"/>
        <v>20</v>
      </c>
    </row>
    <row r="1113" spans="1:21" ht="37.5" customHeight="1" x14ac:dyDescent="0.25">
      <c r="A1113" s="23">
        <v>45007</v>
      </c>
      <c r="B1113" s="13">
        <v>12</v>
      </c>
      <c r="C1113" t="s">
        <v>3</v>
      </c>
      <c r="D1113" t="s">
        <v>4</v>
      </c>
      <c r="E1113" t="s">
        <v>5</v>
      </c>
      <c r="F1113" s="6">
        <v>112981061</v>
      </c>
      <c r="G1113" t="s">
        <v>264</v>
      </c>
      <c r="H1113" t="s">
        <v>49</v>
      </c>
      <c r="I1113">
        <v>0</v>
      </c>
      <c r="J1113">
        <v>0</v>
      </c>
      <c r="K1113">
        <v>0</v>
      </c>
      <c r="L1113">
        <v>0</v>
      </c>
      <c r="M1113">
        <v>0.37</v>
      </c>
      <c r="N1113" s="7" t="str">
        <f>VLOOKUP(F1113,HC!A$6:D$100,3,FALSE)</f>
        <v>DA-X0700</v>
      </c>
      <c r="O1113" s="7" t="str">
        <f>VLOOKUP(F1113,HC!A$6:D$1000,2,FALSE)</f>
        <v>mclaudol</v>
      </c>
      <c r="P1113" t="s">
        <v>663</v>
      </c>
      <c r="Q1113" s="7" t="s">
        <v>692</v>
      </c>
      <c r="U1113">
        <f t="shared" si="19"/>
        <v>44</v>
      </c>
    </row>
    <row r="1114" spans="1:21" ht="37.5" customHeight="1" x14ac:dyDescent="0.25">
      <c r="A1114" s="23">
        <v>45007</v>
      </c>
      <c r="B1114" s="13">
        <v>12</v>
      </c>
      <c r="C1114" t="s">
        <v>3</v>
      </c>
      <c r="D1114" t="s">
        <v>4</v>
      </c>
      <c r="E1114" t="s">
        <v>5</v>
      </c>
      <c r="F1114" s="6">
        <v>113003631</v>
      </c>
      <c r="G1114" t="s">
        <v>479</v>
      </c>
      <c r="H1114" t="s">
        <v>47</v>
      </c>
      <c r="I1114">
        <v>0</v>
      </c>
      <c r="J1114">
        <v>0</v>
      </c>
      <c r="K1114">
        <v>0</v>
      </c>
      <c r="L1114">
        <v>0</v>
      </c>
      <c r="M1114">
        <v>0.36</v>
      </c>
      <c r="N1114" s="7" t="e">
        <f>VLOOKUP(F1114,HC!A$6:D$100,3,FALSE)</f>
        <v>#N/A</v>
      </c>
      <c r="O1114" s="7" t="e">
        <f>VLOOKUP(F1114,HC!A$6:D$1000,2,FALSE)</f>
        <v>#N/A</v>
      </c>
      <c r="P1114" t="s">
        <v>663</v>
      </c>
      <c r="Q1114" s="7" t="s">
        <v>707</v>
      </c>
      <c r="U1114">
        <f t="shared" si="19"/>
        <v>1395</v>
      </c>
    </row>
    <row r="1115" spans="1:21" ht="37.5" customHeight="1" x14ac:dyDescent="0.25">
      <c r="A1115" s="23">
        <v>45007</v>
      </c>
      <c r="B1115" s="13">
        <v>12</v>
      </c>
      <c r="C1115" t="s">
        <v>3</v>
      </c>
      <c r="D1115" t="s">
        <v>4</v>
      </c>
      <c r="E1115" t="s">
        <v>5</v>
      </c>
      <c r="F1115" s="6">
        <v>113014094</v>
      </c>
      <c r="G1115" t="s">
        <v>463</v>
      </c>
      <c r="H1115" t="s">
        <v>49</v>
      </c>
      <c r="I1115">
        <v>0</v>
      </c>
      <c r="J1115">
        <v>0</v>
      </c>
      <c r="K1115">
        <v>0</v>
      </c>
      <c r="L1115">
        <v>0</v>
      </c>
      <c r="M1115">
        <v>0.48</v>
      </c>
      <c r="N1115" s="7" t="e">
        <f>VLOOKUP(F1115,HC!A$6:D$100,3,FALSE)</f>
        <v>#N/A</v>
      </c>
      <c r="O1115" s="7" t="str">
        <f>VLOOKUP(F1115,HC!A$6:D$1000,2,FALSE)</f>
        <v>erikaadm</v>
      </c>
      <c r="P1115" t="s">
        <v>661</v>
      </c>
      <c r="Q1115" s="7" t="s">
        <v>681</v>
      </c>
      <c r="U1115">
        <f t="shared" si="19"/>
        <v>21</v>
      </c>
    </row>
    <row r="1116" spans="1:21" ht="37.5" customHeight="1" x14ac:dyDescent="0.25">
      <c r="A1116" s="23">
        <v>45007</v>
      </c>
      <c r="B1116" s="13">
        <v>12</v>
      </c>
      <c r="C1116" t="s">
        <v>3</v>
      </c>
      <c r="D1116" t="s">
        <v>4</v>
      </c>
      <c r="E1116" t="s">
        <v>5</v>
      </c>
      <c r="F1116" s="6">
        <v>113019042</v>
      </c>
      <c r="G1116" t="s">
        <v>655</v>
      </c>
      <c r="H1116" t="s">
        <v>285</v>
      </c>
      <c r="I1116">
        <v>0</v>
      </c>
      <c r="J1116">
        <v>0</v>
      </c>
      <c r="K1116">
        <v>0</v>
      </c>
      <c r="L1116">
        <v>0</v>
      </c>
      <c r="M1116">
        <v>0.5</v>
      </c>
      <c r="N1116" s="7" t="e">
        <f>VLOOKUP(F1116,HC!A$6:D$100,3,FALSE)</f>
        <v>#N/A</v>
      </c>
      <c r="O1116" s="7" t="e">
        <f>VLOOKUP(F1116,HC!A$6:D$1000,2,FALSE)</f>
        <v>#N/A</v>
      </c>
      <c r="P1116" t="s">
        <v>664</v>
      </c>
      <c r="Q1116" s="7" t="s">
        <v>710</v>
      </c>
      <c r="U1116">
        <f t="shared" si="19"/>
        <v>1395</v>
      </c>
    </row>
    <row r="1117" spans="1:21" ht="37.5" customHeight="1" x14ac:dyDescent="0.25">
      <c r="A1117" s="23">
        <v>45007</v>
      </c>
      <c r="B1117" s="13">
        <v>12</v>
      </c>
      <c r="C1117" t="s">
        <v>3</v>
      </c>
      <c r="D1117" t="s">
        <v>4</v>
      </c>
      <c r="E1117" t="s">
        <v>21</v>
      </c>
      <c r="F1117" s="6">
        <v>201186801</v>
      </c>
      <c r="G1117" t="s">
        <v>912</v>
      </c>
      <c r="H1117" t="s">
        <v>7</v>
      </c>
      <c r="I1117">
        <v>0</v>
      </c>
      <c r="J1117">
        <v>0</v>
      </c>
      <c r="K1117">
        <v>0</v>
      </c>
      <c r="L1117">
        <v>0</v>
      </c>
      <c r="M1117">
        <v>0.27</v>
      </c>
      <c r="N1117" s="7" t="e">
        <f>VLOOKUP(F1117,HC!A$6:D$100,3,FALSE)</f>
        <v>#N/A</v>
      </c>
      <c r="O1117" s="7" t="e">
        <f>VLOOKUP(F1117,HC!A$6:D$1000,2,FALSE)</f>
        <v>#N/A</v>
      </c>
      <c r="P1117" t="s">
        <v>664</v>
      </c>
      <c r="Q1117" s="7" t="s">
        <v>710</v>
      </c>
      <c r="U1117">
        <f t="shared" si="19"/>
        <v>1395</v>
      </c>
    </row>
    <row r="1118" spans="1:21" ht="37.5" customHeight="1" x14ac:dyDescent="0.25">
      <c r="A1118" s="23">
        <v>45007</v>
      </c>
      <c r="B1118" s="13">
        <v>12</v>
      </c>
      <c r="C1118" t="s">
        <v>3</v>
      </c>
      <c r="D1118" t="s">
        <v>4</v>
      </c>
      <c r="E1118" t="s">
        <v>21</v>
      </c>
      <c r="F1118" s="6">
        <v>201201993</v>
      </c>
      <c r="G1118" t="s">
        <v>906</v>
      </c>
      <c r="H1118" t="s">
        <v>846</v>
      </c>
      <c r="I1118">
        <v>0</v>
      </c>
      <c r="J1118">
        <v>0</v>
      </c>
      <c r="K1118">
        <v>0</v>
      </c>
      <c r="L1118">
        <v>0</v>
      </c>
      <c r="M1118">
        <v>0.32</v>
      </c>
      <c r="N1118" s="7" t="e">
        <f>VLOOKUP(F1118,HC!A$6:D$100,3,FALSE)</f>
        <v>#N/A</v>
      </c>
      <c r="O1118" s="7" t="e">
        <f>VLOOKUP(F1118,HC!A$6:D$1000,2,FALSE)</f>
        <v>#N/A</v>
      </c>
      <c r="P1118" t="s">
        <v>664</v>
      </c>
      <c r="Q1118" s="7" t="s">
        <v>711</v>
      </c>
      <c r="U1118">
        <f t="shared" si="19"/>
        <v>1395</v>
      </c>
    </row>
    <row r="1119" spans="1:21" ht="37.5" customHeight="1" x14ac:dyDescent="0.25">
      <c r="A1119" s="23">
        <v>45008</v>
      </c>
      <c r="B1119" s="13">
        <v>12</v>
      </c>
      <c r="C1119" t="s">
        <v>3</v>
      </c>
      <c r="D1119" t="s">
        <v>4</v>
      </c>
      <c r="E1119" t="s">
        <v>5</v>
      </c>
      <c r="F1119" s="6">
        <v>112912074</v>
      </c>
      <c r="G1119" t="s">
        <v>473</v>
      </c>
      <c r="H1119" t="s">
        <v>282</v>
      </c>
      <c r="I1119">
        <v>0</v>
      </c>
      <c r="J1119">
        <v>0</v>
      </c>
      <c r="K1119">
        <v>0</v>
      </c>
      <c r="L1119">
        <v>0</v>
      </c>
      <c r="M1119">
        <v>0.43</v>
      </c>
      <c r="N1119" s="7" t="e">
        <f>VLOOKUP(F1119,HC!A$6:D$100,3,FALSE)</f>
        <v>#N/A</v>
      </c>
      <c r="O1119" s="7" t="e">
        <f>VLOOKUP(F1119,HC!A$6:D$1000,2,FALSE)</f>
        <v>#N/A</v>
      </c>
      <c r="P1119" t="s">
        <v>661</v>
      </c>
      <c r="Q1119" s="7" t="s">
        <v>681</v>
      </c>
      <c r="U1119">
        <f t="shared" si="19"/>
        <v>1395</v>
      </c>
    </row>
    <row r="1120" spans="1:21" ht="37.5" customHeight="1" x14ac:dyDescent="0.25">
      <c r="A1120" s="23">
        <v>45008</v>
      </c>
      <c r="B1120" s="13">
        <v>12</v>
      </c>
      <c r="C1120" t="s">
        <v>3</v>
      </c>
      <c r="D1120" t="s">
        <v>4</v>
      </c>
      <c r="E1120" t="s">
        <v>5</v>
      </c>
      <c r="F1120" s="6">
        <v>112912753</v>
      </c>
      <c r="G1120" t="s">
        <v>415</v>
      </c>
      <c r="H1120" t="s">
        <v>285</v>
      </c>
      <c r="I1120">
        <v>0</v>
      </c>
      <c r="J1120">
        <v>0</v>
      </c>
      <c r="K1120">
        <v>0</v>
      </c>
      <c r="L1120">
        <v>0</v>
      </c>
      <c r="M1120">
        <v>0.76</v>
      </c>
      <c r="N1120" s="7" t="e">
        <f>VLOOKUP(F1120,HC!A$6:D$100,3,FALSE)</f>
        <v>#N/A</v>
      </c>
      <c r="O1120" s="7" t="e">
        <f>VLOOKUP(F1120,HC!A$6:D$1000,2,FALSE)</f>
        <v>#N/A</v>
      </c>
      <c r="P1120" t="s">
        <v>661</v>
      </c>
      <c r="Q1120" s="7" t="s">
        <v>681</v>
      </c>
      <c r="U1120">
        <f t="shared" si="19"/>
        <v>1395</v>
      </c>
    </row>
    <row r="1121" spans="1:21" ht="37.5" customHeight="1" x14ac:dyDescent="0.25">
      <c r="A1121" s="23">
        <v>45008</v>
      </c>
      <c r="B1121" s="13">
        <v>12</v>
      </c>
      <c r="C1121" t="s">
        <v>3</v>
      </c>
      <c r="D1121" t="s">
        <v>4</v>
      </c>
      <c r="E1121" t="s">
        <v>5</v>
      </c>
      <c r="F1121" s="6">
        <v>112920654</v>
      </c>
      <c r="G1121" t="s">
        <v>500</v>
      </c>
      <c r="H1121" t="s">
        <v>250</v>
      </c>
      <c r="I1121">
        <v>0</v>
      </c>
      <c r="J1121">
        <v>0</v>
      </c>
      <c r="K1121">
        <v>0</v>
      </c>
      <c r="L1121">
        <v>0</v>
      </c>
      <c r="M1121">
        <v>0.18</v>
      </c>
      <c r="N1121" s="7" t="str">
        <f>VLOOKUP(F1121,HC!A$6:D$100,3,FALSE)</f>
        <v>DB-X0700</v>
      </c>
      <c r="O1121" s="7" t="str">
        <f>VLOOKUP(F1121,HC!A$6:D$1000,2,FALSE)</f>
        <v>qhojulie</v>
      </c>
      <c r="P1121" t="s">
        <v>662</v>
      </c>
      <c r="Q1121" s="7" t="s">
        <v>687</v>
      </c>
      <c r="U1121">
        <f t="shared" si="19"/>
        <v>16</v>
      </c>
    </row>
    <row r="1122" spans="1:21" ht="37.5" customHeight="1" x14ac:dyDescent="0.25">
      <c r="A1122" s="23">
        <v>45008</v>
      </c>
      <c r="B1122" s="13">
        <v>12</v>
      </c>
      <c r="C1122" t="s">
        <v>3</v>
      </c>
      <c r="D1122" t="s">
        <v>4</v>
      </c>
      <c r="E1122" t="s">
        <v>5</v>
      </c>
      <c r="F1122" s="6">
        <v>112950784</v>
      </c>
      <c r="G1122" t="s">
        <v>261</v>
      </c>
      <c r="H1122" t="s">
        <v>285</v>
      </c>
      <c r="I1122">
        <v>0</v>
      </c>
      <c r="J1122">
        <v>0</v>
      </c>
      <c r="K1122">
        <v>0</v>
      </c>
      <c r="L1122">
        <v>0</v>
      </c>
      <c r="M1122">
        <v>0.59</v>
      </c>
      <c r="N1122" s="7" t="str">
        <f>VLOOKUP(F1122,HC!A$6:D$100,3,FALSE)</f>
        <v>NF-X1900</v>
      </c>
      <c r="O1122" s="7" t="str">
        <f>VLOOKUP(F1122,HC!A$6:D$1000,2,FALSE)</f>
        <v>sarojast</v>
      </c>
      <c r="P1122" t="s">
        <v>661</v>
      </c>
      <c r="Q1122" s="7" t="s">
        <v>681</v>
      </c>
      <c r="U1122">
        <f t="shared" si="19"/>
        <v>33</v>
      </c>
    </row>
    <row r="1123" spans="1:21" ht="37.5" customHeight="1" x14ac:dyDescent="0.25">
      <c r="A1123" s="23">
        <v>45008</v>
      </c>
      <c r="B1123" s="13">
        <v>12</v>
      </c>
      <c r="C1123" t="s">
        <v>3</v>
      </c>
      <c r="D1123" t="s">
        <v>4</v>
      </c>
      <c r="E1123" t="s">
        <v>5</v>
      </c>
      <c r="F1123" s="6">
        <v>113003510</v>
      </c>
      <c r="G1123" t="s">
        <v>913</v>
      </c>
      <c r="H1123" t="s">
        <v>7</v>
      </c>
      <c r="I1123">
        <v>0</v>
      </c>
      <c r="J1123">
        <v>0</v>
      </c>
      <c r="K1123">
        <v>0</v>
      </c>
      <c r="L1123">
        <v>0</v>
      </c>
      <c r="M1123">
        <v>1.1599999999999999</v>
      </c>
      <c r="N1123" s="7" t="e">
        <f>VLOOKUP(F1123,HC!A$6:D$100,3,FALSE)</f>
        <v>#N/A</v>
      </c>
      <c r="O1123" s="7" t="str">
        <f>VLOOKUP(F1123,HC!A$6:D$1000,2,FALSE)</f>
        <v>nperezmc</v>
      </c>
      <c r="P1123" t="s">
        <v>664</v>
      </c>
      <c r="Q1123" s="7" t="s">
        <v>708</v>
      </c>
      <c r="U1123">
        <f t="shared" si="19"/>
        <v>12</v>
      </c>
    </row>
    <row r="1124" spans="1:21" ht="37.5" customHeight="1" x14ac:dyDescent="0.25">
      <c r="A1124" s="23">
        <v>45008</v>
      </c>
      <c r="B1124" s="13">
        <v>12</v>
      </c>
      <c r="C1124" t="s">
        <v>3</v>
      </c>
      <c r="D1124" t="s">
        <v>4</v>
      </c>
      <c r="E1124" t="s">
        <v>5</v>
      </c>
      <c r="F1124" s="6">
        <v>113003627</v>
      </c>
      <c r="G1124" t="s">
        <v>501</v>
      </c>
      <c r="H1124" t="s">
        <v>285</v>
      </c>
      <c r="I1124">
        <v>0</v>
      </c>
      <c r="J1124">
        <v>0</v>
      </c>
      <c r="K1124">
        <v>0</v>
      </c>
      <c r="L1124">
        <v>0</v>
      </c>
      <c r="M1124">
        <v>0.33</v>
      </c>
      <c r="N1124" s="7" t="e">
        <f>VLOOKUP(F1124,HC!A$6:D$100,3,FALSE)</f>
        <v>#N/A</v>
      </c>
      <c r="O1124" s="7" t="e">
        <f>VLOOKUP(F1124,HC!A$6:D$1000,2,FALSE)</f>
        <v>#N/A</v>
      </c>
      <c r="P1124" t="s">
        <v>675</v>
      </c>
      <c r="Q1124" s="7"/>
      <c r="U1124">
        <f t="shared" si="19"/>
        <v>1395</v>
      </c>
    </row>
    <row r="1125" spans="1:21" ht="37.5" customHeight="1" x14ac:dyDescent="0.25">
      <c r="A1125" s="23">
        <v>45008</v>
      </c>
      <c r="B1125" s="13">
        <v>12</v>
      </c>
      <c r="C1125" t="s">
        <v>3</v>
      </c>
      <c r="D1125" t="s">
        <v>4</v>
      </c>
      <c r="E1125" t="s">
        <v>5</v>
      </c>
      <c r="F1125" s="6">
        <v>113018997</v>
      </c>
      <c r="G1125" t="s">
        <v>254</v>
      </c>
      <c r="H1125" t="s">
        <v>44</v>
      </c>
      <c r="I1125">
        <v>0</v>
      </c>
      <c r="J1125">
        <v>0</v>
      </c>
      <c r="K1125">
        <v>0</v>
      </c>
      <c r="L1125">
        <v>0</v>
      </c>
      <c r="M1125">
        <v>1.21</v>
      </c>
      <c r="N1125" s="7" t="e">
        <f>VLOOKUP(F1125,HC!A$6:D$100,3,FALSE)</f>
        <v>#N/A</v>
      </c>
      <c r="O1125" s="7" t="e">
        <f>VLOOKUP(F1125,HC!A$6:D$1000,2,FALSE)</f>
        <v>#N/A</v>
      </c>
      <c r="P1125" t="s">
        <v>665</v>
      </c>
      <c r="Q1125" s="7" t="s">
        <v>756</v>
      </c>
      <c r="U1125">
        <f t="shared" si="19"/>
        <v>1395</v>
      </c>
    </row>
    <row r="1126" spans="1:21" ht="37.5" customHeight="1" x14ac:dyDescent="0.25">
      <c r="A1126" s="23">
        <v>45008</v>
      </c>
      <c r="B1126" s="13">
        <v>12</v>
      </c>
      <c r="C1126" t="s">
        <v>3</v>
      </c>
      <c r="D1126" t="s">
        <v>4</v>
      </c>
      <c r="E1126" t="s">
        <v>5</v>
      </c>
      <c r="F1126" s="6">
        <v>113101453</v>
      </c>
      <c r="G1126" t="s">
        <v>50</v>
      </c>
      <c r="H1126" t="s">
        <v>49</v>
      </c>
      <c r="I1126">
        <v>0</v>
      </c>
      <c r="J1126">
        <v>0</v>
      </c>
      <c r="K1126">
        <v>0</v>
      </c>
      <c r="L1126">
        <v>0</v>
      </c>
      <c r="M1126">
        <v>0</v>
      </c>
      <c r="N1126" s="7" t="e">
        <f>VLOOKUP(F1126,HC!A$6:D$100,3,FALSE)</f>
        <v>#N/A</v>
      </c>
      <c r="O1126" s="7" t="str">
        <f>VLOOKUP(F1126,HC!A$6:D$1000,2,FALSE)</f>
        <v>qisgeova</v>
      </c>
      <c r="P1126" t="s">
        <v>664</v>
      </c>
      <c r="Q1126" s="7" t="s">
        <v>777</v>
      </c>
      <c r="U1126">
        <f t="shared" si="19"/>
        <v>57</v>
      </c>
    </row>
    <row r="1127" spans="1:21" ht="37.5" customHeight="1" x14ac:dyDescent="0.25">
      <c r="A1127" s="23">
        <v>45008</v>
      </c>
      <c r="B1127" s="13">
        <v>12</v>
      </c>
      <c r="C1127" t="s">
        <v>3</v>
      </c>
      <c r="D1127" t="s">
        <v>4</v>
      </c>
      <c r="E1127" t="s">
        <v>21</v>
      </c>
      <c r="F1127" s="6">
        <v>200525168</v>
      </c>
      <c r="G1127" t="s">
        <v>914</v>
      </c>
      <c r="H1127" t="s">
        <v>17</v>
      </c>
      <c r="I1127">
        <v>0</v>
      </c>
      <c r="J1127">
        <v>0</v>
      </c>
      <c r="K1127">
        <v>0</v>
      </c>
      <c r="L1127">
        <v>0</v>
      </c>
      <c r="M1127">
        <v>0.67</v>
      </c>
      <c r="N1127" s="7" t="e">
        <f>VLOOKUP(F1127,HC!A$6:D$100,3,FALSE)</f>
        <v>#N/A</v>
      </c>
      <c r="O1127" s="7" t="e">
        <f>VLOOKUP(F1127,HC!A$6:D$1000,2,FALSE)</f>
        <v>#N/A</v>
      </c>
      <c r="P1127" t="s">
        <v>661</v>
      </c>
      <c r="Q1127" s="7" t="s">
        <v>681</v>
      </c>
      <c r="U1127">
        <f t="shared" si="19"/>
        <v>1395</v>
      </c>
    </row>
    <row r="1128" spans="1:21" ht="37.5" customHeight="1" x14ac:dyDescent="0.25">
      <c r="A1128" s="23">
        <v>45008</v>
      </c>
      <c r="B1128" s="13">
        <v>12</v>
      </c>
      <c r="C1128" t="s">
        <v>3</v>
      </c>
      <c r="D1128" t="s">
        <v>4</v>
      </c>
      <c r="E1128" t="s">
        <v>21</v>
      </c>
      <c r="F1128" s="6">
        <v>200535448</v>
      </c>
      <c r="G1128" t="s">
        <v>902</v>
      </c>
      <c r="H1128" t="s">
        <v>47</v>
      </c>
      <c r="I1128">
        <v>0</v>
      </c>
      <c r="J1128">
        <v>0</v>
      </c>
      <c r="K1128">
        <v>0</v>
      </c>
      <c r="L1128">
        <v>0</v>
      </c>
      <c r="M1128">
        <v>0.33</v>
      </c>
      <c r="N1128" s="7" t="e">
        <f>VLOOKUP(F1128,HC!A$6:D$100,3,FALSE)</f>
        <v>#N/A</v>
      </c>
      <c r="O1128" s="7" t="e">
        <f>VLOOKUP(F1128,HC!A$6:D$1000,2,FALSE)</f>
        <v>#N/A</v>
      </c>
      <c r="P1128" t="s">
        <v>662</v>
      </c>
      <c r="Q1128" s="7" t="s">
        <v>688</v>
      </c>
      <c r="U1128">
        <f t="shared" si="19"/>
        <v>1395</v>
      </c>
    </row>
    <row r="1129" spans="1:21" ht="37.5" customHeight="1" x14ac:dyDescent="0.25">
      <c r="A1129" s="23">
        <v>45008</v>
      </c>
      <c r="B1129" s="13">
        <v>12</v>
      </c>
      <c r="C1129" t="s">
        <v>3</v>
      </c>
      <c r="D1129" t="s">
        <v>4</v>
      </c>
      <c r="E1129" t="s">
        <v>21</v>
      </c>
      <c r="F1129" s="6">
        <v>200615883</v>
      </c>
      <c r="G1129" t="s">
        <v>508</v>
      </c>
      <c r="H1129" t="s">
        <v>7</v>
      </c>
      <c r="I1129">
        <v>0</v>
      </c>
      <c r="J1129">
        <v>0</v>
      </c>
      <c r="K1129">
        <v>0</v>
      </c>
      <c r="L1129">
        <v>0</v>
      </c>
      <c r="M1129">
        <v>1.53</v>
      </c>
      <c r="N1129" s="7" t="e">
        <f>VLOOKUP(F1129,HC!A$6:D$100,3,FALSE)</f>
        <v>#N/A</v>
      </c>
      <c r="O1129" s="7" t="e">
        <f>VLOOKUP(F1129,HC!A$6:D$1000,2,FALSE)</f>
        <v>#N/A</v>
      </c>
      <c r="P1129" t="s">
        <v>664</v>
      </c>
      <c r="Q1129" s="7" t="s">
        <v>710</v>
      </c>
      <c r="U1129">
        <f t="shared" si="19"/>
        <v>1395</v>
      </c>
    </row>
    <row r="1130" spans="1:21" ht="37.5" customHeight="1" x14ac:dyDescent="0.25">
      <c r="A1130" s="23">
        <v>45008</v>
      </c>
      <c r="B1130" s="13">
        <v>12</v>
      </c>
      <c r="C1130" t="s">
        <v>3</v>
      </c>
      <c r="D1130" t="s">
        <v>4</v>
      </c>
      <c r="E1130" t="s">
        <v>21</v>
      </c>
      <c r="F1130" s="6">
        <v>201186621</v>
      </c>
      <c r="G1130" t="s">
        <v>915</v>
      </c>
      <c r="H1130" t="s">
        <v>298</v>
      </c>
      <c r="I1130">
        <v>0</v>
      </c>
      <c r="J1130">
        <v>0</v>
      </c>
      <c r="K1130">
        <v>0</v>
      </c>
      <c r="L1130">
        <v>0</v>
      </c>
      <c r="M1130">
        <v>0.25</v>
      </c>
      <c r="N1130" s="7" t="e">
        <f>VLOOKUP(F1130,HC!A$6:D$100,3,FALSE)</f>
        <v>#N/A</v>
      </c>
      <c r="O1130" s="7" t="e">
        <f>VLOOKUP(F1130,HC!A$6:D$1000,2,FALSE)</f>
        <v>#N/A</v>
      </c>
      <c r="P1130" t="s">
        <v>661</v>
      </c>
      <c r="Q1130" s="7" t="s">
        <v>681</v>
      </c>
      <c r="U1130">
        <f t="shared" si="19"/>
        <v>1395</v>
      </c>
    </row>
    <row r="1131" spans="1:21" ht="37.5" customHeight="1" x14ac:dyDescent="0.25">
      <c r="A1131" s="23">
        <v>45008</v>
      </c>
      <c r="B1131" s="13">
        <v>12</v>
      </c>
      <c r="C1131" t="s">
        <v>3</v>
      </c>
      <c r="D1131" t="s">
        <v>4</v>
      </c>
      <c r="E1131" t="s">
        <v>21</v>
      </c>
      <c r="F1131" s="6">
        <v>201191390</v>
      </c>
      <c r="G1131" t="s">
        <v>916</v>
      </c>
      <c r="H1131" t="s">
        <v>298</v>
      </c>
      <c r="I1131">
        <v>0</v>
      </c>
      <c r="J1131">
        <v>0</v>
      </c>
      <c r="K1131">
        <v>0</v>
      </c>
      <c r="L1131">
        <v>0</v>
      </c>
      <c r="M1131">
        <v>0.92</v>
      </c>
      <c r="N1131" s="7" t="e">
        <f>VLOOKUP(F1131,HC!A$6:D$100,3,FALSE)</f>
        <v>#N/A</v>
      </c>
      <c r="O1131" s="7" t="str">
        <f>VLOOKUP(F1131,HC!A$6:D$1000,2,FALSE)</f>
        <v>bgajesus</v>
      </c>
      <c r="P1131" t="s">
        <v>661</v>
      </c>
      <c r="Q1131" s="7" t="s">
        <v>681</v>
      </c>
      <c r="U1131">
        <f t="shared" si="19"/>
        <v>37</v>
      </c>
    </row>
    <row r="1132" spans="1:21" ht="37.5" customHeight="1" x14ac:dyDescent="0.25">
      <c r="A1132" s="23">
        <v>45009</v>
      </c>
      <c r="B1132" s="13">
        <v>12</v>
      </c>
      <c r="C1132" t="s">
        <v>3</v>
      </c>
      <c r="D1132" t="s">
        <v>4</v>
      </c>
      <c r="E1132" t="s">
        <v>5</v>
      </c>
      <c r="F1132" s="6">
        <v>112912675</v>
      </c>
      <c r="G1132" t="s">
        <v>326</v>
      </c>
      <c r="H1132" t="s">
        <v>268</v>
      </c>
      <c r="I1132">
        <v>0</v>
      </c>
      <c r="J1132">
        <v>0</v>
      </c>
      <c r="K1132">
        <v>0</v>
      </c>
      <c r="L1132">
        <v>0</v>
      </c>
      <c r="M1132">
        <v>0.27</v>
      </c>
      <c r="N1132" s="7" t="e">
        <f>VLOOKUP(F1132,HC!A$6:D$100,3,FALSE)</f>
        <v>#N/A</v>
      </c>
      <c r="O1132" s="7" t="e">
        <f>VLOOKUP(F1132,HC!A$6:D$1000,2,FALSE)</f>
        <v>#N/A</v>
      </c>
      <c r="P1132" t="s">
        <v>664</v>
      </c>
      <c r="Q1132" s="7" t="s">
        <v>711</v>
      </c>
      <c r="U1132">
        <f t="shared" si="19"/>
        <v>1395</v>
      </c>
    </row>
    <row r="1133" spans="1:21" ht="37.5" customHeight="1" x14ac:dyDescent="0.25">
      <c r="A1133" s="23">
        <v>45009</v>
      </c>
      <c r="B1133" s="13">
        <v>12</v>
      </c>
      <c r="C1133" t="s">
        <v>3</v>
      </c>
      <c r="D1133" t="s">
        <v>4</v>
      </c>
      <c r="E1133" t="s">
        <v>5</v>
      </c>
      <c r="F1133" s="6">
        <v>113003510</v>
      </c>
      <c r="G1133" t="s">
        <v>913</v>
      </c>
      <c r="H1133" t="s">
        <v>7</v>
      </c>
      <c r="I1133">
        <v>0</v>
      </c>
      <c r="J1133">
        <v>0</v>
      </c>
      <c r="K1133">
        <v>0</v>
      </c>
      <c r="L1133">
        <v>0</v>
      </c>
      <c r="M1133">
        <v>0.27</v>
      </c>
      <c r="N1133" s="7" t="e">
        <f>VLOOKUP(F1133,HC!A$6:D$100,3,FALSE)</f>
        <v>#N/A</v>
      </c>
      <c r="O1133" s="7" t="str">
        <f>VLOOKUP(F1133,HC!A$6:D$1000,2,FALSE)</f>
        <v>nperezmc</v>
      </c>
      <c r="P1133" t="s">
        <v>661</v>
      </c>
      <c r="Q1133" s="7" t="s">
        <v>681</v>
      </c>
      <c r="U1133">
        <f t="shared" si="19"/>
        <v>12</v>
      </c>
    </row>
    <row r="1134" spans="1:21" ht="37.5" customHeight="1" x14ac:dyDescent="0.25">
      <c r="A1134" s="23">
        <v>45009</v>
      </c>
      <c r="B1134" s="13">
        <v>12</v>
      </c>
      <c r="C1134" t="s">
        <v>3</v>
      </c>
      <c r="D1134" t="s">
        <v>4</v>
      </c>
      <c r="E1134" t="s">
        <v>5</v>
      </c>
      <c r="F1134" s="6">
        <v>113020667</v>
      </c>
      <c r="G1134" t="s">
        <v>380</v>
      </c>
      <c r="H1134" t="s">
        <v>7</v>
      </c>
      <c r="I1134">
        <v>0</v>
      </c>
      <c r="J1134">
        <v>0</v>
      </c>
      <c r="K1134">
        <v>0</v>
      </c>
      <c r="L1134">
        <v>0</v>
      </c>
      <c r="M1134">
        <v>0.56999999999999995</v>
      </c>
      <c r="N1134" s="7" t="e">
        <f>VLOOKUP(F1134,HC!A$6:D$100,3,FALSE)</f>
        <v>#N/A</v>
      </c>
      <c r="O1134" s="7" t="str">
        <f>VLOOKUP(F1134,HC!A$6:D$1000,2,FALSE)</f>
        <v>mavpauli</v>
      </c>
      <c r="P1134" t="s">
        <v>664</v>
      </c>
      <c r="Q1134" s="7" t="s">
        <v>777</v>
      </c>
      <c r="U1134">
        <f t="shared" si="19"/>
        <v>12</v>
      </c>
    </row>
    <row r="1135" spans="1:21" ht="37.5" customHeight="1" x14ac:dyDescent="0.25">
      <c r="A1135" s="23">
        <v>45009</v>
      </c>
      <c r="B1135" s="13">
        <v>12</v>
      </c>
      <c r="C1135" t="s">
        <v>3</v>
      </c>
      <c r="D1135" t="s">
        <v>4</v>
      </c>
      <c r="E1135" t="s">
        <v>21</v>
      </c>
      <c r="F1135" s="6">
        <v>200625528</v>
      </c>
      <c r="G1135" t="s">
        <v>607</v>
      </c>
      <c r="H1135" t="s">
        <v>47</v>
      </c>
      <c r="I1135">
        <v>0</v>
      </c>
      <c r="J1135">
        <v>0</v>
      </c>
      <c r="K1135">
        <v>0</v>
      </c>
      <c r="L1135">
        <v>0</v>
      </c>
      <c r="M1135">
        <v>0</v>
      </c>
      <c r="N1135" s="7" t="e">
        <f>VLOOKUP(F1135,HC!A$6:D$100,3,FALSE)</f>
        <v>#N/A</v>
      </c>
      <c r="O1135" s="7" t="str">
        <f>VLOOKUP(F1135,HC!A$6:D$1000,2,FALSE)</f>
        <v>olivlizb</v>
      </c>
      <c r="P1135" t="s">
        <v>661</v>
      </c>
      <c r="Q1135" s="7" t="s">
        <v>681</v>
      </c>
      <c r="U1135">
        <f t="shared" si="19"/>
        <v>50</v>
      </c>
    </row>
    <row r="1136" spans="1:21" ht="37.5" customHeight="1" x14ac:dyDescent="0.25">
      <c r="A1136" s="23">
        <v>45009</v>
      </c>
      <c r="B1136" s="13">
        <v>12</v>
      </c>
      <c r="C1136" t="s">
        <v>3</v>
      </c>
      <c r="D1136" t="s">
        <v>4</v>
      </c>
      <c r="E1136" t="s">
        <v>21</v>
      </c>
      <c r="F1136" s="6">
        <v>201191390</v>
      </c>
      <c r="G1136" t="s">
        <v>916</v>
      </c>
      <c r="H1136" t="s">
        <v>298</v>
      </c>
      <c r="I1136">
        <v>0</v>
      </c>
      <c r="J1136">
        <v>0</v>
      </c>
      <c r="K1136">
        <v>0</v>
      </c>
      <c r="L1136">
        <v>0</v>
      </c>
      <c r="M1136">
        <v>0.15</v>
      </c>
      <c r="N1136" s="7" t="e">
        <f>VLOOKUP(F1136,HC!A$6:D$100,3,FALSE)</f>
        <v>#N/A</v>
      </c>
      <c r="O1136" s="7" t="str">
        <f>VLOOKUP(F1136,HC!A$6:D$1000,2,FALSE)</f>
        <v>bgajesus</v>
      </c>
      <c r="P1136" t="s">
        <v>661</v>
      </c>
      <c r="Q1136" s="7" t="s">
        <v>681</v>
      </c>
      <c r="U1136">
        <f t="shared" si="19"/>
        <v>37</v>
      </c>
    </row>
    <row r="1137" spans="1:21" ht="37.5" customHeight="1" x14ac:dyDescent="0.25">
      <c r="A1137" s="23">
        <v>45009</v>
      </c>
      <c r="B1137" s="13">
        <v>12</v>
      </c>
      <c r="C1137" t="s">
        <v>3</v>
      </c>
      <c r="D1137" t="s">
        <v>4</v>
      </c>
      <c r="E1137" t="s">
        <v>21</v>
      </c>
      <c r="F1137" s="6">
        <v>201198890</v>
      </c>
      <c r="G1137" t="s">
        <v>917</v>
      </c>
      <c r="H1137" t="s">
        <v>268</v>
      </c>
      <c r="I1137">
        <v>0</v>
      </c>
      <c r="J1137">
        <v>0</v>
      </c>
      <c r="K1137">
        <v>0</v>
      </c>
      <c r="L1137">
        <v>0</v>
      </c>
      <c r="M1137">
        <v>0.73</v>
      </c>
      <c r="N1137" s="7" t="e">
        <f>VLOOKUP(F1137,HC!A$6:D$100,3,FALSE)</f>
        <v>#N/A</v>
      </c>
      <c r="O1137" s="7" t="e">
        <f>VLOOKUP(F1137,HC!A$6:D$1000,2,FALSE)</f>
        <v>#N/A</v>
      </c>
      <c r="P1137" t="s">
        <v>664</v>
      </c>
      <c r="Q1137" s="7" t="s">
        <v>777</v>
      </c>
      <c r="U1137">
        <f t="shared" si="19"/>
        <v>1395</v>
      </c>
    </row>
    <row r="1138" spans="1:21" ht="37.5" customHeight="1" x14ac:dyDescent="0.25">
      <c r="A1138" s="23">
        <v>45010</v>
      </c>
      <c r="B1138" s="13">
        <v>12</v>
      </c>
      <c r="C1138" t="s">
        <v>3</v>
      </c>
      <c r="D1138" t="s">
        <v>4</v>
      </c>
      <c r="E1138" t="s">
        <v>5</v>
      </c>
      <c r="F1138" s="6">
        <v>112485255</v>
      </c>
      <c r="G1138" t="s">
        <v>844</v>
      </c>
      <c r="H1138" t="s">
        <v>7</v>
      </c>
      <c r="I1138">
        <v>0</v>
      </c>
      <c r="J1138">
        <v>0</v>
      </c>
      <c r="K1138">
        <v>0</v>
      </c>
      <c r="L1138">
        <v>0</v>
      </c>
      <c r="M1138">
        <v>0.51</v>
      </c>
      <c r="N1138" s="7" t="str">
        <f>VLOOKUP(F1138,HC!A$6:D$100,3,FALSE)</f>
        <v>DB-X0700</v>
      </c>
      <c r="O1138" s="7" t="str">
        <f>VLOOKUP(F1138,HC!A$6:D$1000,2,FALSE)</f>
        <v>anacecor</v>
      </c>
      <c r="P1138" t="s">
        <v>661</v>
      </c>
      <c r="Q1138" s="7" t="s">
        <v>684</v>
      </c>
      <c r="U1138">
        <f t="shared" si="19"/>
        <v>2</v>
      </c>
    </row>
    <row r="1139" spans="1:21" ht="37.5" customHeight="1" x14ac:dyDescent="0.25">
      <c r="A1139" s="23">
        <v>45010</v>
      </c>
      <c r="B1139" s="13">
        <v>12</v>
      </c>
      <c r="C1139" t="s">
        <v>3</v>
      </c>
      <c r="D1139" t="s">
        <v>4</v>
      </c>
      <c r="E1139" t="s">
        <v>5</v>
      </c>
      <c r="F1139" s="6">
        <v>112980845</v>
      </c>
      <c r="G1139" t="s">
        <v>431</v>
      </c>
      <c r="H1139" t="s">
        <v>332</v>
      </c>
      <c r="I1139">
        <v>0</v>
      </c>
      <c r="J1139">
        <v>0</v>
      </c>
      <c r="K1139">
        <v>0</v>
      </c>
      <c r="L1139">
        <v>0</v>
      </c>
      <c r="M1139">
        <v>1.24</v>
      </c>
      <c r="N1139" s="7" t="e">
        <f>VLOOKUP(F1139,HC!A$6:D$100,3,FALSE)</f>
        <v>#N/A</v>
      </c>
      <c r="O1139" s="7" t="e">
        <f>VLOOKUP(F1139,HC!A$6:D$1000,2,FALSE)</f>
        <v>#N/A</v>
      </c>
      <c r="P1139" t="s">
        <v>661</v>
      </c>
      <c r="Q1139" s="7" t="s">
        <v>681</v>
      </c>
      <c r="U1139">
        <f t="shared" si="19"/>
        <v>1395</v>
      </c>
    </row>
    <row r="1140" spans="1:21" ht="37.5" customHeight="1" x14ac:dyDescent="0.25">
      <c r="A1140" s="23">
        <v>45010</v>
      </c>
      <c r="B1140" s="13">
        <v>12</v>
      </c>
      <c r="C1140" t="s">
        <v>3</v>
      </c>
      <c r="D1140" t="s">
        <v>4</v>
      </c>
      <c r="E1140" t="s">
        <v>5</v>
      </c>
      <c r="F1140" s="6">
        <v>200463510</v>
      </c>
      <c r="G1140" t="s">
        <v>502</v>
      </c>
      <c r="H1140" t="s">
        <v>298</v>
      </c>
      <c r="I1140">
        <v>0</v>
      </c>
      <c r="J1140">
        <v>0</v>
      </c>
      <c r="K1140">
        <v>0</v>
      </c>
      <c r="L1140">
        <v>0</v>
      </c>
      <c r="M1140">
        <v>0.19</v>
      </c>
      <c r="N1140" s="7" t="e">
        <f>VLOOKUP(F1140,HC!A$6:D$100,3,FALSE)</f>
        <v>#N/A</v>
      </c>
      <c r="O1140" s="7" t="str">
        <f>VLOOKUP(F1140,HC!A$6:D$1000,2,FALSE)</f>
        <v>rodrmacj</v>
      </c>
      <c r="P1140" t="s">
        <v>666</v>
      </c>
      <c r="Q1140" s="7" t="s">
        <v>814</v>
      </c>
      <c r="U1140">
        <f t="shared" si="19"/>
        <v>4</v>
      </c>
    </row>
    <row r="1141" spans="1:21" ht="37.5" customHeight="1" x14ac:dyDescent="0.25">
      <c r="A1141" s="23">
        <v>45011</v>
      </c>
      <c r="B1141" s="13">
        <v>13</v>
      </c>
      <c r="C1141" t="s">
        <v>3</v>
      </c>
      <c r="D1141" t="s">
        <v>4</v>
      </c>
      <c r="E1141" t="s">
        <v>5</v>
      </c>
      <c r="F1141" s="6">
        <v>111434478</v>
      </c>
      <c r="G1141" t="s">
        <v>331</v>
      </c>
      <c r="H1141" t="s">
        <v>253</v>
      </c>
      <c r="I1141">
        <v>0</v>
      </c>
      <c r="J1141">
        <v>0</v>
      </c>
      <c r="K1141">
        <v>0</v>
      </c>
      <c r="L1141">
        <v>0</v>
      </c>
      <c r="M1141">
        <v>0.67</v>
      </c>
      <c r="N1141" s="7" t="str">
        <f>VLOOKUP(F1141,HC!A$6:D$100,3,FALSE)</f>
        <v>DA-X0700</v>
      </c>
      <c r="O1141" s="7" t="str">
        <f>VLOOKUP(F1141,HC!A$6:D$1000,2,FALSE)</f>
        <v>juanapam</v>
      </c>
      <c r="P1141" t="s">
        <v>675</v>
      </c>
      <c r="Q1141" s="7"/>
      <c r="U1141">
        <f t="shared" si="19"/>
        <v>32</v>
      </c>
    </row>
    <row r="1142" spans="1:21" ht="37.5" customHeight="1" x14ac:dyDescent="0.25">
      <c r="A1142" s="23">
        <v>45011</v>
      </c>
      <c r="B1142" s="13">
        <v>13</v>
      </c>
      <c r="C1142" t="s">
        <v>3</v>
      </c>
      <c r="D1142" t="s">
        <v>4</v>
      </c>
      <c r="E1142" t="s">
        <v>5</v>
      </c>
      <c r="F1142" s="6">
        <v>112912071</v>
      </c>
      <c r="G1142" t="s">
        <v>918</v>
      </c>
      <c r="H1142" t="s">
        <v>44</v>
      </c>
      <c r="I1142">
        <v>0</v>
      </c>
      <c r="J1142">
        <v>0</v>
      </c>
      <c r="K1142">
        <v>0</v>
      </c>
      <c r="L1142">
        <v>0</v>
      </c>
      <c r="M1142">
        <v>0.36</v>
      </c>
      <c r="N1142" s="7" t="e">
        <f>VLOOKUP(F1142,HC!A$6:D$100,3,FALSE)</f>
        <v>#N/A</v>
      </c>
      <c r="O1142" s="7" t="e">
        <f>VLOOKUP(F1142,HC!A$6:D$1000,2,FALSE)</f>
        <v>#N/A</v>
      </c>
      <c r="P1142" t="s">
        <v>670</v>
      </c>
      <c r="Q1142" s="7" t="s">
        <v>764</v>
      </c>
      <c r="U1142">
        <f t="shared" si="19"/>
        <v>1395</v>
      </c>
    </row>
    <row r="1143" spans="1:21" ht="37.5" customHeight="1" x14ac:dyDescent="0.25">
      <c r="A1143" s="23">
        <v>45011</v>
      </c>
      <c r="B1143" s="13">
        <v>13</v>
      </c>
      <c r="C1143" t="s">
        <v>3</v>
      </c>
      <c r="D1143" t="s">
        <v>4</v>
      </c>
      <c r="E1143" t="s">
        <v>5</v>
      </c>
      <c r="F1143" s="6">
        <v>112912663</v>
      </c>
      <c r="G1143" t="s">
        <v>8</v>
      </c>
      <c r="H1143" t="s">
        <v>403</v>
      </c>
      <c r="I1143">
        <v>0</v>
      </c>
      <c r="J1143">
        <v>0</v>
      </c>
      <c r="K1143">
        <v>0</v>
      </c>
      <c r="L1143">
        <v>0</v>
      </c>
      <c r="M1143">
        <v>0.06</v>
      </c>
      <c r="N1143" s="7" t="e">
        <f>VLOOKUP(F1143,HC!A$6:D$100,3,FALSE)</f>
        <v>#N/A</v>
      </c>
      <c r="O1143" s="7" t="e">
        <f>VLOOKUP(F1143,HC!A$6:D$1000,2,FALSE)</f>
        <v>#N/A</v>
      </c>
      <c r="P1143" t="s">
        <v>662</v>
      </c>
      <c r="Q1143" s="7" t="s">
        <v>757</v>
      </c>
      <c r="U1143">
        <f t="shared" si="19"/>
        <v>1395</v>
      </c>
    </row>
    <row r="1144" spans="1:21" ht="37.5" customHeight="1" x14ac:dyDescent="0.25">
      <c r="A1144" s="23">
        <v>45011</v>
      </c>
      <c r="B1144" s="13">
        <v>13</v>
      </c>
      <c r="C1144" t="s">
        <v>3</v>
      </c>
      <c r="D1144" t="s">
        <v>4</v>
      </c>
      <c r="E1144" t="s">
        <v>5</v>
      </c>
      <c r="F1144" s="6">
        <v>112950784</v>
      </c>
      <c r="G1144" t="s">
        <v>261</v>
      </c>
      <c r="H1144" t="s">
        <v>285</v>
      </c>
      <c r="I1144">
        <v>0</v>
      </c>
      <c r="J1144">
        <v>0</v>
      </c>
      <c r="K1144">
        <v>0</v>
      </c>
      <c r="L1144">
        <v>0</v>
      </c>
      <c r="M1144">
        <v>0.13</v>
      </c>
      <c r="N1144" s="7" t="str">
        <f>VLOOKUP(F1144,HC!A$6:D$100,3,FALSE)</f>
        <v>NF-X1900</v>
      </c>
      <c r="O1144" s="7" t="str">
        <f>VLOOKUP(F1144,HC!A$6:D$1000,2,FALSE)</f>
        <v>sarojast</v>
      </c>
      <c r="P1144" t="s">
        <v>661</v>
      </c>
      <c r="Q1144" s="7" t="s">
        <v>681</v>
      </c>
      <c r="U1144">
        <f t="shared" si="19"/>
        <v>33</v>
      </c>
    </row>
    <row r="1145" spans="1:21" ht="37.5" customHeight="1" x14ac:dyDescent="0.25">
      <c r="A1145" s="23">
        <v>45011</v>
      </c>
      <c r="B1145" s="13">
        <v>13</v>
      </c>
      <c r="C1145" t="s">
        <v>3</v>
      </c>
      <c r="D1145" t="s">
        <v>4</v>
      </c>
      <c r="E1145" t="s">
        <v>5</v>
      </c>
      <c r="F1145" s="6">
        <v>112950802</v>
      </c>
      <c r="G1145" t="s">
        <v>416</v>
      </c>
      <c r="H1145" t="s">
        <v>282</v>
      </c>
      <c r="I1145">
        <v>0</v>
      </c>
      <c r="J1145">
        <v>0</v>
      </c>
      <c r="K1145">
        <v>0</v>
      </c>
      <c r="L1145">
        <v>0</v>
      </c>
      <c r="M1145">
        <v>0.2</v>
      </c>
      <c r="N1145" s="7" t="e">
        <f>VLOOKUP(F1145,HC!A$6:D$100,3,FALSE)</f>
        <v>#N/A</v>
      </c>
      <c r="O1145" s="7" t="e">
        <f>VLOOKUP(F1145,HC!A$6:D$1000,2,FALSE)</f>
        <v>#N/A</v>
      </c>
      <c r="P1145" t="s">
        <v>664</v>
      </c>
      <c r="Q1145" s="7" t="s">
        <v>710</v>
      </c>
      <c r="U1145">
        <f t="shared" si="19"/>
        <v>1395</v>
      </c>
    </row>
    <row r="1146" spans="1:21" ht="37.5" customHeight="1" x14ac:dyDescent="0.25">
      <c r="A1146" s="23">
        <v>45011</v>
      </c>
      <c r="B1146" s="13">
        <v>13</v>
      </c>
      <c r="C1146" t="s">
        <v>3</v>
      </c>
      <c r="D1146" t="s">
        <v>4</v>
      </c>
      <c r="E1146" t="s">
        <v>5</v>
      </c>
      <c r="F1146" s="6">
        <v>112980843</v>
      </c>
      <c r="G1146" t="s">
        <v>619</v>
      </c>
      <c r="H1146" t="s">
        <v>44</v>
      </c>
      <c r="I1146">
        <v>0</v>
      </c>
      <c r="J1146">
        <v>0</v>
      </c>
      <c r="K1146">
        <v>0</v>
      </c>
      <c r="L1146">
        <v>0</v>
      </c>
      <c r="M1146">
        <v>0.78</v>
      </c>
      <c r="N1146" s="7" t="str">
        <f>VLOOKUP(F1146,HC!A$6:D$100,3,FALSE)</f>
        <v>DA-X0700</v>
      </c>
      <c r="O1146" s="7" t="str">
        <f>VLOOKUP(F1146,HC!A$6:D$1000,2,FALSE)</f>
        <v>lsisrael</v>
      </c>
      <c r="P1146" t="s">
        <v>664</v>
      </c>
      <c r="Q1146" s="7" t="s">
        <v>761</v>
      </c>
      <c r="U1146">
        <f t="shared" si="19"/>
        <v>10</v>
      </c>
    </row>
    <row r="1147" spans="1:21" ht="37.5" customHeight="1" x14ac:dyDescent="0.25">
      <c r="A1147" s="23">
        <v>45011</v>
      </c>
      <c r="B1147" s="13">
        <v>13</v>
      </c>
      <c r="C1147" t="s">
        <v>3</v>
      </c>
      <c r="D1147" t="s">
        <v>4</v>
      </c>
      <c r="E1147" t="s">
        <v>5</v>
      </c>
      <c r="F1147" s="6">
        <v>112981013</v>
      </c>
      <c r="G1147" t="s">
        <v>283</v>
      </c>
      <c r="H1147" t="s">
        <v>44</v>
      </c>
      <c r="I1147">
        <v>0</v>
      </c>
      <c r="J1147">
        <v>0</v>
      </c>
      <c r="K1147">
        <v>0</v>
      </c>
      <c r="L1147">
        <v>0</v>
      </c>
      <c r="M1147">
        <v>0.4</v>
      </c>
      <c r="N1147" s="7" t="str">
        <f>VLOOKUP(F1147,HC!A$6:D$100,3,FALSE)</f>
        <v>DA-X0700</v>
      </c>
      <c r="O1147" s="7" t="str">
        <f>VLOOKUP(F1147,HC!A$6:D$1000,2,FALSE)</f>
        <v>normaelo</v>
      </c>
      <c r="P1147" t="s">
        <v>664</v>
      </c>
      <c r="Q1147" s="7" t="s">
        <v>709</v>
      </c>
      <c r="U1147">
        <f t="shared" si="19"/>
        <v>24</v>
      </c>
    </row>
    <row r="1148" spans="1:21" ht="37.5" customHeight="1" x14ac:dyDescent="0.25">
      <c r="A1148" s="23">
        <v>45011</v>
      </c>
      <c r="B1148" s="13">
        <v>13</v>
      </c>
      <c r="C1148" t="s">
        <v>3</v>
      </c>
      <c r="D1148" t="s">
        <v>4</v>
      </c>
      <c r="E1148" t="s">
        <v>5</v>
      </c>
      <c r="F1148" s="6">
        <v>200408196</v>
      </c>
      <c r="G1148" t="s">
        <v>627</v>
      </c>
      <c r="H1148" t="s">
        <v>285</v>
      </c>
      <c r="I1148">
        <v>0</v>
      </c>
      <c r="J1148">
        <v>0</v>
      </c>
      <c r="K1148">
        <v>0</v>
      </c>
      <c r="L1148">
        <v>0</v>
      </c>
      <c r="M1148">
        <v>0.9</v>
      </c>
      <c r="N1148" s="7" t="e">
        <f>VLOOKUP(F1148,HC!A$6:D$100,3,FALSE)</f>
        <v>#N/A</v>
      </c>
      <c r="O1148" s="7" t="e">
        <f>VLOOKUP(F1148,HC!A$6:D$1000,2,FALSE)</f>
        <v>#N/A</v>
      </c>
      <c r="P1148" t="s">
        <v>662</v>
      </c>
      <c r="Q1148" s="7" t="s">
        <v>757</v>
      </c>
      <c r="U1148">
        <f t="shared" si="19"/>
        <v>1395</v>
      </c>
    </row>
    <row r="1149" spans="1:21" ht="37.5" customHeight="1" x14ac:dyDescent="0.25">
      <c r="A1149" s="23">
        <v>45011</v>
      </c>
      <c r="B1149" s="13">
        <v>13</v>
      </c>
      <c r="C1149" t="s">
        <v>3</v>
      </c>
      <c r="D1149" t="s">
        <v>4</v>
      </c>
      <c r="E1149" t="s">
        <v>21</v>
      </c>
      <c r="F1149" s="6">
        <v>200509428</v>
      </c>
      <c r="G1149" t="s">
        <v>272</v>
      </c>
      <c r="H1149" t="s">
        <v>49</v>
      </c>
      <c r="I1149">
        <v>0</v>
      </c>
      <c r="J1149">
        <v>0</v>
      </c>
      <c r="K1149">
        <v>0</v>
      </c>
      <c r="L1149">
        <v>0</v>
      </c>
      <c r="M1149">
        <v>0.81</v>
      </c>
      <c r="N1149" s="7" t="e">
        <f>VLOOKUP(F1149,HC!A$6:D$100,3,FALSE)</f>
        <v>#N/A</v>
      </c>
      <c r="O1149" s="7" t="e">
        <f>VLOOKUP(F1149,HC!A$6:D$1000,2,FALSE)</f>
        <v>#N/A</v>
      </c>
      <c r="P1149" t="s">
        <v>669</v>
      </c>
      <c r="Q1149" s="7" t="s">
        <v>734</v>
      </c>
      <c r="U1149">
        <f t="shared" si="19"/>
        <v>1395</v>
      </c>
    </row>
    <row r="1150" spans="1:21" ht="37.5" customHeight="1" x14ac:dyDescent="0.25">
      <c r="A1150" s="23">
        <v>45011</v>
      </c>
      <c r="B1150" s="13">
        <v>13</v>
      </c>
      <c r="C1150" t="s">
        <v>3</v>
      </c>
      <c r="D1150" t="s">
        <v>4</v>
      </c>
      <c r="E1150" t="s">
        <v>21</v>
      </c>
      <c r="F1150" s="6">
        <v>200620341</v>
      </c>
      <c r="G1150" t="s">
        <v>255</v>
      </c>
      <c r="H1150" t="s">
        <v>47</v>
      </c>
      <c r="I1150">
        <v>0</v>
      </c>
      <c r="J1150">
        <v>0</v>
      </c>
      <c r="K1150">
        <v>0</v>
      </c>
      <c r="L1150">
        <v>0</v>
      </c>
      <c r="M1150">
        <v>0.17</v>
      </c>
      <c r="N1150" s="7" t="e">
        <f>VLOOKUP(F1150,HC!A$6:D$100,3,FALSE)</f>
        <v>#N/A</v>
      </c>
      <c r="O1150" s="7" t="e">
        <f>VLOOKUP(F1150,HC!A$6:D$1000,2,FALSE)</f>
        <v>#N/A</v>
      </c>
      <c r="P1150" t="s">
        <v>664</v>
      </c>
      <c r="Q1150" s="7" t="s">
        <v>709</v>
      </c>
      <c r="U1150">
        <f t="shared" si="19"/>
        <v>1395</v>
      </c>
    </row>
    <row r="1151" spans="1:21" ht="37.5" customHeight="1" x14ac:dyDescent="0.25">
      <c r="A1151" s="23">
        <v>45011</v>
      </c>
      <c r="B1151" s="13">
        <v>13</v>
      </c>
      <c r="C1151" t="s">
        <v>3</v>
      </c>
      <c r="D1151" t="s">
        <v>4</v>
      </c>
      <c r="E1151" t="s">
        <v>21</v>
      </c>
      <c r="F1151" s="6">
        <v>201205615</v>
      </c>
      <c r="G1151" t="s">
        <v>919</v>
      </c>
      <c r="H1151" t="s">
        <v>44</v>
      </c>
      <c r="I1151">
        <v>0</v>
      </c>
      <c r="J1151">
        <v>0</v>
      </c>
      <c r="K1151">
        <v>0</v>
      </c>
      <c r="L1151">
        <v>0</v>
      </c>
      <c r="M1151">
        <v>0.13</v>
      </c>
      <c r="N1151" s="7" t="e">
        <f>VLOOKUP(F1151,HC!A$6:D$100,3,FALSE)</f>
        <v>#N/A</v>
      </c>
      <c r="O1151" s="7" t="e">
        <f>VLOOKUP(F1151,HC!A$6:D$1000,2,FALSE)</f>
        <v>#N/A</v>
      </c>
      <c r="P1151" t="s">
        <v>664</v>
      </c>
      <c r="Q1151" s="7" t="s">
        <v>717</v>
      </c>
      <c r="U1151">
        <f t="shared" si="19"/>
        <v>1395</v>
      </c>
    </row>
    <row r="1152" spans="1:21" ht="37.5" customHeight="1" x14ac:dyDescent="0.25">
      <c r="A1152" s="23">
        <v>45012</v>
      </c>
      <c r="B1152" s="13">
        <v>13</v>
      </c>
      <c r="C1152" t="s">
        <v>3</v>
      </c>
      <c r="D1152" t="s">
        <v>4</v>
      </c>
      <c r="E1152" t="s">
        <v>5</v>
      </c>
      <c r="F1152" s="6">
        <v>103979960</v>
      </c>
      <c r="G1152" t="s">
        <v>372</v>
      </c>
      <c r="H1152" t="s">
        <v>49</v>
      </c>
      <c r="I1152">
        <v>0</v>
      </c>
      <c r="J1152">
        <v>0</v>
      </c>
      <c r="K1152">
        <v>0</v>
      </c>
      <c r="L1152">
        <v>0</v>
      </c>
      <c r="M1152">
        <v>1.3</v>
      </c>
      <c r="N1152" s="7" t="e">
        <f>VLOOKUP(F1152,HC!A$6:D$100,3,FALSE)</f>
        <v>#N/A</v>
      </c>
      <c r="O1152" s="7" t="e">
        <f>VLOOKUP(F1152,HC!A$6:D$1000,2,FALSE)</f>
        <v>#N/A</v>
      </c>
      <c r="P1152" t="s">
        <v>661</v>
      </c>
      <c r="Q1152" s="7" t="s">
        <v>681</v>
      </c>
      <c r="U1152">
        <f t="shared" si="19"/>
        <v>1395</v>
      </c>
    </row>
    <row r="1153" spans="1:21" ht="37.5" customHeight="1" x14ac:dyDescent="0.25">
      <c r="A1153" s="23">
        <v>45012</v>
      </c>
      <c r="B1153" s="13">
        <v>13</v>
      </c>
      <c r="C1153" t="s">
        <v>3</v>
      </c>
      <c r="D1153" t="s">
        <v>4</v>
      </c>
      <c r="E1153" t="s">
        <v>21</v>
      </c>
      <c r="F1153" s="6">
        <v>110530105</v>
      </c>
      <c r="G1153" t="s">
        <v>920</v>
      </c>
      <c r="H1153" t="s">
        <v>44</v>
      </c>
      <c r="I1153">
        <v>0</v>
      </c>
      <c r="J1153">
        <v>0</v>
      </c>
      <c r="K1153">
        <v>0</v>
      </c>
      <c r="L1153">
        <v>0</v>
      </c>
      <c r="M1153">
        <v>0.65</v>
      </c>
      <c r="N1153" s="7" t="e">
        <f>VLOOKUP(F1153,HC!A$6:D$100,3,FALSE)</f>
        <v>#N/A</v>
      </c>
      <c r="O1153" s="7" t="e">
        <f>VLOOKUP(F1153,HC!A$6:D$1000,2,FALSE)</f>
        <v>#N/A</v>
      </c>
      <c r="P1153" t="s">
        <v>664</v>
      </c>
      <c r="Q1153" s="7" t="s">
        <v>709</v>
      </c>
      <c r="U1153">
        <f t="shared" si="19"/>
        <v>1395</v>
      </c>
    </row>
    <row r="1154" spans="1:21" ht="37.5" customHeight="1" x14ac:dyDescent="0.25">
      <c r="A1154" s="23">
        <v>45012</v>
      </c>
      <c r="B1154" s="13">
        <v>13</v>
      </c>
      <c r="C1154" t="s">
        <v>3</v>
      </c>
      <c r="D1154" t="s">
        <v>4</v>
      </c>
      <c r="E1154" t="s">
        <v>21</v>
      </c>
      <c r="F1154" s="6">
        <v>112912067</v>
      </c>
      <c r="G1154" t="s">
        <v>921</v>
      </c>
      <c r="H1154" t="s">
        <v>49</v>
      </c>
      <c r="I1154">
        <v>0</v>
      </c>
      <c r="J1154">
        <v>0</v>
      </c>
      <c r="K1154">
        <v>0</v>
      </c>
      <c r="L1154">
        <v>0</v>
      </c>
      <c r="M1154">
        <v>0.43</v>
      </c>
      <c r="N1154" s="7" t="e">
        <f>VLOOKUP(F1154,HC!A$6:D$100,3,FALSE)</f>
        <v>#N/A</v>
      </c>
      <c r="O1154" s="7" t="e">
        <f>VLOOKUP(F1154,HC!A$6:D$1000,2,FALSE)</f>
        <v>#N/A</v>
      </c>
      <c r="P1154" t="s">
        <v>663</v>
      </c>
      <c r="Q1154" s="7" t="s">
        <v>804</v>
      </c>
      <c r="U1154">
        <f t="shared" si="19"/>
        <v>1395</v>
      </c>
    </row>
    <row r="1155" spans="1:21" ht="37.5" customHeight="1" x14ac:dyDescent="0.25">
      <c r="A1155" s="23">
        <v>45012</v>
      </c>
      <c r="B1155" s="13">
        <v>13</v>
      </c>
      <c r="C1155" t="s">
        <v>3</v>
      </c>
      <c r="D1155" t="s">
        <v>4</v>
      </c>
      <c r="E1155" t="s">
        <v>5</v>
      </c>
      <c r="F1155" s="6">
        <v>113004017</v>
      </c>
      <c r="G1155" t="s">
        <v>922</v>
      </c>
      <c r="H1155" t="s">
        <v>7</v>
      </c>
      <c r="I1155">
        <v>0</v>
      </c>
      <c r="J1155">
        <v>0</v>
      </c>
      <c r="K1155">
        <v>0</v>
      </c>
      <c r="L1155">
        <v>0</v>
      </c>
      <c r="M1155">
        <v>0.57999999999999996</v>
      </c>
      <c r="N1155" s="7" t="e">
        <f>VLOOKUP(F1155,HC!A$6:D$100,3,FALSE)</f>
        <v>#N/A</v>
      </c>
      <c r="O1155" s="7" t="e">
        <f>VLOOKUP(F1155,HC!A$6:D$1000,2,FALSE)</f>
        <v>#N/A</v>
      </c>
      <c r="P1155" t="s">
        <v>670</v>
      </c>
      <c r="Q1155" s="7" t="s">
        <v>748</v>
      </c>
      <c r="U1155">
        <f t="shared" ref="U1155:U1218" si="20">COUNTIF(O$2:O$4999,O1155)</f>
        <v>1395</v>
      </c>
    </row>
    <row r="1156" spans="1:21" ht="37.5" customHeight="1" x14ac:dyDescent="0.25">
      <c r="A1156" s="23">
        <v>45012</v>
      </c>
      <c r="B1156" s="13">
        <v>13</v>
      </c>
      <c r="C1156" t="s">
        <v>3</v>
      </c>
      <c r="D1156" t="s">
        <v>4</v>
      </c>
      <c r="E1156" t="s">
        <v>5</v>
      </c>
      <c r="F1156" s="6">
        <v>113014113</v>
      </c>
      <c r="G1156" t="s">
        <v>269</v>
      </c>
      <c r="H1156" t="s">
        <v>49</v>
      </c>
      <c r="I1156">
        <v>0</v>
      </c>
      <c r="J1156">
        <v>0</v>
      </c>
      <c r="K1156">
        <v>0</v>
      </c>
      <c r="L1156">
        <v>0</v>
      </c>
      <c r="M1156">
        <v>0.71</v>
      </c>
      <c r="N1156" s="7" t="e">
        <f>VLOOKUP(F1156,HC!A$6:D$100,3,FALSE)</f>
        <v>#N/A</v>
      </c>
      <c r="O1156" s="7" t="e">
        <f>VLOOKUP(F1156,HC!A$6:D$1000,2,FALSE)</f>
        <v>#N/A</v>
      </c>
      <c r="P1156" t="s">
        <v>664</v>
      </c>
      <c r="Q1156" s="7" t="s">
        <v>708</v>
      </c>
      <c r="U1156">
        <f t="shared" si="20"/>
        <v>1395</v>
      </c>
    </row>
    <row r="1157" spans="1:21" ht="37.5" customHeight="1" x14ac:dyDescent="0.25">
      <c r="A1157" s="23">
        <v>45012</v>
      </c>
      <c r="B1157" s="13">
        <v>13</v>
      </c>
      <c r="C1157" t="s">
        <v>3</v>
      </c>
      <c r="D1157" t="s">
        <v>4</v>
      </c>
      <c r="E1157" t="s">
        <v>5</v>
      </c>
      <c r="F1157" s="6">
        <v>113014403</v>
      </c>
      <c r="G1157" t="s">
        <v>373</v>
      </c>
      <c r="H1157" t="s">
        <v>285</v>
      </c>
      <c r="I1157">
        <v>0</v>
      </c>
      <c r="J1157">
        <v>0</v>
      </c>
      <c r="K1157">
        <v>0</v>
      </c>
      <c r="L1157">
        <v>0</v>
      </c>
      <c r="M1157">
        <v>0.68</v>
      </c>
      <c r="N1157" s="7" t="e">
        <f>VLOOKUP(F1157,HC!A$6:D$100,3,FALSE)</f>
        <v>#N/A</v>
      </c>
      <c r="O1157" s="7" t="str">
        <f>VLOOKUP(F1157,HC!A$6:D$1000,2,FALSE)</f>
        <v>wnoraria</v>
      </c>
      <c r="P1157" t="s">
        <v>664</v>
      </c>
      <c r="Q1157" s="7" t="s">
        <v>709</v>
      </c>
      <c r="U1157">
        <f t="shared" si="20"/>
        <v>23</v>
      </c>
    </row>
    <row r="1158" spans="1:21" ht="37.5" customHeight="1" x14ac:dyDescent="0.25">
      <c r="A1158" s="23">
        <v>45012</v>
      </c>
      <c r="B1158" s="13">
        <v>13</v>
      </c>
      <c r="C1158" t="s">
        <v>3</v>
      </c>
      <c r="D1158" t="s">
        <v>4</v>
      </c>
      <c r="E1158" t="s">
        <v>5</v>
      </c>
      <c r="F1158" s="6">
        <v>200404250</v>
      </c>
      <c r="G1158" t="s">
        <v>51</v>
      </c>
      <c r="H1158" t="s">
        <v>285</v>
      </c>
      <c r="I1158">
        <v>0</v>
      </c>
      <c r="J1158">
        <v>0</v>
      </c>
      <c r="K1158">
        <v>0</v>
      </c>
      <c r="L1158">
        <v>0</v>
      </c>
      <c r="M1158">
        <v>0.4</v>
      </c>
      <c r="N1158" s="7" t="e">
        <f>VLOOKUP(F1158,HC!A$6:D$100,3,FALSE)</f>
        <v>#N/A</v>
      </c>
      <c r="O1158" s="7" t="str">
        <f>VLOOKUP(F1158,HC!A$6:D$1000,2,FALSE)</f>
        <v>xcathurt</v>
      </c>
      <c r="P1158" t="s">
        <v>662</v>
      </c>
      <c r="Q1158" s="7" t="s">
        <v>785</v>
      </c>
      <c r="U1158">
        <f t="shared" si="20"/>
        <v>124</v>
      </c>
    </row>
    <row r="1159" spans="1:21" ht="37.5" customHeight="1" x14ac:dyDescent="0.25">
      <c r="A1159" s="23">
        <v>45012</v>
      </c>
      <c r="B1159" s="13">
        <v>13</v>
      </c>
      <c r="C1159" t="s">
        <v>3</v>
      </c>
      <c r="D1159" t="s">
        <v>4</v>
      </c>
      <c r="E1159" t="s">
        <v>21</v>
      </c>
      <c r="F1159" s="6">
        <v>200564895</v>
      </c>
      <c r="G1159" t="s">
        <v>520</v>
      </c>
      <c r="H1159" t="s">
        <v>49</v>
      </c>
      <c r="I1159">
        <v>0</v>
      </c>
      <c r="J1159">
        <v>0</v>
      </c>
      <c r="K1159">
        <v>0</v>
      </c>
      <c r="L1159">
        <v>0</v>
      </c>
      <c r="M1159">
        <v>0.37</v>
      </c>
      <c r="N1159" s="7" t="e">
        <f>VLOOKUP(F1159,HC!A$6:D$100,3,FALSE)</f>
        <v>#N/A</v>
      </c>
      <c r="O1159" s="7" t="str">
        <f>VLOOKUP(F1159,HC!A$6:D$1000,2,FALSE)</f>
        <v>hmendobr</v>
      </c>
      <c r="P1159" t="s">
        <v>662</v>
      </c>
      <c r="Q1159" s="7" t="s">
        <v>687</v>
      </c>
      <c r="U1159">
        <f t="shared" si="20"/>
        <v>16</v>
      </c>
    </row>
    <row r="1160" spans="1:21" ht="37.5" customHeight="1" x14ac:dyDescent="0.25">
      <c r="A1160" s="23">
        <v>45012</v>
      </c>
      <c r="B1160" s="13">
        <v>13</v>
      </c>
      <c r="C1160" t="s">
        <v>3</v>
      </c>
      <c r="D1160" t="s">
        <v>4</v>
      </c>
      <c r="E1160" t="s">
        <v>21</v>
      </c>
      <c r="F1160" s="6">
        <v>200565197</v>
      </c>
      <c r="G1160" t="s">
        <v>389</v>
      </c>
      <c r="H1160" t="s">
        <v>285</v>
      </c>
      <c r="I1160">
        <v>0</v>
      </c>
      <c r="J1160">
        <v>0</v>
      </c>
      <c r="K1160">
        <v>0</v>
      </c>
      <c r="L1160">
        <v>0</v>
      </c>
      <c r="M1160">
        <v>0.24</v>
      </c>
      <c r="N1160" s="7" t="e">
        <f>VLOOKUP(F1160,HC!A$6:D$100,3,FALSE)</f>
        <v>#N/A</v>
      </c>
      <c r="O1160" s="7" t="e">
        <f>VLOOKUP(F1160,HC!A$6:D$1000,2,FALSE)</f>
        <v>#N/A</v>
      </c>
      <c r="P1160" t="s">
        <v>662</v>
      </c>
      <c r="Q1160" s="7" t="s">
        <v>688</v>
      </c>
      <c r="U1160">
        <f t="shared" si="20"/>
        <v>1395</v>
      </c>
    </row>
    <row r="1161" spans="1:21" ht="37.5" customHeight="1" x14ac:dyDescent="0.25">
      <c r="A1161" s="23">
        <v>45012</v>
      </c>
      <c r="B1161" s="13">
        <v>13</v>
      </c>
      <c r="C1161" t="s">
        <v>3</v>
      </c>
      <c r="D1161" t="s">
        <v>4</v>
      </c>
      <c r="E1161" t="s">
        <v>21</v>
      </c>
      <c r="F1161" s="6">
        <v>200589316</v>
      </c>
      <c r="G1161" t="s">
        <v>53</v>
      </c>
      <c r="H1161" t="s">
        <v>7</v>
      </c>
      <c r="I1161">
        <v>0</v>
      </c>
      <c r="J1161">
        <v>0</v>
      </c>
      <c r="K1161">
        <v>0</v>
      </c>
      <c r="L1161">
        <v>0</v>
      </c>
      <c r="M1161">
        <v>0.93</v>
      </c>
      <c r="N1161" s="7" t="e">
        <f>VLOOKUP(F1161,HC!A$6:D$100,3,FALSE)</f>
        <v>#N/A</v>
      </c>
      <c r="O1161" s="7" t="e">
        <f>VLOOKUP(F1161,HC!A$6:D$1000,2,FALSE)</f>
        <v>#N/A</v>
      </c>
      <c r="P1161" t="s">
        <v>664</v>
      </c>
      <c r="Q1161" s="7" t="s">
        <v>710</v>
      </c>
      <c r="U1161">
        <f t="shared" si="20"/>
        <v>1395</v>
      </c>
    </row>
    <row r="1162" spans="1:21" ht="37.5" customHeight="1" x14ac:dyDescent="0.25">
      <c r="A1162" s="23">
        <v>45013</v>
      </c>
      <c r="B1162" s="13">
        <v>13</v>
      </c>
      <c r="C1162" t="s">
        <v>3</v>
      </c>
      <c r="D1162" t="s">
        <v>4</v>
      </c>
      <c r="E1162" t="s">
        <v>5</v>
      </c>
      <c r="F1162" s="6">
        <v>111434478</v>
      </c>
      <c r="G1162" t="s">
        <v>331</v>
      </c>
      <c r="H1162" t="s">
        <v>253</v>
      </c>
      <c r="I1162">
        <v>0</v>
      </c>
      <c r="J1162">
        <v>0</v>
      </c>
      <c r="K1162">
        <v>0</v>
      </c>
      <c r="L1162">
        <v>0</v>
      </c>
      <c r="M1162">
        <v>1.41</v>
      </c>
      <c r="N1162" s="7" t="str">
        <f>VLOOKUP(F1162,HC!A$6:D$100,3,FALSE)</f>
        <v>DA-X0700</v>
      </c>
      <c r="O1162" s="7" t="str">
        <f>VLOOKUP(F1162,HC!A$6:D$1000,2,FALSE)</f>
        <v>juanapam</v>
      </c>
      <c r="P1162" t="s">
        <v>675</v>
      </c>
      <c r="Q1162" s="7" t="s">
        <v>711</v>
      </c>
      <c r="R1162" t="s">
        <v>632</v>
      </c>
      <c r="U1162">
        <f t="shared" si="20"/>
        <v>32</v>
      </c>
    </row>
    <row r="1163" spans="1:21" ht="37.5" customHeight="1" x14ac:dyDescent="0.25">
      <c r="A1163" s="23">
        <v>45013</v>
      </c>
      <c r="B1163" s="13">
        <v>13</v>
      </c>
      <c r="C1163" t="s">
        <v>3</v>
      </c>
      <c r="D1163" t="s">
        <v>4</v>
      </c>
      <c r="E1163" t="s">
        <v>5</v>
      </c>
      <c r="F1163" s="6">
        <v>112912008</v>
      </c>
      <c r="G1163" t="s">
        <v>249</v>
      </c>
      <c r="H1163" t="s">
        <v>250</v>
      </c>
      <c r="I1163">
        <v>0</v>
      </c>
      <c r="J1163">
        <v>0</v>
      </c>
      <c r="K1163">
        <v>0</v>
      </c>
      <c r="L1163">
        <v>0</v>
      </c>
      <c r="M1163">
        <v>0.8</v>
      </c>
      <c r="N1163" s="7" t="e">
        <f>VLOOKUP(F1163,HC!A$6:D$100,3,FALSE)</f>
        <v>#N/A</v>
      </c>
      <c r="O1163" s="7" t="e">
        <f>VLOOKUP(F1163,HC!A$6:D$1000,2,FALSE)</f>
        <v>#N/A</v>
      </c>
      <c r="P1163" t="s">
        <v>664</v>
      </c>
      <c r="Q1163" s="7" t="s">
        <v>709</v>
      </c>
      <c r="R1163" t="s">
        <v>926</v>
      </c>
      <c r="U1163">
        <f t="shared" si="20"/>
        <v>1395</v>
      </c>
    </row>
    <row r="1164" spans="1:21" ht="37.5" customHeight="1" x14ac:dyDescent="0.25">
      <c r="A1164" s="23">
        <v>45013</v>
      </c>
      <c r="B1164" s="13">
        <v>13</v>
      </c>
      <c r="C1164" t="s">
        <v>3</v>
      </c>
      <c r="D1164" t="s">
        <v>4</v>
      </c>
      <c r="E1164" t="s">
        <v>5</v>
      </c>
      <c r="F1164" s="6">
        <v>112912163</v>
      </c>
      <c r="G1164" t="s">
        <v>294</v>
      </c>
      <c r="H1164" t="s">
        <v>285</v>
      </c>
      <c r="I1164">
        <v>0</v>
      </c>
      <c r="J1164">
        <v>0</v>
      </c>
      <c r="K1164">
        <v>0</v>
      </c>
      <c r="L1164">
        <v>0</v>
      </c>
      <c r="M1164">
        <v>0.62</v>
      </c>
      <c r="N1164" s="7" t="e">
        <f>VLOOKUP(F1164,HC!A$6:D$100,3,FALSE)</f>
        <v>#N/A</v>
      </c>
      <c r="O1164" s="7" t="e">
        <f>VLOOKUP(F1164,HC!A$6:D$1000,2,FALSE)</f>
        <v>#N/A</v>
      </c>
      <c r="P1164" t="s">
        <v>664</v>
      </c>
      <c r="Q1164" s="7" t="s">
        <v>777</v>
      </c>
      <c r="U1164">
        <f t="shared" si="20"/>
        <v>1395</v>
      </c>
    </row>
    <row r="1165" spans="1:21" ht="37.5" customHeight="1" x14ac:dyDescent="0.25">
      <c r="A1165" s="23">
        <v>45013</v>
      </c>
      <c r="B1165" s="13">
        <v>13</v>
      </c>
      <c r="C1165" t="s">
        <v>3</v>
      </c>
      <c r="D1165" t="s">
        <v>4</v>
      </c>
      <c r="E1165" t="s">
        <v>5</v>
      </c>
      <c r="F1165" s="6">
        <v>112912201</v>
      </c>
      <c r="G1165" t="s">
        <v>456</v>
      </c>
      <c r="H1165" t="s">
        <v>49</v>
      </c>
      <c r="I1165">
        <v>0</v>
      </c>
      <c r="J1165">
        <v>0</v>
      </c>
      <c r="K1165">
        <v>0</v>
      </c>
      <c r="L1165">
        <v>0</v>
      </c>
      <c r="M1165">
        <v>0.3</v>
      </c>
      <c r="N1165" s="7" t="e">
        <f>VLOOKUP(F1165,HC!A$6:D$100,3,FALSE)</f>
        <v>#N/A</v>
      </c>
      <c r="O1165" s="7" t="e">
        <f>VLOOKUP(F1165,HC!A$6:D$1000,2,FALSE)</f>
        <v>#N/A</v>
      </c>
      <c r="P1165" t="s">
        <v>662</v>
      </c>
      <c r="Q1165" s="7" t="s">
        <v>691</v>
      </c>
      <c r="U1165">
        <f t="shared" si="20"/>
        <v>1395</v>
      </c>
    </row>
    <row r="1166" spans="1:21" ht="37.5" customHeight="1" x14ac:dyDescent="0.25">
      <c r="A1166" s="23">
        <v>45013</v>
      </c>
      <c r="B1166" s="13">
        <v>13</v>
      </c>
      <c r="C1166" t="s">
        <v>3</v>
      </c>
      <c r="D1166" t="s">
        <v>4</v>
      </c>
      <c r="E1166" t="s">
        <v>5</v>
      </c>
      <c r="F1166" s="6">
        <v>112912209</v>
      </c>
      <c r="G1166" t="s">
        <v>671</v>
      </c>
      <c r="H1166" t="s">
        <v>403</v>
      </c>
      <c r="I1166">
        <v>0</v>
      </c>
      <c r="J1166">
        <v>0</v>
      </c>
      <c r="K1166">
        <v>0</v>
      </c>
      <c r="L1166">
        <v>0</v>
      </c>
      <c r="M1166">
        <v>0.24</v>
      </c>
      <c r="N1166" s="7" t="str">
        <f>VLOOKUP(F1166,HC!A$6:D$100,3,FALSE)</f>
        <v>NF-X1900</v>
      </c>
      <c r="O1166" s="7" t="str">
        <f>VLOOKUP(F1166,HC!A$6:D$1000,2,FALSE)</f>
        <v>moralefs</v>
      </c>
      <c r="P1166" t="s">
        <v>663</v>
      </c>
      <c r="Q1166" s="7" t="s">
        <v>695</v>
      </c>
      <c r="U1166">
        <f t="shared" si="20"/>
        <v>11</v>
      </c>
    </row>
    <row r="1167" spans="1:21" ht="37.5" customHeight="1" x14ac:dyDescent="0.25">
      <c r="A1167" s="23">
        <v>45013</v>
      </c>
      <c r="B1167" s="13">
        <v>13</v>
      </c>
      <c r="C1167" t="s">
        <v>3</v>
      </c>
      <c r="D1167" t="s">
        <v>4</v>
      </c>
      <c r="E1167" t="s">
        <v>5</v>
      </c>
      <c r="F1167" s="6">
        <v>112912464</v>
      </c>
      <c r="G1167" t="s">
        <v>531</v>
      </c>
      <c r="H1167" t="s">
        <v>459</v>
      </c>
      <c r="I1167">
        <v>0</v>
      </c>
      <c r="J1167">
        <v>0</v>
      </c>
      <c r="K1167">
        <v>0</v>
      </c>
      <c r="L1167">
        <v>0</v>
      </c>
      <c r="M1167">
        <v>0.18</v>
      </c>
      <c r="N1167" s="7" t="e">
        <f>VLOOKUP(F1167,HC!A$6:D$100,3,FALSE)</f>
        <v>#N/A</v>
      </c>
      <c r="O1167" s="7" t="e">
        <f>VLOOKUP(F1167,HC!A$6:D$1000,2,FALSE)</f>
        <v>#N/A</v>
      </c>
      <c r="P1167" t="s">
        <v>661</v>
      </c>
      <c r="Q1167" s="7" t="s">
        <v>681</v>
      </c>
      <c r="U1167">
        <f t="shared" si="20"/>
        <v>1395</v>
      </c>
    </row>
    <row r="1168" spans="1:21" ht="37.5" customHeight="1" x14ac:dyDescent="0.25">
      <c r="A1168" s="23">
        <v>45013</v>
      </c>
      <c r="B1168" s="13">
        <v>13</v>
      </c>
      <c r="C1168" t="s">
        <v>3</v>
      </c>
      <c r="D1168" t="s">
        <v>4</v>
      </c>
      <c r="E1168" t="s">
        <v>5</v>
      </c>
      <c r="F1168" s="6">
        <v>112920679</v>
      </c>
      <c r="G1168" t="s">
        <v>519</v>
      </c>
      <c r="H1168" t="s">
        <v>403</v>
      </c>
      <c r="I1168">
        <v>0</v>
      </c>
      <c r="J1168">
        <v>0</v>
      </c>
      <c r="K1168">
        <v>0</v>
      </c>
      <c r="L1168">
        <v>0</v>
      </c>
      <c r="M1168">
        <v>1.5</v>
      </c>
      <c r="N1168" s="7" t="e">
        <f>VLOOKUP(F1168,HC!A$6:D$100,3,FALSE)</f>
        <v>#N/A</v>
      </c>
      <c r="O1168" s="7" t="e">
        <f>VLOOKUP(F1168,HC!A$6:D$1000,2,FALSE)</f>
        <v>#N/A</v>
      </c>
      <c r="P1168" t="s">
        <v>663</v>
      </c>
      <c r="Q1168" s="7" t="s">
        <v>695</v>
      </c>
      <c r="U1168">
        <f t="shared" si="20"/>
        <v>1395</v>
      </c>
    </row>
    <row r="1169" spans="1:21" ht="37.5" customHeight="1" x14ac:dyDescent="0.25">
      <c r="A1169" s="23">
        <v>45013</v>
      </c>
      <c r="B1169" s="13">
        <v>13</v>
      </c>
      <c r="C1169" t="s">
        <v>3</v>
      </c>
      <c r="D1169" t="s">
        <v>4</v>
      </c>
      <c r="E1169" t="s">
        <v>5</v>
      </c>
      <c r="F1169" s="6">
        <v>112981061</v>
      </c>
      <c r="G1169" t="s">
        <v>264</v>
      </c>
      <c r="H1169" t="s">
        <v>49</v>
      </c>
      <c r="I1169">
        <v>0</v>
      </c>
      <c r="J1169">
        <v>0</v>
      </c>
      <c r="K1169">
        <v>0</v>
      </c>
      <c r="L1169">
        <v>0</v>
      </c>
      <c r="M1169">
        <v>0.1</v>
      </c>
      <c r="N1169" s="7" t="str">
        <f>VLOOKUP(F1169,HC!A$6:D$100,3,FALSE)</f>
        <v>DA-X0700</v>
      </c>
      <c r="O1169" s="7" t="str">
        <f>VLOOKUP(F1169,HC!A$6:D$1000,2,FALSE)</f>
        <v>mclaudol</v>
      </c>
      <c r="P1169" t="s">
        <v>661</v>
      </c>
      <c r="Q1169" s="7" t="s">
        <v>681</v>
      </c>
      <c r="U1169">
        <f t="shared" si="20"/>
        <v>44</v>
      </c>
    </row>
    <row r="1170" spans="1:21" ht="37.5" customHeight="1" x14ac:dyDescent="0.25">
      <c r="A1170" s="23">
        <v>45013</v>
      </c>
      <c r="B1170" s="13">
        <v>13</v>
      </c>
      <c r="C1170" t="s">
        <v>3</v>
      </c>
      <c r="D1170" t="s">
        <v>4</v>
      </c>
      <c r="E1170" t="s">
        <v>5</v>
      </c>
      <c r="F1170" s="6">
        <v>112981196</v>
      </c>
      <c r="G1170" t="s">
        <v>328</v>
      </c>
      <c r="H1170" t="s">
        <v>47</v>
      </c>
      <c r="I1170">
        <v>0</v>
      </c>
      <c r="J1170">
        <v>0</v>
      </c>
      <c r="K1170">
        <v>0</v>
      </c>
      <c r="L1170">
        <v>0</v>
      </c>
      <c r="M1170">
        <v>7.0000000000000007E-2</v>
      </c>
      <c r="N1170" s="7" t="e">
        <f>VLOOKUP(F1170,HC!A$6:D$100,3,FALSE)</f>
        <v>#N/A</v>
      </c>
      <c r="O1170" s="7" t="str">
        <f>VLOOKUP(F1170,HC!A$6:D$1000,2,FALSE)</f>
        <v>vandgome</v>
      </c>
      <c r="P1170" t="s">
        <v>662</v>
      </c>
      <c r="Q1170" s="7" t="s">
        <v>691</v>
      </c>
      <c r="U1170">
        <f t="shared" si="20"/>
        <v>24</v>
      </c>
    </row>
    <row r="1171" spans="1:21" ht="37.5" customHeight="1" x14ac:dyDescent="0.25">
      <c r="A1171" s="23">
        <v>45013</v>
      </c>
      <c r="B1171" s="13">
        <v>13</v>
      </c>
      <c r="C1171" t="s">
        <v>3</v>
      </c>
      <c r="D1171" t="s">
        <v>4</v>
      </c>
      <c r="E1171" t="s">
        <v>5</v>
      </c>
      <c r="F1171" s="6">
        <v>112984097</v>
      </c>
      <c r="G1171" t="s">
        <v>265</v>
      </c>
      <c r="H1171" t="s">
        <v>49</v>
      </c>
      <c r="I1171">
        <v>0</v>
      </c>
      <c r="J1171">
        <v>0</v>
      </c>
      <c r="K1171">
        <v>0</v>
      </c>
      <c r="L1171">
        <v>0</v>
      </c>
      <c r="M1171">
        <v>1</v>
      </c>
      <c r="N1171" s="7" t="e">
        <f>VLOOKUP(F1171,HC!A$6:D$100,3,FALSE)</f>
        <v>#N/A</v>
      </c>
      <c r="O1171" s="7" t="e">
        <f>VLOOKUP(F1171,HC!A$6:D$1000,2,FALSE)</f>
        <v>#N/A</v>
      </c>
      <c r="P1171" t="s">
        <v>664</v>
      </c>
      <c r="Q1171" s="7" t="s">
        <v>716</v>
      </c>
      <c r="U1171">
        <f t="shared" si="20"/>
        <v>1395</v>
      </c>
    </row>
    <row r="1172" spans="1:21" ht="37.5" customHeight="1" x14ac:dyDescent="0.25">
      <c r="A1172" s="23">
        <v>45013</v>
      </c>
      <c r="B1172" s="13">
        <v>13</v>
      </c>
      <c r="C1172" t="s">
        <v>3</v>
      </c>
      <c r="D1172" t="s">
        <v>4</v>
      </c>
      <c r="E1172" t="s">
        <v>5</v>
      </c>
      <c r="F1172" s="6">
        <v>113014401</v>
      </c>
      <c r="G1172" t="s">
        <v>678</v>
      </c>
      <c r="H1172" t="s">
        <v>285</v>
      </c>
      <c r="I1172">
        <v>0</v>
      </c>
      <c r="J1172">
        <v>0</v>
      </c>
      <c r="K1172">
        <v>0</v>
      </c>
      <c r="L1172">
        <v>0</v>
      </c>
      <c r="M1172">
        <v>0.86</v>
      </c>
      <c r="N1172" s="7" t="e">
        <f>VLOOKUP(F1172,HC!A$6:D$100,3,FALSE)</f>
        <v>#N/A</v>
      </c>
      <c r="O1172" s="7" t="e">
        <f>VLOOKUP(F1172,HC!A$6:D$1000,2,FALSE)</f>
        <v>#N/A</v>
      </c>
      <c r="P1172" t="s">
        <v>661</v>
      </c>
      <c r="Q1172" s="7" t="s">
        <v>681</v>
      </c>
      <c r="U1172">
        <f t="shared" si="20"/>
        <v>1395</v>
      </c>
    </row>
    <row r="1173" spans="1:21" ht="37.5" customHeight="1" x14ac:dyDescent="0.25">
      <c r="A1173" s="23">
        <v>45013</v>
      </c>
      <c r="B1173" s="13">
        <v>13</v>
      </c>
      <c r="C1173" t="s">
        <v>3</v>
      </c>
      <c r="D1173" t="s">
        <v>4</v>
      </c>
      <c r="E1173" t="s">
        <v>5</v>
      </c>
      <c r="F1173" s="6">
        <v>113018997</v>
      </c>
      <c r="G1173" t="s">
        <v>254</v>
      </c>
      <c r="H1173" t="s">
        <v>44</v>
      </c>
      <c r="I1173">
        <v>0</v>
      </c>
      <c r="J1173">
        <v>0</v>
      </c>
      <c r="K1173">
        <v>0</v>
      </c>
      <c r="L1173">
        <v>0</v>
      </c>
      <c r="M1173">
        <v>0.23</v>
      </c>
      <c r="N1173" s="7" t="e">
        <f>VLOOKUP(F1173,HC!A$6:D$100,3,FALSE)</f>
        <v>#N/A</v>
      </c>
      <c r="O1173" s="7" t="e">
        <f>VLOOKUP(F1173,HC!A$6:D$1000,2,FALSE)</f>
        <v>#N/A</v>
      </c>
      <c r="P1173" t="s">
        <v>662</v>
      </c>
      <c r="Q1173" s="7" t="s">
        <v>785</v>
      </c>
      <c r="R1173" t="s">
        <v>525</v>
      </c>
      <c r="U1173">
        <f t="shared" si="20"/>
        <v>1395</v>
      </c>
    </row>
    <row r="1174" spans="1:21" ht="37.5" customHeight="1" x14ac:dyDescent="0.25">
      <c r="A1174" s="23">
        <v>45013</v>
      </c>
      <c r="B1174" s="13">
        <v>13</v>
      </c>
      <c r="C1174" t="s">
        <v>3</v>
      </c>
      <c r="D1174" t="s">
        <v>4</v>
      </c>
      <c r="E1174" t="s">
        <v>5</v>
      </c>
      <c r="F1174" s="6">
        <v>113020463</v>
      </c>
      <c r="G1174" t="s">
        <v>321</v>
      </c>
      <c r="H1174" t="s">
        <v>49</v>
      </c>
      <c r="I1174">
        <v>0</v>
      </c>
      <c r="J1174">
        <v>0</v>
      </c>
      <c r="K1174">
        <v>0</v>
      </c>
      <c r="L1174">
        <v>0</v>
      </c>
      <c r="M1174">
        <v>0.65</v>
      </c>
      <c r="N1174" s="7" t="e">
        <f>VLOOKUP(F1174,HC!A$6:D$100,3,FALSE)</f>
        <v>#N/A</v>
      </c>
      <c r="O1174" s="7" t="str">
        <f>VLOOKUP(F1174,HC!A$6:D$1000,2,FALSE)</f>
        <v>myriamav</v>
      </c>
      <c r="P1174" t="s">
        <v>661</v>
      </c>
      <c r="Q1174" s="7" t="s">
        <v>681</v>
      </c>
      <c r="U1174">
        <f t="shared" si="20"/>
        <v>24</v>
      </c>
    </row>
    <row r="1175" spans="1:21" ht="37.5" customHeight="1" x14ac:dyDescent="0.25">
      <c r="A1175" s="23">
        <v>45013</v>
      </c>
      <c r="B1175" s="13">
        <v>13</v>
      </c>
      <c r="C1175" t="s">
        <v>3</v>
      </c>
      <c r="D1175" t="s">
        <v>4</v>
      </c>
      <c r="E1175" t="s">
        <v>5</v>
      </c>
      <c r="F1175" s="6">
        <v>200404250</v>
      </c>
      <c r="G1175" t="s">
        <v>51</v>
      </c>
      <c r="H1175" t="s">
        <v>285</v>
      </c>
      <c r="I1175">
        <v>0</v>
      </c>
      <c r="J1175">
        <v>0</v>
      </c>
      <c r="K1175">
        <v>0</v>
      </c>
      <c r="L1175">
        <v>0</v>
      </c>
      <c r="M1175">
        <v>1.41</v>
      </c>
      <c r="N1175" s="7" t="e">
        <f>VLOOKUP(F1175,HC!A$6:D$100,3,FALSE)</f>
        <v>#N/A</v>
      </c>
      <c r="O1175" s="7" t="str">
        <f>VLOOKUP(F1175,HC!A$6:D$1000,2,FALSE)</f>
        <v>xcathurt</v>
      </c>
      <c r="P1175" t="s">
        <v>662</v>
      </c>
      <c r="Q1175" s="7" t="s">
        <v>785</v>
      </c>
      <c r="U1175">
        <f t="shared" si="20"/>
        <v>124</v>
      </c>
    </row>
    <row r="1176" spans="1:21" ht="37.5" customHeight="1" x14ac:dyDescent="0.25">
      <c r="A1176" s="23">
        <v>45013</v>
      </c>
      <c r="B1176" s="13">
        <v>13</v>
      </c>
      <c r="C1176" t="s">
        <v>3</v>
      </c>
      <c r="D1176" t="s">
        <v>4</v>
      </c>
      <c r="E1176" t="s">
        <v>21</v>
      </c>
      <c r="F1176" s="6">
        <v>200614224</v>
      </c>
      <c r="G1176" t="s">
        <v>322</v>
      </c>
      <c r="H1176" t="s">
        <v>17</v>
      </c>
      <c r="I1176">
        <v>0</v>
      </c>
      <c r="J1176">
        <v>0</v>
      </c>
      <c r="K1176">
        <v>0</v>
      </c>
      <c r="L1176">
        <v>0</v>
      </c>
      <c r="M1176">
        <v>0.28000000000000003</v>
      </c>
      <c r="N1176" s="7" t="e">
        <f>VLOOKUP(F1176,HC!A$6:D$100,3,FALSE)</f>
        <v>#N/A</v>
      </c>
      <c r="O1176" s="7" t="e">
        <f>VLOOKUP(F1176,HC!A$6:D$1000,2,FALSE)</f>
        <v>#N/A</v>
      </c>
      <c r="P1176" t="s">
        <v>664</v>
      </c>
      <c r="Q1176" s="7" t="s">
        <v>716</v>
      </c>
      <c r="U1176">
        <f t="shared" si="20"/>
        <v>1395</v>
      </c>
    </row>
    <row r="1177" spans="1:21" ht="37.5" customHeight="1" x14ac:dyDescent="0.25">
      <c r="A1177" s="23">
        <v>45013</v>
      </c>
      <c r="B1177" s="13">
        <v>13</v>
      </c>
      <c r="C1177" t="s">
        <v>3</v>
      </c>
      <c r="D1177" t="s">
        <v>4</v>
      </c>
      <c r="E1177" t="s">
        <v>21</v>
      </c>
      <c r="F1177" s="6">
        <v>200620341</v>
      </c>
      <c r="G1177" t="s">
        <v>255</v>
      </c>
      <c r="H1177" t="s">
        <v>47</v>
      </c>
      <c r="I1177">
        <v>0</v>
      </c>
      <c r="J1177">
        <v>0</v>
      </c>
      <c r="K1177">
        <v>0</v>
      </c>
      <c r="L1177">
        <v>0</v>
      </c>
      <c r="M1177">
        <v>0.14000000000000001</v>
      </c>
      <c r="N1177" s="7" t="e">
        <f>VLOOKUP(F1177,HC!A$6:D$100,3,FALSE)</f>
        <v>#N/A</v>
      </c>
      <c r="O1177" s="7" t="e">
        <f>VLOOKUP(F1177,HC!A$6:D$1000,2,FALSE)</f>
        <v>#N/A</v>
      </c>
      <c r="P1177" t="s">
        <v>664</v>
      </c>
      <c r="Q1177" s="7" t="s">
        <v>708</v>
      </c>
      <c r="U1177">
        <f t="shared" si="20"/>
        <v>1395</v>
      </c>
    </row>
    <row r="1178" spans="1:21" ht="37.5" customHeight="1" x14ac:dyDescent="0.25">
      <c r="A1178" s="23">
        <v>45013</v>
      </c>
      <c r="B1178" s="13">
        <v>13</v>
      </c>
      <c r="C1178" t="s">
        <v>3</v>
      </c>
      <c r="D1178" t="s">
        <v>4</v>
      </c>
      <c r="E1178" t="s">
        <v>21</v>
      </c>
      <c r="F1178" s="6">
        <v>201158953</v>
      </c>
      <c r="G1178" t="s">
        <v>923</v>
      </c>
      <c r="H1178" t="s">
        <v>268</v>
      </c>
      <c r="I1178">
        <v>0</v>
      </c>
      <c r="J1178">
        <v>0</v>
      </c>
      <c r="K1178">
        <v>0</v>
      </c>
      <c r="L1178">
        <v>0</v>
      </c>
      <c r="M1178">
        <v>0.59</v>
      </c>
      <c r="N1178" s="7" t="e">
        <f>VLOOKUP(F1178,HC!A$6:D$100,3,FALSE)</f>
        <v>#N/A</v>
      </c>
      <c r="O1178" s="7" t="e">
        <f>VLOOKUP(F1178,HC!A$6:D$1000,2,FALSE)</f>
        <v>#N/A</v>
      </c>
      <c r="Q1178" s="7"/>
      <c r="U1178">
        <f t="shared" si="20"/>
        <v>1395</v>
      </c>
    </row>
    <row r="1179" spans="1:21" ht="37.5" customHeight="1" x14ac:dyDescent="0.25">
      <c r="A1179" s="23">
        <v>45013</v>
      </c>
      <c r="B1179" s="13">
        <v>13</v>
      </c>
      <c r="C1179" t="s">
        <v>3</v>
      </c>
      <c r="D1179" t="s">
        <v>4</v>
      </c>
      <c r="E1179" t="s">
        <v>21</v>
      </c>
      <c r="F1179" s="6">
        <v>201198979</v>
      </c>
      <c r="G1179" t="s">
        <v>905</v>
      </c>
      <c r="H1179" t="s">
        <v>47</v>
      </c>
      <c r="I1179">
        <v>0</v>
      </c>
      <c r="J1179">
        <v>0</v>
      </c>
      <c r="K1179">
        <v>0</v>
      </c>
      <c r="L1179">
        <v>0</v>
      </c>
      <c r="M1179">
        <v>0.56999999999999995</v>
      </c>
      <c r="N1179" s="7" t="e">
        <f>VLOOKUP(F1179,HC!A$6:D$100,3,FALSE)</f>
        <v>#N/A</v>
      </c>
      <c r="O1179" s="7" t="e">
        <f>VLOOKUP(F1179,HC!A$6:D$1000,2,FALSE)</f>
        <v>#N/A</v>
      </c>
      <c r="P1179" t="s">
        <v>664</v>
      </c>
      <c r="Q1179" s="7" t="s">
        <v>710</v>
      </c>
      <c r="U1179">
        <f t="shared" si="20"/>
        <v>1395</v>
      </c>
    </row>
    <row r="1180" spans="1:21" ht="37.5" customHeight="1" x14ac:dyDescent="0.25">
      <c r="A1180" s="23">
        <v>45013</v>
      </c>
      <c r="B1180" s="13">
        <v>13</v>
      </c>
      <c r="C1180" t="s">
        <v>3</v>
      </c>
      <c r="D1180" t="s">
        <v>4</v>
      </c>
      <c r="E1180" t="s">
        <v>21</v>
      </c>
      <c r="F1180" s="6">
        <v>201201993</v>
      </c>
      <c r="G1180" t="s">
        <v>906</v>
      </c>
      <c r="H1180" t="s">
        <v>47</v>
      </c>
      <c r="I1180">
        <v>0</v>
      </c>
      <c r="J1180">
        <v>0</v>
      </c>
      <c r="K1180">
        <v>0</v>
      </c>
      <c r="L1180">
        <v>0</v>
      </c>
      <c r="M1180">
        <v>0.11</v>
      </c>
      <c r="N1180" s="7" t="e">
        <f>VLOOKUP(F1180,HC!A$6:D$100,3,FALSE)</f>
        <v>#N/A</v>
      </c>
      <c r="O1180" s="7" t="e">
        <f>VLOOKUP(F1180,HC!A$6:D$1000,2,FALSE)</f>
        <v>#N/A</v>
      </c>
      <c r="P1180" t="s">
        <v>664</v>
      </c>
      <c r="Q1180" s="7" t="s">
        <v>709</v>
      </c>
      <c r="U1180">
        <f t="shared" si="20"/>
        <v>1395</v>
      </c>
    </row>
    <row r="1181" spans="1:21" ht="37.5" customHeight="1" x14ac:dyDescent="0.25">
      <c r="A1181" s="23">
        <v>45013</v>
      </c>
      <c r="B1181" s="13">
        <v>13</v>
      </c>
      <c r="C1181" t="s">
        <v>3</v>
      </c>
      <c r="D1181" t="s">
        <v>4</v>
      </c>
      <c r="E1181" t="s">
        <v>21</v>
      </c>
      <c r="F1181" s="6">
        <v>201215202</v>
      </c>
      <c r="G1181" t="s">
        <v>924</v>
      </c>
      <c r="H1181" t="s">
        <v>47</v>
      </c>
      <c r="I1181">
        <v>0</v>
      </c>
      <c r="J1181">
        <v>0</v>
      </c>
      <c r="K1181">
        <v>0</v>
      </c>
      <c r="L1181">
        <v>0</v>
      </c>
      <c r="M1181">
        <v>0.21</v>
      </c>
      <c r="N1181" s="7" t="e">
        <f>VLOOKUP(F1181,HC!A$6:D$100,3,FALSE)</f>
        <v>#N/A</v>
      </c>
      <c r="O1181" s="7" t="e">
        <f>VLOOKUP(F1181,HC!A$6:D$1000,2,FALSE)</f>
        <v>#N/A</v>
      </c>
      <c r="P1181" t="s">
        <v>662</v>
      </c>
      <c r="Q1181" s="7" t="s">
        <v>687</v>
      </c>
      <c r="U1181">
        <f t="shared" si="20"/>
        <v>1395</v>
      </c>
    </row>
    <row r="1182" spans="1:21" ht="37.5" customHeight="1" x14ac:dyDescent="0.25">
      <c r="A1182" s="23">
        <v>45013</v>
      </c>
      <c r="B1182" s="13">
        <v>13</v>
      </c>
      <c r="C1182" t="s">
        <v>3</v>
      </c>
      <c r="D1182" t="s">
        <v>4</v>
      </c>
      <c r="E1182" t="s">
        <v>21</v>
      </c>
      <c r="F1182" s="6">
        <v>201219225</v>
      </c>
      <c r="G1182" t="s">
        <v>925</v>
      </c>
      <c r="H1182" t="s">
        <v>49</v>
      </c>
      <c r="I1182">
        <v>0</v>
      </c>
      <c r="J1182">
        <v>0</v>
      </c>
      <c r="K1182">
        <v>0</v>
      </c>
      <c r="L1182">
        <v>0</v>
      </c>
      <c r="M1182">
        <v>0.27</v>
      </c>
      <c r="N1182" s="7" t="e">
        <f>VLOOKUP(F1182,HC!A$6:D$100,3,FALSE)</f>
        <v>#N/A</v>
      </c>
      <c r="O1182" s="7" t="e">
        <f>VLOOKUP(F1182,HC!A$6:D$1000,2,FALSE)</f>
        <v>#N/A</v>
      </c>
      <c r="P1182" t="s">
        <v>666</v>
      </c>
      <c r="Q1182" s="7" t="s">
        <v>814</v>
      </c>
      <c r="U1182">
        <f t="shared" si="20"/>
        <v>1395</v>
      </c>
    </row>
    <row r="1183" spans="1:21" ht="37.5" customHeight="1" x14ac:dyDescent="0.25">
      <c r="A1183" s="23">
        <v>45014</v>
      </c>
      <c r="B1183" s="13">
        <v>13</v>
      </c>
      <c r="C1183" t="s">
        <v>3</v>
      </c>
      <c r="D1183" t="s">
        <v>4</v>
      </c>
      <c r="E1183" t="s">
        <v>5</v>
      </c>
      <c r="F1183" s="6">
        <v>111434478</v>
      </c>
      <c r="G1183" t="s">
        <v>331</v>
      </c>
      <c r="H1183" t="s">
        <v>253</v>
      </c>
      <c r="I1183">
        <v>0</v>
      </c>
      <c r="J1183">
        <v>0</v>
      </c>
      <c r="K1183">
        <v>0</v>
      </c>
      <c r="L1183">
        <v>0</v>
      </c>
      <c r="M1183">
        <v>0.13</v>
      </c>
      <c r="N1183" s="7" t="str">
        <f>VLOOKUP(F1183,HC!A$6:D$100,3,FALSE)</f>
        <v>DA-X0700</v>
      </c>
      <c r="O1183" s="7" t="str">
        <f>VLOOKUP(F1183,HC!A$6:D$1000,2,FALSE)</f>
        <v>juanapam</v>
      </c>
      <c r="P1183" t="s">
        <v>675</v>
      </c>
      <c r="Q1183" s="7"/>
      <c r="U1183">
        <f t="shared" si="20"/>
        <v>32</v>
      </c>
    </row>
    <row r="1184" spans="1:21" ht="37.5" customHeight="1" x14ac:dyDescent="0.25">
      <c r="A1184" s="23">
        <v>45014</v>
      </c>
      <c r="B1184" s="13">
        <v>13</v>
      </c>
      <c r="C1184" t="s">
        <v>3</v>
      </c>
      <c r="D1184" t="s">
        <v>4</v>
      </c>
      <c r="E1184" t="s">
        <v>5</v>
      </c>
      <c r="F1184" s="6">
        <v>112912163</v>
      </c>
      <c r="G1184" t="s">
        <v>294</v>
      </c>
      <c r="H1184" t="s">
        <v>285</v>
      </c>
      <c r="I1184">
        <v>0</v>
      </c>
      <c r="J1184">
        <v>0</v>
      </c>
      <c r="K1184">
        <v>0</v>
      </c>
      <c r="L1184">
        <v>0</v>
      </c>
      <c r="M1184">
        <v>0.1</v>
      </c>
      <c r="N1184" s="7" t="e">
        <f>VLOOKUP(F1184,HC!A$6:D$100,3,FALSE)</f>
        <v>#N/A</v>
      </c>
      <c r="O1184" s="7" t="e">
        <f>VLOOKUP(F1184,HC!A$6:D$1000,2,FALSE)</f>
        <v>#N/A</v>
      </c>
      <c r="P1184" t="s">
        <v>669</v>
      </c>
      <c r="Q1184" s="7" t="s">
        <v>739</v>
      </c>
      <c r="U1184">
        <f t="shared" si="20"/>
        <v>1395</v>
      </c>
    </row>
    <row r="1185" spans="1:21" ht="37.5" customHeight="1" x14ac:dyDescent="0.25">
      <c r="A1185" s="23">
        <v>45014</v>
      </c>
      <c r="B1185" s="13">
        <v>13</v>
      </c>
      <c r="C1185" t="s">
        <v>3</v>
      </c>
      <c r="D1185" t="s">
        <v>4</v>
      </c>
      <c r="E1185" t="s">
        <v>5</v>
      </c>
      <c r="F1185" s="6">
        <v>112912663</v>
      </c>
      <c r="G1185" t="s">
        <v>8</v>
      </c>
      <c r="H1185" t="s">
        <v>403</v>
      </c>
      <c r="I1185">
        <v>0</v>
      </c>
      <c r="J1185">
        <v>0</v>
      </c>
      <c r="K1185">
        <v>0</v>
      </c>
      <c r="L1185">
        <v>0</v>
      </c>
      <c r="M1185">
        <v>0.09</v>
      </c>
      <c r="N1185" s="7" t="e">
        <f>VLOOKUP(F1185,HC!A$6:D$100,3,FALSE)</f>
        <v>#N/A</v>
      </c>
      <c r="O1185" s="7" t="e">
        <f>VLOOKUP(F1185,HC!A$6:D$1000,2,FALSE)</f>
        <v>#N/A</v>
      </c>
      <c r="P1185" t="s">
        <v>664</v>
      </c>
      <c r="Q1185" s="7" t="s">
        <v>708</v>
      </c>
      <c r="U1185">
        <f t="shared" si="20"/>
        <v>1395</v>
      </c>
    </row>
    <row r="1186" spans="1:21" ht="37.5" customHeight="1" x14ac:dyDescent="0.25">
      <c r="A1186" s="23">
        <v>45014</v>
      </c>
      <c r="B1186" s="13">
        <v>13</v>
      </c>
      <c r="C1186" t="s">
        <v>3</v>
      </c>
      <c r="D1186" t="s">
        <v>4</v>
      </c>
      <c r="E1186" t="s">
        <v>5</v>
      </c>
      <c r="F1186" s="6">
        <v>112912752</v>
      </c>
      <c r="G1186" t="s">
        <v>251</v>
      </c>
      <c r="H1186" t="s">
        <v>44</v>
      </c>
      <c r="I1186">
        <v>0</v>
      </c>
      <c r="J1186">
        <v>0</v>
      </c>
      <c r="K1186">
        <v>0</v>
      </c>
      <c r="L1186">
        <v>0</v>
      </c>
      <c r="M1186">
        <v>0.72</v>
      </c>
      <c r="N1186" s="7" t="str">
        <f>VLOOKUP(F1186,HC!A$6:D$100,3,FALSE)</f>
        <v>NF-X1900</v>
      </c>
      <c r="O1186" s="7" t="str">
        <f>VLOOKUP(F1186,HC!A$6:D$1000,2,FALSE)</f>
        <v>valderle</v>
      </c>
      <c r="P1186" t="s">
        <v>662</v>
      </c>
      <c r="Q1186" s="7" t="s">
        <v>687</v>
      </c>
      <c r="U1186">
        <f t="shared" si="20"/>
        <v>50</v>
      </c>
    </row>
    <row r="1187" spans="1:21" ht="37.5" customHeight="1" x14ac:dyDescent="0.25">
      <c r="A1187" s="23">
        <v>45014</v>
      </c>
      <c r="B1187" s="13">
        <v>13</v>
      </c>
      <c r="C1187" t="s">
        <v>3</v>
      </c>
      <c r="D1187" t="s">
        <v>4</v>
      </c>
      <c r="E1187" t="s">
        <v>5</v>
      </c>
      <c r="F1187" s="6">
        <v>112912753</v>
      </c>
      <c r="G1187" t="s">
        <v>415</v>
      </c>
      <c r="H1187" t="s">
        <v>285</v>
      </c>
      <c r="I1187">
        <v>0</v>
      </c>
      <c r="J1187">
        <v>0</v>
      </c>
      <c r="K1187">
        <v>0</v>
      </c>
      <c r="L1187">
        <v>0</v>
      </c>
      <c r="M1187">
        <v>0.22</v>
      </c>
      <c r="N1187" s="7" t="e">
        <f>VLOOKUP(F1187,HC!A$6:D$100,3,FALSE)</f>
        <v>#N/A</v>
      </c>
      <c r="O1187" s="7" t="e">
        <f>VLOOKUP(F1187,HC!A$6:D$1000,2,FALSE)</f>
        <v>#N/A</v>
      </c>
      <c r="P1187" t="s">
        <v>661</v>
      </c>
      <c r="Q1187" s="7" t="s">
        <v>681</v>
      </c>
      <c r="U1187">
        <f t="shared" si="20"/>
        <v>1395</v>
      </c>
    </row>
    <row r="1188" spans="1:21" ht="37.5" customHeight="1" x14ac:dyDescent="0.25">
      <c r="A1188" s="23">
        <v>45014</v>
      </c>
      <c r="B1188" s="13">
        <v>13</v>
      </c>
      <c r="C1188" t="s">
        <v>3</v>
      </c>
      <c r="D1188" t="s">
        <v>4</v>
      </c>
      <c r="E1188" t="s">
        <v>5</v>
      </c>
      <c r="F1188" s="6">
        <v>112971962</v>
      </c>
      <c r="G1188" t="s">
        <v>338</v>
      </c>
      <c r="H1188" t="s">
        <v>17</v>
      </c>
      <c r="I1188">
        <v>0</v>
      </c>
      <c r="J1188">
        <v>0</v>
      </c>
      <c r="K1188">
        <v>0</v>
      </c>
      <c r="L1188">
        <v>0</v>
      </c>
      <c r="M1188">
        <v>0.72</v>
      </c>
      <c r="N1188" s="7" t="str">
        <f>VLOOKUP(F1188,HC!A$6:D$100,3,FALSE)</f>
        <v>DB-X0700</v>
      </c>
      <c r="O1188" s="7" t="str">
        <f>VLOOKUP(F1188,HC!A$6:D$1000,2,FALSE)</f>
        <v>creyesal</v>
      </c>
      <c r="Q1188" s="7"/>
      <c r="U1188">
        <f t="shared" si="20"/>
        <v>38</v>
      </c>
    </row>
    <row r="1189" spans="1:21" ht="37.5" customHeight="1" x14ac:dyDescent="0.25">
      <c r="A1189" s="23">
        <v>45014</v>
      </c>
      <c r="B1189" s="13">
        <v>13</v>
      </c>
      <c r="C1189" t="s">
        <v>3</v>
      </c>
      <c r="D1189" t="s">
        <v>4</v>
      </c>
      <c r="E1189" t="s">
        <v>5</v>
      </c>
      <c r="F1189" s="6">
        <v>112971997</v>
      </c>
      <c r="G1189" t="s">
        <v>928</v>
      </c>
      <c r="H1189" t="s">
        <v>250</v>
      </c>
      <c r="I1189">
        <v>0</v>
      </c>
      <c r="J1189">
        <v>0</v>
      </c>
      <c r="K1189">
        <v>0</v>
      </c>
      <c r="L1189">
        <v>0</v>
      </c>
      <c r="M1189">
        <v>0.22</v>
      </c>
      <c r="N1189" s="7" t="str">
        <f>VLOOKUP(F1189,HC!A$6:D$100,3,FALSE)</f>
        <v>DA-X0700</v>
      </c>
      <c r="O1189" s="7" t="str">
        <f>VLOOKUP(F1189,HC!A$6:D$1000,2,FALSE)</f>
        <v>cemilini</v>
      </c>
      <c r="P1189" t="s">
        <v>664</v>
      </c>
      <c r="Q1189" s="7" t="s">
        <v>762</v>
      </c>
      <c r="U1189">
        <f t="shared" si="20"/>
        <v>10</v>
      </c>
    </row>
    <row r="1190" spans="1:21" ht="37.5" customHeight="1" x14ac:dyDescent="0.25">
      <c r="A1190" s="23">
        <v>45014</v>
      </c>
      <c r="B1190" s="13">
        <v>13</v>
      </c>
      <c r="C1190" t="s">
        <v>3</v>
      </c>
      <c r="D1190" t="s">
        <v>4</v>
      </c>
      <c r="E1190" t="s">
        <v>5</v>
      </c>
      <c r="F1190" s="6">
        <v>112980847</v>
      </c>
      <c r="G1190" t="s">
        <v>524</v>
      </c>
      <c r="H1190" t="s">
        <v>44</v>
      </c>
      <c r="I1190">
        <v>0</v>
      </c>
      <c r="J1190">
        <v>0</v>
      </c>
      <c r="K1190">
        <v>0</v>
      </c>
      <c r="L1190">
        <v>0</v>
      </c>
      <c r="M1190">
        <v>0.35</v>
      </c>
      <c r="N1190" s="7" t="e">
        <f>VLOOKUP(F1190,HC!A$6:D$100,3,FALSE)</f>
        <v>#N/A</v>
      </c>
      <c r="O1190" s="7" t="e">
        <f>VLOOKUP(F1190,HC!A$6:D$1000,2,FALSE)</f>
        <v>#N/A</v>
      </c>
      <c r="P1190" t="s">
        <v>662</v>
      </c>
      <c r="Q1190" s="7" t="s">
        <v>757</v>
      </c>
      <c r="U1190">
        <f t="shared" si="20"/>
        <v>1395</v>
      </c>
    </row>
    <row r="1191" spans="1:21" ht="37.5" customHeight="1" x14ac:dyDescent="0.25">
      <c r="A1191" s="23">
        <v>45014</v>
      </c>
      <c r="B1191" s="13">
        <v>13</v>
      </c>
      <c r="C1191" t="s">
        <v>3</v>
      </c>
      <c r="D1191" t="s">
        <v>4</v>
      </c>
      <c r="E1191" t="s">
        <v>5</v>
      </c>
      <c r="F1191" s="6">
        <v>112981205</v>
      </c>
      <c r="G1191" t="s">
        <v>836</v>
      </c>
      <c r="H1191" t="s">
        <v>49</v>
      </c>
      <c r="I1191">
        <v>0</v>
      </c>
      <c r="J1191">
        <v>0</v>
      </c>
      <c r="K1191">
        <v>0</v>
      </c>
      <c r="L1191">
        <v>0</v>
      </c>
      <c r="M1191">
        <v>1.58</v>
      </c>
      <c r="N1191" s="7" t="e">
        <f>VLOOKUP(F1191,HC!A$6:D$100,3,FALSE)</f>
        <v>#N/A</v>
      </c>
      <c r="O1191" s="7" t="e">
        <f>VLOOKUP(F1191,HC!A$6:D$1000,2,FALSE)</f>
        <v>#N/A</v>
      </c>
      <c r="P1191" t="s">
        <v>664</v>
      </c>
      <c r="Q1191" s="7" t="s">
        <v>711</v>
      </c>
      <c r="U1191">
        <f t="shared" si="20"/>
        <v>1395</v>
      </c>
    </row>
    <row r="1192" spans="1:21" ht="37.5" customHeight="1" x14ac:dyDescent="0.25">
      <c r="A1192" s="23">
        <v>45014</v>
      </c>
      <c r="B1192" s="13">
        <v>13</v>
      </c>
      <c r="C1192" t="s">
        <v>3</v>
      </c>
      <c r="D1192" t="s">
        <v>4</v>
      </c>
      <c r="E1192" t="s">
        <v>5</v>
      </c>
      <c r="F1192" s="6">
        <v>112984097</v>
      </c>
      <c r="G1192" t="s">
        <v>265</v>
      </c>
      <c r="H1192" t="s">
        <v>49</v>
      </c>
      <c r="I1192">
        <v>0</v>
      </c>
      <c r="J1192">
        <v>0</v>
      </c>
      <c r="K1192">
        <v>0</v>
      </c>
      <c r="L1192">
        <v>0</v>
      </c>
      <c r="M1192">
        <v>0.34</v>
      </c>
      <c r="N1192" s="7" t="e">
        <f>VLOOKUP(F1192,HC!A$6:D$100,3,FALSE)</f>
        <v>#N/A</v>
      </c>
      <c r="O1192" s="7" t="e">
        <f>VLOOKUP(F1192,HC!A$6:D$1000,2,FALSE)</f>
        <v>#N/A</v>
      </c>
      <c r="P1192" t="s">
        <v>664</v>
      </c>
      <c r="Q1192" s="7" t="s">
        <v>717</v>
      </c>
      <c r="U1192">
        <f t="shared" si="20"/>
        <v>1395</v>
      </c>
    </row>
    <row r="1193" spans="1:21" ht="37.5" customHeight="1" x14ac:dyDescent="0.25">
      <c r="A1193" s="23">
        <v>45014</v>
      </c>
      <c r="B1193" s="13">
        <v>13</v>
      </c>
      <c r="C1193" t="s">
        <v>3</v>
      </c>
      <c r="D1193" t="s">
        <v>4</v>
      </c>
      <c r="E1193" t="s">
        <v>5</v>
      </c>
      <c r="F1193" s="6">
        <v>113003679</v>
      </c>
      <c r="G1193" t="s">
        <v>444</v>
      </c>
      <c r="H1193" t="s">
        <v>7</v>
      </c>
      <c r="I1193">
        <v>0</v>
      </c>
      <c r="J1193">
        <v>0</v>
      </c>
      <c r="K1193">
        <v>0</v>
      </c>
      <c r="L1193">
        <v>0</v>
      </c>
      <c r="M1193">
        <v>0.27</v>
      </c>
      <c r="N1193" s="7" t="e">
        <f>VLOOKUP(F1193,HC!A$6:D$100,3,FALSE)</f>
        <v>#N/A</v>
      </c>
      <c r="O1193" s="7" t="e">
        <f>VLOOKUP(F1193,HC!A$6:D$1000,2,FALSE)</f>
        <v>#N/A</v>
      </c>
      <c r="P1193" t="s">
        <v>663</v>
      </c>
      <c r="Q1193" s="7" t="s">
        <v>705</v>
      </c>
      <c r="U1193">
        <f t="shared" si="20"/>
        <v>1395</v>
      </c>
    </row>
    <row r="1194" spans="1:21" ht="37.5" customHeight="1" x14ac:dyDescent="0.25">
      <c r="A1194" s="23">
        <v>45014</v>
      </c>
      <c r="B1194" s="13">
        <v>13</v>
      </c>
      <c r="C1194" t="s">
        <v>3</v>
      </c>
      <c r="D1194" t="s">
        <v>4</v>
      </c>
      <c r="E1194" t="s">
        <v>5</v>
      </c>
      <c r="F1194" s="6">
        <v>113003971</v>
      </c>
      <c r="G1194" t="s">
        <v>284</v>
      </c>
      <c r="H1194" t="s">
        <v>268</v>
      </c>
      <c r="I1194">
        <v>0</v>
      </c>
      <c r="J1194">
        <v>0</v>
      </c>
      <c r="K1194">
        <v>0</v>
      </c>
      <c r="L1194">
        <v>0</v>
      </c>
      <c r="M1194">
        <v>0.13</v>
      </c>
      <c r="N1194" s="7" t="e">
        <f>VLOOKUP(F1194,HC!A$6:D$100,3,FALSE)</f>
        <v>#N/A</v>
      </c>
      <c r="O1194" s="7" t="str">
        <f>VLOOKUP(F1194,HC!A$6:D$1000,2,FALSE)</f>
        <v>garamird</v>
      </c>
      <c r="P1194" t="s">
        <v>664</v>
      </c>
      <c r="Q1194" s="7" t="s">
        <v>710</v>
      </c>
      <c r="U1194">
        <f t="shared" si="20"/>
        <v>14</v>
      </c>
    </row>
    <row r="1195" spans="1:21" ht="37.5" customHeight="1" x14ac:dyDescent="0.25">
      <c r="A1195" s="23">
        <v>45014</v>
      </c>
      <c r="B1195" s="13">
        <v>13</v>
      </c>
      <c r="C1195" t="s">
        <v>3</v>
      </c>
      <c r="D1195" t="s">
        <v>4</v>
      </c>
      <c r="E1195" t="s">
        <v>5</v>
      </c>
      <c r="F1195" s="6">
        <v>113101453</v>
      </c>
      <c r="G1195" t="s">
        <v>50</v>
      </c>
      <c r="H1195" t="s">
        <v>49</v>
      </c>
      <c r="I1195">
        <v>0</v>
      </c>
      <c r="J1195">
        <v>0</v>
      </c>
      <c r="K1195">
        <v>0</v>
      </c>
      <c r="L1195">
        <v>0</v>
      </c>
      <c r="M1195">
        <v>0.6</v>
      </c>
      <c r="N1195" s="7" t="e">
        <f>VLOOKUP(F1195,HC!A$6:D$100,3,FALSE)</f>
        <v>#N/A</v>
      </c>
      <c r="O1195" s="7" t="str">
        <f>VLOOKUP(F1195,HC!A$6:D$1000,2,FALSE)</f>
        <v>qisgeova</v>
      </c>
      <c r="P1195" t="s">
        <v>664</v>
      </c>
      <c r="Q1195" s="7" t="s">
        <v>717</v>
      </c>
      <c r="U1195">
        <f t="shared" si="20"/>
        <v>57</v>
      </c>
    </row>
    <row r="1196" spans="1:21" ht="37.5" customHeight="1" x14ac:dyDescent="0.25">
      <c r="A1196" s="23">
        <v>45014</v>
      </c>
      <c r="B1196" s="13">
        <v>13</v>
      </c>
      <c r="C1196" t="s">
        <v>3</v>
      </c>
      <c r="D1196" t="s">
        <v>4</v>
      </c>
      <c r="E1196" t="s">
        <v>21</v>
      </c>
      <c r="F1196" s="6">
        <v>200509428</v>
      </c>
      <c r="G1196" t="s">
        <v>272</v>
      </c>
      <c r="H1196" t="s">
        <v>49</v>
      </c>
      <c r="I1196">
        <v>0</v>
      </c>
      <c r="J1196">
        <v>0</v>
      </c>
      <c r="K1196">
        <v>0</v>
      </c>
      <c r="L1196">
        <v>0</v>
      </c>
      <c r="M1196">
        <v>3.12</v>
      </c>
      <c r="N1196" s="7" t="e">
        <f>VLOOKUP(F1196,HC!A$6:D$100,3,FALSE)</f>
        <v>#N/A</v>
      </c>
      <c r="O1196" s="7" t="e">
        <f>VLOOKUP(F1196,HC!A$6:D$1000,2,FALSE)</f>
        <v>#N/A</v>
      </c>
      <c r="P1196" t="s">
        <v>661</v>
      </c>
      <c r="Q1196" s="7" t="s">
        <v>684</v>
      </c>
      <c r="U1196">
        <f t="shared" si="20"/>
        <v>1395</v>
      </c>
    </row>
    <row r="1197" spans="1:21" ht="37.5" customHeight="1" x14ac:dyDescent="0.25">
      <c r="A1197" s="23">
        <v>45014</v>
      </c>
      <c r="B1197" s="13">
        <v>13</v>
      </c>
      <c r="C1197" t="s">
        <v>3</v>
      </c>
      <c r="D1197" t="s">
        <v>4</v>
      </c>
      <c r="E1197" t="s">
        <v>21</v>
      </c>
      <c r="F1197" s="6">
        <v>200562868</v>
      </c>
      <c r="G1197" t="s">
        <v>400</v>
      </c>
      <c r="H1197" t="s">
        <v>47</v>
      </c>
      <c r="I1197">
        <v>0</v>
      </c>
      <c r="J1197">
        <v>0</v>
      </c>
      <c r="K1197">
        <v>0</v>
      </c>
      <c r="L1197">
        <v>0</v>
      </c>
      <c r="M1197">
        <v>0.37</v>
      </c>
      <c r="N1197" s="7" t="e">
        <f>VLOOKUP(F1197,HC!A$6:D$100,3,FALSE)</f>
        <v>#N/A</v>
      </c>
      <c r="O1197" s="7" t="e">
        <f>VLOOKUP(F1197,HC!A$6:D$1000,2,FALSE)</f>
        <v>#N/A</v>
      </c>
      <c r="P1197" t="s">
        <v>664</v>
      </c>
      <c r="Q1197" s="7" t="s">
        <v>770</v>
      </c>
      <c r="R1197" t="s">
        <v>945</v>
      </c>
      <c r="U1197">
        <f t="shared" si="20"/>
        <v>1395</v>
      </c>
    </row>
    <row r="1198" spans="1:21" ht="37.5" customHeight="1" x14ac:dyDescent="0.25">
      <c r="A1198" s="23">
        <v>45014</v>
      </c>
      <c r="B1198" s="13">
        <v>13</v>
      </c>
      <c r="C1198" t="s">
        <v>3</v>
      </c>
      <c r="D1198" t="s">
        <v>4</v>
      </c>
      <c r="E1198" t="s">
        <v>21</v>
      </c>
      <c r="F1198" s="6">
        <v>201198169</v>
      </c>
      <c r="G1198" t="s">
        <v>929</v>
      </c>
      <c r="H1198" t="s">
        <v>285</v>
      </c>
      <c r="I1198">
        <v>0</v>
      </c>
      <c r="J1198">
        <v>0</v>
      </c>
      <c r="K1198">
        <v>0</v>
      </c>
      <c r="L1198">
        <v>0</v>
      </c>
      <c r="M1198">
        <v>0.81</v>
      </c>
      <c r="N1198" s="7" t="e">
        <f>VLOOKUP(F1198,HC!A$6:D$100,3,FALSE)</f>
        <v>#N/A</v>
      </c>
      <c r="O1198" s="7" t="e">
        <f>VLOOKUP(F1198,HC!A$6:D$1000,2,FALSE)</f>
        <v>#N/A</v>
      </c>
      <c r="P1198" t="s">
        <v>664</v>
      </c>
      <c r="Q1198" s="7" t="s">
        <v>710</v>
      </c>
      <c r="U1198">
        <f t="shared" si="20"/>
        <v>1395</v>
      </c>
    </row>
    <row r="1199" spans="1:21" ht="37.5" customHeight="1" x14ac:dyDescent="0.25">
      <c r="A1199" s="23">
        <v>45015</v>
      </c>
      <c r="B1199" s="13">
        <v>13</v>
      </c>
      <c r="C1199" t="s">
        <v>3</v>
      </c>
      <c r="D1199" t="s">
        <v>4</v>
      </c>
      <c r="E1199" t="s">
        <v>5</v>
      </c>
      <c r="F1199" s="6">
        <v>112972608</v>
      </c>
      <c r="G1199" t="s">
        <v>510</v>
      </c>
      <c r="H1199" t="s">
        <v>282</v>
      </c>
      <c r="I1199">
        <v>0</v>
      </c>
      <c r="J1199">
        <v>0</v>
      </c>
      <c r="K1199">
        <v>0</v>
      </c>
      <c r="L1199">
        <v>0</v>
      </c>
      <c r="M1199">
        <v>0.48</v>
      </c>
      <c r="N1199" s="7" t="e">
        <f>VLOOKUP(F1199,HC!A$6:D$100,3,FALSE)</f>
        <v>#N/A</v>
      </c>
      <c r="O1199" s="7" t="e">
        <f>VLOOKUP(F1199,HC!A$6:D$1000,2,FALSE)</f>
        <v>#N/A</v>
      </c>
      <c r="P1199" t="s">
        <v>661</v>
      </c>
      <c r="Q1199" s="7" t="s">
        <v>681</v>
      </c>
      <c r="U1199">
        <f t="shared" si="20"/>
        <v>1395</v>
      </c>
    </row>
    <row r="1200" spans="1:21" ht="37.5" customHeight="1" x14ac:dyDescent="0.25">
      <c r="A1200" s="23">
        <v>45015</v>
      </c>
      <c r="B1200" s="13">
        <v>13</v>
      </c>
      <c r="C1200" t="s">
        <v>3</v>
      </c>
      <c r="D1200" t="s">
        <v>4</v>
      </c>
      <c r="E1200" t="s">
        <v>5</v>
      </c>
      <c r="F1200" s="6">
        <v>112981201</v>
      </c>
      <c r="G1200" t="s">
        <v>532</v>
      </c>
      <c r="H1200" t="s">
        <v>49</v>
      </c>
      <c r="I1200">
        <v>0</v>
      </c>
      <c r="J1200">
        <v>0</v>
      </c>
      <c r="K1200">
        <v>0</v>
      </c>
      <c r="L1200">
        <v>0</v>
      </c>
      <c r="M1200">
        <v>2.85</v>
      </c>
      <c r="N1200" s="7" t="e">
        <f>VLOOKUP(F1200,HC!A$6:D$100,3,FALSE)</f>
        <v>#N/A</v>
      </c>
      <c r="O1200" s="7" t="e">
        <f>VLOOKUP(F1200,HC!A$6:D$1000,2,FALSE)</f>
        <v>#N/A</v>
      </c>
      <c r="P1200" t="s">
        <v>662</v>
      </c>
      <c r="Q1200" s="7" t="s">
        <v>702</v>
      </c>
      <c r="U1200">
        <f t="shared" si="20"/>
        <v>1395</v>
      </c>
    </row>
    <row r="1201" spans="1:21" ht="37.5" customHeight="1" x14ac:dyDescent="0.25">
      <c r="A1201" s="23">
        <v>45015</v>
      </c>
      <c r="B1201" s="13">
        <v>13</v>
      </c>
      <c r="C1201" t="s">
        <v>3</v>
      </c>
      <c r="D1201" t="s">
        <v>4</v>
      </c>
      <c r="E1201" t="s">
        <v>5</v>
      </c>
      <c r="F1201" s="6">
        <v>112984097</v>
      </c>
      <c r="G1201" t="s">
        <v>265</v>
      </c>
      <c r="H1201" t="s">
        <v>49</v>
      </c>
      <c r="I1201">
        <v>0</v>
      </c>
      <c r="J1201">
        <v>0</v>
      </c>
      <c r="K1201">
        <v>0</v>
      </c>
      <c r="L1201">
        <v>0</v>
      </c>
      <c r="M1201">
        <v>0.39</v>
      </c>
      <c r="N1201" s="7" t="e">
        <f>VLOOKUP(F1201,HC!A$6:D$100,3,FALSE)</f>
        <v>#N/A</v>
      </c>
      <c r="O1201" s="7" t="e">
        <f>VLOOKUP(F1201,HC!A$6:D$1000,2,FALSE)</f>
        <v>#N/A</v>
      </c>
      <c r="P1201" t="s">
        <v>664</v>
      </c>
      <c r="Q1201" s="7" t="s">
        <v>716</v>
      </c>
      <c r="U1201">
        <f t="shared" si="20"/>
        <v>1395</v>
      </c>
    </row>
    <row r="1202" spans="1:21" ht="37.5" customHeight="1" x14ac:dyDescent="0.25">
      <c r="A1202" s="23">
        <v>45015</v>
      </c>
      <c r="B1202" s="13">
        <v>13</v>
      </c>
      <c r="C1202" t="s">
        <v>3</v>
      </c>
      <c r="D1202" t="s">
        <v>4</v>
      </c>
      <c r="E1202" t="s">
        <v>5</v>
      </c>
      <c r="F1202" s="6">
        <v>113003635</v>
      </c>
      <c r="G1202" t="s">
        <v>930</v>
      </c>
      <c r="H1202" t="s">
        <v>268</v>
      </c>
      <c r="I1202">
        <v>0</v>
      </c>
      <c r="J1202">
        <v>0</v>
      </c>
      <c r="K1202">
        <v>0</v>
      </c>
      <c r="L1202">
        <v>0</v>
      </c>
      <c r="M1202">
        <v>2.88</v>
      </c>
      <c r="N1202" s="7" t="e">
        <f>VLOOKUP(F1202,HC!A$6:D$100,3,FALSE)</f>
        <v>#N/A</v>
      </c>
      <c r="O1202" s="7" t="str">
        <f>VLOOKUP(F1202,HC!A$6:D$1000,2,FALSE)</f>
        <v>barrgiof</v>
      </c>
      <c r="P1202" t="s">
        <v>664</v>
      </c>
      <c r="Q1202" s="7" t="s">
        <v>711</v>
      </c>
      <c r="U1202">
        <f t="shared" si="20"/>
        <v>9</v>
      </c>
    </row>
    <row r="1203" spans="1:21" ht="37.5" customHeight="1" x14ac:dyDescent="0.25">
      <c r="A1203" s="23">
        <v>45015</v>
      </c>
      <c r="B1203" s="13">
        <v>13</v>
      </c>
      <c r="C1203" t="s">
        <v>3</v>
      </c>
      <c r="D1203" t="s">
        <v>4</v>
      </c>
      <c r="E1203" t="s">
        <v>5</v>
      </c>
      <c r="F1203" s="6">
        <v>113003679</v>
      </c>
      <c r="G1203" t="s">
        <v>444</v>
      </c>
      <c r="H1203" t="s">
        <v>7</v>
      </c>
      <c r="I1203">
        <v>0</v>
      </c>
      <c r="J1203">
        <v>0</v>
      </c>
      <c r="K1203">
        <v>0</v>
      </c>
      <c r="L1203">
        <v>0</v>
      </c>
      <c r="M1203">
        <v>0.38</v>
      </c>
      <c r="N1203" s="7" t="e">
        <f>VLOOKUP(F1203,HC!A$6:D$100,3,FALSE)</f>
        <v>#N/A</v>
      </c>
      <c r="O1203" s="7" t="e">
        <f>VLOOKUP(F1203,HC!A$6:D$1000,2,FALSE)</f>
        <v>#N/A</v>
      </c>
      <c r="P1203" t="s">
        <v>663</v>
      </c>
      <c r="Q1203" s="7" t="s">
        <v>707</v>
      </c>
      <c r="U1203">
        <f t="shared" si="20"/>
        <v>1395</v>
      </c>
    </row>
    <row r="1204" spans="1:21" ht="37.5" customHeight="1" x14ac:dyDescent="0.25">
      <c r="A1204" s="23">
        <v>45015</v>
      </c>
      <c r="B1204" s="13">
        <v>13</v>
      </c>
      <c r="C1204" t="s">
        <v>3</v>
      </c>
      <c r="D1204" t="s">
        <v>4</v>
      </c>
      <c r="E1204" t="s">
        <v>5</v>
      </c>
      <c r="F1204" s="6">
        <v>113018997</v>
      </c>
      <c r="G1204" t="s">
        <v>254</v>
      </c>
      <c r="H1204" t="s">
        <v>44</v>
      </c>
      <c r="I1204">
        <v>0</v>
      </c>
      <c r="J1204">
        <v>0</v>
      </c>
      <c r="K1204">
        <v>0</v>
      </c>
      <c r="L1204">
        <v>0</v>
      </c>
      <c r="M1204">
        <v>0.71</v>
      </c>
      <c r="N1204" s="7" t="e">
        <f>VLOOKUP(F1204,HC!A$6:D$100,3,FALSE)</f>
        <v>#N/A</v>
      </c>
      <c r="O1204" s="7" t="e">
        <f>VLOOKUP(F1204,HC!A$6:D$1000,2,FALSE)</f>
        <v>#N/A</v>
      </c>
      <c r="P1204" t="s">
        <v>665</v>
      </c>
      <c r="Q1204" s="7" t="s">
        <v>756</v>
      </c>
      <c r="U1204">
        <f t="shared" si="20"/>
        <v>1395</v>
      </c>
    </row>
    <row r="1205" spans="1:21" ht="37.5" customHeight="1" x14ac:dyDescent="0.25">
      <c r="A1205" s="23">
        <v>45015</v>
      </c>
      <c r="B1205" s="13">
        <v>13</v>
      </c>
      <c r="C1205" t="s">
        <v>3</v>
      </c>
      <c r="D1205" t="s">
        <v>4</v>
      </c>
      <c r="E1205" t="s">
        <v>5</v>
      </c>
      <c r="F1205" s="6">
        <v>113020667</v>
      </c>
      <c r="G1205" t="s">
        <v>380</v>
      </c>
      <c r="H1205" t="s">
        <v>7</v>
      </c>
      <c r="I1205">
        <v>0</v>
      </c>
      <c r="J1205">
        <v>0</v>
      </c>
      <c r="K1205">
        <v>0</v>
      </c>
      <c r="L1205">
        <v>0</v>
      </c>
      <c r="M1205">
        <v>1.22</v>
      </c>
      <c r="N1205" s="7" t="e">
        <f>VLOOKUP(F1205,HC!A$6:D$100,3,FALSE)</f>
        <v>#N/A</v>
      </c>
      <c r="O1205" s="7" t="str">
        <f>VLOOKUP(F1205,HC!A$6:D$1000,2,FALSE)</f>
        <v>mavpauli</v>
      </c>
      <c r="P1205" t="s">
        <v>661</v>
      </c>
      <c r="Q1205" s="7" t="s">
        <v>684</v>
      </c>
      <c r="U1205">
        <f t="shared" si="20"/>
        <v>12</v>
      </c>
    </row>
    <row r="1206" spans="1:21" ht="37.5" customHeight="1" x14ac:dyDescent="0.25">
      <c r="A1206" s="23">
        <v>45015</v>
      </c>
      <c r="B1206" s="13">
        <v>13</v>
      </c>
      <c r="C1206" t="s">
        <v>3</v>
      </c>
      <c r="D1206" t="s">
        <v>4</v>
      </c>
      <c r="E1206" t="s">
        <v>5</v>
      </c>
      <c r="F1206" s="6">
        <v>200404250</v>
      </c>
      <c r="G1206" t="s">
        <v>51</v>
      </c>
      <c r="H1206" t="s">
        <v>285</v>
      </c>
      <c r="I1206">
        <v>0</v>
      </c>
      <c r="J1206">
        <v>0</v>
      </c>
      <c r="K1206">
        <v>0</v>
      </c>
      <c r="L1206">
        <v>0</v>
      </c>
      <c r="M1206">
        <v>0.63</v>
      </c>
      <c r="N1206" s="7" t="e">
        <f>VLOOKUP(F1206,HC!A$6:D$100,3,FALSE)</f>
        <v>#N/A</v>
      </c>
      <c r="O1206" s="7" t="str">
        <f>VLOOKUP(F1206,HC!A$6:D$1000,2,FALSE)</f>
        <v>xcathurt</v>
      </c>
      <c r="P1206" t="s">
        <v>662</v>
      </c>
      <c r="Q1206" s="7" t="s">
        <v>785</v>
      </c>
      <c r="U1206">
        <f t="shared" si="20"/>
        <v>124</v>
      </c>
    </row>
    <row r="1207" spans="1:21" ht="37.5" customHeight="1" x14ac:dyDescent="0.25">
      <c r="A1207" s="23">
        <v>45015</v>
      </c>
      <c r="B1207" s="13">
        <v>13</v>
      </c>
      <c r="C1207" t="s">
        <v>3</v>
      </c>
      <c r="D1207" t="s">
        <v>4</v>
      </c>
      <c r="E1207" t="s">
        <v>21</v>
      </c>
      <c r="F1207" s="6">
        <v>200508315</v>
      </c>
      <c r="G1207" t="s">
        <v>428</v>
      </c>
      <c r="H1207" t="s">
        <v>298</v>
      </c>
      <c r="I1207">
        <v>0</v>
      </c>
      <c r="J1207">
        <v>0</v>
      </c>
      <c r="K1207">
        <v>0</v>
      </c>
      <c r="L1207">
        <v>0</v>
      </c>
      <c r="M1207">
        <v>0.04</v>
      </c>
      <c r="N1207" s="7" t="e">
        <f>VLOOKUP(F1207,HC!A$6:D$100,3,FALSE)</f>
        <v>#N/A</v>
      </c>
      <c r="O1207" s="7" t="str">
        <f>VLOOKUP(F1207,HC!A$6:D$1000,2,FALSE)</f>
        <v>taldaher</v>
      </c>
      <c r="P1207" t="s">
        <v>662</v>
      </c>
      <c r="Q1207" s="7" t="s">
        <v>688</v>
      </c>
      <c r="U1207">
        <f t="shared" si="20"/>
        <v>18</v>
      </c>
    </row>
    <row r="1208" spans="1:21" ht="37.5" customHeight="1" x14ac:dyDescent="0.25">
      <c r="A1208" s="23">
        <v>45015</v>
      </c>
      <c r="B1208" s="13">
        <v>13</v>
      </c>
      <c r="C1208" t="s">
        <v>3</v>
      </c>
      <c r="D1208" t="s">
        <v>4</v>
      </c>
      <c r="E1208" t="s">
        <v>21</v>
      </c>
      <c r="F1208" s="6">
        <v>201158953</v>
      </c>
      <c r="G1208" t="s">
        <v>923</v>
      </c>
      <c r="H1208" t="s">
        <v>268</v>
      </c>
      <c r="I1208">
        <v>0</v>
      </c>
      <c r="J1208">
        <v>0</v>
      </c>
      <c r="K1208">
        <v>0</v>
      </c>
      <c r="L1208">
        <v>0</v>
      </c>
      <c r="M1208">
        <v>0.42</v>
      </c>
      <c r="N1208" s="7" t="e">
        <f>VLOOKUP(F1208,HC!A$6:D$100,3,FALSE)</f>
        <v>#N/A</v>
      </c>
      <c r="O1208" s="7" t="e">
        <f>VLOOKUP(F1208,HC!A$6:D$1000,2,FALSE)</f>
        <v>#N/A</v>
      </c>
      <c r="P1208" t="s">
        <v>663</v>
      </c>
      <c r="Q1208" s="7" t="s">
        <v>692</v>
      </c>
      <c r="U1208">
        <f t="shared" si="20"/>
        <v>1395</v>
      </c>
    </row>
    <row r="1209" spans="1:21" ht="37.5" customHeight="1" x14ac:dyDescent="0.25">
      <c r="A1209" s="23">
        <v>45015</v>
      </c>
      <c r="B1209" s="13">
        <v>13</v>
      </c>
      <c r="C1209" t="s">
        <v>3</v>
      </c>
      <c r="D1209" t="s">
        <v>4</v>
      </c>
      <c r="E1209" t="s">
        <v>21</v>
      </c>
      <c r="F1209" s="6">
        <v>201167501</v>
      </c>
      <c r="G1209" t="s">
        <v>863</v>
      </c>
      <c r="H1209" t="s">
        <v>49</v>
      </c>
      <c r="I1209">
        <v>0</v>
      </c>
      <c r="J1209">
        <v>0</v>
      </c>
      <c r="K1209">
        <v>0</v>
      </c>
      <c r="L1209">
        <v>0</v>
      </c>
      <c r="M1209">
        <v>0.22</v>
      </c>
      <c r="N1209" s="7" t="e">
        <f>VLOOKUP(F1209,HC!A$6:D$100,3,FALSE)</f>
        <v>#N/A</v>
      </c>
      <c r="O1209" s="7" t="str">
        <f>VLOOKUP(F1209,HC!A$6:D$1000,2,FALSE)</f>
        <v>wguanajr</v>
      </c>
      <c r="P1209" t="s">
        <v>662</v>
      </c>
      <c r="Q1209" s="7" t="s">
        <v>702</v>
      </c>
      <c r="U1209">
        <f t="shared" si="20"/>
        <v>36</v>
      </c>
    </row>
    <row r="1210" spans="1:21" ht="37.5" customHeight="1" x14ac:dyDescent="0.25">
      <c r="A1210" s="23">
        <v>45015</v>
      </c>
      <c r="B1210" s="13">
        <v>13</v>
      </c>
      <c r="C1210" t="s">
        <v>3</v>
      </c>
      <c r="D1210" t="s">
        <v>4</v>
      </c>
      <c r="E1210" t="s">
        <v>21</v>
      </c>
      <c r="F1210" s="6">
        <v>201186621</v>
      </c>
      <c r="G1210" t="s">
        <v>915</v>
      </c>
      <c r="H1210" t="s">
        <v>298</v>
      </c>
      <c r="I1210">
        <v>0</v>
      </c>
      <c r="J1210">
        <v>0</v>
      </c>
      <c r="K1210">
        <v>0</v>
      </c>
      <c r="L1210">
        <v>0</v>
      </c>
      <c r="M1210">
        <v>0.43</v>
      </c>
      <c r="N1210" s="7" t="e">
        <f>VLOOKUP(F1210,HC!A$6:D$100,3,FALSE)</f>
        <v>#N/A</v>
      </c>
      <c r="O1210" s="7" t="e">
        <f>VLOOKUP(F1210,HC!A$6:D$1000,2,FALSE)</f>
        <v>#N/A</v>
      </c>
      <c r="P1210" t="s">
        <v>662</v>
      </c>
      <c r="Q1210" s="7" t="s">
        <v>702</v>
      </c>
      <c r="U1210">
        <f t="shared" si="20"/>
        <v>1395</v>
      </c>
    </row>
    <row r="1211" spans="1:21" ht="37.5" customHeight="1" x14ac:dyDescent="0.25">
      <c r="A1211" s="23">
        <v>45015</v>
      </c>
      <c r="B1211" s="13">
        <v>13</v>
      </c>
      <c r="C1211" t="s">
        <v>3</v>
      </c>
      <c r="D1211" t="s">
        <v>4</v>
      </c>
      <c r="E1211" t="s">
        <v>21</v>
      </c>
      <c r="F1211" s="6">
        <v>201205615</v>
      </c>
      <c r="G1211" t="s">
        <v>919</v>
      </c>
      <c r="H1211" t="s">
        <v>44</v>
      </c>
      <c r="I1211">
        <v>0</v>
      </c>
      <c r="J1211">
        <v>0</v>
      </c>
      <c r="K1211">
        <v>0</v>
      </c>
      <c r="L1211">
        <v>0</v>
      </c>
      <c r="M1211">
        <v>0.56000000000000005</v>
      </c>
      <c r="N1211" s="7" t="e">
        <f>VLOOKUP(F1211,HC!A$6:D$100,3,FALSE)</f>
        <v>#N/A</v>
      </c>
      <c r="O1211" s="7" t="e">
        <f>VLOOKUP(F1211,HC!A$6:D$1000,2,FALSE)</f>
        <v>#N/A</v>
      </c>
      <c r="P1211" t="s">
        <v>662</v>
      </c>
      <c r="Q1211" s="7" t="s">
        <v>757</v>
      </c>
      <c r="U1211">
        <f t="shared" si="20"/>
        <v>1395</v>
      </c>
    </row>
    <row r="1212" spans="1:21" ht="37.5" customHeight="1" x14ac:dyDescent="0.25">
      <c r="A1212" s="23">
        <v>45016</v>
      </c>
      <c r="B1212" s="13">
        <v>13</v>
      </c>
      <c r="C1212" t="s">
        <v>3</v>
      </c>
      <c r="D1212" t="s">
        <v>4</v>
      </c>
      <c r="E1212" t="s">
        <v>5</v>
      </c>
      <c r="F1212" s="6">
        <v>112912675</v>
      </c>
      <c r="G1212" t="s">
        <v>326</v>
      </c>
      <c r="H1212" t="s">
        <v>268</v>
      </c>
      <c r="I1212">
        <v>0</v>
      </c>
      <c r="J1212">
        <v>0</v>
      </c>
      <c r="K1212">
        <v>0</v>
      </c>
      <c r="L1212">
        <v>0</v>
      </c>
      <c r="M1212">
        <v>0.24</v>
      </c>
      <c r="N1212" s="7" t="e">
        <f>VLOOKUP(F1212,HC!A$6:D$100,3,FALSE)</f>
        <v>#N/A</v>
      </c>
      <c r="O1212" s="7" t="e">
        <f>VLOOKUP(F1212,HC!A$6:D$1000,2,FALSE)</f>
        <v>#N/A</v>
      </c>
      <c r="Q1212" s="7"/>
      <c r="U1212">
        <f t="shared" si="20"/>
        <v>1395</v>
      </c>
    </row>
    <row r="1213" spans="1:21" ht="37.5" customHeight="1" x14ac:dyDescent="0.25">
      <c r="A1213" s="23">
        <v>45016</v>
      </c>
      <c r="B1213" s="13">
        <v>13</v>
      </c>
      <c r="C1213" t="s">
        <v>3</v>
      </c>
      <c r="D1213" t="s">
        <v>4</v>
      </c>
      <c r="E1213" t="s">
        <v>5</v>
      </c>
      <c r="F1213" s="6">
        <v>112916497</v>
      </c>
      <c r="G1213" t="s">
        <v>608</v>
      </c>
      <c r="H1213" t="s">
        <v>250</v>
      </c>
      <c r="I1213">
        <v>0</v>
      </c>
      <c r="J1213">
        <v>0</v>
      </c>
      <c r="K1213">
        <v>0</v>
      </c>
      <c r="L1213">
        <v>0</v>
      </c>
      <c r="M1213">
        <v>1.24</v>
      </c>
      <c r="N1213" s="7" t="e">
        <f>VLOOKUP(F1213,HC!A$6:D$100,3,FALSE)</f>
        <v>#N/A</v>
      </c>
      <c r="O1213" s="7" t="e">
        <f>VLOOKUP(F1213,HC!A$6:D$1000,2,FALSE)</f>
        <v>#N/A</v>
      </c>
      <c r="P1213" t="s">
        <v>662</v>
      </c>
      <c r="Q1213" s="7" t="s">
        <v>757</v>
      </c>
      <c r="U1213">
        <f t="shared" si="20"/>
        <v>1395</v>
      </c>
    </row>
    <row r="1214" spans="1:21" ht="37.5" customHeight="1" x14ac:dyDescent="0.25">
      <c r="A1214" s="23">
        <v>45016</v>
      </c>
      <c r="B1214" s="13">
        <v>13</v>
      </c>
      <c r="C1214" t="s">
        <v>3</v>
      </c>
      <c r="D1214" t="s">
        <v>4</v>
      </c>
      <c r="E1214" t="s">
        <v>5</v>
      </c>
      <c r="F1214" s="6">
        <v>112971980</v>
      </c>
      <c r="G1214" t="s">
        <v>445</v>
      </c>
      <c r="H1214" t="s">
        <v>282</v>
      </c>
      <c r="I1214">
        <v>0</v>
      </c>
      <c r="J1214">
        <v>0</v>
      </c>
      <c r="K1214">
        <v>0</v>
      </c>
      <c r="L1214">
        <v>0</v>
      </c>
      <c r="M1214">
        <v>0.41</v>
      </c>
      <c r="N1214" s="7" t="str">
        <f>VLOOKUP(F1214,HC!A$6:D$100,3,FALSE)</f>
        <v>DC-X0700</v>
      </c>
      <c r="O1214" s="7" t="str">
        <f>VLOOKUP(F1214,HC!A$6:D$1000,2,FALSE)</f>
        <v>cdanirom</v>
      </c>
      <c r="P1214" t="s">
        <v>661</v>
      </c>
      <c r="Q1214" s="7" t="s">
        <v>681</v>
      </c>
      <c r="U1214">
        <f t="shared" si="20"/>
        <v>25</v>
      </c>
    </row>
    <row r="1215" spans="1:21" ht="37.5" customHeight="1" x14ac:dyDescent="0.25">
      <c r="A1215" s="23">
        <v>45016</v>
      </c>
      <c r="B1215" s="13">
        <v>13</v>
      </c>
      <c r="C1215" t="s">
        <v>3</v>
      </c>
      <c r="D1215" t="s">
        <v>4</v>
      </c>
      <c r="E1215" t="s">
        <v>5</v>
      </c>
      <c r="F1215" s="6">
        <v>113003679</v>
      </c>
      <c r="G1215" t="s">
        <v>444</v>
      </c>
      <c r="H1215" t="s">
        <v>7</v>
      </c>
      <c r="I1215">
        <v>0</v>
      </c>
      <c r="J1215">
        <v>0</v>
      </c>
      <c r="K1215">
        <v>0</v>
      </c>
      <c r="L1215">
        <v>0</v>
      </c>
      <c r="M1215">
        <v>0.24</v>
      </c>
      <c r="N1215" s="7" t="e">
        <f>VLOOKUP(F1215,HC!A$6:D$100,3,FALSE)</f>
        <v>#N/A</v>
      </c>
      <c r="O1215" s="7" t="e">
        <f>VLOOKUP(F1215,HC!A$6:D$1000,2,FALSE)</f>
        <v>#N/A</v>
      </c>
      <c r="P1215" t="s">
        <v>663</v>
      </c>
      <c r="Q1215" s="7" t="s">
        <v>707</v>
      </c>
      <c r="U1215">
        <f t="shared" si="20"/>
        <v>1395</v>
      </c>
    </row>
    <row r="1216" spans="1:21" ht="37.5" customHeight="1" x14ac:dyDescent="0.25">
      <c r="A1216" s="23">
        <v>45016</v>
      </c>
      <c r="B1216" s="13">
        <v>13</v>
      </c>
      <c r="C1216" t="s">
        <v>3</v>
      </c>
      <c r="D1216" t="s">
        <v>4</v>
      </c>
      <c r="E1216" t="s">
        <v>5</v>
      </c>
      <c r="F1216" s="6">
        <v>113014092</v>
      </c>
      <c r="G1216" t="s">
        <v>552</v>
      </c>
      <c r="H1216" t="s">
        <v>298</v>
      </c>
      <c r="I1216">
        <v>0</v>
      </c>
      <c r="J1216">
        <v>0</v>
      </c>
      <c r="K1216">
        <v>0</v>
      </c>
      <c r="L1216">
        <v>0</v>
      </c>
      <c r="M1216">
        <v>0.68</v>
      </c>
      <c r="N1216" s="7" t="e">
        <f>VLOOKUP(F1216,HC!A$6:D$100,3,FALSE)</f>
        <v>#N/A</v>
      </c>
      <c r="O1216" s="7" t="str">
        <f>VLOOKUP(F1216,HC!A$6:D$1000,2,FALSE)</f>
        <v>rsanccri</v>
      </c>
      <c r="P1216" t="s">
        <v>664</v>
      </c>
      <c r="Q1216" s="7" t="s">
        <v>709</v>
      </c>
      <c r="U1216">
        <f t="shared" si="20"/>
        <v>11</v>
      </c>
    </row>
    <row r="1217" spans="1:21" ht="37.5" customHeight="1" x14ac:dyDescent="0.25">
      <c r="A1217" s="23">
        <v>45016</v>
      </c>
      <c r="B1217" s="13">
        <v>13</v>
      </c>
      <c r="C1217" t="s">
        <v>3</v>
      </c>
      <c r="D1217" t="s">
        <v>4</v>
      </c>
      <c r="E1217" t="s">
        <v>5</v>
      </c>
      <c r="F1217" s="6">
        <v>113019042</v>
      </c>
      <c r="G1217" t="s">
        <v>655</v>
      </c>
      <c r="H1217" t="s">
        <v>285</v>
      </c>
      <c r="I1217">
        <v>0</v>
      </c>
      <c r="J1217">
        <v>0</v>
      </c>
      <c r="K1217">
        <v>0</v>
      </c>
      <c r="L1217">
        <v>0</v>
      </c>
      <c r="M1217">
        <v>0.19</v>
      </c>
      <c r="N1217" s="7" t="e">
        <f>VLOOKUP(F1217,HC!A$6:D$100,3,FALSE)</f>
        <v>#N/A</v>
      </c>
      <c r="O1217" s="7" t="e">
        <f>VLOOKUP(F1217,HC!A$6:D$1000,2,FALSE)</f>
        <v>#N/A</v>
      </c>
      <c r="P1217" t="s">
        <v>664</v>
      </c>
      <c r="Q1217" s="7" t="s">
        <v>716</v>
      </c>
      <c r="U1217">
        <f t="shared" si="20"/>
        <v>1395</v>
      </c>
    </row>
    <row r="1218" spans="1:21" ht="37.5" customHeight="1" x14ac:dyDescent="0.25">
      <c r="A1218" s="23">
        <v>45016</v>
      </c>
      <c r="B1218" s="13">
        <v>13</v>
      </c>
      <c r="C1218" t="s">
        <v>3</v>
      </c>
      <c r="D1218" t="s">
        <v>4</v>
      </c>
      <c r="E1218" t="s">
        <v>21</v>
      </c>
      <c r="F1218" s="6">
        <v>200564845</v>
      </c>
      <c r="G1218" t="s">
        <v>440</v>
      </c>
      <c r="H1218" t="s">
        <v>7</v>
      </c>
      <c r="I1218">
        <v>0</v>
      </c>
      <c r="J1218">
        <v>0</v>
      </c>
      <c r="K1218">
        <v>0</v>
      </c>
      <c r="L1218">
        <v>0</v>
      </c>
      <c r="M1218">
        <v>0.47</v>
      </c>
      <c r="N1218" s="7" t="e">
        <f>VLOOKUP(F1218,HC!A$6:D$100,3,FALSE)</f>
        <v>#N/A</v>
      </c>
      <c r="O1218" s="7" t="e">
        <f>VLOOKUP(F1218,HC!A$6:D$1000,2,FALSE)</f>
        <v>#N/A</v>
      </c>
      <c r="P1218" t="s">
        <v>663</v>
      </c>
      <c r="Q1218" s="7" t="s">
        <v>695</v>
      </c>
      <c r="U1218">
        <f t="shared" si="20"/>
        <v>1395</v>
      </c>
    </row>
    <row r="1219" spans="1:21" ht="37.5" customHeight="1" x14ac:dyDescent="0.25">
      <c r="A1219" s="23">
        <v>45016</v>
      </c>
      <c r="B1219" s="13">
        <v>13</v>
      </c>
      <c r="C1219" t="s">
        <v>3</v>
      </c>
      <c r="D1219" t="s">
        <v>4</v>
      </c>
      <c r="E1219" t="s">
        <v>21</v>
      </c>
      <c r="F1219" s="6">
        <v>200589316</v>
      </c>
      <c r="G1219" t="s">
        <v>53</v>
      </c>
      <c r="H1219" t="s">
        <v>7</v>
      </c>
      <c r="I1219">
        <v>0</v>
      </c>
      <c r="J1219">
        <v>0</v>
      </c>
      <c r="K1219">
        <v>0</v>
      </c>
      <c r="L1219">
        <v>0</v>
      </c>
      <c r="M1219">
        <v>0.23</v>
      </c>
      <c r="N1219" s="7" t="e">
        <f>VLOOKUP(F1219,HC!A$6:D$100,3,FALSE)</f>
        <v>#N/A</v>
      </c>
      <c r="O1219" s="7" t="e">
        <f>VLOOKUP(F1219,HC!A$6:D$1000,2,FALSE)</f>
        <v>#N/A</v>
      </c>
      <c r="P1219" t="s">
        <v>661</v>
      </c>
      <c r="Q1219" s="7" t="s">
        <v>681</v>
      </c>
      <c r="U1219">
        <f t="shared" ref="U1219:U1282" si="21">COUNTIF(O$2:O$4999,O1219)</f>
        <v>1395</v>
      </c>
    </row>
    <row r="1220" spans="1:21" ht="37.5" customHeight="1" x14ac:dyDescent="0.25">
      <c r="A1220" s="23">
        <v>45016</v>
      </c>
      <c r="B1220" s="13">
        <v>13</v>
      </c>
      <c r="C1220" t="s">
        <v>3</v>
      </c>
      <c r="D1220" t="s">
        <v>4</v>
      </c>
      <c r="E1220" t="s">
        <v>21</v>
      </c>
      <c r="F1220" s="6">
        <v>200614224</v>
      </c>
      <c r="G1220" t="s">
        <v>322</v>
      </c>
      <c r="H1220" t="s">
        <v>17</v>
      </c>
      <c r="I1220">
        <v>0</v>
      </c>
      <c r="J1220">
        <v>0</v>
      </c>
      <c r="K1220">
        <v>0</v>
      </c>
      <c r="L1220">
        <v>0</v>
      </c>
      <c r="M1220">
        <v>0.46</v>
      </c>
      <c r="N1220" s="7" t="e">
        <f>VLOOKUP(F1220,HC!A$6:D$100,3,FALSE)</f>
        <v>#N/A</v>
      </c>
      <c r="O1220" s="7" t="e">
        <f>VLOOKUP(F1220,HC!A$6:D$1000,2,FALSE)</f>
        <v>#N/A</v>
      </c>
      <c r="P1220" t="s">
        <v>662</v>
      </c>
      <c r="Q1220" s="7" t="s">
        <v>690</v>
      </c>
      <c r="U1220">
        <f t="shared" si="21"/>
        <v>1395</v>
      </c>
    </row>
    <row r="1221" spans="1:21" ht="37.5" customHeight="1" x14ac:dyDescent="0.25">
      <c r="A1221" s="23">
        <v>45016</v>
      </c>
      <c r="B1221" s="13">
        <v>13</v>
      </c>
      <c r="C1221" t="s">
        <v>3</v>
      </c>
      <c r="D1221" t="s">
        <v>4</v>
      </c>
      <c r="E1221" t="s">
        <v>21</v>
      </c>
      <c r="F1221" s="6">
        <v>200625528</v>
      </c>
      <c r="G1221" t="s">
        <v>607</v>
      </c>
      <c r="H1221" t="s">
        <v>47</v>
      </c>
      <c r="I1221">
        <v>0</v>
      </c>
      <c r="J1221">
        <v>0</v>
      </c>
      <c r="K1221">
        <v>0</v>
      </c>
      <c r="L1221">
        <v>0</v>
      </c>
      <c r="M1221">
        <v>0.13</v>
      </c>
      <c r="N1221" s="7" t="e">
        <f>VLOOKUP(F1221,HC!A$6:D$100,3,FALSE)</f>
        <v>#N/A</v>
      </c>
      <c r="O1221" s="7" t="str">
        <f>VLOOKUP(F1221,HC!A$6:D$1000,2,FALSE)</f>
        <v>olivlizb</v>
      </c>
      <c r="P1221" t="s">
        <v>661</v>
      </c>
      <c r="Q1221" s="7" t="s">
        <v>681</v>
      </c>
      <c r="U1221">
        <f t="shared" si="21"/>
        <v>50</v>
      </c>
    </row>
    <row r="1222" spans="1:21" ht="37.5" customHeight="1" x14ac:dyDescent="0.25">
      <c r="A1222" s="23">
        <v>45016</v>
      </c>
      <c r="B1222" s="13">
        <v>13</v>
      </c>
      <c r="C1222" t="s">
        <v>3</v>
      </c>
      <c r="D1222" t="s">
        <v>4</v>
      </c>
      <c r="E1222" t="s">
        <v>21</v>
      </c>
      <c r="F1222" s="6">
        <v>201191390</v>
      </c>
      <c r="G1222" t="s">
        <v>916</v>
      </c>
      <c r="H1222" t="s">
        <v>298</v>
      </c>
      <c r="I1222">
        <v>0</v>
      </c>
      <c r="J1222">
        <v>0</v>
      </c>
      <c r="K1222">
        <v>0</v>
      </c>
      <c r="L1222">
        <v>0</v>
      </c>
      <c r="M1222">
        <v>14.09</v>
      </c>
      <c r="N1222" s="7" t="e">
        <f>VLOOKUP(F1222,HC!A$6:D$100,3,FALSE)</f>
        <v>#N/A</v>
      </c>
      <c r="O1222" s="7" t="str">
        <f>VLOOKUP(F1222,HC!A$6:D$1000,2,FALSE)</f>
        <v>bgajesus</v>
      </c>
      <c r="P1222" t="s">
        <v>664</v>
      </c>
      <c r="Q1222" s="7" t="s">
        <v>716</v>
      </c>
      <c r="U1222">
        <f t="shared" si="21"/>
        <v>37</v>
      </c>
    </row>
    <row r="1223" spans="1:21" ht="37.5" customHeight="1" x14ac:dyDescent="0.25">
      <c r="A1223" s="23">
        <v>45016</v>
      </c>
      <c r="B1223" s="13">
        <v>13</v>
      </c>
      <c r="C1223" t="s">
        <v>3</v>
      </c>
      <c r="D1223" t="s">
        <v>4</v>
      </c>
      <c r="E1223" t="s">
        <v>21</v>
      </c>
      <c r="F1223" s="6">
        <v>201198370</v>
      </c>
      <c r="G1223" t="s">
        <v>931</v>
      </c>
      <c r="H1223" t="s">
        <v>17</v>
      </c>
      <c r="I1223">
        <v>0</v>
      </c>
      <c r="J1223">
        <v>0</v>
      </c>
      <c r="K1223">
        <v>0</v>
      </c>
      <c r="L1223">
        <v>0</v>
      </c>
      <c r="M1223">
        <v>0.57999999999999996</v>
      </c>
      <c r="N1223" s="7" t="e">
        <f>VLOOKUP(F1223,HC!A$6:D$100,3,FALSE)</f>
        <v>#N/A</v>
      </c>
      <c r="O1223" s="7" t="e">
        <f>VLOOKUP(F1223,HC!A$6:D$1000,2,FALSE)</f>
        <v>#N/A</v>
      </c>
      <c r="P1223" t="s">
        <v>661</v>
      </c>
      <c r="Q1223" s="7" t="s">
        <v>684</v>
      </c>
      <c r="U1223">
        <f t="shared" si="21"/>
        <v>1395</v>
      </c>
    </row>
    <row r="1224" spans="1:21" ht="37.5" customHeight="1" x14ac:dyDescent="0.25">
      <c r="A1224" s="23">
        <v>45016</v>
      </c>
      <c r="B1224" s="13">
        <v>13</v>
      </c>
      <c r="C1224" t="s">
        <v>3</v>
      </c>
      <c r="D1224" t="s">
        <v>4</v>
      </c>
      <c r="E1224" t="s">
        <v>21</v>
      </c>
      <c r="F1224" s="6">
        <v>201198890</v>
      </c>
      <c r="G1224" t="s">
        <v>917</v>
      </c>
      <c r="H1224" t="s">
        <v>268</v>
      </c>
      <c r="I1224">
        <v>0</v>
      </c>
      <c r="J1224">
        <v>0</v>
      </c>
      <c r="K1224">
        <v>0</v>
      </c>
      <c r="L1224">
        <v>0</v>
      </c>
      <c r="M1224">
        <v>0.11</v>
      </c>
      <c r="N1224" s="7" t="e">
        <f>VLOOKUP(F1224,HC!A$6:D$100,3,FALSE)</f>
        <v>#N/A</v>
      </c>
      <c r="O1224" s="7" t="e">
        <f>VLOOKUP(F1224,HC!A$6:D$1000,2,FALSE)</f>
        <v>#N/A</v>
      </c>
      <c r="P1224" t="s">
        <v>664</v>
      </c>
      <c r="Q1224" s="7" t="s">
        <v>777</v>
      </c>
      <c r="U1224">
        <f t="shared" si="21"/>
        <v>1395</v>
      </c>
    </row>
    <row r="1225" spans="1:21" ht="37.5" customHeight="1" x14ac:dyDescent="0.25">
      <c r="A1225" s="23">
        <v>45016</v>
      </c>
      <c r="B1225" s="13">
        <v>13</v>
      </c>
      <c r="C1225" t="s">
        <v>3</v>
      </c>
      <c r="D1225" t="s">
        <v>4</v>
      </c>
      <c r="E1225" t="s">
        <v>21</v>
      </c>
      <c r="F1225" s="6">
        <v>201219225</v>
      </c>
      <c r="G1225" t="s">
        <v>925</v>
      </c>
      <c r="H1225" t="s">
        <v>49</v>
      </c>
      <c r="I1225">
        <v>0</v>
      </c>
      <c r="J1225">
        <v>0</v>
      </c>
      <c r="K1225">
        <v>0</v>
      </c>
      <c r="L1225">
        <v>0</v>
      </c>
      <c r="M1225">
        <v>0.83</v>
      </c>
      <c r="N1225" s="7" t="e">
        <f>VLOOKUP(F1225,HC!A$6:D$100,3,FALSE)</f>
        <v>#N/A</v>
      </c>
      <c r="O1225" s="7" t="e">
        <f>VLOOKUP(F1225,HC!A$6:D$1000,2,FALSE)</f>
        <v>#N/A</v>
      </c>
      <c r="P1225" t="s">
        <v>661</v>
      </c>
      <c r="Q1225" s="7" t="s">
        <v>684</v>
      </c>
      <c r="U1225">
        <f t="shared" si="21"/>
        <v>1395</v>
      </c>
    </row>
    <row r="1226" spans="1:21" ht="37.5" customHeight="1" x14ac:dyDescent="0.25">
      <c r="A1226" s="23">
        <v>45016</v>
      </c>
      <c r="B1226" s="13">
        <v>13</v>
      </c>
      <c r="C1226" t="s">
        <v>3</v>
      </c>
      <c r="D1226" t="s">
        <v>4</v>
      </c>
      <c r="E1226" t="s">
        <v>21</v>
      </c>
      <c r="F1226" s="6">
        <v>201221772</v>
      </c>
      <c r="G1226" t="s">
        <v>932</v>
      </c>
      <c r="H1226" t="s">
        <v>49</v>
      </c>
      <c r="I1226">
        <v>0</v>
      </c>
      <c r="J1226">
        <v>0</v>
      </c>
      <c r="K1226">
        <v>0</v>
      </c>
      <c r="L1226">
        <v>0</v>
      </c>
      <c r="M1226">
        <v>1.44</v>
      </c>
      <c r="N1226" s="7" t="e">
        <f>VLOOKUP(F1226,HC!A$6:D$100,3,FALSE)</f>
        <v>#N/A</v>
      </c>
      <c r="O1226" s="7" t="str">
        <f>VLOOKUP(F1226,HC!A$6:D$1000,2,FALSE)</f>
        <v>godariah</v>
      </c>
      <c r="P1226" t="s">
        <v>661</v>
      </c>
      <c r="Q1226" s="7" t="s">
        <v>684</v>
      </c>
      <c r="U1226">
        <f t="shared" si="21"/>
        <v>2</v>
      </c>
    </row>
    <row r="1227" spans="1:21" ht="37.5" customHeight="1" x14ac:dyDescent="0.25">
      <c r="A1227" s="23">
        <v>45016</v>
      </c>
      <c r="B1227" s="13">
        <v>13</v>
      </c>
      <c r="C1227" t="s">
        <v>3</v>
      </c>
      <c r="D1227" t="s">
        <v>4</v>
      </c>
      <c r="E1227" t="s">
        <v>21</v>
      </c>
      <c r="F1227" s="6">
        <v>201223730</v>
      </c>
      <c r="G1227" t="s">
        <v>933</v>
      </c>
      <c r="H1227" t="s">
        <v>846</v>
      </c>
      <c r="I1227">
        <v>0</v>
      </c>
      <c r="J1227">
        <v>0</v>
      </c>
      <c r="K1227">
        <v>0</v>
      </c>
      <c r="L1227">
        <v>0</v>
      </c>
      <c r="M1227">
        <v>0.14000000000000001</v>
      </c>
      <c r="N1227" s="7" t="e">
        <f>VLOOKUP(F1227,HC!A$6:D$100,3,FALSE)</f>
        <v>#N/A</v>
      </c>
      <c r="O1227" s="7" t="str">
        <f>VLOOKUP(F1227,HC!A$6:D$1000,2,FALSE)</f>
        <v>cesarito</v>
      </c>
      <c r="Q1227" s="7"/>
      <c r="U1227">
        <f t="shared" si="21"/>
        <v>39</v>
      </c>
    </row>
    <row r="1228" spans="1:21" ht="37.5" customHeight="1" x14ac:dyDescent="0.25">
      <c r="A1228" s="24">
        <v>45017</v>
      </c>
      <c r="B1228" s="13">
        <v>13</v>
      </c>
      <c r="C1228" t="s">
        <v>3</v>
      </c>
      <c r="D1228" t="s">
        <v>4</v>
      </c>
      <c r="E1228" t="s">
        <v>5</v>
      </c>
      <c r="F1228" s="6">
        <v>112912464</v>
      </c>
      <c r="G1228" t="s">
        <v>531</v>
      </c>
      <c r="H1228" t="s">
        <v>459</v>
      </c>
      <c r="I1228">
        <v>0</v>
      </c>
      <c r="J1228">
        <v>0</v>
      </c>
      <c r="K1228">
        <v>0</v>
      </c>
      <c r="L1228">
        <v>0</v>
      </c>
      <c r="M1228">
        <v>0.21</v>
      </c>
      <c r="N1228" s="7" t="e">
        <f>VLOOKUP(F1228,HC!A$6:D$100,3,FALSE)</f>
        <v>#N/A</v>
      </c>
      <c r="O1228" s="7" t="e">
        <f>VLOOKUP(F1228,HC!A$6:D$1000,2,FALSE)</f>
        <v>#N/A</v>
      </c>
      <c r="P1228" t="s">
        <v>664</v>
      </c>
      <c r="Q1228" s="7" t="s">
        <v>711</v>
      </c>
      <c r="U1228">
        <f t="shared" si="21"/>
        <v>1395</v>
      </c>
    </row>
    <row r="1229" spans="1:21" ht="37.5" customHeight="1" x14ac:dyDescent="0.25">
      <c r="A1229" s="24">
        <v>45017</v>
      </c>
      <c r="B1229" s="13">
        <v>13</v>
      </c>
      <c r="C1229" t="s">
        <v>3</v>
      </c>
      <c r="D1229" t="s">
        <v>4</v>
      </c>
      <c r="E1229" t="s">
        <v>5</v>
      </c>
      <c r="F1229" s="6">
        <v>112973049</v>
      </c>
      <c r="G1229" t="s">
        <v>314</v>
      </c>
      <c r="H1229" t="s">
        <v>298</v>
      </c>
      <c r="I1229">
        <v>0</v>
      </c>
      <c r="J1229">
        <v>0</v>
      </c>
      <c r="K1229">
        <v>0</v>
      </c>
      <c r="L1229">
        <v>0</v>
      </c>
      <c r="M1229">
        <v>0.13</v>
      </c>
      <c r="N1229" s="7" t="str">
        <f>VLOOKUP(F1229,HC!A$6:D$100,3,FALSE)</f>
        <v>DB-X0700</v>
      </c>
      <c r="O1229" s="7" t="str">
        <f>VLOOKUP(F1229,HC!A$6:D$1000,2,FALSE)</f>
        <v>afatimae</v>
      </c>
      <c r="Q1229" s="7"/>
      <c r="U1229">
        <f t="shared" si="21"/>
        <v>29</v>
      </c>
    </row>
    <row r="1230" spans="1:21" ht="37.5" customHeight="1" x14ac:dyDescent="0.25">
      <c r="A1230" s="24">
        <v>45017</v>
      </c>
      <c r="B1230" s="13">
        <v>13</v>
      </c>
      <c r="C1230" t="s">
        <v>3</v>
      </c>
      <c r="D1230" t="s">
        <v>4</v>
      </c>
      <c r="E1230" t="s">
        <v>5</v>
      </c>
      <c r="F1230" s="6">
        <v>113014092</v>
      </c>
      <c r="G1230" t="s">
        <v>552</v>
      </c>
      <c r="H1230" t="s">
        <v>298</v>
      </c>
      <c r="I1230">
        <v>0</v>
      </c>
      <c r="J1230">
        <v>0</v>
      </c>
      <c r="K1230">
        <v>0</v>
      </c>
      <c r="L1230">
        <v>0</v>
      </c>
      <c r="M1230">
        <v>0.21</v>
      </c>
      <c r="N1230" s="7" t="e">
        <f>VLOOKUP(F1230,HC!A$6:D$100,3,FALSE)</f>
        <v>#N/A</v>
      </c>
      <c r="O1230" s="7" t="str">
        <f>VLOOKUP(F1230,HC!A$6:D$1000,2,FALSE)</f>
        <v>rsanccri</v>
      </c>
      <c r="P1230" t="s">
        <v>664</v>
      </c>
      <c r="Q1230" s="7" t="s">
        <v>709</v>
      </c>
      <c r="U1230">
        <f t="shared" si="21"/>
        <v>11</v>
      </c>
    </row>
    <row r="1231" spans="1:21" ht="37.5" customHeight="1" x14ac:dyDescent="0.25">
      <c r="A1231" s="24">
        <v>45017</v>
      </c>
      <c r="B1231" s="13">
        <v>13</v>
      </c>
      <c r="C1231" t="s">
        <v>3</v>
      </c>
      <c r="D1231" t="s">
        <v>4</v>
      </c>
      <c r="E1231" t="s">
        <v>5</v>
      </c>
      <c r="F1231" s="6">
        <v>113040585</v>
      </c>
      <c r="G1231" t="s">
        <v>934</v>
      </c>
      <c r="H1231" t="s">
        <v>7</v>
      </c>
      <c r="I1231">
        <v>0</v>
      </c>
      <c r="J1231">
        <v>0</v>
      </c>
      <c r="K1231">
        <v>0</v>
      </c>
      <c r="L1231">
        <v>0</v>
      </c>
      <c r="M1231">
        <v>0.3</v>
      </c>
      <c r="N1231" s="7" t="e">
        <f>VLOOKUP(F1231,HC!A$6:D$100,3,FALSE)</f>
        <v>#N/A</v>
      </c>
      <c r="O1231" s="7" t="e">
        <f>VLOOKUP(F1231,HC!A$6:D$1000,2,FALSE)</f>
        <v>#N/A</v>
      </c>
      <c r="P1231" t="s">
        <v>670</v>
      </c>
      <c r="Q1231" s="7" t="s">
        <v>746</v>
      </c>
      <c r="R1231" t="s">
        <v>939</v>
      </c>
      <c r="U1231">
        <f t="shared" si="21"/>
        <v>1395</v>
      </c>
    </row>
    <row r="1232" spans="1:21" ht="37.5" customHeight="1" x14ac:dyDescent="0.25">
      <c r="A1232" s="24">
        <v>45017</v>
      </c>
      <c r="B1232" s="13">
        <v>13</v>
      </c>
      <c r="C1232" t="s">
        <v>3</v>
      </c>
      <c r="D1232" t="s">
        <v>4</v>
      </c>
      <c r="E1232" t="s">
        <v>21</v>
      </c>
      <c r="F1232" s="6">
        <v>200508315</v>
      </c>
      <c r="G1232" t="s">
        <v>428</v>
      </c>
      <c r="H1232" t="s">
        <v>298</v>
      </c>
      <c r="I1232">
        <v>0</v>
      </c>
      <c r="J1232">
        <v>0</v>
      </c>
      <c r="K1232">
        <v>0</v>
      </c>
      <c r="L1232">
        <v>0</v>
      </c>
      <c r="M1232">
        <v>0.03</v>
      </c>
      <c r="N1232" s="7" t="e">
        <f>VLOOKUP(F1232,HC!A$6:D$100,3,FALSE)</f>
        <v>#N/A</v>
      </c>
      <c r="O1232" s="7" t="str">
        <f>VLOOKUP(F1232,HC!A$6:D$1000,2,FALSE)</f>
        <v>taldaher</v>
      </c>
      <c r="P1232" t="s">
        <v>661</v>
      </c>
      <c r="Q1232" s="7" t="s">
        <v>681</v>
      </c>
      <c r="U1232">
        <f t="shared" si="21"/>
        <v>18</v>
      </c>
    </row>
    <row r="1233" spans="1:21" ht="37.5" customHeight="1" x14ac:dyDescent="0.25">
      <c r="A1233" s="24">
        <v>45017</v>
      </c>
      <c r="B1233" s="13">
        <v>13</v>
      </c>
      <c r="C1233" t="s">
        <v>3</v>
      </c>
      <c r="D1233" t="s">
        <v>4</v>
      </c>
      <c r="E1233" t="s">
        <v>21</v>
      </c>
      <c r="F1233" s="6">
        <v>200614224</v>
      </c>
      <c r="G1233" t="s">
        <v>322</v>
      </c>
      <c r="H1233" t="s">
        <v>17</v>
      </c>
      <c r="I1233">
        <v>0</v>
      </c>
      <c r="J1233">
        <v>0</v>
      </c>
      <c r="K1233">
        <v>0</v>
      </c>
      <c r="L1233">
        <v>0</v>
      </c>
      <c r="M1233">
        <v>0.27</v>
      </c>
      <c r="N1233" s="7" t="e">
        <f>VLOOKUP(F1233,HC!A$6:D$100,3,FALSE)</f>
        <v>#N/A</v>
      </c>
      <c r="O1233" s="7" t="e">
        <f>VLOOKUP(F1233,HC!A$6:D$1000,2,FALSE)</f>
        <v>#N/A</v>
      </c>
      <c r="Q1233" s="7"/>
      <c r="U1233">
        <f t="shared" si="21"/>
        <v>1395</v>
      </c>
    </row>
    <row r="1234" spans="1:21" ht="37.5" customHeight="1" x14ac:dyDescent="0.25">
      <c r="A1234" s="24">
        <v>45017</v>
      </c>
      <c r="B1234" s="13">
        <v>13</v>
      </c>
      <c r="C1234" t="s">
        <v>3</v>
      </c>
      <c r="D1234" t="s">
        <v>4</v>
      </c>
      <c r="E1234" t="s">
        <v>21</v>
      </c>
      <c r="F1234" s="6">
        <v>200615883</v>
      </c>
      <c r="G1234" t="s">
        <v>508</v>
      </c>
      <c r="H1234" t="s">
        <v>7</v>
      </c>
      <c r="I1234">
        <v>0</v>
      </c>
      <c r="J1234">
        <v>0</v>
      </c>
      <c r="K1234">
        <v>0</v>
      </c>
      <c r="L1234">
        <v>0</v>
      </c>
      <c r="M1234">
        <v>0.11</v>
      </c>
      <c r="N1234" s="7" t="e">
        <f>VLOOKUP(F1234,HC!A$6:D$100,3,FALSE)</f>
        <v>#N/A</v>
      </c>
      <c r="O1234" s="7" t="e">
        <f>VLOOKUP(F1234,HC!A$6:D$1000,2,FALSE)</f>
        <v>#N/A</v>
      </c>
      <c r="P1234" t="s">
        <v>663</v>
      </c>
      <c r="Q1234" s="7" t="s">
        <v>705</v>
      </c>
      <c r="U1234">
        <f t="shared" si="21"/>
        <v>1395</v>
      </c>
    </row>
    <row r="1235" spans="1:21" ht="37.5" customHeight="1" x14ac:dyDescent="0.25">
      <c r="A1235" s="24">
        <v>45017</v>
      </c>
      <c r="B1235" s="13">
        <v>13</v>
      </c>
      <c r="C1235" t="s">
        <v>3</v>
      </c>
      <c r="D1235" t="s">
        <v>4</v>
      </c>
      <c r="E1235" t="s">
        <v>21</v>
      </c>
      <c r="F1235" s="6">
        <v>201167517</v>
      </c>
      <c r="G1235" t="s">
        <v>849</v>
      </c>
      <c r="H1235" t="s">
        <v>17</v>
      </c>
      <c r="I1235">
        <v>0</v>
      </c>
      <c r="J1235">
        <v>0</v>
      </c>
      <c r="K1235">
        <v>0</v>
      </c>
      <c r="L1235">
        <v>0</v>
      </c>
      <c r="M1235">
        <v>1.27</v>
      </c>
      <c r="N1235" s="7" t="e">
        <f>VLOOKUP(F1235,HC!A$6:D$100,3,FALSE)</f>
        <v>#N/A</v>
      </c>
      <c r="O1235" s="7" t="e">
        <f>VLOOKUP(F1235,HC!A$6:D$1000,2,FALSE)</f>
        <v>#N/A</v>
      </c>
      <c r="P1235" t="s">
        <v>661</v>
      </c>
      <c r="Q1235" s="7" t="s">
        <v>684</v>
      </c>
      <c r="U1235">
        <f t="shared" si="21"/>
        <v>1395</v>
      </c>
    </row>
    <row r="1236" spans="1:21" ht="37.5" customHeight="1" x14ac:dyDescent="0.25">
      <c r="A1236" s="24">
        <v>45017</v>
      </c>
      <c r="B1236" s="13">
        <v>13</v>
      </c>
      <c r="C1236" t="s">
        <v>3</v>
      </c>
      <c r="D1236" t="s">
        <v>4</v>
      </c>
      <c r="E1236" t="s">
        <v>21</v>
      </c>
      <c r="F1236" s="6">
        <v>201191390</v>
      </c>
      <c r="G1236" t="s">
        <v>916</v>
      </c>
      <c r="H1236" t="s">
        <v>298</v>
      </c>
      <c r="I1236">
        <v>0</v>
      </c>
      <c r="J1236">
        <v>0</v>
      </c>
      <c r="K1236">
        <v>0</v>
      </c>
      <c r="L1236">
        <v>0</v>
      </c>
      <c r="M1236">
        <v>10.09</v>
      </c>
      <c r="N1236" s="7" t="e">
        <f>VLOOKUP(F1236,HC!A$6:D$100,3,FALSE)</f>
        <v>#N/A</v>
      </c>
      <c r="O1236" s="7" t="str">
        <f>VLOOKUP(F1236,HC!A$6:D$1000,2,FALSE)</f>
        <v>bgajesus</v>
      </c>
      <c r="P1236" t="s">
        <v>664</v>
      </c>
      <c r="Q1236" s="7" t="s">
        <v>716</v>
      </c>
      <c r="U1236">
        <f t="shared" si="21"/>
        <v>37</v>
      </c>
    </row>
    <row r="1237" spans="1:21" ht="37.5" customHeight="1" x14ac:dyDescent="0.25">
      <c r="A1237" s="24">
        <v>45017</v>
      </c>
      <c r="B1237" s="13">
        <v>13</v>
      </c>
      <c r="C1237" t="s">
        <v>3</v>
      </c>
      <c r="D1237" t="s">
        <v>4</v>
      </c>
      <c r="E1237" t="s">
        <v>21</v>
      </c>
      <c r="F1237" s="6">
        <v>201198890</v>
      </c>
      <c r="G1237" t="s">
        <v>917</v>
      </c>
      <c r="H1237" t="s">
        <v>268</v>
      </c>
      <c r="I1237">
        <v>0</v>
      </c>
      <c r="J1237">
        <v>0</v>
      </c>
      <c r="K1237">
        <v>0</v>
      </c>
      <c r="L1237">
        <v>0</v>
      </c>
      <c r="M1237">
        <v>0.53</v>
      </c>
      <c r="N1237" s="7" t="e">
        <f>VLOOKUP(F1237,HC!A$6:D$100,3,FALSE)</f>
        <v>#N/A</v>
      </c>
      <c r="O1237" s="7" t="e">
        <f>VLOOKUP(F1237,HC!A$6:D$1000,2,FALSE)</f>
        <v>#N/A</v>
      </c>
      <c r="P1237" t="s">
        <v>664</v>
      </c>
      <c r="Q1237" s="7" t="s">
        <v>711</v>
      </c>
      <c r="U1237">
        <f t="shared" si="21"/>
        <v>1395</v>
      </c>
    </row>
    <row r="1238" spans="1:21" ht="37.5" customHeight="1" x14ac:dyDescent="0.25">
      <c r="A1238" s="24">
        <v>45017</v>
      </c>
      <c r="B1238" s="13">
        <v>13</v>
      </c>
      <c r="C1238" t="s">
        <v>3</v>
      </c>
      <c r="D1238" t="s">
        <v>4</v>
      </c>
      <c r="E1238" t="s">
        <v>21</v>
      </c>
      <c r="F1238" s="6">
        <v>201204937</v>
      </c>
      <c r="G1238" t="s">
        <v>935</v>
      </c>
      <c r="H1238" t="s">
        <v>17</v>
      </c>
      <c r="I1238">
        <v>0</v>
      </c>
      <c r="J1238">
        <v>0</v>
      </c>
      <c r="K1238">
        <v>0</v>
      </c>
      <c r="L1238">
        <v>0</v>
      </c>
      <c r="M1238">
        <v>0.78</v>
      </c>
      <c r="N1238" s="7" t="e">
        <f>VLOOKUP(F1238,HC!A$6:D$100,3,FALSE)</f>
        <v>#N/A</v>
      </c>
      <c r="O1238" s="7" t="e">
        <f>VLOOKUP(F1238,HC!A$6:D$1000,2,FALSE)</f>
        <v>#N/A</v>
      </c>
      <c r="P1238" t="s">
        <v>664</v>
      </c>
      <c r="Q1238" s="7" t="s">
        <v>716</v>
      </c>
      <c r="U1238">
        <f t="shared" si="21"/>
        <v>1395</v>
      </c>
    </row>
    <row r="1239" spans="1:21" ht="37.5" customHeight="1" x14ac:dyDescent="0.25">
      <c r="A1239" s="24">
        <v>45017</v>
      </c>
      <c r="B1239" s="13">
        <v>13</v>
      </c>
      <c r="C1239" t="s">
        <v>3</v>
      </c>
      <c r="D1239" t="s">
        <v>4</v>
      </c>
      <c r="E1239" t="s">
        <v>21</v>
      </c>
      <c r="F1239" s="6">
        <v>201211157</v>
      </c>
      <c r="G1239" t="s">
        <v>936</v>
      </c>
      <c r="H1239" t="s">
        <v>268</v>
      </c>
      <c r="I1239">
        <v>0</v>
      </c>
      <c r="J1239">
        <v>0</v>
      </c>
      <c r="K1239">
        <v>0</v>
      </c>
      <c r="L1239">
        <v>0</v>
      </c>
      <c r="M1239">
        <v>0.42</v>
      </c>
      <c r="N1239" s="7" t="e">
        <f>VLOOKUP(F1239,HC!A$6:D$100,3,FALSE)</f>
        <v>#N/A</v>
      </c>
      <c r="O1239" s="7" t="str">
        <f>VLOOKUP(F1239,HC!A$6:D$1000,2,FALSE)</f>
        <v>vargajed</v>
      </c>
      <c r="P1239" t="s">
        <v>661</v>
      </c>
      <c r="Q1239" s="7" t="s">
        <v>681</v>
      </c>
      <c r="U1239">
        <f t="shared" si="21"/>
        <v>17</v>
      </c>
    </row>
    <row r="1240" spans="1:21" ht="37.5" customHeight="1" x14ac:dyDescent="0.25">
      <c r="A1240" s="24">
        <v>45017</v>
      </c>
      <c r="B1240" s="13">
        <v>13</v>
      </c>
      <c r="C1240" t="s">
        <v>3</v>
      </c>
      <c r="D1240" t="s">
        <v>4</v>
      </c>
      <c r="E1240" t="s">
        <v>21</v>
      </c>
      <c r="F1240" s="6">
        <v>201219500</v>
      </c>
      <c r="G1240" t="s">
        <v>937</v>
      </c>
      <c r="H1240" t="s">
        <v>17</v>
      </c>
      <c r="I1240">
        <v>0</v>
      </c>
      <c r="J1240">
        <v>0</v>
      </c>
      <c r="K1240">
        <v>0</v>
      </c>
      <c r="L1240">
        <v>0</v>
      </c>
      <c r="M1240">
        <v>0.21</v>
      </c>
      <c r="N1240" s="7" t="e">
        <f>VLOOKUP(F1240,HC!A$6:D$100,3,FALSE)</f>
        <v>#N/A</v>
      </c>
      <c r="O1240" s="7" t="str">
        <f>VLOOKUP(F1240,HC!A$6:D$1000,2,FALSE)</f>
        <v>ramsmazy</v>
      </c>
      <c r="P1240" t="s">
        <v>663</v>
      </c>
      <c r="Q1240" s="7" t="s">
        <v>692</v>
      </c>
      <c r="U1240">
        <f t="shared" si="21"/>
        <v>12</v>
      </c>
    </row>
    <row r="1241" spans="1:21" ht="37.5" customHeight="1" x14ac:dyDescent="0.25">
      <c r="A1241" s="24">
        <v>45017</v>
      </c>
      <c r="B1241" s="13">
        <v>13</v>
      </c>
      <c r="C1241" t="s">
        <v>3</v>
      </c>
      <c r="D1241" t="s">
        <v>4</v>
      </c>
      <c r="E1241" t="s">
        <v>21</v>
      </c>
      <c r="F1241" s="6">
        <v>201228411</v>
      </c>
      <c r="G1241" t="s">
        <v>938</v>
      </c>
      <c r="H1241" t="s">
        <v>846</v>
      </c>
      <c r="I1241">
        <v>0</v>
      </c>
      <c r="J1241">
        <v>0</v>
      </c>
      <c r="K1241">
        <v>0</v>
      </c>
      <c r="L1241">
        <v>0</v>
      </c>
      <c r="M1241">
        <v>0.31</v>
      </c>
      <c r="N1241" s="7" t="e">
        <f>VLOOKUP(F1241,HC!A$6:D$100,3,FALSE)</f>
        <v>#N/A</v>
      </c>
      <c r="O1241" s="7" t="str">
        <f>VLOOKUP(F1241,HC!A$6:D$1000,2,FALSE)</f>
        <v>jazmiwhe</v>
      </c>
      <c r="P1241" t="s">
        <v>661</v>
      </c>
      <c r="Q1241" s="7" t="s">
        <v>681</v>
      </c>
      <c r="U1241">
        <f t="shared" si="21"/>
        <v>36</v>
      </c>
    </row>
    <row r="1242" spans="1:21" ht="37.5" customHeight="1" x14ac:dyDescent="0.25">
      <c r="A1242" s="24">
        <v>45018</v>
      </c>
      <c r="B1242" s="13">
        <v>14</v>
      </c>
      <c r="C1242" t="s">
        <v>3</v>
      </c>
      <c r="D1242" t="s">
        <v>4</v>
      </c>
      <c r="E1242" t="s">
        <v>5</v>
      </c>
      <c r="F1242" s="6">
        <v>112971962</v>
      </c>
      <c r="G1242" t="s">
        <v>338</v>
      </c>
      <c r="H1242" t="s">
        <v>17</v>
      </c>
      <c r="I1242">
        <v>0</v>
      </c>
      <c r="J1242">
        <v>0</v>
      </c>
      <c r="K1242">
        <v>0</v>
      </c>
      <c r="L1242">
        <v>0</v>
      </c>
      <c r="M1242">
        <v>0.35</v>
      </c>
      <c r="N1242" s="7" t="str">
        <f>VLOOKUP(F1242,HC!A$6:D$100,3,FALSE)</f>
        <v>DB-X0700</v>
      </c>
      <c r="O1242" s="7" t="str">
        <f>VLOOKUP(F1242,HC!A$6:D$1000,2,FALSE)</f>
        <v>creyesal</v>
      </c>
      <c r="Q1242" s="7"/>
      <c r="U1242">
        <f t="shared" si="21"/>
        <v>38</v>
      </c>
    </row>
    <row r="1243" spans="1:21" ht="37.5" customHeight="1" x14ac:dyDescent="0.25">
      <c r="A1243" s="24">
        <v>45018</v>
      </c>
      <c r="B1243" s="13">
        <v>14</v>
      </c>
      <c r="C1243" t="s">
        <v>3</v>
      </c>
      <c r="D1243" t="s">
        <v>4</v>
      </c>
      <c r="E1243" t="s">
        <v>5</v>
      </c>
      <c r="F1243" s="6">
        <v>112981201</v>
      </c>
      <c r="G1243" t="s">
        <v>532</v>
      </c>
      <c r="H1243" t="s">
        <v>559</v>
      </c>
      <c r="I1243">
        <v>0</v>
      </c>
      <c r="J1243">
        <v>0</v>
      </c>
      <c r="K1243">
        <v>0</v>
      </c>
      <c r="L1243">
        <v>0</v>
      </c>
      <c r="M1243">
        <v>0.37</v>
      </c>
      <c r="N1243" s="7" t="e">
        <f>VLOOKUP(F1243,HC!A$6:D$100,3,FALSE)</f>
        <v>#N/A</v>
      </c>
      <c r="O1243" s="7" t="e">
        <f>VLOOKUP(F1243,HC!A$6:D$1000,2,FALSE)</f>
        <v>#N/A</v>
      </c>
      <c r="P1243" t="s">
        <v>661</v>
      </c>
      <c r="Q1243" s="7" t="s">
        <v>701</v>
      </c>
      <c r="U1243">
        <f t="shared" si="21"/>
        <v>1395</v>
      </c>
    </row>
    <row r="1244" spans="1:21" ht="37.5" customHeight="1" x14ac:dyDescent="0.25">
      <c r="A1244" s="24">
        <v>45018</v>
      </c>
      <c r="B1244" s="13">
        <v>14</v>
      </c>
      <c r="C1244" t="s">
        <v>3</v>
      </c>
      <c r="D1244" t="s">
        <v>4</v>
      </c>
      <c r="E1244" t="s">
        <v>5</v>
      </c>
      <c r="F1244" s="6">
        <v>200404250</v>
      </c>
      <c r="G1244" t="s">
        <v>51</v>
      </c>
      <c r="H1244" t="s">
        <v>285</v>
      </c>
      <c r="I1244">
        <v>0</v>
      </c>
      <c r="J1244">
        <v>0</v>
      </c>
      <c r="K1244">
        <v>0</v>
      </c>
      <c r="L1244">
        <v>0</v>
      </c>
      <c r="M1244">
        <v>0.23</v>
      </c>
      <c r="N1244" s="7" t="e">
        <f>VLOOKUP(F1244,HC!A$6:D$100,3,FALSE)</f>
        <v>#N/A</v>
      </c>
      <c r="O1244" s="7" t="str">
        <f>VLOOKUP(F1244,HC!A$6:D$1000,2,FALSE)</f>
        <v>xcathurt</v>
      </c>
      <c r="P1244" t="s">
        <v>662</v>
      </c>
      <c r="Q1244" s="7" t="s">
        <v>785</v>
      </c>
      <c r="U1244">
        <f t="shared" si="21"/>
        <v>124</v>
      </c>
    </row>
    <row r="1245" spans="1:21" ht="37.5" customHeight="1" x14ac:dyDescent="0.25">
      <c r="A1245" s="24">
        <v>45018</v>
      </c>
      <c r="B1245" s="13">
        <v>14</v>
      </c>
      <c r="C1245" t="s">
        <v>3</v>
      </c>
      <c r="D1245" t="s">
        <v>4</v>
      </c>
      <c r="E1245" t="s">
        <v>21</v>
      </c>
      <c r="F1245" s="6">
        <v>200509428</v>
      </c>
      <c r="G1245" t="s">
        <v>272</v>
      </c>
      <c r="H1245" t="s">
        <v>559</v>
      </c>
      <c r="I1245">
        <v>0</v>
      </c>
      <c r="J1245">
        <v>0</v>
      </c>
      <c r="K1245">
        <v>0</v>
      </c>
      <c r="L1245">
        <v>0</v>
      </c>
      <c r="M1245">
        <v>0.14000000000000001</v>
      </c>
      <c r="N1245" s="7" t="e">
        <f>VLOOKUP(F1245,HC!A$6:D$100,3,FALSE)</f>
        <v>#N/A</v>
      </c>
      <c r="O1245" s="7" t="e">
        <f>VLOOKUP(F1245,HC!A$6:D$1000,2,FALSE)</f>
        <v>#N/A</v>
      </c>
      <c r="P1245" t="s">
        <v>661</v>
      </c>
      <c r="Q1245" s="7" t="s">
        <v>681</v>
      </c>
      <c r="U1245">
        <f t="shared" si="21"/>
        <v>1395</v>
      </c>
    </row>
    <row r="1246" spans="1:21" ht="37.5" customHeight="1" x14ac:dyDescent="0.25">
      <c r="A1246" s="24">
        <v>45018</v>
      </c>
      <c r="B1246" s="13">
        <v>14</v>
      </c>
      <c r="C1246" t="s">
        <v>3</v>
      </c>
      <c r="D1246" t="s">
        <v>4</v>
      </c>
      <c r="E1246" t="s">
        <v>21</v>
      </c>
      <c r="F1246" s="6">
        <v>200574655</v>
      </c>
      <c r="G1246" t="s">
        <v>630</v>
      </c>
      <c r="H1246" t="s">
        <v>559</v>
      </c>
      <c r="I1246">
        <v>0</v>
      </c>
      <c r="J1246">
        <v>0</v>
      </c>
      <c r="K1246">
        <v>0</v>
      </c>
      <c r="L1246">
        <v>0</v>
      </c>
      <c r="M1246">
        <v>0.32</v>
      </c>
      <c r="N1246" s="7" t="e">
        <f>VLOOKUP(F1246,HC!A$6:D$100,3,FALSE)</f>
        <v>#N/A</v>
      </c>
      <c r="O1246" s="7" t="str">
        <f>VLOOKUP(F1246,HC!A$6:D$1000,2,FALSE)</f>
        <v>dulceami</v>
      </c>
      <c r="P1246" t="s">
        <v>662</v>
      </c>
      <c r="Q1246" s="7" t="s">
        <v>688</v>
      </c>
      <c r="U1246">
        <f t="shared" si="21"/>
        <v>20</v>
      </c>
    </row>
    <row r="1247" spans="1:21" ht="37.5" customHeight="1" x14ac:dyDescent="0.25">
      <c r="A1247" s="24">
        <v>45019</v>
      </c>
      <c r="B1247" s="13">
        <v>14</v>
      </c>
      <c r="C1247" t="s">
        <v>3</v>
      </c>
      <c r="D1247" t="s">
        <v>4</v>
      </c>
      <c r="E1247" t="s">
        <v>5</v>
      </c>
      <c r="F1247" s="6">
        <v>111434478</v>
      </c>
      <c r="G1247" t="s">
        <v>331</v>
      </c>
      <c r="H1247" t="s">
        <v>253</v>
      </c>
      <c r="I1247">
        <v>0</v>
      </c>
      <c r="J1247">
        <v>0</v>
      </c>
      <c r="K1247">
        <v>0</v>
      </c>
      <c r="L1247">
        <v>0</v>
      </c>
      <c r="M1247">
        <v>0.74</v>
      </c>
      <c r="N1247" s="7" t="str">
        <f>VLOOKUP(F1247,HC!A$6:D$100,3,FALSE)</f>
        <v>DA-X0700</v>
      </c>
      <c r="O1247" s="7" t="str">
        <f>VLOOKUP(F1247,HC!A$6:D$1000,2,FALSE)</f>
        <v>juanapam</v>
      </c>
      <c r="P1247" t="s">
        <v>662</v>
      </c>
      <c r="Q1247" s="7" t="s">
        <v>688</v>
      </c>
      <c r="U1247">
        <f t="shared" si="21"/>
        <v>32</v>
      </c>
    </row>
    <row r="1248" spans="1:21" ht="37.5" customHeight="1" x14ac:dyDescent="0.25">
      <c r="A1248" s="24">
        <v>45019</v>
      </c>
      <c r="B1248" s="13">
        <v>14</v>
      </c>
      <c r="C1248" t="s">
        <v>3</v>
      </c>
      <c r="D1248" t="s">
        <v>4</v>
      </c>
      <c r="E1248" t="s">
        <v>5</v>
      </c>
      <c r="F1248" s="6">
        <v>112912745</v>
      </c>
      <c r="G1248" t="s">
        <v>478</v>
      </c>
      <c r="H1248" t="s">
        <v>44</v>
      </c>
      <c r="I1248">
        <v>0</v>
      </c>
      <c r="J1248">
        <v>0</v>
      </c>
      <c r="K1248">
        <v>0</v>
      </c>
      <c r="L1248">
        <v>0</v>
      </c>
      <c r="M1248">
        <v>0.99</v>
      </c>
      <c r="N1248" s="7" t="str">
        <f>VLOOKUP(F1248,HC!A$6:D$100,3,FALSE)</f>
        <v>DA-X0700</v>
      </c>
      <c r="O1248" s="7" t="str">
        <f>VLOOKUP(F1248,HC!A$6:D$1000,2,FALSE)</f>
        <v>nalexgom</v>
      </c>
      <c r="P1248" t="s">
        <v>664</v>
      </c>
      <c r="Q1248" s="7" t="s">
        <v>777</v>
      </c>
      <c r="U1248">
        <f t="shared" si="21"/>
        <v>22</v>
      </c>
    </row>
    <row r="1249" spans="1:21" ht="37.5" customHeight="1" x14ac:dyDescent="0.25">
      <c r="A1249" s="24">
        <v>45019</v>
      </c>
      <c r="B1249" s="13">
        <v>14</v>
      </c>
      <c r="C1249" t="s">
        <v>3</v>
      </c>
      <c r="D1249" t="s">
        <v>4</v>
      </c>
      <c r="E1249" t="s">
        <v>5</v>
      </c>
      <c r="F1249" s="6">
        <v>112971961</v>
      </c>
      <c r="G1249" t="s">
        <v>755</v>
      </c>
      <c r="H1249" t="s">
        <v>332</v>
      </c>
      <c r="I1249">
        <v>0</v>
      </c>
      <c r="J1249">
        <v>0</v>
      </c>
      <c r="K1249">
        <v>0</v>
      </c>
      <c r="L1249">
        <v>0</v>
      </c>
      <c r="M1249">
        <v>0.11</v>
      </c>
      <c r="N1249" s="7" t="e">
        <f>VLOOKUP(F1249,HC!A$6:D$100,3,FALSE)</f>
        <v>#N/A</v>
      </c>
      <c r="O1249" s="7" t="e">
        <f>VLOOKUP(F1249,HC!A$6:D$1000,2,FALSE)</f>
        <v>#N/A</v>
      </c>
      <c r="P1249" t="s">
        <v>662</v>
      </c>
      <c r="Q1249" s="7" t="s">
        <v>688</v>
      </c>
      <c r="U1249">
        <f t="shared" si="21"/>
        <v>1395</v>
      </c>
    </row>
    <row r="1250" spans="1:21" ht="37.5" customHeight="1" x14ac:dyDescent="0.25">
      <c r="A1250" s="24">
        <v>45019</v>
      </c>
      <c r="B1250" s="13">
        <v>14</v>
      </c>
      <c r="C1250" t="s">
        <v>3</v>
      </c>
      <c r="D1250" t="s">
        <v>4</v>
      </c>
      <c r="E1250" t="s">
        <v>5</v>
      </c>
      <c r="F1250" s="6">
        <v>112981014</v>
      </c>
      <c r="G1250" t="s">
        <v>367</v>
      </c>
      <c r="H1250" t="s">
        <v>44</v>
      </c>
      <c r="I1250">
        <v>0</v>
      </c>
      <c r="J1250">
        <v>0</v>
      </c>
      <c r="K1250">
        <v>0</v>
      </c>
      <c r="L1250">
        <v>0</v>
      </c>
      <c r="M1250">
        <v>0.21</v>
      </c>
      <c r="N1250" s="7" t="str">
        <f>VLOOKUP(F1250,HC!A$6:D$100,3,FALSE)</f>
        <v>DJ-X0700</v>
      </c>
      <c r="O1250" s="7" t="str">
        <f>VLOOKUP(F1250,HC!A$6:D$1000,2,FALSE)</f>
        <v>rpabloul</v>
      </c>
      <c r="P1250" t="s">
        <v>664</v>
      </c>
      <c r="Q1250" s="7" t="s">
        <v>777</v>
      </c>
      <c r="U1250">
        <f t="shared" si="21"/>
        <v>17</v>
      </c>
    </row>
    <row r="1251" spans="1:21" ht="37.5" customHeight="1" x14ac:dyDescent="0.25">
      <c r="A1251" s="24">
        <v>45019</v>
      </c>
      <c r="B1251" s="13">
        <v>14</v>
      </c>
      <c r="C1251" t="s">
        <v>3</v>
      </c>
      <c r="D1251" t="s">
        <v>4</v>
      </c>
      <c r="E1251" t="s">
        <v>5</v>
      </c>
      <c r="F1251" s="6">
        <v>200404250</v>
      </c>
      <c r="G1251" t="s">
        <v>51</v>
      </c>
      <c r="H1251" t="s">
        <v>285</v>
      </c>
      <c r="I1251">
        <v>0</v>
      </c>
      <c r="J1251">
        <v>0</v>
      </c>
      <c r="K1251">
        <v>0</v>
      </c>
      <c r="L1251">
        <v>0</v>
      </c>
      <c r="M1251">
        <v>0.95</v>
      </c>
      <c r="N1251" s="7" t="e">
        <f>VLOOKUP(F1251,HC!A$6:D$100,3,FALSE)</f>
        <v>#N/A</v>
      </c>
      <c r="O1251" s="7" t="str">
        <f>VLOOKUP(F1251,HC!A$6:D$1000,2,FALSE)</f>
        <v>xcathurt</v>
      </c>
      <c r="P1251" t="s">
        <v>662</v>
      </c>
      <c r="Q1251" s="7" t="s">
        <v>757</v>
      </c>
      <c r="U1251">
        <f t="shared" si="21"/>
        <v>124</v>
      </c>
    </row>
    <row r="1252" spans="1:21" ht="37.5" customHeight="1" x14ac:dyDescent="0.25">
      <c r="A1252" s="24">
        <v>45019</v>
      </c>
      <c r="B1252" s="13">
        <v>14</v>
      </c>
      <c r="C1252" t="s">
        <v>3</v>
      </c>
      <c r="D1252" t="s">
        <v>4</v>
      </c>
      <c r="E1252" t="s">
        <v>21</v>
      </c>
      <c r="F1252" s="6">
        <v>200562154</v>
      </c>
      <c r="G1252" t="s">
        <v>437</v>
      </c>
      <c r="H1252" t="s">
        <v>268</v>
      </c>
      <c r="I1252">
        <v>0</v>
      </c>
      <c r="J1252">
        <v>0</v>
      </c>
      <c r="K1252">
        <v>0</v>
      </c>
      <c r="L1252">
        <v>0</v>
      </c>
      <c r="M1252">
        <v>1.08</v>
      </c>
      <c r="N1252" s="7" t="e">
        <f>VLOOKUP(F1252,HC!A$6:D$100,3,FALSE)</f>
        <v>#N/A</v>
      </c>
      <c r="O1252" s="7" t="str">
        <f>VLOOKUP(F1252,HC!A$6:D$1000,2,FALSE)</f>
        <v>reyesmcw</v>
      </c>
      <c r="P1252" t="s">
        <v>664</v>
      </c>
      <c r="Q1252" s="7" t="s">
        <v>709</v>
      </c>
      <c r="U1252">
        <f t="shared" si="21"/>
        <v>38</v>
      </c>
    </row>
    <row r="1253" spans="1:21" ht="37.5" customHeight="1" x14ac:dyDescent="0.25">
      <c r="A1253" s="24">
        <v>45019</v>
      </c>
      <c r="B1253" s="13">
        <v>14</v>
      </c>
      <c r="C1253" t="s">
        <v>3</v>
      </c>
      <c r="D1253" t="s">
        <v>4</v>
      </c>
      <c r="E1253" t="s">
        <v>21</v>
      </c>
      <c r="F1253" s="6">
        <v>201198169</v>
      </c>
      <c r="G1253" t="s">
        <v>946</v>
      </c>
      <c r="H1253" t="s">
        <v>285</v>
      </c>
      <c r="I1253">
        <v>0</v>
      </c>
      <c r="J1253">
        <v>0</v>
      </c>
      <c r="K1253">
        <v>0</v>
      </c>
      <c r="L1253">
        <v>0</v>
      </c>
      <c r="M1253">
        <v>0.3</v>
      </c>
      <c r="N1253" s="7" t="e">
        <f>VLOOKUP(F1253,HC!A$6:D$100,3,FALSE)</f>
        <v>#N/A</v>
      </c>
      <c r="O1253" s="7" t="e">
        <f>VLOOKUP(F1253,HC!A$6:D$1000,2,FALSE)</f>
        <v>#N/A</v>
      </c>
      <c r="P1253" t="s">
        <v>661</v>
      </c>
      <c r="Q1253" s="7" t="s">
        <v>681</v>
      </c>
      <c r="U1253">
        <f t="shared" si="21"/>
        <v>1395</v>
      </c>
    </row>
    <row r="1254" spans="1:21" ht="37.5" customHeight="1" x14ac:dyDescent="0.25">
      <c r="A1254" s="24">
        <v>45020</v>
      </c>
      <c r="B1254" s="13">
        <v>14</v>
      </c>
      <c r="C1254" t="s">
        <v>3</v>
      </c>
      <c r="D1254" t="s">
        <v>4</v>
      </c>
      <c r="E1254" t="s">
        <v>21</v>
      </c>
      <c r="F1254" s="6">
        <v>201219225</v>
      </c>
      <c r="G1254" t="s">
        <v>925</v>
      </c>
      <c r="H1254" t="s">
        <v>559</v>
      </c>
      <c r="I1254">
        <v>0</v>
      </c>
      <c r="J1254">
        <v>0</v>
      </c>
      <c r="K1254">
        <v>0</v>
      </c>
      <c r="L1254">
        <v>0</v>
      </c>
      <c r="M1254">
        <v>0.18</v>
      </c>
      <c r="N1254" s="7" t="e">
        <f>VLOOKUP(F1254,HC!A$6:D$100,3,FALSE)</f>
        <v>#N/A</v>
      </c>
      <c r="O1254" s="7" t="e">
        <f>VLOOKUP(F1254,HC!A$6:D$1000,2,FALSE)</f>
        <v>#N/A</v>
      </c>
      <c r="P1254" t="s">
        <v>661</v>
      </c>
      <c r="Q1254" s="7" t="s">
        <v>681</v>
      </c>
      <c r="U1254">
        <f t="shared" si="21"/>
        <v>1395</v>
      </c>
    </row>
    <row r="1255" spans="1:21" ht="37.5" customHeight="1" x14ac:dyDescent="0.25">
      <c r="A1255" s="24">
        <v>45020</v>
      </c>
      <c r="B1255" s="13">
        <v>14</v>
      </c>
      <c r="C1255" t="s">
        <v>3</v>
      </c>
      <c r="D1255" t="s">
        <v>4</v>
      </c>
      <c r="E1255" t="s">
        <v>5</v>
      </c>
      <c r="F1255" s="6">
        <v>103979960</v>
      </c>
      <c r="G1255" t="s">
        <v>372</v>
      </c>
      <c r="H1255" t="s">
        <v>49</v>
      </c>
      <c r="I1255">
        <v>0</v>
      </c>
      <c r="J1255">
        <v>0</v>
      </c>
      <c r="K1255">
        <v>0</v>
      </c>
      <c r="L1255">
        <v>0</v>
      </c>
      <c r="M1255">
        <v>0.38</v>
      </c>
      <c r="N1255" s="7" t="e">
        <f>VLOOKUP(F1255,HC!A$6:D$100,3,FALSE)</f>
        <v>#N/A</v>
      </c>
      <c r="O1255" s="7" t="e">
        <f>VLOOKUP(F1255,HC!A$6:D$1000,2,FALSE)</f>
        <v>#N/A</v>
      </c>
      <c r="P1255" t="s">
        <v>661</v>
      </c>
      <c r="Q1255" s="7" t="s">
        <v>681</v>
      </c>
      <c r="U1255">
        <f t="shared" si="21"/>
        <v>1395</v>
      </c>
    </row>
    <row r="1256" spans="1:21" ht="37.5" customHeight="1" x14ac:dyDescent="0.25">
      <c r="A1256" s="24">
        <v>45020</v>
      </c>
      <c r="B1256" s="13">
        <v>14</v>
      </c>
      <c r="C1256" t="s">
        <v>3</v>
      </c>
      <c r="D1256" t="s">
        <v>4</v>
      </c>
      <c r="E1256" t="s">
        <v>5</v>
      </c>
      <c r="F1256" s="6">
        <v>112912049</v>
      </c>
      <c r="G1256" t="s">
        <v>488</v>
      </c>
      <c r="H1256" t="s">
        <v>282</v>
      </c>
      <c r="I1256">
        <v>0</v>
      </c>
      <c r="J1256">
        <v>0</v>
      </c>
      <c r="K1256">
        <v>0</v>
      </c>
      <c r="L1256">
        <v>0</v>
      </c>
      <c r="M1256">
        <v>0.19</v>
      </c>
      <c r="N1256" s="7" t="str">
        <f>VLOOKUP(F1256,HC!A$6:D$100,3,FALSE)</f>
        <v>NF-X1900</v>
      </c>
      <c r="O1256" s="7" t="str">
        <f>VLOOKUP(F1256,HC!A$6:D$1000,2,FALSE)</f>
        <v>zchvazqu</v>
      </c>
      <c r="P1256" t="s">
        <v>663</v>
      </c>
      <c r="Q1256" s="7" t="s">
        <v>695</v>
      </c>
      <c r="U1256">
        <f t="shared" si="21"/>
        <v>11</v>
      </c>
    </row>
    <row r="1257" spans="1:21" ht="37.5" customHeight="1" x14ac:dyDescent="0.25">
      <c r="A1257" s="24">
        <v>45020</v>
      </c>
      <c r="B1257" s="13">
        <v>14</v>
      </c>
      <c r="C1257" t="s">
        <v>3</v>
      </c>
      <c r="D1257" t="s">
        <v>4</v>
      </c>
      <c r="E1257" t="s">
        <v>5</v>
      </c>
      <c r="F1257" s="6">
        <v>112981201</v>
      </c>
      <c r="G1257" t="s">
        <v>532</v>
      </c>
      <c r="H1257" t="s">
        <v>49</v>
      </c>
      <c r="I1257">
        <v>0</v>
      </c>
      <c r="J1257">
        <v>0</v>
      </c>
      <c r="K1257">
        <v>0</v>
      </c>
      <c r="L1257">
        <v>0</v>
      </c>
      <c r="M1257">
        <v>4.79</v>
      </c>
      <c r="N1257" s="7" t="e">
        <f>VLOOKUP(F1257,HC!A$6:D$100,3,FALSE)</f>
        <v>#N/A</v>
      </c>
      <c r="O1257" s="7" t="e">
        <f>VLOOKUP(F1257,HC!A$6:D$1000,2,FALSE)</f>
        <v>#N/A</v>
      </c>
      <c r="P1257" t="s">
        <v>661</v>
      </c>
      <c r="Q1257" s="7" t="s">
        <v>701</v>
      </c>
      <c r="R1257" t="s">
        <v>411</v>
      </c>
      <c r="U1257">
        <f t="shared" si="21"/>
        <v>1395</v>
      </c>
    </row>
    <row r="1258" spans="1:21" ht="37.5" customHeight="1" x14ac:dyDescent="0.25">
      <c r="A1258" s="24">
        <v>45020</v>
      </c>
      <c r="B1258" s="13">
        <v>14</v>
      </c>
      <c r="C1258" t="s">
        <v>3</v>
      </c>
      <c r="D1258" t="s">
        <v>4</v>
      </c>
      <c r="E1258" t="s">
        <v>5</v>
      </c>
      <c r="F1258" s="6">
        <v>113003631</v>
      </c>
      <c r="G1258" t="s">
        <v>479</v>
      </c>
      <c r="H1258" t="s">
        <v>47</v>
      </c>
      <c r="I1258">
        <v>0</v>
      </c>
      <c r="J1258">
        <v>0</v>
      </c>
      <c r="K1258">
        <v>0</v>
      </c>
      <c r="L1258">
        <v>0</v>
      </c>
      <c r="M1258">
        <v>0.17</v>
      </c>
      <c r="N1258" s="7" t="e">
        <f>VLOOKUP(F1258,HC!A$6:D$100,3,FALSE)</f>
        <v>#N/A</v>
      </c>
      <c r="O1258" s="7" t="e">
        <f>VLOOKUP(F1258,HC!A$6:D$1000,2,FALSE)</f>
        <v>#N/A</v>
      </c>
      <c r="P1258" t="s">
        <v>662</v>
      </c>
      <c r="Q1258" s="7" t="s">
        <v>691</v>
      </c>
      <c r="U1258">
        <f t="shared" si="21"/>
        <v>1395</v>
      </c>
    </row>
    <row r="1259" spans="1:21" ht="37.5" customHeight="1" x14ac:dyDescent="0.25">
      <c r="A1259" s="24">
        <v>45020</v>
      </c>
      <c r="B1259" s="13">
        <v>14</v>
      </c>
      <c r="C1259" t="s">
        <v>3</v>
      </c>
      <c r="D1259" t="s">
        <v>4</v>
      </c>
      <c r="E1259" t="s">
        <v>5</v>
      </c>
      <c r="F1259" s="6">
        <v>113014470</v>
      </c>
      <c r="G1259" t="s">
        <v>374</v>
      </c>
      <c r="H1259" t="s">
        <v>49</v>
      </c>
      <c r="I1259">
        <v>0</v>
      </c>
      <c r="J1259">
        <v>0</v>
      </c>
      <c r="K1259">
        <v>0</v>
      </c>
      <c r="L1259">
        <v>0</v>
      </c>
      <c r="M1259">
        <v>0.97</v>
      </c>
      <c r="N1259" s="7" t="e">
        <f>VLOOKUP(F1259,HC!A$6:D$100,3,FALSE)</f>
        <v>#N/A</v>
      </c>
      <c r="O1259" s="7" t="str">
        <f>VLOOKUP(F1259,HC!A$6:D$1000,2,FALSE)</f>
        <v>lupaguin</v>
      </c>
      <c r="P1259" t="s">
        <v>664</v>
      </c>
      <c r="Q1259" s="7" t="s">
        <v>710</v>
      </c>
      <c r="U1259">
        <f t="shared" si="21"/>
        <v>23</v>
      </c>
    </row>
    <row r="1260" spans="1:21" ht="37.5" customHeight="1" x14ac:dyDescent="0.25">
      <c r="A1260" s="24">
        <v>45020</v>
      </c>
      <c r="B1260" s="13">
        <v>14</v>
      </c>
      <c r="C1260" t="s">
        <v>3</v>
      </c>
      <c r="D1260" t="s">
        <v>4</v>
      </c>
      <c r="E1260" t="s">
        <v>5</v>
      </c>
      <c r="F1260" s="6">
        <v>113019111</v>
      </c>
      <c r="G1260" t="s">
        <v>533</v>
      </c>
      <c r="H1260" t="s">
        <v>285</v>
      </c>
      <c r="I1260">
        <v>0</v>
      </c>
      <c r="J1260">
        <v>0</v>
      </c>
      <c r="K1260">
        <v>0</v>
      </c>
      <c r="L1260">
        <v>0</v>
      </c>
      <c r="M1260">
        <v>2.0499999999999998</v>
      </c>
      <c r="N1260" s="7" t="e">
        <f>VLOOKUP(F1260,HC!A$6:D$100,3,FALSE)</f>
        <v>#N/A</v>
      </c>
      <c r="O1260" s="7" t="str">
        <f>VLOOKUP(F1260,HC!A$6:D$1000,2,FALSE)</f>
        <v>valdkell</v>
      </c>
      <c r="P1260" t="s">
        <v>666</v>
      </c>
      <c r="Q1260" s="7" t="s">
        <v>768</v>
      </c>
      <c r="U1260">
        <f t="shared" si="21"/>
        <v>7</v>
      </c>
    </row>
    <row r="1261" spans="1:21" ht="37.5" customHeight="1" x14ac:dyDescent="0.25">
      <c r="A1261" s="24">
        <v>45020</v>
      </c>
      <c r="B1261" s="13">
        <v>14</v>
      </c>
      <c r="C1261" t="s">
        <v>3</v>
      </c>
      <c r="D1261" t="s">
        <v>4</v>
      </c>
      <c r="E1261" t="s">
        <v>5</v>
      </c>
      <c r="F1261" s="6">
        <v>113044620</v>
      </c>
      <c r="G1261" t="s">
        <v>470</v>
      </c>
      <c r="H1261" t="s">
        <v>49</v>
      </c>
      <c r="I1261">
        <v>0</v>
      </c>
      <c r="J1261">
        <v>0</v>
      </c>
      <c r="K1261">
        <v>0</v>
      </c>
      <c r="L1261">
        <v>0</v>
      </c>
      <c r="M1261">
        <v>0.28000000000000003</v>
      </c>
      <c r="N1261" s="7" t="e">
        <f>VLOOKUP(F1261,HC!A$6:D$100,3,FALSE)</f>
        <v>#N/A</v>
      </c>
      <c r="O1261" s="7" t="str">
        <f>VLOOKUP(F1261,HC!A$6:D$1000,2,FALSE)</f>
        <v>aldojasw</v>
      </c>
      <c r="P1261" t="s">
        <v>663</v>
      </c>
      <c r="Q1261" s="7" t="s">
        <v>707</v>
      </c>
      <c r="U1261">
        <f t="shared" si="21"/>
        <v>11</v>
      </c>
    </row>
    <row r="1262" spans="1:21" ht="37.5" customHeight="1" x14ac:dyDescent="0.25">
      <c r="A1262" s="24">
        <v>45020</v>
      </c>
      <c r="B1262" s="13">
        <v>14</v>
      </c>
      <c r="C1262" t="s">
        <v>3</v>
      </c>
      <c r="D1262" t="s">
        <v>4</v>
      </c>
      <c r="E1262" t="s">
        <v>5</v>
      </c>
      <c r="F1262" s="6">
        <v>200404250</v>
      </c>
      <c r="G1262" t="s">
        <v>51</v>
      </c>
      <c r="H1262" t="s">
        <v>285</v>
      </c>
      <c r="I1262">
        <v>0</v>
      </c>
      <c r="J1262">
        <v>0</v>
      </c>
      <c r="K1262">
        <v>0</v>
      </c>
      <c r="L1262">
        <v>0</v>
      </c>
      <c r="M1262">
        <v>0.68</v>
      </c>
      <c r="N1262" s="7" t="e">
        <f>VLOOKUP(F1262,HC!A$6:D$100,3,FALSE)</f>
        <v>#N/A</v>
      </c>
      <c r="O1262" s="7" t="str">
        <f>VLOOKUP(F1262,HC!A$6:D$1000,2,FALSE)</f>
        <v>xcathurt</v>
      </c>
      <c r="P1262" t="s">
        <v>662</v>
      </c>
      <c r="Q1262" s="7" t="s">
        <v>785</v>
      </c>
      <c r="U1262">
        <f t="shared" si="21"/>
        <v>124</v>
      </c>
    </row>
    <row r="1263" spans="1:21" ht="37.5" customHeight="1" x14ac:dyDescent="0.25">
      <c r="A1263" s="24">
        <v>45020</v>
      </c>
      <c r="B1263" s="13">
        <v>14</v>
      </c>
      <c r="C1263" t="s">
        <v>3</v>
      </c>
      <c r="D1263" t="s">
        <v>4</v>
      </c>
      <c r="E1263" t="s">
        <v>21</v>
      </c>
      <c r="F1263" s="6">
        <v>200562868</v>
      </c>
      <c r="G1263" t="s">
        <v>400</v>
      </c>
      <c r="H1263" t="s">
        <v>47</v>
      </c>
      <c r="I1263">
        <v>0</v>
      </c>
      <c r="J1263">
        <v>0</v>
      </c>
      <c r="K1263">
        <v>0</v>
      </c>
      <c r="L1263">
        <v>0</v>
      </c>
      <c r="M1263">
        <v>0.28000000000000003</v>
      </c>
      <c r="N1263" s="7" t="e">
        <f>VLOOKUP(F1263,HC!A$6:D$100,3,FALSE)</f>
        <v>#N/A</v>
      </c>
      <c r="O1263" s="7" t="e">
        <f>VLOOKUP(F1263,HC!A$6:D$1000,2,FALSE)</f>
        <v>#N/A</v>
      </c>
      <c r="P1263" t="s">
        <v>664</v>
      </c>
      <c r="Q1263" s="7" t="s">
        <v>710</v>
      </c>
      <c r="U1263">
        <f t="shared" si="21"/>
        <v>1395</v>
      </c>
    </row>
    <row r="1264" spans="1:21" ht="37.5" customHeight="1" x14ac:dyDescent="0.25">
      <c r="A1264" s="24">
        <v>45020</v>
      </c>
      <c r="B1264" s="13">
        <v>14</v>
      </c>
      <c r="C1264" t="s">
        <v>3</v>
      </c>
      <c r="D1264" t="s">
        <v>4</v>
      </c>
      <c r="E1264" t="s">
        <v>21</v>
      </c>
      <c r="F1264" s="6">
        <v>200565197</v>
      </c>
      <c r="G1264" t="s">
        <v>389</v>
      </c>
      <c r="H1264" t="s">
        <v>285</v>
      </c>
      <c r="I1264">
        <v>0</v>
      </c>
      <c r="J1264">
        <v>0</v>
      </c>
      <c r="K1264">
        <v>0</v>
      </c>
      <c r="L1264">
        <v>0</v>
      </c>
      <c r="M1264">
        <v>0.54</v>
      </c>
      <c r="N1264" s="7" t="e">
        <f>VLOOKUP(F1264,HC!A$6:D$100,3,FALSE)</f>
        <v>#N/A</v>
      </c>
      <c r="O1264" s="7" t="e">
        <f>VLOOKUP(F1264,HC!A$6:D$1000,2,FALSE)</f>
        <v>#N/A</v>
      </c>
      <c r="P1264" t="s">
        <v>664</v>
      </c>
      <c r="Q1264" s="7" t="s">
        <v>708</v>
      </c>
      <c r="R1264" t="s">
        <v>947</v>
      </c>
      <c r="U1264">
        <f t="shared" si="21"/>
        <v>1395</v>
      </c>
    </row>
    <row r="1265" spans="1:21" ht="37.5" customHeight="1" x14ac:dyDescent="0.25">
      <c r="A1265" s="24">
        <v>45020</v>
      </c>
      <c r="B1265" s="13">
        <v>14</v>
      </c>
      <c r="C1265" t="s">
        <v>3</v>
      </c>
      <c r="D1265" t="s">
        <v>4</v>
      </c>
      <c r="E1265" t="s">
        <v>21</v>
      </c>
      <c r="F1265" s="6">
        <v>200574345</v>
      </c>
      <c r="G1265" t="s">
        <v>476</v>
      </c>
      <c r="H1265" t="s">
        <v>285</v>
      </c>
      <c r="I1265">
        <v>0</v>
      </c>
      <c r="J1265">
        <v>0</v>
      </c>
      <c r="K1265">
        <v>0</v>
      </c>
      <c r="L1265">
        <v>0</v>
      </c>
      <c r="M1265">
        <v>0.27</v>
      </c>
      <c r="N1265" s="7" t="e">
        <f>VLOOKUP(F1265,HC!A$6:D$100,3,FALSE)</f>
        <v>#N/A</v>
      </c>
      <c r="O1265" s="7" t="str">
        <f>VLOOKUP(F1265,HC!A$6:D$1000,2,FALSE)</f>
        <v>contrexj</v>
      </c>
      <c r="P1265" t="s">
        <v>661</v>
      </c>
      <c r="Q1265" s="7" t="s">
        <v>681</v>
      </c>
      <c r="U1265">
        <f t="shared" si="21"/>
        <v>17</v>
      </c>
    </row>
    <row r="1266" spans="1:21" ht="37.5" customHeight="1" x14ac:dyDescent="0.25">
      <c r="A1266" s="24">
        <v>45020</v>
      </c>
      <c r="B1266" s="13">
        <v>14</v>
      </c>
      <c r="C1266" t="s">
        <v>3</v>
      </c>
      <c r="D1266" t="s">
        <v>4</v>
      </c>
      <c r="E1266" t="s">
        <v>21</v>
      </c>
      <c r="F1266" s="6">
        <v>200589316</v>
      </c>
      <c r="G1266" t="s">
        <v>53</v>
      </c>
      <c r="H1266" t="s">
        <v>7</v>
      </c>
      <c r="I1266">
        <v>0</v>
      </c>
      <c r="J1266">
        <v>0</v>
      </c>
      <c r="K1266">
        <v>0</v>
      </c>
      <c r="L1266">
        <v>0</v>
      </c>
      <c r="M1266">
        <v>3.33</v>
      </c>
      <c r="N1266" s="7" t="e">
        <f>VLOOKUP(F1266,HC!A$6:D$100,3,FALSE)</f>
        <v>#N/A</v>
      </c>
      <c r="O1266" s="7" t="e">
        <f>VLOOKUP(F1266,HC!A$6:D$1000,2,FALSE)</f>
        <v>#N/A</v>
      </c>
      <c r="P1266" t="s">
        <v>664</v>
      </c>
      <c r="Q1266" s="7" t="s">
        <v>711</v>
      </c>
      <c r="U1266">
        <f t="shared" si="21"/>
        <v>1395</v>
      </c>
    </row>
    <row r="1267" spans="1:21" ht="37.5" customHeight="1" x14ac:dyDescent="0.25">
      <c r="A1267" s="24">
        <v>45020</v>
      </c>
      <c r="B1267" s="13">
        <v>14</v>
      </c>
      <c r="C1267" t="s">
        <v>3</v>
      </c>
      <c r="D1267" t="s">
        <v>4</v>
      </c>
      <c r="E1267" t="s">
        <v>21</v>
      </c>
      <c r="F1267" s="6">
        <v>200625528</v>
      </c>
      <c r="G1267" t="s">
        <v>607</v>
      </c>
      <c r="H1267" t="s">
        <v>47</v>
      </c>
      <c r="I1267">
        <v>0</v>
      </c>
      <c r="J1267">
        <v>0</v>
      </c>
      <c r="K1267">
        <v>0</v>
      </c>
      <c r="L1267">
        <v>0</v>
      </c>
      <c r="M1267">
        <v>0.14000000000000001</v>
      </c>
      <c r="N1267" s="7" t="e">
        <f>VLOOKUP(F1267,HC!A$6:D$100,3,FALSE)</f>
        <v>#N/A</v>
      </c>
      <c r="O1267" s="7" t="str">
        <f>VLOOKUP(F1267,HC!A$6:D$1000,2,FALSE)</f>
        <v>olivlizb</v>
      </c>
      <c r="P1267" t="s">
        <v>661</v>
      </c>
      <c r="Q1267" s="7" t="s">
        <v>681</v>
      </c>
      <c r="U1267">
        <f t="shared" si="21"/>
        <v>50</v>
      </c>
    </row>
    <row r="1268" spans="1:21" ht="37.5" customHeight="1" x14ac:dyDescent="0.25">
      <c r="A1268" s="24">
        <v>45021</v>
      </c>
      <c r="B1268" s="13">
        <v>14</v>
      </c>
      <c r="C1268" t="s">
        <v>3</v>
      </c>
      <c r="D1268" t="s">
        <v>4</v>
      </c>
      <c r="E1268" t="s">
        <v>21</v>
      </c>
      <c r="F1268" s="6">
        <v>112912007</v>
      </c>
      <c r="G1268" t="s">
        <v>518</v>
      </c>
      <c r="H1268" t="s">
        <v>44</v>
      </c>
      <c r="I1268">
        <v>0</v>
      </c>
      <c r="J1268">
        <v>0</v>
      </c>
      <c r="K1268">
        <v>0</v>
      </c>
      <c r="L1268">
        <v>0</v>
      </c>
      <c r="M1268">
        <v>0.65</v>
      </c>
      <c r="N1268" s="7" t="e">
        <f>VLOOKUP(F1268,HC!A$6:D$100,3,FALSE)</f>
        <v>#N/A</v>
      </c>
      <c r="O1268" s="7" t="e">
        <f>VLOOKUP(F1268,HC!A$6:D$1000,2,FALSE)</f>
        <v>#N/A</v>
      </c>
      <c r="P1268" t="s">
        <v>663</v>
      </c>
      <c r="Q1268" s="7" t="s">
        <v>705</v>
      </c>
      <c r="U1268">
        <f t="shared" si="21"/>
        <v>1395</v>
      </c>
    </row>
    <row r="1269" spans="1:21" ht="37.5" customHeight="1" x14ac:dyDescent="0.25">
      <c r="A1269" s="24">
        <v>45021</v>
      </c>
      <c r="B1269" s="13">
        <v>14</v>
      </c>
      <c r="C1269" t="s">
        <v>3</v>
      </c>
      <c r="D1269" t="s">
        <v>4</v>
      </c>
      <c r="E1269" t="s">
        <v>5</v>
      </c>
      <c r="F1269" s="6">
        <v>112912753</v>
      </c>
      <c r="G1269" t="s">
        <v>415</v>
      </c>
      <c r="H1269" t="s">
        <v>285</v>
      </c>
      <c r="I1269">
        <v>0</v>
      </c>
      <c r="J1269">
        <v>0</v>
      </c>
      <c r="K1269">
        <v>0</v>
      </c>
      <c r="L1269">
        <v>0</v>
      </c>
      <c r="M1269">
        <v>0.27</v>
      </c>
      <c r="N1269" s="7" t="e">
        <f>VLOOKUP(F1269,HC!A$6:D$100,3,FALSE)</f>
        <v>#N/A</v>
      </c>
      <c r="O1269" s="7" t="e">
        <f>VLOOKUP(F1269,HC!A$6:D$1000,2,FALSE)</f>
        <v>#N/A</v>
      </c>
      <c r="P1269" t="s">
        <v>661</v>
      </c>
      <c r="Q1269" s="7" t="s">
        <v>681</v>
      </c>
      <c r="U1269">
        <f t="shared" si="21"/>
        <v>1395</v>
      </c>
    </row>
    <row r="1270" spans="1:21" ht="37.5" customHeight="1" x14ac:dyDescent="0.25">
      <c r="A1270" s="24">
        <v>45021</v>
      </c>
      <c r="B1270" s="13">
        <v>14</v>
      </c>
      <c r="C1270" t="s">
        <v>3</v>
      </c>
      <c r="D1270" t="s">
        <v>4</v>
      </c>
      <c r="E1270" t="s">
        <v>5</v>
      </c>
      <c r="F1270" s="6">
        <v>112972523</v>
      </c>
      <c r="G1270" t="s">
        <v>802</v>
      </c>
      <c r="H1270" t="s">
        <v>282</v>
      </c>
      <c r="I1270">
        <v>0</v>
      </c>
      <c r="J1270">
        <v>0</v>
      </c>
      <c r="K1270">
        <v>0</v>
      </c>
      <c r="L1270">
        <v>0</v>
      </c>
      <c r="M1270">
        <v>0.51</v>
      </c>
      <c r="N1270" s="7" t="e">
        <f>VLOOKUP(F1270,HC!A$6:D$100,3,FALSE)</f>
        <v>#N/A</v>
      </c>
      <c r="O1270" s="7" t="e">
        <f>VLOOKUP(F1270,HC!A$6:D$1000,2,FALSE)</f>
        <v>#N/A</v>
      </c>
      <c r="P1270" t="s">
        <v>661</v>
      </c>
      <c r="Q1270" s="7" t="s">
        <v>684</v>
      </c>
      <c r="U1270">
        <f t="shared" si="21"/>
        <v>1395</v>
      </c>
    </row>
    <row r="1271" spans="1:21" ht="37.5" customHeight="1" x14ac:dyDescent="0.25">
      <c r="A1271" s="24">
        <v>45021</v>
      </c>
      <c r="B1271" s="13">
        <v>14</v>
      </c>
      <c r="C1271" t="s">
        <v>3</v>
      </c>
      <c r="D1271" t="s">
        <v>4</v>
      </c>
      <c r="E1271" t="s">
        <v>5</v>
      </c>
      <c r="F1271" s="6">
        <v>113003635</v>
      </c>
      <c r="G1271" t="s">
        <v>930</v>
      </c>
      <c r="H1271" t="s">
        <v>268</v>
      </c>
      <c r="I1271">
        <v>0</v>
      </c>
      <c r="J1271">
        <v>0</v>
      </c>
      <c r="K1271">
        <v>0</v>
      </c>
      <c r="L1271">
        <v>0</v>
      </c>
      <c r="M1271">
        <v>0.33</v>
      </c>
      <c r="N1271" s="7" t="e">
        <f>VLOOKUP(F1271,HC!A$6:D$100,3,FALSE)</f>
        <v>#N/A</v>
      </c>
      <c r="O1271" s="7" t="str">
        <f>VLOOKUP(F1271,HC!A$6:D$1000,2,FALSE)</f>
        <v>barrgiof</v>
      </c>
      <c r="P1271" t="s">
        <v>661</v>
      </c>
      <c r="Q1271" s="7" t="s">
        <v>681</v>
      </c>
      <c r="U1271">
        <f t="shared" si="21"/>
        <v>9</v>
      </c>
    </row>
    <row r="1272" spans="1:21" ht="37.5" customHeight="1" x14ac:dyDescent="0.25">
      <c r="A1272" s="24">
        <v>45021</v>
      </c>
      <c r="B1272" s="13">
        <v>14</v>
      </c>
      <c r="C1272" t="s">
        <v>3</v>
      </c>
      <c r="D1272" t="s">
        <v>4</v>
      </c>
      <c r="E1272" t="s">
        <v>5</v>
      </c>
      <c r="F1272" s="6">
        <v>113014081</v>
      </c>
      <c r="G1272" t="s">
        <v>267</v>
      </c>
      <c r="H1272" t="s">
        <v>285</v>
      </c>
      <c r="I1272">
        <v>0</v>
      </c>
      <c r="J1272">
        <v>0</v>
      </c>
      <c r="K1272">
        <v>0</v>
      </c>
      <c r="L1272">
        <v>0</v>
      </c>
      <c r="M1272">
        <v>0.16</v>
      </c>
      <c r="N1272" s="7" t="e">
        <f>VLOOKUP(F1272,HC!A$6:D$100,3,FALSE)</f>
        <v>#N/A</v>
      </c>
      <c r="O1272" s="7" t="str">
        <f>VLOOKUP(F1272,HC!A$6:D$1000,2,FALSE)</f>
        <v>fraugene</v>
      </c>
      <c r="P1272" t="s">
        <v>665</v>
      </c>
      <c r="Q1272" s="7" t="s">
        <v>722</v>
      </c>
      <c r="U1272">
        <f t="shared" si="21"/>
        <v>32</v>
      </c>
    </row>
    <row r="1273" spans="1:21" ht="37.5" customHeight="1" x14ac:dyDescent="0.25">
      <c r="A1273" s="24">
        <v>45021</v>
      </c>
      <c r="B1273" s="13">
        <v>14</v>
      </c>
      <c r="C1273" t="s">
        <v>3</v>
      </c>
      <c r="D1273" t="s">
        <v>4</v>
      </c>
      <c r="E1273" t="s">
        <v>5</v>
      </c>
      <c r="F1273" s="6">
        <v>113014403</v>
      </c>
      <c r="G1273" t="s">
        <v>373</v>
      </c>
      <c r="H1273" t="s">
        <v>285</v>
      </c>
      <c r="I1273">
        <v>0</v>
      </c>
      <c r="J1273">
        <v>0</v>
      </c>
      <c r="K1273">
        <v>0</v>
      </c>
      <c r="L1273">
        <v>0</v>
      </c>
      <c r="M1273">
        <v>1.89</v>
      </c>
      <c r="N1273" s="7" t="e">
        <f>VLOOKUP(F1273,HC!A$6:D$100,3,FALSE)</f>
        <v>#N/A</v>
      </c>
      <c r="O1273" s="7" t="str">
        <f>VLOOKUP(F1273,HC!A$6:D$1000,2,FALSE)</f>
        <v>wnoraria</v>
      </c>
      <c r="Q1273" s="7"/>
      <c r="R1273" t="s">
        <v>496</v>
      </c>
      <c r="U1273">
        <f t="shared" si="21"/>
        <v>23</v>
      </c>
    </row>
    <row r="1274" spans="1:21" ht="37.5" customHeight="1" x14ac:dyDescent="0.25">
      <c r="A1274" s="24">
        <v>45021</v>
      </c>
      <c r="B1274" s="13">
        <v>14</v>
      </c>
      <c r="C1274" t="s">
        <v>3</v>
      </c>
      <c r="D1274" t="s">
        <v>4</v>
      </c>
      <c r="E1274" t="s">
        <v>5</v>
      </c>
      <c r="F1274" s="6">
        <v>113018997</v>
      </c>
      <c r="G1274" t="s">
        <v>254</v>
      </c>
      <c r="H1274" t="s">
        <v>268</v>
      </c>
      <c r="I1274">
        <v>0</v>
      </c>
      <c r="J1274">
        <v>0</v>
      </c>
      <c r="K1274">
        <v>0</v>
      </c>
      <c r="L1274">
        <v>0</v>
      </c>
      <c r="M1274">
        <v>1.18</v>
      </c>
      <c r="N1274" s="7" t="e">
        <f>VLOOKUP(F1274,HC!A$6:D$100,3,FALSE)</f>
        <v>#N/A</v>
      </c>
      <c r="O1274" s="7" t="e">
        <f>VLOOKUP(F1274,HC!A$6:D$1000,2,FALSE)</f>
        <v>#N/A</v>
      </c>
      <c r="P1274" t="s">
        <v>661</v>
      </c>
      <c r="Q1274" s="7" t="s">
        <v>681</v>
      </c>
      <c r="U1274">
        <f t="shared" si="21"/>
        <v>1395</v>
      </c>
    </row>
    <row r="1275" spans="1:21" ht="37.5" customHeight="1" x14ac:dyDescent="0.25">
      <c r="A1275" s="24">
        <v>45021</v>
      </c>
      <c r="B1275" s="13">
        <v>14</v>
      </c>
      <c r="C1275" t="s">
        <v>3</v>
      </c>
      <c r="D1275" t="s">
        <v>4</v>
      </c>
      <c r="E1275" t="s">
        <v>5</v>
      </c>
      <c r="F1275" s="6">
        <v>113019111</v>
      </c>
      <c r="G1275" t="s">
        <v>533</v>
      </c>
      <c r="H1275" t="s">
        <v>285</v>
      </c>
      <c r="I1275">
        <v>0</v>
      </c>
      <c r="J1275">
        <v>0</v>
      </c>
      <c r="K1275">
        <v>0</v>
      </c>
      <c r="L1275">
        <v>0</v>
      </c>
      <c r="M1275">
        <v>0.37</v>
      </c>
      <c r="N1275" s="7" t="e">
        <f>VLOOKUP(F1275,HC!A$6:D$100,3,FALSE)</f>
        <v>#N/A</v>
      </c>
      <c r="O1275" s="7" t="str">
        <f>VLOOKUP(F1275,HC!A$6:D$1000,2,FALSE)</f>
        <v>valdkell</v>
      </c>
      <c r="P1275" t="s">
        <v>666</v>
      </c>
      <c r="Q1275" s="7" t="s">
        <v>768</v>
      </c>
      <c r="U1275">
        <f t="shared" si="21"/>
        <v>7</v>
      </c>
    </row>
    <row r="1276" spans="1:21" ht="37.5" customHeight="1" x14ac:dyDescent="0.25">
      <c r="A1276" s="24">
        <v>45021</v>
      </c>
      <c r="B1276" s="13">
        <v>14</v>
      </c>
      <c r="C1276" t="s">
        <v>3</v>
      </c>
      <c r="D1276" t="s">
        <v>4</v>
      </c>
      <c r="E1276" t="s">
        <v>5</v>
      </c>
      <c r="F1276" s="6">
        <v>113044620</v>
      </c>
      <c r="G1276" t="s">
        <v>470</v>
      </c>
      <c r="H1276" t="s">
        <v>49</v>
      </c>
      <c r="I1276">
        <v>0</v>
      </c>
      <c r="J1276">
        <v>0</v>
      </c>
      <c r="K1276">
        <v>0</v>
      </c>
      <c r="L1276">
        <v>0</v>
      </c>
      <c r="M1276">
        <v>0.18</v>
      </c>
      <c r="N1276" s="7" t="e">
        <f>VLOOKUP(F1276,HC!A$6:D$100,3,FALSE)</f>
        <v>#N/A</v>
      </c>
      <c r="O1276" s="7" t="str">
        <f>VLOOKUP(F1276,HC!A$6:D$1000,2,FALSE)</f>
        <v>aldojasw</v>
      </c>
      <c r="P1276" t="s">
        <v>663</v>
      </c>
      <c r="Q1276" s="7" t="s">
        <v>695</v>
      </c>
      <c r="U1276">
        <f t="shared" si="21"/>
        <v>11</v>
      </c>
    </row>
    <row r="1277" spans="1:21" ht="37.5" customHeight="1" x14ac:dyDescent="0.25">
      <c r="A1277" s="24">
        <v>45021</v>
      </c>
      <c r="B1277" s="13">
        <v>14</v>
      </c>
      <c r="C1277" t="s">
        <v>3</v>
      </c>
      <c r="D1277" t="s">
        <v>4</v>
      </c>
      <c r="E1277" t="s">
        <v>21</v>
      </c>
      <c r="F1277" s="6">
        <v>200574345</v>
      </c>
      <c r="G1277" t="s">
        <v>476</v>
      </c>
      <c r="H1277" t="s">
        <v>285</v>
      </c>
      <c r="I1277">
        <v>0</v>
      </c>
      <c r="J1277">
        <v>0</v>
      </c>
      <c r="K1277">
        <v>0</v>
      </c>
      <c r="L1277">
        <v>0</v>
      </c>
      <c r="M1277">
        <v>0.16</v>
      </c>
      <c r="N1277" s="7" t="e">
        <f>VLOOKUP(F1277,HC!A$6:D$100,3,FALSE)</f>
        <v>#N/A</v>
      </c>
      <c r="O1277" s="7" t="str">
        <f>VLOOKUP(F1277,HC!A$6:D$1000,2,FALSE)</f>
        <v>contrexj</v>
      </c>
      <c r="P1277" t="s">
        <v>661</v>
      </c>
      <c r="Q1277" s="7" t="s">
        <v>759</v>
      </c>
      <c r="U1277">
        <f t="shared" si="21"/>
        <v>17</v>
      </c>
    </row>
    <row r="1278" spans="1:21" ht="37.5" customHeight="1" x14ac:dyDescent="0.25">
      <c r="A1278" s="24">
        <v>45021</v>
      </c>
      <c r="B1278" s="13">
        <v>14</v>
      </c>
      <c r="C1278" t="s">
        <v>3</v>
      </c>
      <c r="D1278" t="s">
        <v>4</v>
      </c>
      <c r="E1278" t="s">
        <v>21</v>
      </c>
      <c r="F1278" s="6">
        <v>201160146</v>
      </c>
      <c r="G1278" t="s">
        <v>851</v>
      </c>
      <c r="H1278" t="s">
        <v>17</v>
      </c>
      <c r="I1278">
        <v>0</v>
      </c>
      <c r="J1278">
        <v>0</v>
      </c>
      <c r="K1278">
        <v>0</v>
      </c>
      <c r="L1278">
        <v>0</v>
      </c>
      <c r="M1278">
        <v>0.89</v>
      </c>
      <c r="N1278" s="7" t="e">
        <f>VLOOKUP(F1278,HC!A$6:D$100,3,FALSE)</f>
        <v>#N/A</v>
      </c>
      <c r="O1278" s="7" t="e">
        <f>VLOOKUP(F1278,HC!A$6:D$1000,2,FALSE)</f>
        <v>#N/A</v>
      </c>
      <c r="P1278" t="s">
        <v>664</v>
      </c>
      <c r="Q1278" s="7" t="s">
        <v>717</v>
      </c>
      <c r="U1278">
        <f t="shared" si="21"/>
        <v>1395</v>
      </c>
    </row>
    <row r="1279" spans="1:21" ht="37.5" customHeight="1" x14ac:dyDescent="0.25">
      <c r="A1279" s="24">
        <v>45021</v>
      </c>
      <c r="B1279" s="13">
        <v>14</v>
      </c>
      <c r="C1279" t="s">
        <v>3</v>
      </c>
      <c r="D1279" t="s">
        <v>4</v>
      </c>
      <c r="E1279" t="s">
        <v>21</v>
      </c>
      <c r="F1279" s="6">
        <v>201185277</v>
      </c>
      <c r="G1279" t="s">
        <v>948</v>
      </c>
      <c r="H1279" t="s">
        <v>49</v>
      </c>
      <c r="I1279">
        <v>0</v>
      </c>
      <c r="J1279">
        <v>0</v>
      </c>
      <c r="K1279">
        <v>0</v>
      </c>
      <c r="L1279">
        <v>0</v>
      </c>
      <c r="M1279">
        <v>0.33</v>
      </c>
      <c r="N1279" s="7" t="e">
        <f>VLOOKUP(F1279,HC!A$6:D$100,3,FALSE)</f>
        <v>#N/A</v>
      </c>
      <c r="O1279" s="7" t="e">
        <f>VLOOKUP(F1279,HC!A$6:D$1000,2,FALSE)</f>
        <v>#N/A</v>
      </c>
      <c r="P1279" t="s">
        <v>661</v>
      </c>
      <c r="Q1279" s="7" t="s">
        <v>681</v>
      </c>
      <c r="U1279">
        <f t="shared" si="21"/>
        <v>1395</v>
      </c>
    </row>
    <row r="1280" spans="1:21" ht="37.5" customHeight="1" x14ac:dyDescent="0.25">
      <c r="A1280" s="24">
        <v>45021</v>
      </c>
      <c r="B1280" s="13">
        <v>14</v>
      </c>
      <c r="C1280" t="s">
        <v>3</v>
      </c>
      <c r="D1280" t="s">
        <v>4</v>
      </c>
      <c r="E1280" t="s">
        <v>21</v>
      </c>
      <c r="F1280" s="6">
        <v>201186777</v>
      </c>
      <c r="G1280" t="s">
        <v>856</v>
      </c>
      <c r="H1280" t="s">
        <v>7</v>
      </c>
      <c r="I1280">
        <v>0</v>
      </c>
      <c r="J1280">
        <v>0</v>
      </c>
      <c r="K1280">
        <v>0</v>
      </c>
      <c r="L1280">
        <v>0</v>
      </c>
      <c r="M1280">
        <v>0.32</v>
      </c>
      <c r="N1280" s="7" t="e">
        <f>VLOOKUP(F1280,HC!A$6:D$100,3,FALSE)</f>
        <v>#N/A</v>
      </c>
      <c r="O1280" s="7" t="str">
        <f>VLOOKUP(F1280,HC!A$6:D$1000,2,FALSE)</f>
        <v>bemonzon</v>
      </c>
      <c r="P1280" t="s">
        <v>670</v>
      </c>
      <c r="Q1280" s="7" t="s">
        <v>748</v>
      </c>
      <c r="U1280">
        <f t="shared" si="21"/>
        <v>15</v>
      </c>
    </row>
    <row r="1281" spans="1:21" ht="37.5" customHeight="1" x14ac:dyDescent="0.25">
      <c r="A1281" s="24">
        <v>45022</v>
      </c>
      <c r="B1281" s="13">
        <v>14</v>
      </c>
      <c r="C1281" t="s">
        <v>3</v>
      </c>
      <c r="D1281" t="s">
        <v>4</v>
      </c>
      <c r="E1281" t="s">
        <v>5</v>
      </c>
      <c r="F1281" s="6">
        <v>112912049</v>
      </c>
      <c r="G1281" t="s">
        <v>488</v>
      </c>
      <c r="H1281" t="s">
        <v>282</v>
      </c>
      <c r="I1281">
        <v>0</v>
      </c>
      <c r="J1281">
        <v>0</v>
      </c>
      <c r="K1281">
        <v>0</v>
      </c>
      <c r="L1281">
        <v>0</v>
      </c>
      <c r="M1281">
        <v>0.14000000000000001</v>
      </c>
      <c r="N1281" s="7" t="str">
        <f>VLOOKUP(F1281,HC!A$6:D$100,3,FALSE)</f>
        <v>NF-X1900</v>
      </c>
      <c r="O1281" s="7" t="str">
        <f>VLOOKUP(F1281,HC!A$6:D$1000,2,FALSE)</f>
        <v>zchvazqu</v>
      </c>
      <c r="P1281" t="s">
        <v>661</v>
      </c>
      <c r="Q1281" s="7" t="s">
        <v>681</v>
      </c>
      <c r="U1281">
        <f t="shared" si="21"/>
        <v>11</v>
      </c>
    </row>
    <row r="1282" spans="1:21" ht="37.5" customHeight="1" x14ac:dyDescent="0.25">
      <c r="A1282" s="24">
        <v>45022</v>
      </c>
      <c r="B1282" s="13">
        <v>14</v>
      </c>
      <c r="C1282" t="s">
        <v>3</v>
      </c>
      <c r="D1282" t="s">
        <v>4</v>
      </c>
      <c r="E1282" t="s">
        <v>5</v>
      </c>
      <c r="F1282" s="6">
        <v>112912753</v>
      </c>
      <c r="G1282" t="s">
        <v>415</v>
      </c>
      <c r="H1282" t="s">
        <v>285</v>
      </c>
      <c r="I1282">
        <v>0</v>
      </c>
      <c r="J1282">
        <v>0</v>
      </c>
      <c r="K1282">
        <v>0</v>
      </c>
      <c r="L1282">
        <v>0</v>
      </c>
      <c r="M1282">
        <v>1.05</v>
      </c>
      <c r="N1282" s="7" t="e">
        <f>VLOOKUP(F1282,HC!A$6:D$100,3,FALSE)</f>
        <v>#N/A</v>
      </c>
      <c r="O1282" s="7" t="e">
        <f>VLOOKUP(F1282,HC!A$6:D$1000,2,FALSE)</f>
        <v>#N/A</v>
      </c>
      <c r="P1282" t="s">
        <v>661</v>
      </c>
      <c r="Q1282" s="7" t="s">
        <v>681</v>
      </c>
      <c r="U1282">
        <f t="shared" si="21"/>
        <v>1395</v>
      </c>
    </row>
    <row r="1283" spans="1:21" ht="37.5" customHeight="1" x14ac:dyDescent="0.25">
      <c r="A1283" s="24">
        <v>45022</v>
      </c>
      <c r="B1283" s="13">
        <v>14</v>
      </c>
      <c r="C1283" t="s">
        <v>3</v>
      </c>
      <c r="D1283" t="s">
        <v>4</v>
      </c>
      <c r="E1283" t="s">
        <v>5</v>
      </c>
      <c r="F1283" s="6">
        <v>112971962</v>
      </c>
      <c r="G1283" t="s">
        <v>338</v>
      </c>
      <c r="H1283" t="s">
        <v>17</v>
      </c>
      <c r="I1283">
        <v>0</v>
      </c>
      <c r="J1283">
        <v>0</v>
      </c>
      <c r="K1283">
        <v>0</v>
      </c>
      <c r="L1283">
        <v>0</v>
      </c>
      <c r="M1283">
        <v>0.3</v>
      </c>
      <c r="N1283" s="7" t="str">
        <f>VLOOKUP(F1283,HC!A$6:D$100,3,FALSE)</f>
        <v>DB-X0700</v>
      </c>
      <c r="O1283" s="7" t="str">
        <f>VLOOKUP(F1283,HC!A$6:D$1000,2,FALSE)</f>
        <v>creyesal</v>
      </c>
      <c r="P1283" t="s">
        <v>665</v>
      </c>
      <c r="Q1283" s="7" t="s">
        <v>722</v>
      </c>
      <c r="U1283">
        <f t="shared" ref="U1283:U1346" si="22">COUNTIF(O$2:O$4999,O1283)</f>
        <v>38</v>
      </c>
    </row>
    <row r="1284" spans="1:21" ht="37.5" customHeight="1" x14ac:dyDescent="0.25">
      <c r="A1284" s="24">
        <v>45022</v>
      </c>
      <c r="B1284" s="13">
        <v>14</v>
      </c>
      <c r="C1284" t="s">
        <v>3</v>
      </c>
      <c r="D1284" t="s">
        <v>4</v>
      </c>
      <c r="E1284" t="s">
        <v>5</v>
      </c>
      <c r="F1284" s="6">
        <v>112972524</v>
      </c>
      <c r="G1284" t="s">
        <v>312</v>
      </c>
      <c r="H1284" t="s">
        <v>250</v>
      </c>
      <c r="I1284">
        <v>0</v>
      </c>
      <c r="J1284">
        <v>0</v>
      </c>
      <c r="K1284">
        <v>0</v>
      </c>
      <c r="L1284">
        <v>0</v>
      </c>
      <c r="M1284">
        <v>1.41</v>
      </c>
      <c r="N1284" s="7" t="str">
        <f>VLOOKUP(F1284,HC!A$6:D$100,3,FALSE)</f>
        <v>DB-X0700</v>
      </c>
      <c r="O1284" s="7" t="str">
        <f>VLOOKUP(F1284,HC!A$6:D$1000,2,FALSE)</f>
        <v>csantibl</v>
      </c>
      <c r="P1284" t="s">
        <v>661</v>
      </c>
      <c r="Q1284" s="7" t="s">
        <v>681</v>
      </c>
      <c r="U1284">
        <f t="shared" si="22"/>
        <v>17</v>
      </c>
    </row>
    <row r="1285" spans="1:21" ht="37.5" customHeight="1" x14ac:dyDescent="0.25">
      <c r="A1285" s="24">
        <v>45022</v>
      </c>
      <c r="B1285" s="13">
        <v>14</v>
      </c>
      <c r="C1285" t="s">
        <v>3</v>
      </c>
      <c r="D1285" t="s">
        <v>4</v>
      </c>
      <c r="E1285" t="s">
        <v>5</v>
      </c>
      <c r="F1285" s="6">
        <v>112980812</v>
      </c>
      <c r="G1285" t="s">
        <v>324</v>
      </c>
      <c r="H1285" t="s">
        <v>298</v>
      </c>
      <c r="I1285">
        <v>0</v>
      </c>
      <c r="J1285">
        <v>0</v>
      </c>
      <c r="K1285">
        <v>0</v>
      </c>
      <c r="L1285">
        <v>0</v>
      </c>
      <c r="M1285">
        <v>0.13</v>
      </c>
      <c r="N1285" s="7" t="str">
        <f>VLOOKUP(F1285,HC!A$6:D$100,3,FALSE)</f>
        <v>DA-X0700</v>
      </c>
      <c r="O1285" s="7" t="str">
        <f>VLOOKUP(F1285,HC!A$6:D$1000,2,FALSE)</f>
        <v>maryjacp</v>
      </c>
      <c r="P1285" t="s">
        <v>664</v>
      </c>
      <c r="Q1285" s="7" t="s">
        <v>710</v>
      </c>
      <c r="U1285">
        <f t="shared" si="22"/>
        <v>15</v>
      </c>
    </row>
    <row r="1286" spans="1:21" ht="37.5" customHeight="1" x14ac:dyDescent="0.25">
      <c r="A1286" s="24">
        <v>45022</v>
      </c>
      <c r="B1286" s="13">
        <v>14</v>
      </c>
      <c r="C1286" t="s">
        <v>3</v>
      </c>
      <c r="D1286" t="s">
        <v>4</v>
      </c>
      <c r="E1286" t="s">
        <v>5</v>
      </c>
      <c r="F1286" s="6">
        <v>112991248</v>
      </c>
      <c r="G1286" t="s">
        <v>461</v>
      </c>
      <c r="H1286" t="s">
        <v>298</v>
      </c>
      <c r="I1286">
        <v>0</v>
      </c>
      <c r="J1286">
        <v>0</v>
      </c>
      <c r="K1286">
        <v>0</v>
      </c>
      <c r="L1286">
        <v>0</v>
      </c>
      <c r="M1286">
        <v>0.1</v>
      </c>
      <c r="N1286" s="7" t="e">
        <f>VLOOKUP(F1286,HC!A$6:D$100,3,FALSE)</f>
        <v>#N/A</v>
      </c>
      <c r="O1286" s="7" t="e">
        <f>VLOOKUP(F1286,HC!A$6:D$1000,2,FALSE)</f>
        <v>#N/A</v>
      </c>
      <c r="P1286" t="s">
        <v>661</v>
      </c>
      <c r="Q1286" s="7" t="s">
        <v>681</v>
      </c>
      <c r="U1286">
        <f t="shared" si="22"/>
        <v>1395</v>
      </c>
    </row>
    <row r="1287" spans="1:21" ht="37.5" customHeight="1" x14ac:dyDescent="0.25">
      <c r="A1287" s="24">
        <v>45022</v>
      </c>
      <c r="B1287" s="13">
        <v>14</v>
      </c>
      <c r="C1287" t="s">
        <v>3</v>
      </c>
      <c r="D1287" t="s">
        <v>4</v>
      </c>
      <c r="E1287" t="s">
        <v>5</v>
      </c>
      <c r="F1287" s="6">
        <v>113003679</v>
      </c>
      <c r="G1287" t="s">
        <v>444</v>
      </c>
      <c r="H1287" t="s">
        <v>7</v>
      </c>
      <c r="I1287">
        <v>0</v>
      </c>
      <c r="J1287">
        <v>0</v>
      </c>
      <c r="K1287">
        <v>0</v>
      </c>
      <c r="L1287">
        <v>0</v>
      </c>
      <c r="M1287">
        <v>0.16</v>
      </c>
      <c r="N1287" s="7" t="e">
        <f>VLOOKUP(F1287,HC!A$6:D$100,3,FALSE)</f>
        <v>#N/A</v>
      </c>
      <c r="O1287" s="7" t="e">
        <f>VLOOKUP(F1287,HC!A$6:D$1000,2,FALSE)</f>
        <v>#N/A</v>
      </c>
      <c r="P1287" t="s">
        <v>662</v>
      </c>
      <c r="Q1287" s="7" t="s">
        <v>702</v>
      </c>
      <c r="U1287">
        <f t="shared" si="22"/>
        <v>1395</v>
      </c>
    </row>
    <row r="1288" spans="1:21" ht="37.5" customHeight="1" x14ac:dyDescent="0.25">
      <c r="A1288" s="24">
        <v>45022</v>
      </c>
      <c r="B1288" s="13">
        <v>14</v>
      </c>
      <c r="C1288" t="s">
        <v>3</v>
      </c>
      <c r="D1288" t="s">
        <v>4</v>
      </c>
      <c r="E1288" t="s">
        <v>21</v>
      </c>
      <c r="F1288" s="6">
        <v>200509428</v>
      </c>
      <c r="G1288" t="s">
        <v>272</v>
      </c>
      <c r="H1288" t="s">
        <v>49</v>
      </c>
      <c r="I1288">
        <v>0</v>
      </c>
      <c r="J1288">
        <v>0</v>
      </c>
      <c r="K1288">
        <v>0</v>
      </c>
      <c r="L1288">
        <v>0</v>
      </c>
      <c r="M1288">
        <v>0.62</v>
      </c>
      <c r="N1288" s="7" t="e">
        <f>VLOOKUP(F1288,HC!A$6:D$100,3,FALSE)</f>
        <v>#N/A</v>
      </c>
      <c r="O1288" s="7" t="e">
        <f>VLOOKUP(F1288,HC!A$6:D$1000,2,FALSE)</f>
        <v>#N/A</v>
      </c>
      <c r="P1288" t="s">
        <v>661</v>
      </c>
      <c r="Q1288" s="7" t="s">
        <v>681</v>
      </c>
      <c r="U1288">
        <f t="shared" si="22"/>
        <v>1395</v>
      </c>
    </row>
    <row r="1289" spans="1:21" ht="37.5" customHeight="1" x14ac:dyDescent="0.25">
      <c r="A1289" s="24">
        <v>45022</v>
      </c>
      <c r="B1289" s="13">
        <v>14</v>
      </c>
      <c r="C1289" t="s">
        <v>3</v>
      </c>
      <c r="D1289" t="s">
        <v>4</v>
      </c>
      <c r="E1289" t="s">
        <v>21</v>
      </c>
      <c r="F1289" s="6">
        <v>200534675</v>
      </c>
      <c r="G1289" t="s">
        <v>534</v>
      </c>
      <c r="H1289" t="s">
        <v>17</v>
      </c>
      <c r="I1289">
        <v>0</v>
      </c>
      <c r="J1289">
        <v>0</v>
      </c>
      <c r="K1289">
        <v>0</v>
      </c>
      <c r="L1289">
        <v>0</v>
      </c>
      <c r="M1289">
        <v>0.12</v>
      </c>
      <c r="N1289" s="7" t="e">
        <f>VLOOKUP(F1289,HC!A$6:D$100,3,FALSE)</f>
        <v>#N/A</v>
      </c>
      <c r="O1289" s="7" t="str">
        <f>VLOOKUP(F1289,HC!A$6:D$1000,2,FALSE)</f>
        <v>juanpmun</v>
      </c>
      <c r="P1289" t="s">
        <v>661</v>
      </c>
      <c r="Q1289" s="7" t="s">
        <v>681</v>
      </c>
      <c r="U1289">
        <f t="shared" si="22"/>
        <v>16</v>
      </c>
    </row>
    <row r="1290" spans="1:21" ht="37.5" customHeight="1" x14ac:dyDescent="0.25">
      <c r="A1290" s="24">
        <v>45022</v>
      </c>
      <c r="B1290" s="13">
        <v>14</v>
      </c>
      <c r="C1290" t="s">
        <v>3</v>
      </c>
      <c r="D1290" t="s">
        <v>4</v>
      </c>
      <c r="E1290" t="s">
        <v>21</v>
      </c>
      <c r="F1290" s="6">
        <v>200574345</v>
      </c>
      <c r="G1290" t="s">
        <v>476</v>
      </c>
      <c r="H1290" t="s">
        <v>285</v>
      </c>
      <c r="I1290">
        <v>0</v>
      </c>
      <c r="J1290">
        <v>0</v>
      </c>
      <c r="K1290">
        <v>0</v>
      </c>
      <c r="L1290">
        <v>0</v>
      </c>
      <c r="M1290">
        <v>0.15</v>
      </c>
      <c r="N1290" s="7" t="e">
        <f>VLOOKUP(F1290,HC!A$6:D$100,3,FALSE)</f>
        <v>#N/A</v>
      </c>
      <c r="O1290" s="7" t="str">
        <f>VLOOKUP(F1290,HC!A$6:D$1000,2,FALSE)</f>
        <v>contrexj</v>
      </c>
      <c r="P1290" t="s">
        <v>662</v>
      </c>
      <c r="Q1290" s="7" t="s">
        <v>688</v>
      </c>
      <c r="U1290">
        <f t="shared" si="22"/>
        <v>17</v>
      </c>
    </row>
    <row r="1291" spans="1:21" ht="37.5" customHeight="1" x14ac:dyDescent="0.25">
      <c r="A1291" s="24">
        <v>45022</v>
      </c>
      <c r="B1291" s="13">
        <v>14</v>
      </c>
      <c r="C1291" t="s">
        <v>3</v>
      </c>
      <c r="D1291" t="s">
        <v>4</v>
      </c>
      <c r="E1291" t="s">
        <v>21</v>
      </c>
      <c r="F1291" s="6">
        <v>201165769</v>
      </c>
      <c r="G1291" t="s">
        <v>903</v>
      </c>
      <c r="H1291" t="s">
        <v>47</v>
      </c>
      <c r="I1291">
        <v>0</v>
      </c>
      <c r="J1291">
        <v>0</v>
      </c>
      <c r="K1291">
        <v>0</v>
      </c>
      <c r="L1291">
        <v>0</v>
      </c>
      <c r="M1291">
        <v>0.09</v>
      </c>
      <c r="N1291" s="7" t="e">
        <f>VLOOKUP(F1291,HC!A$6:D$100,3,FALSE)</f>
        <v>#N/A</v>
      </c>
      <c r="O1291" s="7" t="str">
        <f>VLOOKUP(F1291,HC!A$6:D$1000,2,FALSE)</f>
        <v>puenkare</v>
      </c>
      <c r="P1291" t="s">
        <v>662</v>
      </c>
      <c r="Q1291" s="7" t="s">
        <v>691</v>
      </c>
      <c r="U1291">
        <f t="shared" si="22"/>
        <v>19</v>
      </c>
    </row>
    <row r="1292" spans="1:21" ht="37.5" customHeight="1" x14ac:dyDescent="0.25">
      <c r="A1292" s="24">
        <v>45022</v>
      </c>
      <c r="B1292" s="13">
        <v>14</v>
      </c>
      <c r="C1292" t="s">
        <v>3</v>
      </c>
      <c r="D1292" t="s">
        <v>4</v>
      </c>
      <c r="E1292" t="s">
        <v>21</v>
      </c>
      <c r="F1292" s="6">
        <v>201205615</v>
      </c>
      <c r="G1292" t="s">
        <v>919</v>
      </c>
      <c r="H1292" t="s">
        <v>44</v>
      </c>
      <c r="I1292">
        <v>0</v>
      </c>
      <c r="J1292">
        <v>0</v>
      </c>
      <c r="K1292">
        <v>0</v>
      </c>
      <c r="L1292">
        <v>0</v>
      </c>
      <c r="M1292">
        <v>0.14000000000000001</v>
      </c>
      <c r="N1292" s="7" t="e">
        <f>VLOOKUP(F1292,HC!A$6:D$100,3,FALSE)</f>
        <v>#N/A</v>
      </c>
      <c r="O1292" s="7" t="e">
        <f>VLOOKUP(F1292,HC!A$6:D$1000,2,FALSE)</f>
        <v>#N/A</v>
      </c>
      <c r="P1292" t="s">
        <v>661</v>
      </c>
      <c r="Q1292" s="7" t="s">
        <v>681</v>
      </c>
      <c r="U1292">
        <f t="shared" si="22"/>
        <v>1395</v>
      </c>
    </row>
    <row r="1293" spans="1:21" ht="37.5" customHeight="1" x14ac:dyDescent="0.25">
      <c r="A1293" s="24">
        <v>45023</v>
      </c>
      <c r="B1293" s="13">
        <v>14</v>
      </c>
      <c r="C1293" t="s">
        <v>3</v>
      </c>
      <c r="D1293" t="s">
        <v>4</v>
      </c>
      <c r="E1293" t="s">
        <v>5</v>
      </c>
      <c r="F1293" s="6">
        <v>112920655</v>
      </c>
      <c r="G1293" t="s">
        <v>509</v>
      </c>
      <c r="H1293" t="s">
        <v>282</v>
      </c>
      <c r="I1293">
        <v>0</v>
      </c>
      <c r="J1293">
        <v>0</v>
      </c>
      <c r="K1293">
        <v>0</v>
      </c>
      <c r="L1293">
        <v>0</v>
      </c>
      <c r="M1293">
        <v>0.65</v>
      </c>
      <c r="N1293" s="7" t="e">
        <f>VLOOKUP(F1293,HC!A$6:D$100,3,FALSE)</f>
        <v>#N/A</v>
      </c>
      <c r="O1293" s="7" t="e">
        <f>VLOOKUP(F1293,HC!A$6:D$1000,2,FALSE)</f>
        <v>#N/A</v>
      </c>
      <c r="P1293" t="s">
        <v>664</v>
      </c>
      <c r="Q1293" s="7" t="s">
        <v>716</v>
      </c>
      <c r="U1293">
        <f t="shared" si="22"/>
        <v>1395</v>
      </c>
    </row>
    <row r="1294" spans="1:21" ht="37.5" customHeight="1" x14ac:dyDescent="0.25">
      <c r="A1294" s="24">
        <v>45023</v>
      </c>
      <c r="B1294" s="13">
        <v>14</v>
      </c>
      <c r="C1294" t="s">
        <v>3</v>
      </c>
      <c r="D1294" t="s">
        <v>4</v>
      </c>
      <c r="E1294" t="s">
        <v>5</v>
      </c>
      <c r="F1294" s="6">
        <v>112920666</v>
      </c>
      <c r="G1294" t="s">
        <v>252</v>
      </c>
      <c r="H1294" t="s">
        <v>459</v>
      </c>
      <c r="I1294">
        <v>0</v>
      </c>
      <c r="J1294">
        <v>0</v>
      </c>
      <c r="K1294">
        <v>0</v>
      </c>
      <c r="L1294">
        <v>0</v>
      </c>
      <c r="M1294">
        <v>0.15</v>
      </c>
      <c r="N1294" s="7" t="str">
        <f>VLOOKUP(F1294,HC!A$6:D$100,3,FALSE)</f>
        <v>D5-X0700</v>
      </c>
      <c r="O1294" s="7" t="str">
        <f>VLOOKUP(F1294,HC!A$6:D$1000,2,FALSE)</f>
        <v>jorochai</v>
      </c>
      <c r="P1294" t="s">
        <v>662</v>
      </c>
      <c r="Q1294" s="7" t="s">
        <v>691</v>
      </c>
      <c r="U1294">
        <f t="shared" si="22"/>
        <v>19</v>
      </c>
    </row>
    <row r="1295" spans="1:21" ht="37.5" customHeight="1" x14ac:dyDescent="0.25">
      <c r="A1295" s="24">
        <v>45023</v>
      </c>
      <c r="B1295" s="13">
        <v>14</v>
      </c>
      <c r="C1295" t="s">
        <v>3</v>
      </c>
      <c r="D1295" t="s">
        <v>4</v>
      </c>
      <c r="E1295" t="s">
        <v>5</v>
      </c>
      <c r="F1295" s="6">
        <v>112972958</v>
      </c>
      <c r="G1295" t="s">
        <v>441</v>
      </c>
      <c r="H1295" t="s">
        <v>459</v>
      </c>
      <c r="I1295">
        <v>0</v>
      </c>
      <c r="J1295">
        <v>0</v>
      </c>
      <c r="K1295">
        <v>0</v>
      </c>
      <c r="L1295">
        <v>0</v>
      </c>
      <c r="M1295">
        <v>0.4</v>
      </c>
      <c r="N1295" s="7" t="str">
        <f>VLOOKUP(F1295,HC!A$6:D$100,3,FALSE)</f>
        <v>D5-X0700</v>
      </c>
      <c r="O1295" s="7" t="str">
        <f>VLOOKUP(F1295,HC!A$6:D$1000,2,FALSE)</f>
        <v>ugonzgui</v>
      </c>
      <c r="P1295" t="s">
        <v>664</v>
      </c>
      <c r="Q1295" s="7"/>
      <c r="U1295">
        <f t="shared" si="22"/>
        <v>13</v>
      </c>
    </row>
    <row r="1296" spans="1:21" ht="37.5" customHeight="1" x14ac:dyDescent="0.25">
      <c r="A1296" s="24">
        <v>45023</v>
      </c>
      <c r="B1296" s="13">
        <v>14</v>
      </c>
      <c r="C1296" t="s">
        <v>3</v>
      </c>
      <c r="D1296" t="s">
        <v>4</v>
      </c>
      <c r="E1296" t="s">
        <v>5</v>
      </c>
      <c r="F1296" s="6">
        <v>113014470</v>
      </c>
      <c r="G1296" t="s">
        <v>374</v>
      </c>
      <c r="H1296" t="s">
        <v>49</v>
      </c>
      <c r="I1296">
        <v>0</v>
      </c>
      <c r="J1296">
        <v>0</v>
      </c>
      <c r="K1296">
        <v>0</v>
      </c>
      <c r="L1296">
        <v>0</v>
      </c>
      <c r="M1296">
        <v>0.79</v>
      </c>
      <c r="N1296" s="7" t="e">
        <f>VLOOKUP(F1296,HC!A$6:D$100,3,FALSE)</f>
        <v>#N/A</v>
      </c>
      <c r="O1296" s="7" t="str">
        <f>VLOOKUP(F1296,HC!A$6:D$1000,2,FALSE)</f>
        <v>lupaguin</v>
      </c>
      <c r="P1296" t="s">
        <v>661</v>
      </c>
      <c r="Q1296" s="7" t="s">
        <v>681</v>
      </c>
      <c r="U1296">
        <f t="shared" si="22"/>
        <v>23</v>
      </c>
    </row>
    <row r="1297" spans="1:21" ht="37.5" customHeight="1" x14ac:dyDescent="0.25">
      <c r="A1297" s="24">
        <v>45023</v>
      </c>
      <c r="B1297" s="13">
        <v>14</v>
      </c>
      <c r="C1297" t="s">
        <v>3</v>
      </c>
      <c r="D1297" t="s">
        <v>4</v>
      </c>
      <c r="E1297" t="s">
        <v>21</v>
      </c>
      <c r="F1297" s="6">
        <v>200563038</v>
      </c>
      <c r="G1297" t="s">
        <v>949</v>
      </c>
      <c r="H1297" t="s">
        <v>7</v>
      </c>
      <c r="I1297">
        <v>0</v>
      </c>
      <c r="J1297">
        <v>0</v>
      </c>
      <c r="K1297">
        <v>0</v>
      </c>
      <c r="L1297">
        <v>0</v>
      </c>
      <c r="M1297">
        <v>0.15</v>
      </c>
      <c r="N1297" s="7" t="e">
        <f>VLOOKUP(F1297,HC!A$6:D$100,3,FALSE)</f>
        <v>#N/A</v>
      </c>
      <c r="O1297" s="7" t="str">
        <f>VLOOKUP(F1297,HC!A$6:D$1000,2,FALSE)</f>
        <v>ariaszee</v>
      </c>
      <c r="P1297" t="s">
        <v>662</v>
      </c>
      <c r="Q1297" s="7" t="s">
        <v>702</v>
      </c>
      <c r="U1297">
        <f t="shared" si="22"/>
        <v>9</v>
      </c>
    </row>
    <row r="1298" spans="1:21" ht="37.5" customHeight="1" x14ac:dyDescent="0.25">
      <c r="A1298" s="24">
        <v>45023</v>
      </c>
      <c r="B1298" s="13">
        <v>14</v>
      </c>
      <c r="C1298" t="s">
        <v>3</v>
      </c>
      <c r="D1298" t="s">
        <v>4</v>
      </c>
      <c r="E1298" t="s">
        <v>21</v>
      </c>
      <c r="F1298" s="6">
        <v>200625339</v>
      </c>
      <c r="G1298" t="s">
        <v>860</v>
      </c>
      <c r="H1298" t="s">
        <v>7</v>
      </c>
      <c r="I1298">
        <v>0</v>
      </c>
      <c r="J1298">
        <v>0</v>
      </c>
      <c r="K1298">
        <v>0</v>
      </c>
      <c r="L1298">
        <v>0</v>
      </c>
      <c r="M1298">
        <v>0.36</v>
      </c>
      <c r="N1298" s="7" t="e">
        <f>VLOOKUP(F1298,HC!A$6:D$100,3,FALSE)</f>
        <v>#N/A</v>
      </c>
      <c r="O1298" s="7" t="e">
        <f>VLOOKUP(F1298,HC!A$6:D$1000,2,FALSE)</f>
        <v>#N/A</v>
      </c>
      <c r="P1298" t="s">
        <v>661</v>
      </c>
      <c r="Q1298" s="7" t="s">
        <v>681</v>
      </c>
      <c r="U1298">
        <f t="shared" si="22"/>
        <v>1395</v>
      </c>
    </row>
    <row r="1299" spans="1:21" ht="37.5" customHeight="1" x14ac:dyDescent="0.25">
      <c r="A1299" s="24">
        <v>45023</v>
      </c>
      <c r="B1299" s="13">
        <v>14</v>
      </c>
      <c r="C1299" t="s">
        <v>3</v>
      </c>
      <c r="D1299" t="s">
        <v>4</v>
      </c>
      <c r="E1299" t="s">
        <v>21</v>
      </c>
      <c r="F1299" s="6">
        <v>201186621</v>
      </c>
      <c r="G1299" t="s">
        <v>915</v>
      </c>
      <c r="H1299" t="s">
        <v>298</v>
      </c>
      <c r="I1299">
        <v>0</v>
      </c>
      <c r="J1299">
        <v>0</v>
      </c>
      <c r="K1299">
        <v>0</v>
      </c>
      <c r="L1299">
        <v>0</v>
      </c>
      <c r="M1299">
        <v>0.11</v>
      </c>
      <c r="N1299" s="7" t="e">
        <f>VLOOKUP(F1299,HC!A$6:D$100,3,FALSE)</f>
        <v>#N/A</v>
      </c>
      <c r="O1299" s="7" t="e">
        <f>VLOOKUP(F1299,HC!A$6:D$1000,2,FALSE)</f>
        <v>#N/A</v>
      </c>
      <c r="P1299" t="s">
        <v>662</v>
      </c>
      <c r="Q1299" s="7" t="s">
        <v>687</v>
      </c>
      <c r="U1299">
        <f t="shared" si="22"/>
        <v>1395</v>
      </c>
    </row>
    <row r="1300" spans="1:21" ht="37.5" customHeight="1" x14ac:dyDescent="0.25">
      <c r="A1300" s="24">
        <v>45024</v>
      </c>
      <c r="B1300" s="13">
        <v>14</v>
      </c>
      <c r="C1300" t="s">
        <v>3</v>
      </c>
      <c r="D1300" t="s">
        <v>4</v>
      </c>
      <c r="E1300" t="s">
        <v>5</v>
      </c>
      <c r="F1300" s="6">
        <v>112912675</v>
      </c>
      <c r="G1300" t="s">
        <v>326</v>
      </c>
      <c r="H1300" t="s">
        <v>268</v>
      </c>
      <c r="I1300">
        <v>0</v>
      </c>
      <c r="J1300">
        <v>0</v>
      </c>
      <c r="K1300">
        <v>0</v>
      </c>
      <c r="L1300">
        <v>0</v>
      </c>
      <c r="M1300">
        <v>0.15</v>
      </c>
      <c r="N1300" s="7" t="e">
        <f>VLOOKUP(F1300,HC!A$6:D$100,3,FALSE)</f>
        <v>#N/A</v>
      </c>
      <c r="O1300" s="7" t="e">
        <f>VLOOKUP(F1300,HC!A$6:D$1000,2,FALSE)</f>
        <v>#N/A</v>
      </c>
      <c r="P1300" t="s">
        <v>664</v>
      </c>
      <c r="Q1300" s="7" t="s">
        <v>716</v>
      </c>
      <c r="U1300">
        <f t="shared" si="22"/>
        <v>1395</v>
      </c>
    </row>
    <row r="1301" spans="1:21" ht="37.5" customHeight="1" x14ac:dyDescent="0.25">
      <c r="A1301" s="24">
        <v>45024</v>
      </c>
      <c r="B1301" s="13">
        <v>14</v>
      </c>
      <c r="C1301" t="s">
        <v>3</v>
      </c>
      <c r="D1301" t="s">
        <v>4</v>
      </c>
      <c r="E1301" t="s">
        <v>5</v>
      </c>
      <c r="F1301" s="6">
        <v>112920655</v>
      </c>
      <c r="G1301" t="s">
        <v>509</v>
      </c>
      <c r="H1301" t="s">
        <v>282</v>
      </c>
      <c r="I1301">
        <v>0</v>
      </c>
      <c r="J1301">
        <v>0</v>
      </c>
      <c r="K1301">
        <v>0</v>
      </c>
      <c r="L1301">
        <v>0</v>
      </c>
      <c r="M1301">
        <v>1.62</v>
      </c>
      <c r="N1301" s="7" t="e">
        <f>VLOOKUP(F1301,HC!A$6:D$100,3,FALSE)</f>
        <v>#N/A</v>
      </c>
      <c r="O1301" s="7" t="e">
        <f>VLOOKUP(F1301,HC!A$6:D$1000,2,FALSE)</f>
        <v>#N/A</v>
      </c>
      <c r="P1301" t="s">
        <v>664</v>
      </c>
      <c r="Q1301" s="7" t="s">
        <v>710</v>
      </c>
      <c r="U1301">
        <f t="shared" si="22"/>
        <v>1395</v>
      </c>
    </row>
    <row r="1302" spans="1:21" ht="37.5" customHeight="1" x14ac:dyDescent="0.25">
      <c r="A1302" s="24">
        <v>45024</v>
      </c>
      <c r="B1302" s="13">
        <v>14</v>
      </c>
      <c r="C1302" t="s">
        <v>3</v>
      </c>
      <c r="D1302" t="s">
        <v>4</v>
      </c>
      <c r="E1302" t="s">
        <v>5</v>
      </c>
      <c r="F1302" s="6">
        <v>113018997</v>
      </c>
      <c r="G1302" t="s">
        <v>254</v>
      </c>
      <c r="H1302" t="s">
        <v>268</v>
      </c>
      <c r="I1302">
        <v>0</v>
      </c>
      <c r="J1302">
        <v>0</v>
      </c>
      <c r="K1302">
        <v>0</v>
      </c>
      <c r="L1302">
        <v>0</v>
      </c>
      <c r="M1302">
        <v>0.37</v>
      </c>
      <c r="N1302" s="7" t="e">
        <f>VLOOKUP(F1302,HC!A$6:D$100,3,FALSE)</f>
        <v>#N/A</v>
      </c>
      <c r="O1302" s="7" t="e">
        <f>VLOOKUP(F1302,HC!A$6:D$1000,2,FALSE)</f>
        <v>#N/A</v>
      </c>
      <c r="P1302" t="s">
        <v>661</v>
      </c>
      <c r="Q1302" s="7" t="s">
        <v>681</v>
      </c>
      <c r="U1302">
        <f t="shared" si="22"/>
        <v>1395</v>
      </c>
    </row>
    <row r="1303" spans="1:21" ht="37.5" customHeight="1" x14ac:dyDescent="0.25">
      <c r="A1303" s="24">
        <v>45024</v>
      </c>
      <c r="B1303" s="13">
        <v>14</v>
      </c>
      <c r="C1303" t="s">
        <v>3</v>
      </c>
      <c r="D1303" t="s">
        <v>4</v>
      </c>
      <c r="E1303" t="s">
        <v>21</v>
      </c>
      <c r="F1303" s="6">
        <v>200562154</v>
      </c>
      <c r="G1303" t="s">
        <v>437</v>
      </c>
      <c r="H1303" t="s">
        <v>268</v>
      </c>
      <c r="I1303">
        <v>0</v>
      </c>
      <c r="J1303">
        <v>0</v>
      </c>
      <c r="K1303">
        <v>0</v>
      </c>
      <c r="L1303">
        <v>0</v>
      </c>
      <c r="M1303">
        <v>0.88</v>
      </c>
      <c r="N1303" s="7" t="e">
        <f>VLOOKUP(F1303,HC!A$6:D$100,3,FALSE)</f>
        <v>#N/A</v>
      </c>
      <c r="O1303" s="7" t="str">
        <f>VLOOKUP(F1303,HC!A$6:D$1000,2,FALSE)</f>
        <v>reyesmcw</v>
      </c>
      <c r="P1303" t="s">
        <v>664</v>
      </c>
      <c r="Q1303" s="7" t="s">
        <v>709</v>
      </c>
      <c r="U1303">
        <f t="shared" si="22"/>
        <v>38</v>
      </c>
    </row>
    <row r="1304" spans="1:21" ht="37.5" customHeight="1" x14ac:dyDescent="0.25">
      <c r="A1304" s="24">
        <v>45024</v>
      </c>
      <c r="B1304" s="13">
        <v>14</v>
      </c>
      <c r="C1304" t="s">
        <v>3</v>
      </c>
      <c r="D1304" t="s">
        <v>4</v>
      </c>
      <c r="E1304" t="s">
        <v>21</v>
      </c>
      <c r="F1304" s="6">
        <v>200564845</v>
      </c>
      <c r="G1304" t="s">
        <v>440</v>
      </c>
      <c r="H1304" t="s">
        <v>7</v>
      </c>
      <c r="I1304">
        <v>0</v>
      </c>
      <c r="J1304">
        <v>0</v>
      </c>
      <c r="K1304">
        <v>0</v>
      </c>
      <c r="L1304">
        <v>0</v>
      </c>
      <c r="M1304">
        <v>0.91</v>
      </c>
      <c r="N1304" s="7" t="e">
        <f>VLOOKUP(F1304,HC!A$6:D$100,3,FALSE)</f>
        <v>#N/A</v>
      </c>
      <c r="O1304" s="7" t="e">
        <f>VLOOKUP(F1304,HC!A$6:D$1000,2,FALSE)</f>
        <v>#N/A</v>
      </c>
      <c r="P1304" t="s">
        <v>663</v>
      </c>
      <c r="Q1304" s="7" t="s">
        <v>695</v>
      </c>
      <c r="U1304">
        <f t="shared" si="22"/>
        <v>1395</v>
      </c>
    </row>
    <row r="1305" spans="1:21" ht="37.5" customHeight="1" x14ac:dyDescent="0.25">
      <c r="A1305" s="24">
        <v>45024</v>
      </c>
      <c r="B1305" s="13">
        <v>14</v>
      </c>
      <c r="C1305" t="s">
        <v>3</v>
      </c>
      <c r="D1305" t="s">
        <v>4</v>
      </c>
      <c r="E1305" t="s">
        <v>21</v>
      </c>
      <c r="F1305" s="6">
        <v>200589316</v>
      </c>
      <c r="G1305" t="s">
        <v>53</v>
      </c>
      <c r="H1305" t="s">
        <v>7</v>
      </c>
      <c r="I1305">
        <v>0</v>
      </c>
      <c r="J1305">
        <v>0</v>
      </c>
      <c r="K1305">
        <v>0</v>
      </c>
      <c r="L1305">
        <v>0</v>
      </c>
      <c r="M1305">
        <v>0.42</v>
      </c>
      <c r="N1305" s="7" t="e">
        <f>VLOOKUP(F1305,HC!A$6:D$100,3,FALSE)</f>
        <v>#N/A</v>
      </c>
      <c r="O1305" s="7" t="e">
        <f>VLOOKUP(F1305,HC!A$6:D$1000,2,FALSE)</f>
        <v>#N/A</v>
      </c>
      <c r="P1305" t="s">
        <v>662</v>
      </c>
      <c r="Q1305" s="7" t="s">
        <v>691</v>
      </c>
      <c r="U1305">
        <f t="shared" si="22"/>
        <v>1395</v>
      </c>
    </row>
    <row r="1306" spans="1:21" ht="37.5" customHeight="1" x14ac:dyDescent="0.25">
      <c r="A1306" s="24">
        <v>45024</v>
      </c>
      <c r="B1306" s="13">
        <v>14</v>
      </c>
      <c r="C1306" t="s">
        <v>3</v>
      </c>
      <c r="D1306" t="s">
        <v>4</v>
      </c>
      <c r="E1306" t="s">
        <v>21</v>
      </c>
      <c r="F1306" s="6">
        <v>201158953</v>
      </c>
      <c r="G1306" t="s">
        <v>923</v>
      </c>
      <c r="H1306" t="s">
        <v>268</v>
      </c>
      <c r="I1306">
        <v>0</v>
      </c>
      <c r="J1306">
        <v>0</v>
      </c>
      <c r="K1306">
        <v>0</v>
      </c>
      <c r="L1306">
        <v>0</v>
      </c>
      <c r="M1306">
        <v>0.25</v>
      </c>
      <c r="N1306" s="7" t="e">
        <f>VLOOKUP(F1306,HC!A$6:D$100,3,FALSE)</f>
        <v>#N/A</v>
      </c>
      <c r="O1306" s="7" t="e">
        <f>VLOOKUP(F1306,HC!A$6:D$1000,2,FALSE)</f>
        <v>#N/A</v>
      </c>
      <c r="P1306" t="s">
        <v>662</v>
      </c>
      <c r="Q1306" s="7" t="s">
        <v>757</v>
      </c>
      <c r="U1306">
        <f t="shared" si="22"/>
        <v>1395</v>
      </c>
    </row>
    <row r="1307" spans="1:21" ht="37.5" customHeight="1" x14ac:dyDescent="0.25">
      <c r="A1307" s="24">
        <v>45024</v>
      </c>
      <c r="B1307" s="13">
        <v>14</v>
      </c>
      <c r="C1307" t="s">
        <v>3</v>
      </c>
      <c r="D1307" t="s">
        <v>4</v>
      </c>
      <c r="E1307" t="s">
        <v>21</v>
      </c>
      <c r="F1307" s="6">
        <v>201194285</v>
      </c>
      <c r="G1307" t="s">
        <v>859</v>
      </c>
      <c r="H1307" t="s">
        <v>17</v>
      </c>
      <c r="I1307">
        <v>0</v>
      </c>
      <c r="J1307">
        <v>0</v>
      </c>
      <c r="K1307">
        <v>0</v>
      </c>
      <c r="L1307">
        <v>0</v>
      </c>
      <c r="M1307">
        <v>0.24</v>
      </c>
      <c r="N1307" s="7" t="e">
        <f>VLOOKUP(F1307,HC!A$6:D$100,3,FALSE)</f>
        <v>#N/A</v>
      </c>
      <c r="O1307" s="7" t="e">
        <f>VLOOKUP(F1307,HC!A$6:D$1000,2,FALSE)</f>
        <v>#N/A</v>
      </c>
      <c r="P1307" t="s">
        <v>664</v>
      </c>
      <c r="Q1307" s="7" t="s">
        <v>777</v>
      </c>
      <c r="U1307">
        <f t="shared" si="22"/>
        <v>1395</v>
      </c>
    </row>
    <row r="1308" spans="1:21" ht="37.5" customHeight="1" x14ac:dyDescent="0.25">
      <c r="A1308" s="24">
        <v>45025</v>
      </c>
      <c r="B1308" s="13">
        <v>15</v>
      </c>
      <c r="C1308" t="s">
        <v>3</v>
      </c>
      <c r="D1308" t="s">
        <v>4</v>
      </c>
      <c r="E1308" t="s">
        <v>5</v>
      </c>
      <c r="F1308" s="6">
        <v>111434478</v>
      </c>
      <c r="G1308" t="s">
        <v>331</v>
      </c>
      <c r="H1308" t="s">
        <v>253</v>
      </c>
      <c r="I1308">
        <v>0</v>
      </c>
      <c r="J1308">
        <v>0</v>
      </c>
      <c r="K1308">
        <v>0</v>
      </c>
      <c r="L1308">
        <v>0</v>
      </c>
      <c r="M1308">
        <v>0.08</v>
      </c>
      <c r="N1308" s="7" t="str">
        <f>VLOOKUP(F1308,HC!A$6:D$100,3,FALSE)</f>
        <v>DA-X0700</v>
      </c>
      <c r="O1308" s="7" t="str">
        <f>VLOOKUP(F1308,HC!A$6:D$1000,2,FALSE)</f>
        <v>juanapam</v>
      </c>
      <c r="P1308" t="s">
        <v>675</v>
      </c>
      <c r="Q1308" s="7"/>
      <c r="U1308">
        <f t="shared" si="22"/>
        <v>32</v>
      </c>
    </row>
    <row r="1309" spans="1:21" ht="37.5" customHeight="1" x14ac:dyDescent="0.25">
      <c r="A1309" s="24">
        <v>45025</v>
      </c>
      <c r="B1309" s="13">
        <v>15</v>
      </c>
      <c r="C1309" t="s">
        <v>3</v>
      </c>
      <c r="D1309" t="s">
        <v>4</v>
      </c>
      <c r="E1309" t="s">
        <v>5</v>
      </c>
      <c r="F1309" s="6">
        <v>112698209</v>
      </c>
      <c r="G1309" t="s">
        <v>950</v>
      </c>
      <c r="H1309" t="s">
        <v>253</v>
      </c>
      <c r="I1309">
        <v>0</v>
      </c>
      <c r="J1309">
        <v>0</v>
      </c>
      <c r="K1309">
        <v>0</v>
      </c>
      <c r="L1309">
        <v>0</v>
      </c>
      <c r="M1309">
        <v>0</v>
      </c>
      <c r="N1309" s="7" t="str">
        <f>VLOOKUP(F1309,HC!A$6:D$100,3,FALSE)</f>
        <v>DA-X0700</v>
      </c>
      <c r="O1309" s="7" t="str">
        <f>VLOOKUP(F1309,HC!A$6:D$1000,2,FALSE)</f>
        <v>dianacec</v>
      </c>
      <c r="P1309" t="s">
        <v>661</v>
      </c>
      <c r="Q1309" s="7" t="s">
        <v>681</v>
      </c>
      <c r="U1309">
        <f t="shared" si="22"/>
        <v>3</v>
      </c>
    </row>
    <row r="1310" spans="1:21" ht="37.5" customHeight="1" x14ac:dyDescent="0.25">
      <c r="A1310" s="24">
        <v>45025</v>
      </c>
      <c r="B1310" s="13">
        <v>15</v>
      </c>
      <c r="C1310" t="s">
        <v>3</v>
      </c>
      <c r="D1310" t="s">
        <v>4</v>
      </c>
      <c r="E1310" t="s">
        <v>5</v>
      </c>
      <c r="F1310" s="6">
        <v>112912752</v>
      </c>
      <c r="G1310" t="s">
        <v>251</v>
      </c>
      <c r="H1310" t="s">
        <v>268</v>
      </c>
      <c r="I1310">
        <v>0</v>
      </c>
      <c r="J1310">
        <v>0</v>
      </c>
      <c r="K1310">
        <v>0</v>
      </c>
      <c r="L1310">
        <v>0</v>
      </c>
      <c r="M1310">
        <v>0.55000000000000004</v>
      </c>
      <c r="N1310" s="7" t="str">
        <f>VLOOKUP(F1310,HC!A$6:D$100,3,FALSE)</f>
        <v>NF-X1900</v>
      </c>
      <c r="O1310" s="7" t="str">
        <f>VLOOKUP(F1310,HC!A$6:D$1000,2,FALSE)</f>
        <v>valderle</v>
      </c>
      <c r="P1310" t="s">
        <v>670</v>
      </c>
      <c r="Q1310" s="7" t="s">
        <v>746</v>
      </c>
      <c r="R1310" t="s">
        <v>953</v>
      </c>
      <c r="U1310">
        <f t="shared" si="22"/>
        <v>50</v>
      </c>
    </row>
    <row r="1311" spans="1:21" ht="37.5" customHeight="1" x14ac:dyDescent="0.25">
      <c r="A1311" s="24">
        <v>45025</v>
      </c>
      <c r="B1311" s="13">
        <v>15</v>
      </c>
      <c r="C1311" t="s">
        <v>3</v>
      </c>
      <c r="D1311" t="s">
        <v>4</v>
      </c>
      <c r="E1311" t="s">
        <v>5</v>
      </c>
      <c r="F1311" s="6">
        <v>112980844</v>
      </c>
      <c r="G1311" t="s">
        <v>13</v>
      </c>
      <c r="H1311" t="s">
        <v>268</v>
      </c>
      <c r="I1311">
        <v>0</v>
      </c>
      <c r="J1311">
        <v>0</v>
      </c>
      <c r="K1311">
        <v>0</v>
      </c>
      <c r="L1311">
        <v>0</v>
      </c>
      <c r="M1311">
        <v>0.27</v>
      </c>
      <c r="N1311" s="7" t="str">
        <f>VLOOKUP(F1311,HC!A$6:D$100,3,FALSE)</f>
        <v>DA-X0700</v>
      </c>
      <c r="O1311" s="7" t="str">
        <f>VLOOKUP(F1311,HC!A$6:D$1000,2,FALSE)</f>
        <v>samajpad</v>
      </c>
      <c r="P1311" t="s">
        <v>664</v>
      </c>
      <c r="Q1311" s="7" t="s">
        <v>711</v>
      </c>
      <c r="U1311">
        <f t="shared" si="22"/>
        <v>20</v>
      </c>
    </row>
    <row r="1312" spans="1:21" ht="37.5" customHeight="1" x14ac:dyDescent="0.25">
      <c r="A1312" s="24">
        <v>45025</v>
      </c>
      <c r="B1312" s="13">
        <v>15</v>
      </c>
      <c r="C1312" t="s">
        <v>3</v>
      </c>
      <c r="D1312" t="s">
        <v>4</v>
      </c>
      <c r="E1312" t="s">
        <v>21</v>
      </c>
      <c r="F1312" s="6">
        <v>201160146</v>
      </c>
      <c r="G1312" t="s">
        <v>851</v>
      </c>
      <c r="H1312" t="s">
        <v>17</v>
      </c>
      <c r="I1312">
        <v>0</v>
      </c>
      <c r="J1312">
        <v>0</v>
      </c>
      <c r="K1312">
        <v>0</v>
      </c>
      <c r="L1312">
        <v>0</v>
      </c>
      <c r="M1312">
        <v>0.2</v>
      </c>
      <c r="N1312" s="7" t="e">
        <f>VLOOKUP(F1312,HC!A$6:D$100,3,FALSE)</f>
        <v>#N/A</v>
      </c>
      <c r="O1312" s="7" t="e">
        <f>VLOOKUP(F1312,HC!A$6:D$1000,2,FALSE)</f>
        <v>#N/A</v>
      </c>
      <c r="P1312" t="s">
        <v>664</v>
      </c>
      <c r="Q1312" s="7" t="s">
        <v>777</v>
      </c>
      <c r="U1312">
        <f t="shared" si="22"/>
        <v>1395</v>
      </c>
    </row>
    <row r="1313" spans="1:21" ht="37.5" customHeight="1" x14ac:dyDescent="0.25">
      <c r="A1313" s="24">
        <v>45025</v>
      </c>
      <c r="B1313" s="13">
        <v>15</v>
      </c>
      <c r="C1313" t="s">
        <v>3</v>
      </c>
      <c r="D1313" t="s">
        <v>4</v>
      </c>
      <c r="E1313" t="s">
        <v>21</v>
      </c>
      <c r="F1313" s="6">
        <v>201165769</v>
      </c>
      <c r="G1313" t="s">
        <v>903</v>
      </c>
      <c r="H1313" t="s">
        <v>285</v>
      </c>
      <c r="I1313">
        <v>0</v>
      </c>
      <c r="J1313">
        <v>0</v>
      </c>
      <c r="K1313">
        <v>0</v>
      </c>
      <c r="L1313">
        <v>0</v>
      </c>
      <c r="M1313">
        <v>0.22</v>
      </c>
      <c r="N1313" s="7" t="e">
        <f>VLOOKUP(F1313,HC!A$6:D$100,3,FALSE)</f>
        <v>#N/A</v>
      </c>
      <c r="O1313" s="7" t="str">
        <f>VLOOKUP(F1313,HC!A$6:D$1000,2,FALSE)</f>
        <v>puenkare</v>
      </c>
      <c r="P1313" t="s">
        <v>664</v>
      </c>
      <c r="Q1313" s="7" t="s">
        <v>710</v>
      </c>
      <c r="U1313">
        <f t="shared" si="22"/>
        <v>19</v>
      </c>
    </row>
    <row r="1314" spans="1:21" ht="37.5" customHeight="1" x14ac:dyDescent="0.25">
      <c r="A1314" s="24">
        <v>45025</v>
      </c>
      <c r="B1314" s="13">
        <v>15</v>
      </c>
      <c r="C1314" t="s">
        <v>3</v>
      </c>
      <c r="D1314" t="s">
        <v>4</v>
      </c>
      <c r="E1314" t="s">
        <v>21</v>
      </c>
      <c r="F1314" s="6">
        <v>201201993</v>
      </c>
      <c r="G1314" t="s">
        <v>964</v>
      </c>
      <c r="H1314" t="s">
        <v>285</v>
      </c>
      <c r="I1314">
        <v>0</v>
      </c>
      <c r="J1314">
        <v>0</v>
      </c>
      <c r="K1314">
        <v>0</v>
      </c>
      <c r="L1314">
        <v>0</v>
      </c>
      <c r="M1314">
        <v>0.75</v>
      </c>
      <c r="N1314" s="7" t="e">
        <f>VLOOKUP(F1314,HC!A$6:D$100,3,FALSE)</f>
        <v>#N/A</v>
      </c>
      <c r="O1314" s="7" t="e">
        <f>VLOOKUP(F1314,HC!A$6:D$1000,2,FALSE)</f>
        <v>#N/A</v>
      </c>
      <c r="P1314" t="s">
        <v>662</v>
      </c>
      <c r="Q1314" s="7" t="s">
        <v>691</v>
      </c>
      <c r="U1314">
        <f t="shared" si="22"/>
        <v>1395</v>
      </c>
    </row>
    <row r="1315" spans="1:21" ht="37.5" customHeight="1" x14ac:dyDescent="0.25">
      <c r="A1315" s="24">
        <v>45026</v>
      </c>
      <c r="B1315" s="13">
        <v>15</v>
      </c>
      <c r="C1315" t="s">
        <v>3</v>
      </c>
      <c r="D1315" t="s">
        <v>4</v>
      </c>
      <c r="E1315" t="s">
        <v>5</v>
      </c>
      <c r="F1315" s="6">
        <v>112912008</v>
      </c>
      <c r="G1315" t="s">
        <v>249</v>
      </c>
      <c r="H1315" t="s">
        <v>250</v>
      </c>
      <c r="I1315">
        <v>0</v>
      </c>
      <c r="J1315">
        <v>0</v>
      </c>
      <c r="K1315">
        <v>0</v>
      </c>
      <c r="L1315">
        <v>0</v>
      </c>
      <c r="M1315">
        <v>1.92</v>
      </c>
      <c r="N1315" s="7" t="e">
        <f>VLOOKUP(F1315,HC!A$6:D$100,3,FALSE)</f>
        <v>#N/A</v>
      </c>
      <c r="O1315" s="7" t="e">
        <f>VLOOKUP(F1315,HC!A$6:D$1000,2,FALSE)</f>
        <v>#N/A</v>
      </c>
      <c r="P1315" t="s">
        <v>675</v>
      </c>
      <c r="Q1315" s="7"/>
      <c r="U1315">
        <f t="shared" si="22"/>
        <v>1395</v>
      </c>
    </row>
    <row r="1316" spans="1:21" ht="37.5" customHeight="1" x14ac:dyDescent="0.25">
      <c r="A1316" s="24">
        <v>45026</v>
      </c>
      <c r="B1316" s="13">
        <v>15</v>
      </c>
      <c r="C1316" t="s">
        <v>3</v>
      </c>
      <c r="D1316" t="s">
        <v>4</v>
      </c>
      <c r="E1316" t="s">
        <v>5</v>
      </c>
      <c r="F1316" s="6">
        <v>112912745</v>
      </c>
      <c r="G1316" t="s">
        <v>478</v>
      </c>
      <c r="H1316" t="s">
        <v>268</v>
      </c>
      <c r="I1316">
        <v>0</v>
      </c>
      <c r="J1316">
        <v>0</v>
      </c>
      <c r="K1316">
        <v>0</v>
      </c>
      <c r="L1316">
        <v>0</v>
      </c>
      <c r="M1316">
        <v>1.01</v>
      </c>
      <c r="N1316" s="7" t="str">
        <f>VLOOKUP(F1316,HC!A$6:D$100,3,FALSE)</f>
        <v>DA-X0700</v>
      </c>
      <c r="O1316" s="7" t="str">
        <f>VLOOKUP(F1316,HC!A$6:D$1000,2,FALSE)</f>
        <v>nalexgom</v>
      </c>
      <c r="P1316" t="s">
        <v>661</v>
      </c>
      <c r="Q1316" s="7" t="s">
        <v>681</v>
      </c>
      <c r="U1316">
        <f t="shared" si="22"/>
        <v>22</v>
      </c>
    </row>
    <row r="1317" spans="1:21" ht="37.5" customHeight="1" x14ac:dyDescent="0.25">
      <c r="A1317" s="24">
        <v>45026</v>
      </c>
      <c r="B1317" s="13">
        <v>15</v>
      </c>
      <c r="C1317" t="s">
        <v>3</v>
      </c>
      <c r="D1317" t="s">
        <v>4</v>
      </c>
      <c r="E1317" t="s">
        <v>5</v>
      </c>
      <c r="F1317" s="6">
        <v>112912752</v>
      </c>
      <c r="G1317" t="s">
        <v>251</v>
      </c>
      <c r="H1317" t="s">
        <v>268</v>
      </c>
      <c r="I1317">
        <v>0</v>
      </c>
      <c r="J1317">
        <v>0</v>
      </c>
      <c r="K1317">
        <v>0</v>
      </c>
      <c r="L1317">
        <v>0</v>
      </c>
      <c r="M1317">
        <v>0.21</v>
      </c>
      <c r="N1317" s="7" t="str">
        <f>VLOOKUP(F1317,HC!A$6:D$100,3,FALSE)</f>
        <v>NF-X1900</v>
      </c>
      <c r="O1317" s="7" t="str">
        <f>VLOOKUP(F1317,HC!A$6:D$1000,2,FALSE)</f>
        <v>valderle</v>
      </c>
      <c r="P1317" t="s">
        <v>661</v>
      </c>
      <c r="Q1317" s="7" t="s">
        <v>681</v>
      </c>
      <c r="U1317">
        <f t="shared" si="22"/>
        <v>50</v>
      </c>
    </row>
    <row r="1318" spans="1:21" ht="37.5" customHeight="1" x14ac:dyDescent="0.25">
      <c r="A1318" s="24">
        <v>45026</v>
      </c>
      <c r="B1318" s="13">
        <v>15</v>
      </c>
      <c r="C1318" t="s">
        <v>3</v>
      </c>
      <c r="D1318" t="s">
        <v>4</v>
      </c>
      <c r="E1318" t="s">
        <v>5</v>
      </c>
      <c r="F1318" s="6">
        <v>112980878</v>
      </c>
      <c r="G1318" t="s">
        <v>481</v>
      </c>
      <c r="H1318" t="s">
        <v>298</v>
      </c>
      <c r="I1318">
        <v>0</v>
      </c>
      <c r="J1318">
        <v>0</v>
      </c>
      <c r="K1318">
        <v>0</v>
      </c>
      <c r="L1318">
        <v>0</v>
      </c>
      <c r="M1318">
        <v>1.41</v>
      </c>
      <c r="N1318" s="7" t="e">
        <f>VLOOKUP(F1318,HC!A$6:D$100,3,FALSE)</f>
        <v>#N/A</v>
      </c>
      <c r="O1318" s="7" t="e">
        <f>VLOOKUP(F1318,HC!A$6:D$1000,2,FALSE)</f>
        <v>#N/A</v>
      </c>
      <c r="P1318" t="s">
        <v>664</v>
      </c>
      <c r="Q1318" s="7" t="s">
        <v>711</v>
      </c>
      <c r="U1318">
        <f t="shared" si="22"/>
        <v>1395</v>
      </c>
    </row>
    <row r="1319" spans="1:21" ht="37.5" customHeight="1" x14ac:dyDescent="0.25">
      <c r="A1319" s="24">
        <v>45026</v>
      </c>
      <c r="B1319" s="13">
        <v>15</v>
      </c>
      <c r="C1319" t="s">
        <v>3</v>
      </c>
      <c r="D1319" t="s">
        <v>4</v>
      </c>
      <c r="E1319" t="s">
        <v>5</v>
      </c>
      <c r="F1319" s="6">
        <v>112981013</v>
      </c>
      <c r="G1319" t="s">
        <v>283</v>
      </c>
      <c r="H1319" t="s">
        <v>268</v>
      </c>
      <c r="I1319">
        <v>0</v>
      </c>
      <c r="J1319">
        <v>0</v>
      </c>
      <c r="K1319">
        <v>0</v>
      </c>
      <c r="L1319">
        <v>0</v>
      </c>
      <c r="M1319">
        <v>3.06</v>
      </c>
      <c r="N1319" s="7" t="str">
        <f>VLOOKUP(F1319,HC!A$6:D$100,3,FALSE)</f>
        <v>DA-X0700</v>
      </c>
      <c r="O1319" s="7" t="str">
        <f>VLOOKUP(F1319,HC!A$6:D$1000,2,FALSE)</f>
        <v>normaelo</v>
      </c>
      <c r="P1319" t="s">
        <v>661</v>
      </c>
      <c r="Q1319" s="7" t="s">
        <v>681</v>
      </c>
      <c r="U1319">
        <f t="shared" si="22"/>
        <v>24</v>
      </c>
    </row>
    <row r="1320" spans="1:21" ht="37.5" customHeight="1" x14ac:dyDescent="0.25">
      <c r="A1320" s="24">
        <v>45026</v>
      </c>
      <c r="B1320" s="13">
        <v>15</v>
      </c>
      <c r="C1320" t="s">
        <v>3</v>
      </c>
      <c r="D1320" t="s">
        <v>4</v>
      </c>
      <c r="E1320" t="s">
        <v>5</v>
      </c>
      <c r="F1320" s="6">
        <v>113014470</v>
      </c>
      <c r="G1320" t="s">
        <v>374</v>
      </c>
      <c r="H1320" t="s">
        <v>44</v>
      </c>
      <c r="I1320">
        <v>0</v>
      </c>
      <c r="J1320">
        <v>0</v>
      </c>
      <c r="K1320">
        <v>0</v>
      </c>
      <c r="L1320">
        <v>0</v>
      </c>
      <c r="M1320">
        <v>0.25</v>
      </c>
      <c r="N1320" s="7" t="e">
        <f>VLOOKUP(F1320,HC!A$6:D$100,3,FALSE)</f>
        <v>#N/A</v>
      </c>
      <c r="O1320" s="7" t="str">
        <f>VLOOKUP(F1320,HC!A$6:D$1000,2,FALSE)</f>
        <v>lupaguin</v>
      </c>
      <c r="P1320" t="s">
        <v>667</v>
      </c>
      <c r="Q1320" s="7" t="s">
        <v>306</v>
      </c>
      <c r="U1320">
        <f t="shared" si="22"/>
        <v>23</v>
      </c>
    </row>
    <row r="1321" spans="1:21" ht="37.5" customHeight="1" x14ac:dyDescent="0.25">
      <c r="A1321" s="24">
        <v>45026</v>
      </c>
      <c r="B1321" s="13">
        <v>15</v>
      </c>
      <c r="C1321" t="s">
        <v>3</v>
      </c>
      <c r="D1321" t="s">
        <v>4</v>
      </c>
      <c r="E1321" t="s">
        <v>5</v>
      </c>
      <c r="F1321" s="6">
        <v>113019042</v>
      </c>
      <c r="G1321" t="s">
        <v>655</v>
      </c>
      <c r="H1321" t="s">
        <v>298</v>
      </c>
      <c r="I1321">
        <v>0</v>
      </c>
      <c r="J1321">
        <v>0</v>
      </c>
      <c r="K1321">
        <v>0</v>
      </c>
      <c r="L1321">
        <v>0</v>
      </c>
      <c r="M1321">
        <v>0.33</v>
      </c>
      <c r="N1321" s="7" t="e">
        <f>VLOOKUP(F1321,HC!A$6:D$100,3,FALSE)</f>
        <v>#N/A</v>
      </c>
      <c r="O1321" s="7" t="e">
        <f>VLOOKUP(F1321,HC!A$6:D$1000,2,FALSE)</f>
        <v>#N/A</v>
      </c>
      <c r="P1321" t="s">
        <v>664</v>
      </c>
      <c r="Q1321" s="7" t="s">
        <v>711</v>
      </c>
      <c r="U1321">
        <f t="shared" si="22"/>
        <v>1395</v>
      </c>
    </row>
    <row r="1322" spans="1:21" ht="37.5" customHeight="1" x14ac:dyDescent="0.25">
      <c r="A1322" s="24">
        <v>45026</v>
      </c>
      <c r="B1322" s="13">
        <v>15</v>
      </c>
      <c r="C1322" t="s">
        <v>3</v>
      </c>
      <c r="D1322" t="s">
        <v>4</v>
      </c>
      <c r="E1322" t="s">
        <v>5</v>
      </c>
      <c r="F1322" s="6">
        <v>113019111</v>
      </c>
      <c r="G1322" t="s">
        <v>533</v>
      </c>
      <c r="H1322" t="s">
        <v>298</v>
      </c>
      <c r="I1322">
        <v>0</v>
      </c>
      <c r="J1322">
        <v>0</v>
      </c>
      <c r="K1322">
        <v>0</v>
      </c>
      <c r="L1322">
        <v>0</v>
      </c>
      <c r="M1322">
        <v>0.16</v>
      </c>
      <c r="N1322" s="7" t="e">
        <f>VLOOKUP(F1322,HC!A$6:D$100,3,FALSE)</f>
        <v>#N/A</v>
      </c>
      <c r="O1322" s="7" t="str">
        <f>VLOOKUP(F1322,HC!A$6:D$1000,2,FALSE)</f>
        <v>valdkell</v>
      </c>
      <c r="P1322" t="s">
        <v>661</v>
      </c>
      <c r="Q1322" s="7" t="s">
        <v>681</v>
      </c>
      <c r="U1322">
        <f t="shared" si="22"/>
        <v>7</v>
      </c>
    </row>
    <row r="1323" spans="1:21" ht="37.5" customHeight="1" x14ac:dyDescent="0.25">
      <c r="A1323" s="24">
        <v>45026</v>
      </c>
      <c r="B1323" s="13">
        <v>15</v>
      </c>
      <c r="C1323" t="s">
        <v>3</v>
      </c>
      <c r="D1323" t="s">
        <v>4</v>
      </c>
      <c r="E1323" t="s">
        <v>21</v>
      </c>
      <c r="F1323" s="6">
        <v>200526598</v>
      </c>
      <c r="G1323" t="s">
        <v>424</v>
      </c>
      <c r="H1323" t="s">
        <v>7</v>
      </c>
      <c r="I1323">
        <v>0</v>
      </c>
      <c r="J1323">
        <v>0</v>
      </c>
      <c r="K1323">
        <v>0</v>
      </c>
      <c r="L1323">
        <v>0</v>
      </c>
      <c r="M1323">
        <v>0.28999999999999998</v>
      </c>
      <c r="N1323" s="7" t="e">
        <f>VLOOKUP(F1323,HC!A$6:D$100,3,FALSE)</f>
        <v>#N/A</v>
      </c>
      <c r="O1323" s="7" t="e">
        <f>VLOOKUP(F1323,HC!A$6:D$1000,2,FALSE)</f>
        <v>#N/A</v>
      </c>
      <c r="P1323" t="s">
        <v>662</v>
      </c>
      <c r="Q1323" s="7" t="s">
        <v>691</v>
      </c>
      <c r="U1323">
        <f t="shared" si="22"/>
        <v>1395</v>
      </c>
    </row>
    <row r="1324" spans="1:21" ht="37.5" customHeight="1" x14ac:dyDescent="0.25">
      <c r="A1324" s="24">
        <v>45026</v>
      </c>
      <c r="B1324" s="13">
        <v>15</v>
      </c>
      <c r="C1324" t="s">
        <v>3</v>
      </c>
      <c r="D1324" t="s">
        <v>4</v>
      </c>
      <c r="E1324" t="s">
        <v>21</v>
      </c>
      <c r="F1324" s="6">
        <v>200562154</v>
      </c>
      <c r="G1324" t="s">
        <v>437</v>
      </c>
      <c r="H1324" t="s">
        <v>49</v>
      </c>
      <c r="I1324">
        <v>0</v>
      </c>
      <c r="J1324">
        <v>0</v>
      </c>
      <c r="K1324">
        <v>0</v>
      </c>
      <c r="L1324">
        <v>0</v>
      </c>
      <c r="M1324">
        <v>0.12</v>
      </c>
      <c r="N1324" s="7" t="e">
        <f>VLOOKUP(F1324,HC!A$6:D$100,3,FALSE)</f>
        <v>#N/A</v>
      </c>
      <c r="O1324" s="7" t="str">
        <f>VLOOKUP(F1324,HC!A$6:D$1000,2,FALSE)</f>
        <v>reyesmcw</v>
      </c>
      <c r="P1324" t="s">
        <v>661</v>
      </c>
      <c r="Q1324" s="7" t="s">
        <v>681</v>
      </c>
      <c r="U1324">
        <f t="shared" si="22"/>
        <v>38</v>
      </c>
    </row>
    <row r="1325" spans="1:21" ht="37.5" customHeight="1" x14ac:dyDescent="0.25">
      <c r="A1325" s="24">
        <v>45026</v>
      </c>
      <c r="B1325" s="13">
        <v>15</v>
      </c>
      <c r="C1325" t="s">
        <v>3</v>
      </c>
      <c r="D1325" t="s">
        <v>4</v>
      </c>
      <c r="E1325" t="s">
        <v>21</v>
      </c>
      <c r="F1325" s="6">
        <v>200574345</v>
      </c>
      <c r="G1325" t="s">
        <v>476</v>
      </c>
      <c r="H1325" t="s">
        <v>298</v>
      </c>
      <c r="I1325">
        <v>0</v>
      </c>
      <c r="J1325">
        <v>0</v>
      </c>
      <c r="K1325">
        <v>0</v>
      </c>
      <c r="L1325">
        <v>0</v>
      </c>
      <c r="M1325">
        <v>0.33</v>
      </c>
      <c r="N1325" s="7" t="e">
        <f>VLOOKUP(F1325,HC!A$6:D$100,3,FALSE)</f>
        <v>#N/A</v>
      </c>
      <c r="O1325" s="7" t="str">
        <f>VLOOKUP(F1325,HC!A$6:D$1000,2,FALSE)</f>
        <v>contrexj</v>
      </c>
      <c r="Q1325" s="7"/>
      <c r="U1325">
        <f t="shared" si="22"/>
        <v>17</v>
      </c>
    </row>
    <row r="1326" spans="1:21" ht="37.5" customHeight="1" x14ac:dyDescent="0.25">
      <c r="A1326" s="24">
        <v>45026</v>
      </c>
      <c r="B1326" s="13">
        <v>15</v>
      </c>
      <c r="C1326" t="s">
        <v>3</v>
      </c>
      <c r="D1326" t="s">
        <v>4</v>
      </c>
      <c r="E1326" t="s">
        <v>21</v>
      </c>
      <c r="F1326" s="6">
        <v>201186299</v>
      </c>
      <c r="G1326" t="s">
        <v>952</v>
      </c>
      <c r="H1326" t="s">
        <v>44</v>
      </c>
      <c r="I1326">
        <v>0</v>
      </c>
      <c r="J1326">
        <v>0</v>
      </c>
      <c r="K1326">
        <v>0</v>
      </c>
      <c r="L1326">
        <v>0</v>
      </c>
      <c r="M1326">
        <v>0.23</v>
      </c>
      <c r="N1326" s="7" t="e">
        <f>VLOOKUP(F1326,HC!A$6:D$100,3,FALSE)</f>
        <v>#N/A</v>
      </c>
      <c r="O1326" s="7" t="e">
        <f>VLOOKUP(F1326,HC!A$6:D$1000,2,FALSE)</f>
        <v>#N/A</v>
      </c>
      <c r="P1326" t="s">
        <v>664</v>
      </c>
      <c r="Q1326" s="7" t="s">
        <v>710</v>
      </c>
      <c r="U1326">
        <f t="shared" si="22"/>
        <v>1395</v>
      </c>
    </row>
    <row r="1327" spans="1:21" ht="37.5" customHeight="1" x14ac:dyDescent="0.25">
      <c r="A1327" s="24">
        <v>45026</v>
      </c>
      <c r="B1327" s="13">
        <v>15</v>
      </c>
      <c r="C1327" t="s">
        <v>3</v>
      </c>
      <c r="D1327" t="s">
        <v>4</v>
      </c>
      <c r="E1327" t="s">
        <v>21</v>
      </c>
      <c r="F1327" s="6">
        <v>201198169</v>
      </c>
      <c r="G1327" t="s">
        <v>946</v>
      </c>
      <c r="H1327" t="s">
        <v>298</v>
      </c>
      <c r="I1327">
        <v>0</v>
      </c>
      <c r="J1327">
        <v>0</v>
      </c>
      <c r="K1327">
        <v>0</v>
      </c>
      <c r="L1327">
        <v>0</v>
      </c>
      <c r="M1327">
        <v>0.8</v>
      </c>
      <c r="N1327" s="7" t="e">
        <f>VLOOKUP(F1327,HC!A$6:D$100,3,FALSE)</f>
        <v>#N/A</v>
      </c>
      <c r="O1327" s="7" t="e">
        <f>VLOOKUP(F1327,HC!A$6:D$1000,2,FALSE)</f>
        <v>#N/A</v>
      </c>
      <c r="P1327" t="s">
        <v>667</v>
      </c>
      <c r="Q1327" s="7" t="s">
        <v>306</v>
      </c>
      <c r="U1327">
        <f t="shared" si="22"/>
        <v>1395</v>
      </c>
    </row>
    <row r="1328" spans="1:21" ht="37.5" customHeight="1" x14ac:dyDescent="0.25">
      <c r="A1328" s="24">
        <v>45026</v>
      </c>
      <c r="B1328" s="13">
        <v>15</v>
      </c>
      <c r="C1328" t="s">
        <v>3</v>
      </c>
      <c r="D1328" t="s">
        <v>4</v>
      </c>
      <c r="E1328" t="s">
        <v>21</v>
      </c>
      <c r="F1328" s="6">
        <v>201201993</v>
      </c>
      <c r="G1328" t="s">
        <v>964</v>
      </c>
      <c r="H1328" t="s">
        <v>285</v>
      </c>
      <c r="I1328">
        <v>0</v>
      </c>
      <c r="J1328">
        <v>0</v>
      </c>
      <c r="K1328">
        <v>0</v>
      </c>
      <c r="L1328">
        <v>0</v>
      </c>
      <c r="M1328">
        <v>0.17</v>
      </c>
      <c r="N1328" s="7" t="e">
        <f>VLOOKUP(F1328,HC!A$6:D$100,3,FALSE)</f>
        <v>#N/A</v>
      </c>
      <c r="O1328" s="7" t="e">
        <f>VLOOKUP(F1328,HC!A$6:D$1000,2,FALSE)</f>
        <v>#N/A</v>
      </c>
      <c r="P1328" t="s">
        <v>662</v>
      </c>
      <c r="Q1328" s="7" t="s">
        <v>691</v>
      </c>
      <c r="U1328">
        <f t="shared" si="22"/>
        <v>1395</v>
      </c>
    </row>
    <row r="1329" spans="1:21" ht="37.5" customHeight="1" x14ac:dyDescent="0.25">
      <c r="A1329" s="29">
        <v>45027</v>
      </c>
      <c r="B1329" s="13">
        <v>15</v>
      </c>
      <c r="C1329" t="s">
        <v>3</v>
      </c>
      <c r="D1329" t="s">
        <v>4</v>
      </c>
      <c r="E1329" t="s">
        <v>5</v>
      </c>
      <c r="F1329" s="6">
        <v>112912049</v>
      </c>
      <c r="G1329" t="s">
        <v>488</v>
      </c>
      <c r="H1329" t="s">
        <v>282</v>
      </c>
      <c r="I1329">
        <v>0</v>
      </c>
      <c r="J1329">
        <v>0</v>
      </c>
      <c r="K1329">
        <v>0</v>
      </c>
      <c r="L1329">
        <v>0</v>
      </c>
      <c r="M1329">
        <v>0.25</v>
      </c>
      <c r="N1329" s="7" t="str">
        <f>VLOOKUP(F1329,HC!A$6:D$100,3,FALSE)</f>
        <v>NF-X1900</v>
      </c>
      <c r="O1329" s="7" t="str">
        <f>VLOOKUP(F1329,HC!A$6:D$1000,2,FALSE)</f>
        <v>zchvazqu</v>
      </c>
      <c r="P1329" t="s">
        <v>662</v>
      </c>
      <c r="Q1329" s="7" t="s">
        <v>757</v>
      </c>
      <c r="S1329"/>
      <c r="U1329">
        <f t="shared" si="22"/>
        <v>11</v>
      </c>
    </row>
    <row r="1330" spans="1:21" ht="37.5" customHeight="1" x14ac:dyDescent="0.25">
      <c r="A1330" s="29">
        <v>45027</v>
      </c>
      <c r="B1330" s="13">
        <v>15</v>
      </c>
      <c r="C1330" t="s">
        <v>3</v>
      </c>
      <c r="D1330" t="s">
        <v>4</v>
      </c>
      <c r="E1330" t="s">
        <v>5</v>
      </c>
      <c r="F1330" s="6">
        <v>112912464</v>
      </c>
      <c r="G1330" t="s">
        <v>531</v>
      </c>
      <c r="H1330" t="s">
        <v>459</v>
      </c>
      <c r="I1330">
        <v>0</v>
      </c>
      <c r="J1330">
        <v>0</v>
      </c>
      <c r="K1330">
        <v>0</v>
      </c>
      <c r="L1330">
        <v>0</v>
      </c>
      <c r="M1330">
        <v>0.41</v>
      </c>
      <c r="N1330" s="7" t="e">
        <f>VLOOKUP(F1330,HC!A$6:D$100,3,FALSE)</f>
        <v>#N/A</v>
      </c>
      <c r="O1330" s="7" t="e">
        <f>VLOOKUP(F1330,HC!A$6:D$1000,2,FALSE)</f>
        <v>#N/A</v>
      </c>
      <c r="P1330" t="s">
        <v>661</v>
      </c>
      <c r="Q1330" s="7" t="s">
        <v>681</v>
      </c>
      <c r="S1330"/>
      <c r="U1330">
        <f t="shared" si="22"/>
        <v>1395</v>
      </c>
    </row>
    <row r="1331" spans="1:21" ht="37.5" customHeight="1" x14ac:dyDescent="0.25">
      <c r="A1331" s="29">
        <v>45027</v>
      </c>
      <c r="B1331" s="13">
        <v>15</v>
      </c>
      <c r="C1331" t="s">
        <v>3</v>
      </c>
      <c r="D1331" t="s">
        <v>4</v>
      </c>
      <c r="E1331" t="s">
        <v>5</v>
      </c>
      <c r="F1331" s="6">
        <v>112912745</v>
      </c>
      <c r="G1331" t="s">
        <v>478</v>
      </c>
      <c r="H1331" t="s">
        <v>268</v>
      </c>
      <c r="I1331">
        <v>0</v>
      </c>
      <c r="J1331">
        <v>0</v>
      </c>
      <c r="K1331">
        <v>0</v>
      </c>
      <c r="L1331">
        <v>0</v>
      </c>
      <c r="M1331">
        <v>0.02</v>
      </c>
      <c r="N1331" s="7" t="str">
        <f>VLOOKUP(F1331,HC!A$6:D$100,3,FALSE)</f>
        <v>DA-X0700</v>
      </c>
      <c r="O1331" s="7" t="str">
        <f>VLOOKUP(F1331,HC!A$6:D$1000,2,FALSE)</f>
        <v>nalexgom</v>
      </c>
      <c r="P1331" t="s">
        <v>664</v>
      </c>
      <c r="Q1331" s="7" t="s">
        <v>420</v>
      </c>
      <c r="S1331"/>
      <c r="U1331">
        <f t="shared" si="22"/>
        <v>22</v>
      </c>
    </row>
    <row r="1332" spans="1:21" ht="37.5" customHeight="1" x14ac:dyDescent="0.25">
      <c r="A1332" s="29">
        <v>45027</v>
      </c>
      <c r="B1332" s="13">
        <v>15</v>
      </c>
      <c r="C1332" t="s">
        <v>3</v>
      </c>
      <c r="D1332" t="s">
        <v>4</v>
      </c>
      <c r="E1332" t="s">
        <v>5</v>
      </c>
      <c r="F1332" s="6">
        <v>112912752</v>
      </c>
      <c r="G1332" t="s">
        <v>251</v>
      </c>
      <c r="H1332" t="s">
        <v>268</v>
      </c>
      <c r="I1332">
        <v>0</v>
      </c>
      <c r="J1332">
        <v>0</v>
      </c>
      <c r="K1332">
        <v>0</v>
      </c>
      <c r="L1332">
        <v>0</v>
      </c>
      <c r="M1332">
        <v>0.11</v>
      </c>
      <c r="N1332" s="7" t="str">
        <f>VLOOKUP(F1332,HC!A$6:D$100,3,FALSE)</f>
        <v>NF-X1900</v>
      </c>
      <c r="O1332" s="7" t="str">
        <f>VLOOKUP(F1332,HC!A$6:D$1000,2,FALSE)</f>
        <v>valderle</v>
      </c>
      <c r="P1332" t="s">
        <v>665</v>
      </c>
      <c r="Q1332" t="s">
        <v>722</v>
      </c>
      <c r="S1332"/>
      <c r="U1332">
        <f t="shared" si="22"/>
        <v>50</v>
      </c>
    </row>
    <row r="1333" spans="1:21" ht="37.5" customHeight="1" x14ac:dyDescent="0.25">
      <c r="A1333" s="29">
        <v>45027</v>
      </c>
      <c r="B1333" s="13">
        <v>15</v>
      </c>
      <c r="C1333" t="s">
        <v>3</v>
      </c>
      <c r="D1333" t="s">
        <v>4</v>
      </c>
      <c r="E1333" t="s">
        <v>5</v>
      </c>
      <c r="F1333" s="6">
        <v>112912753</v>
      </c>
      <c r="G1333" t="s">
        <v>415</v>
      </c>
      <c r="H1333" t="s">
        <v>298</v>
      </c>
      <c r="I1333">
        <v>0</v>
      </c>
      <c r="J1333">
        <v>0</v>
      </c>
      <c r="K1333">
        <v>0</v>
      </c>
      <c r="L1333">
        <v>0</v>
      </c>
      <c r="M1333">
        <v>0.43</v>
      </c>
      <c r="N1333" s="7" t="e">
        <f>VLOOKUP(F1333,HC!A$6:D$100,3,FALSE)</f>
        <v>#N/A</v>
      </c>
      <c r="O1333" s="7" t="e">
        <f>VLOOKUP(F1333,HC!A$6:D$1000,2,FALSE)</f>
        <v>#N/A</v>
      </c>
      <c r="P1333" t="s">
        <v>661</v>
      </c>
      <c r="Q1333" t="s">
        <v>681</v>
      </c>
      <c r="S1333"/>
      <c r="U1333">
        <f t="shared" si="22"/>
        <v>1395</v>
      </c>
    </row>
    <row r="1334" spans="1:21" ht="37.5" customHeight="1" x14ac:dyDescent="0.25">
      <c r="A1334" s="29">
        <v>45027</v>
      </c>
      <c r="B1334" s="13">
        <v>15</v>
      </c>
      <c r="C1334" t="s">
        <v>3</v>
      </c>
      <c r="D1334" t="s">
        <v>4</v>
      </c>
      <c r="E1334" t="s">
        <v>21</v>
      </c>
      <c r="F1334" s="6">
        <v>112950796</v>
      </c>
      <c r="G1334" t="s">
        <v>951</v>
      </c>
      <c r="H1334" t="s">
        <v>268</v>
      </c>
      <c r="I1334">
        <v>0</v>
      </c>
      <c r="J1334">
        <v>0</v>
      </c>
      <c r="K1334">
        <v>0</v>
      </c>
      <c r="L1334">
        <v>0</v>
      </c>
      <c r="M1334">
        <v>0.88</v>
      </c>
      <c r="N1334" s="7" t="e">
        <f>VLOOKUP(F1334,HC!A$6:D$100,3,FALSE)</f>
        <v>#N/A</v>
      </c>
      <c r="O1334" s="7" t="e">
        <f>VLOOKUP(F1334,HC!A$6:D$1000,2,FALSE)</f>
        <v>#N/A</v>
      </c>
      <c r="P1334" t="s">
        <v>661</v>
      </c>
      <c r="Q1334" t="s">
        <v>684</v>
      </c>
      <c r="S1334"/>
      <c r="U1334">
        <f t="shared" si="22"/>
        <v>1395</v>
      </c>
    </row>
    <row r="1335" spans="1:21" ht="37.5" customHeight="1" x14ac:dyDescent="0.25">
      <c r="A1335" s="29">
        <v>45027</v>
      </c>
      <c r="B1335" s="13">
        <v>15</v>
      </c>
      <c r="C1335" t="s">
        <v>3</v>
      </c>
      <c r="D1335" t="s">
        <v>4</v>
      </c>
      <c r="E1335" t="s">
        <v>5</v>
      </c>
      <c r="F1335" s="6">
        <v>112981196</v>
      </c>
      <c r="G1335" t="s">
        <v>328</v>
      </c>
      <c r="H1335" t="s">
        <v>285</v>
      </c>
      <c r="I1335">
        <v>0</v>
      </c>
      <c r="J1335">
        <v>0</v>
      </c>
      <c r="K1335">
        <v>0</v>
      </c>
      <c r="L1335">
        <v>0</v>
      </c>
      <c r="M1335">
        <v>0.36</v>
      </c>
      <c r="N1335" s="7" t="e">
        <f>VLOOKUP(F1335,HC!A$6:D$100,3,FALSE)</f>
        <v>#N/A</v>
      </c>
      <c r="O1335" s="7" t="str">
        <f>VLOOKUP(F1335,HC!A$6:D$1000,2,FALSE)</f>
        <v>vandgome</v>
      </c>
      <c r="P1335" t="s">
        <v>661</v>
      </c>
      <c r="Q1335" t="s">
        <v>681</v>
      </c>
      <c r="S1335"/>
      <c r="U1335">
        <f t="shared" si="22"/>
        <v>24</v>
      </c>
    </row>
    <row r="1336" spans="1:21" ht="37.5" customHeight="1" x14ac:dyDescent="0.25">
      <c r="A1336" s="29">
        <v>45027</v>
      </c>
      <c r="B1336" s="13">
        <v>15</v>
      </c>
      <c r="C1336" t="s">
        <v>3</v>
      </c>
      <c r="D1336" t="s">
        <v>4</v>
      </c>
      <c r="E1336" t="s">
        <v>5</v>
      </c>
      <c r="F1336" s="6">
        <v>113003631</v>
      </c>
      <c r="G1336" t="s">
        <v>479</v>
      </c>
      <c r="H1336" t="s">
        <v>285</v>
      </c>
      <c r="I1336">
        <v>0</v>
      </c>
      <c r="J1336">
        <v>0</v>
      </c>
      <c r="K1336">
        <v>0</v>
      </c>
      <c r="L1336">
        <v>0</v>
      </c>
      <c r="M1336">
        <v>0.13</v>
      </c>
      <c r="N1336" s="7" t="e">
        <f>VLOOKUP(F1336,HC!A$6:D$100,3,FALSE)</f>
        <v>#N/A</v>
      </c>
      <c r="O1336" s="7" t="e">
        <f>VLOOKUP(F1336,HC!A$6:D$1000,2,FALSE)</f>
        <v>#N/A</v>
      </c>
      <c r="P1336" t="s">
        <v>662</v>
      </c>
      <c r="Q1336" t="s">
        <v>687</v>
      </c>
      <c r="S1336"/>
      <c r="U1336">
        <f t="shared" si="22"/>
        <v>1395</v>
      </c>
    </row>
    <row r="1337" spans="1:21" ht="37.5" customHeight="1" x14ac:dyDescent="0.25">
      <c r="A1337" s="29">
        <v>45027</v>
      </c>
      <c r="B1337" s="13">
        <v>15</v>
      </c>
      <c r="C1337" t="s">
        <v>3</v>
      </c>
      <c r="D1337" t="s">
        <v>4</v>
      </c>
      <c r="E1337" t="s">
        <v>5</v>
      </c>
      <c r="F1337" s="6">
        <v>113014113</v>
      </c>
      <c r="G1337" t="s">
        <v>269</v>
      </c>
      <c r="H1337" t="s">
        <v>44</v>
      </c>
      <c r="I1337">
        <v>0</v>
      </c>
      <c r="J1337">
        <v>0</v>
      </c>
      <c r="K1337">
        <v>0</v>
      </c>
      <c r="L1337">
        <v>0</v>
      </c>
      <c r="M1337">
        <v>0.56999999999999995</v>
      </c>
      <c r="N1337" s="7" t="e">
        <f>VLOOKUP(F1337,HC!A$6:D$100,3,FALSE)</f>
        <v>#N/A</v>
      </c>
      <c r="O1337" s="7" t="e">
        <f>VLOOKUP(F1337,HC!A$6:D$1000,2,FALSE)</f>
        <v>#N/A</v>
      </c>
      <c r="P1337" t="s">
        <v>664</v>
      </c>
      <c r="Q1337" t="s">
        <v>420</v>
      </c>
      <c r="S1337"/>
      <c r="U1337">
        <f t="shared" si="22"/>
        <v>1395</v>
      </c>
    </row>
    <row r="1338" spans="1:21" ht="37.5" customHeight="1" x14ac:dyDescent="0.25">
      <c r="A1338" s="29">
        <v>45027</v>
      </c>
      <c r="B1338" s="13">
        <v>15</v>
      </c>
      <c r="C1338" t="s">
        <v>3</v>
      </c>
      <c r="D1338" t="s">
        <v>4</v>
      </c>
      <c r="E1338" t="s">
        <v>5</v>
      </c>
      <c r="F1338" s="6">
        <v>200404250</v>
      </c>
      <c r="G1338" t="s">
        <v>51</v>
      </c>
      <c r="H1338" t="s">
        <v>298</v>
      </c>
      <c r="I1338">
        <v>0</v>
      </c>
      <c r="J1338">
        <v>0</v>
      </c>
      <c r="K1338">
        <v>0</v>
      </c>
      <c r="L1338">
        <v>0</v>
      </c>
      <c r="M1338">
        <v>1.1100000000000001</v>
      </c>
      <c r="N1338" s="7" t="e">
        <f>VLOOKUP(F1338,HC!A$6:D$100,3,FALSE)</f>
        <v>#N/A</v>
      </c>
      <c r="O1338" s="7" t="str">
        <f>VLOOKUP(F1338,HC!A$6:D$1000,2,FALSE)</f>
        <v>xcathurt</v>
      </c>
      <c r="P1338" t="s">
        <v>662</v>
      </c>
      <c r="Q1338" t="s">
        <v>785</v>
      </c>
      <c r="S1338"/>
      <c r="U1338">
        <f t="shared" si="22"/>
        <v>124</v>
      </c>
    </row>
    <row r="1339" spans="1:21" ht="37.5" customHeight="1" x14ac:dyDescent="0.25">
      <c r="A1339" s="29">
        <v>45027</v>
      </c>
      <c r="B1339" s="13">
        <v>15</v>
      </c>
      <c r="C1339" t="s">
        <v>3</v>
      </c>
      <c r="D1339" t="s">
        <v>4</v>
      </c>
      <c r="E1339" t="s">
        <v>21</v>
      </c>
      <c r="F1339" s="6">
        <v>200625528</v>
      </c>
      <c r="G1339" t="s">
        <v>607</v>
      </c>
      <c r="H1339" t="s">
        <v>285</v>
      </c>
      <c r="I1339">
        <v>0</v>
      </c>
      <c r="J1339">
        <v>0</v>
      </c>
      <c r="K1339">
        <v>0</v>
      </c>
      <c r="L1339">
        <v>0</v>
      </c>
      <c r="M1339">
        <v>0.17</v>
      </c>
      <c r="N1339" s="7" t="e">
        <f>VLOOKUP(F1339,HC!A$6:D$100,3,FALSE)</f>
        <v>#N/A</v>
      </c>
      <c r="O1339" s="7" t="str">
        <f>VLOOKUP(F1339,HC!A$6:D$1000,2,FALSE)</f>
        <v>olivlizb</v>
      </c>
      <c r="P1339" t="s">
        <v>661</v>
      </c>
      <c r="Q1339" t="s">
        <v>681</v>
      </c>
      <c r="S1339"/>
      <c r="U1339">
        <f t="shared" si="22"/>
        <v>50</v>
      </c>
    </row>
    <row r="1340" spans="1:21" ht="37.5" customHeight="1" x14ac:dyDescent="0.25">
      <c r="A1340" s="29">
        <v>45027</v>
      </c>
      <c r="B1340" s="13">
        <v>15</v>
      </c>
      <c r="C1340" t="s">
        <v>3</v>
      </c>
      <c r="D1340" t="s">
        <v>4</v>
      </c>
      <c r="E1340" t="s">
        <v>21</v>
      </c>
      <c r="F1340" s="6">
        <v>201158953</v>
      </c>
      <c r="G1340" t="s">
        <v>923</v>
      </c>
      <c r="H1340" t="s">
        <v>49</v>
      </c>
      <c r="I1340">
        <v>0</v>
      </c>
      <c r="J1340">
        <v>0</v>
      </c>
      <c r="K1340">
        <v>0</v>
      </c>
      <c r="L1340">
        <v>0</v>
      </c>
      <c r="M1340">
        <v>0.16</v>
      </c>
      <c r="N1340" s="7" t="e">
        <f>VLOOKUP(F1340,HC!A$6:D$100,3,FALSE)</f>
        <v>#N/A</v>
      </c>
      <c r="O1340" s="7" t="e">
        <f>VLOOKUP(F1340,HC!A$6:D$1000,2,FALSE)</f>
        <v>#N/A</v>
      </c>
      <c r="P1340" t="s">
        <v>663</v>
      </c>
      <c r="Q1340" s="7" t="s">
        <v>692</v>
      </c>
      <c r="U1340">
        <f t="shared" si="22"/>
        <v>1395</v>
      </c>
    </row>
    <row r="1341" spans="1:21" ht="37.5" customHeight="1" x14ac:dyDescent="0.25">
      <c r="A1341" s="27">
        <v>45028</v>
      </c>
      <c r="B1341" s="13">
        <v>15</v>
      </c>
      <c r="C1341" t="s">
        <v>3</v>
      </c>
      <c r="D1341" t="s">
        <v>4</v>
      </c>
      <c r="E1341" t="s">
        <v>5</v>
      </c>
      <c r="F1341" s="6">
        <v>111434478</v>
      </c>
      <c r="G1341" t="s">
        <v>331</v>
      </c>
      <c r="H1341" t="s">
        <v>253</v>
      </c>
      <c r="I1341">
        <v>0</v>
      </c>
      <c r="J1341">
        <v>0</v>
      </c>
      <c r="K1341">
        <v>0</v>
      </c>
      <c r="L1341">
        <v>0</v>
      </c>
      <c r="M1341">
        <v>0.52</v>
      </c>
      <c r="N1341" s="7" t="str">
        <f>VLOOKUP(F1341,HC!A$6:D$100,3,FALSE)</f>
        <v>DA-X0700</v>
      </c>
      <c r="O1341" s="7" t="str">
        <f>VLOOKUP(F1341,HC!A$6:D$1000,2,FALSE)</f>
        <v>juanapam</v>
      </c>
      <c r="P1341" t="s">
        <v>664</v>
      </c>
      <c r="Q1341" s="7" t="s">
        <v>711</v>
      </c>
      <c r="R1341" t="s">
        <v>959</v>
      </c>
      <c r="U1341">
        <f t="shared" si="22"/>
        <v>32</v>
      </c>
    </row>
    <row r="1342" spans="1:21" ht="37.5" customHeight="1" x14ac:dyDescent="0.25">
      <c r="A1342" s="27">
        <v>45028</v>
      </c>
      <c r="B1342" s="13">
        <v>15</v>
      </c>
      <c r="C1342" t="s">
        <v>3</v>
      </c>
      <c r="D1342" t="s">
        <v>4</v>
      </c>
      <c r="E1342" t="s">
        <v>5</v>
      </c>
      <c r="F1342" s="6">
        <v>112912675</v>
      </c>
      <c r="G1342" t="s">
        <v>326</v>
      </c>
      <c r="H1342" t="s">
        <v>268</v>
      </c>
      <c r="I1342">
        <v>0</v>
      </c>
      <c r="J1342">
        <v>0</v>
      </c>
      <c r="K1342">
        <v>0</v>
      </c>
      <c r="L1342">
        <v>0</v>
      </c>
      <c r="M1342">
        <v>0.37</v>
      </c>
      <c r="N1342" s="7" t="e">
        <f>VLOOKUP(F1342,HC!A$6:D$100,3,FALSE)</f>
        <v>#N/A</v>
      </c>
      <c r="O1342" s="7" t="e">
        <f>VLOOKUP(F1342,HC!A$6:D$1000,2,FALSE)</f>
        <v>#N/A</v>
      </c>
      <c r="P1342" t="s">
        <v>664</v>
      </c>
      <c r="Q1342" s="7" t="s">
        <v>716</v>
      </c>
      <c r="R1342" t="s">
        <v>955</v>
      </c>
      <c r="U1342">
        <f t="shared" si="22"/>
        <v>1395</v>
      </c>
    </row>
    <row r="1343" spans="1:21" ht="37.5" customHeight="1" x14ac:dyDescent="0.25">
      <c r="A1343" s="27">
        <v>45028</v>
      </c>
      <c r="B1343" s="13">
        <v>15</v>
      </c>
      <c r="C1343" t="s">
        <v>3</v>
      </c>
      <c r="D1343" t="s">
        <v>4</v>
      </c>
      <c r="E1343" t="s">
        <v>5</v>
      </c>
      <c r="F1343" s="6">
        <v>112951256</v>
      </c>
      <c r="G1343" t="s">
        <v>337</v>
      </c>
      <c r="H1343" t="s">
        <v>332</v>
      </c>
      <c r="I1343">
        <v>0</v>
      </c>
      <c r="J1343">
        <v>0</v>
      </c>
      <c r="K1343">
        <v>0</v>
      </c>
      <c r="L1343">
        <v>0</v>
      </c>
      <c r="M1343">
        <v>0.2</v>
      </c>
      <c r="N1343" s="7" t="str">
        <f>VLOOKUP(F1343,HC!A$6:D$100,3,FALSE)</f>
        <v>DA-X0700</v>
      </c>
      <c r="O1343" s="7" t="str">
        <f>VLOOKUP(F1343,HC!A$6:D$1000,2,FALSE)</f>
        <v>grkatery</v>
      </c>
      <c r="P1343" t="s">
        <v>666</v>
      </c>
      <c r="Q1343" s="7" t="s">
        <v>768</v>
      </c>
      <c r="U1343">
        <f t="shared" si="22"/>
        <v>17</v>
      </c>
    </row>
    <row r="1344" spans="1:21" ht="37.5" customHeight="1" x14ac:dyDescent="0.25">
      <c r="A1344" s="27">
        <v>45028</v>
      </c>
      <c r="B1344" s="13">
        <v>15</v>
      </c>
      <c r="C1344" t="s">
        <v>3</v>
      </c>
      <c r="D1344" t="s">
        <v>4</v>
      </c>
      <c r="E1344" t="s">
        <v>5</v>
      </c>
      <c r="F1344" s="6">
        <v>112971953</v>
      </c>
      <c r="G1344" t="s">
        <v>262</v>
      </c>
      <c r="H1344" t="s">
        <v>282</v>
      </c>
      <c r="I1344">
        <v>0</v>
      </c>
      <c r="J1344">
        <v>0</v>
      </c>
      <c r="K1344">
        <v>0</v>
      </c>
      <c r="L1344">
        <v>0</v>
      </c>
      <c r="M1344">
        <v>0.67</v>
      </c>
      <c r="N1344" s="7" t="str">
        <f>VLOOKUP(F1344,HC!A$6:D$100,3,FALSE)</f>
        <v>DB-X0700</v>
      </c>
      <c r="O1344" s="7" t="str">
        <f>VLOOKUP(F1344,HC!A$6:D$1000,2,FALSE)</f>
        <v>anzpalom</v>
      </c>
      <c r="P1344" t="s">
        <v>666</v>
      </c>
      <c r="Q1344" s="7" t="s">
        <v>768</v>
      </c>
      <c r="R1344" t="s">
        <v>910</v>
      </c>
      <c r="U1344">
        <f t="shared" si="22"/>
        <v>14</v>
      </c>
    </row>
    <row r="1345" spans="1:21" ht="37.5" customHeight="1" x14ac:dyDescent="0.25">
      <c r="A1345" s="27">
        <v>45028</v>
      </c>
      <c r="B1345" s="13">
        <v>15</v>
      </c>
      <c r="C1345" t="s">
        <v>3</v>
      </c>
      <c r="D1345" t="s">
        <v>4</v>
      </c>
      <c r="E1345" t="s">
        <v>5</v>
      </c>
      <c r="F1345" s="6">
        <v>112981013</v>
      </c>
      <c r="G1345" t="s">
        <v>283</v>
      </c>
      <c r="H1345" t="s">
        <v>44</v>
      </c>
      <c r="I1345">
        <v>0</v>
      </c>
      <c r="J1345">
        <v>0</v>
      </c>
      <c r="K1345">
        <v>0</v>
      </c>
      <c r="L1345">
        <v>0</v>
      </c>
      <c r="M1345">
        <v>0.1</v>
      </c>
      <c r="N1345" s="7" t="str">
        <f>VLOOKUP(F1345,HC!A$6:D$100,3,FALSE)</f>
        <v>DA-X0700</v>
      </c>
      <c r="O1345" s="7" t="str">
        <f>VLOOKUP(F1345,HC!A$6:D$1000,2,FALSE)</f>
        <v>normaelo</v>
      </c>
      <c r="P1345" t="s">
        <v>662</v>
      </c>
      <c r="Q1345" s="7" t="s">
        <v>691</v>
      </c>
      <c r="U1345">
        <f t="shared" si="22"/>
        <v>24</v>
      </c>
    </row>
    <row r="1346" spans="1:21" ht="37.5" customHeight="1" x14ac:dyDescent="0.25">
      <c r="A1346" s="27">
        <v>45028</v>
      </c>
      <c r="B1346" s="13">
        <v>15</v>
      </c>
      <c r="C1346" t="s">
        <v>3</v>
      </c>
      <c r="D1346" t="s">
        <v>4</v>
      </c>
      <c r="E1346" t="s">
        <v>5</v>
      </c>
      <c r="F1346" s="6">
        <v>113014011</v>
      </c>
      <c r="G1346" t="s">
        <v>45</v>
      </c>
      <c r="H1346" t="s">
        <v>285</v>
      </c>
      <c r="I1346">
        <v>0</v>
      </c>
      <c r="J1346">
        <v>0</v>
      </c>
      <c r="K1346">
        <v>0</v>
      </c>
      <c r="L1346">
        <v>0</v>
      </c>
      <c r="M1346">
        <v>1.47</v>
      </c>
      <c r="N1346" s="7" t="e">
        <f>VLOOKUP(F1346,HC!A$6:D$100,3,FALSE)</f>
        <v>#N/A</v>
      </c>
      <c r="O1346" s="7" t="e">
        <f>VLOOKUP(F1346,HC!A$6:D$1000,2,FALSE)</f>
        <v>#N/A</v>
      </c>
      <c r="P1346" t="s">
        <v>664</v>
      </c>
      <c r="Q1346" s="7" t="s">
        <v>711</v>
      </c>
      <c r="U1346">
        <f t="shared" si="22"/>
        <v>1395</v>
      </c>
    </row>
    <row r="1347" spans="1:21" ht="37.5" customHeight="1" x14ac:dyDescent="0.25">
      <c r="A1347" s="27">
        <v>45028</v>
      </c>
      <c r="B1347" s="13">
        <v>15</v>
      </c>
      <c r="C1347" t="s">
        <v>3</v>
      </c>
      <c r="D1347" t="s">
        <v>4</v>
      </c>
      <c r="E1347" t="s">
        <v>5</v>
      </c>
      <c r="F1347" s="6">
        <v>113014113</v>
      </c>
      <c r="G1347" t="s">
        <v>269</v>
      </c>
      <c r="H1347" t="s">
        <v>49</v>
      </c>
      <c r="I1347">
        <v>0</v>
      </c>
      <c r="J1347">
        <v>0</v>
      </c>
      <c r="K1347">
        <v>0</v>
      </c>
      <c r="L1347">
        <v>0</v>
      </c>
      <c r="M1347">
        <v>0.63</v>
      </c>
      <c r="N1347" s="7" t="e">
        <f>VLOOKUP(F1347,HC!A$6:D$100,3,FALSE)</f>
        <v>#N/A</v>
      </c>
      <c r="O1347" s="7" t="e">
        <f>VLOOKUP(F1347,HC!A$6:D$1000,2,FALSE)</f>
        <v>#N/A</v>
      </c>
      <c r="P1347" t="s">
        <v>664</v>
      </c>
      <c r="Q1347" s="7" t="s">
        <v>771</v>
      </c>
      <c r="U1347">
        <f t="shared" ref="U1347:U1410" si="23">COUNTIF(O$2:O$4999,O1347)</f>
        <v>1395</v>
      </c>
    </row>
    <row r="1348" spans="1:21" ht="37.5" customHeight="1" x14ac:dyDescent="0.25">
      <c r="A1348" s="27">
        <v>45028</v>
      </c>
      <c r="B1348" s="13">
        <v>15</v>
      </c>
      <c r="C1348" t="s">
        <v>3</v>
      </c>
      <c r="D1348" t="s">
        <v>4</v>
      </c>
      <c r="E1348" t="s">
        <v>5</v>
      </c>
      <c r="F1348" s="6">
        <v>113052151</v>
      </c>
      <c r="G1348" t="s">
        <v>482</v>
      </c>
      <c r="H1348" t="s">
        <v>17</v>
      </c>
      <c r="I1348">
        <v>0</v>
      </c>
      <c r="J1348">
        <v>0</v>
      </c>
      <c r="K1348">
        <v>0</v>
      </c>
      <c r="L1348">
        <v>0</v>
      </c>
      <c r="M1348">
        <v>0.17</v>
      </c>
      <c r="N1348" s="7" t="e">
        <f>VLOOKUP(F1348,HC!A$6:D$100,3,FALSE)</f>
        <v>#N/A</v>
      </c>
      <c r="O1348" s="7" t="str">
        <f>VLOOKUP(F1348,HC!A$6:D$1000,2,FALSE)</f>
        <v>nilaurab</v>
      </c>
      <c r="P1348" t="s">
        <v>661</v>
      </c>
      <c r="Q1348" s="7" t="s">
        <v>681</v>
      </c>
      <c r="U1348">
        <f t="shared" si="23"/>
        <v>28</v>
      </c>
    </row>
    <row r="1349" spans="1:21" ht="37.5" customHeight="1" x14ac:dyDescent="0.25">
      <c r="A1349" s="27">
        <v>45028</v>
      </c>
      <c r="B1349" s="13">
        <v>15</v>
      </c>
      <c r="C1349" t="s">
        <v>3</v>
      </c>
      <c r="D1349" t="s">
        <v>4</v>
      </c>
      <c r="E1349" t="s">
        <v>5</v>
      </c>
      <c r="F1349" s="6">
        <v>113101453</v>
      </c>
      <c r="G1349" t="s">
        <v>50</v>
      </c>
      <c r="H1349" t="s">
        <v>49</v>
      </c>
      <c r="I1349">
        <v>0</v>
      </c>
      <c r="J1349">
        <v>0</v>
      </c>
      <c r="K1349">
        <v>0</v>
      </c>
      <c r="L1349">
        <v>0</v>
      </c>
      <c r="M1349">
        <v>2.84</v>
      </c>
      <c r="N1349" s="7" t="e">
        <f>VLOOKUP(F1349,HC!A$6:D$100,3,FALSE)</f>
        <v>#N/A</v>
      </c>
      <c r="O1349" s="7" t="str">
        <f>VLOOKUP(F1349,HC!A$6:D$1000,2,FALSE)</f>
        <v>qisgeova</v>
      </c>
      <c r="P1349" t="s">
        <v>661</v>
      </c>
      <c r="Q1349" s="7" t="s">
        <v>681</v>
      </c>
      <c r="U1349">
        <f t="shared" si="23"/>
        <v>57</v>
      </c>
    </row>
    <row r="1350" spans="1:21" ht="37.5" customHeight="1" x14ac:dyDescent="0.25">
      <c r="A1350" s="27">
        <v>45028</v>
      </c>
      <c r="B1350" s="13">
        <v>15</v>
      </c>
      <c r="C1350" t="s">
        <v>3</v>
      </c>
      <c r="D1350" t="s">
        <v>4</v>
      </c>
      <c r="E1350" t="s">
        <v>5</v>
      </c>
      <c r="F1350" s="6">
        <v>200404250</v>
      </c>
      <c r="G1350" t="s">
        <v>51</v>
      </c>
      <c r="H1350" t="s">
        <v>285</v>
      </c>
      <c r="I1350">
        <v>0</v>
      </c>
      <c r="J1350">
        <v>0</v>
      </c>
      <c r="K1350">
        <v>0</v>
      </c>
      <c r="L1350">
        <v>0</v>
      </c>
      <c r="M1350">
        <v>0.38</v>
      </c>
      <c r="N1350" s="7" t="e">
        <f>VLOOKUP(F1350,HC!A$6:D$100,3,FALSE)</f>
        <v>#N/A</v>
      </c>
      <c r="O1350" s="7" t="str">
        <f>VLOOKUP(F1350,HC!A$6:D$1000,2,FALSE)</f>
        <v>xcathurt</v>
      </c>
      <c r="P1350" t="s">
        <v>662</v>
      </c>
      <c r="Q1350" s="7" t="s">
        <v>785</v>
      </c>
      <c r="U1350">
        <f t="shared" si="23"/>
        <v>124</v>
      </c>
    </row>
    <row r="1351" spans="1:21" ht="37.5" customHeight="1" x14ac:dyDescent="0.25">
      <c r="A1351" s="27">
        <v>45028</v>
      </c>
      <c r="B1351" s="13">
        <v>15</v>
      </c>
      <c r="C1351" t="s">
        <v>3</v>
      </c>
      <c r="D1351" t="s">
        <v>4</v>
      </c>
      <c r="E1351" t="s">
        <v>21</v>
      </c>
      <c r="F1351" s="6">
        <v>200508315</v>
      </c>
      <c r="G1351" t="s">
        <v>428</v>
      </c>
      <c r="H1351" t="s">
        <v>298</v>
      </c>
      <c r="I1351">
        <v>0</v>
      </c>
      <c r="J1351">
        <v>0</v>
      </c>
      <c r="K1351">
        <v>0</v>
      </c>
      <c r="L1351">
        <v>0</v>
      </c>
      <c r="M1351">
        <v>0.98</v>
      </c>
      <c r="N1351" s="7" t="e">
        <f>VLOOKUP(F1351,HC!A$6:D$100,3,FALSE)</f>
        <v>#N/A</v>
      </c>
      <c r="O1351" s="7" t="str">
        <f>VLOOKUP(F1351,HC!A$6:D$1000,2,FALSE)</f>
        <v>taldaher</v>
      </c>
      <c r="P1351" t="s">
        <v>661</v>
      </c>
      <c r="Q1351" s="7" t="s">
        <v>681</v>
      </c>
      <c r="U1351">
        <f t="shared" si="23"/>
        <v>18</v>
      </c>
    </row>
    <row r="1352" spans="1:21" ht="37.5" customHeight="1" x14ac:dyDescent="0.25">
      <c r="A1352" s="27">
        <v>45028</v>
      </c>
      <c r="B1352" s="13">
        <v>15</v>
      </c>
      <c r="C1352" t="s">
        <v>3</v>
      </c>
      <c r="D1352" t="s">
        <v>4</v>
      </c>
      <c r="E1352" t="s">
        <v>21</v>
      </c>
      <c r="F1352" s="6">
        <v>200509428</v>
      </c>
      <c r="G1352" t="s">
        <v>272</v>
      </c>
      <c r="H1352" t="s">
        <v>49</v>
      </c>
      <c r="I1352">
        <v>0</v>
      </c>
      <c r="J1352">
        <v>0</v>
      </c>
      <c r="K1352">
        <v>0</v>
      </c>
      <c r="L1352">
        <v>0</v>
      </c>
      <c r="M1352">
        <v>0.09</v>
      </c>
      <c r="N1352" s="7" t="e">
        <f>VLOOKUP(F1352,HC!A$6:D$100,3,FALSE)</f>
        <v>#N/A</v>
      </c>
      <c r="O1352" s="7" t="e">
        <f>VLOOKUP(F1352,HC!A$6:D$1000,2,FALSE)</f>
        <v>#N/A</v>
      </c>
      <c r="P1352" t="s">
        <v>661</v>
      </c>
      <c r="Q1352" s="7" t="s">
        <v>681</v>
      </c>
      <c r="U1352">
        <f t="shared" si="23"/>
        <v>1395</v>
      </c>
    </row>
    <row r="1353" spans="1:21" ht="37.5" customHeight="1" x14ac:dyDescent="0.25">
      <c r="A1353" s="27">
        <v>45028</v>
      </c>
      <c r="B1353" s="13">
        <v>15</v>
      </c>
      <c r="C1353" t="s">
        <v>3</v>
      </c>
      <c r="D1353" t="s">
        <v>4</v>
      </c>
      <c r="E1353" t="s">
        <v>21</v>
      </c>
      <c r="F1353" s="6">
        <v>200562868</v>
      </c>
      <c r="G1353" t="s">
        <v>400</v>
      </c>
      <c r="H1353" t="s">
        <v>47</v>
      </c>
      <c r="I1353">
        <v>0</v>
      </c>
      <c r="J1353">
        <v>0</v>
      </c>
      <c r="K1353">
        <v>0</v>
      </c>
      <c r="L1353">
        <v>0</v>
      </c>
      <c r="M1353">
        <v>0.28999999999999998</v>
      </c>
      <c r="N1353" s="7" t="e">
        <f>VLOOKUP(F1353,HC!A$6:D$100,3,FALSE)</f>
        <v>#N/A</v>
      </c>
      <c r="O1353" s="7" t="e">
        <f>VLOOKUP(F1353,HC!A$6:D$1000,2,FALSE)</f>
        <v>#N/A</v>
      </c>
      <c r="P1353" t="s">
        <v>664</v>
      </c>
      <c r="Q1353" s="7" t="s">
        <v>713</v>
      </c>
      <c r="U1353">
        <f t="shared" si="23"/>
        <v>1395</v>
      </c>
    </row>
    <row r="1354" spans="1:21" ht="37.5" customHeight="1" x14ac:dyDescent="0.25">
      <c r="A1354" s="27">
        <v>45028</v>
      </c>
      <c r="B1354" s="13">
        <v>15</v>
      </c>
      <c r="C1354" t="s">
        <v>3</v>
      </c>
      <c r="D1354" t="s">
        <v>4</v>
      </c>
      <c r="E1354" t="s">
        <v>21</v>
      </c>
      <c r="F1354" s="6">
        <v>200620341</v>
      </c>
      <c r="G1354" t="s">
        <v>255</v>
      </c>
      <c r="H1354" t="s">
        <v>47</v>
      </c>
      <c r="I1354">
        <v>0</v>
      </c>
      <c r="J1354">
        <v>0</v>
      </c>
      <c r="K1354">
        <v>0</v>
      </c>
      <c r="L1354">
        <v>0</v>
      </c>
      <c r="M1354">
        <v>0.67</v>
      </c>
      <c r="N1354" s="7" t="e">
        <f>VLOOKUP(F1354,HC!A$6:D$100,3,FALSE)</f>
        <v>#N/A</v>
      </c>
      <c r="O1354" s="7" t="e">
        <f>VLOOKUP(F1354,HC!A$6:D$1000,2,FALSE)</f>
        <v>#N/A</v>
      </c>
      <c r="P1354" t="s">
        <v>664</v>
      </c>
      <c r="Q1354" s="7" t="s">
        <v>762</v>
      </c>
      <c r="R1354" t="s">
        <v>620</v>
      </c>
      <c r="U1354">
        <f t="shared" si="23"/>
        <v>1395</v>
      </c>
    </row>
    <row r="1355" spans="1:21" ht="37.5" customHeight="1" x14ac:dyDescent="0.25">
      <c r="A1355" s="27">
        <v>45028</v>
      </c>
      <c r="B1355" s="13">
        <v>15</v>
      </c>
      <c r="C1355" t="s">
        <v>3</v>
      </c>
      <c r="D1355" t="s">
        <v>4</v>
      </c>
      <c r="E1355" t="s">
        <v>21</v>
      </c>
      <c r="F1355" s="6">
        <v>200625517</v>
      </c>
      <c r="G1355" t="s">
        <v>323</v>
      </c>
      <c r="H1355" t="s">
        <v>49</v>
      </c>
      <c r="I1355">
        <v>0</v>
      </c>
      <c r="J1355">
        <v>0</v>
      </c>
      <c r="K1355">
        <v>0</v>
      </c>
      <c r="L1355">
        <v>0</v>
      </c>
      <c r="M1355">
        <v>0.2</v>
      </c>
      <c r="N1355" s="7" t="e">
        <f>VLOOKUP(F1355,HC!A$6:D$100,3,FALSE)</f>
        <v>#N/A</v>
      </c>
      <c r="O1355" s="7" t="e">
        <f>VLOOKUP(F1355,HC!A$6:D$1000,2,FALSE)</f>
        <v>#N/A</v>
      </c>
      <c r="P1355" t="s">
        <v>661</v>
      </c>
      <c r="Q1355" s="7" t="s">
        <v>681</v>
      </c>
      <c r="U1355">
        <f t="shared" si="23"/>
        <v>1395</v>
      </c>
    </row>
    <row r="1356" spans="1:21" ht="37.5" customHeight="1" x14ac:dyDescent="0.25">
      <c r="A1356" s="27">
        <v>45028</v>
      </c>
      <c r="B1356" s="13">
        <v>15</v>
      </c>
      <c r="C1356" t="s">
        <v>3</v>
      </c>
      <c r="D1356" t="s">
        <v>4</v>
      </c>
      <c r="E1356" t="s">
        <v>21</v>
      </c>
      <c r="F1356" s="6">
        <v>201191390</v>
      </c>
      <c r="G1356" t="s">
        <v>916</v>
      </c>
      <c r="H1356" t="s">
        <v>298</v>
      </c>
      <c r="I1356">
        <v>0</v>
      </c>
      <c r="J1356">
        <v>0</v>
      </c>
      <c r="K1356">
        <v>0</v>
      </c>
      <c r="L1356">
        <v>0</v>
      </c>
      <c r="M1356">
        <v>0.24</v>
      </c>
      <c r="N1356" s="7" t="e">
        <f>VLOOKUP(F1356,HC!A$6:D$100,3,FALSE)</f>
        <v>#N/A</v>
      </c>
      <c r="O1356" s="7" t="str">
        <f>VLOOKUP(F1356,HC!A$6:D$1000,2,FALSE)</f>
        <v>bgajesus</v>
      </c>
      <c r="P1356" t="s">
        <v>664</v>
      </c>
      <c r="Q1356" s="7" t="s">
        <v>708</v>
      </c>
      <c r="U1356">
        <f t="shared" si="23"/>
        <v>37</v>
      </c>
    </row>
    <row r="1357" spans="1:21" ht="37.5" customHeight="1" x14ac:dyDescent="0.25">
      <c r="A1357" s="27">
        <v>45028</v>
      </c>
      <c r="B1357" s="13">
        <v>15</v>
      </c>
      <c r="C1357" t="s">
        <v>3</v>
      </c>
      <c r="D1357" t="s">
        <v>4</v>
      </c>
      <c r="E1357" t="s">
        <v>5</v>
      </c>
      <c r="F1357" s="6">
        <v>111188907</v>
      </c>
      <c r="G1357" t="s">
        <v>435</v>
      </c>
      <c r="H1357" t="s">
        <v>250</v>
      </c>
      <c r="I1357">
        <v>0</v>
      </c>
      <c r="J1357">
        <v>0</v>
      </c>
      <c r="K1357">
        <v>0</v>
      </c>
      <c r="L1357">
        <v>0</v>
      </c>
      <c r="M1357">
        <v>1.01</v>
      </c>
      <c r="N1357" s="7" t="e">
        <f>VLOOKUP(F1357,HC!A$6:D$100,3,FALSE)</f>
        <v>#N/A</v>
      </c>
      <c r="O1357" s="7" t="e">
        <f>VLOOKUP(F1357,HC!A$6:D$1000,2,FALSE)</f>
        <v>#N/A</v>
      </c>
      <c r="P1357" t="s">
        <v>664</v>
      </c>
      <c r="Q1357" s="7" t="s">
        <v>710</v>
      </c>
      <c r="U1357">
        <f t="shared" si="23"/>
        <v>1395</v>
      </c>
    </row>
    <row r="1358" spans="1:21" ht="37.5" customHeight="1" x14ac:dyDescent="0.25">
      <c r="A1358" s="27">
        <v>45029</v>
      </c>
      <c r="B1358" s="13">
        <v>15</v>
      </c>
      <c r="C1358" t="s">
        <v>3</v>
      </c>
      <c r="D1358" t="s">
        <v>4</v>
      </c>
      <c r="E1358" t="s">
        <v>5</v>
      </c>
      <c r="F1358" s="6">
        <v>112912052</v>
      </c>
      <c r="G1358" t="s">
        <v>900</v>
      </c>
      <c r="H1358" t="s">
        <v>459</v>
      </c>
      <c r="I1358">
        <v>0</v>
      </c>
      <c r="J1358">
        <v>0</v>
      </c>
      <c r="K1358">
        <v>0</v>
      </c>
      <c r="L1358">
        <v>0</v>
      </c>
      <c r="M1358">
        <v>0.17</v>
      </c>
      <c r="N1358" s="7" t="str">
        <f>VLOOKUP(F1358,HC!A$6:D$100,3,FALSE)</f>
        <v>DB-X0700</v>
      </c>
      <c r="O1358" s="7" t="str">
        <f>VLOOKUP(F1358,HC!A$6:D$1000,2,FALSE)</f>
        <v>oortizce</v>
      </c>
      <c r="P1358" t="s">
        <v>662</v>
      </c>
      <c r="Q1358" s="7" t="s">
        <v>687</v>
      </c>
      <c r="U1358">
        <f t="shared" si="23"/>
        <v>5</v>
      </c>
    </row>
    <row r="1359" spans="1:21" ht="37.5" customHeight="1" x14ac:dyDescent="0.25">
      <c r="A1359" s="27">
        <v>45029</v>
      </c>
      <c r="B1359" s="13">
        <v>15</v>
      </c>
      <c r="C1359" t="s">
        <v>3</v>
      </c>
      <c r="D1359" t="s">
        <v>4</v>
      </c>
      <c r="E1359" t="s">
        <v>5</v>
      </c>
      <c r="F1359" s="6">
        <v>112912983</v>
      </c>
      <c r="G1359" t="s">
        <v>558</v>
      </c>
      <c r="H1359" t="s">
        <v>332</v>
      </c>
      <c r="I1359">
        <v>0</v>
      </c>
      <c r="J1359">
        <v>0</v>
      </c>
      <c r="K1359">
        <v>0</v>
      </c>
      <c r="L1359">
        <v>0</v>
      </c>
      <c r="M1359">
        <v>0.26</v>
      </c>
      <c r="N1359" s="7" t="str">
        <f>VLOOKUP(F1359,HC!A$6:D$100,3,FALSE)</f>
        <v>NF-X1900</v>
      </c>
      <c r="O1359" s="7" t="str">
        <f>VLOOKUP(F1359,HC!A$6:D$1000,2,FALSE)</f>
        <v>wrocirod</v>
      </c>
      <c r="P1359" t="s">
        <v>661</v>
      </c>
      <c r="Q1359" s="7" t="s">
        <v>681</v>
      </c>
      <c r="U1359">
        <f t="shared" si="23"/>
        <v>16</v>
      </c>
    </row>
    <row r="1360" spans="1:21" ht="37.5" customHeight="1" x14ac:dyDescent="0.25">
      <c r="A1360" s="27">
        <v>45029</v>
      </c>
      <c r="B1360" s="13">
        <v>15</v>
      </c>
      <c r="C1360" t="s">
        <v>3</v>
      </c>
      <c r="D1360" t="s">
        <v>4</v>
      </c>
      <c r="E1360" t="s">
        <v>5</v>
      </c>
      <c r="F1360" s="6">
        <v>112916534</v>
      </c>
      <c r="G1360" t="s">
        <v>425</v>
      </c>
      <c r="H1360" t="s">
        <v>268</v>
      </c>
      <c r="I1360">
        <v>0</v>
      </c>
      <c r="J1360">
        <v>0</v>
      </c>
      <c r="K1360">
        <v>0</v>
      </c>
      <c r="L1360">
        <v>0</v>
      </c>
      <c r="M1360">
        <v>0.3</v>
      </c>
      <c r="N1360" s="7" t="str">
        <f>VLOOKUP(F1360,HC!A$6:D$100,3,FALSE)</f>
        <v>DB-X0700</v>
      </c>
      <c r="O1360" s="7" t="str">
        <f>VLOOKUP(F1360,HC!A$6:D$1000,2,FALSE)</f>
        <v>earelili</v>
      </c>
      <c r="P1360" t="s">
        <v>662</v>
      </c>
      <c r="Q1360" s="7" t="s">
        <v>691</v>
      </c>
      <c r="R1360" t="s">
        <v>910</v>
      </c>
      <c r="U1360">
        <f t="shared" si="23"/>
        <v>15</v>
      </c>
    </row>
    <row r="1361" spans="1:21" ht="37.5" customHeight="1" x14ac:dyDescent="0.25">
      <c r="A1361" s="27">
        <v>45029</v>
      </c>
      <c r="B1361" s="13">
        <v>15</v>
      </c>
      <c r="C1361" t="s">
        <v>3</v>
      </c>
      <c r="D1361" t="s">
        <v>4</v>
      </c>
      <c r="E1361" t="s">
        <v>5</v>
      </c>
      <c r="F1361" s="6">
        <v>112951256</v>
      </c>
      <c r="G1361" t="s">
        <v>337</v>
      </c>
      <c r="H1361" t="s">
        <v>332</v>
      </c>
      <c r="I1361">
        <v>0</v>
      </c>
      <c r="J1361">
        <v>0</v>
      </c>
      <c r="K1361">
        <v>0</v>
      </c>
      <c r="L1361">
        <v>0</v>
      </c>
      <c r="M1361">
        <v>0.09</v>
      </c>
      <c r="N1361" s="7" t="str">
        <f>VLOOKUP(F1361,HC!A$6:D$100,3,FALSE)</f>
        <v>DA-X0700</v>
      </c>
      <c r="O1361" s="7" t="str">
        <f>VLOOKUP(F1361,HC!A$6:D$1000,2,FALSE)</f>
        <v>grkatery</v>
      </c>
      <c r="P1361" t="s">
        <v>661</v>
      </c>
      <c r="Q1361" s="7" t="s">
        <v>681</v>
      </c>
      <c r="U1361">
        <f t="shared" si="23"/>
        <v>17</v>
      </c>
    </row>
    <row r="1362" spans="1:21" ht="37.5" customHeight="1" x14ac:dyDescent="0.25">
      <c r="A1362" s="27">
        <v>45029</v>
      </c>
      <c r="B1362" s="13">
        <v>15</v>
      </c>
      <c r="C1362" t="s">
        <v>3</v>
      </c>
      <c r="D1362" t="s">
        <v>4</v>
      </c>
      <c r="E1362" t="s">
        <v>5</v>
      </c>
      <c r="F1362" s="6">
        <v>112971953</v>
      </c>
      <c r="G1362" t="s">
        <v>262</v>
      </c>
      <c r="H1362" t="s">
        <v>282</v>
      </c>
      <c r="I1362">
        <v>0</v>
      </c>
      <c r="J1362">
        <v>0</v>
      </c>
      <c r="K1362">
        <v>0</v>
      </c>
      <c r="L1362">
        <v>0</v>
      </c>
      <c r="M1362">
        <v>1.05</v>
      </c>
      <c r="N1362" s="7" t="str">
        <f>VLOOKUP(F1362,HC!A$6:D$100,3,FALSE)</f>
        <v>DB-X0700</v>
      </c>
      <c r="O1362" s="7" t="str">
        <f>VLOOKUP(F1362,HC!A$6:D$1000,2,FALSE)</f>
        <v>anzpalom</v>
      </c>
      <c r="P1362" t="s">
        <v>666</v>
      </c>
      <c r="Q1362" s="7" t="s">
        <v>768</v>
      </c>
      <c r="U1362">
        <f t="shared" si="23"/>
        <v>14</v>
      </c>
    </row>
    <row r="1363" spans="1:21" ht="37.5" customHeight="1" x14ac:dyDescent="0.25">
      <c r="A1363" s="27">
        <v>45029</v>
      </c>
      <c r="B1363" s="13">
        <v>15</v>
      </c>
      <c r="C1363" t="s">
        <v>3</v>
      </c>
      <c r="D1363" t="s">
        <v>4</v>
      </c>
      <c r="E1363" t="s">
        <v>5</v>
      </c>
      <c r="F1363" s="6">
        <v>112981061</v>
      </c>
      <c r="G1363" t="s">
        <v>264</v>
      </c>
      <c r="H1363" t="s">
        <v>49</v>
      </c>
      <c r="I1363">
        <v>0</v>
      </c>
      <c r="J1363">
        <v>0</v>
      </c>
      <c r="K1363">
        <v>0</v>
      </c>
      <c r="L1363">
        <v>0</v>
      </c>
      <c r="M1363">
        <v>0.38</v>
      </c>
      <c r="N1363" s="7" t="str">
        <f>VLOOKUP(F1363,HC!A$6:D$100,3,FALSE)</f>
        <v>DA-X0700</v>
      </c>
      <c r="O1363" s="7" t="str">
        <f>VLOOKUP(F1363,HC!A$6:D$1000,2,FALSE)</f>
        <v>mclaudol</v>
      </c>
      <c r="P1363" t="s">
        <v>661</v>
      </c>
      <c r="Q1363" s="7" t="s">
        <v>681</v>
      </c>
      <c r="U1363">
        <f t="shared" si="23"/>
        <v>44</v>
      </c>
    </row>
    <row r="1364" spans="1:21" ht="37.5" customHeight="1" x14ac:dyDescent="0.25">
      <c r="A1364" s="27">
        <v>45029</v>
      </c>
      <c r="B1364" s="13">
        <v>15</v>
      </c>
      <c r="C1364" t="s">
        <v>3</v>
      </c>
      <c r="D1364" t="s">
        <v>4</v>
      </c>
      <c r="E1364" t="s">
        <v>5</v>
      </c>
      <c r="F1364" s="6">
        <v>112981196</v>
      </c>
      <c r="G1364" t="s">
        <v>328</v>
      </c>
      <c r="H1364" t="s">
        <v>47</v>
      </c>
      <c r="I1364">
        <v>0</v>
      </c>
      <c r="J1364">
        <v>0</v>
      </c>
      <c r="K1364">
        <v>0</v>
      </c>
      <c r="L1364">
        <v>0</v>
      </c>
      <c r="M1364">
        <v>0.14000000000000001</v>
      </c>
      <c r="N1364" s="7" t="e">
        <f>VLOOKUP(F1364,HC!A$6:D$100,3,FALSE)</f>
        <v>#N/A</v>
      </c>
      <c r="O1364" s="7" t="str">
        <f>VLOOKUP(F1364,HC!A$6:D$1000,2,FALSE)</f>
        <v>vandgome</v>
      </c>
      <c r="P1364" t="s">
        <v>662</v>
      </c>
      <c r="Q1364" s="7" t="s">
        <v>687</v>
      </c>
      <c r="U1364">
        <f t="shared" si="23"/>
        <v>24</v>
      </c>
    </row>
    <row r="1365" spans="1:21" ht="37.5" customHeight="1" x14ac:dyDescent="0.25">
      <c r="A1365" s="27">
        <v>45029</v>
      </c>
      <c r="B1365" s="13">
        <v>15</v>
      </c>
      <c r="C1365" t="s">
        <v>3</v>
      </c>
      <c r="D1365" t="s">
        <v>4</v>
      </c>
      <c r="E1365" t="s">
        <v>5</v>
      </c>
      <c r="F1365" s="6">
        <v>112981212</v>
      </c>
      <c r="G1365" t="s">
        <v>573</v>
      </c>
      <c r="H1365" t="s">
        <v>49</v>
      </c>
      <c r="I1365">
        <v>0</v>
      </c>
      <c r="J1365">
        <v>0</v>
      </c>
      <c r="K1365">
        <v>0</v>
      </c>
      <c r="L1365">
        <v>0</v>
      </c>
      <c r="M1365">
        <v>1.63</v>
      </c>
      <c r="N1365" s="7" t="e">
        <f>VLOOKUP(F1365,HC!A$6:D$100,3,FALSE)</f>
        <v>#N/A</v>
      </c>
      <c r="O1365" s="7" t="str">
        <f>VLOOKUP(F1365,HC!A$6:D$1000,2,FALSE)</f>
        <v>alysonza</v>
      </c>
      <c r="P1365" t="s">
        <v>661</v>
      </c>
      <c r="Q1365" s="7" t="s">
        <v>681</v>
      </c>
      <c r="U1365">
        <f t="shared" si="23"/>
        <v>23</v>
      </c>
    </row>
    <row r="1366" spans="1:21" ht="37.5" customHeight="1" x14ac:dyDescent="0.25">
      <c r="A1366" s="27">
        <v>45029</v>
      </c>
      <c r="B1366" s="13">
        <v>15</v>
      </c>
      <c r="C1366" t="s">
        <v>3</v>
      </c>
      <c r="D1366" t="s">
        <v>4</v>
      </c>
      <c r="E1366" t="s">
        <v>5</v>
      </c>
      <c r="F1366" s="6">
        <v>112981221</v>
      </c>
      <c r="G1366" t="s">
        <v>581</v>
      </c>
      <c r="H1366" t="s">
        <v>285</v>
      </c>
      <c r="I1366">
        <v>0</v>
      </c>
      <c r="J1366">
        <v>0</v>
      </c>
      <c r="K1366">
        <v>0</v>
      </c>
      <c r="L1366">
        <v>0</v>
      </c>
      <c r="M1366">
        <v>0.19</v>
      </c>
      <c r="N1366" s="7" t="e">
        <f>VLOOKUP(F1366,HC!A$6:D$100,3,FALSE)</f>
        <v>#N/A</v>
      </c>
      <c r="O1366" s="7" t="str">
        <f>VLOOKUP(F1366,HC!A$6:D$1000,2,FALSE)</f>
        <v>spercesa</v>
      </c>
      <c r="P1366" t="s">
        <v>664</v>
      </c>
      <c r="Q1366" s="7" t="s">
        <v>777</v>
      </c>
      <c r="U1366">
        <f t="shared" si="23"/>
        <v>6</v>
      </c>
    </row>
    <row r="1367" spans="1:21" ht="37.5" customHeight="1" x14ac:dyDescent="0.25">
      <c r="A1367" s="27">
        <v>45029</v>
      </c>
      <c r="B1367" s="13">
        <v>15</v>
      </c>
      <c r="C1367" t="s">
        <v>3</v>
      </c>
      <c r="D1367" t="s">
        <v>4</v>
      </c>
      <c r="E1367" t="s">
        <v>5</v>
      </c>
      <c r="F1367" s="6">
        <v>113014036</v>
      </c>
      <c r="G1367" t="s">
        <v>790</v>
      </c>
      <c r="H1367" t="s">
        <v>49</v>
      </c>
      <c r="I1367">
        <v>0</v>
      </c>
      <c r="J1367">
        <v>0</v>
      </c>
      <c r="K1367">
        <v>0</v>
      </c>
      <c r="L1367">
        <v>0</v>
      </c>
      <c r="M1367">
        <v>0.73</v>
      </c>
      <c r="N1367" s="7" t="e">
        <f>VLOOKUP(F1367,HC!A$6:D$100,3,FALSE)</f>
        <v>#N/A</v>
      </c>
      <c r="O1367" s="7" t="str">
        <f>VLOOKUP(F1367,HC!A$6:D$1000,2,FALSE)</f>
        <v>ronjosea</v>
      </c>
      <c r="P1367" t="s">
        <v>662</v>
      </c>
      <c r="Q1367" s="7" t="s">
        <v>691</v>
      </c>
      <c r="U1367">
        <f t="shared" si="23"/>
        <v>5</v>
      </c>
    </row>
    <row r="1368" spans="1:21" ht="37.5" customHeight="1" x14ac:dyDescent="0.25">
      <c r="A1368" s="27">
        <v>45029</v>
      </c>
      <c r="B1368" s="13">
        <v>15</v>
      </c>
      <c r="C1368" t="s">
        <v>3</v>
      </c>
      <c r="D1368" t="s">
        <v>4</v>
      </c>
      <c r="E1368" t="s">
        <v>5</v>
      </c>
      <c r="F1368" s="6">
        <v>113018997</v>
      </c>
      <c r="G1368" t="s">
        <v>254</v>
      </c>
      <c r="H1368" t="s">
        <v>268</v>
      </c>
      <c r="I1368">
        <v>0</v>
      </c>
      <c r="J1368">
        <v>0</v>
      </c>
      <c r="K1368">
        <v>0</v>
      </c>
      <c r="L1368">
        <v>0</v>
      </c>
      <c r="M1368">
        <v>1.63</v>
      </c>
      <c r="N1368" s="7" t="e">
        <f>VLOOKUP(F1368,HC!A$6:D$100,3,FALSE)</f>
        <v>#N/A</v>
      </c>
      <c r="O1368" s="7" t="e">
        <f>VLOOKUP(F1368,HC!A$6:D$1000,2,FALSE)</f>
        <v>#N/A</v>
      </c>
      <c r="P1368" t="s">
        <v>661</v>
      </c>
      <c r="Q1368" s="7" t="s">
        <v>684</v>
      </c>
      <c r="U1368">
        <f t="shared" si="23"/>
        <v>1395</v>
      </c>
    </row>
    <row r="1369" spans="1:21" ht="37.5" customHeight="1" x14ac:dyDescent="0.25">
      <c r="A1369" s="27">
        <v>45029</v>
      </c>
      <c r="B1369" s="13">
        <v>15</v>
      </c>
      <c r="C1369" t="s">
        <v>3</v>
      </c>
      <c r="D1369" t="s">
        <v>4</v>
      </c>
      <c r="E1369" t="s">
        <v>5</v>
      </c>
      <c r="F1369" s="6">
        <v>113019042</v>
      </c>
      <c r="G1369" t="s">
        <v>655</v>
      </c>
      <c r="H1369" t="s">
        <v>285</v>
      </c>
      <c r="I1369">
        <v>0</v>
      </c>
      <c r="J1369">
        <v>0</v>
      </c>
      <c r="K1369">
        <v>0</v>
      </c>
      <c r="L1369">
        <v>0</v>
      </c>
      <c r="M1369">
        <v>0.14000000000000001</v>
      </c>
      <c r="N1369" s="7" t="e">
        <f>VLOOKUP(F1369,HC!A$6:D$100,3,FALSE)</f>
        <v>#N/A</v>
      </c>
      <c r="O1369" s="7" t="e">
        <f>VLOOKUP(F1369,HC!A$6:D$1000,2,FALSE)</f>
        <v>#N/A</v>
      </c>
      <c r="P1369" t="s">
        <v>664</v>
      </c>
      <c r="Q1369" s="7" t="s">
        <v>716</v>
      </c>
      <c r="U1369">
        <f t="shared" si="23"/>
        <v>1395</v>
      </c>
    </row>
    <row r="1370" spans="1:21" ht="37.5" customHeight="1" x14ac:dyDescent="0.25">
      <c r="A1370" s="27">
        <v>45029</v>
      </c>
      <c r="B1370" s="13">
        <v>15</v>
      </c>
      <c r="C1370" t="s">
        <v>3</v>
      </c>
      <c r="D1370" t="s">
        <v>4</v>
      </c>
      <c r="E1370" t="s">
        <v>5</v>
      </c>
      <c r="F1370" s="6">
        <v>200404250</v>
      </c>
      <c r="G1370" t="s">
        <v>51</v>
      </c>
      <c r="H1370" t="s">
        <v>285</v>
      </c>
      <c r="I1370">
        <v>0</v>
      </c>
      <c r="J1370">
        <v>0</v>
      </c>
      <c r="K1370">
        <v>0</v>
      </c>
      <c r="L1370">
        <v>0</v>
      </c>
      <c r="M1370">
        <v>0.67</v>
      </c>
      <c r="N1370" s="7" t="e">
        <f>VLOOKUP(F1370,HC!A$6:D$100,3,FALSE)</f>
        <v>#N/A</v>
      </c>
      <c r="O1370" s="7" t="str">
        <f>VLOOKUP(F1370,HC!A$6:D$1000,2,FALSE)</f>
        <v>xcathurt</v>
      </c>
      <c r="P1370" t="s">
        <v>662</v>
      </c>
      <c r="Q1370" s="7" t="s">
        <v>785</v>
      </c>
      <c r="U1370">
        <f t="shared" si="23"/>
        <v>124</v>
      </c>
    </row>
    <row r="1371" spans="1:21" ht="37.5" customHeight="1" x14ac:dyDescent="0.25">
      <c r="A1371" s="27">
        <v>45029</v>
      </c>
      <c r="B1371" s="13">
        <v>15</v>
      </c>
      <c r="C1371" t="s">
        <v>3</v>
      </c>
      <c r="D1371" t="s">
        <v>4</v>
      </c>
      <c r="E1371" t="s">
        <v>21</v>
      </c>
      <c r="F1371" s="6">
        <v>200525168</v>
      </c>
      <c r="G1371" t="s">
        <v>914</v>
      </c>
      <c r="H1371" t="s">
        <v>17</v>
      </c>
      <c r="I1371">
        <v>0</v>
      </c>
      <c r="J1371">
        <v>0</v>
      </c>
      <c r="K1371">
        <v>0</v>
      </c>
      <c r="L1371">
        <v>0</v>
      </c>
      <c r="M1371">
        <v>0.16</v>
      </c>
      <c r="N1371" s="7" t="e">
        <f>VLOOKUP(F1371,HC!A$6:D$100,3,FALSE)</f>
        <v>#N/A</v>
      </c>
      <c r="O1371" s="7" t="e">
        <f>VLOOKUP(F1371,HC!A$6:D$1000,2,FALSE)</f>
        <v>#N/A</v>
      </c>
      <c r="P1371" t="s">
        <v>670</v>
      </c>
      <c r="Q1371" s="7" t="s">
        <v>748</v>
      </c>
      <c r="U1371">
        <f t="shared" si="23"/>
        <v>1395</v>
      </c>
    </row>
    <row r="1372" spans="1:21" ht="37.5" customHeight="1" x14ac:dyDescent="0.25">
      <c r="A1372" s="27">
        <v>45029</v>
      </c>
      <c r="B1372" s="13">
        <v>15</v>
      </c>
      <c r="C1372" t="s">
        <v>3</v>
      </c>
      <c r="D1372" t="s">
        <v>4</v>
      </c>
      <c r="E1372" t="s">
        <v>21</v>
      </c>
      <c r="F1372" s="6">
        <v>200526598</v>
      </c>
      <c r="G1372" t="s">
        <v>424</v>
      </c>
      <c r="H1372" t="s">
        <v>298</v>
      </c>
      <c r="I1372">
        <v>0</v>
      </c>
      <c r="J1372">
        <v>0</v>
      </c>
      <c r="K1372">
        <v>0</v>
      </c>
      <c r="L1372">
        <v>0</v>
      </c>
      <c r="M1372">
        <v>0.16</v>
      </c>
      <c r="N1372" s="7" t="e">
        <f>VLOOKUP(F1372,HC!A$6:D$100,3,FALSE)</f>
        <v>#N/A</v>
      </c>
      <c r="O1372" s="7" t="e">
        <f>VLOOKUP(F1372,HC!A$6:D$1000,2,FALSE)</f>
        <v>#N/A</v>
      </c>
      <c r="P1372" t="s">
        <v>664</v>
      </c>
      <c r="Q1372" s="7" t="s">
        <v>710</v>
      </c>
      <c r="U1372">
        <f t="shared" si="23"/>
        <v>1395</v>
      </c>
    </row>
    <row r="1373" spans="1:21" ht="37.5" customHeight="1" x14ac:dyDescent="0.25">
      <c r="A1373" s="27">
        <v>45029</v>
      </c>
      <c r="B1373" s="13">
        <v>15</v>
      </c>
      <c r="C1373" t="s">
        <v>3</v>
      </c>
      <c r="D1373" t="s">
        <v>4</v>
      </c>
      <c r="E1373" t="s">
        <v>21</v>
      </c>
      <c r="F1373" s="6">
        <v>200589316</v>
      </c>
      <c r="G1373" t="s">
        <v>53</v>
      </c>
      <c r="H1373" t="s">
        <v>7</v>
      </c>
      <c r="I1373">
        <v>0</v>
      </c>
      <c r="J1373">
        <v>0</v>
      </c>
      <c r="K1373">
        <v>0</v>
      </c>
      <c r="L1373">
        <v>0</v>
      </c>
      <c r="M1373">
        <v>0.14000000000000001</v>
      </c>
      <c r="N1373" s="7" t="e">
        <f>VLOOKUP(F1373,HC!A$6:D$100,3,FALSE)</f>
        <v>#N/A</v>
      </c>
      <c r="O1373" s="7" t="e">
        <f>VLOOKUP(F1373,HC!A$6:D$1000,2,FALSE)</f>
        <v>#N/A</v>
      </c>
      <c r="P1373" t="s">
        <v>662</v>
      </c>
      <c r="Q1373" s="7" t="s">
        <v>757</v>
      </c>
      <c r="U1373">
        <f t="shared" si="23"/>
        <v>1395</v>
      </c>
    </row>
    <row r="1374" spans="1:21" ht="37.5" customHeight="1" x14ac:dyDescent="0.25">
      <c r="A1374" s="27">
        <v>45029</v>
      </c>
      <c r="B1374" s="13">
        <v>15</v>
      </c>
      <c r="C1374" t="s">
        <v>3</v>
      </c>
      <c r="D1374" t="s">
        <v>4</v>
      </c>
      <c r="E1374" t="s">
        <v>21</v>
      </c>
      <c r="F1374" s="6">
        <v>201158953</v>
      </c>
      <c r="G1374" t="s">
        <v>923</v>
      </c>
      <c r="H1374" t="s">
        <v>268</v>
      </c>
      <c r="I1374">
        <v>0</v>
      </c>
      <c r="J1374">
        <v>0</v>
      </c>
      <c r="K1374">
        <v>0</v>
      </c>
      <c r="L1374">
        <v>0</v>
      </c>
      <c r="M1374">
        <v>0.76</v>
      </c>
      <c r="N1374" s="7" t="e">
        <f>VLOOKUP(F1374,HC!A$6:D$100,3,FALSE)</f>
        <v>#N/A</v>
      </c>
      <c r="O1374" s="7" t="e">
        <f>VLOOKUP(F1374,HC!A$6:D$1000,2,FALSE)</f>
        <v>#N/A</v>
      </c>
      <c r="Q1374" s="7"/>
      <c r="R1374" t="s">
        <v>961</v>
      </c>
      <c r="U1374">
        <f t="shared" si="23"/>
        <v>1395</v>
      </c>
    </row>
    <row r="1375" spans="1:21" ht="37.5" customHeight="1" x14ac:dyDescent="0.25">
      <c r="A1375" s="27">
        <v>45029</v>
      </c>
      <c r="B1375" s="13">
        <v>15</v>
      </c>
      <c r="C1375" t="s">
        <v>3</v>
      </c>
      <c r="D1375" t="s">
        <v>4</v>
      </c>
      <c r="E1375" t="s">
        <v>21</v>
      </c>
      <c r="F1375" s="6">
        <v>201186621</v>
      </c>
      <c r="G1375" t="s">
        <v>915</v>
      </c>
      <c r="H1375" t="s">
        <v>298</v>
      </c>
      <c r="I1375">
        <v>0</v>
      </c>
      <c r="J1375">
        <v>0</v>
      </c>
      <c r="K1375">
        <v>0</v>
      </c>
      <c r="L1375">
        <v>0</v>
      </c>
      <c r="M1375">
        <v>0.52</v>
      </c>
      <c r="N1375" s="7" t="e">
        <f>VLOOKUP(F1375,HC!A$6:D$100,3,FALSE)</f>
        <v>#N/A</v>
      </c>
      <c r="O1375" s="7" t="e">
        <f>VLOOKUP(F1375,HC!A$6:D$1000,2,FALSE)</f>
        <v>#N/A</v>
      </c>
      <c r="P1375" t="s">
        <v>663</v>
      </c>
      <c r="Q1375" s="7" t="s">
        <v>705</v>
      </c>
      <c r="U1375">
        <f t="shared" si="23"/>
        <v>1395</v>
      </c>
    </row>
    <row r="1376" spans="1:21" ht="37.5" customHeight="1" x14ac:dyDescent="0.25">
      <c r="A1376" s="27">
        <v>45029</v>
      </c>
      <c r="B1376" s="13">
        <v>15</v>
      </c>
      <c r="C1376" t="s">
        <v>3</v>
      </c>
      <c r="D1376" t="s">
        <v>4</v>
      </c>
      <c r="E1376" t="s">
        <v>21</v>
      </c>
      <c r="F1376" s="6">
        <v>201195217</v>
      </c>
      <c r="G1376" t="s">
        <v>956</v>
      </c>
      <c r="H1376" t="s">
        <v>17</v>
      </c>
      <c r="I1376">
        <v>0</v>
      </c>
      <c r="J1376">
        <v>0</v>
      </c>
      <c r="K1376">
        <v>0</v>
      </c>
      <c r="L1376">
        <v>0</v>
      </c>
      <c r="M1376">
        <v>0.45</v>
      </c>
      <c r="N1376" s="7" t="e">
        <f>VLOOKUP(F1376,HC!A$6:D$100,3,FALSE)</f>
        <v>#N/A</v>
      </c>
      <c r="O1376" s="7" t="str">
        <f>VLOOKUP(F1376,HC!A$6:D$1000,2,FALSE)</f>
        <v>oomaagui</v>
      </c>
      <c r="P1376" t="s">
        <v>663</v>
      </c>
      <c r="Q1376" s="7" t="s">
        <v>705</v>
      </c>
      <c r="U1376">
        <f t="shared" si="23"/>
        <v>2</v>
      </c>
    </row>
    <row r="1377" spans="1:21" ht="37.5" customHeight="1" x14ac:dyDescent="0.25">
      <c r="A1377" s="27">
        <v>45030</v>
      </c>
      <c r="B1377" s="13">
        <v>15</v>
      </c>
      <c r="C1377" t="s">
        <v>3</v>
      </c>
      <c r="D1377" t="s">
        <v>4</v>
      </c>
      <c r="E1377" t="s">
        <v>5</v>
      </c>
      <c r="F1377" s="6">
        <v>112972801</v>
      </c>
      <c r="G1377" t="s">
        <v>597</v>
      </c>
      <c r="H1377" t="s">
        <v>332</v>
      </c>
      <c r="I1377">
        <v>0</v>
      </c>
      <c r="J1377">
        <v>0</v>
      </c>
      <c r="K1377">
        <v>0</v>
      </c>
      <c r="L1377">
        <v>0</v>
      </c>
      <c r="M1377">
        <v>0.12</v>
      </c>
      <c r="N1377" s="7" t="e">
        <f>VLOOKUP(F1377,HC!A$6:D$100,3,FALSE)</f>
        <v>#N/A</v>
      </c>
      <c r="O1377" s="7" t="e">
        <f>VLOOKUP(F1377,HC!A$6:D$1000,2,FALSE)</f>
        <v>#N/A</v>
      </c>
      <c r="P1377" t="s">
        <v>662</v>
      </c>
      <c r="Q1377" s="7" t="s">
        <v>757</v>
      </c>
      <c r="U1377">
        <f t="shared" si="23"/>
        <v>1395</v>
      </c>
    </row>
    <row r="1378" spans="1:21" ht="37.5" customHeight="1" x14ac:dyDescent="0.25">
      <c r="A1378" s="27">
        <v>45030</v>
      </c>
      <c r="B1378" s="13">
        <v>15</v>
      </c>
      <c r="C1378" t="s">
        <v>3</v>
      </c>
      <c r="D1378" t="s">
        <v>4</v>
      </c>
      <c r="E1378" t="s">
        <v>5</v>
      </c>
      <c r="F1378" s="6">
        <v>112972958</v>
      </c>
      <c r="G1378" t="s">
        <v>441</v>
      </c>
      <c r="H1378" t="s">
        <v>459</v>
      </c>
      <c r="I1378">
        <v>0</v>
      </c>
      <c r="J1378">
        <v>0</v>
      </c>
      <c r="K1378">
        <v>0</v>
      </c>
      <c r="L1378">
        <v>0</v>
      </c>
      <c r="M1378">
        <v>0.94</v>
      </c>
      <c r="N1378" s="7" t="str">
        <f>VLOOKUP(F1378,HC!A$6:D$100,3,FALSE)</f>
        <v>D5-X0700</v>
      </c>
      <c r="O1378" s="7" t="str">
        <f>VLOOKUP(F1378,HC!A$6:D$1000,2,FALSE)</f>
        <v>ugonzgui</v>
      </c>
      <c r="P1378" t="s">
        <v>664</v>
      </c>
      <c r="Q1378" s="7" t="s">
        <v>709</v>
      </c>
      <c r="R1378" t="s">
        <v>620</v>
      </c>
      <c r="U1378">
        <f t="shared" si="23"/>
        <v>13</v>
      </c>
    </row>
    <row r="1379" spans="1:21" ht="37.5" customHeight="1" x14ac:dyDescent="0.25">
      <c r="A1379" s="27">
        <v>45030</v>
      </c>
      <c r="B1379" s="13">
        <v>15</v>
      </c>
      <c r="C1379" t="s">
        <v>3</v>
      </c>
      <c r="D1379" t="s">
        <v>4</v>
      </c>
      <c r="E1379" t="s">
        <v>5</v>
      </c>
      <c r="F1379" s="6">
        <v>113052151</v>
      </c>
      <c r="G1379" t="s">
        <v>482</v>
      </c>
      <c r="H1379" t="s">
        <v>17</v>
      </c>
      <c r="I1379">
        <v>0</v>
      </c>
      <c r="J1379">
        <v>0</v>
      </c>
      <c r="K1379">
        <v>0</v>
      </c>
      <c r="L1379">
        <v>0</v>
      </c>
      <c r="M1379">
        <v>0.2</v>
      </c>
      <c r="N1379" s="7" t="e">
        <f>VLOOKUP(F1379,HC!A$6:D$100,3,FALSE)</f>
        <v>#N/A</v>
      </c>
      <c r="O1379" s="7" t="str">
        <f>VLOOKUP(F1379,HC!A$6:D$1000,2,FALSE)</f>
        <v>nilaurab</v>
      </c>
      <c r="P1379" t="s">
        <v>663</v>
      </c>
      <c r="Q1379" s="7" t="s">
        <v>695</v>
      </c>
      <c r="U1379">
        <f t="shared" si="23"/>
        <v>28</v>
      </c>
    </row>
    <row r="1380" spans="1:21" ht="37.5" customHeight="1" x14ac:dyDescent="0.25">
      <c r="A1380" s="27">
        <v>45030</v>
      </c>
      <c r="B1380" s="13">
        <v>15</v>
      </c>
      <c r="C1380" t="s">
        <v>3</v>
      </c>
      <c r="D1380" t="s">
        <v>4</v>
      </c>
      <c r="E1380" t="s">
        <v>21</v>
      </c>
      <c r="F1380" s="6">
        <v>200589316</v>
      </c>
      <c r="G1380" t="s">
        <v>53</v>
      </c>
      <c r="H1380" t="s">
        <v>7</v>
      </c>
      <c r="I1380">
        <v>0</v>
      </c>
      <c r="J1380">
        <v>0</v>
      </c>
      <c r="K1380">
        <v>0</v>
      </c>
      <c r="L1380">
        <v>0</v>
      </c>
      <c r="M1380">
        <v>0.23</v>
      </c>
      <c r="N1380" s="7" t="e">
        <f>VLOOKUP(F1380,HC!A$6:D$100,3,FALSE)</f>
        <v>#N/A</v>
      </c>
      <c r="O1380" s="7" t="e">
        <f>VLOOKUP(F1380,HC!A$6:D$1000,2,FALSE)</f>
        <v>#N/A</v>
      </c>
      <c r="P1380" t="s">
        <v>663</v>
      </c>
      <c r="Q1380" s="7" t="s">
        <v>705</v>
      </c>
      <c r="U1380">
        <f t="shared" si="23"/>
        <v>1395</v>
      </c>
    </row>
    <row r="1381" spans="1:21" ht="37.5" customHeight="1" x14ac:dyDescent="0.25">
      <c r="A1381" s="27">
        <v>45030</v>
      </c>
      <c r="B1381" s="13">
        <v>15</v>
      </c>
      <c r="C1381" t="s">
        <v>3</v>
      </c>
      <c r="D1381" t="s">
        <v>4</v>
      </c>
      <c r="E1381" t="s">
        <v>21</v>
      </c>
      <c r="F1381" s="6">
        <v>201186621</v>
      </c>
      <c r="G1381" t="s">
        <v>915</v>
      </c>
      <c r="H1381" t="s">
        <v>298</v>
      </c>
      <c r="I1381">
        <v>0</v>
      </c>
      <c r="J1381">
        <v>0</v>
      </c>
      <c r="K1381">
        <v>0</v>
      </c>
      <c r="L1381">
        <v>0</v>
      </c>
      <c r="M1381">
        <v>0.23</v>
      </c>
      <c r="N1381" s="7" t="e">
        <f>VLOOKUP(F1381,HC!A$6:D$100,3,FALSE)</f>
        <v>#N/A</v>
      </c>
      <c r="O1381" s="7" t="e">
        <f>VLOOKUP(F1381,HC!A$6:D$1000,2,FALSE)</f>
        <v>#N/A</v>
      </c>
      <c r="P1381" t="s">
        <v>664</v>
      </c>
      <c r="Q1381" s="7" t="s">
        <v>777</v>
      </c>
      <c r="U1381">
        <f t="shared" si="23"/>
        <v>1395</v>
      </c>
    </row>
    <row r="1382" spans="1:21" ht="37.5" customHeight="1" x14ac:dyDescent="0.25">
      <c r="A1382" s="27">
        <v>45030</v>
      </c>
      <c r="B1382" s="13">
        <v>15</v>
      </c>
      <c r="C1382" t="s">
        <v>3</v>
      </c>
      <c r="D1382" t="s">
        <v>4</v>
      </c>
      <c r="E1382" t="s">
        <v>21</v>
      </c>
      <c r="F1382" s="6">
        <v>201194285</v>
      </c>
      <c r="G1382" t="s">
        <v>859</v>
      </c>
      <c r="H1382" t="s">
        <v>17</v>
      </c>
      <c r="I1382">
        <v>0</v>
      </c>
      <c r="J1382">
        <v>0</v>
      </c>
      <c r="K1382">
        <v>0</v>
      </c>
      <c r="L1382">
        <v>0</v>
      </c>
      <c r="M1382">
        <v>0.21</v>
      </c>
      <c r="N1382" s="7" t="e">
        <f>VLOOKUP(F1382,HC!A$6:D$100,3,FALSE)</f>
        <v>#N/A</v>
      </c>
      <c r="O1382" s="7" t="e">
        <f>VLOOKUP(F1382,HC!A$6:D$1000,2,FALSE)</f>
        <v>#N/A</v>
      </c>
      <c r="P1382" t="s">
        <v>664</v>
      </c>
      <c r="Q1382" s="7" t="s">
        <v>777</v>
      </c>
      <c r="U1382">
        <f t="shared" si="23"/>
        <v>1395</v>
      </c>
    </row>
    <row r="1383" spans="1:21" ht="37.5" customHeight="1" x14ac:dyDescent="0.25">
      <c r="A1383" s="27">
        <v>45030</v>
      </c>
      <c r="B1383" s="13">
        <v>15</v>
      </c>
      <c r="C1383" t="s">
        <v>3</v>
      </c>
      <c r="D1383" t="s">
        <v>4</v>
      </c>
      <c r="E1383" t="s">
        <v>21</v>
      </c>
      <c r="F1383" s="6">
        <v>201198890</v>
      </c>
      <c r="G1383" t="s">
        <v>917</v>
      </c>
      <c r="H1383" t="s">
        <v>268</v>
      </c>
      <c r="I1383">
        <v>0</v>
      </c>
      <c r="J1383">
        <v>0</v>
      </c>
      <c r="K1383">
        <v>0</v>
      </c>
      <c r="L1383">
        <v>0</v>
      </c>
      <c r="M1383">
        <v>1.29</v>
      </c>
      <c r="N1383" s="7" t="e">
        <f>VLOOKUP(F1383,HC!A$6:D$100,3,FALSE)</f>
        <v>#N/A</v>
      </c>
      <c r="O1383" s="7" t="e">
        <f>VLOOKUP(F1383,HC!A$6:D$1000,2,FALSE)</f>
        <v>#N/A</v>
      </c>
      <c r="P1383" t="s">
        <v>664</v>
      </c>
      <c r="Q1383" s="7" t="s">
        <v>762</v>
      </c>
      <c r="R1383" t="s">
        <v>620</v>
      </c>
      <c r="U1383">
        <f t="shared" si="23"/>
        <v>1395</v>
      </c>
    </row>
    <row r="1384" spans="1:21" ht="37.5" customHeight="1" x14ac:dyDescent="0.25">
      <c r="A1384" s="27">
        <v>45031</v>
      </c>
      <c r="B1384" s="13">
        <v>15</v>
      </c>
      <c r="C1384" t="s">
        <v>3</v>
      </c>
      <c r="D1384" t="s">
        <v>4</v>
      </c>
      <c r="E1384" t="s">
        <v>5</v>
      </c>
      <c r="F1384" s="6">
        <v>112972608</v>
      </c>
      <c r="G1384" t="s">
        <v>510</v>
      </c>
      <c r="H1384" t="s">
        <v>282</v>
      </c>
      <c r="I1384">
        <v>0</v>
      </c>
      <c r="J1384">
        <v>0</v>
      </c>
      <c r="K1384">
        <v>0</v>
      </c>
      <c r="L1384">
        <v>0</v>
      </c>
      <c r="M1384">
        <v>0.22</v>
      </c>
      <c r="N1384" s="7" t="e">
        <f>VLOOKUP(F1384,HC!A$6:D$100,3,FALSE)</f>
        <v>#N/A</v>
      </c>
      <c r="O1384" s="7" t="e">
        <f>VLOOKUP(F1384,HC!A$6:D$1000,2,FALSE)</f>
        <v>#N/A</v>
      </c>
      <c r="P1384" t="s">
        <v>665</v>
      </c>
      <c r="Q1384" s="7" t="s">
        <v>722</v>
      </c>
      <c r="U1384">
        <f t="shared" si="23"/>
        <v>1395</v>
      </c>
    </row>
    <row r="1385" spans="1:21" ht="37.5" customHeight="1" x14ac:dyDescent="0.25">
      <c r="A1385" s="27">
        <v>45031</v>
      </c>
      <c r="B1385" s="13">
        <v>15</v>
      </c>
      <c r="C1385" t="s">
        <v>3</v>
      </c>
      <c r="D1385" t="s">
        <v>4</v>
      </c>
      <c r="E1385" t="s">
        <v>5</v>
      </c>
      <c r="F1385" s="6">
        <v>113003674</v>
      </c>
      <c r="G1385" t="s">
        <v>855</v>
      </c>
      <c r="H1385" t="s">
        <v>268</v>
      </c>
      <c r="I1385">
        <v>0</v>
      </c>
      <c r="J1385">
        <v>0</v>
      </c>
      <c r="K1385">
        <v>0</v>
      </c>
      <c r="L1385">
        <v>0</v>
      </c>
      <c r="M1385">
        <v>0.1</v>
      </c>
      <c r="N1385" s="7" t="e">
        <f>VLOOKUP(F1385,HC!A$6:D$100,3,FALSE)</f>
        <v>#N/A</v>
      </c>
      <c r="O1385" s="7" t="str">
        <f>VLOOKUP(F1385,HC!A$6:D$1000,2,FALSE)</f>
        <v>jcarlgas</v>
      </c>
      <c r="P1385" t="s">
        <v>662</v>
      </c>
      <c r="Q1385" s="7" t="s">
        <v>757</v>
      </c>
      <c r="U1385">
        <f t="shared" si="23"/>
        <v>4</v>
      </c>
    </row>
    <row r="1386" spans="1:21" ht="37.5" customHeight="1" x14ac:dyDescent="0.25">
      <c r="A1386" s="27">
        <v>45031</v>
      </c>
      <c r="B1386" s="13">
        <v>15</v>
      </c>
      <c r="C1386" t="s">
        <v>3</v>
      </c>
      <c r="D1386" t="s">
        <v>4</v>
      </c>
      <c r="E1386" t="s">
        <v>5</v>
      </c>
      <c r="F1386" s="6">
        <v>113052151</v>
      </c>
      <c r="G1386" t="s">
        <v>482</v>
      </c>
      <c r="H1386" t="s">
        <v>17</v>
      </c>
      <c r="I1386">
        <v>0</v>
      </c>
      <c r="J1386">
        <v>0</v>
      </c>
      <c r="K1386">
        <v>0</v>
      </c>
      <c r="L1386">
        <v>0</v>
      </c>
      <c r="M1386">
        <v>0.13</v>
      </c>
      <c r="N1386" s="7" t="e">
        <f>VLOOKUP(F1386,HC!A$6:D$100,3,FALSE)</f>
        <v>#N/A</v>
      </c>
      <c r="O1386" s="7" t="str">
        <f>VLOOKUP(F1386,HC!A$6:D$1000,2,FALSE)</f>
        <v>nilaurab</v>
      </c>
      <c r="P1386" t="s">
        <v>662</v>
      </c>
      <c r="Q1386" s="7" t="s">
        <v>757</v>
      </c>
      <c r="U1386">
        <f t="shared" si="23"/>
        <v>28</v>
      </c>
    </row>
    <row r="1387" spans="1:21" ht="37.5" customHeight="1" x14ac:dyDescent="0.25">
      <c r="A1387" s="27">
        <v>45031</v>
      </c>
      <c r="B1387" s="13">
        <v>15</v>
      </c>
      <c r="C1387" t="s">
        <v>3</v>
      </c>
      <c r="D1387" t="s">
        <v>4</v>
      </c>
      <c r="E1387" t="s">
        <v>21</v>
      </c>
      <c r="F1387" s="6">
        <v>200564845</v>
      </c>
      <c r="G1387" t="s">
        <v>440</v>
      </c>
      <c r="H1387" t="s">
        <v>7</v>
      </c>
      <c r="I1387">
        <v>0</v>
      </c>
      <c r="J1387">
        <v>0</v>
      </c>
      <c r="K1387">
        <v>0</v>
      </c>
      <c r="L1387">
        <v>0</v>
      </c>
      <c r="M1387">
        <v>0.13</v>
      </c>
      <c r="N1387" s="7" t="e">
        <f>VLOOKUP(F1387,HC!A$6:D$100,3,FALSE)</f>
        <v>#N/A</v>
      </c>
      <c r="O1387" s="7" t="e">
        <f>VLOOKUP(F1387,HC!A$6:D$1000,2,FALSE)</f>
        <v>#N/A</v>
      </c>
      <c r="P1387" t="s">
        <v>661</v>
      </c>
      <c r="Q1387" s="7" t="s">
        <v>681</v>
      </c>
      <c r="U1387">
        <f t="shared" si="23"/>
        <v>1395</v>
      </c>
    </row>
    <row r="1388" spans="1:21" ht="37.5" customHeight="1" x14ac:dyDescent="0.25">
      <c r="A1388" s="27">
        <v>45031</v>
      </c>
      <c r="B1388" s="13">
        <v>15</v>
      </c>
      <c r="C1388" t="s">
        <v>3</v>
      </c>
      <c r="D1388" t="s">
        <v>4</v>
      </c>
      <c r="E1388" t="s">
        <v>21</v>
      </c>
      <c r="F1388" s="6">
        <v>200585084</v>
      </c>
      <c r="G1388" t="s">
        <v>493</v>
      </c>
      <c r="H1388" t="s">
        <v>17</v>
      </c>
      <c r="I1388">
        <v>0</v>
      </c>
      <c r="J1388">
        <v>0</v>
      </c>
      <c r="K1388">
        <v>0</v>
      </c>
      <c r="L1388">
        <v>0</v>
      </c>
      <c r="M1388">
        <v>0.32</v>
      </c>
      <c r="N1388" s="7" t="e">
        <f>VLOOKUP(F1388,HC!A$6:D$100,3,FALSE)</f>
        <v>#N/A</v>
      </c>
      <c r="O1388" s="7" t="str">
        <f>VLOOKUP(F1388,HC!A$6:D$1000,2,FALSE)</f>
        <v>tessajvi</v>
      </c>
      <c r="P1388" t="s">
        <v>661</v>
      </c>
      <c r="Q1388" s="7" t="s">
        <v>681</v>
      </c>
      <c r="U1388">
        <f t="shared" si="23"/>
        <v>9</v>
      </c>
    </row>
    <row r="1389" spans="1:21" ht="37.5" customHeight="1" x14ac:dyDescent="0.25">
      <c r="A1389" s="27">
        <v>45031</v>
      </c>
      <c r="B1389" s="13">
        <v>15</v>
      </c>
      <c r="C1389" t="s">
        <v>3</v>
      </c>
      <c r="D1389" t="s">
        <v>4</v>
      </c>
      <c r="E1389" t="s">
        <v>21</v>
      </c>
      <c r="F1389" s="6">
        <v>200589316</v>
      </c>
      <c r="G1389" t="s">
        <v>53</v>
      </c>
      <c r="H1389" t="s">
        <v>7</v>
      </c>
      <c r="I1389">
        <v>0</v>
      </c>
      <c r="J1389">
        <v>0</v>
      </c>
      <c r="K1389">
        <v>0</v>
      </c>
      <c r="L1389">
        <v>0</v>
      </c>
      <c r="M1389">
        <v>0.08</v>
      </c>
      <c r="N1389" s="7" t="e">
        <f>VLOOKUP(F1389,HC!A$6:D$100,3,FALSE)</f>
        <v>#N/A</v>
      </c>
      <c r="O1389" s="7" t="e">
        <f>VLOOKUP(F1389,HC!A$6:D$1000,2,FALSE)</f>
        <v>#N/A</v>
      </c>
      <c r="P1389" t="s">
        <v>664</v>
      </c>
      <c r="Q1389" s="7" t="s">
        <v>777</v>
      </c>
      <c r="U1389">
        <f t="shared" si="23"/>
        <v>1395</v>
      </c>
    </row>
    <row r="1390" spans="1:21" ht="37.5" customHeight="1" x14ac:dyDescent="0.25">
      <c r="A1390" s="27">
        <v>45031</v>
      </c>
      <c r="B1390" s="13">
        <v>15</v>
      </c>
      <c r="C1390" t="s">
        <v>3</v>
      </c>
      <c r="D1390" t="s">
        <v>4</v>
      </c>
      <c r="E1390" t="s">
        <v>21</v>
      </c>
      <c r="F1390" s="6">
        <v>200614224</v>
      </c>
      <c r="G1390" t="s">
        <v>322</v>
      </c>
      <c r="H1390" t="s">
        <v>17</v>
      </c>
      <c r="I1390">
        <v>0</v>
      </c>
      <c r="J1390">
        <v>0</v>
      </c>
      <c r="K1390">
        <v>0</v>
      </c>
      <c r="L1390">
        <v>0</v>
      </c>
      <c r="M1390">
        <v>0.22</v>
      </c>
      <c r="N1390" s="7" t="e">
        <f>VLOOKUP(F1390,HC!A$6:D$100,3,FALSE)</f>
        <v>#N/A</v>
      </c>
      <c r="O1390" s="7" t="e">
        <f>VLOOKUP(F1390,HC!A$6:D$1000,2,FALSE)</f>
        <v>#N/A</v>
      </c>
      <c r="P1390" t="s">
        <v>665</v>
      </c>
      <c r="Q1390" s="7" t="s">
        <v>722</v>
      </c>
      <c r="U1390">
        <f t="shared" si="23"/>
        <v>1395</v>
      </c>
    </row>
    <row r="1391" spans="1:21" ht="37.5" customHeight="1" x14ac:dyDescent="0.25">
      <c r="A1391" s="27">
        <v>45031</v>
      </c>
      <c r="B1391" s="13">
        <v>15</v>
      </c>
      <c r="C1391" t="s">
        <v>3</v>
      </c>
      <c r="D1391" t="s">
        <v>4</v>
      </c>
      <c r="E1391" t="s">
        <v>21</v>
      </c>
      <c r="F1391" s="6">
        <v>201185633</v>
      </c>
      <c r="G1391" t="s">
        <v>957</v>
      </c>
      <c r="H1391" t="s">
        <v>268</v>
      </c>
      <c r="I1391">
        <v>0</v>
      </c>
      <c r="J1391">
        <v>0</v>
      </c>
      <c r="K1391">
        <v>0</v>
      </c>
      <c r="L1391">
        <v>0</v>
      </c>
      <c r="M1391">
        <v>0.28000000000000003</v>
      </c>
      <c r="N1391" s="7" t="e">
        <f>VLOOKUP(F1391,HC!A$6:D$100,3,FALSE)</f>
        <v>#N/A</v>
      </c>
      <c r="O1391" s="7" t="e">
        <f>VLOOKUP(F1391,HC!A$6:D$1000,2,FALSE)</f>
        <v>#N/A</v>
      </c>
      <c r="P1391" t="s">
        <v>666</v>
      </c>
      <c r="Q1391" s="7"/>
      <c r="R1391" t="s">
        <v>960</v>
      </c>
      <c r="U1391">
        <f t="shared" si="23"/>
        <v>1395</v>
      </c>
    </row>
    <row r="1392" spans="1:21" ht="37.5" customHeight="1" x14ac:dyDescent="0.25">
      <c r="A1392" s="27">
        <v>45031</v>
      </c>
      <c r="B1392" s="13">
        <v>15</v>
      </c>
      <c r="C1392" t="s">
        <v>3</v>
      </c>
      <c r="D1392" t="s">
        <v>4</v>
      </c>
      <c r="E1392" t="s">
        <v>21</v>
      </c>
      <c r="F1392" s="6">
        <v>201212196</v>
      </c>
      <c r="G1392" t="s">
        <v>958</v>
      </c>
      <c r="H1392" t="s">
        <v>17</v>
      </c>
      <c r="I1392">
        <v>0</v>
      </c>
      <c r="J1392">
        <v>0</v>
      </c>
      <c r="K1392">
        <v>0</v>
      </c>
      <c r="L1392">
        <v>0</v>
      </c>
      <c r="M1392">
        <v>0.14000000000000001</v>
      </c>
      <c r="N1392" s="7" t="e">
        <f>VLOOKUP(F1392,HC!A$6:D$100,3,FALSE)</f>
        <v>#N/A</v>
      </c>
      <c r="O1392" s="7" t="e">
        <f>VLOOKUP(F1392,HC!A$6:D$1000,2,FALSE)</f>
        <v>#N/A</v>
      </c>
      <c r="P1392" t="s">
        <v>662</v>
      </c>
      <c r="Q1392" s="7" t="s">
        <v>757</v>
      </c>
      <c r="U1392">
        <f t="shared" si="23"/>
        <v>1395</v>
      </c>
    </row>
    <row r="1393" spans="1:21" ht="37.5" customHeight="1" x14ac:dyDescent="0.25">
      <c r="A1393" s="27">
        <v>45032</v>
      </c>
      <c r="B1393" s="13">
        <v>16</v>
      </c>
      <c r="C1393" t="s">
        <v>3</v>
      </c>
      <c r="D1393" t="s">
        <v>4</v>
      </c>
      <c r="E1393" t="s">
        <v>5</v>
      </c>
      <c r="F1393" s="6">
        <v>106386523</v>
      </c>
      <c r="G1393" t="s">
        <v>628</v>
      </c>
      <c r="H1393" t="s">
        <v>285</v>
      </c>
      <c r="I1393">
        <v>0</v>
      </c>
      <c r="J1393">
        <v>0</v>
      </c>
      <c r="K1393">
        <v>0</v>
      </c>
      <c r="L1393">
        <v>0</v>
      </c>
      <c r="M1393">
        <v>0.11</v>
      </c>
      <c r="N1393" s="7" t="e">
        <f>VLOOKUP(F1393,HC!A$6:D$100,3,FALSE)</f>
        <v>#N/A</v>
      </c>
      <c r="O1393" s="7" t="e">
        <f>VLOOKUP(F1393,HC!A$6:D$1000,2,FALSE)</f>
        <v>#N/A</v>
      </c>
      <c r="P1393" t="s">
        <v>669</v>
      </c>
      <c r="Q1393" s="7" t="s">
        <v>739</v>
      </c>
      <c r="U1393">
        <f t="shared" si="23"/>
        <v>1395</v>
      </c>
    </row>
    <row r="1394" spans="1:21" ht="37.5" customHeight="1" x14ac:dyDescent="0.25">
      <c r="A1394" s="27">
        <v>45032</v>
      </c>
      <c r="B1394" s="13">
        <v>16</v>
      </c>
      <c r="C1394" t="s">
        <v>3</v>
      </c>
      <c r="D1394" t="s">
        <v>4</v>
      </c>
      <c r="E1394" t="s">
        <v>5</v>
      </c>
      <c r="F1394" s="6">
        <v>111434478</v>
      </c>
      <c r="G1394" t="s">
        <v>331</v>
      </c>
      <c r="H1394" t="s">
        <v>253</v>
      </c>
      <c r="I1394">
        <v>0</v>
      </c>
      <c r="J1394">
        <v>0</v>
      </c>
      <c r="K1394">
        <v>0</v>
      </c>
      <c r="L1394">
        <v>0</v>
      </c>
      <c r="M1394">
        <v>0.56000000000000005</v>
      </c>
      <c r="N1394" s="7" t="str">
        <f>VLOOKUP(F1394,HC!A$6:D$100,3,FALSE)</f>
        <v>DA-X0700</v>
      </c>
      <c r="O1394" s="7" t="str">
        <f>VLOOKUP(F1394,HC!A$6:D$1000,2,FALSE)</f>
        <v>juanapam</v>
      </c>
      <c r="P1394" t="s">
        <v>675</v>
      </c>
      <c r="Q1394" s="7"/>
      <c r="U1394">
        <f t="shared" si="23"/>
        <v>32</v>
      </c>
    </row>
    <row r="1395" spans="1:21" ht="37.5" customHeight="1" x14ac:dyDescent="0.25">
      <c r="A1395" s="27">
        <v>45032</v>
      </c>
      <c r="B1395" s="13">
        <v>16</v>
      </c>
      <c r="C1395" t="s">
        <v>3</v>
      </c>
      <c r="D1395" t="s">
        <v>4</v>
      </c>
      <c r="E1395" t="s">
        <v>5</v>
      </c>
      <c r="F1395" s="6">
        <v>112912752</v>
      </c>
      <c r="G1395" t="s">
        <v>251</v>
      </c>
      <c r="H1395" t="s">
        <v>268</v>
      </c>
      <c r="I1395">
        <v>0</v>
      </c>
      <c r="J1395">
        <v>0</v>
      </c>
      <c r="K1395">
        <v>0</v>
      </c>
      <c r="L1395">
        <v>0</v>
      </c>
      <c r="M1395">
        <v>0.5</v>
      </c>
      <c r="N1395" s="7" t="str">
        <f>VLOOKUP(F1395,HC!A$6:D$100,3,FALSE)</f>
        <v>NF-X1900</v>
      </c>
      <c r="O1395" s="7" t="str">
        <f>VLOOKUP(F1395,HC!A$6:D$1000,2,FALSE)</f>
        <v>valderle</v>
      </c>
      <c r="P1395" t="s">
        <v>662</v>
      </c>
      <c r="Q1395" s="7" t="s">
        <v>757</v>
      </c>
      <c r="U1395">
        <f t="shared" si="23"/>
        <v>50</v>
      </c>
    </row>
    <row r="1396" spans="1:21" ht="37.5" customHeight="1" x14ac:dyDescent="0.25">
      <c r="A1396" s="27">
        <v>45032</v>
      </c>
      <c r="B1396" s="13">
        <v>16</v>
      </c>
      <c r="C1396" t="s">
        <v>3</v>
      </c>
      <c r="D1396" t="s">
        <v>4</v>
      </c>
      <c r="E1396" t="s">
        <v>5</v>
      </c>
      <c r="F1396" s="6">
        <v>113019001</v>
      </c>
      <c r="G1396" t="s">
        <v>464</v>
      </c>
      <c r="H1396" t="s">
        <v>268</v>
      </c>
      <c r="I1396">
        <v>0</v>
      </c>
      <c r="J1396">
        <v>0</v>
      </c>
      <c r="K1396">
        <v>0</v>
      </c>
      <c r="L1396">
        <v>0</v>
      </c>
      <c r="M1396">
        <v>0.11</v>
      </c>
      <c r="N1396" s="7" t="e">
        <f>VLOOKUP(F1396,HC!A$6:D$100,3,FALSE)</f>
        <v>#N/A</v>
      </c>
      <c r="O1396" s="7" t="str">
        <f>VLOOKUP(F1396,HC!A$6:D$1000,2,FALSE)</f>
        <v>dolozane</v>
      </c>
      <c r="P1396" t="s">
        <v>661</v>
      </c>
      <c r="Q1396" s="7" t="s">
        <v>681</v>
      </c>
      <c r="U1396">
        <f t="shared" si="23"/>
        <v>17</v>
      </c>
    </row>
    <row r="1397" spans="1:21" ht="37.5" customHeight="1" x14ac:dyDescent="0.25">
      <c r="A1397" s="27">
        <v>45032</v>
      </c>
      <c r="B1397" s="13">
        <v>16</v>
      </c>
      <c r="C1397" t="s">
        <v>3</v>
      </c>
      <c r="D1397" t="s">
        <v>4</v>
      </c>
      <c r="E1397" t="s">
        <v>5</v>
      </c>
      <c r="F1397" s="6">
        <v>200404250</v>
      </c>
      <c r="G1397" t="s">
        <v>51</v>
      </c>
      <c r="H1397" t="s">
        <v>298</v>
      </c>
      <c r="I1397">
        <v>0</v>
      </c>
      <c r="J1397">
        <v>0</v>
      </c>
      <c r="K1397">
        <v>0</v>
      </c>
      <c r="L1397">
        <v>0</v>
      </c>
      <c r="M1397">
        <v>0.25</v>
      </c>
      <c r="N1397" s="7" t="e">
        <f>VLOOKUP(F1397,HC!A$6:D$100,3,FALSE)</f>
        <v>#N/A</v>
      </c>
      <c r="O1397" s="7" t="str">
        <f>VLOOKUP(F1397,HC!A$6:D$1000,2,FALSE)</f>
        <v>xcathurt</v>
      </c>
      <c r="P1397" t="s">
        <v>662</v>
      </c>
      <c r="Q1397" s="7" t="s">
        <v>785</v>
      </c>
      <c r="U1397">
        <f t="shared" si="23"/>
        <v>124</v>
      </c>
    </row>
    <row r="1398" spans="1:21" ht="37.5" customHeight="1" x14ac:dyDescent="0.25">
      <c r="A1398" s="27">
        <v>45032</v>
      </c>
      <c r="B1398" s="13">
        <v>16</v>
      </c>
      <c r="C1398" t="s">
        <v>3</v>
      </c>
      <c r="D1398" t="s">
        <v>4</v>
      </c>
      <c r="E1398" t="s">
        <v>21</v>
      </c>
      <c r="F1398" s="6">
        <v>200625528</v>
      </c>
      <c r="G1398" t="s">
        <v>607</v>
      </c>
      <c r="H1398" t="s">
        <v>285</v>
      </c>
      <c r="I1398">
        <v>0</v>
      </c>
      <c r="J1398">
        <v>0</v>
      </c>
      <c r="K1398">
        <v>0</v>
      </c>
      <c r="L1398">
        <v>0</v>
      </c>
      <c r="M1398">
        <v>0.3</v>
      </c>
      <c r="N1398" s="7" t="e">
        <f>VLOOKUP(F1398,HC!A$6:D$100,3,FALSE)</f>
        <v>#N/A</v>
      </c>
      <c r="O1398" s="7" t="str">
        <f>VLOOKUP(F1398,HC!A$6:D$1000,2,FALSE)</f>
        <v>olivlizb</v>
      </c>
      <c r="P1398" t="s">
        <v>662</v>
      </c>
      <c r="Q1398" s="7" t="s">
        <v>757</v>
      </c>
      <c r="U1398">
        <f t="shared" si="23"/>
        <v>50</v>
      </c>
    </row>
    <row r="1399" spans="1:21" ht="37.5" customHeight="1" x14ac:dyDescent="0.25">
      <c r="A1399" s="27">
        <v>45032</v>
      </c>
      <c r="B1399" s="13">
        <v>16</v>
      </c>
      <c r="C1399" t="s">
        <v>3</v>
      </c>
      <c r="D1399" t="s">
        <v>4</v>
      </c>
      <c r="E1399" t="s">
        <v>21</v>
      </c>
      <c r="F1399" s="6">
        <v>201195217</v>
      </c>
      <c r="G1399" t="s">
        <v>956</v>
      </c>
      <c r="H1399" t="s">
        <v>17</v>
      </c>
      <c r="I1399">
        <v>0</v>
      </c>
      <c r="J1399">
        <v>0</v>
      </c>
      <c r="K1399">
        <v>0</v>
      </c>
      <c r="L1399">
        <v>0</v>
      </c>
      <c r="M1399">
        <v>2.11</v>
      </c>
      <c r="N1399" s="7" t="e">
        <f>VLOOKUP(F1399,HC!A$6:D$100,3,FALSE)</f>
        <v>#N/A</v>
      </c>
      <c r="O1399" s="7" t="str">
        <f>VLOOKUP(F1399,HC!A$6:D$1000,2,FALSE)</f>
        <v>oomaagui</v>
      </c>
      <c r="Q1399" s="7"/>
      <c r="U1399">
        <f t="shared" si="23"/>
        <v>2</v>
      </c>
    </row>
    <row r="1400" spans="1:21" ht="37.5" customHeight="1" x14ac:dyDescent="0.25">
      <c r="A1400" s="27">
        <v>45032</v>
      </c>
      <c r="B1400" s="13">
        <v>16</v>
      </c>
      <c r="C1400" t="s">
        <v>3</v>
      </c>
      <c r="D1400" t="s">
        <v>4</v>
      </c>
      <c r="E1400" t="s">
        <v>21</v>
      </c>
      <c r="F1400" s="6">
        <v>201198979</v>
      </c>
      <c r="G1400" t="s">
        <v>905</v>
      </c>
      <c r="H1400" t="s">
        <v>285</v>
      </c>
      <c r="I1400">
        <v>0</v>
      </c>
      <c r="J1400">
        <v>0</v>
      </c>
      <c r="K1400">
        <v>0</v>
      </c>
      <c r="L1400">
        <v>0</v>
      </c>
      <c r="M1400">
        <v>0.31</v>
      </c>
      <c r="N1400" s="7" t="e">
        <f>VLOOKUP(F1400,HC!A$6:D$100,3,FALSE)</f>
        <v>#N/A</v>
      </c>
      <c r="O1400" s="7" t="e">
        <f>VLOOKUP(F1400,HC!A$6:D$1000,2,FALSE)</f>
        <v>#N/A</v>
      </c>
      <c r="P1400" t="s">
        <v>661</v>
      </c>
      <c r="Q1400" s="7" t="s">
        <v>759</v>
      </c>
      <c r="U1400">
        <f t="shared" si="23"/>
        <v>1395</v>
      </c>
    </row>
    <row r="1401" spans="1:21" ht="37.5" customHeight="1" x14ac:dyDescent="0.25">
      <c r="A1401" s="27">
        <v>45032</v>
      </c>
      <c r="B1401" s="13">
        <v>16</v>
      </c>
      <c r="C1401" t="s">
        <v>3</v>
      </c>
      <c r="D1401" t="s">
        <v>4</v>
      </c>
      <c r="E1401" t="s">
        <v>21</v>
      </c>
      <c r="F1401" s="6">
        <v>201201993</v>
      </c>
      <c r="G1401" t="s">
        <v>964</v>
      </c>
      <c r="H1401" t="s">
        <v>285</v>
      </c>
      <c r="I1401">
        <v>0</v>
      </c>
      <c r="J1401">
        <v>0</v>
      </c>
      <c r="K1401">
        <v>0</v>
      </c>
      <c r="L1401">
        <v>0</v>
      </c>
      <c r="M1401">
        <v>0.11</v>
      </c>
      <c r="N1401" s="7" t="e">
        <f>VLOOKUP(F1401,HC!A$6:D$100,3,FALSE)</f>
        <v>#N/A</v>
      </c>
      <c r="O1401" s="7" t="e">
        <f>VLOOKUP(F1401,HC!A$6:D$1000,2,FALSE)</f>
        <v>#N/A</v>
      </c>
      <c r="P1401" t="s">
        <v>665</v>
      </c>
      <c r="Q1401" s="7" t="s">
        <v>722</v>
      </c>
      <c r="U1401">
        <f t="shared" si="23"/>
        <v>1395</v>
      </c>
    </row>
    <row r="1402" spans="1:21" ht="37.5" customHeight="1" x14ac:dyDescent="0.25">
      <c r="A1402" s="27">
        <v>45032</v>
      </c>
      <c r="B1402" s="13">
        <v>16</v>
      </c>
      <c r="C1402" t="s">
        <v>3</v>
      </c>
      <c r="D1402" t="s">
        <v>4</v>
      </c>
      <c r="E1402" t="s">
        <v>21</v>
      </c>
      <c r="F1402" s="6">
        <v>201295530</v>
      </c>
      <c r="G1402" t="s">
        <v>965</v>
      </c>
      <c r="H1402" t="s">
        <v>846</v>
      </c>
      <c r="I1402">
        <v>0</v>
      </c>
      <c r="J1402">
        <v>0</v>
      </c>
      <c r="K1402">
        <v>0</v>
      </c>
      <c r="L1402">
        <v>0</v>
      </c>
      <c r="M1402">
        <v>0.53</v>
      </c>
      <c r="N1402" s="7" t="e">
        <f>VLOOKUP(F1402,HC!A$6:D$100,3,FALSE)</f>
        <v>#N/A</v>
      </c>
      <c r="O1402" s="7" t="e">
        <f>VLOOKUP(F1402,HC!A$6:D$1000,2,FALSE)</f>
        <v>#N/A</v>
      </c>
      <c r="P1402" t="s">
        <v>668</v>
      </c>
      <c r="Q1402" s="7" t="s">
        <v>732</v>
      </c>
      <c r="U1402">
        <f t="shared" si="23"/>
        <v>1395</v>
      </c>
    </row>
    <row r="1403" spans="1:21" ht="37.5" customHeight="1" x14ac:dyDescent="0.25">
      <c r="A1403" s="27">
        <v>45033</v>
      </c>
      <c r="B1403" s="13">
        <v>16</v>
      </c>
      <c r="C1403" t="s">
        <v>3</v>
      </c>
      <c r="D1403" t="s">
        <v>4</v>
      </c>
      <c r="E1403" t="s">
        <v>5</v>
      </c>
      <c r="F1403" s="6">
        <v>112912752</v>
      </c>
      <c r="G1403" t="s">
        <v>251</v>
      </c>
      <c r="H1403" t="s">
        <v>268</v>
      </c>
      <c r="I1403">
        <v>0</v>
      </c>
      <c r="J1403">
        <v>0</v>
      </c>
      <c r="K1403">
        <v>0</v>
      </c>
      <c r="L1403">
        <v>0</v>
      </c>
      <c r="M1403">
        <v>0.31</v>
      </c>
      <c r="N1403" s="7" t="str">
        <f>VLOOKUP(F1403,HC!A$6:D$100,3,FALSE)</f>
        <v>NF-X1900</v>
      </c>
      <c r="O1403" s="7" t="str">
        <f>VLOOKUP(F1403,HC!A$6:D$1000,2,FALSE)</f>
        <v>valderle</v>
      </c>
      <c r="P1403" t="s">
        <v>662</v>
      </c>
      <c r="Q1403" s="7" t="s">
        <v>687</v>
      </c>
      <c r="U1403">
        <f t="shared" si="23"/>
        <v>50</v>
      </c>
    </row>
    <row r="1404" spans="1:21" ht="37.5" customHeight="1" x14ac:dyDescent="0.25">
      <c r="A1404" s="27">
        <v>45033</v>
      </c>
      <c r="B1404" s="13">
        <v>16</v>
      </c>
      <c r="C1404" t="s">
        <v>3</v>
      </c>
      <c r="D1404" t="s">
        <v>4</v>
      </c>
      <c r="E1404" t="s">
        <v>5</v>
      </c>
      <c r="F1404" s="6">
        <v>112972710</v>
      </c>
      <c r="G1404" t="s">
        <v>447</v>
      </c>
      <c r="H1404" t="s">
        <v>332</v>
      </c>
      <c r="I1404">
        <v>0</v>
      </c>
      <c r="J1404">
        <v>0</v>
      </c>
      <c r="K1404">
        <v>0</v>
      </c>
      <c r="L1404">
        <v>0</v>
      </c>
      <c r="M1404">
        <v>0.13</v>
      </c>
      <c r="N1404" s="7" t="str">
        <f>VLOOKUP(F1404,HC!A$6:D$100,3,FALSE)</f>
        <v>DX-X0700</v>
      </c>
      <c r="O1404" s="7" t="str">
        <f>VLOOKUP(F1404,HC!A$6:D$1000,2,FALSE)</f>
        <v>cortesjj</v>
      </c>
      <c r="P1404" t="s">
        <v>669</v>
      </c>
      <c r="Q1404" s="7" t="s">
        <v>739</v>
      </c>
      <c r="U1404">
        <f t="shared" si="23"/>
        <v>4</v>
      </c>
    </row>
    <row r="1405" spans="1:21" ht="37.5" customHeight="1" x14ac:dyDescent="0.25">
      <c r="A1405" s="27">
        <v>45033</v>
      </c>
      <c r="B1405" s="13">
        <v>16</v>
      </c>
      <c r="C1405" t="s">
        <v>3</v>
      </c>
      <c r="D1405" t="s">
        <v>4</v>
      </c>
      <c r="E1405" t="s">
        <v>5</v>
      </c>
      <c r="F1405" s="6">
        <v>112980844</v>
      </c>
      <c r="G1405" t="s">
        <v>13</v>
      </c>
      <c r="H1405" t="s">
        <v>268</v>
      </c>
      <c r="I1405">
        <v>0</v>
      </c>
      <c r="J1405">
        <v>0</v>
      </c>
      <c r="K1405">
        <v>0</v>
      </c>
      <c r="L1405">
        <v>0</v>
      </c>
      <c r="M1405">
        <v>0.2</v>
      </c>
      <c r="N1405" s="7" t="str">
        <f>VLOOKUP(F1405,HC!A$6:D$100,3,FALSE)</f>
        <v>DA-X0700</v>
      </c>
      <c r="O1405" s="7" t="str">
        <f>VLOOKUP(F1405,HC!A$6:D$1000,2,FALSE)</f>
        <v>samajpad</v>
      </c>
      <c r="P1405" t="s">
        <v>664</v>
      </c>
      <c r="Q1405" s="7" t="s">
        <v>771</v>
      </c>
      <c r="U1405">
        <f t="shared" si="23"/>
        <v>20</v>
      </c>
    </row>
    <row r="1406" spans="1:21" ht="37.5" customHeight="1" x14ac:dyDescent="0.25">
      <c r="A1406" s="27">
        <v>45033</v>
      </c>
      <c r="B1406" s="13">
        <v>16</v>
      </c>
      <c r="C1406" t="s">
        <v>3</v>
      </c>
      <c r="D1406" t="s">
        <v>4</v>
      </c>
      <c r="E1406" t="s">
        <v>21</v>
      </c>
      <c r="F1406" s="6">
        <v>113013981</v>
      </c>
      <c r="G1406" t="s">
        <v>966</v>
      </c>
      <c r="H1406" t="s">
        <v>268</v>
      </c>
      <c r="I1406">
        <v>0</v>
      </c>
      <c r="J1406">
        <v>0</v>
      </c>
      <c r="K1406">
        <v>0</v>
      </c>
      <c r="L1406">
        <v>0</v>
      </c>
      <c r="M1406">
        <v>7.0000000000000007E-2</v>
      </c>
      <c r="N1406" s="7" t="e">
        <f>VLOOKUP(F1406,HC!A$6:D$100,3,FALSE)</f>
        <v>#N/A</v>
      </c>
      <c r="O1406" s="7" t="e">
        <f>VLOOKUP(F1406,HC!A$6:D$1000,2,FALSE)</f>
        <v>#N/A</v>
      </c>
      <c r="P1406" t="s">
        <v>661</v>
      </c>
      <c r="Q1406" s="7" t="s">
        <v>681</v>
      </c>
      <c r="U1406">
        <f t="shared" si="23"/>
        <v>1395</v>
      </c>
    </row>
    <row r="1407" spans="1:21" ht="37.5" customHeight="1" x14ac:dyDescent="0.25">
      <c r="A1407" s="27">
        <v>45033</v>
      </c>
      <c r="B1407" s="13">
        <v>16</v>
      </c>
      <c r="C1407" t="s">
        <v>3</v>
      </c>
      <c r="D1407" t="s">
        <v>4</v>
      </c>
      <c r="E1407" t="s">
        <v>5</v>
      </c>
      <c r="F1407" s="6">
        <v>113014403</v>
      </c>
      <c r="G1407" t="s">
        <v>373</v>
      </c>
      <c r="H1407" t="s">
        <v>298</v>
      </c>
      <c r="I1407">
        <v>0</v>
      </c>
      <c r="J1407">
        <v>0</v>
      </c>
      <c r="K1407">
        <v>0</v>
      </c>
      <c r="L1407">
        <v>0</v>
      </c>
      <c r="M1407">
        <v>0.17</v>
      </c>
      <c r="N1407" s="7" t="e">
        <f>VLOOKUP(F1407,HC!A$6:D$100,3,FALSE)</f>
        <v>#N/A</v>
      </c>
      <c r="O1407" s="7" t="str">
        <f>VLOOKUP(F1407,HC!A$6:D$1000,2,FALSE)</f>
        <v>wnoraria</v>
      </c>
      <c r="P1407" t="s">
        <v>670</v>
      </c>
      <c r="Q1407" s="7" t="s">
        <v>748</v>
      </c>
      <c r="U1407">
        <f t="shared" si="23"/>
        <v>23</v>
      </c>
    </row>
    <row r="1408" spans="1:21" ht="37.5" customHeight="1" x14ac:dyDescent="0.25">
      <c r="A1408" s="27">
        <v>45033</v>
      </c>
      <c r="B1408" s="13">
        <v>16</v>
      </c>
      <c r="C1408" t="s">
        <v>3</v>
      </c>
      <c r="D1408" t="s">
        <v>4</v>
      </c>
      <c r="E1408" t="s">
        <v>5</v>
      </c>
      <c r="F1408" s="6">
        <v>113014592</v>
      </c>
      <c r="G1408" t="s">
        <v>967</v>
      </c>
      <c r="H1408" t="s">
        <v>298</v>
      </c>
      <c r="I1408">
        <v>0</v>
      </c>
      <c r="J1408">
        <v>0</v>
      </c>
      <c r="K1408">
        <v>0</v>
      </c>
      <c r="L1408">
        <v>0</v>
      </c>
      <c r="M1408">
        <v>0.18</v>
      </c>
      <c r="N1408" s="7" t="e">
        <f>VLOOKUP(F1408,HC!A$6:D$100,3,FALSE)</f>
        <v>#N/A</v>
      </c>
      <c r="O1408" s="7" t="str">
        <f>VLOOKUP(F1408,HC!A$6:D$1000,2,FALSE)</f>
        <v>brepicaz</v>
      </c>
      <c r="P1408" t="s">
        <v>661</v>
      </c>
      <c r="Q1408" s="7" t="s">
        <v>681</v>
      </c>
      <c r="U1408">
        <f t="shared" si="23"/>
        <v>6</v>
      </c>
    </row>
    <row r="1409" spans="1:21" ht="37.5" customHeight="1" x14ac:dyDescent="0.25">
      <c r="A1409" s="27">
        <v>45033</v>
      </c>
      <c r="B1409" s="13">
        <v>16</v>
      </c>
      <c r="C1409" t="s">
        <v>3</v>
      </c>
      <c r="D1409" t="s">
        <v>4</v>
      </c>
      <c r="E1409" t="s">
        <v>5</v>
      </c>
      <c r="F1409" s="6">
        <v>113040582</v>
      </c>
      <c r="G1409" t="s">
        <v>625</v>
      </c>
      <c r="H1409" t="s">
        <v>44</v>
      </c>
      <c r="I1409">
        <v>0</v>
      </c>
      <c r="J1409">
        <v>0</v>
      </c>
      <c r="K1409">
        <v>0</v>
      </c>
      <c r="L1409">
        <v>0</v>
      </c>
      <c r="M1409">
        <v>0.63</v>
      </c>
      <c r="N1409" s="7" t="e">
        <f>VLOOKUP(F1409,HC!A$6:D$100,3,FALSE)</f>
        <v>#N/A</v>
      </c>
      <c r="O1409" s="7" t="str">
        <f>VLOOKUP(F1409,HC!A$6:D$1000,2,FALSE)</f>
        <v>hgerardr</v>
      </c>
      <c r="P1409" t="s">
        <v>663</v>
      </c>
      <c r="Q1409" s="7" t="s">
        <v>692</v>
      </c>
      <c r="U1409">
        <f t="shared" si="23"/>
        <v>15</v>
      </c>
    </row>
    <row r="1410" spans="1:21" ht="37.5" customHeight="1" x14ac:dyDescent="0.25">
      <c r="A1410" s="27">
        <v>45033</v>
      </c>
      <c r="B1410" s="13">
        <v>16</v>
      </c>
      <c r="C1410" t="s">
        <v>3</v>
      </c>
      <c r="D1410" t="s">
        <v>4</v>
      </c>
      <c r="E1410" t="s">
        <v>5</v>
      </c>
      <c r="F1410" s="6">
        <v>113101453</v>
      </c>
      <c r="G1410" t="s">
        <v>50</v>
      </c>
      <c r="H1410" t="s">
        <v>44</v>
      </c>
      <c r="I1410">
        <v>0</v>
      </c>
      <c r="J1410">
        <v>0</v>
      </c>
      <c r="K1410">
        <v>0</v>
      </c>
      <c r="L1410">
        <v>0</v>
      </c>
      <c r="M1410">
        <v>0.05</v>
      </c>
      <c r="N1410" s="7" t="e">
        <f>VLOOKUP(F1410,HC!A$6:D$100,3,FALSE)</f>
        <v>#N/A</v>
      </c>
      <c r="O1410" s="7" t="str">
        <f>VLOOKUP(F1410,HC!A$6:D$1000,2,FALSE)</f>
        <v>qisgeova</v>
      </c>
      <c r="P1410" t="s">
        <v>661</v>
      </c>
      <c r="Q1410" s="7" t="s">
        <v>701</v>
      </c>
      <c r="R1410" t="s">
        <v>969</v>
      </c>
      <c r="U1410">
        <f t="shared" si="23"/>
        <v>57</v>
      </c>
    </row>
    <row r="1411" spans="1:21" ht="37.5" customHeight="1" x14ac:dyDescent="0.25">
      <c r="A1411" s="27">
        <v>45033</v>
      </c>
      <c r="B1411" s="13">
        <v>16</v>
      </c>
      <c r="C1411" t="s">
        <v>3</v>
      </c>
      <c r="D1411" t="s">
        <v>4</v>
      </c>
      <c r="E1411" t="s">
        <v>5</v>
      </c>
      <c r="F1411" s="6">
        <v>200404250</v>
      </c>
      <c r="G1411" t="s">
        <v>51</v>
      </c>
      <c r="H1411" t="s">
        <v>298</v>
      </c>
      <c r="I1411">
        <v>0</v>
      </c>
      <c r="J1411">
        <v>0</v>
      </c>
      <c r="K1411">
        <v>0</v>
      </c>
      <c r="L1411">
        <v>0</v>
      </c>
      <c r="M1411">
        <v>0.51</v>
      </c>
      <c r="N1411" s="7" t="e">
        <f>VLOOKUP(F1411,HC!A$6:D$100,3,FALSE)</f>
        <v>#N/A</v>
      </c>
      <c r="O1411" s="7" t="str">
        <f>VLOOKUP(F1411,HC!A$6:D$1000,2,FALSE)</f>
        <v>xcathurt</v>
      </c>
      <c r="P1411" t="s">
        <v>662</v>
      </c>
      <c r="Q1411" s="7" t="s">
        <v>785</v>
      </c>
      <c r="U1411">
        <f t="shared" ref="U1411:U1474" si="24">COUNTIF(O$2:O$4999,O1411)</f>
        <v>124</v>
      </c>
    </row>
    <row r="1412" spans="1:21" ht="37.5" customHeight="1" x14ac:dyDescent="0.25">
      <c r="A1412" s="27">
        <v>45033</v>
      </c>
      <c r="B1412" s="13">
        <v>16</v>
      </c>
      <c r="C1412" t="s">
        <v>3</v>
      </c>
      <c r="D1412" t="s">
        <v>4</v>
      </c>
      <c r="E1412" t="s">
        <v>21</v>
      </c>
      <c r="F1412" s="6">
        <v>201198979</v>
      </c>
      <c r="G1412" t="s">
        <v>905</v>
      </c>
      <c r="H1412" t="s">
        <v>285</v>
      </c>
      <c r="I1412">
        <v>0</v>
      </c>
      <c r="J1412">
        <v>0</v>
      </c>
      <c r="K1412">
        <v>0</v>
      </c>
      <c r="L1412">
        <v>0</v>
      </c>
      <c r="M1412">
        <v>0.41</v>
      </c>
      <c r="N1412" s="7" t="e">
        <f>VLOOKUP(F1412,HC!A$6:D$100,3,FALSE)</f>
        <v>#N/A</v>
      </c>
      <c r="O1412" s="7" t="e">
        <f>VLOOKUP(F1412,HC!A$6:D$1000,2,FALSE)</f>
        <v>#N/A</v>
      </c>
      <c r="P1412" t="s">
        <v>661</v>
      </c>
      <c r="Q1412" s="7" t="s">
        <v>684</v>
      </c>
      <c r="U1412">
        <f t="shared" si="24"/>
        <v>1395</v>
      </c>
    </row>
    <row r="1413" spans="1:21" ht="37.5" customHeight="1" x14ac:dyDescent="0.25">
      <c r="A1413" s="27">
        <v>45033</v>
      </c>
      <c r="B1413" s="13">
        <v>16</v>
      </c>
      <c r="C1413" t="s">
        <v>3</v>
      </c>
      <c r="D1413" t="s">
        <v>4</v>
      </c>
      <c r="E1413" t="s">
        <v>21</v>
      </c>
      <c r="F1413" s="6">
        <v>201201993</v>
      </c>
      <c r="G1413" t="s">
        <v>964</v>
      </c>
      <c r="H1413" t="s">
        <v>285</v>
      </c>
      <c r="I1413">
        <v>0</v>
      </c>
      <c r="J1413">
        <v>0</v>
      </c>
      <c r="K1413">
        <v>0</v>
      </c>
      <c r="L1413">
        <v>0</v>
      </c>
      <c r="M1413">
        <v>2.42</v>
      </c>
      <c r="N1413" s="7" t="e">
        <f>VLOOKUP(F1413,HC!A$6:D$100,3,FALSE)</f>
        <v>#N/A</v>
      </c>
      <c r="O1413" s="7" t="e">
        <f>VLOOKUP(F1413,HC!A$6:D$1000,2,FALSE)</f>
        <v>#N/A</v>
      </c>
      <c r="P1413" t="s">
        <v>661</v>
      </c>
      <c r="Q1413" s="7" t="s">
        <v>684</v>
      </c>
      <c r="U1413">
        <f t="shared" si="24"/>
        <v>1395</v>
      </c>
    </row>
    <row r="1414" spans="1:21" ht="37.5" customHeight="1" x14ac:dyDescent="0.25">
      <c r="A1414" s="27">
        <v>45033</v>
      </c>
      <c r="B1414" s="13">
        <v>16</v>
      </c>
      <c r="C1414" t="s">
        <v>3</v>
      </c>
      <c r="D1414" t="s">
        <v>4</v>
      </c>
      <c r="E1414" t="s">
        <v>21</v>
      </c>
      <c r="F1414" s="6">
        <v>201295555</v>
      </c>
      <c r="G1414" t="s">
        <v>968</v>
      </c>
      <c r="H1414" t="s">
        <v>846</v>
      </c>
      <c r="I1414">
        <v>0</v>
      </c>
      <c r="J1414">
        <v>0</v>
      </c>
      <c r="K1414">
        <v>0</v>
      </c>
      <c r="L1414">
        <v>0</v>
      </c>
      <c r="M1414">
        <v>0.23</v>
      </c>
      <c r="N1414" s="7" t="e">
        <f>VLOOKUP(F1414,HC!A$6:D$100,3,FALSE)</f>
        <v>#N/A</v>
      </c>
      <c r="O1414" s="7" t="e">
        <f>VLOOKUP(F1414,HC!A$6:D$1000,2,FALSE)</f>
        <v>#N/A</v>
      </c>
      <c r="P1414" t="s">
        <v>664</v>
      </c>
      <c r="Q1414" s="7" t="s">
        <v>710</v>
      </c>
      <c r="U1414">
        <f t="shared" si="24"/>
        <v>1395</v>
      </c>
    </row>
    <row r="1415" spans="1:21" ht="37.5" customHeight="1" x14ac:dyDescent="0.25">
      <c r="A1415" s="27">
        <v>45034</v>
      </c>
      <c r="B1415" s="13">
        <v>16</v>
      </c>
      <c r="C1415" t="s">
        <v>3</v>
      </c>
      <c r="D1415" t="s">
        <v>4</v>
      </c>
      <c r="E1415" t="s">
        <v>5</v>
      </c>
      <c r="F1415" s="6">
        <v>111434478</v>
      </c>
      <c r="G1415" t="s">
        <v>331</v>
      </c>
      <c r="H1415" t="s">
        <v>253</v>
      </c>
      <c r="I1415">
        <v>0</v>
      </c>
      <c r="J1415">
        <v>0</v>
      </c>
      <c r="K1415">
        <v>0</v>
      </c>
      <c r="L1415">
        <v>0</v>
      </c>
      <c r="M1415">
        <v>0.41</v>
      </c>
      <c r="N1415" s="7" t="str">
        <f>VLOOKUP(F1415,HC!A$6:D$100,3,FALSE)</f>
        <v>DA-X0700</v>
      </c>
      <c r="O1415" s="7" t="str">
        <f>VLOOKUP(F1415,HC!A$6:D$1000,2,FALSE)</f>
        <v>juanapam</v>
      </c>
      <c r="P1415" t="s">
        <v>675</v>
      </c>
      <c r="Q1415" s="7"/>
      <c r="U1415">
        <f t="shared" si="24"/>
        <v>32</v>
      </c>
    </row>
    <row r="1416" spans="1:21" ht="37.5" customHeight="1" x14ac:dyDescent="0.25">
      <c r="A1416" s="27">
        <v>45034</v>
      </c>
      <c r="B1416" s="13">
        <v>16</v>
      </c>
      <c r="C1416" t="s">
        <v>3</v>
      </c>
      <c r="D1416" t="s">
        <v>4</v>
      </c>
      <c r="E1416" t="s">
        <v>5</v>
      </c>
      <c r="F1416" s="6">
        <v>112912049</v>
      </c>
      <c r="G1416" t="s">
        <v>488</v>
      </c>
      <c r="H1416" t="s">
        <v>282</v>
      </c>
      <c r="I1416">
        <v>0</v>
      </c>
      <c r="J1416">
        <v>0</v>
      </c>
      <c r="K1416">
        <v>0</v>
      </c>
      <c r="L1416">
        <v>0</v>
      </c>
      <c r="M1416">
        <v>0.76</v>
      </c>
      <c r="N1416" s="7" t="str">
        <f>VLOOKUP(F1416,HC!A$6:D$100,3,FALSE)</f>
        <v>NF-X1900</v>
      </c>
      <c r="O1416" s="7" t="str">
        <f>VLOOKUP(F1416,HC!A$6:D$1000,2,FALSE)</f>
        <v>zchvazqu</v>
      </c>
      <c r="P1416" t="s">
        <v>661</v>
      </c>
      <c r="Q1416" s="7" t="s">
        <v>681</v>
      </c>
      <c r="U1416">
        <f t="shared" si="24"/>
        <v>11</v>
      </c>
    </row>
    <row r="1417" spans="1:21" ht="37.5" customHeight="1" x14ac:dyDescent="0.25">
      <c r="A1417" s="27">
        <v>45034</v>
      </c>
      <c r="B1417" s="13">
        <v>16</v>
      </c>
      <c r="C1417" t="s">
        <v>3</v>
      </c>
      <c r="D1417" t="s">
        <v>4</v>
      </c>
      <c r="E1417" t="s">
        <v>5</v>
      </c>
      <c r="F1417" s="6">
        <v>112912201</v>
      </c>
      <c r="G1417" t="s">
        <v>456</v>
      </c>
      <c r="H1417" t="s">
        <v>44</v>
      </c>
      <c r="I1417">
        <v>0</v>
      </c>
      <c r="J1417">
        <v>0</v>
      </c>
      <c r="K1417">
        <v>0</v>
      </c>
      <c r="L1417">
        <v>0</v>
      </c>
      <c r="M1417">
        <v>1.4</v>
      </c>
      <c r="N1417" s="7" t="e">
        <f>VLOOKUP(F1417,HC!A$6:D$100,3,FALSE)</f>
        <v>#N/A</v>
      </c>
      <c r="O1417" s="7" t="e">
        <f>VLOOKUP(F1417,HC!A$6:D$1000,2,FALSE)</f>
        <v>#N/A</v>
      </c>
      <c r="P1417" t="s">
        <v>661</v>
      </c>
      <c r="Q1417" s="7" t="s">
        <v>700</v>
      </c>
      <c r="U1417">
        <f t="shared" si="24"/>
        <v>1395</v>
      </c>
    </row>
    <row r="1418" spans="1:21" ht="37.5" customHeight="1" x14ac:dyDescent="0.25">
      <c r="A1418" s="27">
        <v>45034</v>
      </c>
      <c r="B1418" s="13">
        <v>16</v>
      </c>
      <c r="C1418" t="s">
        <v>3</v>
      </c>
      <c r="D1418" t="s">
        <v>4</v>
      </c>
      <c r="E1418" t="s">
        <v>5</v>
      </c>
      <c r="F1418" s="6">
        <v>112912661</v>
      </c>
      <c r="G1418" t="s">
        <v>782</v>
      </c>
      <c r="H1418" t="s">
        <v>250</v>
      </c>
      <c r="I1418">
        <v>0</v>
      </c>
      <c r="J1418">
        <v>0</v>
      </c>
      <c r="K1418">
        <v>0</v>
      </c>
      <c r="L1418">
        <v>0</v>
      </c>
      <c r="M1418">
        <v>0.26</v>
      </c>
      <c r="N1418" s="7" t="str">
        <f>VLOOKUP(F1418,HC!A$6:D$100,3,FALSE)</f>
        <v>DA-X0700</v>
      </c>
      <c r="O1418" s="7" t="str">
        <f>VLOOKUP(F1418,HC!A$6:D$1000,2,FALSE)</f>
        <v>franmorb</v>
      </c>
      <c r="P1418" t="s">
        <v>670</v>
      </c>
      <c r="Q1418" s="7" t="s">
        <v>746</v>
      </c>
      <c r="U1418">
        <f t="shared" si="24"/>
        <v>8</v>
      </c>
    </row>
    <row r="1419" spans="1:21" ht="37.5" customHeight="1" x14ac:dyDescent="0.25">
      <c r="A1419" s="27">
        <v>45034</v>
      </c>
      <c r="B1419" s="13">
        <v>16</v>
      </c>
      <c r="C1419" t="s">
        <v>3</v>
      </c>
      <c r="D1419" t="s">
        <v>4</v>
      </c>
      <c r="E1419" t="s">
        <v>5</v>
      </c>
      <c r="F1419" s="6">
        <v>112912745</v>
      </c>
      <c r="G1419" t="s">
        <v>478</v>
      </c>
      <c r="H1419" t="s">
        <v>268</v>
      </c>
      <c r="I1419">
        <v>0</v>
      </c>
      <c r="J1419">
        <v>0</v>
      </c>
      <c r="K1419">
        <v>0</v>
      </c>
      <c r="L1419">
        <v>0</v>
      </c>
      <c r="M1419">
        <v>0.32</v>
      </c>
      <c r="N1419" s="7" t="str">
        <f>VLOOKUP(F1419,HC!A$6:D$100,3,FALSE)</f>
        <v>DA-X0700</v>
      </c>
      <c r="O1419" s="7" t="str">
        <f>VLOOKUP(F1419,HC!A$6:D$1000,2,FALSE)</f>
        <v>nalexgom</v>
      </c>
      <c r="P1419" t="s">
        <v>664</v>
      </c>
      <c r="Q1419" s="7" t="s">
        <v>711</v>
      </c>
      <c r="U1419">
        <f t="shared" si="24"/>
        <v>22</v>
      </c>
    </row>
    <row r="1420" spans="1:21" ht="37.5" customHeight="1" x14ac:dyDescent="0.25">
      <c r="A1420" s="27">
        <v>45034</v>
      </c>
      <c r="B1420" s="13">
        <v>16</v>
      </c>
      <c r="C1420" t="s">
        <v>3</v>
      </c>
      <c r="D1420" t="s">
        <v>4</v>
      </c>
      <c r="E1420" t="s">
        <v>5</v>
      </c>
      <c r="F1420" s="6">
        <v>112981061</v>
      </c>
      <c r="G1420" t="s">
        <v>264</v>
      </c>
      <c r="H1420" t="s">
        <v>44</v>
      </c>
      <c r="I1420">
        <v>0</v>
      </c>
      <c r="J1420">
        <v>0</v>
      </c>
      <c r="K1420">
        <v>0</v>
      </c>
      <c r="L1420">
        <v>0</v>
      </c>
      <c r="M1420">
        <v>1.48</v>
      </c>
      <c r="N1420" s="7" t="str">
        <f>VLOOKUP(F1420,HC!A$6:D$100,3,FALSE)</f>
        <v>DA-X0700</v>
      </c>
      <c r="O1420" s="7" t="str">
        <f>VLOOKUP(F1420,HC!A$6:D$1000,2,FALSE)</f>
        <v>mclaudol</v>
      </c>
      <c r="P1420" t="s">
        <v>661</v>
      </c>
      <c r="Q1420" s="7" t="s">
        <v>684</v>
      </c>
      <c r="U1420">
        <f t="shared" si="24"/>
        <v>44</v>
      </c>
    </row>
    <row r="1421" spans="1:21" ht="37.5" customHeight="1" x14ac:dyDescent="0.25">
      <c r="A1421" s="27">
        <v>45034</v>
      </c>
      <c r="B1421" s="13">
        <v>16</v>
      </c>
      <c r="C1421" t="s">
        <v>3</v>
      </c>
      <c r="D1421" t="s">
        <v>4</v>
      </c>
      <c r="E1421" t="s">
        <v>5</v>
      </c>
      <c r="F1421" s="6">
        <v>112981212</v>
      </c>
      <c r="G1421" t="s">
        <v>573</v>
      </c>
      <c r="H1421" t="s">
        <v>44</v>
      </c>
      <c r="I1421">
        <v>0</v>
      </c>
      <c r="J1421">
        <v>0</v>
      </c>
      <c r="K1421">
        <v>0</v>
      </c>
      <c r="L1421">
        <v>0</v>
      </c>
      <c r="M1421">
        <v>1.45</v>
      </c>
      <c r="N1421" s="7" t="e">
        <f>VLOOKUP(F1421,HC!A$6:D$100,3,FALSE)</f>
        <v>#N/A</v>
      </c>
      <c r="O1421" s="7" t="str">
        <f>VLOOKUP(F1421,HC!A$6:D$1000,2,FALSE)</f>
        <v>alysonza</v>
      </c>
      <c r="P1421" t="s">
        <v>661</v>
      </c>
      <c r="Q1421" s="7" t="s">
        <v>733</v>
      </c>
      <c r="U1421">
        <f t="shared" si="24"/>
        <v>23</v>
      </c>
    </row>
    <row r="1422" spans="1:21" ht="37.5" customHeight="1" x14ac:dyDescent="0.25">
      <c r="A1422" s="27">
        <v>45034</v>
      </c>
      <c r="B1422" s="13">
        <v>16</v>
      </c>
      <c r="C1422" t="s">
        <v>3</v>
      </c>
      <c r="D1422" t="s">
        <v>4</v>
      </c>
      <c r="E1422" t="s">
        <v>5</v>
      </c>
      <c r="F1422" s="6">
        <v>113014081</v>
      </c>
      <c r="G1422" t="s">
        <v>267</v>
      </c>
      <c r="H1422" t="s">
        <v>298</v>
      </c>
      <c r="I1422">
        <v>0</v>
      </c>
      <c r="J1422">
        <v>0</v>
      </c>
      <c r="K1422">
        <v>0</v>
      </c>
      <c r="L1422">
        <v>0</v>
      </c>
      <c r="M1422">
        <v>0.48</v>
      </c>
      <c r="N1422" s="7" t="e">
        <f>VLOOKUP(F1422,HC!A$6:D$100,3,FALSE)</f>
        <v>#N/A</v>
      </c>
      <c r="O1422" s="7" t="str">
        <f>VLOOKUP(F1422,HC!A$6:D$1000,2,FALSE)</f>
        <v>fraugene</v>
      </c>
      <c r="P1422" t="s">
        <v>663</v>
      </c>
      <c r="Q1422" s="7" t="s">
        <v>692</v>
      </c>
      <c r="U1422">
        <f t="shared" si="24"/>
        <v>32</v>
      </c>
    </row>
    <row r="1423" spans="1:21" ht="37.5" customHeight="1" x14ac:dyDescent="0.25">
      <c r="A1423" s="27">
        <v>45034</v>
      </c>
      <c r="B1423" s="13">
        <v>16</v>
      </c>
      <c r="C1423" t="s">
        <v>3</v>
      </c>
      <c r="D1423" t="s">
        <v>4</v>
      </c>
      <c r="E1423" t="s">
        <v>5</v>
      </c>
      <c r="F1423" s="6">
        <v>113101453</v>
      </c>
      <c r="G1423" t="s">
        <v>50</v>
      </c>
      <c r="H1423" t="s">
        <v>44</v>
      </c>
      <c r="I1423">
        <v>0</v>
      </c>
      <c r="J1423">
        <v>0</v>
      </c>
      <c r="K1423">
        <v>0</v>
      </c>
      <c r="L1423">
        <v>0</v>
      </c>
      <c r="M1423">
        <v>0.01</v>
      </c>
      <c r="N1423" s="7" t="e">
        <f>VLOOKUP(F1423,HC!A$6:D$100,3,FALSE)</f>
        <v>#N/A</v>
      </c>
      <c r="O1423" s="7" t="str">
        <f>VLOOKUP(F1423,HC!A$6:D$1000,2,FALSE)</f>
        <v>qisgeova</v>
      </c>
      <c r="P1423" t="s">
        <v>661</v>
      </c>
      <c r="Q1423" s="7" t="s">
        <v>681</v>
      </c>
      <c r="U1423">
        <f t="shared" si="24"/>
        <v>57</v>
      </c>
    </row>
    <row r="1424" spans="1:21" ht="37.5" customHeight="1" x14ac:dyDescent="0.25">
      <c r="A1424" s="27">
        <v>45034</v>
      </c>
      <c r="B1424" s="13">
        <v>16</v>
      </c>
      <c r="C1424" t="s">
        <v>3</v>
      </c>
      <c r="D1424" t="s">
        <v>4</v>
      </c>
      <c r="E1424" t="s">
        <v>5</v>
      </c>
      <c r="F1424" s="6">
        <v>200404250</v>
      </c>
      <c r="G1424" t="s">
        <v>51</v>
      </c>
      <c r="H1424" t="s">
        <v>298</v>
      </c>
      <c r="I1424">
        <v>0</v>
      </c>
      <c r="J1424">
        <v>0</v>
      </c>
      <c r="K1424">
        <v>0</v>
      </c>
      <c r="L1424">
        <v>0</v>
      </c>
      <c r="M1424">
        <v>0.77</v>
      </c>
      <c r="N1424" s="7" t="e">
        <f>VLOOKUP(F1424,HC!A$6:D$100,3,FALSE)</f>
        <v>#N/A</v>
      </c>
      <c r="O1424" s="7" t="str">
        <f>VLOOKUP(F1424,HC!A$6:D$1000,2,FALSE)</f>
        <v>xcathurt</v>
      </c>
      <c r="P1424" t="s">
        <v>662</v>
      </c>
      <c r="Q1424" s="7" t="s">
        <v>785</v>
      </c>
      <c r="U1424">
        <f t="shared" si="24"/>
        <v>124</v>
      </c>
    </row>
    <row r="1425" spans="1:21" ht="37.5" customHeight="1" x14ac:dyDescent="0.25">
      <c r="A1425" s="27">
        <v>45034</v>
      </c>
      <c r="B1425" s="13">
        <v>16</v>
      </c>
      <c r="C1425" t="s">
        <v>3</v>
      </c>
      <c r="D1425" t="s">
        <v>4</v>
      </c>
      <c r="E1425" t="s">
        <v>21</v>
      </c>
      <c r="F1425" s="6">
        <v>200535448</v>
      </c>
      <c r="G1425" t="s">
        <v>902</v>
      </c>
      <c r="H1425" t="s">
        <v>285</v>
      </c>
      <c r="I1425">
        <v>0</v>
      </c>
      <c r="J1425">
        <v>0</v>
      </c>
      <c r="K1425">
        <v>0</v>
      </c>
      <c r="L1425">
        <v>0</v>
      </c>
      <c r="M1425">
        <v>0.28999999999999998</v>
      </c>
      <c r="N1425" s="7" t="e">
        <f>VLOOKUP(F1425,HC!A$6:D$100,3,FALSE)</f>
        <v>#N/A</v>
      </c>
      <c r="O1425" s="7" t="e">
        <f>VLOOKUP(F1425,HC!A$6:D$1000,2,FALSE)</f>
        <v>#N/A</v>
      </c>
      <c r="P1425" t="s">
        <v>662</v>
      </c>
      <c r="Q1425" s="7" t="s">
        <v>688</v>
      </c>
      <c r="U1425">
        <f t="shared" si="24"/>
        <v>1395</v>
      </c>
    </row>
    <row r="1426" spans="1:21" ht="37.5" customHeight="1" x14ac:dyDescent="0.25">
      <c r="A1426" s="27">
        <v>45034</v>
      </c>
      <c r="B1426" s="13">
        <v>16</v>
      </c>
      <c r="C1426" t="s">
        <v>3</v>
      </c>
      <c r="D1426" t="s">
        <v>4</v>
      </c>
      <c r="E1426" t="s">
        <v>21</v>
      </c>
      <c r="F1426" s="6">
        <v>200620341</v>
      </c>
      <c r="G1426" t="s">
        <v>255</v>
      </c>
      <c r="H1426" t="s">
        <v>285</v>
      </c>
      <c r="I1426">
        <v>0</v>
      </c>
      <c r="J1426">
        <v>0</v>
      </c>
      <c r="K1426">
        <v>0</v>
      </c>
      <c r="L1426">
        <v>0</v>
      </c>
      <c r="M1426">
        <v>0.65</v>
      </c>
      <c r="N1426" s="7" t="e">
        <f>VLOOKUP(F1426,HC!A$6:D$100,3,FALSE)</f>
        <v>#N/A</v>
      </c>
      <c r="O1426" s="7" t="e">
        <f>VLOOKUP(F1426,HC!A$6:D$1000,2,FALSE)</f>
        <v>#N/A</v>
      </c>
      <c r="P1426" t="s">
        <v>670</v>
      </c>
      <c r="Q1426" s="7" t="s">
        <v>784</v>
      </c>
      <c r="U1426">
        <f t="shared" si="24"/>
        <v>1395</v>
      </c>
    </row>
    <row r="1427" spans="1:21" ht="37.5" customHeight="1" x14ac:dyDescent="0.25">
      <c r="A1427" s="27">
        <v>45034</v>
      </c>
      <c r="B1427" s="13">
        <v>16</v>
      </c>
      <c r="C1427" t="s">
        <v>3</v>
      </c>
      <c r="D1427" t="s">
        <v>4</v>
      </c>
      <c r="E1427" t="s">
        <v>21</v>
      </c>
      <c r="F1427" s="6">
        <v>200625528</v>
      </c>
      <c r="G1427" t="s">
        <v>607</v>
      </c>
      <c r="H1427" t="s">
        <v>285</v>
      </c>
      <c r="I1427">
        <v>0</v>
      </c>
      <c r="J1427">
        <v>0</v>
      </c>
      <c r="K1427">
        <v>0</v>
      </c>
      <c r="L1427">
        <v>0</v>
      </c>
      <c r="M1427">
        <v>0.12</v>
      </c>
      <c r="N1427" s="7" t="e">
        <f>VLOOKUP(F1427,HC!A$6:D$100,3,FALSE)</f>
        <v>#N/A</v>
      </c>
      <c r="O1427" s="7" t="str">
        <f>VLOOKUP(F1427,HC!A$6:D$1000,2,FALSE)</f>
        <v>olivlizb</v>
      </c>
      <c r="P1427" t="s">
        <v>662</v>
      </c>
      <c r="Q1427" s="7" t="s">
        <v>757</v>
      </c>
      <c r="U1427">
        <f t="shared" si="24"/>
        <v>50</v>
      </c>
    </row>
    <row r="1428" spans="1:21" ht="37.5" customHeight="1" x14ac:dyDescent="0.25">
      <c r="A1428" s="27">
        <v>45034</v>
      </c>
      <c r="B1428" s="13">
        <v>16</v>
      </c>
      <c r="C1428" t="s">
        <v>3</v>
      </c>
      <c r="D1428" t="s">
        <v>4</v>
      </c>
      <c r="E1428" t="s">
        <v>21</v>
      </c>
      <c r="F1428" s="6">
        <v>201172306</v>
      </c>
      <c r="G1428" t="s">
        <v>970</v>
      </c>
      <c r="H1428" t="s">
        <v>268</v>
      </c>
      <c r="I1428">
        <v>0</v>
      </c>
      <c r="J1428">
        <v>0</v>
      </c>
      <c r="K1428">
        <v>0</v>
      </c>
      <c r="L1428">
        <v>0</v>
      </c>
      <c r="M1428">
        <v>0.01</v>
      </c>
      <c r="N1428" s="7" t="e">
        <f>VLOOKUP(F1428,HC!A$6:D$100,3,FALSE)</f>
        <v>#N/A</v>
      </c>
      <c r="O1428" s="7" t="str">
        <f>VLOOKUP(F1428,HC!A$6:D$1000,2,FALSE)</f>
        <v>cesarvae</v>
      </c>
      <c r="P1428" t="s">
        <v>661</v>
      </c>
      <c r="Q1428" s="7" t="s">
        <v>681</v>
      </c>
      <c r="U1428">
        <f t="shared" si="24"/>
        <v>17</v>
      </c>
    </row>
    <row r="1429" spans="1:21" ht="37.5" customHeight="1" x14ac:dyDescent="0.25">
      <c r="A1429" s="27">
        <v>45034</v>
      </c>
      <c r="B1429" s="13">
        <v>16</v>
      </c>
      <c r="C1429" t="s">
        <v>3</v>
      </c>
      <c r="D1429" t="s">
        <v>4</v>
      </c>
      <c r="E1429" t="s">
        <v>21</v>
      </c>
      <c r="F1429" s="6">
        <v>201194285</v>
      </c>
      <c r="G1429" t="s">
        <v>859</v>
      </c>
      <c r="H1429" t="s">
        <v>17</v>
      </c>
      <c r="I1429">
        <v>0</v>
      </c>
      <c r="J1429">
        <v>0</v>
      </c>
      <c r="K1429">
        <v>0</v>
      </c>
      <c r="L1429">
        <v>0</v>
      </c>
      <c r="M1429">
        <v>0.77</v>
      </c>
      <c r="N1429" s="7" t="e">
        <f>VLOOKUP(F1429,HC!A$6:D$100,3,FALSE)</f>
        <v>#N/A</v>
      </c>
      <c r="O1429" s="7" t="e">
        <f>VLOOKUP(F1429,HC!A$6:D$1000,2,FALSE)</f>
        <v>#N/A</v>
      </c>
      <c r="P1429" t="s">
        <v>664</v>
      </c>
      <c r="Q1429" s="7" t="s">
        <v>709</v>
      </c>
      <c r="R1429" t="s">
        <v>620</v>
      </c>
      <c r="U1429">
        <f t="shared" si="24"/>
        <v>1395</v>
      </c>
    </row>
    <row r="1430" spans="1:21" ht="37.5" customHeight="1" x14ac:dyDescent="0.25">
      <c r="A1430" s="27">
        <v>45034</v>
      </c>
      <c r="B1430" s="13">
        <v>16</v>
      </c>
      <c r="C1430" t="s">
        <v>3</v>
      </c>
      <c r="D1430" t="s">
        <v>4</v>
      </c>
      <c r="E1430" t="s">
        <v>21</v>
      </c>
      <c r="F1430" s="6">
        <v>201198979</v>
      </c>
      <c r="G1430" t="s">
        <v>905</v>
      </c>
      <c r="H1430" t="s">
        <v>285</v>
      </c>
      <c r="I1430">
        <v>0</v>
      </c>
      <c r="J1430">
        <v>0</v>
      </c>
      <c r="K1430">
        <v>0</v>
      </c>
      <c r="L1430">
        <v>0</v>
      </c>
      <c r="M1430">
        <v>0.28000000000000003</v>
      </c>
      <c r="N1430" s="7" t="e">
        <f>VLOOKUP(F1430,HC!A$6:D$100,3,FALSE)</f>
        <v>#N/A</v>
      </c>
      <c r="O1430" s="7" t="e">
        <f>VLOOKUP(F1430,HC!A$6:D$1000,2,FALSE)</f>
        <v>#N/A</v>
      </c>
      <c r="P1430" t="s">
        <v>664</v>
      </c>
      <c r="Q1430" s="7" t="s">
        <v>708</v>
      </c>
      <c r="U1430">
        <f t="shared" si="24"/>
        <v>1395</v>
      </c>
    </row>
    <row r="1431" spans="1:21" ht="37.5" customHeight="1" x14ac:dyDescent="0.25">
      <c r="A1431" s="27">
        <v>45034</v>
      </c>
      <c r="B1431" s="13">
        <v>16</v>
      </c>
      <c r="C1431" t="s">
        <v>3</v>
      </c>
      <c r="D1431" t="s">
        <v>4</v>
      </c>
      <c r="E1431" t="s">
        <v>21</v>
      </c>
      <c r="F1431" s="6">
        <v>201295555</v>
      </c>
      <c r="G1431" t="s">
        <v>968</v>
      </c>
      <c r="H1431" t="s">
        <v>846</v>
      </c>
      <c r="I1431">
        <v>0</v>
      </c>
      <c r="J1431">
        <v>0</v>
      </c>
      <c r="K1431">
        <v>0</v>
      </c>
      <c r="L1431">
        <v>0</v>
      </c>
      <c r="M1431">
        <v>1.74</v>
      </c>
      <c r="N1431" s="7" t="e">
        <f>VLOOKUP(F1431,HC!A$6:D$100,3,FALSE)</f>
        <v>#N/A</v>
      </c>
      <c r="O1431" s="7" t="e">
        <f>VLOOKUP(F1431,HC!A$6:D$1000,2,FALSE)</f>
        <v>#N/A</v>
      </c>
      <c r="P1431" t="s">
        <v>675</v>
      </c>
      <c r="Q1431" s="7"/>
      <c r="U1431">
        <f t="shared" si="24"/>
        <v>1395</v>
      </c>
    </row>
    <row r="1432" spans="1:21" ht="37.5" customHeight="1" x14ac:dyDescent="0.25">
      <c r="A1432" s="27">
        <v>45035</v>
      </c>
      <c r="B1432" s="13">
        <v>16</v>
      </c>
      <c r="C1432" t="s">
        <v>3</v>
      </c>
      <c r="D1432" t="s">
        <v>4</v>
      </c>
      <c r="E1432" t="s">
        <v>5</v>
      </c>
      <c r="F1432" s="6">
        <v>111434478</v>
      </c>
      <c r="G1432" t="s">
        <v>331</v>
      </c>
      <c r="H1432" t="s">
        <v>253</v>
      </c>
      <c r="I1432">
        <v>0</v>
      </c>
      <c r="J1432">
        <v>0</v>
      </c>
      <c r="K1432">
        <v>0</v>
      </c>
      <c r="L1432">
        <v>0</v>
      </c>
      <c r="M1432">
        <v>0.73</v>
      </c>
      <c r="N1432" s="7" t="str">
        <f>VLOOKUP(F1432,HC!A$6:D$100,3,FALSE)</f>
        <v>DA-X0700</v>
      </c>
      <c r="O1432" s="7" t="str">
        <f>VLOOKUP(F1432,HC!A$6:D$1000,2,FALSE)</f>
        <v>juanapam</v>
      </c>
      <c r="P1432" t="s">
        <v>664</v>
      </c>
      <c r="Q1432" s="7" t="s">
        <v>709</v>
      </c>
      <c r="U1432">
        <f t="shared" si="24"/>
        <v>32</v>
      </c>
    </row>
    <row r="1433" spans="1:21" ht="37.5" customHeight="1" x14ac:dyDescent="0.25">
      <c r="A1433" s="27">
        <v>45035</v>
      </c>
      <c r="B1433" s="13">
        <v>16</v>
      </c>
      <c r="C1433" t="s">
        <v>3</v>
      </c>
      <c r="D1433" t="s">
        <v>4</v>
      </c>
      <c r="E1433" t="s">
        <v>5</v>
      </c>
      <c r="F1433" s="6">
        <v>112912674</v>
      </c>
      <c r="G1433" t="s">
        <v>835</v>
      </c>
      <c r="H1433" t="s">
        <v>253</v>
      </c>
      <c r="I1433">
        <v>0</v>
      </c>
      <c r="J1433">
        <v>0</v>
      </c>
      <c r="K1433">
        <v>0</v>
      </c>
      <c r="L1433">
        <v>0</v>
      </c>
      <c r="M1433">
        <v>0.22</v>
      </c>
      <c r="N1433" s="7" t="str">
        <f>VLOOKUP(F1433,HC!A$6:D$100,3,FALSE)</f>
        <v>DA-X0700</v>
      </c>
      <c r="O1433" s="7" t="str">
        <f>VLOOKUP(F1433,HC!A$6:D$1000,2,FALSE)</f>
        <v>rociodro</v>
      </c>
      <c r="P1433" t="s">
        <v>661</v>
      </c>
      <c r="Q1433" s="7" t="s">
        <v>681</v>
      </c>
      <c r="U1433">
        <f t="shared" si="24"/>
        <v>3</v>
      </c>
    </row>
    <row r="1434" spans="1:21" ht="37.5" customHeight="1" x14ac:dyDescent="0.25">
      <c r="A1434" s="27">
        <v>45035</v>
      </c>
      <c r="B1434" s="13">
        <v>16</v>
      </c>
      <c r="C1434" t="s">
        <v>3</v>
      </c>
      <c r="D1434" t="s">
        <v>4</v>
      </c>
      <c r="E1434" t="s">
        <v>5</v>
      </c>
      <c r="F1434" s="6">
        <v>112973049</v>
      </c>
      <c r="G1434" t="s">
        <v>314</v>
      </c>
      <c r="H1434" t="s">
        <v>7</v>
      </c>
      <c r="I1434">
        <v>0</v>
      </c>
      <c r="J1434">
        <v>0</v>
      </c>
      <c r="K1434">
        <v>0</v>
      </c>
      <c r="L1434">
        <v>0</v>
      </c>
      <c r="M1434">
        <v>0.1</v>
      </c>
      <c r="N1434" s="7" t="str">
        <f>VLOOKUP(F1434,HC!A$6:D$100,3,FALSE)</f>
        <v>DB-X0700</v>
      </c>
      <c r="O1434" s="7" t="str">
        <f>VLOOKUP(F1434,HC!A$6:D$1000,2,FALSE)</f>
        <v>afatimae</v>
      </c>
      <c r="P1434" t="s">
        <v>664</v>
      </c>
      <c r="Q1434" s="7" t="s">
        <v>711</v>
      </c>
      <c r="U1434">
        <f t="shared" si="24"/>
        <v>29</v>
      </c>
    </row>
    <row r="1435" spans="1:21" ht="37.5" customHeight="1" x14ac:dyDescent="0.25">
      <c r="A1435" s="27">
        <v>45035</v>
      </c>
      <c r="B1435" s="13">
        <v>16</v>
      </c>
      <c r="C1435" t="s">
        <v>3</v>
      </c>
      <c r="D1435" t="s">
        <v>4</v>
      </c>
      <c r="E1435" t="s">
        <v>5</v>
      </c>
      <c r="F1435" s="6">
        <v>112981194</v>
      </c>
      <c r="G1435" t="s">
        <v>540</v>
      </c>
      <c r="H1435" t="s">
        <v>268</v>
      </c>
      <c r="I1435">
        <v>0</v>
      </c>
      <c r="J1435">
        <v>0</v>
      </c>
      <c r="K1435">
        <v>0</v>
      </c>
      <c r="L1435">
        <v>0</v>
      </c>
      <c r="M1435">
        <v>0.17</v>
      </c>
      <c r="N1435" s="7" t="str">
        <f>VLOOKUP(F1435,HC!A$6:D$100,3,FALSE)</f>
        <v>NF-X1900</v>
      </c>
      <c r="O1435" s="7" t="str">
        <f>VLOOKUP(F1435,HC!A$6:D$1000,2,FALSE)</f>
        <v>csandrak</v>
      </c>
      <c r="P1435" t="s">
        <v>661</v>
      </c>
      <c r="Q1435" s="7" t="s">
        <v>681</v>
      </c>
      <c r="U1435">
        <f t="shared" si="24"/>
        <v>8</v>
      </c>
    </row>
    <row r="1436" spans="1:21" ht="37.5" customHeight="1" x14ac:dyDescent="0.25">
      <c r="A1436" s="27">
        <v>45035</v>
      </c>
      <c r="B1436" s="13">
        <v>16</v>
      </c>
      <c r="C1436" t="s">
        <v>3</v>
      </c>
      <c r="D1436" t="s">
        <v>4</v>
      </c>
      <c r="E1436" t="s">
        <v>5</v>
      </c>
      <c r="F1436" s="6">
        <v>113014081</v>
      </c>
      <c r="G1436" t="s">
        <v>267</v>
      </c>
      <c r="H1436" t="s">
        <v>298</v>
      </c>
      <c r="I1436">
        <v>0</v>
      </c>
      <c r="J1436">
        <v>0</v>
      </c>
      <c r="K1436">
        <v>0</v>
      </c>
      <c r="L1436">
        <v>0</v>
      </c>
      <c r="M1436">
        <v>1.5</v>
      </c>
      <c r="N1436" s="7" t="e">
        <f>VLOOKUP(F1436,HC!A$6:D$100,3,FALSE)</f>
        <v>#N/A</v>
      </c>
      <c r="O1436" s="7" t="str">
        <f>VLOOKUP(F1436,HC!A$6:D$1000,2,FALSE)</f>
        <v>fraugene</v>
      </c>
      <c r="P1436" t="s">
        <v>662</v>
      </c>
      <c r="Q1436" s="7" t="s">
        <v>757</v>
      </c>
      <c r="U1436">
        <f t="shared" si="24"/>
        <v>32</v>
      </c>
    </row>
    <row r="1437" spans="1:21" ht="37.5" customHeight="1" x14ac:dyDescent="0.25">
      <c r="A1437" s="27">
        <v>45035</v>
      </c>
      <c r="B1437" s="13">
        <v>16</v>
      </c>
      <c r="C1437" t="s">
        <v>3</v>
      </c>
      <c r="D1437" t="s">
        <v>4</v>
      </c>
      <c r="E1437" t="s">
        <v>5</v>
      </c>
      <c r="F1437" s="6">
        <v>113018997</v>
      </c>
      <c r="G1437" t="s">
        <v>254</v>
      </c>
      <c r="H1437" t="s">
        <v>49</v>
      </c>
      <c r="I1437">
        <v>0</v>
      </c>
      <c r="J1437">
        <v>0</v>
      </c>
      <c r="K1437">
        <v>0</v>
      </c>
      <c r="L1437">
        <v>0</v>
      </c>
      <c r="M1437">
        <v>0.3</v>
      </c>
      <c r="N1437" s="7" t="e">
        <f>VLOOKUP(F1437,HC!A$6:D$100,3,FALSE)</f>
        <v>#N/A</v>
      </c>
      <c r="O1437" s="7" t="e">
        <f>VLOOKUP(F1437,HC!A$6:D$1000,2,FALSE)</f>
        <v>#N/A</v>
      </c>
      <c r="P1437" t="s">
        <v>664</v>
      </c>
      <c r="Q1437" s="7" t="s">
        <v>711</v>
      </c>
      <c r="U1437">
        <f t="shared" si="24"/>
        <v>1395</v>
      </c>
    </row>
    <row r="1438" spans="1:21" ht="37.5" customHeight="1" x14ac:dyDescent="0.25">
      <c r="A1438" s="27">
        <v>45035</v>
      </c>
      <c r="B1438" s="13">
        <v>16</v>
      </c>
      <c r="C1438" t="s">
        <v>3</v>
      </c>
      <c r="D1438" t="s">
        <v>4</v>
      </c>
      <c r="E1438" t="s">
        <v>5</v>
      </c>
      <c r="F1438" s="6">
        <v>200404250</v>
      </c>
      <c r="G1438" t="s">
        <v>51</v>
      </c>
      <c r="H1438" t="s">
        <v>298</v>
      </c>
      <c r="I1438">
        <v>0</v>
      </c>
      <c r="J1438">
        <v>0</v>
      </c>
      <c r="K1438">
        <v>0</v>
      </c>
      <c r="L1438">
        <v>0</v>
      </c>
      <c r="M1438">
        <v>0.51</v>
      </c>
      <c r="N1438" s="7" t="e">
        <f>VLOOKUP(F1438,HC!A$6:D$100,3,FALSE)</f>
        <v>#N/A</v>
      </c>
      <c r="O1438" s="7" t="str">
        <f>VLOOKUP(F1438,HC!A$6:D$1000,2,FALSE)</f>
        <v>xcathurt</v>
      </c>
      <c r="P1438" t="s">
        <v>662</v>
      </c>
      <c r="Q1438" s="7" t="s">
        <v>785</v>
      </c>
      <c r="U1438">
        <f t="shared" si="24"/>
        <v>124</v>
      </c>
    </row>
    <row r="1439" spans="1:21" ht="37.5" customHeight="1" x14ac:dyDescent="0.25">
      <c r="A1439" s="27">
        <v>45035</v>
      </c>
      <c r="B1439" s="13">
        <v>16</v>
      </c>
      <c r="C1439" t="s">
        <v>3</v>
      </c>
      <c r="D1439" t="s">
        <v>4</v>
      </c>
      <c r="E1439" t="s">
        <v>21</v>
      </c>
      <c r="F1439" s="6">
        <v>200514421</v>
      </c>
      <c r="G1439" t="s">
        <v>301</v>
      </c>
      <c r="H1439" t="s">
        <v>298</v>
      </c>
      <c r="I1439">
        <v>0</v>
      </c>
      <c r="J1439">
        <v>0</v>
      </c>
      <c r="K1439">
        <v>0</v>
      </c>
      <c r="L1439">
        <v>0</v>
      </c>
      <c r="M1439">
        <v>1.31</v>
      </c>
      <c r="N1439" s="7" t="e">
        <f>VLOOKUP(F1439,HC!A$6:D$100,3,FALSE)</f>
        <v>#N/A</v>
      </c>
      <c r="O1439" s="7" t="str">
        <f>VLOOKUP(F1439,HC!A$6:D$1000,2,FALSE)</f>
        <v>padillms</v>
      </c>
      <c r="P1439" t="s">
        <v>662</v>
      </c>
      <c r="Q1439" s="7" t="s">
        <v>691</v>
      </c>
      <c r="U1439">
        <f t="shared" si="24"/>
        <v>21</v>
      </c>
    </row>
    <row r="1440" spans="1:21" ht="37.5" customHeight="1" x14ac:dyDescent="0.25">
      <c r="A1440" s="27">
        <v>45035</v>
      </c>
      <c r="B1440" s="13">
        <v>16</v>
      </c>
      <c r="C1440" t="s">
        <v>3</v>
      </c>
      <c r="D1440" t="s">
        <v>4</v>
      </c>
      <c r="E1440" t="s">
        <v>21</v>
      </c>
      <c r="F1440" s="6">
        <v>200565197</v>
      </c>
      <c r="G1440" t="s">
        <v>389</v>
      </c>
      <c r="H1440" t="s">
        <v>298</v>
      </c>
      <c r="I1440">
        <v>0</v>
      </c>
      <c r="J1440">
        <v>0</v>
      </c>
      <c r="K1440">
        <v>0</v>
      </c>
      <c r="L1440">
        <v>0</v>
      </c>
      <c r="M1440">
        <v>0.28999999999999998</v>
      </c>
      <c r="N1440" s="7" t="e">
        <f>VLOOKUP(F1440,HC!A$6:D$100,3,FALSE)</f>
        <v>#N/A</v>
      </c>
      <c r="O1440" s="7" t="e">
        <f>VLOOKUP(F1440,HC!A$6:D$1000,2,FALSE)</f>
        <v>#N/A</v>
      </c>
      <c r="P1440" t="s">
        <v>664</v>
      </c>
      <c r="Q1440" s="7" t="s">
        <v>708</v>
      </c>
      <c r="U1440">
        <f t="shared" si="24"/>
        <v>1395</v>
      </c>
    </row>
    <row r="1441" spans="1:21" ht="37.5" customHeight="1" x14ac:dyDescent="0.25">
      <c r="A1441" s="27">
        <v>45035</v>
      </c>
      <c r="B1441" s="13">
        <v>16</v>
      </c>
      <c r="C1441" t="s">
        <v>3</v>
      </c>
      <c r="D1441" t="s">
        <v>4</v>
      </c>
      <c r="E1441" t="s">
        <v>21</v>
      </c>
      <c r="F1441" s="6">
        <v>201186139</v>
      </c>
      <c r="G1441" t="s">
        <v>971</v>
      </c>
      <c r="H1441" t="s">
        <v>268</v>
      </c>
      <c r="I1441">
        <v>0</v>
      </c>
      <c r="J1441">
        <v>0</v>
      </c>
      <c r="K1441">
        <v>0</v>
      </c>
      <c r="L1441">
        <v>0</v>
      </c>
      <c r="M1441">
        <v>0.12</v>
      </c>
      <c r="N1441" s="7" t="e">
        <f>VLOOKUP(F1441,HC!A$6:D$100,3,FALSE)</f>
        <v>#N/A</v>
      </c>
      <c r="O1441" s="7" t="e">
        <f>VLOOKUP(F1441,HC!A$6:D$1000,2,FALSE)</f>
        <v>#N/A</v>
      </c>
      <c r="P1441" t="s">
        <v>661</v>
      </c>
      <c r="Q1441" s="7" t="s">
        <v>759</v>
      </c>
      <c r="U1441">
        <f t="shared" si="24"/>
        <v>1395</v>
      </c>
    </row>
    <row r="1442" spans="1:21" ht="37.5" customHeight="1" x14ac:dyDescent="0.25">
      <c r="A1442" s="27">
        <v>45035</v>
      </c>
      <c r="B1442" s="13">
        <v>16</v>
      </c>
      <c r="C1442" t="s">
        <v>3</v>
      </c>
      <c r="D1442" t="s">
        <v>4</v>
      </c>
      <c r="E1442" t="s">
        <v>21</v>
      </c>
      <c r="F1442" s="6">
        <v>201295506</v>
      </c>
      <c r="G1442" t="s">
        <v>972</v>
      </c>
      <c r="H1442" t="s">
        <v>846</v>
      </c>
      <c r="I1442">
        <v>0</v>
      </c>
      <c r="J1442">
        <v>0</v>
      </c>
      <c r="K1442">
        <v>0</v>
      </c>
      <c r="L1442">
        <v>0</v>
      </c>
      <c r="M1442">
        <v>0.05</v>
      </c>
      <c r="N1442" s="7" t="e">
        <f>VLOOKUP(F1442,HC!A$6:D$100,3,FALSE)</f>
        <v>#N/A</v>
      </c>
      <c r="O1442" s="7" t="e">
        <f>VLOOKUP(F1442,HC!A$6:D$1000,2,FALSE)</f>
        <v>#N/A</v>
      </c>
      <c r="P1442" t="s">
        <v>662</v>
      </c>
      <c r="Q1442" s="7" t="s">
        <v>688</v>
      </c>
      <c r="U1442">
        <f t="shared" si="24"/>
        <v>1395</v>
      </c>
    </row>
    <row r="1443" spans="1:21" ht="37.5" customHeight="1" x14ac:dyDescent="0.25">
      <c r="A1443" s="27">
        <v>45035</v>
      </c>
      <c r="B1443" s="13">
        <v>16</v>
      </c>
      <c r="C1443" t="s">
        <v>3</v>
      </c>
      <c r="D1443" t="s">
        <v>4</v>
      </c>
      <c r="E1443" t="s">
        <v>21</v>
      </c>
      <c r="F1443" s="6">
        <v>201295530</v>
      </c>
      <c r="G1443" t="s">
        <v>965</v>
      </c>
      <c r="H1443" t="s">
        <v>846</v>
      </c>
      <c r="I1443">
        <v>0</v>
      </c>
      <c r="J1443">
        <v>0</v>
      </c>
      <c r="K1443">
        <v>0</v>
      </c>
      <c r="L1443">
        <v>0</v>
      </c>
      <c r="M1443">
        <v>0.63</v>
      </c>
      <c r="N1443" s="7" t="e">
        <f>VLOOKUP(F1443,HC!A$6:D$100,3,FALSE)</f>
        <v>#N/A</v>
      </c>
      <c r="O1443" s="7" t="e">
        <f>VLOOKUP(F1443,HC!A$6:D$1000,2,FALSE)</f>
        <v>#N/A</v>
      </c>
      <c r="P1443" t="s">
        <v>661</v>
      </c>
      <c r="Q1443" s="7" t="s">
        <v>684</v>
      </c>
      <c r="U1443">
        <f t="shared" si="24"/>
        <v>1395</v>
      </c>
    </row>
    <row r="1444" spans="1:21" ht="37.5" customHeight="1" x14ac:dyDescent="0.25">
      <c r="A1444" s="27">
        <v>45035</v>
      </c>
      <c r="B1444" s="13">
        <v>16</v>
      </c>
      <c r="C1444" t="s">
        <v>3</v>
      </c>
      <c r="D1444" t="s">
        <v>4</v>
      </c>
      <c r="E1444" t="s">
        <v>21</v>
      </c>
      <c r="F1444" s="6">
        <v>201318227</v>
      </c>
      <c r="G1444" t="s">
        <v>973</v>
      </c>
      <c r="H1444" t="s">
        <v>846</v>
      </c>
      <c r="I1444">
        <v>0</v>
      </c>
      <c r="J1444">
        <v>0</v>
      </c>
      <c r="K1444">
        <v>0</v>
      </c>
      <c r="L1444">
        <v>0</v>
      </c>
      <c r="M1444">
        <v>0.41</v>
      </c>
      <c r="N1444" s="7" t="e">
        <f>VLOOKUP(F1444,HC!A$6:D$100,3,FALSE)</f>
        <v>#N/A</v>
      </c>
      <c r="O1444" s="7" t="e">
        <f>VLOOKUP(F1444,HC!A$6:D$1000,2,FALSE)</f>
        <v>#N/A</v>
      </c>
      <c r="P1444" t="s">
        <v>661</v>
      </c>
      <c r="Q1444" s="7" t="s">
        <v>681</v>
      </c>
      <c r="U1444">
        <f t="shared" si="24"/>
        <v>1395</v>
      </c>
    </row>
    <row r="1445" spans="1:21" ht="37.5" customHeight="1" x14ac:dyDescent="0.25">
      <c r="A1445" s="27">
        <v>45036</v>
      </c>
      <c r="B1445" s="13">
        <v>16</v>
      </c>
      <c r="C1445" t="s">
        <v>3</v>
      </c>
      <c r="D1445" t="s">
        <v>4</v>
      </c>
      <c r="E1445" t="s">
        <v>5</v>
      </c>
      <c r="F1445" s="6">
        <v>112981196</v>
      </c>
      <c r="G1445" t="s">
        <v>328</v>
      </c>
      <c r="H1445" t="s">
        <v>285</v>
      </c>
      <c r="I1445">
        <v>0</v>
      </c>
      <c r="J1445">
        <v>0</v>
      </c>
      <c r="K1445">
        <v>0</v>
      </c>
      <c r="L1445">
        <v>0</v>
      </c>
      <c r="M1445">
        <v>0.28000000000000003</v>
      </c>
      <c r="N1445" s="7" t="e">
        <f>VLOOKUP(F1445,HC!A$6:D$100,3,FALSE)</f>
        <v>#N/A</v>
      </c>
      <c r="O1445" s="7" t="str">
        <f>VLOOKUP(F1445,HC!A$6:D$1000,2,FALSE)</f>
        <v>vandgome</v>
      </c>
      <c r="P1445" t="s">
        <v>661</v>
      </c>
      <c r="Q1445" s="7" t="s">
        <v>681</v>
      </c>
      <c r="U1445">
        <f t="shared" si="24"/>
        <v>24</v>
      </c>
    </row>
    <row r="1446" spans="1:21" ht="37.5" customHeight="1" x14ac:dyDescent="0.25">
      <c r="A1446" s="27">
        <v>45036</v>
      </c>
      <c r="B1446" s="13">
        <v>16</v>
      </c>
      <c r="C1446" t="s">
        <v>3</v>
      </c>
      <c r="D1446" t="s">
        <v>4</v>
      </c>
      <c r="E1446" t="s">
        <v>5</v>
      </c>
      <c r="F1446" s="6">
        <v>113014081</v>
      </c>
      <c r="G1446" t="s">
        <v>267</v>
      </c>
      <c r="H1446" t="s">
        <v>298</v>
      </c>
      <c r="I1446">
        <v>0</v>
      </c>
      <c r="J1446">
        <v>0</v>
      </c>
      <c r="K1446">
        <v>0</v>
      </c>
      <c r="L1446">
        <v>0</v>
      </c>
      <c r="M1446">
        <v>1.24</v>
      </c>
      <c r="N1446" s="7" t="e">
        <f>VLOOKUP(F1446,HC!A$6:D$100,3,FALSE)</f>
        <v>#N/A</v>
      </c>
      <c r="O1446" s="7" t="str">
        <f>VLOOKUP(F1446,HC!A$6:D$1000,2,FALSE)</f>
        <v>fraugene</v>
      </c>
      <c r="P1446" t="s">
        <v>662</v>
      </c>
      <c r="Q1446" s="7" t="s">
        <v>687</v>
      </c>
      <c r="U1446">
        <f t="shared" si="24"/>
        <v>32</v>
      </c>
    </row>
    <row r="1447" spans="1:21" ht="37.5" customHeight="1" x14ac:dyDescent="0.25">
      <c r="A1447" s="27">
        <v>45036</v>
      </c>
      <c r="B1447" s="13">
        <v>16</v>
      </c>
      <c r="C1447" t="s">
        <v>3</v>
      </c>
      <c r="D1447" t="s">
        <v>4</v>
      </c>
      <c r="E1447" t="s">
        <v>5</v>
      </c>
      <c r="F1447" s="6">
        <v>113018997</v>
      </c>
      <c r="G1447" t="s">
        <v>254</v>
      </c>
      <c r="H1447" t="s">
        <v>49</v>
      </c>
      <c r="I1447">
        <v>0</v>
      </c>
      <c r="J1447">
        <v>0</v>
      </c>
      <c r="K1447">
        <v>0</v>
      </c>
      <c r="L1447">
        <v>0</v>
      </c>
      <c r="M1447">
        <v>0.86</v>
      </c>
      <c r="N1447" s="7" t="e">
        <f>VLOOKUP(F1447,HC!A$6:D$100,3,FALSE)</f>
        <v>#N/A</v>
      </c>
      <c r="O1447" s="7" t="e">
        <f>VLOOKUP(F1447,HC!A$6:D$1000,2,FALSE)</f>
        <v>#N/A</v>
      </c>
      <c r="P1447" t="s">
        <v>665</v>
      </c>
      <c r="Q1447" s="7" t="s">
        <v>756</v>
      </c>
      <c r="U1447">
        <f t="shared" si="24"/>
        <v>1395</v>
      </c>
    </row>
    <row r="1448" spans="1:21" ht="37.5" customHeight="1" x14ac:dyDescent="0.25">
      <c r="A1448" s="27">
        <v>45036</v>
      </c>
      <c r="B1448" s="13">
        <v>16</v>
      </c>
      <c r="C1448" t="s">
        <v>3</v>
      </c>
      <c r="D1448" t="s">
        <v>4</v>
      </c>
      <c r="E1448" t="s">
        <v>5</v>
      </c>
      <c r="F1448" s="6">
        <v>200404250</v>
      </c>
      <c r="G1448" t="s">
        <v>51</v>
      </c>
      <c r="H1448" t="s">
        <v>298</v>
      </c>
      <c r="I1448">
        <v>0</v>
      </c>
      <c r="J1448">
        <v>0</v>
      </c>
      <c r="K1448">
        <v>0</v>
      </c>
      <c r="L1448">
        <v>0</v>
      </c>
      <c r="M1448">
        <v>0.44</v>
      </c>
      <c r="N1448" s="7" t="e">
        <f>VLOOKUP(F1448,HC!A$6:D$100,3,FALSE)</f>
        <v>#N/A</v>
      </c>
      <c r="O1448" s="7" t="str">
        <f>VLOOKUP(F1448,HC!A$6:D$1000,2,FALSE)</f>
        <v>xcathurt</v>
      </c>
      <c r="P1448" t="s">
        <v>662</v>
      </c>
      <c r="Q1448" s="7" t="s">
        <v>785</v>
      </c>
      <c r="U1448">
        <f t="shared" si="24"/>
        <v>124</v>
      </c>
    </row>
    <row r="1449" spans="1:21" ht="37.5" customHeight="1" x14ac:dyDescent="0.25">
      <c r="A1449" s="27">
        <v>45036</v>
      </c>
      <c r="B1449" s="13">
        <v>16</v>
      </c>
      <c r="C1449" t="s">
        <v>3</v>
      </c>
      <c r="D1449" t="s">
        <v>4</v>
      </c>
      <c r="E1449" t="s">
        <v>21</v>
      </c>
      <c r="F1449" s="6">
        <v>200514421</v>
      </c>
      <c r="G1449" t="s">
        <v>301</v>
      </c>
      <c r="H1449" t="s">
        <v>298</v>
      </c>
      <c r="I1449">
        <v>0</v>
      </c>
      <c r="J1449">
        <v>0</v>
      </c>
      <c r="K1449">
        <v>0</v>
      </c>
      <c r="L1449">
        <v>0</v>
      </c>
      <c r="M1449">
        <v>0.1</v>
      </c>
      <c r="N1449" s="7" t="e">
        <f>VLOOKUP(F1449,HC!A$6:D$100,3,FALSE)</f>
        <v>#N/A</v>
      </c>
      <c r="O1449" s="7" t="str">
        <f>VLOOKUP(F1449,HC!A$6:D$1000,2,FALSE)</f>
        <v>padillms</v>
      </c>
      <c r="P1449" t="s">
        <v>662</v>
      </c>
      <c r="Q1449" s="7" t="s">
        <v>687</v>
      </c>
      <c r="U1449">
        <f t="shared" si="24"/>
        <v>21</v>
      </c>
    </row>
    <row r="1450" spans="1:21" ht="37.5" customHeight="1" x14ac:dyDescent="0.25">
      <c r="A1450" s="27">
        <v>45036</v>
      </c>
      <c r="B1450" s="13">
        <v>16</v>
      </c>
      <c r="C1450" t="s">
        <v>3</v>
      </c>
      <c r="D1450" t="s">
        <v>4</v>
      </c>
      <c r="E1450" t="s">
        <v>21</v>
      </c>
      <c r="F1450" s="6">
        <v>200585084</v>
      </c>
      <c r="G1450" t="s">
        <v>493</v>
      </c>
      <c r="H1450" t="s">
        <v>17</v>
      </c>
      <c r="I1450">
        <v>0</v>
      </c>
      <c r="J1450">
        <v>0</v>
      </c>
      <c r="K1450">
        <v>0</v>
      </c>
      <c r="L1450">
        <v>0</v>
      </c>
      <c r="M1450">
        <v>0.14000000000000001</v>
      </c>
      <c r="N1450" s="7" t="e">
        <f>VLOOKUP(F1450,HC!A$6:D$100,3,FALSE)</f>
        <v>#N/A</v>
      </c>
      <c r="O1450" s="7" t="str">
        <f>VLOOKUP(F1450,HC!A$6:D$1000,2,FALSE)</f>
        <v>tessajvi</v>
      </c>
      <c r="P1450" t="s">
        <v>661</v>
      </c>
      <c r="Q1450" s="7" t="s">
        <v>681</v>
      </c>
      <c r="U1450">
        <f t="shared" si="24"/>
        <v>9</v>
      </c>
    </row>
    <row r="1451" spans="1:21" ht="37.5" customHeight="1" x14ac:dyDescent="0.25">
      <c r="A1451" s="27">
        <v>45036</v>
      </c>
      <c r="B1451" s="13">
        <v>16</v>
      </c>
      <c r="C1451" t="s">
        <v>3</v>
      </c>
      <c r="D1451" t="s">
        <v>4</v>
      </c>
      <c r="E1451" t="s">
        <v>21</v>
      </c>
      <c r="F1451" s="6">
        <v>200625027</v>
      </c>
      <c r="G1451" t="s">
        <v>382</v>
      </c>
      <c r="H1451" t="s">
        <v>17</v>
      </c>
      <c r="I1451">
        <v>0</v>
      </c>
      <c r="J1451">
        <v>0</v>
      </c>
      <c r="K1451">
        <v>0</v>
      </c>
      <c r="L1451">
        <v>0</v>
      </c>
      <c r="M1451">
        <v>0.28999999999999998</v>
      </c>
      <c r="N1451" s="7" t="e">
        <f>VLOOKUP(F1451,HC!A$6:D$100,3,FALSE)</f>
        <v>#N/A</v>
      </c>
      <c r="O1451" s="7" t="e">
        <f>VLOOKUP(F1451,HC!A$6:D$1000,2,FALSE)</f>
        <v>#N/A</v>
      </c>
      <c r="P1451" t="s">
        <v>661</v>
      </c>
      <c r="Q1451" s="7" t="s">
        <v>681</v>
      </c>
      <c r="U1451">
        <f t="shared" si="24"/>
        <v>1395</v>
      </c>
    </row>
    <row r="1452" spans="1:21" ht="37.5" customHeight="1" x14ac:dyDescent="0.25">
      <c r="A1452" s="27">
        <v>45036</v>
      </c>
      <c r="B1452" s="13">
        <v>16</v>
      </c>
      <c r="C1452" t="s">
        <v>3</v>
      </c>
      <c r="D1452" t="s">
        <v>4</v>
      </c>
      <c r="E1452" t="s">
        <v>21</v>
      </c>
      <c r="F1452" s="6">
        <v>201202093</v>
      </c>
      <c r="G1452" t="s">
        <v>479</v>
      </c>
      <c r="H1452" t="s">
        <v>298</v>
      </c>
      <c r="I1452">
        <v>0</v>
      </c>
      <c r="J1452">
        <v>0</v>
      </c>
      <c r="K1452">
        <v>0</v>
      </c>
      <c r="L1452">
        <v>0</v>
      </c>
      <c r="M1452">
        <v>0.09</v>
      </c>
      <c r="N1452" s="7" t="e">
        <f>VLOOKUP(F1452,HC!A$6:D$100,3,FALSE)</f>
        <v>#N/A</v>
      </c>
      <c r="O1452" s="7" t="str">
        <f>VLOOKUP(F1452,HC!A$6:D$1000,2,FALSE)</f>
        <v>eliorten</v>
      </c>
      <c r="P1452" t="s">
        <v>663</v>
      </c>
      <c r="Q1452" s="7" t="s">
        <v>695</v>
      </c>
      <c r="U1452">
        <f t="shared" si="24"/>
        <v>12</v>
      </c>
    </row>
    <row r="1453" spans="1:21" ht="37.5" customHeight="1" x14ac:dyDescent="0.25">
      <c r="A1453" s="27">
        <v>45037</v>
      </c>
      <c r="B1453" s="13">
        <v>16</v>
      </c>
      <c r="C1453" t="s">
        <v>3</v>
      </c>
      <c r="D1453" t="s">
        <v>4</v>
      </c>
      <c r="E1453" t="s">
        <v>5</v>
      </c>
      <c r="F1453" s="6">
        <v>112980844</v>
      </c>
      <c r="G1453" t="s">
        <v>13</v>
      </c>
      <c r="H1453" t="s">
        <v>268</v>
      </c>
      <c r="I1453">
        <v>0</v>
      </c>
      <c r="J1453">
        <v>0</v>
      </c>
      <c r="K1453">
        <v>0</v>
      </c>
      <c r="L1453">
        <v>0</v>
      </c>
      <c r="M1453">
        <v>0.38</v>
      </c>
      <c r="N1453" s="7" t="str">
        <f>VLOOKUP(F1453,HC!A$6:D$100,3,FALSE)</f>
        <v>DA-X0700</v>
      </c>
      <c r="O1453" s="7" t="str">
        <f>VLOOKUP(F1453,HC!A$6:D$1000,2,FALSE)</f>
        <v>samajpad</v>
      </c>
      <c r="P1453" t="s">
        <v>661</v>
      </c>
      <c r="Q1453" s="7" t="s">
        <v>681</v>
      </c>
      <c r="U1453">
        <f t="shared" si="24"/>
        <v>20</v>
      </c>
    </row>
    <row r="1454" spans="1:21" ht="37.5" customHeight="1" x14ac:dyDescent="0.25">
      <c r="A1454" s="27">
        <v>45037</v>
      </c>
      <c r="B1454" s="13">
        <v>16</v>
      </c>
      <c r="C1454" t="s">
        <v>3</v>
      </c>
      <c r="D1454" t="s">
        <v>4</v>
      </c>
      <c r="E1454" t="s">
        <v>5</v>
      </c>
      <c r="F1454" s="6">
        <v>113003971</v>
      </c>
      <c r="G1454" t="s">
        <v>284</v>
      </c>
      <c r="H1454" t="s">
        <v>49</v>
      </c>
      <c r="I1454">
        <v>0</v>
      </c>
      <c r="J1454">
        <v>0</v>
      </c>
      <c r="K1454">
        <v>0</v>
      </c>
      <c r="L1454">
        <v>0</v>
      </c>
      <c r="M1454">
        <v>0.35</v>
      </c>
      <c r="N1454" s="7" t="e">
        <f>VLOOKUP(F1454,HC!A$6:D$100,3,FALSE)</f>
        <v>#N/A</v>
      </c>
      <c r="O1454" s="7" t="str">
        <f>VLOOKUP(F1454,HC!A$6:D$1000,2,FALSE)</f>
        <v>garamird</v>
      </c>
      <c r="P1454" t="s">
        <v>662</v>
      </c>
      <c r="Q1454" s="7" t="s">
        <v>687</v>
      </c>
      <c r="U1454">
        <f t="shared" si="24"/>
        <v>14</v>
      </c>
    </row>
    <row r="1455" spans="1:21" ht="37.5" customHeight="1" x14ac:dyDescent="0.25">
      <c r="A1455" s="27">
        <v>45037</v>
      </c>
      <c r="B1455" s="13">
        <v>16</v>
      </c>
      <c r="C1455" t="s">
        <v>3</v>
      </c>
      <c r="D1455" t="s">
        <v>4</v>
      </c>
      <c r="E1455" t="s">
        <v>5</v>
      </c>
      <c r="F1455" s="6">
        <v>113014560</v>
      </c>
      <c r="G1455" t="s">
        <v>599</v>
      </c>
      <c r="H1455" t="s">
        <v>17</v>
      </c>
      <c r="I1455">
        <v>0</v>
      </c>
      <c r="J1455">
        <v>0</v>
      </c>
      <c r="K1455">
        <v>0</v>
      </c>
      <c r="L1455">
        <v>0</v>
      </c>
      <c r="M1455">
        <v>0.1</v>
      </c>
      <c r="N1455" s="7" t="e">
        <f>VLOOKUP(F1455,HC!A$6:D$100,3,FALSE)</f>
        <v>#N/A</v>
      </c>
      <c r="O1455" s="7" t="str">
        <f>VLOOKUP(F1455,HC!A$6:D$1000,2,FALSE)</f>
        <v>zlopamer</v>
      </c>
      <c r="P1455" t="s">
        <v>661</v>
      </c>
      <c r="Q1455" s="7" t="s">
        <v>681</v>
      </c>
      <c r="U1455">
        <f t="shared" si="24"/>
        <v>15</v>
      </c>
    </row>
    <row r="1456" spans="1:21" ht="37.5" customHeight="1" x14ac:dyDescent="0.25">
      <c r="A1456" s="27">
        <v>45037</v>
      </c>
      <c r="B1456" s="13">
        <v>16</v>
      </c>
      <c r="C1456" t="s">
        <v>3</v>
      </c>
      <c r="D1456" t="s">
        <v>4</v>
      </c>
      <c r="E1456" t="s">
        <v>21</v>
      </c>
      <c r="F1456" s="6">
        <v>200564845</v>
      </c>
      <c r="G1456" t="s">
        <v>440</v>
      </c>
      <c r="H1456" t="s">
        <v>47</v>
      </c>
      <c r="I1456">
        <v>0</v>
      </c>
      <c r="J1456">
        <v>0</v>
      </c>
      <c r="K1456">
        <v>0</v>
      </c>
      <c r="L1456">
        <v>0</v>
      </c>
      <c r="M1456">
        <v>7.0000000000000007E-2</v>
      </c>
      <c r="N1456" s="7" t="e">
        <f>VLOOKUP(F1456,HC!A$6:D$100,3,FALSE)</f>
        <v>#N/A</v>
      </c>
      <c r="O1456" s="7" t="e">
        <f>VLOOKUP(F1456,HC!A$6:D$1000,2,FALSE)</f>
        <v>#N/A</v>
      </c>
      <c r="P1456" t="s">
        <v>663</v>
      </c>
      <c r="Q1456" s="7" t="s">
        <v>695</v>
      </c>
      <c r="U1456">
        <f t="shared" si="24"/>
        <v>1395</v>
      </c>
    </row>
    <row r="1457" spans="1:21" ht="37.5" customHeight="1" x14ac:dyDescent="0.25">
      <c r="A1457" s="27">
        <v>45037</v>
      </c>
      <c r="B1457" s="13">
        <v>16</v>
      </c>
      <c r="C1457" t="s">
        <v>3</v>
      </c>
      <c r="D1457" t="s">
        <v>4</v>
      </c>
      <c r="E1457" t="s">
        <v>21</v>
      </c>
      <c r="F1457" s="6">
        <v>200585084</v>
      </c>
      <c r="G1457" t="s">
        <v>493</v>
      </c>
      <c r="H1457" t="s">
        <v>17</v>
      </c>
      <c r="I1457">
        <v>0</v>
      </c>
      <c r="J1457">
        <v>0</v>
      </c>
      <c r="K1457">
        <v>0</v>
      </c>
      <c r="L1457">
        <v>0</v>
      </c>
      <c r="M1457">
        <v>0.37</v>
      </c>
      <c r="N1457" s="7" t="e">
        <f>VLOOKUP(F1457,HC!A$6:D$100,3,FALSE)</f>
        <v>#N/A</v>
      </c>
      <c r="O1457" s="7" t="str">
        <f>VLOOKUP(F1457,HC!A$6:D$1000,2,FALSE)</f>
        <v>tessajvi</v>
      </c>
      <c r="P1457" t="s">
        <v>662</v>
      </c>
      <c r="Q1457" s="7" t="s">
        <v>688</v>
      </c>
      <c r="U1457">
        <f t="shared" si="24"/>
        <v>9</v>
      </c>
    </row>
    <row r="1458" spans="1:21" ht="37.5" customHeight="1" x14ac:dyDescent="0.25">
      <c r="A1458" s="27">
        <v>45037</v>
      </c>
      <c r="B1458" s="13">
        <v>16</v>
      </c>
      <c r="C1458" t="s">
        <v>3</v>
      </c>
      <c r="D1458" t="s">
        <v>4</v>
      </c>
      <c r="E1458" t="s">
        <v>21</v>
      </c>
      <c r="F1458" s="6">
        <v>200589316</v>
      </c>
      <c r="G1458" t="s">
        <v>53</v>
      </c>
      <c r="H1458" t="s">
        <v>47</v>
      </c>
      <c r="I1458">
        <v>0</v>
      </c>
      <c r="J1458">
        <v>0</v>
      </c>
      <c r="K1458">
        <v>0</v>
      </c>
      <c r="L1458">
        <v>0</v>
      </c>
      <c r="M1458">
        <v>0.17</v>
      </c>
      <c r="N1458" s="7" t="e">
        <f>VLOOKUP(F1458,HC!A$6:D$100,3,FALSE)</f>
        <v>#N/A</v>
      </c>
      <c r="O1458" s="7" t="e">
        <f>VLOOKUP(F1458,HC!A$6:D$1000,2,FALSE)</f>
        <v>#N/A</v>
      </c>
      <c r="P1458" t="s">
        <v>661</v>
      </c>
      <c r="Q1458" s="7" t="s">
        <v>681</v>
      </c>
      <c r="U1458">
        <f t="shared" si="24"/>
        <v>1395</v>
      </c>
    </row>
    <row r="1459" spans="1:21" ht="37.5" customHeight="1" x14ac:dyDescent="0.25">
      <c r="A1459" s="27">
        <v>45037</v>
      </c>
      <c r="B1459" s="13">
        <v>16</v>
      </c>
      <c r="C1459" t="s">
        <v>3</v>
      </c>
      <c r="D1459" t="s">
        <v>4</v>
      </c>
      <c r="E1459" t="s">
        <v>21</v>
      </c>
      <c r="F1459" s="6">
        <v>201191198</v>
      </c>
      <c r="G1459" t="s">
        <v>974</v>
      </c>
      <c r="H1459" t="s">
        <v>17</v>
      </c>
      <c r="I1459">
        <v>0</v>
      </c>
      <c r="J1459">
        <v>0</v>
      </c>
      <c r="K1459">
        <v>0</v>
      </c>
      <c r="L1459">
        <v>0</v>
      </c>
      <c r="M1459">
        <v>0.1</v>
      </c>
      <c r="N1459" s="7" t="e">
        <f>VLOOKUP(F1459,HC!A$6:D$100,3,FALSE)</f>
        <v>#N/A</v>
      </c>
      <c r="O1459" s="7" t="str">
        <f>VLOOKUP(F1459,HC!A$6:D$1000,2,FALSE)</f>
        <v>mojicemm</v>
      </c>
      <c r="P1459" t="s">
        <v>661</v>
      </c>
      <c r="Q1459" s="7" t="s">
        <v>681</v>
      </c>
      <c r="U1459">
        <f t="shared" si="24"/>
        <v>24</v>
      </c>
    </row>
    <row r="1460" spans="1:21" ht="37.5" customHeight="1" x14ac:dyDescent="0.25">
      <c r="A1460" s="27">
        <v>45037</v>
      </c>
      <c r="B1460" s="13">
        <v>16</v>
      </c>
      <c r="C1460" t="s">
        <v>3</v>
      </c>
      <c r="D1460" t="s">
        <v>4</v>
      </c>
      <c r="E1460" t="s">
        <v>21</v>
      </c>
      <c r="F1460" s="6">
        <v>201198169</v>
      </c>
      <c r="G1460" t="s">
        <v>946</v>
      </c>
      <c r="H1460" t="s">
        <v>298</v>
      </c>
      <c r="I1460">
        <v>0</v>
      </c>
      <c r="J1460">
        <v>0</v>
      </c>
      <c r="K1460">
        <v>0</v>
      </c>
      <c r="L1460">
        <v>0</v>
      </c>
      <c r="M1460">
        <v>0.37</v>
      </c>
      <c r="N1460" s="7" t="e">
        <f>VLOOKUP(F1460,HC!A$6:D$100,3,FALSE)</f>
        <v>#N/A</v>
      </c>
      <c r="O1460" s="7" t="e">
        <f>VLOOKUP(F1460,HC!A$6:D$1000,2,FALSE)</f>
        <v>#N/A</v>
      </c>
      <c r="P1460" t="s">
        <v>662</v>
      </c>
      <c r="Q1460" s="7" t="s">
        <v>690</v>
      </c>
      <c r="U1460">
        <f t="shared" si="24"/>
        <v>1395</v>
      </c>
    </row>
    <row r="1461" spans="1:21" ht="37.5" customHeight="1" x14ac:dyDescent="0.25">
      <c r="A1461" s="27">
        <v>45038</v>
      </c>
      <c r="B1461" s="13">
        <v>16</v>
      </c>
      <c r="C1461" t="s">
        <v>3</v>
      </c>
      <c r="D1461" t="s">
        <v>4</v>
      </c>
      <c r="E1461" t="s">
        <v>5</v>
      </c>
      <c r="F1461" s="6">
        <v>112912663</v>
      </c>
      <c r="G1461" t="s">
        <v>8</v>
      </c>
      <c r="H1461" t="s">
        <v>403</v>
      </c>
      <c r="I1461">
        <v>0</v>
      </c>
      <c r="J1461">
        <v>0</v>
      </c>
      <c r="K1461">
        <v>0</v>
      </c>
      <c r="L1461">
        <v>0</v>
      </c>
      <c r="M1461">
        <v>0.84</v>
      </c>
      <c r="N1461" s="7" t="e">
        <f>VLOOKUP(F1461,HC!A$6:D$100,3,FALSE)</f>
        <v>#N/A</v>
      </c>
      <c r="O1461" s="7" t="e">
        <f>VLOOKUP(F1461,HC!A$6:D$1000,2,FALSE)</f>
        <v>#N/A</v>
      </c>
      <c r="P1461" t="s">
        <v>662</v>
      </c>
      <c r="Q1461" s="7" t="s">
        <v>688</v>
      </c>
      <c r="U1461">
        <f t="shared" si="24"/>
        <v>1395</v>
      </c>
    </row>
    <row r="1462" spans="1:21" ht="37.5" customHeight="1" x14ac:dyDescent="0.25">
      <c r="A1462" s="27">
        <v>45038</v>
      </c>
      <c r="B1462" s="13">
        <v>16</v>
      </c>
      <c r="C1462" t="s">
        <v>3</v>
      </c>
      <c r="D1462" t="s">
        <v>4</v>
      </c>
      <c r="E1462" t="s">
        <v>5</v>
      </c>
      <c r="F1462" s="6">
        <v>113003635</v>
      </c>
      <c r="G1462" t="s">
        <v>930</v>
      </c>
      <c r="H1462" t="s">
        <v>49</v>
      </c>
      <c r="I1462">
        <v>0</v>
      </c>
      <c r="J1462">
        <v>0</v>
      </c>
      <c r="K1462">
        <v>0</v>
      </c>
      <c r="L1462">
        <v>0</v>
      </c>
      <c r="M1462">
        <v>0.53</v>
      </c>
      <c r="N1462" s="7" t="e">
        <f>VLOOKUP(F1462,HC!A$6:D$100,3,FALSE)</f>
        <v>#N/A</v>
      </c>
      <c r="O1462" s="7" t="str">
        <f>VLOOKUP(F1462,HC!A$6:D$1000,2,FALSE)</f>
        <v>barrgiof</v>
      </c>
      <c r="P1462" t="s">
        <v>664</v>
      </c>
      <c r="Q1462" s="7" t="s">
        <v>708</v>
      </c>
      <c r="U1462">
        <f t="shared" si="24"/>
        <v>9</v>
      </c>
    </row>
    <row r="1463" spans="1:21" ht="37.5" customHeight="1" x14ac:dyDescent="0.25">
      <c r="A1463" s="27">
        <v>45038</v>
      </c>
      <c r="B1463" s="13">
        <v>16</v>
      </c>
      <c r="C1463" t="s">
        <v>3</v>
      </c>
      <c r="D1463" t="s">
        <v>4</v>
      </c>
      <c r="E1463" t="s">
        <v>5</v>
      </c>
      <c r="F1463" s="6">
        <v>113003971</v>
      </c>
      <c r="G1463" t="s">
        <v>284</v>
      </c>
      <c r="H1463" t="s">
        <v>49</v>
      </c>
      <c r="I1463">
        <v>0</v>
      </c>
      <c r="J1463">
        <v>0</v>
      </c>
      <c r="K1463">
        <v>0</v>
      </c>
      <c r="L1463">
        <v>0</v>
      </c>
      <c r="M1463">
        <v>0.18</v>
      </c>
      <c r="N1463" s="7" t="e">
        <f>VLOOKUP(F1463,HC!A$6:D$100,3,FALSE)</f>
        <v>#N/A</v>
      </c>
      <c r="O1463" s="7" t="str">
        <f>VLOOKUP(F1463,HC!A$6:D$1000,2,FALSE)</f>
        <v>garamird</v>
      </c>
      <c r="P1463" t="s">
        <v>661</v>
      </c>
      <c r="Q1463" s="7" t="s">
        <v>681</v>
      </c>
      <c r="U1463">
        <f t="shared" si="24"/>
        <v>14</v>
      </c>
    </row>
    <row r="1464" spans="1:21" ht="37.5" customHeight="1" x14ac:dyDescent="0.25">
      <c r="A1464" s="27">
        <v>45038</v>
      </c>
      <c r="B1464" s="13">
        <v>16</v>
      </c>
      <c r="C1464" t="s">
        <v>3</v>
      </c>
      <c r="D1464" t="s">
        <v>4</v>
      </c>
      <c r="E1464" t="s">
        <v>21</v>
      </c>
      <c r="F1464" s="6">
        <v>201160146</v>
      </c>
      <c r="G1464" t="s">
        <v>851</v>
      </c>
      <c r="H1464" t="s">
        <v>17</v>
      </c>
      <c r="I1464">
        <v>0</v>
      </c>
      <c r="J1464">
        <v>0</v>
      </c>
      <c r="K1464">
        <v>0</v>
      </c>
      <c r="L1464">
        <v>0</v>
      </c>
      <c r="M1464">
        <v>1.61</v>
      </c>
      <c r="N1464" s="7" t="e">
        <f>VLOOKUP(F1464,HC!A$6:D$100,3,FALSE)</f>
        <v>#N/A</v>
      </c>
      <c r="O1464" s="7" t="e">
        <f>VLOOKUP(F1464,HC!A$6:D$1000,2,FALSE)</f>
        <v>#N/A</v>
      </c>
      <c r="P1464" t="s">
        <v>675</v>
      </c>
      <c r="Q1464" s="7"/>
      <c r="U1464">
        <f t="shared" si="24"/>
        <v>1395</v>
      </c>
    </row>
    <row r="1465" spans="1:21" ht="37.5" customHeight="1" x14ac:dyDescent="0.25">
      <c r="A1465" s="27">
        <v>45038</v>
      </c>
      <c r="B1465" s="13">
        <v>16</v>
      </c>
      <c r="C1465" t="s">
        <v>3</v>
      </c>
      <c r="D1465" t="s">
        <v>4</v>
      </c>
      <c r="E1465" t="s">
        <v>21</v>
      </c>
      <c r="F1465" s="6">
        <v>201191198</v>
      </c>
      <c r="G1465" t="s">
        <v>974</v>
      </c>
      <c r="H1465" t="s">
        <v>17</v>
      </c>
      <c r="I1465">
        <v>0</v>
      </c>
      <c r="J1465">
        <v>0</v>
      </c>
      <c r="K1465">
        <v>0</v>
      </c>
      <c r="L1465">
        <v>0</v>
      </c>
      <c r="M1465">
        <v>0.09</v>
      </c>
      <c r="N1465" s="7" t="e">
        <f>VLOOKUP(F1465,HC!A$6:D$100,3,FALSE)</f>
        <v>#N/A</v>
      </c>
      <c r="O1465" s="7" t="str">
        <f>VLOOKUP(F1465,HC!A$6:D$1000,2,FALSE)</f>
        <v>mojicemm</v>
      </c>
      <c r="P1465" t="s">
        <v>663</v>
      </c>
      <c r="Q1465" s="7" t="s">
        <v>695</v>
      </c>
      <c r="U1465">
        <f t="shared" si="24"/>
        <v>24</v>
      </c>
    </row>
    <row r="1466" spans="1:21" ht="37.5" customHeight="1" x14ac:dyDescent="0.25">
      <c r="A1466" s="27">
        <v>45039</v>
      </c>
      <c r="B1466" s="13">
        <v>16</v>
      </c>
      <c r="C1466" t="s">
        <v>3</v>
      </c>
      <c r="D1466" t="s">
        <v>4</v>
      </c>
      <c r="E1466" t="s">
        <v>5</v>
      </c>
      <c r="F1466" s="6">
        <v>112980847</v>
      </c>
      <c r="G1466" t="s">
        <v>524</v>
      </c>
      <c r="H1466" t="s">
        <v>268</v>
      </c>
      <c r="I1466">
        <v>0</v>
      </c>
      <c r="J1466">
        <v>0</v>
      </c>
      <c r="K1466">
        <v>0</v>
      </c>
      <c r="L1466">
        <v>0</v>
      </c>
      <c r="M1466">
        <v>7.0000000000000007E-2</v>
      </c>
      <c r="N1466" s="7" t="e">
        <f>VLOOKUP(F1466,HC!A$6:D$100,3,FALSE)</f>
        <v>#N/A</v>
      </c>
      <c r="O1466" s="7" t="e">
        <f>VLOOKUP(F1466,HC!A$6:D$1000,2,FALSE)</f>
        <v>#N/A</v>
      </c>
      <c r="P1466" t="s">
        <v>664</v>
      </c>
      <c r="Q1466" s="7" t="s">
        <v>711</v>
      </c>
      <c r="U1466">
        <f t="shared" si="24"/>
        <v>1395</v>
      </c>
    </row>
    <row r="1467" spans="1:21" ht="37.5" customHeight="1" x14ac:dyDescent="0.25">
      <c r="A1467" s="27">
        <v>45039</v>
      </c>
      <c r="B1467" s="13">
        <v>16</v>
      </c>
      <c r="C1467" t="s">
        <v>3</v>
      </c>
      <c r="D1467" t="s">
        <v>4</v>
      </c>
      <c r="E1467" t="s">
        <v>5</v>
      </c>
      <c r="F1467" s="6">
        <v>113014081</v>
      </c>
      <c r="G1467" t="s">
        <v>267</v>
      </c>
      <c r="H1467" t="s">
        <v>285</v>
      </c>
      <c r="I1467">
        <v>0</v>
      </c>
      <c r="J1467">
        <v>0</v>
      </c>
      <c r="K1467">
        <v>0</v>
      </c>
      <c r="L1467">
        <v>0</v>
      </c>
      <c r="M1467">
        <v>0.67</v>
      </c>
      <c r="N1467" s="7" t="e">
        <f>VLOOKUP(F1467,HC!A$6:D$100,3,FALSE)</f>
        <v>#N/A</v>
      </c>
      <c r="O1467" s="7" t="str">
        <f>VLOOKUP(F1467,HC!A$6:D$1000,2,FALSE)</f>
        <v>fraugene</v>
      </c>
      <c r="P1467" t="s">
        <v>664</v>
      </c>
      <c r="Q1467" s="7" t="s">
        <v>717</v>
      </c>
      <c r="U1467">
        <f t="shared" si="24"/>
        <v>32</v>
      </c>
    </row>
    <row r="1468" spans="1:21" ht="37.5" customHeight="1" x14ac:dyDescent="0.25">
      <c r="A1468" s="27">
        <v>45039</v>
      </c>
      <c r="B1468" s="13">
        <v>16</v>
      </c>
      <c r="C1468" t="s">
        <v>3</v>
      </c>
      <c r="D1468" t="s">
        <v>4</v>
      </c>
      <c r="E1468" t="s">
        <v>21</v>
      </c>
      <c r="F1468" s="6">
        <v>201160146</v>
      </c>
      <c r="G1468" t="s">
        <v>851</v>
      </c>
      <c r="H1468" t="s">
        <v>17</v>
      </c>
      <c r="I1468">
        <v>0</v>
      </c>
      <c r="J1468">
        <v>0</v>
      </c>
      <c r="K1468">
        <v>0</v>
      </c>
      <c r="L1468">
        <v>0</v>
      </c>
      <c r="M1468">
        <v>0.94</v>
      </c>
      <c r="N1468" s="7" t="e">
        <f>VLOOKUP(F1468,HC!A$6:D$100,3,FALSE)</f>
        <v>#N/A</v>
      </c>
      <c r="O1468" s="7" t="e">
        <f>VLOOKUP(F1468,HC!A$6:D$1000,2,FALSE)</f>
        <v>#N/A</v>
      </c>
      <c r="P1468" t="s">
        <v>661</v>
      </c>
      <c r="Q1468" s="7" t="s">
        <v>684</v>
      </c>
      <c r="U1468">
        <f t="shared" si="24"/>
        <v>1395</v>
      </c>
    </row>
    <row r="1469" spans="1:21" ht="37.5" customHeight="1" x14ac:dyDescent="0.25">
      <c r="A1469" s="27">
        <v>45039</v>
      </c>
      <c r="B1469" s="13">
        <v>16</v>
      </c>
      <c r="C1469" t="s">
        <v>3</v>
      </c>
      <c r="D1469" t="s">
        <v>4</v>
      </c>
      <c r="E1469" t="s">
        <v>21</v>
      </c>
      <c r="F1469" s="6">
        <v>201165769</v>
      </c>
      <c r="G1469" t="s">
        <v>903</v>
      </c>
      <c r="H1469" t="s">
        <v>285</v>
      </c>
      <c r="I1469">
        <v>0</v>
      </c>
      <c r="J1469">
        <v>0</v>
      </c>
      <c r="K1469">
        <v>0</v>
      </c>
      <c r="L1469">
        <v>0</v>
      </c>
      <c r="M1469">
        <v>0.15</v>
      </c>
      <c r="N1469" s="7" t="e">
        <f>VLOOKUP(F1469,HC!A$6:D$100,3,FALSE)</f>
        <v>#N/A</v>
      </c>
      <c r="O1469" s="7" t="str">
        <f>VLOOKUP(F1469,HC!A$6:D$1000,2,FALSE)</f>
        <v>puenkare</v>
      </c>
      <c r="P1469" t="s">
        <v>662</v>
      </c>
      <c r="Q1469" s="7" t="s">
        <v>757</v>
      </c>
      <c r="U1469">
        <f t="shared" si="24"/>
        <v>19</v>
      </c>
    </row>
    <row r="1470" spans="1:21" ht="37.5" customHeight="1" x14ac:dyDescent="0.25">
      <c r="A1470" s="27">
        <v>45039</v>
      </c>
      <c r="B1470" s="13">
        <v>16</v>
      </c>
      <c r="C1470" t="s">
        <v>3</v>
      </c>
      <c r="D1470" t="s">
        <v>4</v>
      </c>
      <c r="E1470" t="s">
        <v>21</v>
      </c>
      <c r="F1470" s="6">
        <v>201201993</v>
      </c>
      <c r="G1470" t="s">
        <v>964</v>
      </c>
      <c r="H1470" t="s">
        <v>285</v>
      </c>
      <c r="I1470">
        <v>0</v>
      </c>
      <c r="J1470">
        <v>0</v>
      </c>
      <c r="K1470">
        <v>0</v>
      </c>
      <c r="L1470">
        <v>0</v>
      </c>
      <c r="M1470">
        <v>0.49</v>
      </c>
      <c r="N1470" s="7" t="e">
        <f>VLOOKUP(F1470,HC!A$6:D$100,3,FALSE)</f>
        <v>#N/A</v>
      </c>
      <c r="O1470" s="7" t="e">
        <f>VLOOKUP(F1470,HC!A$6:D$1000,2,FALSE)</f>
        <v>#N/A</v>
      </c>
      <c r="P1470" t="s">
        <v>664</v>
      </c>
      <c r="Q1470" s="7" t="s">
        <v>710</v>
      </c>
      <c r="U1470">
        <f t="shared" si="24"/>
        <v>1395</v>
      </c>
    </row>
    <row r="1471" spans="1:21" ht="37.5" customHeight="1" x14ac:dyDescent="0.25">
      <c r="A1471" s="27">
        <v>45039</v>
      </c>
      <c r="B1471" s="13">
        <v>16</v>
      </c>
      <c r="C1471" t="s">
        <v>3</v>
      </c>
      <c r="D1471" t="s">
        <v>4</v>
      </c>
      <c r="E1471" t="s">
        <v>21</v>
      </c>
      <c r="F1471" s="6">
        <v>201202093</v>
      </c>
      <c r="G1471" t="s">
        <v>479</v>
      </c>
      <c r="H1471" t="s">
        <v>298</v>
      </c>
      <c r="I1471">
        <v>0</v>
      </c>
      <c r="J1471">
        <v>0</v>
      </c>
      <c r="K1471">
        <v>0</v>
      </c>
      <c r="L1471">
        <v>0</v>
      </c>
      <c r="M1471">
        <v>1.05</v>
      </c>
      <c r="N1471" s="7" t="e">
        <f>VLOOKUP(F1471,HC!A$6:D$100,3,FALSE)</f>
        <v>#N/A</v>
      </c>
      <c r="O1471" s="7" t="str">
        <f>VLOOKUP(F1471,HC!A$6:D$1000,2,FALSE)</f>
        <v>eliorten</v>
      </c>
      <c r="P1471" t="s">
        <v>661</v>
      </c>
      <c r="Q1471" s="7" t="s">
        <v>684</v>
      </c>
      <c r="U1471">
        <f t="shared" si="24"/>
        <v>12</v>
      </c>
    </row>
    <row r="1472" spans="1:21" ht="37.5" customHeight="1" x14ac:dyDescent="0.25">
      <c r="A1472" s="27">
        <v>45039</v>
      </c>
      <c r="B1472" s="13">
        <v>16</v>
      </c>
      <c r="C1472" t="s">
        <v>3</v>
      </c>
      <c r="D1472" t="s">
        <v>4</v>
      </c>
      <c r="E1472" t="s">
        <v>21</v>
      </c>
      <c r="F1472" s="6">
        <v>201294217</v>
      </c>
      <c r="G1472" t="s">
        <v>975</v>
      </c>
      <c r="H1472" t="s">
        <v>846</v>
      </c>
      <c r="I1472">
        <v>0</v>
      </c>
      <c r="J1472">
        <v>0</v>
      </c>
      <c r="K1472">
        <v>0</v>
      </c>
      <c r="L1472">
        <v>0</v>
      </c>
      <c r="M1472">
        <v>0.14000000000000001</v>
      </c>
      <c r="N1472" s="7" t="e">
        <f>VLOOKUP(F1472,HC!A$6:D$100,3,FALSE)</f>
        <v>#N/A</v>
      </c>
      <c r="O1472" s="7" t="str">
        <f>VLOOKUP(F1472,HC!A$6:D$1000,2,FALSE)</f>
        <v>montebib</v>
      </c>
      <c r="P1472" t="s">
        <v>664</v>
      </c>
      <c r="Q1472" s="7" t="s">
        <v>708</v>
      </c>
      <c r="U1472">
        <f t="shared" si="24"/>
        <v>5</v>
      </c>
    </row>
    <row r="1473" spans="1:21" ht="37.5" customHeight="1" x14ac:dyDescent="0.25">
      <c r="A1473" s="27">
        <v>45040</v>
      </c>
      <c r="B1473" s="13">
        <v>16</v>
      </c>
      <c r="C1473" t="s">
        <v>3</v>
      </c>
      <c r="D1473" t="s">
        <v>4</v>
      </c>
      <c r="E1473" t="s">
        <v>5</v>
      </c>
      <c r="F1473" s="6">
        <v>103979960</v>
      </c>
      <c r="G1473" t="s">
        <v>372</v>
      </c>
      <c r="H1473" t="s">
        <v>44</v>
      </c>
      <c r="I1473">
        <v>0</v>
      </c>
      <c r="J1473">
        <v>0</v>
      </c>
      <c r="K1473">
        <v>0</v>
      </c>
      <c r="L1473">
        <v>0</v>
      </c>
      <c r="M1473">
        <v>0.91</v>
      </c>
      <c r="N1473" s="7" t="e">
        <f>VLOOKUP(F1473,HC!A$6:D$100,3,FALSE)</f>
        <v>#N/A</v>
      </c>
      <c r="O1473" s="7" t="e">
        <f>VLOOKUP(F1473,HC!A$6:D$1000,2,FALSE)</f>
        <v>#N/A</v>
      </c>
      <c r="Q1473" s="7"/>
      <c r="R1473" t="s">
        <v>612</v>
      </c>
      <c r="U1473">
        <f t="shared" si="24"/>
        <v>1395</v>
      </c>
    </row>
    <row r="1474" spans="1:21" ht="37.5" customHeight="1" x14ac:dyDescent="0.25">
      <c r="A1474" s="27">
        <v>45040</v>
      </c>
      <c r="B1474" s="13">
        <v>16</v>
      </c>
      <c r="C1474" t="s">
        <v>3</v>
      </c>
      <c r="D1474" t="s">
        <v>4</v>
      </c>
      <c r="E1474" t="s">
        <v>5</v>
      </c>
      <c r="F1474" s="6">
        <v>111434478</v>
      </c>
      <c r="G1474" t="s">
        <v>331</v>
      </c>
      <c r="H1474" t="s">
        <v>253</v>
      </c>
      <c r="I1474">
        <v>0</v>
      </c>
      <c r="J1474">
        <v>0</v>
      </c>
      <c r="K1474">
        <v>0</v>
      </c>
      <c r="L1474">
        <v>0</v>
      </c>
      <c r="M1474">
        <v>0.17</v>
      </c>
      <c r="N1474" s="7" t="str">
        <f>VLOOKUP(F1474,HC!A$6:D$100,3,FALSE)</f>
        <v>DA-X0700</v>
      </c>
      <c r="O1474" s="7" t="str">
        <f>VLOOKUP(F1474,HC!A$6:D$1000,2,FALSE)</f>
        <v>juanapam</v>
      </c>
      <c r="P1474" t="s">
        <v>664</v>
      </c>
      <c r="Q1474" s="7" t="s">
        <v>710</v>
      </c>
      <c r="U1474">
        <f t="shared" si="24"/>
        <v>32</v>
      </c>
    </row>
    <row r="1475" spans="1:21" ht="37.5" customHeight="1" x14ac:dyDescent="0.25">
      <c r="A1475" s="27">
        <v>45040</v>
      </c>
      <c r="B1475" s="13">
        <v>16</v>
      </c>
      <c r="C1475" t="s">
        <v>3</v>
      </c>
      <c r="D1475" t="s">
        <v>4</v>
      </c>
      <c r="E1475" t="s">
        <v>21</v>
      </c>
      <c r="F1475" s="6">
        <v>112912007</v>
      </c>
      <c r="G1475" t="s">
        <v>518</v>
      </c>
      <c r="H1475" t="s">
        <v>268</v>
      </c>
      <c r="I1475">
        <v>0</v>
      </c>
      <c r="J1475">
        <v>0</v>
      </c>
      <c r="K1475">
        <v>0</v>
      </c>
      <c r="L1475">
        <v>0</v>
      </c>
      <c r="M1475">
        <v>0.24</v>
      </c>
      <c r="N1475" s="7" t="e">
        <f>VLOOKUP(F1475,HC!A$6:D$100,3,FALSE)</f>
        <v>#N/A</v>
      </c>
      <c r="O1475" s="7" t="e">
        <f>VLOOKUP(F1475,HC!A$6:D$1000,2,FALSE)</f>
        <v>#N/A</v>
      </c>
      <c r="P1475" t="s">
        <v>664</v>
      </c>
      <c r="Q1475" s="7" t="s">
        <v>711</v>
      </c>
      <c r="U1475">
        <f t="shared" ref="U1475:U1538" si="25">COUNTIF(O$2:O$4999,O1475)</f>
        <v>1395</v>
      </c>
    </row>
    <row r="1476" spans="1:21" ht="37.5" customHeight="1" x14ac:dyDescent="0.25">
      <c r="A1476" s="27">
        <v>45040</v>
      </c>
      <c r="B1476" s="13">
        <v>16</v>
      </c>
      <c r="C1476" t="s">
        <v>3</v>
      </c>
      <c r="D1476" t="s">
        <v>4</v>
      </c>
      <c r="E1476" t="s">
        <v>5</v>
      </c>
      <c r="F1476" s="6">
        <v>112912052</v>
      </c>
      <c r="G1476" t="s">
        <v>900</v>
      </c>
      <c r="H1476" t="s">
        <v>459</v>
      </c>
      <c r="I1476">
        <v>0</v>
      </c>
      <c r="J1476">
        <v>0</v>
      </c>
      <c r="K1476">
        <v>0</v>
      </c>
      <c r="L1476">
        <v>0</v>
      </c>
      <c r="M1476">
        <v>0.13</v>
      </c>
      <c r="N1476" s="7" t="str">
        <f>VLOOKUP(F1476,HC!A$6:D$100,3,FALSE)</f>
        <v>DB-X0700</v>
      </c>
      <c r="O1476" s="7" t="str">
        <f>VLOOKUP(F1476,HC!A$6:D$1000,2,FALSE)</f>
        <v>oortizce</v>
      </c>
      <c r="P1476" t="s">
        <v>662</v>
      </c>
      <c r="Q1476" s="7" t="s">
        <v>757</v>
      </c>
      <c r="U1476">
        <f t="shared" si="25"/>
        <v>5</v>
      </c>
    </row>
    <row r="1477" spans="1:21" ht="37.5" customHeight="1" x14ac:dyDescent="0.25">
      <c r="A1477" s="27">
        <v>45040</v>
      </c>
      <c r="B1477" s="13">
        <v>16</v>
      </c>
      <c r="C1477" t="s">
        <v>3</v>
      </c>
      <c r="D1477" t="s">
        <v>4</v>
      </c>
      <c r="E1477" t="s">
        <v>5</v>
      </c>
      <c r="F1477" s="6">
        <v>112912753</v>
      </c>
      <c r="G1477" t="s">
        <v>415</v>
      </c>
      <c r="H1477" t="s">
        <v>298</v>
      </c>
      <c r="I1477">
        <v>0</v>
      </c>
      <c r="J1477">
        <v>0</v>
      </c>
      <c r="K1477">
        <v>0</v>
      </c>
      <c r="L1477">
        <v>0</v>
      </c>
      <c r="M1477">
        <v>7.0000000000000007E-2</v>
      </c>
      <c r="N1477" s="7" t="e">
        <f>VLOOKUP(F1477,HC!A$6:D$100,3,FALSE)</f>
        <v>#N/A</v>
      </c>
      <c r="O1477" s="7" t="e">
        <f>VLOOKUP(F1477,HC!A$6:D$1000,2,FALSE)</f>
        <v>#N/A</v>
      </c>
      <c r="P1477" t="s">
        <v>664</v>
      </c>
      <c r="Q1477" s="7" t="s">
        <v>708</v>
      </c>
      <c r="U1477">
        <f t="shared" si="25"/>
        <v>1395</v>
      </c>
    </row>
    <row r="1478" spans="1:21" ht="37.5" customHeight="1" x14ac:dyDescent="0.25">
      <c r="A1478" s="27">
        <v>45040</v>
      </c>
      <c r="B1478" s="13">
        <v>16</v>
      </c>
      <c r="C1478" t="s">
        <v>3</v>
      </c>
      <c r="D1478" t="s">
        <v>4</v>
      </c>
      <c r="E1478" t="s">
        <v>5</v>
      </c>
      <c r="F1478" s="6">
        <v>112971961</v>
      </c>
      <c r="G1478" t="s">
        <v>755</v>
      </c>
      <c r="H1478" t="s">
        <v>332</v>
      </c>
      <c r="I1478">
        <v>0</v>
      </c>
      <c r="J1478">
        <v>0</v>
      </c>
      <c r="K1478">
        <v>0</v>
      </c>
      <c r="L1478">
        <v>0</v>
      </c>
      <c r="M1478">
        <v>0.56999999999999995</v>
      </c>
      <c r="N1478" s="7" t="e">
        <f>VLOOKUP(F1478,HC!A$6:D$100,3,FALSE)</f>
        <v>#N/A</v>
      </c>
      <c r="O1478" s="7" t="e">
        <f>VLOOKUP(F1478,HC!A$6:D$1000,2,FALSE)</f>
        <v>#N/A</v>
      </c>
      <c r="P1478" t="s">
        <v>661</v>
      </c>
      <c r="Q1478" s="7" t="s">
        <v>681</v>
      </c>
      <c r="U1478">
        <f t="shared" si="25"/>
        <v>1395</v>
      </c>
    </row>
    <row r="1479" spans="1:21" ht="37.5" customHeight="1" x14ac:dyDescent="0.25">
      <c r="A1479" s="27">
        <v>45040</v>
      </c>
      <c r="B1479" s="13">
        <v>16</v>
      </c>
      <c r="C1479" t="s">
        <v>3</v>
      </c>
      <c r="D1479" t="s">
        <v>4</v>
      </c>
      <c r="E1479" t="s">
        <v>5</v>
      </c>
      <c r="F1479" s="6">
        <v>112981014</v>
      </c>
      <c r="G1479" t="s">
        <v>367</v>
      </c>
      <c r="H1479" t="s">
        <v>268</v>
      </c>
      <c r="I1479">
        <v>0</v>
      </c>
      <c r="J1479">
        <v>0</v>
      </c>
      <c r="K1479">
        <v>0</v>
      </c>
      <c r="L1479">
        <v>0</v>
      </c>
      <c r="M1479">
        <v>0.15</v>
      </c>
      <c r="N1479" s="7" t="str">
        <f>VLOOKUP(F1479,HC!A$6:D$100,3,FALSE)</f>
        <v>DJ-X0700</v>
      </c>
      <c r="O1479" s="7" t="str">
        <f>VLOOKUP(F1479,HC!A$6:D$1000,2,FALSE)</f>
        <v>rpabloul</v>
      </c>
      <c r="P1479" t="s">
        <v>662</v>
      </c>
      <c r="Q1479" s="7" t="s">
        <v>688</v>
      </c>
      <c r="U1479">
        <f t="shared" si="25"/>
        <v>17</v>
      </c>
    </row>
    <row r="1480" spans="1:21" ht="37.5" customHeight="1" x14ac:dyDescent="0.25">
      <c r="A1480" s="27">
        <v>45040</v>
      </c>
      <c r="B1480" s="13">
        <v>16</v>
      </c>
      <c r="C1480" t="s">
        <v>3</v>
      </c>
      <c r="D1480" t="s">
        <v>4</v>
      </c>
      <c r="E1480" t="s">
        <v>5</v>
      </c>
      <c r="F1480" s="6">
        <v>113014036</v>
      </c>
      <c r="G1480" t="s">
        <v>790</v>
      </c>
      <c r="H1480" t="s">
        <v>44</v>
      </c>
      <c r="I1480">
        <v>0</v>
      </c>
      <c r="J1480">
        <v>0</v>
      </c>
      <c r="K1480">
        <v>0</v>
      </c>
      <c r="L1480">
        <v>0</v>
      </c>
      <c r="M1480">
        <v>1.87</v>
      </c>
      <c r="N1480" s="7" t="e">
        <f>VLOOKUP(F1480,HC!A$6:D$100,3,FALSE)</f>
        <v>#N/A</v>
      </c>
      <c r="O1480" s="7" t="str">
        <f>VLOOKUP(F1480,HC!A$6:D$1000,2,FALSE)</f>
        <v>ronjosea</v>
      </c>
      <c r="P1480" t="s">
        <v>661</v>
      </c>
      <c r="Q1480" s="7" t="s">
        <v>681</v>
      </c>
      <c r="U1480">
        <f t="shared" si="25"/>
        <v>5</v>
      </c>
    </row>
    <row r="1481" spans="1:21" ht="37.5" customHeight="1" x14ac:dyDescent="0.25">
      <c r="A1481" s="27">
        <v>45040</v>
      </c>
      <c r="B1481" s="13">
        <v>16</v>
      </c>
      <c r="C1481" t="s">
        <v>3</v>
      </c>
      <c r="D1481" t="s">
        <v>4</v>
      </c>
      <c r="E1481" t="s">
        <v>5</v>
      </c>
      <c r="F1481" s="6">
        <v>200404250</v>
      </c>
      <c r="G1481" t="s">
        <v>51</v>
      </c>
      <c r="H1481" t="s">
        <v>298</v>
      </c>
      <c r="I1481">
        <v>0</v>
      </c>
      <c r="J1481">
        <v>0</v>
      </c>
      <c r="K1481">
        <v>0</v>
      </c>
      <c r="L1481">
        <v>0</v>
      </c>
      <c r="M1481">
        <v>0.55000000000000004</v>
      </c>
      <c r="N1481" s="7" t="e">
        <f>VLOOKUP(F1481,HC!A$6:D$100,3,FALSE)</f>
        <v>#N/A</v>
      </c>
      <c r="O1481" s="7" t="str">
        <f>VLOOKUP(F1481,HC!A$6:D$1000,2,FALSE)</f>
        <v>xcathurt</v>
      </c>
      <c r="P1481" t="s">
        <v>662</v>
      </c>
      <c r="Q1481" s="7" t="s">
        <v>785</v>
      </c>
      <c r="U1481">
        <f t="shared" si="25"/>
        <v>124</v>
      </c>
    </row>
    <row r="1482" spans="1:21" ht="37.5" customHeight="1" x14ac:dyDescent="0.25">
      <c r="A1482" s="27">
        <v>45040</v>
      </c>
      <c r="B1482" s="13">
        <v>16</v>
      </c>
      <c r="C1482" t="s">
        <v>3</v>
      </c>
      <c r="D1482" t="s">
        <v>4</v>
      </c>
      <c r="E1482" t="s">
        <v>21</v>
      </c>
      <c r="F1482" s="6">
        <v>200564895</v>
      </c>
      <c r="G1482" t="s">
        <v>520</v>
      </c>
      <c r="H1482" t="s">
        <v>44</v>
      </c>
      <c r="I1482">
        <v>0</v>
      </c>
      <c r="J1482">
        <v>0</v>
      </c>
      <c r="K1482">
        <v>0</v>
      </c>
      <c r="L1482">
        <v>0</v>
      </c>
      <c r="M1482">
        <v>1.41</v>
      </c>
      <c r="N1482" s="7" t="e">
        <f>VLOOKUP(F1482,HC!A$6:D$100,3,FALSE)</f>
        <v>#N/A</v>
      </c>
      <c r="O1482" s="7" t="str">
        <f>VLOOKUP(F1482,HC!A$6:D$1000,2,FALSE)</f>
        <v>hmendobr</v>
      </c>
      <c r="P1482" t="s">
        <v>661</v>
      </c>
      <c r="Q1482" s="7" t="s">
        <v>681</v>
      </c>
      <c r="U1482">
        <f t="shared" si="25"/>
        <v>16</v>
      </c>
    </row>
    <row r="1483" spans="1:21" ht="37.5" customHeight="1" x14ac:dyDescent="0.25">
      <c r="A1483" s="27">
        <v>45040</v>
      </c>
      <c r="B1483" s="13">
        <v>16</v>
      </c>
      <c r="C1483" t="s">
        <v>3</v>
      </c>
      <c r="D1483" t="s">
        <v>4</v>
      </c>
      <c r="E1483" t="s">
        <v>21</v>
      </c>
      <c r="F1483" s="6">
        <v>200625517</v>
      </c>
      <c r="G1483" t="s">
        <v>323</v>
      </c>
      <c r="H1483" t="s">
        <v>44</v>
      </c>
      <c r="I1483">
        <v>0</v>
      </c>
      <c r="J1483">
        <v>0</v>
      </c>
      <c r="K1483">
        <v>0</v>
      </c>
      <c r="L1483">
        <v>0</v>
      </c>
      <c r="M1483">
        <v>0.51</v>
      </c>
      <c r="N1483" s="7" t="e">
        <f>VLOOKUP(F1483,HC!A$6:D$100,3,FALSE)</f>
        <v>#N/A</v>
      </c>
      <c r="O1483" s="7" t="e">
        <f>VLOOKUP(F1483,HC!A$6:D$1000,2,FALSE)</f>
        <v>#N/A</v>
      </c>
      <c r="P1483" t="s">
        <v>663</v>
      </c>
      <c r="Q1483" s="7" t="s">
        <v>707</v>
      </c>
      <c r="U1483">
        <f t="shared" si="25"/>
        <v>1395</v>
      </c>
    </row>
    <row r="1484" spans="1:21" ht="37.5" customHeight="1" x14ac:dyDescent="0.25">
      <c r="A1484" s="27">
        <v>45040</v>
      </c>
      <c r="B1484" s="13">
        <v>16</v>
      </c>
      <c r="C1484" t="s">
        <v>3</v>
      </c>
      <c r="D1484" t="s">
        <v>4</v>
      </c>
      <c r="E1484" t="s">
        <v>21</v>
      </c>
      <c r="F1484" s="6">
        <v>201186833</v>
      </c>
      <c r="G1484" t="s">
        <v>904</v>
      </c>
      <c r="H1484" t="s">
        <v>268</v>
      </c>
      <c r="I1484">
        <v>0</v>
      </c>
      <c r="J1484">
        <v>0</v>
      </c>
      <c r="K1484">
        <v>0</v>
      </c>
      <c r="L1484">
        <v>0</v>
      </c>
      <c r="M1484">
        <v>0.14000000000000001</v>
      </c>
      <c r="N1484" s="7" t="e">
        <f>VLOOKUP(F1484,HC!A$6:D$100,3,FALSE)</f>
        <v>#N/A</v>
      </c>
      <c r="O1484" s="7" t="str">
        <f>VLOOKUP(F1484,HC!A$6:D$1000,2,FALSE)</f>
        <v>jaalexav</v>
      </c>
      <c r="P1484" t="s">
        <v>661</v>
      </c>
      <c r="Q1484" s="7" t="s">
        <v>681</v>
      </c>
      <c r="U1484">
        <f t="shared" si="25"/>
        <v>16</v>
      </c>
    </row>
    <row r="1485" spans="1:21" ht="37.5" customHeight="1" x14ac:dyDescent="0.25">
      <c r="A1485" s="27">
        <v>45040</v>
      </c>
      <c r="B1485" s="13">
        <v>16</v>
      </c>
      <c r="C1485" t="s">
        <v>3</v>
      </c>
      <c r="D1485" t="s">
        <v>4</v>
      </c>
      <c r="E1485" t="s">
        <v>21</v>
      </c>
      <c r="F1485" s="6">
        <v>201201993</v>
      </c>
      <c r="G1485" t="s">
        <v>964</v>
      </c>
      <c r="H1485" t="s">
        <v>285</v>
      </c>
      <c r="I1485">
        <v>0</v>
      </c>
      <c r="J1485">
        <v>0</v>
      </c>
      <c r="K1485">
        <v>0</v>
      </c>
      <c r="L1485">
        <v>0</v>
      </c>
      <c r="M1485">
        <v>0.27</v>
      </c>
      <c r="N1485" s="7" t="e">
        <f>VLOOKUP(F1485,HC!A$6:D$100,3,FALSE)</f>
        <v>#N/A</v>
      </c>
      <c r="O1485" s="7" t="e">
        <f>VLOOKUP(F1485,HC!A$6:D$1000,2,FALSE)</f>
        <v>#N/A</v>
      </c>
      <c r="P1485" t="s">
        <v>664</v>
      </c>
      <c r="Q1485" s="7" t="s">
        <v>708</v>
      </c>
      <c r="U1485">
        <f t="shared" si="25"/>
        <v>1395</v>
      </c>
    </row>
    <row r="1486" spans="1:21" ht="37.5" customHeight="1" x14ac:dyDescent="0.25">
      <c r="A1486" s="27">
        <v>45040</v>
      </c>
      <c r="B1486" s="13">
        <v>16</v>
      </c>
      <c r="C1486" t="s">
        <v>3</v>
      </c>
      <c r="D1486" t="s">
        <v>4</v>
      </c>
      <c r="E1486" t="s">
        <v>21</v>
      </c>
      <c r="F1486" s="6">
        <v>201219225</v>
      </c>
      <c r="G1486" t="s">
        <v>925</v>
      </c>
      <c r="H1486" t="s">
        <v>44</v>
      </c>
      <c r="I1486">
        <v>0</v>
      </c>
      <c r="J1486">
        <v>0</v>
      </c>
      <c r="K1486">
        <v>0</v>
      </c>
      <c r="L1486">
        <v>0</v>
      </c>
      <c r="M1486">
        <v>0.59</v>
      </c>
      <c r="N1486" s="7" t="e">
        <f>VLOOKUP(F1486,HC!A$6:D$100,3,FALSE)</f>
        <v>#N/A</v>
      </c>
      <c r="O1486" s="7" t="e">
        <f>VLOOKUP(F1486,HC!A$6:D$1000,2,FALSE)</f>
        <v>#N/A</v>
      </c>
      <c r="P1486" t="s">
        <v>666</v>
      </c>
      <c r="Q1486" s="7" t="s">
        <v>774</v>
      </c>
      <c r="U1486">
        <f t="shared" si="25"/>
        <v>1395</v>
      </c>
    </row>
    <row r="1487" spans="1:21" ht="37.5" customHeight="1" x14ac:dyDescent="0.25">
      <c r="A1487" s="27">
        <v>45040</v>
      </c>
      <c r="B1487" s="13">
        <v>16</v>
      </c>
      <c r="C1487" t="s">
        <v>3</v>
      </c>
      <c r="D1487" t="s">
        <v>4</v>
      </c>
      <c r="E1487" t="s">
        <v>21</v>
      </c>
      <c r="F1487" s="6">
        <v>201219742</v>
      </c>
      <c r="G1487" t="s">
        <v>976</v>
      </c>
      <c r="H1487" t="s">
        <v>44</v>
      </c>
      <c r="I1487">
        <v>0</v>
      </c>
      <c r="J1487">
        <v>0</v>
      </c>
      <c r="K1487">
        <v>0</v>
      </c>
      <c r="L1487">
        <v>0</v>
      </c>
      <c r="M1487">
        <v>2.4</v>
      </c>
      <c r="N1487" s="7" t="e">
        <f>VLOOKUP(F1487,HC!A$6:D$100,3,FALSE)</f>
        <v>#N/A</v>
      </c>
      <c r="O1487" s="7" t="e">
        <f>VLOOKUP(F1487,HC!A$6:D$1000,2,FALSE)</f>
        <v>#N/A</v>
      </c>
      <c r="P1487" t="s">
        <v>664</v>
      </c>
      <c r="Q1487" s="7" t="s">
        <v>771</v>
      </c>
      <c r="U1487">
        <f t="shared" si="25"/>
        <v>1395</v>
      </c>
    </row>
    <row r="1488" spans="1:21" ht="37.5" customHeight="1" x14ac:dyDescent="0.25">
      <c r="A1488" s="27">
        <v>45040</v>
      </c>
      <c r="B1488" s="13">
        <v>16</v>
      </c>
      <c r="C1488" t="s">
        <v>3</v>
      </c>
      <c r="D1488" t="s">
        <v>4</v>
      </c>
      <c r="E1488" t="s">
        <v>21</v>
      </c>
      <c r="F1488" s="6">
        <v>201295506</v>
      </c>
      <c r="G1488" t="s">
        <v>972</v>
      </c>
      <c r="H1488" t="s">
        <v>846</v>
      </c>
      <c r="I1488">
        <v>0</v>
      </c>
      <c r="J1488">
        <v>0</v>
      </c>
      <c r="K1488">
        <v>0</v>
      </c>
      <c r="L1488">
        <v>0</v>
      </c>
      <c r="M1488">
        <v>0.12</v>
      </c>
      <c r="N1488" s="7" t="e">
        <f>VLOOKUP(F1488,HC!A$6:D$100,3,FALSE)</f>
        <v>#N/A</v>
      </c>
      <c r="O1488" s="7" t="e">
        <f>VLOOKUP(F1488,HC!A$6:D$1000,2,FALSE)</f>
        <v>#N/A</v>
      </c>
      <c r="P1488" t="s">
        <v>661</v>
      </c>
      <c r="Q1488" s="7" t="s">
        <v>681</v>
      </c>
      <c r="U1488">
        <f t="shared" si="25"/>
        <v>1395</v>
      </c>
    </row>
    <row r="1489" spans="1:21" ht="37.5" customHeight="1" x14ac:dyDescent="0.25">
      <c r="A1489" s="27">
        <v>45040</v>
      </c>
      <c r="B1489" s="13">
        <v>16</v>
      </c>
      <c r="C1489" t="s">
        <v>3</v>
      </c>
      <c r="D1489" t="s">
        <v>4</v>
      </c>
      <c r="E1489" t="s">
        <v>21</v>
      </c>
      <c r="F1489" s="6">
        <v>201295555</v>
      </c>
      <c r="G1489" t="s">
        <v>968</v>
      </c>
      <c r="H1489" t="s">
        <v>846</v>
      </c>
      <c r="I1489">
        <v>0</v>
      </c>
      <c r="J1489">
        <v>0</v>
      </c>
      <c r="K1489">
        <v>0</v>
      </c>
      <c r="L1489">
        <v>0</v>
      </c>
      <c r="M1489">
        <v>0.14000000000000001</v>
      </c>
      <c r="N1489" s="7" t="e">
        <f>VLOOKUP(F1489,HC!A$6:D$100,3,FALSE)</f>
        <v>#N/A</v>
      </c>
      <c r="O1489" s="7" t="e">
        <f>VLOOKUP(F1489,HC!A$6:D$1000,2,FALSE)</f>
        <v>#N/A</v>
      </c>
      <c r="P1489" t="s">
        <v>664</v>
      </c>
      <c r="Q1489" s="7" t="s">
        <v>761</v>
      </c>
      <c r="U1489">
        <f t="shared" si="25"/>
        <v>1395</v>
      </c>
    </row>
    <row r="1490" spans="1:21" ht="37.5" customHeight="1" x14ac:dyDescent="0.25">
      <c r="A1490" s="27">
        <v>45041</v>
      </c>
      <c r="B1490" s="13">
        <v>16</v>
      </c>
      <c r="C1490" t="s">
        <v>3</v>
      </c>
      <c r="D1490" t="s">
        <v>4</v>
      </c>
      <c r="E1490" t="s">
        <v>21</v>
      </c>
      <c r="F1490" s="6">
        <v>112912007</v>
      </c>
      <c r="G1490" t="s">
        <v>518</v>
      </c>
      <c r="H1490" t="s">
        <v>268</v>
      </c>
      <c r="I1490">
        <v>0</v>
      </c>
      <c r="J1490">
        <v>0</v>
      </c>
      <c r="K1490">
        <v>0</v>
      </c>
      <c r="L1490">
        <v>0</v>
      </c>
      <c r="M1490">
        <v>0.11</v>
      </c>
      <c r="N1490" s="7" t="e">
        <f>VLOOKUP(F1490,HC!A$6:D$100,3,FALSE)</f>
        <v>#N/A</v>
      </c>
      <c r="O1490" s="7" t="e">
        <f>VLOOKUP(F1490,HC!A$6:D$1000,2,FALSE)</f>
        <v>#N/A</v>
      </c>
      <c r="P1490" t="s">
        <v>664</v>
      </c>
      <c r="Q1490" s="7" t="s">
        <v>711</v>
      </c>
      <c r="U1490">
        <f t="shared" si="25"/>
        <v>1395</v>
      </c>
    </row>
    <row r="1491" spans="1:21" ht="37.5" customHeight="1" x14ac:dyDescent="0.25">
      <c r="A1491" s="27">
        <v>45041</v>
      </c>
      <c r="B1491" s="13">
        <v>16</v>
      </c>
      <c r="C1491" t="s">
        <v>3</v>
      </c>
      <c r="D1491" t="s">
        <v>4</v>
      </c>
      <c r="E1491" t="s">
        <v>5</v>
      </c>
      <c r="F1491" s="6">
        <v>112912008</v>
      </c>
      <c r="G1491" t="s">
        <v>249</v>
      </c>
      <c r="H1491" t="s">
        <v>250</v>
      </c>
      <c r="I1491">
        <v>0</v>
      </c>
      <c r="J1491">
        <v>0</v>
      </c>
      <c r="K1491">
        <v>0</v>
      </c>
      <c r="L1491">
        <v>0</v>
      </c>
      <c r="M1491">
        <v>0.28000000000000003</v>
      </c>
      <c r="N1491" s="7" t="e">
        <f>VLOOKUP(F1491,HC!A$6:D$100,3,FALSE)</f>
        <v>#N/A</v>
      </c>
      <c r="O1491" s="7" t="e">
        <f>VLOOKUP(F1491,HC!A$6:D$1000,2,FALSE)</f>
        <v>#N/A</v>
      </c>
      <c r="P1491" t="s">
        <v>664</v>
      </c>
      <c r="Q1491" s="7" t="s">
        <v>708</v>
      </c>
      <c r="U1491">
        <f t="shared" si="25"/>
        <v>1395</v>
      </c>
    </row>
    <row r="1492" spans="1:21" ht="37.5" customHeight="1" x14ac:dyDescent="0.25">
      <c r="A1492" s="27">
        <v>45041</v>
      </c>
      <c r="B1492" s="13">
        <v>16</v>
      </c>
      <c r="C1492" t="s">
        <v>3</v>
      </c>
      <c r="D1492" t="s">
        <v>4</v>
      </c>
      <c r="E1492" t="s">
        <v>5</v>
      </c>
      <c r="F1492" s="6">
        <v>112912071</v>
      </c>
      <c r="G1492" t="s">
        <v>918</v>
      </c>
      <c r="H1492" t="s">
        <v>268</v>
      </c>
      <c r="I1492">
        <v>0</v>
      </c>
      <c r="J1492">
        <v>0</v>
      </c>
      <c r="K1492">
        <v>0</v>
      </c>
      <c r="L1492">
        <v>0</v>
      </c>
      <c r="M1492">
        <v>0.55000000000000004</v>
      </c>
      <c r="N1492" s="7" t="e">
        <f>VLOOKUP(F1492,HC!A$6:D$100,3,FALSE)</f>
        <v>#N/A</v>
      </c>
      <c r="O1492" s="7" t="e">
        <f>VLOOKUP(F1492,HC!A$6:D$1000,2,FALSE)</f>
        <v>#N/A</v>
      </c>
      <c r="P1492" t="s">
        <v>664</v>
      </c>
      <c r="Q1492" s="7" t="s">
        <v>710</v>
      </c>
      <c r="R1492" t="s">
        <v>981</v>
      </c>
      <c r="U1492">
        <f t="shared" si="25"/>
        <v>1395</v>
      </c>
    </row>
    <row r="1493" spans="1:21" ht="37.5" customHeight="1" x14ac:dyDescent="0.25">
      <c r="A1493" s="27">
        <v>45041</v>
      </c>
      <c r="B1493" s="13">
        <v>16</v>
      </c>
      <c r="C1493" t="s">
        <v>3</v>
      </c>
      <c r="D1493" t="s">
        <v>4</v>
      </c>
      <c r="E1493" t="s">
        <v>5</v>
      </c>
      <c r="F1493" s="6">
        <v>112913641</v>
      </c>
      <c r="G1493" t="s">
        <v>978</v>
      </c>
      <c r="H1493" t="s">
        <v>403</v>
      </c>
      <c r="I1493">
        <v>0</v>
      </c>
      <c r="J1493">
        <v>0</v>
      </c>
      <c r="K1493">
        <v>0</v>
      </c>
      <c r="L1493">
        <v>0</v>
      </c>
      <c r="M1493">
        <v>0.84</v>
      </c>
      <c r="N1493" s="7" t="str">
        <f>VLOOKUP(F1493,HC!A$6:D$100,3,FALSE)</f>
        <v>DB-X0700</v>
      </c>
      <c r="O1493" s="7" t="str">
        <f>VLOOKUP(F1493,HC!A$6:D$1000,2,FALSE)</f>
        <v>arevamau</v>
      </c>
      <c r="P1493" t="s">
        <v>664</v>
      </c>
      <c r="Q1493" s="7" t="s">
        <v>711</v>
      </c>
      <c r="R1493" t="s">
        <v>620</v>
      </c>
      <c r="U1493">
        <f t="shared" si="25"/>
        <v>3</v>
      </c>
    </row>
    <row r="1494" spans="1:21" ht="37.5" customHeight="1" x14ac:dyDescent="0.25">
      <c r="A1494" s="27">
        <v>45041</v>
      </c>
      <c r="B1494" s="13">
        <v>16</v>
      </c>
      <c r="C1494" t="s">
        <v>3</v>
      </c>
      <c r="D1494" t="s">
        <v>4</v>
      </c>
      <c r="E1494" t="s">
        <v>5</v>
      </c>
      <c r="F1494" s="6">
        <v>112981061</v>
      </c>
      <c r="G1494" t="s">
        <v>264</v>
      </c>
      <c r="H1494" t="s">
        <v>44</v>
      </c>
      <c r="I1494">
        <v>0</v>
      </c>
      <c r="J1494">
        <v>0</v>
      </c>
      <c r="K1494">
        <v>0</v>
      </c>
      <c r="L1494">
        <v>0</v>
      </c>
      <c r="M1494">
        <v>0.23</v>
      </c>
      <c r="N1494" s="7" t="str">
        <f>VLOOKUP(F1494,HC!A$6:D$100,3,FALSE)</f>
        <v>DA-X0700</v>
      </c>
      <c r="O1494" s="7" t="str">
        <f>VLOOKUP(F1494,HC!A$6:D$1000,2,FALSE)</f>
        <v>mclaudol</v>
      </c>
      <c r="P1494" t="s">
        <v>661</v>
      </c>
      <c r="Q1494" s="7" t="s">
        <v>681</v>
      </c>
      <c r="U1494">
        <f t="shared" si="25"/>
        <v>44</v>
      </c>
    </row>
    <row r="1495" spans="1:21" ht="37.5" customHeight="1" x14ac:dyDescent="0.25">
      <c r="A1495" s="27">
        <v>45041</v>
      </c>
      <c r="B1495" s="13">
        <v>16</v>
      </c>
      <c r="C1495" t="s">
        <v>3</v>
      </c>
      <c r="D1495" t="s">
        <v>4</v>
      </c>
      <c r="E1495" t="s">
        <v>5</v>
      </c>
      <c r="F1495" s="6">
        <v>112981212</v>
      </c>
      <c r="G1495" t="s">
        <v>573</v>
      </c>
      <c r="H1495" t="s">
        <v>44</v>
      </c>
      <c r="I1495">
        <v>0</v>
      </c>
      <c r="J1495">
        <v>0</v>
      </c>
      <c r="K1495">
        <v>0</v>
      </c>
      <c r="L1495">
        <v>0</v>
      </c>
      <c r="M1495">
        <v>0.27</v>
      </c>
      <c r="N1495" s="7" t="e">
        <f>VLOOKUP(F1495,HC!A$6:D$100,3,FALSE)</f>
        <v>#N/A</v>
      </c>
      <c r="O1495" s="7" t="str">
        <f>VLOOKUP(F1495,HC!A$6:D$1000,2,FALSE)</f>
        <v>alysonza</v>
      </c>
      <c r="P1495" t="s">
        <v>661</v>
      </c>
      <c r="Q1495" s="7" t="s">
        <v>681</v>
      </c>
      <c r="U1495">
        <f t="shared" si="25"/>
        <v>23</v>
      </c>
    </row>
    <row r="1496" spans="1:21" ht="37.5" customHeight="1" x14ac:dyDescent="0.25">
      <c r="A1496" s="27">
        <v>45041</v>
      </c>
      <c r="B1496" s="13">
        <v>16</v>
      </c>
      <c r="C1496" t="s">
        <v>3</v>
      </c>
      <c r="D1496" t="s">
        <v>4</v>
      </c>
      <c r="E1496" t="s">
        <v>21</v>
      </c>
      <c r="F1496" s="6">
        <v>113014000</v>
      </c>
      <c r="G1496" t="s">
        <v>979</v>
      </c>
      <c r="H1496" t="s">
        <v>268</v>
      </c>
      <c r="I1496">
        <v>0</v>
      </c>
      <c r="J1496">
        <v>0</v>
      </c>
      <c r="K1496">
        <v>0</v>
      </c>
      <c r="L1496">
        <v>0</v>
      </c>
      <c r="M1496">
        <v>0.16</v>
      </c>
      <c r="N1496" s="7" t="e">
        <f>VLOOKUP(F1496,HC!A$6:D$100,3,FALSE)</f>
        <v>#N/A</v>
      </c>
      <c r="O1496" s="7" t="e">
        <f>VLOOKUP(F1496,HC!A$6:D$1000,2,FALSE)</f>
        <v>#N/A</v>
      </c>
      <c r="P1496" t="s">
        <v>661</v>
      </c>
      <c r="Q1496" s="7" t="s">
        <v>681</v>
      </c>
      <c r="U1496">
        <f t="shared" si="25"/>
        <v>1395</v>
      </c>
    </row>
    <row r="1497" spans="1:21" ht="37.5" customHeight="1" x14ac:dyDescent="0.25">
      <c r="A1497" s="27">
        <v>45041</v>
      </c>
      <c r="B1497" s="13">
        <v>16</v>
      </c>
      <c r="C1497" t="s">
        <v>3</v>
      </c>
      <c r="D1497" t="s">
        <v>4</v>
      </c>
      <c r="E1497" t="s">
        <v>5</v>
      </c>
      <c r="F1497" s="6">
        <v>113014081</v>
      </c>
      <c r="G1497" t="s">
        <v>267</v>
      </c>
      <c r="H1497" t="s">
        <v>285</v>
      </c>
      <c r="I1497">
        <v>0</v>
      </c>
      <c r="J1497">
        <v>0</v>
      </c>
      <c r="K1497">
        <v>0</v>
      </c>
      <c r="L1497">
        <v>0</v>
      </c>
      <c r="M1497">
        <v>0.09</v>
      </c>
      <c r="N1497" s="7" t="e">
        <f>VLOOKUP(F1497,HC!A$6:D$100,3,FALSE)</f>
        <v>#N/A</v>
      </c>
      <c r="O1497" s="7" t="str">
        <f>VLOOKUP(F1497,HC!A$6:D$1000,2,FALSE)</f>
        <v>fraugene</v>
      </c>
      <c r="P1497" t="s">
        <v>665</v>
      </c>
      <c r="Q1497" s="7" t="s">
        <v>722</v>
      </c>
      <c r="U1497">
        <f t="shared" si="25"/>
        <v>32</v>
      </c>
    </row>
    <row r="1498" spans="1:21" ht="37.5" customHeight="1" x14ac:dyDescent="0.25">
      <c r="A1498" s="27">
        <v>45041</v>
      </c>
      <c r="B1498" s="13">
        <v>16</v>
      </c>
      <c r="C1498" t="s">
        <v>3</v>
      </c>
      <c r="D1498" t="s">
        <v>4</v>
      </c>
      <c r="E1498" t="s">
        <v>5</v>
      </c>
      <c r="F1498" s="6">
        <v>113019001</v>
      </c>
      <c r="G1498" t="s">
        <v>464</v>
      </c>
      <c r="H1498" t="s">
        <v>268</v>
      </c>
      <c r="I1498">
        <v>0</v>
      </c>
      <c r="J1498">
        <v>0</v>
      </c>
      <c r="K1498">
        <v>0</v>
      </c>
      <c r="L1498">
        <v>0</v>
      </c>
      <c r="M1498">
        <v>0.09</v>
      </c>
      <c r="N1498" s="7" t="e">
        <f>VLOOKUP(F1498,HC!A$6:D$100,3,FALSE)</f>
        <v>#N/A</v>
      </c>
      <c r="O1498" s="7" t="str">
        <f>VLOOKUP(F1498,HC!A$6:D$1000,2,FALSE)</f>
        <v>dolozane</v>
      </c>
      <c r="P1498" t="s">
        <v>664</v>
      </c>
      <c r="Q1498" s="7" t="s">
        <v>708</v>
      </c>
      <c r="U1498">
        <f t="shared" si="25"/>
        <v>17</v>
      </c>
    </row>
    <row r="1499" spans="1:21" ht="37.5" customHeight="1" x14ac:dyDescent="0.25">
      <c r="A1499" s="27">
        <v>45041</v>
      </c>
      <c r="B1499" s="13">
        <v>16</v>
      </c>
      <c r="C1499" t="s">
        <v>3</v>
      </c>
      <c r="D1499" t="s">
        <v>4</v>
      </c>
      <c r="E1499" t="s">
        <v>5</v>
      </c>
      <c r="F1499" s="6">
        <v>200404250</v>
      </c>
      <c r="G1499" t="s">
        <v>51</v>
      </c>
      <c r="H1499" t="s">
        <v>298</v>
      </c>
      <c r="I1499">
        <v>0</v>
      </c>
      <c r="J1499">
        <v>0</v>
      </c>
      <c r="K1499">
        <v>0</v>
      </c>
      <c r="L1499">
        <v>0</v>
      </c>
      <c r="M1499">
        <v>1.74</v>
      </c>
      <c r="N1499" s="7" t="e">
        <f>VLOOKUP(F1499,HC!A$6:D$100,3,FALSE)</f>
        <v>#N/A</v>
      </c>
      <c r="O1499" s="7" t="str">
        <f>VLOOKUP(F1499,HC!A$6:D$1000,2,FALSE)</f>
        <v>xcathurt</v>
      </c>
      <c r="P1499" t="s">
        <v>662</v>
      </c>
      <c r="Q1499" s="7" t="s">
        <v>691</v>
      </c>
      <c r="U1499">
        <f t="shared" si="25"/>
        <v>124</v>
      </c>
    </row>
    <row r="1500" spans="1:21" ht="37.5" customHeight="1" x14ac:dyDescent="0.25">
      <c r="A1500" s="27">
        <v>45041</v>
      </c>
      <c r="B1500" s="13">
        <v>16</v>
      </c>
      <c r="C1500" t="s">
        <v>3</v>
      </c>
      <c r="D1500" t="s">
        <v>4</v>
      </c>
      <c r="E1500" t="s">
        <v>21</v>
      </c>
      <c r="F1500" s="6">
        <v>200620341</v>
      </c>
      <c r="G1500" t="s">
        <v>255</v>
      </c>
      <c r="H1500" t="s">
        <v>285</v>
      </c>
      <c r="I1500">
        <v>0</v>
      </c>
      <c r="J1500">
        <v>0</v>
      </c>
      <c r="K1500">
        <v>0</v>
      </c>
      <c r="L1500">
        <v>0</v>
      </c>
      <c r="M1500">
        <v>0.17</v>
      </c>
      <c r="N1500" s="7" t="e">
        <f>VLOOKUP(F1500,HC!A$6:D$100,3,FALSE)</f>
        <v>#N/A</v>
      </c>
      <c r="O1500" s="7" t="e">
        <f>VLOOKUP(F1500,HC!A$6:D$1000,2,FALSE)</f>
        <v>#N/A</v>
      </c>
      <c r="P1500" t="s">
        <v>666</v>
      </c>
      <c r="Q1500" s="7"/>
      <c r="R1500" t="s">
        <v>982</v>
      </c>
      <c r="U1500">
        <f t="shared" si="25"/>
        <v>1395</v>
      </c>
    </row>
    <row r="1501" spans="1:21" ht="37.5" customHeight="1" x14ac:dyDescent="0.25">
      <c r="A1501" s="27">
        <v>45041</v>
      </c>
      <c r="B1501" s="13">
        <v>16</v>
      </c>
      <c r="C1501" t="s">
        <v>3</v>
      </c>
      <c r="D1501" t="s">
        <v>4</v>
      </c>
      <c r="E1501" t="s">
        <v>21</v>
      </c>
      <c r="F1501" s="6">
        <v>201186139</v>
      </c>
      <c r="G1501" t="s">
        <v>971</v>
      </c>
      <c r="H1501" t="s">
        <v>268</v>
      </c>
      <c r="I1501">
        <v>0</v>
      </c>
      <c r="J1501">
        <v>0</v>
      </c>
      <c r="K1501">
        <v>0</v>
      </c>
      <c r="L1501">
        <v>0</v>
      </c>
      <c r="M1501">
        <v>0.56000000000000005</v>
      </c>
      <c r="N1501" s="7" t="e">
        <f>VLOOKUP(F1501,HC!A$6:D$100,3,FALSE)</f>
        <v>#N/A</v>
      </c>
      <c r="O1501" s="7" t="e">
        <f>VLOOKUP(F1501,HC!A$6:D$1000,2,FALSE)</f>
        <v>#N/A</v>
      </c>
      <c r="P1501" t="s">
        <v>664</v>
      </c>
      <c r="Q1501" s="7" t="s">
        <v>710</v>
      </c>
      <c r="U1501">
        <f t="shared" si="25"/>
        <v>1395</v>
      </c>
    </row>
    <row r="1502" spans="1:21" ht="37.5" customHeight="1" x14ac:dyDescent="0.25">
      <c r="A1502" s="27">
        <v>45041</v>
      </c>
      <c r="B1502" s="13">
        <v>16</v>
      </c>
      <c r="C1502" t="s">
        <v>3</v>
      </c>
      <c r="D1502" t="s">
        <v>4</v>
      </c>
      <c r="E1502" t="s">
        <v>21</v>
      </c>
      <c r="F1502" s="6">
        <v>201199001</v>
      </c>
      <c r="G1502" t="s">
        <v>980</v>
      </c>
      <c r="H1502" t="s">
        <v>268</v>
      </c>
      <c r="I1502">
        <v>0</v>
      </c>
      <c r="J1502">
        <v>0</v>
      </c>
      <c r="K1502">
        <v>0</v>
      </c>
      <c r="L1502">
        <v>0</v>
      </c>
      <c r="M1502">
        <v>0.22</v>
      </c>
      <c r="N1502" s="7" t="e">
        <f>VLOOKUP(F1502,HC!A$6:D$100,3,FALSE)</f>
        <v>#N/A</v>
      </c>
      <c r="O1502" s="7" t="e">
        <f>VLOOKUP(F1502,HC!A$6:D$1000,2,FALSE)</f>
        <v>#N/A</v>
      </c>
      <c r="P1502" t="s">
        <v>661</v>
      </c>
      <c r="Q1502" s="7" t="s">
        <v>681</v>
      </c>
      <c r="U1502">
        <f t="shared" si="25"/>
        <v>1395</v>
      </c>
    </row>
    <row r="1503" spans="1:21" ht="37.5" customHeight="1" x14ac:dyDescent="0.25">
      <c r="A1503" s="27">
        <v>45042</v>
      </c>
      <c r="B1503" s="13">
        <v>16</v>
      </c>
      <c r="C1503" t="s">
        <v>3</v>
      </c>
      <c r="D1503" t="s">
        <v>4</v>
      </c>
      <c r="E1503" t="s">
        <v>5</v>
      </c>
      <c r="F1503" s="6">
        <v>111434478</v>
      </c>
      <c r="G1503" t="s">
        <v>331</v>
      </c>
      <c r="H1503" t="s">
        <v>253</v>
      </c>
      <c r="I1503">
        <v>0</v>
      </c>
      <c r="J1503">
        <v>0</v>
      </c>
      <c r="K1503">
        <v>0</v>
      </c>
      <c r="L1503">
        <v>0</v>
      </c>
      <c r="M1503">
        <v>0.53</v>
      </c>
      <c r="N1503" s="7" t="str">
        <f>VLOOKUP(F1503,HC!A$6:D$100,3,FALSE)</f>
        <v>DA-X0700</v>
      </c>
      <c r="O1503" s="7" t="str">
        <f>VLOOKUP(F1503,HC!A$6:D$1000,2,FALSE)</f>
        <v>juanapam</v>
      </c>
      <c r="P1503" t="s">
        <v>664</v>
      </c>
      <c r="Q1503" s="7" t="s">
        <v>708</v>
      </c>
      <c r="U1503">
        <f t="shared" si="25"/>
        <v>32</v>
      </c>
    </row>
    <row r="1504" spans="1:21" ht="37.5" customHeight="1" x14ac:dyDescent="0.25">
      <c r="A1504" s="27">
        <v>45042</v>
      </c>
      <c r="B1504" s="13">
        <v>16</v>
      </c>
      <c r="C1504" t="s">
        <v>3</v>
      </c>
      <c r="D1504" t="s">
        <v>4</v>
      </c>
      <c r="E1504" t="s">
        <v>5</v>
      </c>
      <c r="F1504" s="6">
        <v>112912745</v>
      </c>
      <c r="G1504" t="s">
        <v>478</v>
      </c>
      <c r="H1504" t="s">
        <v>268</v>
      </c>
      <c r="I1504">
        <v>0</v>
      </c>
      <c r="J1504">
        <v>0</v>
      </c>
      <c r="K1504">
        <v>0</v>
      </c>
      <c r="L1504">
        <v>0</v>
      </c>
      <c r="M1504">
        <v>0.81</v>
      </c>
      <c r="N1504" s="7" t="str">
        <f>VLOOKUP(F1504,HC!A$6:D$100,3,FALSE)</f>
        <v>DA-X0700</v>
      </c>
      <c r="O1504" s="7" t="str">
        <f>VLOOKUP(F1504,HC!A$6:D$1000,2,FALSE)</f>
        <v>nalexgom</v>
      </c>
      <c r="P1504" t="s">
        <v>661</v>
      </c>
      <c r="Q1504" s="7" t="s">
        <v>681</v>
      </c>
      <c r="U1504">
        <f t="shared" si="25"/>
        <v>22</v>
      </c>
    </row>
    <row r="1505" spans="1:21" ht="37.5" customHeight="1" x14ac:dyDescent="0.25">
      <c r="A1505" s="27">
        <v>45042</v>
      </c>
      <c r="B1505" s="13">
        <v>16</v>
      </c>
      <c r="C1505" t="s">
        <v>3</v>
      </c>
      <c r="D1505" t="s">
        <v>4</v>
      </c>
      <c r="E1505" t="s">
        <v>5</v>
      </c>
      <c r="F1505" s="6">
        <v>112912752</v>
      </c>
      <c r="G1505" t="s">
        <v>251</v>
      </c>
      <c r="H1505" t="s">
        <v>268</v>
      </c>
      <c r="I1505">
        <v>0</v>
      </c>
      <c r="J1505">
        <v>0</v>
      </c>
      <c r="K1505">
        <v>0</v>
      </c>
      <c r="L1505">
        <v>0</v>
      </c>
      <c r="M1505">
        <v>0.56999999999999995</v>
      </c>
      <c r="N1505" s="7" t="str">
        <f>VLOOKUP(F1505,HC!A$6:D$100,3,FALSE)</f>
        <v>NF-X1900</v>
      </c>
      <c r="O1505" s="7" t="str">
        <f>VLOOKUP(F1505,HC!A$6:D$1000,2,FALSE)</f>
        <v>valderle</v>
      </c>
      <c r="P1505" t="s">
        <v>664</v>
      </c>
      <c r="Q1505" s="7" t="s">
        <v>709</v>
      </c>
      <c r="U1505">
        <f t="shared" si="25"/>
        <v>50</v>
      </c>
    </row>
    <row r="1506" spans="1:21" ht="37.5" customHeight="1" x14ac:dyDescent="0.25">
      <c r="A1506" s="27">
        <v>45042</v>
      </c>
      <c r="B1506" s="13">
        <v>16</v>
      </c>
      <c r="C1506" t="s">
        <v>3</v>
      </c>
      <c r="D1506" t="s">
        <v>4</v>
      </c>
      <c r="E1506" t="s">
        <v>5</v>
      </c>
      <c r="F1506" s="6">
        <v>112950784</v>
      </c>
      <c r="G1506" t="s">
        <v>261</v>
      </c>
      <c r="H1506" t="s">
        <v>282</v>
      </c>
      <c r="I1506">
        <v>0</v>
      </c>
      <c r="J1506">
        <v>0</v>
      </c>
      <c r="K1506">
        <v>0</v>
      </c>
      <c r="L1506">
        <v>0</v>
      </c>
      <c r="M1506">
        <v>0.18</v>
      </c>
      <c r="N1506" s="7" t="str">
        <f>VLOOKUP(F1506,HC!A$6:D$100,3,FALSE)</f>
        <v>NF-X1900</v>
      </c>
      <c r="O1506" s="7" t="str">
        <f>VLOOKUP(F1506,HC!A$6:D$1000,2,FALSE)</f>
        <v>sarojast</v>
      </c>
      <c r="P1506" t="s">
        <v>661</v>
      </c>
      <c r="Q1506" s="7" t="s">
        <v>681</v>
      </c>
      <c r="U1506">
        <f t="shared" si="25"/>
        <v>33</v>
      </c>
    </row>
    <row r="1507" spans="1:21" ht="37.5" customHeight="1" x14ac:dyDescent="0.25">
      <c r="A1507" s="27">
        <v>45042</v>
      </c>
      <c r="B1507" s="13">
        <v>16</v>
      </c>
      <c r="C1507" t="s">
        <v>3</v>
      </c>
      <c r="D1507" t="s">
        <v>4</v>
      </c>
      <c r="E1507" t="s">
        <v>5</v>
      </c>
      <c r="F1507" s="6">
        <v>112955736</v>
      </c>
      <c r="G1507" t="s">
        <v>983</v>
      </c>
      <c r="H1507" t="s">
        <v>253</v>
      </c>
      <c r="I1507">
        <v>0</v>
      </c>
      <c r="J1507">
        <v>0</v>
      </c>
      <c r="K1507">
        <v>0</v>
      </c>
      <c r="L1507">
        <v>0</v>
      </c>
      <c r="M1507">
        <v>0.2</v>
      </c>
      <c r="N1507" s="7" t="str">
        <f>VLOOKUP(F1507,HC!A$6:D$100,3,FALSE)</f>
        <v>DA-X0700</v>
      </c>
      <c r="O1507" s="7" t="str">
        <f>VLOOKUP(F1507,HC!A$6:D$1000,2,FALSE)</f>
        <v>cueplalo</v>
      </c>
      <c r="P1507" t="s">
        <v>661</v>
      </c>
      <c r="Q1507" s="7" t="s">
        <v>681</v>
      </c>
      <c r="U1507">
        <f t="shared" si="25"/>
        <v>4</v>
      </c>
    </row>
    <row r="1508" spans="1:21" ht="37.5" customHeight="1" x14ac:dyDescent="0.25">
      <c r="A1508" s="27">
        <v>45042</v>
      </c>
      <c r="B1508" s="13">
        <v>16</v>
      </c>
      <c r="C1508" t="s">
        <v>3</v>
      </c>
      <c r="D1508" t="s">
        <v>4</v>
      </c>
      <c r="E1508" t="s">
        <v>5</v>
      </c>
      <c r="F1508" s="6">
        <v>112971997</v>
      </c>
      <c r="G1508" t="s">
        <v>928</v>
      </c>
      <c r="H1508" t="s">
        <v>250</v>
      </c>
      <c r="I1508">
        <v>0</v>
      </c>
      <c r="J1508">
        <v>0</v>
      </c>
      <c r="K1508">
        <v>0</v>
      </c>
      <c r="L1508">
        <v>0</v>
      </c>
      <c r="M1508">
        <v>0.16</v>
      </c>
      <c r="N1508" s="7" t="str">
        <f>VLOOKUP(F1508,HC!A$6:D$100,3,FALSE)</f>
        <v>DA-X0700</v>
      </c>
      <c r="O1508" s="7" t="str">
        <f>VLOOKUP(F1508,HC!A$6:D$1000,2,FALSE)</f>
        <v>cemilini</v>
      </c>
      <c r="P1508" t="s">
        <v>664</v>
      </c>
      <c r="Q1508" s="7" t="s">
        <v>709</v>
      </c>
      <c r="U1508">
        <f t="shared" si="25"/>
        <v>10</v>
      </c>
    </row>
    <row r="1509" spans="1:21" ht="37.5" customHeight="1" x14ac:dyDescent="0.25">
      <c r="A1509" s="27">
        <v>45042</v>
      </c>
      <c r="B1509" s="13">
        <v>16</v>
      </c>
      <c r="C1509" t="s">
        <v>3</v>
      </c>
      <c r="D1509" t="s">
        <v>4</v>
      </c>
      <c r="E1509" t="s">
        <v>5</v>
      </c>
      <c r="F1509" s="6">
        <v>112972215</v>
      </c>
      <c r="G1509" t="s">
        <v>984</v>
      </c>
      <c r="H1509" t="s">
        <v>298</v>
      </c>
      <c r="I1509">
        <v>0</v>
      </c>
      <c r="J1509">
        <v>0</v>
      </c>
      <c r="K1509">
        <v>0</v>
      </c>
      <c r="L1509">
        <v>0</v>
      </c>
      <c r="M1509">
        <v>2.52</v>
      </c>
      <c r="N1509" s="7" t="str">
        <f>VLOOKUP(F1509,HC!A$6:D$100,3,FALSE)</f>
        <v>DB-X0700</v>
      </c>
      <c r="O1509" s="7" t="str">
        <f>VLOOKUP(F1509,HC!A$6:D$1000,2,FALSE)</f>
        <v>cruzbana</v>
      </c>
      <c r="P1509" t="s">
        <v>661</v>
      </c>
      <c r="Q1509" s="7" t="s">
        <v>681</v>
      </c>
      <c r="U1509">
        <f t="shared" si="25"/>
        <v>16</v>
      </c>
    </row>
    <row r="1510" spans="1:21" ht="37.5" customHeight="1" x14ac:dyDescent="0.25">
      <c r="A1510" s="27">
        <v>45042</v>
      </c>
      <c r="B1510" s="13">
        <v>16</v>
      </c>
      <c r="C1510" t="s">
        <v>3</v>
      </c>
      <c r="D1510" t="s">
        <v>4</v>
      </c>
      <c r="E1510" t="s">
        <v>5</v>
      </c>
      <c r="F1510" s="6">
        <v>113003627</v>
      </c>
      <c r="G1510" t="s">
        <v>501</v>
      </c>
      <c r="H1510" t="s">
        <v>298</v>
      </c>
      <c r="I1510">
        <v>0</v>
      </c>
      <c r="J1510">
        <v>0</v>
      </c>
      <c r="K1510">
        <v>0</v>
      </c>
      <c r="L1510">
        <v>0</v>
      </c>
      <c r="M1510">
        <v>0.19</v>
      </c>
      <c r="N1510" s="7" t="e">
        <f>VLOOKUP(F1510,HC!A$6:D$100,3,FALSE)</f>
        <v>#N/A</v>
      </c>
      <c r="O1510" s="7" t="e">
        <f>VLOOKUP(F1510,HC!A$6:D$1000,2,FALSE)</f>
        <v>#N/A</v>
      </c>
      <c r="P1510" t="s">
        <v>661</v>
      </c>
      <c r="Q1510" s="7" t="s">
        <v>681</v>
      </c>
      <c r="U1510">
        <f t="shared" si="25"/>
        <v>1395</v>
      </c>
    </row>
    <row r="1511" spans="1:21" ht="37.5" customHeight="1" x14ac:dyDescent="0.25">
      <c r="A1511" s="27">
        <v>45042</v>
      </c>
      <c r="B1511" s="13">
        <v>16</v>
      </c>
      <c r="C1511" t="s">
        <v>3</v>
      </c>
      <c r="D1511" t="s">
        <v>4</v>
      </c>
      <c r="E1511" t="s">
        <v>5</v>
      </c>
      <c r="F1511" s="6">
        <v>113014403</v>
      </c>
      <c r="G1511" t="s">
        <v>373</v>
      </c>
      <c r="H1511" t="s">
        <v>298</v>
      </c>
      <c r="I1511">
        <v>0</v>
      </c>
      <c r="J1511">
        <v>0</v>
      </c>
      <c r="K1511">
        <v>0</v>
      </c>
      <c r="L1511">
        <v>0</v>
      </c>
      <c r="M1511">
        <v>0.24</v>
      </c>
      <c r="N1511" s="7" t="e">
        <f>VLOOKUP(F1511,HC!A$6:D$100,3,FALSE)</f>
        <v>#N/A</v>
      </c>
      <c r="O1511" s="7" t="str">
        <f>VLOOKUP(F1511,HC!A$6:D$1000,2,FALSE)</f>
        <v>wnoraria</v>
      </c>
      <c r="P1511" t="s">
        <v>664</v>
      </c>
      <c r="Q1511" s="7" t="s">
        <v>712</v>
      </c>
      <c r="U1511">
        <f t="shared" si="25"/>
        <v>23</v>
      </c>
    </row>
    <row r="1512" spans="1:21" ht="37.5" customHeight="1" x14ac:dyDescent="0.25">
      <c r="A1512" s="27">
        <v>45042</v>
      </c>
      <c r="B1512" s="13">
        <v>16</v>
      </c>
      <c r="C1512" t="s">
        <v>3</v>
      </c>
      <c r="D1512" t="s">
        <v>4</v>
      </c>
      <c r="E1512" t="s">
        <v>5</v>
      </c>
      <c r="F1512" s="6">
        <v>113040582</v>
      </c>
      <c r="G1512" t="s">
        <v>625</v>
      </c>
      <c r="H1512" t="s">
        <v>44</v>
      </c>
      <c r="I1512">
        <v>0</v>
      </c>
      <c r="J1512">
        <v>0</v>
      </c>
      <c r="K1512">
        <v>0</v>
      </c>
      <c r="L1512">
        <v>0</v>
      </c>
      <c r="M1512">
        <v>0.26</v>
      </c>
      <c r="N1512" s="7" t="e">
        <f>VLOOKUP(F1512,HC!A$6:D$100,3,FALSE)</f>
        <v>#N/A</v>
      </c>
      <c r="O1512" s="7" t="str">
        <f>VLOOKUP(F1512,HC!A$6:D$1000,2,FALSE)</f>
        <v>hgerardr</v>
      </c>
      <c r="P1512" t="s">
        <v>661</v>
      </c>
      <c r="Q1512" s="7" t="s">
        <v>681</v>
      </c>
      <c r="U1512">
        <f t="shared" si="25"/>
        <v>15</v>
      </c>
    </row>
    <row r="1513" spans="1:21" ht="37.5" customHeight="1" x14ac:dyDescent="0.25">
      <c r="A1513" s="27">
        <v>45042</v>
      </c>
      <c r="B1513" s="13">
        <v>16</v>
      </c>
      <c r="C1513" t="s">
        <v>3</v>
      </c>
      <c r="D1513" t="s">
        <v>4</v>
      </c>
      <c r="E1513" t="s">
        <v>5</v>
      </c>
      <c r="F1513" s="6">
        <v>200404250</v>
      </c>
      <c r="G1513" t="s">
        <v>51</v>
      </c>
      <c r="H1513" t="s">
        <v>298</v>
      </c>
      <c r="I1513">
        <v>0</v>
      </c>
      <c r="J1513">
        <v>0</v>
      </c>
      <c r="K1513">
        <v>0</v>
      </c>
      <c r="L1513">
        <v>0</v>
      </c>
      <c r="M1513">
        <v>1.52</v>
      </c>
      <c r="N1513" s="7" t="e">
        <f>VLOOKUP(F1513,HC!A$6:D$100,3,FALSE)</f>
        <v>#N/A</v>
      </c>
      <c r="O1513" s="7" t="str">
        <f>VLOOKUP(F1513,HC!A$6:D$1000,2,FALSE)</f>
        <v>xcathurt</v>
      </c>
      <c r="P1513" t="s">
        <v>662</v>
      </c>
      <c r="Q1513" s="7" t="s">
        <v>785</v>
      </c>
      <c r="U1513">
        <f t="shared" si="25"/>
        <v>124</v>
      </c>
    </row>
    <row r="1514" spans="1:21" ht="37.5" customHeight="1" x14ac:dyDescent="0.25">
      <c r="A1514" s="27">
        <v>45042</v>
      </c>
      <c r="B1514" s="13">
        <v>16</v>
      </c>
      <c r="C1514" t="s">
        <v>3</v>
      </c>
      <c r="D1514" t="s">
        <v>4</v>
      </c>
      <c r="E1514" t="s">
        <v>21</v>
      </c>
      <c r="F1514" s="6">
        <v>200553205</v>
      </c>
      <c r="G1514" t="s">
        <v>838</v>
      </c>
      <c r="H1514" t="s">
        <v>298</v>
      </c>
      <c r="I1514">
        <v>0</v>
      </c>
      <c r="J1514">
        <v>0</v>
      </c>
      <c r="K1514">
        <v>0</v>
      </c>
      <c r="L1514">
        <v>0</v>
      </c>
      <c r="M1514">
        <v>0.24</v>
      </c>
      <c r="N1514" s="7" t="e">
        <f>VLOOKUP(F1514,HC!A$6:D$100,3,FALSE)</f>
        <v>#N/A</v>
      </c>
      <c r="O1514" s="7" t="e">
        <f>VLOOKUP(F1514,HC!A$6:D$1000,2,FALSE)</f>
        <v>#N/A</v>
      </c>
      <c r="P1514" t="s">
        <v>661</v>
      </c>
      <c r="Q1514" s="7" t="s">
        <v>681</v>
      </c>
      <c r="U1514">
        <f t="shared" si="25"/>
        <v>1395</v>
      </c>
    </row>
    <row r="1515" spans="1:21" ht="37.5" customHeight="1" x14ac:dyDescent="0.25">
      <c r="A1515" s="27">
        <v>45042</v>
      </c>
      <c r="B1515" s="13">
        <v>16</v>
      </c>
      <c r="C1515" t="s">
        <v>3</v>
      </c>
      <c r="D1515" t="s">
        <v>4</v>
      </c>
      <c r="E1515" t="s">
        <v>21</v>
      </c>
      <c r="F1515" s="6">
        <v>200584282</v>
      </c>
      <c r="G1515" t="s">
        <v>521</v>
      </c>
      <c r="H1515" t="s">
        <v>44</v>
      </c>
      <c r="I1515">
        <v>0</v>
      </c>
      <c r="J1515">
        <v>0</v>
      </c>
      <c r="K1515">
        <v>0</v>
      </c>
      <c r="L1515">
        <v>0</v>
      </c>
      <c r="M1515">
        <v>1.1000000000000001</v>
      </c>
      <c r="N1515" s="7" t="e">
        <f>VLOOKUP(F1515,HC!A$6:D$100,3,FALSE)</f>
        <v>#N/A</v>
      </c>
      <c r="O1515" s="7" t="str">
        <f>VLOOKUP(F1515,HC!A$6:D$1000,2,FALSE)</f>
        <v>ldianade</v>
      </c>
      <c r="P1515" t="s">
        <v>661</v>
      </c>
      <c r="Q1515" s="7" t="s">
        <v>681</v>
      </c>
      <c r="U1515">
        <f t="shared" si="25"/>
        <v>4</v>
      </c>
    </row>
    <row r="1516" spans="1:21" ht="37.5" customHeight="1" x14ac:dyDescent="0.25">
      <c r="A1516" s="27">
        <v>45042</v>
      </c>
      <c r="B1516" s="13">
        <v>16</v>
      </c>
      <c r="C1516" t="s">
        <v>3</v>
      </c>
      <c r="D1516" t="s">
        <v>4</v>
      </c>
      <c r="E1516" t="s">
        <v>21</v>
      </c>
      <c r="F1516" s="6">
        <v>200620341</v>
      </c>
      <c r="G1516" t="s">
        <v>255</v>
      </c>
      <c r="H1516" t="s">
        <v>285</v>
      </c>
      <c r="I1516">
        <v>0</v>
      </c>
      <c r="J1516">
        <v>0</v>
      </c>
      <c r="K1516">
        <v>0</v>
      </c>
      <c r="L1516">
        <v>0</v>
      </c>
      <c r="M1516">
        <v>0.21</v>
      </c>
      <c r="N1516" s="7" t="e">
        <f>VLOOKUP(F1516,HC!A$6:D$100,3,FALSE)</f>
        <v>#N/A</v>
      </c>
      <c r="O1516" s="7" t="e">
        <f>VLOOKUP(F1516,HC!A$6:D$1000,2,FALSE)</f>
        <v>#N/A</v>
      </c>
      <c r="P1516" t="s">
        <v>662</v>
      </c>
      <c r="Q1516" s="7" t="s">
        <v>690</v>
      </c>
      <c r="U1516">
        <f t="shared" si="25"/>
        <v>1395</v>
      </c>
    </row>
    <row r="1517" spans="1:21" ht="37.5" customHeight="1" x14ac:dyDescent="0.25">
      <c r="A1517" s="27">
        <v>45042</v>
      </c>
      <c r="B1517" s="13">
        <v>16</v>
      </c>
      <c r="C1517" t="s">
        <v>3</v>
      </c>
      <c r="D1517" t="s">
        <v>4</v>
      </c>
      <c r="E1517" t="s">
        <v>21</v>
      </c>
      <c r="F1517" s="6">
        <v>200625517</v>
      </c>
      <c r="G1517" t="s">
        <v>323</v>
      </c>
      <c r="H1517" t="s">
        <v>44</v>
      </c>
      <c r="I1517">
        <v>0</v>
      </c>
      <c r="J1517">
        <v>0</v>
      </c>
      <c r="K1517">
        <v>0</v>
      </c>
      <c r="L1517">
        <v>0</v>
      </c>
      <c r="M1517">
        <v>0.15</v>
      </c>
      <c r="N1517" s="7" t="e">
        <f>VLOOKUP(F1517,HC!A$6:D$100,3,FALSE)</f>
        <v>#N/A</v>
      </c>
      <c r="O1517" s="7" t="e">
        <f>VLOOKUP(F1517,HC!A$6:D$1000,2,FALSE)</f>
        <v>#N/A</v>
      </c>
      <c r="P1517" t="s">
        <v>661</v>
      </c>
      <c r="Q1517" s="7" t="s">
        <v>681</v>
      </c>
      <c r="U1517">
        <f t="shared" si="25"/>
        <v>1395</v>
      </c>
    </row>
    <row r="1518" spans="1:21" ht="37.5" customHeight="1" x14ac:dyDescent="0.25">
      <c r="A1518" s="27">
        <v>45042</v>
      </c>
      <c r="B1518" s="13">
        <v>16</v>
      </c>
      <c r="C1518" t="s">
        <v>3</v>
      </c>
      <c r="D1518" t="s">
        <v>4</v>
      </c>
      <c r="E1518" t="s">
        <v>21</v>
      </c>
      <c r="F1518" s="6">
        <v>201294058</v>
      </c>
      <c r="G1518" t="s">
        <v>985</v>
      </c>
      <c r="H1518" t="s">
        <v>285</v>
      </c>
      <c r="I1518">
        <v>0</v>
      </c>
      <c r="J1518">
        <v>0</v>
      </c>
      <c r="K1518">
        <v>0</v>
      </c>
      <c r="L1518">
        <v>0</v>
      </c>
      <c r="M1518">
        <v>7.0000000000000007E-2</v>
      </c>
      <c r="N1518" s="7" t="e">
        <f>VLOOKUP(F1518,HC!A$6:D$100,3,FALSE)</f>
        <v>#N/A</v>
      </c>
      <c r="O1518" s="7" t="str">
        <f>VLOOKUP(F1518,HC!A$6:D$1000,2,FALSE)</f>
        <v>alerikat</v>
      </c>
      <c r="P1518" t="s">
        <v>664</v>
      </c>
      <c r="Q1518" s="7" t="s">
        <v>710</v>
      </c>
      <c r="U1518">
        <f t="shared" si="25"/>
        <v>6</v>
      </c>
    </row>
    <row r="1519" spans="1:21" ht="37.5" customHeight="1" x14ac:dyDescent="0.25">
      <c r="A1519" s="27">
        <v>45042</v>
      </c>
      <c r="B1519" s="13">
        <v>16</v>
      </c>
      <c r="C1519" t="s">
        <v>3</v>
      </c>
      <c r="D1519" t="s">
        <v>4</v>
      </c>
      <c r="E1519" t="s">
        <v>21</v>
      </c>
      <c r="F1519" s="6">
        <v>201295506</v>
      </c>
      <c r="G1519" t="s">
        <v>972</v>
      </c>
      <c r="H1519" t="s">
        <v>268</v>
      </c>
      <c r="I1519">
        <v>0</v>
      </c>
      <c r="J1519">
        <v>0</v>
      </c>
      <c r="K1519">
        <v>0</v>
      </c>
      <c r="L1519">
        <v>0</v>
      </c>
      <c r="M1519">
        <v>0.09</v>
      </c>
      <c r="N1519" s="7" t="e">
        <f>VLOOKUP(F1519,HC!A$6:D$100,3,FALSE)</f>
        <v>#N/A</v>
      </c>
      <c r="O1519" s="7" t="e">
        <f>VLOOKUP(F1519,HC!A$6:D$1000,2,FALSE)</f>
        <v>#N/A</v>
      </c>
      <c r="P1519" t="s">
        <v>661</v>
      </c>
      <c r="Q1519" s="7" t="s">
        <v>681</v>
      </c>
      <c r="U1519">
        <f t="shared" si="25"/>
        <v>1395</v>
      </c>
    </row>
    <row r="1520" spans="1:21" ht="37.5" customHeight="1" x14ac:dyDescent="0.25">
      <c r="A1520" s="27">
        <v>45042</v>
      </c>
      <c r="B1520" s="13">
        <v>16</v>
      </c>
      <c r="C1520" t="s">
        <v>3</v>
      </c>
      <c r="D1520" t="s">
        <v>4</v>
      </c>
      <c r="E1520" t="s">
        <v>21</v>
      </c>
      <c r="F1520" s="6">
        <v>201295530</v>
      </c>
      <c r="G1520" t="s">
        <v>965</v>
      </c>
      <c r="H1520" t="s">
        <v>268</v>
      </c>
      <c r="I1520">
        <v>0</v>
      </c>
      <c r="J1520">
        <v>0</v>
      </c>
      <c r="K1520">
        <v>0</v>
      </c>
      <c r="L1520">
        <v>0</v>
      </c>
      <c r="M1520">
        <v>0.47</v>
      </c>
      <c r="N1520" s="7" t="e">
        <f>VLOOKUP(F1520,HC!A$6:D$100,3,FALSE)</f>
        <v>#N/A</v>
      </c>
      <c r="O1520" s="7" t="e">
        <f>VLOOKUP(F1520,HC!A$6:D$1000,2,FALSE)</f>
        <v>#N/A</v>
      </c>
      <c r="P1520" t="s">
        <v>664</v>
      </c>
      <c r="Q1520" s="7" t="s">
        <v>761</v>
      </c>
      <c r="U1520">
        <f t="shared" si="25"/>
        <v>1395</v>
      </c>
    </row>
    <row r="1521" spans="1:21" ht="37.5" customHeight="1" x14ac:dyDescent="0.25">
      <c r="A1521" s="27">
        <v>45043</v>
      </c>
      <c r="B1521" s="13">
        <v>16</v>
      </c>
      <c r="C1521" t="s">
        <v>3</v>
      </c>
      <c r="D1521" t="s">
        <v>4</v>
      </c>
      <c r="E1521" t="s">
        <v>5</v>
      </c>
      <c r="F1521" s="6">
        <v>112981061</v>
      </c>
      <c r="G1521" t="s">
        <v>264</v>
      </c>
      <c r="H1521" t="s">
        <v>44</v>
      </c>
      <c r="I1521">
        <v>0</v>
      </c>
      <c r="J1521">
        <v>0</v>
      </c>
      <c r="K1521">
        <v>0</v>
      </c>
      <c r="L1521">
        <v>0</v>
      </c>
      <c r="M1521">
        <v>0.2</v>
      </c>
      <c r="N1521" s="7" t="str">
        <f>VLOOKUP(F1521,HC!A$6:D$100,3,FALSE)</f>
        <v>DA-X0700</v>
      </c>
      <c r="O1521" s="7" t="str">
        <f>VLOOKUP(F1521,HC!A$6:D$1000,2,FALSE)</f>
        <v>mclaudol</v>
      </c>
      <c r="Q1521" s="7"/>
      <c r="U1521">
        <f t="shared" si="25"/>
        <v>44</v>
      </c>
    </row>
    <row r="1522" spans="1:21" ht="37.5" customHeight="1" x14ac:dyDescent="0.25">
      <c r="A1522" s="27">
        <v>45043</v>
      </c>
      <c r="B1522" s="13">
        <v>16</v>
      </c>
      <c r="C1522" t="s">
        <v>3</v>
      </c>
      <c r="D1522" t="s">
        <v>4</v>
      </c>
      <c r="E1522" t="s">
        <v>5</v>
      </c>
      <c r="F1522" s="6">
        <v>113014042</v>
      </c>
      <c r="G1522" t="s">
        <v>329</v>
      </c>
      <c r="H1522" t="s">
        <v>7</v>
      </c>
      <c r="I1522">
        <v>0</v>
      </c>
      <c r="J1522">
        <v>0</v>
      </c>
      <c r="K1522">
        <v>0</v>
      </c>
      <c r="L1522">
        <v>0</v>
      </c>
      <c r="M1522">
        <v>0.32</v>
      </c>
      <c r="N1522" s="7" t="e">
        <f>VLOOKUP(F1522,HC!A$6:D$100,3,FALSE)</f>
        <v>#N/A</v>
      </c>
      <c r="O1522" s="7" t="str">
        <f>VLOOKUP(F1522,HC!A$6:D$1000,2,FALSE)</f>
        <v>rfcervan</v>
      </c>
      <c r="Q1522" s="7"/>
      <c r="U1522">
        <f t="shared" si="25"/>
        <v>23</v>
      </c>
    </row>
    <row r="1523" spans="1:21" ht="37.5" customHeight="1" x14ac:dyDescent="0.25">
      <c r="A1523" s="27">
        <v>45043</v>
      </c>
      <c r="B1523" s="13">
        <v>16</v>
      </c>
      <c r="C1523" t="s">
        <v>3</v>
      </c>
      <c r="D1523" t="s">
        <v>4</v>
      </c>
      <c r="E1523" t="s">
        <v>5</v>
      </c>
      <c r="F1523" s="6">
        <v>113020667</v>
      </c>
      <c r="G1523" t="s">
        <v>380</v>
      </c>
      <c r="H1523" t="s">
        <v>47</v>
      </c>
      <c r="I1523">
        <v>0</v>
      </c>
      <c r="J1523">
        <v>0</v>
      </c>
      <c r="K1523">
        <v>0</v>
      </c>
      <c r="L1523">
        <v>0</v>
      </c>
      <c r="M1523">
        <v>2.5499999999999998</v>
      </c>
      <c r="N1523" s="7" t="e">
        <f>VLOOKUP(F1523,HC!A$6:D$100,3,FALSE)</f>
        <v>#N/A</v>
      </c>
      <c r="O1523" s="7" t="str">
        <f>VLOOKUP(F1523,HC!A$6:D$1000,2,FALSE)</f>
        <v>mavpauli</v>
      </c>
      <c r="Q1523" s="7"/>
      <c r="U1523">
        <f t="shared" si="25"/>
        <v>12</v>
      </c>
    </row>
    <row r="1524" spans="1:21" ht="37.5" customHeight="1" x14ac:dyDescent="0.25">
      <c r="A1524" s="27">
        <v>45043</v>
      </c>
      <c r="B1524" s="13">
        <v>16</v>
      </c>
      <c r="C1524" t="s">
        <v>3</v>
      </c>
      <c r="D1524" t="s">
        <v>4</v>
      </c>
      <c r="E1524" t="s">
        <v>5</v>
      </c>
      <c r="F1524" s="6">
        <v>113040582</v>
      </c>
      <c r="G1524" t="s">
        <v>625</v>
      </c>
      <c r="H1524" t="s">
        <v>44</v>
      </c>
      <c r="I1524">
        <v>0</v>
      </c>
      <c r="J1524">
        <v>0</v>
      </c>
      <c r="K1524">
        <v>0</v>
      </c>
      <c r="L1524">
        <v>0</v>
      </c>
      <c r="M1524">
        <v>0.2</v>
      </c>
      <c r="N1524" s="7" t="e">
        <f>VLOOKUP(F1524,HC!A$6:D$100,3,FALSE)</f>
        <v>#N/A</v>
      </c>
      <c r="O1524" s="7" t="str">
        <f>VLOOKUP(F1524,HC!A$6:D$1000,2,FALSE)</f>
        <v>hgerardr</v>
      </c>
      <c r="Q1524" s="7"/>
      <c r="U1524">
        <f t="shared" si="25"/>
        <v>15</v>
      </c>
    </row>
    <row r="1525" spans="1:21" ht="37.5" customHeight="1" x14ac:dyDescent="0.25">
      <c r="A1525" s="27">
        <v>45043</v>
      </c>
      <c r="B1525" s="13">
        <v>16</v>
      </c>
      <c r="C1525" t="s">
        <v>3</v>
      </c>
      <c r="D1525" t="s">
        <v>4</v>
      </c>
      <c r="E1525" t="s">
        <v>5</v>
      </c>
      <c r="F1525" s="6">
        <v>113044620</v>
      </c>
      <c r="G1525" t="s">
        <v>470</v>
      </c>
      <c r="H1525" t="s">
        <v>44</v>
      </c>
      <c r="I1525">
        <v>0</v>
      </c>
      <c r="J1525">
        <v>0</v>
      </c>
      <c r="K1525">
        <v>0</v>
      </c>
      <c r="L1525">
        <v>0</v>
      </c>
      <c r="M1525">
        <v>0.23</v>
      </c>
      <c r="N1525" s="7" t="e">
        <f>VLOOKUP(F1525,HC!A$6:D$100,3,FALSE)</f>
        <v>#N/A</v>
      </c>
      <c r="O1525" s="7" t="str">
        <f>VLOOKUP(F1525,HC!A$6:D$1000,2,FALSE)</f>
        <v>aldojasw</v>
      </c>
      <c r="Q1525" s="7"/>
      <c r="U1525">
        <f t="shared" si="25"/>
        <v>11</v>
      </c>
    </row>
    <row r="1526" spans="1:21" ht="37.5" customHeight="1" x14ac:dyDescent="0.25">
      <c r="A1526" s="27">
        <v>45043</v>
      </c>
      <c r="B1526" s="13">
        <v>16</v>
      </c>
      <c r="C1526" t="s">
        <v>3</v>
      </c>
      <c r="D1526" t="s">
        <v>4</v>
      </c>
      <c r="E1526" t="s">
        <v>21</v>
      </c>
      <c r="F1526" s="6">
        <v>201167517</v>
      </c>
      <c r="G1526" t="s">
        <v>849</v>
      </c>
      <c r="H1526" t="s">
        <v>17</v>
      </c>
      <c r="I1526">
        <v>0</v>
      </c>
      <c r="J1526">
        <v>0</v>
      </c>
      <c r="K1526">
        <v>0</v>
      </c>
      <c r="L1526">
        <v>0</v>
      </c>
      <c r="M1526">
        <v>0.51</v>
      </c>
      <c r="N1526" s="7" t="e">
        <f>VLOOKUP(F1526,HC!A$6:D$100,3,FALSE)</f>
        <v>#N/A</v>
      </c>
      <c r="O1526" s="7" t="e">
        <f>VLOOKUP(F1526,HC!A$6:D$1000,2,FALSE)</f>
        <v>#N/A</v>
      </c>
      <c r="Q1526" s="7"/>
      <c r="U1526">
        <f t="shared" si="25"/>
        <v>1395</v>
      </c>
    </row>
    <row r="1527" spans="1:21" ht="37.5" customHeight="1" x14ac:dyDescent="0.25">
      <c r="A1527" s="27">
        <v>45043</v>
      </c>
      <c r="B1527" s="13">
        <v>16</v>
      </c>
      <c r="C1527" t="s">
        <v>3</v>
      </c>
      <c r="D1527" t="s">
        <v>4</v>
      </c>
      <c r="E1527" t="s">
        <v>21</v>
      </c>
      <c r="F1527" s="6">
        <v>201172412</v>
      </c>
      <c r="G1527" t="s">
        <v>986</v>
      </c>
      <c r="H1527" t="s">
        <v>44</v>
      </c>
      <c r="I1527">
        <v>0</v>
      </c>
      <c r="J1527">
        <v>0</v>
      </c>
      <c r="K1527">
        <v>0</v>
      </c>
      <c r="L1527">
        <v>0</v>
      </c>
      <c r="M1527">
        <v>0.16</v>
      </c>
      <c r="N1527" s="7" t="e">
        <f>VLOOKUP(F1527,HC!A$6:D$100,3,FALSE)</f>
        <v>#N/A</v>
      </c>
      <c r="O1527" s="7" t="str">
        <f>VLOOKUP(F1527,HC!A$6:D$1000,2,FALSE)</f>
        <v>adrpcast</v>
      </c>
      <c r="Q1527" s="7"/>
      <c r="U1527">
        <f t="shared" si="25"/>
        <v>6</v>
      </c>
    </row>
    <row r="1528" spans="1:21" ht="37.5" customHeight="1" x14ac:dyDescent="0.25">
      <c r="A1528" s="27">
        <v>45043</v>
      </c>
      <c r="B1528" s="13">
        <v>16</v>
      </c>
      <c r="C1528" t="s">
        <v>3</v>
      </c>
      <c r="D1528" t="s">
        <v>4</v>
      </c>
      <c r="E1528" t="s">
        <v>21</v>
      </c>
      <c r="F1528" s="6">
        <v>201185653</v>
      </c>
      <c r="G1528" t="s">
        <v>987</v>
      </c>
      <c r="H1528" t="s">
        <v>49</v>
      </c>
      <c r="I1528">
        <v>0</v>
      </c>
      <c r="J1528">
        <v>0</v>
      </c>
      <c r="K1528">
        <v>0</v>
      </c>
      <c r="L1528">
        <v>0</v>
      </c>
      <c r="M1528">
        <v>0.08</v>
      </c>
      <c r="N1528" s="7" t="e">
        <f>VLOOKUP(F1528,HC!A$6:D$100,3,FALSE)</f>
        <v>#N/A</v>
      </c>
      <c r="O1528" s="7" t="str">
        <f>VLOOKUP(F1528,HC!A$6:D$1000,2,FALSE)</f>
        <v>luisamin</v>
      </c>
      <c r="Q1528" s="7"/>
      <c r="U1528">
        <f t="shared" si="25"/>
        <v>8</v>
      </c>
    </row>
    <row r="1529" spans="1:21" ht="37.5" customHeight="1" x14ac:dyDescent="0.25">
      <c r="A1529" s="27">
        <v>45043</v>
      </c>
      <c r="B1529" s="13">
        <v>16</v>
      </c>
      <c r="C1529" t="s">
        <v>3</v>
      </c>
      <c r="D1529" t="s">
        <v>4</v>
      </c>
      <c r="E1529" t="s">
        <v>21</v>
      </c>
      <c r="F1529" s="6">
        <v>201329495</v>
      </c>
      <c r="G1529" t="s">
        <v>988</v>
      </c>
      <c r="H1529" t="s">
        <v>268</v>
      </c>
      <c r="I1529">
        <v>0</v>
      </c>
      <c r="J1529">
        <v>0</v>
      </c>
      <c r="K1529">
        <v>0</v>
      </c>
      <c r="L1529">
        <v>0</v>
      </c>
      <c r="M1529">
        <v>0.34</v>
      </c>
      <c r="N1529" s="7" t="e">
        <f>VLOOKUP(F1529,HC!A$6:D$100,3,FALSE)</f>
        <v>#N/A</v>
      </c>
      <c r="O1529" s="7" t="e">
        <f>VLOOKUP(F1529,HC!A$6:D$1000,2,FALSE)</f>
        <v>#N/A</v>
      </c>
      <c r="Q1529" s="7"/>
      <c r="U1529">
        <f t="shared" si="25"/>
        <v>1395</v>
      </c>
    </row>
    <row r="1530" spans="1:21" ht="37.5" customHeight="1" x14ac:dyDescent="0.25">
      <c r="A1530" s="27">
        <v>45044</v>
      </c>
      <c r="B1530" s="13">
        <v>16</v>
      </c>
      <c r="C1530" t="s">
        <v>3</v>
      </c>
      <c r="D1530" t="s">
        <v>4</v>
      </c>
      <c r="E1530" t="s">
        <v>5</v>
      </c>
      <c r="F1530" s="6">
        <v>112920637</v>
      </c>
      <c r="G1530" t="s">
        <v>426</v>
      </c>
      <c r="H1530" t="s">
        <v>282</v>
      </c>
      <c r="I1530">
        <v>0</v>
      </c>
      <c r="J1530">
        <v>0</v>
      </c>
      <c r="K1530">
        <v>0</v>
      </c>
      <c r="L1530">
        <v>0</v>
      </c>
      <c r="M1530">
        <v>0.24</v>
      </c>
      <c r="N1530" s="7" t="str">
        <f>VLOOKUP(F1530,HC!A$6:D$100,3,FALSE)</f>
        <v>DB-X0700</v>
      </c>
      <c r="O1530" s="7" t="str">
        <f>VLOOKUP(F1530,HC!A$6:D$1000,2,FALSE)</f>
        <v>antonitq</v>
      </c>
      <c r="Q1530" s="7"/>
      <c r="U1530">
        <f t="shared" si="25"/>
        <v>9</v>
      </c>
    </row>
    <row r="1531" spans="1:21" ht="37.5" customHeight="1" x14ac:dyDescent="0.25">
      <c r="A1531" s="27">
        <v>45044</v>
      </c>
      <c r="B1531" s="13">
        <v>16</v>
      </c>
      <c r="C1531" t="s">
        <v>3</v>
      </c>
      <c r="D1531" t="s">
        <v>4</v>
      </c>
      <c r="E1531" t="s">
        <v>5</v>
      </c>
      <c r="F1531" s="6">
        <v>112972215</v>
      </c>
      <c r="G1531" t="s">
        <v>984</v>
      </c>
      <c r="H1531" t="s">
        <v>298</v>
      </c>
      <c r="I1531">
        <v>0</v>
      </c>
      <c r="J1531">
        <v>0</v>
      </c>
      <c r="K1531">
        <v>0</v>
      </c>
      <c r="L1531">
        <v>0</v>
      </c>
      <c r="M1531">
        <v>0.65</v>
      </c>
      <c r="N1531" s="7" t="str">
        <f>VLOOKUP(F1531,HC!A$6:D$100,3,FALSE)</f>
        <v>DB-X0700</v>
      </c>
      <c r="O1531" s="7" t="str">
        <f>VLOOKUP(F1531,HC!A$6:D$1000,2,FALSE)</f>
        <v>cruzbana</v>
      </c>
      <c r="Q1531" s="7"/>
      <c r="U1531">
        <f t="shared" si="25"/>
        <v>16</v>
      </c>
    </row>
    <row r="1532" spans="1:21" ht="37.5" customHeight="1" x14ac:dyDescent="0.25">
      <c r="A1532" s="27">
        <v>45044</v>
      </c>
      <c r="B1532" s="13">
        <v>16</v>
      </c>
      <c r="C1532" t="s">
        <v>3</v>
      </c>
      <c r="D1532" t="s">
        <v>4</v>
      </c>
      <c r="E1532" t="s">
        <v>5</v>
      </c>
      <c r="F1532" s="6">
        <v>112973049</v>
      </c>
      <c r="G1532" t="s">
        <v>314</v>
      </c>
      <c r="H1532" t="s">
        <v>7</v>
      </c>
      <c r="I1532">
        <v>0</v>
      </c>
      <c r="J1532">
        <v>0</v>
      </c>
      <c r="K1532">
        <v>0</v>
      </c>
      <c r="L1532">
        <v>0</v>
      </c>
      <c r="M1532">
        <v>0.16</v>
      </c>
      <c r="N1532" s="7" t="str">
        <f>VLOOKUP(F1532,HC!A$6:D$100,3,FALSE)</f>
        <v>DB-X0700</v>
      </c>
      <c r="O1532" s="7" t="str">
        <f>VLOOKUP(F1532,HC!A$6:D$1000,2,FALSE)</f>
        <v>afatimae</v>
      </c>
      <c r="Q1532" s="7"/>
      <c r="U1532">
        <f t="shared" si="25"/>
        <v>29</v>
      </c>
    </row>
    <row r="1533" spans="1:21" ht="37.5" customHeight="1" x14ac:dyDescent="0.25">
      <c r="A1533" s="27">
        <v>45044</v>
      </c>
      <c r="B1533" s="13">
        <v>16</v>
      </c>
      <c r="C1533" t="s">
        <v>3</v>
      </c>
      <c r="D1533" t="s">
        <v>4</v>
      </c>
      <c r="E1533" t="s">
        <v>21</v>
      </c>
      <c r="F1533" s="6">
        <v>201160146</v>
      </c>
      <c r="G1533" t="s">
        <v>851</v>
      </c>
      <c r="H1533" t="s">
        <v>17</v>
      </c>
      <c r="I1533">
        <v>0</v>
      </c>
      <c r="J1533">
        <v>0</v>
      </c>
      <c r="K1533">
        <v>0</v>
      </c>
      <c r="L1533">
        <v>0</v>
      </c>
      <c r="M1533">
        <v>0.12</v>
      </c>
      <c r="N1533" s="7" t="e">
        <f>VLOOKUP(F1533,HC!A$6:D$100,3,FALSE)</f>
        <v>#N/A</v>
      </c>
      <c r="O1533" s="7" t="e">
        <f>VLOOKUP(F1533,HC!A$6:D$1000,2,FALSE)</f>
        <v>#N/A</v>
      </c>
      <c r="Q1533" s="7"/>
      <c r="U1533">
        <f t="shared" si="25"/>
        <v>1395</v>
      </c>
    </row>
    <row r="1534" spans="1:21" ht="37.5" customHeight="1" x14ac:dyDescent="0.25">
      <c r="A1534" s="27">
        <v>45044</v>
      </c>
      <c r="B1534" s="13">
        <v>16</v>
      </c>
      <c r="C1534" t="s">
        <v>3</v>
      </c>
      <c r="D1534" t="s">
        <v>4</v>
      </c>
      <c r="E1534" t="s">
        <v>21</v>
      </c>
      <c r="F1534" s="6">
        <v>201341822</v>
      </c>
      <c r="G1534" t="s">
        <v>989</v>
      </c>
      <c r="H1534" t="s">
        <v>846</v>
      </c>
      <c r="I1534">
        <v>0</v>
      </c>
      <c r="J1534">
        <v>0</v>
      </c>
      <c r="K1534">
        <v>0</v>
      </c>
      <c r="L1534">
        <v>0</v>
      </c>
      <c r="M1534">
        <v>0.72</v>
      </c>
      <c r="N1534" s="7" t="e">
        <f>VLOOKUP(F1534,HC!A$6:D$100,3,FALSE)</f>
        <v>#N/A</v>
      </c>
      <c r="O1534" s="7" t="e">
        <f>VLOOKUP(F1534,HC!A$6:D$1000,2,FALSE)</f>
        <v>#N/A</v>
      </c>
      <c r="Q1534" s="7"/>
      <c r="U1534">
        <f t="shared" si="25"/>
        <v>1395</v>
      </c>
    </row>
    <row r="1535" spans="1:21" ht="37.5" customHeight="1" x14ac:dyDescent="0.25">
      <c r="A1535" s="27">
        <v>45045</v>
      </c>
      <c r="B1535" s="13">
        <v>16</v>
      </c>
      <c r="C1535" t="s">
        <v>3</v>
      </c>
      <c r="D1535" t="s">
        <v>4</v>
      </c>
      <c r="E1535" t="s">
        <v>5</v>
      </c>
      <c r="F1535" s="6">
        <v>112912054</v>
      </c>
      <c r="G1535" t="s">
        <v>333</v>
      </c>
      <c r="H1535" t="s">
        <v>282</v>
      </c>
      <c r="I1535">
        <v>0</v>
      </c>
      <c r="J1535">
        <v>0</v>
      </c>
      <c r="K1535">
        <v>0</v>
      </c>
      <c r="L1535">
        <v>0</v>
      </c>
      <c r="M1535">
        <v>0.39</v>
      </c>
      <c r="N1535" s="7" t="str">
        <f>VLOOKUP(F1535,HC!A$6:D$100,3,FALSE)</f>
        <v>DB-X0700</v>
      </c>
      <c r="O1535" s="7" t="str">
        <f>VLOOKUP(F1535,HC!A$6:D$1000,2,FALSE)</f>
        <v>privejor</v>
      </c>
      <c r="P1535" t="s">
        <v>668</v>
      </c>
      <c r="Q1535" s="7" t="s">
        <v>731</v>
      </c>
      <c r="U1535">
        <f t="shared" si="25"/>
        <v>14</v>
      </c>
    </row>
    <row r="1536" spans="1:21" ht="37.5" customHeight="1" x14ac:dyDescent="0.25">
      <c r="A1536" s="27">
        <v>45045</v>
      </c>
      <c r="B1536" s="13">
        <v>16</v>
      </c>
      <c r="C1536" t="s">
        <v>3</v>
      </c>
      <c r="D1536" t="s">
        <v>4</v>
      </c>
      <c r="E1536" t="s">
        <v>5</v>
      </c>
      <c r="F1536" s="6">
        <v>113052151</v>
      </c>
      <c r="G1536" t="s">
        <v>482</v>
      </c>
      <c r="H1536" t="s">
        <v>17</v>
      </c>
      <c r="I1536">
        <v>0</v>
      </c>
      <c r="J1536">
        <v>0</v>
      </c>
      <c r="K1536">
        <v>0</v>
      </c>
      <c r="L1536">
        <v>0</v>
      </c>
      <c r="M1536">
        <v>0.12</v>
      </c>
      <c r="N1536" s="7" t="e">
        <f>VLOOKUP(F1536,HC!A$6:D$100,3,FALSE)</f>
        <v>#N/A</v>
      </c>
      <c r="O1536" s="7" t="str">
        <f>VLOOKUP(F1536,HC!A$6:D$1000,2,FALSE)</f>
        <v>nilaurab</v>
      </c>
      <c r="P1536" t="s">
        <v>661</v>
      </c>
      <c r="Q1536" s="7" t="s">
        <v>681</v>
      </c>
      <c r="U1536">
        <f t="shared" si="25"/>
        <v>28</v>
      </c>
    </row>
    <row r="1537" spans="1:21" ht="37.5" customHeight="1" x14ac:dyDescent="0.25">
      <c r="A1537" s="27">
        <v>45045</v>
      </c>
      <c r="B1537" s="13">
        <v>16</v>
      </c>
      <c r="C1537" t="s">
        <v>3</v>
      </c>
      <c r="D1537" t="s">
        <v>4</v>
      </c>
      <c r="E1537" t="s">
        <v>21</v>
      </c>
      <c r="F1537" s="6">
        <v>201185299</v>
      </c>
      <c r="G1537" t="s">
        <v>990</v>
      </c>
      <c r="H1537" t="s">
        <v>17</v>
      </c>
      <c r="I1537">
        <v>0</v>
      </c>
      <c r="J1537">
        <v>0</v>
      </c>
      <c r="K1537">
        <v>0</v>
      </c>
      <c r="L1537">
        <v>0</v>
      </c>
      <c r="M1537">
        <v>0.15</v>
      </c>
      <c r="N1537" s="7" t="e">
        <f>VLOOKUP(F1537,HC!A$6:D$100,3,FALSE)</f>
        <v>#N/A</v>
      </c>
      <c r="O1537" s="7" t="str">
        <f>VLOOKUP(F1537,HC!A$6:D$1000,2,FALSE)</f>
        <v>sganoemi</v>
      </c>
      <c r="P1537" t="s">
        <v>661</v>
      </c>
      <c r="Q1537" s="7" t="s">
        <v>681</v>
      </c>
      <c r="U1537">
        <f t="shared" si="25"/>
        <v>12</v>
      </c>
    </row>
    <row r="1538" spans="1:21" ht="37.5" customHeight="1" x14ac:dyDescent="0.25">
      <c r="A1538" s="27">
        <v>45045</v>
      </c>
      <c r="B1538" s="13">
        <v>16</v>
      </c>
      <c r="C1538" t="s">
        <v>3</v>
      </c>
      <c r="D1538" t="s">
        <v>4</v>
      </c>
      <c r="E1538" t="s">
        <v>21</v>
      </c>
      <c r="F1538" s="6">
        <v>201211582</v>
      </c>
      <c r="G1538" t="s">
        <v>991</v>
      </c>
      <c r="H1538" t="s">
        <v>17</v>
      </c>
      <c r="I1538">
        <v>0</v>
      </c>
      <c r="J1538">
        <v>0</v>
      </c>
      <c r="K1538">
        <v>0</v>
      </c>
      <c r="L1538">
        <v>0</v>
      </c>
      <c r="M1538">
        <v>0.09</v>
      </c>
      <c r="N1538" s="7" t="e">
        <f>VLOOKUP(F1538,HC!A$6:D$100,3,FALSE)</f>
        <v>#N/A</v>
      </c>
      <c r="O1538" s="7" t="e">
        <f>VLOOKUP(F1538,HC!A$6:D$1000,2,FALSE)</f>
        <v>#N/A</v>
      </c>
      <c r="P1538" t="s">
        <v>664</v>
      </c>
      <c r="Q1538" s="7" t="s">
        <v>716</v>
      </c>
      <c r="U1538">
        <f t="shared" si="25"/>
        <v>1395</v>
      </c>
    </row>
    <row r="1539" spans="1:21" ht="37.5" customHeight="1" x14ac:dyDescent="0.25">
      <c r="A1539" s="27">
        <v>45046</v>
      </c>
      <c r="B1539" s="13">
        <v>18</v>
      </c>
      <c r="C1539" t="s">
        <v>3</v>
      </c>
      <c r="D1539" t="s">
        <v>4</v>
      </c>
      <c r="E1539" t="s">
        <v>5</v>
      </c>
      <c r="F1539" s="6">
        <v>112912661</v>
      </c>
      <c r="G1539" t="s">
        <v>782</v>
      </c>
      <c r="H1539" t="s">
        <v>250</v>
      </c>
      <c r="I1539">
        <v>0</v>
      </c>
      <c r="J1539">
        <v>0</v>
      </c>
      <c r="K1539">
        <v>0</v>
      </c>
      <c r="L1539">
        <v>0</v>
      </c>
      <c r="M1539">
        <v>0.9</v>
      </c>
      <c r="N1539" s="7" t="str">
        <f>VLOOKUP(F1539,HC!A$6:D$100,3,FALSE)</f>
        <v>DA-X0700</v>
      </c>
      <c r="O1539" s="7" t="str">
        <f>VLOOKUP(F1539,HC!A$6:D$1000,2,FALSE)</f>
        <v>franmorb</v>
      </c>
      <c r="Q1539" s="7"/>
      <c r="U1539">
        <f t="shared" ref="U1539:U1602" si="26">COUNTIF(O$2:O$4999,O1539)</f>
        <v>8</v>
      </c>
    </row>
    <row r="1540" spans="1:21" ht="37.5" customHeight="1" x14ac:dyDescent="0.25">
      <c r="A1540" s="27">
        <v>45046</v>
      </c>
      <c r="B1540" s="13">
        <v>18</v>
      </c>
      <c r="C1540" t="s">
        <v>3</v>
      </c>
      <c r="D1540" t="s">
        <v>4</v>
      </c>
      <c r="E1540" t="s">
        <v>5</v>
      </c>
      <c r="F1540" s="6">
        <v>112912752</v>
      </c>
      <c r="G1540" t="s">
        <v>251</v>
      </c>
      <c r="H1540" t="s">
        <v>268</v>
      </c>
      <c r="I1540">
        <v>0</v>
      </c>
      <c r="J1540">
        <v>0</v>
      </c>
      <c r="K1540">
        <v>0</v>
      </c>
      <c r="L1540">
        <v>0</v>
      </c>
      <c r="M1540">
        <v>0.26</v>
      </c>
      <c r="N1540" s="7" t="str">
        <f>VLOOKUP(F1540,HC!A$6:D$100,3,FALSE)</f>
        <v>NF-X1900</v>
      </c>
      <c r="O1540" s="7" t="str">
        <f>VLOOKUP(F1540,HC!A$6:D$1000,2,FALSE)</f>
        <v>valderle</v>
      </c>
      <c r="P1540" t="s">
        <v>664</v>
      </c>
      <c r="Q1540" s="7" t="s">
        <v>709</v>
      </c>
      <c r="U1540">
        <f t="shared" si="26"/>
        <v>50</v>
      </c>
    </row>
    <row r="1541" spans="1:21" ht="37.5" customHeight="1" x14ac:dyDescent="0.25">
      <c r="A1541" s="27">
        <v>45046</v>
      </c>
      <c r="B1541" s="13">
        <v>18</v>
      </c>
      <c r="C1541" t="s">
        <v>3</v>
      </c>
      <c r="D1541" t="s">
        <v>4</v>
      </c>
      <c r="E1541" t="s">
        <v>21</v>
      </c>
      <c r="F1541" s="6">
        <v>112950796</v>
      </c>
      <c r="G1541" t="s">
        <v>951</v>
      </c>
      <c r="H1541" t="s">
        <v>268</v>
      </c>
      <c r="I1541">
        <v>0</v>
      </c>
      <c r="J1541">
        <v>0</v>
      </c>
      <c r="K1541">
        <v>0</v>
      </c>
      <c r="L1541">
        <v>0</v>
      </c>
      <c r="M1541">
        <v>0.13</v>
      </c>
      <c r="N1541" s="7" t="e">
        <f>VLOOKUP(F1541,HC!A$6:D$100,3,FALSE)</f>
        <v>#N/A</v>
      </c>
      <c r="O1541" s="7" t="e">
        <f>VLOOKUP(F1541,HC!A$6:D$1000,2,FALSE)</f>
        <v>#N/A</v>
      </c>
      <c r="P1541" t="s">
        <v>662</v>
      </c>
      <c r="Q1541" s="7" t="s">
        <v>757</v>
      </c>
      <c r="U1541">
        <f t="shared" si="26"/>
        <v>1395</v>
      </c>
    </row>
    <row r="1542" spans="1:21" ht="37.5" customHeight="1" x14ac:dyDescent="0.25">
      <c r="A1542" s="27">
        <v>45046</v>
      </c>
      <c r="B1542" s="13">
        <v>18</v>
      </c>
      <c r="C1542" t="s">
        <v>3</v>
      </c>
      <c r="D1542" t="s">
        <v>4</v>
      </c>
      <c r="E1542" t="s">
        <v>5</v>
      </c>
      <c r="F1542" s="6">
        <v>112981196</v>
      </c>
      <c r="G1542" t="s">
        <v>328</v>
      </c>
      <c r="H1542" t="s">
        <v>285</v>
      </c>
      <c r="I1542">
        <v>0</v>
      </c>
      <c r="J1542">
        <v>0</v>
      </c>
      <c r="K1542">
        <v>0</v>
      </c>
      <c r="L1542">
        <v>0</v>
      </c>
      <c r="M1542">
        <v>0.35</v>
      </c>
      <c r="N1542" s="7" t="e">
        <f>VLOOKUP(F1542,HC!A$6:D$100,3,FALSE)</f>
        <v>#N/A</v>
      </c>
      <c r="O1542" s="7" t="str">
        <f>VLOOKUP(F1542,HC!A$6:D$1000,2,FALSE)</f>
        <v>vandgome</v>
      </c>
      <c r="P1542" t="s">
        <v>664</v>
      </c>
      <c r="Q1542" s="7" t="s">
        <v>711</v>
      </c>
      <c r="U1542">
        <f t="shared" si="26"/>
        <v>24</v>
      </c>
    </row>
    <row r="1543" spans="1:21" ht="37.5" customHeight="1" x14ac:dyDescent="0.25">
      <c r="A1543" s="27">
        <v>45046</v>
      </c>
      <c r="B1543" s="13">
        <v>18</v>
      </c>
      <c r="C1543" t="s">
        <v>3</v>
      </c>
      <c r="D1543" t="s">
        <v>4</v>
      </c>
      <c r="E1543" t="s">
        <v>5</v>
      </c>
      <c r="F1543" s="6">
        <v>200404250</v>
      </c>
      <c r="G1543" t="s">
        <v>51</v>
      </c>
      <c r="H1543" t="s">
        <v>298</v>
      </c>
      <c r="I1543">
        <v>0</v>
      </c>
      <c r="J1543">
        <v>0</v>
      </c>
      <c r="K1543">
        <v>0</v>
      </c>
      <c r="L1543">
        <v>0</v>
      </c>
      <c r="M1543">
        <v>0.53</v>
      </c>
      <c r="N1543" s="7" t="e">
        <f>VLOOKUP(F1543,HC!A$6:D$100,3,FALSE)</f>
        <v>#N/A</v>
      </c>
      <c r="O1543" s="7" t="str">
        <f>VLOOKUP(F1543,HC!A$6:D$1000,2,FALSE)</f>
        <v>xcathurt</v>
      </c>
      <c r="P1543" t="s">
        <v>662</v>
      </c>
      <c r="Q1543" s="7" t="s">
        <v>785</v>
      </c>
      <c r="U1543">
        <f t="shared" si="26"/>
        <v>124</v>
      </c>
    </row>
    <row r="1544" spans="1:21" ht="37.5" customHeight="1" x14ac:dyDescent="0.25">
      <c r="A1544" s="27">
        <v>45046</v>
      </c>
      <c r="B1544" s="13">
        <v>18</v>
      </c>
      <c r="C1544" t="s">
        <v>3</v>
      </c>
      <c r="D1544" t="s">
        <v>4</v>
      </c>
      <c r="E1544" t="s">
        <v>21</v>
      </c>
      <c r="F1544" s="6">
        <v>201186833</v>
      </c>
      <c r="G1544" t="s">
        <v>904</v>
      </c>
      <c r="H1544" t="s">
        <v>268</v>
      </c>
      <c r="I1544">
        <v>0</v>
      </c>
      <c r="J1544">
        <v>0</v>
      </c>
      <c r="K1544">
        <v>0</v>
      </c>
      <c r="L1544">
        <v>0</v>
      </c>
      <c r="M1544">
        <v>0.53</v>
      </c>
      <c r="N1544" s="7" t="e">
        <f>VLOOKUP(F1544,HC!A$6:D$100,3,FALSE)</f>
        <v>#N/A</v>
      </c>
      <c r="O1544" s="7" t="str">
        <f>VLOOKUP(F1544,HC!A$6:D$1000,2,FALSE)</f>
        <v>jaalexav</v>
      </c>
      <c r="P1544" t="s">
        <v>662</v>
      </c>
      <c r="Q1544" s="7" t="s">
        <v>757</v>
      </c>
      <c r="U1544">
        <f t="shared" si="26"/>
        <v>16</v>
      </c>
    </row>
    <row r="1545" spans="1:21" ht="37.5" customHeight="1" x14ac:dyDescent="0.25">
      <c r="A1545" s="27">
        <v>45046</v>
      </c>
      <c r="B1545" s="13">
        <v>18</v>
      </c>
      <c r="C1545" t="s">
        <v>3</v>
      </c>
      <c r="D1545" t="s">
        <v>4</v>
      </c>
      <c r="E1545" t="s">
        <v>21</v>
      </c>
      <c r="F1545" s="6">
        <v>201201993</v>
      </c>
      <c r="G1545" t="s">
        <v>964</v>
      </c>
      <c r="H1545" t="s">
        <v>285</v>
      </c>
      <c r="I1545">
        <v>0</v>
      </c>
      <c r="J1545">
        <v>0</v>
      </c>
      <c r="K1545">
        <v>0</v>
      </c>
      <c r="L1545">
        <v>0</v>
      </c>
      <c r="M1545">
        <v>0.06</v>
      </c>
      <c r="N1545" s="7" t="e">
        <f>VLOOKUP(F1545,HC!A$6:D$100,3,FALSE)</f>
        <v>#N/A</v>
      </c>
      <c r="O1545" s="7" t="e">
        <f>VLOOKUP(F1545,HC!A$6:D$1000,2,FALSE)</f>
        <v>#N/A</v>
      </c>
      <c r="P1545" t="s">
        <v>662</v>
      </c>
      <c r="Q1545" s="7" t="s">
        <v>691</v>
      </c>
      <c r="U1545">
        <f t="shared" si="26"/>
        <v>1395</v>
      </c>
    </row>
    <row r="1546" spans="1:21" ht="37.5" customHeight="1" x14ac:dyDescent="0.25">
      <c r="A1546" s="27">
        <v>45046</v>
      </c>
      <c r="B1546" s="13">
        <v>18</v>
      </c>
      <c r="C1546" t="s">
        <v>3</v>
      </c>
      <c r="D1546" t="s">
        <v>4</v>
      </c>
      <c r="E1546" t="s">
        <v>21</v>
      </c>
      <c r="F1546" s="6">
        <v>201320536</v>
      </c>
      <c r="G1546" t="s">
        <v>992</v>
      </c>
      <c r="H1546" t="s">
        <v>559</v>
      </c>
      <c r="I1546">
        <v>0</v>
      </c>
      <c r="J1546">
        <v>0</v>
      </c>
      <c r="K1546">
        <v>0</v>
      </c>
      <c r="L1546">
        <v>0</v>
      </c>
      <c r="M1546">
        <v>0.18</v>
      </c>
      <c r="N1546" s="7" t="e">
        <f>VLOOKUP(F1546,HC!A$6:D$100,3,FALSE)</f>
        <v>#N/A</v>
      </c>
      <c r="O1546" s="7" t="str">
        <f>VLOOKUP(F1546,HC!A$6:D$1000,2,FALSE)</f>
        <v>ibalmigu</v>
      </c>
      <c r="P1546" t="s">
        <v>664</v>
      </c>
      <c r="Q1546" s="7" t="s">
        <v>711</v>
      </c>
      <c r="U1546">
        <f t="shared" si="26"/>
        <v>11</v>
      </c>
    </row>
    <row r="1547" spans="1:21" ht="37.5" customHeight="1" x14ac:dyDescent="0.25">
      <c r="A1547" s="30">
        <v>45047</v>
      </c>
      <c r="B1547" s="13">
        <v>18</v>
      </c>
      <c r="C1547" t="s">
        <v>3</v>
      </c>
      <c r="D1547" t="s">
        <v>4</v>
      </c>
      <c r="E1547" t="s">
        <v>5</v>
      </c>
      <c r="F1547" s="6">
        <v>111434478</v>
      </c>
      <c r="G1547" t="s">
        <v>331</v>
      </c>
      <c r="H1547" t="s">
        <v>253</v>
      </c>
      <c r="I1547">
        <v>0</v>
      </c>
      <c r="J1547">
        <v>0</v>
      </c>
      <c r="K1547">
        <v>0</v>
      </c>
      <c r="L1547">
        <v>0</v>
      </c>
      <c r="M1547">
        <v>0.52</v>
      </c>
      <c r="N1547" s="7" t="str">
        <f>VLOOKUP(F1547,HC!A$6:D$100,3,FALSE)</f>
        <v>DA-X0700</v>
      </c>
      <c r="O1547" s="7" t="str">
        <f>VLOOKUP(F1547,HC!A$6:D$1000,2,FALSE)</f>
        <v>juanapam</v>
      </c>
      <c r="P1547" t="s">
        <v>664</v>
      </c>
      <c r="Q1547" s="7" t="s">
        <v>709</v>
      </c>
      <c r="U1547">
        <f t="shared" si="26"/>
        <v>32</v>
      </c>
    </row>
    <row r="1548" spans="1:21" ht="37.5" customHeight="1" x14ac:dyDescent="0.25">
      <c r="A1548" s="30">
        <v>45047</v>
      </c>
      <c r="B1548" s="13">
        <v>18</v>
      </c>
      <c r="C1548" t="s">
        <v>3</v>
      </c>
      <c r="D1548" t="s">
        <v>4</v>
      </c>
      <c r="E1548" t="s">
        <v>21</v>
      </c>
      <c r="F1548" s="6">
        <v>112912007</v>
      </c>
      <c r="G1548" t="s">
        <v>518</v>
      </c>
      <c r="H1548" t="s">
        <v>268</v>
      </c>
      <c r="I1548">
        <v>0</v>
      </c>
      <c r="J1548">
        <v>0</v>
      </c>
      <c r="K1548">
        <v>0</v>
      </c>
      <c r="L1548">
        <v>0</v>
      </c>
      <c r="M1548">
        <v>1.67</v>
      </c>
      <c r="N1548" s="7" t="e">
        <f>VLOOKUP(F1548,HC!A$6:D$100,3,FALSE)</f>
        <v>#N/A</v>
      </c>
      <c r="O1548" s="7" t="e">
        <f>VLOOKUP(F1548,HC!A$6:D$1000,2,FALSE)</f>
        <v>#N/A</v>
      </c>
      <c r="P1548" t="s">
        <v>664</v>
      </c>
      <c r="Q1548" s="7" t="s">
        <v>711</v>
      </c>
      <c r="U1548">
        <f t="shared" si="26"/>
        <v>1395</v>
      </c>
    </row>
    <row r="1549" spans="1:21" ht="37.5" customHeight="1" x14ac:dyDescent="0.25">
      <c r="A1549" s="30">
        <v>45047</v>
      </c>
      <c r="B1549" s="13">
        <v>18</v>
      </c>
      <c r="C1549" t="s">
        <v>3</v>
      </c>
      <c r="D1549" t="s">
        <v>4</v>
      </c>
      <c r="E1549" t="s">
        <v>5</v>
      </c>
      <c r="F1549" s="6">
        <v>112912661</v>
      </c>
      <c r="G1549" t="s">
        <v>782</v>
      </c>
      <c r="H1549" t="s">
        <v>250</v>
      </c>
      <c r="I1549">
        <v>0</v>
      </c>
      <c r="J1549">
        <v>0</v>
      </c>
      <c r="K1549">
        <v>0</v>
      </c>
      <c r="L1549">
        <v>0</v>
      </c>
      <c r="M1549">
        <v>0.42</v>
      </c>
      <c r="N1549" s="7" t="str">
        <f>VLOOKUP(F1549,HC!A$6:D$100,3,FALSE)</f>
        <v>DA-X0700</v>
      </c>
      <c r="O1549" s="7" t="str">
        <f>VLOOKUP(F1549,HC!A$6:D$1000,2,FALSE)</f>
        <v>franmorb</v>
      </c>
      <c r="Q1549" s="7"/>
      <c r="U1549">
        <f t="shared" si="26"/>
        <v>8</v>
      </c>
    </row>
    <row r="1550" spans="1:21" ht="37.5" customHeight="1" x14ac:dyDescent="0.25">
      <c r="A1550" s="30">
        <v>45047</v>
      </c>
      <c r="B1550" s="13">
        <v>18</v>
      </c>
      <c r="C1550" t="s">
        <v>3</v>
      </c>
      <c r="D1550" t="s">
        <v>4</v>
      </c>
      <c r="E1550" t="s">
        <v>5</v>
      </c>
      <c r="F1550" s="6">
        <v>112912752</v>
      </c>
      <c r="G1550" t="s">
        <v>251</v>
      </c>
      <c r="H1550" t="s">
        <v>268</v>
      </c>
      <c r="I1550">
        <v>0</v>
      </c>
      <c r="J1550">
        <v>0</v>
      </c>
      <c r="K1550">
        <v>0</v>
      </c>
      <c r="L1550">
        <v>0</v>
      </c>
      <c r="M1550">
        <v>1.63</v>
      </c>
      <c r="N1550" s="7" t="str">
        <f>VLOOKUP(F1550,HC!A$6:D$100,3,FALSE)</f>
        <v>NF-X1900</v>
      </c>
      <c r="O1550" s="7" t="str">
        <f>VLOOKUP(F1550,HC!A$6:D$1000,2,FALSE)</f>
        <v>valderle</v>
      </c>
      <c r="P1550" t="s">
        <v>664</v>
      </c>
      <c r="Q1550" s="7" t="s">
        <v>762</v>
      </c>
      <c r="U1550">
        <f t="shared" si="26"/>
        <v>50</v>
      </c>
    </row>
    <row r="1551" spans="1:21" ht="37.5" customHeight="1" x14ac:dyDescent="0.25">
      <c r="A1551" s="30">
        <v>45047</v>
      </c>
      <c r="B1551" s="13">
        <v>18</v>
      </c>
      <c r="C1551" t="s">
        <v>3</v>
      </c>
      <c r="D1551" t="s">
        <v>4</v>
      </c>
      <c r="E1551" t="s">
        <v>5</v>
      </c>
      <c r="F1551" s="6">
        <v>112981212</v>
      </c>
      <c r="G1551" t="s">
        <v>573</v>
      </c>
      <c r="H1551" t="s">
        <v>44</v>
      </c>
      <c r="I1551">
        <v>0</v>
      </c>
      <c r="J1551">
        <v>0</v>
      </c>
      <c r="K1551">
        <v>0</v>
      </c>
      <c r="L1551">
        <v>0</v>
      </c>
      <c r="M1551">
        <v>0.19</v>
      </c>
      <c r="N1551" s="7" t="e">
        <f>VLOOKUP(F1551,HC!A$6:D$100,3,FALSE)</f>
        <v>#N/A</v>
      </c>
      <c r="O1551" s="7" t="str">
        <f>VLOOKUP(F1551,HC!A$6:D$1000,2,FALSE)</f>
        <v>alysonza</v>
      </c>
      <c r="P1551" t="s">
        <v>662</v>
      </c>
      <c r="Q1551" s="7" t="s">
        <v>691</v>
      </c>
      <c r="U1551">
        <f t="shared" si="26"/>
        <v>23</v>
      </c>
    </row>
    <row r="1552" spans="1:21" ht="37.5" customHeight="1" x14ac:dyDescent="0.25">
      <c r="A1552" s="30">
        <v>45047</v>
      </c>
      <c r="B1552" s="13">
        <v>18</v>
      </c>
      <c r="C1552" t="s">
        <v>3</v>
      </c>
      <c r="D1552" t="s">
        <v>4</v>
      </c>
      <c r="E1552" t="s">
        <v>5</v>
      </c>
      <c r="F1552" s="6">
        <v>200404250</v>
      </c>
      <c r="G1552" t="s">
        <v>51</v>
      </c>
      <c r="H1552" t="s">
        <v>298</v>
      </c>
      <c r="I1552">
        <v>0</v>
      </c>
      <c r="J1552">
        <v>0</v>
      </c>
      <c r="K1552">
        <v>0</v>
      </c>
      <c r="L1552">
        <v>0</v>
      </c>
      <c r="M1552">
        <v>0.56000000000000005</v>
      </c>
      <c r="N1552" s="7" t="e">
        <f>VLOOKUP(F1552,HC!A$6:D$100,3,FALSE)</f>
        <v>#N/A</v>
      </c>
      <c r="O1552" s="7" t="str">
        <f>VLOOKUP(F1552,HC!A$6:D$1000,2,FALSE)</f>
        <v>xcathurt</v>
      </c>
      <c r="P1552" t="s">
        <v>662</v>
      </c>
      <c r="Q1552" s="7" t="s">
        <v>757</v>
      </c>
      <c r="U1552">
        <f t="shared" si="26"/>
        <v>124</v>
      </c>
    </row>
    <row r="1553" spans="1:21" ht="37.5" customHeight="1" x14ac:dyDescent="0.25">
      <c r="A1553" s="30">
        <v>45047</v>
      </c>
      <c r="B1553" s="13">
        <v>18</v>
      </c>
      <c r="C1553" t="s">
        <v>3</v>
      </c>
      <c r="D1553" t="s">
        <v>4</v>
      </c>
      <c r="E1553" t="s">
        <v>21</v>
      </c>
      <c r="F1553" s="6">
        <v>200574655</v>
      </c>
      <c r="G1553" t="s">
        <v>630</v>
      </c>
      <c r="H1553" t="s">
        <v>44</v>
      </c>
      <c r="I1553">
        <v>0</v>
      </c>
      <c r="J1553">
        <v>0</v>
      </c>
      <c r="K1553">
        <v>0</v>
      </c>
      <c r="L1553">
        <v>0</v>
      </c>
      <c r="M1553">
        <v>0.19</v>
      </c>
      <c r="N1553" s="7" t="e">
        <f>VLOOKUP(F1553,HC!A$6:D$100,3,FALSE)</f>
        <v>#N/A</v>
      </c>
      <c r="O1553" s="7" t="str">
        <f>VLOOKUP(F1553,HC!A$6:D$1000,2,FALSE)</f>
        <v>dulceami</v>
      </c>
      <c r="P1553" t="s">
        <v>661</v>
      </c>
      <c r="Q1553" s="7" t="s">
        <v>681</v>
      </c>
      <c r="U1553">
        <f t="shared" si="26"/>
        <v>20</v>
      </c>
    </row>
    <row r="1554" spans="1:21" ht="37.5" customHeight="1" x14ac:dyDescent="0.25">
      <c r="A1554" s="30">
        <v>45047</v>
      </c>
      <c r="B1554" s="13">
        <v>18</v>
      </c>
      <c r="C1554" t="s">
        <v>3</v>
      </c>
      <c r="D1554" t="s">
        <v>4</v>
      </c>
      <c r="E1554" t="s">
        <v>21</v>
      </c>
      <c r="F1554" s="6">
        <v>201186777</v>
      </c>
      <c r="G1554" t="s">
        <v>856</v>
      </c>
      <c r="H1554" t="s">
        <v>298</v>
      </c>
      <c r="I1554">
        <v>0</v>
      </c>
      <c r="J1554">
        <v>0</v>
      </c>
      <c r="K1554">
        <v>0</v>
      </c>
      <c r="L1554">
        <v>0</v>
      </c>
      <c r="M1554">
        <v>0.14000000000000001</v>
      </c>
      <c r="N1554" s="7" t="e">
        <f>VLOOKUP(F1554,HC!A$6:D$100,3,FALSE)</f>
        <v>#N/A</v>
      </c>
      <c r="O1554" s="7" t="str">
        <f>VLOOKUP(F1554,HC!A$6:D$1000,2,FALSE)</f>
        <v>bemonzon</v>
      </c>
      <c r="P1554" t="s">
        <v>661</v>
      </c>
      <c r="Q1554" s="7" t="s">
        <v>681</v>
      </c>
      <c r="U1554">
        <f t="shared" si="26"/>
        <v>15</v>
      </c>
    </row>
    <row r="1555" spans="1:21" ht="37.5" customHeight="1" x14ac:dyDescent="0.25">
      <c r="A1555" s="30">
        <v>45047</v>
      </c>
      <c r="B1555" s="13">
        <v>18</v>
      </c>
      <c r="C1555" t="s">
        <v>3</v>
      </c>
      <c r="D1555" t="s">
        <v>4</v>
      </c>
      <c r="E1555" t="s">
        <v>21</v>
      </c>
      <c r="F1555" s="6">
        <v>201186833</v>
      </c>
      <c r="G1555" t="s">
        <v>904</v>
      </c>
      <c r="H1555" t="s">
        <v>268</v>
      </c>
      <c r="I1555">
        <v>0</v>
      </c>
      <c r="J1555">
        <v>0</v>
      </c>
      <c r="K1555">
        <v>0</v>
      </c>
      <c r="L1555">
        <v>0</v>
      </c>
      <c r="M1555">
        <v>0.67</v>
      </c>
      <c r="N1555" s="7" t="e">
        <f>VLOOKUP(F1555,HC!A$6:D$100,3,FALSE)</f>
        <v>#N/A</v>
      </c>
      <c r="O1555" s="7" t="str">
        <f>VLOOKUP(F1555,HC!A$6:D$1000,2,FALSE)</f>
        <v>jaalexav</v>
      </c>
      <c r="P1555" t="s">
        <v>661</v>
      </c>
      <c r="Q1555" s="7" t="s">
        <v>684</v>
      </c>
      <c r="U1555">
        <f t="shared" si="26"/>
        <v>16</v>
      </c>
    </row>
    <row r="1556" spans="1:21" ht="37.5" customHeight="1" x14ac:dyDescent="0.25">
      <c r="A1556" s="30">
        <v>45047</v>
      </c>
      <c r="B1556" s="13">
        <v>18</v>
      </c>
      <c r="C1556" t="s">
        <v>3</v>
      </c>
      <c r="D1556" t="s">
        <v>4</v>
      </c>
      <c r="E1556" t="s">
        <v>21</v>
      </c>
      <c r="F1556" s="6">
        <v>201201993</v>
      </c>
      <c r="G1556" t="s">
        <v>964</v>
      </c>
      <c r="H1556" t="s">
        <v>285</v>
      </c>
      <c r="I1556">
        <v>0</v>
      </c>
      <c r="J1556">
        <v>0</v>
      </c>
      <c r="K1556">
        <v>0</v>
      </c>
      <c r="L1556">
        <v>0</v>
      </c>
      <c r="M1556">
        <v>1.3</v>
      </c>
      <c r="N1556" s="7" t="e">
        <f>VLOOKUP(F1556,HC!A$6:D$100,3,FALSE)</f>
        <v>#N/A</v>
      </c>
      <c r="O1556" s="7" t="e">
        <f>VLOOKUP(F1556,HC!A$6:D$1000,2,FALSE)</f>
        <v>#N/A</v>
      </c>
      <c r="P1556" t="s">
        <v>661</v>
      </c>
      <c r="Q1556" s="7" t="s">
        <v>775</v>
      </c>
      <c r="U1556">
        <f t="shared" si="26"/>
        <v>1395</v>
      </c>
    </row>
    <row r="1557" spans="1:21" ht="37.5" customHeight="1" x14ac:dyDescent="0.25">
      <c r="A1557" s="30">
        <v>45047</v>
      </c>
      <c r="B1557" s="13">
        <v>18</v>
      </c>
      <c r="C1557" t="s">
        <v>3</v>
      </c>
      <c r="D1557" t="s">
        <v>4</v>
      </c>
      <c r="E1557" t="s">
        <v>21</v>
      </c>
      <c r="F1557" s="6">
        <v>201294058</v>
      </c>
      <c r="G1557" t="s">
        <v>985</v>
      </c>
      <c r="H1557" t="s">
        <v>285</v>
      </c>
      <c r="I1557">
        <v>0</v>
      </c>
      <c r="J1557">
        <v>0</v>
      </c>
      <c r="K1557">
        <v>0</v>
      </c>
      <c r="L1557">
        <v>0</v>
      </c>
      <c r="M1557">
        <v>0.08</v>
      </c>
      <c r="N1557" s="7" t="e">
        <f>VLOOKUP(F1557,HC!A$6:D$100,3,FALSE)</f>
        <v>#N/A</v>
      </c>
      <c r="O1557" s="7" t="str">
        <f>VLOOKUP(F1557,HC!A$6:D$1000,2,FALSE)</f>
        <v>alerikat</v>
      </c>
      <c r="P1557" t="s">
        <v>661</v>
      </c>
      <c r="Q1557" s="7" t="s">
        <v>681</v>
      </c>
      <c r="U1557">
        <f t="shared" si="26"/>
        <v>6</v>
      </c>
    </row>
    <row r="1558" spans="1:21" ht="37.5" customHeight="1" x14ac:dyDescent="0.25">
      <c r="A1558" s="30">
        <v>45048</v>
      </c>
      <c r="B1558" s="13">
        <v>18</v>
      </c>
      <c r="C1558" t="s">
        <v>3</v>
      </c>
      <c r="D1558" t="s">
        <v>4</v>
      </c>
      <c r="E1558" t="s">
        <v>5</v>
      </c>
      <c r="F1558" s="6">
        <v>112912752</v>
      </c>
      <c r="G1558" t="s">
        <v>251</v>
      </c>
      <c r="H1558" t="s">
        <v>268</v>
      </c>
      <c r="I1558">
        <v>0</v>
      </c>
      <c r="J1558">
        <v>0</v>
      </c>
      <c r="K1558">
        <v>0</v>
      </c>
      <c r="L1558">
        <v>0</v>
      </c>
      <c r="M1558">
        <v>1.82</v>
      </c>
      <c r="N1558" s="7" t="str">
        <f>VLOOKUP(F1558,HC!A$6:D$100,3,FALSE)</f>
        <v>NF-X1900</v>
      </c>
      <c r="O1558" s="7" t="str">
        <f>VLOOKUP(F1558,HC!A$6:D$1000,2,FALSE)</f>
        <v>valderle</v>
      </c>
      <c r="P1558" t="s">
        <v>664</v>
      </c>
      <c r="Q1558" s="7" t="s">
        <v>709</v>
      </c>
      <c r="U1558">
        <f t="shared" si="26"/>
        <v>50</v>
      </c>
    </row>
    <row r="1559" spans="1:21" ht="37.5" customHeight="1" x14ac:dyDescent="0.25">
      <c r="A1559" s="30">
        <v>45048</v>
      </c>
      <c r="B1559" s="13">
        <v>18</v>
      </c>
      <c r="C1559" t="s">
        <v>3</v>
      </c>
      <c r="D1559" t="s">
        <v>4</v>
      </c>
      <c r="E1559" t="s">
        <v>5</v>
      </c>
      <c r="F1559" s="6">
        <v>112912753</v>
      </c>
      <c r="G1559" t="s">
        <v>415</v>
      </c>
      <c r="H1559" t="s">
        <v>298</v>
      </c>
      <c r="I1559">
        <v>0</v>
      </c>
      <c r="J1559">
        <v>0</v>
      </c>
      <c r="K1559">
        <v>0</v>
      </c>
      <c r="L1559">
        <v>0</v>
      </c>
      <c r="M1559">
        <v>0.01</v>
      </c>
      <c r="N1559" s="7" t="e">
        <f>VLOOKUP(F1559,HC!A$6:D$100,3,FALSE)</f>
        <v>#N/A</v>
      </c>
      <c r="O1559" s="7" t="e">
        <f>VLOOKUP(F1559,HC!A$6:D$1000,2,FALSE)</f>
        <v>#N/A</v>
      </c>
      <c r="P1559" t="s">
        <v>664</v>
      </c>
      <c r="Q1559" s="7" t="s">
        <v>711</v>
      </c>
      <c r="U1559">
        <f t="shared" si="26"/>
        <v>1395</v>
      </c>
    </row>
    <row r="1560" spans="1:21" ht="37.5" customHeight="1" x14ac:dyDescent="0.25">
      <c r="A1560" s="30">
        <v>45048</v>
      </c>
      <c r="B1560" s="13">
        <v>18</v>
      </c>
      <c r="C1560" t="s">
        <v>3</v>
      </c>
      <c r="D1560" t="s">
        <v>4</v>
      </c>
      <c r="E1560" t="s">
        <v>21</v>
      </c>
      <c r="F1560" s="6">
        <v>112950796</v>
      </c>
      <c r="G1560" t="s">
        <v>951</v>
      </c>
      <c r="H1560" t="s">
        <v>268</v>
      </c>
      <c r="I1560">
        <v>0</v>
      </c>
      <c r="J1560">
        <v>0</v>
      </c>
      <c r="K1560">
        <v>0</v>
      </c>
      <c r="L1560">
        <v>0</v>
      </c>
      <c r="M1560">
        <v>2.31</v>
      </c>
      <c r="N1560" s="7" t="e">
        <f>VLOOKUP(F1560,HC!A$6:D$100,3,FALSE)</f>
        <v>#N/A</v>
      </c>
      <c r="O1560" s="7" t="e">
        <f>VLOOKUP(F1560,HC!A$6:D$1000,2,FALSE)</f>
        <v>#N/A</v>
      </c>
      <c r="P1560" t="s">
        <v>664</v>
      </c>
      <c r="Q1560" s="7" t="s">
        <v>708</v>
      </c>
      <c r="U1560">
        <f t="shared" si="26"/>
        <v>1395</v>
      </c>
    </row>
    <row r="1561" spans="1:21" ht="37.5" customHeight="1" x14ac:dyDescent="0.25">
      <c r="A1561" s="30">
        <v>45048</v>
      </c>
      <c r="B1561" s="13">
        <v>18</v>
      </c>
      <c r="C1561" t="s">
        <v>3</v>
      </c>
      <c r="D1561" t="s">
        <v>4</v>
      </c>
      <c r="E1561" t="s">
        <v>5</v>
      </c>
      <c r="F1561" s="6">
        <v>112972215</v>
      </c>
      <c r="G1561" t="s">
        <v>984</v>
      </c>
      <c r="H1561" t="s">
        <v>298</v>
      </c>
      <c r="I1561">
        <v>0</v>
      </c>
      <c r="J1561">
        <v>0</v>
      </c>
      <c r="K1561">
        <v>0</v>
      </c>
      <c r="L1561">
        <v>0</v>
      </c>
      <c r="M1561">
        <v>0.14000000000000001</v>
      </c>
      <c r="N1561" s="7" t="str">
        <f>VLOOKUP(F1561,HC!A$6:D$100,3,FALSE)</f>
        <v>DB-X0700</v>
      </c>
      <c r="O1561" s="7" t="str">
        <f>VLOOKUP(F1561,HC!A$6:D$1000,2,FALSE)</f>
        <v>cruzbana</v>
      </c>
      <c r="P1561" t="s">
        <v>666</v>
      </c>
      <c r="Q1561" s="7" t="s">
        <v>768</v>
      </c>
      <c r="U1561">
        <f t="shared" si="26"/>
        <v>16</v>
      </c>
    </row>
    <row r="1562" spans="1:21" ht="37.5" customHeight="1" x14ac:dyDescent="0.25">
      <c r="A1562" s="30">
        <v>45048</v>
      </c>
      <c r="B1562" s="13">
        <v>18</v>
      </c>
      <c r="C1562" t="s">
        <v>3</v>
      </c>
      <c r="D1562" t="s">
        <v>4</v>
      </c>
      <c r="E1562" t="s">
        <v>5</v>
      </c>
      <c r="F1562" s="6">
        <v>112981013</v>
      </c>
      <c r="G1562" t="s">
        <v>283</v>
      </c>
      <c r="H1562" t="s">
        <v>268</v>
      </c>
      <c r="I1562">
        <v>0</v>
      </c>
      <c r="J1562">
        <v>0</v>
      </c>
      <c r="K1562">
        <v>0</v>
      </c>
      <c r="L1562">
        <v>0</v>
      </c>
      <c r="M1562">
        <v>0.96</v>
      </c>
      <c r="N1562" s="7" t="str">
        <f>VLOOKUP(F1562,HC!A$6:D$100,3,FALSE)</f>
        <v>DA-X0700</v>
      </c>
      <c r="O1562" s="7" t="str">
        <f>VLOOKUP(F1562,HC!A$6:D$1000,2,FALSE)</f>
        <v>normaelo</v>
      </c>
      <c r="P1562" t="s">
        <v>664</v>
      </c>
      <c r="Q1562" s="7" t="s">
        <v>716</v>
      </c>
      <c r="R1562" t="s">
        <v>620</v>
      </c>
      <c r="U1562">
        <f t="shared" si="26"/>
        <v>24</v>
      </c>
    </row>
    <row r="1563" spans="1:21" ht="37.5" customHeight="1" x14ac:dyDescent="0.25">
      <c r="A1563" s="30">
        <v>45048</v>
      </c>
      <c r="B1563" s="13">
        <v>18</v>
      </c>
      <c r="C1563" t="s">
        <v>3</v>
      </c>
      <c r="D1563" t="s">
        <v>4</v>
      </c>
      <c r="E1563" t="s">
        <v>5</v>
      </c>
      <c r="F1563" s="6">
        <v>112981196</v>
      </c>
      <c r="G1563" t="s">
        <v>328</v>
      </c>
      <c r="H1563" t="s">
        <v>285</v>
      </c>
      <c r="I1563">
        <v>0</v>
      </c>
      <c r="J1563">
        <v>0</v>
      </c>
      <c r="K1563">
        <v>0</v>
      </c>
      <c r="L1563">
        <v>0</v>
      </c>
      <c r="M1563">
        <v>0.94</v>
      </c>
      <c r="N1563" s="7" t="e">
        <f>VLOOKUP(F1563,HC!A$6:D$100,3,FALSE)</f>
        <v>#N/A</v>
      </c>
      <c r="O1563" s="7" t="str">
        <f>VLOOKUP(F1563,HC!A$6:D$1000,2,FALSE)</f>
        <v>vandgome</v>
      </c>
      <c r="P1563" t="s">
        <v>664</v>
      </c>
      <c r="Q1563" s="7" t="s">
        <v>708</v>
      </c>
      <c r="U1563">
        <f t="shared" si="26"/>
        <v>24</v>
      </c>
    </row>
    <row r="1564" spans="1:21" ht="37.5" customHeight="1" x14ac:dyDescent="0.25">
      <c r="A1564" s="30">
        <v>45048</v>
      </c>
      <c r="B1564" s="13">
        <v>18</v>
      </c>
      <c r="C1564" t="s">
        <v>3</v>
      </c>
      <c r="D1564" t="s">
        <v>4</v>
      </c>
      <c r="E1564" t="s">
        <v>5</v>
      </c>
      <c r="F1564" s="6">
        <v>113014042</v>
      </c>
      <c r="G1564" t="s">
        <v>329</v>
      </c>
      <c r="H1564" t="s">
        <v>7</v>
      </c>
      <c r="I1564">
        <v>0</v>
      </c>
      <c r="J1564">
        <v>0</v>
      </c>
      <c r="K1564">
        <v>0</v>
      </c>
      <c r="L1564">
        <v>0</v>
      </c>
      <c r="M1564">
        <v>0.24</v>
      </c>
      <c r="N1564" s="7" t="e">
        <f>VLOOKUP(F1564,HC!A$6:D$100,3,FALSE)</f>
        <v>#N/A</v>
      </c>
      <c r="O1564" s="7" t="str">
        <f>VLOOKUP(F1564,HC!A$6:D$1000,2,FALSE)</f>
        <v>rfcervan</v>
      </c>
      <c r="P1564" t="s">
        <v>662</v>
      </c>
      <c r="Q1564" s="7" t="s">
        <v>757</v>
      </c>
      <c r="U1564">
        <f t="shared" si="26"/>
        <v>23</v>
      </c>
    </row>
    <row r="1565" spans="1:21" ht="37.5" customHeight="1" x14ac:dyDescent="0.25">
      <c r="A1565" s="30">
        <v>45048</v>
      </c>
      <c r="B1565" s="13">
        <v>18</v>
      </c>
      <c r="C1565" t="s">
        <v>3</v>
      </c>
      <c r="D1565" t="s">
        <v>4</v>
      </c>
      <c r="E1565" t="s">
        <v>21</v>
      </c>
      <c r="F1565" s="6">
        <v>200563210</v>
      </c>
      <c r="G1565" t="s">
        <v>993</v>
      </c>
      <c r="H1565" t="s">
        <v>559</v>
      </c>
      <c r="I1565">
        <v>0</v>
      </c>
      <c r="J1565">
        <v>0</v>
      </c>
      <c r="K1565">
        <v>0</v>
      </c>
      <c r="L1565">
        <v>0</v>
      </c>
      <c r="M1565">
        <v>0.25</v>
      </c>
      <c r="N1565" s="7" t="e">
        <f>VLOOKUP(F1565,HC!A$6:D$100,3,FALSE)</f>
        <v>#N/A</v>
      </c>
      <c r="O1565" s="7" t="e">
        <f>VLOOKUP(F1565,HC!A$6:D$1000,2,FALSE)</f>
        <v>#N/A</v>
      </c>
      <c r="P1565" t="s">
        <v>661</v>
      </c>
      <c r="Q1565" s="7" t="s">
        <v>684</v>
      </c>
      <c r="U1565">
        <f t="shared" si="26"/>
        <v>1395</v>
      </c>
    </row>
    <row r="1566" spans="1:21" ht="37.5" customHeight="1" x14ac:dyDescent="0.25">
      <c r="A1566" s="30">
        <v>45048</v>
      </c>
      <c r="B1566" s="13">
        <v>18</v>
      </c>
      <c r="C1566" t="s">
        <v>3</v>
      </c>
      <c r="D1566" t="s">
        <v>4</v>
      </c>
      <c r="E1566" t="s">
        <v>21</v>
      </c>
      <c r="F1566" s="6">
        <v>201198979</v>
      </c>
      <c r="G1566" t="s">
        <v>905</v>
      </c>
      <c r="H1566" t="s">
        <v>285</v>
      </c>
      <c r="I1566">
        <v>0</v>
      </c>
      <c r="J1566">
        <v>0</v>
      </c>
      <c r="K1566">
        <v>0</v>
      </c>
      <c r="L1566">
        <v>0</v>
      </c>
      <c r="M1566">
        <v>1.18</v>
      </c>
      <c r="N1566" s="7" t="e">
        <f>VLOOKUP(F1566,HC!A$6:D$100,3,FALSE)</f>
        <v>#N/A</v>
      </c>
      <c r="O1566" s="7" t="e">
        <f>VLOOKUP(F1566,HC!A$6:D$1000,2,FALSE)</f>
        <v>#N/A</v>
      </c>
      <c r="P1566" t="s">
        <v>664</v>
      </c>
      <c r="Q1566" s="7" t="s">
        <v>777</v>
      </c>
      <c r="U1566">
        <f t="shared" si="26"/>
        <v>1395</v>
      </c>
    </row>
    <row r="1567" spans="1:21" ht="37.5" customHeight="1" x14ac:dyDescent="0.25">
      <c r="A1567" s="30">
        <v>45048</v>
      </c>
      <c r="B1567" s="13">
        <v>18</v>
      </c>
      <c r="C1567" t="s">
        <v>3</v>
      </c>
      <c r="D1567" t="s">
        <v>4</v>
      </c>
      <c r="E1567" t="s">
        <v>21</v>
      </c>
      <c r="F1567" s="6">
        <v>201295506</v>
      </c>
      <c r="G1567" t="s">
        <v>972</v>
      </c>
      <c r="H1567" t="s">
        <v>268</v>
      </c>
      <c r="I1567">
        <v>0</v>
      </c>
      <c r="J1567">
        <v>0</v>
      </c>
      <c r="K1567">
        <v>0</v>
      </c>
      <c r="L1567">
        <v>0</v>
      </c>
      <c r="M1567">
        <v>1.22</v>
      </c>
      <c r="N1567" s="7" t="e">
        <f>VLOOKUP(F1567,HC!A$6:D$100,3,FALSE)</f>
        <v>#N/A</v>
      </c>
      <c r="O1567" s="7" t="e">
        <f>VLOOKUP(F1567,HC!A$6:D$1000,2,FALSE)</f>
        <v>#N/A</v>
      </c>
      <c r="P1567" t="s">
        <v>665</v>
      </c>
      <c r="Q1567" s="7" t="s">
        <v>722</v>
      </c>
      <c r="U1567">
        <f t="shared" si="26"/>
        <v>1395</v>
      </c>
    </row>
    <row r="1568" spans="1:21" ht="37.5" customHeight="1" x14ac:dyDescent="0.25">
      <c r="A1568" s="30">
        <v>45048</v>
      </c>
      <c r="B1568" s="13">
        <v>18</v>
      </c>
      <c r="C1568" t="s">
        <v>3</v>
      </c>
      <c r="D1568" t="s">
        <v>4</v>
      </c>
      <c r="E1568" t="s">
        <v>21</v>
      </c>
      <c r="F1568" s="6">
        <v>201320388</v>
      </c>
      <c r="G1568" t="s">
        <v>994</v>
      </c>
      <c r="H1568" t="s">
        <v>559</v>
      </c>
      <c r="I1568">
        <v>0</v>
      </c>
      <c r="J1568">
        <v>0</v>
      </c>
      <c r="K1568">
        <v>0</v>
      </c>
      <c r="L1568">
        <v>0</v>
      </c>
      <c r="M1568">
        <v>0.65</v>
      </c>
      <c r="N1568" s="7" t="e">
        <f>VLOOKUP(F1568,HC!A$6:D$100,3,FALSE)</f>
        <v>#N/A</v>
      </c>
      <c r="O1568" s="7" t="e">
        <f>VLOOKUP(F1568,HC!A$6:D$1000,2,FALSE)</f>
        <v>#N/A</v>
      </c>
      <c r="P1568" t="s">
        <v>662</v>
      </c>
      <c r="Q1568" s="7" t="s">
        <v>757</v>
      </c>
      <c r="U1568">
        <f t="shared" si="26"/>
        <v>1395</v>
      </c>
    </row>
    <row r="1569" spans="1:21" ht="37.5" customHeight="1" x14ac:dyDescent="0.25">
      <c r="A1569" s="30">
        <v>45049</v>
      </c>
      <c r="B1569" s="13">
        <v>18</v>
      </c>
      <c r="C1569" t="s">
        <v>3</v>
      </c>
      <c r="D1569" t="s">
        <v>4</v>
      </c>
      <c r="E1569" t="s">
        <v>21</v>
      </c>
      <c r="F1569" s="6">
        <v>112912007</v>
      </c>
      <c r="G1569" t="s">
        <v>518</v>
      </c>
      <c r="H1569" t="s">
        <v>268</v>
      </c>
      <c r="I1569">
        <v>0</v>
      </c>
      <c r="J1569">
        <v>0</v>
      </c>
      <c r="K1569">
        <v>0</v>
      </c>
      <c r="L1569">
        <v>0</v>
      </c>
      <c r="M1569">
        <v>0.6</v>
      </c>
      <c r="N1569" s="7" t="e">
        <f>VLOOKUP(F1569,HC!A$6:D$100,3,FALSE)</f>
        <v>#N/A</v>
      </c>
      <c r="O1569" s="7" t="e">
        <f>VLOOKUP(F1569,HC!A$6:D$1000,2,FALSE)</f>
        <v>#N/A</v>
      </c>
      <c r="Q1569" s="7"/>
      <c r="U1569">
        <f t="shared" si="26"/>
        <v>1395</v>
      </c>
    </row>
    <row r="1570" spans="1:21" ht="37.5" customHeight="1" x14ac:dyDescent="0.25">
      <c r="A1570" s="30">
        <v>45049</v>
      </c>
      <c r="B1570" s="13">
        <v>18</v>
      </c>
      <c r="C1570" t="s">
        <v>3</v>
      </c>
      <c r="D1570" t="s">
        <v>4</v>
      </c>
      <c r="E1570" t="s">
        <v>21</v>
      </c>
      <c r="F1570" s="6">
        <v>112912747</v>
      </c>
      <c r="G1570" t="s">
        <v>995</v>
      </c>
      <c r="H1570" t="s">
        <v>559</v>
      </c>
      <c r="I1570">
        <v>0</v>
      </c>
      <c r="J1570">
        <v>0</v>
      </c>
      <c r="K1570">
        <v>0</v>
      </c>
      <c r="L1570">
        <v>0</v>
      </c>
      <c r="M1570">
        <v>0.06</v>
      </c>
      <c r="N1570" s="7" t="e">
        <f>VLOOKUP(F1570,HC!A$6:D$100,3,FALSE)</f>
        <v>#N/A</v>
      </c>
      <c r="O1570" s="7" t="e">
        <f>VLOOKUP(F1570,HC!A$6:D$1000,2,FALSE)</f>
        <v>#N/A</v>
      </c>
      <c r="Q1570" s="7"/>
      <c r="U1570">
        <f t="shared" si="26"/>
        <v>1395</v>
      </c>
    </row>
    <row r="1571" spans="1:21" ht="37.5" customHeight="1" x14ac:dyDescent="0.25">
      <c r="A1571" s="30">
        <v>45049</v>
      </c>
      <c r="B1571" s="13">
        <v>18</v>
      </c>
      <c r="C1571" t="s">
        <v>3</v>
      </c>
      <c r="D1571" t="s">
        <v>4</v>
      </c>
      <c r="E1571" t="s">
        <v>5</v>
      </c>
      <c r="F1571" s="6">
        <v>112912752</v>
      </c>
      <c r="G1571" t="s">
        <v>251</v>
      </c>
      <c r="H1571" t="s">
        <v>268</v>
      </c>
      <c r="I1571">
        <v>0</v>
      </c>
      <c r="J1571">
        <v>0</v>
      </c>
      <c r="K1571">
        <v>0</v>
      </c>
      <c r="L1571">
        <v>0</v>
      </c>
      <c r="M1571">
        <v>0.82</v>
      </c>
      <c r="N1571" s="7" t="str">
        <f>VLOOKUP(F1571,HC!A$6:D$100,3,FALSE)</f>
        <v>NF-X1900</v>
      </c>
      <c r="O1571" s="7" t="str">
        <f>VLOOKUP(F1571,HC!A$6:D$1000,2,FALSE)</f>
        <v>valderle</v>
      </c>
      <c r="Q1571" s="7"/>
      <c r="U1571">
        <f t="shared" si="26"/>
        <v>50</v>
      </c>
    </row>
    <row r="1572" spans="1:21" ht="37.5" customHeight="1" x14ac:dyDescent="0.25">
      <c r="A1572" s="30">
        <v>45049</v>
      </c>
      <c r="B1572" s="13">
        <v>18</v>
      </c>
      <c r="C1572" t="s">
        <v>3</v>
      </c>
      <c r="D1572" t="s">
        <v>4</v>
      </c>
      <c r="E1572" t="s">
        <v>5</v>
      </c>
      <c r="F1572" s="6">
        <v>112942473</v>
      </c>
      <c r="G1572" t="s">
        <v>996</v>
      </c>
      <c r="H1572" t="s">
        <v>403</v>
      </c>
      <c r="I1572">
        <v>0</v>
      </c>
      <c r="J1572">
        <v>0</v>
      </c>
      <c r="K1572">
        <v>0</v>
      </c>
      <c r="L1572">
        <v>0</v>
      </c>
      <c r="M1572">
        <v>1.1499999999999999</v>
      </c>
      <c r="N1572" s="7" t="str">
        <f>VLOOKUP(F1572,HC!A$6:D$100,3,FALSE)</f>
        <v>DC-X0700</v>
      </c>
      <c r="O1572" s="7" t="str">
        <f>VLOOKUP(F1572,HC!A$6:D$1000,2,FALSE)</f>
        <v>hildacec</v>
      </c>
      <c r="Q1572" s="7"/>
      <c r="U1572">
        <f t="shared" si="26"/>
        <v>6</v>
      </c>
    </row>
    <row r="1573" spans="1:21" ht="37.5" customHeight="1" x14ac:dyDescent="0.25">
      <c r="A1573" s="30">
        <v>45049</v>
      </c>
      <c r="B1573" s="13">
        <v>18</v>
      </c>
      <c r="C1573" t="s">
        <v>3</v>
      </c>
      <c r="D1573" t="s">
        <v>4</v>
      </c>
      <c r="E1573" t="s">
        <v>5</v>
      </c>
      <c r="F1573" s="6">
        <v>112971980</v>
      </c>
      <c r="G1573" t="s">
        <v>445</v>
      </c>
      <c r="H1573" t="s">
        <v>282</v>
      </c>
      <c r="I1573">
        <v>0</v>
      </c>
      <c r="J1573">
        <v>0</v>
      </c>
      <c r="K1573">
        <v>0</v>
      </c>
      <c r="L1573">
        <v>0</v>
      </c>
      <c r="M1573">
        <v>0.46</v>
      </c>
      <c r="N1573" s="7" t="str">
        <f>VLOOKUP(F1573,HC!A$6:D$100,3,FALSE)</f>
        <v>DC-X0700</v>
      </c>
      <c r="O1573" s="7" t="str">
        <f>VLOOKUP(F1573,HC!A$6:D$1000,2,FALSE)</f>
        <v>cdanirom</v>
      </c>
      <c r="Q1573" s="7"/>
      <c r="U1573">
        <f t="shared" si="26"/>
        <v>25</v>
      </c>
    </row>
    <row r="1574" spans="1:21" ht="37.5" customHeight="1" x14ac:dyDescent="0.25">
      <c r="A1574" s="30">
        <v>45049</v>
      </c>
      <c r="B1574" s="13">
        <v>18</v>
      </c>
      <c r="C1574" t="s">
        <v>3</v>
      </c>
      <c r="D1574" t="s">
        <v>4</v>
      </c>
      <c r="E1574" t="s">
        <v>5</v>
      </c>
      <c r="F1574" s="6">
        <v>112972215</v>
      </c>
      <c r="G1574" t="s">
        <v>984</v>
      </c>
      <c r="H1574" t="s">
        <v>298</v>
      </c>
      <c r="I1574">
        <v>0</v>
      </c>
      <c r="J1574">
        <v>0</v>
      </c>
      <c r="K1574">
        <v>0</v>
      </c>
      <c r="L1574">
        <v>0</v>
      </c>
      <c r="M1574">
        <v>0.18</v>
      </c>
      <c r="N1574" s="7" t="str">
        <f>VLOOKUP(F1574,HC!A$6:D$100,3,FALSE)</f>
        <v>DB-X0700</v>
      </c>
      <c r="O1574" s="7" t="str">
        <f>VLOOKUP(F1574,HC!A$6:D$1000,2,FALSE)</f>
        <v>cruzbana</v>
      </c>
      <c r="Q1574" s="7"/>
      <c r="U1574">
        <f t="shared" si="26"/>
        <v>16</v>
      </c>
    </row>
    <row r="1575" spans="1:21" ht="37.5" customHeight="1" x14ac:dyDescent="0.25">
      <c r="A1575" s="30">
        <v>45049</v>
      </c>
      <c r="B1575" s="13">
        <v>18</v>
      </c>
      <c r="C1575" t="s">
        <v>3</v>
      </c>
      <c r="D1575" t="s">
        <v>4</v>
      </c>
      <c r="E1575" t="s">
        <v>5</v>
      </c>
      <c r="F1575" s="6">
        <v>112980844</v>
      </c>
      <c r="G1575" t="s">
        <v>13</v>
      </c>
      <c r="H1575" t="s">
        <v>268</v>
      </c>
      <c r="I1575">
        <v>0</v>
      </c>
      <c r="J1575">
        <v>0</v>
      </c>
      <c r="K1575">
        <v>0</v>
      </c>
      <c r="L1575">
        <v>0</v>
      </c>
      <c r="M1575">
        <v>0.47</v>
      </c>
      <c r="N1575" s="7" t="str">
        <f>VLOOKUP(F1575,HC!A$6:D$100,3,FALSE)</f>
        <v>DA-X0700</v>
      </c>
      <c r="O1575" s="7" t="str">
        <f>VLOOKUP(F1575,HC!A$6:D$1000,2,FALSE)</f>
        <v>samajpad</v>
      </c>
      <c r="Q1575" s="7"/>
      <c r="U1575">
        <f t="shared" si="26"/>
        <v>20</v>
      </c>
    </row>
    <row r="1576" spans="1:21" ht="37.5" customHeight="1" x14ac:dyDescent="0.25">
      <c r="A1576" s="30">
        <v>45049</v>
      </c>
      <c r="B1576" s="13">
        <v>18</v>
      </c>
      <c r="C1576" t="s">
        <v>3</v>
      </c>
      <c r="D1576" t="s">
        <v>4</v>
      </c>
      <c r="E1576" t="s">
        <v>5</v>
      </c>
      <c r="F1576" s="6">
        <v>113003631</v>
      </c>
      <c r="G1576" t="s">
        <v>479</v>
      </c>
      <c r="H1576" t="s">
        <v>285</v>
      </c>
      <c r="I1576">
        <v>0</v>
      </c>
      <c r="J1576">
        <v>0</v>
      </c>
      <c r="K1576">
        <v>0</v>
      </c>
      <c r="L1576">
        <v>0</v>
      </c>
      <c r="M1576">
        <v>0.22</v>
      </c>
      <c r="N1576" s="7" t="e">
        <f>VLOOKUP(F1576,HC!A$6:D$100,3,FALSE)</f>
        <v>#N/A</v>
      </c>
      <c r="O1576" s="7" t="e">
        <f>VLOOKUP(F1576,HC!A$6:D$1000,2,FALSE)</f>
        <v>#N/A</v>
      </c>
      <c r="Q1576" s="7"/>
      <c r="U1576">
        <f t="shared" si="26"/>
        <v>1395</v>
      </c>
    </row>
    <row r="1577" spans="1:21" ht="37.5" customHeight="1" x14ac:dyDescent="0.25">
      <c r="A1577" s="30">
        <v>45049</v>
      </c>
      <c r="B1577" s="13">
        <v>18</v>
      </c>
      <c r="C1577" t="s">
        <v>3</v>
      </c>
      <c r="D1577" t="s">
        <v>4</v>
      </c>
      <c r="E1577" t="s">
        <v>5</v>
      </c>
      <c r="F1577" s="6">
        <v>113019001</v>
      </c>
      <c r="G1577" t="s">
        <v>464</v>
      </c>
      <c r="H1577" t="s">
        <v>268</v>
      </c>
      <c r="I1577">
        <v>0</v>
      </c>
      <c r="J1577">
        <v>0</v>
      </c>
      <c r="K1577">
        <v>0</v>
      </c>
      <c r="L1577">
        <v>0</v>
      </c>
      <c r="M1577">
        <v>0.22</v>
      </c>
      <c r="N1577" s="7" t="e">
        <f>VLOOKUP(F1577,HC!A$6:D$100,3,FALSE)</f>
        <v>#N/A</v>
      </c>
      <c r="O1577" s="7" t="str">
        <f>VLOOKUP(F1577,HC!A$6:D$1000,2,FALSE)</f>
        <v>dolozane</v>
      </c>
      <c r="Q1577" s="7"/>
      <c r="U1577">
        <f t="shared" si="26"/>
        <v>17</v>
      </c>
    </row>
    <row r="1578" spans="1:21" ht="37.5" customHeight="1" x14ac:dyDescent="0.25">
      <c r="A1578" s="30">
        <v>45049</v>
      </c>
      <c r="B1578" s="13">
        <v>18</v>
      </c>
      <c r="C1578" t="s">
        <v>3</v>
      </c>
      <c r="D1578" t="s">
        <v>4</v>
      </c>
      <c r="E1578" t="s">
        <v>21</v>
      </c>
      <c r="F1578" s="6">
        <v>200407440</v>
      </c>
      <c r="G1578" t="s">
        <v>997</v>
      </c>
      <c r="H1578" t="s">
        <v>559</v>
      </c>
      <c r="I1578">
        <v>0</v>
      </c>
      <c r="J1578">
        <v>0</v>
      </c>
      <c r="K1578">
        <v>0</v>
      </c>
      <c r="L1578">
        <v>0</v>
      </c>
      <c r="M1578">
        <v>1.02</v>
      </c>
      <c r="N1578" s="7" t="e">
        <f>VLOOKUP(F1578,HC!A$6:D$100,3,FALSE)</f>
        <v>#N/A</v>
      </c>
      <c r="O1578" s="7" t="e">
        <f>VLOOKUP(F1578,HC!A$6:D$1000,2,FALSE)</f>
        <v>#N/A</v>
      </c>
      <c r="Q1578" s="7"/>
      <c r="U1578">
        <f t="shared" si="26"/>
        <v>1395</v>
      </c>
    </row>
    <row r="1579" spans="1:21" ht="37.5" customHeight="1" x14ac:dyDescent="0.25">
      <c r="A1579" s="30">
        <v>45049</v>
      </c>
      <c r="B1579" s="13">
        <v>18</v>
      </c>
      <c r="C1579" t="s">
        <v>3</v>
      </c>
      <c r="D1579" t="s">
        <v>4</v>
      </c>
      <c r="E1579" t="s">
        <v>21</v>
      </c>
      <c r="F1579" s="6">
        <v>201166890</v>
      </c>
      <c r="G1579" t="s">
        <v>998</v>
      </c>
      <c r="H1579" t="s">
        <v>298</v>
      </c>
      <c r="I1579">
        <v>0</v>
      </c>
      <c r="J1579">
        <v>0</v>
      </c>
      <c r="K1579">
        <v>0</v>
      </c>
      <c r="L1579">
        <v>0</v>
      </c>
      <c r="M1579">
        <v>0.55000000000000004</v>
      </c>
      <c r="N1579" s="7" t="e">
        <f>VLOOKUP(F1579,HC!A$6:D$100,3,FALSE)</f>
        <v>#N/A</v>
      </c>
      <c r="O1579" s="7" t="str">
        <f>VLOOKUP(F1579,HC!A$6:D$1000,2,FALSE)</f>
        <v>lcabadan</v>
      </c>
      <c r="Q1579" s="7"/>
      <c r="U1579">
        <f t="shared" si="26"/>
        <v>24</v>
      </c>
    </row>
    <row r="1580" spans="1:21" ht="37.5" customHeight="1" x14ac:dyDescent="0.25">
      <c r="A1580" s="30">
        <v>45050</v>
      </c>
      <c r="B1580" s="13">
        <v>18</v>
      </c>
      <c r="C1580" t="s">
        <v>3</v>
      </c>
      <c r="D1580" t="s">
        <v>4</v>
      </c>
      <c r="E1580" t="s">
        <v>5</v>
      </c>
      <c r="F1580" s="6">
        <v>103260242</v>
      </c>
      <c r="G1580" t="s">
        <v>793</v>
      </c>
      <c r="H1580" t="s">
        <v>17</v>
      </c>
      <c r="I1580">
        <v>0</v>
      </c>
      <c r="J1580">
        <v>0</v>
      </c>
      <c r="K1580">
        <v>0</v>
      </c>
      <c r="L1580">
        <v>0</v>
      </c>
      <c r="M1580">
        <v>0.15</v>
      </c>
      <c r="N1580" s="7" t="e">
        <f>VLOOKUP(F1580,HC!A$6:D$100,3,FALSE)</f>
        <v>#N/A</v>
      </c>
      <c r="O1580" s="7" t="e">
        <f>VLOOKUP(F1580,HC!A$6:D$1000,2,FALSE)</f>
        <v>#N/A</v>
      </c>
      <c r="Q1580" s="7"/>
      <c r="U1580">
        <f t="shared" si="26"/>
        <v>1395</v>
      </c>
    </row>
    <row r="1581" spans="1:21" ht="37.5" customHeight="1" x14ac:dyDescent="0.25">
      <c r="A1581" s="30">
        <v>45050</v>
      </c>
      <c r="B1581" s="13">
        <v>18</v>
      </c>
      <c r="C1581" t="s">
        <v>3</v>
      </c>
      <c r="D1581" t="s">
        <v>4</v>
      </c>
      <c r="E1581" t="s">
        <v>5</v>
      </c>
      <c r="F1581" s="6">
        <v>112912674</v>
      </c>
      <c r="G1581" t="s">
        <v>835</v>
      </c>
      <c r="H1581" t="s">
        <v>253</v>
      </c>
      <c r="I1581">
        <v>0</v>
      </c>
      <c r="J1581">
        <v>0</v>
      </c>
      <c r="K1581">
        <v>0</v>
      </c>
      <c r="L1581">
        <v>0</v>
      </c>
      <c r="M1581">
        <v>0.87</v>
      </c>
      <c r="N1581" s="7" t="str">
        <f>VLOOKUP(F1581,HC!A$6:D$100,3,FALSE)</f>
        <v>DA-X0700</v>
      </c>
      <c r="O1581" s="7" t="str">
        <f>VLOOKUP(F1581,HC!A$6:D$1000,2,FALSE)</f>
        <v>rociodro</v>
      </c>
      <c r="Q1581" s="7"/>
      <c r="U1581">
        <f t="shared" si="26"/>
        <v>3</v>
      </c>
    </row>
    <row r="1582" spans="1:21" ht="37.5" customHeight="1" x14ac:dyDescent="0.25">
      <c r="A1582" s="30">
        <v>45050</v>
      </c>
      <c r="B1582" s="13">
        <v>18</v>
      </c>
      <c r="C1582" t="s">
        <v>3</v>
      </c>
      <c r="D1582" t="s">
        <v>4</v>
      </c>
      <c r="E1582" t="s">
        <v>5</v>
      </c>
      <c r="F1582" s="6">
        <v>112912675</v>
      </c>
      <c r="G1582" t="s">
        <v>326</v>
      </c>
      <c r="H1582" t="s">
        <v>49</v>
      </c>
      <c r="I1582">
        <v>0</v>
      </c>
      <c r="J1582">
        <v>0</v>
      </c>
      <c r="K1582">
        <v>0</v>
      </c>
      <c r="L1582">
        <v>0</v>
      </c>
      <c r="M1582">
        <v>0.26</v>
      </c>
      <c r="N1582" s="7" t="e">
        <f>VLOOKUP(F1582,HC!A$6:D$100,3,FALSE)</f>
        <v>#N/A</v>
      </c>
      <c r="O1582" s="7" t="e">
        <f>VLOOKUP(F1582,HC!A$6:D$1000,2,FALSE)</f>
        <v>#N/A</v>
      </c>
      <c r="Q1582" s="7"/>
      <c r="U1582">
        <f t="shared" si="26"/>
        <v>1395</v>
      </c>
    </row>
    <row r="1583" spans="1:21" ht="37.5" customHeight="1" x14ac:dyDescent="0.25">
      <c r="A1583" s="30">
        <v>45050</v>
      </c>
      <c r="B1583" s="13">
        <v>18</v>
      </c>
      <c r="C1583" t="s">
        <v>3</v>
      </c>
      <c r="D1583" t="s">
        <v>4</v>
      </c>
      <c r="E1583" t="s">
        <v>5</v>
      </c>
      <c r="F1583" s="6">
        <v>112912983</v>
      </c>
      <c r="G1583" t="s">
        <v>558</v>
      </c>
      <c r="H1583" t="s">
        <v>332</v>
      </c>
      <c r="I1583">
        <v>0</v>
      </c>
      <c r="J1583">
        <v>0</v>
      </c>
      <c r="K1583">
        <v>0</v>
      </c>
      <c r="L1583">
        <v>0</v>
      </c>
      <c r="M1583">
        <v>0.11</v>
      </c>
      <c r="N1583" s="7" t="str">
        <f>VLOOKUP(F1583,HC!A$6:D$100,3,FALSE)</f>
        <v>NF-X1900</v>
      </c>
      <c r="O1583" s="7" t="str">
        <f>VLOOKUP(F1583,HC!A$6:D$1000,2,FALSE)</f>
        <v>wrocirod</v>
      </c>
      <c r="Q1583" s="7"/>
      <c r="U1583">
        <f t="shared" si="26"/>
        <v>16</v>
      </c>
    </row>
    <row r="1584" spans="1:21" ht="37.5" customHeight="1" x14ac:dyDescent="0.25">
      <c r="A1584" s="30">
        <v>45050</v>
      </c>
      <c r="B1584" s="13">
        <v>18</v>
      </c>
      <c r="C1584" t="s">
        <v>3</v>
      </c>
      <c r="D1584" t="s">
        <v>4</v>
      </c>
      <c r="E1584" t="s">
        <v>5</v>
      </c>
      <c r="F1584" s="6">
        <v>112920654</v>
      </c>
      <c r="G1584" t="s">
        <v>500</v>
      </c>
      <c r="H1584" t="s">
        <v>250</v>
      </c>
      <c r="I1584">
        <v>0</v>
      </c>
      <c r="J1584">
        <v>0</v>
      </c>
      <c r="K1584">
        <v>0</v>
      </c>
      <c r="L1584">
        <v>0</v>
      </c>
      <c r="M1584">
        <v>0.32</v>
      </c>
      <c r="N1584" s="7" t="str">
        <f>VLOOKUP(F1584,HC!A$6:D$100,3,FALSE)</f>
        <v>DB-X0700</v>
      </c>
      <c r="O1584" s="7" t="str">
        <f>VLOOKUP(F1584,HC!A$6:D$1000,2,FALSE)</f>
        <v>qhojulie</v>
      </c>
      <c r="Q1584" s="7"/>
      <c r="U1584">
        <f t="shared" si="26"/>
        <v>16</v>
      </c>
    </row>
    <row r="1585" spans="1:21" ht="37.5" customHeight="1" x14ac:dyDescent="0.25">
      <c r="A1585" s="30">
        <v>45050</v>
      </c>
      <c r="B1585" s="13">
        <v>18</v>
      </c>
      <c r="C1585" t="s">
        <v>3</v>
      </c>
      <c r="D1585" t="s">
        <v>4</v>
      </c>
      <c r="E1585" t="s">
        <v>5</v>
      </c>
      <c r="F1585" s="6">
        <v>112920655</v>
      </c>
      <c r="G1585" t="s">
        <v>509</v>
      </c>
      <c r="H1585" t="s">
        <v>282</v>
      </c>
      <c r="I1585">
        <v>0</v>
      </c>
      <c r="J1585">
        <v>0</v>
      </c>
      <c r="K1585">
        <v>0</v>
      </c>
      <c r="L1585">
        <v>0</v>
      </c>
      <c r="M1585">
        <v>0.64</v>
      </c>
      <c r="N1585" s="7" t="e">
        <f>VLOOKUP(F1585,HC!A$6:D$100,3,FALSE)</f>
        <v>#N/A</v>
      </c>
      <c r="O1585" s="7" t="e">
        <f>VLOOKUP(F1585,HC!A$6:D$1000,2,FALSE)</f>
        <v>#N/A</v>
      </c>
      <c r="Q1585" s="7"/>
      <c r="U1585">
        <f t="shared" si="26"/>
        <v>1395</v>
      </c>
    </row>
    <row r="1586" spans="1:21" ht="37.5" customHeight="1" x14ac:dyDescent="0.25">
      <c r="A1586" s="30">
        <v>45050</v>
      </c>
      <c r="B1586" s="13">
        <v>18</v>
      </c>
      <c r="C1586" t="s">
        <v>3</v>
      </c>
      <c r="D1586" t="s">
        <v>4</v>
      </c>
      <c r="E1586" t="s">
        <v>5</v>
      </c>
      <c r="F1586" s="6">
        <v>112972215</v>
      </c>
      <c r="G1586" t="s">
        <v>984</v>
      </c>
      <c r="H1586" t="s">
        <v>298</v>
      </c>
      <c r="I1586">
        <v>0</v>
      </c>
      <c r="J1586">
        <v>0</v>
      </c>
      <c r="K1586">
        <v>0</v>
      </c>
      <c r="L1586">
        <v>0</v>
      </c>
      <c r="M1586">
        <v>0.31</v>
      </c>
      <c r="N1586" s="7" t="str">
        <f>VLOOKUP(F1586,HC!A$6:D$100,3,FALSE)</f>
        <v>DB-X0700</v>
      </c>
      <c r="O1586" s="7" t="str">
        <f>VLOOKUP(F1586,HC!A$6:D$1000,2,FALSE)</f>
        <v>cruzbana</v>
      </c>
      <c r="Q1586" s="7"/>
      <c r="U1586">
        <f t="shared" si="26"/>
        <v>16</v>
      </c>
    </row>
    <row r="1587" spans="1:21" ht="37.5" customHeight="1" x14ac:dyDescent="0.25">
      <c r="A1587" s="30">
        <v>45050</v>
      </c>
      <c r="B1587" s="13">
        <v>18</v>
      </c>
      <c r="C1587" t="s">
        <v>3</v>
      </c>
      <c r="D1587" t="s">
        <v>4</v>
      </c>
      <c r="E1587" t="s">
        <v>5</v>
      </c>
      <c r="F1587" s="6">
        <v>112980986</v>
      </c>
      <c r="G1587" t="s">
        <v>999</v>
      </c>
      <c r="H1587" t="s">
        <v>268</v>
      </c>
      <c r="I1587">
        <v>0</v>
      </c>
      <c r="J1587">
        <v>0</v>
      </c>
      <c r="K1587">
        <v>0</v>
      </c>
      <c r="L1587">
        <v>0</v>
      </c>
      <c r="M1587">
        <v>1.44</v>
      </c>
      <c r="N1587" s="7" t="str">
        <f>VLOOKUP(F1587,HC!A$6:D$100,3,FALSE)</f>
        <v>DJ-X0700</v>
      </c>
      <c r="O1587" s="7" t="str">
        <f>VLOOKUP(F1587,HC!A$6:D$1000,2,FALSE)</f>
        <v>eserenca</v>
      </c>
      <c r="Q1587" s="7"/>
      <c r="U1587">
        <f t="shared" si="26"/>
        <v>3</v>
      </c>
    </row>
    <row r="1588" spans="1:21" ht="37.5" customHeight="1" x14ac:dyDescent="0.25">
      <c r="A1588" s="30">
        <v>45050</v>
      </c>
      <c r="B1588" s="13">
        <v>18</v>
      </c>
      <c r="C1588" t="s">
        <v>3</v>
      </c>
      <c r="D1588" t="s">
        <v>4</v>
      </c>
      <c r="E1588" t="s">
        <v>5</v>
      </c>
      <c r="F1588" s="6">
        <v>112981061</v>
      </c>
      <c r="G1588" t="s">
        <v>264</v>
      </c>
      <c r="H1588" t="s">
        <v>44</v>
      </c>
      <c r="I1588">
        <v>0</v>
      </c>
      <c r="J1588">
        <v>0</v>
      </c>
      <c r="K1588">
        <v>0</v>
      </c>
      <c r="L1588">
        <v>0</v>
      </c>
      <c r="M1588">
        <v>0.18</v>
      </c>
      <c r="N1588" s="7" t="str">
        <f>VLOOKUP(F1588,HC!A$6:D$100,3,FALSE)</f>
        <v>DA-X0700</v>
      </c>
      <c r="O1588" s="7" t="str">
        <f>VLOOKUP(F1588,HC!A$6:D$1000,2,FALSE)</f>
        <v>mclaudol</v>
      </c>
      <c r="Q1588" s="7"/>
      <c r="U1588">
        <f t="shared" si="26"/>
        <v>44</v>
      </c>
    </row>
    <row r="1589" spans="1:21" ht="37.5" customHeight="1" x14ac:dyDescent="0.25">
      <c r="A1589" s="30">
        <v>45050</v>
      </c>
      <c r="B1589" s="13">
        <v>18</v>
      </c>
      <c r="C1589" t="s">
        <v>3</v>
      </c>
      <c r="D1589" t="s">
        <v>4</v>
      </c>
      <c r="E1589" t="s">
        <v>5</v>
      </c>
      <c r="F1589" s="6">
        <v>112981212</v>
      </c>
      <c r="G1589" t="s">
        <v>573</v>
      </c>
      <c r="H1589" t="s">
        <v>44</v>
      </c>
      <c r="I1589">
        <v>0</v>
      </c>
      <c r="J1589">
        <v>0</v>
      </c>
      <c r="K1589">
        <v>0</v>
      </c>
      <c r="L1589">
        <v>0</v>
      </c>
      <c r="M1589">
        <v>1.08</v>
      </c>
      <c r="N1589" s="7" t="e">
        <f>VLOOKUP(F1589,HC!A$6:D$100,3,FALSE)</f>
        <v>#N/A</v>
      </c>
      <c r="O1589" s="7" t="str">
        <f>VLOOKUP(F1589,HC!A$6:D$1000,2,FALSE)</f>
        <v>alysonza</v>
      </c>
      <c r="Q1589" s="7"/>
      <c r="U1589">
        <f t="shared" si="26"/>
        <v>23</v>
      </c>
    </row>
    <row r="1590" spans="1:21" ht="37.5" customHeight="1" x14ac:dyDescent="0.25">
      <c r="A1590" s="30">
        <v>45050</v>
      </c>
      <c r="B1590" s="13">
        <v>18</v>
      </c>
      <c r="C1590" t="s">
        <v>3</v>
      </c>
      <c r="D1590" t="s">
        <v>4</v>
      </c>
      <c r="E1590" t="s">
        <v>5</v>
      </c>
      <c r="F1590" s="6">
        <v>113003679</v>
      </c>
      <c r="G1590" t="s">
        <v>444</v>
      </c>
      <c r="H1590" t="s">
        <v>47</v>
      </c>
      <c r="I1590">
        <v>0</v>
      </c>
      <c r="J1590">
        <v>0</v>
      </c>
      <c r="K1590">
        <v>0</v>
      </c>
      <c r="L1590">
        <v>0</v>
      </c>
      <c r="M1590">
        <v>0.12</v>
      </c>
      <c r="N1590" s="7" t="e">
        <f>VLOOKUP(F1590,HC!A$6:D$100,3,FALSE)</f>
        <v>#N/A</v>
      </c>
      <c r="O1590" s="7" t="e">
        <f>VLOOKUP(F1590,HC!A$6:D$1000,2,FALSE)</f>
        <v>#N/A</v>
      </c>
      <c r="Q1590" s="7"/>
      <c r="U1590">
        <f t="shared" si="26"/>
        <v>1395</v>
      </c>
    </row>
    <row r="1591" spans="1:21" ht="37.5" customHeight="1" x14ac:dyDescent="0.25">
      <c r="A1591" s="30">
        <v>45050</v>
      </c>
      <c r="B1591" s="13">
        <v>18</v>
      </c>
      <c r="C1591" t="s">
        <v>3</v>
      </c>
      <c r="D1591" t="s">
        <v>4</v>
      </c>
      <c r="E1591" t="s">
        <v>5</v>
      </c>
      <c r="F1591" s="6">
        <v>113014592</v>
      </c>
      <c r="G1591" t="s">
        <v>967</v>
      </c>
      <c r="H1591" t="s">
        <v>298</v>
      </c>
      <c r="I1591">
        <v>0</v>
      </c>
      <c r="J1591">
        <v>0</v>
      </c>
      <c r="K1591">
        <v>0</v>
      </c>
      <c r="L1591">
        <v>0</v>
      </c>
      <c r="M1591">
        <v>0.22</v>
      </c>
      <c r="N1591" s="7" t="e">
        <f>VLOOKUP(F1591,HC!A$6:D$100,3,FALSE)</f>
        <v>#N/A</v>
      </c>
      <c r="O1591" s="7" t="str">
        <f>VLOOKUP(F1591,HC!A$6:D$1000,2,FALSE)</f>
        <v>brepicaz</v>
      </c>
      <c r="Q1591" s="7"/>
      <c r="U1591">
        <f t="shared" si="26"/>
        <v>6</v>
      </c>
    </row>
    <row r="1592" spans="1:21" ht="37.5" customHeight="1" x14ac:dyDescent="0.25">
      <c r="A1592" s="30">
        <v>45050</v>
      </c>
      <c r="B1592" s="13">
        <v>18</v>
      </c>
      <c r="C1592" t="s">
        <v>3</v>
      </c>
      <c r="D1592" t="s">
        <v>4</v>
      </c>
      <c r="E1592" t="s">
        <v>21</v>
      </c>
      <c r="F1592" s="6">
        <v>200563210</v>
      </c>
      <c r="G1592" t="s">
        <v>993</v>
      </c>
      <c r="H1592" t="s">
        <v>559</v>
      </c>
      <c r="I1592">
        <v>0</v>
      </c>
      <c r="J1592">
        <v>0</v>
      </c>
      <c r="K1592">
        <v>0</v>
      </c>
      <c r="L1592">
        <v>0</v>
      </c>
      <c r="M1592">
        <v>0.41</v>
      </c>
      <c r="N1592" s="7" t="e">
        <f>VLOOKUP(F1592,HC!A$6:D$100,3,FALSE)</f>
        <v>#N/A</v>
      </c>
      <c r="O1592" s="7" t="e">
        <f>VLOOKUP(F1592,HC!A$6:D$1000,2,FALSE)</f>
        <v>#N/A</v>
      </c>
      <c r="Q1592" s="7"/>
      <c r="U1592">
        <f t="shared" si="26"/>
        <v>1395</v>
      </c>
    </row>
    <row r="1593" spans="1:21" ht="37.5" customHeight="1" x14ac:dyDescent="0.25">
      <c r="A1593" s="30">
        <v>45050</v>
      </c>
      <c r="B1593" s="13">
        <v>18</v>
      </c>
      <c r="C1593" t="s">
        <v>3</v>
      </c>
      <c r="D1593" t="s">
        <v>4</v>
      </c>
      <c r="E1593" t="s">
        <v>21</v>
      </c>
      <c r="F1593" s="6">
        <v>200615883</v>
      </c>
      <c r="G1593" t="s">
        <v>508</v>
      </c>
      <c r="H1593" t="s">
        <v>47</v>
      </c>
      <c r="I1593">
        <v>0</v>
      </c>
      <c r="J1593">
        <v>0</v>
      </c>
      <c r="K1593">
        <v>0</v>
      </c>
      <c r="L1593">
        <v>0</v>
      </c>
      <c r="M1593">
        <v>0.77</v>
      </c>
      <c r="N1593" s="7" t="e">
        <f>VLOOKUP(F1593,HC!A$6:D$100,3,FALSE)</f>
        <v>#N/A</v>
      </c>
      <c r="O1593" s="7" t="e">
        <f>VLOOKUP(F1593,HC!A$6:D$1000,2,FALSE)</f>
        <v>#N/A</v>
      </c>
      <c r="Q1593" s="7"/>
      <c r="U1593">
        <f t="shared" si="26"/>
        <v>1395</v>
      </c>
    </row>
    <row r="1594" spans="1:21" ht="37.5" customHeight="1" x14ac:dyDescent="0.25">
      <c r="A1594" s="30">
        <v>45050</v>
      </c>
      <c r="B1594" s="13">
        <v>18</v>
      </c>
      <c r="C1594" t="s">
        <v>3</v>
      </c>
      <c r="D1594" t="s">
        <v>4</v>
      </c>
      <c r="E1594" t="s">
        <v>21</v>
      </c>
      <c r="F1594" s="6">
        <v>201320388</v>
      </c>
      <c r="G1594" t="s">
        <v>994</v>
      </c>
      <c r="H1594" t="s">
        <v>559</v>
      </c>
      <c r="I1594">
        <v>0</v>
      </c>
      <c r="J1594">
        <v>0</v>
      </c>
      <c r="K1594">
        <v>0</v>
      </c>
      <c r="L1594">
        <v>0</v>
      </c>
      <c r="M1594">
        <v>0.21</v>
      </c>
      <c r="N1594" s="7" t="e">
        <f>VLOOKUP(F1594,HC!A$6:D$100,3,FALSE)</f>
        <v>#N/A</v>
      </c>
      <c r="O1594" s="7" t="e">
        <f>VLOOKUP(F1594,HC!A$6:D$1000,2,FALSE)</f>
        <v>#N/A</v>
      </c>
      <c r="Q1594" s="7"/>
      <c r="U1594">
        <f t="shared" si="26"/>
        <v>1395</v>
      </c>
    </row>
    <row r="1595" spans="1:21" ht="37.5" customHeight="1" x14ac:dyDescent="0.25">
      <c r="A1595" s="30">
        <v>45051</v>
      </c>
      <c r="B1595" s="13">
        <v>18</v>
      </c>
      <c r="C1595" t="s">
        <v>3</v>
      </c>
      <c r="D1595" t="s">
        <v>4</v>
      </c>
      <c r="E1595" t="s">
        <v>5</v>
      </c>
      <c r="F1595" s="6">
        <v>103979960</v>
      </c>
      <c r="G1595" t="s">
        <v>372</v>
      </c>
      <c r="H1595" t="s">
        <v>44</v>
      </c>
      <c r="I1595">
        <v>0</v>
      </c>
      <c r="J1595">
        <v>0</v>
      </c>
      <c r="K1595">
        <v>0</v>
      </c>
      <c r="L1595">
        <v>0</v>
      </c>
      <c r="M1595">
        <v>0.82</v>
      </c>
      <c r="N1595" s="7" t="e">
        <f>VLOOKUP(F1595,HC!A$6:D$100,3,FALSE)</f>
        <v>#N/A</v>
      </c>
      <c r="O1595" s="7" t="e">
        <f>VLOOKUP(F1595,HC!A$6:D$1000,2,FALSE)</f>
        <v>#N/A</v>
      </c>
      <c r="Q1595" s="7"/>
      <c r="U1595">
        <f t="shared" si="26"/>
        <v>1395</v>
      </c>
    </row>
    <row r="1596" spans="1:21" ht="37.5" customHeight="1" x14ac:dyDescent="0.25">
      <c r="A1596" s="30">
        <v>45051</v>
      </c>
      <c r="B1596" s="13">
        <v>18</v>
      </c>
      <c r="C1596" t="s">
        <v>3</v>
      </c>
      <c r="D1596" t="s">
        <v>4</v>
      </c>
      <c r="E1596" t="s">
        <v>5</v>
      </c>
      <c r="F1596" s="6">
        <v>112972608</v>
      </c>
      <c r="G1596" t="s">
        <v>510</v>
      </c>
      <c r="H1596" t="s">
        <v>282</v>
      </c>
      <c r="I1596">
        <v>0</v>
      </c>
      <c r="J1596">
        <v>0</v>
      </c>
      <c r="K1596">
        <v>0</v>
      </c>
      <c r="L1596">
        <v>0</v>
      </c>
      <c r="M1596">
        <v>0.4</v>
      </c>
      <c r="N1596" s="7" t="e">
        <f>VLOOKUP(F1596,HC!A$6:D$100,3,FALSE)</f>
        <v>#N/A</v>
      </c>
      <c r="O1596" s="7" t="e">
        <f>VLOOKUP(F1596,HC!A$6:D$1000,2,FALSE)</f>
        <v>#N/A</v>
      </c>
      <c r="Q1596" s="7"/>
      <c r="U1596">
        <f t="shared" si="26"/>
        <v>1395</v>
      </c>
    </row>
    <row r="1597" spans="1:21" ht="37.5" customHeight="1" x14ac:dyDescent="0.25">
      <c r="A1597" s="30">
        <v>45051</v>
      </c>
      <c r="B1597" s="13">
        <v>18</v>
      </c>
      <c r="C1597" t="s">
        <v>3</v>
      </c>
      <c r="D1597" t="s">
        <v>4</v>
      </c>
      <c r="E1597" t="s">
        <v>5</v>
      </c>
      <c r="F1597" s="6">
        <v>113004099</v>
      </c>
      <c r="G1597" t="s">
        <v>542</v>
      </c>
      <c r="H1597" t="s">
        <v>7</v>
      </c>
      <c r="I1597">
        <v>0</v>
      </c>
      <c r="J1597">
        <v>0</v>
      </c>
      <c r="K1597">
        <v>0</v>
      </c>
      <c r="L1597">
        <v>0</v>
      </c>
      <c r="M1597">
        <v>0.93</v>
      </c>
      <c r="N1597" s="7" t="e">
        <f>VLOOKUP(F1597,HC!A$6:D$100,3,FALSE)</f>
        <v>#N/A</v>
      </c>
      <c r="O1597" s="7" t="str">
        <f>VLOOKUP(F1597,HC!A$6:D$1000,2,FALSE)</f>
        <v>partilum</v>
      </c>
      <c r="Q1597" s="7"/>
      <c r="U1597">
        <f t="shared" si="26"/>
        <v>8</v>
      </c>
    </row>
    <row r="1598" spans="1:21" ht="37.5" customHeight="1" x14ac:dyDescent="0.25">
      <c r="A1598" s="30">
        <v>45051</v>
      </c>
      <c r="B1598" s="13">
        <v>18</v>
      </c>
      <c r="C1598" t="s">
        <v>3</v>
      </c>
      <c r="D1598" t="s">
        <v>4</v>
      </c>
      <c r="E1598" t="s">
        <v>5</v>
      </c>
      <c r="F1598" s="6">
        <v>113020476</v>
      </c>
      <c r="G1598" t="s">
        <v>330</v>
      </c>
      <c r="H1598" t="s">
        <v>7</v>
      </c>
      <c r="I1598">
        <v>0</v>
      </c>
      <c r="J1598">
        <v>0</v>
      </c>
      <c r="K1598">
        <v>0</v>
      </c>
      <c r="L1598">
        <v>0</v>
      </c>
      <c r="M1598">
        <v>0.97</v>
      </c>
      <c r="N1598" s="7" t="e">
        <f>VLOOKUP(F1598,HC!A$6:D$100,3,FALSE)</f>
        <v>#N/A</v>
      </c>
      <c r="O1598" s="7" t="str">
        <f>VLOOKUP(F1598,HC!A$6:D$1000,2,FALSE)</f>
        <v>polettpu</v>
      </c>
      <c r="Q1598" s="7"/>
      <c r="U1598">
        <f t="shared" si="26"/>
        <v>55</v>
      </c>
    </row>
    <row r="1599" spans="1:21" ht="37.5" customHeight="1" x14ac:dyDescent="0.25">
      <c r="A1599" s="30">
        <v>45051</v>
      </c>
      <c r="B1599" s="13">
        <v>18</v>
      </c>
      <c r="C1599" t="s">
        <v>3</v>
      </c>
      <c r="D1599" t="s">
        <v>4</v>
      </c>
      <c r="E1599" t="s">
        <v>5</v>
      </c>
      <c r="F1599" s="6">
        <v>113020667</v>
      </c>
      <c r="G1599" t="s">
        <v>380</v>
      </c>
      <c r="H1599" t="s">
        <v>47</v>
      </c>
      <c r="I1599">
        <v>0</v>
      </c>
      <c r="J1599">
        <v>0</v>
      </c>
      <c r="K1599">
        <v>0</v>
      </c>
      <c r="L1599">
        <v>0</v>
      </c>
      <c r="M1599">
        <v>0.49</v>
      </c>
      <c r="N1599" s="7" t="e">
        <f>VLOOKUP(F1599,HC!A$6:D$100,3,FALSE)</f>
        <v>#N/A</v>
      </c>
      <c r="O1599" s="7" t="str">
        <f>VLOOKUP(F1599,HC!A$6:D$1000,2,FALSE)</f>
        <v>mavpauli</v>
      </c>
      <c r="Q1599" s="7"/>
      <c r="U1599">
        <f t="shared" si="26"/>
        <v>12</v>
      </c>
    </row>
    <row r="1600" spans="1:21" ht="37.5" customHeight="1" x14ac:dyDescent="0.25">
      <c r="A1600" s="30">
        <v>45051</v>
      </c>
      <c r="B1600" s="13">
        <v>18</v>
      </c>
      <c r="C1600" t="s">
        <v>3</v>
      </c>
      <c r="D1600" t="s">
        <v>4</v>
      </c>
      <c r="E1600" t="s">
        <v>21</v>
      </c>
      <c r="F1600" s="6">
        <v>200562154</v>
      </c>
      <c r="G1600" t="s">
        <v>437</v>
      </c>
      <c r="H1600" t="s">
        <v>49</v>
      </c>
      <c r="I1600">
        <v>0</v>
      </c>
      <c r="J1600">
        <v>0</v>
      </c>
      <c r="K1600">
        <v>0</v>
      </c>
      <c r="L1600">
        <v>0</v>
      </c>
      <c r="M1600">
        <v>0.21</v>
      </c>
      <c r="N1600" s="7" t="e">
        <f>VLOOKUP(F1600,HC!A$6:D$100,3,FALSE)</f>
        <v>#N/A</v>
      </c>
      <c r="O1600" s="7" t="str">
        <f>VLOOKUP(F1600,HC!A$6:D$1000,2,FALSE)</f>
        <v>reyesmcw</v>
      </c>
      <c r="Q1600" s="7"/>
      <c r="U1600">
        <f t="shared" si="26"/>
        <v>38</v>
      </c>
    </row>
    <row r="1601" spans="1:21" ht="37.5" customHeight="1" x14ac:dyDescent="0.25">
      <c r="A1601" s="30">
        <v>45051</v>
      </c>
      <c r="B1601" s="13">
        <v>18</v>
      </c>
      <c r="C1601" t="s">
        <v>3</v>
      </c>
      <c r="D1601" t="s">
        <v>4</v>
      </c>
      <c r="E1601" t="s">
        <v>21</v>
      </c>
      <c r="F1601" s="6">
        <v>200589316</v>
      </c>
      <c r="G1601" t="s">
        <v>53</v>
      </c>
      <c r="H1601" t="s">
        <v>47</v>
      </c>
      <c r="I1601">
        <v>0</v>
      </c>
      <c r="J1601">
        <v>0</v>
      </c>
      <c r="K1601">
        <v>0</v>
      </c>
      <c r="L1601">
        <v>0</v>
      </c>
      <c r="M1601">
        <v>0.51</v>
      </c>
      <c r="N1601" s="7" t="e">
        <f>VLOOKUP(F1601,HC!A$6:D$100,3,FALSE)</f>
        <v>#N/A</v>
      </c>
      <c r="O1601" s="7" t="e">
        <f>VLOOKUP(F1601,HC!A$6:D$1000,2,FALSE)</f>
        <v>#N/A</v>
      </c>
      <c r="Q1601" s="7"/>
      <c r="U1601">
        <f t="shared" si="26"/>
        <v>1395</v>
      </c>
    </row>
    <row r="1602" spans="1:21" ht="37.5" customHeight="1" x14ac:dyDescent="0.25">
      <c r="A1602" s="30">
        <v>45051</v>
      </c>
      <c r="B1602" s="13">
        <v>18</v>
      </c>
      <c r="C1602" t="s">
        <v>3</v>
      </c>
      <c r="D1602" t="s">
        <v>4</v>
      </c>
      <c r="E1602" t="s">
        <v>21</v>
      </c>
      <c r="F1602" s="6">
        <v>201219500</v>
      </c>
      <c r="G1602" t="s">
        <v>937</v>
      </c>
      <c r="H1602" t="s">
        <v>17</v>
      </c>
      <c r="I1602">
        <v>0</v>
      </c>
      <c r="J1602">
        <v>0</v>
      </c>
      <c r="K1602">
        <v>0</v>
      </c>
      <c r="L1602">
        <v>0</v>
      </c>
      <c r="M1602">
        <v>0.27</v>
      </c>
      <c r="N1602" s="7" t="e">
        <f>VLOOKUP(F1602,HC!A$6:D$100,3,FALSE)</f>
        <v>#N/A</v>
      </c>
      <c r="O1602" s="7" t="str">
        <f>VLOOKUP(F1602,HC!A$6:D$1000,2,FALSE)</f>
        <v>ramsmazy</v>
      </c>
      <c r="Q1602" s="7"/>
      <c r="U1602">
        <f t="shared" si="26"/>
        <v>12</v>
      </c>
    </row>
    <row r="1603" spans="1:21" ht="37.5" customHeight="1" x14ac:dyDescent="0.25">
      <c r="A1603" s="30">
        <v>45051</v>
      </c>
      <c r="B1603" s="13">
        <v>18</v>
      </c>
      <c r="C1603" t="s">
        <v>3</v>
      </c>
      <c r="D1603" t="s">
        <v>4</v>
      </c>
      <c r="E1603" t="s">
        <v>21</v>
      </c>
      <c r="F1603" s="6">
        <v>201355246</v>
      </c>
      <c r="G1603" t="s">
        <v>1000</v>
      </c>
      <c r="H1603" t="s">
        <v>559</v>
      </c>
      <c r="I1603">
        <v>0</v>
      </c>
      <c r="J1603">
        <v>0</v>
      </c>
      <c r="K1603">
        <v>0</v>
      </c>
      <c r="L1603">
        <v>0</v>
      </c>
      <c r="M1603">
        <v>0.17</v>
      </c>
      <c r="N1603" s="7" t="e">
        <f>VLOOKUP(F1603,HC!A$6:D$100,3,FALSE)</f>
        <v>#N/A</v>
      </c>
      <c r="O1603" s="7" t="e">
        <f>VLOOKUP(F1603,HC!A$6:D$1000,2,FALSE)</f>
        <v>#N/A</v>
      </c>
      <c r="Q1603" s="7"/>
      <c r="U1603">
        <f t="shared" ref="U1603:U1666" si="27">COUNTIF(O$2:O$4999,O1603)</f>
        <v>1395</v>
      </c>
    </row>
    <row r="1604" spans="1:21" ht="37.5" customHeight="1" x14ac:dyDescent="0.25">
      <c r="A1604" s="30">
        <v>45051</v>
      </c>
      <c r="B1604" s="13">
        <v>18</v>
      </c>
      <c r="C1604" t="s">
        <v>3</v>
      </c>
      <c r="D1604" t="s">
        <v>4</v>
      </c>
      <c r="E1604" t="s">
        <v>21</v>
      </c>
      <c r="F1604" s="6">
        <v>201355332</v>
      </c>
      <c r="G1604" t="s">
        <v>1001</v>
      </c>
      <c r="H1604" t="s">
        <v>559</v>
      </c>
      <c r="I1604">
        <v>0</v>
      </c>
      <c r="J1604">
        <v>0</v>
      </c>
      <c r="K1604">
        <v>0</v>
      </c>
      <c r="L1604">
        <v>0</v>
      </c>
      <c r="M1604">
        <v>0.38</v>
      </c>
      <c r="N1604" s="7" t="e">
        <f>VLOOKUP(F1604,HC!A$6:D$100,3,FALSE)</f>
        <v>#N/A</v>
      </c>
      <c r="O1604" s="7" t="e">
        <f>VLOOKUP(F1604,HC!A$6:D$1000,2,FALSE)</f>
        <v>#N/A</v>
      </c>
      <c r="Q1604" s="7"/>
      <c r="U1604">
        <f t="shared" si="27"/>
        <v>1395</v>
      </c>
    </row>
    <row r="1605" spans="1:21" ht="37.5" customHeight="1" x14ac:dyDescent="0.25">
      <c r="A1605" s="30">
        <v>45052</v>
      </c>
      <c r="B1605" s="13">
        <v>18</v>
      </c>
      <c r="C1605" t="s">
        <v>3</v>
      </c>
      <c r="D1605" t="s">
        <v>4</v>
      </c>
      <c r="E1605" t="s">
        <v>5</v>
      </c>
      <c r="F1605" s="6">
        <v>112912675</v>
      </c>
      <c r="G1605" t="s">
        <v>326</v>
      </c>
      <c r="H1605" t="s">
        <v>49</v>
      </c>
      <c r="I1605">
        <v>0</v>
      </c>
      <c r="J1605">
        <v>0</v>
      </c>
      <c r="K1605">
        <v>0</v>
      </c>
      <c r="L1605">
        <v>0</v>
      </c>
      <c r="M1605">
        <v>0.35</v>
      </c>
      <c r="N1605" s="7" t="e">
        <f>VLOOKUP(F1605,HC!A$6:D$100,3,FALSE)</f>
        <v>#N/A</v>
      </c>
      <c r="O1605" s="7" t="e">
        <f>VLOOKUP(F1605,HC!A$6:D$1000,2,FALSE)</f>
        <v>#N/A</v>
      </c>
      <c r="Q1605" s="7"/>
      <c r="U1605">
        <f t="shared" si="27"/>
        <v>1395</v>
      </c>
    </row>
    <row r="1606" spans="1:21" ht="37.5" customHeight="1" x14ac:dyDescent="0.25">
      <c r="A1606" s="30">
        <v>45052</v>
      </c>
      <c r="B1606" s="13">
        <v>18</v>
      </c>
      <c r="C1606" t="s">
        <v>3</v>
      </c>
      <c r="D1606" t="s">
        <v>4</v>
      </c>
      <c r="E1606" t="s">
        <v>5</v>
      </c>
      <c r="F1606" s="6">
        <v>112972201</v>
      </c>
      <c r="G1606" t="s">
        <v>1002</v>
      </c>
      <c r="H1606" t="s">
        <v>282</v>
      </c>
      <c r="I1606">
        <v>0</v>
      </c>
      <c r="J1606">
        <v>0</v>
      </c>
      <c r="K1606">
        <v>0</v>
      </c>
      <c r="L1606">
        <v>0</v>
      </c>
      <c r="M1606">
        <v>2.6</v>
      </c>
      <c r="N1606" s="7" t="str">
        <f>VLOOKUP(F1606,HC!A$6:D$100,3,FALSE)</f>
        <v>DC-X0700</v>
      </c>
      <c r="O1606" s="7" t="str">
        <f>VLOOKUP(F1606,HC!A$6:D$1000,2,FALSE)</f>
        <v>garcyand</v>
      </c>
      <c r="P1606" t="s">
        <v>664</v>
      </c>
      <c r="Q1606" s="7" t="s">
        <v>717</v>
      </c>
      <c r="U1606">
        <f t="shared" si="27"/>
        <v>2</v>
      </c>
    </row>
    <row r="1607" spans="1:21" ht="37.5" customHeight="1" x14ac:dyDescent="0.25">
      <c r="A1607" s="30">
        <v>45052</v>
      </c>
      <c r="B1607" s="13">
        <v>18</v>
      </c>
      <c r="C1607" t="s">
        <v>3</v>
      </c>
      <c r="D1607" t="s">
        <v>4</v>
      </c>
      <c r="E1607" t="s">
        <v>5</v>
      </c>
      <c r="F1607" s="6">
        <v>113020476</v>
      </c>
      <c r="G1607" t="s">
        <v>330</v>
      </c>
      <c r="H1607" t="s">
        <v>7</v>
      </c>
      <c r="I1607">
        <v>0</v>
      </c>
      <c r="J1607">
        <v>0</v>
      </c>
      <c r="K1607">
        <v>0</v>
      </c>
      <c r="L1607">
        <v>0</v>
      </c>
      <c r="M1607">
        <v>0.4</v>
      </c>
      <c r="N1607" s="7" t="e">
        <f>VLOOKUP(F1607,HC!A$6:D$100,3,FALSE)</f>
        <v>#N/A</v>
      </c>
      <c r="O1607" s="7" t="str">
        <f>VLOOKUP(F1607,HC!A$6:D$1000,2,FALSE)</f>
        <v>polettpu</v>
      </c>
      <c r="P1607" t="s">
        <v>675</v>
      </c>
      <c r="Q1607" s="7"/>
      <c r="U1607">
        <f t="shared" si="27"/>
        <v>55</v>
      </c>
    </row>
    <row r="1608" spans="1:21" ht="37.5" customHeight="1" x14ac:dyDescent="0.25">
      <c r="A1608" s="30">
        <v>45052</v>
      </c>
      <c r="B1608" s="13">
        <v>18</v>
      </c>
      <c r="C1608" t="s">
        <v>3</v>
      </c>
      <c r="D1608" t="s">
        <v>4</v>
      </c>
      <c r="E1608" t="s">
        <v>21</v>
      </c>
      <c r="F1608" s="6">
        <v>200614224</v>
      </c>
      <c r="G1608" t="s">
        <v>322</v>
      </c>
      <c r="H1608" t="s">
        <v>17</v>
      </c>
      <c r="I1608">
        <v>0</v>
      </c>
      <c r="J1608">
        <v>0</v>
      </c>
      <c r="K1608">
        <v>0</v>
      </c>
      <c r="L1608">
        <v>0</v>
      </c>
      <c r="M1608">
        <v>0.16</v>
      </c>
      <c r="N1608" s="7" t="e">
        <f>VLOOKUP(F1608,HC!A$6:D$100,3,FALSE)</f>
        <v>#N/A</v>
      </c>
      <c r="O1608" s="7" t="e">
        <f>VLOOKUP(F1608,HC!A$6:D$1000,2,FALSE)</f>
        <v>#N/A</v>
      </c>
      <c r="Q1608" s="7"/>
      <c r="U1608">
        <f t="shared" si="27"/>
        <v>1395</v>
      </c>
    </row>
    <row r="1609" spans="1:21" ht="37.5" customHeight="1" x14ac:dyDescent="0.25">
      <c r="A1609" s="30">
        <v>45052</v>
      </c>
      <c r="B1609" s="13">
        <v>18</v>
      </c>
      <c r="C1609" t="s">
        <v>3</v>
      </c>
      <c r="D1609" t="s">
        <v>4</v>
      </c>
      <c r="E1609" t="s">
        <v>21</v>
      </c>
      <c r="F1609" s="6">
        <v>201160146</v>
      </c>
      <c r="G1609" t="s">
        <v>851</v>
      </c>
      <c r="H1609" t="s">
        <v>17</v>
      </c>
      <c r="I1609">
        <v>0</v>
      </c>
      <c r="J1609">
        <v>0</v>
      </c>
      <c r="K1609">
        <v>0</v>
      </c>
      <c r="L1609">
        <v>0</v>
      </c>
      <c r="M1609">
        <v>0.38</v>
      </c>
      <c r="N1609" s="7" t="e">
        <f>VLOOKUP(F1609,HC!A$6:D$100,3,FALSE)</f>
        <v>#N/A</v>
      </c>
      <c r="O1609" s="7" t="e">
        <f>VLOOKUP(F1609,HC!A$6:D$1000,2,FALSE)</f>
        <v>#N/A</v>
      </c>
      <c r="Q1609" s="7"/>
      <c r="U1609">
        <f t="shared" si="27"/>
        <v>1395</v>
      </c>
    </row>
    <row r="1610" spans="1:21" ht="37.5" customHeight="1" x14ac:dyDescent="0.25">
      <c r="A1610" s="30">
        <v>45053</v>
      </c>
      <c r="B1610" s="13">
        <v>19</v>
      </c>
      <c r="C1610" t="s">
        <v>3</v>
      </c>
      <c r="D1610" t="s">
        <v>4</v>
      </c>
      <c r="E1610" t="s">
        <v>5</v>
      </c>
      <c r="F1610" s="6">
        <v>111434478</v>
      </c>
      <c r="G1610" t="s">
        <v>331</v>
      </c>
      <c r="H1610" t="s">
        <v>253</v>
      </c>
      <c r="I1610">
        <v>0</v>
      </c>
      <c r="J1610">
        <v>0</v>
      </c>
      <c r="K1610">
        <v>0</v>
      </c>
      <c r="L1610">
        <v>0</v>
      </c>
      <c r="M1610">
        <v>1.27</v>
      </c>
      <c r="N1610" s="7" t="str">
        <f>VLOOKUP(F1610,HC!A$6:D$100,3,FALSE)</f>
        <v>DA-X0700</v>
      </c>
      <c r="O1610" s="7" t="str">
        <f>VLOOKUP(F1610,HC!A$6:D$1000,2,FALSE)</f>
        <v>juanapam</v>
      </c>
      <c r="P1610" t="s">
        <v>664</v>
      </c>
      <c r="Q1610" s="7" t="s">
        <v>709</v>
      </c>
      <c r="U1610">
        <f t="shared" si="27"/>
        <v>32</v>
      </c>
    </row>
    <row r="1611" spans="1:21" ht="37.5" customHeight="1" x14ac:dyDescent="0.25">
      <c r="A1611" s="30">
        <v>45053</v>
      </c>
      <c r="B1611" s="13">
        <v>19</v>
      </c>
      <c r="C1611" t="s">
        <v>3</v>
      </c>
      <c r="D1611" t="s">
        <v>4</v>
      </c>
      <c r="E1611" t="s">
        <v>5</v>
      </c>
      <c r="F1611" s="6">
        <v>112912209</v>
      </c>
      <c r="G1611" t="s">
        <v>671</v>
      </c>
      <c r="H1611" t="s">
        <v>403</v>
      </c>
      <c r="I1611">
        <v>0</v>
      </c>
      <c r="J1611">
        <v>0</v>
      </c>
      <c r="K1611">
        <v>0</v>
      </c>
      <c r="L1611">
        <v>0</v>
      </c>
      <c r="M1611">
        <v>0.42</v>
      </c>
      <c r="N1611" s="7" t="str">
        <f>VLOOKUP(F1611,HC!A$6:D$100,3,FALSE)</f>
        <v>NF-X1900</v>
      </c>
      <c r="O1611" s="7" t="str">
        <f>VLOOKUP(F1611,HC!A$6:D$1000,2,FALSE)</f>
        <v>moralefs</v>
      </c>
      <c r="P1611" t="s">
        <v>662</v>
      </c>
      <c r="Q1611" s="7" t="s">
        <v>691</v>
      </c>
      <c r="U1611">
        <f t="shared" si="27"/>
        <v>11</v>
      </c>
    </row>
    <row r="1612" spans="1:21" ht="37.5" customHeight="1" x14ac:dyDescent="0.25">
      <c r="A1612" s="30">
        <v>45053</v>
      </c>
      <c r="B1612" s="13">
        <v>19</v>
      </c>
      <c r="C1612" t="s">
        <v>3</v>
      </c>
      <c r="D1612" t="s">
        <v>4</v>
      </c>
      <c r="E1612" t="s">
        <v>5</v>
      </c>
      <c r="F1612" s="6">
        <v>112912459</v>
      </c>
      <c r="G1612" t="s">
        <v>365</v>
      </c>
      <c r="H1612" t="s">
        <v>47</v>
      </c>
      <c r="I1612">
        <v>0</v>
      </c>
      <c r="J1612">
        <v>0</v>
      </c>
      <c r="K1612">
        <v>0</v>
      </c>
      <c r="L1612">
        <v>0</v>
      </c>
      <c r="M1612">
        <v>1.32</v>
      </c>
      <c r="N1612" s="7" t="e">
        <f>VLOOKUP(F1612,HC!A$6:D$100,3,FALSE)</f>
        <v>#N/A</v>
      </c>
      <c r="O1612" s="7" t="e">
        <f>VLOOKUP(F1612,HC!A$6:D$1000,2,FALSE)</f>
        <v>#N/A</v>
      </c>
      <c r="P1612" t="s">
        <v>662</v>
      </c>
      <c r="Q1612" s="7" t="s">
        <v>691</v>
      </c>
      <c r="U1612">
        <f t="shared" si="27"/>
        <v>1395</v>
      </c>
    </row>
    <row r="1613" spans="1:21" ht="37.5" customHeight="1" x14ac:dyDescent="0.25">
      <c r="A1613" s="30">
        <v>45053</v>
      </c>
      <c r="B1613" s="13">
        <v>19</v>
      </c>
      <c r="C1613" t="s">
        <v>3</v>
      </c>
      <c r="D1613" t="s">
        <v>4</v>
      </c>
      <c r="E1613" t="s">
        <v>5</v>
      </c>
      <c r="F1613" s="6">
        <v>112912752</v>
      </c>
      <c r="G1613" t="s">
        <v>251</v>
      </c>
      <c r="H1613" t="s">
        <v>268</v>
      </c>
      <c r="I1613">
        <v>0</v>
      </c>
      <c r="J1613">
        <v>0</v>
      </c>
      <c r="K1613">
        <v>0</v>
      </c>
      <c r="L1613">
        <v>0</v>
      </c>
      <c r="M1613">
        <v>0.23</v>
      </c>
      <c r="N1613" s="7" t="str">
        <f>VLOOKUP(F1613,HC!A$6:D$100,3,FALSE)</f>
        <v>NF-X1900</v>
      </c>
      <c r="O1613" s="7" t="str">
        <f>VLOOKUP(F1613,HC!A$6:D$1000,2,FALSE)</f>
        <v>valderle</v>
      </c>
      <c r="P1613" t="s">
        <v>664</v>
      </c>
      <c r="Q1613" s="7" t="s">
        <v>709</v>
      </c>
      <c r="U1613">
        <f t="shared" si="27"/>
        <v>50</v>
      </c>
    </row>
    <row r="1614" spans="1:21" ht="37.5" customHeight="1" x14ac:dyDescent="0.25">
      <c r="A1614" s="30">
        <v>45053</v>
      </c>
      <c r="B1614" s="13">
        <v>19</v>
      </c>
      <c r="C1614" t="s">
        <v>3</v>
      </c>
      <c r="D1614" t="s">
        <v>4</v>
      </c>
      <c r="E1614" t="s">
        <v>5</v>
      </c>
      <c r="F1614" s="6">
        <v>112950784</v>
      </c>
      <c r="G1614" t="s">
        <v>261</v>
      </c>
      <c r="H1614" t="s">
        <v>282</v>
      </c>
      <c r="I1614">
        <v>0</v>
      </c>
      <c r="J1614">
        <v>0</v>
      </c>
      <c r="K1614">
        <v>0</v>
      </c>
      <c r="L1614">
        <v>0</v>
      </c>
      <c r="M1614">
        <v>0.28000000000000003</v>
      </c>
      <c r="N1614" s="7" t="str">
        <f>VLOOKUP(F1614,HC!A$6:D$100,3,FALSE)</f>
        <v>NF-X1900</v>
      </c>
      <c r="O1614" s="7" t="str">
        <f>VLOOKUP(F1614,HC!A$6:D$1000,2,FALSE)</f>
        <v>sarojast</v>
      </c>
      <c r="P1614" t="s">
        <v>661</v>
      </c>
      <c r="Q1614" s="7" t="s">
        <v>681</v>
      </c>
      <c r="U1614">
        <f t="shared" si="27"/>
        <v>33</v>
      </c>
    </row>
    <row r="1615" spans="1:21" ht="37.5" customHeight="1" x14ac:dyDescent="0.25">
      <c r="A1615" s="30">
        <v>45053</v>
      </c>
      <c r="B1615" s="13">
        <v>19</v>
      </c>
      <c r="C1615" t="s">
        <v>3</v>
      </c>
      <c r="D1615" t="s">
        <v>4</v>
      </c>
      <c r="E1615" t="s">
        <v>5</v>
      </c>
      <c r="F1615" s="6">
        <v>112950809</v>
      </c>
      <c r="G1615" t="s">
        <v>402</v>
      </c>
      <c r="H1615" t="s">
        <v>403</v>
      </c>
      <c r="I1615">
        <v>0</v>
      </c>
      <c r="J1615">
        <v>0</v>
      </c>
      <c r="K1615">
        <v>0</v>
      </c>
      <c r="L1615">
        <v>0</v>
      </c>
      <c r="M1615">
        <v>3.18</v>
      </c>
      <c r="N1615" s="7" t="str">
        <f>VLOOKUP(F1615,HC!A$6:D$100,3,FALSE)</f>
        <v>DA-X0700</v>
      </c>
      <c r="O1615" s="7" t="str">
        <f>VLOOKUP(F1615,HC!A$6:D$1000,2,FALSE)</f>
        <v>lurochae</v>
      </c>
      <c r="P1615" t="s">
        <v>664</v>
      </c>
      <c r="Q1615" s="7" t="s">
        <v>710</v>
      </c>
      <c r="U1615">
        <f t="shared" si="27"/>
        <v>14</v>
      </c>
    </row>
    <row r="1616" spans="1:21" ht="37.5" customHeight="1" x14ac:dyDescent="0.25">
      <c r="A1616" s="30">
        <v>45053</v>
      </c>
      <c r="B1616" s="13">
        <v>19</v>
      </c>
      <c r="C1616" t="s">
        <v>3</v>
      </c>
      <c r="D1616" t="s">
        <v>4</v>
      </c>
      <c r="E1616" t="s">
        <v>21</v>
      </c>
      <c r="F1616" s="6">
        <v>200589316</v>
      </c>
      <c r="G1616" t="s">
        <v>53</v>
      </c>
      <c r="H1616" t="s">
        <v>47</v>
      </c>
      <c r="I1616">
        <v>0</v>
      </c>
      <c r="J1616">
        <v>0</v>
      </c>
      <c r="K1616">
        <v>0</v>
      </c>
      <c r="L1616">
        <v>0</v>
      </c>
      <c r="M1616">
        <v>0.75</v>
      </c>
      <c r="N1616" s="7" t="e">
        <f>VLOOKUP(F1616,HC!A$6:D$100,3,FALSE)</f>
        <v>#N/A</v>
      </c>
      <c r="O1616" s="7" t="e">
        <f>VLOOKUP(F1616,HC!A$6:D$1000,2,FALSE)</f>
        <v>#N/A</v>
      </c>
      <c r="P1616" t="s">
        <v>664</v>
      </c>
      <c r="Q1616" s="7" t="s">
        <v>717</v>
      </c>
      <c r="U1616">
        <f t="shared" si="27"/>
        <v>1395</v>
      </c>
    </row>
    <row r="1617" spans="1:21" ht="37.5" customHeight="1" x14ac:dyDescent="0.25">
      <c r="A1617" s="30">
        <v>45053</v>
      </c>
      <c r="B1617" s="13">
        <v>19</v>
      </c>
      <c r="C1617" t="s">
        <v>3</v>
      </c>
      <c r="D1617" t="s">
        <v>4</v>
      </c>
      <c r="E1617" t="s">
        <v>21</v>
      </c>
      <c r="F1617" s="6">
        <v>200625528</v>
      </c>
      <c r="G1617" t="s">
        <v>607</v>
      </c>
      <c r="H1617" t="s">
        <v>285</v>
      </c>
      <c r="I1617">
        <v>0</v>
      </c>
      <c r="J1617">
        <v>0</v>
      </c>
      <c r="K1617">
        <v>0</v>
      </c>
      <c r="L1617">
        <v>0</v>
      </c>
      <c r="M1617">
        <v>0.17</v>
      </c>
      <c r="N1617" s="7" t="e">
        <f>VLOOKUP(F1617,HC!A$6:D$100,3,FALSE)</f>
        <v>#N/A</v>
      </c>
      <c r="O1617" s="7" t="str">
        <f>VLOOKUP(F1617,HC!A$6:D$1000,2,FALSE)</f>
        <v>olivlizb</v>
      </c>
      <c r="P1617" t="s">
        <v>661</v>
      </c>
      <c r="Q1617" s="7" t="s">
        <v>681</v>
      </c>
      <c r="U1617">
        <f t="shared" si="27"/>
        <v>50</v>
      </c>
    </row>
    <row r="1618" spans="1:21" ht="37.5" customHeight="1" x14ac:dyDescent="0.25">
      <c r="A1618" s="30">
        <v>45053</v>
      </c>
      <c r="B1618" s="13">
        <v>19</v>
      </c>
      <c r="C1618" t="s">
        <v>3</v>
      </c>
      <c r="D1618" t="s">
        <v>4</v>
      </c>
      <c r="E1618" t="s">
        <v>21</v>
      </c>
      <c r="F1618" s="6">
        <v>201186139</v>
      </c>
      <c r="G1618" t="s">
        <v>971</v>
      </c>
      <c r="H1618" t="s">
        <v>268</v>
      </c>
      <c r="I1618">
        <v>0</v>
      </c>
      <c r="J1618">
        <v>0</v>
      </c>
      <c r="K1618">
        <v>0</v>
      </c>
      <c r="L1618">
        <v>0</v>
      </c>
      <c r="M1618">
        <v>1.25</v>
      </c>
      <c r="N1618" s="7" t="e">
        <f>VLOOKUP(F1618,HC!A$6:D$100,3,FALSE)</f>
        <v>#N/A</v>
      </c>
      <c r="O1618" s="7" t="e">
        <f>VLOOKUP(F1618,HC!A$6:D$1000,2,FALSE)</f>
        <v>#N/A</v>
      </c>
      <c r="P1618" t="s">
        <v>662</v>
      </c>
      <c r="Q1618" s="7" t="s">
        <v>691</v>
      </c>
      <c r="U1618">
        <f t="shared" si="27"/>
        <v>1395</v>
      </c>
    </row>
    <row r="1619" spans="1:21" ht="37.5" customHeight="1" x14ac:dyDescent="0.25">
      <c r="A1619" s="30">
        <v>45053</v>
      </c>
      <c r="B1619" s="13">
        <v>19</v>
      </c>
      <c r="C1619" t="s">
        <v>3</v>
      </c>
      <c r="D1619" t="s">
        <v>4</v>
      </c>
      <c r="E1619" t="s">
        <v>21</v>
      </c>
      <c r="F1619" s="6">
        <v>201201993</v>
      </c>
      <c r="G1619" t="s">
        <v>964</v>
      </c>
      <c r="H1619" t="s">
        <v>285</v>
      </c>
      <c r="I1619">
        <v>0</v>
      </c>
      <c r="J1619">
        <v>0</v>
      </c>
      <c r="K1619">
        <v>0</v>
      </c>
      <c r="L1619">
        <v>0</v>
      </c>
      <c r="M1619">
        <v>0.23</v>
      </c>
      <c r="N1619" s="7" t="e">
        <f>VLOOKUP(F1619,HC!A$6:D$100,3,FALSE)</f>
        <v>#N/A</v>
      </c>
      <c r="O1619" s="7" t="e">
        <f>VLOOKUP(F1619,HC!A$6:D$1000,2,FALSE)</f>
        <v>#N/A</v>
      </c>
      <c r="P1619" t="s">
        <v>661</v>
      </c>
      <c r="Q1619" s="7" t="s">
        <v>681</v>
      </c>
      <c r="U1619">
        <f t="shared" si="27"/>
        <v>1395</v>
      </c>
    </row>
    <row r="1620" spans="1:21" ht="37.5" customHeight="1" x14ac:dyDescent="0.25">
      <c r="A1620" s="30">
        <v>45053</v>
      </c>
      <c r="B1620" s="13">
        <v>19</v>
      </c>
      <c r="C1620" t="s">
        <v>3</v>
      </c>
      <c r="D1620" t="s">
        <v>4</v>
      </c>
      <c r="E1620" t="s">
        <v>21</v>
      </c>
      <c r="F1620" s="6">
        <v>201355525</v>
      </c>
      <c r="G1620" t="s">
        <v>1003</v>
      </c>
      <c r="H1620" t="s">
        <v>403</v>
      </c>
      <c r="I1620">
        <v>0</v>
      </c>
      <c r="J1620">
        <v>0</v>
      </c>
      <c r="K1620">
        <v>0</v>
      </c>
      <c r="L1620">
        <v>0</v>
      </c>
      <c r="M1620">
        <v>0.14000000000000001</v>
      </c>
      <c r="N1620" s="7" t="e">
        <f>VLOOKUP(F1620,HC!A$6:D$100,3,FALSE)</f>
        <v>#N/A</v>
      </c>
      <c r="O1620" s="7" t="e">
        <f>VLOOKUP(F1620,HC!A$6:D$1000,2,FALSE)</f>
        <v>#N/A</v>
      </c>
      <c r="P1620" t="s">
        <v>661</v>
      </c>
      <c r="Q1620" s="7" t="s">
        <v>681</v>
      </c>
      <c r="U1620">
        <f t="shared" si="27"/>
        <v>1395</v>
      </c>
    </row>
    <row r="1621" spans="1:21" ht="37.5" customHeight="1" x14ac:dyDescent="0.25">
      <c r="A1621" s="30">
        <v>45054</v>
      </c>
      <c r="B1621" s="13">
        <v>19</v>
      </c>
      <c r="C1621" t="s">
        <v>3</v>
      </c>
      <c r="D1621" t="s">
        <v>4</v>
      </c>
      <c r="E1621" t="s">
        <v>5</v>
      </c>
      <c r="F1621" s="6">
        <v>112912008</v>
      </c>
      <c r="G1621" t="s">
        <v>249</v>
      </c>
      <c r="H1621" t="s">
        <v>250</v>
      </c>
      <c r="I1621">
        <v>0</v>
      </c>
      <c r="J1621">
        <v>0</v>
      </c>
      <c r="K1621">
        <v>0</v>
      </c>
      <c r="L1621">
        <v>0</v>
      </c>
      <c r="M1621">
        <v>10.49</v>
      </c>
      <c r="N1621" s="7" t="e">
        <f>VLOOKUP(F1621,HC!A$6:D$100,3,FALSE)</f>
        <v>#N/A</v>
      </c>
      <c r="O1621" s="7" t="e">
        <f>VLOOKUP(F1621,HC!A$6:D$1000,2,FALSE)</f>
        <v>#N/A</v>
      </c>
      <c r="P1621" t="s">
        <v>664</v>
      </c>
      <c r="Q1621" s="7" t="s">
        <v>713</v>
      </c>
      <c r="U1621">
        <f t="shared" si="27"/>
        <v>1395</v>
      </c>
    </row>
    <row r="1622" spans="1:21" ht="37.5" customHeight="1" x14ac:dyDescent="0.25">
      <c r="A1622" s="30">
        <v>45054</v>
      </c>
      <c r="B1622" s="13">
        <v>19</v>
      </c>
      <c r="C1622" t="s">
        <v>3</v>
      </c>
      <c r="D1622" t="s">
        <v>4</v>
      </c>
      <c r="E1622" t="s">
        <v>5</v>
      </c>
      <c r="F1622" s="6">
        <v>112912506</v>
      </c>
      <c r="G1622" t="s">
        <v>1041</v>
      </c>
      <c r="H1622" t="s">
        <v>403</v>
      </c>
      <c r="I1622">
        <v>0</v>
      </c>
      <c r="J1622">
        <v>0</v>
      </c>
      <c r="K1622">
        <v>0</v>
      </c>
      <c r="L1622">
        <v>0</v>
      </c>
      <c r="M1622">
        <v>0.05</v>
      </c>
      <c r="N1622" s="7" t="str">
        <f>VLOOKUP(F1622,HC!A$6:D$100,3,FALSE)</f>
        <v>DA-X0700</v>
      </c>
      <c r="O1622" s="7" t="str">
        <f>VLOOKUP(F1622,HC!A$6:D$1000,2,FALSE)</f>
        <v>gakjessi</v>
      </c>
      <c r="P1622" t="s">
        <v>664</v>
      </c>
      <c r="Q1622" s="7" t="s">
        <v>708</v>
      </c>
      <c r="R1622" t="s">
        <v>1044</v>
      </c>
      <c r="U1622">
        <f t="shared" si="27"/>
        <v>11</v>
      </c>
    </row>
    <row r="1623" spans="1:21" ht="37.5" customHeight="1" x14ac:dyDescent="0.25">
      <c r="A1623" s="30">
        <v>45054</v>
      </c>
      <c r="B1623" s="13">
        <v>19</v>
      </c>
      <c r="C1623" t="s">
        <v>3</v>
      </c>
      <c r="D1623" t="s">
        <v>4</v>
      </c>
      <c r="E1623" t="s">
        <v>5</v>
      </c>
      <c r="F1623" s="6">
        <v>112912752</v>
      </c>
      <c r="G1623" t="s">
        <v>251</v>
      </c>
      <c r="H1623" t="s">
        <v>268</v>
      </c>
      <c r="I1623">
        <v>0</v>
      </c>
      <c r="J1623">
        <v>0</v>
      </c>
      <c r="K1623">
        <v>0</v>
      </c>
      <c r="L1623">
        <v>0</v>
      </c>
      <c r="M1623">
        <v>0.53</v>
      </c>
      <c r="N1623" s="7" t="str">
        <f>VLOOKUP(F1623,HC!A$6:D$100,3,FALSE)</f>
        <v>NF-X1900</v>
      </c>
      <c r="O1623" s="7" t="str">
        <f>VLOOKUP(F1623,HC!A$6:D$1000,2,FALSE)</f>
        <v>valderle</v>
      </c>
      <c r="P1623" t="s">
        <v>664</v>
      </c>
      <c r="Q1623" s="7" t="s">
        <v>260</v>
      </c>
      <c r="U1623">
        <f t="shared" si="27"/>
        <v>50</v>
      </c>
    </row>
    <row r="1624" spans="1:21" ht="37.5" customHeight="1" x14ac:dyDescent="0.25">
      <c r="A1624" s="30">
        <v>45054</v>
      </c>
      <c r="B1624" s="13">
        <v>19</v>
      </c>
      <c r="C1624" t="s">
        <v>3</v>
      </c>
      <c r="D1624" t="s">
        <v>4</v>
      </c>
      <c r="E1624" t="s">
        <v>5</v>
      </c>
      <c r="F1624" s="6">
        <v>112912983</v>
      </c>
      <c r="G1624" t="s">
        <v>558</v>
      </c>
      <c r="H1624" t="s">
        <v>332</v>
      </c>
      <c r="I1624">
        <v>0</v>
      </c>
      <c r="J1624">
        <v>0</v>
      </c>
      <c r="K1624">
        <v>0</v>
      </c>
      <c r="L1624">
        <v>0</v>
      </c>
      <c r="M1624">
        <v>0.34</v>
      </c>
      <c r="N1624" s="7" t="str">
        <f>VLOOKUP(F1624,HC!A$6:D$100,3,FALSE)</f>
        <v>NF-X1900</v>
      </c>
      <c r="O1624" s="7" t="str">
        <f>VLOOKUP(F1624,HC!A$6:D$1000,2,FALSE)</f>
        <v>wrocirod</v>
      </c>
      <c r="P1624" t="s">
        <v>663</v>
      </c>
      <c r="Q1624" s="7" t="s">
        <v>704</v>
      </c>
      <c r="U1624">
        <f t="shared" si="27"/>
        <v>16</v>
      </c>
    </row>
    <row r="1625" spans="1:21" ht="37.5" customHeight="1" x14ac:dyDescent="0.25">
      <c r="A1625" s="30">
        <v>45054</v>
      </c>
      <c r="B1625" s="13">
        <v>19</v>
      </c>
      <c r="C1625" t="s">
        <v>3</v>
      </c>
      <c r="D1625" t="s">
        <v>4</v>
      </c>
      <c r="E1625" t="s">
        <v>5</v>
      </c>
      <c r="F1625" s="6">
        <v>112950809</v>
      </c>
      <c r="G1625" t="s">
        <v>402</v>
      </c>
      <c r="H1625" t="s">
        <v>403</v>
      </c>
      <c r="I1625">
        <v>0</v>
      </c>
      <c r="J1625">
        <v>0</v>
      </c>
      <c r="K1625">
        <v>0</v>
      </c>
      <c r="L1625">
        <v>0</v>
      </c>
      <c r="M1625">
        <v>1.87</v>
      </c>
      <c r="N1625" s="7" t="str">
        <f>VLOOKUP(F1625,HC!A$6:D$100,3,FALSE)</f>
        <v>DA-X0700</v>
      </c>
      <c r="O1625" s="7" t="str">
        <f>VLOOKUP(F1625,HC!A$6:D$1000,2,FALSE)</f>
        <v>lurochae</v>
      </c>
      <c r="P1625" t="s">
        <v>664</v>
      </c>
      <c r="Q1625" s="7" t="s">
        <v>710</v>
      </c>
      <c r="U1625">
        <f t="shared" si="27"/>
        <v>14</v>
      </c>
    </row>
    <row r="1626" spans="1:21" ht="37.5" customHeight="1" x14ac:dyDescent="0.25">
      <c r="A1626" s="30">
        <v>45054</v>
      </c>
      <c r="B1626" s="13">
        <v>19</v>
      </c>
      <c r="C1626" t="s">
        <v>3</v>
      </c>
      <c r="D1626" t="s">
        <v>4</v>
      </c>
      <c r="E1626" t="s">
        <v>5</v>
      </c>
      <c r="F1626" s="6">
        <v>112971965</v>
      </c>
      <c r="G1626" t="s">
        <v>327</v>
      </c>
      <c r="H1626" t="s">
        <v>7</v>
      </c>
      <c r="I1626">
        <v>0</v>
      </c>
      <c r="J1626">
        <v>0</v>
      </c>
      <c r="K1626">
        <v>0</v>
      </c>
      <c r="L1626">
        <v>0</v>
      </c>
      <c r="M1626">
        <v>0.34</v>
      </c>
      <c r="N1626" s="7" t="e">
        <f>VLOOKUP(F1626,HC!A$6:D$100,3,FALSE)</f>
        <v>#N/A</v>
      </c>
      <c r="O1626" s="7" t="e">
        <f>VLOOKUP(F1626,HC!A$6:D$1000,2,FALSE)</f>
        <v>#N/A</v>
      </c>
      <c r="P1626" t="s">
        <v>661</v>
      </c>
      <c r="Q1626" s="7" t="s">
        <v>681</v>
      </c>
      <c r="U1626">
        <f t="shared" si="27"/>
        <v>1395</v>
      </c>
    </row>
    <row r="1627" spans="1:21" ht="37.5" customHeight="1" x14ac:dyDescent="0.25">
      <c r="A1627" s="30">
        <v>45054</v>
      </c>
      <c r="B1627" s="13">
        <v>19</v>
      </c>
      <c r="C1627" t="s">
        <v>3</v>
      </c>
      <c r="D1627" t="s">
        <v>4</v>
      </c>
      <c r="E1627" t="s">
        <v>5</v>
      </c>
      <c r="F1627" s="6">
        <v>112980847</v>
      </c>
      <c r="G1627" t="s">
        <v>524</v>
      </c>
      <c r="H1627" t="s">
        <v>268</v>
      </c>
      <c r="I1627">
        <v>0</v>
      </c>
      <c r="J1627">
        <v>0</v>
      </c>
      <c r="K1627">
        <v>0</v>
      </c>
      <c r="L1627">
        <v>0</v>
      </c>
      <c r="M1627">
        <v>0.17</v>
      </c>
      <c r="N1627" s="7" t="e">
        <f>VLOOKUP(F1627,HC!A$6:D$100,3,FALSE)</f>
        <v>#N/A</v>
      </c>
      <c r="O1627" s="7" t="e">
        <f>VLOOKUP(F1627,HC!A$6:D$1000,2,FALSE)</f>
        <v>#N/A</v>
      </c>
      <c r="P1627" t="s">
        <v>661</v>
      </c>
      <c r="Q1627" s="7" t="s">
        <v>684</v>
      </c>
      <c r="U1627">
        <f t="shared" si="27"/>
        <v>1395</v>
      </c>
    </row>
    <row r="1628" spans="1:21" ht="37.5" customHeight="1" x14ac:dyDescent="0.25">
      <c r="A1628" s="30">
        <v>45054</v>
      </c>
      <c r="B1628" s="13">
        <v>19</v>
      </c>
      <c r="C1628" t="s">
        <v>3</v>
      </c>
      <c r="D1628" t="s">
        <v>4</v>
      </c>
      <c r="E1628" t="s">
        <v>21</v>
      </c>
      <c r="F1628" s="6">
        <v>200614224</v>
      </c>
      <c r="G1628" t="s">
        <v>322</v>
      </c>
      <c r="H1628" t="s">
        <v>17</v>
      </c>
      <c r="I1628">
        <v>0</v>
      </c>
      <c r="J1628">
        <v>0</v>
      </c>
      <c r="K1628">
        <v>0</v>
      </c>
      <c r="L1628">
        <v>0</v>
      </c>
      <c r="M1628">
        <v>0.37</v>
      </c>
      <c r="N1628" s="7" t="e">
        <f>VLOOKUP(F1628,HC!A$6:D$100,3,FALSE)</f>
        <v>#N/A</v>
      </c>
      <c r="O1628" s="7" t="e">
        <f>VLOOKUP(F1628,HC!A$6:D$1000,2,FALSE)</f>
        <v>#N/A</v>
      </c>
      <c r="P1628" t="s">
        <v>664</v>
      </c>
      <c r="Q1628" s="7" t="s">
        <v>452</v>
      </c>
      <c r="U1628">
        <f t="shared" si="27"/>
        <v>1395</v>
      </c>
    </row>
    <row r="1629" spans="1:21" ht="37.5" customHeight="1" x14ac:dyDescent="0.25">
      <c r="A1629" s="30">
        <v>45054</v>
      </c>
      <c r="B1629" s="13">
        <v>19</v>
      </c>
      <c r="C1629" t="s">
        <v>3</v>
      </c>
      <c r="D1629" t="s">
        <v>4</v>
      </c>
      <c r="E1629" t="s">
        <v>21</v>
      </c>
      <c r="F1629" s="6">
        <v>200625528</v>
      </c>
      <c r="G1629" t="s">
        <v>607</v>
      </c>
      <c r="H1629" t="s">
        <v>285</v>
      </c>
      <c r="I1629">
        <v>0</v>
      </c>
      <c r="J1629">
        <v>0</v>
      </c>
      <c r="K1629">
        <v>0</v>
      </c>
      <c r="L1629">
        <v>0</v>
      </c>
      <c r="M1629">
        <v>0.18</v>
      </c>
      <c r="N1629" s="7" t="e">
        <f>VLOOKUP(F1629,HC!A$6:D$100,3,FALSE)</f>
        <v>#N/A</v>
      </c>
      <c r="O1629" s="7" t="str">
        <f>VLOOKUP(F1629,HC!A$6:D$1000,2,FALSE)</f>
        <v>olivlizb</v>
      </c>
      <c r="P1629" t="s">
        <v>670</v>
      </c>
      <c r="Q1629" s="7" t="s">
        <v>803</v>
      </c>
      <c r="U1629">
        <f t="shared" si="27"/>
        <v>50</v>
      </c>
    </row>
    <row r="1630" spans="1:21" ht="37.5" customHeight="1" x14ac:dyDescent="0.25">
      <c r="A1630" s="30">
        <v>45054</v>
      </c>
      <c r="B1630" s="13">
        <v>19</v>
      </c>
      <c r="C1630" t="s">
        <v>3</v>
      </c>
      <c r="D1630" t="s">
        <v>4</v>
      </c>
      <c r="E1630" t="s">
        <v>21</v>
      </c>
      <c r="F1630" s="6">
        <v>201185277</v>
      </c>
      <c r="G1630" t="s">
        <v>948</v>
      </c>
      <c r="H1630" t="s">
        <v>44</v>
      </c>
      <c r="I1630">
        <v>0</v>
      </c>
      <c r="J1630">
        <v>0</v>
      </c>
      <c r="K1630">
        <v>0</v>
      </c>
      <c r="L1630">
        <v>0</v>
      </c>
      <c r="M1630">
        <v>0.1</v>
      </c>
      <c r="N1630" s="7" t="e">
        <f>VLOOKUP(F1630,HC!A$6:D$100,3,FALSE)</f>
        <v>#N/A</v>
      </c>
      <c r="O1630" s="7" t="e">
        <f>VLOOKUP(F1630,HC!A$6:D$1000,2,FALSE)</f>
        <v>#N/A</v>
      </c>
      <c r="P1630" t="s">
        <v>661</v>
      </c>
      <c r="Q1630" s="7" t="s">
        <v>681</v>
      </c>
      <c r="U1630">
        <f t="shared" si="27"/>
        <v>1395</v>
      </c>
    </row>
    <row r="1631" spans="1:21" ht="37.5" customHeight="1" x14ac:dyDescent="0.25">
      <c r="A1631" s="30">
        <v>45054</v>
      </c>
      <c r="B1631" s="13">
        <v>19</v>
      </c>
      <c r="C1631" t="s">
        <v>3</v>
      </c>
      <c r="D1631" t="s">
        <v>4</v>
      </c>
      <c r="E1631" t="s">
        <v>21</v>
      </c>
      <c r="F1631" s="6">
        <v>201201993</v>
      </c>
      <c r="G1631" t="s">
        <v>964</v>
      </c>
      <c r="H1631" t="s">
        <v>285</v>
      </c>
      <c r="I1631">
        <v>0</v>
      </c>
      <c r="J1631">
        <v>0</v>
      </c>
      <c r="K1631">
        <v>0</v>
      </c>
      <c r="L1631">
        <v>0</v>
      </c>
      <c r="M1631">
        <v>0.25</v>
      </c>
      <c r="N1631" s="7" t="e">
        <f>VLOOKUP(F1631,HC!A$6:D$100,3,FALSE)</f>
        <v>#N/A</v>
      </c>
      <c r="O1631" s="7" t="e">
        <f>VLOOKUP(F1631,HC!A$6:D$1000,2,FALSE)</f>
        <v>#N/A</v>
      </c>
      <c r="P1631" t="s">
        <v>661</v>
      </c>
      <c r="Q1631" s="7" t="s">
        <v>775</v>
      </c>
      <c r="U1631">
        <f t="shared" si="27"/>
        <v>1395</v>
      </c>
    </row>
    <row r="1632" spans="1:21" ht="37.5" customHeight="1" x14ac:dyDescent="0.25">
      <c r="A1632" s="30">
        <v>45054</v>
      </c>
      <c r="B1632" s="13">
        <v>19</v>
      </c>
      <c r="C1632" t="s">
        <v>3</v>
      </c>
      <c r="D1632" t="s">
        <v>4</v>
      </c>
      <c r="E1632" t="s">
        <v>21</v>
      </c>
      <c r="F1632" s="6">
        <v>201294217</v>
      </c>
      <c r="G1632" t="s">
        <v>1042</v>
      </c>
      <c r="H1632" t="s">
        <v>268</v>
      </c>
      <c r="I1632">
        <v>0</v>
      </c>
      <c r="J1632">
        <v>0</v>
      </c>
      <c r="K1632">
        <v>0</v>
      </c>
      <c r="L1632">
        <v>0</v>
      </c>
      <c r="M1632">
        <v>0.43</v>
      </c>
      <c r="N1632" s="7" t="e">
        <f>VLOOKUP(F1632,HC!A$6:D$100,3,FALSE)</f>
        <v>#N/A</v>
      </c>
      <c r="O1632" s="7" t="str">
        <f>VLOOKUP(F1632,HC!A$6:D$1000,2,FALSE)</f>
        <v>montebib</v>
      </c>
      <c r="P1632" t="s">
        <v>661</v>
      </c>
      <c r="Q1632" s="7" t="s">
        <v>681</v>
      </c>
      <c r="U1632">
        <f t="shared" si="27"/>
        <v>5</v>
      </c>
    </row>
    <row r="1633" spans="1:21" ht="37.5" customHeight="1" x14ac:dyDescent="0.25">
      <c r="A1633" s="30">
        <v>45054</v>
      </c>
      <c r="B1633" s="13">
        <v>19</v>
      </c>
      <c r="C1633" t="s">
        <v>3</v>
      </c>
      <c r="D1633" t="s">
        <v>4</v>
      </c>
      <c r="E1633" t="s">
        <v>21</v>
      </c>
      <c r="F1633" s="6">
        <v>201314940</v>
      </c>
      <c r="G1633" t="s">
        <v>1043</v>
      </c>
      <c r="H1633" t="s">
        <v>263</v>
      </c>
      <c r="I1633">
        <v>0</v>
      </c>
      <c r="J1633">
        <v>0</v>
      </c>
      <c r="K1633">
        <v>0</v>
      </c>
      <c r="L1633">
        <v>0</v>
      </c>
      <c r="M1633">
        <v>0.16</v>
      </c>
      <c r="N1633" s="7" t="e">
        <f>VLOOKUP(F1633,HC!A$6:D$100,3,FALSE)</f>
        <v>#N/A</v>
      </c>
      <c r="O1633" s="7" t="e">
        <f>VLOOKUP(F1633,HC!A$6:D$1000,2,FALSE)</f>
        <v>#N/A</v>
      </c>
      <c r="P1633" t="s">
        <v>662</v>
      </c>
      <c r="Q1633" s="7" t="s">
        <v>691</v>
      </c>
      <c r="U1633">
        <f t="shared" si="27"/>
        <v>1395</v>
      </c>
    </row>
    <row r="1634" spans="1:21" ht="37.5" customHeight="1" x14ac:dyDescent="0.25">
      <c r="A1634" s="30">
        <v>45055</v>
      </c>
      <c r="B1634" s="13">
        <v>19</v>
      </c>
      <c r="C1634" t="s">
        <v>3</v>
      </c>
      <c r="D1634" t="s">
        <v>4</v>
      </c>
      <c r="E1634" t="s">
        <v>5</v>
      </c>
      <c r="F1634" s="6">
        <v>112912071</v>
      </c>
      <c r="G1634" t="s">
        <v>918</v>
      </c>
      <c r="H1634" t="s">
        <v>268</v>
      </c>
      <c r="I1634">
        <v>0</v>
      </c>
      <c r="J1634">
        <v>0</v>
      </c>
      <c r="K1634">
        <v>0</v>
      </c>
      <c r="L1634">
        <v>0</v>
      </c>
      <c r="M1634">
        <v>0.42</v>
      </c>
      <c r="N1634" s="7" t="e">
        <f>VLOOKUP(F1634,HC!A$6:D$100,3,FALSE)</f>
        <v>#N/A</v>
      </c>
      <c r="O1634" s="7" t="e">
        <f>VLOOKUP(F1634,HC!A$6:D$1000,2,FALSE)</f>
        <v>#N/A</v>
      </c>
      <c r="P1634" t="s">
        <v>664</v>
      </c>
      <c r="Q1634" s="7" t="s">
        <v>710</v>
      </c>
      <c r="U1634">
        <f t="shared" si="27"/>
        <v>1395</v>
      </c>
    </row>
    <row r="1635" spans="1:21" ht="37.5" customHeight="1" x14ac:dyDescent="0.25">
      <c r="A1635" s="30">
        <v>45055</v>
      </c>
      <c r="B1635" s="13">
        <v>19</v>
      </c>
      <c r="C1635" t="s">
        <v>3</v>
      </c>
      <c r="D1635" t="s">
        <v>4</v>
      </c>
      <c r="E1635" t="s">
        <v>5</v>
      </c>
      <c r="F1635" s="6">
        <v>112912163</v>
      </c>
      <c r="G1635" t="s">
        <v>294</v>
      </c>
      <c r="H1635" t="s">
        <v>298</v>
      </c>
      <c r="I1635">
        <v>0</v>
      </c>
      <c r="J1635">
        <v>0</v>
      </c>
      <c r="K1635">
        <v>0</v>
      </c>
      <c r="L1635">
        <v>0</v>
      </c>
      <c r="M1635">
        <v>0.24</v>
      </c>
      <c r="N1635" s="7" t="e">
        <f>VLOOKUP(F1635,HC!A$6:D$100,3,FALSE)</f>
        <v>#N/A</v>
      </c>
      <c r="O1635" s="7" t="e">
        <f>VLOOKUP(F1635,HC!A$6:D$1000,2,FALSE)</f>
        <v>#N/A</v>
      </c>
      <c r="P1635" t="s">
        <v>661</v>
      </c>
      <c r="Q1635" s="7" t="s">
        <v>775</v>
      </c>
      <c r="U1635">
        <f t="shared" si="27"/>
        <v>1395</v>
      </c>
    </row>
    <row r="1636" spans="1:21" ht="37.5" customHeight="1" x14ac:dyDescent="0.25">
      <c r="A1636" s="30">
        <v>45055</v>
      </c>
      <c r="B1636" s="13">
        <v>19</v>
      </c>
      <c r="C1636" t="s">
        <v>3</v>
      </c>
      <c r="D1636" t="s">
        <v>4</v>
      </c>
      <c r="E1636" t="s">
        <v>5</v>
      </c>
      <c r="F1636" s="6">
        <v>112912753</v>
      </c>
      <c r="G1636" t="s">
        <v>415</v>
      </c>
      <c r="H1636" t="s">
        <v>298</v>
      </c>
      <c r="I1636">
        <v>0</v>
      </c>
      <c r="J1636">
        <v>0</v>
      </c>
      <c r="K1636">
        <v>0</v>
      </c>
      <c r="L1636">
        <v>0</v>
      </c>
      <c r="M1636">
        <v>0.12</v>
      </c>
      <c r="N1636" s="7" t="e">
        <f>VLOOKUP(F1636,HC!A$6:D$100,3,FALSE)</f>
        <v>#N/A</v>
      </c>
      <c r="O1636" s="7" t="e">
        <f>VLOOKUP(F1636,HC!A$6:D$1000,2,FALSE)</f>
        <v>#N/A</v>
      </c>
      <c r="P1636" t="s">
        <v>661</v>
      </c>
      <c r="Q1636" s="7" t="s">
        <v>681</v>
      </c>
      <c r="U1636">
        <f t="shared" si="27"/>
        <v>1395</v>
      </c>
    </row>
    <row r="1637" spans="1:21" ht="37.5" customHeight="1" x14ac:dyDescent="0.25">
      <c r="A1637" s="30">
        <v>45055</v>
      </c>
      <c r="B1637" s="13">
        <v>19</v>
      </c>
      <c r="C1637" t="s">
        <v>3</v>
      </c>
      <c r="D1637" t="s">
        <v>4</v>
      </c>
      <c r="E1637" t="s">
        <v>5</v>
      </c>
      <c r="F1637" s="6">
        <v>112920666</v>
      </c>
      <c r="G1637" t="s">
        <v>252</v>
      </c>
      <c r="H1637" t="s">
        <v>459</v>
      </c>
      <c r="I1637">
        <v>0</v>
      </c>
      <c r="J1637">
        <v>0</v>
      </c>
      <c r="K1637">
        <v>0</v>
      </c>
      <c r="L1637">
        <v>0</v>
      </c>
      <c r="M1637">
        <v>0.23</v>
      </c>
      <c r="N1637" s="7" t="str">
        <f>VLOOKUP(F1637,HC!A$6:D$100,3,FALSE)</f>
        <v>D5-X0700</v>
      </c>
      <c r="O1637" s="7" t="str">
        <f>VLOOKUP(F1637,HC!A$6:D$1000,2,FALSE)</f>
        <v>jorochai</v>
      </c>
      <c r="Q1637" s="7"/>
      <c r="R1637" t="s">
        <v>604</v>
      </c>
      <c r="U1637">
        <f t="shared" si="27"/>
        <v>19</v>
      </c>
    </row>
    <row r="1638" spans="1:21" ht="37.5" customHeight="1" x14ac:dyDescent="0.25">
      <c r="A1638" s="30">
        <v>45055</v>
      </c>
      <c r="B1638" s="13">
        <v>19</v>
      </c>
      <c r="C1638" t="s">
        <v>3</v>
      </c>
      <c r="D1638" t="s">
        <v>4</v>
      </c>
      <c r="E1638" t="s">
        <v>5</v>
      </c>
      <c r="F1638" s="6">
        <v>112950792</v>
      </c>
      <c r="G1638" t="s">
        <v>618</v>
      </c>
      <c r="H1638" t="s">
        <v>268</v>
      </c>
      <c r="I1638">
        <v>0</v>
      </c>
      <c r="J1638">
        <v>0</v>
      </c>
      <c r="K1638">
        <v>0</v>
      </c>
      <c r="L1638">
        <v>0</v>
      </c>
      <c r="M1638">
        <v>0.34</v>
      </c>
      <c r="N1638" s="7" t="str">
        <f>VLOOKUP(F1638,HC!A$6:D$100,3,FALSE)</f>
        <v>NF-X1900</v>
      </c>
      <c r="O1638" s="7" t="str">
        <f>VLOOKUP(F1638,HC!A$6:D$1000,2,FALSE)</f>
        <v>genevmor</v>
      </c>
      <c r="P1638" t="s">
        <v>662</v>
      </c>
      <c r="Q1638" s="7" t="s">
        <v>757</v>
      </c>
      <c r="U1638">
        <f t="shared" si="27"/>
        <v>8</v>
      </c>
    </row>
    <row r="1639" spans="1:21" ht="37.5" customHeight="1" x14ac:dyDescent="0.25">
      <c r="A1639" s="30">
        <v>45055</v>
      </c>
      <c r="B1639" s="13">
        <v>19</v>
      </c>
      <c r="C1639" t="s">
        <v>3</v>
      </c>
      <c r="D1639" t="s">
        <v>4</v>
      </c>
      <c r="E1639" t="s">
        <v>5</v>
      </c>
      <c r="F1639" s="6">
        <v>112950807</v>
      </c>
      <c r="G1639" t="s">
        <v>901</v>
      </c>
      <c r="H1639" t="s">
        <v>253</v>
      </c>
      <c r="I1639">
        <v>0</v>
      </c>
      <c r="J1639">
        <v>0</v>
      </c>
      <c r="K1639">
        <v>0</v>
      </c>
      <c r="L1639">
        <v>0</v>
      </c>
      <c r="M1639">
        <v>0.55000000000000004</v>
      </c>
      <c r="N1639" s="7" t="str">
        <f>VLOOKUP(F1639,HC!A$6:D$100,3,FALSE)</f>
        <v>DA-X0700</v>
      </c>
      <c r="O1639" s="7" t="str">
        <f>VLOOKUP(F1639,HC!A$6:D$1000,2,FALSE)</f>
        <v>kaarsanc</v>
      </c>
      <c r="P1639" t="s">
        <v>661</v>
      </c>
      <c r="Q1639" s="7" t="s">
        <v>681</v>
      </c>
      <c r="U1639">
        <f t="shared" si="27"/>
        <v>4</v>
      </c>
    </row>
    <row r="1640" spans="1:21" ht="37.5" customHeight="1" x14ac:dyDescent="0.25">
      <c r="A1640" s="30">
        <v>45055</v>
      </c>
      <c r="B1640" s="13">
        <v>19</v>
      </c>
      <c r="C1640" t="s">
        <v>3</v>
      </c>
      <c r="D1640" t="s">
        <v>4</v>
      </c>
      <c r="E1640" t="s">
        <v>5</v>
      </c>
      <c r="F1640" s="6">
        <v>112950809</v>
      </c>
      <c r="G1640" t="s">
        <v>402</v>
      </c>
      <c r="H1640" t="s">
        <v>403</v>
      </c>
      <c r="I1640">
        <v>0</v>
      </c>
      <c r="J1640">
        <v>0</v>
      </c>
      <c r="K1640">
        <v>0</v>
      </c>
      <c r="L1640">
        <v>0</v>
      </c>
      <c r="M1640">
        <v>0.56999999999999995</v>
      </c>
      <c r="N1640" s="7" t="str">
        <f>VLOOKUP(F1640,HC!A$6:D$100,3,FALSE)</f>
        <v>DA-X0700</v>
      </c>
      <c r="O1640" s="7" t="str">
        <f>VLOOKUP(F1640,HC!A$6:D$1000,2,FALSE)</f>
        <v>lurochae</v>
      </c>
      <c r="P1640" t="s">
        <v>664</v>
      </c>
      <c r="Q1640" s="7" t="s">
        <v>452</v>
      </c>
      <c r="U1640">
        <f t="shared" si="27"/>
        <v>14</v>
      </c>
    </row>
    <row r="1641" spans="1:21" ht="37.5" customHeight="1" x14ac:dyDescent="0.25">
      <c r="A1641" s="30">
        <v>45055</v>
      </c>
      <c r="B1641" s="13">
        <v>19</v>
      </c>
      <c r="C1641" t="s">
        <v>3</v>
      </c>
      <c r="D1641" t="s">
        <v>4</v>
      </c>
      <c r="E1641" t="s">
        <v>5</v>
      </c>
      <c r="F1641" s="6">
        <v>112976013</v>
      </c>
      <c r="G1641" t="s">
        <v>449</v>
      </c>
      <c r="H1641" t="s">
        <v>403</v>
      </c>
      <c r="I1641">
        <v>0</v>
      </c>
      <c r="J1641">
        <v>0</v>
      </c>
      <c r="K1641">
        <v>0</v>
      </c>
      <c r="L1641">
        <v>0</v>
      </c>
      <c r="M1641">
        <v>0.2</v>
      </c>
      <c r="N1641" s="7" t="e">
        <f>VLOOKUP(F1641,HC!A$6:D$100,3,FALSE)</f>
        <v>#N/A</v>
      </c>
      <c r="O1641" s="7" t="e">
        <f>VLOOKUP(F1641,HC!A$6:D$1000,2,FALSE)</f>
        <v>#N/A</v>
      </c>
      <c r="P1641" t="s">
        <v>670</v>
      </c>
      <c r="Q1641" s="7" t="s">
        <v>749</v>
      </c>
      <c r="U1641">
        <f t="shared" si="27"/>
        <v>1395</v>
      </c>
    </row>
    <row r="1642" spans="1:21" ht="37.5" customHeight="1" x14ac:dyDescent="0.25">
      <c r="A1642" s="30">
        <v>45055</v>
      </c>
      <c r="B1642" s="13">
        <v>19</v>
      </c>
      <c r="C1642" t="s">
        <v>3</v>
      </c>
      <c r="D1642" t="s">
        <v>4</v>
      </c>
      <c r="E1642" t="s">
        <v>5</v>
      </c>
      <c r="F1642" s="6">
        <v>112981061</v>
      </c>
      <c r="G1642" t="s">
        <v>264</v>
      </c>
      <c r="H1642" t="s">
        <v>44</v>
      </c>
      <c r="I1642">
        <v>0</v>
      </c>
      <c r="J1642">
        <v>0</v>
      </c>
      <c r="K1642">
        <v>0</v>
      </c>
      <c r="L1642">
        <v>0</v>
      </c>
      <c r="M1642">
        <v>0.42</v>
      </c>
      <c r="N1642" s="7" t="str">
        <f>VLOOKUP(F1642,HC!A$6:D$100,3,FALSE)</f>
        <v>DA-X0700</v>
      </c>
      <c r="O1642" s="7" t="str">
        <f>VLOOKUP(F1642,HC!A$6:D$1000,2,FALSE)</f>
        <v>mclaudol</v>
      </c>
      <c r="P1642" t="s">
        <v>665</v>
      </c>
      <c r="Q1642" s="7" t="s">
        <v>722</v>
      </c>
      <c r="U1642">
        <f t="shared" si="27"/>
        <v>44</v>
      </c>
    </row>
    <row r="1643" spans="1:21" ht="37.5" customHeight="1" x14ac:dyDescent="0.25">
      <c r="A1643" s="30">
        <v>45055</v>
      </c>
      <c r="B1643" s="13">
        <v>19</v>
      </c>
      <c r="C1643" t="s">
        <v>3</v>
      </c>
      <c r="D1643" t="s">
        <v>4</v>
      </c>
      <c r="E1643" t="s">
        <v>21</v>
      </c>
      <c r="F1643" s="6">
        <v>200589316</v>
      </c>
      <c r="G1643" t="s">
        <v>53</v>
      </c>
      <c r="H1643" t="s">
        <v>47</v>
      </c>
      <c r="I1643">
        <v>0</v>
      </c>
      <c r="J1643">
        <v>0</v>
      </c>
      <c r="K1643">
        <v>0</v>
      </c>
      <c r="L1643">
        <v>0</v>
      </c>
      <c r="M1643">
        <v>0.52</v>
      </c>
      <c r="N1643" s="7" t="e">
        <f>VLOOKUP(F1643,HC!A$6:D$100,3,FALSE)</f>
        <v>#N/A</v>
      </c>
      <c r="O1643" s="7" t="e">
        <f>VLOOKUP(F1643,HC!A$6:D$1000,2,FALSE)</f>
        <v>#N/A</v>
      </c>
      <c r="P1643" t="s">
        <v>664</v>
      </c>
      <c r="Q1643" s="7" t="s">
        <v>716</v>
      </c>
      <c r="U1643">
        <f t="shared" si="27"/>
        <v>1395</v>
      </c>
    </row>
    <row r="1644" spans="1:21" ht="37.5" customHeight="1" x14ac:dyDescent="0.25">
      <c r="A1644" s="30">
        <v>45055</v>
      </c>
      <c r="B1644" s="13">
        <v>19</v>
      </c>
      <c r="C1644" t="s">
        <v>3</v>
      </c>
      <c r="D1644" t="s">
        <v>4</v>
      </c>
      <c r="E1644" t="s">
        <v>21</v>
      </c>
      <c r="F1644" s="6">
        <v>201160146</v>
      </c>
      <c r="G1644" t="s">
        <v>851</v>
      </c>
      <c r="H1644" t="s">
        <v>17</v>
      </c>
      <c r="I1644">
        <v>0</v>
      </c>
      <c r="J1644">
        <v>0</v>
      </c>
      <c r="K1644">
        <v>0</v>
      </c>
      <c r="L1644">
        <v>0</v>
      </c>
      <c r="M1644">
        <v>0.2</v>
      </c>
      <c r="N1644" s="7" t="e">
        <f>VLOOKUP(F1644,HC!A$6:D$100,3,FALSE)</f>
        <v>#N/A</v>
      </c>
      <c r="O1644" s="7" t="e">
        <f>VLOOKUP(F1644,HC!A$6:D$1000,2,FALSE)</f>
        <v>#N/A</v>
      </c>
      <c r="P1644" t="s">
        <v>661</v>
      </c>
      <c r="Q1644" s="7" t="s">
        <v>681</v>
      </c>
      <c r="U1644">
        <f t="shared" si="27"/>
        <v>1395</v>
      </c>
    </row>
    <row r="1645" spans="1:21" ht="37.5" customHeight="1" x14ac:dyDescent="0.25">
      <c r="A1645" s="30">
        <v>45055</v>
      </c>
      <c r="B1645" s="13">
        <v>19</v>
      </c>
      <c r="C1645" t="s">
        <v>3</v>
      </c>
      <c r="D1645" t="s">
        <v>4</v>
      </c>
      <c r="E1645" t="s">
        <v>21</v>
      </c>
      <c r="F1645" s="6">
        <v>201165769</v>
      </c>
      <c r="G1645" t="s">
        <v>903</v>
      </c>
      <c r="H1645" t="s">
        <v>285</v>
      </c>
      <c r="I1645">
        <v>0</v>
      </c>
      <c r="J1645">
        <v>0</v>
      </c>
      <c r="K1645">
        <v>0</v>
      </c>
      <c r="L1645">
        <v>0</v>
      </c>
      <c r="M1645">
        <v>0.77</v>
      </c>
      <c r="N1645" s="7" t="e">
        <f>VLOOKUP(F1645,HC!A$6:D$100,3,FALSE)</f>
        <v>#N/A</v>
      </c>
      <c r="O1645" s="7" t="str">
        <f>VLOOKUP(F1645,HC!A$6:D$1000,2,FALSE)</f>
        <v>puenkare</v>
      </c>
      <c r="P1645" t="s">
        <v>664</v>
      </c>
      <c r="Q1645" s="7" t="s">
        <v>452</v>
      </c>
      <c r="U1645">
        <f t="shared" si="27"/>
        <v>19</v>
      </c>
    </row>
    <row r="1646" spans="1:21" ht="37.5" customHeight="1" x14ac:dyDescent="0.25">
      <c r="A1646" s="30">
        <v>45055</v>
      </c>
      <c r="B1646" s="13">
        <v>19</v>
      </c>
      <c r="C1646" t="s">
        <v>3</v>
      </c>
      <c r="D1646" t="s">
        <v>4</v>
      </c>
      <c r="E1646" t="s">
        <v>21</v>
      </c>
      <c r="F1646" s="6">
        <v>201320388</v>
      </c>
      <c r="G1646" t="s">
        <v>994</v>
      </c>
      <c r="H1646" t="s">
        <v>44</v>
      </c>
      <c r="I1646">
        <v>0</v>
      </c>
      <c r="J1646">
        <v>0</v>
      </c>
      <c r="K1646">
        <v>0</v>
      </c>
      <c r="L1646">
        <v>0</v>
      </c>
      <c r="M1646">
        <v>0.25</v>
      </c>
      <c r="N1646" s="7" t="e">
        <f>VLOOKUP(F1646,HC!A$6:D$100,3,FALSE)</f>
        <v>#N/A</v>
      </c>
      <c r="O1646" s="7" t="e">
        <f>VLOOKUP(F1646,HC!A$6:D$1000,2,FALSE)</f>
        <v>#N/A</v>
      </c>
      <c r="P1646" t="s">
        <v>663</v>
      </c>
      <c r="Q1646" s="7" t="s">
        <v>705</v>
      </c>
      <c r="U1646">
        <f t="shared" si="27"/>
        <v>1395</v>
      </c>
    </row>
    <row r="1647" spans="1:21" ht="37.5" customHeight="1" x14ac:dyDescent="0.25">
      <c r="A1647" s="30">
        <v>45055</v>
      </c>
      <c r="B1647" s="13">
        <v>19</v>
      </c>
      <c r="C1647" t="s">
        <v>3</v>
      </c>
      <c r="D1647" t="s">
        <v>4</v>
      </c>
      <c r="E1647" t="s">
        <v>21</v>
      </c>
      <c r="F1647" s="6">
        <v>201355246</v>
      </c>
      <c r="G1647" t="s">
        <v>1000</v>
      </c>
      <c r="H1647" t="s">
        <v>263</v>
      </c>
      <c r="I1647">
        <v>0</v>
      </c>
      <c r="J1647">
        <v>0</v>
      </c>
      <c r="K1647">
        <v>0</v>
      </c>
      <c r="L1647">
        <v>0</v>
      </c>
      <c r="M1647">
        <v>0.24</v>
      </c>
      <c r="N1647" s="7" t="e">
        <f>VLOOKUP(F1647,HC!A$6:D$100,3,FALSE)</f>
        <v>#N/A</v>
      </c>
      <c r="O1647" s="7" t="e">
        <f>VLOOKUP(F1647,HC!A$6:D$1000,2,FALSE)</f>
        <v>#N/A</v>
      </c>
      <c r="P1647" t="s">
        <v>663</v>
      </c>
      <c r="Q1647" s="7" t="s">
        <v>705</v>
      </c>
      <c r="U1647">
        <f t="shared" si="27"/>
        <v>1395</v>
      </c>
    </row>
    <row r="1648" spans="1:21" ht="37.5" customHeight="1" x14ac:dyDescent="0.25">
      <c r="A1648" s="30">
        <v>45056</v>
      </c>
      <c r="B1648" s="13">
        <v>19</v>
      </c>
      <c r="C1648" t="s">
        <v>3</v>
      </c>
      <c r="D1648" t="s">
        <v>4</v>
      </c>
      <c r="E1648" t="s">
        <v>5</v>
      </c>
      <c r="F1648" s="6">
        <v>110249579</v>
      </c>
      <c r="G1648" t="s">
        <v>862</v>
      </c>
      <c r="H1648" t="s">
        <v>285</v>
      </c>
      <c r="I1648">
        <v>0</v>
      </c>
      <c r="J1648">
        <v>0</v>
      </c>
      <c r="K1648">
        <v>0</v>
      </c>
      <c r="L1648">
        <v>0</v>
      </c>
      <c r="M1648">
        <v>0.56999999999999995</v>
      </c>
      <c r="N1648" s="7" t="str">
        <f>VLOOKUP(F1648,HC!A$6:D$100,3,FALSE)</f>
        <v>DA-X0700</v>
      </c>
      <c r="O1648" s="7" t="str">
        <f>VLOOKUP(F1648,HC!A$6:D$1000,2,FALSE)</f>
        <v>ruzcvict</v>
      </c>
      <c r="P1648" t="s">
        <v>661</v>
      </c>
      <c r="Q1648" s="7" t="s">
        <v>681</v>
      </c>
      <c r="U1648">
        <f t="shared" si="27"/>
        <v>3</v>
      </c>
    </row>
    <row r="1649" spans="1:21" ht="37.5" customHeight="1" x14ac:dyDescent="0.25">
      <c r="A1649" s="30">
        <v>45056</v>
      </c>
      <c r="B1649" s="13">
        <v>19</v>
      </c>
      <c r="C1649" t="s">
        <v>3</v>
      </c>
      <c r="D1649" t="s">
        <v>4</v>
      </c>
      <c r="E1649" t="s">
        <v>21</v>
      </c>
      <c r="F1649" s="6">
        <v>112912007</v>
      </c>
      <c r="G1649" t="s">
        <v>518</v>
      </c>
      <c r="H1649" t="s">
        <v>268</v>
      </c>
      <c r="I1649">
        <v>0</v>
      </c>
      <c r="J1649">
        <v>0</v>
      </c>
      <c r="K1649">
        <v>0</v>
      </c>
      <c r="L1649">
        <v>0</v>
      </c>
      <c r="M1649">
        <v>0.66</v>
      </c>
      <c r="N1649" s="7" t="e">
        <f>VLOOKUP(F1649,HC!A$6:D$100,3,FALSE)</f>
        <v>#N/A</v>
      </c>
      <c r="O1649" s="7" t="e">
        <f>VLOOKUP(F1649,HC!A$6:D$1000,2,FALSE)</f>
        <v>#N/A</v>
      </c>
      <c r="Q1649" s="7"/>
      <c r="U1649">
        <f t="shared" si="27"/>
        <v>1395</v>
      </c>
    </row>
    <row r="1650" spans="1:21" ht="37.5" customHeight="1" x14ac:dyDescent="0.25">
      <c r="A1650" s="30">
        <v>45056</v>
      </c>
      <c r="B1650" s="13">
        <v>19</v>
      </c>
      <c r="C1650" t="s">
        <v>3</v>
      </c>
      <c r="D1650" t="s">
        <v>4</v>
      </c>
      <c r="E1650" t="s">
        <v>5</v>
      </c>
      <c r="F1650" s="6">
        <v>112912163</v>
      </c>
      <c r="G1650" t="s">
        <v>294</v>
      </c>
      <c r="H1650" t="s">
        <v>298</v>
      </c>
      <c r="I1650">
        <v>0</v>
      </c>
      <c r="J1650">
        <v>0</v>
      </c>
      <c r="K1650">
        <v>0</v>
      </c>
      <c r="L1650">
        <v>0</v>
      </c>
      <c r="M1650">
        <v>0.18</v>
      </c>
      <c r="N1650" s="7" t="e">
        <f>VLOOKUP(F1650,HC!A$6:D$100,3,FALSE)</f>
        <v>#N/A</v>
      </c>
      <c r="O1650" s="7" t="e">
        <f>VLOOKUP(F1650,HC!A$6:D$1000,2,FALSE)</f>
        <v>#N/A</v>
      </c>
      <c r="P1650" t="s">
        <v>664</v>
      </c>
      <c r="Q1650" s="7" t="s">
        <v>777</v>
      </c>
      <c r="U1650">
        <f t="shared" si="27"/>
        <v>1395</v>
      </c>
    </row>
    <row r="1651" spans="1:21" ht="37.5" customHeight="1" x14ac:dyDescent="0.25">
      <c r="A1651" s="30">
        <v>45056</v>
      </c>
      <c r="B1651" s="13">
        <v>19</v>
      </c>
      <c r="C1651" t="s">
        <v>3</v>
      </c>
      <c r="D1651" t="s">
        <v>4</v>
      </c>
      <c r="E1651" t="s">
        <v>5</v>
      </c>
      <c r="F1651" s="6">
        <v>112950809</v>
      </c>
      <c r="G1651" t="s">
        <v>402</v>
      </c>
      <c r="H1651" t="s">
        <v>403</v>
      </c>
      <c r="I1651">
        <v>0</v>
      </c>
      <c r="J1651">
        <v>0</v>
      </c>
      <c r="K1651">
        <v>0</v>
      </c>
      <c r="L1651">
        <v>0</v>
      </c>
      <c r="M1651">
        <v>1.08</v>
      </c>
      <c r="N1651" s="7" t="str">
        <f>VLOOKUP(F1651,HC!A$6:D$100,3,FALSE)</f>
        <v>DA-X0700</v>
      </c>
      <c r="O1651" s="7" t="str">
        <f>VLOOKUP(F1651,HC!A$6:D$1000,2,FALSE)</f>
        <v>lurochae</v>
      </c>
      <c r="P1651" t="s">
        <v>664</v>
      </c>
      <c r="Q1651" s="7" t="s">
        <v>716</v>
      </c>
      <c r="U1651">
        <f t="shared" si="27"/>
        <v>14</v>
      </c>
    </row>
    <row r="1652" spans="1:21" ht="37.5" customHeight="1" x14ac:dyDescent="0.25">
      <c r="A1652" s="30">
        <v>45056</v>
      </c>
      <c r="B1652" s="13">
        <v>19</v>
      </c>
      <c r="C1652" t="s">
        <v>3</v>
      </c>
      <c r="D1652" t="s">
        <v>4</v>
      </c>
      <c r="E1652" t="s">
        <v>5</v>
      </c>
      <c r="F1652" s="6">
        <v>112972215</v>
      </c>
      <c r="G1652" t="s">
        <v>984</v>
      </c>
      <c r="H1652" t="s">
        <v>298</v>
      </c>
      <c r="I1652">
        <v>0</v>
      </c>
      <c r="J1652">
        <v>0</v>
      </c>
      <c r="K1652">
        <v>0</v>
      </c>
      <c r="L1652">
        <v>0</v>
      </c>
      <c r="M1652">
        <v>0.37</v>
      </c>
      <c r="N1652" s="7" t="str">
        <f>VLOOKUP(F1652,HC!A$6:D$100,3,FALSE)</f>
        <v>DB-X0700</v>
      </c>
      <c r="O1652" s="7" t="str">
        <f>VLOOKUP(F1652,HC!A$6:D$1000,2,FALSE)</f>
        <v>cruzbana</v>
      </c>
      <c r="P1652" t="s">
        <v>666</v>
      </c>
      <c r="Q1652" s="7" t="s">
        <v>768</v>
      </c>
      <c r="R1652" t="s">
        <v>1048</v>
      </c>
      <c r="U1652">
        <f t="shared" si="27"/>
        <v>16</v>
      </c>
    </row>
    <row r="1653" spans="1:21" ht="37.5" customHeight="1" x14ac:dyDescent="0.25">
      <c r="A1653" s="30">
        <v>45056</v>
      </c>
      <c r="B1653" s="13">
        <v>19</v>
      </c>
      <c r="C1653" t="s">
        <v>3</v>
      </c>
      <c r="D1653" t="s">
        <v>4</v>
      </c>
      <c r="E1653" t="s">
        <v>5</v>
      </c>
      <c r="F1653" s="6">
        <v>113101453</v>
      </c>
      <c r="G1653" t="s">
        <v>50</v>
      </c>
      <c r="H1653" t="s">
        <v>44</v>
      </c>
      <c r="I1653">
        <v>0</v>
      </c>
      <c r="J1653">
        <v>0</v>
      </c>
      <c r="K1653">
        <v>0</v>
      </c>
      <c r="L1653">
        <v>0</v>
      </c>
      <c r="M1653">
        <v>0.2</v>
      </c>
      <c r="N1653" s="7" t="e">
        <f>VLOOKUP(F1653,HC!A$6:D$100,3,FALSE)</f>
        <v>#N/A</v>
      </c>
      <c r="O1653" s="7" t="str">
        <f>VLOOKUP(F1653,HC!A$6:D$1000,2,FALSE)</f>
        <v>qisgeova</v>
      </c>
      <c r="P1653" t="s">
        <v>661</v>
      </c>
      <c r="Q1653" s="7" t="s">
        <v>681</v>
      </c>
      <c r="U1653">
        <f t="shared" si="27"/>
        <v>57</v>
      </c>
    </row>
    <row r="1654" spans="1:21" ht="37.5" customHeight="1" x14ac:dyDescent="0.25">
      <c r="A1654" s="30">
        <v>45056</v>
      </c>
      <c r="B1654" s="13">
        <v>19</v>
      </c>
      <c r="C1654" t="s">
        <v>3</v>
      </c>
      <c r="D1654" t="s">
        <v>4</v>
      </c>
      <c r="E1654" t="s">
        <v>21</v>
      </c>
      <c r="F1654" s="6">
        <v>200625517</v>
      </c>
      <c r="G1654" t="s">
        <v>323</v>
      </c>
      <c r="H1654" t="s">
        <v>44</v>
      </c>
      <c r="I1654">
        <v>0</v>
      </c>
      <c r="J1654">
        <v>0</v>
      </c>
      <c r="K1654">
        <v>0</v>
      </c>
      <c r="L1654">
        <v>0</v>
      </c>
      <c r="M1654">
        <v>0.14000000000000001</v>
      </c>
      <c r="N1654" s="7" t="e">
        <f>VLOOKUP(F1654,HC!A$6:D$100,3,FALSE)</f>
        <v>#N/A</v>
      </c>
      <c r="O1654" s="7" t="e">
        <f>VLOOKUP(F1654,HC!A$6:D$1000,2,FALSE)</f>
        <v>#N/A</v>
      </c>
      <c r="P1654" t="s">
        <v>663</v>
      </c>
      <c r="Q1654" s="7" t="s">
        <v>707</v>
      </c>
      <c r="U1654">
        <f t="shared" si="27"/>
        <v>1395</v>
      </c>
    </row>
    <row r="1655" spans="1:21" ht="37.5" customHeight="1" x14ac:dyDescent="0.25">
      <c r="A1655" s="30">
        <v>45056</v>
      </c>
      <c r="B1655" s="13">
        <v>19</v>
      </c>
      <c r="C1655" t="s">
        <v>3</v>
      </c>
      <c r="D1655" t="s">
        <v>4</v>
      </c>
      <c r="E1655" t="s">
        <v>21</v>
      </c>
      <c r="F1655" s="6">
        <v>201365896</v>
      </c>
      <c r="G1655" t="s">
        <v>1045</v>
      </c>
      <c r="H1655" t="s">
        <v>1040</v>
      </c>
      <c r="I1655">
        <v>0</v>
      </c>
      <c r="J1655">
        <v>0</v>
      </c>
      <c r="K1655">
        <v>0</v>
      </c>
      <c r="L1655">
        <v>0</v>
      </c>
      <c r="M1655">
        <v>0.56999999999999995</v>
      </c>
      <c r="N1655" s="7" t="e">
        <f>VLOOKUP(F1655,HC!A$6:D$100,3,FALSE)</f>
        <v>#N/A</v>
      </c>
      <c r="O1655" s="7" t="e">
        <f>VLOOKUP(F1655,HC!A$6:D$1000,2,FALSE)</f>
        <v>#N/A</v>
      </c>
      <c r="P1655" t="s">
        <v>664</v>
      </c>
      <c r="Q1655" s="7" t="s">
        <v>716</v>
      </c>
      <c r="U1655">
        <f t="shared" si="27"/>
        <v>1395</v>
      </c>
    </row>
    <row r="1656" spans="1:21" ht="37.5" customHeight="1" x14ac:dyDescent="0.25">
      <c r="A1656" s="30">
        <v>45056</v>
      </c>
      <c r="B1656" s="13">
        <v>19</v>
      </c>
      <c r="C1656" t="s">
        <v>3</v>
      </c>
      <c r="D1656" t="s">
        <v>4</v>
      </c>
      <c r="E1656" t="s">
        <v>21</v>
      </c>
      <c r="F1656" s="6">
        <v>201378614</v>
      </c>
      <c r="G1656" t="s">
        <v>1046</v>
      </c>
      <c r="H1656" t="s">
        <v>1040</v>
      </c>
      <c r="I1656">
        <v>0</v>
      </c>
      <c r="J1656">
        <v>0</v>
      </c>
      <c r="K1656">
        <v>0</v>
      </c>
      <c r="L1656">
        <v>0</v>
      </c>
      <c r="M1656">
        <v>0.64</v>
      </c>
      <c r="N1656" s="7" t="e">
        <f>VLOOKUP(F1656,HC!A$6:D$100,3,FALSE)</f>
        <v>#N/A</v>
      </c>
      <c r="O1656" s="7" t="e">
        <f>VLOOKUP(F1656,HC!A$6:D$1000,2,FALSE)</f>
        <v>#N/A</v>
      </c>
      <c r="P1656" t="s">
        <v>664</v>
      </c>
      <c r="Q1656" s="7" t="s">
        <v>716</v>
      </c>
      <c r="U1656">
        <f t="shared" si="27"/>
        <v>1395</v>
      </c>
    </row>
    <row r="1657" spans="1:21" ht="37.5" customHeight="1" x14ac:dyDescent="0.25">
      <c r="A1657" s="30">
        <v>45056</v>
      </c>
      <c r="B1657" s="13">
        <v>19</v>
      </c>
      <c r="C1657" t="s">
        <v>3</v>
      </c>
      <c r="D1657" t="s">
        <v>4</v>
      </c>
      <c r="E1657" t="s">
        <v>21</v>
      </c>
      <c r="F1657" s="6">
        <v>201390700</v>
      </c>
      <c r="G1657" t="s">
        <v>1047</v>
      </c>
      <c r="H1657" t="s">
        <v>44</v>
      </c>
      <c r="I1657">
        <v>0</v>
      </c>
      <c r="J1657">
        <v>0</v>
      </c>
      <c r="K1657">
        <v>0</v>
      </c>
      <c r="L1657">
        <v>0</v>
      </c>
      <c r="M1657">
        <v>7.0000000000000007E-2</v>
      </c>
      <c r="N1657" s="7" t="e">
        <f>VLOOKUP(F1657,HC!A$6:D$100,3,FALSE)</f>
        <v>#N/A</v>
      </c>
      <c r="O1657" s="7" t="e">
        <f>VLOOKUP(F1657,HC!A$6:D$1000,2,FALSE)</f>
        <v>#N/A</v>
      </c>
      <c r="P1657" t="s">
        <v>662</v>
      </c>
      <c r="Q1657" s="7" t="s">
        <v>702</v>
      </c>
      <c r="U1657">
        <f t="shared" si="27"/>
        <v>1395</v>
      </c>
    </row>
    <row r="1658" spans="1:21" ht="37.5" customHeight="1" x14ac:dyDescent="0.25">
      <c r="A1658" s="30">
        <v>45057</v>
      </c>
      <c r="B1658" s="13">
        <v>19</v>
      </c>
      <c r="C1658" t="s">
        <v>3</v>
      </c>
      <c r="D1658" t="s">
        <v>4</v>
      </c>
      <c r="E1658" t="s">
        <v>5</v>
      </c>
      <c r="F1658" s="6">
        <v>112920655</v>
      </c>
      <c r="G1658" t="s">
        <v>509</v>
      </c>
      <c r="H1658" t="s">
        <v>282</v>
      </c>
      <c r="I1658">
        <v>0</v>
      </c>
      <c r="J1658">
        <v>0</v>
      </c>
      <c r="K1658">
        <v>0</v>
      </c>
      <c r="L1658">
        <v>0</v>
      </c>
      <c r="M1658">
        <v>0.67</v>
      </c>
      <c r="N1658" s="7" t="e">
        <f>VLOOKUP(F1658,HC!A$6:D$100,3,FALSE)</f>
        <v>#N/A</v>
      </c>
      <c r="O1658" s="7" t="e">
        <f>VLOOKUP(F1658,HC!A$6:D$1000,2,FALSE)</f>
        <v>#N/A</v>
      </c>
      <c r="P1658" t="s">
        <v>666</v>
      </c>
      <c r="Q1658" s="7" t="s">
        <v>774</v>
      </c>
      <c r="U1658">
        <f t="shared" si="27"/>
        <v>1395</v>
      </c>
    </row>
    <row r="1659" spans="1:21" ht="37.5" customHeight="1" x14ac:dyDescent="0.25">
      <c r="A1659" s="30">
        <v>45057</v>
      </c>
      <c r="B1659" s="13">
        <v>19</v>
      </c>
      <c r="C1659" t="s">
        <v>3</v>
      </c>
      <c r="D1659" t="s">
        <v>4</v>
      </c>
      <c r="E1659" t="s">
        <v>5</v>
      </c>
      <c r="F1659" s="6">
        <v>112920666</v>
      </c>
      <c r="G1659" t="s">
        <v>252</v>
      </c>
      <c r="H1659" t="s">
        <v>459</v>
      </c>
      <c r="I1659">
        <v>0</v>
      </c>
      <c r="J1659">
        <v>0</v>
      </c>
      <c r="K1659">
        <v>0</v>
      </c>
      <c r="L1659">
        <v>0</v>
      </c>
      <c r="M1659">
        <v>0.1</v>
      </c>
      <c r="N1659" s="7" t="str">
        <f>VLOOKUP(F1659,HC!A$6:D$100,3,FALSE)</f>
        <v>D5-X0700</v>
      </c>
      <c r="O1659" s="7" t="str">
        <f>VLOOKUP(F1659,HC!A$6:D$1000,2,FALSE)</f>
        <v>jorochai</v>
      </c>
      <c r="P1659" t="s">
        <v>662</v>
      </c>
      <c r="Q1659" s="7" t="s">
        <v>688</v>
      </c>
      <c r="U1659">
        <f t="shared" si="27"/>
        <v>19</v>
      </c>
    </row>
    <row r="1660" spans="1:21" ht="37.5" customHeight="1" x14ac:dyDescent="0.25">
      <c r="A1660" s="30">
        <v>45057</v>
      </c>
      <c r="B1660" s="13">
        <v>19</v>
      </c>
      <c r="C1660" t="s">
        <v>3</v>
      </c>
      <c r="D1660" t="s">
        <v>4</v>
      </c>
      <c r="E1660" t="s">
        <v>21</v>
      </c>
      <c r="F1660" s="6">
        <v>112950796</v>
      </c>
      <c r="G1660" t="s">
        <v>951</v>
      </c>
      <c r="H1660" t="s">
        <v>268</v>
      </c>
      <c r="I1660">
        <v>0</v>
      </c>
      <c r="J1660">
        <v>0</v>
      </c>
      <c r="K1660">
        <v>0</v>
      </c>
      <c r="L1660">
        <v>0</v>
      </c>
      <c r="M1660">
        <v>0.08</v>
      </c>
      <c r="N1660" s="7" t="e">
        <f>VLOOKUP(F1660,HC!A$6:D$100,3,FALSE)</f>
        <v>#N/A</v>
      </c>
      <c r="O1660" s="7" t="e">
        <f>VLOOKUP(F1660,HC!A$6:D$1000,2,FALSE)</f>
        <v>#N/A</v>
      </c>
      <c r="P1660" t="s">
        <v>661</v>
      </c>
      <c r="Q1660" s="7" t="s">
        <v>681</v>
      </c>
      <c r="U1660">
        <f t="shared" si="27"/>
        <v>1395</v>
      </c>
    </row>
    <row r="1661" spans="1:21" ht="37.5" customHeight="1" x14ac:dyDescent="0.25">
      <c r="A1661" s="30">
        <v>45057</v>
      </c>
      <c r="B1661" s="13">
        <v>19</v>
      </c>
      <c r="C1661" t="s">
        <v>3</v>
      </c>
      <c r="D1661" t="s">
        <v>4</v>
      </c>
      <c r="E1661" t="s">
        <v>5</v>
      </c>
      <c r="F1661" s="6">
        <v>112971980</v>
      </c>
      <c r="G1661" t="s">
        <v>445</v>
      </c>
      <c r="H1661" t="s">
        <v>282</v>
      </c>
      <c r="I1661">
        <v>0</v>
      </c>
      <c r="J1661">
        <v>0</v>
      </c>
      <c r="K1661">
        <v>0</v>
      </c>
      <c r="L1661">
        <v>0</v>
      </c>
      <c r="M1661">
        <v>0.26</v>
      </c>
      <c r="N1661" s="7" t="str">
        <f>VLOOKUP(F1661,HC!A$6:D$100,3,FALSE)</f>
        <v>DC-X0700</v>
      </c>
      <c r="O1661" s="7" t="str">
        <f>VLOOKUP(F1661,HC!A$6:D$1000,2,FALSE)</f>
        <v>cdanirom</v>
      </c>
      <c r="Q1661" s="7"/>
      <c r="U1661">
        <f t="shared" si="27"/>
        <v>25</v>
      </c>
    </row>
    <row r="1662" spans="1:21" ht="37.5" customHeight="1" x14ac:dyDescent="0.25">
      <c r="A1662" s="30">
        <v>45057</v>
      </c>
      <c r="B1662" s="13">
        <v>19</v>
      </c>
      <c r="C1662" t="s">
        <v>3</v>
      </c>
      <c r="D1662" t="s">
        <v>4</v>
      </c>
      <c r="E1662" t="s">
        <v>5</v>
      </c>
      <c r="F1662" s="6">
        <v>112972194</v>
      </c>
      <c r="G1662" t="s">
        <v>448</v>
      </c>
      <c r="H1662" t="s">
        <v>332</v>
      </c>
      <c r="I1662">
        <v>0</v>
      </c>
      <c r="J1662">
        <v>0</v>
      </c>
      <c r="K1662">
        <v>0</v>
      </c>
      <c r="L1662">
        <v>0</v>
      </c>
      <c r="M1662">
        <v>0.15</v>
      </c>
      <c r="N1662" s="7" t="str">
        <f>VLOOKUP(F1662,HC!A$6:D$100,3,FALSE)</f>
        <v>DB-X0700</v>
      </c>
      <c r="O1662" s="7" t="str">
        <f>VLOOKUP(F1662,HC!A$6:D$1000,2,FALSE)</f>
        <v>velaangl</v>
      </c>
      <c r="P1662" t="s">
        <v>663</v>
      </c>
      <c r="Q1662" s="7" t="s">
        <v>694</v>
      </c>
      <c r="U1662">
        <f t="shared" si="27"/>
        <v>5</v>
      </c>
    </row>
    <row r="1663" spans="1:21" ht="37.5" customHeight="1" x14ac:dyDescent="0.25">
      <c r="A1663" s="30">
        <v>45057</v>
      </c>
      <c r="B1663" s="13">
        <v>19</v>
      </c>
      <c r="C1663" t="s">
        <v>3</v>
      </c>
      <c r="D1663" t="s">
        <v>4</v>
      </c>
      <c r="E1663" t="s">
        <v>5</v>
      </c>
      <c r="F1663" s="6">
        <v>112991248</v>
      </c>
      <c r="G1663" t="s">
        <v>461</v>
      </c>
      <c r="H1663" t="s">
        <v>7</v>
      </c>
      <c r="I1663">
        <v>0</v>
      </c>
      <c r="J1663">
        <v>0</v>
      </c>
      <c r="K1663">
        <v>0</v>
      </c>
      <c r="L1663">
        <v>0</v>
      </c>
      <c r="M1663">
        <v>0.23</v>
      </c>
      <c r="N1663" s="7" t="e">
        <f>VLOOKUP(F1663,HC!A$6:D$100,3,FALSE)</f>
        <v>#N/A</v>
      </c>
      <c r="O1663" s="7" t="e">
        <f>VLOOKUP(F1663,HC!A$6:D$1000,2,FALSE)</f>
        <v>#N/A</v>
      </c>
      <c r="P1663" t="s">
        <v>661</v>
      </c>
      <c r="Q1663" s="7" t="s">
        <v>681</v>
      </c>
      <c r="U1663">
        <f t="shared" si="27"/>
        <v>1395</v>
      </c>
    </row>
    <row r="1664" spans="1:21" ht="37.5" customHeight="1" x14ac:dyDescent="0.25">
      <c r="A1664" s="30">
        <v>45057</v>
      </c>
      <c r="B1664" s="13">
        <v>19</v>
      </c>
      <c r="C1664" t="s">
        <v>3</v>
      </c>
      <c r="D1664" t="s">
        <v>4</v>
      </c>
      <c r="E1664" t="s">
        <v>5</v>
      </c>
      <c r="F1664" s="6">
        <v>113014042</v>
      </c>
      <c r="G1664" t="s">
        <v>329</v>
      </c>
      <c r="H1664" t="s">
        <v>7</v>
      </c>
      <c r="I1664">
        <v>0</v>
      </c>
      <c r="J1664">
        <v>0</v>
      </c>
      <c r="K1664">
        <v>0</v>
      </c>
      <c r="L1664">
        <v>0</v>
      </c>
      <c r="M1664">
        <v>0.4</v>
      </c>
      <c r="N1664" s="7" t="e">
        <f>VLOOKUP(F1664,HC!A$6:D$100,3,FALSE)</f>
        <v>#N/A</v>
      </c>
      <c r="O1664" s="7" t="str">
        <f>VLOOKUP(F1664,HC!A$6:D$1000,2,FALSE)</f>
        <v>rfcervan</v>
      </c>
      <c r="P1664" t="s">
        <v>675</v>
      </c>
      <c r="Q1664" s="7"/>
      <c r="U1664">
        <f t="shared" si="27"/>
        <v>23</v>
      </c>
    </row>
    <row r="1665" spans="1:21" ht="37.5" customHeight="1" x14ac:dyDescent="0.25">
      <c r="A1665" s="30">
        <v>45057</v>
      </c>
      <c r="B1665" s="13">
        <v>19</v>
      </c>
      <c r="C1665" t="s">
        <v>3</v>
      </c>
      <c r="D1665" t="s">
        <v>4</v>
      </c>
      <c r="E1665" t="s">
        <v>5</v>
      </c>
      <c r="F1665" s="6">
        <v>113020476</v>
      </c>
      <c r="G1665" t="s">
        <v>330</v>
      </c>
      <c r="H1665" t="s">
        <v>7</v>
      </c>
      <c r="I1665">
        <v>0</v>
      </c>
      <c r="J1665">
        <v>0</v>
      </c>
      <c r="K1665">
        <v>0</v>
      </c>
      <c r="L1665">
        <v>0</v>
      </c>
      <c r="M1665">
        <v>0.59</v>
      </c>
      <c r="N1665" s="7" t="e">
        <f>VLOOKUP(F1665,HC!A$6:D$100,3,FALSE)</f>
        <v>#N/A</v>
      </c>
      <c r="O1665" s="7" t="str">
        <f>VLOOKUP(F1665,HC!A$6:D$1000,2,FALSE)</f>
        <v>polettpu</v>
      </c>
      <c r="P1665" t="s">
        <v>675</v>
      </c>
      <c r="Q1665" s="7"/>
      <c r="U1665">
        <f t="shared" si="27"/>
        <v>55</v>
      </c>
    </row>
    <row r="1666" spans="1:21" ht="37.5" customHeight="1" x14ac:dyDescent="0.25">
      <c r="A1666" s="30">
        <v>45057</v>
      </c>
      <c r="B1666" s="13">
        <v>19</v>
      </c>
      <c r="C1666" t="s">
        <v>3</v>
      </c>
      <c r="D1666" t="s">
        <v>4</v>
      </c>
      <c r="E1666" t="s">
        <v>5</v>
      </c>
      <c r="F1666" s="6">
        <v>113101453</v>
      </c>
      <c r="G1666" t="s">
        <v>50</v>
      </c>
      <c r="H1666" t="s">
        <v>44</v>
      </c>
      <c r="I1666">
        <v>0</v>
      </c>
      <c r="J1666">
        <v>0</v>
      </c>
      <c r="K1666">
        <v>0</v>
      </c>
      <c r="L1666">
        <v>0</v>
      </c>
      <c r="M1666">
        <v>0.28000000000000003</v>
      </c>
      <c r="N1666" s="7" t="e">
        <f>VLOOKUP(F1666,HC!A$6:D$100,3,FALSE)</f>
        <v>#N/A</v>
      </c>
      <c r="O1666" s="7" t="str">
        <f>VLOOKUP(F1666,HC!A$6:D$1000,2,FALSE)</f>
        <v>qisgeova</v>
      </c>
      <c r="P1666" t="s">
        <v>670</v>
      </c>
      <c r="Q1666" s="7" t="s">
        <v>784</v>
      </c>
      <c r="U1666">
        <f t="shared" si="27"/>
        <v>57</v>
      </c>
    </row>
    <row r="1667" spans="1:21" ht="37.5" customHeight="1" x14ac:dyDescent="0.25">
      <c r="A1667" s="30">
        <v>45057</v>
      </c>
      <c r="B1667" s="13">
        <v>19</v>
      </c>
      <c r="C1667" t="s">
        <v>3</v>
      </c>
      <c r="D1667" t="s">
        <v>4</v>
      </c>
      <c r="E1667" t="s">
        <v>21</v>
      </c>
      <c r="F1667" s="6">
        <v>200565197</v>
      </c>
      <c r="G1667" t="s">
        <v>389</v>
      </c>
      <c r="H1667" t="s">
        <v>298</v>
      </c>
      <c r="I1667">
        <v>0</v>
      </c>
      <c r="J1667">
        <v>0</v>
      </c>
      <c r="K1667">
        <v>0</v>
      </c>
      <c r="L1667">
        <v>0</v>
      </c>
      <c r="M1667">
        <v>0.42</v>
      </c>
      <c r="N1667" s="7" t="e">
        <f>VLOOKUP(F1667,HC!A$6:D$100,3,FALSE)</f>
        <v>#N/A</v>
      </c>
      <c r="O1667" s="7" t="e">
        <f>VLOOKUP(F1667,HC!A$6:D$1000,2,FALSE)</f>
        <v>#N/A</v>
      </c>
      <c r="P1667" t="s">
        <v>661</v>
      </c>
      <c r="Q1667" s="7" t="s">
        <v>681</v>
      </c>
      <c r="U1667">
        <f t="shared" ref="U1667:U1730" si="28">COUNTIF(O$2:O$4999,O1667)</f>
        <v>1395</v>
      </c>
    </row>
    <row r="1668" spans="1:21" ht="37.5" customHeight="1" x14ac:dyDescent="0.25">
      <c r="A1668" s="30">
        <v>45057</v>
      </c>
      <c r="B1668" s="13">
        <v>19</v>
      </c>
      <c r="C1668" t="s">
        <v>3</v>
      </c>
      <c r="D1668" t="s">
        <v>4</v>
      </c>
      <c r="E1668" t="s">
        <v>21</v>
      </c>
      <c r="F1668" s="6">
        <v>200614224</v>
      </c>
      <c r="G1668" t="s">
        <v>322</v>
      </c>
      <c r="H1668" t="s">
        <v>17</v>
      </c>
      <c r="I1668">
        <v>0</v>
      </c>
      <c r="J1668">
        <v>0</v>
      </c>
      <c r="K1668">
        <v>0</v>
      </c>
      <c r="L1668">
        <v>0</v>
      </c>
      <c r="M1668">
        <v>0.25</v>
      </c>
      <c r="N1668" s="7" t="e">
        <f>VLOOKUP(F1668,HC!A$6:D$100,3,FALSE)</f>
        <v>#N/A</v>
      </c>
      <c r="O1668" s="7" t="e">
        <f>VLOOKUP(F1668,HC!A$6:D$1000,2,FALSE)</f>
        <v>#N/A</v>
      </c>
      <c r="P1668" t="s">
        <v>666</v>
      </c>
      <c r="Q1668" s="7" t="s">
        <v>768</v>
      </c>
      <c r="U1668">
        <f t="shared" si="28"/>
        <v>1395</v>
      </c>
    </row>
    <row r="1669" spans="1:21" ht="37.5" customHeight="1" x14ac:dyDescent="0.25">
      <c r="A1669" s="30">
        <v>45057</v>
      </c>
      <c r="B1669" s="13">
        <v>19</v>
      </c>
      <c r="C1669" t="s">
        <v>3</v>
      </c>
      <c r="D1669" t="s">
        <v>4</v>
      </c>
      <c r="E1669" t="s">
        <v>21</v>
      </c>
      <c r="F1669" s="6">
        <v>201309605</v>
      </c>
      <c r="G1669" t="s">
        <v>1049</v>
      </c>
      <c r="H1669" t="s">
        <v>47</v>
      </c>
      <c r="I1669">
        <v>0</v>
      </c>
      <c r="J1669">
        <v>0</v>
      </c>
      <c r="K1669">
        <v>0</v>
      </c>
      <c r="L1669">
        <v>0</v>
      </c>
      <c r="M1669">
        <v>0.18</v>
      </c>
      <c r="N1669" s="7" t="e">
        <f>VLOOKUP(F1669,HC!A$6:D$100,3,FALSE)</f>
        <v>#N/A</v>
      </c>
      <c r="O1669" s="7" t="e">
        <f>VLOOKUP(F1669,HC!A$6:D$1000,2,FALSE)</f>
        <v>#N/A</v>
      </c>
      <c r="P1669" t="s">
        <v>664</v>
      </c>
      <c r="Q1669" s="7" t="s">
        <v>708</v>
      </c>
      <c r="U1669">
        <f t="shared" si="28"/>
        <v>1395</v>
      </c>
    </row>
    <row r="1670" spans="1:21" ht="37.5" customHeight="1" x14ac:dyDescent="0.25">
      <c r="A1670" s="30">
        <v>45057</v>
      </c>
      <c r="B1670" s="13">
        <v>19</v>
      </c>
      <c r="C1670" t="s">
        <v>3</v>
      </c>
      <c r="D1670" t="s">
        <v>4</v>
      </c>
      <c r="E1670" t="s">
        <v>21</v>
      </c>
      <c r="F1670" s="6">
        <v>201397005</v>
      </c>
      <c r="G1670" t="s">
        <v>1050</v>
      </c>
      <c r="H1670" t="s">
        <v>49</v>
      </c>
      <c r="I1670">
        <v>0</v>
      </c>
      <c r="J1670">
        <v>0</v>
      </c>
      <c r="K1670">
        <v>0</v>
      </c>
      <c r="L1670">
        <v>0</v>
      </c>
      <c r="M1670">
        <v>1.31</v>
      </c>
      <c r="N1670" s="7" t="e">
        <f>VLOOKUP(F1670,HC!A$6:D$100,3,FALSE)</f>
        <v>#N/A</v>
      </c>
      <c r="O1670" s="7" t="e">
        <f>VLOOKUP(F1670,HC!A$6:D$1000,2,FALSE)</f>
        <v>#N/A</v>
      </c>
      <c r="Q1670" s="7"/>
      <c r="U1670">
        <f t="shared" si="28"/>
        <v>1395</v>
      </c>
    </row>
    <row r="1671" spans="1:21" ht="37.5" customHeight="1" x14ac:dyDescent="0.25">
      <c r="A1671" s="30">
        <v>45058</v>
      </c>
      <c r="B1671" s="13">
        <v>19</v>
      </c>
      <c r="C1671" t="s">
        <v>3</v>
      </c>
      <c r="D1671" t="s">
        <v>4</v>
      </c>
      <c r="E1671" t="s">
        <v>21</v>
      </c>
      <c r="F1671" s="6">
        <v>112912747</v>
      </c>
      <c r="G1671" t="s">
        <v>995</v>
      </c>
      <c r="H1671" t="s">
        <v>263</v>
      </c>
      <c r="I1671">
        <v>0</v>
      </c>
      <c r="J1671">
        <v>0</v>
      </c>
      <c r="K1671">
        <v>0</v>
      </c>
      <c r="L1671">
        <v>0</v>
      </c>
      <c r="M1671">
        <v>0.21</v>
      </c>
      <c r="N1671" s="7" t="e">
        <f>VLOOKUP(F1671,HC!A$6:D$100,3,FALSE)</f>
        <v>#N/A</v>
      </c>
      <c r="O1671" s="7" t="e">
        <f>VLOOKUP(F1671,HC!A$6:D$1000,2,FALSE)</f>
        <v>#N/A</v>
      </c>
      <c r="Q1671" s="7"/>
      <c r="U1671">
        <f t="shared" si="28"/>
        <v>1395</v>
      </c>
    </row>
    <row r="1672" spans="1:21" ht="37.5" customHeight="1" x14ac:dyDescent="0.25">
      <c r="A1672" s="30">
        <v>45058</v>
      </c>
      <c r="B1672" s="13">
        <v>19</v>
      </c>
      <c r="C1672" t="s">
        <v>3</v>
      </c>
      <c r="D1672" t="s">
        <v>4</v>
      </c>
      <c r="E1672" t="s">
        <v>5</v>
      </c>
      <c r="F1672" s="6">
        <v>112912983</v>
      </c>
      <c r="G1672" t="s">
        <v>558</v>
      </c>
      <c r="H1672" t="s">
        <v>332</v>
      </c>
      <c r="I1672">
        <v>0</v>
      </c>
      <c r="J1672">
        <v>0</v>
      </c>
      <c r="K1672">
        <v>0</v>
      </c>
      <c r="L1672">
        <v>0</v>
      </c>
      <c r="M1672">
        <v>0.17</v>
      </c>
      <c r="N1672" s="7" t="str">
        <f>VLOOKUP(F1672,HC!A$6:D$100,3,FALSE)</f>
        <v>NF-X1900</v>
      </c>
      <c r="O1672" s="7" t="str">
        <f>VLOOKUP(F1672,HC!A$6:D$1000,2,FALSE)</f>
        <v>wrocirod</v>
      </c>
      <c r="Q1672" s="7"/>
      <c r="U1672">
        <f t="shared" si="28"/>
        <v>16</v>
      </c>
    </row>
    <row r="1673" spans="1:21" ht="37.5" customHeight="1" x14ac:dyDescent="0.25">
      <c r="A1673" s="30">
        <v>45058</v>
      </c>
      <c r="B1673" s="13">
        <v>19</v>
      </c>
      <c r="C1673" t="s">
        <v>3</v>
      </c>
      <c r="D1673" t="s">
        <v>4</v>
      </c>
      <c r="E1673" t="s">
        <v>21</v>
      </c>
      <c r="F1673" s="6">
        <v>200508315</v>
      </c>
      <c r="G1673" t="s">
        <v>428</v>
      </c>
      <c r="H1673" t="s">
        <v>7</v>
      </c>
      <c r="I1673">
        <v>0</v>
      </c>
      <c r="J1673">
        <v>0</v>
      </c>
      <c r="K1673">
        <v>0</v>
      </c>
      <c r="L1673">
        <v>0</v>
      </c>
      <c r="M1673">
        <v>0.09</v>
      </c>
      <c r="N1673" s="7" t="e">
        <f>VLOOKUP(F1673,HC!A$6:D$100,3,FALSE)</f>
        <v>#N/A</v>
      </c>
      <c r="O1673" s="7" t="str">
        <f>VLOOKUP(F1673,HC!A$6:D$1000,2,FALSE)</f>
        <v>taldaher</v>
      </c>
      <c r="Q1673" s="7"/>
      <c r="U1673">
        <f t="shared" si="28"/>
        <v>18</v>
      </c>
    </row>
    <row r="1674" spans="1:21" ht="37.5" customHeight="1" x14ac:dyDescent="0.25">
      <c r="A1674" s="30">
        <v>45058</v>
      </c>
      <c r="B1674" s="13">
        <v>19</v>
      </c>
      <c r="C1674" t="s">
        <v>3</v>
      </c>
      <c r="D1674" t="s">
        <v>4</v>
      </c>
      <c r="E1674" t="s">
        <v>21</v>
      </c>
      <c r="F1674" s="6">
        <v>200513583</v>
      </c>
      <c r="G1674" t="s">
        <v>286</v>
      </c>
      <c r="H1674" t="s">
        <v>49</v>
      </c>
      <c r="I1674">
        <v>0</v>
      </c>
      <c r="J1674">
        <v>0</v>
      </c>
      <c r="K1674">
        <v>0</v>
      </c>
      <c r="L1674">
        <v>0</v>
      </c>
      <c r="M1674">
        <v>0.08</v>
      </c>
      <c r="N1674" s="7" t="e">
        <f>VLOOKUP(F1674,HC!A$6:D$100,3,FALSE)</f>
        <v>#N/A</v>
      </c>
      <c r="O1674" s="7" t="str">
        <f>VLOOKUP(F1674,HC!A$6:D$1000,2,FALSE)</f>
        <v>caherras</v>
      </c>
      <c r="Q1674" s="7"/>
      <c r="U1674">
        <f t="shared" si="28"/>
        <v>2</v>
      </c>
    </row>
    <row r="1675" spans="1:21" ht="37.5" customHeight="1" x14ac:dyDescent="0.25">
      <c r="A1675" s="30">
        <v>45058</v>
      </c>
      <c r="B1675" s="13">
        <v>19</v>
      </c>
      <c r="C1675" t="s">
        <v>3</v>
      </c>
      <c r="D1675" t="s">
        <v>4</v>
      </c>
      <c r="E1675" t="s">
        <v>21</v>
      </c>
      <c r="F1675" s="6">
        <v>200614224</v>
      </c>
      <c r="G1675" t="s">
        <v>322</v>
      </c>
      <c r="H1675" t="s">
        <v>17</v>
      </c>
      <c r="I1675">
        <v>0</v>
      </c>
      <c r="J1675">
        <v>0</v>
      </c>
      <c r="K1675">
        <v>0</v>
      </c>
      <c r="L1675">
        <v>0</v>
      </c>
      <c r="M1675">
        <v>0.32</v>
      </c>
      <c r="N1675" s="7" t="e">
        <f>VLOOKUP(F1675,HC!A$6:D$100,3,FALSE)</f>
        <v>#N/A</v>
      </c>
      <c r="O1675" s="7" t="e">
        <f>VLOOKUP(F1675,HC!A$6:D$1000,2,FALSE)</f>
        <v>#N/A</v>
      </c>
      <c r="Q1675" s="7"/>
      <c r="U1675">
        <f t="shared" si="28"/>
        <v>1395</v>
      </c>
    </row>
    <row r="1676" spans="1:21" ht="37.5" customHeight="1" x14ac:dyDescent="0.25">
      <c r="A1676" s="30">
        <v>45058</v>
      </c>
      <c r="B1676" s="13">
        <v>19</v>
      </c>
      <c r="C1676" t="s">
        <v>3</v>
      </c>
      <c r="D1676" t="s">
        <v>4</v>
      </c>
      <c r="E1676" t="s">
        <v>21</v>
      </c>
      <c r="F1676" s="6">
        <v>201160146</v>
      </c>
      <c r="G1676" t="s">
        <v>851</v>
      </c>
      <c r="H1676" t="s">
        <v>17</v>
      </c>
      <c r="I1676">
        <v>0</v>
      </c>
      <c r="J1676">
        <v>0</v>
      </c>
      <c r="K1676">
        <v>0</v>
      </c>
      <c r="L1676">
        <v>0</v>
      </c>
      <c r="M1676">
        <v>0.28000000000000003</v>
      </c>
      <c r="N1676" s="7" t="e">
        <f>VLOOKUP(F1676,HC!A$6:D$100,3,FALSE)</f>
        <v>#N/A</v>
      </c>
      <c r="O1676" s="7" t="e">
        <f>VLOOKUP(F1676,HC!A$6:D$1000,2,FALSE)</f>
        <v>#N/A</v>
      </c>
      <c r="Q1676" s="7"/>
      <c r="U1676">
        <f t="shared" si="28"/>
        <v>1395</v>
      </c>
    </row>
    <row r="1677" spans="1:21" ht="37.5" customHeight="1" x14ac:dyDescent="0.25">
      <c r="A1677" s="30">
        <v>45058</v>
      </c>
      <c r="B1677" s="13">
        <v>19</v>
      </c>
      <c r="C1677" t="s">
        <v>3</v>
      </c>
      <c r="D1677" t="s">
        <v>4</v>
      </c>
      <c r="E1677" t="s">
        <v>21</v>
      </c>
      <c r="F1677" s="6">
        <v>201191198</v>
      </c>
      <c r="G1677" t="s">
        <v>974</v>
      </c>
      <c r="H1677" t="s">
        <v>17</v>
      </c>
      <c r="I1677">
        <v>0</v>
      </c>
      <c r="J1677">
        <v>0</v>
      </c>
      <c r="K1677">
        <v>0</v>
      </c>
      <c r="L1677">
        <v>0</v>
      </c>
      <c r="M1677">
        <v>0.1</v>
      </c>
      <c r="N1677" s="7" t="e">
        <f>VLOOKUP(F1677,HC!A$6:D$100,3,FALSE)</f>
        <v>#N/A</v>
      </c>
      <c r="O1677" s="7" t="str">
        <f>VLOOKUP(F1677,HC!A$6:D$1000,2,FALSE)</f>
        <v>mojicemm</v>
      </c>
      <c r="Q1677" s="7"/>
      <c r="U1677">
        <f t="shared" si="28"/>
        <v>24</v>
      </c>
    </row>
    <row r="1678" spans="1:21" ht="37.5" customHeight="1" x14ac:dyDescent="0.25">
      <c r="A1678" s="30">
        <v>45058</v>
      </c>
      <c r="B1678" s="13">
        <v>19</v>
      </c>
      <c r="C1678" t="s">
        <v>3</v>
      </c>
      <c r="D1678" t="s">
        <v>4</v>
      </c>
      <c r="E1678" t="s">
        <v>21</v>
      </c>
      <c r="F1678" s="6">
        <v>201198979</v>
      </c>
      <c r="G1678" t="s">
        <v>905</v>
      </c>
      <c r="H1678" t="s">
        <v>285</v>
      </c>
      <c r="I1678">
        <v>0</v>
      </c>
      <c r="J1678">
        <v>0</v>
      </c>
      <c r="K1678">
        <v>0</v>
      </c>
      <c r="L1678">
        <v>0</v>
      </c>
      <c r="M1678">
        <v>0.41</v>
      </c>
      <c r="N1678" s="7" t="e">
        <f>VLOOKUP(F1678,HC!A$6:D$100,3,FALSE)</f>
        <v>#N/A</v>
      </c>
      <c r="O1678" s="7" t="e">
        <f>VLOOKUP(F1678,HC!A$6:D$1000,2,FALSE)</f>
        <v>#N/A</v>
      </c>
      <c r="Q1678" s="7"/>
      <c r="U1678">
        <f t="shared" si="28"/>
        <v>1395</v>
      </c>
    </row>
    <row r="1679" spans="1:21" ht="37.5" customHeight="1" x14ac:dyDescent="0.25">
      <c r="A1679" s="30">
        <v>45058</v>
      </c>
      <c r="B1679" s="13">
        <v>19</v>
      </c>
      <c r="C1679" t="s">
        <v>3</v>
      </c>
      <c r="D1679" t="s">
        <v>4</v>
      </c>
      <c r="E1679" t="s">
        <v>21</v>
      </c>
      <c r="F1679" s="6">
        <v>201223730</v>
      </c>
      <c r="G1679" t="s">
        <v>933</v>
      </c>
      <c r="H1679" t="s">
        <v>49</v>
      </c>
      <c r="I1679">
        <v>0</v>
      </c>
      <c r="J1679">
        <v>0</v>
      </c>
      <c r="K1679">
        <v>0</v>
      </c>
      <c r="L1679">
        <v>0</v>
      </c>
      <c r="M1679">
        <v>0.17</v>
      </c>
      <c r="N1679" s="7" t="e">
        <f>VLOOKUP(F1679,HC!A$6:D$100,3,FALSE)</f>
        <v>#N/A</v>
      </c>
      <c r="O1679" s="7" t="str">
        <f>VLOOKUP(F1679,HC!A$6:D$1000,2,FALSE)</f>
        <v>cesarito</v>
      </c>
      <c r="Q1679" s="7"/>
      <c r="U1679">
        <f t="shared" si="28"/>
        <v>39</v>
      </c>
    </row>
    <row r="1680" spans="1:21" ht="37.5" customHeight="1" x14ac:dyDescent="0.25">
      <c r="A1680" s="30">
        <v>45058</v>
      </c>
      <c r="B1680" s="13">
        <v>19</v>
      </c>
      <c r="C1680" t="s">
        <v>3</v>
      </c>
      <c r="D1680" t="s">
        <v>4</v>
      </c>
      <c r="E1680" t="s">
        <v>21</v>
      </c>
      <c r="F1680" s="6">
        <v>201228411</v>
      </c>
      <c r="G1680" t="s">
        <v>938</v>
      </c>
      <c r="H1680" t="s">
        <v>49</v>
      </c>
      <c r="I1680">
        <v>0</v>
      </c>
      <c r="J1680">
        <v>0</v>
      </c>
      <c r="K1680">
        <v>0</v>
      </c>
      <c r="L1680">
        <v>0</v>
      </c>
      <c r="M1680">
        <v>0.15</v>
      </c>
      <c r="N1680" s="7" t="e">
        <f>VLOOKUP(F1680,HC!A$6:D$100,3,FALSE)</f>
        <v>#N/A</v>
      </c>
      <c r="O1680" s="7" t="str">
        <f>VLOOKUP(F1680,HC!A$6:D$1000,2,FALSE)</f>
        <v>jazmiwhe</v>
      </c>
      <c r="Q1680" s="7"/>
      <c r="U1680">
        <f t="shared" si="28"/>
        <v>36</v>
      </c>
    </row>
    <row r="1681" spans="1:21" ht="37.5" customHeight="1" x14ac:dyDescent="0.25">
      <c r="A1681" s="30">
        <v>45058</v>
      </c>
      <c r="B1681" s="13">
        <v>19</v>
      </c>
      <c r="C1681" t="s">
        <v>3</v>
      </c>
      <c r="D1681" t="s">
        <v>4</v>
      </c>
      <c r="E1681" t="s">
        <v>21</v>
      </c>
      <c r="F1681" s="6">
        <v>201353166</v>
      </c>
      <c r="G1681" t="s">
        <v>1051</v>
      </c>
      <c r="H1681" t="s">
        <v>17</v>
      </c>
      <c r="I1681">
        <v>0</v>
      </c>
      <c r="J1681">
        <v>0</v>
      </c>
      <c r="K1681">
        <v>0</v>
      </c>
      <c r="L1681">
        <v>0</v>
      </c>
      <c r="M1681">
        <v>0.3</v>
      </c>
      <c r="N1681" s="7" t="e">
        <f>VLOOKUP(F1681,HC!A$6:D$100,3,FALSE)</f>
        <v>#N/A</v>
      </c>
      <c r="O1681" s="7" t="str">
        <f>VLOOKUP(F1681,HC!A$6:D$1000,2,FALSE)</f>
        <v>mamlucia</v>
      </c>
      <c r="Q1681" s="7"/>
      <c r="U1681">
        <f t="shared" si="28"/>
        <v>7</v>
      </c>
    </row>
    <row r="1682" spans="1:21" ht="37.5" customHeight="1" x14ac:dyDescent="0.25">
      <c r="A1682" s="30">
        <v>45058</v>
      </c>
      <c r="B1682" s="13">
        <v>19</v>
      </c>
      <c r="C1682" t="s">
        <v>3</v>
      </c>
      <c r="D1682" t="s">
        <v>4</v>
      </c>
      <c r="E1682" t="s">
        <v>21</v>
      </c>
      <c r="F1682" s="6">
        <v>201355246</v>
      </c>
      <c r="G1682" t="s">
        <v>1000</v>
      </c>
      <c r="H1682" t="s">
        <v>263</v>
      </c>
      <c r="I1682">
        <v>0</v>
      </c>
      <c r="J1682">
        <v>0</v>
      </c>
      <c r="K1682">
        <v>0</v>
      </c>
      <c r="L1682">
        <v>0</v>
      </c>
      <c r="M1682">
        <v>0.63</v>
      </c>
      <c r="N1682" s="7" t="e">
        <f>VLOOKUP(F1682,HC!A$6:D$100,3,FALSE)</f>
        <v>#N/A</v>
      </c>
      <c r="O1682" s="7" t="e">
        <f>VLOOKUP(F1682,HC!A$6:D$1000,2,FALSE)</f>
        <v>#N/A</v>
      </c>
      <c r="Q1682" s="7"/>
      <c r="U1682">
        <f t="shared" si="28"/>
        <v>1395</v>
      </c>
    </row>
    <row r="1683" spans="1:21" ht="37.5" customHeight="1" x14ac:dyDescent="0.25">
      <c r="A1683" s="30">
        <v>45058</v>
      </c>
      <c r="B1683" s="13">
        <v>19</v>
      </c>
      <c r="C1683" t="s">
        <v>3</v>
      </c>
      <c r="D1683" t="s">
        <v>4</v>
      </c>
      <c r="E1683" t="s">
        <v>21</v>
      </c>
      <c r="F1683" s="6">
        <v>201401654</v>
      </c>
      <c r="G1683" t="s">
        <v>1052</v>
      </c>
      <c r="H1683" t="s">
        <v>49</v>
      </c>
      <c r="I1683">
        <v>0</v>
      </c>
      <c r="J1683">
        <v>0</v>
      </c>
      <c r="K1683">
        <v>0</v>
      </c>
      <c r="L1683">
        <v>0</v>
      </c>
      <c r="M1683">
        <v>0.95</v>
      </c>
      <c r="N1683" s="7" t="e">
        <f>VLOOKUP(F1683,HC!A$6:D$100,3,FALSE)</f>
        <v>#N/A</v>
      </c>
      <c r="O1683" s="7" t="e">
        <f>VLOOKUP(F1683,HC!A$6:D$1000,2,FALSE)</f>
        <v>#N/A</v>
      </c>
      <c r="Q1683" s="7"/>
      <c r="U1683">
        <f t="shared" si="28"/>
        <v>1395</v>
      </c>
    </row>
    <row r="1684" spans="1:21" ht="37.5" customHeight="1" x14ac:dyDescent="0.25">
      <c r="A1684" s="30">
        <v>45058</v>
      </c>
      <c r="B1684" s="13">
        <v>19</v>
      </c>
      <c r="C1684" t="s">
        <v>3</v>
      </c>
      <c r="D1684" t="s">
        <v>4</v>
      </c>
      <c r="E1684" t="s">
        <v>21</v>
      </c>
      <c r="F1684" s="6">
        <v>201402425</v>
      </c>
      <c r="G1684" t="s">
        <v>1053</v>
      </c>
      <c r="H1684" t="s">
        <v>263</v>
      </c>
      <c r="I1684">
        <v>0</v>
      </c>
      <c r="J1684">
        <v>0</v>
      </c>
      <c r="K1684">
        <v>0</v>
      </c>
      <c r="L1684">
        <v>0</v>
      </c>
      <c r="M1684">
        <v>0.8</v>
      </c>
      <c r="N1684" s="7" t="e">
        <f>VLOOKUP(F1684,HC!A$6:D$100,3,FALSE)</f>
        <v>#N/A</v>
      </c>
      <c r="O1684" s="7" t="e">
        <f>VLOOKUP(F1684,HC!A$6:D$1000,2,FALSE)</f>
        <v>#N/A</v>
      </c>
      <c r="Q1684" s="7"/>
      <c r="U1684">
        <f t="shared" si="28"/>
        <v>1395</v>
      </c>
    </row>
    <row r="1685" spans="1:21" ht="37.5" customHeight="1" x14ac:dyDescent="0.25">
      <c r="A1685" s="30">
        <v>45058</v>
      </c>
      <c r="B1685" s="13">
        <v>19</v>
      </c>
      <c r="C1685" t="s">
        <v>3</v>
      </c>
      <c r="D1685" t="s">
        <v>4</v>
      </c>
      <c r="E1685" t="s">
        <v>21</v>
      </c>
      <c r="F1685" s="6">
        <v>201403462</v>
      </c>
      <c r="G1685" t="s">
        <v>1054</v>
      </c>
      <c r="H1685" t="s">
        <v>49</v>
      </c>
      <c r="I1685">
        <v>0</v>
      </c>
      <c r="J1685">
        <v>0</v>
      </c>
      <c r="K1685">
        <v>0</v>
      </c>
      <c r="L1685">
        <v>0</v>
      </c>
      <c r="M1685">
        <v>0.13</v>
      </c>
      <c r="N1685" s="7" t="e">
        <f>VLOOKUP(F1685,HC!A$6:D$100,3,FALSE)</f>
        <v>#N/A</v>
      </c>
      <c r="O1685" s="7" t="str">
        <f>VLOOKUP(F1685,HC!A$6:D$1000,2,FALSE)</f>
        <v>valdojoe</v>
      </c>
      <c r="Q1685" s="7"/>
      <c r="U1685">
        <f t="shared" si="28"/>
        <v>22</v>
      </c>
    </row>
    <row r="1686" spans="1:21" ht="37.5" customHeight="1" x14ac:dyDescent="0.25">
      <c r="A1686" s="30">
        <v>45059</v>
      </c>
      <c r="B1686" s="13">
        <v>19</v>
      </c>
      <c r="C1686" t="s">
        <v>3</v>
      </c>
      <c r="D1686" t="s">
        <v>4</v>
      </c>
      <c r="E1686" t="s">
        <v>5</v>
      </c>
      <c r="F1686" s="6">
        <v>112920655</v>
      </c>
      <c r="G1686" t="s">
        <v>509</v>
      </c>
      <c r="H1686" t="s">
        <v>282</v>
      </c>
      <c r="I1686">
        <v>0</v>
      </c>
      <c r="J1686">
        <v>0</v>
      </c>
      <c r="K1686">
        <v>0</v>
      </c>
      <c r="L1686">
        <v>0</v>
      </c>
      <c r="M1686">
        <v>0.04</v>
      </c>
      <c r="N1686" s="7" t="e">
        <f>VLOOKUP(F1686,HC!A$6:D$100,3,FALSE)</f>
        <v>#N/A</v>
      </c>
      <c r="O1686" s="7" t="e">
        <f>VLOOKUP(F1686,HC!A$6:D$1000,2,FALSE)</f>
        <v>#N/A</v>
      </c>
      <c r="Q1686" s="7"/>
      <c r="U1686">
        <f t="shared" si="28"/>
        <v>1395</v>
      </c>
    </row>
    <row r="1687" spans="1:21" ht="37.5" customHeight="1" x14ac:dyDescent="0.25">
      <c r="A1687" s="30">
        <v>45059</v>
      </c>
      <c r="B1687" s="13">
        <v>19</v>
      </c>
      <c r="C1687" t="s">
        <v>3</v>
      </c>
      <c r="D1687" t="s">
        <v>4</v>
      </c>
      <c r="E1687" t="s">
        <v>5</v>
      </c>
      <c r="F1687" s="6">
        <v>112971961</v>
      </c>
      <c r="G1687" t="s">
        <v>755</v>
      </c>
      <c r="H1687" t="s">
        <v>332</v>
      </c>
      <c r="I1687">
        <v>0</v>
      </c>
      <c r="J1687">
        <v>0</v>
      </c>
      <c r="K1687">
        <v>0</v>
      </c>
      <c r="L1687">
        <v>0</v>
      </c>
      <c r="M1687">
        <v>0.28999999999999998</v>
      </c>
      <c r="N1687" s="7" t="e">
        <f>VLOOKUP(F1687,HC!A$6:D$100,3,FALSE)</f>
        <v>#N/A</v>
      </c>
      <c r="O1687" s="7" t="e">
        <f>VLOOKUP(F1687,HC!A$6:D$1000,2,FALSE)</f>
        <v>#N/A</v>
      </c>
      <c r="Q1687" s="7"/>
      <c r="U1687">
        <f t="shared" si="28"/>
        <v>1395</v>
      </c>
    </row>
    <row r="1688" spans="1:21" ht="37.5" customHeight="1" x14ac:dyDescent="0.25">
      <c r="A1688" s="30">
        <v>45059</v>
      </c>
      <c r="B1688" s="13">
        <v>19</v>
      </c>
      <c r="C1688" t="s">
        <v>3</v>
      </c>
      <c r="D1688" t="s">
        <v>4</v>
      </c>
      <c r="E1688" t="s">
        <v>5</v>
      </c>
      <c r="F1688" s="6">
        <v>112971980</v>
      </c>
      <c r="G1688" t="s">
        <v>445</v>
      </c>
      <c r="H1688" t="s">
        <v>282</v>
      </c>
      <c r="I1688">
        <v>0</v>
      </c>
      <c r="J1688">
        <v>0</v>
      </c>
      <c r="K1688">
        <v>0</v>
      </c>
      <c r="L1688">
        <v>0</v>
      </c>
      <c r="M1688">
        <v>1.75</v>
      </c>
      <c r="N1688" s="7" t="str">
        <f>VLOOKUP(F1688,HC!A$6:D$100,3,FALSE)</f>
        <v>DC-X0700</v>
      </c>
      <c r="O1688" s="7" t="str">
        <f>VLOOKUP(F1688,HC!A$6:D$1000,2,FALSE)</f>
        <v>cdanirom</v>
      </c>
      <c r="Q1688" s="7"/>
      <c r="U1688">
        <f t="shared" si="28"/>
        <v>25</v>
      </c>
    </row>
    <row r="1689" spans="1:21" ht="37.5" customHeight="1" x14ac:dyDescent="0.25">
      <c r="A1689" s="30">
        <v>45059</v>
      </c>
      <c r="B1689" s="13">
        <v>19</v>
      </c>
      <c r="C1689" t="s">
        <v>3</v>
      </c>
      <c r="D1689" t="s">
        <v>4</v>
      </c>
      <c r="E1689" t="s">
        <v>5</v>
      </c>
      <c r="F1689" s="6">
        <v>112973049</v>
      </c>
      <c r="G1689" t="s">
        <v>314</v>
      </c>
      <c r="H1689" t="s">
        <v>7</v>
      </c>
      <c r="I1689">
        <v>0</v>
      </c>
      <c r="J1689">
        <v>0</v>
      </c>
      <c r="K1689">
        <v>0</v>
      </c>
      <c r="L1689">
        <v>0</v>
      </c>
      <c r="M1689">
        <v>0.67</v>
      </c>
      <c r="N1689" s="7" t="str">
        <f>VLOOKUP(F1689,HC!A$6:D$100,3,FALSE)</f>
        <v>DB-X0700</v>
      </c>
      <c r="O1689" s="7" t="str">
        <f>VLOOKUP(F1689,HC!A$6:D$1000,2,FALSE)</f>
        <v>afatimae</v>
      </c>
      <c r="Q1689" s="7"/>
      <c r="U1689">
        <f t="shared" si="28"/>
        <v>29</v>
      </c>
    </row>
    <row r="1690" spans="1:21" ht="37.5" customHeight="1" x14ac:dyDescent="0.25">
      <c r="A1690" s="30">
        <v>45059</v>
      </c>
      <c r="B1690" s="13">
        <v>19</v>
      </c>
      <c r="C1690" t="s">
        <v>3</v>
      </c>
      <c r="D1690" t="s">
        <v>4</v>
      </c>
      <c r="E1690" t="s">
        <v>5</v>
      </c>
      <c r="F1690" s="6">
        <v>113052151</v>
      </c>
      <c r="G1690" t="s">
        <v>482</v>
      </c>
      <c r="H1690" t="s">
        <v>17</v>
      </c>
      <c r="I1690">
        <v>0</v>
      </c>
      <c r="J1690">
        <v>0</v>
      </c>
      <c r="K1690">
        <v>0</v>
      </c>
      <c r="L1690">
        <v>0</v>
      </c>
      <c r="M1690">
        <v>0.31</v>
      </c>
      <c r="N1690" s="7" t="e">
        <f>VLOOKUP(F1690,HC!A$6:D$100,3,FALSE)</f>
        <v>#N/A</v>
      </c>
      <c r="O1690" s="7" t="str">
        <f>VLOOKUP(F1690,HC!A$6:D$1000,2,FALSE)</f>
        <v>nilaurab</v>
      </c>
      <c r="Q1690" s="7"/>
      <c r="U1690">
        <f t="shared" si="28"/>
        <v>28</v>
      </c>
    </row>
    <row r="1691" spans="1:21" ht="37.5" customHeight="1" x14ac:dyDescent="0.25">
      <c r="A1691" s="30">
        <v>45059</v>
      </c>
      <c r="B1691" s="13">
        <v>19</v>
      </c>
      <c r="C1691" t="s">
        <v>3</v>
      </c>
      <c r="D1691" t="s">
        <v>4</v>
      </c>
      <c r="E1691" t="s">
        <v>21</v>
      </c>
      <c r="F1691" s="6">
        <v>200614224</v>
      </c>
      <c r="G1691" t="s">
        <v>322</v>
      </c>
      <c r="H1691" t="s">
        <v>17</v>
      </c>
      <c r="I1691">
        <v>0</v>
      </c>
      <c r="J1691">
        <v>0</v>
      </c>
      <c r="K1691">
        <v>0</v>
      </c>
      <c r="L1691">
        <v>0</v>
      </c>
      <c r="M1691">
        <v>0.43</v>
      </c>
      <c r="N1691" s="7" t="e">
        <f>VLOOKUP(F1691,HC!A$6:D$100,3,FALSE)</f>
        <v>#N/A</v>
      </c>
      <c r="O1691" s="7" t="e">
        <f>VLOOKUP(F1691,HC!A$6:D$1000,2,FALSE)</f>
        <v>#N/A</v>
      </c>
      <c r="Q1691" s="7"/>
      <c r="U1691">
        <f t="shared" si="28"/>
        <v>1395</v>
      </c>
    </row>
    <row r="1692" spans="1:21" ht="37.5" customHeight="1" x14ac:dyDescent="0.25">
      <c r="A1692" s="30">
        <v>45059</v>
      </c>
      <c r="B1692" s="13">
        <v>19</v>
      </c>
      <c r="C1692" t="s">
        <v>3</v>
      </c>
      <c r="D1692" t="s">
        <v>4</v>
      </c>
      <c r="E1692" t="s">
        <v>21</v>
      </c>
      <c r="F1692" s="6">
        <v>201295429</v>
      </c>
      <c r="G1692" t="s">
        <v>1055</v>
      </c>
      <c r="H1692" t="s">
        <v>47</v>
      </c>
      <c r="I1692">
        <v>0</v>
      </c>
      <c r="J1692">
        <v>0</v>
      </c>
      <c r="K1692">
        <v>0</v>
      </c>
      <c r="L1692">
        <v>0</v>
      </c>
      <c r="M1692">
        <v>0.12</v>
      </c>
      <c r="N1692" s="7" t="e">
        <f>VLOOKUP(F1692,HC!A$6:D$100,3,FALSE)</f>
        <v>#N/A</v>
      </c>
      <c r="O1692" s="7" t="str">
        <f>VLOOKUP(F1692,HC!A$6:D$1000,2,FALSE)</f>
        <v>mireljes</v>
      </c>
      <c r="Q1692" s="7"/>
      <c r="U1692">
        <f t="shared" si="28"/>
        <v>9</v>
      </c>
    </row>
    <row r="1693" spans="1:21" ht="37.5" customHeight="1" x14ac:dyDescent="0.25">
      <c r="A1693" s="30">
        <v>45059</v>
      </c>
      <c r="B1693" s="13">
        <v>19</v>
      </c>
      <c r="C1693" t="s">
        <v>3</v>
      </c>
      <c r="D1693" t="s">
        <v>4</v>
      </c>
      <c r="E1693" t="s">
        <v>21</v>
      </c>
      <c r="F1693" s="6">
        <v>201341822</v>
      </c>
      <c r="G1693" t="s">
        <v>989</v>
      </c>
      <c r="H1693" t="s">
        <v>49</v>
      </c>
      <c r="I1693">
        <v>0</v>
      </c>
      <c r="J1693">
        <v>0</v>
      </c>
      <c r="K1693">
        <v>0</v>
      </c>
      <c r="L1693">
        <v>0</v>
      </c>
      <c r="M1693">
        <v>0.24</v>
      </c>
      <c r="N1693" s="7" t="e">
        <f>VLOOKUP(F1693,HC!A$6:D$100,3,FALSE)</f>
        <v>#N/A</v>
      </c>
      <c r="O1693" s="7" t="e">
        <f>VLOOKUP(F1693,HC!A$6:D$1000,2,FALSE)</f>
        <v>#N/A</v>
      </c>
      <c r="Q1693" s="7"/>
      <c r="U1693">
        <f t="shared" si="28"/>
        <v>1395</v>
      </c>
    </row>
    <row r="1694" spans="1:21" ht="37.5" customHeight="1" x14ac:dyDescent="0.25">
      <c r="A1694" s="30">
        <v>45059</v>
      </c>
      <c r="B1694" s="13">
        <v>19</v>
      </c>
      <c r="C1694" t="s">
        <v>3</v>
      </c>
      <c r="D1694" t="s">
        <v>4</v>
      </c>
      <c r="E1694" t="s">
        <v>21</v>
      </c>
      <c r="F1694" s="6">
        <v>201401654</v>
      </c>
      <c r="G1694" t="s">
        <v>1052</v>
      </c>
      <c r="H1694" t="s">
        <v>49</v>
      </c>
      <c r="I1694">
        <v>0</v>
      </c>
      <c r="J1694">
        <v>0</v>
      </c>
      <c r="K1694">
        <v>0</v>
      </c>
      <c r="L1694">
        <v>0</v>
      </c>
      <c r="M1694">
        <v>0.86</v>
      </c>
      <c r="N1694" s="7" t="e">
        <f>VLOOKUP(F1694,HC!A$6:D$100,3,FALSE)</f>
        <v>#N/A</v>
      </c>
      <c r="O1694" s="7" t="e">
        <f>VLOOKUP(F1694,HC!A$6:D$1000,2,FALSE)</f>
        <v>#N/A</v>
      </c>
      <c r="Q1694" s="7"/>
      <c r="U1694">
        <f t="shared" si="28"/>
        <v>1395</v>
      </c>
    </row>
    <row r="1695" spans="1:21" ht="37.5" customHeight="1" x14ac:dyDescent="0.25">
      <c r="A1695" s="30">
        <v>45059</v>
      </c>
      <c r="B1695" s="13">
        <v>19</v>
      </c>
      <c r="C1695" t="s">
        <v>3</v>
      </c>
      <c r="D1695" t="s">
        <v>4</v>
      </c>
      <c r="E1695" t="s">
        <v>21</v>
      </c>
      <c r="F1695" s="6">
        <v>201403462</v>
      </c>
      <c r="G1695" t="s">
        <v>1054</v>
      </c>
      <c r="H1695" t="s">
        <v>49</v>
      </c>
      <c r="I1695">
        <v>0</v>
      </c>
      <c r="J1695">
        <v>0</v>
      </c>
      <c r="K1695">
        <v>0</v>
      </c>
      <c r="L1695">
        <v>0</v>
      </c>
      <c r="M1695">
        <v>0.31</v>
      </c>
      <c r="N1695" s="7" t="e">
        <f>VLOOKUP(F1695,HC!A$6:D$100,3,FALSE)</f>
        <v>#N/A</v>
      </c>
      <c r="O1695" s="7" t="str">
        <f>VLOOKUP(F1695,HC!A$6:D$1000,2,FALSE)</f>
        <v>valdojoe</v>
      </c>
      <c r="Q1695" s="7"/>
      <c r="U1695">
        <f t="shared" si="28"/>
        <v>22</v>
      </c>
    </row>
    <row r="1696" spans="1:21" ht="37.5" customHeight="1" x14ac:dyDescent="0.25">
      <c r="A1696" s="30">
        <v>45060</v>
      </c>
      <c r="B1696" s="13">
        <v>20</v>
      </c>
      <c r="C1696" t="s">
        <v>3</v>
      </c>
      <c r="D1696" t="s">
        <v>4</v>
      </c>
      <c r="E1696" t="s">
        <v>5</v>
      </c>
      <c r="F1696" s="6">
        <v>112912008</v>
      </c>
      <c r="G1696" t="s">
        <v>249</v>
      </c>
      <c r="H1696" t="s">
        <v>14</v>
      </c>
      <c r="I1696">
        <v>0</v>
      </c>
      <c r="J1696">
        <v>0</v>
      </c>
      <c r="K1696">
        <v>0</v>
      </c>
      <c r="L1696">
        <v>0</v>
      </c>
      <c r="M1696">
        <v>0.23</v>
      </c>
      <c r="N1696" s="7" t="e">
        <f>VLOOKUP(F1696,HC!A$6:D$100,3,FALSE)</f>
        <v>#N/A</v>
      </c>
      <c r="O1696" s="7" t="e">
        <f>VLOOKUP(F1696,HC!A$6:D$1000,2,FALSE)</f>
        <v>#N/A</v>
      </c>
      <c r="Q1696" s="7"/>
      <c r="U1696">
        <f t="shared" si="28"/>
        <v>1395</v>
      </c>
    </row>
    <row r="1697" spans="1:21" ht="37.5" customHeight="1" x14ac:dyDescent="0.25">
      <c r="A1697" s="30">
        <v>45060</v>
      </c>
      <c r="B1697" s="13">
        <v>20</v>
      </c>
      <c r="C1697" t="s">
        <v>3</v>
      </c>
      <c r="D1697" t="s">
        <v>4</v>
      </c>
      <c r="E1697" t="s">
        <v>5</v>
      </c>
      <c r="F1697" s="6">
        <v>112912745</v>
      </c>
      <c r="G1697" t="s">
        <v>478</v>
      </c>
      <c r="H1697" t="s">
        <v>268</v>
      </c>
      <c r="I1697">
        <v>0</v>
      </c>
      <c r="J1697">
        <v>0</v>
      </c>
      <c r="K1697">
        <v>0</v>
      </c>
      <c r="L1697">
        <v>0</v>
      </c>
      <c r="M1697">
        <v>0.1</v>
      </c>
      <c r="N1697" s="7" t="str">
        <f>VLOOKUP(F1697,HC!A$6:D$100,3,FALSE)</f>
        <v>DA-X0700</v>
      </c>
      <c r="O1697" s="7" t="str">
        <f>VLOOKUP(F1697,HC!A$6:D$1000,2,FALSE)</f>
        <v>nalexgom</v>
      </c>
      <c r="P1697" t="s">
        <v>664</v>
      </c>
      <c r="Q1697" s="7" t="s">
        <v>771</v>
      </c>
      <c r="U1697">
        <f t="shared" si="28"/>
        <v>22</v>
      </c>
    </row>
    <row r="1698" spans="1:21" ht="37.5" customHeight="1" x14ac:dyDescent="0.25">
      <c r="A1698" s="30">
        <v>45060</v>
      </c>
      <c r="B1698" s="13">
        <v>20</v>
      </c>
      <c r="C1698" t="s">
        <v>3</v>
      </c>
      <c r="D1698" t="s">
        <v>4</v>
      </c>
      <c r="E1698" t="s">
        <v>5</v>
      </c>
      <c r="F1698" s="6">
        <v>112971997</v>
      </c>
      <c r="G1698" t="s">
        <v>928</v>
      </c>
      <c r="H1698" t="s">
        <v>250</v>
      </c>
      <c r="I1698">
        <v>0</v>
      </c>
      <c r="J1698">
        <v>0</v>
      </c>
      <c r="K1698">
        <v>0</v>
      </c>
      <c r="L1698">
        <v>0</v>
      </c>
      <c r="M1698">
        <v>0.28000000000000003</v>
      </c>
      <c r="N1698" s="7" t="str">
        <f>VLOOKUP(F1698,HC!A$6:D$100,3,FALSE)</f>
        <v>DA-X0700</v>
      </c>
      <c r="O1698" s="7" t="str">
        <f>VLOOKUP(F1698,HC!A$6:D$1000,2,FALSE)</f>
        <v>cemilini</v>
      </c>
      <c r="P1698" t="s">
        <v>669</v>
      </c>
      <c r="Q1698" s="7" t="s">
        <v>739</v>
      </c>
      <c r="U1698">
        <f t="shared" si="28"/>
        <v>10</v>
      </c>
    </row>
    <row r="1699" spans="1:21" ht="37.5" customHeight="1" x14ac:dyDescent="0.25">
      <c r="A1699" s="30">
        <v>45060</v>
      </c>
      <c r="B1699" s="13">
        <v>20</v>
      </c>
      <c r="C1699" t="s">
        <v>3</v>
      </c>
      <c r="D1699" t="s">
        <v>4</v>
      </c>
      <c r="E1699" t="s">
        <v>5</v>
      </c>
      <c r="F1699" s="6">
        <v>112980844</v>
      </c>
      <c r="G1699" t="s">
        <v>13</v>
      </c>
      <c r="H1699" t="s">
        <v>268</v>
      </c>
      <c r="I1699">
        <v>0</v>
      </c>
      <c r="J1699">
        <v>0</v>
      </c>
      <c r="K1699">
        <v>0</v>
      </c>
      <c r="L1699">
        <v>0</v>
      </c>
      <c r="M1699">
        <v>0.67</v>
      </c>
      <c r="N1699" s="7" t="str">
        <f>VLOOKUP(F1699,HC!A$6:D$100,3,FALSE)</f>
        <v>DA-X0700</v>
      </c>
      <c r="O1699" s="7" t="str">
        <f>VLOOKUP(F1699,HC!A$6:D$1000,2,FALSE)</f>
        <v>samajpad</v>
      </c>
      <c r="P1699" t="s">
        <v>670</v>
      </c>
      <c r="Q1699" s="7" t="s">
        <v>746</v>
      </c>
      <c r="R1699" t="s">
        <v>0</v>
      </c>
      <c r="U1699">
        <f t="shared" si="28"/>
        <v>20</v>
      </c>
    </row>
    <row r="1700" spans="1:21" ht="37.5" customHeight="1" x14ac:dyDescent="0.25">
      <c r="A1700" s="30">
        <v>45060</v>
      </c>
      <c r="B1700" s="13">
        <v>20</v>
      </c>
      <c r="C1700" t="s">
        <v>3</v>
      </c>
      <c r="D1700" t="s">
        <v>4</v>
      </c>
      <c r="E1700" t="s">
        <v>5</v>
      </c>
      <c r="F1700" s="6">
        <v>112981014</v>
      </c>
      <c r="G1700" t="s">
        <v>367</v>
      </c>
      <c r="H1700" t="s">
        <v>268</v>
      </c>
      <c r="I1700">
        <v>0</v>
      </c>
      <c r="J1700">
        <v>0</v>
      </c>
      <c r="K1700">
        <v>0</v>
      </c>
      <c r="L1700">
        <v>0</v>
      </c>
      <c r="M1700">
        <v>0.12</v>
      </c>
      <c r="N1700" s="7" t="str">
        <f>VLOOKUP(F1700,HC!A$6:D$100,3,FALSE)</f>
        <v>DJ-X0700</v>
      </c>
      <c r="O1700" s="7" t="str">
        <f>VLOOKUP(F1700,HC!A$6:D$1000,2,FALSE)</f>
        <v>rpabloul</v>
      </c>
      <c r="P1700" t="s">
        <v>662</v>
      </c>
      <c r="Q1700" s="7" t="s">
        <v>757</v>
      </c>
      <c r="U1700">
        <f t="shared" si="28"/>
        <v>17</v>
      </c>
    </row>
    <row r="1701" spans="1:21" ht="37.5" customHeight="1" x14ac:dyDescent="0.25">
      <c r="A1701" s="30">
        <v>45060</v>
      </c>
      <c r="B1701" s="13">
        <v>20</v>
      </c>
      <c r="C1701" t="s">
        <v>3</v>
      </c>
      <c r="D1701" t="s">
        <v>4</v>
      </c>
      <c r="E1701" t="s">
        <v>5</v>
      </c>
      <c r="F1701" s="6">
        <v>113020497</v>
      </c>
      <c r="G1701" t="s">
        <v>606</v>
      </c>
      <c r="H1701" t="s">
        <v>47</v>
      </c>
      <c r="I1701">
        <v>0</v>
      </c>
      <c r="J1701">
        <v>0</v>
      </c>
      <c r="K1701">
        <v>0</v>
      </c>
      <c r="L1701">
        <v>0</v>
      </c>
      <c r="M1701">
        <v>1.1000000000000001</v>
      </c>
      <c r="N1701" s="7" t="e">
        <f>VLOOKUP(F1701,HC!A$6:D$100,3,FALSE)</f>
        <v>#N/A</v>
      </c>
      <c r="O1701" s="7" t="str">
        <f>VLOOKUP(F1701,HC!A$6:D$1000,2,FALSE)</f>
        <v>diamartd</v>
      </c>
      <c r="P1701" t="s">
        <v>668</v>
      </c>
      <c r="Q1701" s="7" t="s">
        <v>732</v>
      </c>
      <c r="U1701">
        <f t="shared" si="28"/>
        <v>14</v>
      </c>
    </row>
    <row r="1702" spans="1:21" ht="37.5" customHeight="1" x14ac:dyDescent="0.25">
      <c r="A1702" s="30">
        <v>45060</v>
      </c>
      <c r="B1702" s="13">
        <v>20</v>
      </c>
      <c r="C1702" t="s">
        <v>3</v>
      </c>
      <c r="D1702" t="s">
        <v>4</v>
      </c>
      <c r="E1702" t="s">
        <v>21</v>
      </c>
      <c r="F1702" s="6">
        <v>200589316</v>
      </c>
      <c r="G1702" t="s">
        <v>53</v>
      </c>
      <c r="H1702" t="s">
        <v>47</v>
      </c>
      <c r="I1702">
        <v>0</v>
      </c>
      <c r="J1702">
        <v>0</v>
      </c>
      <c r="K1702">
        <v>0</v>
      </c>
      <c r="L1702">
        <v>0</v>
      </c>
      <c r="M1702">
        <v>0.26</v>
      </c>
      <c r="N1702" s="7" t="e">
        <f>VLOOKUP(F1702,HC!A$6:D$100,3,FALSE)</f>
        <v>#N/A</v>
      </c>
      <c r="O1702" s="7" t="e">
        <f>VLOOKUP(F1702,HC!A$6:D$1000,2,FALSE)</f>
        <v>#N/A</v>
      </c>
      <c r="P1702" t="s">
        <v>664</v>
      </c>
      <c r="Q1702" s="7" t="s">
        <v>716</v>
      </c>
      <c r="U1702">
        <f t="shared" si="28"/>
        <v>1395</v>
      </c>
    </row>
    <row r="1703" spans="1:21" ht="37.5" customHeight="1" x14ac:dyDescent="0.25">
      <c r="A1703" s="30">
        <v>45060</v>
      </c>
      <c r="B1703" s="13">
        <v>20</v>
      </c>
      <c r="C1703" t="s">
        <v>3</v>
      </c>
      <c r="D1703" t="s">
        <v>4</v>
      </c>
      <c r="E1703" t="s">
        <v>21</v>
      </c>
      <c r="F1703" s="6">
        <v>200625528</v>
      </c>
      <c r="G1703" t="s">
        <v>607</v>
      </c>
      <c r="H1703" t="s">
        <v>285</v>
      </c>
      <c r="I1703">
        <v>0</v>
      </c>
      <c r="J1703">
        <v>0</v>
      </c>
      <c r="K1703">
        <v>0</v>
      </c>
      <c r="L1703">
        <v>0</v>
      </c>
      <c r="M1703">
        <v>0.28000000000000003</v>
      </c>
      <c r="N1703" s="7" t="e">
        <f>VLOOKUP(F1703,HC!A$6:D$100,3,FALSE)</f>
        <v>#N/A</v>
      </c>
      <c r="O1703" s="7" t="str">
        <f>VLOOKUP(F1703,HC!A$6:D$1000,2,FALSE)</f>
        <v>olivlizb</v>
      </c>
      <c r="P1703" t="s">
        <v>661</v>
      </c>
      <c r="Q1703" s="7" t="s">
        <v>681</v>
      </c>
      <c r="U1703">
        <f t="shared" si="28"/>
        <v>50</v>
      </c>
    </row>
    <row r="1704" spans="1:21" ht="37.5" customHeight="1" x14ac:dyDescent="0.25">
      <c r="A1704" s="30">
        <v>45060</v>
      </c>
      <c r="B1704" s="13">
        <v>20</v>
      </c>
      <c r="C1704" t="s">
        <v>3</v>
      </c>
      <c r="D1704" t="s">
        <v>4</v>
      </c>
      <c r="E1704" t="s">
        <v>21</v>
      </c>
      <c r="F1704" s="6">
        <v>201198427</v>
      </c>
      <c r="G1704" t="s">
        <v>1056</v>
      </c>
      <c r="H1704" t="s">
        <v>47</v>
      </c>
      <c r="I1704">
        <v>0</v>
      </c>
      <c r="J1704">
        <v>0</v>
      </c>
      <c r="K1704">
        <v>0</v>
      </c>
      <c r="L1704">
        <v>0</v>
      </c>
      <c r="M1704">
        <v>0.22</v>
      </c>
      <c r="N1704" s="7" t="e">
        <f>VLOOKUP(F1704,HC!A$6:D$100,3,FALSE)</f>
        <v>#N/A</v>
      </c>
      <c r="O1704" s="7" t="str">
        <f>VLOOKUP(F1704,HC!A$6:D$1000,2,FALSE)</f>
        <v>paulinbp</v>
      </c>
      <c r="P1704" t="s">
        <v>661</v>
      </c>
      <c r="Q1704" s="7" t="s">
        <v>681</v>
      </c>
      <c r="U1704">
        <f t="shared" si="28"/>
        <v>3</v>
      </c>
    </row>
    <row r="1705" spans="1:21" ht="37.5" customHeight="1" x14ac:dyDescent="0.25">
      <c r="A1705" s="30">
        <v>45060</v>
      </c>
      <c r="B1705" s="13">
        <v>20</v>
      </c>
      <c r="C1705" t="s">
        <v>3</v>
      </c>
      <c r="D1705" t="s">
        <v>4</v>
      </c>
      <c r="E1705" t="s">
        <v>21</v>
      </c>
      <c r="F1705" s="6">
        <v>201402060</v>
      </c>
      <c r="G1705" t="s">
        <v>1057</v>
      </c>
      <c r="H1705" t="s">
        <v>1040</v>
      </c>
      <c r="I1705">
        <v>0</v>
      </c>
      <c r="J1705">
        <v>0</v>
      </c>
      <c r="K1705">
        <v>0</v>
      </c>
      <c r="L1705">
        <v>0</v>
      </c>
      <c r="M1705">
        <v>0.41</v>
      </c>
      <c r="N1705" s="7" t="e">
        <f>VLOOKUP(F1705,HC!A$6:D$100,3,FALSE)</f>
        <v>#N/A</v>
      </c>
      <c r="O1705" s="7" t="e">
        <f>VLOOKUP(F1705,HC!A$6:D$1000,2,FALSE)</f>
        <v>#N/A</v>
      </c>
      <c r="P1705" t="s">
        <v>661</v>
      </c>
      <c r="Q1705" s="7" t="s">
        <v>681</v>
      </c>
      <c r="U1705">
        <f t="shared" si="28"/>
        <v>1395</v>
      </c>
    </row>
    <row r="1706" spans="1:21" ht="37.5" customHeight="1" x14ac:dyDescent="0.25">
      <c r="A1706" s="30">
        <v>45060</v>
      </c>
      <c r="B1706" s="13">
        <v>20</v>
      </c>
      <c r="C1706" t="s">
        <v>3</v>
      </c>
      <c r="D1706" t="s">
        <v>1058</v>
      </c>
      <c r="E1706" t="s">
        <v>5</v>
      </c>
      <c r="F1706" s="6">
        <v>112913615</v>
      </c>
      <c r="G1706" t="s">
        <v>1059</v>
      </c>
      <c r="H1706" t="s">
        <v>898</v>
      </c>
      <c r="I1706">
        <v>0</v>
      </c>
      <c r="J1706">
        <v>0</v>
      </c>
      <c r="K1706">
        <v>0</v>
      </c>
      <c r="L1706">
        <v>0</v>
      </c>
      <c r="M1706">
        <v>12.63</v>
      </c>
      <c r="N1706" s="7" t="e">
        <f>VLOOKUP(F1706,HC!A$6:D$100,3,FALSE)</f>
        <v>#N/A</v>
      </c>
      <c r="O1706" s="7" t="str">
        <f>VLOOKUP(F1706,HC!A$6:D$1000,2,FALSE)</f>
        <v>espilizb</v>
      </c>
      <c r="P1706" t="s">
        <v>661</v>
      </c>
      <c r="Q1706" s="7" t="s">
        <v>681</v>
      </c>
      <c r="U1706">
        <f t="shared" si="28"/>
        <v>1</v>
      </c>
    </row>
    <row r="1707" spans="1:21" ht="37.5" customHeight="1" x14ac:dyDescent="0.25">
      <c r="A1707" s="30">
        <v>45061</v>
      </c>
      <c r="B1707" s="13">
        <v>20</v>
      </c>
      <c r="C1707" t="s">
        <v>3</v>
      </c>
      <c r="D1707" t="s">
        <v>4</v>
      </c>
      <c r="E1707" t="s">
        <v>5</v>
      </c>
      <c r="F1707" s="6">
        <v>103979960</v>
      </c>
      <c r="G1707" t="s">
        <v>372</v>
      </c>
      <c r="H1707" t="s">
        <v>44</v>
      </c>
      <c r="I1707">
        <v>0</v>
      </c>
      <c r="J1707">
        <v>0</v>
      </c>
      <c r="K1707">
        <v>0</v>
      </c>
      <c r="L1707">
        <v>0</v>
      </c>
      <c r="M1707">
        <v>0.59</v>
      </c>
      <c r="N1707" s="7" t="e">
        <f>VLOOKUP(F1707,HC!A$6:D$100,3,FALSE)</f>
        <v>#N/A</v>
      </c>
      <c r="O1707" s="7" t="e">
        <f>VLOOKUP(F1707,HC!A$6:D$1000,2,FALSE)</f>
        <v>#N/A</v>
      </c>
      <c r="P1707" t="s">
        <v>661</v>
      </c>
      <c r="Q1707" s="7" t="s">
        <v>700</v>
      </c>
      <c r="U1707">
        <f t="shared" si="28"/>
        <v>1395</v>
      </c>
    </row>
    <row r="1708" spans="1:21" ht="37.5" customHeight="1" x14ac:dyDescent="0.25">
      <c r="A1708" s="30">
        <v>45061</v>
      </c>
      <c r="B1708" s="13">
        <v>20</v>
      </c>
      <c r="C1708" t="s">
        <v>3</v>
      </c>
      <c r="D1708" t="s">
        <v>4</v>
      </c>
      <c r="E1708" t="s">
        <v>21</v>
      </c>
      <c r="F1708" s="6">
        <v>112912007</v>
      </c>
      <c r="G1708" t="s">
        <v>518</v>
      </c>
      <c r="H1708" t="s">
        <v>268</v>
      </c>
      <c r="I1708">
        <v>0</v>
      </c>
      <c r="J1708">
        <v>0</v>
      </c>
      <c r="K1708">
        <v>0</v>
      </c>
      <c r="L1708">
        <v>0</v>
      </c>
      <c r="M1708">
        <v>0.66</v>
      </c>
      <c r="N1708" s="7" t="e">
        <f>VLOOKUP(F1708,HC!A$6:D$100,3,FALSE)</f>
        <v>#N/A</v>
      </c>
      <c r="O1708" s="7" t="e">
        <f>VLOOKUP(F1708,HC!A$6:D$1000,2,FALSE)</f>
        <v>#N/A</v>
      </c>
      <c r="Q1708" s="7"/>
      <c r="R1708" t="s">
        <v>1067</v>
      </c>
      <c r="U1708">
        <f t="shared" si="28"/>
        <v>1395</v>
      </c>
    </row>
    <row r="1709" spans="1:21" ht="37.5" customHeight="1" x14ac:dyDescent="0.25">
      <c r="A1709" s="30">
        <v>45061</v>
      </c>
      <c r="B1709" s="13">
        <v>20</v>
      </c>
      <c r="C1709" t="s">
        <v>3</v>
      </c>
      <c r="D1709" t="s">
        <v>4</v>
      </c>
      <c r="E1709" t="s">
        <v>21</v>
      </c>
      <c r="F1709" s="6">
        <v>112912067</v>
      </c>
      <c r="G1709" t="s">
        <v>921</v>
      </c>
      <c r="H1709" t="s">
        <v>44</v>
      </c>
      <c r="I1709">
        <v>0</v>
      </c>
      <c r="J1709">
        <v>0</v>
      </c>
      <c r="K1709">
        <v>0</v>
      </c>
      <c r="L1709">
        <v>0</v>
      </c>
      <c r="M1709">
        <v>0.93</v>
      </c>
      <c r="N1709" s="7" t="e">
        <f>VLOOKUP(F1709,HC!A$6:D$100,3,FALSE)</f>
        <v>#N/A</v>
      </c>
      <c r="O1709" s="7" t="e">
        <f>VLOOKUP(F1709,HC!A$6:D$1000,2,FALSE)</f>
        <v>#N/A</v>
      </c>
      <c r="P1709" t="s">
        <v>666</v>
      </c>
      <c r="Q1709" s="7" t="s">
        <v>768</v>
      </c>
      <c r="R1709" t="s">
        <v>1065</v>
      </c>
      <c r="U1709">
        <f t="shared" si="28"/>
        <v>1395</v>
      </c>
    </row>
    <row r="1710" spans="1:21" ht="37.5" customHeight="1" x14ac:dyDescent="0.25">
      <c r="A1710" s="30">
        <v>45061</v>
      </c>
      <c r="B1710" s="13">
        <v>20</v>
      </c>
      <c r="C1710" t="s">
        <v>3</v>
      </c>
      <c r="D1710" t="s">
        <v>4</v>
      </c>
      <c r="E1710" t="s">
        <v>5</v>
      </c>
      <c r="F1710" s="6">
        <v>112912506</v>
      </c>
      <c r="G1710" t="s">
        <v>1041</v>
      </c>
      <c r="H1710" t="s">
        <v>403</v>
      </c>
      <c r="I1710">
        <v>0</v>
      </c>
      <c r="J1710">
        <v>0</v>
      </c>
      <c r="K1710">
        <v>0</v>
      </c>
      <c r="L1710">
        <v>0</v>
      </c>
      <c r="M1710">
        <v>0.54</v>
      </c>
      <c r="N1710" s="7" t="str">
        <f>VLOOKUP(F1710,HC!A$6:D$100,3,FALSE)</f>
        <v>DA-X0700</v>
      </c>
      <c r="O1710" s="7" t="str">
        <f>VLOOKUP(F1710,HC!A$6:D$1000,2,FALSE)</f>
        <v>gakjessi</v>
      </c>
      <c r="P1710" t="s">
        <v>669</v>
      </c>
      <c r="Q1710" s="7" t="s">
        <v>739</v>
      </c>
      <c r="U1710">
        <f t="shared" si="28"/>
        <v>11</v>
      </c>
    </row>
    <row r="1711" spans="1:21" ht="37.5" customHeight="1" x14ac:dyDescent="0.25">
      <c r="A1711" s="30">
        <v>45061</v>
      </c>
      <c r="B1711" s="13">
        <v>20</v>
      </c>
      <c r="C1711" t="s">
        <v>3</v>
      </c>
      <c r="D1711" t="s">
        <v>4</v>
      </c>
      <c r="E1711" t="s">
        <v>5</v>
      </c>
      <c r="F1711" s="6">
        <v>112912663</v>
      </c>
      <c r="G1711" t="s">
        <v>8</v>
      </c>
      <c r="H1711" t="s">
        <v>403</v>
      </c>
      <c r="I1711">
        <v>0</v>
      </c>
      <c r="J1711">
        <v>0</v>
      </c>
      <c r="K1711">
        <v>0</v>
      </c>
      <c r="L1711">
        <v>0</v>
      </c>
      <c r="M1711">
        <v>0.92</v>
      </c>
      <c r="N1711" s="7" t="e">
        <f>VLOOKUP(F1711,HC!A$6:D$100,3,FALSE)</f>
        <v>#N/A</v>
      </c>
      <c r="O1711" s="7" t="e">
        <f>VLOOKUP(F1711,HC!A$6:D$1000,2,FALSE)</f>
        <v>#N/A</v>
      </c>
      <c r="P1711" t="s">
        <v>664</v>
      </c>
      <c r="Q1711" s="7" t="s">
        <v>770</v>
      </c>
      <c r="U1711">
        <f t="shared" si="28"/>
        <v>1395</v>
      </c>
    </row>
    <row r="1712" spans="1:21" ht="37.5" customHeight="1" x14ac:dyDescent="0.25">
      <c r="A1712" s="30">
        <v>45061</v>
      </c>
      <c r="B1712" s="13">
        <v>20</v>
      </c>
      <c r="C1712" t="s">
        <v>3</v>
      </c>
      <c r="D1712" t="s">
        <v>4</v>
      </c>
      <c r="E1712" t="s">
        <v>5</v>
      </c>
      <c r="F1712" s="6">
        <v>112971997</v>
      </c>
      <c r="G1712" t="s">
        <v>928</v>
      </c>
      <c r="H1712" t="s">
        <v>250</v>
      </c>
      <c r="I1712">
        <v>0</v>
      </c>
      <c r="J1712">
        <v>0</v>
      </c>
      <c r="K1712">
        <v>0</v>
      </c>
      <c r="L1712">
        <v>0</v>
      </c>
      <c r="M1712">
        <v>0.24</v>
      </c>
      <c r="N1712" s="7" t="str">
        <f>VLOOKUP(F1712,HC!A$6:D$100,3,FALSE)</f>
        <v>DA-X0700</v>
      </c>
      <c r="O1712" s="7" t="str">
        <f>VLOOKUP(F1712,HC!A$6:D$1000,2,FALSE)</f>
        <v>cemilini</v>
      </c>
      <c r="P1712" t="s">
        <v>669</v>
      </c>
      <c r="Q1712" s="7" t="s">
        <v>739</v>
      </c>
      <c r="U1712">
        <f t="shared" si="28"/>
        <v>10</v>
      </c>
    </row>
    <row r="1713" spans="1:21" ht="37.5" customHeight="1" x14ac:dyDescent="0.25">
      <c r="A1713" s="30">
        <v>45061</v>
      </c>
      <c r="B1713" s="13">
        <v>20</v>
      </c>
      <c r="C1713" t="s">
        <v>3</v>
      </c>
      <c r="D1713" t="s">
        <v>4</v>
      </c>
      <c r="E1713" t="s">
        <v>5</v>
      </c>
      <c r="F1713" s="6">
        <v>112981013</v>
      </c>
      <c r="G1713" t="s">
        <v>283</v>
      </c>
      <c r="H1713" t="s">
        <v>268</v>
      </c>
      <c r="I1713">
        <v>0</v>
      </c>
      <c r="J1713">
        <v>0</v>
      </c>
      <c r="K1713">
        <v>0</v>
      </c>
      <c r="L1713">
        <v>0</v>
      </c>
      <c r="M1713">
        <v>0.16</v>
      </c>
      <c r="N1713" s="7" t="str">
        <f>VLOOKUP(F1713,HC!A$6:D$100,3,FALSE)</f>
        <v>DA-X0700</v>
      </c>
      <c r="O1713" s="7" t="str">
        <f>VLOOKUP(F1713,HC!A$6:D$1000,2,FALSE)</f>
        <v>normaelo</v>
      </c>
      <c r="P1713" t="s">
        <v>662</v>
      </c>
      <c r="Q1713" s="7" t="s">
        <v>757</v>
      </c>
      <c r="U1713">
        <f t="shared" si="28"/>
        <v>24</v>
      </c>
    </row>
    <row r="1714" spans="1:21" ht="37.5" customHeight="1" x14ac:dyDescent="0.25">
      <c r="A1714" s="30">
        <v>45061</v>
      </c>
      <c r="B1714" s="13">
        <v>20</v>
      </c>
      <c r="C1714" t="s">
        <v>3</v>
      </c>
      <c r="D1714" t="s">
        <v>4</v>
      </c>
      <c r="E1714" t="s">
        <v>21</v>
      </c>
      <c r="F1714" s="6">
        <v>200509428</v>
      </c>
      <c r="G1714" t="s">
        <v>272</v>
      </c>
      <c r="H1714" t="s">
        <v>44</v>
      </c>
      <c r="I1714">
        <v>0</v>
      </c>
      <c r="J1714">
        <v>0</v>
      </c>
      <c r="K1714">
        <v>0</v>
      </c>
      <c r="L1714">
        <v>0</v>
      </c>
      <c r="M1714">
        <v>0.21</v>
      </c>
      <c r="N1714" s="7" t="e">
        <f>VLOOKUP(F1714,HC!A$6:D$100,3,FALSE)</f>
        <v>#N/A</v>
      </c>
      <c r="O1714" s="7" t="e">
        <f>VLOOKUP(F1714,HC!A$6:D$1000,2,FALSE)</f>
        <v>#N/A</v>
      </c>
      <c r="P1714" t="s">
        <v>661</v>
      </c>
      <c r="Q1714" s="7" t="s">
        <v>681</v>
      </c>
      <c r="U1714">
        <f t="shared" si="28"/>
        <v>1395</v>
      </c>
    </row>
    <row r="1715" spans="1:21" ht="37.5" customHeight="1" x14ac:dyDescent="0.25">
      <c r="A1715" s="30">
        <v>45061</v>
      </c>
      <c r="B1715" s="13">
        <v>20</v>
      </c>
      <c r="C1715" t="s">
        <v>3</v>
      </c>
      <c r="D1715" t="s">
        <v>4</v>
      </c>
      <c r="E1715" t="s">
        <v>21</v>
      </c>
      <c r="F1715" s="6">
        <v>200535448</v>
      </c>
      <c r="G1715" t="s">
        <v>902</v>
      </c>
      <c r="H1715" t="s">
        <v>285</v>
      </c>
      <c r="I1715">
        <v>0</v>
      </c>
      <c r="J1715">
        <v>0</v>
      </c>
      <c r="K1715">
        <v>0</v>
      </c>
      <c r="L1715">
        <v>0</v>
      </c>
      <c r="M1715">
        <v>0.22</v>
      </c>
      <c r="N1715" s="7" t="e">
        <f>VLOOKUP(F1715,HC!A$6:D$100,3,FALSE)</f>
        <v>#N/A</v>
      </c>
      <c r="O1715" s="7" t="e">
        <f>VLOOKUP(F1715,HC!A$6:D$1000,2,FALSE)</f>
        <v>#N/A</v>
      </c>
      <c r="P1715" t="s">
        <v>665</v>
      </c>
      <c r="Q1715" s="7" t="s">
        <v>722</v>
      </c>
      <c r="U1715">
        <f t="shared" si="28"/>
        <v>1395</v>
      </c>
    </row>
    <row r="1716" spans="1:21" ht="37.5" customHeight="1" x14ac:dyDescent="0.25">
      <c r="A1716" s="30">
        <v>45061</v>
      </c>
      <c r="B1716" s="13">
        <v>20</v>
      </c>
      <c r="C1716" t="s">
        <v>3</v>
      </c>
      <c r="D1716" t="s">
        <v>4</v>
      </c>
      <c r="E1716" t="s">
        <v>21</v>
      </c>
      <c r="F1716" s="6">
        <v>201198979</v>
      </c>
      <c r="G1716" t="s">
        <v>905</v>
      </c>
      <c r="H1716" t="s">
        <v>285</v>
      </c>
      <c r="I1716">
        <v>0</v>
      </c>
      <c r="J1716">
        <v>0</v>
      </c>
      <c r="K1716">
        <v>0</v>
      </c>
      <c r="L1716">
        <v>0</v>
      </c>
      <c r="M1716">
        <v>0.38</v>
      </c>
      <c r="N1716" s="7" t="e">
        <f>VLOOKUP(F1716,HC!A$6:D$100,3,FALSE)</f>
        <v>#N/A</v>
      </c>
      <c r="O1716" s="7" t="e">
        <f>VLOOKUP(F1716,HC!A$6:D$1000,2,FALSE)</f>
        <v>#N/A</v>
      </c>
      <c r="P1716" t="s">
        <v>661</v>
      </c>
      <c r="Q1716" s="7" t="s">
        <v>681</v>
      </c>
      <c r="U1716">
        <f t="shared" si="28"/>
        <v>1395</v>
      </c>
    </row>
    <row r="1717" spans="1:21" ht="37.5" customHeight="1" x14ac:dyDescent="0.25">
      <c r="A1717" s="30">
        <v>45061</v>
      </c>
      <c r="B1717" s="13">
        <v>20</v>
      </c>
      <c r="C1717" t="s">
        <v>3</v>
      </c>
      <c r="D1717" t="s">
        <v>4</v>
      </c>
      <c r="E1717" t="s">
        <v>21</v>
      </c>
      <c r="F1717" s="6">
        <v>201314835</v>
      </c>
      <c r="G1717" t="s">
        <v>1060</v>
      </c>
      <c r="H1717" t="s">
        <v>263</v>
      </c>
      <c r="I1717">
        <v>0</v>
      </c>
      <c r="J1717">
        <v>0</v>
      </c>
      <c r="K1717">
        <v>0</v>
      </c>
      <c r="L1717">
        <v>0</v>
      </c>
      <c r="M1717">
        <v>7.0000000000000007E-2</v>
      </c>
      <c r="N1717" s="7" t="e">
        <f>VLOOKUP(F1717,HC!A$6:D$100,3,FALSE)</f>
        <v>#N/A</v>
      </c>
      <c r="O1717" s="7" t="e">
        <f>VLOOKUP(F1717,HC!A$6:D$1000,2,FALSE)</f>
        <v>#N/A</v>
      </c>
      <c r="P1717" t="s">
        <v>661</v>
      </c>
      <c r="Q1717" s="7" t="s">
        <v>681</v>
      </c>
      <c r="U1717">
        <f t="shared" si="28"/>
        <v>1395</v>
      </c>
    </row>
    <row r="1718" spans="1:21" ht="37.5" customHeight="1" x14ac:dyDescent="0.25">
      <c r="A1718" s="30">
        <v>45061</v>
      </c>
      <c r="B1718" s="13">
        <v>20</v>
      </c>
      <c r="C1718" t="s">
        <v>3</v>
      </c>
      <c r="D1718" t="s">
        <v>4</v>
      </c>
      <c r="E1718" t="s">
        <v>21</v>
      </c>
      <c r="F1718" s="6">
        <v>201353328</v>
      </c>
      <c r="G1718" t="s">
        <v>1061</v>
      </c>
      <c r="H1718" t="s">
        <v>403</v>
      </c>
      <c r="I1718">
        <v>0</v>
      </c>
      <c r="J1718">
        <v>0</v>
      </c>
      <c r="K1718">
        <v>0</v>
      </c>
      <c r="L1718">
        <v>0</v>
      </c>
      <c r="M1718">
        <v>0.31</v>
      </c>
      <c r="N1718" s="7" t="e">
        <f>VLOOKUP(F1718,HC!A$6:D$100,3,FALSE)</f>
        <v>#N/A</v>
      </c>
      <c r="O1718" s="7" t="str">
        <f>VLOOKUP(F1718,HC!A$6:D$1000,2,FALSE)</f>
        <v>zairamen</v>
      </c>
      <c r="P1718" t="s">
        <v>662</v>
      </c>
      <c r="Q1718" s="7" t="s">
        <v>691</v>
      </c>
      <c r="U1718">
        <f t="shared" si="28"/>
        <v>4</v>
      </c>
    </row>
    <row r="1719" spans="1:21" ht="37.5" customHeight="1" x14ac:dyDescent="0.25">
      <c r="A1719" s="30">
        <v>45061</v>
      </c>
      <c r="B1719" s="13">
        <v>20</v>
      </c>
      <c r="C1719" t="s">
        <v>3</v>
      </c>
      <c r="D1719" t="s">
        <v>4</v>
      </c>
      <c r="E1719" t="s">
        <v>21</v>
      </c>
      <c r="F1719" s="6">
        <v>201354944</v>
      </c>
      <c r="G1719" t="s">
        <v>1062</v>
      </c>
      <c r="H1719" t="s">
        <v>403</v>
      </c>
      <c r="I1719">
        <v>0</v>
      </c>
      <c r="J1719">
        <v>0</v>
      </c>
      <c r="K1719">
        <v>0</v>
      </c>
      <c r="L1719">
        <v>0</v>
      </c>
      <c r="M1719">
        <v>0.22</v>
      </c>
      <c r="N1719" s="7" t="e">
        <f>VLOOKUP(F1719,HC!A$6:D$100,3,FALSE)</f>
        <v>#N/A</v>
      </c>
      <c r="O1719" s="7" t="str">
        <f>VLOOKUP(F1719,HC!A$6:D$1000,2,FALSE)</f>
        <v>hernghug</v>
      </c>
      <c r="P1719" t="s">
        <v>664</v>
      </c>
      <c r="Q1719" s="7" t="s">
        <v>716</v>
      </c>
      <c r="U1719">
        <f t="shared" si="28"/>
        <v>3</v>
      </c>
    </row>
    <row r="1720" spans="1:21" ht="37.5" customHeight="1" x14ac:dyDescent="0.25">
      <c r="A1720" s="30">
        <v>45061</v>
      </c>
      <c r="B1720" s="13">
        <v>20</v>
      </c>
      <c r="C1720" t="s">
        <v>3</v>
      </c>
      <c r="D1720" t="s">
        <v>4</v>
      </c>
      <c r="E1720" t="s">
        <v>21</v>
      </c>
      <c r="F1720" s="6">
        <v>201354965</v>
      </c>
      <c r="G1720" t="s">
        <v>1063</v>
      </c>
      <c r="H1720" t="s">
        <v>263</v>
      </c>
      <c r="I1720">
        <v>0</v>
      </c>
      <c r="J1720">
        <v>0</v>
      </c>
      <c r="K1720">
        <v>0</v>
      </c>
      <c r="L1720">
        <v>0</v>
      </c>
      <c r="M1720">
        <v>0.79</v>
      </c>
      <c r="N1720" s="7" t="e">
        <f>VLOOKUP(F1720,HC!A$6:D$100,3,FALSE)</f>
        <v>#N/A</v>
      </c>
      <c r="O1720" s="7" t="str">
        <f>VLOOKUP(F1720,HC!A$6:D$1000,2,FALSE)</f>
        <v>alinejim</v>
      </c>
      <c r="P1720" t="s">
        <v>662</v>
      </c>
      <c r="Q1720" s="7" t="s">
        <v>691</v>
      </c>
      <c r="R1720" t="s">
        <v>1066</v>
      </c>
      <c r="U1720">
        <f t="shared" si="28"/>
        <v>33</v>
      </c>
    </row>
    <row r="1721" spans="1:21" ht="37.5" customHeight="1" x14ac:dyDescent="0.25">
      <c r="A1721" s="30">
        <v>45061</v>
      </c>
      <c r="B1721" s="13">
        <v>20</v>
      </c>
      <c r="C1721" t="s">
        <v>3</v>
      </c>
      <c r="D1721" t="s">
        <v>4</v>
      </c>
      <c r="E1721" t="s">
        <v>21</v>
      </c>
      <c r="F1721" s="6">
        <v>201402060</v>
      </c>
      <c r="G1721" t="s">
        <v>1057</v>
      </c>
      <c r="H1721" t="s">
        <v>1040</v>
      </c>
      <c r="I1721">
        <v>0</v>
      </c>
      <c r="J1721">
        <v>0</v>
      </c>
      <c r="K1721">
        <v>0</v>
      </c>
      <c r="L1721">
        <v>0</v>
      </c>
      <c r="M1721">
        <v>1.1499999999999999</v>
      </c>
      <c r="N1721" s="7" t="e">
        <f>VLOOKUP(F1721,HC!A$6:D$100,3,FALSE)</f>
        <v>#N/A</v>
      </c>
      <c r="O1721" s="7" t="e">
        <f>VLOOKUP(F1721,HC!A$6:D$1000,2,FALSE)</f>
        <v>#N/A</v>
      </c>
      <c r="P1721" t="s">
        <v>664</v>
      </c>
      <c r="Q1721" s="7" t="s">
        <v>708</v>
      </c>
      <c r="U1721">
        <f t="shared" si="28"/>
        <v>1395</v>
      </c>
    </row>
    <row r="1722" spans="1:21" ht="37.5" customHeight="1" x14ac:dyDescent="0.25">
      <c r="A1722" s="30">
        <v>45061</v>
      </c>
      <c r="B1722" s="13">
        <v>20</v>
      </c>
      <c r="C1722" t="s">
        <v>3</v>
      </c>
      <c r="D1722" t="s">
        <v>4</v>
      </c>
      <c r="E1722" t="s">
        <v>21</v>
      </c>
      <c r="F1722" s="6">
        <v>201402216</v>
      </c>
      <c r="G1722" t="s">
        <v>1064</v>
      </c>
      <c r="H1722" t="s">
        <v>1040</v>
      </c>
      <c r="I1722">
        <v>0</v>
      </c>
      <c r="J1722">
        <v>0</v>
      </c>
      <c r="K1722">
        <v>0</v>
      </c>
      <c r="L1722">
        <v>0</v>
      </c>
      <c r="M1722">
        <v>0.2</v>
      </c>
      <c r="N1722" s="7" t="e">
        <f>VLOOKUP(F1722,HC!A$6:D$100,3,FALSE)</f>
        <v>#N/A</v>
      </c>
      <c r="O1722" s="7" t="e">
        <f>VLOOKUP(F1722,HC!A$6:D$1000,2,FALSE)</f>
        <v>#N/A</v>
      </c>
      <c r="P1722" t="s">
        <v>668</v>
      </c>
      <c r="Q1722" s="7" t="s">
        <v>732</v>
      </c>
      <c r="U1722">
        <f t="shared" si="28"/>
        <v>1395</v>
      </c>
    </row>
    <row r="1723" spans="1:21" ht="37.5" customHeight="1" x14ac:dyDescent="0.25">
      <c r="A1723" s="30">
        <v>45061</v>
      </c>
      <c r="B1723" s="13">
        <v>20</v>
      </c>
      <c r="C1723" t="s">
        <v>3</v>
      </c>
      <c r="D1723" t="s">
        <v>438</v>
      </c>
      <c r="E1723" t="s">
        <v>21</v>
      </c>
      <c r="F1723" s="6">
        <v>200535448</v>
      </c>
      <c r="G1723" t="s">
        <v>902</v>
      </c>
      <c r="H1723" t="s">
        <v>285</v>
      </c>
      <c r="I1723">
        <v>0</v>
      </c>
      <c r="J1723">
        <v>0</v>
      </c>
      <c r="K1723">
        <v>0</v>
      </c>
      <c r="L1723">
        <v>0</v>
      </c>
      <c r="M1723">
        <v>0.68</v>
      </c>
      <c r="N1723" s="7" t="e">
        <f>VLOOKUP(F1723,HC!A$6:D$100,3,FALSE)</f>
        <v>#N/A</v>
      </c>
      <c r="O1723" s="7" t="e">
        <f>VLOOKUP(F1723,HC!A$6:D$1000,2,FALSE)</f>
        <v>#N/A</v>
      </c>
      <c r="P1723" t="s">
        <v>665</v>
      </c>
      <c r="Q1723" s="7" t="s">
        <v>722</v>
      </c>
      <c r="U1723">
        <f t="shared" si="28"/>
        <v>1395</v>
      </c>
    </row>
    <row r="1724" spans="1:21" ht="37.5" customHeight="1" x14ac:dyDescent="0.25">
      <c r="A1724" s="30">
        <v>45062</v>
      </c>
      <c r="B1724" s="13">
        <v>20</v>
      </c>
      <c r="C1724" t="s">
        <v>3</v>
      </c>
      <c r="D1724" t="s">
        <v>4</v>
      </c>
      <c r="E1724" t="s">
        <v>21</v>
      </c>
      <c r="F1724" s="6">
        <v>112912007</v>
      </c>
      <c r="G1724" t="s">
        <v>518</v>
      </c>
      <c r="H1724" t="s">
        <v>268</v>
      </c>
      <c r="I1724">
        <v>0</v>
      </c>
      <c r="J1724">
        <v>0</v>
      </c>
      <c r="K1724">
        <v>0</v>
      </c>
      <c r="L1724">
        <v>0</v>
      </c>
      <c r="M1724">
        <v>1.38</v>
      </c>
      <c r="N1724" s="7" t="e">
        <f>VLOOKUP(F1724,HC!A$6:D$100,3,FALSE)</f>
        <v>#N/A</v>
      </c>
      <c r="O1724" s="7" t="e">
        <f>VLOOKUP(F1724,HC!A$6:D$1000,2,FALSE)</f>
        <v>#N/A</v>
      </c>
      <c r="P1724" t="s">
        <v>664</v>
      </c>
      <c r="Q1724" s="7" t="s">
        <v>711</v>
      </c>
      <c r="U1724">
        <f t="shared" si="28"/>
        <v>1395</v>
      </c>
    </row>
    <row r="1725" spans="1:21" ht="37.5" customHeight="1" x14ac:dyDescent="0.25">
      <c r="A1725" s="30">
        <v>45062</v>
      </c>
      <c r="B1725" s="13">
        <v>20</v>
      </c>
      <c r="C1725" t="s">
        <v>3</v>
      </c>
      <c r="D1725" t="s">
        <v>4</v>
      </c>
      <c r="E1725" t="s">
        <v>21</v>
      </c>
      <c r="F1725" s="6">
        <v>112912067</v>
      </c>
      <c r="G1725" t="s">
        <v>921</v>
      </c>
      <c r="H1725" t="s">
        <v>44</v>
      </c>
      <c r="I1725">
        <v>0</v>
      </c>
      <c r="J1725">
        <v>0</v>
      </c>
      <c r="K1725">
        <v>0</v>
      </c>
      <c r="L1725">
        <v>0</v>
      </c>
      <c r="M1725">
        <v>0.14000000000000001</v>
      </c>
      <c r="N1725" s="7" t="e">
        <f>VLOOKUP(F1725,HC!A$6:D$100,3,FALSE)</f>
        <v>#N/A</v>
      </c>
      <c r="O1725" s="7" t="e">
        <f>VLOOKUP(F1725,HC!A$6:D$1000,2,FALSE)</f>
        <v>#N/A</v>
      </c>
      <c r="P1725" t="s">
        <v>666</v>
      </c>
      <c r="Q1725" s="7" t="s">
        <v>768</v>
      </c>
      <c r="R1725" t="s">
        <v>514</v>
      </c>
      <c r="U1725">
        <f t="shared" si="28"/>
        <v>1395</v>
      </c>
    </row>
    <row r="1726" spans="1:21" ht="37.5" customHeight="1" x14ac:dyDescent="0.25">
      <c r="A1726" s="30">
        <v>45062</v>
      </c>
      <c r="B1726" s="13">
        <v>20</v>
      </c>
      <c r="C1726" t="s">
        <v>3</v>
      </c>
      <c r="D1726" t="s">
        <v>4</v>
      </c>
      <c r="E1726" t="s">
        <v>5</v>
      </c>
      <c r="F1726" s="6">
        <v>112912506</v>
      </c>
      <c r="G1726" t="s">
        <v>1041</v>
      </c>
      <c r="H1726" t="s">
        <v>403</v>
      </c>
      <c r="I1726">
        <v>0</v>
      </c>
      <c r="J1726">
        <v>0</v>
      </c>
      <c r="K1726">
        <v>0</v>
      </c>
      <c r="L1726">
        <v>0</v>
      </c>
      <c r="M1726">
        <v>0.22</v>
      </c>
      <c r="N1726" s="7" t="str">
        <f>VLOOKUP(F1726,HC!A$6:D$100,3,FALSE)</f>
        <v>DA-X0700</v>
      </c>
      <c r="O1726" s="7" t="str">
        <f>VLOOKUP(F1726,HC!A$6:D$1000,2,FALSE)</f>
        <v>gakjessi</v>
      </c>
      <c r="P1726" t="s">
        <v>664</v>
      </c>
      <c r="Q1726" s="7"/>
      <c r="R1726" t="s">
        <v>1073</v>
      </c>
      <c r="U1726">
        <f t="shared" si="28"/>
        <v>11</v>
      </c>
    </row>
    <row r="1727" spans="1:21" ht="37.5" customHeight="1" x14ac:dyDescent="0.25">
      <c r="A1727" s="30">
        <v>45062</v>
      </c>
      <c r="B1727" s="13">
        <v>20</v>
      </c>
      <c r="C1727" t="s">
        <v>3</v>
      </c>
      <c r="D1727" t="s">
        <v>4</v>
      </c>
      <c r="E1727" t="s">
        <v>5</v>
      </c>
      <c r="F1727" s="6">
        <v>112912753</v>
      </c>
      <c r="G1727" t="s">
        <v>415</v>
      </c>
      <c r="H1727" t="s">
        <v>298</v>
      </c>
      <c r="I1727">
        <v>0</v>
      </c>
      <c r="J1727">
        <v>0</v>
      </c>
      <c r="K1727">
        <v>0</v>
      </c>
      <c r="L1727">
        <v>0</v>
      </c>
      <c r="M1727">
        <v>0.28000000000000003</v>
      </c>
      <c r="N1727" s="7" t="e">
        <f>VLOOKUP(F1727,HC!A$6:D$100,3,FALSE)</f>
        <v>#N/A</v>
      </c>
      <c r="O1727" s="7" t="e">
        <f>VLOOKUP(F1727,HC!A$6:D$1000,2,FALSE)</f>
        <v>#N/A</v>
      </c>
      <c r="P1727" t="s">
        <v>670</v>
      </c>
      <c r="Q1727" s="7" t="s">
        <v>748</v>
      </c>
      <c r="U1727">
        <f t="shared" si="28"/>
        <v>1395</v>
      </c>
    </row>
    <row r="1728" spans="1:21" ht="37.5" customHeight="1" x14ac:dyDescent="0.25">
      <c r="A1728" s="30">
        <v>45062</v>
      </c>
      <c r="B1728" s="13">
        <v>20</v>
      </c>
      <c r="C1728" t="s">
        <v>3</v>
      </c>
      <c r="D1728" t="s">
        <v>4</v>
      </c>
      <c r="E1728" t="s">
        <v>5</v>
      </c>
      <c r="F1728" s="6">
        <v>112950800</v>
      </c>
      <c r="G1728" t="s">
        <v>457</v>
      </c>
      <c r="H1728" t="s">
        <v>403</v>
      </c>
      <c r="I1728">
        <v>0</v>
      </c>
      <c r="J1728">
        <v>0</v>
      </c>
      <c r="K1728">
        <v>0</v>
      </c>
      <c r="L1728">
        <v>0</v>
      </c>
      <c r="M1728">
        <v>1.08</v>
      </c>
      <c r="N1728" s="7" t="str">
        <f>VLOOKUP(F1728,HC!A$6:D$100,3,FALSE)</f>
        <v>NF-X1900</v>
      </c>
      <c r="O1728" s="7" t="str">
        <f>VLOOKUP(F1728,HC!A$6:D$1000,2,FALSE)</f>
        <v>virimuni</v>
      </c>
      <c r="P1728" t="s">
        <v>664</v>
      </c>
      <c r="Q1728" s="7" t="s">
        <v>708</v>
      </c>
      <c r="U1728">
        <f t="shared" si="28"/>
        <v>10</v>
      </c>
    </row>
    <row r="1729" spans="1:21" ht="37.5" customHeight="1" x14ac:dyDescent="0.25">
      <c r="A1729" s="30">
        <v>45062</v>
      </c>
      <c r="B1729" s="13">
        <v>20</v>
      </c>
      <c r="C1729" t="s">
        <v>3</v>
      </c>
      <c r="D1729" t="s">
        <v>4</v>
      </c>
      <c r="E1729" t="s">
        <v>5</v>
      </c>
      <c r="F1729" s="6">
        <v>112971997</v>
      </c>
      <c r="G1729" t="s">
        <v>928</v>
      </c>
      <c r="H1729" t="s">
        <v>250</v>
      </c>
      <c r="I1729">
        <v>0</v>
      </c>
      <c r="J1729">
        <v>0</v>
      </c>
      <c r="K1729">
        <v>0</v>
      </c>
      <c r="L1729">
        <v>0</v>
      </c>
      <c r="M1729">
        <v>0.28000000000000003</v>
      </c>
      <c r="N1729" s="7" t="str">
        <f>VLOOKUP(F1729,HC!A$6:D$100,3,FALSE)</f>
        <v>DA-X0700</v>
      </c>
      <c r="O1729" s="7" t="str">
        <f>VLOOKUP(F1729,HC!A$6:D$1000,2,FALSE)</f>
        <v>cemilini</v>
      </c>
      <c r="P1729" t="s">
        <v>669</v>
      </c>
      <c r="Q1729" s="7" t="s">
        <v>739</v>
      </c>
      <c r="U1729">
        <f t="shared" si="28"/>
        <v>10</v>
      </c>
    </row>
    <row r="1730" spans="1:21" ht="37.5" customHeight="1" x14ac:dyDescent="0.25">
      <c r="A1730" s="30">
        <v>45062</v>
      </c>
      <c r="B1730" s="13">
        <v>20</v>
      </c>
      <c r="C1730" t="s">
        <v>3</v>
      </c>
      <c r="D1730" t="s">
        <v>4</v>
      </c>
      <c r="E1730" t="s">
        <v>5</v>
      </c>
      <c r="F1730" s="6">
        <v>113003631</v>
      </c>
      <c r="G1730" t="s">
        <v>479</v>
      </c>
      <c r="H1730" t="s">
        <v>285</v>
      </c>
      <c r="I1730">
        <v>0</v>
      </c>
      <c r="J1730">
        <v>0</v>
      </c>
      <c r="K1730">
        <v>0</v>
      </c>
      <c r="L1730">
        <v>0</v>
      </c>
      <c r="M1730">
        <v>0.69</v>
      </c>
      <c r="N1730" s="7" t="e">
        <f>VLOOKUP(F1730,HC!A$6:D$100,3,FALSE)</f>
        <v>#N/A</v>
      </c>
      <c r="O1730" s="7" t="e">
        <f>VLOOKUP(F1730,HC!A$6:D$1000,2,FALSE)</f>
        <v>#N/A</v>
      </c>
      <c r="P1730" t="s">
        <v>662</v>
      </c>
      <c r="Q1730" s="7" t="s">
        <v>757</v>
      </c>
      <c r="U1730">
        <f t="shared" si="28"/>
        <v>1395</v>
      </c>
    </row>
    <row r="1731" spans="1:21" ht="37.5" customHeight="1" x14ac:dyDescent="0.25">
      <c r="A1731" s="30">
        <v>45062</v>
      </c>
      <c r="B1731" s="13">
        <v>20</v>
      </c>
      <c r="C1731" t="s">
        <v>3</v>
      </c>
      <c r="D1731" t="s">
        <v>4</v>
      </c>
      <c r="E1731" t="s">
        <v>21</v>
      </c>
      <c r="F1731" s="6">
        <v>200514421</v>
      </c>
      <c r="G1731" t="s">
        <v>301</v>
      </c>
      <c r="H1731" t="s">
        <v>298</v>
      </c>
      <c r="I1731">
        <v>0</v>
      </c>
      <c r="J1731">
        <v>0</v>
      </c>
      <c r="K1731">
        <v>0</v>
      </c>
      <c r="L1731">
        <v>0</v>
      </c>
      <c r="M1731">
        <v>1.07</v>
      </c>
      <c r="N1731" s="7" t="e">
        <f>VLOOKUP(F1731,HC!A$6:D$100,3,FALSE)</f>
        <v>#N/A</v>
      </c>
      <c r="O1731" s="7" t="str">
        <f>VLOOKUP(F1731,HC!A$6:D$1000,2,FALSE)</f>
        <v>padillms</v>
      </c>
      <c r="P1731" t="s">
        <v>664</v>
      </c>
      <c r="Q1731" s="7" t="s">
        <v>710</v>
      </c>
      <c r="R1731" t="s">
        <v>1074</v>
      </c>
      <c r="U1731">
        <f t="shared" ref="U1731:U1794" si="29">COUNTIF(O$2:O$4999,O1731)</f>
        <v>21</v>
      </c>
    </row>
    <row r="1732" spans="1:21" ht="37.5" customHeight="1" x14ac:dyDescent="0.25">
      <c r="A1732" s="30">
        <v>45062</v>
      </c>
      <c r="B1732" s="13">
        <v>20</v>
      </c>
      <c r="C1732" t="s">
        <v>3</v>
      </c>
      <c r="D1732" t="s">
        <v>4</v>
      </c>
      <c r="E1732" t="s">
        <v>21</v>
      </c>
      <c r="F1732" s="6">
        <v>200552457</v>
      </c>
      <c r="G1732" t="s">
        <v>1068</v>
      </c>
      <c r="H1732" t="s">
        <v>268</v>
      </c>
      <c r="I1732">
        <v>0</v>
      </c>
      <c r="J1732">
        <v>0</v>
      </c>
      <c r="K1732">
        <v>0</v>
      </c>
      <c r="L1732">
        <v>0</v>
      </c>
      <c r="M1732">
        <v>0.85</v>
      </c>
      <c r="N1732" s="7" t="e">
        <f>VLOOKUP(F1732,HC!A$6:D$100,3,FALSE)</f>
        <v>#N/A</v>
      </c>
      <c r="O1732" s="7" t="str">
        <f>VLOOKUP(F1732,HC!A$6:D$1000,2,FALSE)</f>
        <v>heryyola</v>
      </c>
      <c r="Q1732" s="7"/>
      <c r="R1732" t="s">
        <v>1075</v>
      </c>
      <c r="U1732">
        <f t="shared" si="29"/>
        <v>2</v>
      </c>
    </row>
    <row r="1733" spans="1:21" ht="37.5" customHeight="1" x14ac:dyDescent="0.25">
      <c r="A1733" s="30">
        <v>45062</v>
      </c>
      <c r="B1733" s="13">
        <v>20</v>
      </c>
      <c r="C1733" t="s">
        <v>3</v>
      </c>
      <c r="D1733" t="s">
        <v>4</v>
      </c>
      <c r="E1733" t="s">
        <v>21</v>
      </c>
      <c r="F1733" s="6">
        <v>200565197</v>
      </c>
      <c r="G1733" t="s">
        <v>389</v>
      </c>
      <c r="H1733" t="s">
        <v>298</v>
      </c>
      <c r="I1733">
        <v>0</v>
      </c>
      <c r="J1733">
        <v>0</v>
      </c>
      <c r="K1733">
        <v>0</v>
      </c>
      <c r="L1733">
        <v>0</v>
      </c>
      <c r="M1733">
        <v>0.37</v>
      </c>
      <c r="N1733" s="7" t="e">
        <f>VLOOKUP(F1733,HC!A$6:D$100,3,FALSE)</f>
        <v>#N/A</v>
      </c>
      <c r="O1733" s="7" t="e">
        <f>VLOOKUP(F1733,HC!A$6:D$1000,2,FALSE)</f>
        <v>#N/A</v>
      </c>
      <c r="P1733" t="s">
        <v>664</v>
      </c>
      <c r="Q1733" s="7" t="s">
        <v>708</v>
      </c>
      <c r="U1733">
        <f t="shared" si="29"/>
        <v>1395</v>
      </c>
    </row>
    <row r="1734" spans="1:21" ht="37.5" customHeight="1" x14ac:dyDescent="0.25">
      <c r="A1734" s="30">
        <v>45062</v>
      </c>
      <c r="B1734" s="13">
        <v>20</v>
      </c>
      <c r="C1734" t="s">
        <v>3</v>
      </c>
      <c r="D1734" t="s">
        <v>4</v>
      </c>
      <c r="E1734" t="s">
        <v>21</v>
      </c>
      <c r="F1734" s="6">
        <v>200589316</v>
      </c>
      <c r="G1734" t="s">
        <v>53</v>
      </c>
      <c r="H1734" t="s">
        <v>47</v>
      </c>
      <c r="I1734">
        <v>0</v>
      </c>
      <c r="J1734">
        <v>0</v>
      </c>
      <c r="K1734">
        <v>0</v>
      </c>
      <c r="L1734">
        <v>0</v>
      </c>
      <c r="M1734">
        <v>0.38</v>
      </c>
      <c r="N1734" s="7" t="e">
        <f>VLOOKUP(F1734,HC!A$6:D$100,3,FALSE)</f>
        <v>#N/A</v>
      </c>
      <c r="O1734" s="7" t="e">
        <f>VLOOKUP(F1734,HC!A$6:D$1000,2,FALSE)</f>
        <v>#N/A</v>
      </c>
      <c r="P1734" t="s">
        <v>664</v>
      </c>
      <c r="Q1734" s="7" t="s">
        <v>711</v>
      </c>
      <c r="U1734">
        <f t="shared" si="29"/>
        <v>1395</v>
      </c>
    </row>
    <row r="1735" spans="1:21" ht="37.5" customHeight="1" x14ac:dyDescent="0.25">
      <c r="A1735" s="30">
        <v>45062</v>
      </c>
      <c r="B1735" s="13">
        <v>20</v>
      </c>
      <c r="C1735" t="s">
        <v>3</v>
      </c>
      <c r="D1735" t="s">
        <v>4</v>
      </c>
      <c r="E1735" t="s">
        <v>21</v>
      </c>
      <c r="F1735" s="6">
        <v>200625528</v>
      </c>
      <c r="G1735" t="s">
        <v>607</v>
      </c>
      <c r="H1735" t="s">
        <v>285</v>
      </c>
      <c r="I1735">
        <v>0</v>
      </c>
      <c r="J1735">
        <v>0</v>
      </c>
      <c r="K1735">
        <v>0</v>
      </c>
      <c r="L1735">
        <v>0</v>
      </c>
      <c r="M1735">
        <v>0</v>
      </c>
      <c r="N1735" s="7" t="e">
        <f>VLOOKUP(F1735,HC!A$6:D$100,3,FALSE)</f>
        <v>#N/A</v>
      </c>
      <c r="O1735" s="7" t="str">
        <f>VLOOKUP(F1735,HC!A$6:D$1000,2,FALSE)</f>
        <v>olivlizb</v>
      </c>
      <c r="P1735" t="s">
        <v>661</v>
      </c>
      <c r="Q1735" s="7" t="s">
        <v>681</v>
      </c>
      <c r="U1735">
        <f t="shared" si="29"/>
        <v>50</v>
      </c>
    </row>
    <row r="1736" spans="1:21" ht="37.5" customHeight="1" x14ac:dyDescent="0.25">
      <c r="A1736" s="30">
        <v>45062</v>
      </c>
      <c r="B1736" s="13">
        <v>20</v>
      </c>
      <c r="C1736" t="s">
        <v>3</v>
      </c>
      <c r="D1736" t="s">
        <v>4</v>
      </c>
      <c r="E1736" t="s">
        <v>21</v>
      </c>
      <c r="F1736" s="6">
        <v>201166890</v>
      </c>
      <c r="G1736" t="s">
        <v>998</v>
      </c>
      <c r="H1736" t="s">
        <v>298</v>
      </c>
      <c r="I1736">
        <v>0</v>
      </c>
      <c r="J1736">
        <v>0</v>
      </c>
      <c r="K1736">
        <v>0</v>
      </c>
      <c r="L1736">
        <v>0</v>
      </c>
      <c r="M1736">
        <v>0.23</v>
      </c>
      <c r="N1736" s="7" t="e">
        <f>VLOOKUP(F1736,HC!A$6:D$100,3,FALSE)</f>
        <v>#N/A</v>
      </c>
      <c r="O1736" s="7" t="str">
        <f>VLOOKUP(F1736,HC!A$6:D$1000,2,FALSE)</f>
        <v>lcabadan</v>
      </c>
      <c r="P1736" t="s">
        <v>661</v>
      </c>
      <c r="Q1736" s="7" t="s">
        <v>700</v>
      </c>
      <c r="U1736">
        <f t="shared" si="29"/>
        <v>24</v>
      </c>
    </row>
    <row r="1737" spans="1:21" ht="37.5" customHeight="1" x14ac:dyDescent="0.25">
      <c r="A1737" s="30">
        <v>45062</v>
      </c>
      <c r="B1737" s="13">
        <v>20</v>
      </c>
      <c r="C1737" t="s">
        <v>3</v>
      </c>
      <c r="D1737" t="s">
        <v>4</v>
      </c>
      <c r="E1737" t="s">
        <v>21</v>
      </c>
      <c r="F1737" s="6">
        <v>201194285</v>
      </c>
      <c r="G1737" t="s">
        <v>859</v>
      </c>
      <c r="H1737" t="s">
        <v>17</v>
      </c>
      <c r="I1737">
        <v>0</v>
      </c>
      <c r="J1737">
        <v>0</v>
      </c>
      <c r="K1737">
        <v>0</v>
      </c>
      <c r="L1737">
        <v>0</v>
      </c>
      <c r="M1737">
        <v>0.26</v>
      </c>
      <c r="N1737" s="7" t="e">
        <f>VLOOKUP(F1737,HC!A$6:D$100,3,FALSE)</f>
        <v>#N/A</v>
      </c>
      <c r="O1737" s="7" t="e">
        <f>VLOOKUP(F1737,HC!A$6:D$1000,2,FALSE)</f>
        <v>#N/A</v>
      </c>
      <c r="Q1737" s="7"/>
      <c r="R1737" t="s">
        <v>1076</v>
      </c>
      <c r="U1737">
        <f t="shared" si="29"/>
        <v>1395</v>
      </c>
    </row>
    <row r="1738" spans="1:21" ht="37.5" customHeight="1" x14ac:dyDescent="0.25">
      <c r="A1738" s="30">
        <v>45062</v>
      </c>
      <c r="B1738" s="13">
        <v>20</v>
      </c>
      <c r="C1738" t="s">
        <v>3</v>
      </c>
      <c r="D1738" t="s">
        <v>4</v>
      </c>
      <c r="E1738" t="s">
        <v>21</v>
      </c>
      <c r="F1738" s="6">
        <v>201201993</v>
      </c>
      <c r="G1738" t="s">
        <v>964</v>
      </c>
      <c r="H1738" t="s">
        <v>285</v>
      </c>
      <c r="I1738">
        <v>0</v>
      </c>
      <c r="J1738">
        <v>0</v>
      </c>
      <c r="K1738">
        <v>0</v>
      </c>
      <c r="L1738">
        <v>0</v>
      </c>
      <c r="M1738">
        <v>0.2</v>
      </c>
      <c r="N1738" s="7" t="e">
        <f>VLOOKUP(F1738,HC!A$6:D$100,3,FALSE)</f>
        <v>#N/A</v>
      </c>
      <c r="O1738" s="7" t="e">
        <f>VLOOKUP(F1738,HC!A$6:D$1000,2,FALSE)</f>
        <v>#N/A</v>
      </c>
      <c r="P1738" t="s">
        <v>665</v>
      </c>
      <c r="Q1738" s="7" t="s">
        <v>722</v>
      </c>
      <c r="U1738">
        <f t="shared" si="29"/>
        <v>1395</v>
      </c>
    </row>
    <row r="1739" spans="1:21" ht="37.5" customHeight="1" x14ac:dyDescent="0.25">
      <c r="A1739" s="30">
        <v>45062</v>
      </c>
      <c r="B1739" s="13">
        <v>20</v>
      </c>
      <c r="C1739" t="s">
        <v>3</v>
      </c>
      <c r="D1739" t="s">
        <v>4</v>
      </c>
      <c r="E1739" t="s">
        <v>21</v>
      </c>
      <c r="F1739" s="6">
        <v>201204937</v>
      </c>
      <c r="G1739" t="s">
        <v>935</v>
      </c>
      <c r="H1739" t="s">
        <v>17</v>
      </c>
      <c r="I1739">
        <v>0</v>
      </c>
      <c r="J1739">
        <v>0</v>
      </c>
      <c r="K1739">
        <v>0</v>
      </c>
      <c r="L1739">
        <v>0</v>
      </c>
      <c r="M1739">
        <v>0.17</v>
      </c>
      <c r="N1739" s="7" t="e">
        <f>VLOOKUP(F1739,HC!A$6:D$100,3,FALSE)</f>
        <v>#N/A</v>
      </c>
      <c r="O1739" s="7" t="e">
        <f>VLOOKUP(F1739,HC!A$6:D$1000,2,FALSE)</f>
        <v>#N/A</v>
      </c>
      <c r="P1739" t="s">
        <v>661</v>
      </c>
      <c r="Q1739" s="7" t="s">
        <v>681</v>
      </c>
      <c r="U1739">
        <f t="shared" si="29"/>
        <v>1395</v>
      </c>
    </row>
    <row r="1740" spans="1:21" ht="37.5" customHeight="1" x14ac:dyDescent="0.25">
      <c r="A1740" s="30">
        <v>45062</v>
      </c>
      <c r="B1740" s="13">
        <v>20</v>
      </c>
      <c r="C1740" t="s">
        <v>3</v>
      </c>
      <c r="D1740" t="s">
        <v>4</v>
      </c>
      <c r="E1740" t="s">
        <v>21</v>
      </c>
      <c r="F1740" s="6">
        <v>201329529</v>
      </c>
      <c r="G1740" t="s">
        <v>1069</v>
      </c>
      <c r="H1740" t="s">
        <v>263</v>
      </c>
      <c r="I1740">
        <v>0</v>
      </c>
      <c r="J1740">
        <v>0</v>
      </c>
      <c r="K1740">
        <v>0</v>
      </c>
      <c r="L1740">
        <v>0</v>
      </c>
      <c r="M1740">
        <v>1.1100000000000001</v>
      </c>
      <c r="N1740" s="7" t="e">
        <f>VLOOKUP(F1740,HC!A$6:D$100,3,FALSE)</f>
        <v>#N/A</v>
      </c>
      <c r="O1740" s="7" t="e">
        <f>VLOOKUP(F1740,HC!A$6:D$1000,2,FALSE)</f>
        <v>#N/A</v>
      </c>
      <c r="P1740" t="s">
        <v>664</v>
      </c>
      <c r="Q1740" s="7" t="s">
        <v>710</v>
      </c>
      <c r="U1740">
        <f t="shared" si="29"/>
        <v>1395</v>
      </c>
    </row>
    <row r="1741" spans="1:21" ht="37.5" customHeight="1" x14ac:dyDescent="0.25">
      <c r="A1741" s="30">
        <v>45062</v>
      </c>
      <c r="B1741" s="13">
        <v>20</v>
      </c>
      <c r="C1741" t="s">
        <v>3</v>
      </c>
      <c r="D1741" t="s">
        <v>4</v>
      </c>
      <c r="E1741" t="s">
        <v>21</v>
      </c>
      <c r="F1741" s="6">
        <v>201345774</v>
      </c>
      <c r="G1741" t="s">
        <v>1070</v>
      </c>
      <c r="H1741" t="s">
        <v>44</v>
      </c>
      <c r="I1741">
        <v>0</v>
      </c>
      <c r="J1741">
        <v>0</v>
      </c>
      <c r="K1741">
        <v>0</v>
      </c>
      <c r="L1741">
        <v>0</v>
      </c>
      <c r="M1741">
        <v>0.2</v>
      </c>
      <c r="N1741" s="7" t="e">
        <f>VLOOKUP(F1741,HC!A$6:D$100,3,FALSE)</f>
        <v>#N/A</v>
      </c>
      <c r="O1741" s="7" t="str">
        <f>VLOOKUP(F1741,HC!A$6:D$1000,2,FALSE)</f>
        <v>jonquija</v>
      </c>
      <c r="P1741" t="s">
        <v>668</v>
      </c>
      <c r="Q1741" s="7" t="s">
        <v>732</v>
      </c>
      <c r="U1741">
        <f t="shared" si="29"/>
        <v>19</v>
      </c>
    </row>
    <row r="1742" spans="1:21" ht="37.5" customHeight="1" x14ac:dyDescent="0.25">
      <c r="A1742" s="30">
        <v>45062</v>
      </c>
      <c r="B1742" s="13">
        <v>20</v>
      </c>
      <c r="C1742" t="s">
        <v>3</v>
      </c>
      <c r="D1742" t="s">
        <v>4</v>
      </c>
      <c r="E1742" t="s">
        <v>21</v>
      </c>
      <c r="F1742" s="6">
        <v>201354931</v>
      </c>
      <c r="G1742" t="s">
        <v>1071</v>
      </c>
      <c r="H1742" t="s">
        <v>253</v>
      </c>
      <c r="I1742">
        <v>0</v>
      </c>
      <c r="J1742">
        <v>0</v>
      </c>
      <c r="K1742">
        <v>0</v>
      </c>
      <c r="L1742">
        <v>0</v>
      </c>
      <c r="M1742">
        <v>0.56000000000000005</v>
      </c>
      <c r="N1742" s="7" t="e">
        <f>VLOOKUP(F1742,HC!A$6:D$100,3,FALSE)</f>
        <v>#N/A</v>
      </c>
      <c r="O1742" s="7" t="e">
        <f>VLOOKUP(F1742,HC!A$6:D$1000,2,FALSE)</f>
        <v>#N/A</v>
      </c>
      <c r="P1742" t="s">
        <v>668</v>
      </c>
      <c r="Q1742" s="7" t="s">
        <v>732</v>
      </c>
      <c r="U1742">
        <f t="shared" si="29"/>
        <v>1395</v>
      </c>
    </row>
    <row r="1743" spans="1:21" ht="37.5" customHeight="1" x14ac:dyDescent="0.25">
      <c r="A1743" s="30">
        <v>45062</v>
      </c>
      <c r="B1743" s="13">
        <v>20</v>
      </c>
      <c r="C1743" t="s">
        <v>3</v>
      </c>
      <c r="D1743" t="s">
        <v>4</v>
      </c>
      <c r="E1743" t="s">
        <v>21</v>
      </c>
      <c r="F1743" s="6">
        <v>201355246</v>
      </c>
      <c r="G1743" t="s">
        <v>1000</v>
      </c>
      <c r="H1743" t="s">
        <v>263</v>
      </c>
      <c r="I1743">
        <v>0</v>
      </c>
      <c r="J1743">
        <v>0</v>
      </c>
      <c r="K1743">
        <v>0</v>
      </c>
      <c r="L1743">
        <v>0</v>
      </c>
      <c r="M1743">
        <v>0.81</v>
      </c>
      <c r="N1743" s="7" t="e">
        <f>VLOOKUP(F1743,HC!A$6:D$100,3,FALSE)</f>
        <v>#N/A</v>
      </c>
      <c r="O1743" s="7" t="e">
        <f>VLOOKUP(F1743,HC!A$6:D$1000,2,FALSE)</f>
        <v>#N/A</v>
      </c>
      <c r="P1743" t="s">
        <v>666</v>
      </c>
      <c r="Q1743" s="7"/>
      <c r="R1743" t="s">
        <v>1077</v>
      </c>
      <c r="U1743">
        <f t="shared" si="29"/>
        <v>1395</v>
      </c>
    </row>
    <row r="1744" spans="1:21" ht="37.5" customHeight="1" x14ac:dyDescent="0.25">
      <c r="A1744" s="30">
        <v>45062</v>
      </c>
      <c r="B1744" s="13">
        <v>20</v>
      </c>
      <c r="C1744" t="s">
        <v>3</v>
      </c>
      <c r="D1744" t="s">
        <v>4</v>
      </c>
      <c r="E1744" t="s">
        <v>21</v>
      </c>
      <c r="F1744" s="6">
        <v>201363254</v>
      </c>
      <c r="G1744" t="s">
        <v>1072</v>
      </c>
      <c r="H1744" t="s">
        <v>253</v>
      </c>
      <c r="I1744">
        <v>0</v>
      </c>
      <c r="J1744">
        <v>0</v>
      </c>
      <c r="K1744">
        <v>0</v>
      </c>
      <c r="L1744">
        <v>0</v>
      </c>
      <c r="M1744">
        <v>0.79</v>
      </c>
      <c r="N1744" s="7" t="e">
        <f>VLOOKUP(F1744,HC!A$6:D$100,3,FALSE)</f>
        <v>#N/A</v>
      </c>
      <c r="O1744" s="7" t="str">
        <f>VLOOKUP(F1744,HC!A$6:D$1000,2,FALSE)</f>
        <v>fwraziel</v>
      </c>
      <c r="P1744" t="s">
        <v>661</v>
      </c>
      <c r="Q1744" s="7" t="s">
        <v>684</v>
      </c>
      <c r="U1744">
        <f t="shared" si="29"/>
        <v>7</v>
      </c>
    </row>
    <row r="1745" spans="1:21" ht="37.5" customHeight="1" x14ac:dyDescent="0.25">
      <c r="A1745" s="30">
        <v>45062</v>
      </c>
      <c r="B1745" s="13">
        <v>20</v>
      </c>
      <c r="C1745" t="s">
        <v>3</v>
      </c>
      <c r="D1745" t="s">
        <v>4</v>
      </c>
      <c r="E1745" t="s">
        <v>21</v>
      </c>
      <c r="F1745" s="6">
        <v>201378614</v>
      </c>
      <c r="G1745" t="s">
        <v>1046</v>
      </c>
      <c r="H1745" t="s">
        <v>1040</v>
      </c>
      <c r="I1745">
        <v>0</v>
      </c>
      <c r="J1745">
        <v>0</v>
      </c>
      <c r="K1745">
        <v>0</v>
      </c>
      <c r="L1745">
        <v>0</v>
      </c>
      <c r="M1745">
        <v>0.17</v>
      </c>
      <c r="N1745" s="7" t="e">
        <f>VLOOKUP(F1745,HC!A$6:D$100,3,FALSE)</f>
        <v>#N/A</v>
      </c>
      <c r="O1745" s="7" t="e">
        <f>VLOOKUP(F1745,HC!A$6:D$1000,2,FALSE)</f>
        <v>#N/A</v>
      </c>
      <c r="P1745" t="s">
        <v>664</v>
      </c>
      <c r="Q1745" s="7" t="s">
        <v>716</v>
      </c>
      <c r="U1745">
        <f t="shared" si="29"/>
        <v>1395</v>
      </c>
    </row>
    <row r="1746" spans="1:21" ht="37.5" customHeight="1" x14ac:dyDescent="0.25">
      <c r="A1746" s="30">
        <v>45062</v>
      </c>
      <c r="B1746" s="13">
        <v>20</v>
      </c>
      <c r="C1746" t="s">
        <v>3</v>
      </c>
      <c r="D1746" t="s">
        <v>4</v>
      </c>
      <c r="E1746" t="s">
        <v>21</v>
      </c>
      <c r="F1746" s="6">
        <v>201402060</v>
      </c>
      <c r="G1746" t="s">
        <v>1057</v>
      </c>
      <c r="H1746" t="s">
        <v>1040</v>
      </c>
      <c r="I1746">
        <v>0</v>
      </c>
      <c r="J1746">
        <v>0</v>
      </c>
      <c r="K1746">
        <v>0</v>
      </c>
      <c r="L1746">
        <v>0</v>
      </c>
      <c r="M1746">
        <v>0.53</v>
      </c>
      <c r="N1746" s="7" t="e">
        <f>VLOOKUP(F1746,HC!A$6:D$100,3,FALSE)</f>
        <v>#N/A</v>
      </c>
      <c r="O1746" s="7" t="e">
        <f>VLOOKUP(F1746,HC!A$6:D$1000,2,FALSE)</f>
        <v>#N/A</v>
      </c>
      <c r="P1746" t="s">
        <v>664</v>
      </c>
      <c r="Q1746" s="7" t="s">
        <v>708</v>
      </c>
      <c r="U1746">
        <f t="shared" si="29"/>
        <v>1395</v>
      </c>
    </row>
    <row r="1747" spans="1:21" ht="37.5" customHeight="1" x14ac:dyDescent="0.25">
      <c r="A1747" s="30">
        <v>45063</v>
      </c>
      <c r="B1747" s="13">
        <v>20</v>
      </c>
      <c r="C1747" t="s">
        <v>3</v>
      </c>
      <c r="D1747" t="s">
        <v>4</v>
      </c>
      <c r="E1747" t="s">
        <v>21</v>
      </c>
      <c r="F1747" s="6">
        <v>112912067</v>
      </c>
      <c r="G1747" t="s">
        <v>921</v>
      </c>
      <c r="H1747" t="s">
        <v>44</v>
      </c>
      <c r="I1747">
        <v>0</v>
      </c>
      <c r="J1747">
        <v>0</v>
      </c>
      <c r="K1747">
        <v>0</v>
      </c>
      <c r="L1747">
        <v>0</v>
      </c>
      <c r="M1747">
        <v>1.65</v>
      </c>
      <c r="N1747" s="7" t="e">
        <f>VLOOKUP(F1747,HC!A$6:D$100,3,FALSE)</f>
        <v>#N/A</v>
      </c>
      <c r="O1747" s="7" t="e">
        <f>VLOOKUP(F1747,HC!A$6:D$1000,2,FALSE)</f>
        <v>#N/A</v>
      </c>
      <c r="P1747" t="s">
        <v>661</v>
      </c>
      <c r="Q1747" s="7" t="s">
        <v>681</v>
      </c>
      <c r="U1747">
        <f t="shared" si="29"/>
        <v>1395</v>
      </c>
    </row>
    <row r="1748" spans="1:21" ht="37.5" customHeight="1" x14ac:dyDescent="0.25">
      <c r="A1748" s="30">
        <v>45063</v>
      </c>
      <c r="B1748" s="13">
        <v>20</v>
      </c>
      <c r="C1748" t="s">
        <v>3</v>
      </c>
      <c r="D1748" t="s">
        <v>4</v>
      </c>
      <c r="E1748" t="s">
        <v>5</v>
      </c>
      <c r="F1748" s="6">
        <v>112912071</v>
      </c>
      <c r="G1748" t="s">
        <v>918</v>
      </c>
      <c r="H1748" t="s">
        <v>268</v>
      </c>
      <c r="I1748">
        <v>0</v>
      </c>
      <c r="J1748">
        <v>0</v>
      </c>
      <c r="K1748">
        <v>0</v>
      </c>
      <c r="L1748">
        <v>0</v>
      </c>
      <c r="M1748">
        <v>0.67</v>
      </c>
      <c r="N1748" s="7" t="e">
        <f>VLOOKUP(F1748,HC!A$6:D$100,3,FALSE)</f>
        <v>#N/A</v>
      </c>
      <c r="O1748" s="7" t="e">
        <f>VLOOKUP(F1748,HC!A$6:D$1000,2,FALSE)</f>
        <v>#N/A</v>
      </c>
      <c r="P1748" t="s">
        <v>675</v>
      </c>
      <c r="Q1748" s="7"/>
      <c r="U1748">
        <f t="shared" si="29"/>
        <v>1395</v>
      </c>
    </row>
    <row r="1749" spans="1:21" ht="37.5" customHeight="1" x14ac:dyDescent="0.25">
      <c r="A1749" s="30">
        <v>45063</v>
      </c>
      <c r="B1749" s="13">
        <v>20</v>
      </c>
      <c r="C1749" t="s">
        <v>3</v>
      </c>
      <c r="D1749" t="s">
        <v>4</v>
      </c>
      <c r="E1749" t="s">
        <v>5</v>
      </c>
      <c r="F1749" s="6">
        <v>112912663</v>
      </c>
      <c r="G1749" t="s">
        <v>8</v>
      </c>
      <c r="H1749" t="s">
        <v>403</v>
      </c>
      <c r="I1749">
        <v>0</v>
      </c>
      <c r="J1749">
        <v>0</v>
      </c>
      <c r="K1749">
        <v>0</v>
      </c>
      <c r="L1749">
        <v>0</v>
      </c>
      <c r="M1749">
        <v>0.17</v>
      </c>
      <c r="N1749" s="7" t="e">
        <f>VLOOKUP(F1749,HC!A$6:D$100,3,FALSE)</f>
        <v>#N/A</v>
      </c>
      <c r="O1749" s="7" t="e">
        <f>VLOOKUP(F1749,HC!A$6:D$1000,2,FALSE)</f>
        <v>#N/A</v>
      </c>
      <c r="P1749" t="s">
        <v>662</v>
      </c>
      <c r="Q1749" s="7" t="s">
        <v>687</v>
      </c>
      <c r="U1749">
        <f t="shared" si="29"/>
        <v>1395</v>
      </c>
    </row>
    <row r="1750" spans="1:21" ht="37.5" customHeight="1" x14ac:dyDescent="0.25">
      <c r="A1750" s="30">
        <v>45063</v>
      </c>
      <c r="B1750" s="13">
        <v>20</v>
      </c>
      <c r="C1750" t="s">
        <v>3</v>
      </c>
      <c r="D1750" t="s">
        <v>4</v>
      </c>
      <c r="E1750" t="s">
        <v>5</v>
      </c>
      <c r="F1750" s="6">
        <v>112912745</v>
      </c>
      <c r="G1750" t="s">
        <v>478</v>
      </c>
      <c r="H1750" t="s">
        <v>268</v>
      </c>
      <c r="I1750">
        <v>0</v>
      </c>
      <c r="J1750">
        <v>0</v>
      </c>
      <c r="K1750">
        <v>0</v>
      </c>
      <c r="L1750">
        <v>0</v>
      </c>
      <c r="M1750">
        <v>0.59</v>
      </c>
      <c r="N1750" s="7" t="str">
        <f>VLOOKUP(F1750,HC!A$6:D$100,3,FALSE)</f>
        <v>DA-X0700</v>
      </c>
      <c r="O1750" s="7" t="str">
        <f>VLOOKUP(F1750,HC!A$6:D$1000,2,FALSE)</f>
        <v>nalexgom</v>
      </c>
      <c r="P1750" t="s">
        <v>664</v>
      </c>
      <c r="Q1750" s="7" t="s">
        <v>771</v>
      </c>
      <c r="U1750">
        <f t="shared" si="29"/>
        <v>22</v>
      </c>
    </row>
    <row r="1751" spans="1:21" ht="37.5" customHeight="1" x14ac:dyDescent="0.25">
      <c r="A1751" s="30">
        <v>45063</v>
      </c>
      <c r="B1751" s="13">
        <v>20</v>
      </c>
      <c r="C1751" t="s">
        <v>3</v>
      </c>
      <c r="D1751" t="s">
        <v>4</v>
      </c>
      <c r="E1751" t="s">
        <v>5</v>
      </c>
      <c r="F1751" s="6">
        <v>112912752</v>
      </c>
      <c r="G1751" t="s">
        <v>251</v>
      </c>
      <c r="H1751" t="s">
        <v>268</v>
      </c>
      <c r="I1751">
        <v>0</v>
      </c>
      <c r="J1751">
        <v>0</v>
      </c>
      <c r="K1751">
        <v>0</v>
      </c>
      <c r="L1751">
        <v>0</v>
      </c>
      <c r="M1751">
        <v>1.74</v>
      </c>
      <c r="N1751" s="7" t="str">
        <f>VLOOKUP(F1751,HC!A$6:D$100,3,FALSE)</f>
        <v>NF-X1900</v>
      </c>
      <c r="O1751" s="7" t="str">
        <f>VLOOKUP(F1751,HC!A$6:D$1000,2,FALSE)</f>
        <v>valderle</v>
      </c>
      <c r="P1751" t="s">
        <v>664</v>
      </c>
      <c r="Q1751" s="7" t="s">
        <v>709</v>
      </c>
      <c r="U1751">
        <f t="shared" si="29"/>
        <v>50</v>
      </c>
    </row>
    <row r="1752" spans="1:21" ht="37.5" customHeight="1" x14ac:dyDescent="0.25">
      <c r="A1752" s="30">
        <v>45063</v>
      </c>
      <c r="B1752" s="13">
        <v>20</v>
      </c>
      <c r="C1752" t="s">
        <v>3</v>
      </c>
      <c r="D1752" t="s">
        <v>4</v>
      </c>
      <c r="E1752" t="s">
        <v>5</v>
      </c>
      <c r="F1752" s="6">
        <v>112912753</v>
      </c>
      <c r="G1752" t="s">
        <v>415</v>
      </c>
      <c r="H1752" t="s">
        <v>298</v>
      </c>
      <c r="I1752">
        <v>0</v>
      </c>
      <c r="J1752">
        <v>0</v>
      </c>
      <c r="K1752">
        <v>0</v>
      </c>
      <c r="L1752">
        <v>0</v>
      </c>
      <c r="M1752">
        <v>0.4</v>
      </c>
      <c r="N1752" s="7" t="e">
        <f>VLOOKUP(F1752,HC!A$6:D$100,3,FALSE)</f>
        <v>#N/A</v>
      </c>
      <c r="O1752" s="7" t="e">
        <f>VLOOKUP(F1752,HC!A$6:D$1000,2,FALSE)</f>
        <v>#N/A</v>
      </c>
      <c r="P1752" t="s">
        <v>665</v>
      </c>
      <c r="Q1752" s="7" t="s">
        <v>722</v>
      </c>
      <c r="U1752">
        <f t="shared" si="29"/>
        <v>1395</v>
      </c>
    </row>
    <row r="1753" spans="1:21" ht="37.5" customHeight="1" x14ac:dyDescent="0.25">
      <c r="A1753" s="30">
        <v>45063</v>
      </c>
      <c r="B1753" s="13">
        <v>20</v>
      </c>
      <c r="C1753" t="s">
        <v>3</v>
      </c>
      <c r="D1753" t="s">
        <v>4</v>
      </c>
      <c r="E1753" t="s">
        <v>5</v>
      </c>
      <c r="F1753" s="6">
        <v>112971980</v>
      </c>
      <c r="G1753" t="s">
        <v>445</v>
      </c>
      <c r="H1753" t="s">
        <v>282</v>
      </c>
      <c r="I1753">
        <v>0</v>
      </c>
      <c r="J1753">
        <v>0</v>
      </c>
      <c r="K1753">
        <v>0</v>
      </c>
      <c r="L1753">
        <v>0</v>
      </c>
      <c r="M1753">
        <v>0.3</v>
      </c>
      <c r="N1753" s="7" t="str">
        <f>VLOOKUP(F1753,HC!A$6:D$100,3,FALSE)</f>
        <v>DC-X0700</v>
      </c>
      <c r="O1753" s="7" t="str">
        <f>VLOOKUP(F1753,HC!A$6:D$1000,2,FALSE)</f>
        <v>cdanirom</v>
      </c>
      <c r="P1753" t="s">
        <v>661</v>
      </c>
      <c r="Q1753" s="7" t="s">
        <v>681</v>
      </c>
      <c r="U1753">
        <f t="shared" si="29"/>
        <v>25</v>
      </c>
    </row>
    <row r="1754" spans="1:21" ht="37.5" customHeight="1" x14ac:dyDescent="0.25">
      <c r="A1754" s="30">
        <v>45063</v>
      </c>
      <c r="B1754" s="13">
        <v>20</v>
      </c>
      <c r="C1754" t="s">
        <v>3</v>
      </c>
      <c r="D1754" t="s">
        <v>4</v>
      </c>
      <c r="E1754" t="s">
        <v>5</v>
      </c>
      <c r="F1754" s="6">
        <v>112972608</v>
      </c>
      <c r="G1754" t="s">
        <v>510</v>
      </c>
      <c r="H1754" t="s">
        <v>282</v>
      </c>
      <c r="I1754">
        <v>0</v>
      </c>
      <c r="J1754">
        <v>0</v>
      </c>
      <c r="K1754">
        <v>0</v>
      </c>
      <c r="L1754">
        <v>0</v>
      </c>
      <c r="M1754">
        <v>0.36</v>
      </c>
      <c r="N1754" s="7" t="e">
        <f>VLOOKUP(F1754,HC!A$6:D$100,3,FALSE)</f>
        <v>#N/A</v>
      </c>
      <c r="O1754" s="7" t="e">
        <f>VLOOKUP(F1754,HC!A$6:D$1000,2,FALSE)</f>
        <v>#N/A</v>
      </c>
      <c r="P1754" t="s">
        <v>668</v>
      </c>
      <c r="Q1754" s="7" t="s">
        <v>730</v>
      </c>
      <c r="U1754">
        <f t="shared" si="29"/>
        <v>1395</v>
      </c>
    </row>
    <row r="1755" spans="1:21" ht="37.5" customHeight="1" x14ac:dyDescent="0.25">
      <c r="A1755" s="30">
        <v>45063</v>
      </c>
      <c r="B1755" s="13">
        <v>20</v>
      </c>
      <c r="C1755" t="s">
        <v>3</v>
      </c>
      <c r="D1755" t="s">
        <v>4</v>
      </c>
      <c r="E1755" t="s">
        <v>5</v>
      </c>
      <c r="F1755" s="6">
        <v>112973049</v>
      </c>
      <c r="G1755" t="s">
        <v>314</v>
      </c>
      <c r="H1755" t="s">
        <v>7</v>
      </c>
      <c r="I1755">
        <v>0</v>
      </c>
      <c r="J1755">
        <v>0</v>
      </c>
      <c r="K1755">
        <v>0</v>
      </c>
      <c r="L1755">
        <v>0</v>
      </c>
      <c r="M1755">
        <v>0.86</v>
      </c>
      <c r="N1755" s="7" t="str">
        <f>VLOOKUP(F1755,HC!A$6:D$100,3,FALSE)</f>
        <v>DB-X0700</v>
      </c>
      <c r="O1755" s="7" t="str">
        <f>VLOOKUP(F1755,HC!A$6:D$1000,2,FALSE)</f>
        <v>afatimae</v>
      </c>
      <c r="P1755" t="s">
        <v>664</v>
      </c>
      <c r="Q1755" s="7" t="s">
        <v>717</v>
      </c>
      <c r="U1755">
        <f t="shared" si="29"/>
        <v>29</v>
      </c>
    </row>
    <row r="1756" spans="1:21" ht="37.5" customHeight="1" x14ac:dyDescent="0.25">
      <c r="A1756" s="30">
        <v>45063</v>
      </c>
      <c r="B1756" s="13">
        <v>20</v>
      </c>
      <c r="C1756" t="s">
        <v>3</v>
      </c>
      <c r="D1756" t="s">
        <v>4</v>
      </c>
      <c r="E1756" t="s">
        <v>5</v>
      </c>
      <c r="F1756" s="6">
        <v>112981212</v>
      </c>
      <c r="G1756" t="s">
        <v>573</v>
      </c>
      <c r="H1756" t="s">
        <v>44</v>
      </c>
      <c r="I1756">
        <v>0</v>
      </c>
      <c r="J1756">
        <v>0</v>
      </c>
      <c r="K1756">
        <v>0</v>
      </c>
      <c r="L1756">
        <v>0</v>
      </c>
      <c r="M1756">
        <v>0.37</v>
      </c>
      <c r="N1756" s="7" t="e">
        <f>VLOOKUP(F1756,HC!A$6:D$100,3,FALSE)</f>
        <v>#N/A</v>
      </c>
      <c r="O1756" s="7" t="str">
        <f>VLOOKUP(F1756,HC!A$6:D$1000,2,FALSE)</f>
        <v>alysonza</v>
      </c>
      <c r="P1756" t="s">
        <v>661</v>
      </c>
      <c r="Q1756" s="7" t="s">
        <v>681</v>
      </c>
      <c r="U1756">
        <f t="shared" si="29"/>
        <v>23</v>
      </c>
    </row>
    <row r="1757" spans="1:21" ht="37.5" customHeight="1" x14ac:dyDescent="0.25">
      <c r="A1757" s="30">
        <v>45063</v>
      </c>
      <c r="B1757" s="13">
        <v>20</v>
      </c>
      <c r="C1757" t="s">
        <v>3</v>
      </c>
      <c r="D1757" t="s">
        <v>4</v>
      </c>
      <c r="E1757" t="s">
        <v>5</v>
      </c>
      <c r="F1757" s="6">
        <v>113014094</v>
      </c>
      <c r="G1757" t="s">
        <v>463</v>
      </c>
      <c r="H1757" t="s">
        <v>44</v>
      </c>
      <c r="I1757">
        <v>0</v>
      </c>
      <c r="J1757">
        <v>0</v>
      </c>
      <c r="K1757">
        <v>0</v>
      </c>
      <c r="L1757">
        <v>0</v>
      </c>
      <c r="M1757">
        <v>0.43</v>
      </c>
      <c r="N1757" s="7" t="e">
        <f>VLOOKUP(F1757,HC!A$6:D$100,3,FALSE)</f>
        <v>#N/A</v>
      </c>
      <c r="O1757" s="7" t="str">
        <f>VLOOKUP(F1757,HC!A$6:D$1000,2,FALSE)</f>
        <v>erikaadm</v>
      </c>
      <c r="P1757" t="s">
        <v>663</v>
      </c>
      <c r="Q1757" s="7" t="s">
        <v>705</v>
      </c>
      <c r="U1757">
        <f t="shared" si="29"/>
        <v>21</v>
      </c>
    </row>
    <row r="1758" spans="1:21" ht="37.5" customHeight="1" x14ac:dyDescent="0.25">
      <c r="A1758" s="30">
        <v>45063</v>
      </c>
      <c r="B1758" s="13">
        <v>20</v>
      </c>
      <c r="C1758" t="s">
        <v>3</v>
      </c>
      <c r="D1758" t="s">
        <v>4</v>
      </c>
      <c r="E1758" t="s">
        <v>21</v>
      </c>
      <c r="F1758" s="6">
        <v>200565197</v>
      </c>
      <c r="G1758" t="s">
        <v>389</v>
      </c>
      <c r="H1758" t="s">
        <v>298</v>
      </c>
      <c r="I1758">
        <v>0</v>
      </c>
      <c r="J1758">
        <v>0</v>
      </c>
      <c r="K1758">
        <v>0</v>
      </c>
      <c r="L1758">
        <v>0</v>
      </c>
      <c r="M1758">
        <v>0.45</v>
      </c>
      <c r="N1758" s="7" t="e">
        <f>VLOOKUP(F1758,HC!A$6:D$100,3,FALSE)</f>
        <v>#N/A</v>
      </c>
      <c r="O1758" s="7" t="e">
        <f>VLOOKUP(F1758,HC!A$6:D$1000,2,FALSE)</f>
        <v>#N/A</v>
      </c>
      <c r="P1758" t="s">
        <v>664</v>
      </c>
      <c r="Q1758" s="7" t="s">
        <v>709</v>
      </c>
      <c r="U1758">
        <f t="shared" si="29"/>
        <v>1395</v>
      </c>
    </row>
    <row r="1759" spans="1:21" ht="37.5" customHeight="1" x14ac:dyDescent="0.25">
      <c r="A1759" s="30">
        <v>45063</v>
      </c>
      <c r="B1759" s="13">
        <v>20</v>
      </c>
      <c r="C1759" t="s">
        <v>3</v>
      </c>
      <c r="D1759" t="s">
        <v>4</v>
      </c>
      <c r="E1759" t="s">
        <v>21</v>
      </c>
      <c r="F1759" s="6">
        <v>200585084</v>
      </c>
      <c r="G1759" t="s">
        <v>493</v>
      </c>
      <c r="H1759" t="s">
        <v>17</v>
      </c>
      <c r="I1759">
        <v>0</v>
      </c>
      <c r="J1759">
        <v>0</v>
      </c>
      <c r="K1759">
        <v>0</v>
      </c>
      <c r="L1759">
        <v>0</v>
      </c>
      <c r="M1759">
        <v>0.47</v>
      </c>
      <c r="N1759" s="7" t="e">
        <f>VLOOKUP(F1759,HC!A$6:D$100,3,FALSE)</f>
        <v>#N/A</v>
      </c>
      <c r="O1759" s="7" t="str">
        <f>VLOOKUP(F1759,HC!A$6:D$1000,2,FALSE)</f>
        <v>tessajvi</v>
      </c>
      <c r="P1759" t="s">
        <v>661</v>
      </c>
      <c r="Q1759" s="7" t="s">
        <v>681</v>
      </c>
      <c r="U1759">
        <f t="shared" si="29"/>
        <v>9</v>
      </c>
    </row>
    <row r="1760" spans="1:21" ht="37.5" customHeight="1" x14ac:dyDescent="0.25">
      <c r="A1760" s="30">
        <v>45063</v>
      </c>
      <c r="B1760" s="13">
        <v>20</v>
      </c>
      <c r="C1760" t="s">
        <v>3</v>
      </c>
      <c r="D1760" t="s">
        <v>4</v>
      </c>
      <c r="E1760" t="s">
        <v>21</v>
      </c>
      <c r="F1760" s="6">
        <v>201160146</v>
      </c>
      <c r="G1760" t="s">
        <v>851</v>
      </c>
      <c r="H1760" t="s">
        <v>44</v>
      </c>
      <c r="I1760">
        <v>0</v>
      </c>
      <c r="J1760">
        <v>0</v>
      </c>
      <c r="K1760">
        <v>0</v>
      </c>
      <c r="L1760">
        <v>0</v>
      </c>
      <c r="M1760">
        <v>0.16</v>
      </c>
      <c r="N1760" s="7" t="e">
        <f>VLOOKUP(F1760,HC!A$6:D$100,3,FALSE)</f>
        <v>#N/A</v>
      </c>
      <c r="O1760" s="7" t="e">
        <f>VLOOKUP(F1760,HC!A$6:D$1000,2,FALSE)</f>
        <v>#N/A</v>
      </c>
      <c r="P1760" t="s">
        <v>665</v>
      </c>
      <c r="Q1760" s="7" t="s">
        <v>722</v>
      </c>
      <c r="U1760">
        <f t="shared" si="29"/>
        <v>1395</v>
      </c>
    </row>
    <row r="1761" spans="1:21" ht="37.5" customHeight="1" x14ac:dyDescent="0.25">
      <c r="A1761" s="30">
        <v>45063</v>
      </c>
      <c r="B1761" s="13">
        <v>20</v>
      </c>
      <c r="C1761" t="s">
        <v>3</v>
      </c>
      <c r="D1761" t="s">
        <v>4</v>
      </c>
      <c r="E1761" t="s">
        <v>21</v>
      </c>
      <c r="F1761" s="6">
        <v>201167501</v>
      </c>
      <c r="G1761" t="s">
        <v>863</v>
      </c>
      <c r="H1761" t="s">
        <v>44</v>
      </c>
      <c r="I1761">
        <v>0</v>
      </c>
      <c r="J1761">
        <v>0</v>
      </c>
      <c r="K1761">
        <v>0</v>
      </c>
      <c r="L1761">
        <v>0</v>
      </c>
      <c r="M1761">
        <v>0.28999999999999998</v>
      </c>
      <c r="N1761" s="7" t="e">
        <f>VLOOKUP(F1761,HC!A$6:D$100,3,FALSE)</f>
        <v>#N/A</v>
      </c>
      <c r="O1761" s="7" t="str">
        <f>VLOOKUP(F1761,HC!A$6:D$1000,2,FALSE)</f>
        <v>wguanajr</v>
      </c>
      <c r="P1761" t="s">
        <v>664</v>
      </c>
      <c r="Q1761" s="7" t="s">
        <v>708</v>
      </c>
      <c r="U1761">
        <f t="shared" si="29"/>
        <v>36</v>
      </c>
    </row>
    <row r="1762" spans="1:21" ht="37.5" customHeight="1" x14ac:dyDescent="0.25">
      <c r="A1762" s="30">
        <v>45063</v>
      </c>
      <c r="B1762" s="13">
        <v>20</v>
      </c>
      <c r="C1762" t="s">
        <v>3</v>
      </c>
      <c r="D1762" t="s">
        <v>4</v>
      </c>
      <c r="E1762" t="s">
        <v>21</v>
      </c>
      <c r="F1762" s="6">
        <v>201167517</v>
      </c>
      <c r="G1762" t="s">
        <v>849</v>
      </c>
      <c r="H1762" t="s">
        <v>44</v>
      </c>
      <c r="I1762">
        <v>0</v>
      </c>
      <c r="J1762">
        <v>0</v>
      </c>
      <c r="K1762">
        <v>0</v>
      </c>
      <c r="L1762">
        <v>0</v>
      </c>
      <c r="M1762">
        <v>0.77</v>
      </c>
      <c r="N1762" s="7" t="e">
        <f>VLOOKUP(F1762,HC!A$6:D$100,3,FALSE)</f>
        <v>#N/A</v>
      </c>
      <c r="O1762" s="7" t="e">
        <f>VLOOKUP(F1762,HC!A$6:D$1000,2,FALSE)</f>
        <v>#N/A</v>
      </c>
      <c r="P1762" t="s">
        <v>664</v>
      </c>
      <c r="Q1762" s="7" t="s">
        <v>711</v>
      </c>
      <c r="U1762">
        <f t="shared" si="29"/>
        <v>1395</v>
      </c>
    </row>
    <row r="1763" spans="1:21" ht="37.5" customHeight="1" x14ac:dyDescent="0.25">
      <c r="A1763" s="30">
        <v>45063</v>
      </c>
      <c r="B1763" s="13">
        <v>20</v>
      </c>
      <c r="C1763" t="s">
        <v>3</v>
      </c>
      <c r="D1763" t="s">
        <v>4</v>
      </c>
      <c r="E1763" t="s">
        <v>21</v>
      </c>
      <c r="F1763" s="6">
        <v>201186833</v>
      </c>
      <c r="G1763" t="s">
        <v>904</v>
      </c>
      <c r="H1763" t="s">
        <v>268</v>
      </c>
      <c r="I1763">
        <v>0</v>
      </c>
      <c r="J1763">
        <v>0</v>
      </c>
      <c r="K1763">
        <v>0</v>
      </c>
      <c r="L1763">
        <v>0</v>
      </c>
      <c r="M1763">
        <v>0.12</v>
      </c>
      <c r="N1763" s="7" t="e">
        <f>VLOOKUP(F1763,HC!A$6:D$100,3,FALSE)</f>
        <v>#N/A</v>
      </c>
      <c r="O1763" s="7" t="str">
        <f>VLOOKUP(F1763,HC!A$6:D$1000,2,FALSE)</f>
        <v>jaalexav</v>
      </c>
      <c r="P1763" t="s">
        <v>661</v>
      </c>
      <c r="Q1763" s="7" t="s">
        <v>681</v>
      </c>
      <c r="U1763">
        <f t="shared" si="29"/>
        <v>16</v>
      </c>
    </row>
    <row r="1764" spans="1:21" ht="37.5" customHeight="1" x14ac:dyDescent="0.25">
      <c r="A1764" s="30">
        <v>45063</v>
      </c>
      <c r="B1764" s="13">
        <v>20</v>
      </c>
      <c r="C1764" t="s">
        <v>3</v>
      </c>
      <c r="D1764" t="s">
        <v>4</v>
      </c>
      <c r="E1764" t="s">
        <v>21</v>
      </c>
      <c r="F1764" s="6">
        <v>201314835</v>
      </c>
      <c r="G1764" t="s">
        <v>1060</v>
      </c>
      <c r="H1764" t="s">
        <v>263</v>
      </c>
      <c r="I1764">
        <v>0</v>
      </c>
      <c r="J1764">
        <v>0</v>
      </c>
      <c r="K1764">
        <v>0</v>
      </c>
      <c r="L1764">
        <v>0</v>
      </c>
      <c r="M1764">
        <v>0.31</v>
      </c>
      <c r="N1764" s="7" t="e">
        <f>VLOOKUP(F1764,HC!A$6:D$100,3,FALSE)</f>
        <v>#N/A</v>
      </c>
      <c r="O1764" s="7" t="e">
        <f>VLOOKUP(F1764,HC!A$6:D$1000,2,FALSE)</f>
        <v>#N/A</v>
      </c>
      <c r="P1764" t="s">
        <v>661</v>
      </c>
      <c r="Q1764" s="7" t="s">
        <v>759</v>
      </c>
      <c r="U1764">
        <f t="shared" si="29"/>
        <v>1395</v>
      </c>
    </row>
    <row r="1765" spans="1:21" ht="37.5" customHeight="1" x14ac:dyDescent="0.25">
      <c r="A1765" s="30">
        <v>45063</v>
      </c>
      <c r="B1765" s="13">
        <v>20</v>
      </c>
      <c r="C1765" t="s">
        <v>3</v>
      </c>
      <c r="D1765" t="s">
        <v>4</v>
      </c>
      <c r="E1765" t="s">
        <v>21</v>
      </c>
      <c r="F1765" s="6">
        <v>201329529</v>
      </c>
      <c r="G1765" t="s">
        <v>1069</v>
      </c>
      <c r="H1765" t="s">
        <v>263</v>
      </c>
      <c r="I1765">
        <v>0</v>
      </c>
      <c r="J1765">
        <v>0</v>
      </c>
      <c r="K1765">
        <v>0</v>
      </c>
      <c r="L1765">
        <v>0</v>
      </c>
      <c r="M1765">
        <v>0.69</v>
      </c>
      <c r="N1765" s="7" t="e">
        <f>VLOOKUP(F1765,HC!A$6:D$100,3,FALSE)</f>
        <v>#N/A</v>
      </c>
      <c r="O1765" s="7" t="e">
        <f>VLOOKUP(F1765,HC!A$6:D$1000,2,FALSE)</f>
        <v>#N/A</v>
      </c>
      <c r="P1765" t="s">
        <v>664</v>
      </c>
      <c r="Q1765" s="7" t="s">
        <v>710</v>
      </c>
      <c r="U1765">
        <f t="shared" si="29"/>
        <v>1395</v>
      </c>
    </row>
    <row r="1766" spans="1:21" ht="37.5" customHeight="1" x14ac:dyDescent="0.25">
      <c r="A1766" s="30">
        <v>45063</v>
      </c>
      <c r="B1766" s="13">
        <v>20</v>
      </c>
      <c r="C1766" t="s">
        <v>3</v>
      </c>
      <c r="D1766" t="s">
        <v>4</v>
      </c>
      <c r="E1766" t="s">
        <v>21</v>
      </c>
      <c r="F1766" s="6">
        <v>201378614</v>
      </c>
      <c r="G1766" t="s">
        <v>1046</v>
      </c>
      <c r="H1766" t="s">
        <v>1040</v>
      </c>
      <c r="I1766">
        <v>0</v>
      </c>
      <c r="J1766">
        <v>0</v>
      </c>
      <c r="K1766">
        <v>0</v>
      </c>
      <c r="L1766">
        <v>0</v>
      </c>
      <c r="M1766">
        <v>0.34</v>
      </c>
      <c r="N1766" s="7" t="e">
        <f>VLOOKUP(F1766,HC!A$6:D$100,3,FALSE)</f>
        <v>#N/A</v>
      </c>
      <c r="O1766" s="7" t="e">
        <f>VLOOKUP(F1766,HC!A$6:D$1000,2,FALSE)</f>
        <v>#N/A</v>
      </c>
      <c r="P1766" t="s">
        <v>666</v>
      </c>
      <c r="Q1766" s="7" t="s">
        <v>774</v>
      </c>
      <c r="U1766">
        <f t="shared" si="29"/>
        <v>1395</v>
      </c>
    </row>
    <row r="1767" spans="1:21" ht="37.5" customHeight="1" x14ac:dyDescent="0.25">
      <c r="A1767" s="30">
        <v>45064</v>
      </c>
      <c r="B1767" s="13">
        <v>20</v>
      </c>
      <c r="C1767" t="s">
        <v>3</v>
      </c>
      <c r="D1767" t="s">
        <v>4</v>
      </c>
      <c r="E1767" t="s">
        <v>5</v>
      </c>
      <c r="F1767" s="6">
        <v>112912163</v>
      </c>
      <c r="G1767" t="s">
        <v>294</v>
      </c>
      <c r="H1767" t="s">
        <v>298</v>
      </c>
      <c r="I1767">
        <v>0</v>
      </c>
      <c r="J1767">
        <v>0</v>
      </c>
      <c r="K1767">
        <v>0</v>
      </c>
      <c r="L1767">
        <v>0</v>
      </c>
      <c r="M1767">
        <v>0.24</v>
      </c>
      <c r="N1767" s="7" t="e">
        <f>VLOOKUP(F1767,HC!A$6:D$100,3,FALSE)</f>
        <v>#N/A</v>
      </c>
      <c r="O1767" s="7" t="e">
        <f>VLOOKUP(F1767,HC!A$6:D$1000,2,FALSE)</f>
        <v>#N/A</v>
      </c>
      <c r="P1767" t="s">
        <v>661</v>
      </c>
      <c r="Q1767" s="7" t="s">
        <v>759</v>
      </c>
      <c r="U1767">
        <f t="shared" si="29"/>
        <v>1395</v>
      </c>
    </row>
    <row r="1768" spans="1:21" ht="37.5" customHeight="1" x14ac:dyDescent="0.25">
      <c r="A1768" s="30">
        <v>45064</v>
      </c>
      <c r="B1768" s="13">
        <v>20</v>
      </c>
      <c r="C1768" t="s">
        <v>3</v>
      </c>
      <c r="D1768" t="s">
        <v>4</v>
      </c>
      <c r="E1768" t="s">
        <v>5</v>
      </c>
      <c r="F1768" s="6">
        <v>112932733</v>
      </c>
      <c r="G1768" t="s">
        <v>595</v>
      </c>
      <c r="H1768" t="s">
        <v>7</v>
      </c>
      <c r="I1768">
        <v>0</v>
      </c>
      <c r="J1768">
        <v>0</v>
      </c>
      <c r="K1768">
        <v>0</v>
      </c>
      <c r="L1768">
        <v>0</v>
      </c>
      <c r="M1768">
        <v>0.25</v>
      </c>
      <c r="N1768" s="7" t="e">
        <f>VLOOKUP(F1768,HC!A$6:D$100,3,FALSE)</f>
        <v>#N/A</v>
      </c>
      <c r="O1768" s="7" t="e">
        <f>VLOOKUP(F1768,HC!A$6:D$1000,2,FALSE)</f>
        <v>#N/A</v>
      </c>
      <c r="P1768" t="s">
        <v>663</v>
      </c>
      <c r="Q1768" s="7" t="s">
        <v>695</v>
      </c>
      <c r="U1768">
        <f t="shared" si="29"/>
        <v>1395</v>
      </c>
    </row>
    <row r="1769" spans="1:21" ht="37.5" customHeight="1" x14ac:dyDescent="0.25">
      <c r="A1769" s="30">
        <v>45064</v>
      </c>
      <c r="B1769" s="13">
        <v>20</v>
      </c>
      <c r="C1769" t="s">
        <v>3</v>
      </c>
      <c r="D1769" t="s">
        <v>4</v>
      </c>
      <c r="E1769" t="s">
        <v>21</v>
      </c>
      <c r="F1769" s="6">
        <v>112950796</v>
      </c>
      <c r="G1769" t="s">
        <v>951</v>
      </c>
      <c r="H1769" t="s">
        <v>268</v>
      </c>
      <c r="I1769">
        <v>0</v>
      </c>
      <c r="J1769">
        <v>0</v>
      </c>
      <c r="K1769">
        <v>0</v>
      </c>
      <c r="L1769">
        <v>0</v>
      </c>
      <c r="M1769">
        <v>0.26</v>
      </c>
      <c r="N1769" s="7" t="e">
        <f>VLOOKUP(F1769,HC!A$6:D$100,3,FALSE)</f>
        <v>#N/A</v>
      </c>
      <c r="O1769" s="7" t="e">
        <f>VLOOKUP(F1769,HC!A$6:D$1000,2,FALSE)</f>
        <v>#N/A</v>
      </c>
      <c r="P1769" t="s">
        <v>664</v>
      </c>
      <c r="Q1769" s="7" t="s">
        <v>711</v>
      </c>
      <c r="U1769">
        <f t="shared" si="29"/>
        <v>1395</v>
      </c>
    </row>
    <row r="1770" spans="1:21" ht="37.5" customHeight="1" x14ac:dyDescent="0.25">
      <c r="A1770" s="30">
        <v>45064</v>
      </c>
      <c r="B1770" s="13">
        <v>20</v>
      </c>
      <c r="C1770" t="s">
        <v>3</v>
      </c>
      <c r="D1770" t="s">
        <v>4</v>
      </c>
      <c r="E1770" t="s">
        <v>5</v>
      </c>
      <c r="F1770" s="6">
        <v>112972608</v>
      </c>
      <c r="G1770" t="s">
        <v>510</v>
      </c>
      <c r="H1770" t="s">
        <v>282</v>
      </c>
      <c r="I1770">
        <v>0</v>
      </c>
      <c r="J1770">
        <v>0</v>
      </c>
      <c r="K1770">
        <v>0</v>
      </c>
      <c r="L1770">
        <v>0</v>
      </c>
      <c r="M1770">
        <v>0.19</v>
      </c>
      <c r="N1770" s="7" t="e">
        <f>VLOOKUP(F1770,HC!A$6:D$100,3,FALSE)</f>
        <v>#N/A</v>
      </c>
      <c r="O1770" s="7" t="e">
        <f>VLOOKUP(F1770,HC!A$6:D$1000,2,FALSE)</f>
        <v>#N/A</v>
      </c>
      <c r="P1770" t="s">
        <v>668</v>
      </c>
      <c r="Q1770" s="7" t="s">
        <v>730</v>
      </c>
      <c r="U1770">
        <f t="shared" si="29"/>
        <v>1395</v>
      </c>
    </row>
    <row r="1771" spans="1:21" ht="37.5" customHeight="1" x14ac:dyDescent="0.25">
      <c r="A1771" s="30">
        <v>45064</v>
      </c>
      <c r="B1771" s="13">
        <v>20</v>
      </c>
      <c r="C1771" t="s">
        <v>3</v>
      </c>
      <c r="D1771" t="s">
        <v>4</v>
      </c>
      <c r="E1771" t="s">
        <v>5</v>
      </c>
      <c r="F1771" s="6">
        <v>112981196</v>
      </c>
      <c r="G1771" t="s">
        <v>328</v>
      </c>
      <c r="H1771" t="s">
        <v>285</v>
      </c>
      <c r="I1771">
        <v>0</v>
      </c>
      <c r="J1771">
        <v>0</v>
      </c>
      <c r="K1771">
        <v>0</v>
      </c>
      <c r="L1771">
        <v>0</v>
      </c>
      <c r="M1771">
        <v>0.14000000000000001</v>
      </c>
      <c r="N1771" s="7" t="e">
        <f>VLOOKUP(F1771,HC!A$6:D$100,3,FALSE)</f>
        <v>#N/A</v>
      </c>
      <c r="O1771" s="7" t="str">
        <f>VLOOKUP(F1771,HC!A$6:D$1000,2,FALSE)</f>
        <v>vandgome</v>
      </c>
      <c r="P1771" t="s">
        <v>665</v>
      </c>
      <c r="Q1771" s="7" t="s">
        <v>722</v>
      </c>
      <c r="U1771">
        <f t="shared" si="29"/>
        <v>24</v>
      </c>
    </row>
    <row r="1772" spans="1:21" ht="37.5" customHeight="1" x14ac:dyDescent="0.25">
      <c r="A1772" s="30">
        <v>45064</v>
      </c>
      <c r="B1772" s="13">
        <v>20</v>
      </c>
      <c r="C1772" t="s">
        <v>3</v>
      </c>
      <c r="D1772" t="s">
        <v>4</v>
      </c>
      <c r="E1772" t="s">
        <v>5</v>
      </c>
      <c r="F1772" s="6">
        <v>113004099</v>
      </c>
      <c r="G1772" t="s">
        <v>542</v>
      </c>
      <c r="H1772" t="s">
        <v>7</v>
      </c>
      <c r="I1772">
        <v>0</v>
      </c>
      <c r="J1772">
        <v>0</v>
      </c>
      <c r="K1772">
        <v>0</v>
      </c>
      <c r="L1772">
        <v>0</v>
      </c>
      <c r="M1772">
        <v>0.12</v>
      </c>
      <c r="N1772" s="7" t="e">
        <f>VLOOKUP(F1772,HC!A$6:D$100,3,FALSE)</f>
        <v>#N/A</v>
      </c>
      <c r="O1772" s="7" t="str">
        <f>VLOOKUP(F1772,HC!A$6:D$1000,2,FALSE)</f>
        <v>partilum</v>
      </c>
      <c r="P1772" t="s">
        <v>664</v>
      </c>
      <c r="Q1772" s="7" t="s">
        <v>708</v>
      </c>
      <c r="U1772">
        <f t="shared" si="29"/>
        <v>8</v>
      </c>
    </row>
    <row r="1773" spans="1:21" ht="37.5" customHeight="1" x14ac:dyDescent="0.25">
      <c r="A1773" s="30">
        <v>45064</v>
      </c>
      <c r="B1773" s="13">
        <v>20</v>
      </c>
      <c r="C1773" t="s">
        <v>3</v>
      </c>
      <c r="D1773" t="s">
        <v>4</v>
      </c>
      <c r="E1773" t="s">
        <v>5</v>
      </c>
      <c r="F1773" s="6">
        <v>113014092</v>
      </c>
      <c r="G1773" t="s">
        <v>552</v>
      </c>
      <c r="H1773" t="s">
        <v>7</v>
      </c>
      <c r="I1773">
        <v>0</v>
      </c>
      <c r="J1773">
        <v>0</v>
      </c>
      <c r="K1773">
        <v>0</v>
      </c>
      <c r="L1773">
        <v>0</v>
      </c>
      <c r="M1773">
        <v>0.35</v>
      </c>
      <c r="N1773" s="7" t="e">
        <f>VLOOKUP(F1773,HC!A$6:D$100,3,FALSE)</f>
        <v>#N/A</v>
      </c>
      <c r="O1773" s="7" t="str">
        <f>VLOOKUP(F1773,HC!A$6:D$1000,2,FALSE)</f>
        <v>rsanccri</v>
      </c>
      <c r="P1773" t="s">
        <v>670</v>
      </c>
      <c r="Q1773" s="7" t="s">
        <v>763</v>
      </c>
      <c r="R1773" t="s">
        <v>1082</v>
      </c>
      <c r="U1773">
        <f t="shared" si="29"/>
        <v>11</v>
      </c>
    </row>
    <row r="1774" spans="1:21" ht="37.5" customHeight="1" x14ac:dyDescent="0.25">
      <c r="A1774" s="30">
        <v>45064</v>
      </c>
      <c r="B1774" s="13">
        <v>20</v>
      </c>
      <c r="C1774" t="s">
        <v>3</v>
      </c>
      <c r="D1774" t="s">
        <v>4</v>
      </c>
      <c r="E1774" t="s">
        <v>21</v>
      </c>
      <c r="F1774" s="6">
        <v>200508315</v>
      </c>
      <c r="G1774" t="s">
        <v>428</v>
      </c>
      <c r="H1774" t="s">
        <v>7</v>
      </c>
      <c r="I1774">
        <v>0</v>
      </c>
      <c r="J1774">
        <v>0</v>
      </c>
      <c r="K1774">
        <v>0</v>
      </c>
      <c r="L1774">
        <v>0</v>
      </c>
      <c r="M1774">
        <v>0.22</v>
      </c>
      <c r="N1774" s="7" t="e">
        <f>VLOOKUP(F1774,HC!A$6:D$100,3,FALSE)</f>
        <v>#N/A</v>
      </c>
      <c r="O1774" s="7" t="str">
        <f>VLOOKUP(F1774,HC!A$6:D$1000,2,FALSE)</f>
        <v>taldaher</v>
      </c>
      <c r="P1774" t="s">
        <v>662</v>
      </c>
      <c r="Q1774" s="7" t="s">
        <v>688</v>
      </c>
      <c r="U1774">
        <f t="shared" si="29"/>
        <v>18</v>
      </c>
    </row>
    <row r="1775" spans="1:21" ht="37.5" customHeight="1" x14ac:dyDescent="0.25">
      <c r="A1775" s="30">
        <v>45064</v>
      </c>
      <c r="B1775" s="13">
        <v>20</v>
      </c>
      <c r="C1775" t="s">
        <v>3</v>
      </c>
      <c r="D1775" t="s">
        <v>4</v>
      </c>
      <c r="E1775" t="s">
        <v>21</v>
      </c>
      <c r="F1775" s="6">
        <v>201166890</v>
      </c>
      <c r="G1775" t="s">
        <v>998</v>
      </c>
      <c r="H1775" t="s">
        <v>298</v>
      </c>
      <c r="I1775">
        <v>0</v>
      </c>
      <c r="J1775">
        <v>0</v>
      </c>
      <c r="K1775">
        <v>0</v>
      </c>
      <c r="L1775">
        <v>0</v>
      </c>
      <c r="M1775">
        <v>0.18</v>
      </c>
      <c r="N1775" s="7" t="e">
        <f>VLOOKUP(F1775,HC!A$6:D$100,3,FALSE)</f>
        <v>#N/A</v>
      </c>
      <c r="O1775" s="7" t="str">
        <f>VLOOKUP(F1775,HC!A$6:D$1000,2,FALSE)</f>
        <v>lcabadan</v>
      </c>
      <c r="P1775" t="s">
        <v>661</v>
      </c>
      <c r="Q1775" s="7" t="s">
        <v>700</v>
      </c>
      <c r="U1775">
        <f t="shared" si="29"/>
        <v>24</v>
      </c>
    </row>
    <row r="1776" spans="1:21" ht="37.5" customHeight="1" x14ac:dyDescent="0.25">
      <c r="A1776" s="30">
        <v>45064</v>
      </c>
      <c r="B1776" s="13">
        <v>20</v>
      </c>
      <c r="C1776" t="s">
        <v>3</v>
      </c>
      <c r="D1776" t="s">
        <v>4</v>
      </c>
      <c r="E1776" t="s">
        <v>21</v>
      </c>
      <c r="F1776" s="6">
        <v>201409070</v>
      </c>
      <c r="G1776" t="s">
        <v>1078</v>
      </c>
      <c r="H1776" t="s">
        <v>47</v>
      </c>
      <c r="I1776">
        <v>0</v>
      </c>
      <c r="J1776">
        <v>0</v>
      </c>
      <c r="K1776">
        <v>0</v>
      </c>
      <c r="L1776">
        <v>0</v>
      </c>
      <c r="M1776">
        <v>0.23</v>
      </c>
      <c r="N1776" s="7" t="e">
        <f>VLOOKUP(F1776,HC!A$6:D$100,3,FALSE)</f>
        <v>#N/A</v>
      </c>
      <c r="O1776" s="7" t="e">
        <f>VLOOKUP(F1776,HC!A$6:D$1000,2,FALSE)</f>
        <v>#N/A</v>
      </c>
      <c r="Q1776" s="7"/>
      <c r="U1776">
        <f t="shared" si="29"/>
        <v>1395</v>
      </c>
    </row>
    <row r="1777" spans="1:21" ht="37.5" customHeight="1" x14ac:dyDescent="0.25">
      <c r="A1777" s="30">
        <v>45064</v>
      </c>
      <c r="B1777" s="13">
        <v>20</v>
      </c>
      <c r="C1777" t="s">
        <v>3</v>
      </c>
      <c r="D1777" t="s">
        <v>438</v>
      </c>
      <c r="E1777" t="s">
        <v>21</v>
      </c>
      <c r="F1777" s="6">
        <v>201355246</v>
      </c>
      <c r="G1777" t="s">
        <v>1000</v>
      </c>
      <c r="H1777" t="s">
        <v>263</v>
      </c>
      <c r="I1777">
        <v>0</v>
      </c>
      <c r="J1777">
        <v>0</v>
      </c>
      <c r="K1777">
        <v>0</v>
      </c>
      <c r="L1777">
        <v>0</v>
      </c>
      <c r="M1777">
        <v>1.04</v>
      </c>
      <c r="N1777" s="7" t="e">
        <f>VLOOKUP(F1777,HC!A$6:D$100,3,FALSE)</f>
        <v>#N/A</v>
      </c>
      <c r="O1777" s="7" t="e">
        <f>VLOOKUP(F1777,HC!A$6:D$1000,2,FALSE)</f>
        <v>#N/A</v>
      </c>
      <c r="P1777" t="s">
        <v>675</v>
      </c>
      <c r="Q1777" s="7"/>
      <c r="U1777">
        <f t="shared" si="29"/>
        <v>1395</v>
      </c>
    </row>
    <row r="1778" spans="1:21" ht="37.5" customHeight="1" x14ac:dyDescent="0.25">
      <c r="A1778" s="30">
        <v>45065</v>
      </c>
      <c r="B1778" s="13">
        <v>20</v>
      </c>
      <c r="C1778" t="s">
        <v>3</v>
      </c>
      <c r="D1778" t="s">
        <v>4</v>
      </c>
      <c r="E1778" t="s">
        <v>5</v>
      </c>
      <c r="F1778" s="6">
        <v>112912675</v>
      </c>
      <c r="G1778" t="s">
        <v>326</v>
      </c>
      <c r="H1778" t="s">
        <v>49</v>
      </c>
      <c r="I1778">
        <v>0</v>
      </c>
      <c r="J1778">
        <v>0</v>
      </c>
      <c r="K1778">
        <v>0</v>
      </c>
      <c r="L1778">
        <v>0</v>
      </c>
      <c r="M1778">
        <v>0.24</v>
      </c>
      <c r="N1778" s="7" t="e">
        <f>VLOOKUP(F1778,HC!A$6:D$100,3,FALSE)</f>
        <v>#N/A</v>
      </c>
      <c r="O1778" s="7" t="e">
        <f>VLOOKUP(F1778,HC!A$6:D$1000,2,FALSE)</f>
        <v>#N/A</v>
      </c>
      <c r="P1778" t="s">
        <v>661</v>
      </c>
      <c r="Q1778" s="7" t="s">
        <v>681</v>
      </c>
      <c r="U1778">
        <f t="shared" si="29"/>
        <v>1395</v>
      </c>
    </row>
    <row r="1779" spans="1:21" ht="37.5" customHeight="1" x14ac:dyDescent="0.25">
      <c r="A1779" s="30">
        <v>45065</v>
      </c>
      <c r="B1779" s="13">
        <v>20</v>
      </c>
      <c r="C1779" t="s">
        <v>3</v>
      </c>
      <c r="D1779" t="s">
        <v>4</v>
      </c>
      <c r="E1779" t="s">
        <v>5</v>
      </c>
      <c r="F1779" s="6">
        <v>112950784</v>
      </c>
      <c r="G1779" t="s">
        <v>261</v>
      </c>
      <c r="H1779" t="s">
        <v>282</v>
      </c>
      <c r="I1779">
        <v>0</v>
      </c>
      <c r="J1779">
        <v>0</v>
      </c>
      <c r="K1779">
        <v>0</v>
      </c>
      <c r="L1779">
        <v>0</v>
      </c>
      <c r="M1779">
        <v>0.5</v>
      </c>
      <c r="N1779" s="7" t="str">
        <f>VLOOKUP(F1779,HC!A$6:D$100,3,FALSE)</f>
        <v>NF-X1900</v>
      </c>
      <c r="O1779" s="7" t="str">
        <f>VLOOKUP(F1779,HC!A$6:D$1000,2,FALSE)</f>
        <v>sarojast</v>
      </c>
      <c r="P1779" t="s">
        <v>662</v>
      </c>
      <c r="Q1779" s="7" t="s">
        <v>691</v>
      </c>
      <c r="U1779">
        <f t="shared" si="29"/>
        <v>33</v>
      </c>
    </row>
    <row r="1780" spans="1:21" ht="37.5" customHeight="1" x14ac:dyDescent="0.25">
      <c r="A1780" s="30">
        <v>45065</v>
      </c>
      <c r="B1780" s="13">
        <v>20</v>
      </c>
      <c r="C1780" t="s">
        <v>3</v>
      </c>
      <c r="D1780" t="s">
        <v>4</v>
      </c>
      <c r="E1780" t="s">
        <v>5</v>
      </c>
      <c r="F1780" s="6">
        <v>112972215</v>
      </c>
      <c r="G1780" t="s">
        <v>984</v>
      </c>
      <c r="H1780" t="s">
        <v>298</v>
      </c>
      <c r="I1780">
        <v>0</v>
      </c>
      <c r="J1780">
        <v>0</v>
      </c>
      <c r="K1780">
        <v>0</v>
      </c>
      <c r="L1780">
        <v>0</v>
      </c>
      <c r="M1780">
        <v>0.43</v>
      </c>
      <c r="N1780" s="7" t="str">
        <f>VLOOKUP(F1780,HC!A$6:D$100,3,FALSE)</f>
        <v>DB-X0700</v>
      </c>
      <c r="O1780" s="7" t="str">
        <f>VLOOKUP(F1780,HC!A$6:D$1000,2,FALSE)</f>
        <v>cruzbana</v>
      </c>
      <c r="P1780" t="s">
        <v>662</v>
      </c>
      <c r="Q1780" s="7" t="s">
        <v>688</v>
      </c>
      <c r="U1780">
        <f t="shared" si="29"/>
        <v>16</v>
      </c>
    </row>
    <row r="1781" spans="1:21" ht="37.5" customHeight="1" x14ac:dyDescent="0.25">
      <c r="A1781" s="30">
        <v>45065</v>
      </c>
      <c r="B1781" s="13">
        <v>20</v>
      </c>
      <c r="C1781" t="s">
        <v>3</v>
      </c>
      <c r="D1781" t="s">
        <v>4</v>
      </c>
      <c r="E1781" t="s">
        <v>21</v>
      </c>
      <c r="F1781" s="6">
        <v>200615883</v>
      </c>
      <c r="G1781" t="s">
        <v>508</v>
      </c>
      <c r="H1781" t="s">
        <v>47</v>
      </c>
      <c r="I1781">
        <v>0</v>
      </c>
      <c r="J1781">
        <v>0</v>
      </c>
      <c r="K1781">
        <v>0</v>
      </c>
      <c r="L1781">
        <v>0</v>
      </c>
      <c r="M1781">
        <v>0.47</v>
      </c>
      <c r="N1781" s="7" t="e">
        <f>VLOOKUP(F1781,HC!A$6:D$100,3,FALSE)</f>
        <v>#N/A</v>
      </c>
      <c r="O1781" s="7" t="e">
        <f>VLOOKUP(F1781,HC!A$6:D$1000,2,FALSE)</f>
        <v>#N/A</v>
      </c>
      <c r="P1781" t="s">
        <v>664</v>
      </c>
      <c r="Q1781" s="7" t="s">
        <v>710</v>
      </c>
      <c r="U1781">
        <f t="shared" si="29"/>
        <v>1395</v>
      </c>
    </row>
    <row r="1782" spans="1:21" ht="37.5" customHeight="1" x14ac:dyDescent="0.25">
      <c r="A1782" s="30">
        <v>45065</v>
      </c>
      <c r="B1782" s="13">
        <v>20</v>
      </c>
      <c r="C1782" t="s">
        <v>3</v>
      </c>
      <c r="D1782" t="s">
        <v>4</v>
      </c>
      <c r="E1782" t="s">
        <v>21</v>
      </c>
      <c r="F1782" s="6">
        <v>201166890</v>
      </c>
      <c r="G1782" t="s">
        <v>998</v>
      </c>
      <c r="H1782" t="s">
        <v>298</v>
      </c>
      <c r="I1782">
        <v>0</v>
      </c>
      <c r="J1782">
        <v>0</v>
      </c>
      <c r="K1782">
        <v>0</v>
      </c>
      <c r="L1782">
        <v>0</v>
      </c>
      <c r="M1782">
        <v>0.4</v>
      </c>
      <c r="N1782" s="7" t="e">
        <f>VLOOKUP(F1782,HC!A$6:D$100,3,FALSE)</f>
        <v>#N/A</v>
      </c>
      <c r="O1782" s="7" t="str">
        <f>VLOOKUP(F1782,HC!A$6:D$1000,2,FALSE)</f>
        <v>lcabadan</v>
      </c>
      <c r="P1782" t="s">
        <v>661</v>
      </c>
      <c r="Q1782" s="7" t="s">
        <v>700</v>
      </c>
      <c r="U1782">
        <f t="shared" si="29"/>
        <v>24</v>
      </c>
    </row>
    <row r="1783" spans="1:21" ht="37.5" customHeight="1" x14ac:dyDescent="0.25">
      <c r="A1783" s="30">
        <v>45065</v>
      </c>
      <c r="B1783" s="13">
        <v>20</v>
      </c>
      <c r="C1783" t="s">
        <v>3</v>
      </c>
      <c r="D1783" t="s">
        <v>4</v>
      </c>
      <c r="E1783" t="s">
        <v>21</v>
      </c>
      <c r="F1783" s="6">
        <v>201185299</v>
      </c>
      <c r="G1783" t="s">
        <v>990</v>
      </c>
      <c r="H1783" t="s">
        <v>17</v>
      </c>
      <c r="I1783">
        <v>0</v>
      </c>
      <c r="J1783">
        <v>0</v>
      </c>
      <c r="K1783">
        <v>0</v>
      </c>
      <c r="L1783">
        <v>0</v>
      </c>
      <c r="M1783">
        <v>0.92</v>
      </c>
      <c r="N1783" s="7" t="e">
        <f>VLOOKUP(F1783,HC!A$6:D$100,3,FALSE)</f>
        <v>#N/A</v>
      </c>
      <c r="O1783" s="7" t="str">
        <f>VLOOKUP(F1783,HC!A$6:D$1000,2,FALSE)</f>
        <v>sganoemi</v>
      </c>
      <c r="P1783" t="s">
        <v>666</v>
      </c>
      <c r="Q1783" s="7" t="s">
        <v>774</v>
      </c>
      <c r="U1783">
        <f t="shared" si="29"/>
        <v>12</v>
      </c>
    </row>
    <row r="1784" spans="1:21" ht="37.5" customHeight="1" x14ac:dyDescent="0.25">
      <c r="A1784" s="30">
        <v>45065</v>
      </c>
      <c r="B1784" s="13">
        <v>20</v>
      </c>
      <c r="C1784" t="s">
        <v>3</v>
      </c>
      <c r="D1784" t="s">
        <v>4</v>
      </c>
      <c r="E1784" t="s">
        <v>21</v>
      </c>
      <c r="F1784" s="6">
        <v>201186777</v>
      </c>
      <c r="G1784" t="s">
        <v>856</v>
      </c>
      <c r="H1784" t="s">
        <v>298</v>
      </c>
      <c r="I1784">
        <v>0</v>
      </c>
      <c r="J1784">
        <v>0</v>
      </c>
      <c r="K1784">
        <v>0</v>
      </c>
      <c r="L1784">
        <v>0</v>
      </c>
      <c r="M1784">
        <v>0.24</v>
      </c>
      <c r="N1784" s="7" t="e">
        <f>VLOOKUP(F1784,HC!A$6:D$100,3,FALSE)</f>
        <v>#N/A</v>
      </c>
      <c r="O1784" s="7" t="str">
        <f>VLOOKUP(F1784,HC!A$6:D$1000,2,FALSE)</f>
        <v>bemonzon</v>
      </c>
      <c r="P1784" t="s">
        <v>670</v>
      </c>
      <c r="Q1784" s="7" t="s">
        <v>784</v>
      </c>
      <c r="U1784">
        <f t="shared" si="29"/>
        <v>15</v>
      </c>
    </row>
    <row r="1785" spans="1:21" ht="37.5" customHeight="1" x14ac:dyDescent="0.25">
      <c r="A1785" s="30">
        <v>45065</v>
      </c>
      <c r="B1785" s="13">
        <v>20</v>
      </c>
      <c r="C1785" t="s">
        <v>3</v>
      </c>
      <c r="D1785" t="s">
        <v>4</v>
      </c>
      <c r="E1785" t="s">
        <v>21</v>
      </c>
      <c r="F1785" s="6">
        <v>201194285</v>
      </c>
      <c r="G1785" t="s">
        <v>859</v>
      </c>
      <c r="H1785" t="s">
        <v>17</v>
      </c>
      <c r="I1785">
        <v>0</v>
      </c>
      <c r="J1785">
        <v>0</v>
      </c>
      <c r="K1785">
        <v>0</v>
      </c>
      <c r="L1785">
        <v>0</v>
      </c>
      <c r="M1785">
        <v>0.57999999999999996</v>
      </c>
      <c r="N1785" s="7" t="e">
        <f>VLOOKUP(F1785,HC!A$6:D$100,3,FALSE)</f>
        <v>#N/A</v>
      </c>
      <c r="O1785" s="7" t="e">
        <f>VLOOKUP(F1785,HC!A$6:D$1000,2,FALSE)</f>
        <v>#N/A</v>
      </c>
      <c r="Q1785" s="7"/>
      <c r="U1785">
        <f t="shared" si="29"/>
        <v>1395</v>
      </c>
    </row>
    <row r="1786" spans="1:21" ht="37.5" customHeight="1" x14ac:dyDescent="0.25">
      <c r="A1786" s="30">
        <v>45065</v>
      </c>
      <c r="B1786" s="13">
        <v>20</v>
      </c>
      <c r="C1786" t="s">
        <v>3</v>
      </c>
      <c r="D1786" t="s">
        <v>4</v>
      </c>
      <c r="E1786" t="s">
        <v>21</v>
      </c>
      <c r="F1786" s="6">
        <v>201198979</v>
      </c>
      <c r="G1786" t="s">
        <v>905</v>
      </c>
      <c r="H1786" t="s">
        <v>285</v>
      </c>
      <c r="I1786">
        <v>0</v>
      </c>
      <c r="J1786">
        <v>0</v>
      </c>
      <c r="K1786">
        <v>0</v>
      </c>
      <c r="L1786">
        <v>0</v>
      </c>
      <c r="M1786">
        <v>0.87</v>
      </c>
      <c r="N1786" s="7" t="e">
        <f>VLOOKUP(F1786,HC!A$6:D$100,3,FALSE)</f>
        <v>#N/A</v>
      </c>
      <c r="O1786" s="7" t="e">
        <f>VLOOKUP(F1786,HC!A$6:D$1000,2,FALSE)</f>
        <v>#N/A</v>
      </c>
      <c r="P1786" t="s">
        <v>664</v>
      </c>
      <c r="Q1786" s="7" t="s">
        <v>717</v>
      </c>
      <c r="U1786">
        <f t="shared" si="29"/>
        <v>1395</v>
      </c>
    </row>
    <row r="1787" spans="1:21" ht="37.5" customHeight="1" x14ac:dyDescent="0.25">
      <c r="A1787" s="30">
        <v>45065</v>
      </c>
      <c r="B1787" s="13">
        <v>20</v>
      </c>
      <c r="C1787" t="s">
        <v>3</v>
      </c>
      <c r="D1787" t="s">
        <v>4</v>
      </c>
      <c r="E1787" t="s">
        <v>21</v>
      </c>
      <c r="F1787" s="6">
        <v>201294217</v>
      </c>
      <c r="G1787" t="s">
        <v>1042</v>
      </c>
      <c r="H1787" t="s">
        <v>47</v>
      </c>
      <c r="I1787">
        <v>0</v>
      </c>
      <c r="J1787">
        <v>0</v>
      </c>
      <c r="K1787">
        <v>0</v>
      </c>
      <c r="L1787">
        <v>0</v>
      </c>
      <c r="M1787">
        <v>0.1</v>
      </c>
      <c r="N1787" s="7" t="e">
        <f>VLOOKUP(F1787,HC!A$6:D$100,3,FALSE)</f>
        <v>#N/A</v>
      </c>
      <c r="O1787" s="7" t="str">
        <f>VLOOKUP(F1787,HC!A$6:D$1000,2,FALSE)</f>
        <v>montebib</v>
      </c>
      <c r="P1787" t="s">
        <v>661</v>
      </c>
      <c r="Q1787" s="7" t="s">
        <v>681</v>
      </c>
      <c r="U1787">
        <f t="shared" si="29"/>
        <v>5</v>
      </c>
    </row>
    <row r="1788" spans="1:21" ht="37.5" customHeight="1" x14ac:dyDescent="0.25">
      <c r="A1788" s="30">
        <v>45065</v>
      </c>
      <c r="B1788" s="13">
        <v>20</v>
      </c>
      <c r="C1788" t="s">
        <v>3</v>
      </c>
      <c r="D1788" t="s">
        <v>4</v>
      </c>
      <c r="E1788" t="s">
        <v>21</v>
      </c>
      <c r="F1788" s="6">
        <v>201315151</v>
      </c>
      <c r="G1788" t="s">
        <v>1079</v>
      </c>
      <c r="H1788" t="s">
        <v>47</v>
      </c>
      <c r="I1788">
        <v>0</v>
      </c>
      <c r="J1788">
        <v>0</v>
      </c>
      <c r="K1788">
        <v>0</v>
      </c>
      <c r="L1788">
        <v>0</v>
      </c>
      <c r="M1788">
        <v>0.18</v>
      </c>
      <c r="N1788" s="7" t="e">
        <f>VLOOKUP(F1788,HC!A$6:D$100,3,FALSE)</f>
        <v>#N/A</v>
      </c>
      <c r="O1788" s="7" t="e">
        <f>VLOOKUP(F1788,HC!A$6:D$1000,2,FALSE)</f>
        <v>#N/A</v>
      </c>
      <c r="P1788" t="s">
        <v>670</v>
      </c>
      <c r="Q1788" s="7" t="s">
        <v>742</v>
      </c>
      <c r="U1788">
        <f t="shared" si="29"/>
        <v>1395</v>
      </c>
    </row>
    <row r="1789" spans="1:21" ht="37.5" customHeight="1" x14ac:dyDescent="0.25">
      <c r="A1789" s="30">
        <v>45065</v>
      </c>
      <c r="B1789" s="13">
        <v>20</v>
      </c>
      <c r="C1789" t="s">
        <v>3</v>
      </c>
      <c r="D1789" t="s">
        <v>4</v>
      </c>
      <c r="E1789" t="s">
        <v>21</v>
      </c>
      <c r="F1789" s="6">
        <v>201353191</v>
      </c>
      <c r="G1789" t="s">
        <v>1080</v>
      </c>
      <c r="H1789" t="s">
        <v>263</v>
      </c>
      <c r="I1789">
        <v>0</v>
      </c>
      <c r="J1789">
        <v>0</v>
      </c>
      <c r="K1789">
        <v>0</v>
      </c>
      <c r="L1789">
        <v>0</v>
      </c>
      <c r="M1789">
        <v>0.41</v>
      </c>
      <c r="N1789" s="7" t="e">
        <f>VLOOKUP(F1789,HC!A$6:D$100,3,FALSE)</f>
        <v>#N/A</v>
      </c>
      <c r="O1789" s="7" t="e">
        <f>VLOOKUP(F1789,HC!A$6:D$1000,2,FALSE)</f>
        <v>#N/A</v>
      </c>
      <c r="P1789" t="s">
        <v>662</v>
      </c>
      <c r="Q1789" s="7" t="s">
        <v>691</v>
      </c>
      <c r="U1789">
        <f t="shared" si="29"/>
        <v>1395</v>
      </c>
    </row>
    <row r="1790" spans="1:21" ht="37.5" customHeight="1" x14ac:dyDescent="0.25">
      <c r="A1790" s="30">
        <v>45065</v>
      </c>
      <c r="B1790" s="13">
        <v>20</v>
      </c>
      <c r="C1790" t="s">
        <v>3</v>
      </c>
      <c r="D1790" t="s">
        <v>4</v>
      </c>
      <c r="E1790" t="s">
        <v>21</v>
      </c>
      <c r="F1790" s="6">
        <v>201403431</v>
      </c>
      <c r="G1790" t="s">
        <v>1081</v>
      </c>
      <c r="H1790" t="s">
        <v>7</v>
      </c>
      <c r="I1790">
        <v>0</v>
      </c>
      <c r="J1790">
        <v>0</v>
      </c>
      <c r="K1790">
        <v>0</v>
      </c>
      <c r="L1790">
        <v>0</v>
      </c>
      <c r="M1790">
        <v>0.21</v>
      </c>
      <c r="N1790" s="7" t="e">
        <f>VLOOKUP(F1790,HC!A$6:D$100,3,FALSE)</f>
        <v>#N/A</v>
      </c>
      <c r="O1790" s="7" t="e">
        <f>VLOOKUP(F1790,HC!A$6:D$1000,2,FALSE)</f>
        <v>#N/A</v>
      </c>
      <c r="P1790" t="s">
        <v>662</v>
      </c>
      <c r="Q1790" s="7" t="s">
        <v>691</v>
      </c>
      <c r="U1790">
        <f t="shared" si="29"/>
        <v>1395</v>
      </c>
    </row>
    <row r="1791" spans="1:21" ht="37.5" customHeight="1" x14ac:dyDescent="0.25">
      <c r="A1791" s="30">
        <v>45066</v>
      </c>
      <c r="B1791" s="13">
        <v>20</v>
      </c>
      <c r="C1791" t="s">
        <v>3</v>
      </c>
      <c r="D1791" t="s">
        <v>4</v>
      </c>
      <c r="E1791" t="s">
        <v>5</v>
      </c>
      <c r="F1791" s="6">
        <v>112920654</v>
      </c>
      <c r="G1791" t="s">
        <v>500</v>
      </c>
      <c r="H1791" t="s">
        <v>14</v>
      </c>
      <c r="I1791">
        <v>0</v>
      </c>
      <c r="J1791">
        <v>0</v>
      </c>
      <c r="K1791">
        <v>0</v>
      </c>
      <c r="L1791">
        <v>0</v>
      </c>
      <c r="M1791">
        <v>0.3</v>
      </c>
      <c r="N1791" s="7" t="str">
        <f>VLOOKUP(F1791,HC!A$6:D$100,3,FALSE)</f>
        <v>DB-X0700</v>
      </c>
      <c r="O1791" s="7" t="str">
        <f>VLOOKUP(F1791,HC!A$6:D$1000,2,FALSE)</f>
        <v>qhojulie</v>
      </c>
      <c r="P1791" t="s">
        <v>666</v>
      </c>
      <c r="Q1791" s="7" t="s">
        <v>814</v>
      </c>
      <c r="U1791">
        <f t="shared" si="29"/>
        <v>16</v>
      </c>
    </row>
    <row r="1792" spans="1:21" ht="37.5" customHeight="1" x14ac:dyDescent="0.25">
      <c r="A1792" s="30">
        <v>45066</v>
      </c>
      <c r="B1792" s="13">
        <v>20</v>
      </c>
      <c r="C1792" t="s">
        <v>3</v>
      </c>
      <c r="D1792" t="s">
        <v>4</v>
      </c>
      <c r="E1792" t="s">
        <v>5</v>
      </c>
      <c r="F1792" s="6">
        <v>112971980</v>
      </c>
      <c r="G1792" t="s">
        <v>445</v>
      </c>
      <c r="H1792" t="s">
        <v>282</v>
      </c>
      <c r="I1792">
        <v>0</v>
      </c>
      <c r="J1792">
        <v>0</v>
      </c>
      <c r="K1792">
        <v>0</v>
      </c>
      <c r="L1792">
        <v>0</v>
      </c>
      <c r="M1792">
        <v>0.59</v>
      </c>
      <c r="N1792" s="7" t="str">
        <f>VLOOKUP(F1792,HC!A$6:D$100,3,FALSE)</f>
        <v>DC-X0700</v>
      </c>
      <c r="O1792" s="7" t="str">
        <f>VLOOKUP(F1792,HC!A$6:D$1000,2,FALSE)</f>
        <v>cdanirom</v>
      </c>
      <c r="P1792" t="s">
        <v>664</v>
      </c>
      <c r="Q1792" s="7" t="s">
        <v>711</v>
      </c>
      <c r="U1792">
        <f t="shared" si="29"/>
        <v>25</v>
      </c>
    </row>
    <row r="1793" spans="1:21" ht="37.5" customHeight="1" x14ac:dyDescent="0.25">
      <c r="A1793" s="30">
        <v>45066</v>
      </c>
      <c r="B1793" s="13">
        <v>20</v>
      </c>
      <c r="C1793" t="s">
        <v>3</v>
      </c>
      <c r="D1793" t="s">
        <v>4</v>
      </c>
      <c r="E1793" t="s">
        <v>5</v>
      </c>
      <c r="F1793" s="6">
        <v>113014042</v>
      </c>
      <c r="G1793" t="s">
        <v>329</v>
      </c>
      <c r="H1793" t="s">
        <v>7</v>
      </c>
      <c r="I1793">
        <v>0</v>
      </c>
      <c r="J1793">
        <v>0</v>
      </c>
      <c r="K1793">
        <v>0</v>
      </c>
      <c r="L1793">
        <v>0</v>
      </c>
      <c r="M1793">
        <v>0.08</v>
      </c>
      <c r="N1793" s="7" t="e">
        <f>VLOOKUP(F1793,HC!A$6:D$100,3,FALSE)</f>
        <v>#N/A</v>
      </c>
      <c r="O1793" s="7" t="str">
        <f>VLOOKUP(F1793,HC!A$6:D$1000,2,FALSE)</f>
        <v>rfcervan</v>
      </c>
      <c r="P1793" t="s">
        <v>664</v>
      </c>
      <c r="Q1793" s="7" t="s">
        <v>715</v>
      </c>
      <c r="U1793">
        <f t="shared" si="29"/>
        <v>23</v>
      </c>
    </row>
    <row r="1794" spans="1:21" ht="37.5" customHeight="1" x14ac:dyDescent="0.25">
      <c r="A1794" s="30">
        <v>45066</v>
      </c>
      <c r="B1794" s="13">
        <v>20</v>
      </c>
      <c r="C1794" t="s">
        <v>3</v>
      </c>
      <c r="D1794" t="s">
        <v>4</v>
      </c>
      <c r="E1794" t="s">
        <v>5</v>
      </c>
      <c r="F1794" s="6">
        <v>113020476</v>
      </c>
      <c r="G1794" t="s">
        <v>330</v>
      </c>
      <c r="H1794" t="s">
        <v>7</v>
      </c>
      <c r="I1794">
        <v>0</v>
      </c>
      <c r="J1794">
        <v>0</v>
      </c>
      <c r="K1794">
        <v>0</v>
      </c>
      <c r="L1794">
        <v>0</v>
      </c>
      <c r="M1794">
        <v>0.37</v>
      </c>
      <c r="N1794" s="7" t="e">
        <f>VLOOKUP(F1794,HC!A$6:D$100,3,FALSE)</f>
        <v>#N/A</v>
      </c>
      <c r="O1794" s="7" t="str">
        <f>VLOOKUP(F1794,HC!A$6:D$1000,2,FALSE)</f>
        <v>polettpu</v>
      </c>
      <c r="P1794" t="s">
        <v>664</v>
      </c>
      <c r="Q1794" s="7" t="s">
        <v>717</v>
      </c>
      <c r="U1794">
        <f t="shared" si="29"/>
        <v>55</v>
      </c>
    </row>
    <row r="1795" spans="1:21" ht="37.5" customHeight="1" x14ac:dyDescent="0.25">
      <c r="A1795" s="30">
        <v>45066</v>
      </c>
      <c r="B1795" s="13">
        <v>20</v>
      </c>
      <c r="C1795" t="s">
        <v>3</v>
      </c>
      <c r="D1795" t="s">
        <v>4</v>
      </c>
      <c r="E1795" t="s">
        <v>5</v>
      </c>
      <c r="F1795" s="6">
        <v>113103540</v>
      </c>
      <c r="G1795" t="s">
        <v>854</v>
      </c>
      <c r="H1795" t="s">
        <v>47</v>
      </c>
      <c r="I1795">
        <v>0</v>
      </c>
      <c r="J1795">
        <v>0</v>
      </c>
      <c r="K1795">
        <v>0</v>
      </c>
      <c r="L1795">
        <v>0</v>
      </c>
      <c r="M1795">
        <v>0.8</v>
      </c>
      <c r="N1795" s="7" t="e">
        <f>VLOOKUP(F1795,HC!A$6:D$100,3,FALSE)</f>
        <v>#N/A</v>
      </c>
      <c r="O1795" s="7" t="str">
        <f>VLOOKUP(F1795,HC!A$6:D$1000,2,FALSE)</f>
        <v>delgadax</v>
      </c>
      <c r="P1795" t="s">
        <v>662</v>
      </c>
      <c r="Q1795" s="7" t="s">
        <v>687</v>
      </c>
      <c r="U1795">
        <f t="shared" ref="U1795:U1858" si="30">COUNTIF(O$2:O$4999,O1795)</f>
        <v>9</v>
      </c>
    </row>
    <row r="1796" spans="1:21" ht="37.5" customHeight="1" x14ac:dyDescent="0.25">
      <c r="A1796" s="30">
        <v>45066</v>
      </c>
      <c r="B1796" s="13">
        <v>20</v>
      </c>
      <c r="C1796" t="s">
        <v>3</v>
      </c>
      <c r="D1796" t="s">
        <v>4</v>
      </c>
      <c r="E1796" t="s">
        <v>21</v>
      </c>
      <c r="F1796" s="6">
        <v>200585084</v>
      </c>
      <c r="G1796" t="s">
        <v>493</v>
      </c>
      <c r="H1796" t="s">
        <v>17</v>
      </c>
      <c r="I1796">
        <v>0</v>
      </c>
      <c r="J1796">
        <v>0</v>
      </c>
      <c r="K1796">
        <v>0</v>
      </c>
      <c r="L1796">
        <v>0</v>
      </c>
      <c r="M1796">
        <v>0.19</v>
      </c>
      <c r="N1796" s="7" t="e">
        <f>VLOOKUP(F1796,HC!A$6:D$100,3,FALSE)</f>
        <v>#N/A</v>
      </c>
      <c r="O1796" s="7" t="str">
        <f>VLOOKUP(F1796,HC!A$6:D$1000,2,FALSE)</f>
        <v>tessajvi</v>
      </c>
      <c r="Q1796" s="7"/>
      <c r="U1796">
        <f t="shared" si="30"/>
        <v>9</v>
      </c>
    </row>
    <row r="1797" spans="1:21" ht="37.5" customHeight="1" x14ac:dyDescent="0.25">
      <c r="A1797" s="30">
        <v>45066</v>
      </c>
      <c r="B1797" s="13">
        <v>20</v>
      </c>
      <c r="C1797" t="s">
        <v>3</v>
      </c>
      <c r="D1797" t="s">
        <v>4</v>
      </c>
      <c r="E1797" t="s">
        <v>21</v>
      </c>
      <c r="F1797" s="6">
        <v>200615883</v>
      </c>
      <c r="G1797" t="s">
        <v>508</v>
      </c>
      <c r="H1797" t="s">
        <v>47</v>
      </c>
      <c r="I1797">
        <v>0</v>
      </c>
      <c r="J1797">
        <v>0</v>
      </c>
      <c r="K1797">
        <v>0</v>
      </c>
      <c r="L1797">
        <v>0</v>
      </c>
      <c r="M1797">
        <v>0.38</v>
      </c>
      <c r="N1797" s="7" t="e">
        <f>VLOOKUP(F1797,HC!A$6:D$100,3,FALSE)</f>
        <v>#N/A</v>
      </c>
      <c r="O1797" s="7" t="e">
        <f>VLOOKUP(F1797,HC!A$6:D$1000,2,FALSE)</f>
        <v>#N/A</v>
      </c>
      <c r="P1797" t="s">
        <v>661</v>
      </c>
      <c r="Q1797" s="7" t="s">
        <v>681</v>
      </c>
      <c r="U1797">
        <f t="shared" si="30"/>
        <v>1395</v>
      </c>
    </row>
    <row r="1798" spans="1:21" ht="37.5" customHeight="1" x14ac:dyDescent="0.25">
      <c r="A1798" s="30">
        <v>45066</v>
      </c>
      <c r="B1798" s="13">
        <v>20</v>
      </c>
      <c r="C1798" t="s">
        <v>3</v>
      </c>
      <c r="D1798" t="s">
        <v>4</v>
      </c>
      <c r="E1798" t="s">
        <v>21</v>
      </c>
      <c r="F1798" s="6">
        <v>201185653</v>
      </c>
      <c r="G1798" t="s">
        <v>987</v>
      </c>
      <c r="H1798" t="s">
        <v>49</v>
      </c>
      <c r="I1798">
        <v>0</v>
      </c>
      <c r="J1798">
        <v>0</v>
      </c>
      <c r="K1798">
        <v>0</v>
      </c>
      <c r="L1798">
        <v>0</v>
      </c>
      <c r="M1798">
        <v>0.26</v>
      </c>
      <c r="N1798" s="7" t="e">
        <f>VLOOKUP(F1798,HC!A$6:D$100,3,FALSE)</f>
        <v>#N/A</v>
      </c>
      <c r="O1798" s="7" t="str">
        <f>VLOOKUP(F1798,HC!A$6:D$1000,2,FALSE)</f>
        <v>luisamin</v>
      </c>
      <c r="P1798" t="s">
        <v>661</v>
      </c>
      <c r="Q1798" s="7" t="s">
        <v>681</v>
      </c>
      <c r="U1798">
        <f t="shared" si="30"/>
        <v>8</v>
      </c>
    </row>
    <row r="1799" spans="1:21" ht="37.5" customHeight="1" x14ac:dyDescent="0.25">
      <c r="A1799" s="30">
        <v>45066</v>
      </c>
      <c r="B1799" s="13">
        <v>20</v>
      </c>
      <c r="C1799" t="s">
        <v>3</v>
      </c>
      <c r="D1799" t="s">
        <v>4</v>
      </c>
      <c r="E1799" t="s">
        <v>21</v>
      </c>
      <c r="F1799" s="6">
        <v>201212196</v>
      </c>
      <c r="G1799" t="s">
        <v>958</v>
      </c>
      <c r="H1799" t="s">
        <v>17</v>
      </c>
      <c r="I1799">
        <v>0</v>
      </c>
      <c r="J1799">
        <v>0</v>
      </c>
      <c r="K1799">
        <v>0</v>
      </c>
      <c r="L1799">
        <v>0</v>
      </c>
      <c r="M1799">
        <v>0.08</v>
      </c>
      <c r="N1799" s="7" t="e">
        <f>VLOOKUP(F1799,HC!A$6:D$100,3,FALSE)</f>
        <v>#N/A</v>
      </c>
      <c r="O1799" s="7" t="e">
        <f>VLOOKUP(F1799,HC!A$6:D$1000,2,FALSE)</f>
        <v>#N/A</v>
      </c>
      <c r="P1799" t="s">
        <v>661</v>
      </c>
      <c r="Q1799" s="7" t="s">
        <v>681</v>
      </c>
      <c r="U1799">
        <f t="shared" si="30"/>
        <v>1395</v>
      </c>
    </row>
    <row r="1800" spans="1:21" ht="37.5" customHeight="1" x14ac:dyDescent="0.25">
      <c r="A1800" s="30">
        <v>45066</v>
      </c>
      <c r="B1800" s="13">
        <v>20</v>
      </c>
      <c r="C1800" t="s">
        <v>3</v>
      </c>
      <c r="D1800" t="s">
        <v>4</v>
      </c>
      <c r="E1800" t="s">
        <v>21</v>
      </c>
      <c r="F1800" s="6">
        <v>201345737</v>
      </c>
      <c r="G1800" t="s">
        <v>1083</v>
      </c>
      <c r="H1800" t="s">
        <v>17</v>
      </c>
      <c r="I1800">
        <v>0</v>
      </c>
      <c r="J1800">
        <v>0</v>
      </c>
      <c r="K1800">
        <v>0</v>
      </c>
      <c r="L1800">
        <v>0</v>
      </c>
      <c r="M1800">
        <v>0.21</v>
      </c>
      <c r="N1800" s="7" t="e">
        <f>VLOOKUP(F1800,HC!A$6:D$100,3,FALSE)</f>
        <v>#N/A</v>
      </c>
      <c r="O1800" s="7" t="str">
        <f>VLOOKUP(F1800,HC!A$6:D$1000,2,FALSE)</f>
        <v>upacoros</v>
      </c>
      <c r="P1800" t="s">
        <v>664</v>
      </c>
      <c r="Q1800" s="7" t="s">
        <v>771</v>
      </c>
      <c r="U1800">
        <f t="shared" si="30"/>
        <v>11</v>
      </c>
    </row>
    <row r="1801" spans="1:21" ht="37.5" customHeight="1" x14ac:dyDescent="0.25">
      <c r="A1801" s="30">
        <v>45066</v>
      </c>
      <c r="B1801" s="13">
        <v>20</v>
      </c>
      <c r="C1801" t="s">
        <v>3</v>
      </c>
      <c r="D1801" t="s">
        <v>4</v>
      </c>
      <c r="E1801" t="s">
        <v>21</v>
      </c>
      <c r="F1801" s="6">
        <v>201353191</v>
      </c>
      <c r="G1801" t="s">
        <v>1080</v>
      </c>
      <c r="H1801" t="s">
        <v>263</v>
      </c>
      <c r="I1801">
        <v>0</v>
      </c>
      <c r="J1801">
        <v>0</v>
      </c>
      <c r="K1801">
        <v>0</v>
      </c>
      <c r="L1801">
        <v>0</v>
      </c>
      <c r="M1801">
        <v>0.17</v>
      </c>
      <c r="N1801" s="7" t="e">
        <f>VLOOKUP(F1801,HC!A$6:D$100,3,FALSE)</f>
        <v>#N/A</v>
      </c>
      <c r="O1801" s="7" t="e">
        <f>VLOOKUP(F1801,HC!A$6:D$1000,2,FALSE)</f>
        <v>#N/A</v>
      </c>
      <c r="P1801" t="s">
        <v>662</v>
      </c>
      <c r="Q1801" s="7" t="s">
        <v>691</v>
      </c>
      <c r="U1801">
        <f t="shared" si="30"/>
        <v>1395</v>
      </c>
    </row>
    <row r="1802" spans="1:21" ht="37.5" customHeight="1" x14ac:dyDescent="0.25">
      <c r="A1802" s="30">
        <v>45066</v>
      </c>
      <c r="B1802" s="13">
        <v>20</v>
      </c>
      <c r="C1802" t="s">
        <v>3</v>
      </c>
      <c r="D1802" t="s">
        <v>4</v>
      </c>
      <c r="E1802" t="s">
        <v>21</v>
      </c>
      <c r="F1802" s="6">
        <v>201401654</v>
      </c>
      <c r="G1802" t="s">
        <v>1052</v>
      </c>
      <c r="H1802" t="s">
        <v>49</v>
      </c>
      <c r="I1802">
        <v>0</v>
      </c>
      <c r="J1802">
        <v>0</v>
      </c>
      <c r="K1802">
        <v>0</v>
      </c>
      <c r="L1802">
        <v>0</v>
      </c>
      <c r="M1802">
        <v>0.1</v>
      </c>
      <c r="N1802" s="7" t="e">
        <f>VLOOKUP(F1802,HC!A$6:D$100,3,FALSE)</f>
        <v>#N/A</v>
      </c>
      <c r="O1802" s="7" t="e">
        <f>VLOOKUP(F1802,HC!A$6:D$1000,2,FALSE)</f>
        <v>#N/A</v>
      </c>
      <c r="P1802" t="s">
        <v>661</v>
      </c>
      <c r="Q1802" s="7" t="s">
        <v>681</v>
      </c>
      <c r="U1802">
        <f t="shared" si="30"/>
        <v>1395</v>
      </c>
    </row>
    <row r="1803" spans="1:21" ht="37.5" customHeight="1" x14ac:dyDescent="0.25">
      <c r="A1803" s="30">
        <v>45067</v>
      </c>
      <c r="B1803" s="13">
        <v>21</v>
      </c>
      <c r="C1803" t="s">
        <v>3</v>
      </c>
      <c r="D1803" t="s">
        <v>4</v>
      </c>
      <c r="E1803" t="s">
        <v>5</v>
      </c>
      <c r="F1803" s="6">
        <v>112912510</v>
      </c>
      <c r="G1803" t="s">
        <v>1084</v>
      </c>
      <c r="H1803" t="s">
        <v>253</v>
      </c>
      <c r="I1803">
        <v>0</v>
      </c>
      <c r="J1803">
        <v>0</v>
      </c>
      <c r="K1803">
        <v>0</v>
      </c>
      <c r="L1803">
        <v>0</v>
      </c>
      <c r="M1803">
        <v>0.04</v>
      </c>
      <c r="N1803" s="7" t="e">
        <f>VLOOKUP(F1803,HC!A$6:D$100,3,FALSE)</f>
        <v>#N/A</v>
      </c>
      <c r="O1803" s="7" t="e">
        <f>VLOOKUP(F1803,HC!A$6:D$1000,2,FALSE)</f>
        <v>#N/A</v>
      </c>
      <c r="P1803" t="s">
        <v>663</v>
      </c>
      <c r="Q1803" s="7" t="s">
        <v>692</v>
      </c>
      <c r="U1803">
        <f t="shared" si="30"/>
        <v>1395</v>
      </c>
    </row>
    <row r="1804" spans="1:21" ht="37.5" customHeight="1" x14ac:dyDescent="0.25">
      <c r="A1804" s="30">
        <v>45067</v>
      </c>
      <c r="B1804" s="13">
        <v>21</v>
      </c>
      <c r="C1804" t="s">
        <v>3</v>
      </c>
      <c r="D1804" t="s">
        <v>4</v>
      </c>
      <c r="E1804" t="s">
        <v>5</v>
      </c>
      <c r="F1804" s="6">
        <v>112912663</v>
      </c>
      <c r="G1804" t="s">
        <v>8</v>
      </c>
      <c r="H1804" t="s">
        <v>403</v>
      </c>
      <c r="I1804">
        <v>0</v>
      </c>
      <c r="J1804">
        <v>0</v>
      </c>
      <c r="K1804">
        <v>0</v>
      </c>
      <c r="L1804">
        <v>0</v>
      </c>
      <c r="M1804">
        <v>0.81</v>
      </c>
      <c r="N1804" s="7" t="e">
        <f>VLOOKUP(F1804,HC!A$6:D$100,3,FALSE)</f>
        <v>#N/A</v>
      </c>
      <c r="O1804" s="7" t="e">
        <f>VLOOKUP(F1804,HC!A$6:D$1000,2,FALSE)</f>
        <v>#N/A</v>
      </c>
      <c r="P1804" t="s">
        <v>665</v>
      </c>
      <c r="Q1804" s="7" t="s">
        <v>722</v>
      </c>
      <c r="U1804">
        <f t="shared" si="30"/>
        <v>1395</v>
      </c>
    </row>
    <row r="1805" spans="1:21" ht="37.5" customHeight="1" x14ac:dyDescent="0.25">
      <c r="A1805" s="30">
        <v>45067</v>
      </c>
      <c r="B1805" s="13">
        <v>21</v>
      </c>
      <c r="C1805" t="s">
        <v>3</v>
      </c>
      <c r="D1805" t="s">
        <v>4</v>
      </c>
      <c r="E1805" t="s">
        <v>5</v>
      </c>
      <c r="F1805" s="6">
        <v>112912753</v>
      </c>
      <c r="G1805" t="s">
        <v>415</v>
      </c>
      <c r="H1805" t="s">
        <v>298</v>
      </c>
      <c r="I1805">
        <v>0</v>
      </c>
      <c r="J1805">
        <v>0</v>
      </c>
      <c r="K1805">
        <v>0</v>
      </c>
      <c r="L1805">
        <v>0</v>
      </c>
      <c r="M1805">
        <v>0.42</v>
      </c>
      <c r="N1805" s="7" t="e">
        <f>VLOOKUP(F1805,HC!A$6:D$100,3,FALSE)</f>
        <v>#N/A</v>
      </c>
      <c r="O1805" s="7" t="e">
        <f>VLOOKUP(F1805,HC!A$6:D$1000,2,FALSE)</f>
        <v>#N/A</v>
      </c>
      <c r="P1805" t="s">
        <v>661</v>
      </c>
      <c r="Q1805" s="7" t="s">
        <v>684</v>
      </c>
      <c r="U1805">
        <f t="shared" si="30"/>
        <v>1395</v>
      </c>
    </row>
    <row r="1806" spans="1:21" ht="37.5" customHeight="1" x14ac:dyDescent="0.25">
      <c r="A1806" s="30">
        <v>45067</v>
      </c>
      <c r="B1806" s="13">
        <v>21</v>
      </c>
      <c r="C1806" t="s">
        <v>3</v>
      </c>
      <c r="D1806" t="s">
        <v>4</v>
      </c>
      <c r="E1806" t="s">
        <v>5</v>
      </c>
      <c r="F1806" s="6">
        <v>112942473</v>
      </c>
      <c r="G1806" t="s">
        <v>996</v>
      </c>
      <c r="H1806" t="s">
        <v>403</v>
      </c>
      <c r="I1806">
        <v>0</v>
      </c>
      <c r="J1806">
        <v>0</v>
      </c>
      <c r="K1806">
        <v>0</v>
      </c>
      <c r="L1806">
        <v>0</v>
      </c>
      <c r="M1806">
        <v>1.48</v>
      </c>
      <c r="N1806" s="7" t="str">
        <f>VLOOKUP(F1806,HC!A$6:D$100,3,FALSE)</f>
        <v>DC-X0700</v>
      </c>
      <c r="O1806" s="7" t="str">
        <f>VLOOKUP(F1806,HC!A$6:D$1000,2,FALSE)</f>
        <v>hildacec</v>
      </c>
      <c r="P1806" t="s">
        <v>664</v>
      </c>
      <c r="Q1806" s="7" t="s">
        <v>711</v>
      </c>
      <c r="U1806">
        <f t="shared" si="30"/>
        <v>6</v>
      </c>
    </row>
    <row r="1807" spans="1:21" ht="37.5" customHeight="1" x14ac:dyDescent="0.25">
      <c r="A1807" s="30">
        <v>45067</v>
      </c>
      <c r="B1807" s="13">
        <v>21</v>
      </c>
      <c r="C1807" t="s">
        <v>3</v>
      </c>
      <c r="D1807" t="s">
        <v>4</v>
      </c>
      <c r="E1807" t="s">
        <v>5</v>
      </c>
      <c r="F1807" s="6">
        <v>112950792</v>
      </c>
      <c r="G1807" t="s">
        <v>618</v>
      </c>
      <c r="H1807" t="s">
        <v>268</v>
      </c>
      <c r="I1807">
        <v>0</v>
      </c>
      <c r="J1807">
        <v>0</v>
      </c>
      <c r="K1807">
        <v>0</v>
      </c>
      <c r="L1807">
        <v>0</v>
      </c>
      <c r="M1807">
        <v>1.0900000000000001</v>
      </c>
      <c r="N1807" s="7" t="str">
        <f>VLOOKUP(F1807,HC!A$6:D$100,3,FALSE)</f>
        <v>NF-X1900</v>
      </c>
      <c r="O1807" s="7" t="str">
        <f>VLOOKUP(F1807,HC!A$6:D$1000,2,FALSE)</f>
        <v>genevmor</v>
      </c>
      <c r="P1807" t="s">
        <v>661</v>
      </c>
      <c r="Q1807" s="7" t="s">
        <v>684</v>
      </c>
      <c r="U1807">
        <f t="shared" si="30"/>
        <v>8</v>
      </c>
    </row>
    <row r="1808" spans="1:21" ht="37.5" customHeight="1" x14ac:dyDescent="0.25">
      <c r="A1808" s="30">
        <v>45067</v>
      </c>
      <c r="B1808" s="13">
        <v>21</v>
      </c>
      <c r="C1808" t="s">
        <v>3</v>
      </c>
      <c r="D1808" t="s">
        <v>4</v>
      </c>
      <c r="E1808" t="s">
        <v>5</v>
      </c>
      <c r="F1808" s="6">
        <v>200404250</v>
      </c>
      <c r="G1808" t="s">
        <v>51</v>
      </c>
      <c r="H1808" t="s">
        <v>298</v>
      </c>
      <c r="I1808">
        <v>0</v>
      </c>
      <c r="J1808">
        <v>0</v>
      </c>
      <c r="K1808">
        <v>0</v>
      </c>
      <c r="L1808">
        <v>0</v>
      </c>
      <c r="M1808">
        <v>0.2</v>
      </c>
      <c r="N1808" s="7" t="e">
        <f>VLOOKUP(F1808,HC!A$6:D$100,3,FALSE)</f>
        <v>#N/A</v>
      </c>
      <c r="O1808" s="7" t="str">
        <f>VLOOKUP(F1808,HC!A$6:D$1000,2,FALSE)</f>
        <v>xcathurt</v>
      </c>
      <c r="P1808" t="s">
        <v>670</v>
      </c>
      <c r="Q1808" s="7" t="s">
        <v>748</v>
      </c>
      <c r="U1808">
        <f t="shared" si="30"/>
        <v>124</v>
      </c>
    </row>
    <row r="1809" spans="1:21" ht="37.5" customHeight="1" x14ac:dyDescent="0.25">
      <c r="A1809" s="30">
        <v>45067</v>
      </c>
      <c r="B1809" s="13">
        <v>21</v>
      </c>
      <c r="C1809" t="s">
        <v>3</v>
      </c>
      <c r="D1809" t="s">
        <v>4</v>
      </c>
      <c r="E1809" t="s">
        <v>21</v>
      </c>
      <c r="F1809" s="6">
        <v>200585084</v>
      </c>
      <c r="G1809" t="s">
        <v>493</v>
      </c>
      <c r="H1809" t="s">
        <v>17</v>
      </c>
      <c r="I1809">
        <v>0</v>
      </c>
      <c r="J1809">
        <v>0</v>
      </c>
      <c r="K1809">
        <v>0</v>
      </c>
      <c r="L1809">
        <v>0</v>
      </c>
      <c r="M1809">
        <v>0.19</v>
      </c>
      <c r="N1809" s="7" t="e">
        <f>VLOOKUP(F1809,HC!A$6:D$100,3,FALSE)</f>
        <v>#N/A</v>
      </c>
      <c r="O1809" s="7" t="str">
        <f>VLOOKUP(F1809,HC!A$6:D$1000,2,FALSE)</f>
        <v>tessajvi</v>
      </c>
      <c r="Q1809" s="7"/>
      <c r="R1809" t="s">
        <v>409</v>
      </c>
      <c r="U1809">
        <f t="shared" si="30"/>
        <v>9</v>
      </c>
    </row>
    <row r="1810" spans="1:21" ht="37.5" customHeight="1" x14ac:dyDescent="0.25">
      <c r="A1810" s="30">
        <v>45067</v>
      </c>
      <c r="B1810" s="13">
        <v>21</v>
      </c>
      <c r="C1810" t="s">
        <v>3</v>
      </c>
      <c r="D1810" t="s">
        <v>4</v>
      </c>
      <c r="E1810" t="s">
        <v>21</v>
      </c>
      <c r="F1810" s="6">
        <v>200625528</v>
      </c>
      <c r="G1810" t="s">
        <v>607</v>
      </c>
      <c r="H1810" t="s">
        <v>285</v>
      </c>
      <c r="I1810">
        <v>0</v>
      </c>
      <c r="J1810">
        <v>0</v>
      </c>
      <c r="K1810">
        <v>0</v>
      </c>
      <c r="L1810">
        <v>0</v>
      </c>
      <c r="M1810">
        <v>0.38</v>
      </c>
      <c r="N1810" s="7" t="e">
        <f>VLOOKUP(F1810,HC!A$6:D$100,3,FALSE)</f>
        <v>#N/A</v>
      </c>
      <c r="O1810" s="7" t="str">
        <f>VLOOKUP(F1810,HC!A$6:D$1000,2,FALSE)</f>
        <v>olivlizb</v>
      </c>
      <c r="Q1810" s="7"/>
      <c r="R1810" t="s">
        <v>409</v>
      </c>
      <c r="U1810">
        <f t="shared" si="30"/>
        <v>50</v>
      </c>
    </row>
    <row r="1811" spans="1:21" ht="37.5" customHeight="1" x14ac:dyDescent="0.25">
      <c r="A1811" s="30">
        <v>45067</v>
      </c>
      <c r="B1811" s="13">
        <v>21</v>
      </c>
      <c r="C1811" t="s">
        <v>3</v>
      </c>
      <c r="D1811" t="s">
        <v>4</v>
      </c>
      <c r="E1811" t="s">
        <v>21</v>
      </c>
      <c r="F1811" s="6">
        <v>201198979</v>
      </c>
      <c r="G1811" t="s">
        <v>905</v>
      </c>
      <c r="H1811" t="s">
        <v>285</v>
      </c>
      <c r="I1811">
        <v>0</v>
      </c>
      <c r="J1811">
        <v>0</v>
      </c>
      <c r="K1811">
        <v>0</v>
      </c>
      <c r="L1811">
        <v>0</v>
      </c>
      <c r="M1811">
        <v>0.63</v>
      </c>
      <c r="N1811" s="7" t="e">
        <f>VLOOKUP(F1811,HC!A$6:D$100,3,FALSE)</f>
        <v>#N/A</v>
      </c>
      <c r="O1811" s="7" t="e">
        <f>VLOOKUP(F1811,HC!A$6:D$1000,2,FALSE)</f>
        <v>#N/A</v>
      </c>
      <c r="P1811" t="s">
        <v>675</v>
      </c>
      <c r="Q1811" s="7"/>
      <c r="R1811" t="s">
        <v>830</v>
      </c>
      <c r="U1811">
        <f t="shared" si="30"/>
        <v>1395</v>
      </c>
    </row>
    <row r="1812" spans="1:21" ht="37.5" customHeight="1" x14ac:dyDescent="0.25">
      <c r="A1812" s="30">
        <v>45067</v>
      </c>
      <c r="B1812" s="13">
        <v>21</v>
      </c>
      <c r="C1812" t="s">
        <v>3</v>
      </c>
      <c r="D1812" t="s">
        <v>4</v>
      </c>
      <c r="E1812" t="s">
        <v>21</v>
      </c>
      <c r="F1812" s="6">
        <v>201295432</v>
      </c>
      <c r="G1812" t="s">
        <v>1085</v>
      </c>
      <c r="H1812" t="s">
        <v>268</v>
      </c>
      <c r="I1812">
        <v>0</v>
      </c>
      <c r="J1812">
        <v>0</v>
      </c>
      <c r="K1812">
        <v>0</v>
      </c>
      <c r="L1812">
        <v>0</v>
      </c>
      <c r="M1812">
        <v>0.11</v>
      </c>
      <c r="N1812" s="7" t="e">
        <f>VLOOKUP(F1812,HC!A$6:D$100,3,FALSE)</f>
        <v>#N/A</v>
      </c>
      <c r="O1812" s="7" t="e">
        <f>VLOOKUP(F1812,HC!A$6:D$1000,2,FALSE)</f>
        <v>#N/A</v>
      </c>
      <c r="P1812" t="s">
        <v>661</v>
      </c>
      <c r="Q1812" s="7" t="s">
        <v>701</v>
      </c>
      <c r="U1812">
        <f t="shared" si="30"/>
        <v>1395</v>
      </c>
    </row>
    <row r="1813" spans="1:21" ht="37.5" customHeight="1" x14ac:dyDescent="0.25">
      <c r="A1813" s="30">
        <v>45068</v>
      </c>
      <c r="B1813" s="13">
        <v>21</v>
      </c>
      <c r="C1813" t="s">
        <v>3</v>
      </c>
      <c r="D1813" t="s">
        <v>4</v>
      </c>
      <c r="E1813" t="s">
        <v>5</v>
      </c>
      <c r="F1813" s="6">
        <v>112912071</v>
      </c>
      <c r="G1813" t="s">
        <v>918</v>
      </c>
      <c r="H1813" t="s">
        <v>268</v>
      </c>
      <c r="I1813">
        <v>0</v>
      </c>
      <c r="J1813">
        <v>0</v>
      </c>
      <c r="K1813">
        <v>0</v>
      </c>
      <c r="L1813">
        <v>0</v>
      </c>
      <c r="M1813">
        <v>0.49</v>
      </c>
      <c r="N1813" s="7" t="e">
        <f>VLOOKUP(F1813,HC!A$6:D$100,3,FALSE)</f>
        <v>#N/A</v>
      </c>
      <c r="O1813" s="7" t="e">
        <f>VLOOKUP(F1813,HC!A$6:D$1000,2,FALSE)</f>
        <v>#N/A</v>
      </c>
      <c r="P1813" t="s">
        <v>664</v>
      </c>
      <c r="Q1813" s="7" t="s">
        <v>710</v>
      </c>
      <c r="U1813">
        <f t="shared" si="30"/>
        <v>1395</v>
      </c>
    </row>
    <row r="1814" spans="1:21" ht="37.5" customHeight="1" x14ac:dyDescent="0.25">
      <c r="A1814" s="30">
        <v>45068</v>
      </c>
      <c r="B1814" s="13">
        <v>21</v>
      </c>
      <c r="C1814" t="s">
        <v>3</v>
      </c>
      <c r="D1814" t="s">
        <v>4</v>
      </c>
      <c r="E1814" t="s">
        <v>5</v>
      </c>
      <c r="F1814" s="6">
        <v>112950809</v>
      </c>
      <c r="G1814" t="s">
        <v>402</v>
      </c>
      <c r="H1814" t="s">
        <v>403</v>
      </c>
      <c r="I1814">
        <v>0</v>
      </c>
      <c r="J1814">
        <v>0</v>
      </c>
      <c r="K1814">
        <v>0</v>
      </c>
      <c r="L1814">
        <v>0</v>
      </c>
      <c r="M1814">
        <v>0.13</v>
      </c>
      <c r="N1814" s="7" t="str">
        <f>VLOOKUP(F1814,HC!A$6:D$100,3,FALSE)</f>
        <v>DA-X0700</v>
      </c>
      <c r="O1814" s="7" t="str">
        <f>VLOOKUP(F1814,HC!A$6:D$1000,2,FALSE)</f>
        <v>lurochae</v>
      </c>
      <c r="P1814" t="s">
        <v>661</v>
      </c>
      <c r="Q1814" s="7" t="s">
        <v>681</v>
      </c>
      <c r="U1814">
        <f t="shared" si="30"/>
        <v>14</v>
      </c>
    </row>
    <row r="1815" spans="1:21" ht="37.5" customHeight="1" x14ac:dyDescent="0.25">
      <c r="A1815" s="30">
        <v>45068</v>
      </c>
      <c r="B1815" s="13">
        <v>21</v>
      </c>
      <c r="C1815" t="s">
        <v>3</v>
      </c>
      <c r="D1815" t="s">
        <v>4</v>
      </c>
      <c r="E1815" t="s">
        <v>5</v>
      </c>
      <c r="F1815" s="6">
        <v>112981013</v>
      </c>
      <c r="G1815" t="s">
        <v>283</v>
      </c>
      <c r="H1815" t="s">
        <v>268</v>
      </c>
      <c r="I1815">
        <v>0</v>
      </c>
      <c r="J1815">
        <v>0</v>
      </c>
      <c r="K1815">
        <v>0</v>
      </c>
      <c r="L1815">
        <v>0</v>
      </c>
      <c r="M1815">
        <v>3.95</v>
      </c>
      <c r="N1815" s="7" t="str">
        <f>VLOOKUP(F1815,HC!A$6:D$100,3,FALSE)</f>
        <v>DA-X0700</v>
      </c>
      <c r="O1815" s="7" t="str">
        <f>VLOOKUP(F1815,HC!A$6:D$1000,2,FALSE)</f>
        <v>normaelo</v>
      </c>
      <c r="P1815" t="s">
        <v>661</v>
      </c>
      <c r="Q1815" s="7" t="s">
        <v>701</v>
      </c>
      <c r="U1815">
        <f t="shared" si="30"/>
        <v>24</v>
      </c>
    </row>
    <row r="1816" spans="1:21" ht="37.5" customHeight="1" x14ac:dyDescent="0.25">
      <c r="A1816" s="30">
        <v>45068</v>
      </c>
      <c r="B1816" s="13">
        <v>21</v>
      </c>
      <c r="C1816" t="s">
        <v>3</v>
      </c>
      <c r="D1816" t="s">
        <v>4</v>
      </c>
      <c r="E1816" t="s">
        <v>5</v>
      </c>
      <c r="F1816" s="6">
        <v>113003631</v>
      </c>
      <c r="G1816" t="s">
        <v>479</v>
      </c>
      <c r="H1816" t="s">
        <v>285</v>
      </c>
      <c r="I1816">
        <v>0</v>
      </c>
      <c r="J1816">
        <v>0</v>
      </c>
      <c r="K1816">
        <v>0</v>
      </c>
      <c r="L1816">
        <v>0</v>
      </c>
      <c r="M1816">
        <v>0.37</v>
      </c>
      <c r="N1816" s="7" t="e">
        <f>VLOOKUP(F1816,HC!A$6:D$100,3,FALSE)</f>
        <v>#N/A</v>
      </c>
      <c r="O1816" s="7" t="e">
        <f>VLOOKUP(F1816,HC!A$6:D$1000,2,FALSE)</f>
        <v>#N/A</v>
      </c>
      <c r="P1816" t="s">
        <v>661</v>
      </c>
      <c r="Q1816" s="7" t="s">
        <v>681</v>
      </c>
      <c r="U1816">
        <f t="shared" si="30"/>
        <v>1395</v>
      </c>
    </row>
    <row r="1817" spans="1:21" ht="37.5" customHeight="1" x14ac:dyDescent="0.25">
      <c r="A1817" s="30">
        <v>45068</v>
      </c>
      <c r="B1817" s="13">
        <v>21</v>
      </c>
      <c r="C1817" t="s">
        <v>3</v>
      </c>
      <c r="D1817" t="s">
        <v>4</v>
      </c>
      <c r="E1817" t="s">
        <v>5</v>
      </c>
      <c r="F1817" s="6">
        <v>113014470</v>
      </c>
      <c r="G1817" t="s">
        <v>374</v>
      </c>
      <c r="H1817" t="s">
        <v>44</v>
      </c>
      <c r="I1817">
        <v>0</v>
      </c>
      <c r="J1817">
        <v>0</v>
      </c>
      <c r="K1817">
        <v>0</v>
      </c>
      <c r="L1817">
        <v>0</v>
      </c>
      <c r="M1817">
        <v>0.67</v>
      </c>
      <c r="N1817" s="7" t="e">
        <f>VLOOKUP(F1817,HC!A$6:D$100,3,FALSE)</f>
        <v>#N/A</v>
      </c>
      <c r="O1817" s="7" t="str">
        <f>VLOOKUP(F1817,HC!A$6:D$1000,2,FALSE)</f>
        <v>lupaguin</v>
      </c>
      <c r="P1817" t="s">
        <v>667</v>
      </c>
      <c r="Q1817" s="7" t="s">
        <v>306</v>
      </c>
      <c r="U1817">
        <f t="shared" si="30"/>
        <v>23</v>
      </c>
    </row>
    <row r="1818" spans="1:21" ht="37.5" customHeight="1" x14ac:dyDescent="0.25">
      <c r="A1818" s="30">
        <v>45068</v>
      </c>
      <c r="B1818" s="13">
        <v>21</v>
      </c>
      <c r="C1818" t="s">
        <v>3</v>
      </c>
      <c r="D1818" t="s">
        <v>4</v>
      </c>
      <c r="E1818" t="s">
        <v>5</v>
      </c>
      <c r="F1818" s="6">
        <v>113101453</v>
      </c>
      <c r="G1818" t="s">
        <v>50</v>
      </c>
      <c r="H1818" t="s">
        <v>44</v>
      </c>
      <c r="I1818">
        <v>0</v>
      </c>
      <c r="J1818">
        <v>0</v>
      </c>
      <c r="K1818">
        <v>0</v>
      </c>
      <c r="L1818">
        <v>0</v>
      </c>
      <c r="M1818">
        <v>0.24</v>
      </c>
      <c r="N1818" s="7" t="e">
        <f>VLOOKUP(F1818,HC!A$6:D$100,3,FALSE)</f>
        <v>#N/A</v>
      </c>
      <c r="O1818" s="7" t="str">
        <f>VLOOKUP(F1818,HC!A$6:D$1000,2,FALSE)</f>
        <v>qisgeova</v>
      </c>
      <c r="P1818" t="s">
        <v>664</v>
      </c>
      <c r="Q1818" s="7" t="s">
        <v>711</v>
      </c>
      <c r="U1818">
        <f t="shared" si="30"/>
        <v>57</v>
      </c>
    </row>
    <row r="1819" spans="1:21" ht="37.5" customHeight="1" x14ac:dyDescent="0.25">
      <c r="A1819" s="30">
        <v>45068</v>
      </c>
      <c r="B1819" s="13">
        <v>21</v>
      </c>
      <c r="C1819" t="s">
        <v>3</v>
      </c>
      <c r="D1819" t="s">
        <v>4</v>
      </c>
      <c r="E1819" t="s">
        <v>5</v>
      </c>
      <c r="F1819" s="6">
        <v>200404250</v>
      </c>
      <c r="G1819" t="s">
        <v>51</v>
      </c>
      <c r="H1819" t="s">
        <v>298</v>
      </c>
      <c r="I1819">
        <v>0</v>
      </c>
      <c r="J1819">
        <v>0</v>
      </c>
      <c r="K1819">
        <v>0</v>
      </c>
      <c r="L1819">
        <v>0</v>
      </c>
      <c r="M1819">
        <v>0.51</v>
      </c>
      <c r="N1819" s="7" t="e">
        <f>VLOOKUP(F1819,HC!A$6:D$100,3,FALSE)</f>
        <v>#N/A</v>
      </c>
      <c r="O1819" s="7" t="str">
        <f>VLOOKUP(F1819,HC!A$6:D$1000,2,FALSE)</f>
        <v>xcathurt</v>
      </c>
      <c r="P1819" t="s">
        <v>662</v>
      </c>
      <c r="Q1819" s="7" t="s">
        <v>757</v>
      </c>
      <c r="R1819" t="s">
        <v>1089</v>
      </c>
      <c r="U1819">
        <f t="shared" si="30"/>
        <v>124</v>
      </c>
    </row>
    <row r="1820" spans="1:21" ht="37.5" customHeight="1" x14ac:dyDescent="0.25">
      <c r="A1820" s="30">
        <v>45068</v>
      </c>
      <c r="B1820" s="13">
        <v>21</v>
      </c>
      <c r="C1820" t="s">
        <v>3</v>
      </c>
      <c r="D1820" t="s">
        <v>4</v>
      </c>
      <c r="E1820" t="s">
        <v>21</v>
      </c>
      <c r="F1820" s="6">
        <v>200625517</v>
      </c>
      <c r="G1820" t="s">
        <v>323</v>
      </c>
      <c r="H1820" t="s">
        <v>44</v>
      </c>
      <c r="I1820">
        <v>0</v>
      </c>
      <c r="J1820">
        <v>0</v>
      </c>
      <c r="K1820">
        <v>0</v>
      </c>
      <c r="L1820">
        <v>0</v>
      </c>
      <c r="M1820">
        <v>0.15</v>
      </c>
      <c r="N1820" s="7" t="e">
        <f>VLOOKUP(F1820,HC!A$6:D$100,3,FALSE)</f>
        <v>#N/A</v>
      </c>
      <c r="O1820" s="7" t="e">
        <f>VLOOKUP(F1820,HC!A$6:D$1000,2,FALSE)</f>
        <v>#N/A</v>
      </c>
      <c r="P1820" t="s">
        <v>662</v>
      </c>
      <c r="Q1820" s="7" t="s">
        <v>691</v>
      </c>
      <c r="U1820">
        <f t="shared" si="30"/>
        <v>1395</v>
      </c>
    </row>
    <row r="1821" spans="1:21" ht="37.5" customHeight="1" x14ac:dyDescent="0.25">
      <c r="A1821" s="30">
        <v>45068</v>
      </c>
      <c r="B1821" s="13">
        <v>21</v>
      </c>
      <c r="C1821" t="s">
        <v>3</v>
      </c>
      <c r="D1821" t="s">
        <v>4</v>
      </c>
      <c r="E1821" t="s">
        <v>21</v>
      </c>
      <c r="F1821" s="6">
        <v>201167517</v>
      </c>
      <c r="G1821" t="s">
        <v>849</v>
      </c>
      <c r="H1821" t="s">
        <v>44</v>
      </c>
      <c r="I1821">
        <v>0</v>
      </c>
      <c r="J1821">
        <v>0</v>
      </c>
      <c r="K1821">
        <v>0</v>
      </c>
      <c r="L1821">
        <v>0</v>
      </c>
      <c r="M1821">
        <v>0.17</v>
      </c>
      <c r="N1821" s="7" t="e">
        <f>VLOOKUP(F1821,HC!A$6:D$100,3,FALSE)</f>
        <v>#N/A</v>
      </c>
      <c r="O1821" s="7" t="e">
        <f>VLOOKUP(F1821,HC!A$6:D$1000,2,FALSE)</f>
        <v>#N/A</v>
      </c>
      <c r="P1821" t="s">
        <v>663</v>
      </c>
      <c r="Q1821" s="7" t="s">
        <v>692</v>
      </c>
      <c r="U1821">
        <f t="shared" si="30"/>
        <v>1395</v>
      </c>
    </row>
    <row r="1822" spans="1:21" ht="37.5" customHeight="1" x14ac:dyDescent="0.25">
      <c r="A1822" s="30">
        <v>45068</v>
      </c>
      <c r="B1822" s="13">
        <v>21</v>
      </c>
      <c r="C1822" t="s">
        <v>3</v>
      </c>
      <c r="D1822" t="s">
        <v>4</v>
      </c>
      <c r="E1822" t="s">
        <v>21</v>
      </c>
      <c r="F1822" s="6">
        <v>201294405</v>
      </c>
      <c r="G1822" t="s">
        <v>1086</v>
      </c>
      <c r="H1822" t="s">
        <v>268</v>
      </c>
      <c r="I1822">
        <v>0</v>
      </c>
      <c r="J1822">
        <v>0</v>
      </c>
      <c r="K1822">
        <v>0</v>
      </c>
      <c r="L1822">
        <v>0</v>
      </c>
      <c r="M1822">
        <v>7.0000000000000007E-2</v>
      </c>
      <c r="N1822" s="7" t="e">
        <f>VLOOKUP(F1822,HC!A$6:D$100,3,FALSE)</f>
        <v>#N/A</v>
      </c>
      <c r="O1822" s="7" t="e">
        <f>VLOOKUP(F1822,HC!A$6:D$1000,2,FALSE)</f>
        <v>#N/A</v>
      </c>
      <c r="P1822" t="s">
        <v>662</v>
      </c>
      <c r="Q1822" s="7" t="s">
        <v>691</v>
      </c>
      <c r="U1822">
        <f t="shared" si="30"/>
        <v>1395</v>
      </c>
    </row>
    <row r="1823" spans="1:21" ht="37.5" customHeight="1" x14ac:dyDescent="0.25">
      <c r="A1823" s="30">
        <v>45068</v>
      </c>
      <c r="B1823" s="13">
        <v>21</v>
      </c>
      <c r="C1823" t="s">
        <v>3</v>
      </c>
      <c r="D1823" t="s">
        <v>4</v>
      </c>
      <c r="E1823" t="s">
        <v>21</v>
      </c>
      <c r="F1823" s="6">
        <v>201346293</v>
      </c>
      <c r="G1823" t="s">
        <v>1087</v>
      </c>
      <c r="H1823" t="s">
        <v>263</v>
      </c>
      <c r="I1823">
        <v>0</v>
      </c>
      <c r="J1823">
        <v>0</v>
      </c>
      <c r="K1823">
        <v>0</v>
      </c>
      <c r="L1823">
        <v>0</v>
      </c>
      <c r="M1823">
        <v>0.16</v>
      </c>
      <c r="N1823" s="7" t="e">
        <f>VLOOKUP(F1823,HC!A$6:D$100,3,FALSE)</f>
        <v>#N/A</v>
      </c>
      <c r="O1823" s="7" t="e">
        <f>VLOOKUP(F1823,HC!A$6:D$1000,2,FALSE)</f>
        <v>#N/A</v>
      </c>
      <c r="P1823" t="s">
        <v>661</v>
      </c>
      <c r="Q1823" s="7" t="s">
        <v>758</v>
      </c>
      <c r="U1823">
        <f t="shared" si="30"/>
        <v>1395</v>
      </c>
    </row>
    <row r="1824" spans="1:21" ht="37.5" customHeight="1" x14ac:dyDescent="0.25">
      <c r="A1824" s="30">
        <v>45068</v>
      </c>
      <c r="B1824" s="13">
        <v>21</v>
      </c>
      <c r="C1824" t="s">
        <v>3</v>
      </c>
      <c r="D1824" t="s">
        <v>4</v>
      </c>
      <c r="E1824" t="s">
        <v>21</v>
      </c>
      <c r="F1824" s="6">
        <v>201374875</v>
      </c>
      <c r="G1824" t="s">
        <v>1088</v>
      </c>
      <c r="H1824" t="s">
        <v>263</v>
      </c>
      <c r="I1824">
        <v>0</v>
      </c>
      <c r="J1824">
        <v>0</v>
      </c>
      <c r="K1824">
        <v>0</v>
      </c>
      <c r="L1824">
        <v>0</v>
      </c>
      <c r="M1824">
        <v>0.52</v>
      </c>
      <c r="N1824" s="7" t="e">
        <f>VLOOKUP(F1824,HC!A$6:D$100,3,FALSE)</f>
        <v>#N/A</v>
      </c>
      <c r="O1824" s="7" t="e">
        <f>VLOOKUP(F1824,HC!A$6:D$1000,2,FALSE)</f>
        <v>#N/A</v>
      </c>
      <c r="P1824" t="s">
        <v>664</v>
      </c>
      <c r="Q1824" s="7" t="s">
        <v>710</v>
      </c>
      <c r="U1824">
        <f t="shared" si="30"/>
        <v>1395</v>
      </c>
    </row>
    <row r="1825" spans="1:21" ht="37.5" customHeight="1" x14ac:dyDescent="0.25">
      <c r="A1825" s="30">
        <v>45068</v>
      </c>
      <c r="B1825" s="13">
        <v>21</v>
      </c>
      <c r="C1825" t="s">
        <v>3</v>
      </c>
      <c r="D1825" t="s">
        <v>4</v>
      </c>
      <c r="E1825" t="s">
        <v>21</v>
      </c>
      <c r="F1825" s="6">
        <v>201378614</v>
      </c>
      <c r="G1825" t="s">
        <v>1046</v>
      </c>
      <c r="H1825" t="s">
        <v>1040</v>
      </c>
      <c r="I1825">
        <v>0</v>
      </c>
      <c r="J1825">
        <v>0</v>
      </c>
      <c r="K1825">
        <v>0</v>
      </c>
      <c r="L1825">
        <v>0</v>
      </c>
      <c r="M1825">
        <v>0.11</v>
      </c>
      <c r="N1825" s="7" t="e">
        <f>VLOOKUP(F1825,HC!A$6:D$100,3,FALSE)</f>
        <v>#N/A</v>
      </c>
      <c r="O1825" s="7" t="e">
        <f>VLOOKUP(F1825,HC!A$6:D$1000,2,FALSE)</f>
        <v>#N/A</v>
      </c>
      <c r="P1825" t="s">
        <v>661</v>
      </c>
      <c r="Q1825" s="7" t="s">
        <v>681</v>
      </c>
      <c r="U1825">
        <f t="shared" si="30"/>
        <v>1395</v>
      </c>
    </row>
    <row r="1826" spans="1:21" ht="37.5" customHeight="1" x14ac:dyDescent="0.25">
      <c r="A1826" s="30">
        <v>45068</v>
      </c>
      <c r="B1826" s="13">
        <v>21</v>
      </c>
      <c r="C1826" t="s">
        <v>3</v>
      </c>
      <c r="D1826" t="s">
        <v>4</v>
      </c>
      <c r="E1826" t="s">
        <v>21</v>
      </c>
      <c r="F1826" s="6">
        <v>201402216</v>
      </c>
      <c r="G1826" t="s">
        <v>1064</v>
      </c>
      <c r="H1826" t="s">
        <v>1040</v>
      </c>
      <c r="I1826">
        <v>0</v>
      </c>
      <c r="J1826">
        <v>0</v>
      </c>
      <c r="K1826">
        <v>0</v>
      </c>
      <c r="L1826">
        <v>0</v>
      </c>
      <c r="M1826">
        <v>0.51</v>
      </c>
      <c r="N1826" s="7" t="e">
        <f>VLOOKUP(F1826,HC!A$6:D$100,3,FALSE)</f>
        <v>#N/A</v>
      </c>
      <c r="O1826" s="7" t="e">
        <f>VLOOKUP(F1826,HC!A$6:D$1000,2,FALSE)</f>
        <v>#N/A</v>
      </c>
      <c r="P1826" t="s">
        <v>668</v>
      </c>
      <c r="Q1826" s="7" t="s">
        <v>732</v>
      </c>
      <c r="U1826">
        <f t="shared" si="30"/>
        <v>1395</v>
      </c>
    </row>
    <row r="1827" spans="1:21" ht="37.5" customHeight="1" x14ac:dyDescent="0.25">
      <c r="A1827" s="30">
        <v>45069</v>
      </c>
      <c r="B1827" s="13">
        <v>21</v>
      </c>
      <c r="C1827" t="s">
        <v>3</v>
      </c>
      <c r="D1827" t="s">
        <v>4</v>
      </c>
      <c r="E1827" t="s">
        <v>5</v>
      </c>
      <c r="F1827" s="6">
        <v>112912071</v>
      </c>
      <c r="G1827" t="s">
        <v>918</v>
      </c>
      <c r="H1827" t="s">
        <v>268</v>
      </c>
      <c r="I1827">
        <v>0</v>
      </c>
      <c r="J1827">
        <v>0</v>
      </c>
      <c r="K1827">
        <v>0</v>
      </c>
      <c r="L1827">
        <v>0</v>
      </c>
      <c r="M1827">
        <v>1.86</v>
      </c>
      <c r="N1827" s="7" t="e">
        <f>VLOOKUP(F1827,HC!A$6:D$100,3,FALSE)</f>
        <v>#N/A</v>
      </c>
      <c r="O1827" s="7" t="e">
        <f>VLOOKUP(F1827,HC!A$6:D$1000,2,FALSE)</f>
        <v>#N/A</v>
      </c>
      <c r="P1827" t="s">
        <v>664</v>
      </c>
      <c r="Q1827" s="7" t="s">
        <v>710</v>
      </c>
      <c r="U1827">
        <f t="shared" si="30"/>
        <v>1395</v>
      </c>
    </row>
    <row r="1828" spans="1:21" ht="37.5" customHeight="1" x14ac:dyDescent="0.25">
      <c r="A1828" s="30">
        <v>45069</v>
      </c>
      <c r="B1828" s="13">
        <v>21</v>
      </c>
      <c r="C1828" t="s">
        <v>3</v>
      </c>
      <c r="D1828" t="s">
        <v>4</v>
      </c>
      <c r="E1828" t="s">
        <v>5</v>
      </c>
      <c r="F1828" s="6">
        <v>112912663</v>
      </c>
      <c r="G1828" t="s">
        <v>8</v>
      </c>
      <c r="H1828" t="s">
        <v>403</v>
      </c>
      <c r="I1828">
        <v>0</v>
      </c>
      <c r="J1828">
        <v>0</v>
      </c>
      <c r="K1828">
        <v>0</v>
      </c>
      <c r="L1828">
        <v>0</v>
      </c>
      <c r="M1828">
        <v>0.24</v>
      </c>
      <c r="N1828" s="7" t="e">
        <f>VLOOKUP(F1828,HC!A$6:D$100,3,FALSE)</f>
        <v>#N/A</v>
      </c>
      <c r="O1828" s="7" t="e">
        <f>VLOOKUP(F1828,HC!A$6:D$1000,2,FALSE)</f>
        <v>#N/A</v>
      </c>
      <c r="P1828" t="s">
        <v>662</v>
      </c>
      <c r="Q1828" s="7" t="s">
        <v>757</v>
      </c>
      <c r="U1828">
        <f t="shared" si="30"/>
        <v>1395</v>
      </c>
    </row>
    <row r="1829" spans="1:21" ht="37.5" customHeight="1" x14ac:dyDescent="0.25">
      <c r="A1829" s="30">
        <v>45069</v>
      </c>
      <c r="B1829" s="13">
        <v>21</v>
      </c>
      <c r="C1829" t="s">
        <v>3</v>
      </c>
      <c r="D1829" t="s">
        <v>4</v>
      </c>
      <c r="E1829" t="s">
        <v>5</v>
      </c>
      <c r="F1829" s="6">
        <v>112981013</v>
      </c>
      <c r="G1829" t="s">
        <v>283</v>
      </c>
      <c r="H1829" t="s">
        <v>268</v>
      </c>
      <c r="I1829">
        <v>0</v>
      </c>
      <c r="J1829">
        <v>0</v>
      </c>
      <c r="K1829">
        <v>0</v>
      </c>
      <c r="L1829">
        <v>0</v>
      </c>
      <c r="M1829">
        <v>0.86</v>
      </c>
      <c r="N1829" s="7" t="str">
        <f>VLOOKUP(F1829,HC!A$6:D$100,3,FALSE)</f>
        <v>DA-X0700</v>
      </c>
      <c r="O1829" s="7" t="str">
        <f>VLOOKUP(F1829,HC!A$6:D$1000,2,FALSE)</f>
        <v>normaelo</v>
      </c>
      <c r="P1829" t="s">
        <v>661</v>
      </c>
      <c r="Q1829" s="7" t="s">
        <v>681</v>
      </c>
      <c r="U1829">
        <f t="shared" si="30"/>
        <v>24</v>
      </c>
    </row>
    <row r="1830" spans="1:21" ht="37.5" customHeight="1" x14ac:dyDescent="0.25">
      <c r="A1830" s="30">
        <v>45069</v>
      </c>
      <c r="B1830" s="13">
        <v>21</v>
      </c>
      <c r="C1830" t="s">
        <v>3</v>
      </c>
      <c r="D1830" t="s">
        <v>4</v>
      </c>
      <c r="E1830" t="s">
        <v>5</v>
      </c>
      <c r="F1830" s="6">
        <v>112981196</v>
      </c>
      <c r="G1830" t="s">
        <v>328</v>
      </c>
      <c r="H1830" t="s">
        <v>285</v>
      </c>
      <c r="I1830">
        <v>0</v>
      </c>
      <c r="J1830">
        <v>0</v>
      </c>
      <c r="K1830">
        <v>0</v>
      </c>
      <c r="L1830">
        <v>0</v>
      </c>
      <c r="M1830">
        <v>0.81</v>
      </c>
      <c r="N1830" s="7" t="e">
        <f>VLOOKUP(F1830,HC!A$6:D$100,3,FALSE)</f>
        <v>#N/A</v>
      </c>
      <c r="O1830" s="7" t="str">
        <f>VLOOKUP(F1830,HC!A$6:D$1000,2,FALSE)</f>
        <v>vandgome</v>
      </c>
      <c r="P1830" t="s">
        <v>664</v>
      </c>
      <c r="Q1830" s="7" t="s">
        <v>708</v>
      </c>
      <c r="U1830">
        <f t="shared" si="30"/>
        <v>24</v>
      </c>
    </row>
    <row r="1831" spans="1:21" ht="37.5" customHeight="1" x14ac:dyDescent="0.25">
      <c r="A1831" s="30">
        <v>45069</v>
      </c>
      <c r="B1831" s="13">
        <v>21</v>
      </c>
      <c r="C1831" t="s">
        <v>3</v>
      </c>
      <c r="D1831" t="s">
        <v>4</v>
      </c>
      <c r="E1831" t="s">
        <v>5</v>
      </c>
      <c r="F1831" s="6">
        <v>113044620</v>
      </c>
      <c r="G1831" t="s">
        <v>470</v>
      </c>
      <c r="H1831" t="s">
        <v>44</v>
      </c>
      <c r="I1831">
        <v>0</v>
      </c>
      <c r="J1831">
        <v>0</v>
      </c>
      <c r="K1831">
        <v>0</v>
      </c>
      <c r="L1831">
        <v>0</v>
      </c>
      <c r="M1831">
        <v>0.1</v>
      </c>
      <c r="N1831" s="7" t="e">
        <f>VLOOKUP(F1831,HC!A$6:D$100,3,FALSE)</f>
        <v>#N/A</v>
      </c>
      <c r="O1831" s="7" t="str">
        <f>VLOOKUP(F1831,HC!A$6:D$1000,2,FALSE)</f>
        <v>aldojasw</v>
      </c>
      <c r="P1831" t="s">
        <v>664</v>
      </c>
      <c r="Q1831" s="7" t="s">
        <v>711</v>
      </c>
      <c r="U1831">
        <f t="shared" si="30"/>
        <v>11</v>
      </c>
    </row>
    <row r="1832" spans="1:21" ht="37.5" customHeight="1" x14ac:dyDescent="0.25">
      <c r="A1832" s="30">
        <v>45069</v>
      </c>
      <c r="B1832" s="13">
        <v>21</v>
      </c>
      <c r="C1832" t="s">
        <v>3</v>
      </c>
      <c r="D1832" t="s">
        <v>4</v>
      </c>
      <c r="E1832" t="s">
        <v>5</v>
      </c>
      <c r="F1832" s="6">
        <v>113101453</v>
      </c>
      <c r="G1832" t="s">
        <v>50</v>
      </c>
      <c r="H1832" t="s">
        <v>44</v>
      </c>
      <c r="I1832">
        <v>0</v>
      </c>
      <c r="J1832">
        <v>0</v>
      </c>
      <c r="K1832">
        <v>0</v>
      </c>
      <c r="L1832">
        <v>0</v>
      </c>
      <c r="M1832">
        <v>0.71</v>
      </c>
      <c r="N1832" s="7" t="e">
        <f>VLOOKUP(F1832,HC!A$6:D$100,3,FALSE)</f>
        <v>#N/A</v>
      </c>
      <c r="O1832" s="7" t="str">
        <f>VLOOKUP(F1832,HC!A$6:D$1000,2,FALSE)</f>
        <v>qisgeova</v>
      </c>
      <c r="P1832" t="s">
        <v>664</v>
      </c>
      <c r="Q1832" s="7" t="s">
        <v>711</v>
      </c>
      <c r="U1832">
        <f t="shared" si="30"/>
        <v>57</v>
      </c>
    </row>
    <row r="1833" spans="1:21" ht="37.5" customHeight="1" x14ac:dyDescent="0.25">
      <c r="A1833" s="30">
        <v>45069</v>
      </c>
      <c r="B1833" s="13">
        <v>21</v>
      </c>
      <c r="C1833" t="s">
        <v>3</v>
      </c>
      <c r="D1833" t="s">
        <v>4</v>
      </c>
      <c r="E1833" t="s">
        <v>5</v>
      </c>
      <c r="F1833" s="6">
        <v>200404250</v>
      </c>
      <c r="G1833" t="s">
        <v>51</v>
      </c>
      <c r="H1833" t="s">
        <v>298</v>
      </c>
      <c r="I1833">
        <v>0</v>
      </c>
      <c r="J1833">
        <v>0</v>
      </c>
      <c r="K1833">
        <v>0</v>
      </c>
      <c r="L1833">
        <v>0</v>
      </c>
      <c r="M1833">
        <v>0.45</v>
      </c>
      <c r="N1833" s="7" t="e">
        <f>VLOOKUP(F1833,HC!A$6:D$100,3,FALSE)</f>
        <v>#N/A</v>
      </c>
      <c r="O1833" s="7" t="str">
        <f>VLOOKUP(F1833,HC!A$6:D$1000,2,FALSE)</f>
        <v>xcathurt</v>
      </c>
      <c r="P1833" t="s">
        <v>662</v>
      </c>
      <c r="Q1833" s="7" t="s">
        <v>691</v>
      </c>
      <c r="R1833" t="s">
        <v>1089</v>
      </c>
      <c r="U1833">
        <f t="shared" si="30"/>
        <v>124</v>
      </c>
    </row>
    <row r="1834" spans="1:21" ht="37.5" customHeight="1" x14ac:dyDescent="0.25">
      <c r="A1834" s="30">
        <v>45069</v>
      </c>
      <c r="B1834" s="13">
        <v>21</v>
      </c>
      <c r="C1834" t="s">
        <v>3</v>
      </c>
      <c r="D1834" t="s">
        <v>4</v>
      </c>
      <c r="E1834" t="s">
        <v>21</v>
      </c>
      <c r="F1834" s="6">
        <v>200565175</v>
      </c>
      <c r="G1834" t="s">
        <v>1090</v>
      </c>
      <c r="H1834" t="s">
        <v>285</v>
      </c>
      <c r="I1834">
        <v>0</v>
      </c>
      <c r="J1834">
        <v>0</v>
      </c>
      <c r="K1834">
        <v>0</v>
      </c>
      <c r="L1834">
        <v>0</v>
      </c>
      <c r="M1834">
        <v>0.22</v>
      </c>
      <c r="N1834" s="7" t="e">
        <f>VLOOKUP(F1834,HC!A$6:D$100,3,FALSE)</f>
        <v>#N/A</v>
      </c>
      <c r="O1834" s="7" t="e">
        <f>VLOOKUP(F1834,HC!A$6:D$1000,2,FALSE)</f>
        <v>#N/A</v>
      </c>
      <c r="P1834" t="s">
        <v>661</v>
      </c>
      <c r="Q1834" s="7" t="s">
        <v>684</v>
      </c>
      <c r="U1834">
        <f t="shared" si="30"/>
        <v>1395</v>
      </c>
    </row>
    <row r="1835" spans="1:21" ht="37.5" customHeight="1" x14ac:dyDescent="0.25">
      <c r="A1835" s="30">
        <v>45069</v>
      </c>
      <c r="B1835" s="13">
        <v>21</v>
      </c>
      <c r="C1835" t="s">
        <v>3</v>
      </c>
      <c r="D1835" t="s">
        <v>4</v>
      </c>
      <c r="E1835" t="s">
        <v>21</v>
      </c>
      <c r="F1835" s="6">
        <v>201172306</v>
      </c>
      <c r="G1835" t="s">
        <v>970</v>
      </c>
      <c r="H1835" t="s">
        <v>268</v>
      </c>
      <c r="I1835">
        <v>0</v>
      </c>
      <c r="J1835">
        <v>0</v>
      </c>
      <c r="K1835">
        <v>0</v>
      </c>
      <c r="L1835">
        <v>0</v>
      </c>
      <c r="M1835">
        <v>0.27</v>
      </c>
      <c r="N1835" s="7" t="e">
        <f>VLOOKUP(F1835,HC!A$6:D$100,3,FALSE)</f>
        <v>#N/A</v>
      </c>
      <c r="O1835" s="7" t="str">
        <f>VLOOKUP(F1835,HC!A$6:D$1000,2,FALSE)</f>
        <v>cesarvae</v>
      </c>
      <c r="P1835" t="s">
        <v>661</v>
      </c>
      <c r="Q1835" s="7" t="s">
        <v>681</v>
      </c>
      <c r="U1835">
        <f t="shared" si="30"/>
        <v>17</v>
      </c>
    </row>
    <row r="1836" spans="1:21" ht="37.5" customHeight="1" x14ac:dyDescent="0.25">
      <c r="A1836" s="30">
        <v>45069</v>
      </c>
      <c r="B1836" s="13">
        <v>21</v>
      </c>
      <c r="C1836" t="s">
        <v>3</v>
      </c>
      <c r="D1836" t="s">
        <v>4</v>
      </c>
      <c r="E1836" t="s">
        <v>21</v>
      </c>
      <c r="F1836" s="6">
        <v>201185277</v>
      </c>
      <c r="G1836" t="s">
        <v>948</v>
      </c>
      <c r="H1836" t="s">
        <v>44</v>
      </c>
      <c r="I1836">
        <v>0</v>
      </c>
      <c r="J1836">
        <v>0</v>
      </c>
      <c r="K1836">
        <v>0</v>
      </c>
      <c r="L1836">
        <v>0</v>
      </c>
      <c r="M1836">
        <v>0.37</v>
      </c>
      <c r="N1836" s="7" t="e">
        <f>VLOOKUP(F1836,HC!A$6:D$100,3,FALSE)</f>
        <v>#N/A</v>
      </c>
      <c r="O1836" s="7" t="e">
        <f>VLOOKUP(F1836,HC!A$6:D$1000,2,FALSE)</f>
        <v>#N/A</v>
      </c>
      <c r="Q1836" s="7"/>
      <c r="R1836" t="s">
        <v>1067</v>
      </c>
      <c r="U1836">
        <f t="shared" si="30"/>
        <v>1395</v>
      </c>
    </row>
    <row r="1837" spans="1:21" ht="37.5" customHeight="1" x14ac:dyDescent="0.25">
      <c r="A1837" s="30">
        <v>45069</v>
      </c>
      <c r="B1837" s="13">
        <v>21</v>
      </c>
      <c r="C1837" t="s">
        <v>3</v>
      </c>
      <c r="D1837" t="s">
        <v>4</v>
      </c>
      <c r="E1837" t="s">
        <v>21</v>
      </c>
      <c r="F1837" s="6">
        <v>201201993</v>
      </c>
      <c r="G1837" t="s">
        <v>964</v>
      </c>
      <c r="H1837" t="s">
        <v>285</v>
      </c>
      <c r="I1837">
        <v>0</v>
      </c>
      <c r="J1837">
        <v>0</v>
      </c>
      <c r="K1837">
        <v>0</v>
      </c>
      <c r="L1837">
        <v>0</v>
      </c>
      <c r="M1837">
        <v>0.17</v>
      </c>
      <c r="N1837" s="7" t="e">
        <f>VLOOKUP(F1837,HC!A$6:D$100,3,FALSE)</f>
        <v>#N/A</v>
      </c>
      <c r="O1837" s="7" t="e">
        <f>VLOOKUP(F1837,HC!A$6:D$1000,2,FALSE)</f>
        <v>#N/A</v>
      </c>
      <c r="P1837" t="s">
        <v>661</v>
      </c>
      <c r="Q1837" s="7" t="s">
        <v>681</v>
      </c>
      <c r="U1837">
        <f t="shared" si="30"/>
        <v>1395</v>
      </c>
    </row>
    <row r="1838" spans="1:21" ht="37.5" customHeight="1" x14ac:dyDescent="0.25">
      <c r="A1838" s="30">
        <v>45069</v>
      </c>
      <c r="B1838" s="13">
        <v>21</v>
      </c>
      <c r="C1838" t="s">
        <v>3</v>
      </c>
      <c r="D1838" t="s">
        <v>4</v>
      </c>
      <c r="E1838" t="s">
        <v>21</v>
      </c>
      <c r="F1838" s="6">
        <v>201211582</v>
      </c>
      <c r="G1838" t="s">
        <v>991</v>
      </c>
      <c r="H1838" t="s">
        <v>17</v>
      </c>
      <c r="I1838">
        <v>0</v>
      </c>
      <c r="J1838">
        <v>0</v>
      </c>
      <c r="K1838">
        <v>0</v>
      </c>
      <c r="L1838">
        <v>0</v>
      </c>
      <c r="M1838">
        <v>0.12</v>
      </c>
      <c r="N1838" s="7" t="e">
        <f>VLOOKUP(F1838,HC!A$6:D$100,3,FALSE)</f>
        <v>#N/A</v>
      </c>
      <c r="O1838" s="7" t="e">
        <f>VLOOKUP(F1838,HC!A$6:D$1000,2,FALSE)</f>
        <v>#N/A</v>
      </c>
      <c r="P1838" t="s">
        <v>661</v>
      </c>
      <c r="Q1838" s="7" t="s">
        <v>681</v>
      </c>
      <c r="U1838">
        <f t="shared" si="30"/>
        <v>1395</v>
      </c>
    </row>
    <row r="1839" spans="1:21" ht="37.5" customHeight="1" x14ac:dyDescent="0.25">
      <c r="A1839" s="30">
        <v>45069</v>
      </c>
      <c r="B1839" s="13">
        <v>21</v>
      </c>
      <c r="C1839" t="s">
        <v>3</v>
      </c>
      <c r="D1839" t="s">
        <v>4</v>
      </c>
      <c r="E1839" t="s">
        <v>21</v>
      </c>
      <c r="F1839" s="6">
        <v>201295432</v>
      </c>
      <c r="G1839" t="s">
        <v>1085</v>
      </c>
      <c r="H1839" t="s">
        <v>268</v>
      </c>
      <c r="I1839">
        <v>0</v>
      </c>
      <c r="J1839">
        <v>0</v>
      </c>
      <c r="K1839">
        <v>0</v>
      </c>
      <c r="L1839">
        <v>0</v>
      </c>
      <c r="M1839">
        <v>0.83</v>
      </c>
      <c r="N1839" s="7" t="e">
        <f>VLOOKUP(F1839,HC!A$6:D$100,3,FALSE)</f>
        <v>#N/A</v>
      </c>
      <c r="O1839" s="7" t="e">
        <f>VLOOKUP(F1839,HC!A$6:D$1000,2,FALSE)</f>
        <v>#N/A</v>
      </c>
      <c r="P1839" t="s">
        <v>662</v>
      </c>
      <c r="Q1839" s="7" t="s">
        <v>757</v>
      </c>
      <c r="U1839">
        <f t="shared" si="30"/>
        <v>1395</v>
      </c>
    </row>
    <row r="1840" spans="1:21" ht="37.5" customHeight="1" x14ac:dyDescent="0.25">
      <c r="A1840" s="30">
        <v>45069</v>
      </c>
      <c r="B1840" s="13">
        <v>21</v>
      </c>
      <c r="C1840" t="s">
        <v>3</v>
      </c>
      <c r="D1840" t="s">
        <v>4</v>
      </c>
      <c r="E1840" t="s">
        <v>21</v>
      </c>
      <c r="F1840" s="6">
        <v>201329332</v>
      </c>
      <c r="G1840" t="s">
        <v>1091</v>
      </c>
      <c r="H1840" t="s">
        <v>49</v>
      </c>
      <c r="I1840">
        <v>0</v>
      </c>
      <c r="J1840">
        <v>0</v>
      </c>
      <c r="K1840">
        <v>0</v>
      </c>
      <c r="L1840">
        <v>0</v>
      </c>
      <c r="M1840">
        <v>0.26</v>
      </c>
      <c r="N1840" s="7" t="e">
        <f>VLOOKUP(F1840,HC!A$6:D$100,3,FALSE)</f>
        <v>#N/A</v>
      </c>
      <c r="O1840" s="7" t="e">
        <f>VLOOKUP(F1840,HC!A$6:D$1000,2,FALSE)</f>
        <v>#N/A</v>
      </c>
      <c r="P1840" t="s">
        <v>661</v>
      </c>
      <c r="Q1840" s="7" t="s">
        <v>681</v>
      </c>
      <c r="U1840">
        <f t="shared" si="30"/>
        <v>1395</v>
      </c>
    </row>
    <row r="1841" spans="1:21" ht="37.5" customHeight="1" x14ac:dyDescent="0.25">
      <c r="A1841" s="30">
        <v>45069</v>
      </c>
      <c r="B1841" s="13">
        <v>21</v>
      </c>
      <c r="C1841" t="s">
        <v>3</v>
      </c>
      <c r="D1841" t="s">
        <v>4</v>
      </c>
      <c r="E1841" t="s">
        <v>21</v>
      </c>
      <c r="F1841" s="6">
        <v>201345774</v>
      </c>
      <c r="G1841" t="s">
        <v>1070</v>
      </c>
      <c r="H1841" t="s">
        <v>44</v>
      </c>
      <c r="I1841">
        <v>0</v>
      </c>
      <c r="J1841">
        <v>0</v>
      </c>
      <c r="K1841">
        <v>0</v>
      </c>
      <c r="L1841">
        <v>0</v>
      </c>
      <c r="M1841">
        <v>0.31</v>
      </c>
      <c r="N1841" s="7" t="e">
        <f>VLOOKUP(F1841,HC!A$6:D$100,3,FALSE)</f>
        <v>#N/A</v>
      </c>
      <c r="O1841" s="7" t="str">
        <f>VLOOKUP(F1841,HC!A$6:D$1000,2,FALSE)</f>
        <v>jonquija</v>
      </c>
      <c r="P1841" t="s">
        <v>668</v>
      </c>
      <c r="Q1841" s="7" t="s">
        <v>732</v>
      </c>
      <c r="U1841">
        <f t="shared" si="30"/>
        <v>19</v>
      </c>
    </row>
    <row r="1842" spans="1:21" ht="37.5" customHeight="1" x14ac:dyDescent="0.25">
      <c r="A1842" s="30">
        <v>45069</v>
      </c>
      <c r="B1842" s="13">
        <v>21</v>
      </c>
      <c r="C1842" t="s">
        <v>3</v>
      </c>
      <c r="D1842" t="s">
        <v>4</v>
      </c>
      <c r="E1842" t="s">
        <v>21</v>
      </c>
      <c r="F1842" s="6">
        <v>201365896</v>
      </c>
      <c r="G1842" t="s">
        <v>1045</v>
      </c>
      <c r="H1842" t="s">
        <v>1040</v>
      </c>
      <c r="I1842">
        <v>0</v>
      </c>
      <c r="J1842">
        <v>0</v>
      </c>
      <c r="K1842">
        <v>0</v>
      </c>
      <c r="L1842">
        <v>0</v>
      </c>
      <c r="M1842">
        <v>0.38</v>
      </c>
      <c r="N1842" s="7" t="e">
        <f>VLOOKUP(F1842,HC!A$6:D$100,3,FALSE)</f>
        <v>#N/A</v>
      </c>
      <c r="O1842" s="7" t="e">
        <f>VLOOKUP(F1842,HC!A$6:D$1000,2,FALSE)</f>
        <v>#N/A</v>
      </c>
      <c r="P1842" t="s">
        <v>664</v>
      </c>
      <c r="Q1842" s="7" t="s">
        <v>708</v>
      </c>
      <c r="U1842">
        <f t="shared" si="30"/>
        <v>1395</v>
      </c>
    </row>
    <row r="1843" spans="1:21" ht="37.5" customHeight="1" x14ac:dyDescent="0.25">
      <c r="A1843" s="30">
        <v>45069</v>
      </c>
      <c r="B1843" s="13">
        <v>21</v>
      </c>
      <c r="C1843" t="s">
        <v>3</v>
      </c>
      <c r="D1843" t="s">
        <v>4</v>
      </c>
      <c r="E1843" t="s">
        <v>21</v>
      </c>
      <c r="F1843" s="6">
        <v>201374875</v>
      </c>
      <c r="G1843" t="s">
        <v>1088</v>
      </c>
      <c r="H1843" t="s">
        <v>263</v>
      </c>
      <c r="I1843">
        <v>0</v>
      </c>
      <c r="J1843">
        <v>0</v>
      </c>
      <c r="K1843">
        <v>0</v>
      </c>
      <c r="L1843">
        <v>0</v>
      </c>
      <c r="M1843">
        <v>0.99</v>
      </c>
      <c r="N1843" s="7" t="e">
        <f>VLOOKUP(F1843,HC!A$6:D$100,3,FALSE)</f>
        <v>#N/A</v>
      </c>
      <c r="O1843" s="7" t="e">
        <f>VLOOKUP(F1843,HC!A$6:D$1000,2,FALSE)</f>
        <v>#N/A</v>
      </c>
      <c r="P1843" t="s">
        <v>664</v>
      </c>
      <c r="Q1843" s="7" t="s">
        <v>710</v>
      </c>
      <c r="R1843" t="s">
        <v>1092</v>
      </c>
      <c r="U1843">
        <f t="shared" si="30"/>
        <v>1395</v>
      </c>
    </row>
    <row r="1844" spans="1:21" ht="37.5" customHeight="1" x14ac:dyDescent="0.25">
      <c r="A1844" s="30">
        <v>45069</v>
      </c>
      <c r="B1844" s="13">
        <v>21</v>
      </c>
      <c r="C1844" t="s">
        <v>3</v>
      </c>
      <c r="D1844" t="s">
        <v>4</v>
      </c>
      <c r="E1844" t="s">
        <v>21</v>
      </c>
      <c r="F1844" s="6">
        <v>201390700</v>
      </c>
      <c r="G1844" t="s">
        <v>1047</v>
      </c>
      <c r="H1844" t="s">
        <v>44</v>
      </c>
      <c r="I1844">
        <v>0</v>
      </c>
      <c r="J1844">
        <v>0</v>
      </c>
      <c r="K1844">
        <v>0</v>
      </c>
      <c r="L1844">
        <v>0</v>
      </c>
      <c r="M1844">
        <v>1.57</v>
      </c>
      <c r="N1844" s="7" t="e">
        <f>VLOOKUP(F1844,HC!A$6:D$100,3,FALSE)</f>
        <v>#N/A</v>
      </c>
      <c r="O1844" s="7" t="e">
        <f>VLOOKUP(F1844,HC!A$6:D$1000,2,FALSE)</f>
        <v>#N/A</v>
      </c>
      <c r="P1844" t="s">
        <v>664</v>
      </c>
      <c r="Q1844" s="7" t="s">
        <v>716</v>
      </c>
      <c r="R1844" t="s">
        <v>1093</v>
      </c>
      <c r="U1844">
        <f t="shared" si="30"/>
        <v>1395</v>
      </c>
    </row>
    <row r="1845" spans="1:21" ht="37.5" customHeight="1" x14ac:dyDescent="0.25">
      <c r="A1845" s="30">
        <v>45069</v>
      </c>
      <c r="B1845" s="13">
        <v>21</v>
      </c>
      <c r="C1845" t="s">
        <v>3</v>
      </c>
      <c r="D1845" t="s">
        <v>4</v>
      </c>
      <c r="E1845" t="s">
        <v>21</v>
      </c>
      <c r="F1845" s="6">
        <v>201402060</v>
      </c>
      <c r="G1845" t="s">
        <v>1057</v>
      </c>
      <c r="H1845" t="s">
        <v>1040</v>
      </c>
      <c r="I1845">
        <v>0</v>
      </c>
      <c r="J1845">
        <v>0</v>
      </c>
      <c r="K1845">
        <v>0</v>
      </c>
      <c r="L1845">
        <v>0</v>
      </c>
      <c r="M1845">
        <v>0.75</v>
      </c>
      <c r="N1845" s="7" t="e">
        <f>VLOOKUP(F1845,HC!A$6:D$100,3,FALSE)</f>
        <v>#N/A</v>
      </c>
      <c r="O1845" s="7" t="e">
        <f>VLOOKUP(F1845,HC!A$6:D$1000,2,FALSE)</f>
        <v>#N/A</v>
      </c>
      <c r="P1845" t="s">
        <v>664</v>
      </c>
      <c r="Q1845" s="7" t="s">
        <v>708</v>
      </c>
      <c r="U1845">
        <f t="shared" si="30"/>
        <v>1395</v>
      </c>
    </row>
    <row r="1846" spans="1:21" ht="37.5" customHeight="1" x14ac:dyDescent="0.25">
      <c r="A1846" s="30">
        <v>45069</v>
      </c>
      <c r="B1846" s="13">
        <v>21</v>
      </c>
      <c r="C1846" t="s">
        <v>3</v>
      </c>
      <c r="D1846" t="s">
        <v>4</v>
      </c>
      <c r="E1846" t="s">
        <v>21</v>
      </c>
      <c r="F1846" s="6">
        <v>201402216</v>
      </c>
      <c r="G1846" t="s">
        <v>1064</v>
      </c>
      <c r="H1846" t="s">
        <v>1040</v>
      </c>
      <c r="I1846">
        <v>0</v>
      </c>
      <c r="J1846">
        <v>0</v>
      </c>
      <c r="K1846">
        <v>0</v>
      </c>
      <c r="L1846">
        <v>0</v>
      </c>
      <c r="M1846">
        <v>0.37</v>
      </c>
      <c r="N1846" s="7" t="e">
        <f>VLOOKUP(F1846,HC!A$6:D$100,3,FALSE)</f>
        <v>#N/A</v>
      </c>
      <c r="O1846" s="7" t="e">
        <f>VLOOKUP(F1846,HC!A$6:D$1000,2,FALSE)</f>
        <v>#N/A</v>
      </c>
      <c r="P1846" t="s">
        <v>668</v>
      </c>
      <c r="Q1846" s="7" t="s">
        <v>732</v>
      </c>
      <c r="U1846">
        <f t="shared" si="30"/>
        <v>1395</v>
      </c>
    </row>
    <row r="1847" spans="1:21" ht="37.5" customHeight="1" x14ac:dyDescent="0.25">
      <c r="A1847" s="30">
        <v>45069</v>
      </c>
      <c r="B1847" s="13">
        <v>21</v>
      </c>
      <c r="C1847" t="s">
        <v>3</v>
      </c>
      <c r="D1847" t="s">
        <v>438</v>
      </c>
      <c r="E1847" t="s">
        <v>5</v>
      </c>
      <c r="F1847" s="6">
        <v>112912753</v>
      </c>
      <c r="G1847" t="s">
        <v>415</v>
      </c>
      <c r="H1847" t="s">
        <v>298</v>
      </c>
      <c r="I1847">
        <v>0</v>
      </c>
      <c r="J1847">
        <v>0</v>
      </c>
      <c r="K1847">
        <v>0</v>
      </c>
      <c r="L1847">
        <v>0</v>
      </c>
      <c r="M1847">
        <v>0.7</v>
      </c>
      <c r="N1847" s="7" t="e">
        <f>VLOOKUP(F1847,HC!A$6:D$100,3,FALSE)</f>
        <v>#N/A</v>
      </c>
      <c r="O1847" s="7" t="e">
        <f>VLOOKUP(F1847,HC!A$6:D$1000,2,FALSE)</f>
        <v>#N/A</v>
      </c>
      <c r="P1847" t="s">
        <v>661</v>
      </c>
      <c r="Q1847" s="7" t="s">
        <v>681</v>
      </c>
      <c r="U1847">
        <f t="shared" si="30"/>
        <v>1395</v>
      </c>
    </row>
    <row r="1848" spans="1:21" ht="37.5" customHeight="1" x14ac:dyDescent="0.25">
      <c r="A1848" s="30">
        <v>45069</v>
      </c>
      <c r="B1848" s="13">
        <v>21</v>
      </c>
      <c r="C1848" t="s">
        <v>3</v>
      </c>
      <c r="D1848" t="s">
        <v>438</v>
      </c>
      <c r="E1848" t="s">
        <v>21</v>
      </c>
      <c r="F1848" s="6">
        <v>201355246</v>
      </c>
      <c r="G1848" t="s">
        <v>1000</v>
      </c>
      <c r="H1848" t="s">
        <v>263</v>
      </c>
      <c r="I1848">
        <v>0</v>
      </c>
      <c r="J1848">
        <v>0</v>
      </c>
      <c r="K1848">
        <v>0</v>
      </c>
      <c r="L1848">
        <v>0</v>
      </c>
      <c r="M1848">
        <v>1.1299999999999999</v>
      </c>
      <c r="N1848" s="7" t="e">
        <f>VLOOKUP(F1848,HC!A$6:D$100,3,FALSE)</f>
        <v>#N/A</v>
      </c>
      <c r="O1848" s="7" t="e">
        <f>VLOOKUP(F1848,HC!A$6:D$1000,2,FALSE)</f>
        <v>#N/A</v>
      </c>
      <c r="P1848" t="s">
        <v>664</v>
      </c>
      <c r="Q1848" s="7" t="s">
        <v>710</v>
      </c>
      <c r="U1848">
        <f t="shared" si="30"/>
        <v>1395</v>
      </c>
    </row>
    <row r="1849" spans="1:21" ht="37.5" customHeight="1" x14ac:dyDescent="0.25">
      <c r="A1849" s="30">
        <v>45070</v>
      </c>
      <c r="B1849" s="13">
        <v>21</v>
      </c>
      <c r="C1849" t="s">
        <v>3</v>
      </c>
      <c r="D1849" t="s">
        <v>4</v>
      </c>
      <c r="E1849" t="s">
        <v>5</v>
      </c>
      <c r="F1849" s="6">
        <v>112912071</v>
      </c>
      <c r="G1849" t="s">
        <v>918</v>
      </c>
      <c r="H1849" t="s">
        <v>268</v>
      </c>
      <c r="I1849">
        <v>0</v>
      </c>
      <c r="J1849">
        <v>0</v>
      </c>
      <c r="K1849">
        <v>0</v>
      </c>
      <c r="L1849">
        <v>0</v>
      </c>
      <c r="M1849">
        <v>0.19</v>
      </c>
      <c r="N1849" s="7" t="e">
        <f>VLOOKUP(F1849,HC!A$6:D$100,3,FALSE)</f>
        <v>#N/A</v>
      </c>
      <c r="O1849" s="7" t="e">
        <f>VLOOKUP(F1849,HC!A$6:D$1000,2,FALSE)</f>
        <v>#N/A</v>
      </c>
      <c r="P1849" t="s">
        <v>664</v>
      </c>
      <c r="Q1849" s="7" t="s">
        <v>710</v>
      </c>
      <c r="U1849">
        <f t="shared" si="30"/>
        <v>1395</v>
      </c>
    </row>
    <row r="1850" spans="1:21" ht="37.5" customHeight="1" x14ac:dyDescent="0.25">
      <c r="A1850" s="30">
        <v>45070</v>
      </c>
      <c r="B1850" s="13">
        <v>21</v>
      </c>
      <c r="C1850" t="s">
        <v>3</v>
      </c>
      <c r="D1850" t="s">
        <v>4</v>
      </c>
      <c r="E1850" t="s">
        <v>5</v>
      </c>
      <c r="F1850" s="6">
        <v>112912663</v>
      </c>
      <c r="G1850" t="s">
        <v>8</v>
      </c>
      <c r="H1850" t="s">
        <v>403</v>
      </c>
      <c r="I1850">
        <v>0</v>
      </c>
      <c r="J1850">
        <v>0</v>
      </c>
      <c r="K1850">
        <v>0</v>
      </c>
      <c r="L1850">
        <v>0</v>
      </c>
      <c r="M1850">
        <v>0.48</v>
      </c>
      <c r="N1850" s="7" t="e">
        <f>VLOOKUP(F1850,HC!A$6:D$100,3,FALSE)</f>
        <v>#N/A</v>
      </c>
      <c r="O1850" s="7" t="e">
        <f>VLOOKUP(F1850,HC!A$6:D$1000,2,FALSE)</f>
        <v>#N/A</v>
      </c>
      <c r="P1850" t="s">
        <v>661</v>
      </c>
      <c r="Q1850" s="7" t="s">
        <v>684</v>
      </c>
      <c r="U1850">
        <f t="shared" si="30"/>
        <v>1395</v>
      </c>
    </row>
    <row r="1851" spans="1:21" ht="37.5" customHeight="1" x14ac:dyDescent="0.25">
      <c r="A1851" s="30">
        <v>45070</v>
      </c>
      <c r="B1851" s="13">
        <v>21</v>
      </c>
      <c r="C1851" t="s">
        <v>3</v>
      </c>
      <c r="D1851" t="s">
        <v>4</v>
      </c>
      <c r="E1851" t="s">
        <v>5</v>
      </c>
      <c r="F1851" s="6">
        <v>112912745</v>
      </c>
      <c r="G1851" t="s">
        <v>478</v>
      </c>
      <c r="H1851" t="s">
        <v>268</v>
      </c>
      <c r="I1851">
        <v>0</v>
      </c>
      <c r="J1851">
        <v>0</v>
      </c>
      <c r="K1851">
        <v>0</v>
      </c>
      <c r="L1851">
        <v>0</v>
      </c>
      <c r="M1851">
        <v>1.43</v>
      </c>
      <c r="N1851" s="7" t="str">
        <f>VLOOKUP(F1851,HC!A$6:D$100,3,FALSE)</f>
        <v>DA-X0700</v>
      </c>
      <c r="O1851" s="7" t="str">
        <f>VLOOKUP(F1851,HC!A$6:D$1000,2,FALSE)</f>
        <v>nalexgom</v>
      </c>
      <c r="P1851" t="s">
        <v>664</v>
      </c>
      <c r="Q1851" s="7" t="s">
        <v>712</v>
      </c>
      <c r="U1851">
        <f t="shared" si="30"/>
        <v>22</v>
      </c>
    </row>
    <row r="1852" spans="1:21" ht="37.5" customHeight="1" x14ac:dyDescent="0.25">
      <c r="A1852" s="30">
        <v>45070</v>
      </c>
      <c r="B1852" s="13">
        <v>21</v>
      </c>
      <c r="C1852" t="s">
        <v>3</v>
      </c>
      <c r="D1852" t="s">
        <v>4</v>
      </c>
      <c r="E1852" t="s">
        <v>5</v>
      </c>
      <c r="F1852" s="6">
        <v>113014403</v>
      </c>
      <c r="G1852" t="s">
        <v>373</v>
      </c>
      <c r="H1852" t="s">
        <v>298</v>
      </c>
      <c r="I1852">
        <v>0</v>
      </c>
      <c r="J1852">
        <v>0</v>
      </c>
      <c r="K1852">
        <v>0</v>
      </c>
      <c r="L1852">
        <v>0</v>
      </c>
      <c r="M1852">
        <v>0.26</v>
      </c>
      <c r="N1852" s="7" t="e">
        <f>VLOOKUP(F1852,HC!A$6:D$100,3,FALSE)</f>
        <v>#N/A</v>
      </c>
      <c r="O1852" s="7" t="str">
        <f>VLOOKUP(F1852,HC!A$6:D$1000,2,FALSE)</f>
        <v>wnoraria</v>
      </c>
      <c r="P1852" t="s">
        <v>664</v>
      </c>
      <c r="Q1852" s="7" t="s">
        <v>770</v>
      </c>
      <c r="U1852">
        <f t="shared" si="30"/>
        <v>23</v>
      </c>
    </row>
    <row r="1853" spans="1:21" ht="37.5" customHeight="1" x14ac:dyDescent="0.25">
      <c r="A1853" s="30">
        <v>45070</v>
      </c>
      <c r="B1853" s="13">
        <v>21</v>
      </c>
      <c r="C1853" t="s">
        <v>3</v>
      </c>
      <c r="D1853" t="s">
        <v>4</v>
      </c>
      <c r="E1853" t="s">
        <v>5</v>
      </c>
      <c r="F1853" s="6">
        <v>113020463</v>
      </c>
      <c r="G1853" t="s">
        <v>321</v>
      </c>
      <c r="H1853" t="s">
        <v>44</v>
      </c>
      <c r="I1853">
        <v>0</v>
      </c>
      <c r="J1853">
        <v>0</v>
      </c>
      <c r="K1853">
        <v>0</v>
      </c>
      <c r="L1853">
        <v>0</v>
      </c>
      <c r="M1853">
        <v>0.51</v>
      </c>
      <c r="N1853" s="7" t="e">
        <f>VLOOKUP(F1853,HC!A$6:D$100,3,FALSE)</f>
        <v>#N/A</v>
      </c>
      <c r="O1853" s="7" t="str">
        <f>VLOOKUP(F1853,HC!A$6:D$1000,2,FALSE)</f>
        <v>myriamav</v>
      </c>
      <c r="P1853" t="s">
        <v>662</v>
      </c>
      <c r="Q1853" s="7" t="s">
        <v>687</v>
      </c>
      <c r="U1853">
        <f t="shared" si="30"/>
        <v>24</v>
      </c>
    </row>
    <row r="1854" spans="1:21" ht="37.5" customHeight="1" x14ac:dyDescent="0.25">
      <c r="A1854" s="30">
        <v>45070</v>
      </c>
      <c r="B1854" s="13">
        <v>21</v>
      </c>
      <c r="C1854" t="s">
        <v>3</v>
      </c>
      <c r="D1854" t="s">
        <v>4</v>
      </c>
      <c r="E1854" t="s">
        <v>5</v>
      </c>
      <c r="F1854" s="6">
        <v>113101262</v>
      </c>
      <c r="G1854" t="s">
        <v>642</v>
      </c>
      <c r="H1854" t="s">
        <v>49</v>
      </c>
      <c r="I1854">
        <v>0</v>
      </c>
      <c r="J1854">
        <v>0</v>
      </c>
      <c r="K1854">
        <v>0</v>
      </c>
      <c r="L1854">
        <v>0</v>
      </c>
      <c r="M1854">
        <v>0.21</v>
      </c>
      <c r="N1854" s="7" t="e">
        <f>VLOOKUP(F1854,HC!A$6:D$100,3,FALSE)</f>
        <v>#N/A</v>
      </c>
      <c r="O1854" s="7" t="str">
        <f>VLOOKUP(F1854,HC!A$6:D$1000,2,FALSE)</f>
        <v>cetinocr</v>
      </c>
      <c r="P1854" t="s">
        <v>669</v>
      </c>
      <c r="Q1854" s="7" t="s">
        <v>739</v>
      </c>
      <c r="U1854">
        <f t="shared" si="30"/>
        <v>6</v>
      </c>
    </row>
    <row r="1855" spans="1:21" ht="37.5" customHeight="1" x14ac:dyDescent="0.25">
      <c r="A1855" s="30">
        <v>45070</v>
      </c>
      <c r="B1855" s="13">
        <v>21</v>
      </c>
      <c r="C1855" t="s">
        <v>3</v>
      </c>
      <c r="D1855" t="s">
        <v>4</v>
      </c>
      <c r="E1855" t="s">
        <v>5</v>
      </c>
      <c r="F1855" s="6">
        <v>200404250</v>
      </c>
      <c r="G1855" t="s">
        <v>51</v>
      </c>
      <c r="H1855" t="s">
        <v>298</v>
      </c>
      <c r="I1855">
        <v>0</v>
      </c>
      <c r="J1855">
        <v>0</v>
      </c>
      <c r="K1855">
        <v>0</v>
      </c>
      <c r="L1855">
        <v>0</v>
      </c>
      <c r="M1855">
        <v>0.63</v>
      </c>
      <c r="N1855" s="7" t="e">
        <f>VLOOKUP(F1855,HC!A$6:D$100,3,FALSE)</f>
        <v>#N/A</v>
      </c>
      <c r="O1855" s="7" t="str">
        <f>VLOOKUP(F1855,HC!A$6:D$1000,2,FALSE)</f>
        <v>xcathurt</v>
      </c>
      <c r="P1855" t="s">
        <v>662</v>
      </c>
      <c r="Q1855" s="7" t="s">
        <v>687</v>
      </c>
      <c r="U1855">
        <f t="shared" si="30"/>
        <v>124</v>
      </c>
    </row>
    <row r="1856" spans="1:21" ht="37.5" customHeight="1" x14ac:dyDescent="0.25">
      <c r="A1856" s="30">
        <v>45070</v>
      </c>
      <c r="B1856" s="13">
        <v>21</v>
      </c>
      <c r="C1856" t="s">
        <v>3</v>
      </c>
      <c r="D1856" t="s">
        <v>4</v>
      </c>
      <c r="E1856" t="s">
        <v>21</v>
      </c>
      <c r="F1856" s="6">
        <v>200407440</v>
      </c>
      <c r="G1856" t="s">
        <v>997</v>
      </c>
      <c r="H1856" t="s">
        <v>298</v>
      </c>
      <c r="I1856">
        <v>0</v>
      </c>
      <c r="J1856">
        <v>0</v>
      </c>
      <c r="K1856">
        <v>0</v>
      </c>
      <c r="L1856">
        <v>0</v>
      </c>
      <c r="M1856">
        <v>0.15</v>
      </c>
      <c r="N1856" s="7" t="e">
        <f>VLOOKUP(F1856,HC!A$6:D$100,3,FALSE)</f>
        <v>#N/A</v>
      </c>
      <c r="O1856" s="7" t="e">
        <f>VLOOKUP(F1856,HC!A$6:D$1000,2,FALSE)</f>
        <v>#N/A</v>
      </c>
      <c r="P1856" t="s">
        <v>664</v>
      </c>
      <c r="Q1856" s="7" t="s">
        <v>709</v>
      </c>
      <c r="U1856">
        <f t="shared" si="30"/>
        <v>1395</v>
      </c>
    </row>
    <row r="1857" spans="1:21" ht="37.5" customHeight="1" x14ac:dyDescent="0.25">
      <c r="A1857" s="30">
        <v>45070</v>
      </c>
      <c r="B1857" s="13">
        <v>21</v>
      </c>
      <c r="C1857" t="s">
        <v>3</v>
      </c>
      <c r="D1857" t="s">
        <v>4</v>
      </c>
      <c r="E1857" t="s">
        <v>21</v>
      </c>
      <c r="F1857" s="6">
        <v>200553205</v>
      </c>
      <c r="G1857" t="s">
        <v>838</v>
      </c>
      <c r="H1857" t="s">
        <v>298</v>
      </c>
      <c r="I1857">
        <v>0</v>
      </c>
      <c r="J1857">
        <v>0</v>
      </c>
      <c r="K1857">
        <v>0</v>
      </c>
      <c r="L1857">
        <v>0</v>
      </c>
      <c r="M1857">
        <v>0.2</v>
      </c>
      <c r="N1857" s="7" t="e">
        <f>VLOOKUP(F1857,HC!A$6:D$100,3,FALSE)</f>
        <v>#N/A</v>
      </c>
      <c r="O1857" s="7" t="e">
        <f>VLOOKUP(F1857,HC!A$6:D$1000,2,FALSE)</f>
        <v>#N/A</v>
      </c>
      <c r="P1857" t="s">
        <v>664</v>
      </c>
      <c r="Q1857" s="7" t="s">
        <v>708</v>
      </c>
      <c r="U1857">
        <f t="shared" si="30"/>
        <v>1395</v>
      </c>
    </row>
    <row r="1858" spans="1:21" ht="37.5" customHeight="1" x14ac:dyDescent="0.25">
      <c r="A1858" s="30">
        <v>45070</v>
      </c>
      <c r="B1858" s="13">
        <v>21</v>
      </c>
      <c r="C1858" t="s">
        <v>3</v>
      </c>
      <c r="D1858" t="s">
        <v>4</v>
      </c>
      <c r="E1858" t="s">
        <v>21</v>
      </c>
      <c r="F1858" s="6">
        <v>200574655</v>
      </c>
      <c r="G1858" t="s">
        <v>630</v>
      </c>
      <c r="H1858" t="s">
        <v>44</v>
      </c>
      <c r="I1858">
        <v>0</v>
      </c>
      <c r="J1858">
        <v>0</v>
      </c>
      <c r="K1858">
        <v>0</v>
      </c>
      <c r="L1858">
        <v>0</v>
      </c>
      <c r="M1858">
        <v>0.3</v>
      </c>
      <c r="N1858" s="7" t="e">
        <f>VLOOKUP(F1858,HC!A$6:D$100,3,FALSE)</f>
        <v>#N/A</v>
      </c>
      <c r="O1858" s="7" t="str">
        <f>VLOOKUP(F1858,HC!A$6:D$1000,2,FALSE)</f>
        <v>dulceami</v>
      </c>
      <c r="P1858" t="s">
        <v>664</v>
      </c>
      <c r="Q1858" s="7" t="s">
        <v>708</v>
      </c>
      <c r="U1858">
        <f t="shared" si="30"/>
        <v>20</v>
      </c>
    </row>
    <row r="1859" spans="1:21" ht="37.5" customHeight="1" x14ac:dyDescent="0.25">
      <c r="A1859" s="30">
        <v>45070</v>
      </c>
      <c r="B1859" s="13">
        <v>21</v>
      </c>
      <c r="C1859" t="s">
        <v>3</v>
      </c>
      <c r="D1859" t="s">
        <v>4</v>
      </c>
      <c r="E1859" t="s">
        <v>21</v>
      </c>
      <c r="F1859" s="6">
        <v>200615801</v>
      </c>
      <c r="G1859" t="s">
        <v>1094</v>
      </c>
      <c r="H1859" t="s">
        <v>268</v>
      </c>
      <c r="I1859">
        <v>0</v>
      </c>
      <c r="J1859">
        <v>0</v>
      </c>
      <c r="K1859">
        <v>0</v>
      </c>
      <c r="L1859">
        <v>0</v>
      </c>
      <c r="M1859">
        <v>0.79</v>
      </c>
      <c r="N1859" s="7" t="e">
        <f>VLOOKUP(F1859,HC!A$6:D$100,3,FALSE)</f>
        <v>#N/A</v>
      </c>
      <c r="O1859" s="7" t="str">
        <f>VLOOKUP(F1859,HC!A$6:D$1000,2,FALSE)</f>
        <v>dangongo</v>
      </c>
      <c r="P1859" t="s">
        <v>664</v>
      </c>
      <c r="Q1859" s="7" t="s">
        <v>710</v>
      </c>
      <c r="U1859">
        <f t="shared" ref="U1859:U1922" si="31">COUNTIF(O$2:O$4999,O1859)</f>
        <v>2</v>
      </c>
    </row>
    <row r="1860" spans="1:21" ht="37.5" customHeight="1" x14ac:dyDescent="0.25">
      <c r="A1860" s="30">
        <v>45070</v>
      </c>
      <c r="B1860" s="13">
        <v>21</v>
      </c>
      <c r="C1860" t="s">
        <v>3</v>
      </c>
      <c r="D1860" t="s">
        <v>4</v>
      </c>
      <c r="E1860" t="s">
        <v>21</v>
      </c>
      <c r="F1860" s="6">
        <v>201320388</v>
      </c>
      <c r="G1860" t="s">
        <v>994</v>
      </c>
      <c r="H1860" t="s">
        <v>44</v>
      </c>
      <c r="I1860">
        <v>0</v>
      </c>
      <c r="J1860">
        <v>0</v>
      </c>
      <c r="K1860">
        <v>0</v>
      </c>
      <c r="L1860">
        <v>0</v>
      </c>
      <c r="M1860">
        <v>0.39</v>
      </c>
      <c r="N1860" s="7" t="e">
        <f>VLOOKUP(F1860,HC!A$6:D$100,3,FALSE)</f>
        <v>#N/A</v>
      </c>
      <c r="O1860" s="7" t="e">
        <f>VLOOKUP(F1860,HC!A$6:D$1000,2,FALSE)</f>
        <v>#N/A</v>
      </c>
      <c r="P1860" t="s">
        <v>661</v>
      </c>
      <c r="Q1860" s="7" t="s">
        <v>759</v>
      </c>
      <c r="U1860">
        <f t="shared" si="31"/>
        <v>1395</v>
      </c>
    </row>
    <row r="1861" spans="1:21" ht="37.5" customHeight="1" x14ac:dyDescent="0.25">
      <c r="A1861" s="30">
        <v>45071</v>
      </c>
      <c r="B1861" s="13">
        <v>21</v>
      </c>
      <c r="C1861" t="s">
        <v>3</v>
      </c>
      <c r="D1861" t="s">
        <v>4</v>
      </c>
      <c r="E1861" t="s">
        <v>5</v>
      </c>
      <c r="F1861" s="6">
        <v>112912675</v>
      </c>
      <c r="G1861" t="s">
        <v>326</v>
      </c>
      <c r="H1861" t="s">
        <v>49</v>
      </c>
      <c r="I1861">
        <v>0</v>
      </c>
      <c r="J1861">
        <v>0</v>
      </c>
      <c r="K1861">
        <v>0</v>
      </c>
      <c r="L1861">
        <v>0</v>
      </c>
      <c r="M1861">
        <v>1.07</v>
      </c>
      <c r="N1861" s="7" t="e">
        <f>VLOOKUP(F1861,HC!A$6:D$100,3,FALSE)</f>
        <v>#N/A</v>
      </c>
      <c r="O1861" s="7" t="e">
        <f>VLOOKUP(F1861,HC!A$6:D$1000,2,FALSE)</f>
        <v>#N/A</v>
      </c>
      <c r="P1861" t="s">
        <v>664</v>
      </c>
      <c r="Q1861" s="7" t="s">
        <v>717</v>
      </c>
      <c r="U1861">
        <f t="shared" si="31"/>
        <v>1395</v>
      </c>
    </row>
    <row r="1862" spans="1:21" ht="37.5" customHeight="1" x14ac:dyDescent="0.25">
      <c r="A1862" s="30">
        <v>45071</v>
      </c>
      <c r="B1862" s="13">
        <v>21</v>
      </c>
      <c r="C1862" t="s">
        <v>3</v>
      </c>
      <c r="D1862" t="s">
        <v>4</v>
      </c>
      <c r="E1862" t="s">
        <v>5</v>
      </c>
      <c r="F1862" s="6">
        <v>112980986</v>
      </c>
      <c r="G1862" t="s">
        <v>999</v>
      </c>
      <c r="H1862" t="s">
        <v>268</v>
      </c>
      <c r="I1862">
        <v>0</v>
      </c>
      <c r="J1862">
        <v>0</v>
      </c>
      <c r="K1862">
        <v>0</v>
      </c>
      <c r="L1862">
        <v>0</v>
      </c>
      <c r="M1862">
        <v>0.4</v>
      </c>
      <c r="N1862" s="7" t="str">
        <f>VLOOKUP(F1862,HC!A$6:D$100,3,FALSE)</f>
        <v>DJ-X0700</v>
      </c>
      <c r="O1862" s="7" t="str">
        <f>VLOOKUP(F1862,HC!A$6:D$1000,2,FALSE)</f>
        <v>eserenca</v>
      </c>
      <c r="P1862" t="s">
        <v>661</v>
      </c>
      <c r="Q1862" s="7" t="s">
        <v>681</v>
      </c>
      <c r="U1862">
        <f t="shared" si="31"/>
        <v>3</v>
      </c>
    </row>
    <row r="1863" spans="1:21" ht="37.5" customHeight="1" x14ac:dyDescent="0.25">
      <c r="A1863" s="30">
        <v>45071</v>
      </c>
      <c r="B1863" s="13">
        <v>21</v>
      </c>
      <c r="C1863" t="s">
        <v>3</v>
      </c>
      <c r="D1863" t="s">
        <v>4</v>
      </c>
      <c r="E1863" t="s">
        <v>5</v>
      </c>
      <c r="F1863" s="6">
        <v>112984460</v>
      </c>
      <c r="G1863" t="s">
        <v>1095</v>
      </c>
      <c r="H1863" t="s">
        <v>49</v>
      </c>
      <c r="I1863">
        <v>0</v>
      </c>
      <c r="J1863">
        <v>0</v>
      </c>
      <c r="K1863">
        <v>0</v>
      </c>
      <c r="L1863">
        <v>0</v>
      </c>
      <c r="M1863">
        <v>0.59</v>
      </c>
      <c r="N1863" s="7" t="e">
        <f>VLOOKUP(F1863,HC!A$6:D$100,3,FALSE)</f>
        <v>#N/A</v>
      </c>
      <c r="O1863" s="7" t="str">
        <f>VLOOKUP(F1863,HC!A$6:D$1000,2,FALSE)</f>
        <v>fabrhern</v>
      </c>
      <c r="P1863" t="s">
        <v>663</v>
      </c>
      <c r="Q1863" s="7" t="s">
        <v>692</v>
      </c>
      <c r="U1863">
        <f t="shared" si="31"/>
        <v>1</v>
      </c>
    </row>
    <row r="1864" spans="1:21" ht="37.5" customHeight="1" x14ac:dyDescent="0.25">
      <c r="A1864" s="30">
        <v>45071</v>
      </c>
      <c r="B1864" s="13">
        <v>21</v>
      </c>
      <c r="C1864" t="s">
        <v>3</v>
      </c>
      <c r="D1864" t="s">
        <v>4</v>
      </c>
      <c r="E1864" t="s">
        <v>5</v>
      </c>
      <c r="F1864" s="6">
        <v>113003510</v>
      </c>
      <c r="G1864" t="s">
        <v>913</v>
      </c>
      <c r="H1864" t="s">
        <v>47</v>
      </c>
      <c r="I1864">
        <v>0</v>
      </c>
      <c r="J1864">
        <v>0</v>
      </c>
      <c r="K1864">
        <v>0</v>
      </c>
      <c r="L1864">
        <v>0</v>
      </c>
      <c r="M1864">
        <v>0.37</v>
      </c>
      <c r="N1864" s="7" t="e">
        <f>VLOOKUP(F1864,HC!A$6:D$100,3,FALSE)</f>
        <v>#N/A</v>
      </c>
      <c r="O1864" s="7" t="str">
        <f>VLOOKUP(F1864,HC!A$6:D$1000,2,FALSE)</f>
        <v>nperezmc</v>
      </c>
      <c r="P1864" t="s">
        <v>670</v>
      </c>
      <c r="Q1864" s="7" t="s">
        <v>764</v>
      </c>
      <c r="U1864">
        <f t="shared" si="31"/>
        <v>12</v>
      </c>
    </row>
    <row r="1865" spans="1:21" ht="37.5" customHeight="1" x14ac:dyDescent="0.25">
      <c r="A1865" s="30">
        <v>45071</v>
      </c>
      <c r="B1865" s="13">
        <v>21</v>
      </c>
      <c r="C1865" t="s">
        <v>3</v>
      </c>
      <c r="D1865" t="s">
        <v>4</v>
      </c>
      <c r="E1865" t="s">
        <v>5</v>
      </c>
      <c r="F1865" s="6">
        <v>113103540</v>
      </c>
      <c r="G1865" t="s">
        <v>854</v>
      </c>
      <c r="H1865" t="s">
        <v>47</v>
      </c>
      <c r="I1865">
        <v>0</v>
      </c>
      <c r="J1865">
        <v>0</v>
      </c>
      <c r="K1865">
        <v>0</v>
      </c>
      <c r="L1865">
        <v>0</v>
      </c>
      <c r="M1865">
        <v>0.56999999999999995</v>
      </c>
      <c r="N1865" s="7" t="e">
        <f>VLOOKUP(F1865,HC!A$6:D$100,3,FALSE)</f>
        <v>#N/A</v>
      </c>
      <c r="O1865" s="7" t="str">
        <f>VLOOKUP(F1865,HC!A$6:D$1000,2,FALSE)</f>
        <v>delgadax</v>
      </c>
      <c r="P1865" t="s">
        <v>661</v>
      </c>
      <c r="Q1865" s="7" t="s">
        <v>681</v>
      </c>
      <c r="U1865">
        <f t="shared" si="31"/>
        <v>9</v>
      </c>
    </row>
    <row r="1866" spans="1:21" ht="37.5" customHeight="1" x14ac:dyDescent="0.25">
      <c r="A1866" s="30">
        <v>45071</v>
      </c>
      <c r="B1866" s="13">
        <v>21</v>
      </c>
      <c r="C1866" t="s">
        <v>3</v>
      </c>
      <c r="D1866" t="s">
        <v>4</v>
      </c>
      <c r="E1866" t="s">
        <v>5</v>
      </c>
      <c r="F1866" s="6">
        <v>200404250</v>
      </c>
      <c r="G1866" t="s">
        <v>51</v>
      </c>
      <c r="H1866" t="s">
        <v>298</v>
      </c>
      <c r="I1866">
        <v>0</v>
      </c>
      <c r="J1866">
        <v>0</v>
      </c>
      <c r="K1866">
        <v>0</v>
      </c>
      <c r="L1866">
        <v>0</v>
      </c>
      <c r="M1866">
        <v>0.44</v>
      </c>
      <c r="N1866" s="7" t="e">
        <f>VLOOKUP(F1866,HC!A$6:D$100,3,FALSE)</f>
        <v>#N/A</v>
      </c>
      <c r="O1866" s="7" t="str">
        <f>VLOOKUP(F1866,HC!A$6:D$1000,2,FALSE)</f>
        <v>xcathurt</v>
      </c>
      <c r="Q1866" s="7"/>
      <c r="R1866" t="s">
        <v>413</v>
      </c>
      <c r="U1866">
        <f t="shared" si="31"/>
        <v>124</v>
      </c>
    </row>
    <row r="1867" spans="1:21" ht="37.5" customHeight="1" x14ac:dyDescent="0.25">
      <c r="A1867" s="30">
        <v>45071</v>
      </c>
      <c r="B1867" s="13">
        <v>21</v>
      </c>
      <c r="C1867" t="s">
        <v>3</v>
      </c>
      <c r="D1867" t="s">
        <v>4</v>
      </c>
      <c r="E1867" t="s">
        <v>21</v>
      </c>
      <c r="F1867" s="6">
        <v>200407440</v>
      </c>
      <c r="G1867" t="s">
        <v>997</v>
      </c>
      <c r="H1867" t="s">
        <v>298</v>
      </c>
      <c r="I1867">
        <v>0</v>
      </c>
      <c r="J1867">
        <v>0</v>
      </c>
      <c r="K1867">
        <v>0</v>
      </c>
      <c r="L1867">
        <v>0</v>
      </c>
      <c r="M1867">
        <v>0.28999999999999998</v>
      </c>
      <c r="N1867" s="7" t="e">
        <f>VLOOKUP(F1867,HC!A$6:D$100,3,FALSE)</f>
        <v>#N/A</v>
      </c>
      <c r="O1867" s="7" t="e">
        <f>VLOOKUP(F1867,HC!A$6:D$1000,2,FALSE)</f>
        <v>#N/A</v>
      </c>
      <c r="P1867" t="s">
        <v>664</v>
      </c>
      <c r="Q1867" s="7" t="s">
        <v>708</v>
      </c>
      <c r="U1867">
        <f t="shared" si="31"/>
        <v>1395</v>
      </c>
    </row>
    <row r="1868" spans="1:21" ht="37.5" customHeight="1" x14ac:dyDescent="0.25">
      <c r="A1868" s="30">
        <v>45071</v>
      </c>
      <c r="B1868" s="13">
        <v>21</v>
      </c>
      <c r="C1868" t="s">
        <v>3</v>
      </c>
      <c r="D1868" t="s">
        <v>4</v>
      </c>
      <c r="E1868" t="s">
        <v>21</v>
      </c>
      <c r="F1868" s="6">
        <v>201167388</v>
      </c>
      <c r="G1868" t="s">
        <v>1096</v>
      </c>
      <c r="H1868" t="s">
        <v>7</v>
      </c>
      <c r="I1868">
        <v>0</v>
      </c>
      <c r="J1868">
        <v>0</v>
      </c>
      <c r="K1868">
        <v>0</v>
      </c>
      <c r="L1868">
        <v>0</v>
      </c>
      <c r="M1868">
        <v>1.33</v>
      </c>
      <c r="N1868" s="7" t="e">
        <f>VLOOKUP(F1868,HC!A$6:D$100,3,FALSE)</f>
        <v>#N/A</v>
      </c>
      <c r="O1868" s="7" t="str">
        <f>VLOOKUP(F1868,HC!A$6:D$1000,2,FALSE)</f>
        <v>naguirro</v>
      </c>
      <c r="P1868" t="s">
        <v>664</v>
      </c>
      <c r="Q1868" s="7" t="s">
        <v>708</v>
      </c>
      <c r="U1868">
        <f t="shared" si="31"/>
        <v>7</v>
      </c>
    </row>
    <row r="1869" spans="1:21" ht="37.5" customHeight="1" x14ac:dyDescent="0.25">
      <c r="A1869" s="30">
        <v>45071</v>
      </c>
      <c r="B1869" s="13">
        <v>21</v>
      </c>
      <c r="C1869" t="s">
        <v>3</v>
      </c>
      <c r="D1869" t="s">
        <v>4</v>
      </c>
      <c r="E1869" t="s">
        <v>21</v>
      </c>
      <c r="F1869" s="6">
        <v>201198890</v>
      </c>
      <c r="G1869" t="s">
        <v>917</v>
      </c>
      <c r="H1869" t="s">
        <v>49</v>
      </c>
      <c r="I1869">
        <v>0</v>
      </c>
      <c r="J1869">
        <v>0</v>
      </c>
      <c r="K1869">
        <v>0</v>
      </c>
      <c r="L1869">
        <v>0</v>
      </c>
      <c r="M1869">
        <v>0.36</v>
      </c>
      <c r="N1869" s="7" t="e">
        <f>VLOOKUP(F1869,HC!A$6:D$100,3,FALSE)</f>
        <v>#N/A</v>
      </c>
      <c r="O1869" s="7" t="e">
        <f>VLOOKUP(F1869,HC!A$6:D$1000,2,FALSE)</f>
        <v>#N/A</v>
      </c>
      <c r="P1869" t="s">
        <v>662</v>
      </c>
      <c r="Q1869" s="7" t="s">
        <v>688</v>
      </c>
      <c r="U1869">
        <f t="shared" si="31"/>
        <v>1395</v>
      </c>
    </row>
    <row r="1870" spans="1:21" ht="37.5" customHeight="1" x14ac:dyDescent="0.25">
      <c r="A1870" s="30">
        <v>45071</v>
      </c>
      <c r="B1870" s="13">
        <v>21</v>
      </c>
      <c r="C1870" t="s">
        <v>3</v>
      </c>
      <c r="D1870" t="s">
        <v>4</v>
      </c>
      <c r="E1870" t="s">
        <v>21</v>
      </c>
      <c r="F1870" s="6">
        <v>201202093</v>
      </c>
      <c r="G1870" t="s">
        <v>479</v>
      </c>
      <c r="H1870" t="s">
        <v>298</v>
      </c>
      <c r="I1870">
        <v>0</v>
      </c>
      <c r="J1870">
        <v>0</v>
      </c>
      <c r="K1870">
        <v>0</v>
      </c>
      <c r="L1870">
        <v>0</v>
      </c>
      <c r="M1870">
        <v>0.08</v>
      </c>
      <c r="N1870" s="7" t="e">
        <f>VLOOKUP(F1870,HC!A$6:D$100,3,FALSE)</f>
        <v>#N/A</v>
      </c>
      <c r="O1870" s="7" t="str">
        <f>VLOOKUP(F1870,HC!A$6:D$1000,2,FALSE)</f>
        <v>eliorten</v>
      </c>
      <c r="Q1870" s="7"/>
      <c r="R1870" t="s">
        <v>1067</v>
      </c>
      <c r="U1870">
        <f t="shared" si="31"/>
        <v>12</v>
      </c>
    </row>
    <row r="1871" spans="1:21" ht="37.5" customHeight="1" x14ac:dyDescent="0.25">
      <c r="A1871" s="30">
        <v>45071</v>
      </c>
      <c r="B1871" s="13">
        <v>21</v>
      </c>
      <c r="C1871" t="s">
        <v>3</v>
      </c>
      <c r="D1871" t="s">
        <v>4</v>
      </c>
      <c r="E1871" t="s">
        <v>21</v>
      </c>
      <c r="F1871" s="6">
        <v>201295429</v>
      </c>
      <c r="G1871" t="s">
        <v>1097</v>
      </c>
      <c r="H1871" t="s">
        <v>47</v>
      </c>
      <c r="I1871">
        <v>0</v>
      </c>
      <c r="J1871">
        <v>0</v>
      </c>
      <c r="K1871">
        <v>0</v>
      </c>
      <c r="L1871">
        <v>0</v>
      </c>
      <c r="M1871">
        <v>0.34</v>
      </c>
      <c r="N1871" s="7" t="e">
        <f>VLOOKUP(F1871,HC!A$6:D$100,3,FALSE)</f>
        <v>#N/A</v>
      </c>
      <c r="O1871" s="7" t="str">
        <f>VLOOKUP(F1871,HC!A$6:D$1000,2,FALSE)</f>
        <v>mireljes</v>
      </c>
      <c r="P1871" t="s">
        <v>664</v>
      </c>
      <c r="Q1871" s="7" t="s">
        <v>708</v>
      </c>
      <c r="U1871">
        <f t="shared" si="31"/>
        <v>9</v>
      </c>
    </row>
    <row r="1872" spans="1:21" ht="37.5" customHeight="1" x14ac:dyDescent="0.25">
      <c r="A1872" s="30">
        <v>45071</v>
      </c>
      <c r="B1872" s="13">
        <v>21</v>
      </c>
      <c r="C1872" t="s">
        <v>3</v>
      </c>
      <c r="D1872" t="s">
        <v>4</v>
      </c>
      <c r="E1872" t="s">
        <v>21</v>
      </c>
      <c r="F1872" s="6">
        <v>201397005</v>
      </c>
      <c r="G1872" t="s">
        <v>1050</v>
      </c>
      <c r="H1872" t="s">
        <v>49</v>
      </c>
      <c r="I1872">
        <v>0</v>
      </c>
      <c r="J1872">
        <v>0</v>
      </c>
      <c r="K1872">
        <v>0</v>
      </c>
      <c r="L1872">
        <v>0</v>
      </c>
      <c r="M1872">
        <v>0.96</v>
      </c>
      <c r="N1872" s="7" t="e">
        <f>VLOOKUP(F1872,HC!A$6:D$100,3,FALSE)</f>
        <v>#N/A</v>
      </c>
      <c r="O1872" s="7" t="e">
        <f>VLOOKUP(F1872,HC!A$6:D$1000,2,FALSE)</f>
        <v>#N/A</v>
      </c>
      <c r="Q1872" s="7"/>
      <c r="R1872" t="s">
        <v>1067</v>
      </c>
      <c r="U1872">
        <f t="shared" si="31"/>
        <v>1395</v>
      </c>
    </row>
    <row r="1873" spans="1:21" ht="37.5" customHeight="1" x14ac:dyDescent="0.25">
      <c r="A1873" s="30">
        <v>45071</v>
      </c>
      <c r="B1873" s="13">
        <v>21</v>
      </c>
      <c r="C1873" t="s">
        <v>3</v>
      </c>
      <c r="D1873" t="s">
        <v>4</v>
      </c>
      <c r="E1873" t="s">
        <v>21</v>
      </c>
      <c r="F1873" s="6">
        <v>201401654</v>
      </c>
      <c r="G1873" t="s">
        <v>1052</v>
      </c>
      <c r="H1873" t="s">
        <v>49</v>
      </c>
      <c r="I1873">
        <v>0</v>
      </c>
      <c r="J1873">
        <v>0</v>
      </c>
      <c r="K1873">
        <v>0</v>
      </c>
      <c r="L1873">
        <v>0</v>
      </c>
      <c r="M1873">
        <v>0.28999999999999998</v>
      </c>
      <c r="N1873" s="7" t="e">
        <f>VLOOKUP(F1873,HC!A$6:D$100,3,FALSE)</f>
        <v>#N/A</v>
      </c>
      <c r="O1873" s="7" t="e">
        <f>VLOOKUP(F1873,HC!A$6:D$1000,2,FALSE)</f>
        <v>#N/A</v>
      </c>
      <c r="P1873" t="s">
        <v>664</v>
      </c>
      <c r="Q1873" s="7" t="s">
        <v>708</v>
      </c>
      <c r="U1873">
        <f t="shared" si="31"/>
        <v>1395</v>
      </c>
    </row>
    <row r="1874" spans="1:21" ht="37.5" customHeight="1" x14ac:dyDescent="0.25">
      <c r="A1874" s="30">
        <v>45072</v>
      </c>
      <c r="B1874" s="13">
        <v>21</v>
      </c>
      <c r="C1874" t="s">
        <v>3</v>
      </c>
      <c r="D1874" t="s">
        <v>4</v>
      </c>
      <c r="E1874" t="s">
        <v>5</v>
      </c>
      <c r="F1874" s="6">
        <v>112912675</v>
      </c>
      <c r="G1874" t="s">
        <v>326</v>
      </c>
      <c r="H1874" t="s">
        <v>49</v>
      </c>
      <c r="I1874">
        <v>0</v>
      </c>
      <c r="J1874">
        <v>0</v>
      </c>
      <c r="K1874">
        <v>0</v>
      </c>
      <c r="L1874">
        <v>0</v>
      </c>
      <c r="M1874">
        <v>0.36</v>
      </c>
      <c r="N1874" s="7" t="e">
        <f>VLOOKUP(F1874,HC!A$6:D$100,3,FALSE)</f>
        <v>#N/A</v>
      </c>
      <c r="O1874" s="7" t="e">
        <f>VLOOKUP(F1874,HC!A$6:D$1000,2,FALSE)</f>
        <v>#N/A</v>
      </c>
      <c r="Q1874" s="7"/>
      <c r="R1874" t="s">
        <v>1098</v>
      </c>
      <c r="U1874">
        <f t="shared" si="31"/>
        <v>1395</v>
      </c>
    </row>
    <row r="1875" spans="1:21" ht="37.5" customHeight="1" x14ac:dyDescent="0.25">
      <c r="A1875" s="30">
        <v>45072</v>
      </c>
      <c r="B1875" s="13">
        <v>21</v>
      </c>
      <c r="C1875" t="s">
        <v>3</v>
      </c>
      <c r="D1875" t="s">
        <v>4</v>
      </c>
      <c r="E1875" t="s">
        <v>5</v>
      </c>
      <c r="F1875" s="6">
        <v>112920637</v>
      </c>
      <c r="G1875" t="s">
        <v>426</v>
      </c>
      <c r="H1875" t="s">
        <v>282</v>
      </c>
      <c r="I1875">
        <v>0</v>
      </c>
      <c r="J1875">
        <v>0</v>
      </c>
      <c r="K1875">
        <v>0</v>
      </c>
      <c r="L1875">
        <v>0</v>
      </c>
      <c r="M1875">
        <v>0.2</v>
      </c>
      <c r="N1875" s="7" t="str">
        <f>VLOOKUP(F1875,HC!A$6:D$100,3,FALSE)</f>
        <v>DB-X0700</v>
      </c>
      <c r="O1875" s="7" t="str">
        <f>VLOOKUP(F1875,HC!A$6:D$1000,2,FALSE)</f>
        <v>antonitq</v>
      </c>
      <c r="P1875" t="s">
        <v>662</v>
      </c>
      <c r="Q1875" s="7" t="s">
        <v>688</v>
      </c>
      <c r="U1875">
        <f t="shared" si="31"/>
        <v>9</v>
      </c>
    </row>
    <row r="1876" spans="1:21" ht="37.5" customHeight="1" x14ac:dyDescent="0.25">
      <c r="A1876" s="30">
        <v>45072</v>
      </c>
      <c r="B1876" s="13">
        <v>21</v>
      </c>
      <c r="C1876" t="s">
        <v>3</v>
      </c>
      <c r="D1876" t="s">
        <v>4</v>
      </c>
      <c r="E1876" t="s">
        <v>5</v>
      </c>
      <c r="F1876" s="6">
        <v>113014470</v>
      </c>
      <c r="G1876" t="s">
        <v>374</v>
      </c>
      <c r="H1876" t="s">
        <v>44</v>
      </c>
      <c r="I1876">
        <v>0</v>
      </c>
      <c r="J1876">
        <v>0</v>
      </c>
      <c r="K1876">
        <v>0</v>
      </c>
      <c r="L1876">
        <v>0</v>
      </c>
      <c r="M1876">
        <v>0.11</v>
      </c>
      <c r="N1876" s="7" t="e">
        <f>VLOOKUP(F1876,HC!A$6:D$100,3,FALSE)</f>
        <v>#N/A</v>
      </c>
      <c r="O1876" s="7" t="str">
        <f>VLOOKUP(F1876,HC!A$6:D$1000,2,FALSE)</f>
        <v>lupaguin</v>
      </c>
      <c r="P1876" t="s">
        <v>669</v>
      </c>
      <c r="Q1876" s="7" t="s">
        <v>739</v>
      </c>
      <c r="U1876">
        <f t="shared" si="31"/>
        <v>23</v>
      </c>
    </row>
    <row r="1877" spans="1:21" ht="37.5" customHeight="1" x14ac:dyDescent="0.25">
      <c r="A1877" s="30">
        <v>45072</v>
      </c>
      <c r="B1877" s="13">
        <v>21</v>
      </c>
      <c r="C1877" t="s">
        <v>3</v>
      </c>
      <c r="D1877" t="s">
        <v>4</v>
      </c>
      <c r="E1877" t="s">
        <v>5</v>
      </c>
      <c r="F1877" s="6">
        <v>113020476</v>
      </c>
      <c r="G1877" t="s">
        <v>330</v>
      </c>
      <c r="H1877" t="s">
        <v>7</v>
      </c>
      <c r="I1877">
        <v>0</v>
      </c>
      <c r="J1877">
        <v>0</v>
      </c>
      <c r="K1877">
        <v>0</v>
      </c>
      <c r="L1877">
        <v>0</v>
      </c>
      <c r="M1877">
        <v>0.01</v>
      </c>
      <c r="N1877" s="7" t="e">
        <f>VLOOKUP(F1877,HC!A$6:D$100,3,FALSE)</f>
        <v>#N/A</v>
      </c>
      <c r="O1877" s="7" t="str">
        <f>VLOOKUP(F1877,HC!A$6:D$1000,2,FALSE)</f>
        <v>polettpu</v>
      </c>
      <c r="P1877" t="s">
        <v>675</v>
      </c>
      <c r="Q1877" s="7"/>
      <c r="U1877">
        <f t="shared" si="31"/>
        <v>55</v>
      </c>
    </row>
    <row r="1878" spans="1:21" ht="37.5" customHeight="1" x14ac:dyDescent="0.25">
      <c r="A1878" s="30">
        <v>45072</v>
      </c>
      <c r="B1878" s="13">
        <v>21</v>
      </c>
      <c r="C1878" t="s">
        <v>3</v>
      </c>
      <c r="D1878" t="s">
        <v>4</v>
      </c>
      <c r="E1878" t="s">
        <v>21</v>
      </c>
      <c r="F1878" s="6">
        <v>200525168</v>
      </c>
      <c r="G1878" t="s">
        <v>914</v>
      </c>
      <c r="H1878" t="s">
        <v>17</v>
      </c>
      <c r="I1878">
        <v>0</v>
      </c>
      <c r="J1878">
        <v>0</v>
      </c>
      <c r="K1878">
        <v>0</v>
      </c>
      <c r="L1878">
        <v>0</v>
      </c>
      <c r="M1878">
        <v>1.49</v>
      </c>
      <c r="N1878" s="7" t="e">
        <f>VLOOKUP(F1878,HC!A$6:D$100,3,FALSE)</f>
        <v>#N/A</v>
      </c>
      <c r="O1878" s="7" t="e">
        <f>VLOOKUP(F1878,HC!A$6:D$1000,2,FALSE)</f>
        <v>#N/A</v>
      </c>
      <c r="P1878" t="s">
        <v>669</v>
      </c>
      <c r="Q1878" s="7" t="s">
        <v>739</v>
      </c>
      <c r="U1878">
        <f t="shared" si="31"/>
        <v>1395</v>
      </c>
    </row>
    <row r="1879" spans="1:21" ht="37.5" customHeight="1" x14ac:dyDescent="0.25">
      <c r="A1879" s="30">
        <v>45072</v>
      </c>
      <c r="B1879" s="13">
        <v>21</v>
      </c>
      <c r="C1879" t="s">
        <v>3</v>
      </c>
      <c r="D1879" t="s">
        <v>4</v>
      </c>
      <c r="E1879" t="s">
        <v>21</v>
      </c>
      <c r="F1879" s="6">
        <v>200625528</v>
      </c>
      <c r="G1879" t="s">
        <v>607</v>
      </c>
      <c r="H1879" t="s">
        <v>285</v>
      </c>
      <c r="I1879">
        <v>0</v>
      </c>
      <c r="J1879">
        <v>0</v>
      </c>
      <c r="K1879">
        <v>0</v>
      </c>
      <c r="L1879">
        <v>0</v>
      </c>
      <c r="M1879">
        <v>0.25</v>
      </c>
      <c r="N1879" s="7" t="e">
        <f>VLOOKUP(F1879,HC!A$6:D$100,3,FALSE)</f>
        <v>#N/A</v>
      </c>
      <c r="O1879" s="7" t="str">
        <f>VLOOKUP(F1879,HC!A$6:D$1000,2,FALSE)</f>
        <v>olivlizb</v>
      </c>
      <c r="P1879" t="s">
        <v>664</v>
      </c>
      <c r="Q1879" s="7" t="s">
        <v>708</v>
      </c>
      <c r="U1879">
        <f t="shared" si="31"/>
        <v>50</v>
      </c>
    </row>
    <row r="1880" spans="1:21" ht="37.5" customHeight="1" x14ac:dyDescent="0.25">
      <c r="A1880" s="30">
        <v>45072</v>
      </c>
      <c r="B1880" s="13">
        <v>21</v>
      </c>
      <c r="C1880" t="s">
        <v>3</v>
      </c>
      <c r="D1880" t="s">
        <v>4</v>
      </c>
      <c r="E1880" t="s">
        <v>21</v>
      </c>
      <c r="F1880" s="6">
        <v>201309605</v>
      </c>
      <c r="G1880" t="s">
        <v>1049</v>
      </c>
      <c r="H1880" t="s">
        <v>47</v>
      </c>
      <c r="I1880">
        <v>0</v>
      </c>
      <c r="J1880">
        <v>0</v>
      </c>
      <c r="K1880">
        <v>0</v>
      </c>
      <c r="L1880">
        <v>0</v>
      </c>
      <c r="M1880">
        <v>0.2</v>
      </c>
      <c r="N1880" s="7" t="e">
        <f>VLOOKUP(F1880,HC!A$6:D$100,3,FALSE)</f>
        <v>#N/A</v>
      </c>
      <c r="O1880" s="7" t="e">
        <f>VLOOKUP(F1880,HC!A$6:D$1000,2,FALSE)</f>
        <v>#N/A</v>
      </c>
      <c r="P1880" t="s">
        <v>665</v>
      </c>
      <c r="Q1880" s="7" t="s">
        <v>722</v>
      </c>
      <c r="U1880">
        <f t="shared" si="31"/>
        <v>1395</v>
      </c>
    </row>
    <row r="1881" spans="1:21" ht="37.5" customHeight="1" x14ac:dyDescent="0.25">
      <c r="A1881" s="30">
        <v>45072</v>
      </c>
      <c r="B1881" s="13">
        <v>21</v>
      </c>
      <c r="C1881" t="s">
        <v>3</v>
      </c>
      <c r="D1881" t="s">
        <v>4</v>
      </c>
      <c r="E1881" t="s">
        <v>21</v>
      </c>
      <c r="F1881" s="6">
        <v>201341822</v>
      </c>
      <c r="G1881" t="s">
        <v>989</v>
      </c>
      <c r="H1881" t="s">
        <v>49</v>
      </c>
      <c r="I1881">
        <v>0</v>
      </c>
      <c r="J1881">
        <v>0</v>
      </c>
      <c r="K1881">
        <v>0</v>
      </c>
      <c r="L1881">
        <v>0</v>
      </c>
      <c r="M1881">
        <v>0.7</v>
      </c>
      <c r="N1881" s="7" t="e">
        <f>VLOOKUP(F1881,HC!A$6:D$100,3,FALSE)</f>
        <v>#N/A</v>
      </c>
      <c r="O1881" s="7" t="e">
        <f>VLOOKUP(F1881,HC!A$6:D$1000,2,FALSE)</f>
        <v>#N/A</v>
      </c>
      <c r="P1881" t="s">
        <v>664</v>
      </c>
      <c r="Q1881" s="7" t="s">
        <v>710</v>
      </c>
      <c r="U1881">
        <f t="shared" si="31"/>
        <v>1395</v>
      </c>
    </row>
    <row r="1882" spans="1:21" ht="37.5" customHeight="1" x14ac:dyDescent="0.25">
      <c r="A1882" s="30">
        <v>45072</v>
      </c>
      <c r="B1882" s="13">
        <v>21</v>
      </c>
      <c r="C1882" t="s">
        <v>3</v>
      </c>
      <c r="D1882" t="s">
        <v>4</v>
      </c>
      <c r="E1882" t="s">
        <v>21</v>
      </c>
      <c r="F1882" s="6">
        <v>201354965</v>
      </c>
      <c r="G1882" t="s">
        <v>1063</v>
      </c>
      <c r="H1882" t="s">
        <v>263</v>
      </c>
      <c r="I1882">
        <v>0</v>
      </c>
      <c r="J1882">
        <v>0</v>
      </c>
      <c r="K1882">
        <v>0</v>
      </c>
      <c r="L1882">
        <v>0</v>
      </c>
      <c r="M1882">
        <v>0.22</v>
      </c>
      <c r="N1882" s="7" t="e">
        <f>VLOOKUP(F1882,HC!A$6:D$100,3,FALSE)</f>
        <v>#N/A</v>
      </c>
      <c r="O1882" s="7" t="str">
        <f>VLOOKUP(F1882,HC!A$6:D$1000,2,FALSE)</f>
        <v>alinejim</v>
      </c>
      <c r="P1882" t="s">
        <v>664</v>
      </c>
      <c r="Q1882" s="7" t="s">
        <v>762</v>
      </c>
      <c r="U1882">
        <f t="shared" si="31"/>
        <v>33</v>
      </c>
    </row>
    <row r="1883" spans="1:21" ht="37.5" customHeight="1" x14ac:dyDescent="0.25">
      <c r="A1883" s="30">
        <v>45072</v>
      </c>
      <c r="B1883" s="13">
        <v>21</v>
      </c>
      <c r="C1883" t="s">
        <v>3</v>
      </c>
      <c r="D1883" t="s">
        <v>4</v>
      </c>
      <c r="E1883" t="s">
        <v>21</v>
      </c>
      <c r="F1883" s="6">
        <v>201403462</v>
      </c>
      <c r="G1883" t="s">
        <v>1054</v>
      </c>
      <c r="H1883" t="s">
        <v>49</v>
      </c>
      <c r="I1883">
        <v>0</v>
      </c>
      <c r="J1883">
        <v>0</v>
      </c>
      <c r="K1883">
        <v>0</v>
      </c>
      <c r="L1883">
        <v>0</v>
      </c>
      <c r="M1883">
        <v>0.23</v>
      </c>
      <c r="N1883" s="7" t="e">
        <f>VLOOKUP(F1883,HC!A$6:D$100,3,FALSE)</f>
        <v>#N/A</v>
      </c>
      <c r="O1883" s="7" t="str">
        <f>VLOOKUP(F1883,HC!A$6:D$1000,2,FALSE)</f>
        <v>valdojoe</v>
      </c>
      <c r="P1883" t="s">
        <v>661</v>
      </c>
      <c r="Q1883" s="7" t="s">
        <v>681</v>
      </c>
      <c r="U1883">
        <f t="shared" si="31"/>
        <v>22</v>
      </c>
    </row>
    <row r="1884" spans="1:21" ht="37.5" customHeight="1" x14ac:dyDescent="0.25">
      <c r="A1884" s="30">
        <v>45073</v>
      </c>
      <c r="B1884" s="13">
        <v>21</v>
      </c>
      <c r="C1884" t="s">
        <v>3</v>
      </c>
      <c r="D1884" t="s">
        <v>4</v>
      </c>
      <c r="E1884" t="s">
        <v>5</v>
      </c>
      <c r="F1884" s="6">
        <v>112971961</v>
      </c>
      <c r="G1884" t="s">
        <v>755</v>
      </c>
      <c r="H1884" t="s">
        <v>332</v>
      </c>
      <c r="I1884">
        <v>0</v>
      </c>
      <c r="J1884">
        <v>0</v>
      </c>
      <c r="K1884">
        <v>0</v>
      </c>
      <c r="L1884">
        <v>0</v>
      </c>
      <c r="M1884">
        <v>0.3</v>
      </c>
      <c r="N1884" s="7" t="e">
        <f>VLOOKUP(F1884,HC!A$6:D$100,3,FALSE)</f>
        <v>#N/A</v>
      </c>
      <c r="O1884" s="7" t="e">
        <f>VLOOKUP(F1884,HC!A$6:D$1000,2,FALSE)</f>
        <v>#N/A</v>
      </c>
      <c r="P1884" t="s">
        <v>668</v>
      </c>
      <c r="Q1884" s="2" t="s">
        <v>1099</v>
      </c>
      <c r="S1884"/>
      <c r="U1884">
        <f t="shared" si="31"/>
        <v>1395</v>
      </c>
    </row>
    <row r="1885" spans="1:21" ht="37.5" customHeight="1" x14ac:dyDescent="0.25">
      <c r="A1885" s="30">
        <v>45073</v>
      </c>
      <c r="B1885" s="13">
        <v>21</v>
      </c>
      <c r="C1885" t="s">
        <v>3</v>
      </c>
      <c r="D1885" t="s">
        <v>4</v>
      </c>
      <c r="E1885" t="s">
        <v>5</v>
      </c>
      <c r="F1885" s="6">
        <v>113014042</v>
      </c>
      <c r="G1885" t="s">
        <v>329</v>
      </c>
      <c r="H1885" t="s">
        <v>7</v>
      </c>
      <c r="I1885">
        <v>0</v>
      </c>
      <c r="J1885">
        <v>0</v>
      </c>
      <c r="K1885">
        <v>0</v>
      </c>
      <c r="L1885">
        <v>0</v>
      </c>
      <c r="M1885">
        <v>0.3</v>
      </c>
      <c r="N1885" s="7" t="e">
        <f>VLOOKUP(F1885,HC!A$6:D$100,3,FALSE)</f>
        <v>#N/A</v>
      </c>
      <c r="O1885" s="7" t="str">
        <f>VLOOKUP(F1885,HC!A$6:D$1000,2,FALSE)</f>
        <v>rfcervan</v>
      </c>
      <c r="Q1885" s="2"/>
      <c r="R1885" t="s">
        <v>1067</v>
      </c>
      <c r="S1885"/>
      <c r="U1885">
        <f t="shared" si="31"/>
        <v>23</v>
      </c>
    </row>
    <row r="1886" spans="1:21" ht="37.5" customHeight="1" x14ac:dyDescent="0.25">
      <c r="A1886" s="30">
        <v>45073</v>
      </c>
      <c r="B1886" s="13">
        <v>21</v>
      </c>
      <c r="C1886" t="s">
        <v>3</v>
      </c>
      <c r="D1886" t="s">
        <v>4</v>
      </c>
      <c r="E1886" t="s">
        <v>5</v>
      </c>
      <c r="F1886" s="6">
        <v>113014470</v>
      </c>
      <c r="G1886" t="s">
        <v>374</v>
      </c>
      <c r="H1886" t="s">
        <v>44</v>
      </c>
      <c r="I1886">
        <v>0</v>
      </c>
      <c r="J1886">
        <v>0</v>
      </c>
      <c r="K1886">
        <v>0</v>
      </c>
      <c r="L1886">
        <v>0</v>
      </c>
      <c r="M1886">
        <v>0.11</v>
      </c>
      <c r="N1886" s="7" t="e">
        <f>VLOOKUP(F1886,HC!A$6:D$100,3,FALSE)</f>
        <v>#N/A</v>
      </c>
      <c r="O1886" s="7" t="str">
        <f>VLOOKUP(F1886,HC!A$6:D$1000,2,FALSE)</f>
        <v>lupaguin</v>
      </c>
      <c r="P1886" t="s">
        <v>669</v>
      </c>
      <c r="Q1886" s="7" t="s">
        <v>739</v>
      </c>
      <c r="U1886">
        <f t="shared" si="31"/>
        <v>23</v>
      </c>
    </row>
    <row r="1887" spans="1:21" ht="37.5" customHeight="1" x14ac:dyDescent="0.25">
      <c r="A1887" s="30">
        <v>45073</v>
      </c>
      <c r="B1887" s="13">
        <v>21</v>
      </c>
      <c r="C1887" t="s">
        <v>3</v>
      </c>
      <c r="D1887" t="s">
        <v>4</v>
      </c>
      <c r="E1887" t="s">
        <v>21</v>
      </c>
      <c r="F1887" s="6">
        <v>200614224</v>
      </c>
      <c r="G1887" t="s">
        <v>322</v>
      </c>
      <c r="H1887" t="s">
        <v>17</v>
      </c>
      <c r="I1887">
        <v>0</v>
      </c>
      <c r="J1887">
        <v>0</v>
      </c>
      <c r="K1887">
        <v>0</v>
      </c>
      <c r="L1887">
        <v>0</v>
      </c>
      <c r="M1887">
        <v>0.14000000000000001</v>
      </c>
      <c r="N1887" s="7" t="e">
        <f>VLOOKUP(F1887,HC!A$6:D$100,3,FALSE)</f>
        <v>#N/A</v>
      </c>
      <c r="O1887" s="7" t="e">
        <f>VLOOKUP(F1887,HC!A$6:D$1000,2,FALSE)</f>
        <v>#N/A</v>
      </c>
      <c r="P1887" t="s">
        <v>662</v>
      </c>
      <c r="Q1887" s="7" t="s">
        <v>691</v>
      </c>
      <c r="U1887">
        <f t="shared" si="31"/>
        <v>1395</v>
      </c>
    </row>
    <row r="1888" spans="1:21" ht="37.5" customHeight="1" x14ac:dyDescent="0.25">
      <c r="A1888" s="30">
        <v>45073</v>
      </c>
      <c r="B1888" s="13">
        <v>21</v>
      </c>
      <c r="C1888" t="s">
        <v>3</v>
      </c>
      <c r="D1888" t="s">
        <v>4</v>
      </c>
      <c r="E1888" t="s">
        <v>21</v>
      </c>
      <c r="F1888" s="6">
        <v>201198427</v>
      </c>
      <c r="G1888" t="s">
        <v>1056</v>
      </c>
      <c r="H1888" t="s">
        <v>47</v>
      </c>
      <c r="I1888">
        <v>0</v>
      </c>
      <c r="J1888">
        <v>0</v>
      </c>
      <c r="K1888">
        <v>0</v>
      </c>
      <c r="L1888">
        <v>0</v>
      </c>
      <c r="M1888">
        <v>0.55000000000000004</v>
      </c>
      <c r="N1888" s="7" t="e">
        <f>VLOOKUP(F1888,HC!A$6:D$100,3,FALSE)</f>
        <v>#N/A</v>
      </c>
      <c r="O1888" s="7" t="str">
        <f>VLOOKUP(F1888,HC!A$6:D$1000,2,FALSE)</f>
        <v>paulinbp</v>
      </c>
      <c r="P1888" t="s">
        <v>661</v>
      </c>
      <c r="Q1888" s="7" t="s">
        <v>681</v>
      </c>
      <c r="U1888">
        <f t="shared" si="31"/>
        <v>3</v>
      </c>
    </row>
    <row r="1889" spans="1:21" ht="37.5" customHeight="1" x14ac:dyDescent="0.25">
      <c r="A1889" s="30">
        <v>45073</v>
      </c>
      <c r="B1889" s="13">
        <v>21</v>
      </c>
      <c r="C1889" t="s">
        <v>3</v>
      </c>
      <c r="D1889" t="s">
        <v>4</v>
      </c>
      <c r="E1889" t="s">
        <v>21</v>
      </c>
      <c r="F1889" s="6">
        <v>201211157</v>
      </c>
      <c r="G1889" t="s">
        <v>936</v>
      </c>
      <c r="H1889" t="s">
        <v>49</v>
      </c>
      <c r="I1889">
        <v>0</v>
      </c>
      <c r="J1889">
        <v>0</v>
      </c>
      <c r="K1889">
        <v>0</v>
      </c>
      <c r="L1889">
        <v>0</v>
      </c>
      <c r="M1889">
        <v>0.52</v>
      </c>
      <c r="N1889" s="7" t="e">
        <f>VLOOKUP(F1889,HC!A$6:D$100,3,FALSE)</f>
        <v>#N/A</v>
      </c>
      <c r="O1889" s="7" t="str">
        <f>VLOOKUP(F1889,HC!A$6:D$1000,2,FALSE)</f>
        <v>vargajed</v>
      </c>
      <c r="P1889" t="s">
        <v>661</v>
      </c>
      <c r="Q1889" s="7" t="s">
        <v>681</v>
      </c>
      <c r="U1889">
        <f t="shared" si="31"/>
        <v>17</v>
      </c>
    </row>
    <row r="1890" spans="1:21" ht="37.5" customHeight="1" x14ac:dyDescent="0.25">
      <c r="A1890" s="30">
        <v>45073</v>
      </c>
      <c r="B1890" s="13">
        <v>21</v>
      </c>
      <c r="C1890" t="s">
        <v>3</v>
      </c>
      <c r="D1890" t="s">
        <v>4</v>
      </c>
      <c r="E1890" t="s">
        <v>21</v>
      </c>
      <c r="F1890" s="6">
        <v>201329529</v>
      </c>
      <c r="G1890" t="s">
        <v>1069</v>
      </c>
      <c r="H1890" t="s">
        <v>263</v>
      </c>
      <c r="I1890">
        <v>0</v>
      </c>
      <c r="J1890">
        <v>0</v>
      </c>
      <c r="K1890">
        <v>0</v>
      </c>
      <c r="L1890">
        <v>0</v>
      </c>
      <c r="M1890">
        <v>0.28000000000000003</v>
      </c>
      <c r="N1890" s="7" t="e">
        <f>VLOOKUP(F1890,HC!A$6:D$100,3,FALSE)</f>
        <v>#N/A</v>
      </c>
      <c r="O1890" s="7" t="e">
        <f>VLOOKUP(F1890,HC!A$6:D$1000,2,FALSE)</f>
        <v>#N/A</v>
      </c>
      <c r="P1890" t="s">
        <v>661</v>
      </c>
      <c r="Q1890" s="7" t="s">
        <v>681</v>
      </c>
      <c r="U1890">
        <f t="shared" si="31"/>
        <v>1395</v>
      </c>
    </row>
    <row r="1891" spans="1:21" ht="37.5" customHeight="1" x14ac:dyDescent="0.25">
      <c r="A1891" s="30">
        <v>45073</v>
      </c>
      <c r="B1891" s="13">
        <v>21</v>
      </c>
      <c r="C1891" t="s">
        <v>3</v>
      </c>
      <c r="D1891" t="s">
        <v>4</v>
      </c>
      <c r="E1891" t="s">
        <v>21</v>
      </c>
      <c r="F1891" s="6">
        <v>201341822</v>
      </c>
      <c r="G1891" t="s">
        <v>989</v>
      </c>
      <c r="H1891" t="s">
        <v>49</v>
      </c>
      <c r="I1891">
        <v>0</v>
      </c>
      <c r="J1891">
        <v>0</v>
      </c>
      <c r="K1891">
        <v>0</v>
      </c>
      <c r="L1891">
        <v>0</v>
      </c>
      <c r="M1891">
        <v>0.62</v>
      </c>
      <c r="N1891" s="7" t="e">
        <f>VLOOKUP(F1891,HC!A$6:D$100,3,FALSE)</f>
        <v>#N/A</v>
      </c>
      <c r="O1891" s="7" t="e">
        <f>VLOOKUP(F1891,HC!A$6:D$1000,2,FALSE)</f>
        <v>#N/A</v>
      </c>
      <c r="P1891" t="s">
        <v>664</v>
      </c>
      <c r="Q1891" s="7" t="s">
        <v>710</v>
      </c>
      <c r="U1891">
        <f t="shared" si="31"/>
        <v>1395</v>
      </c>
    </row>
    <row r="1892" spans="1:21" ht="37.5" customHeight="1" x14ac:dyDescent="0.25">
      <c r="A1892" s="30">
        <v>45074</v>
      </c>
      <c r="B1892" s="13">
        <v>21</v>
      </c>
      <c r="C1892" t="s">
        <v>3</v>
      </c>
      <c r="D1892" t="s">
        <v>4</v>
      </c>
      <c r="E1892" t="s">
        <v>5</v>
      </c>
      <c r="F1892" s="6">
        <v>111261444</v>
      </c>
      <c r="G1892" t="s">
        <v>806</v>
      </c>
      <c r="H1892" t="s">
        <v>47</v>
      </c>
      <c r="I1892">
        <v>0</v>
      </c>
      <c r="J1892">
        <v>0</v>
      </c>
      <c r="K1892">
        <v>0</v>
      </c>
      <c r="L1892">
        <v>0</v>
      </c>
      <c r="M1892">
        <v>0.1</v>
      </c>
      <c r="N1892" s="7" t="str">
        <f>VLOOKUP(F1892,HC!A$6:D$100,3,FALSE)</f>
        <v>DB-X0700</v>
      </c>
      <c r="O1892" s="7" t="str">
        <f>VLOOKUP(F1892,HC!A$6:D$1000,2,FALSE)</f>
        <v>luisfegu</v>
      </c>
      <c r="P1892" t="s">
        <v>661</v>
      </c>
      <c r="Q1892" s="7" t="s">
        <v>681</v>
      </c>
      <c r="U1892">
        <f t="shared" si="31"/>
        <v>3</v>
      </c>
    </row>
    <row r="1893" spans="1:21" ht="37.5" customHeight="1" x14ac:dyDescent="0.25">
      <c r="A1893" s="30">
        <v>45074</v>
      </c>
      <c r="B1893" s="13">
        <v>21</v>
      </c>
      <c r="C1893" t="s">
        <v>3</v>
      </c>
      <c r="D1893" t="s">
        <v>4</v>
      </c>
      <c r="E1893" t="s">
        <v>21</v>
      </c>
      <c r="F1893" s="6">
        <v>112950796</v>
      </c>
      <c r="G1893" t="s">
        <v>951</v>
      </c>
      <c r="H1893" t="s">
        <v>268</v>
      </c>
      <c r="I1893">
        <v>0</v>
      </c>
      <c r="J1893">
        <v>0</v>
      </c>
      <c r="K1893">
        <v>0</v>
      </c>
      <c r="L1893">
        <v>0</v>
      </c>
      <c r="M1893">
        <v>1.5</v>
      </c>
      <c r="N1893" s="7" t="e">
        <f>VLOOKUP(F1893,HC!A$6:D$100,3,FALSE)</f>
        <v>#N/A</v>
      </c>
      <c r="O1893" s="7" t="e">
        <f>VLOOKUP(F1893,HC!A$6:D$1000,2,FALSE)</f>
        <v>#N/A</v>
      </c>
      <c r="P1893" t="s">
        <v>664</v>
      </c>
      <c r="Q1893" s="7" t="s">
        <v>711</v>
      </c>
      <c r="U1893">
        <f t="shared" si="31"/>
        <v>1395</v>
      </c>
    </row>
    <row r="1894" spans="1:21" ht="37.5" customHeight="1" x14ac:dyDescent="0.25">
      <c r="A1894" s="30">
        <v>45074</v>
      </c>
      <c r="B1894" s="13">
        <v>21</v>
      </c>
      <c r="C1894" t="s">
        <v>3</v>
      </c>
      <c r="D1894" t="s">
        <v>4</v>
      </c>
      <c r="E1894" t="s">
        <v>5</v>
      </c>
      <c r="F1894" s="6">
        <v>112980899</v>
      </c>
      <c r="G1894" t="s">
        <v>396</v>
      </c>
      <c r="H1894" t="s">
        <v>285</v>
      </c>
      <c r="I1894">
        <v>0</v>
      </c>
      <c r="J1894">
        <v>0</v>
      </c>
      <c r="K1894">
        <v>0</v>
      </c>
      <c r="L1894">
        <v>0</v>
      </c>
      <c r="M1894">
        <v>1.25</v>
      </c>
      <c r="N1894" s="7" t="str">
        <f>VLOOKUP(F1894,HC!A$6:D$100,3,FALSE)</f>
        <v>NF-X1900</v>
      </c>
      <c r="O1894" s="7" t="str">
        <f>VLOOKUP(F1894,HC!A$6:D$1000,2,FALSE)</f>
        <v>aravilac</v>
      </c>
      <c r="P1894" t="s">
        <v>664</v>
      </c>
      <c r="Q1894" s="7" t="s">
        <v>709</v>
      </c>
      <c r="U1894">
        <f t="shared" si="31"/>
        <v>33</v>
      </c>
    </row>
    <row r="1895" spans="1:21" ht="37.5" customHeight="1" x14ac:dyDescent="0.25">
      <c r="A1895" s="30">
        <v>45074</v>
      </c>
      <c r="B1895" s="13">
        <v>21</v>
      </c>
      <c r="C1895" t="s">
        <v>3</v>
      </c>
      <c r="D1895" t="s">
        <v>4</v>
      </c>
      <c r="E1895" t="s">
        <v>5</v>
      </c>
      <c r="F1895" s="6">
        <v>112981013</v>
      </c>
      <c r="G1895" t="s">
        <v>283</v>
      </c>
      <c r="H1895" t="s">
        <v>268</v>
      </c>
      <c r="I1895">
        <v>0</v>
      </c>
      <c r="J1895">
        <v>0</v>
      </c>
      <c r="K1895">
        <v>0</v>
      </c>
      <c r="L1895">
        <v>0</v>
      </c>
      <c r="M1895">
        <v>0.56999999999999995</v>
      </c>
      <c r="N1895" s="7" t="str">
        <f>VLOOKUP(F1895,HC!A$6:D$100,3,FALSE)</f>
        <v>DA-X0700</v>
      </c>
      <c r="O1895" s="7" t="str">
        <f>VLOOKUP(F1895,HC!A$6:D$1000,2,FALSE)</f>
        <v>normaelo</v>
      </c>
      <c r="P1895" t="s">
        <v>661</v>
      </c>
      <c r="Q1895" s="7" t="s">
        <v>681</v>
      </c>
      <c r="U1895">
        <f t="shared" si="31"/>
        <v>24</v>
      </c>
    </row>
    <row r="1896" spans="1:21" ht="37.5" customHeight="1" x14ac:dyDescent="0.25">
      <c r="A1896" s="30">
        <v>45074</v>
      </c>
      <c r="B1896" s="13">
        <v>21</v>
      </c>
      <c r="C1896" t="s">
        <v>3</v>
      </c>
      <c r="D1896" t="s">
        <v>4</v>
      </c>
      <c r="E1896" t="s">
        <v>5</v>
      </c>
      <c r="F1896" s="6">
        <v>112981196</v>
      </c>
      <c r="G1896" t="s">
        <v>328</v>
      </c>
      <c r="H1896" t="s">
        <v>285</v>
      </c>
      <c r="I1896">
        <v>0</v>
      </c>
      <c r="J1896">
        <v>0</v>
      </c>
      <c r="K1896">
        <v>0</v>
      </c>
      <c r="L1896">
        <v>0</v>
      </c>
      <c r="M1896">
        <v>0.15</v>
      </c>
      <c r="N1896" s="7" t="e">
        <f>VLOOKUP(F1896,HC!A$6:D$100,3,FALSE)</f>
        <v>#N/A</v>
      </c>
      <c r="O1896" s="7" t="str">
        <f>VLOOKUP(F1896,HC!A$6:D$1000,2,FALSE)</f>
        <v>vandgome</v>
      </c>
      <c r="P1896" t="s">
        <v>662</v>
      </c>
      <c r="Q1896" s="7" t="s">
        <v>691</v>
      </c>
      <c r="U1896">
        <f t="shared" si="31"/>
        <v>24</v>
      </c>
    </row>
    <row r="1897" spans="1:21" ht="37.5" customHeight="1" x14ac:dyDescent="0.25">
      <c r="A1897" s="30">
        <v>45074</v>
      </c>
      <c r="B1897" s="13">
        <v>21</v>
      </c>
      <c r="C1897" t="s">
        <v>3</v>
      </c>
      <c r="D1897" t="s">
        <v>4</v>
      </c>
      <c r="E1897" t="s">
        <v>5</v>
      </c>
      <c r="F1897" s="6">
        <v>113101453</v>
      </c>
      <c r="G1897" t="s">
        <v>50</v>
      </c>
      <c r="H1897" t="s">
        <v>44</v>
      </c>
      <c r="I1897">
        <v>0</v>
      </c>
      <c r="J1897">
        <v>0</v>
      </c>
      <c r="K1897">
        <v>0</v>
      </c>
      <c r="L1897">
        <v>0</v>
      </c>
      <c r="M1897">
        <v>0.4</v>
      </c>
      <c r="N1897" s="7" t="e">
        <f>VLOOKUP(F1897,HC!A$6:D$100,3,FALSE)</f>
        <v>#N/A</v>
      </c>
      <c r="O1897" s="7" t="str">
        <f>VLOOKUP(F1897,HC!A$6:D$1000,2,FALSE)</f>
        <v>qisgeova</v>
      </c>
      <c r="P1897" t="s">
        <v>664</v>
      </c>
      <c r="Q1897" s="7" t="s">
        <v>711</v>
      </c>
      <c r="U1897">
        <f t="shared" si="31"/>
        <v>57</v>
      </c>
    </row>
    <row r="1898" spans="1:21" ht="37.5" customHeight="1" x14ac:dyDescent="0.25">
      <c r="A1898" s="30">
        <v>45074</v>
      </c>
      <c r="B1898" s="13">
        <v>21</v>
      </c>
      <c r="C1898" t="s">
        <v>3</v>
      </c>
      <c r="D1898" t="s">
        <v>4</v>
      </c>
      <c r="E1898" t="s">
        <v>21</v>
      </c>
      <c r="F1898" s="6">
        <v>200589316</v>
      </c>
      <c r="G1898" t="s">
        <v>53</v>
      </c>
      <c r="H1898" t="s">
        <v>47</v>
      </c>
      <c r="I1898">
        <v>0</v>
      </c>
      <c r="J1898">
        <v>0</v>
      </c>
      <c r="K1898">
        <v>0</v>
      </c>
      <c r="L1898">
        <v>0</v>
      </c>
      <c r="M1898">
        <v>0.37</v>
      </c>
      <c r="N1898" s="7" t="e">
        <f>VLOOKUP(F1898,HC!A$6:D$100,3,FALSE)</f>
        <v>#N/A</v>
      </c>
      <c r="O1898" s="7" t="e">
        <f>VLOOKUP(F1898,HC!A$6:D$1000,2,FALSE)</f>
        <v>#N/A</v>
      </c>
      <c r="P1898" t="s">
        <v>661</v>
      </c>
      <c r="Q1898" s="7" t="s">
        <v>775</v>
      </c>
      <c r="U1898">
        <f t="shared" si="31"/>
        <v>1395</v>
      </c>
    </row>
    <row r="1899" spans="1:21" ht="37.5" customHeight="1" x14ac:dyDescent="0.25">
      <c r="A1899" s="30">
        <v>45074</v>
      </c>
      <c r="B1899" s="13">
        <v>21</v>
      </c>
      <c r="C1899" t="s">
        <v>3</v>
      </c>
      <c r="D1899" t="s">
        <v>4</v>
      </c>
      <c r="E1899" t="s">
        <v>21</v>
      </c>
      <c r="F1899" s="6">
        <v>201186833</v>
      </c>
      <c r="G1899" t="s">
        <v>904</v>
      </c>
      <c r="H1899" t="s">
        <v>268</v>
      </c>
      <c r="I1899">
        <v>0</v>
      </c>
      <c r="J1899">
        <v>0</v>
      </c>
      <c r="K1899">
        <v>0</v>
      </c>
      <c r="L1899">
        <v>0</v>
      </c>
      <c r="M1899">
        <v>0.26</v>
      </c>
      <c r="N1899" s="7" t="e">
        <f>VLOOKUP(F1899,HC!A$6:D$100,3,FALSE)</f>
        <v>#N/A</v>
      </c>
      <c r="O1899" s="7" t="str">
        <f>VLOOKUP(F1899,HC!A$6:D$1000,2,FALSE)</f>
        <v>jaalexav</v>
      </c>
      <c r="P1899" t="s">
        <v>663</v>
      </c>
      <c r="Q1899" s="7" t="s">
        <v>695</v>
      </c>
      <c r="U1899">
        <f t="shared" si="31"/>
        <v>16</v>
      </c>
    </row>
    <row r="1900" spans="1:21" ht="37.5" customHeight="1" x14ac:dyDescent="0.25">
      <c r="A1900" s="30">
        <v>45074</v>
      </c>
      <c r="B1900" s="13">
        <v>21</v>
      </c>
      <c r="C1900" t="s">
        <v>3</v>
      </c>
      <c r="D1900" t="s">
        <v>4</v>
      </c>
      <c r="E1900" t="s">
        <v>21</v>
      </c>
      <c r="F1900" s="6">
        <v>201198370</v>
      </c>
      <c r="G1900" t="s">
        <v>931</v>
      </c>
      <c r="H1900" t="s">
        <v>17</v>
      </c>
      <c r="I1900">
        <v>0</v>
      </c>
      <c r="J1900">
        <v>0</v>
      </c>
      <c r="K1900">
        <v>0</v>
      </c>
      <c r="L1900">
        <v>0</v>
      </c>
      <c r="M1900">
        <v>0.19</v>
      </c>
      <c r="N1900" s="7" t="e">
        <f>VLOOKUP(F1900,HC!A$6:D$100,3,FALSE)</f>
        <v>#N/A</v>
      </c>
      <c r="O1900" s="7" t="e">
        <f>VLOOKUP(F1900,HC!A$6:D$1000,2,FALSE)</f>
        <v>#N/A</v>
      </c>
      <c r="P1900" t="s">
        <v>661</v>
      </c>
      <c r="Q1900" s="7" t="s">
        <v>681</v>
      </c>
      <c r="U1900">
        <f t="shared" si="31"/>
        <v>1395</v>
      </c>
    </row>
    <row r="1901" spans="1:21" ht="37.5" customHeight="1" x14ac:dyDescent="0.25">
      <c r="A1901" s="30">
        <v>45074</v>
      </c>
      <c r="B1901" s="13">
        <v>21</v>
      </c>
      <c r="C1901" t="s">
        <v>3</v>
      </c>
      <c r="D1901" t="s">
        <v>4</v>
      </c>
      <c r="E1901" t="s">
        <v>21</v>
      </c>
      <c r="F1901" s="6">
        <v>201351016</v>
      </c>
      <c r="G1901" t="s">
        <v>1100</v>
      </c>
      <c r="H1901" t="s">
        <v>298</v>
      </c>
      <c r="I1901">
        <v>0</v>
      </c>
      <c r="J1901">
        <v>0</v>
      </c>
      <c r="K1901">
        <v>0</v>
      </c>
      <c r="L1901">
        <v>0</v>
      </c>
      <c r="M1901">
        <v>0.19</v>
      </c>
      <c r="N1901" s="7" t="e">
        <f>VLOOKUP(F1901,HC!A$6:D$100,3,FALSE)</f>
        <v>#N/A</v>
      </c>
      <c r="O1901" s="7" t="e">
        <f>VLOOKUP(F1901,HC!A$6:D$1000,2,FALSE)</f>
        <v>#N/A</v>
      </c>
      <c r="P1901" t="s">
        <v>662</v>
      </c>
      <c r="Q1901" s="7"/>
      <c r="R1901" t="s">
        <v>15</v>
      </c>
      <c r="U1901">
        <f t="shared" si="31"/>
        <v>1395</v>
      </c>
    </row>
    <row r="1902" spans="1:21" ht="37.5" customHeight="1" x14ac:dyDescent="0.25">
      <c r="A1902" s="30">
        <v>45074</v>
      </c>
      <c r="B1902" s="13">
        <v>21</v>
      </c>
      <c r="C1902" t="s">
        <v>3</v>
      </c>
      <c r="D1902" t="s">
        <v>4</v>
      </c>
      <c r="E1902" t="s">
        <v>21</v>
      </c>
      <c r="F1902" s="6">
        <v>201369351</v>
      </c>
      <c r="G1902" t="s">
        <v>1101</v>
      </c>
      <c r="H1902" t="s">
        <v>403</v>
      </c>
      <c r="I1902">
        <v>0</v>
      </c>
      <c r="J1902">
        <v>0</v>
      </c>
      <c r="K1902">
        <v>0</v>
      </c>
      <c r="L1902">
        <v>0</v>
      </c>
      <c r="M1902">
        <v>1.0900000000000001</v>
      </c>
      <c r="N1902" s="7" t="e">
        <f>VLOOKUP(F1902,HC!A$6:D$100,3,FALSE)</f>
        <v>#N/A</v>
      </c>
      <c r="O1902" s="7" t="e">
        <f>VLOOKUP(F1902,HC!A$6:D$1000,2,FALSE)</f>
        <v>#N/A</v>
      </c>
      <c r="P1902" t="s">
        <v>664</v>
      </c>
      <c r="Q1902" s="7" t="s">
        <v>709</v>
      </c>
      <c r="U1902">
        <f t="shared" si="31"/>
        <v>1395</v>
      </c>
    </row>
    <row r="1903" spans="1:21" ht="37.5" customHeight="1" x14ac:dyDescent="0.25">
      <c r="A1903" s="30">
        <v>45074</v>
      </c>
      <c r="B1903" s="13">
        <v>21</v>
      </c>
      <c r="C1903" t="s">
        <v>3</v>
      </c>
      <c r="D1903" t="s">
        <v>4</v>
      </c>
      <c r="E1903" t="s">
        <v>21</v>
      </c>
      <c r="F1903" s="6">
        <v>201402216</v>
      </c>
      <c r="G1903" t="s">
        <v>1064</v>
      </c>
      <c r="H1903" t="s">
        <v>1040</v>
      </c>
      <c r="I1903">
        <v>0</v>
      </c>
      <c r="J1903">
        <v>0</v>
      </c>
      <c r="K1903">
        <v>0</v>
      </c>
      <c r="L1903">
        <v>0</v>
      </c>
      <c r="M1903">
        <v>0.43</v>
      </c>
      <c r="N1903" s="7" t="e">
        <f>VLOOKUP(F1903,HC!A$6:D$100,3,FALSE)</f>
        <v>#N/A</v>
      </c>
      <c r="O1903" s="7" t="e">
        <f>VLOOKUP(F1903,HC!A$6:D$1000,2,FALSE)</f>
        <v>#N/A</v>
      </c>
      <c r="P1903" t="s">
        <v>668</v>
      </c>
      <c r="Q1903" s="7" t="s">
        <v>732</v>
      </c>
      <c r="U1903">
        <f t="shared" si="31"/>
        <v>1395</v>
      </c>
    </row>
    <row r="1904" spans="1:21" ht="37.5" customHeight="1" x14ac:dyDescent="0.25">
      <c r="A1904" s="30">
        <v>45074</v>
      </c>
      <c r="B1904" s="13">
        <v>21</v>
      </c>
      <c r="C1904" t="s">
        <v>3</v>
      </c>
      <c r="D1904" t="s">
        <v>4</v>
      </c>
      <c r="E1904" t="s">
        <v>21</v>
      </c>
      <c r="F1904" s="6">
        <v>201402504</v>
      </c>
      <c r="G1904" t="s">
        <v>1102</v>
      </c>
      <c r="H1904" t="s">
        <v>1040</v>
      </c>
      <c r="I1904">
        <v>0</v>
      </c>
      <c r="J1904">
        <v>0</v>
      </c>
      <c r="K1904">
        <v>0</v>
      </c>
      <c r="L1904">
        <v>0</v>
      </c>
      <c r="M1904">
        <v>0.69</v>
      </c>
      <c r="N1904" s="7" t="e">
        <f>VLOOKUP(F1904,HC!A$6:D$100,3,FALSE)</f>
        <v>#N/A</v>
      </c>
      <c r="O1904" s="7" t="e">
        <f>VLOOKUP(F1904,HC!A$6:D$1000,2,FALSE)</f>
        <v>#N/A</v>
      </c>
      <c r="P1904" t="s">
        <v>662</v>
      </c>
      <c r="Q1904" s="7" t="s">
        <v>757</v>
      </c>
      <c r="U1904">
        <f t="shared" si="31"/>
        <v>1395</v>
      </c>
    </row>
    <row r="1905" spans="1:21" ht="37.5" customHeight="1" x14ac:dyDescent="0.25">
      <c r="A1905" s="30">
        <v>45074</v>
      </c>
      <c r="B1905" s="13">
        <v>21</v>
      </c>
      <c r="C1905" t="s">
        <v>3</v>
      </c>
      <c r="D1905" t="s">
        <v>4</v>
      </c>
      <c r="E1905" t="s">
        <v>21</v>
      </c>
      <c r="F1905" s="6">
        <v>201409070</v>
      </c>
      <c r="G1905" t="s">
        <v>1078</v>
      </c>
      <c r="H1905" t="s">
        <v>47</v>
      </c>
      <c r="I1905">
        <v>0</v>
      </c>
      <c r="J1905">
        <v>0</v>
      </c>
      <c r="K1905">
        <v>0</v>
      </c>
      <c r="L1905">
        <v>0</v>
      </c>
      <c r="M1905">
        <v>0.6</v>
      </c>
      <c r="N1905" s="7" t="e">
        <f>VLOOKUP(F1905,HC!A$6:D$100,3,FALSE)</f>
        <v>#N/A</v>
      </c>
      <c r="O1905" s="7" t="e">
        <f>VLOOKUP(F1905,HC!A$6:D$1000,2,FALSE)</f>
        <v>#N/A</v>
      </c>
      <c r="P1905" t="s">
        <v>661</v>
      </c>
      <c r="Q1905" s="7" t="s">
        <v>681</v>
      </c>
      <c r="U1905">
        <f t="shared" si="31"/>
        <v>1395</v>
      </c>
    </row>
    <row r="1906" spans="1:21" ht="37.5" customHeight="1" x14ac:dyDescent="0.25">
      <c r="A1906" s="30">
        <v>45075</v>
      </c>
      <c r="B1906" s="13">
        <v>22</v>
      </c>
      <c r="C1906" t="s">
        <v>3</v>
      </c>
      <c r="D1906" t="s">
        <v>4</v>
      </c>
      <c r="E1906" t="s">
        <v>5</v>
      </c>
      <c r="F1906" s="6">
        <v>112912663</v>
      </c>
      <c r="G1906" t="s">
        <v>8</v>
      </c>
      <c r="H1906" t="s">
        <v>403</v>
      </c>
      <c r="I1906">
        <v>0</v>
      </c>
      <c r="J1906">
        <v>0</v>
      </c>
      <c r="K1906">
        <v>0</v>
      </c>
      <c r="L1906">
        <v>0</v>
      </c>
      <c r="M1906">
        <v>0.92</v>
      </c>
      <c r="N1906" s="7" t="e">
        <f>VLOOKUP(F1906,HC!A$6:D$100,3,FALSE)</f>
        <v>#N/A</v>
      </c>
      <c r="O1906" s="7" t="e">
        <f>VLOOKUP(F1906,HC!A$6:D$1000,2,FALSE)</f>
        <v>#N/A</v>
      </c>
      <c r="P1906" t="s">
        <v>662</v>
      </c>
      <c r="Q1906" s="7" t="s">
        <v>757</v>
      </c>
      <c r="U1906">
        <f t="shared" si="31"/>
        <v>1395</v>
      </c>
    </row>
    <row r="1907" spans="1:21" ht="37.5" customHeight="1" x14ac:dyDescent="0.25">
      <c r="A1907" s="30">
        <v>45075</v>
      </c>
      <c r="B1907" s="13">
        <v>22</v>
      </c>
      <c r="C1907" t="s">
        <v>3</v>
      </c>
      <c r="D1907" t="s">
        <v>4</v>
      </c>
      <c r="E1907" t="s">
        <v>5</v>
      </c>
      <c r="F1907" s="6">
        <v>112912753</v>
      </c>
      <c r="G1907" t="s">
        <v>415</v>
      </c>
      <c r="H1907" t="s">
        <v>298</v>
      </c>
      <c r="I1907">
        <v>0</v>
      </c>
      <c r="J1907">
        <v>0</v>
      </c>
      <c r="K1907">
        <v>0</v>
      </c>
      <c r="L1907">
        <v>0</v>
      </c>
      <c r="M1907">
        <v>0.7</v>
      </c>
      <c r="N1907" s="7" t="e">
        <f>VLOOKUP(F1907,HC!A$6:D$100,3,FALSE)</f>
        <v>#N/A</v>
      </c>
      <c r="O1907" s="7" t="e">
        <f>VLOOKUP(F1907,HC!A$6:D$1000,2,FALSE)</f>
        <v>#N/A</v>
      </c>
      <c r="P1907" t="s">
        <v>662</v>
      </c>
      <c r="Q1907" s="7" t="s">
        <v>691</v>
      </c>
      <c r="U1907">
        <f t="shared" si="31"/>
        <v>1395</v>
      </c>
    </row>
    <row r="1908" spans="1:21" ht="37.5" customHeight="1" x14ac:dyDescent="0.25">
      <c r="A1908" s="30">
        <v>45075</v>
      </c>
      <c r="B1908" s="13">
        <v>22</v>
      </c>
      <c r="C1908" t="s">
        <v>3</v>
      </c>
      <c r="D1908" t="s">
        <v>4</v>
      </c>
      <c r="E1908" t="s">
        <v>5</v>
      </c>
      <c r="F1908" s="6">
        <v>112932733</v>
      </c>
      <c r="G1908" t="s">
        <v>595</v>
      </c>
      <c r="H1908" t="s">
        <v>7</v>
      </c>
      <c r="I1908">
        <v>0</v>
      </c>
      <c r="J1908">
        <v>0</v>
      </c>
      <c r="K1908">
        <v>0</v>
      </c>
      <c r="L1908">
        <v>0</v>
      </c>
      <c r="M1908">
        <v>0.18</v>
      </c>
      <c r="N1908" s="7" t="e">
        <f>VLOOKUP(F1908,HC!A$6:D$100,3,FALSE)</f>
        <v>#N/A</v>
      </c>
      <c r="O1908" s="7" t="e">
        <f>VLOOKUP(F1908,HC!A$6:D$1000,2,FALSE)</f>
        <v>#N/A</v>
      </c>
      <c r="P1908" t="s">
        <v>664</v>
      </c>
      <c r="Q1908" s="7" t="s">
        <v>710</v>
      </c>
      <c r="U1908">
        <f t="shared" si="31"/>
        <v>1395</v>
      </c>
    </row>
    <row r="1909" spans="1:21" ht="37.5" customHeight="1" x14ac:dyDescent="0.25">
      <c r="A1909" s="30">
        <v>45075</v>
      </c>
      <c r="B1909" s="13">
        <v>22</v>
      </c>
      <c r="C1909" t="s">
        <v>3</v>
      </c>
      <c r="D1909" t="s">
        <v>4</v>
      </c>
      <c r="E1909" t="s">
        <v>5</v>
      </c>
      <c r="F1909" s="6">
        <v>112976013</v>
      </c>
      <c r="G1909" t="s">
        <v>449</v>
      </c>
      <c r="H1909" t="s">
        <v>403</v>
      </c>
      <c r="I1909">
        <v>0</v>
      </c>
      <c r="J1909">
        <v>0</v>
      </c>
      <c r="K1909">
        <v>0</v>
      </c>
      <c r="L1909">
        <v>0</v>
      </c>
      <c r="M1909">
        <v>0.88</v>
      </c>
      <c r="N1909" s="7" t="e">
        <f>VLOOKUP(F1909,HC!A$6:D$100,3,FALSE)</f>
        <v>#N/A</v>
      </c>
      <c r="O1909" s="7" t="e">
        <f>VLOOKUP(F1909,HC!A$6:D$1000,2,FALSE)</f>
        <v>#N/A</v>
      </c>
      <c r="P1909" t="s">
        <v>661</v>
      </c>
      <c r="Q1909" s="7" t="s">
        <v>681</v>
      </c>
      <c r="U1909">
        <f t="shared" si="31"/>
        <v>1395</v>
      </c>
    </row>
    <row r="1910" spans="1:21" ht="37.5" customHeight="1" x14ac:dyDescent="0.25">
      <c r="A1910" s="30">
        <v>45075</v>
      </c>
      <c r="B1910" s="13">
        <v>22</v>
      </c>
      <c r="C1910" t="s">
        <v>3</v>
      </c>
      <c r="D1910" t="s">
        <v>4</v>
      </c>
      <c r="E1910" t="s">
        <v>5</v>
      </c>
      <c r="F1910" s="6">
        <v>112980844</v>
      </c>
      <c r="G1910" t="s">
        <v>13</v>
      </c>
      <c r="H1910" t="s">
        <v>268</v>
      </c>
      <c r="I1910">
        <v>0</v>
      </c>
      <c r="J1910">
        <v>0</v>
      </c>
      <c r="K1910">
        <v>0</v>
      </c>
      <c r="L1910">
        <v>0</v>
      </c>
      <c r="M1910">
        <v>0.01</v>
      </c>
      <c r="N1910" s="7" t="str">
        <f>VLOOKUP(F1910,HC!A$6:D$100,3,FALSE)</f>
        <v>DA-X0700</v>
      </c>
      <c r="O1910" s="7" t="str">
        <f>VLOOKUP(F1910,HC!A$6:D$1000,2,FALSE)</f>
        <v>samajpad</v>
      </c>
      <c r="P1910" t="s">
        <v>663</v>
      </c>
      <c r="Q1910" s="7" t="s">
        <v>692</v>
      </c>
      <c r="U1910">
        <f t="shared" si="31"/>
        <v>20</v>
      </c>
    </row>
    <row r="1911" spans="1:21" ht="37.5" customHeight="1" x14ac:dyDescent="0.25">
      <c r="A1911" s="30">
        <v>45075</v>
      </c>
      <c r="B1911" s="13">
        <v>22</v>
      </c>
      <c r="C1911" t="s">
        <v>3</v>
      </c>
      <c r="D1911" t="s">
        <v>4</v>
      </c>
      <c r="E1911" t="s">
        <v>5</v>
      </c>
      <c r="F1911" s="6">
        <v>112980878</v>
      </c>
      <c r="G1911" t="s">
        <v>481</v>
      </c>
      <c r="H1911" t="s">
        <v>298</v>
      </c>
      <c r="I1911">
        <v>0</v>
      </c>
      <c r="J1911">
        <v>0</v>
      </c>
      <c r="K1911">
        <v>0</v>
      </c>
      <c r="L1911">
        <v>0</v>
      </c>
      <c r="M1911">
        <v>0.06</v>
      </c>
      <c r="N1911" s="7" t="e">
        <f>VLOOKUP(F1911,HC!A$6:D$100,3,FALSE)</f>
        <v>#N/A</v>
      </c>
      <c r="O1911" s="7" t="e">
        <f>VLOOKUP(F1911,HC!A$6:D$1000,2,FALSE)</f>
        <v>#N/A</v>
      </c>
      <c r="P1911" t="s">
        <v>661</v>
      </c>
      <c r="Q1911" s="7" t="s">
        <v>681</v>
      </c>
      <c r="U1911">
        <f t="shared" si="31"/>
        <v>1395</v>
      </c>
    </row>
    <row r="1912" spans="1:21" ht="37.5" customHeight="1" x14ac:dyDescent="0.25">
      <c r="A1912" s="30">
        <v>45075</v>
      </c>
      <c r="B1912" s="13">
        <v>22</v>
      </c>
      <c r="C1912" t="s">
        <v>3</v>
      </c>
      <c r="D1912" t="s">
        <v>4</v>
      </c>
      <c r="E1912" t="s">
        <v>5</v>
      </c>
      <c r="F1912" s="6">
        <v>112981013</v>
      </c>
      <c r="G1912" t="s">
        <v>283</v>
      </c>
      <c r="H1912" t="s">
        <v>268</v>
      </c>
      <c r="I1912">
        <v>0</v>
      </c>
      <c r="J1912">
        <v>0</v>
      </c>
      <c r="K1912">
        <v>0</v>
      </c>
      <c r="L1912">
        <v>0</v>
      </c>
      <c r="M1912">
        <v>0</v>
      </c>
      <c r="N1912" s="7" t="str">
        <f>VLOOKUP(F1912,HC!A$6:D$100,3,FALSE)</f>
        <v>DA-X0700</v>
      </c>
      <c r="O1912" s="7" t="str">
        <f>VLOOKUP(F1912,HC!A$6:D$1000,2,FALSE)</f>
        <v>normaelo</v>
      </c>
      <c r="P1912" t="s">
        <v>664</v>
      </c>
      <c r="Q1912" s="7" t="s">
        <v>708</v>
      </c>
      <c r="U1912">
        <f t="shared" si="31"/>
        <v>24</v>
      </c>
    </row>
    <row r="1913" spans="1:21" ht="37.5" customHeight="1" x14ac:dyDescent="0.25">
      <c r="A1913" s="30">
        <v>45075</v>
      </c>
      <c r="B1913" s="13">
        <v>22</v>
      </c>
      <c r="C1913" t="s">
        <v>3</v>
      </c>
      <c r="D1913" t="s">
        <v>4</v>
      </c>
      <c r="E1913" t="s">
        <v>5</v>
      </c>
      <c r="F1913" s="6">
        <v>113014078</v>
      </c>
      <c r="G1913" t="s">
        <v>567</v>
      </c>
      <c r="H1913" t="s">
        <v>298</v>
      </c>
      <c r="I1913">
        <v>0</v>
      </c>
      <c r="J1913">
        <v>0</v>
      </c>
      <c r="K1913">
        <v>0</v>
      </c>
      <c r="L1913">
        <v>0</v>
      </c>
      <c r="M1913">
        <v>0.14000000000000001</v>
      </c>
      <c r="N1913" s="7" t="e">
        <f>VLOOKUP(F1913,HC!A$6:D$100,3,FALSE)</f>
        <v>#N/A</v>
      </c>
      <c r="O1913" s="7" t="str">
        <f>VLOOKUP(F1913,HC!A$6:D$1000,2,FALSE)</f>
        <v>dnaldair</v>
      </c>
      <c r="P1913" t="s">
        <v>661</v>
      </c>
      <c r="Q1913" s="7" t="s">
        <v>681</v>
      </c>
      <c r="U1913">
        <f t="shared" si="31"/>
        <v>14</v>
      </c>
    </row>
    <row r="1914" spans="1:21" ht="37.5" customHeight="1" x14ac:dyDescent="0.25">
      <c r="A1914" s="30">
        <v>45075</v>
      </c>
      <c r="B1914" s="13">
        <v>22</v>
      </c>
      <c r="C1914" t="s">
        <v>3</v>
      </c>
      <c r="D1914" t="s">
        <v>4</v>
      </c>
      <c r="E1914" t="s">
        <v>5</v>
      </c>
      <c r="F1914" s="6">
        <v>113020463</v>
      </c>
      <c r="G1914" t="s">
        <v>321</v>
      </c>
      <c r="H1914" t="s">
        <v>44</v>
      </c>
      <c r="I1914">
        <v>0</v>
      </c>
      <c r="J1914">
        <v>0</v>
      </c>
      <c r="K1914">
        <v>0</v>
      </c>
      <c r="L1914">
        <v>0</v>
      </c>
      <c r="M1914">
        <v>0.12</v>
      </c>
      <c r="N1914" s="7" t="e">
        <f>VLOOKUP(F1914,HC!A$6:D$100,3,FALSE)</f>
        <v>#N/A</v>
      </c>
      <c r="O1914" s="7" t="str">
        <f>VLOOKUP(F1914,HC!A$6:D$1000,2,FALSE)</f>
        <v>myriamav</v>
      </c>
      <c r="P1914" t="s">
        <v>664</v>
      </c>
      <c r="Q1914" s="7" t="s">
        <v>777</v>
      </c>
      <c r="U1914">
        <f t="shared" si="31"/>
        <v>24</v>
      </c>
    </row>
    <row r="1915" spans="1:21" ht="37.5" customHeight="1" x14ac:dyDescent="0.25">
      <c r="A1915" s="30">
        <v>45075</v>
      </c>
      <c r="B1915" s="13">
        <v>22</v>
      </c>
      <c r="C1915" t="s">
        <v>3</v>
      </c>
      <c r="D1915" t="s">
        <v>4</v>
      </c>
      <c r="E1915" t="s">
        <v>5</v>
      </c>
      <c r="F1915" s="6">
        <v>113101453</v>
      </c>
      <c r="G1915" t="s">
        <v>50</v>
      </c>
      <c r="H1915" t="s">
        <v>44</v>
      </c>
      <c r="I1915">
        <v>0</v>
      </c>
      <c r="J1915">
        <v>0</v>
      </c>
      <c r="K1915">
        <v>0</v>
      </c>
      <c r="L1915">
        <v>0</v>
      </c>
      <c r="M1915">
        <v>0.24</v>
      </c>
      <c r="N1915" s="7" t="e">
        <f>VLOOKUP(F1915,HC!A$6:D$100,3,FALSE)</f>
        <v>#N/A</v>
      </c>
      <c r="O1915" s="7" t="str">
        <f>VLOOKUP(F1915,HC!A$6:D$1000,2,FALSE)</f>
        <v>qisgeova</v>
      </c>
      <c r="P1915" t="s">
        <v>664</v>
      </c>
      <c r="Q1915" s="7" t="s">
        <v>711</v>
      </c>
      <c r="U1915">
        <f t="shared" si="31"/>
        <v>57</v>
      </c>
    </row>
    <row r="1916" spans="1:21" ht="37.5" customHeight="1" x14ac:dyDescent="0.25">
      <c r="A1916" s="30">
        <v>45075</v>
      </c>
      <c r="B1916" s="13">
        <v>22</v>
      </c>
      <c r="C1916" t="s">
        <v>3</v>
      </c>
      <c r="D1916" t="s">
        <v>4</v>
      </c>
      <c r="E1916" t="s">
        <v>5</v>
      </c>
      <c r="F1916" s="6">
        <v>200404250</v>
      </c>
      <c r="G1916" t="s">
        <v>51</v>
      </c>
      <c r="H1916" t="s">
        <v>298</v>
      </c>
      <c r="I1916">
        <v>0</v>
      </c>
      <c r="J1916">
        <v>0</v>
      </c>
      <c r="K1916">
        <v>0</v>
      </c>
      <c r="L1916">
        <v>0</v>
      </c>
      <c r="M1916">
        <v>0.17</v>
      </c>
      <c r="N1916" s="7" t="e">
        <f>VLOOKUP(F1916,HC!A$6:D$100,3,FALSE)</f>
        <v>#N/A</v>
      </c>
      <c r="O1916" s="7" t="str">
        <f>VLOOKUP(F1916,HC!A$6:D$1000,2,FALSE)</f>
        <v>xcathurt</v>
      </c>
      <c r="P1916" t="s">
        <v>662</v>
      </c>
      <c r="Q1916" s="7" t="s">
        <v>785</v>
      </c>
      <c r="U1916">
        <f t="shared" si="31"/>
        <v>124</v>
      </c>
    </row>
    <row r="1917" spans="1:21" ht="37.5" customHeight="1" x14ac:dyDescent="0.25">
      <c r="A1917" s="30">
        <v>45075</v>
      </c>
      <c r="B1917" s="13">
        <v>22</v>
      </c>
      <c r="C1917" t="s">
        <v>3</v>
      </c>
      <c r="D1917" t="s">
        <v>4</v>
      </c>
      <c r="E1917" t="s">
        <v>21</v>
      </c>
      <c r="F1917" s="6">
        <v>200407440</v>
      </c>
      <c r="G1917" t="s">
        <v>997</v>
      </c>
      <c r="H1917" t="s">
        <v>298</v>
      </c>
      <c r="I1917">
        <v>0</v>
      </c>
      <c r="J1917">
        <v>0</v>
      </c>
      <c r="K1917">
        <v>0</v>
      </c>
      <c r="L1917">
        <v>0</v>
      </c>
      <c r="M1917">
        <v>0.79</v>
      </c>
      <c r="N1917" s="7" t="e">
        <f>VLOOKUP(F1917,HC!A$6:D$100,3,FALSE)</f>
        <v>#N/A</v>
      </c>
      <c r="O1917" s="7" t="e">
        <f>VLOOKUP(F1917,HC!A$6:D$1000,2,FALSE)</f>
        <v>#N/A</v>
      </c>
      <c r="P1917" t="s">
        <v>664</v>
      </c>
      <c r="Q1917" s="7" t="s">
        <v>710</v>
      </c>
      <c r="U1917">
        <f t="shared" si="31"/>
        <v>1395</v>
      </c>
    </row>
    <row r="1918" spans="1:21" ht="37.5" customHeight="1" x14ac:dyDescent="0.25">
      <c r="A1918" s="30">
        <v>45075</v>
      </c>
      <c r="B1918" s="13">
        <v>22</v>
      </c>
      <c r="C1918" t="s">
        <v>3</v>
      </c>
      <c r="D1918" t="s">
        <v>4</v>
      </c>
      <c r="E1918" t="s">
        <v>21</v>
      </c>
      <c r="F1918" s="6">
        <v>200625528</v>
      </c>
      <c r="G1918" t="s">
        <v>607</v>
      </c>
      <c r="H1918" t="s">
        <v>285</v>
      </c>
      <c r="I1918">
        <v>0</v>
      </c>
      <c r="J1918">
        <v>0</v>
      </c>
      <c r="K1918">
        <v>0</v>
      </c>
      <c r="L1918">
        <v>0</v>
      </c>
      <c r="M1918">
        <v>0.19</v>
      </c>
      <c r="N1918" s="7" t="e">
        <f>VLOOKUP(F1918,HC!A$6:D$100,3,FALSE)</f>
        <v>#N/A</v>
      </c>
      <c r="O1918" s="7" t="str">
        <f>VLOOKUP(F1918,HC!A$6:D$1000,2,FALSE)</f>
        <v>olivlizb</v>
      </c>
      <c r="P1918" t="s">
        <v>664</v>
      </c>
      <c r="Q1918" s="7" t="s">
        <v>708</v>
      </c>
      <c r="R1918" t="s">
        <v>1103</v>
      </c>
      <c r="U1918">
        <f t="shared" si="31"/>
        <v>50</v>
      </c>
    </row>
    <row r="1919" spans="1:21" ht="37.5" customHeight="1" x14ac:dyDescent="0.25">
      <c r="A1919" s="30">
        <v>45075</v>
      </c>
      <c r="B1919" s="13">
        <v>22</v>
      </c>
      <c r="C1919" t="s">
        <v>3</v>
      </c>
      <c r="D1919" t="s">
        <v>4</v>
      </c>
      <c r="E1919" t="s">
        <v>21</v>
      </c>
      <c r="F1919" s="6">
        <v>201166890</v>
      </c>
      <c r="G1919" t="s">
        <v>998</v>
      </c>
      <c r="H1919" t="s">
        <v>298</v>
      </c>
      <c r="I1919">
        <v>0</v>
      </c>
      <c r="J1919">
        <v>0</v>
      </c>
      <c r="K1919">
        <v>0</v>
      </c>
      <c r="L1919">
        <v>0</v>
      </c>
      <c r="M1919">
        <v>1.87</v>
      </c>
      <c r="N1919" s="7" t="e">
        <f>VLOOKUP(F1919,HC!A$6:D$100,3,FALSE)</f>
        <v>#N/A</v>
      </c>
      <c r="O1919" s="7" t="str">
        <f>VLOOKUP(F1919,HC!A$6:D$1000,2,FALSE)</f>
        <v>lcabadan</v>
      </c>
      <c r="P1919" t="s">
        <v>666</v>
      </c>
      <c r="Q1919" s="7" t="s">
        <v>768</v>
      </c>
      <c r="R1919" t="s">
        <v>1065</v>
      </c>
      <c r="U1919">
        <f t="shared" si="31"/>
        <v>24</v>
      </c>
    </row>
    <row r="1920" spans="1:21" ht="37.5" customHeight="1" x14ac:dyDescent="0.25">
      <c r="A1920" s="30">
        <v>45075</v>
      </c>
      <c r="B1920" s="13">
        <v>22</v>
      </c>
      <c r="C1920" t="s">
        <v>3</v>
      </c>
      <c r="D1920" t="s">
        <v>4</v>
      </c>
      <c r="E1920" t="s">
        <v>21</v>
      </c>
      <c r="F1920" s="6">
        <v>201167517</v>
      </c>
      <c r="G1920" t="s">
        <v>849</v>
      </c>
      <c r="H1920" t="s">
        <v>44</v>
      </c>
      <c r="I1920">
        <v>0</v>
      </c>
      <c r="J1920">
        <v>0</v>
      </c>
      <c r="K1920">
        <v>0</v>
      </c>
      <c r="L1920">
        <v>0</v>
      </c>
      <c r="M1920">
        <v>0.28999999999999998</v>
      </c>
      <c r="N1920" s="7" t="e">
        <f>VLOOKUP(F1920,HC!A$6:D$100,3,FALSE)</f>
        <v>#N/A</v>
      </c>
      <c r="O1920" s="7" t="e">
        <f>VLOOKUP(F1920,HC!A$6:D$1000,2,FALSE)</f>
        <v>#N/A</v>
      </c>
      <c r="P1920" t="s">
        <v>664</v>
      </c>
      <c r="Q1920" s="7" t="s">
        <v>717</v>
      </c>
      <c r="U1920">
        <f t="shared" si="31"/>
        <v>1395</v>
      </c>
    </row>
    <row r="1921" spans="1:21" ht="37.5" customHeight="1" x14ac:dyDescent="0.25">
      <c r="A1921" s="30">
        <v>45075</v>
      </c>
      <c r="B1921" s="13">
        <v>22</v>
      </c>
      <c r="C1921" t="s">
        <v>3</v>
      </c>
      <c r="D1921" t="s">
        <v>4</v>
      </c>
      <c r="E1921" t="s">
        <v>21</v>
      </c>
      <c r="F1921" s="6">
        <v>201198979</v>
      </c>
      <c r="G1921" t="s">
        <v>905</v>
      </c>
      <c r="H1921" t="s">
        <v>285</v>
      </c>
      <c r="I1921">
        <v>0</v>
      </c>
      <c r="J1921">
        <v>0</v>
      </c>
      <c r="K1921">
        <v>0</v>
      </c>
      <c r="L1921">
        <v>0</v>
      </c>
      <c r="M1921">
        <v>0.34</v>
      </c>
      <c r="N1921" s="7" t="e">
        <f>VLOOKUP(F1921,HC!A$6:D$100,3,FALSE)</f>
        <v>#N/A</v>
      </c>
      <c r="O1921" s="7" t="e">
        <f>VLOOKUP(F1921,HC!A$6:D$1000,2,FALSE)</f>
        <v>#N/A</v>
      </c>
      <c r="P1921" t="s">
        <v>664</v>
      </c>
      <c r="Q1921" s="7" t="s">
        <v>708</v>
      </c>
      <c r="U1921">
        <f t="shared" si="31"/>
        <v>1395</v>
      </c>
    </row>
    <row r="1922" spans="1:21" ht="37.5" customHeight="1" x14ac:dyDescent="0.25">
      <c r="A1922" s="30">
        <v>45075</v>
      </c>
      <c r="B1922" s="13">
        <v>22</v>
      </c>
      <c r="C1922" t="s">
        <v>3</v>
      </c>
      <c r="D1922" t="s">
        <v>4</v>
      </c>
      <c r="E1922" t="s">
        <v>21</v>
      </c>
      <c r="F1922" s="6">
        <v>201212196</v>
      </c>
      <c r="G1922" t="s">
        <v>958</v>
      </c>
      <c r="H1922" t="s">
        <v>17</v>
      </c>
      <c r="I1922">
        <v>0</v>
      </c>
      <c r="J1922">
        <v>0</v>
      </c>
      <c r="K1922">
        <v>0</v>
      </c>
      <c r="L1922">
        <v>0</v>
      </c>
      <c r="M1922">
        <v>0.18</v>
      </c>
      <c r="N1922" s="7" t="e">
        <f>VLOOKUP(F1922,HC!A$6:D$100,3,FALSE)</f>
        <v>#N/A</v>
      </c>
      <c r="O1922" s="7" t="e">
        <f>VLOOKUP(F1922,HC!A$6:D$1000,2,FALSE)</f>
        <v>#N/A</v>
      </c>
      <c r="P1922" t="s">
        <v>670</v>
      </c>
      <c r="Q1922" s="7" t="s">
        <v>748</v>
      </c>
      <c r="R1922" t="s">
        <v>927</v>
      </c>
      <c r="U1922">
        <f t="shared" si="31"/>
        <v>1395</v>
      </c>
    </row>
    <row r="1923" spans="1:21" ht="37.5" customHeight="1" x14ac:dyDescent="0.25">
      <c r="A1923" s="30">
        <v>45075</v>
      </c>
      <c r="B1923" s="13">
        <v>22</v>
      </c>
      <c r="C1923" t="s">
        <v>3</v>
      </c>
      <c r="D1923" t="s">
        <v>4</v>
      </c>
      <c r="E1923" t="s">
        <v>21</v>
      </c>
      <c r="F1923" s="6">
        <v>201365896</v>
      </c>
      <c r="G1923" t="s">
        <v>1045</v>
      </c>
      <c r="H1923" t="s">
        <v>1040</v>
      </c>
      <c r="I1923">
        <v>0</v>
      </c>
      <c r="J1923">
        <v>0</v>
      </c>
      <c r="K1923">
        <v>0</v>
      </c>
      <c r="L1923">
        <v>0</v>
      </c>
      <c r="M1923">
        <v>0.25</v>
      </c>
      <c r="N1923" s="7" t="e">
        <f>VLOOKUP(F1923,HC!A$6:D$100,3,FALSE)</f>
        <v>#N/A</v>
      </c>
      <c r="O1923" s="7" t="e">
        <f>VLOOKUP(F1923,HC!A$6:D$1000,2,FALSE)</f>
        <v>#N/A</v>
      </c>
      <c r="P1923" t="s">
        <v>664</v>
      </c>
      <c r="Q1923" s="7" t="s">
        <v>777</v>
      </c>
      <c r="U1923">
        <f t="shared" ref="U1923:U1986" si="32">COUNTIF(O$2:O$4999,O1923)</f>
        <v>1395</v>
      </c>
    </row>
    <row r="1924" spans="1:21" ht="37.5" customHeight="1" x14ac:dyDescent="0.25">
      <c r="A1924" s="30">
        <v>45075</v>
      </c>
      <c r="B1924" s="13">
        <v>22</v>
      </c>
      <c r="C1924" t="s">
        <v>3</v>
      </c>
      <c r="D1924" t="s">
        <v>4</v>
      </c>
      <c r="E1924" t="s">
        <v>21</v>
      </c>
      <c r="F1924" s="6">
        <v>201378614</v>
      </c>
      <c r="G1924" t="s">
        <v>1046</v>
      </c>
      <c r="H1924" t="s">
        <v>1040</v>
      </c>
      <c r="I1924">
        <v>0</v>
      </c>
      <c r="J1924">
        <v>0</v>
      </c>
      <c r="K1924">
        <v>0</v>
      </c>
      <c r="L1924">
        <v>0</v>
      </c>
      <c r="M1924">
        <v>0.54</v>
      </c>
      <c r="N1924" s="7" t="e">
        <f>VLOOKUP(F1924,HC!A$6:D$100,3,FALSE)</f>
        <v>#N/A</v>
      </c>
      <c r="O1924" s="7" t="e">
        <f>VLOOKUP(F1924,HC!A$6:D$1000,2,FALSE)</f>
        <v>#N/A</v>
      </c>
      <c r="P1924" t="s">
        <v>664</v>
      </c>
      <c r="Q1924" s="7" t="s">
        <v>716</v>
      </c>
      <c r="U1924">
        <f t="shared" si="32"/>
        <v>1395</v>
      </c>
    </row>
    <row r="1925" spans="1:21" ht="37.5" customHeight="1" x14ac:dyDescent="0.25">
      <c r="A1925" s="30">
        <v>45075</v>
      </c>
      <c r="B1925" s="13">
        <v>22</v>
      </c>
      <c r="C1925" t="s">
        <v>3</v>
      </c>
      <c r="D1925" t="s">
        <v>4</v>
      </c>
      <c r="E1925" t="s">
        <v>21</v>
      </c>
      <c r="F1925" s="6">
        <v>201402060</v>
      </c>
      <c r="G1925" t="s">
        <v>1057</v>
      </c>
      <c r="H1925" t="s">
        <v>1040</v>
      </c>
      <c r="I1925">
        <v>0</v>
      </c>
      <c r="J1925">
        <v>0</v>
      </c>
      <c r="K1925">
        <v>0</v>
      </c>
      <c r="L1925">
        <v>0</v>
      </c>
      <c r="M1925">
        <v>0.5</v>
      </c>
      <c r="N1925" s="7" t="e">
        <f>VLOOKUP(F1925,HC!A$6:D$100,3,FALSE)</f>
        <v>#N/A</v>
      </c>
      <c r="O1925" s="7" t="e">
        <f>VLOOKUP(F1925,HC!A$6:D$1000,2,FALSE)</f>
        <v>#N/A</v>
      </c>
      <c r="P1925" t="s">
        <v>670</v>
      </c>
      <c r="Q1925" s="7" t="s">
        <v>742</v>
      </c>
      <c r="R1925" t="s">
        <v>1104</v>
      </c>
      <c r="U1925">
        <f t="shared" si="32"/>
        <v>1395</v>
      </c>
    </row>
    <row r="1926" spans="1:21" ht="37.5" customHeight="1" x14ac:dyDescent="0.25">
      <c r="A1926" s="30">
        <v>45076</v>
      </c>
      <c r="B1926" s="13">
        <v>22</v>
      </c>
      <c r="C1926" t="s">
        <v>3</v>
      </c>
      <c r="D1926" t="s">
        <v>4</v>
      </c>
      <c r="E1926" t="s">
        <v>5</v>
      </c>
      <c r="F1926" s="6">
        <v>103979960</v>
      </c>
      <c r="G1926" t="s">
        <v>372</v>
      </c>
      <c r="H1926" t="s">
        <v>44</v>
      </c>
      <c r="I1926">
        <v>0</v>
      </c>
      <c r="J1926">
        <v>0</v>
      </c>
      <c r="K1926">
        <v>0</v>
      </c>
      <c r="L1926">
        <v>0</v>
      </c>
      <c r="M1926">
        <v>0.28000000000000003</v>
      </c>
      <c r="N1926" s="7" t="e">
        <f>VLOOKUP(F1926,HC!A$6:D$100,3,FALSE)</f>
        <v>#N/A</v>
      </c>
      <c r="O1926" s="7" t="e">
        <f>VLOOKUP(F1926,HC!A$6:D$1000,2,FALSE)</f>
        <v>#N/A</v>
      </c>
      <c r="P1926" t="s">
        <v>661</v>
      </c>
      <c r="Q1926" s="7" t="s">
        <v>681</v>
      </c>
      <c r="U1926">
        <f t="shared" si="32"/>
        <v>1395</v>
      </c>
    </row>
    <row r="1927" spans="1:21" ht="37.5" customHeight="1" x14ac:dyDescent="0.25">
      <c r="A1927" s="30">
        <v>45076</v>
      </c>
      <c r="B1927" s="13">
        <v>22</v>
      </c>
      <c r="C1927" t="s">
        <v>3</v>
      </c>
      <c r="D1927" t="s">
        <v>4</v>
      </c>
      <c r="E1927" t="s">
        <v>5</v>
      </c>
      <c r="F1927" s="6">
        <v>112912163</v>
      </c>
      <c r="G1927" t="s">
        <v>294</v>
      </c>
      <c r="H1927" t="s">
        <v>298</v>
      </c>
      <c r="I1927">
        <v>0</v>
      </c>
      <c r="J1927">
        <v>0</v>
      </c>
      <c r="K1927">
        <v>0</v>
      </c>
      <c r="L1927">
        <v>0</v>
      </c>
      <c r="M1927">
        <v>0.59</v>
      </c>
      <c r="N1927" s="7" t="e">
        <f>VLOOKUP(F1927,HC!A$6:D$100,3,FALSE)</f>
        <v>#N/A</v>
      </c>
      <c r="O1927" s="7" t="e">
        <f>VLOOKUP(F1927,HC!A$6:D$1000,2,FALSE)</f>
        <v>#N/A</v>
      </c>
      <c r="P1927" t="s">
        <v>664</v>
      </c>
      <c r="Q1927" s="7" t="s">
        <v>710</v>
      </c>
      <c r="U1927">
        <f t="shared" si="32"/>
        <v>1395</v>
      </c>
    </row>
    <row r="1928" spans="1:21" ht="37.5" customHeight="1" x14ac:dyDescent="0.25">
      <c r="A1928" s="30">
        <v>45076</v>
      </c>
      <c r="B1928" s="13">
        <v>22</v>
      </c>
      <c r="C1928" t="s">
        <v>3</v>
      </c>
      <c r="D1928" t="s">
        <v>4</v>
      </c>
      <c r="E1928" t="s">
        <v>5</v>
      </c>
      <c r="F1928" s="6">
        <v>112913641</v>
      </c>
      <c r="G1928" t="s">
        <v>978</v>
      </c>
      <c r="H1928" t="s">
        <v>403</v>
      </c>
      <c r="I1928">
        <v>0</v>
      </c>
      <c r="J1928">
        <v>0</v>
      </c>
      <c r="K1928">
        <v>0</v>
      </c>
      <c r="L1928">
        <v>0</v>
      </c>
      <c r="M1928">
        <v>0.83</v>
      </c>
      <c r="N1928" s="7" t="str">
        <f>VLOOKUP(F1928,HC!A$6:D$100,3,FALSE)</f>
        <v>DB-X0700</v>
      </c>
      <c r="O1928" s="7" t="str">
        <f>VLOOKUP(F1928,HC!A$6:D$1000,2,FALSE)</f>
        <v>arevamau</v>
      </c>
      <c r="P1928" t="s">
        <v>664</v>
      </c>
      <c r="Q1928" s="7" t="s">
        <v>708</v>
      </c>
      <c r="R1928" t="s">
        <v>0</v>
      </c>
      <c r="U1928">
        <f t="shared" si="32"/>
        <v>3</v>
      </c>
    </row>
    <row r="1929" spans="1:21" ht="37.5" customHeight="1" x14ac:dyDescent="0.25">
      <c r="A1929" s="30">
        <v>45076</v>
      </c>
      <c r="B1929" s="13">
        <v>22</v>
      </c>
      <c r="C1929" t="s">
        <v>3</v>
      </c>
      <c r="D1929" t="s">
        <v>4</v>
      </c>
      <c r="E1929" t="s">
        <v>5</v>
      </c>
      <c r="F1929" s="6">
        <v>112980847</v>
      </c>
      <c r="G1929" t="s">
        <v>524</v>
      </c>
      <c r="H1929" t="s">
        <v>268</v>
      </c>
      <c r="I1929">
        <v>0</v>
      </c>
      <c r="J1929">
        <v>0</v>
      </c>
      <c r="K1929">
        <v>0</v>
      </c>
      <c r="L1929">
        <v>0</v>
      </c>
      <c r="M1929">
        <v>0.4</v>
      </c>
      <c r="N1929" s="7" t="e">
        <f>VLOOKUP(F1929,HC!A$6:D$100,3,FALSE)</f>
        <v>#N/A</v>
      </c>
      <c r="O1929" s="7" t="e">
        <f>VLOOKUP(F1929,HC!A$6:D$1000,2,FALSE)</f>
        <v>#N/A</v>
      </c>
      <c r="P1929" t="s">
        <v>661</v>
      </c>
      <c r="Q1929" s="7" t="s">
        <v>681</v>
      </c>
      <c r="U1929">
        <f t="shared" si="32"/>
        <v>1395</v>
      </c>
    </row>
    <row r="1930" spans="1:21" ht="37.5" customHeight="1" x14ac:dyDescent="0.25">
      <c r="A1930" s="30">
        <v>45076</v>
      </c>
      <c r="B1930" s="13">
        <v>22</v>
      </c>
      <c r="C1930" t="s">
        <v>3</v>
      </c>
      <c r="D1930" t="s">
        <v>4</v>
      </c>
      <c r="E1930" t="s">
        <v>5</v>
      </c>
      <c r="F1930" s="6">
        <v>112981013</v>
      </c>
      <c r="G1930" t="s">
        <v>283</v>
      </c>
      <c r="H1930" t="s">
        <v>268</v>
      </c>
      <c r="I1930">
        <v>0</v>
      </c>
      <c r="J1930">
        <v>0</v>
      </c>
      <c r="K1930">
        <v>0</v>
      </c>
      <c r="L1930">
        <v>0</v>
      </c>
      <c r="M1930">
        <v>0.31</v>
      </c>
      <c r="N1930" s="7" t="str">
        <f>VLOOKUP(F1930,HC!A$6:D$100,3,FALSE)</f>
        <v>DA-X0700</v>
      </c>
      <c r="O1930" s="7" t="str">
        <f>VLOOKUP(F1930,HC!A$6:D$1000,2,FALSE)</f>
        <v>normaelo</v>
      </c>
      <c r="P1930" t="s">
        <v>663</v>
      </c>
      <c r="Q1930" s="7" t="s">
        <v>706</v>
      </c>
      <c r="R1930" t="s">
        <v>910</v>
      </c>
      <c r="U1930">
        <f t="shared" si="32"/>
        <v>24</v>
      </c>
    </row>
    <row r="1931" spans="1:21" ht="37.5" customHeight="1" x14ac:dyDescent="0.25">
      <c r="A1931" s="30">
        <v>45076</v>
      </c>
      <c r="B1931" s="13">
        <v>22</v>
      </c>
      <c r="C1931" t="s">
        <v>3</v>
      </c>
      <c r="D1931" t="s">
        <v>4</v>
      </c>
      <c r="E1931" t="s">
        <v>5</v>
      </c>
      <c r="F1931" s="6">
        <v>112981014</v>
      </c>
      <c r="G1931" t="s">
        <v>367</v>
      </c>
      <c r="H1931" t="s">
        <v>268</v>
      </c>
      <c r="I1931">
        <v>0</v>
      </c>
      <c r="J1931">
        <v>0</v>
      </c>
      <c r="K1931">
        <v>0</v>
      </c>
      <c r="L1931">
        <v>0</v>
      </c>
      <c r="M1931">
        <v>0.13</v>
      </c>
      <c r="N1931" s="7" t="str">
        <f>VLOOKUP(F1931,HC!A$6:D$100,3,FALSE)</f>
        <v>DJ-X0700</v>
      </c>
      <c r="O1931" s="7" t="str">
        <f>VLOOKUP(F1931,HC!A$6:D$1000,2,FALSE)</f>
        <v>rpabloul</v>
      </c>
      <c r="P1931" t="s">
        <v>664</v>
      </c>
      <c r="Q1931" s="7" t="s">
        <v>708</v>
      </c>
      <c r="R1931" t="s">
        <v>1106</v>
      </c>
      <c r="U1931">
        <f t="shared" si="32"/>
        <v>17</v>
      </c>
    </row>
    <row r="1932" spans="1:21" ht="37.5" customHeight="1" x14ac:dyDescent="0.25">
      <c r="A1932" s="30">
        <v>45076</v>
      </c>
      <c r="B1932" s="13">
        <v>22</v>
      </c>
      <c r="C1932" t="s">
        <v>3</v>
      </c>
      <c r="D1932" t="s">
        <v>4</v>
      </c>
      <c r="E1932" t="s">
        <v>5</v>
      </c>
      <c r="F1932" s="6">
        <v>112981201</v>
      </c>
      <c r="G1932" t="s">
        <v>532</v>
      </c>
      <c r="H1932" t="s">
        <v>44</v>
      </c>
      <c r="I1932">
        <v>0</v>
      </c>
      <c r="J1932">
        <v>0</v>
      </c>
      <c r="K1932">
        <v>0</v>
      </c>
      <c r="L1932">
        <v>0</v>
      </c>
      <c r="M1932">
        <v>0.19</v>
      </c>
      <c r="N1932" s="7" t="e">
        <f>VLOOKUP(F1932,HC!A$6:D$100,3,FALSE)</f>
        <v>#N/A</v>
      </c>
      <c r="O1932" s="7" t="e">
        <f>VLOOKUP(F1932,HC!A$6:D$1000,2,FALSE)</f>
        <v>#N/A</v>
      </c>
      <c r="P1932" t="s">
        <v>664</v>
      </c>
      <c r="Q1932" s="7" t="s">
        <v>710</v>
      </c>
      <c r="U1932">
        <f t="shared" si="32"/>
        <v>1395</v>
      </c>
    </row>
    <row r="1933" spans="1:21" ht="37.5" customHeight="1" x14ac:dyDescent="0.25">
      <c r="A1933" s="30">
        <v>45076</v>
      </c>
      <c r="B1933" s="13">
        <v>22</v>
      </c>
      <c r="C1933" t="s">
        <v>3</v>
      </c>
      <c r="D1933" t="s">
        <v>4</v>
      </c>
      <c r="E1933" t="s">
        <v>5</v>
      </c>
      <c r="F1933" s="6">
        <v>113014042</v>
      </c>
      <c r="G1933" t="s">
        <v>329</v>
      </c>
      <c r="H1933" t="s">
        <v>7</v>
      </c>
      <c r="I1933">
        <v>0</v>
      </c>
      <c r="J1933">
        <v>0</v>
      </c>
      <c r="K1933">
        <v>0</v>
      </c>
      <c r="L1933">
        <v>0</v>
      </c>
      <c r="M1933">
        <v>0.46</v>
      </c>
      <c r="N1933" s="7" t="e">
        <f>VLOOKUP(F1933,HC!A$6:D$100,3,FALSE)</f>
        <v>#N/A</v>
      </c>
      <c r="O1933" s="7" t="str">
        <f>VLOOKUP(F1933,HC!A$6:D$1000,2,FALSE)</f>
        <v>rfcervan</v>
      </c>
      <c r="P1933" t="s">
        <v>664</v>
      </c>
      <c r="Q1933" s="7" t="s">
        <v>711</v>
      </c>
      <c r="U1933">
        <f t="shared" si="32"/>
        <v>23</v>
      </c>
    </row>
    <row r="1934" spans="1:21" ht="37.5" customHeight="1" x14ac:dyDescent="0.25">
      <c r="A1934" s="30">
        <v>45076</v>
      </c>
      <c r="B1934" s="13">
        <v>22</v>
      </c>
      <c r="C1934" t="s">
        <v>3</v>
      </c>
      <c r="D1934" t="s">
        <v>4</v>
      </c>
      <c r="E1934" t="s">
        <v>5</v>
      </c>
      <c r="F1934" s="6">
        <v>113101453</v>
      </c>
      <c r="G1934" t="s">
        <v>50</v>
      </c>
      <c r="H1934" t="s">
        <v>44</v>
      </c>
      <c r="I1934">
        <v>0</v>
      </c>
      <c r="J1934">
        <v>0</v>
      </c>
      <c r="K1934">
        <v>0</v>
      </c>
      <c r="L1934">
        <v>0</v>
      </c>
      <c r="M1934">
        <v>0.14000000000000001</v>
      </c>
      <c r="N1934" s="7" t="e">
        <f>VLOOKUP(F1934,HC!A$6:D$100,3,FALSE)</f>
        <v>#N/A</v>
      </c>
      <c r="O1934" s="7" t="str">
        <f>VLOOKUP(F1934,HC!A$6:D$1000,2,FALSE)</f>
        <v>qisgeova</v>
      </c>
      <c r="P1934" t="s">
        <v>664</v>
      </c>
      <c r="Q1934" s="7" t="s">
        <v>711</v>
      </c>
      <c r="U1934">
        <f t="shared" si="32"/>
        <v>57</v>
      </c>
    </row>
    <row r="1935" spans="1:21" ht="37.5" customHeight="1" x14ac:dyDescent="0.25">
      <c r="A1935" s="30">
        <v>45076</v>
      </c>
      <c r="B1935" s="13">
        <v>22</v>
      </c>
      <c r="C1935" t="s">
        <v>3</v>
      </c>
      <c r="D1935" t="s">
        <v>4</v>
      </c>
      <c r="E1935" t="s">
        <v>5</v>
      </c>
      <c r="F1935" s="6">
        <v>200404250</v>
      </c>
      <c r="G1935" t="s">
        <v>51</v>
      </c>
      <c r="H1935" t="s">
        <v>298</v>
      </c>
      <c r="I1935">
        <v>0</v>
      </c>
      <c r="J1935">
        <v>0</v>
      </c>
      <c r="K1935">
        <v>0</v>
      </c>
      <c r="L1935">
        <v>0</v>
      </c>
      <c r="M1935">
        <v>0.48</v>
      </c>
      <c r="N1935" s="7" t="e">
        <f>VLOOKUP(F1935,HC!A$6:D$100,3,FALSE)</f>
        <v>#N/A</v>
      </c>
      <c r="O1935" s="7" t="str">
        <f>VLOOKUP(F1935,HC!A$6:D$1000,2,FALSE)</f>
        <v>xcathurt</v>
      </c>
      <c r="P1935" t="s">
        <v>662</v>
      </c>
      <c r="Q1935" s="7" t="s">
        <v>785</v>
      </c>
      <c r="U1935">
        <f t="shared" si="32"/>
        <v>124</v>
      </c>
    </row>
    <row r="1936" spans="1:21" ht="37.5" customHeight="1" x14ac:dyDescent="0.25">
      <c r="A1936" s="30">
        <v>45076</v>
      </c>
      <c r="B1936" s="13">
        <v>22</v>
      </c>
      <c r="C1936" t="s">
        <v>3</v>
      </c>
      <c r="D1936" t="s">
        <v>4</v>
      </c>
      <c r="E1936" t="s">
        <v>21</v>
      </c>
      <c r="F1936" s="6">
        <v>200514421</v>
      </c>
      <c r="G1936" t="s">
        <v>301</v>
      </c>
      <c r="H1936" t="s">
        <v>298</v>
      </c>
      <c r="I1936">
        <v>0</v>
      </c>
      <c r="J1936">
        <v>0</v>
      </c>
      <c r="K1936">
        <v>0</v>
      </c>
      <c r="L1936">
        <v>0</v>
      </c>
      <c r="M1936">
        <v>0.12</v>
      </c>
      <c r="N1936" s="7" t="e">
        <f>VLOOKUP(F1936,HC!A$6:D$100,3,FALSE)</f>
        <v>#N/A</v>
      </c>
      <c r="O1936" s="7" t="str">
        <f>VLOOKUP(F1936,HC!A$6:D$1000,2,FALSE)</f>
        <v>padillms</v>
      </c>
      <c r="P1936" t="s">
        <v>664</v>
      </c>
      <c r="Q1936" s="7" t="s">
        <v>710</v>
      </c>
      <c r="R1936" t="s">
        <v>1074</v>
      </c>
      <c r="U1936">
        <f t="shared" si="32"/>
        <v>21</v>
      </c>
    </row>
    <row r="1937" spans="1:21" ht="37.5" customHeight="1" x14ac:dyDescent="0.25">
      <c r="A1937" s="30">
        <v>45076</v>
      </c>
      <c r="B1937" s="13">
        <v>22</v>
      </c>
      <c r="C1937" t="s">
        <v>3</v>
      </c>
      <c r="D1937" t="s">
        <v>4</v>
      </c>
      <c r="E1937" t="s">
        <v>21</v>
      </c>
      <c r="F1937" s="6">
        <v>200589316</v>
      </c>
      <c r="G1937" t="s">
        <v>53</v>
      </c>
      <c r="H1937" t="s">
        <v>47</v>
      </c>
      <c r="I1937">
        <v>0</v>
      </c>
      <c r="J1937">
        <v>0</v>
      </c>
      <c r="K1937">
        <v>0</v>
      </c>
      <c r="L1937">
        <v>0</v>
      </c>
      <c r="M1937">
        <v>0.44</v>
      </c>
      <c r="N1937" s="7" t="e">
        <f>VLOOKUP(F1937,HC!A$6:D$100,3,FALSE)</f>
        <v>#N/A</v>
      </c>
      <c r="O1937" s="7" t="e">
        <f>VLOOKUP(F1937,HC!A$6:D$1000,2,FALSE)</f>
        <v>#N/A</v>
      </c>
      <c r="P1937" t="s">
        <v>664</v>
      </c>
      <c r="Q1937" s="7" t="s">
        <v>709</v>
      </c>
      <c r="R1937" t="s">
        <v>0</v>
      </c>
      <c r="U1937">
        <f t="shared" si="32"/>
        <v>1395</v>
      </c>
    </row>
    <row r="1938" spans="1:21" ht="37.5" customHeight="1" x14ac:dyDescent="0.25">
      <c r="A1938" s="30">
        <v>45076</v>
      </c>
      <c r="B1938" s="13">
        <v>22</v>
      </c>
      <c r="C1938" t="s">
        <v>3</v>
      </c>
      <c r="D1938" t="s">
        <v>4</v>
      </c>
      <c r="E1938" t="s">
        <v>21</v>
      </c>
      <c r="F1938" s="6">
        <v>201201993</v>
      </c>
      <c r="G1938" t="s">
        <v>964</v>
      </c>
      <c r="H1938" t="s">
        <v>285</v>
      </c>
      <c r="I1938">
        <v>0</v>
      </c>
      <c r="J1938">
        <v>0</v>
      </c>
      <c r="K1938">
        <v>0</v>
      </c>
      <c r="L1938">
        <v>0</v>
      </c>
      <c r="M1938">
        <v>0.23</v>
      </c>
      <c r="N1938" s="7" t="e">
        <f>VLOOKUP(F1938,HC!A$6:D$100,3,FALSE)</f>
        <v>#N/A</v>
      </c>
      <c r="O1938" s="7" t="e">
        <f>VLOOKUP(F1938,HC!A$6:D$1000,2,FALSE)</f>
        <v>#N/A</v>
      </c>
      <c r="P1938" t="s">
        <v>665</v>
      </c>
      <c r="Q1938" s="7" t="s">
        <v>722</v>
      </c>
      <c r="U1938">
        <f t="shared" si="32"/>
        <v>1395</v>
      </c>
    </row>
    <row r="1939" spans="1:21" ht="37.5" customHeight="1" x14ac:dyDescent="0.25">
      <c r="A1939" s="30">
        <v>45076</v>
      </c>
      <c r="B1939" s="13">
        <v>22</v>
      </c>
      <c r="C1939" t="s">
        <v>3</v>
      </c>
      <c r="D1939" t="s">
        <v>4</v>
      </c>
      <c r="E1939" t="s">
        <v>21</v>
      </c>
      <c r="F1939" s="6">
        <v>201212196</v>
      </c>
      <c r="G1939" t="s">
        <v>958</v>
      </c>
      <c r="H1939" t="s">
        <v>17</v>
      </c>
      <c r="I1939">
        <v>0</v>
      </c>
      <c r="J1939">
        <v>0</v>
      </c>
      <c r="K1939">
        <v>0</v>
      </c>
      <c r="L1939">
        <v>0</v>
      </c>
      <c r="M1939">
        <v>0.12</v>
      </c>
      <c r="N1939" s="7" t="e">
        <f>VLOOKUP(F1939,HC!A$6:D$100,3,FALSE)</f>
        <v>#N/A</v>
      </c>
      <c r="O1939" s="7" t="e">
        <f>VLOOKUP(F1939,HC!A$6:D$1000,2,FALSE)</f>
        <v>#N/A</v>
      </c>
      <c r="P1939" t="s">
        <v>670</v>
      </c>
      <c r="Q1939" s="7" t="s">
        <v>748</v>
      </c>
      <c r="R1939" t="s">
        <v>1107</v>
      </c>
      <c r="U1939">
        <f t="shared" si="32"/>
        <v>1395</v>
      </c>
    </row>
    <row r="1940" spans="1:21" ht="37.5" customHeight="1" x14ac:dyDescent="0.25">
      <c r="A1940" s="30">
        <v>45076</v>
      </c>
      <c r="B1940" s="13">
        <v>22</v>
      </c>
      <c r="C1940" t="s">
        <v>3</v>
      </c>
      <c r="D1940" t="s">
        <v>4</v>
      </c>
      <c r="E1940" t="s">
        <v>21</v>
      </c>
      <c r="F1940" s="6">
        <v>201314835</v>
      </c>
      <c r="G1940" t="s">
        <v>1060</v>
      </c>
      <c r="H1940" t="s">
        <v>263</v>
      </c>
      <c r="I1940">
        <v>0</v>
      </c>
      <c r="J1940">
        <v>0</v>
      </c>
      <c r="K1940">
        <v>0</v>
      </c>
      <c r="L1940">
        <v>0</v>
      </c>
      <c r="M1940">
        <v>0.15</v>
      </c>
      <c r="N1940" s="7" t="e">
        <f>VLOOKUP(F1940,HC!A$6:D$100,3,FALSE)</f>
        <v>#N/A</v>
      </c>
      <c r="O1940" s="7" t="e">
        <f>VLOOKUP(F1940,HC!A$6:D$1000,2,FALSE)</f>
        <v>#N/A</v>
      </c>
      <c r="P1940" t="s">
        <v>661</v>
      </c>
      <c r="Q1940" s="7" t="s">
        <v>681</v>
      </c>
      <c r="U1940">
        <f t="shared" si="32"/>
        <v>1395</v>
      </c>
    </row>
    <row r="1941" spans="1:21" ht="37.5" customHeight="1" x14ac:dyDescent="0.25">
      <c r="A1941" s="30">
        <v>45076</v>
      </c>
      <c r="B1941" s="13">
        <v>22</v>
      </c>
      <c r="C1941" t="s">
        <v>3</v>
      </c>
      <c r="D1941" t="s">
        <v>4</v>
      </c>
      <c r="E1941" t="s">
        <v>21</v>
      </c>
      <c r="F1941" s="6">
        <v>201320388</v>
      </c>
      <c r="G1941" t="s">
        <v>994</v>
      </c>
      <c r="H1941" t="s">
        <v>44</v>
      </c>
      <c r="I1941">
        <v>0</v>
      </c>
      <c r="J1941">
        <v>0</v>
      </c>
      <c r="K1941">
        <v>0</v>
      </c>
      <c r="L1941">
        <v>0</v>
      </c>
      <c r="M1941">
        <v>0.49</v>
      </c>
      <c r="N1941" s="7" t="e">
        <f>VLOOKUP(F1941,HC!A$6:D$100,3,FALSE)</f>
        <v>#N/A</v>
      </c>
      <c r="O1941" s="7" t="e">
        <f>VLOOKUP(F1941,HC!A$6:D$1000,2,FALSE)</f>
        <v>#N/A</v>
      </c>
      <c r="P1941" t="s">
        <v>661</v>
      </c>
      <c r="Q1941" s="7" t="s">
        <v>758</v>
      </c>
      <c r="U1941">
        <f t="shared" si="32"/>
        <v>1395</v>
      </c>
    </row>
    <row r="1942" spans="1:21" ht="37.5" customHeight="1" x14ac:dyDescent="0.25">
      <c r="A1942" s="30">
        <v>45076</v>
      </c>
      <c r="B1942" s="13">
        <v>22</v>
      </c>
      <c r="C1942" t="s">
        <v>3</v>
      </c>
      <c r="D1942" t="s">
        <v>4</v>
      </c>
      <c r="E1942" t="s">
        <v>21</v>
      </c>
      <c r="F1942" s="6">
        <v>201374305</v>
      </c>
      <c r="G1942" t="s">
        <v>1105</v>
      </c>
      <c r="H1942" t="s">
        <v>263</v>
      </c>
      <c r="I1942">
        <v>0</v>
      </c>
      <c r="J1942">
        <v>0</v>
      </c>
      <c r="K1942">
        <v>0</v>
      </c>
      <c r="L1942">
        <v>0</v>
      </c>
      <c r="M1942">
        <v>0.82</v>
      </c>
      <c r="N1942" s="7" t="e">
        <f>VLOOKUP(F1942,HC!A$6:D$100,3,FALSE)</f>
        <v>#N/A</v>
      </c>
      <c r="O1942" s="7" t="e">
        <f>VLOOKUP(F1942,HC!A$6:D$1000,2,FALSE)</f>
        <v>#N/A</v>
      </c>
      <c r="P1942" t="s">
        <v>664</v>
      </c>
      <c r="Q1942" s="7" t="s">
        <v>716</v>
      </c>
      <c r="U1942">
        <f t="shared" si="32"/>
        <v>1395</v>
      </c>
    </row>
    <row r="1943" spans="1:21" ht="37.5" customHeight="1" x14ac:dyDescent="0.25">
      <c r="A1943" s="30">
        <v>45077</v>
      </c>
      <c r="B1943" s="13">
        <v>22</v>
      </c>
      <c r="C1943" t="s">
        <v>3</v>
      </c>
      <c r="D1943" t="s">
        <v>4</v>
      </c>
      <c r="E1943" t="s">
        <v>5</v>
      </c>
      <c r="F1943" s="6">
        <v>112920655</v>
      </c>
      <c r="G1943" t="s">
        <v>509</v>
      </c>
      <c r="H1943" t="s">
        <v>282</v>
      </c>
      <c r="I1943">
        <v>0</v>
      </c>
      <c r="J1943">
        <v>0</v>
      </c>
      <c r="K1943">
        <v>0</v>
      </c>
      <c r="L1943">
        <v>0</v>
      </c>
      <c r="M1943">
        <v>0.7</v>
      </c>
      <c r="N1943" s="7" t="e">
        <f>VLOOKUP(F1943,HC!A$6:D$100,3,FALSE)</f>
        <v>#N/A</v>
      </c>
      <c r="O1943" s="7" t="e">
        <f>VLOOKUP(F1943,HC!A$6:D$1000,2,FALSE)</f>
        <v>#N/A</v>
      </c>
      <c r="P1943" t="s">
        <v>670</v>
      </c>
      <c r="Q1943" s="7" t="s">
        <v>746</v>
      </c>
      <c r="R1943" t="s">
        <v>0</v>
      </c>
      <c r="U1943">
        <f t="shared" si="32"/>
        <v>1395</v>
      </c>
    </row>
    <row r="1944" spans="1:21" ht="37.5" customHeight="1" x14ac:dyDescent="0.25">
      <c r="A1944" s="30">
        <v>45077</v>
      </c>
      <c r="B1944" s="13">
        <v>22</v>
      </c>
      <c r="C1944" t="s">
        <v>3</v>
      </c>
      <c r="D1944" t="s">
        <v>4</v>
      </c>
      <c r="E1944" t="s">
        <v>5</v>
      </c>
      <c r="F1944" s="6">
        <v>112942473</v>
      </c>
      <c r="G1944" t="s">
        <v>996</v>
      </c>
      <c r="H1944" t="s">
        <v>403</v>
      </c>
      <c r="I1944">
        <v>0</v>
      </c>
      <c r="J1944">
        <v>0</v>
      </c>
      <c r="K1944">
        <v>0</v>
      </c>
      <c r="L1944">
        <v>0</v>
      </c>
      <c r="M1944">
        <v>0.42</v>
      </c>
      <c r="N1944" s="7" t="str">
        <f>VLOOKUP(F1944,HC!A$6:D$100,3,FALSE)</f>
        <v>DC-X0700</v>
      </c>
      <c r="O1944" s="7" t="str">
        <f>VLOOKUP(F1944,HC!A$6:D$1000,2,FALSE)</f>
        <v>hildacec</v>
      </c>
      <c r="Q1944" s="7"/>
      <c r="R1944" t="s">
        <v>1067</v>
      </c>
      <c r="U1944">
        <f t="shared" si="32"/>
        <v>6</v>
      </c>
    </row>
    <row r="1945" spans="1:21" ht="37.5" customHeight="1" x14ac:dyDescent="0.25">
      <c r="A1945" s="30">
        <v>45077</v>
      </c>
      <c r="B1945" s="13">
        <v>22</v>
      </c>
      <c r="C1945" t="s">
        <v>3</v>
      </c>
      <c r="D1945" t="s">
        <v>4</v>
      </c>
      <c r="E1945" t="s">
        <v>5</v>
      </c>
      <c r="F1945" s="6">
        <v>112950784</v>
      </c>
      <c r="G1945" t="s">
        <v>261</v>
      </c>
      <c r="H1945" t="s">
        <v>282</v>
      </c>
      <c r="I1945">
        <v>0</v>
      </c>
      <c r="J1945">
        <v>0</v>
      </c>
      <c r="K1945">
        <v>0</v>
      </c>
      <c r="L1945">
        <v>0</v>
      </c>
      <c r="M1945">
        <v>0.15</v>
      </c>
      <c r="N1945" s="7" t="str">
        <f>VLOOKUP(F1945,HC!A$6:D$100,3,FALSE)</f>
        <v>NF-X1900</v>
      </c>
      <c r="O1945" s="7" t="str">
        <f>VLOOKUP(F1945,HC!A$6:D$1000,2,FALSE)</f>
        <v>sarojast</v>
      </c>
      <c r="P1945" t="s">
        <v>661</v>
      </c>
      <c r="Q1945" s="7" t="s">
        <v>681</v>
      </c>
      <c r="U1945">
        <f t="shared" si="32"/>
        <v>33</v>
      </c>
    </row>
    <row r="1946" spans="1:21" ht="37.5" customHeight="1" x14ac:dyDescent="0.25">
      <c r="A1946" s="30">
        <v>45077</v>
      </c>
      <c r="B1946" s="13">
        <v>22</v>
      </c>
      <c r="C1946" t="s">
        <v>3</v>
      </c>
      <c r="D1946" t="s">
        <v>4</v>
      </c>
      <c r="E1946" t="s">
        <v>5</v>
      </c>
      <c r="F1946" s="6">
        <v>112950807</v>
      </c>
      <c r="G1946" t="s">
        <v>901</v>
      </c>
      <c r="H1946" t="s">
        <v>253</v>
      </c>
      <c r="I1946">
        <v>0</v>
      </c>
      <c r="J1946">
        <v>0</v>
      </c>
      <c r="K1946">
        <v>0</v>
      </c>
      <c r="L1946">
        <v>0</v>
      </c>
      <c r="M1946">
        <v>0.2</v>
      </c>
      <c r="N1946" s="7" t="str">
        <f>VLOOKUP(F1946,HC!A$6:D$100,3,FALSE)</f>
        <v>DA-X0700</v>
      </c>
      <c r="O1946" s="7" t="str">
        <f>VLOOKUP(F1946,HC!A$6:D$1000,2,FALSE)</f>
        <v>kaarsanc</v>
      </c>
      <c r="P1946" t="s">
        <v>661</v>
      </c>
      <c r="Q1946" s="7" t="s">
        <v>681</v>
      </c>
      <c r="U1946">
        <f t="shared" si="32"/>
        <v>4</v>
      </c>
    </row>
    <row r="1947" spans="1:21" ht="37.5" customHeight="1" x14ac:dyDescent="0.25">
      <c r="A1947" s="30">
        <v>45077</v>
      </c>
      <c r="B1947" s="13">
        <v>22</v>
      </c>
      <c r="C1947" t="s">
        <v>3</v>
      </c>
      <c r="D1947" t="s">
        <v>4</v>
      </c>
      <c r="E1947" t="s">
        <v>5</v>
      </c>
      <c r="F1947" s="6">
        <v>113014403</v>
      </c>
      <c r="G1947" t="s">
        <v>373</v>
      </c>
      <c r="H1947" t="s">
        <v>298</v>
      </c>
      <c r="I1947">
        <v>0</v>
      </c>
      <c r="J1947">
        <v>0</v>
      </c>
      <c r="K1947">
        <v>0</v>
      </c>
      <c r="L1947">
        <v>0</v>
      </c>
      <c r="M1947">
        <v>0.17</v>
      </c>
      <c r="N1947" s="7" t="e">
        <f>VLOOKUP(F1947,HC!A$6:D$100,3,FALSE)</f>
        <v>#N/A</v>
      </c>
      <c r="O1947" s="7" t="str">
        <f>VLOOKUP(F1947,HC!A$6:D$1000,2,FALSE)</f>
        <v>wnoraria</v>
      </c>
      <c r="P1947" t="s">
        <v>664</v>
      </c>
      <c r="Q1947" s="7" t="s">
        <v>777</v>
      </c>
      <c r="U1947">
        <f t="shared" si="32"/>
        <v>23</v>
      </c>
    </row>
    <row r="1948" spans="1:21" ht="37.5" customHeight="1" x14ac:dyDescent="0.25">
      <c r="A1948" s="30">
        <v>45077</v>
      </c>
      <c r="B1948" s="13">
        <v>22</v>
      </c>
      <c r="C1948" t="s">
        <v>3</v>
      </c>
      <c r="D1948" t="s">
        <v>4</v>
      </c>
      <c r="E1948" t="s">
        <v>5</v>
      </c>
      <c r="F1948" s="6">
        <v>113101453</v>
      </c>
      <c r="G1948" t="s">
        <v>50</v>
      </c>
      <c r="H1948" t="s">
        <v>44</v>
      </c>
      <c r="I1948">
        <v>0</v>
      </c>
      <c r="J1948">
        <v>0</v>
      </c>
      <c r="K1948">
        <v>0</v>
      </c>
      <c r="L1948">
        <v>0</v>
      </c>
      <c r="M1948">
        <v>0.49</v>
      </c>
      <c r="N1948" s="7" t="e">
        <f>VLOOKUP(F1948,HC!A$6:D$100,3,FALSE)</f>
        <v>#N/A</v>
      </c>
      <c r="O1948" s="7" t="str">
        <f>VLOOKUP(F1948,HC!A$6:D$1000,2,FALSE)</f>
        <v>qisgeova</v>
      </c>
      <c r="P1948" t="s">
        <v>664</v>
      </c>
      <c r="Q1948" s="7" t="s">
        <v>711</v>
      </c>
      <c r="U1948">
        <f t="shared" si="32"/>
        <v>57</v>
      </c>
    </row>
    <row r="1949" spans="1:21" ht="37.5" customHeight="1" x14ac:dyDescent="0.25">
      <c r="A1949" s="30">
        <v>45077</v>
      </c>
      <c r="B1949" s="13">
        <v>22</v>
      </c>
      <c r="C1949" t="s">
        <v>3</v>
      </c>
      <c r="D1949" t="s">
        <v>4</v>
      </c>
      <c r="E1949" t="s">
        <v>5</v>
      </c>
      <c r="F1949" s="6">
        <v>113103540</v>
      </c>
      <c r="G1949" t="s">
        <v>854</v>
      </c>
      <c r="H1949" t="s">
        <v>47</v>
      </c>
      <c r="I1949">
        <v>0</v>
      </c>
      <c r="J1949">
        <v>0</v>
      </c>
      <c r="K1949">
        <v>0</v>
      </c>
      <c r="L1949">
        <v>0</v>
      </c>
      <c r="M1949">
        <v>0.09</v>
      </c>
      <c r="N1949" s="7" t="e">
        <f>VLOOKUP(F1949,HC!A$6:D$100,3,FALSE)</f>
        <v>#N/A</v>
      </c>
      <c r="O1949" s="7" t="str">
        <f>VLOOKUP(F1949,HC!A$6:D$1000,2,FALSE)</f>
        <v>delgadax</v>
      </c>
      <c r="P1949" t="s">
        <v>661</v>
      </c>
      <c r="Q1949" s="7" t="s">
        <v>681</v>
      </c>
      <c r="U1949">
        <f t="shared" si="32"/>
        <v>9</v>
      </c>
    </row>
    <row r="1950" spans="1:21" ht="37.5" customHeight="1" x14ac:dyDescent="0.25">
      <c r="A1950" s="30">
        <v>45077</v>
      </c>
      <c r="B1950" s="13">
        <v>22</v>
      </c>
      <c r="C1950" t="s">
        <v>3</v>
      </c>
      <c r="D1950" t="s">
        <v>4</v>
      </c>
      <c r="E1950" t="s">
        <v>21</v>
      </c>
      <c r="F1950" s="6">
        <v>200509428</v>
      </c>
      <c r="G1950" t="s">
        <v>272</v>
      </c>
      <c r="H1950" t="s">
        <v>44</v>
      </c>
      <c r="I1950">
        <v>0</v>
      </c>
      <c r="J1950">
        <v>0</v>
      </c>
      <c r="K1950">
        <v>0</v>
      </c>
      <c r="L1950">
        <v>0</v>
      </c>
      <c r="M1950">
        <v>0.27</v>
      </c>
      <c r="N1950" s="7" t="e">
        <f>VLOOKUP(F1950,HC!A$6:D$100,3,FALSE)</f>
        <v>#N/A</v>
      </c>
      <c r="O1950" s="7" t="e">
        <f>VLOOKUP(F1950,HC!A$6:D$1000,2,FALSE)</f>
        <v>#N/A</v>
      </c>
      <c r="P1950" t="s">
        <v>662</v>
      </c>
      <c r="Q1950" s="7" t="s">
        <v>757</v>
      </c>
      <c r="U1950">
        <f t="shared" si="32"/>
        <v>1395</v>
      </c>
    </row>
    <row r="1951" spans="1:21" ht="37.5" customHeight="1" x14ac:dyDescent="0.25">
      <c r="A1951" s="30">
        <v>45077</v>
      </c>
      <c r="B1951" s="13">
        <v>22</v>
      </c>
      <c r="C1951" t="s">
        <v>3</v>
      </c>
      <c r="D1951" t="s">
        <v>4</v>
      </c>
      <c r="E1951" t="s">
        <v>21</v>
      </c>
      <c r="F1951" s="6">
        <v>200525930</v>
      </c>
      <c r="G1951" t="s">
        <v>1108</v>
      </c>
      <c r="H1951" t="s">
        <v>47</v>
      </c>
      <c r="I1951">
        <v>0</v>
      </c>
      <c r="J1951">
        <v>0</v>
      </c>
      <c r="K1951">
        <v>0</v>
      </c>
      <c r="L1951">
        <v>0</v>
      </c>
      <c r="M1951">
        <v>0.46</v>
      </c>
      <c r="N1951" s="7" t="e">
        <f>VLOOKUP(F1951,HC!A$6:D$100,3,FALSE)</f>
        <v>#N/A</v>
      </c>
      <c r="O1951" s="7" t="e">
        <f>VLOOKUP(F1951,HC!A$6:D$1000,2,FALSE)</f>
        <v>#N/A</v>
      </c>
      <c r="P1951" t="s">
        <v>664</v>
      </c>
      <c r="Q1951" s="7" t="s">
        <v>708</v>
      </c>
      <c r="U1951">
        <f t="shared" si="32"/>
        <v>1395</v>
      </c>
    </row>
    <row r="1952" spans="1:21" ht="37.5" customHeight="1" x14ac:dyDescent="0.25">
      <c r="A1952" s="30">
        <v>45077</v>
      </c>
      <c r="B1952" s="13">
        <v>22</v>
      </c>
      <c r="C1952" t="s">
        <v>3</v>
      </c>
      <c r="D1952" t="s">
        <v>4</v>
      </c>
      <c r="E1952" t="s">
        <v>21</v>
      </c>
      <c r="F1952" s="6">
        <v>200565197</v>
      </c>
      <c r="G1952" t="s">
        <v>389</v>
      </c>
      <c r="H1952" t="s">
        <v>298</v>
      </c>
      <c r="I1952">
        <v>0</v>
      </c>
      <c r="J1952">
        <v>0</v>
      </c>
      <c r="K1952">
        <v>0</v>
      </c>
      <c r="L1952">
        <v>0</v>
      </c>
      <c r="M1952">
        <v>0.16</v>
      </c>
      <c r="N1952" s="7" t="e">
        <f>VLOOKUP(F1952,HC!A$6:D$100,3,FALSE)</f>
        <v>#N/A</v>
      </c>
      <c r="O1952" s="7" t="e">
        <f>VLOOKUP(F1952,HC!A$6:D$1000,2,FALSE)</f>
        <v>#N/A</v>
      </c>
      <c r="P1952" t="s">
        <v>661</v>
      </c>
      <c r="Q1952" s="7" t="s">
        <v>681</v>
      </c>
      <c r="U1952">
        <f t="shared" si="32"/>
        <v>1395</v>
      </c>
    </row>
    <row r="1953" spans="1:21" ht="37.5" customHeight="1" x14ac:dyDescent="0.25">
      <c r="A1953" s="30">
        <v>45077</v>
      </c>
      <c r="B1953" s="13">
        <v>22</v>
      </c>
      <c r="C1953" t="s">
        <v>3</v>
      </c>
      <c r="D1953" t="s">
        <v>4</v>
      </c>
      <c r="E1953" t="s">
        <v>21</v>
      </c>
      <c r="F1953" s="6">
        <v>200589316</v>
      </c>
      <c r="G1953" t="s">
        <v>53</v>
      </c>
      <c r="H1953" t="s">
        <v>47</v>
      </c>
      <c r="I1953">
        <v>0</v>
      </c>
      <c r="J1953">
        <v>0</v>
      </c>
      <c r="K1953">
        <v>0</v>
      </c>
      <c r="L1953">
        <v>0</v>
      </c>
      <c r="M1953">
        <v>0.12</v>
      </c>
      <c r="N1953" s="7" t="e">
        <f>VLOOKUP(F1953,HC!A$6:D$100,3,FALSE)</f>
        <v>#N/A</v>
      </c>
      <c r="O1953" s="7" t="e">
        <f>VLOOKUP(F1953,HC!A$6:D$1000,2,FALSE)</f>
        <v>#N/A</v>
      </c>
      <c r="P1953" t="s">
        <v>664</v>
      </c>
      <c r="Q1953" s="7" t="s">
        <v>709</v>
      </c>
      <c r="U1953">
        <f t="shared" si="32"/>
        <v>1395</v>
      </c>
    </row>
    <row r="1954" spans="1:21" ht="37.5" customHeight="1" x14ac:dyDescent="0.25">
      <c r="A1954" s="30">
        <v>45077</v>
      </c>
      <c r="B1954" s="13">
        <v>22</v>
      </c>
      <c r="C1954" t="s">
        <v>3</v>
      </c>
      <c r="D1954" t="s">
        <v>4</v>
      </c>
      <c r="E1954" t="s">
        <v>21</v>
      </c>
      <c r="F1954" s="6">
        <v>200594875</v>
      </c>
      <c r="G1954" t="s">
        <v>528</v>
      </c>
      <c r="H1954" t="s">
        <v>285</v>
      </c>
      <c r="I1954">
        <v>0</v>
      </c>
      <c r="J1954">
        <v>0</v>
      </c>
      <c r="K1954">
        <v>0</v>
      </c>
      <c r="L1954">
        <v>0</v>
      </c>
      <c r="M1954">
        <v>0.31</v>
      </c>
      <c r="N1954" s="7" t="e">
        <f>VLOOKUP(F1954,HC!A$6:D$100,3,FALSE)</f>
        <v>#N/A</v>
      </c>
      <c r="O1954" s="7" t="str">
        <f>VLOOKUP(F1954,HC!A$6:D$1000,2,FALSE)</f>
        <v>jwmaldon</v>
      </c>
      <c r="P1954" t="s">
        <v>661</v>
      </c>
      <c r="Q1954" s="7" t="s">
        <v>681</v>
      </c>
      <c r="U1954">
        <f t="shared" si="32"/>
        <v>7</v>
      </c>
    </row>
    <row r="1955" spans="1:21" ht="37.5" customHeight="1" x14ac:dyDescent="0.25">
      <c r="A1955" s="30">
        <v>45077</v>
      </c>
      <c r="B1955" s="13">
        <v>22</v>
      </c>
      <c r="C1955" t="s">
        <v>3</v>
      </c>
      <c r="D1955" t="s">
        <v>4</v>
      </c>
      <c r="E1955" t="s">
        <v>21</v>
      </c>
      <c r="F1955" s="6">
        <v>201185277</v>
      </c>
      <c r="G1955" t="s">
        <v>948</v>
      </c>
      <c r="H1955" t="s">
        <v>44</v>
      </c>
      <c r="I1955">
        <v>0</v>
      </c>
      <c r="J1955">
        <v>0</v>
      </c>
      <c r="K1955">
        <v>0</v>
      </c>
      <c r="L1955">
        <v>0</v>
      </c>
      <c r="M1955">
        <v>0.25</v>
      </c>
      <c r="N1955" s="7" t="e">
        <f>VLOOKUP(F1955,HC!A$6:D$100,3,FALSE)</f>
        <v>#N/A</v>
      </c>
      <c r="O1955" s="7" t="e">
        <f>VLOOKUP(F1955,HC!A$6:D$1000,2,FALSE)</f>
        <v>#N/A</v>
      </c>
      <c r="P1955" t="s">
        <v>661</v>
      </c>
      <c r="Q1955" s="7" t="s">
        <v>681</v>
      </c>
      <c r="U1955">
        <f t="shared" si="32"/>
        <v>1395</v>
      </c>
    </row>
    <row r="1956" spans="1:21" ht="37.5" customHeight="1" x14ac:dyDescent="0.25">
      <c r="A1956" s="30">
        <v>45077</v>
      </c>
      <c r="B1956" s="13">
        <v>22</v>
      </c>
      <c r="C1956" t="s">
        <v>3</v>
      </c>
      <c r="D1956" t="s">
        <v>4</v>
      </c>
      <c r="E1956" t="s">
        <v>21</v>
      </c>
      <c r="F1956" s="6">
        <v>201191390</v>
      </c>
      <c r="G1956" t="s">
        <v>916</v>
      </c>
      <c r="H1956" t="s">
        <v>7</v>
      </c>
      <c r="I1956">
        <v>0</v>
      </c>
      <c r="J1956">
        <v>0</v>
      </c>
      <c r="K1956">
        <v>0</v>
      </c>
      <c r="L1956">
        <v>0</v>
      </c>
      <c r="M1956">
        <v>0.54</v>
      </c>
      <c r="N1956" s="7" t="e">
        <f>VLOOKUP(F1956,HC!A$6:D$100,3,FALSE)</f>
        <v>#N/A</v>
      </c>
      <c r="O1956" s="7" t="str">
        <f>VLOOKUP(F1956,HC!A$6:D$1000,2,FALSE)</f>
        <v>bgajesus</v>
      </c>
      <c r="P1956" t="s">
        <v>662</v>
      </c>
      <c r="Q1956" s="7" t="s">
        <v>687</v>
      </c>
      <c r="U1956">
        <f t="shared" si="32"/>
        <v>37</v>
      </c>
    </row>
    <row r="1957" spans="1:21" ht="37.5" customHeight="1" x14ac:dyDescent="0.25">
      <c r="A1957" s="30">
        <v>45077</v>
      </c>
      <c r="B1957" s="13">
        <v>22</v>
      </c>
      <c r="C1957" t="s">
        <v>3</v>
      </c>
      <c r="D1957" t="s">
        <v>4</v>
      </c>
      <c r="E1957" t="s">
        <v>21</v>
      </c>
      <c r="F1957" s="6">
        <v>201201993</v>
      </c>
      <c r="G1957" t="s">
        <v>964</v>
      </c>
      <c r="H1957" t="s">
        <v>285</v>
      </c>
      <c r="I1957">
        <v>0</v>
      </c>
      <c r="J1957">
        <v>0</v>
      </c>
      <c r="K1957">
        <v>0</v>
      </c>
      <c r="L1957">
        <v>0</v>
      </c>
      <c r="M1957">
        <v>0.64</v>
      </c>
      <c r="N1957" s="7" t="e">
        <f>VLOOKUP(F1957,HC!A$6:D$100,3,FALSE)</f>
        <v>#N/A</v>
      </c>
      <c r="O1957" s="7" t="e">
        <f>VLOOKUP(F1957,HC!A$6:D$1000,2,FALSE)</f>
        <v>#N/A</v>
      </c>
      <c r="P1957" t="s">
        <v>670</v>
      </c>
      <c r="Q1957" s="7" t="s">
        <v>748</v>
      </c>
      <c r="R1957" t="s">
        <v>0</v>
      </c>
      <c r="U1957">
        <f t="shared" si="32"/>
        <v>1395</v>
      </c>
    </row>
    <row r="1958" spans="1:21" ht="37.5" customHeight="1" x14ac:dyDescent="0.25">
      <c r="A1958" s="30">
        <v>45077</v>
      </c>
      <c r="B1958" s="13">
        <v>22</v>
      </c>
      <c r="C1958" t="s">
        <v>3</v>
      </c>
      <c r="D1958" t="s">
        <v>4</v>
      </c>
      <c r="E1958" t="s">
        <v>21</v>
      </c>
      <c r="F1958" s="6">
        <v>201295429</v>
      </c>
      <c r="G1958" t="s">
        <v>1097</v>
      </c>
      <c r="H1958" t="s">
        <v>47</v>
      </c>
      <c r="I1958">
        <v>0</v>
      </c>
      <c r="J1958">
        <v>0</v>
      </c>
      <c r="K1958">
        <v>0</v>
      </c>
      <c r="L1958">
        <v>0</v>
      </c>
      <c r="M1958">
        <v>0.21</v>
      </c>
      <c r="N1958" s="7" t="e">
        <f>VLOOKUP(F1958,HC!A$6:D$100,3,FALSE)</f>
        <v>#N/A</v>
      </c>
      <c r="O1958" s="7" t="str">
        <f>VLOOKUP(F1958,HC!A$6:D$1000,2,FALSE)</f>
        <v>mireljes</v>
      </c>
      <c r="P1958" t="s">
        <v>661</v>
      </c>
      <c r="Q1958" s="7" t="s">
        <v>681</v>
      </c>
      <c r="U1958">
        <f t="shared" si="32"/>
        <v>9</v>
      </c>
    </row>
    <row r="1959" spans="1:21" ht="37.5" customHeight="1" x14ac:dyDescent="0.25">
      <c r="A1959" s="30">
        <v>45077</v>
      </c>
      <c r="B1959" s="13">
        <v>22</v>
      </c>
      <c r="C1959" t="s">
        <v>3</v>
      </c>
      <c r="D1959" t="s">
        <v>4</v>
      </c>
      <c r="E1959" t="s">
        <v>21</v>
      </c>
      <c r="F1959" s="6">
        <v>201351016</v>
      </c>
      <c r="G1959" t="s">
        <v>1100</v>
      </c>
      <c r="H1959" t="s">
        <v>298</v>
      </c>
      <c r="I1959">
        <v>0</v>
      </c>
      <c r="J1959">
        <v>0</v>
      </c>
      <c r="K1959">
        <v>0</v>
      </c>
      <c r="L1959">
        <v>0</v>
      </c>
      <c r="M1959">
        <v>0.34</v>
      </c>
      <c r="N1959" s="7" t="e">
        <f>VLOOKUP(F1959,HC!A$6:D$100,3,FALSE)</f>
        <v>#N/A</v>
      </c>
      <c r="O1959" s="7" t="e">
        <f>VLOOKUP(F1959,HC!A$6:D$1000,2,FALSE)</f>
        <v>#N/A</v>
      </c>
      <c r="P1959" t="s">
        <v>664</v>
      </c>
      <c r="Q1959" s="7" t="s">
        <v>777</v>
      </c>
      <c r="U1959">
        <f t="shared" si="32"/>
        <v>1395</v>
      </c>
    </row>
    <row r="1960" spans="1:21" ht="37.5" customHeight="1" x14ac:dyDescent="0.25">
      <c r="A1960" s="30">
        <v>45077</v>
      </c>
      <c r="B1960" s="13">
        <v>22</v>
      </c>
      <c r="C1960" t="s">
        <v>3</v>
      </c>
      <c r="D1960" t="s">
        <v>4</v>
      </c>
      <c r="E1960" t="s">
        <v>21</v>
      </c>
      <c r="F1960" s="6">
        <v>201374318</v>
      </c>
      <c r="G1960" t="s">
        <v>1109</v>
      </c>
      <c r="H1960" t="s">
        <v>250</v>
      </c>
      <c r="I1960">
        <v>0</v>
      </c>
      <c r="J1960">
        <v>0</v>
      </c>
      <c r="K1960">
        <v>0</v>
      </c>
      <c r="L1960">
        <v>0</v>
      </c>
      <c r="M1960">
        <v>0.4</v>
      </c>
      <c r="N1960" s="7" t="e">
        <f>VLOOKUP(F1960,HC!A$6:D$100,3,FALSE)</f>
        <v>#N/A</v>
      </c>
      <c r="O1960" s="7" t="e">
        <f>VLOOKUP(F1960,HC!A$6:D$1000,2,FALSE)</f>
        <v>#N/A</v>
      </c>
      <c r="P1960" t="s">
        <v>662</v>
      </c>
      <c r="Q1960" s="7" t="s">
        <v>691</v>
      </c>
      <c r="U1960">
        <f t="shared" si="32"/>
        <v>1395</v>
      </c>
    </row>
    <row r="1961" spans="1:21" ht="37.5" customHeight="1" x14ac:dyDescent="0.25">
      <c r="A1961" s="30">
        <v>45077</v>
      </c>
      <c r="B1961" s="13">
        <v>22</v>
      </c>
      <c r="C1961" t="s">
        <v>3</v>
      </c>
      <c r="D1961" t="s">
        <v>4</v>
      </c>
      <c r="E1961" t="s">
        <v>21</v>
      </c>
      <c r="F1961" s="6">
        <v>201408478</v>
      </c>
      <c r="G1961" t="s">
        <v>1110</v>
      </c>
      <c r="H1961" t="s">
        <v>1040</v>
      </c>
      <c r="I1961">
        <v>0</v>
      </c>
      <c r="J1961">
        <v>0</v>
      </c>
      <c r="K1961">
        <v>0</v>
      </c>
      <c r="L1961">
        <v>0</v>
      </c>
      <c r="M1961">
        <v>0.05</v>
      </c>
      <c r="N1961" s="7" t="e">
        <f>VLOOKUP(F1961,HC!A$6:D$100,3,FALSE)</f>
        <v>#N/A</v>
      </c>
      <c r="O1961" s="7" t="str">
        <f>VLOOKUP(F1961,HC!A$6:D$1000,2,FALSE)</f>
        <v>dacaldey</v>
      </c>
      <c r="P1961" t="s">
        <v>661</v>
      </c>
      <c r="Q1961" s="7" t="s">
        <v>681</v>
      </c>
      <c r="U1961">
        <f t="shared" si="32"/>
        <v>12</v>
      </c>
    </row>
    <row r="1962" spans="1:21" ht="37.5" customHeight="1" x14ac:dyDescent="0.25">
      <c r="A1962" s="32">
        <v>45078</v>
      </c>
      <c r="B1962" s="13">
        <v>22</v>
      </c>
      <c r="C1962" t="s">
        <v>3</v>
      </c>
      <c r="D1962" t="s">
        <v>4</v>
      </c>
      <c r="E1962" t="s">
        <v>5</v>
      </c>
      <c r="F1962" s="6">
        <v>112912753</v>
      </c>
      <c r="G1962" t="s">
        <v>415</v>
      </c>
      <c r="H1962" t="s">
        <v>298</v>
      </c>
      <c r="I1962">
        <v>0</v>
      </c>
      <c r="J1962">
        <v>0</v>
      </c>
      <c r="K1962">
        <v>0</v>
      </c>
      <c r="L1962">
        <v>0</v>
      </c>
      <c r="M1962">
        <v>0.26</v>
      </c>
      <c r="N1962" s="7" t="e">
        <f>VLOOKUP(F1962,HC!A$6:D$100,3,FALSE)</f>
        <v>#N/A</v>
      </c>
      <c r="O1962" s="7" t="e">
        <f>VLOOKUP(F1962,HC!A$6:D$1000,2,FALSE)</f>
        <v>#N/A</v>
      </c>
      <c r="P1962" t="s">
        <v>662</v>
      </c>
      <c r="Q1962" s="7" t="s">
        <v>691</v>
      </c>
      <c r="U1962">
        <f t="shared" si="32"/>
        <v>1395</v>
      </c>
    </row>
    <row r="1963" spans="1:21" ht="37.5" customHeight="1" x14ac:dyDescent="0.25">
      <c r="A1963" s="32">
        <v>45078</v>
      </c>
      <c r="B1963" s="13">
        <v>22</v>
      </c>
      <c r="C1963" t="s">
        <v>3</v>
      </c>
      <c r="D1963" t="s">
        <v>4</v>
      </c>
      <c r="E1963" t="s">
        <v>5</v>
      </c>
      <c r="F1963" s="6">
        <v>112972215</v>
      </c>
      <c r="G1963" t="s">
        <v>984</v>
      </c>
      <c r="H1963" t="s">
        <v>298</v>
      </c>
      <c r="I1963">
        <v>0</v>
      </c>
      <c r="J1963">
        <v>0</v>
      </c>
      <c r="K1963">
        <v>0</v>
      </c>
      <c r="L1963">
        <v>0</v>
      </c>
      <c r="M1963">
        <v>0.78</v>
      </c>
      <c r="N1963" s="7" t="str">
        <f>VLOOKUP(F1963,HC!A$6:D$100,3,FALSE)</f>
        <v>DB-X0700</v>
      </c>
      <c r="O1963" s="7" t="str">
        <f>VLOOKUP(F1963,HC!A$6:D$1000,2,FALSE)</f>
        <v>cruzbana</v>
      </c>
      <c r="Q1963" s="7"/>
      <c r="U1963">
        <f t="shared" si="32"/>
        <v>16</v>
      </c>
    </row>
    <row r="1964" spans="1:21" ht="37.5" customHeight="1" x14ac:dyDescent="0.25">
      <c r="A1964" s="32">
        <v>45078</v>
      </c>
      <c r="B1964" s="13">
        <v>22</v>
      </c>
      <c r="C1964" t="s">
        <v>3</v>
      </c>
      <c r="D1964" t="s">
        <v>4</v>
      </c>
      <c r="E1964" t="s">
        <v>5</v>
      </c>
      <c r="F1964" s="6">
        <v>113003510</v>
      </c>
      <c r="G1964" t="s">
        <v>913</v>
      </c>
      <c r="H1964" t="s">
        <v>47</v>
      </c>
      <c r="I1964">
        <v>0</v>
      </c>
      <c r="J1964">
        <v>0</v>
      </c>
      <c r="K1964">
        <v>0</v>
      </c>
      <c r="L1964">
        <v>0</v>
      </c>
      <c r="M1964">
        <v>0.14000000000000001</v>
      </c>
      <c r="N1964" s="7" t="e">
        <f>VLOOKUP(F1964,HC!A$6:D$100,3,FALSE)</f>
        <v>#N/A</v>
      </c>
      <c r="O1964" s="7" t="str">
        <f>VLOOKUP(F1964,HC!A$6:D$1000,2,FALSE)</f>
        <v>nperezmc</v>
      </c>
      <c r="P1964" t="s">
        <v>661</v>
      </c>
      <c r="Q1964" s="7" t="s">
        <v>681</v>
      </c>
      <c r="U1964">
        <f t="shared" si="32"/>
        <v>12</v>
      </c>
    </row>
    <row r="1965" spans="1:21" ht="37.5" customHeight="1" x14ac:dyDescent="0.25">
      <c r="A1965" s="32">
        <v>45078</v>
      </c>
      <c r="B1965" s="13">
        <v>22</v>
      </c>
      <c r="C1965" t="s">
        <v>3</v>
      </c>
      <c r="D1965" t="s">
        <v>4</v>
      </c>
      <c r="E1965" t="s">
        <v>5</v>
      </c>
      <c r="F1965" s="6">
        <v>113014094</v>
      </c>
      <c r="G1965" t="s">
        <v>463</v>
      </c>
      <c r="H1965" t="s">
        <v>44</v>
      </c>
      <c r="I1965">
        <v>0</v>
      </c>
      <c r="J1965">
        <v>0</v>
      </c>
      <c r="K1965">
        <v>0</v>
      </c>
      <c r="L1965">
        <v>0</v>
      </c>
      <c r="M1965">
        <v>0.3</v>
      </c>
      <c r="N1965" s="7" t="e">
        <f>VLOOKUP(F1965,HC!A$6:D$100,3,FALSE)</f>
        <v>#N/A</v>
      </c>
      <c r="O1965" s="7" t="str">
        <f>VLOOKUP(F1965,HC!A$6:D$1000,2,FALSE)</f>
        <v>erikaadm</v>
      </c>
      <c r="P1965" t="s">
        <v>662</v>
      </c>
      <c r="Q1965" s="7" t="s">
        <v>687</v>
      </c>
      <c r="U1965">
        <f t="shared" si="32"/>
        <v>21</v>
      </c>
    </row>
    <row r="1966" spans="1:21" ht="37.5" customHeight="1" x14ac:dyDescent="0.25">
      <c r="A1966" s="32">
        <v>45078</v>
      </c>
      <c r="B1966" s="13">
        <v>22</v>
      </c>
      <c r="C1966" t="s">
        <v>3</v>
      </c>
      <c r="D1966" t="s">
        <v>4</v>
      </c>
      <c r="E1966" t="s">
        <v>5</v>
      </c>
      <c r="F1966" s="6">
        <v>113020476</v>
      </c>
      <c r="G1966" t="s">
        <v>330</v>
      </c>
      <c r="H1966" t="s">
        <v>7</v>
      </c>
      <c r="I1966">
        <v>0</v>
      </c>
      <c r="J1966">
        <v>0</v>
      </c>
      <c r="K1966">
        <v>0</v>
      </c>
      <c r="L1966">
        <v>0</v>
      </c>
      <c r="M1966">
        <v>0.42</v>
      </c>
      <c r="N1966" s="7" t="e">
        <f>VLOOKUP(F1966,HC!A$6:D$100,3,FALSE)</f>
        <v>#N/A</v>
      </c>
      <c r="O1966" s="7" t="str">
        <f>VLOOKUP(F1966,HC!A$6:D$1000,2,FALSE)</f>
        <v>polettpu</v>
      </c>
      <c r="P1966" t="s">
        <v>675</v>
      </c>
      <c r="Q1966" s="7"/>
      <c r="U1966">
        <f t="shared" si="32"/>
        <v>55</v>
      </c>
    </row>
    <row r="1967" spans="1:21" ht="37.5" customHeight="1" x14ac:dyDescent="0.25">
      <c r="A1967" s="32">
        <v>45078</v>
      </c>
      <c r="B1967" s="13">
        <v>22</v>
      </c>
      <c r="C1967" t="s">
        <v>3</v>
      </c>
      <c r="D1967" t="s">
        <v>4</v>
      </c>
      <c r="E1967" t="s">
        <v>5</v>
      </c>
      <c r="F1967" s="6">
        <v>200404250</v>
      </c>
      <c r="G1967" t="s">
        <v>51</v>
      </c>
      <c r="H1967" t="s">
        <v>298</v>
      </c>
      <c r="I1967">
        <v>0</v>
      </c>
      <c r="J1967">
        <v>0</v>
      </c>
      <c r="K1967">
        <v>0</v>
      </c>
      <c r="L1967">
        <v>0</v>
      </c>
      <c r="M1967">
        <v>0.54</v>
      </c>
      <c r="N1967" s="7" t="e">
        <f>VLOOKUP(F1967,HC!A$6:D$100,3,FALSE)</f>
        <v>#N/A</v>
      </c>
      <c r="O1967" s="7" t="str">
        <f>VLOOKUP(F1967,HC!A$6:D$1000,2,FALSE)</f>
        <v>xcathurt</v>
      </c>
      <c r="Q1967" s="7"/>
      <c r="R1967" t="s">
        <v>785</v>
      </c>
      <c r="U1967">
        <f t="shared" si="32"/>
        <v>124</v>
      </c>
    </row>
    <row r="1968" spans="1:21" ht="37.5" customHeight="1" x14ac:dyDescent="0.25">
      <c r="A1968" s="32">
        <v>45078</v>
      </c>
      <c r="B1968" s="13">
        <v>22</v>
      </c>
      <c r="C1968" t="s">
        <v>3</v>
      </c>
      <c r="D1968" t="s">
        <v>4</v>
      </c>
      <c r="E1968" t="s">
        <v>21</v>
      </c>
      <c r="F1968" s="6">
        <v>200525168</v>
      </c>
      <c r="G1968" t="s">
        <v>914</v>
      </c>
      <c r="H1968" t="s">
        <v>17</v>
      </c>
      <c r="I1968">
        <v>0</v>
      </c>
      <c r="J1968">
        <v>0</v>
      </c>
      <c r="K1968">
        <v>0</v>
      </c>
      <c r="L1968">
        <v>0</v>
      </c>
      <c r="M1968">
        <v>0.72</v>
      </c>
      <c r="N1968" s="7" t="e">
        <f>VLOOKUP(F1968,HC!A$6:D$100,3,FALSE)</f>
        <v>#N/A</v>
      </c>
      <c r="O1968" s="7" t="e">
        <f>VLOOKUP(F1968,HC!A$6:D$1000,2,FALSE)</f>
        <v>#N/A</v>
      </c>
      <c r="P1968" t="s">
        <v>664</v>
      </c>
      <c r="Q1968" s="7" t="s">
        <v>708</v>
      </c>
      <c r="U1968">
        <f t="shared" si="32"/>
        <v>1395</v>
      </c>
    </row>
    <row r="1969" spans="1:21" ht="37.5" customHeight="1" x14ac:dyDescent="0.25">
      <c r="A1969" s="32">
        <v>45078</v>
      </c>
      <c r="B1969" s="13">
        <v>22</v>
      </c>
      <c r="C1969" t="s">
        <v>3</v>
      </c>
      <c r="D1969" t="s">
        <v>4</v>
      </c>
      <c r="E1969" t="s">
        <v>21</v>
      </c>
      <c r="F1969" s="6">
        <v>200525930</v>
      </c>
      <c r="G1969" t="s">
        <v>1108</v>
      </c>
      <c r="H1969" t="s">
        <v>47</v>
      </c>
      <c r="I1969">
        <v>0</v>
      </c>
      <c r="J1969">
        <v>0</v>
      </c>
      <c r="K1969">
        <v>0</v>
      </c>
      <c r="L1969">
        <v>0</v>
      </c>
      <c r="M1969">
        <v>0.38</v>
      </c>
      <c r="N1969" s="7" t="e">
        <f>VLOOKUP(F1969,HC!A$6:D$100,3,FALSE)</f>
        <v>#N/A</v>
      </c>
      <c r="O1969" s="7" t="e">
        <f>VLOOKUP(F1969,HC!A$6:D$1000,2,FALSE)</f>
        <v>#N/A</v>
      </c>
      <c r="Q1969" s="7"/>
      <c r="R1969" t="s">
        <v>612</v>
      </c>
      <c r="U1969">
        <f t="shared" si="32"/>
        <v>1395</v>
      </c>
    </row>
    <row r="1970" spans="1:21" ht="37.5" customHeight="1" x14ac:dyDescent="0.25">
      <c r="A1970" s="32">
        <v>45078</v>
      </c>
      <c r="B1970" s="13">
        <v>22</v>
      </c>
      <c r="C1970" t="s">
        <v>3</v>
      </c>
      <c r="D1970" t="s">
        <v>4</v>
      </c>
      <c r="E1970" t="s">
        <v>21</v>
      </c>
      <c r="F1970" s="6">
        <v>200615883</v>
      </c>
      <c r="G1970" t="s">
        <v>508</v>
      </c>
      <c r="H1970" t="s">
        <v>47</v>
      </c>
      <c r="I1970">
        <v>0</v>
      </c>
      <c r="J1970">
        <v>0</v>
      </c>
      <c r="K1970">
        <v>0</v>
      </c>
      <c r="L1970">
        <v>0</v>
      </c>
      <c r="M1970">
        <v>0.46</v>
      </c>
      <c r="N1970" s="7" t="e">
        <f>VLOOKUP(F1970,HC!A$6:D$100,3,FALSE)</f>
        <v>#N/A</v>
      </c>
      <c r="O1970" s="7" t="e">
        <f>VLOOKUP(F1970,HC!A$6:D$1000,2,FALSE)</f>
        <v>#N/A</v>
      </c>
      <c r="P1970" t="s">
        <v>662</v>
      </c>
      <c r="Q1970" s="7" t="s">
        <v>688</v>
      </c>
      <c r="U1970">
        <f t="shared" si="32"/>
        <v>1395</v>
      </c>
    </row>
    <row r="1971" spans="1:21" ht="37.5" customHeight="1" x14ac:dyDescent="0.25">
      <c r="A1971" s="32">
        <v>45078</v>
      </c>
      <c r="B1971" s="13">
        <v>22</v>
      </c>
      <c r="C1971" t="s">
        <v>3</v>
      </c>
      <c r="D1971" t="s">
        <v>4</v>
      </c>
      <c r="E1971" t="s">
        <v>21</v>
      </c>
      <c r="F1971" s="6">
        <v>201162225</v>
      </c>
      <c r="G1971" t="s">
        <v>1111</v>
      </c>
      <c r="H1971" t="s">
        <v>268</v>
      </c>
      <c r="I1971">
        <v>0</v>
      </c>
      <c r="J1971">
        <v>0</v>
      </c>
      <c r="K1971">
        <v>0</v>
      </c>
      <c r="L1971">
        <v>0</v>
      </c>
      <c r="M1971">
        <v>1.06</v>
      </c>
      <c r="N1971" s="7" t="e">
        <f>VLOOKUP(F1971,HC!A$6:D$100,3,FALSE)</f>
        <v>#N/A</v>
      </c>
      <c r="O1971" s="7" t="str">
        <f>VLOOKUP(F1971,HC!A$6:D$1000,2,FALSE)</f>
        <v>isracoro</v>
      </c>
      <c r="P1971" t="s">
        <v>670</v>
      </c>
      <c r="Q1971" s="7" t="s">
        <v>746</v>
      </c>
      <c r="U1971">
        <f t="shared" si="32"/>
        <v>5</v>
      </c>
    </row>
    <row r="1972" spans="1:21" ht="37.5" customHeight="1" x14ac:dyDescent="0.25">
      <c r="A1972" s="32">
        <v>45078</v>
      </c>
      <c r="B1972" s="13">
        <v>22</v>
      </c>
      <c r="C1972" t="s">
        <v>3</v>
      </c>
      <c r="D1972" t="s">
        <v>4</v>
      </c>
      <c r="E1972" t="s">
        <v>21</v>
      </c>
      <c r="F1972" s="6">
        <v>201167501</v>
      </c>
      <c r="G1972" t="s">
        <v>863</v>
      </c>
      <c r="H1972" t="s">
        <v>44</v>
      </c>
      <c r="I1972">
        <v>0</v>
      </c>
      <c r="J1972">
        <v>0</v>
      </c>
      <c r="K1972">
        <v>0</v>
      </c>
      <c r="L1972">
        <v>0</v>
      </c>
      <c r="M1972">
        <v>0.25</v>
      </c>
      <c r="N1972" s="7" t="e">
        <f>VLOOKUP(F1972,HC!A$6:D$100,3,FALSE)</f>
        <v>#N/A</v>
      </c>
      <c r="O1972" s="7" t="str">
        <f>VLOOKUP(F1972,HC!A$6:D$1000,2,FALSE)</f>
        <v>wguanajr</v>
      </c>
      <c r="P1972" t="s">
        <v>664</v>
      </c>
      <c r="Q1972" s="7" t="s">
        <v>709</v>
      </c>
      <c r="U1972">
        <f t="shared" si="32"/>
        <v>36</v>
      </c>
    </row>
    <row r="1973" spans="1:21" ht="37.5" customHeight="1" x14ac:dyDescent="0.25">
      <c r="A1973" s="32">
        <v>45078</v>
      </c>
      <c r="B1973" s="13">
        <v>22</v>
      </c>
      <c r="C1973" t="s">
        <v>3</v>
      </c>
      <c r="D1973" t="s">
        <v>4</v>
      </c>
      <c r="E1973" t="s">
        <v>21</v>
      </c>
      <c r="F1973" s="6">
        <v>201185277</v>
      </c>
      <c r="G1973" t="s">
        <v>948</v>
      </c>
      <c r="H1973" t="s">
        <v>44</v>
      </c>
      <c r="I1973">
        <v>0</v>
      </c>
      <c r="J1973">
        <v>0</v>
      </c>
      <c r="K1973">
        <v>0</v>
      </c>
      <c r="L1973">
        <v>0</v>
      </c>
      <c r="M1973">
        <v>0.4</v>
      </c>
      <c r="N1973" s="7" t="e">
        <f>VLOOKUP(F1973,HC!A$6:D$100,3,FALSE)</f>
        <v>#N/A</v>
      </c>
      <c r="O1973" s="7" t="e">
        <f>VLOOKUP(F1973,HC!A$6:D$1000,2,FALSE)</f>
        <v>#N/A</v>
      </c>
      <c r="Q1973" s="7"/>
      <c r="U1973">
        <f t="shared" si="32"/>
        <v>1395</v>
      </c>
    </row>
    <row r="1974" spans="1:21" ht="37.5" customHeight="1" x14ac:dyDescent="0.25">
      <c r="A1974" s="32">
        <v>45078</v>
      </c>
      <c r="B1974" s="13">
        <v>22</v>
      </c>
      <c r="C1974" t="s">
        <v>3</v>
      </c>
      <c r="D1974" t="s">
        <v>4</v>
      </c>
      <c r="E1974" t="s">
        <v>21</v>
      </c>
      <c r="F1974" s="6">
        <v>201191390</v>
      </c>
      <c r="G1974" t="s">
        <v>916</v>
      </c>
      <c r="H1974" t="s">
        <v>7</v>
      </c>
      <c r="I1974">
        <v>0</v>
      </c>
      <c r="J1974">
        <v>0</v>
      </c>
      <c r="K1974">
        <v>0</v>
      </c>
      <c r="L1974">
        <v>0</v>
      </c>
      <c r="M1974">
        <v>0.28999999999999998</v>
      </c>
      <c r="N1974" s="7" t="e">
        <f>VLOOKUP(F1974,HC!A$6:D$100,3,FALSE)</f>
        <v>#N/A</v>
      </c>
      <c r="O1974" s="7" t="str">
        <f>VLOOKUP(F1974,HC!A$6:D$1000,2,FALSE)</f>
        <v>bgajesus</v>
      </c>
      <c r="P1974" t="s">
        <v>670</v>
      </c>
      <c r="Q1974" s="7" t="s">
        <v>748</v>
      </c>
      <c r="U1974">
        <f t="shared" si="32"/>
        <v>37</v>
      </c>
    </row>
    <row r="1975" spans="1:21" ht="37.5" customHeight="1" x14ac:dyDescent="0.25">
      <c r="A1975" s="32">
        <v>45078</v>
      </c>
      <c r="B1975" s="13">
        <v>22</v>
      </c>
      <c r="C1975" t="s">
        <v>3</v>
      </c>
      <c r="D1975" t="s">
        <v>4</v>
      </c>
      <c r="E1975" t="s">
        <v>21</v>
      </c>
      <c r="F1975" s="6">
        <v>201309605</v>
      </c>
      <c r="G1975" t="s">
        <v>1049</v>
      </c>
      <c r="H1975" t="s">
        <v>47</v>
      </c>
      <c r="I1975">
        <v>0</v>
      </c>
      <c r="J1975">
        <v>0</v>
      </c>
      <c r="K1975">
        <v>0</v>
      </c>
      <c r="L1975">
        <v>0</v>
      </c>
      <c r="M1975">
        <v>0.12</v>
      </c>
      <c r="N1975" s="7" t="e">
        <f>VLOOKUP(F1975,HC!A$6:D$100,3,FALSE)</f>
        <v>#N/A</v>
      </c>
      <c r="O1975" s="7" t="e">
        <f>VLOOKUP(F1975,HC!A$6:D$1000,2,FALSE)</f>
        <v>#N/A</v>
      </c>
      <c r="P1975" t="s">
        <v>664</v>
      </c>
      <c r="Q1975" s="7" t="s">
        <v>717</v>
      </c>
      <c r="U1975">
        <f t="shared" si="32"/>
        <v>1395</v>
      </c>
    </row>
    <row r="1976" spans="1:21" ht="37.5" customHeight="1" x14ac:dyDescent="0.25">
      <c r="A1976" s="32">
        <v>45078</v>
      </c>
      <c r="B1976" s="13">
        <v>22</v>
      </c>
      <c r="C1976" t="s">
        <v>3</v>
      </c>
      <c r="D1976" t="s">
        <v>4</v>
      </c>
      <c r="E1976" t="s">
        <v>21</v>
      </c>
      <c r="F1976" s="6">
        <v>201314835</v>
      </c>
      <c r="G1976" t="s">
        <v>1060</v>
      </c>
      <c r="H1976" t="s">
        <v>263</v>
      </c>
      <c r="I1976">
        <v>0</v>
      </c>
      <c r="J1976">
        <v>0</v>
      </c>
      <c r="K1976">
        <v>0</v>
      </c>
      <c r="L1976">
        <v>0</v>
      </c>
      <c r="M1976">
        <v>0.22</v>
      </c>
      <c r="N1976" s="7" t="e">
        <f>VLOOKUP(F1976,HC!A$6:D$100,3,FALSE)</f>
        <v>#N/A</v>
      </c>
      <c r="O1976" s="7" t="e">
        <f>VLOOKUP(F1976,HC!A$6:D$1000,2,FALSE)</f>
        <v>#N/A</v>
      </c>
      <c r="P1976" t="s">
        <v>661</v>
      </c>
      <c r="Q1976" s="7" t="s">
        <v>681</v>
      </c>
      <c r="U1976">
        <f t="shared" si="32"/>
        <v>1395</v>
      </c>
    </row>
    <row r="1977" spans="1:21" ht="37.5" customHeight="1" x14ac:dyDescent="0.25">
      <c r="A1977" s="32">
        <v>45078</v>
      </c>
      <c r="B1977" s="13">
        <v>22</v>
      </c>
      <c r="C1977" t="s">
        <v>3</v>
      </c>
      <c r="D1977" t="s">
        <v>4</v>
      </c>
      <c r="E1977" t="s">
        <v>21</v>
      </c>
      <c r="F1977" s="6">
        <v>201315151</v>
      </c>
      <c r="G1977" t="s">
        <v>1079</v>
      </c>
      <c r="H1977" t="s">
        <v>47</v>
      </c>
      <c r="I1977">
        <v>0</v>
      </c>
      <c r="J1977">
        <v>0</v>
      </c>
      <c r="K1977">
        <v>0</v>
      </c>
      <c r="L1977">
        <v>0</v>
      </c>
      <c r="M1977">
        <v>0.97</v>
      </c>
      <c r="N1977" s="7" t="e">
        <f>VLOOKUP(F1977,HC!A$6:D$100,3,FALSE)</f>
        <v>#N/A</v>
      </c>
      <c r="O1977" s="7" t="e">
        <f>VLOOKUP(F1977,HC!A$6:D$1000,2,FALSE)</f>
        <v>#N/A</v>
      </c>
      <c r="P1977" t="s">
        <v>663</v>
      </c>
      <c r="Q1977" s="7" t="s">
        <v>692</v>
      </c>
      <c r="U1977">
        <f t="shared" si="32"/>
        <v>1395</v>
      </c>
    </row>
    <row r="1978" spans="1:21" ht="37.5" customHeight="1" x14ac:dyDescent="0.25">
      <c r="A1978" s="32">
        <v>45078</v>
      </c>
      <c r="B1978" s="13">
        <v>22</v>
      </c>
      <c r="C1978" t="s">
        <v>3</v>
      </c>
      <c r="D1978" t="s">
        <v>4</v>
      </c>
      <c r="E1978" t="s">
        <v>21</v>
      </c>
      <c r="F1978" s="6">
        <v>201329529</v>
      </c>
      <c r="G1978" t="s">
        <v>1069</v>
      </c>
      <c r="H1978" t="s">
        <v>263</v>
      </c>
      <c r="I1978">
        <v>0</v>
      </c>
      <c r="J1978">
        <v>0</v>
      </c>
      <c r="K1978">
        <v>0</v>
      </c>
      <c r="L1978">
        <v>0</v>
      </c>
      <c r="M1978">
        <v>0.53</v>
      </c>
      <c r="N1978" s="7" t="e">
        <f>VLOOKUP(F1978,HC!A$6:D$100,3,FALSE)</f>
        <v>#N/A</v>
      </c>
      <c r="O1978" s="7" t="e">
        <f>VLOOKUP(F1978,HC!A$6:D$1000,2,FALSE)</f>
        <v>#N/A</v>
      </c>
      <c r="P1978" t="s">
        <v>664</v>
      </c>
      <c r="Q1978" s="7" t="s">
        <v>710</v>
      </c>
      <c r="U1978">
        <f t="shared" si="32"/>
        <v>1395</v>
      </c>
    </row>
    <row r="1979" spans="1:21" ht="37.5" customHeight="1" x14ac:dyDescent="0.25">
      <c r="A1979" s="32">
        <v>45078</v>
      </c>
      <c r="B1979" s="13">
        <v>22</v>
      </c>
      <c r="C1979" t="s">
        <v>3</v>
      </c>
      <c r="D1979" t="s">
        <v>4</v>
      </c>
      <c r="E1979" t="s">
        <v>21</v>
      </c>
      <c r="F1979" s="6">
        <v>201402060</v>
      </c>
      <c r="G1979" t="s">
        <v>1057</v>
      </c>
      <c r="H1979" t="s">
        <v>1040</v>
      </c>
      <c r="I1979">
        <v>0</v>
      </c>
      <c r="J1979">
        <v>0</v>
      </c>
      <c r="K1979">
        <v>0</v>
      </c>
      <c r="L1979">
        <v>0</v>
      </c>
      <c r="M1979">
        <v>0.25</v>
      </c>
      <c r="N1979" s="7" t="e">
        <f>VLOOKUP(F1979,HC!A$6:D$100,3,FALSE)</f>
        <v>#N/A</v>
      </c>
      <c r="O1979" s="7" t="e">
        <f>VLOOKUP(F1979,HC!A$6:D$1000,2,FALSE)</f>
        <v>#N/A</v>
      </c>
      <c r="P1979" t="s">
        <v>663</v>
      </c>
      <c r="Q1979" s="7" t="s">
        <v>704</v>
      </c>
      <c r="U1979">
        <f t="shared" si="32"/>
        <v>1395</v>
      </c>
    </row>
    <row r="1980" spans="1:21" ht="37.5" customHeight="1" x14ac:dyDescent="0.25">
      <c r="A1980" s="32">
        <v>45078</v>
      </c>
      <c r="B1980" s="13">
        <v>22</v>
      </c>
      <c r="C1980" t="s">
        <v>3</v>
      </c>
      <c r="D1980" t="s">
        <v>4</v>
      </c>
      <c r="E1980" t="s">
        <v>21</v>
      </c>
      <c r="F1980" s="6">
        <v>201403532</v>
      </c>
      <c r="G1980" t="s">
        <v>1112</v>
      </c>
      <c r="H1980" t="s">
        <v>7</v>
      </c>
      <c r="I1980">
        <v>0</v>
      </c>
      <c r="J1980">
        <v>0</v>
      </c>
      <c r="K1980">
        <v>0</v>
      </c>
      <c r="L1980">
        <v>0</v>
      </c>
      <c r="M1980">
        <v>0.41</v>
      </c>
      <c r="N1980" s="7" t="e">
        <f>VLOOKUP(F1980,HC!A$6:D$100,3,FALSE)</f>
        <v>#N/A</v>
      </c>
      <c r="O1980" s="7" t="str">
        <f>VLOOKUP(F1980,HC!A$6:D$1000,2,FALSE)</f>
        <v>zhoracro</v>
      </c>
      <c r="P1980" t="s">
        <v>661</v>
      </c>
      <c r="Q1980" s="7" t="s">
        <v>681</v>
      </c>
      <c r="U1980">
        <f t="shared" si="32"/>
        <v>3</v>
      </c>
    </row>
    <row r="1981" spans="1:21" ht="37.5" customHeight="1" x14ac:dyDescent="0.25">
      <c r="A1981" s="32">
        <v>45078</v>
      </c>
      <c r="B1981" s="13">
        <v>22</v>
      </c>
      <c r="C1981" t="s">
        <v>3</v>
      </c>
      <c r="D1981" t="s">
        <v>4</v>
      </c>
      <c r="E1981" t="s">
        <v>21</v>
      </c>
      <c r="F1981" s="6">
        <v>201408141</v>
      </c>
      <c r="G1981" t="s">
        <v>1113</v>
      </c>
      <c r="H1981" t="s">
        <v>17</v>
      </c>
      <c r="I1981">
        <v>0</v>
      </c>
      <c r="J1981">
        <v>0</v>
      </c>
      <c r="K1981">
        <v>0</v>
      </c>
      <c r="L1981">
        <v>0</v>
      </c>
      <c r="M1981">
        <v>0.21</v>
      </c>
      <c r="N1981" s="7" t="e">
        <f>VLOOKUP(F1981,HC!A$6:D$100,3,FALSE)</f>
        <v>#N/A</v>
      </c>
      <c r="O1981" s="7" t="str">
        <f>VLOOKUP(F1981,HC!A$6:D$1000,2,FALSE)</f>
        <v>alberlug</v>
      </c>
      <c r="Q1981" s="7"/>
      <c r="U1981">
        <f t="shared" si="32"/>
        <v>3</v>
      </c>
    </row>
    <row r="1982" spans="1:21" ht="37.5" customHeight="1" x14ac:dyDescent="0.25">
      <c r="A1982" s="32">
        <v>45079</v>
      </c>
      <c r="B1982" s="13">
        <v>22</v>
      </c>
      <c r="C1982" t="s">
        <v>3</v>
      </c>
      <c r="D1982" t="s">
        <v>4</v>
      </c>
      <c r="E1982" t="s">
        <v>5</v>
      </c>
      <c r="F1982" s="6">
        <v>113052151</v>
      </c>
      <c r="G1982" t="s">
        <v>482</v>
      </c>
      <c r="H1982" t="s">
        <v>17</v>
      </c>
      <c r="I1982">
        <v>0</v>
      </c>
      <c r="J1982">
        <v>0</v>
      </c>
      <c r="K1982">
        <v>0</v>
      </c>
      <c r="L1982">
        <v>0</v>
      </c>
      <c r="M1982">
        <v>0.1</v>
      </c>
      <c r="N1982" s="7" t="e">
        <f>VLOOKUP(F1982,HC!A$6:D$100,3,FALSE)</f>
        <v>#N/A</v>
      </c>
      <c r="O1982" s="7" t="str">
        <f>VLOOKUP(F1982,HC!A$6:D$1000,2,FALSE)</f>
        <v>nilaurab</v>
      </c>
      <c r="P1982" t="s">
        <v>663</v>
      </c>
      <c r="Q1982" s="7" t="s">
        <v>695</v>
      </c>
      <c r="U1982">
        <f t="shared" si="32"/>
        <v>28</v>
      </c>
    </row>
    <row r="1983" spans="1:21" ht="37.5" customHeight="1" x14ac:dyDescent="0.25">
      <c r="A1983" s="32">
        <v>45079</v>
      </c>
      <c r="B1983" s="13">
        <v>22</v>
      </c>
      <c r="C1983" t="s">
        <v>3</v>
      </c>
      <c r="D1983" t="s">
        <v>4</v>
      </c>
      <c r="E1983" t="s">
        <v>21</v>
      </c>
      <c r="F1983" s="6">
        <v>200564845</v>
      </c>
      <c r="G1983" t="s">
        <v>440</v>
      </c>
      <c r="H1983" t="s">
        <v>47</v>
      </c>
      <c r="I1983">
        <v>0</v>
      </c>
      <c r="J1983">
        <v>0</v>
      </c>
      <c r="K1983">
        <v>0</v>
      </c>
      <c r="L1983">
        <v>0</v>
      </c>
      <c r="M1983">
        <v>0.19</v>
      </c>
      <c r="N1983" s="7" t="e">
        <f>VLOOKUP(F1983,HC!A$6:D$100,3,FALSE)</f>
        <v>#N/A</v>
      </c>
      <c r="O1983" s="7" t="e">
        <f>VLOOKUP(F1983,HC!A$6:D$1000,2,FALSE)</f>
        <v>#N/A</v>
      </c>
      <c r="P1983" t="s">
        <v>664</v>
      </c>
      <c r="Q1983" s="7" t="s">
        <v>708</v>
      </c>
      <c r="U1983">
        <f t="shared" si="32"/>
        <v>1395</v>
      </c>
    </row>
    <row r="1984" spans="1:21" ht="37.5" customHeight="1" x14ac:dyDescent="0.25">
      <c r="A1984" s="32">
        <v>45079</v>
      </c>
      <c r="B1984" s="13">
        <v>22</v>
      </c>
      <c r="C1984" t="s">
        <v>3</v>
      </c>
      <c r="D1984" t="s">
        <v>4</v>
      </c>
      <c r="E1984" t="s">
        <v>21</v>
      </c>
      <c r="F1984" s="6">
        <v>200585084</v>
      </c>
      <c r="G1984" t="s">
        <v>493</v>
      </c>
      <c r="H1984" t="s">
        <v>17</v>
      </c>
      <c r="I1984">
        <v>0</v>
      </c>
      <c r="J1984">
        <v>0</v>
      </c>
      <c r="K1984">
        <v>0</v>
      </c>
      <c r="L1984">
        <v>0</v>
      </c>
      <c r="M1984">
        <v>0.59</v>
      </c>
      <c r="N1984" s="7" t="e">
        <f>VLOOKUP(F1984,HC!A$6:D$100,3,FALSE)</f>
        <v>#N/A</v>
      </c>
      <c r="O1984" s="7" t="str">
        <f>VLOOKUP(F1984,HC!A$6:D$1000,2,FALSE)</f>
        <v>tessajvi</v>
      </c>
      <c r="P1984" t="s">
        <v>664</v>
      </c>
      <c r="Q1984" s="7" t="s">
        <v>710</v>
      </c>
      <c r="U1984">
        <f t="shared" si="32"/>
        <v>9</v>
      </c>
    </row>
    <row r="1985" spans="1:21" ht="37.5" customHeight="1" x14ac:dyDescent="0.25">
      <c r="A1985" s="32">
        <v>45079</v>
      </c>
      <c r="B1985" s="13">
        <v>22</v>
      </c>
      <c r="C1985" t="s">
        <v>3</v>
      </c>
      <c r="D1985" t="s">
        <v>4</v>
      </c>
      <c r="E1985" t="s">
        <v>21</v>
      </c>
      <c r="F1985" s="6">
        <v>200589316</v>
      </c>
      <c r="G1985" t="s">
        <v>53</v>
      </c>
      <c r="H1985" t="s">
        <v>47</v>
      </c>
      <c r="I1985">
        <v>0</v>
      </c>
      <c r="J1985">
        <v>0</v>
      </c>
      <c r="K1985">
        <v>0</v>
      </c>
      <c r="L1985">
        <v>0</v>
      </c>
      <c r="M1985">
        <v>0.65</v>
      </c>
      <c r="N1985" s="7" t="e">
        <f>VLOOKUP(F1985,HC!A$6:D$100,3,FALSE)</f>
        <v>#N/A</v>
      </c>
      <c r="O1985" s="7" t="e">
        <f>VLOOKUP(F1985,HC!A$6:D$1000,2,FALSE)</f>
        <v>#N/A</v>
      </c>
      <c r="P1985" t="s">
        <v>664</v>
      </c>
      <c r="Q1985" s="7" t="s">
        <v>711</v>
      </c>
      <c r="U1985">
        <f t="shared" si="32"/>
        <v>1395</v>
      </c>
    </row>
    <row r="1986" spans="1:21" ht="37.5" customHeight="1" x14ac:dyDescent="0.25">
      <c r="A1986" s="32">
        <v>45079</v>
      </c>
      <c r="B1986" s="13">
        <v>22</v>
      </c>
      <c r="C1986" t="s">
        <v>3</v>
      </c>
      <c r="D1986" t="s">
        <v>4</v>
      </c>
      <c r="E1986" t="s">
        <v>21</v>
      </c>
      <c r="F1986" s="6">
        <v>200625528</v>
      </c>
      <c r="G1986" t="s">
        <v>607</v>
      </c>
      <c r="H1986" t="s">
        <v>285</v>
      </c>
      <c r="I1986">
        <v>0</v>
      </c>
      <c r="J1986">
        <v>0</v>
      </c>
      <c r="K1986">
        <v>0</v>
      </c>
      <c r="L1986">
        <v>0</v>
      </c>
      <c r="M1986">
        <v>0.09</v>
      </c>
      <c r="N1986" s="7" t="e">
        <f>VLOOKUP(F1986,HC!A$6:D$100,3,FALSE)</f>
        <v>#N/A</v>
      </c>
      <c r="O1986" s="7" t="str">
        <f>VLOOKUP(F1986,HC!A$6:D$1000,2,FALSE)</f>
        <v>olivlizb</v>
      </c>
      <c r="P1986" t="s">
        <v>666</v>
      </c>
      <c r="Q1986" s="7" t="s">
        <v>774</v>
      </c>
      <c r="U1986">
        <f t="shared" si="32"/>
        <v>50</v>
      </c>
    </row>
    <row r="1987" spans="1:21" ht="37.5" customHeight="1" x14ac:dyDescent="0.25">
      <c r="A1987" s="32">
        <v>45079</v>
      </c>
      <c r="B1987" s="13">
        <v>22</v>
      </c>
      <c r="C1987" t="s">
        <v>3</v>
      </c>
      <c r="D1987" t="s">
        <v>4</v>
      </c>
      <c r="E1987" t="s">
        <v>21</v>
      </c>
      <c r="F1987" s="6">
        <v>201185633</v>
      </c>
      <c r="G1987" t="s">
        <v>957</v>
      </c>
      <c r="H1987" t="s">
        <v>49</v>
      </c>
      <c r="I1987">
        <v>0</v>
      </c>
      <c r="J1987">
        <v>0</v>
      </c>
      <c r="K1987">
        <v>0</v>
      </c>
      <c r="L1987">
        <v>0</v>
      </c>
      <c r="M1987">
        <v>0.17</v>
      </c>
      <c r="N1987" s="7" t="e">
        <f>VLOOKUP(F1987,HC!A$6:D$100,3,FALSE)</f>
        <v>#N/A</v>
      </c>
      <c r="O1987" s="7" t="e">
        <f>VLOOKUP(F1987,HC!A$6:D$1000,2,FALSE)</f>
        <v>#N/A</v>
      </c>
      <c r="P1987" t="s">
        <v>664</v>
      </c>
      <c r="Q1987" s="7" t="s">
        <v>771</v>
      </c>
      <c r="U1987">
        <f t="shared" ref="U1987:U2050" si="33">COUNTIF(O$2:O$4999,O1987)</f>
        <v>1395</v>
      </c>
    </row>
    <row r="1988" spans="1:21" ht="37.5" customHeight="1" x14ac:dyDescent="0.25">
      <c r="A1988" s="32">
        <v>45079</v>
      </c>
      <c r="B1988" s="13">
        <v>22</v>
      </c>
      <c r="C1988" t="s">
        <v>3</v>
      </c>
      <c r="D1988" t="s">
        <v>4</v>
      </c>
      <c r="E1988" t="s">
        <v>21</v>
      </c>
      <c r="F1988" s="6">
        <v>201402425</v>
      </c>
      <c r="G1988" t="s">
        <v>1053</v>
      </c>
      <c r="H1988" t="s">
        <v>263</v>
      </c>
      <c r="I1988">
        <v>0</v>
      </c>
      <c r="J1988">
        <v>0</v>
      </c>
      <c r="K1988">
        <v>0</v>
      </c>
      <c r="L1988">
        <v>0</v>
      </c>
      <c r="M1988">
        <v>0.51</v>
      </c>
      <c r="N1988" s="7" t="e">
        <f>VLOOKUP(F1988,HC!A$6:D$100,3,FALSE)</f>
        <v>#N/A</v>
      </c>
      <c r="O1988" s="7" t="e">
        <f>VLOOKUP(F1988,HC!A$6:D$1000,2,FALSE)</f>
        <v>#N/A</v>
      </c>
      <c r="Q1988" s="7"/>
      <c r="R1988" t="s">
        <v>1115</v>
      </c>
      <c r="U1988">
        <f t="shared" si="33"/>
        <v>1395</v>
      </c>
    </row>
    <row r="1989" spans="1:21" ht="37.5" customHeight="1" x14ac:dyDescent="0.25">
      <c r="A1989" s="32">
        <v>45079</v>
      </c>
      <c r="B1989" s="13">
        <v>22</v>
      </c>
      <c r="C1989" t="s">
        <v>3</v>
      </c>
      <c r="D1989" t="s">
        <v>4</v>
      </c>
      <c r="E1989" t="s">
        <v>21</v>
      </c>
      <c r="F1989" s="6">
        <v>201403462</v>
      </c>
      <c r="G1989" t="s">
        <v>1054</v>
      </c>
      <c r="H1989" t="s">
        <v>49</v>
      </c>
      <c r="I1989">
        <v>0</v>
      </c>
      <c r="J1989">
        <v>0</v>
      </c>
      <c r="K1989">
        <v>0</v>
      </c>
      <c r="L1989">
        <v>0</v>
      </c>
      <c r="M1989">
        <v>0.14000000000000001</v>
      </c>
      <c r="N1989" s="7" t="e">
        <f>VLOOKUP(F1989,HC!A$6:D$100,3,FALSE)</f>
        <v>#N/A</v>
      </c>
      <c r="O1989" s="7" t="str">
        <f>VLOOKUP(F1989,HC!A$6:D$1000,2,FALSE)</f>
        <v>valdojoe</v>
      </c>
      <c r="Q1989" s="7"/>
      <c r="U1989">
        <f t="shared" si="33"/>
        <v>22</v>
      </c>
    </row>
    <row r="1990" spans="1:21" ht="37.5" customHeight="1" x14ac:dyDescent="0.25">
      <c r="A1990" s="32">
        <v>45079</v>
      </c>
      <c r="B1990" s="13">
        <v>22</v>
      </c>
      <c r="C1990" t="s">
        <v>3</v>
      </c>
      <c r="D1990" t="s">
        <v>4</v>
      </c>
      <c r="E1990" t="s">
        <v>21</v>
      </c>
      <c r="F1990" s="6">
        <v>201403468</v>
      </c>
      <c r="G1990" t="s">
        <v>1114</v>
      </c>
      <c r="H1990" t="s">
        <v>7</v>
      </c>
      <c r="I1990">
        <v>0</v>
      </c>
      <c r="J1990">
        <v>0</v>
      </c>
      <c r="K1990">
        <v>0</v>
      </c>
      <c r="L1990">
        <v>0</v>
      </c>
      <c r="M1990">
        <v>0.19</v>
      </c>
      <c r="N1990" s="7" t="e">
        <f>VLOOKUP(F1990,HC!A$6:D$100,3,FALSE)</f>
        <v>#N/A</v>
      </c>
      <c r="O1990" s="7" t="e">
        <f>VLOOKUP(F1990,HC!A$6:D$1000,2,FALSE)</f>
        <v>#N/A</v>
      </c>
      <c r="P1990" t="s">
        <v>664</v>
      </c>
      <c r="Q1990" s="7" t="s">
        <v>711</v>
      </c>
      <c r="U1990">
        <f t="shared" si="33"/>
        <v>1395</v>
      </c>
    </row>
    <row r="1991" spans="1:21" ht="37.5" customHeight="1" x14ac:dyDescent="0.25">
      <c r="A1991" s="32">
        <v>45080</v>
      </c>
      <c r="B1991" s="13">
        <v>22</v>
      </c>
      <c r="C1991" t="s">
        <v>3</v>
      </c>
      <c r="D1991" t="s">
        <v>4</v>
      </c>
      <c r="E1991" t="s">
        <v>5</v>
      </c>
      <c r="F1991" s="6">
        <v>112912675</v>
      </c>
      <c r="G1991" t="s">
        <v>326</v>
      </c>
      <c r="H1991" t="s">
        <v>49</v>
      </c>
      <c r="I1991">
        <v>0</v>
      </c>
      <c r="J1991">
        <v>0</v>
      </c>
      <c r="K1991">
        <v>0</v>
      </c>
      <c r="L1991">
        <v>0</v>
      </c>
      <c r="M1991">
        <v>0.49</v>
      </c>
      <c r="N1991" s="7" t="e">
        <f>VLOOKUP(F1991,HC!A$6:D$100,3,FALSE)</f>
        <v>#N/A</v>
      </c>
      <c r="O1991" s="7" t="e">
        <f>VLOOKUP(F1991,HC!A$6:D$1000,2,FALSE)</f>
        <v>#N/A</v>
      </c>
      <c r="P1991" t="s">
        <v>661</v>
      </c>
      <c r="Q1991" s="7" t="s">
        <v>681</v>
      </c>
      <c r="U1991">
        <f t="shared" si="33"/>
        <v>1395</v>
      </c>
    </row>
    <row r="1992" spans="1:21" ht="37.5" customHeight="1" x14ac:dyDescent="0.25">
      <c r="A1992" s="32">
        <v>45080</v>
      </c>
      <c r="B1992" s="13">
        <v>22</v>
      </c>
      <c r="C1992" t="s">
        <v>3</v>
      </c>
      <c r="D1992" t="s">
        <v>4</v>
      </c>
      <c r="E1992" t="s">
        <v>21</v>
      </c>
      <c r="F1992" s="6">
        <v>200562154</v>
      </c>
      <c r="G1992" t="s">
        <v>437</v>
      </c>
      <c r="H1992" t="s">
        <v>49</v>
      </c>
      <c r="I1992">
        <v>0</v>
      </c>
      <c r="J1992">
        <v>0</v>
      </c>
      <c r="K1992">
        <v>0</v>
      </c>
      <c r="L1992">
        <v>0</v>
      </c>
      <c r="M1992">
        <v>0.39</v>
      </c>
      <c r="N1992" s="7" t="e">
        <f>VLOOKUP(F1992,HC!A$6:D$100,3,FALSE)</f>
        <v>#N/A</v>
      </c>
      <c r="O1992" s="7" t="str">
        <f>VLOOKUP(F1992,HC!A$6:D$1000,2,FALSE)</f>
        <v>reyesmcw</v>
      </c>
      <c r="P1992" t="s">
        <v>663</v>
      </c>
      <c r="Q1992" s="7" t="s">
        <v>705</v>
      </c>
      <c r="U1992">
        <f t="shared" si="33"/>
        <v>38</v>
      </c>
    </row>
    <row r="1993" spans="1:21" ht="37.5" customHeight="1" x14ac:dyDescent="0.25">
      <c r="A1993" s="32">
        <v>45080</v>
      </c>
      <c r="B1993" s="13">
        <v>22</v>
      </c>
      <c r="C1993" t="s">
        <v>3</v>
      </c>
      <c r="D1993" t="s">
        <v>4</v>
      </c>
      <c r="E1993" t="s">
        <v>21</v>
      </c>
      <c r="F1993" s="6">
        <v>201204937</v>
      </c>
      <c r="G1993" t="s">
        <v>935</v>
      </c>
      <c r="H1993" t="s">
        <v>17</v>
      </c>
      <c r="I1993">
        <v>0</v>
      </c>
      <c r="J1993">
        <v>0</v>
      </c>
      <c r="K1993">
        <v>0</v>
      </c>
      <c r="L1993">
        <v>0</v>
      </c>
      <c r="M1993">
        <v>0.19</v>
      </c>
      <c r="N1993" s="7" t="e">
        <f>VLOOKUP(F1993,HC!A$6:D$100,3,FALSE)</f>
        <v>#N/A</v>
      </c>
      <c r="O1993" s="7" t="e">
        <f>VLOOKUP(F1993,HC!A$6:D$1000,2,FALSE)</f>
        <v>#N/A</v>
      </c>
      <c r="P1993" t="s">
        <v>663</v>
      </c>
      <c r="Q1993" s="7" t="s">
        <v>704</v>
      </c>
      <c r="U1993">
        <f t="shared" si="33"/>
        <v>1395</v>
      </c>
    </row>
    <row r="1994" spans="1:21" ht="37.5" customHeight="1" x14ac:dyDescent="0.25">
      <c r="A1994" s="32">
        <v>45080</v>
      </c>
      <c r="B1994" s="13">
        <v>22</v>
      </c>
      <c r="C1994" t="s">
        <v>3</v>
      </c>
      <c r="D1994" t="s">
        <v>4</v>
      </c>
      <c r="E1994" t="s">
        <v>21</v>
      </c>
      <c r="F1994" s="6">
        <v>201374875</v>
      </c>
      <c r="G1994" t="s">
        <v>1088</v>
      </c>
      <c r="H1994" t="s">
        <v>263</v>
      </c>
      <c r="I1994">
        <v>0</v>
      </c>
      <c r="J1994">
        <v>0</v>
      </c>
      <c r="K1994">
        <v>0</v>
      </c>
      <c r="L1994">
        <v>0</v>
      </c>
      <c r="M1994">
        <v>0.47</v>
      </c>
      <c r="N1994" s="7" t="e">
        <f>VLOOKUP(F1994,HC!A$6:D$100,3,FALSE)</f>
        <v>#N/A</v>
      </c>
      <c r="O1994" s="7" t="e">
        <f>VLOOKUP(F1994,HC!A$6:D$1000,2,FALSE)</f>
        <v>#N/A</v>
      </c>
      <c r="Q1994" s="7"/>
      <c r="R1994" t="s">
        <v>1116</v>
      </c>
      <c r="U1994">
        <f t="shared" si="33"/>
        <v>1395</v>
      </c>
    </row>
    <row r="1995" spans="1:21" ht="37.5" customHeight="1" x14ac:dyDescent="0.25">
      <c r="A1995" s="33">
        <v>45081</v>
      </c>
      <c r="B1995" s="13">
        <v>23</v>
      </c>
      <c r="C1995" t="s">
        <v>3</v>
      </c>
      <c r="D1995" t="s">
        <v>4</v>
      </c>
      <c r="E1995" t="s">
        <v>5</v>
      </c>
      <c r="F1995" s="6">
        <v>112912745</v>
      </c>
      <c r="G1995" t="s">
        <v>478</v>
      </c>
      <c r="H1995" t="s">
        <v>268</v>
      </c>
      <c r="I1995">
        <v>0</v>
      </c>
      <c r="J1995">
        <v>0</v>
      </c>
      <c r="K1995">
        <v>0</v>
      </c>
      <c r="L1995">
        <v>0</v>
      </c>
      <c r="M1995">
        <v>1.02</v>
      </c>
      <c r="N1995" s="7" t="str">
        <f>VLOOKUP(F1995,HC!A$6:D$100,3,FALSE)</f>
        <v>DA-X0700</v>
      </c>
      <c r="O1995" s="7" t="str">
        <f>VLOOKUP(F1995,HC!A$6:D$1000,2,FALSE)</f>
        <v>nalexgom</v>
      </c>
      <c r="P1995" t="s">
        <v>664</v>
      </c>
      <c r="Q1995" s="7" t="s">
        <v>708</v>
      </c>
      <c r="R1995" t="s">
        <v>1117</v>
      </c>
      <c r="U1995">
        <f t="shared" si="33"/>
        <v>22</v>
      </c>
    </row>
    <row r="1996" spans="1:21" ht="37.5" customHeight="1" x14ac:dyDescent="0.25">
      <c r="A1996" s="33">
        <v>45081</v>
      </c>
      <c r="B1996" s="13">
        <v>23</v>
      </c>
      <c r="C1996" t="s">
        <v>3</v>
      </c>
      <c r="D1996" t="s">
        <v>4</v>
      </c>
      <c r="E1996" t="s">
        <v>5</v>
      </c>
      <c r="F1996" s="6">
        <v>112912752</v>
      </c>
      <c r="G1996" t="s">
        <v>251</v>
      </c>
      <c r="H1996" t="s">
        <v>268</v>
      </c>
      <c r="I1996">
        <v>0</v>
      </c>
      <c r="J1996">
        <v>0</v>
      </c>
      <c r="K1996">
        <v>0</v>
      </c>
      <c r="L1996">
        <v>0</v>
      </c>
      <c r="M1996">
        <v>0.24</v>
      </c>
      <c r="N1996" s="7" t="str">
        <f>VLOOKUP(F1996,HC!A$6:D$100,3,FALSE)</f>
        <v>NF-X1900</v>
      </c>
      <c r="O1996" s="7" t="str">
        <f>VLOOKUP(F1996,HC!A$6:D$1000,2,FALSE)</f>
        <v>valderle</v>
      </c>
      <c r="P1996" t="s">
        <v>661</v>
      </c>
      <c r="Q1996" s="7" t="s">
        <v>681</v>
      </c>
      <c r="U1996">
        <f t="shared" si="33"/>
        <v>50</v>
      </c>
    </row>
    <row r="1997" spans="1:21" ht="37.5" customHeight="1" x14ac:dyDescent="0.25">
      <c r="A1997" s="33">
        <v>45081</v>
      </c>
      <c r="B1997" s="13">
        <v>23</v>
      </c>
      <c r="C1997" t="s">
        <v>3</v>
      </c>
      <c r="D1997" t="s">
        <v>4</v>
      </c>
      <c r="E1997" t="s">
        <v>5</v>
      </c>
      <c r="F1997" s="6">
        <v>112950809</v>
      </c>
      <c r="G1997" t="s">
        <v>402</v>
      </c>
      <c r="H1997" t="s">
        <v>403</v>
      </c>
      <c r="I1997">
        <v>0</v>
      </c>
      <c r="J1997">
        <v>0</v>
      </c>
      <c r="K1997">
        <v>0</v>
      </c>
      <c r="L1997">
        <v>0</v>
      </c>
      <c r="M1997">
        <v>0.21</v>
      </c>
      <c r="N1997" s="7" t="str">
        <f>VLOOKUP(F1997,HC!A$6:D$100,3,FALSE)</f>
        <v>DA-X0700</v>
      </c>
      <c r="O1997" s="7" t="str">
        <f>VLOOKUP(F1997,HC!A$6:D$1000,2,FALSE)</f>
        <v>lurochae</v>
      </c>
      <c r="P1997" t="s">
        <v>662</v>
      </c>
      <c r="Q1997" s="7" t="s">
        <v>757</v>
      </c>
      <c r="U1997">
        <f t="shared" si="33"/>
        <v>14</v>
      </c>
    </row>
    <row r="1998" spans="1:21" ht="37.5" customHeight="1" x14ac:dyDescent="0.25">
      <c r="A1998" s="33">
        <v>45081</v>
      </c>
      <c r="B1998" s="13">
        <v>23</v>
      </c>
      <c r="C1998" t="s">
        <v>3</v>
      </c>
      <c r="D1998" t="s">
        <v>4</v>
      </c>
      <c r="E1998" t="s">
        <v>5</v>
      </c>
      <c r="F1998" s="6">
        <v>112980847</v>
      </c>
      <c r="G1998" t="s">
        <v>524</v>
      </c>
      <c r="H1998" t="s">
        <v>268</v>
      </c>
      <c r="I1998">
        <v>0</v>
      </c>
      <c r="J1998">
        <v>0</v>
      </c>
      <c r="K1998">
        <v>0</v>
      </c>
      <c r="L1998">
        <v>0</v>
      </c>
      <c r="M1998">
        <v>1.1200000000000001</v>
      </c>
      <c r="N1998" s="7" t="e">
        <f>VLOOKUP(F1998,HC!A$6:D$100,3,FALSE)</f>
        <v>#N/A</v>
      </c>
      <c r="O1998" s="7" t="e">
        <f>VLOOKUP(F1998,HC!A$6:D$1000,2,FALSE)</f>
        <v>#N/A</v>
      </c>
      <c r="P1998" t="s">
        <v>664</v>
      </c>
      <c r="Q1998" s="7" t="s">
        <v>709</v>
      </c>
      <c r="R1998" t="s">
        <v>1118</v>
      </c>
      <c r="U1998">
        <f t="shared" si="33"/>
        <v>1395</v>
      </c>
    </row>
    <row r="1999" spans="1:21" ht="37.5" customHeight="1" x14ac:dyDescent="0.25">
      <c r="A1999" s="33">
        <v>45081</v>
      </c>
      <c r="B1999" s="13">
        <v>23</v>
      </c>
      <c r="C1999" t="s">
        <v>3</v>
      </c>
      <c r="D1999" t="s">
        <v>4</v>
      </c>
      <c r="E1999" t="s">
        <v>21</v>
      </c>
      <c r="F1999" s="6">
        <v>200615883</v>
      </c>
      <c r="G1999" t="s">
        <v>508</v>
      </c>
      <c r="H1999" t="s">
        <v>47</v>
      </c>
      <c r="I1999">
        <v>0</v>
      </c>
      <c r="J1999">
        <v>0</v>
      </c>
      <c r="K1999">
        <v>0</v>
      </c>
      <c r="L1999">
        <v>0</v>
      </c>
      <c r="M1999">
        <v>0.18</v>
      </c>
      <c r="N1999" s="7" t="e">
        <f>VLOOKUP(F1999,HC!A$6:D$100,3,FALSE)</f>
        <v>#N/A</v>
      </c>
      <c r="O1999" s="7" t="e">
        <f>VLOOKUP(F1999,HC!A$6:D$1000,2,FALSE)</f>
        <v>#N/A</v>
      </c>
      <c r="P1999" t="s">
        <v>661</v>
      </c>
      <c r="Q1999" s="7" t="s">
        <v>681</v>
      </c>
      <c r="U1999">
        <f t="shared" si="33"/>
        <v>1395</v>
      </c>
    </row>
    <row r="2000" spans="1:21" ht="37.5" customHeight="1" x14ac:dyDescent="0.25">
      <c r="A2000" s="33">
        <v>45081</v>
      </c>
      <c r="B2000" s="13">
        <v>23</v>
      </c>
      <c r="C2000" t="s">
        <v>3</v>
      </c>
      <c r="D2000" t="s">
        <v>4</v>
      </c>
      <c r="E2000" t="s">
        <v>21</v>
      </c>
      <c r="F2000" s="6">
        <v>201329495</v>
      </c>
      <c r="G2000" t="s">
        <v>988</v>
      </c>
      <c r="H2000" t="s">
        <v>268</v>
      </c>
      <c r="I2000">
        <v>0</v>
      </c>
      <c r="J2000">
        <v>0</v>
      </c>
      <c r="K2000">
        <v>0</v>
      </c>
      <c r="L2000">
        <v>0</v>
      </c>
      <c r="M2000">
        <v>1.1499999999999999</v>
      </c>
      <c r="N2000" s="7" t="e">
        <f>VLOOKUP(F2000,HC!A$6:D$100,3,FALSE)</f>
        <v>#N/A</v>
      </c>
      <c r="O2000" s="7" t="e">
        <f>VLOOKUP(F2000,HC!A$6:D$1000,2,FALSE)</f>
        <v>#N/A</v>
      </c>
      <c r="P2000" t="s">
        <v>662</v>
      </c>
      <c r="Q2000" s="7" t="s">
        <v>691</v>
      </c>
      <c r="U2000">
        <f t="shared" si="33"/>
        <v>1395</v>
      </c>
    </row>
    <row r="2001" spans="1:21" ht="37.5" customHeight="1" x14ac:dyDescent="0.25">
      <c r="A2001" s="33">
        <v>45081</v>
      </c>
      <c r="B2001" s="13">
        <v>23</v>
      </c>
      <c r="C2001" t="s">
        <v>3</v>
      </c>
      <c r="D2001" t="s">
        <v>4</v>
      </c>
      <c r="E2001" t="s">
        <v>21</v>
      </c>
      <c r="F2001" s="6">
        <v>201345774</v>
      </c>
      <c r="G2001" t="s">
        <v>1070</v>
      </c>
      <c r="H2001" t="s">
        <v>44</v>
      </c>
      <c r="I2001">
        <v>0</v>
      </c>
      <c r="J2001">
        <v>0</v>
      </c>
      <c r="K2001">
        <v>0</v>
      </c>
      <c r="L2001">
        <v>0</v>
      </c>
      <c r="M2001">
        <v>0.1</v>
      </c>
      <c r="N2001" s="7" t="e">
        <f>VLOOKUP(F2001,HC!A$6:D$100,3,FALSE)</f>
        <v>#N/A</v>
      </c>
      <c r="O2001" s="7" t="str">
        <f>VLOOKUP(F2001,HC!A$6:D$1000,2,FALSE)</f>
        <v>jonquija</v>
      </c>
      <c r="P2001" t="s">
        <v>664</v>
      </c>
      <c r="Q2001" s="7" t="s">
        <v>716</v>
      </c>
      <c r="U2001">
        <f t="shared" si="33"/>
        <v>19</v>
      </c>
    </row>
    <row r="2002" spans="1:21" ht="37.5" customHeight="1" x14ac:dyDescent="0.25">
      <c r="A2002" s="33">
        <v>45081</v>
      </c>
      <c r="B2002" s="13">
        <v>23</v>
      </c>
      <c r="C2002" t="s">
        <v>3</v>
      </c>
      <c r="D2002" t="s">
        <v>4</v>
      </c>
      <c r="E2002" t="s">
        <v>21</v>
      </c>
      <c r="F2002" s="6">
        <v>201374875</v>
      </c>
      <c r="G2002" t="s">
        <v>1088</v>
      </c>
      <c r="H2002" t="s">
        <v>263</v>
      </c>
      <c r="I2002">
        <v>0</v>
      </c>
      <c r="J2002">
        <v>0</v>
      </c>
      <c r="K2002">
        <v>0</v>
      </c>
      <c r="L2002">
        <v>0</v>
      </c>
      <c r="M2002">
        <v>0.99</v>
      </c>
      <c r="N2002" s="7" t="e">
        <f>VLOOKUP(F2002,HC!A$6:D$100,3,FALSE)</f>
        <v>#N/A</v>
      </c>
      <c r="O2002" s="7" t="e">
        <f>VLOOKUP(F2002,HC!A$6:D$1000,2,FALSE)</f>
        <v>#N/A</v>
      </c>
      <c r="P2002" t="s">
        <v>664</v>
      </c>
      <c r="Q2002" s="7" t="s">
        <v>710</v>
      </c>
      <c r="U2002">
        <f t="shared" si="33"/>
        <v>1395</v>
      </c>
    </row>
    <row r="2003" spans="1:21" ht="37.5" customHeight="1" x14ac:dyDescent="0.25">
      <c r="A2003" s="33">
        <v>45082</v>
      </c>
      <c r="B2003" s="13">
        <v>23</v>
      </c>
      <c r="C2003" t="s">
        <v>3</v>
      </c>
      <c r="D2003" t="s">
        <v>4</v>
      </c>
      <c r="E2003" t="s">
        <v>5</v>
      </c>
      <c r="F2003" s="37">
        <v>110249579</v>
      </c>
      <c r="G2003" t="s">
        <v>862</v>
      </c>
      <c r="H2003" t="s">
        <v>285</v>
      </c>
      <c r="I2003">
        <v>0</v>
      </c>
      <c r="J2003">
        <v>0</v>
      </c>
      <c r="K2003">
        <v>0</v>
      </c>
      <c r="L2003">
        <v>0</v>
      </c>
      <c r="M2003">
        <v>1.07</v>
      </c>
      <c r="N2003" s="7" t="str">
        <f>VLOOKUP(F2003,HC!A$6:D$100,3,FALSE)</f>
        <v>DA-X0700</v>
      </c>
      <c r="O2003" s="7" t="str">
        <f>VLOOKUP(F2003,HC!A$6:D$1000,2,FALSE)</f>
        <v>ruzcvict</v>
      </c>
      <c r="P2003" t="s">
        <v>670</v>
      </c>
      <c r="Q2003" s="7" t="s">
        <v>803</v>
      </c>
      <c r="R2003" t="s">
        <v>1123</v>
      </c>
      <c r="U2003">
        <f t="shared" si="33"/>
        <v>3</v>
      </c>
    </row>
    <row r="2004" spans="1:21" ht="37.5" customHeight="1" x14ac:dyDescent="0.25">
      <c r="A2004" s="33">
        <v>45082</v>
      </c>
      <c r="B2004" s="13">
        <v>23</v>
      </c>
      <c r="C2004" t="s">
        <v>3</v>
      </c>
      <c r="D2004" t="s">
        <v>4</v>
      </c>
      <c r="E2004" t="s">
        <v>5</v>
      </c>
      <c r="F2004" s="37">
        <v>112912752</v>
      </c>
      <c r="G2004" t="s">
        <v>251</v>
      </c>
      <c r="H2004" t="s">
        <v>268</v>
      </c>
      <c r="I2004">
        <v>0</v>
      </c>
      <c r="J2004">
        <v>0</v>
      </c>
      <c r="K2004">
        <v>0</v>
      </c>
      <c r="L2004">
        <v>0</v>
      </c>
      <c r="M2004">
        <v>1.49</v>
      </c>
      <c r="N2004" s="7" t="str">
        <f>VLOOKUP(F2004,HC!A$6:D$100,3,FALSE)</f>
        <v>NF-X1900</v>
      </c>
      <c r="O2004" s="7" t="str">
        <f>VLOOKUP(F2004,HC!A$6:D$1000,2,FALSE)</f>
        <v>valderle</v>
      </c>
      <c r="P2004" t="s">
        <v>670</v>
      </c>
      <c r="Q2004" s="7" t="s">
        <v>746</v>
      </c>
      <c r="R2004" t="s">
        <v>1123</v>
      </c>
      <c r="U2004">
        <f t="shared" si="33"/>
        <v>50</v>
      </c>
    </row>
    <row r="2005" spans="1:21" ht="37.5" customHeight="1" x14ac:dyDescent="0.25">
      <c r="A2005" s="33">
        <v>45082</v>
      </c>
      <c r="B2005" s="13">
        <v>23</v>
      </c>
      <c r="C2005" t="s">
        <v>3</v>
      </c>
      <c r="D2005" t="s">
        <v>4</v>
      </c>
      <c r="E2005" t="s">
        <v>5</v>
      </c>
      <c r="F2005" s="37">
        <v>112980899</v>
      </c>
      <c r="G2005" t="s">
        <v>396</v>
      </c>
      <c r="H2005" t="s">
        <v>285</v>
      </c>
      <c r="I2005">
        <v>0</v>
      </c>
      <c r="J2005">
        <v>0</v>
      </c>
      <c r="K2005">
        <v>0</v>
      </c>
      <c r="L2005">
        <v>0</v>
      </c>
      <c r="M2005">
        <v>0.31</v>
      </c>
      <c r="N2005" s="7" t="str">
        <f>VLOOKUP(F2005,HC!A$6:D$100,3,FALSE)</f>
        <v>NF-X1900</v>
      </c>
      <c r="O2005" s="7" t="str">
        <f>VLOOKUP(F2005,HC!A$6:D$1000,2,FALSE)</f>
        <v>aravilac</v>
      </c>
      <c r="P2005" t="s">
        <v>670</v>
      </c>
      <c r="Q2005" s="7" t="s">
        <v>764</v>
      </c>
      <c r="U2005">
        <f t="shared" si="33"/>
        <v>33</v>
      </c>
    </row>
    <row r="2006" spans="1:21" ht="37.5" customHeight="1" x14ac:dyDescent="0.25">
      <c r="A2006" s="33">
        <v>45082</v>
      </c>
      <c r="B2006" s="13">
        <v>23</v>
      </c>
      <c r="C2006" t="s">
        <v>3</v>
      </c>
      <c r="D2006" t="s">
        <v>4</v>
      </c>
      <c r="E2006" t="s">
        <v>5</v>
      </c>
      <c r="F2006" s="37">
        <v>112981212</v>
      </c>
      <c r="G2006" t="s">
        <v>573</v>
      </c>
      <c r="H2006" t="s">
        <v>44</v>
      </c>
      <c r="I2006">
        <v>0</v>
      </c>
      <c r="J2006">
        <v>0</v>
      </c>
      <c r="K2006">
        <v>0</v>
      </c>
      <c r="L2006">
        <v>0</v>
      </c>
      <c r="M2006">
        <v>0.27</v>
      </c>
      <c r="N2006" s="7" t="e">
        <f>VLOOKUP(F2006,HC!A$6:D$100,3,FALSE)</f>
        <v>#N/A</v>
      </c>
      <c r="O2006" s="7" t="str">
        <f>VLOOKUP(F2006,HC!A$6:D$1000,2,FALSE)</f>
        <v>alysonza</v>
      </c>
      <c r="P2006" t="s">
        <v>664</v>
      </c>
      <c r="Q2006" s="7" t="s">
        <v>710</v>
      </c>
      <c r="U2006">
        <f t="shared" si="33"/>
        <v>23</v>
      </c>
    </row>
    <row r="2007" spans="1:21" ht="37.5" customHeight="1" x14ac:dyDescent="0.25">
      <c r="A2007" s="33">
        <v>45082</v>
      </c>
      <c r="B2007" s="13">
        <v>23</v>
      </c>
      <c r="C2007" t="s">
        <v>3</v>
      </c>
      <c r="D2007" t="s">
        <v>4</v>
      </c>
      <c r="E2007" t="s">
        <v>5</v>
      </c>
      <c r="F2007" s="37">
        <v>113014403</v>
      </c>
      <c r="G2007" t="s">
        <v>373</v>
      </c>
      <c r="H2007" t="s">
        <v>298</v>
      </c>
      <c r="I2007">
        <v>0</v>
      </c>
      <c r="J2007">
        <v>0</v>
      </c>
      <c r="K2007">
        <v>0</v>
      </c>
      <c r="L2007">
        <v>0</v>
      </c>
      <c r="M2007">
        <v>0.3</v>
      </c>
      <c r="N2007" s="7" t="e">
        <f>VLOOKUP(F2007,HC!A$6:D$100,3,FALSE)</f>
        <v>#N/A</v>
      </c>
      <c r="O2007" s="7" t="str">
        <f>VLOOKUP(F2007,HC!A$6:D$1000,2,FALSE)</f>
        <v>wnoraria</v>
      </c>
      <c r="P2007" t="s">
        <v>664</v>
      </c>
      <c r="Q2007" s="7" t="s">
        <v>711</v>
      </c>
      <c r="U2007">
        <f t="shared" si="33"/>
        <v>23</v>
      </c>
    </row>
    <row r="2008" spans="1:21" ht="37.5" customHeight="1" x14ac:dyDescent="0.25">
      <c r="A2008" s="33">
        <v>45082</v>
      </c>
      <c r="B2008" s="13">
        <v>23</v>
      </c>
      <c r="C2008" t="s">
        <v>3</v>
      </c>
      <c r="D2008" t="s">
        <v>4</v>
      </c>
      <c r="E2008" t="s">
        <v>5</v>
      </c>
      <c r="F2008" s="37">
        <v>113014470</v>
      </c>
      <c r="G2008" t="s">
        <v>374</v>
      </c>
      <c r="H2008" t="s">
        <v>44</v>
      </c>
      <c r="I2008">
        <v>0</v>
      </c>
      <c r="J2008">
        <v>0</v>
      </c>
      <c r="K2008">
        <v>0</v>
      </c>
      <c r="L2008">
        <v>0</v>
      </c>
      <c r="M2008">
        <v>0.41</v>
      </c>
      <c r="N2008" s="7" t="e">
        <f>VLOOKUP(F2008,HC!A$6:D$100,3,FALSE)</f>
        <v>#N/A</v>
      </c>
      <c r="O2008" s="7" t="str">
        <f>VLOOKUP(F2008,HC!A$6:D$1000,2,FALSE)</f>
        <v>lupaguin</v>
      </c>
      <c r="P2008" t="s">
        <v>669</v>
      </c>
      <c r="Q2008" s="7" t="s">
        <v>739</v>
      </c>
      <c r="U2008">
        <f t="shared" si="33"/>
        <v>23</v>
      </c>
    </row>
    <row r="2009" spans="1:21" ht="37.5" customHeight="1" x14ac:dyDescent="0.25">
      <c r="A2009" s="33">
        <v>45082</v>
      </c>
      <c r="B2009" s="13">
        <v>23</v>
      </c>
      <c r="C2009" t="s">
        <v>3</v>
      </c>
      <c r="D2009" t="s">
        <v>4</v>
      </c>
      <c r="E2009" t="s">
        <v>21</v>
      </c>
      <c r="F2009" s="37">
        <v>200615315</v>
      </c>
      <c r="G2009" t="s">
        <v>1119</v>
      </c>
      <c r="H2009" t="s">
        <v>285</v>
      </c>
      <c r="I2009">
        <v>0</v>
      </c>
      <c r="J2009">
        <v>0</v>
      </c>
      <c r="K2009">
        <v>0</v>
      </c>
      <c r="L2009">
        <v>0</v>
      </c>
      <c r="M2009">
        <v>0.84</v>
      </c>
      <c r="N2009" s="7" t="e">
        <f>VLOOKUP(F2009,HC!A$6:D$100,3,FALSE)</f>
        <v>#N/A</v>
      </c>
      <c r="O2009" s="7" t="str">
        <f>VLOOKUP(F2009,HC!A$6:D$1000,2,FALSE)</f>
        <v>gascfdan</v>
      </c>
      <c r="P2009" t="s">
        <v>661</v>
      </c>
      <c r="Q2009" s="7" t="s">
        <v>681</v>
      </c>
      <c r="U2009">
        <f t="shared" si="33"/>
        <v>4</v>
      </c>
    </row>
    <row r="2010" spans="1:21" ht="37.5" customHeight="1" x14ac:dyDescent="0.25">
      <c r="A2010" s="33">
        <v>45082</v>
      </c>
      <c r="B2010" s="13">
        <v>23</v>
      </c>
      <c r="C2010" t="s">
        <v>3</v>
      </c>
      <c r="D2010" t="s">
        <v>4</v>
      </c>
      <c r="E2010" t="s">
        <v>21</v>
      </c>
      <c r="F2010" s="37">
        <v>201162388</v>
      </c>
      <c r="G2010" t="s">
        <v>1120</v>
      </c>
      <c r="H2010" t="s">
        <v>285</v>
      </c>
      <c r="I2010">
        <v>0</v>
      </c>
      <c r="J2010">
        <v>0</v>
      </c>
      <c r="K2010">
        <v>0</v>
      </c>
      <c r="L2010">
        <v>0</v>
      </c>
      <c r="M2010">
        <v>0.15</v>
      </c>
      <c r="N2010" s="7" t="e">
        <f>VLOOKUP(F2010,HC!A$6:D$100,3,FALSE)</f>
        <v>#N/A</v>
      </c>
      <c r="O2010" s="7" t="str">
        <f>VLOOKUP(F2010,HC!A$6:D$1000,2,FALSE)</f>
        <v>alfrerok</v>
      </c>
      <c r="P2010" t="s">
        <v>670</v>
      </c>
      <c r="Q2010" s="7" t="s">
        <v>746</v>
      </c>
      <c r="U2010">
        <f t="shared" si="33"/>
        <v>3</v>
      </c>
    </row>
    <row r="2011" spans="1:21" ht="37.5" customHeight="1" x14ac:dyDescent="0.25">
      <c r="A2011" s="33">
        <v>45082</v>
      </c>
      <c r="B2011" s="13">
        <v>23</v>
      </c>
      <c r="C2011" t="s">
        <v>3</v>
      </c>
      <c r="D2011" t="s">
        <v>4</v>
      </c>
      <c r="E2011" t="s">
        <v>21</v>
      </c>
      <c r="F2011" s="37">
        <v>201165769</v>
      </c>
      <c r="G2011" t="s">
        <v>903</v>
      </c>
      <c r="H2011" t="s">
        <v>285</v>
      </c>
      <c r="I2011">
        <v>0</v>
      </c>
      <c r="J2011">
        <v>0</v>
      </c>
      <c r="K2011">
        <v>0</v>
      </c>
      <c r="L2011">
        <v>0</v>
      </c>
      <c r="M2011">
        <v>0.57999999999999996</v>
      </c>
      <c r="N2011" s="7" t="e">
        <f>VLOOKUP(F2011,HC!A$6:D$100,3,FALSE)</f>
        <v>#N/A</v>
      </c>
      <c r="O2011" s="7" t="str">
        <f>VLOOKUP(F2011,HC!A$6:D$1000,2,FALSE)</f>
        <v>puenkare</v>
      </c>
      <c r="P2011" t="s">
        <v>670</v>
      </c>
      <c r="Q2011" s="7" t="s">
        <v>746</v>
      </c>
      <c r="R2011" t="s">
        <v>1122</v>
      </c>
      <c r="U2011">
        <f t="shared" si="33"/>
        <v>19</v>
      </c>
    </row>
    <row r="2012" spans="1:21" ht="37.5" customHeight="1" x14ac:dyDescent="0.25">
      <c r="A2012" s="33">
        <v>45082</v>
      </c>
      <c r="B2012" s="13">
        <v>23</v>
      </c>
      <c r="C2012" t="s">
        <v>3</v>
      </c>
      <c r="D2012" t="s">
        <v>4</v>
      </c>
      <c r="E2012" t="s">
        <v>21</v>
      </c>
      <c r="F2012" s="37">
        <v>201172306</v>
      </c>
      <c r="G2012" t="s">
        <v>970</v>
      </c>
      <c r="H2012" t="s">
        <v>268</v>
      </c>
      <c r="I2012">
        <v>0</v>
      </c>
      <c r="J2012">
        <v>0</v>
      </c>
      <c r="K2012">
        <v>0</v>
      </c>
      <c r="L2012">
        <v>0</v>
      </c>
      <c r="M2012">
        <v>0.14000000000000001</v>
      </c>
      <c r="N2012" s="7" t="e">
        <f>VLOOKUP(F2012,HC!A$6:D$100,3,FALSE)</f>
        <v>#N/A</v>
      </c>
      <c r="O2012" s="7" t="str">
        <f>VLOOKUP(F2012,HC!A$6:D$1000,2,FALSE)</f>
        <v>cesarvae</v>
      </c>
      <c r="P2012" t="s">
        <v>661</v>
      </c>
      <c r="Q2012" s="7" t="s">
        <v>681</v>
      </c>
      <c r="U2012">
        <f t="shared" si="33"/>
        <v>17</v>
      </c>
    </row>
    <row r="2013" spans="1:21" ht="37.5" customHeight="1" x14ac:dyDescent="0.25">
      <c r="A2013" s="33">
        <v>45082</v>
      </c>
      <c r="B2013" s="13">
        <v>23</v>
      </c>
      <c r="C2013" t="s">
        <v>3</v>
      </c>
      <c r="D2013" t="s">
        <v>4</v>
      </c>
      <c r="E2013" t="s">
        <v>21</v>
      </c>
      <c r="F2013" s="37">
        <v>201191217</v>
      </c>
      <c r="G2013" t="s">
        <v>1121</v>
      </c>
      <c r="H2013" t="s">
        <v>285</v>
      </c>
      <c r="I2013">
        <v>0</v>
      </c>
      <c r="J2013">
        <v>0</v>
      </c>
      <c r="K2013">
        <v>0</v>
      </c>
      <c r="L2013">
        <v>0</v>
      </c>
      <c r="M2013">
        <v>0.84</v>
      </c>
      <c r="N2013" s="7" t="e">
        <f>VLOOKUP(F2013,HC!A$6:D$100,3,FALSE)</f>
        <v>#N/A</v>
      </c>
      <c r="O2013" s="7" t="str">
        <f>VLOOKUP(F2013,HC!A$6:D$1000,2,FALSE)</f>
        <v>duesteba</v>
      </c>
      <c r="P2013" t="s">
        <v>670</v>
      </c>
      <c r="Q2013" s="7" t="s">
        <v>746</v>
      </c>
      <c r="R2013" t="s">
        <v>1122</v>
      </c>
      <c r="U2013">
        <f t="shared" si="33"/>
        <v>2</v>
      </c>
    </row>
    <row r="2014" spans="1:21" ht="37.5" customHeight="1" x14ac:dyDescent="0.25">
      <c r="A2014" s="33">
        <v>45082</v>
      </c>
      <c r="B2014" s="13">
        <v>23</v>
      </c>
      <c r="C2014" t="s">
        <v>3</v>
      </c>
      <c r="D2014" t="s">
        <v>4</v>
      </c>
      <c r="E2014" t="s">
        <v>21</v>
      </c>
      <c r="F2014" s="37">
        <v>201295432</v>
      </c>
      <c r="G2014" t="s">
        <v>1085</v>
      </c>
      <c r="H2014" t="s">
        <v>268</v>
      </c>
      <c r="I2014">
        <v>0</v>
      </c>
      <c r="J2014">
        <v>0</v>
      </c>
      <c r="K2014">
        <v>0</v>
      </c>
      <c r="L2014">
        <v>0</v>
      </c>
      <c r="M2014">
        <v>2.4700000000000002</v>
      </c>
      <c r="N2014" s="7" t="e">
        <f>VLOOKUP(F2014,HC!A$6:D$100,3,FALSE)</f>
        <v>#N/A</v>
      </c>
      <c r="O2014" s="7" t="e">
        <f>VLOOKUP(F2014,HC!A$6:D$1000,2,FALSE)</f>
        <v>#N/A</v>
      </c>
      <c r="P2014" t="s">
        <v>666</v>
      </c>
      <c r="Q2014" s="7" t="s">
        <v>768</v>
      </c>
      <c r="U2014">
        <f t="shared" si="33"/>
        <v>1395</v>
      </c>
    </row>
    <row r="2015" spans="1:21" ht="37.5" customHeight="1" x14ac:dyDescent="0.25">
      <c r="A2015" s="33">
        <v>45082</v>
      </c>
      <c r="B2015" s="13">
        <v>23</v>
      </c>
      <c r="C2015" t="s">
        <v>3</v>
      </c>
      <c r="D2015" t="s">
        <v>4</v>
      </c>
      <c r="E2015" t="s">
        <v>21</v>
      </c>
      <c r="F2015" s="37">
        <v>201363254</v>
      </c>
      <c r="G2015" t="s">
        <v>1072</v>
      </c>
      <c r="H2015" t="s">
        <v>253</v>
      </c>
      <c r="I2015">
        <v>0</v>
      </c>
      <c r="J2015">
        <v>0</v>
      </c>
      <c r="K2015">
        <v>0</v>
      </c>
      <c r="L2015">
        <v>0</v>
      </c>
      <c r="M2015">
        <v>0.18</v>
      </c>
      <c r="N2015" s="7" t="e">
        <f>VLOOKUP(F2015,HC!A$6:D$100,3,FALSE)</f>
        <v>#N/A</v>
      </c>
      <c r="O2015" s="7" t="str">
        <f>VLOOKUP(F2015,HC!A$6:D$1000,2,FALSE)</f>
        <v>fwraziel</v>
      </c>
      <c r="P2015" t="s">
        <v>662</v>
      </c>
      <c r="Q2015" s="7" t="s">
        <v>691</v>
      </c>
      <c r="U2015">
        <f t="shared" si="33"/>
        <v>7</v>
      </c>
    </row>
    <row r="2016" spans="1:21" ht="37.5" customHeight="1" x14ac:dyDescent="0.25">
      <c r="A2016" s="33">
        <v>45082</v>
      </c>
      <c r="B2016" s="13">
        <v>23</v>
      </c>
      <c r="C2016" t="s">
        <v>3</v>
      </c>
      <c r="D2016" t="s">
        <v>4</v>
      </c>
      <c r="E2016" t="s">
        <v>21</v>
      </c>
      <c r="F2016" s="37">
        <v>201402060</v>
      </c>
      <c r="G2016" t="s">
        <v>1057</v>
      </c>
      <c r="H2016" t="s">
        <v>1040</v>
      </c>
      <c r="I2016">
        <v>0</v>
      </c>
      <c r="J2016">
        <v>0</v>
      </c>
      <c r="K2016">
        <v>0</v>
      </c>
      <c r="L2016">
        <v>0</v>
      </c>
      <c r="M2016">
        <v>0.86</v>
      </c>
      <c r="N2016" s="7" t="e">
        <f>VLOOKUP(F2016,HC!A$6:D$100,3,FALSE)</f>
        <v>#N/A</v>
      </c>
      <c r="O2016" s="7" t="e">
        <f>VLOOKUP(F2016,HC!A$6:D$1000,2,FALSE)</f>
        <v>#N/A</v>
      </c>
      <c r="P2016" t="s">
        <v>663</v>
      </c>
      <c r="Q2016" s="7" t="s">
        <v>692</v>
      </c>
      <c r="U2016">
        <f t="shared" si="33"/>
        <v>1395</v>
      </c>
    </row>
    <row r="2017" spans="1:21" ht="37.5" customHeight="1" x14ac:dyDescent="0.25">
      <c r="A2017" s="33">
        <v>45083</v>
      </c>
      <c r="B2017" s="13">
        <v>23</v>
      </c>
      <c r="C2017" t="s">
        <v>3</v>
      </c>
      <c r="D2017" t="s">
        <v>4</v>
      </c>
      <c r="E2017" t="s">
        <v>21</v>
      </c>
      <c r="F2017" s="6">
        <v>112912007</v>
      </c>
      <c r="G2017" t="s">
        <v>518</v>
      </c>
      <c r="H2017" t="s">
        <v>268</v>
      </c>
      <c r="I2017">
        <v>0</v>
      </c>
      <c r="J2017">
        <v>0</v>
      </c>
      <c r="K2017">
        <v>0</v>
      </c>
      <c r="L2017">
        <v>0</v>
      </c>
      <c r="M2017">
        <v>0.3</v>
      </c>
      <c r="N2017" s="7" t="e">
        <f>VLOOKUP(F2017,HC!A$6:D$100,3,FALSE)</f>
        <v>#N/A</v>
      </c>
      <c r="O2017" s="7" t="e">
        <f>VLOOKUP(F2017,HC!A$6:D$1000,2,FALSE)</f>
        <v>#N/A</v>
      </c>
      <c r="P2017" t="s">
        <v>661</v>
      </c>
      <c r="Q2017" s="7" t="s">
        <v>681</v>
      </c>
      <c r="U2017">
        <f t="shared" si="33"/>
        <v>1395</v>
      </c>
    </row>
    <row r="2018" spans="1:21" ht="37.5" customHeight="1" x14ac:dyDescent="0.25">
      <c r="A2018" s="33">
        <v>45083</v>
      </c>
      <c r="B2018" s="13">
        <v>23</v>
      </c>
      <c r="C2018" t="s">
        <v>3</v>
      </c>
      <c r="D2018" t="s">
        <v>4</v>
      </c>
      <c r="E2018" t="s">
        <v>5</v>
      </c>
      <c r="F2018" s="6">
        <v>112912663</v>
      </c>
      <c r="G2018" t="s">
        <v>8</v>
      </c>
      <c r="H2018" t="s">
        <v>403</v>
      </c>
      <c r="I2018">
        <v>0</v>
      </c>
      <c r="J2018">
        <v>0</v>
      </c>
      <c r="K2018">
        <v>0</v>
      </c>
      <c r="L2018">
        <v>0</v>
      </c>
      <c r="M2018">
        <v>0.26</v>
      </c>
      <c r="N2018" s="7" t="e">
        <f>VLOOKUP(F2018,HC!A$6:D$100,3,FALSE)</f>
        <v>#N/A</v>
      </c>
      <c r="O2018" s="7" t="e">
        <f>VLOOKUP(F2018,HC!A$6:D$1000,2,FALSE)</f>
        <v>#N/A</v>
      </c>
      <c r="P2018" t="s">
        <v>664</v>
      </c>
      <c r="Q2018" s="7" t="s">
        <v>708</v>
      </c>
      <c r="U2018">
        <f t="shared" si="33"/>
        <v>1395</v>
      </c>
    </row>
    <row r="2019" spans="1:21" ht="37.5" customHeight="1" x14ac:dyDescent="0.25">
      <c r="A2019" s="33">
        <v>45083</v>
      </c>
      <c r="B2019" s="13">
        <v>23</v>
      </c>
      <c r="C2019" t="s">
        <v>3</v>
      </c>
      <c r="D2019" t="s">
        <v>4</v>
      </c>
      <c r="E2019" t="s">
        <v>5</v>
      </c>
      <c r="F2019" s="6">
        <v>112920666</v>
      </c>
      <c r="G2019" t="s">
        <v>252</v>
      </c>
      <c r="H2019" t="s">
        <v>459</v>
      </c>
      <c r="I2019">
        <v>0</v>
      </c>
      <c r="J2019">
        <v>0</v>
      </c>
      <c r="K2019">
        <v>0</v>
      </c>
      <c r="L2019">
        <v>0</v>
      </c>
      <c r="M2019">
        <v>0.16</v>
      </c>
      <c r="N2019" s="7" t="str">
        <f>VLOOKUP(F2019,HC!A$6:D$100,3,FALSE)</f>
        <v>D5-X0700</v>
      </c>
      <c r="O2019" s="7" t="str">
        <f>VLOOKUP(F2019,HC!A$6:D$1000,2,FALSE)</f>
        <v>jorochai</v>
      </c>
      <c r="P2019" t="s">
        <v>662</v>
      </c>
      <c r="Q2019" s="7" t="s">
        <v>757</v>
      </c>
      <c r="U2019">
        <f t="shared" si="33"/>
        <v>19</v>
      </c>
    </row>
    <row r="2020" spans="1:21" ht="37.5" customHeight="1" x14ac:dyDescent="0.25">
      <c r="A2020" s="33">
        <v>45083</v>
      </c>
      <c r="B2020" s="13">
        <v>23</v>
      </c>
      <c r="C2020" t="s">
        <v>3</v>
      </c>
      <c r="D2020" t="s">
        <v>4</v>
      </c>
      <c r="E2020" t="s">
        <v>5</v>
      </c>
      <c r="F2020" s="6">
        <v>112950792</v>
      </c>
      <c r="G2020" t="s">
        <v>618</v>
      </c>
      <c r="H2020" t="s">
        <v>268</v>
      </c>
      <c r="I2020">
        <v>0</v>
      </c>
      <c r="J2020">
        <v>0</v>
      </c>
      <c r="K2020">
        <v>0</v>
      </c>
      <c r="L2020">
        <v>0</v>
      </c>
      <c r="M2020">
        <v>1.0900000000000001</v>
      </c>
      <c r="N2020" s="7" t="str">
        <f>VLOOKUP(F2020,HC!A$6:D$100,3,FALSE)</f>
        <v>NF-X1900</v>
      </c>
      <c r="O2020" s="7" t="str">
        <f>VLOOKUP(F2020,HC!A$6:D$1000,2,FALSE)</f>
        <v>genevmor</v>
      </c>
      <c r="P2020" t="s">
        <v>662</v>
      </c>
      <c r="Q2020" s="7" t="s">
        <v>702</v>
      </c>
      <c r="U2020">
        <f t="shared" si="33"/>
        <v>8</v>
      </c>
    </row>
    <row r="2021" spans="1:21" ht="37.5" customHeight="1" x14ac:dyDescent="0.25">
      <c r="A2021" s="33">
        <v>45083</v>
      </c>
      <c r="B2021" s="13">
        <v>23</v>
      </c>
      <c r="C2021" t="s">
        <v>3</v>
      </c>
      <c r="D2021" t="s">
        <v>4</v>
      </c>
      <c r="E2021" t="s">
        <v>5</v>
      </c>
      <c r="F2021" s="6">
        <v>112981061</v>
      </c>
      <c r="G2021" t="s">
        <v>264</v>
      </c>
      <c r="H2021" t="s">
        <v>44</v>
      </c>
      <c r="I2021">
        <v>0</v>
      </c>
      <c r="J2021">
        <v>0</v>
      </c>
      <c r="K2021">
        <v>0</v>
      </c>
      <c r="L2021">
        <v>0</v>
      </c>
      <c r="M2021">
        <v>0.63</v>
      </c>
      <c r="N2021" s="7" t="str">
        <f>VLOOKUP(F2021,HC!A$6:D$100,3,FALSE)</f>
        <v>DA-X0700</v>
      </c>
      <c r="O2021" s="7" t="str">
        <f>VLOOKUP(F2021,HC!A$6:D$1000,2,FALSE)</f>
        <v>mclaudol</v>
      </c>
      <c r="P2021" t="s">
        <v>661</v>
      </c>
      <c r="Q2021" s="7" t="s">
        <v>681</v>
      </c>
      <c r="U2021">
        <f t="shared" si="33"/>
        <v>44</v>
      </c>
    </row>
    <row r="2022" spans="1:21" ht="37.5" customHeight="1" x14ac:dyDescent="0.25">
      <c r="A2022" s="33">
        <v>45083</v>
      </c>
      <c r="B2022" s="13">
        <v>23</v>
      </c>
      <c r="C2022" t="s">
        <v>3</v>
      </c>
      <c r="D2022" t="s">
        <v>4</v>
      </c>
      <c r="E2022" t="s">
        <v>5</v>
      </c>
      <c r="F2022" s="6">
        <v>113003635</v>
      </c>
      <c r="G2022" t="s">
        <v>930</v>
      </c>
      <c r="H2022" t="s">
        <v>44</v>
      </c>
      <c r="I2022">
        <v>0</v>
      </c>
      <c r="J2022">
        <v>0</v>
      </c>
      <c r="K2022">
        <v>0</v>
      </c>
      <c r="L2022">
        <v>0</v>
      </c>
      <c r="M2022">
        <v>0.36</v>
      </c>
      <c r="N2022" s="7" t="e">
        <f>VLOOKUP(F2022,HC!A$6:D$100,3,FALSE)</f>
        <v>#N/A</v>
      </c>
      <c r="O2022" s="7" t="str">
        <f>VLOOKUP(F2022,HC!A$6:D$1000,2,FALSE)</f>
        <v>barrgiof</v>
      </c>
      <c r="P2022" t="s">
        <v>662</v>
      </c>
      <c r="Q2022" s="7" t="s">
        <v>691</v>
      </c>
      <c r="U2022">
        <f t="shared" si="33"/>
        <v>9</v>
      </c>
    </row>
    <row r="2023" spans="1:21" ht="37.5" customHeight="1" x14ac:dyDescent="0.25">
      <c r="A2023" s="33">
        <v>45083</v>
      </c>
      <c r="B2023" s="13">
        <v>23</v>
      </c>
      <c r="C2023" t="s">
        <v>3</v>
      </c>
      <c r="D2023" t="s">
        <v>4</v>
      </c>
      <c r="E2023" t="s">
        <v>5</v>
      </c>
      <c r="F2023" s="6">
        <v>113004017</v>
      </c>
      <c r="G2023" t="s">
        <v>922</v>
      </c>
      <c r="H2023" t="s">
        <v>47</v>
      </c>
      <c r="I2023">
        <v>0</v>
      </c>
      <c r="J2023">
        <v>0</v>
      </c>
      <c r="K2023">
        <v>0</v>
      </c>
      <c r="L2023">
        <v>0</v>
      </c>
      <c r="M2023">
        <v>0.11</v>
      </c>
      <c r="N2023" s="7" t="e">
        <f>VLOOKUP(F2023,HC!A$6:D$100,3,FALSE)</f>
        <v>#N/A</v>
      </c>
      <c r="O2023" s="7" t="e">
        <f>VLOOKUP(F2023,HC!A$6:D$1000,2,FALSE)</f>
        <v>#N/A</v>
      </c>
      <c r="P2023" t="s">
        <v>664</v>
      </c>
      <c r="Q2023" s="7" t="s">
        <v>708</v>
      </c>
      <c r="U2023">
        <f t="shared" si="33"/>
        <v>1395</v>
      </c>
    </row>
    <row r="2024" spans="1:21" ht="37.5" customHeight="1" x14ac:dyDescent="0.25">
      <c r="A2024" s="33">
        <v>45083</v>
      </c>
      <c r="B2024" s="13">
        <v>23</v>
      </c>
      <c r="C2024" t="s">
        <v>3</v>
      </c>
      <c r="D2024" t="s">
        <v>4</v>
      </c>
      <c r="E2024" t="s">
        <v>5</v>
      </c>
      <c r="F2024" s="6">
        <v>113014042</v>
      </c>
      <c r="G2024" t="s">
        <v>329</v>
      </c>
      <c r="H2024" t="s">
        <v>7</v>
      </c>
      <c r="I2024">
        <v>0</v>
      </c>
      <c r="J2024">
        <v>0</v>
      </c>
      <c r="K2024">
        <v>0</v>
      </c>
      <c r="L2024">
        <v>0</v>
      </c>
      <c r="M2024">
        <v>0.26</v>
      </c>
      <c r="N2024" s="7" t="e">
        <f>VLOOKUP(F2024,HC!A$6:D$100,3,FALSE)</f>
        <v>#N/A</v>
      </c>
      <c r="O2024" s="7" t="str">
        <f>VLOOKUP(F2024,HC!A$6:D$1000,2,FALSE)</f>
        <v>rfcervan</v>
      </c>
      <c r="P2024" t="s">
        <v>661</v>
      </c>
      <c r="Q2024" s="7" t="s">
        <v>681</v>
      </c>
      <c r="U2024">
        <f t="shared" si="33"/>
        <v>23</v>
      </c>
    </row>
    <row r="2025" spans="1:21" ht="37.5" customHeight="1" x14ac:dyDescent="0.25">
      <c r="A2025" s="33">
        <v>45083</v>
      </c>
      <c r="B2025" s="13">
        <v>23</v>
      </c>
      <c r="C2025" t="s">
        <v>3</v>
      </c>
      <c r="D2025" t="s">
        <v>4</v>
      </c>
      <c r="E2025" t="s">
        <v>5</v>
      </c>
      <c r="F2025" s="6">
        <v>113014084</v>
      </c>
      <c r="G2025" t="s">
        <v>462</v>
      </c>
      <c r="H2025" t="s">
        <v>47</v>
      </c>
      <c r="I2025">
        <v>0</v>
      </c>
      <c r="J2025">
        <v>0</v>
      </c>
      <c r="K2025">
        <v>0</v>
      </c>
      <c r="L2025">
        <v>0</v>
      </c>
      <c r="M2025">
        <v>0.2</v>
      </c>
      <c r="N2025" s="7" t="e">
        <f>VLOOKUP(F2025,HC!A$6:D$100,3,FALSE)</f>
        <v>#N/A</v>
      </c>
      <c r="O2025" s="7" t="str">
        <f>VLOOKUP(F2025,HC!A$6:D$1000,2,FALSE)</f>
        <v>dnmanuel</v>
      </c>
      <c r="P2025" t="s">
        <v>663</v>
      </c>
      <c r="Q2025" s="7" t="s">
        <v>692</v>
      </c>
      <c r="U2025">
        <f t="shared" si="33"/>
        <v>6</v>
      </c>
    </row>
    <row r="2026" spans="1:21" ht="37.5" customHeight="1" x14ac:dyDescent="0.25">
      <c r="A2026" s="33">
        <v>45083</v>
      </c>
      <c r="B2026" s="13">
        <v>23</v>
      </c>
      <c r="C2026" t="s">
        <v>3</v>
      </c>
      <c r="D2026" t="s">
        <v>4</v>
      </c>
      <c r="E2026" t="s">
        <v>5</v>
      </c>
      <c r="F2026" s="6">
        <v>113014094</v>
      </c>
      <c r="G2026" t="s">
        <v>463</v>
      </c>
      <c r="H2026" t="s">
        <v>44</v>
      </c>
      <c r="I2026">
        <v>0</v>
      </c>
      <c r="J2026">
        <v>0</v>
      </c>
      <c r="K2026">
        <v>0</v>
      </c>
      <c r="L2026">
        <v>0</v>
      </c>
      <c r="M2026">
        <v>0.31</v>
      </c>
      <c r="N2026" s="7" t="e">
        <f>VLOOKUP(F2026,HC!A$6:D$100,3,FALSE)</f>
        <v>#N/A</v>
      </c>
      <c r="O2026" s="7" t="str">
        <f>VLOOKUP(F2026,HC!A$6:D$1000,2,FALSE)</f>
        <v>erikaadm</v>
      </c>
      <c r="P2026" t="s">
        <v>664</v>
      </c>
      <c r="Q2026" s="7" t="s">
        <v>708</v>
      </c>
      <c r="U2026">
        <f t="shared" si="33"/>
        <v>21</v>
      </c>
    </row>
    <row r="2027" spans="1:21" ht="37.5" customHeight="1" x14ac:dyDescent="0.25">
      <c r="A2027" s="33">
        <v>45083</v>
      </c>
      <c r="B2027" s="13">
        <v>23</v>
      </c>
      <c r="C2027" t="s">
        <v>3</v>
      </c>
      <c r="D2027" t="s">
        <v>4</v>
      </c>
      <c r="E2027" t="s">
        <v>5</v>
      </c>
      <c r="F2027" s="6">
        <v>113020476</v>
      </c>
      <c r="G2027" t="s">
        <v>330</v>
      </c>
      <c r="H2027" t="s">
        <v>7</v>
      </c>
      <c r="I2027">
        <v>0</v>
      </c>
      <c r="J2027">
        <v>0</v>
      </c>
      <c r="K2027">
        <v>0</v>
      </c>
      <c r="L2027">
        <v>0</v>
      </c>
      <c r="M2027">
        <v>0.36</v>
      </c>
      <c r="N2027" s="7" t="e">
        <f>VLOOKUP(F2027,HC!A$6:D$100,3,FALSE)</f>
        <v>#N/A</v>
      </c>
      <c r="O2027" s="7" t="str">
        <f>VLOOKUP(F2027,HC!A$6:D$1000,2,FALSE)</f>
        <v>polettpu</v>
      </c>
      <c r="Q2027" s="7"/>
      <c r="R2027" t="s">
        <v>1067</v>
      </c>
      <c r="U2027">
        <f t="shared" si="33"/>
        <v>55</v>
      </c>
    </row>
    <row r="2028" spans="1:21" ht="37.5" customHeight="1" x14ac:dyDescent="0.25">
      <c r="A2028" s="33">
        <v>45083</v>
      </c>
      <c r="B2028" s="13">
        <v>23</v>
      </c>
      <c r="C2028" t="s">
        <v>3</v>
      </c>
      <c r="D2028" t="s">
        <v>4</v>
      </c>
      <c r="E2028" t="s">
        <v>5</v>
      </c>
      <c r="F2028" s="6">
        <v>113103540</v>
      </c>
      <c r="G2028" t="s">
        <v>854</v>
      </c>
      <c r="H2028" t="s">
        <v>47</v>
      </c>
      <c r="I2028">
        <v>0</v>
      </c>
      <c r="J2028">
        <v>0</v>
      </c>
      <c r="K2028">
        <v>0</v>
      </c>
      <c r="L2028">
        <v>0</v>
      </c>
      <c r="M2028">
        <v>1.1599999999999999</v>
      </c>
      <c r="N2028" s="7" t="e">
        <f>VLOOKUP(F2028,HC!A$6:D$100,3,FALSE)</f>
        <v>#N/A</v>
      </c>
      <c r="O2028" s="7" t="str">
        <f>VLOOKUP(F2028,HC!A$6:D$1000,2,FALSE)</f>
        <v>delgadax</v>
      </c>
      <c r="P2028" t="s">
        <v>661</v>
      </c>
      <c r="Q2028" s="7" t="s">
        <v>700</v>
      </c>
      <c r="U2028">
        <f t="shared" si="33"/>
        <v>9</v>
      </c>
    </row>
    <row r="2029" spans="1:21" ht="37.5" customHeight="1" x14ac:dyDescent="0.25">
      <c r="A2029" s="33">
        <v>45083</v>
      </c>
      <c r="B2029" s="13">
        <v>23</v>
      </c>
      <c r="C2029" t="s">
        <v>3</v>
      </c>
      <c r="D2029" t="s">
        <v>4</v>
      </c>
      <c r="E2029" t="s">
        <v>5</v>
      </c>
      <c r="F2029" s="6">
        <v>200404250</v>
      </c>
      <c r="G2029" t="s">
        <v>51</v>
      </c>
      <c r="H2029" t="s">
        <v>298</v>
      </c>
      <c r="I2029">
        <v>0</v>
      </c>
      <c r="J2029">
        <v>0</v>
      </c>
      <c r="K2029">
        <v>0</v>
      </c>
      <c r="L2029">
        <v>0</v>
      </c>
      <c r="M2029">
        <v>0.46</v>
      </c>
      <c r="N2029" s="7" t="e">
        <f>VLOOKUP(F2029,HC!A$6:D$100,3,FALSE)</f>
        <v>#N/A</v>
      </c>
      <c r="O2029" s="7" t="str">
        <f>VLOOKUP(F2029,HC!A$6:D$1000,2,FALSE)</f>
        <v>xcathurt</v>
      </c>
      <c r="P2029" t="s">
        <v>662</v>
      </c>
      <c r="Q2029" s="7" t="s">
        <v>766</v>
      </c>
      <c r="R2029" t="s">
        <v>1126</v>
      </c>
      <c r="U2029">
        <f t="shared" si="33"/>
        <v>124</v>
      </c>
    </row>
    <row r="2030" spans="1:21" ht="37.5" customHeight="1" x14ac:dyDescent="0.25">
      <c r="A2030" s="33">
        <v>45083</v>
      </c>
      <c r="B2030" s="13">
        <v>23</v>
      </c>
      <c r="C2030" t="s">
        <v>3</v>
      </c>
      <c r="D2030" t="s">
        <v>4</v>
      </c>
      <c r="E2030" t="s">
        <v>21</v>
      </c>
      <c r="F2030" s="6">
        <v>200625517</v>
      </c>
      <c r="G2030" t="s">
        <v>323</v>
      </c>
      <c r="H2030" t="s">
        <v>44</v>
      </c>
      <c r="I2030">
        <v>0</v>
      </c>
      <c r="J2030">
        <v>0</v>
      </c>
      <c r="K2030">
        <v>0</v>
      </c>
      <c r="L2030">
        <v>0</v>
      </c>
      <c r="M2030">
        <v>1.03</v>
      </c>
      <c r="N2030" s="7" t="e">
        <f>VLOOKUP(F2030,HC!A$6:D$100,3,FALSE)</f>
        <v>#N/A</v>
      </c>
      <c r="O2030" s="7" t="e">
        <f>VLOOKUP(F2030,HC!A$6:D$1000,2,FALSE)</f>
        <v>#N/A</v>
      </c>
      <c r="P2030" t="s">
        <v>664</v>
      </c>
      <c r="Q2030" s="7" t="s">
        <v>709</v>
      </c>
      <c r="U2030">
        <f t="shared" si="33"/>
        <v>1395</v>
      </c>
    </row>
    <row r="2031" spans="1:21" ht="37.5" customHeight="1" x14ac:dyDescent="0.25">
      <c r="A2031" s="33">
        <v>45083</v>
      </c>
      <c r="B2031" s="13">
        <v>23</v>
      </c>
      <c r="C2031" t="s">
        <v>3</v>
      </c>
      <c r="D2031" t="s">
        <v>4</v>
      </c>
      <c r="E2031" t="s">
        <v>21</v>
      </c>
      <c r="F2031" s="6">
        <v>201166890</v>
      </c>
      <c r="G2031" t="s">
        <v>998</v>
      </c>
      <c r="H2031" t="s">
        <v>298</v>
      </c>
      <c r="I2031">
        <v>0</v>
      </c>
      <c r="J2031">
        <v>0</v>
      </c>
      <c r="K2031">
        <v>0</v>
      </c>
      <c r="L2031">
        <v>0</v>
      </c>
      <c r="M2031">
        <v>0.1</v>
      </c>
      <c r="N2031" s="7" t="e">
        <f>VLOOKUP(F2031,HC!A$6:D$100,3,FALSE)</f>
        <v>#N/A</v>
      </c>
      <c r="O2031" s="7" t="str">
        <f>VLOOKUP(F2031,HC!A$6:D$1000,2,FALSE)</f>
        <v>lcabadan</v>
      </c>
      <c r="P2031" t="s">
        <v>661</v>
      </c>
      <c r="Q2031" s="7" t="s">
        <v>681</v>
      </c>
      <c r="U2031">
        <f t="shared" si="33"/>
        <v>24</v>
      </c>
    </row>
    <row r="2032" spans="1:21" ht="37.5" customHeight="1" x14ac:dyDescent="0.25">
      <c r="A2032" s="33">
        <v>45083</v>
      </c>
      <c r="B2032" s="13">
        <v>23</v>
      </c>
      <c r="C2032" t="s">
        <v>3</v>
      </c>
      <c r="D2032" t="s">
        <v>4</v>
      </c>
      <c r="E2032" t="s">
        <v>21</v>
      </c>
      <c r="F2032" s="6">
        <v>201167501</v>
      </c>
      <c r="G2032" t="s">
        <v>863</v>
      </c>
      <c r="H2032" t="s">
        <v>44</v>
      </c>
      <c r="I2032">
        <v>0</v>
      </c>
      <c r="J2032">
        <v>0</v>
      </c>
      <c r="K2032">
        <v>0</v>
      </c>
      <c r="L2032">
        <v>0</v>
      </c>
      <c r="M2032">
        <v>0.54</v>
      </c>
      <c r="N2032" s="7" t="e">
        <f>VLOOKUP(F2032,HC!A$6:D$100,3,FALSE)</f>
        <v>#N/A</v>
      </c>
      <c r="O2032" s="7" t="str">
        <f>VLOOKUP(F2032,HC!A$6:D$1000,2,FALSE)</f>
        <v>wguanajr</v>
      </c>
      <c r="P2032" t="s">
        <v>664</v>
      </c>
      <c r="Q2032" s="7" t="s">
        <v>777</v>
      </c>
      <c r="U2032">
        <f t="shared" si="33"/>
        <v>36</v>
      </c>
    </row>
    <row r="2033" spans="1:21" ht="37.5" customHeight="1" x14ac:dyDescent="0.25">
      <c r="A2033" s="33">
        <v>45083</v>
      </c>
      <c r="B2033" s="13">
        <v>23</v>
      </c>
      <c r="C2033" t="s">
        <v>3</v>
      </c>
      <c r="D2033" t="s">
        <v>4</v>
      </c>
      <c r="E2033" t="s">
        <v>21</v>
      </c>
      <c r="F2033" s="6">
        <v>201167517</v>
      </c>
      <c r="G2033" t="s">
        <v>849</v>
      </c>
      <c r="H2033" t="s">
        <v>44</v>
      </c>
      <c r="I2033">
        <v>0</v>
      </c>
      <c r="J2033">
        <v>0</v>
      </c>
      <c r="K2033">
        <v>0</v>
      </c>
      <c r="L2033">
        <v>0</v>
      </c>
      <c r="M2033">
        <v>0.15</v>
      </c>
      <c r="N2033" s="7" t="e">
        <f>VLOOKUP(F2033,HC!A$6:D$100,3,FALSE)</f>
        <v>#N/A</v>
      </c>
      <c r="O2033" s="7" t="e">
        <f>VLOOKUP(F2033,HC!A$6:D$1000,2,FALSE)</f>
        <v>#N/A</v>
      </c>
      <c r="P2033" t="s">
        <v>661</v>
      </c>
      <c r="Q2033" s="7" t="s">
        <v>681</v>
      </c>
      <c r="U2033">
        <f t="shared" si="33"/>
        <v>1395</v>
      </c>
    </row>
    <row r="2034" spans="1:21" ht="37.5" customHeight="1" x14ac:dyDescent="0.25">
      <c r="A2034" s="33">
        <v>45083</v>
      </c>
      <c r="B2034" s="13">
        <v>23</v>
      </c>
      <c r="C2034" t="s">
        <v>3</v>
      </c>
      <c r="D2034" t="s">
        <v>4</v>
      </c>
      <c r="E2034" t="s">
        <v>21</v>
      </c>
      <c r="F2034" s="6">
        <v>201186777</v>
      </c>
      <c r="G2034" t="s">
        <v>856</v>
      </c>
      <c r="H2034" t="s">
        <v>298</v>
      </c>
      <c r="I2034">
        <v>0</v>
      </c>
      <c r="J2034">
        <v>0</v>
      </c>
      <c r="K2034">
        <v>0</v>
      </c>
      <c r="L2034">
        <v>0</v>
      </c>
      <c r="M2034">
        <v>0.49</v>
      </c>
      <c r="N2034" s="7" t="e">
        <f>VLOOKUP(F2034,HC!A$6:D$100,3,FALSE)</f>
        <v>#N/A</v>
      </c>
      <c r="O2034" s="7" t="str">
        <f>VLOOKUP(F2034,HC!A$6:D$1000,2,FALSE)</f>
        <v>bemonzon</v>
      </c>
      <c r="P2034" t="s">
        <v>661</v>
      </c>
      <c r="Q2034" s="7" t="s">
        <v>775</v>
      </c>
      <c r="U2034">
        <f t="shared" si="33"/>
        <v>15</v>
      </c>
    </row>
    <row r="2035" spans="1:21" ht="37.5" customHeight="1" x14ac:dyDescent="0.25">
      <c r="A2035" s="33">
        <v>45083</v>
      </c>
      <c r="B2035" s="13">
        <v>23</v>
      </c>
      <c r="C2035" t="s">
        <v>3</v>
      </c>
      <c r="D2035" t="s">
        <v>4</v>
      </c>
      <c r="E2035" t="s">
        <v>21</v>
      </c>
      <c r="F2035" s="6">
        <v>201300426</v>
      </c>
      <c r="G2035" t="s">
        <v>1124</v>
      </c>
      <c r="H2035" t="s">
        <v>7</v>
      </c>
      <c r="I2035">
        <v>0</v>
      </c>
      <c r="J2035">
        <v>0</v>
      </c>
      <c r="K2035">
        <v>0</v>
      </c>
      <c r="L2035">
        <v>0</v>
      </c>
      <c r="M2035">
        <v>0.17</v>
      </c>
      <c r="N2035" s="7" t="e">
        <f>VLOOKUP(F2035,HC!A$6:D$100,3,FALSE)</f>
        <v>#N/A</v>
      </c>
      <c r="O2035" s="7" t="str">
        <f>VLOOKUP(F2035,HC!A$6:D$1000,2,FALSE)</f>
        <v>adriauli</v>
      </c>
      <c r="P2035" t="s">
        <v>662</v>
      </c>
      <c r="Q2035" s="7" t="s">
        <v>691</v>
      </c>
      <c r="U2035">
        <f t="shared" si="33"/>
        <v>5</v>
      </c>
    </row>
    <row r="2036" spans="1:21" ht="37.5" customHeight="1" x14ac:dyDescent="0.25">
      <c r="A2036" s="33">
        <v>45083</v>
      </c>
      <c r="B2036" s="13">
        <v>23</v>
      </c>
      <c r="C2036" t="s">
        <v>3</v>
      </c>
      <c r="D2036" t="s">
        <v>4</v>
      </c>
      <c r="E2036" t="s">
        <v>21</v>
      </c>
      <c r="F2036" s="6">
        <v>201320388</v>
      </c>
      <c r="G2036" t="s">
        <v>994</v>
      </c>
      <c r="H2036" t="s">
        <v>44</v>
      </c>
      <c r="I2036">
        <v>0</v>
      </c>
      <c r="J2036">
        <v>0</v>
      </c>
      <c r="K2036">
        <v>0</v>
      </c>
      <c r="L2036">
        <v>0</v>
      </c>
      <c r="M2036">
        <v>0.14000000000000001</v>
      </c>
      <c r="N2036" s="7" t="e">
        <f>VLOOKUP(F2036,HC!A$6:D$100,3,FALSE)</f>
        <v>#N/A</v>
      </c>
      <c r="O2036" s="7" t="e">
        <f>VLOOKUP(F2036,HC!A$6:D$1000,2,FALSE)</f>
        <v>#N/A</v>
      </c>
      <c r="P2036" t="s">
        <v>661</v>
      </c>
      <c r="Q2036" s="7" t="s">
        <v>681</v>
      </c>
      <c r="U2036">
        <f t="shared" si="33"/>
        <v>1395</v>
      </c>
    </row>
    <row r="2037" spans="1:21" ht="37.5" customHeight="1" x14ac:dyDescent="0.25">
      <c r="A2037" s="33">
        <v>45083</v>
      </c>
      <c r="B2037" s="13">
        <v>23</v>
      </c>
      <c r="C2037" t="s">
        <v>3</v>
      </c>
      <c r="D2037" t="s">
        <v>4</v>
      </c>
      <c r="E2037" t="s">
        <v>21</v>
      </c>
      <c r="F2037" s="6">
        <v>201354965</v>
      </c>
      <c r="G2037" t="s">
        <v>1063</v>
      </c>
      <c r="H2037" t="s">
        <v>263</v>
      </c>
      <c r="I2037">
        <v>0</v>
      </c>
      <c r="J2037">
        <v>0</v>
      </c>
      <c r="K2037">
        <v>0</v>
      </c>
      <c r="L2037">
        <v>0</v>
      </c>
      <c r="M2037">
        <v>0.42</v>
      </c>
      <c r="N2037" s="7" t="e">
        <f>VLOOKUP(F2037,HC!A$6:D$100,3,FALSE)</f>
        <v>#N/A</v>
      </c>
      <c r="O2037" s="7" t="str">
        <f>VLOOKUP(F2037,HC!A$6:D$1000,2,FALSE)</f>
        <v>alinejim</v>
      </c>
      <c r="P2037" t="s">
        <v>661</v>
      </c>
      <c r="Q2037" s="7" t="s">
        <v>775</v>
      </c>
      <c r="U2037">
        <f t="shared" si="33"/>
        <v>33</v>
      </c>
    </row>
    <row r="2038" spans="1:21" ht="37.5" customHeight="1" x14ac:dyDescent="0.25">
      <c r="A2038" s="33">
        <v>45083</v>
      </c>
      <c r="B2038" s="13">
        <v>23</v>
      </c>
      <c r="C2038" t="s">
        <v>3</v>
      </c>
      <c r="D2038" t="s">
        <v>4</v>
      </c>
      <c r="E2038" t="s">
        <v>21</v>
      </c>
      <c r="F2038" s="6">
        <v>201368616</v>
      </c>
      <c r="G2038" t="s">
        <v>1125</v>
      </c>
      <c r="H2038" t="s">
        <v>1040</v>
      </c>
      <c r="I2038">
        <v>0</v>
      </c>
      <c r="J2038">
        <v>0</v>
      </c>
      <c r="K2038">
        <v>0</v>
      </c>
      <c r="L2038">
        <v>0</v>
      </c>
      <c r="M2038">
        <v>0.62</v>
      </c>
      <c r="N2038" s="7" t="e">
        <f>VLOOKUP(F2038,HC!A$6:D$100,3,FALSE)</f>
        <v>#N/A</v>
      </c>
      <c r="O2038" s="7" t="e">
        <f>VLOOKUP(F2038,HC!A$6:D$1000,2,FALSE)</f>
        <v>#N/A</v>
      </c>
      <c r="P2038" t="s">
        <v>661</v>
      </c>
      <c r="Q2038" s="7" t="s">
        <v>681</v>
      </c>
      <c r="U2038">
        <f t="shared" si="33"/>
        <v>1395</v>
      </c>
    </row>
    <row r="2039" spans="1:21" ht="37.5" customHeight="1" x14ac:dyDescent="0.25">
      <c r="A2039" s="33">
        <v>45084</v>
      </c>
      <c r="B2039" s="13">
        <v>23</v>
      </c>
      <c r="C2039" t="s">
        <v>3</v>
      </c>
      <c r="D2039" t="s">
        <v>4</v>
      </c>
      <c r="E2039" t="s">
        <v>5</v>
      </c>
      <c r="F2039" s="6">
        <v>103979960</v>
      </c>
      <c r="G2039" t="s">
        <v>372</v>
      </c>
      <c r="H2039" t="s">
        <v>44</v>
      </c>
      <c r="I2039">
        <v>0</v>
      </c>
      <c r="J2039">
        <v>0</v>
      </c>
      <c r="K2039">
        <v>0</v>
      </c>
      <c r="L2039">
        <v>0</v>
      </c>
      <c r="M2039">
        <v>0.48</v>
      </c>
      <c r="N2039" s="7" t="e">
        <f>VLOOKUP(F2039,HC!A$6:D$100,3,FALSE)</f>
        <v>#N/A</v>
      </c>
      <c r="O2039" s="7" t="e">
        <f>VLOOKUP(F2039,HC!A$6:D$1000,2,FALSE)</f>
        <v>#N/A</v>
      </c>
      <c r="P2039" t="s">
        <v>670</v>
      </c>
      <c r="Q2039" s="7" t="s">
        <v>746</v>
      </c>
      <c r="R2039" t="s">
        <v>1129</v>
      </c>
      <c r="U2039">
        <f t="shared" si="33"/>
        <v>1395</v>
      </c>
    </row>
    <row r="2040" spans="1:21" ht="37.5" customHeight="1" x14ac:dyDescent="0.25">
      <c r="A2040" s="33">
        <v>45084</v>
      </c>
      <c r="B2040" s="13">
        <v>23</v>
      </c>
      <c r="C2040" t="s">
        <v>3</v>
      </c>
      <c r="D2040" t="s">
        <v>4</v>
      </c>
      <c r="E2040" t="s">
        <v>5</v>
      </c>
      <c r="F2040" s="6">
        <v>110249592</v>
      </c>
      <c r="G2040" t="s">
        <v>1127</v>
      </c>
      <c r="H2040" t="s">
        <v>49</v>
      </c>
      <c r="I2040">
        <v>0</v>
      </c>
      <c r="J2040">
        <v>0</v>
      </c>
      <c r="K2040">
        <v>0</v>
      </c>
      <c r="L2040">
        <v>0</v>
      </c>
      <c r="M2040">
        <v>1.37</v>
      </c>
      <c r="N2040" s="7" t="str">
        <f>VLOOKUP(F2040,HC!A$6:D$100,3,FALSE)</f>
        <v>DB-X0700</v>
      </c>
      <c r="O2040" s="7" t="str">
        <f>VLOOKUP(F2040,HC!A$6:D$1000,2,FALSE)</f>
        <v>jomotaco</v>
      </c>
      <c r="P2040" t="s">
        <v>661</v>
      </c>
      <c r="Q2040" s="7" t="s">
        <v>684</v>
      </c>
      <c r="U2040">
        <f t="shared" si="33"/>
        <v>1</v>
      </c>
    </row>
    <row r="2041" spans="1:21" ht="37.5" customHeight="1" x14ac:dyDescent="0.25">
      <c r="A2041" s="33">
        <v>45084</v>
      </c>
      <c r="B2041" s="13">
        <v>23</v>
      </c>
      <c r="C2041" t="s">
        <v>3</v>
      </c>
      <c r="D2041" t="s">
        <v>4</v>
      </c>
      <c r="E2041" t="s">
        <v>5</v>
      </c>
      <c r="F2041" s="6">
        <v>112912052</v>
      </c>
      <c r="G2041" t="s">
        <v>900</v>
      </c>
      <c r="H2041" t="s">
        <v>459</v>
      </c>
      <c r="I2041">
        <v>0</v>
      </c>
      <c r="J2041">
        <v>0</v>
      </c>
      <c r="K2041">
        <v>0</v>
      </c>
      <c r="L2041">
        <v>0</v>
      </c>
      <c r="M2041">
        <v>0.22</v>
      </c>
      <c r="N2041" s="7" t="str">
        <f>VLOOKUP(F2041,HC!A$6:D$100,3,FALSE)</f>
        <v>DB-X0700</v>
      </c>
      <c r="O2041" s="7" t="str">
        <f>VLOOKUP(F2041,HC!A$6:D$1000,2,FALSE)</f>
        <v>oortizce</v>
      </c>
      <c r="P2041" t="s">
        <v>662</v>
      </c>
      <c r="Q2041" s="7" t="s">
        <v>757</v>
      </c>
      <c r="U2041">
        <f t="shared" si="33"/>
        <v>5</v>
      </c>
    </row>
    <row r="2042" spans="1:21" ht="37.5" customHeight="1" x14ac:dyDescent="0.25">
      <c r="A2042" s="33">
        <v>45084</v>
      </c>
      <c r="B2042" s="13">
        <v>23</v>
      </c>
      <c r="C2042" t="s">
        <v>3</v>
      </c>
      <c r="D2042" t="s">
        <v>4</v>
      </c>
      <c r="E2042" t="s">
        <v>5</v>
      </c>
      <c r="F2042" s="6">
        <v>112912163</v>
      </c>
      <c r="G2042" t="s">
        <v>294</v>
      </c>
      <c r="H2042" t="s">
        <v>298</v>
      </c>
      <c r="I2042">
        <v>0</v>
      </c>
      <c r="J2042">
        <v>0</v>
      </c>
      <c r="K2042">
        <v>0</v>
      </c>
      <c r="L2042">
        <v>0</v>
      </c>
      <c r="M2042">
        <v>7.0000000000000007E-2</v>
      </c>
      <c r="N2042" s="7" t="e">
        <f>VLOOKUP(F2042,HC!A$6:D$100,3,FALSE)</f>
        <v>#N/A</v>
      </c>
      <c r="O2042" s="7" t="e">
        <f>VLOOKUP(F2042,HC!A$6:D$1000,2,FALSE)</f>
        <v>#N/A</v>
      </c>
      <c r="P2042" t="s">
        <v>664</v>
      </c>
      <c r="Q2042" s="7" t="s">
        <v>710</v>
      </c>
      <c r="U2042">
        <f t="shared" si="33"/>
        <v>1395</v>
      </c>
    </row>
    <row r="2043" spans="1:21" ht="37.5" customHeight="1" x14ac:dyDescent="0.25">
      <c r="A2043" s="33">
        <v>45084</v>
      </c>
      <c r="B2043" s="13">
        <v>23</v>
      </c>
      <c r="C2043" t="s">
        <v>3</v>
      </c>
      <c r="D2043" t="s">
        <v>4</v>
      </c>
      <c r="E2043" t="s">
        <v>5</v>
      </c>
      <c r="F2043" s="6">
        <v>112942473</v>
      </c>
      <c r="G2043" t="s">
        <v>996</v>
      </c>
      <c r="H2043" t="s">
        <v>403</v>
      </c>
      <c r="I2043">
        <v>0</v>
      </c>
      <c r="J2043">
        <v>0</v>
      </c>
      <c r="K2043">
        <v>0</v>
      </c>
      <c r="L2043">
        <v>0</v>
      </c>
      <c r="M2043">
        <v>1.99</v>
      </c>
      <c r="N2043" s="7" t="str">
        <f>VLOOKUP(F2043,HC!A$6:D$100,3,FALSE)</f>
        <v>DC-X0700</v>
      </c>
      <c r="O2043" s="7" t="str">
        <f>VLOOKUP(F2043,HC!A$6:D$1000,2,FALSE)</f>
        <v>hildacec</v>
      </c>
      <c r="P2043" t="s">
        <v>664</v>
      </c>
      <c r="Q2043" s="7" t="s">
        <v>711</v>
      </c>
      <c r="U2043">
        <f t="shared" si="33"/>
        <v>6</v>
      </c>
    </row>
    <row r="2044" spans="1:21" ht="37.5" customHeight="1" x14ac:dyDescent="0.25">
      <c r="A2044" s="33">
        <v>45084</v>
      </c>
      <c r="B2044" s="13">
        <v>23</v>
      </c>
      <c r="C2044" t="s">
        <v>3</v>
      </c>
      <c r="D2044" t="s">
        <v>4</v>
      </c>
      <c r="E2044" t="s">
        <v>5</v>
      </c>
      <c r="F2044" s="6">
        <v>112951256</v>
      </c>
      <c r="G2044" t="s">
        <v>337</v>
      </c>
      <c r="H2044" t="s">
        <v>332</v>
      </c>
      <c r="I2044">
        <v>0</v>
      </c>
      <c r="J2044">
        <v>0</v>
      </c>
      <c r="K2044">
        <v>0</v>
      </c>
      <c r="L2044">
        <v>0</v>
      </c>
      <c r="M2044">
        <v>0.25</v>
      </c>
      <c r="N2044" s="7" t="str">
        <f>VLOOKUP(F2044,HC!A$6:D$100,3,FALSE)</f>
        <v>DA-X0700</v>
      </c>
      <c r="O2044" s="7" t="str">
        <f>VLOOKUP(F2044,HC!A$6:D$1000,2,FALSE)</f>
        <v>grkatery</v>
      </c>
      <c r="P2044" t="s">
        <v>664</v>
      </c>
      <c r="Q2044" s="7" t="s">
        <v>710</v>
      </c>
      <c r="U2044">
        <f t="shared" si="33"/>
        <v>17</v>
      </c>
    </row>
    <row r="2045" spans="1:21" ht="37.5" customHeight="1" x14ac:dyDescent="0.25">
      <c r="A2045" s="33">
        <v>45084</v>
      </c>
      <c r="B2045" s="13">
        <v>23</v>
      </c>
      <c r="C2045" t="s">
        <v>3</v>
      </c>
      <c r="D2045" t="s">
        <v>4</v>
      </c>
      <c r="E2045" t="s">
        <v>5</v>
      </c>
      <c r="F2045" s="6">
        <v>112972897</v>
      </c>
      <c r="G2045" t="s">
        <v>1128</v>
      </c>
      <c r="H2045" t="s">
        <v>282</v>
      </c>
      <c r="I2045">
        <v>0</v>
      </c>
      <c r="J2045">
        <v>0</v>
      </c>
      <c r="K2045">
        <v>0</v>
      </c>
      <c r="L2045">
        <v>0</v>
      </c>
      <c r="M2045">
        <v>0.75</v>
      </c>
      <c r="N2045" s="7" t="str">
        <f>VLOOKUP(F2045,HC!A$6:D$100,3,FALSE)</f>
        <v>DB-X0700</v>
      </c>
      <c r="O2045" s="7" t="str">
        <f>VLOOKUP(F2045,HC!A$6:D$1000,2,FALSE)</f>
        <v>adonairk</v>
      </c>
      <c r="P2045" t="s">
        <v>661</v>
      </c>
      <c r="Q2045" s="7" t="s">
        <v>681</v>
      </c>
      <c r="U2045">
        <f t="shared" si="33"/>
        <v>3</v>
      </c>
    </row>
    <row r="2046" spans="1:21" ht="37.5" customHeight="1" x14ac:dyDescent="0.25">
      <c r="A2046" s="33">
        <v>45084</v>
      </c>
      <c r="B2046" s="13">
        <v>23</v>
      </c>
      <c r="C2046" t="s">
        <v>3</v>
      </c>
      <c r="D2046" t="s">
        <v>4</v>
      </c>
      <c r="E2046" t="s">
        <v>5</v>
      </c>
      <c r="F2046" s="6">
        <v>112981061</v>
      </c>
      <c r="G2046" t="s">
        <v>264</v>
      </c>
      <c r="H2046" t="s">
        <v>44</v>
      </c>
      <c r="I2046">
        <v>0</v>
      </c>
      <c r="J2046">
        <v>0</v>
      </c>
      <c r="K2046">
        <v>0</v>
      </c>
      <c r="L2046">
        <v>0</v>
      </c>
      <c r="M2046">
        <v>1.57</v>
      </c>
      <c r="N2046" s="7" t="str">
        <f>VLOOKUP(F2046,HC!A$6:D$100,3,FALSE)</f>
        <v>DA-X0700</v>
      </c>
      <c r="O2046" s="7" t="str">
        <f>VLOOKUP(F2046,HC!A$6:D$1000,2,FALSE)</f>
        <v>mclaudol</v>
      </c>
      <c r="P2046" t="s">
        <v>662</v>
      </c>
      <c r="Q2046" s="7" t="s">
        <v>691</v>
      </c>
      <c r="U2046">
        <f t="shared" si="33"/>
        <v>44</v>
      </c>
    </row>
    <row r="2047" spans="1:21" ht="37.5" customHeight="1" x14ac:dyDescent="0.25">
      <c r="A2047" s="33">
        <v>45084</v>
      </c>
      <c r="B2047" s="13">
        <v>23</v>
      </c>
      <c r="C2047" t="s">
        <v>3</v>
      </c>
      <c r="D2047" t="s">
        <v>4</v>
      </c>
      <c r="E2047" t="s">
        <v>5</v>
      </c>
      <c r="F2047" s="6">
        <v>113003635</v>
      </c>
      <c r="G2047" t="s">
        <v>930</v>
      </c>
      <c r="H2047" t="s">
        <v>44</v>
      </c>
      <c r="I2047">
        <v>0</v>
      </c>
      <c r="J2047">
        <v>0</v>
      </c>
      <c r="K2047">
        <v>0</v>
      </c>
      <c r="L2047">
        <v>0</v>
      </c>
      <c r="M2047">
        <v>0.08</v>
      </c>
      <c r="N2047" s="7" t="e">
        <f>VLOOKUP(F2047,HC!A$6:D$100,3,FALSE)</f>
        <v>#N/A</v>
      </c>
      <c r="O2047" s="7" t="str">
        <f>VLOOKUP(F2047,HC!A$6:D$1000,2,FALSE)</f>
        <v>barrgiof</v>
      </c>
      <c r="P2047" t="s">
        <v>662</v>
      </c>
      <c r="Q2047" s="7" t="s">
        <v>691</v>
      </c>
      <c r="U2047">
        <f t="shared" si="33"/>
        <v>9</v>
      </c>
    </row>
    <row r="2048" spans="1:21" ht="37.5" customHeight="1" x14ac:dyDescent="0.25">
      <c r="A2048" s="33">
        <v>45084</v>
      </c>
      <c r="B2048" s="13">
        <v>23</v>
      </c>
      <c r="C2048" t="s">
        <v>3</v>
      </c>
      <c r="D2048" t="s">
        <v>4</v>
      </c>
      <c r="E2048" t="s">
        <v>5</v>
      </c>
      <c r="F2048" s="6">
        <v>113003674</v>
      </c>
      <c r="G2048" t="s">
        <v>855</v>
      </c>
      <c r="H2048" t="s">
        <v>49</v>
      </c>
      <c r="I2048">
        <v>0</v>
      </c>
      <c r="J2048">
        <v>0</v>
      </c>
      <c r="K2048">
        <v>0</v>
      </c>
      <c r="L2048">
        <v>0</v>
      </c>
      <c r="M2048">
        <v>0.75</v>
      </c>
      <c r="N2048" s="7" t="e">
        <f>VLOOKUP(F2048,HC!A$6:D$100,3,FALSE)</f>
        <v>#N/A</v>
      </c>
      <c r="O2048" s="7" t="str">
        <f>VLOOKUP(F2048,HC!A$6:D$1000,2,FALSE)</f>
        <v>jcarlgas</v>
      </c>
      <c r="P2048" t="s">
        <v>668</v>
      </c>
      <c r="Q2048" s="7" t="s">
        <v>728</v>
      </c>
      <c r="U2048">
        <f t="shared" si="33"/>
        <v>4</v>
      </c>
    </row>
    <row r="2049" spans="1:21" ht="37.5" customHeight="1" x14ac:dyDescent="0.25">
      <c r="A2049" s="33">
        <v>45084</v>
      </c>
      <c r="B2049" s="13">
        <v>23</v>
      </c>
      <c r="C2049" t="s">
        <v>3</v>
      </c>
      <c r="D2049" t="s">
        <v>4</v>
      </c>
      <c r="E2049" t="s">
        <v>5</v>
      </c>
      <c r="F2049" s="6">
        <v>113014403</v>
      </c>
      <c r="G2049" t="s">
        <v>373</v>
      </c>
      <c r="H2049" t="s">
        <v>298</v>
      </c>
      <c r="I2049">
        <v>0</v>
      </c>
      <c r="J2049">
        <v>0</v>
      </c>
      <c r="K2049">
        <v>0</v>
      </c>
      <c r="L2049">
        <v>0</v>
      </c>
      <c r="M2049">
        <v>0.3</v>
      </c>
      <c r="N2049" s="7" t="e">
        <f>VLOOKUP(F2049,HC!A$6:D$100,3,FALSE)</f>
        <v>#N/A</v>
      </c>
      <c r="O2049" s="7" t="str">
        <f>VLOOKUP(F2049,HC!A$6:D$1000,2,FALSE)</f>
        <v>wnoraria</v>
      </c>
      <c r="P2049" t="s">
        <v>664</v>
      </c>
      <c r="Q2049" s="7" t="s">
        <v>710</v>
      </c>
      <c r="U2049">
        <f t="shared" si="33"/>
        <v>23</v>
      </c>
    </row>
    <row r="2050" spans="1:21" ht="37.5" customHeight="1" x14ac:dyDescent="0.25">
      <c r="A2050" s="33">
        <v>45084</v>
      </c>
      <c r="B2050" s="13">
        <v>23</v>
      </c>
      <c r="C2050" t="s">
        <v>3</v>
      </c>
      <c r="D2050" t="s">
        <v>4</v>
      </c>
      <c r="E2050" t="s">
        <v>5</v>
      </c>
      <c r="F2050" s="6">
        <v>113044620</v>
      </c>
      <c r="G2050" t="s">
        <v>470</v>
      </c>
      <c r="H2050" t="s">
        <v>44</v>
      </c>
      <c r="I2050">
        <v>0</v>
      </c>
      <c r="J2050">
        <v>0</v>
      </c>
      <c r="K2050">
        <v>0</v>
      </c>
      <c r="L2050">
        <v>0</v>
      </c>
      <c r="M2050">
        <v>0.13</v>
      </c>
      <c r="N2050" s="7" t="e">
        <f>VLOOKUP(F2050,HC!A$6:D$100,3,FALSE)</f>
        <v>#N/A</v>
      </c>
      <c r="O2050" s="7" t="str">
        <f>VLOOKUP(F2050,HC!A$6:D$1000,2,FALSE)</f>
        <v>aldojasw</v>
      </c>
      <c r="P2050" t="s">
        <v>661</v>
      </c>
      <c r="Q2050" s="7" t="s">
        <v>681</v>
      </c>
      <c r="U2050">
        <f t="shared" si="33"/>
        <v>11</v>
      </c>
    </row>
    <row r="2051" spans="1:21" ht="37.5" customHeight="1" x14ac:dyDescent="0.25">
      <c r="A2051" s="33">
        <v>45084</v>
      </c>
      <c r="B2051" s="13">
        <v>23</v>
      </c>
      <c r="C2051" t="s">
        <v>3</v>
      </c>
      <c r="D2051" t="s">
        <v>4</v>
      </c>
      <c r="E2051" t="s">
        <v>21</v>
      </c>
      <c r="F2051" s="6">
        <v>200509428</v>
      </c>
      <c r="G2051" t="s">
        <v>272</v>
      </c>
      <c r="H2051" t="s">
        <v>44</v>
      </c>
      <c r="I2051">
        <v>0</v>
      </c>
      <c r="J2051">
        <v>0</v>
      </c>
      <c r="K2051">
        <v>0</v>
      </c>
      <c r="L2051">
        <v>0</v>
      </c>
      <c r="M2051">
        <v>0.17</v>
      </c>
      <c r="N2051" s="7" t="e">
        <f>VLOOKUP(F2051,HC!A$6:D$100,3,FALSE)</f>
        <v>#N/A</v>
      </c>
      <c r="O2051" s="7" t="e">
        <f>VLOOKUP(F2051,HC!A$6:D$1000,2,FALSE)</f>
        <v>#N/A</v>
      </c>
      <c r="P2051" t="s">
        <v>661</v>
      </c>
      <c r="Q2051" s="7" t="s">
        <v>681</v>
      </c>
      <c r="U2051">
        <f t="shared" ref="U2051:U2114" si="34">COUNTIF(O$2:O$4999,O2051)</f>
        <v>1395</v>
      </c>
    </row>
    <row r="2052" spans="1:21" ht="37.5" customHeight="1" x14ac:dyDescent="0.25">
      <c r="A2052" s="33">
        <v>45084</v>
      </c>
      <c r="B2052" s="13">
        <v>23</v>
      </c>
      <c r="C2052" t="s">
        <v>3</v>
      </c>
      <c r="D2052" t="s">
        <v>4</v>
      </c>
      <c r="E2052" t="s">
        <v>21</v>
      </c>
      <c r="F2052" s="6">
        <v>200553975</v>
      </c>
      <c r="G2052" t="s">
        <v>399</v>
      </c>
      <c r="H2052" t="s">
        <v>49</v>
      </c>
      <c r="I2052">
        <v>0</v>
      </c>
      <c r="J2052">
        <v>0</v>
      </c>
      <c r="K2052">
        <v>0</v>
      </c>
      <c r="L2052">
        <v>0</v>
      </c>
      <c r="M2052">
        <v>1.68</v>
      </c>
      <c r="N2052" s="7" t="e">
        <f>VLOOKUP(F2052,HC!A$6:D$100,3,FALSE)</f>
        <v>#N/A</v>
      </c>
      <c r="O2052" s="7" t="str">
        <f>VLOOKUP(F2052,HC!A$6:D$1000,2,FALSE)</f>
        <v>juandidu</v>
      </c>
      <c r="P2052" t="s">
        <v>661</v>
      </c>
      <c r="Q2052" s="7" t="s">
        <v>681</v>
      </c>
      <c r="U2052">
        <f t="shared" si="34"/>
        <v>4</v>
      </c>
    </row>
    <row r="2053" spans="1:21" ht="37.5" customHeight="1" x14ac:dyDescent="0.25">
      <c r="A2053" s="33">
        <v>45084</v>
      </c>
      <c r="B2053" s="13">
        <v>23</v>
      </c>
      <c r="C2053" t="s">
        <v>3</v>
      </c>
      <c r="D2053" t="s">
        <v>4</v>
      </c>
      <c r="E2053" t="s">
        <v>21</v>
      </c>
      <c r="F2053" s="6">
        <v>200625517</v>
      </c>
      <c r="G2053" t="s">
        <v>323</v>
      </c>
      <c r="H2053" t="s">
        <v>44</v>
      </c>
      <c r="I2053">
        <v>0</v>
      </c>
      <c r="J2053">
        <v>0</v>
      </c>
      <c r="K2053">
        <v>0</v>
      </c>
      <c r="L2053">
        <v>0</v>
      </c>
      <c r="M2053">
        <v>0.27</v>
      </c>
      <c r="N2053" s="7" t="e">
        <f>VLOOKUP(F2053,HC!A$6:D$100,3,FALSE)</f>
        <v>#N/A</v>
      </c>
      <c r="O2053" s="7" t="e">
        <f>VLOOKUP(F2053,HC!A$6:D$1000,2,FALSE)</f>
        <v>#N/A</v>
      </c>
      <c r="P2053" t="s">
        <v>664</v>
      </c>
      <c r="Q2053" s="7" t="s">
        <v>709</v>
      </c>
      <c r="U2053">
        <f t="shared" si="34"/>
        <v>1395</v>
      </c>
    </row>
    <row r="2054" spans="1:21" ht="37.5" customHeight="1" x14ac:dyDescent="0.25">
      <c r="A2054" s="33">
        <v>45084</v>
      </c>
      <c r="B2054" s="13">
        <v>23</v>
      </c>
      <c r="C2054" t="s">
        <v>3</v>
      </c>
      <c r="D2054" t="s">
        <v>4</v>
      </c>
      <c r="E2054" t="s">
        <v>21</v>
      </c>
      <c r="F2054" s="6">
        <v>201191198</v>
      </c>
      <c r="G2054" t="s">
        <v>974</v>
      </c>
      <c r="H2054" t="s">
        <v>17</v>
      </c>
      <c r="I2054">
        <v>0</v>
      </c>
      <c r="J2054">
        <v>0</v>
      </c>
      <c r="K2054">
        <v>0</v>
      </c>
      <c r="L2054">
        <v>0</v>
      </c>
      <c r="M2054">
        <v>0.56000000000000005</v>
      </c>
      <c r="N2054" s="7" t="e">
        <f>VLOOKUP(F2054,HC!A$6:D$100,3,FALSE)</f>
        <v>#N/A</v>
      </c>
      <c r="O2054" s="7" t="str">
        <f>VLOOKUP(F2054,HC!A$6:D$1000,2,FALSE)</f>
        <v>mojicemm</v>
      </c>
      <c r="P2054" t="s">
        <v>664</v>
      </c>
      <c r="Q2054" s="7" t="s">
        <v>709</v>
      </c>
      <c r="U2054">
        <f t="shared" si="34"/>
        <v>24</v>
      </c>
    </row>
    <row r="2055" spans="1:21" ht="37.5" customHeight="1" x14ac:dyDescent="0.25">
      <c r="A2055" s="33">
        <v>45084</v>
      </c>
      <c r="B2055" s="13">
        <v>23</v>
      </c>
      <c r="C2055" t="s">
        <v>3</v>
      </c>
      <c r="D2055" t="s">
        <v>4</v>
      </c>
      <c r="E2055" t="s">
        <v>21</v>
      </c>
      <c r="F2055" s="6">
        <v>201211157</v>
      </c>
      <c r="G2055" t="s">
        <v>936</v>
      </c>
      <c r="H2055" t="s">
        <v>49</v>
      </c>
      <c r="I2055">
        <v>0</v>
      </c>
      <c r="J2055">
        <v>0</v>
      </c>
      <c r="K2055">
        <v>0</v>
      </c>
      <c r="L2055">
        <v>0</v>
      </c>
      <c r="M2055">
        <v>0.32</v>
      </c>
      <c r="N2055" s="7" t="e">
        <f>VLOOKUP(F2055,HC!A$6:D$100,3,FALSE)</f>
        <v>#N/A</v>
      </c>
      <c r="O2055" s="7" t="str">
        <f>VLOOKUP(F2055,HC!A$6:D$1000,2,FALSE)</f>
        <v>vargajed</v>
      </c>
      <c r="P2055" t="s">
        <v>661</v>
      </c>
      <c r="Q2055" s="7" t="s">
        <v>681</v>
      </c>
      <c r="U2055">
        <f t="shared" si="34"/>
        <v>17</v>
      </c>
    </row>
    <row r="2056" spans="1:21" ht="37.5" customHeight="1" x14ac:dyDescent="0.25">
      <c r="A2056" s="33">
        <v>45084</v>
      </c>
      <c r="B2056" s="13">
        <v>23</v>
      </c>
      <c r="C2056" t="s">
        <v>3</v>
      </c>
      <c r="D2056" t="s">
        <v>4</v>
      </c>
      <c r="E2056" t="s">
        <v>21</v>
      </c>
      <c r="F2056" s="6">
        <v>201212196</v>
      </c>
      <c r="G2056" t="s">
        <v>958</v>
      </c>
      <c r="H2056" t="s">
        <v>17</v>
      </c>
      <c r="I2056">
        <v>0</v>
      </c>
      <c r="J2056">
        <v>0</v>
      </c>
      <c r="K2056">
        <v>0</v>
      </c>
      <c r="L2056">
        <v>0</v>
      </c>
      <c r="M2056">
        <v>0.12</v>
      </c>
      <c r="N2056" s="7" t="e">
        <f>VLOOKUP(F2056,HC!A$6:D$100,3,FALSE)</f>
        <v>#N/A</v>
      </c>
      <c r="O2056" s="7" t="e">
        <f>VLOOKUP(F2056,HC!A$6:D$1000,2,FALSE)</f>
        <v>#N/A</v>
      </c>
      <c r="P2056" t="s">
        <v>661</v>
      </c>
      <c r="Q2056" s="7" t="s">
        <v>681</v>
      </c>
      <c r="U2056">
        <f t="shared" si="34"/>
        <v>1395</v>
      </c>
    </row>
    <row r="2057" spans="1:21" ht="37.5" customHeight="1" x14ac:dyDescent="0.25">
      <c r="A2057" s="33">
        <v>45084</v>
      </c>
      <c r="B2057" s="13">
        <v>23</v>
      </c>
      <c r="C2057" t="s">
        <v>3</v>
      </c>
      <c r="D2057" t="s">
        <v>4</v>
      </c>
      <c r="E2057" t="s">
        <v>21</v>
      </c>
      <c r="F2057" s="6">
        <v>201329529</v>
      </c>
      <c r="G2057" t="s">
        <v>1069</v>
      </c>
      <c r="H2057" t="s">
        <v>263</v>
      </c>
      <c r="I2057">
        <v>0</v>
      </c>
      <c r="J2057">
        <v>0</v>
      </c>
      <c r="K2057">
        <v>0</v>
      </c>
      <c r="L2057">
        <v>0</v>
      </c>
      <c r="M2057">
        <v>0.82</v>
      </c>
      <c r="N2057" s="7" t="e">
        <f>VLOOKUP(F2057,HC!A$6:D$100,3,FALSE)</f>
        <v>#N/A</v>
      </c>
      <c r="O2057" s="7" t="e">
        <f>VLOOKUP(F2057,HC!A$6:D$1000,2,FALSE)</f>
        <v>#N/A</v>
      </c>
      <c r="P2057" t="s">
        <v>661</v>
      </c>
      <c r="Q2057" s="7" t="s">
        <v>684</v>
      </c>
      <c r="U2057">
        <f t="shared" si="34"/>
        <v>1395</v>
      </c>
    </row>
    <row r="2058" spans="1:21" ht="37.5" customHeight="1" x14ac:dyDescent="0.25">
      <c r="A2058" s="33">
        <v>45084</v>
      </c>
      <c r="B2058" s="13">
        <v>23</v>
      </c>
      <c r="C2058" t="s">
        <v>3</v>
      </c>
      <c r="D2058" t="s">
        <v>4</v>
      </c>
      <c r="E2058" t="s">
        <v>21</v>
      </c>
      <c r="F2058" s="6">
        <v>201403532</v>
      </c>
      <c r="G2058" t="s">
        <v>1112</v>
      </c>
      <c r="H2058" t="s">
        <v>7</v>
      </c>
      <c r="I2058">
        <v>0</v>
      </c>
      <c r="J2058">
        <v>0</v>
      </c>
      <c r="K2058">
        <v>0</v>
      </c>
      <c r="L2058">
        <v>0</v>
      </c>
      <c r="M2058">
        <v>0.13</v>
      </c>
      <c r="N2058" s="7" t="e">
        <f>VLOOKUP(F2058,HC!A$6:D$100,3,FALSE)</f>
        <v>#N/A</v>
      </c>
      <c r="O2058" s="7" t="str">
        <f>VLOOKUP(F2058,HC!A$6:D$1000,2,FALSE)</f>
        <v>zhoracro</v>
      </c>
      <c r="P2058" t="s">
        <v>661</v>
      </c>
      <c r="Q2058" s="7" t="s">
        <v>681</v>
      </c>
      <c r="U2058">
        <f t="shared" si="34"/>
        <v>3</v>
      </c>
    </row>
    <row r="2059" spans="1:21" ht="37.5" customHeight="1" x14ac:dyDescent="0.25">
      <c r="A2059" s="33">
        <v>45085</v>
      </c>
      <c r="B2059" s="13">
        <v>23</v>
      </c>
      <c r="C2059" t="s">
        <v>3</v>
      </c>
      <c r="D2059" t="s">
        <v>4</v>
      </c>
      <c r="E2059" t="s">
        <v>5</v>
      </c>
      <c r="F2059" s="6">
        <v>112971980</v>
      </c>
      <c r="G2059" t="s">
        <v>445</v>
      </c>
      <c r="H2059" t="s">
        <v>282</v>
      </c>
      <c r="I2059">
        <v>0</v>
      </c>
      <c r="J2059">
        <v>0</v>
      </c>
      <c r="K2059">
        <v>0</v>
      </c>
      <c r="L2059">
        <v>0</v>
      </c>
      <c r="M2059">
        <v>0.3</v>
      </c>
      <c r="N2059" s="7" t="str">
        <f>VLOOKUP(F2059,HC!A$6:D$100,3,FALSE)</f>
        <v>DC-X0700</v>
      </c>
      <c r="O2059" s="7" t="str">
        <f>VLOOKUP(F2059,HC!A$6:D$1000,2,FALSE)</f>
        <v>cdanirom</v>
      </c>
      <c r="Q2059" s="7"/>
      <c r="U2059">
        <f t="shared" si="34"/>
        <v>25</v>
      </c>
    </row>
    <row r="2060" spans="1:21" ht="37.5" customHeight="1" x14ac:dyDescent="0.25">
      <c r="A2060" s="33">
        <v>45085</v>
      </c>
      <c r="B2060" s="13">
        <v>23</v>
      </c>
      <c r="C2060" t="s">
        <v>3</v>
      </c>
      <c r="D2060" t="s">
        <v>4</v>
      </c>
      <c r="E2060" t="s">
        <v>5</v>
      </c>
      <c r="F2060" s="6">
        <v>112972524</v>
      </c>
      <c r="G2060" t="s">
        <v>312</v>
      </c>
      <c r="H2060" t="s">
        <v>250</v>
      </c>
      <c r="I2060">
        <v>0</v>
      </c>
      <c r="J2060">
        <v>0</v>
      </c>
      <c r="K2060">
        <v>0</v>
      </c>
      <c r="L2060">
        <v>0</v>
      </c>
      <c r="M2060">
        <v>0.28999999999999998</v>
      </c>
      <c r="N2060" s="7" t="str">
        <f>VLOOKUP(F2060,HC!A$6:D$100,3,FALSE)</f>
        <v>DB-X0700</v>
      </c>
      <c r="O2060" s="7" t="str">
        <f>VLOOKUP(F2060,HC!A$6:D$1000,2,FALSE)</f>
        <v>csantibl</v>
      </c>
      <c r="P2060" t="s">
        <v>665</v>
      </c>
      <c r="Q2060" s="7" t="s">
        <v>722</v>
      </c>
      <c r="U2060">
        <f t="shared" si="34"/>
        <v>17</v>
      </c>
    </row>
    <row r="2061" spans="1:21" ht="37.5" customHeight="1" x14ac:dyDescent="0.25">
      <c r="A2061" s="33">
        <v>45085</v>
      </c>
      <c r="B2061" s="13">
        <v>23</v>
      </c>
      <c r="C2061" t="s">
        <v>3</v>
      </c>
      <c r="D2061" t="s">
        <v>4</v>
      </c>
      <c r="E2061" t="s">
        <v>5</v>
      </c>
      <c r="F2061" s="6">
        <v>200404250</v>
      </c>
      <c r="G2061" t="s">
        <v>51</v>
      </c>
      <c r="H2061" t="s">
        <v>298</v>
      </c>
      <c r="I2061">
        <v>0</v>
      </c>
      <c r="J2061">
        <v>0</v>
      </c>
      <c r="K2061">
        <v>0</v>
      </c>
      <c r="L2061">
        <v>0</v>
      </c>
      <c r="M2061">
        <v>0.68</v>
      </c>
      <c r="N2061" s="7" t="e">
        <f>VLOOKUP(F2061,HC!A$6:D$100,3,FALSE)</f>
        <v>#N/A</v>
      </c>
      <c r="O2061" s="7" t="str">
        <f>VLOOKUP(F2061,HC!A$6:D$1000,2,FALSE)</f>
        <v>xcathurt</v>
      </c>
      <c r="Q2061" s="7"/>
      <c r="R2061" t="s">
        <v>413</v>
      </c>
      <c r="U2061">
        <f t="shared" si="34"/>
        <v>124</v>
      </c>
    </row>
    <row r="2062" spans="1:21" ht="37.5" customHeight="1" x14ac:dyDescent="0.25">
      <c r="A2062" s="33">
        <v>45085</v>
      </c>
      <c r="B2062" s="13">
        <v>23</v>
      </c>
      <c r="C2062" t="s">
        <v>3</v>
      </c>
      <c r="D2062" t="s">
        <v>4</v>
      </c>
      <c r="E2062" t="s">
        <v>21</v>
      </c>
      <c r="F2062" s="6">
        <v>200534675</v>
      </c>
      <c r="G2062" t="s">
        <v>534</v>
      </c>
      <c r="H2062" t="s">
        <v>17</v>
      </c>
      <c r="I2062">
        <v>0</v>
      </c>
      <c r="J2062">
        <v>0</v>
      </c>
      <c r="K2062">
        <v>0</v>
      </c>
      <c r="L2062">
        <v>0</v>
      </c>
      <c r="M2062">
        <v>0.2</v>
      </c>
      <c r="N2062" s="7" t="e">
        <f>VLOOKUP(F2062,HC!A$6:D$100,3,FALSE)</f>
        <v>#N/A</v>
      </c>
      <c r="O2062" s="7" t="str">
        <f>VLOOKUP(F2062,HC!A$6:D$1000,2,FALSE)</f>
        <v>juanpmun</v>
      </c>
      <c r="Q2062" s="7"/>
      <c r="U2062">
        <f t="shared" si="34"/>
        <v>16</v>
      </c>
    </row>
    <row r="2063" spans="1:21" ht="37.5" customHeight="1" x14ac:dyDescent="0.25">
      <c r="A2063" s="33">
        <v>45085</v>
      </c>
      <c r="B2063" s="13">
        <v>23</v>
      </c>
      <c r="C2063" t="s">
        <v>3</v>
      </c>
      <c r="D2063" t="s">
        <v>4</v>
      </c>
      <c r="E2063" t="s">
        <v>21</v>
      </c>
      <c r="F2063" s="6">
        <v>200625517</v>
      </c>
      <c r="G2063" t="s">
        <v>323</v>
      </c>
      <c r="H2063" t="s">
        <v>44</v>
      </c>
      <c r="I2063">
        <v>0</v>
      </c>
      <c r="J2063">
        <v>0</v>
      </c>
      <c r="K2063">
        <v>0</v>
      </c>
      <c r="L2063">
        <v>0</v>
      </c>
      <c r="M2063">
        <v>0.18</v>
      </c>
      <c r="N2063" s="7" t="e">
        <f>VLOOKUP(F2063,HC!A$6:D$100,3,FALSE)</f>
        <v>#N/A</v>
      </c>
      <c r="O2063" s="7" t="e">
        <f>VLOOKUP(F2063,HC!A$6:D$1000,2,FALSE)</f>
        <v>#N/A</v>
      </c>
      <c r="P2063" t="s">
        <v>664</v>
      </c>
      <c r="Q2063" s="7" t="s">
        <v>709</v>
      </c>
      <c r="U2063">
        <f t="shared" si="34"/>
        <v>1395</v>
      </c>
    </row>
    <row r="2064" spans="1:21" ht="37.5" customHeight="1" x14ac:dyDescent="0.25">
      <c r="A2064" s="33">
        <v>45085</v>
      </c>
      <c r="B2064" s="13">
        <v>23</v>
      </c>
      <c r="C2064" t="s">
        <v>3</v>
      </c>
      <c r="D2064" t="s">
        <v>4</v>
      </c>
      <c r="E2064" t="s">
        <v>21</v>
      </c>
      <c r="F2064" s="6">
        <v>201167517</v>
      </c>
      <c r="G2064" t="s">
        <v>849</v>
      </c>
      <c r="H2064" t="s">
        <v>44</v>
      </c>
      <c r="I2064">
        <v>0</v>
      </c>
      <c r="J2064">
        <v>0</v>
      </c>
      <c r="K2064">
        <v>0</v>
      </c>
      <c r="L2064">
        <v>0</v>
      </c>
      <c r="M2064">
        <v>0.48</v>
      </c>
      <c r="N2064" s="7" t="e">
        <f>VLOOKUP(F2064,HC!A$6:D$100,3,FALSE)</f>
        <v>#N/A</v>
      </c>
      <c r="O2064" s="7" t="e">
        <f>VLOOKUP(F2064,HC!A$6:D$1000,2,FALSE)</f>
        <v>#N/A</v>
      </c>
      <c r="P2064" t="s">
        <v>664</v>
      </c>
      <c r="Q2064" s="7" t="s">
        <v>711</v>
      </c>
      <c r="U2064">
        <f t="shared" si="34"/>
        <v>1395</v>
      </c>
    </row>
    <row r="2065" spans="1:21" ht="37.5" customHeight="1" x14ac:dyDescent="0.25">
      <c r="A2065" s="33">
        <v>45085</v>
      </c>
      <c r="B2065" s="13">
        <v>23</v>
      </c>
      <c r="C2065" t="s">
        <v>3</v>
      </c>
      <c r="D2065" t="s">
        <v>4</v>
      </c>
      <c r="E2065" t="s">
        <v>21</v>
      </c>
      <c r="F2065" s="6">
        <v>201191198</v>
      </c>
      <c r="G2065" t="s">
        <v>974</v>
      </c>
      <c r="H2065" t="s">
        <v>17</v>
      </c>
      <c r="I2065">
        <v>0</v>
      </c>
      <c r="J2065">
        <v>0</v>
      </c>
      <c r="K2065">
        <v>0</v>
      </c>
      <c r="L2065">
        <v>0</v>
      </c>
      <c r="M2065">
        <v>0.46</v>
      </c>
      <c r="N2065" s="7" t="e">
        <f>VLOOKUP(F2065,HC!A$6:D$100,3,FALSE)</f>
        <v>#N/A</v>
      </c>
      <c r="O2065" s="7" t="str">
        <f>VLOOKUP(F2065,HC!A$6:D$1000,2,FALSE)</f>
        <v>mojicemm</v>
      </c>
      <c r="Q2065" s="7"/>
      <c r="U2065">
        <f t="shared" si="34"/>
        <v>24</v>
      </c>
    </row>
    <row r="2066" spans="1:21" ht="37.5" customHeight="1" x14ac:dyDescent="0.25">
      <c r="A2066" s="33">
        <v>45085</v>
      </c>
      <c r="B2066" s="13">
        <v>23</v>
      </c>
      <c r="C2066" t="s">
        <v>3</v>
      </c>
      <c r="D2066" t="s">
        <v>4</v>
      </c>
      <c r="E2066" t="s">
        <v>21</v>
      </c>
      <c r="F2066" s="6">
        <v>201345774</v>
      </c>
      <c r="G2066" t="s">
        <v>1070</v>
      </c>
      <c r="H2066" t="s">
        <v>44</v>
      </c>
      <c r="I2066">
        <v>0</v>
      </c>
      <c r="J2066">
        <v>0</v>
      </c>
      <c r="K2066">
        <v>0</v>
      </c>
      <c r="L2066">
        <v>0</v>
      </c>
      <c r="M2066">
        <v>0.8</v>
      </c>
      <c r="N2066" s="7" t="e">
        <f>VLOOKUP(F2066,HC!A$6:D$100,3,FALSE)</f>
        <v>#N/A</v>
      </c>
      <c r="O2066" s="7" t="str">
        <f>VLOOKUP(F2066,HC!A$6:D$1000,2,FALSE)</f>
        <v>jonquija</v>
      </c>
      <c r="P2066" t="s">
        <v>668</v>
      </c>
      <c r="Q2066" s="7" t="s">
        <v>730</v>
      </c>
      <c r="U2066">
        <f t="shared" si="34"/>
        <v>19</v>
      </c>
    </row>
    <row r="2067" spans="1:21" ht="37.5" customHeight="1" x14ac:dyDescent="0.25">
      <c r="A2067" s="33">
        <v>45085</v>
      </c>
      <c r="B2067" s="13">
        <v>23</v>
      </c>
      <c r="C2067" t="s">
        <v>3</v>
      </c>
      <c r="D2067" t="s">
        <v>4</v>
      </c>
      <c r="E2067" t="s">
        <v>21</v>
      </c>
      <c r="F2067" s="6">
        <v>201351399</v>
      </c>
      <c r="G2067" t="s">
        <v>1130</v>
      </c>
      <c r="H2067" t="s">
        <v>282</v>
      </c>
      <c r="I2067">
        <v>0</v>
      </c>
      <c r="J2067">
        <v>0</v>
      </c>
      <c r="K2067">
        <v>0</v>
      </c>
      <c r="L2067">
        <v>0</v>
      </c>
      <c r="M2067">
        <v>0.24</v>
      </c>
      <c r="N2067" s="7" t="e">
        <f>VLOOKUP(F2067,HC!A$6:D$100,3,FALSE)</f>
        <v>#N/A</v>
      </c>
      <c r="O2067" s="7" t="str">
        <f>VLOOKUP(F2067,HC!A$6:D$1000,2,FALSE)</f>
        <v>aramosmo</v>
      </c>
      <c r="P2067" t="s">
        <v>662</v>
      </c>
      <c r="Q2067" s="7" t="s">
        <v>688</v>
      </c>
      <c r="U2067">
        <f t="shared" si="34"/>
        <v>3</v>
      </c>
    </row>
    <row r="2068" spans="1:21" ht="37.5" customHeight="1" x14ac:dyDescent="0.25">
      <c r="A2068" s="33">
        <v>45085</v>
      </c>
      <c r="B2068" s="13">
        <v>23</v>
      </c>
      <c r="C2068" t="s">
        <v>3</v>
      </c>
      <c r="D2068" t="s">
        <v>4</v>
      </c>
      <c r="E2068" t="s">
        <v>21</v>
      </c>
      <c r="F2068" s="6">
        <v>201402212</v>
      </c>
      <c r="G2068" t="s">
        <v>1131</v>
      </c>
      <c r="H2068" t="s">
        <v>263</v>
      </c>
      <c r="I2068">
        <v>0</v>
      </c>
      <c r="J2068">
        <v>0</v>
      </c>
      <c r="K2068">
        <v>0</v>
      </c>
      <c r="L2068">
        <v>0</v>
      </c>
      <c r="M2068">
        <v>0.5</v>
      </c>
      <c r="N2068" s="7" t="e">
        <f>VLOOKUP(F2068,HC!A$6:D$100,3,FALSE)</f>
        <v>#N/A</v>
      </c>
      <c r="O2068" s="7" t="str">
        <f>VLOOKUP(F2068,HC!A$6:D$1000,2,FALSE)</f>
        <v>karlpadr</v>
      </c>
      <c r="Q2068" s="7"/>
      <c r="U2068">
        <f t="shared" si="34"/>
        <v>5</v>
      </c>
    </row>
    <row r="2069" spans="1:21" ht="37.5" customHeight="1" x14ac:dyDescent="0.25">
      <c r="A2069" s="33">
        <v>45085</v>
      </c>
      <c r="B2069" s="13">
        <v>23</v>
      </c>
      <c r="C2069" t="s">
        <v>3</v>
      </c>
      <c r="D2069" t="s">
        <v>4</v>
      </c>
      <c r="E2069" t="s">
        <v>21</v>
      </c>
      <c r="F2069" s="6">
        <v>201408478</v>
      </c>
      <c r="G2069" t="s">
        <v>1110</v>
      </c>
      <c r="H2069" t="s">
        <v>1040</v>
      </c>
      <c r="I2069">
        <v>0</v>
      </c>
      <c r="J2069">
        <v>0</v>
      </c>
      <c r="K2069">
        <v>0</v>
      </c>
      <c r="L2069">
        <v>0</v>
      </c>
      <c r="M2069">
        <v>0.72</v>
      </c>
      <c r="N2069" s="7" t="e">
        <f>VLOOKUP(F2069,HC!A$6:D$100,3,FALSE)</f>
        <v>#N/A</v>
      </c>
      <c r="O2069" s="7" t="str">
        <f>VLOOKUP(F2069,HC!A$6:D$1000,2,FALSE)</f>
        <v>dacaldey</v>
      </c>
      <c r="Q2069" s="7"/>
      <c r="U2069">
        <f t="shared" si="34"/>
        <v>12</v>
      </c>
    </row>
    <row r="2070" spans="1:21" ht="37.5" customHeight="1" x14ac:dyDescent="0.25">
      <c r="A2070" s="33">
        <v>45086</v>
      </c>
      <c r="B2070" s="13">
        <v>23</v>
      </c>
      <c r="C2070" t="s">
        <v>3</v>
      </c>
      <c r="D2070" t="s">
        <v>4</v>
      </c>
      <c r="E2070" t="s">
        <v>5</v>
      </c>
      <c r="F2070" s="6">
        <v>112912675</v>
      </c>
      <c r="G2070" t="s">
        <v>326</v>
      </c>
      <c r="H2070" t="s">
        <v>49</v>
      </c>
      <c r="I2070">
        <v>0</v>
      </c>
      <c r="J2070">
        <v>0</v>
      </c>
      <c r="K2070">
        <v>0</v>
      </c>
      <c r="L2070">
        <v>0</v>
      </c>
      <c r="M2070">
        <v>1.1100000000000001</v>
      </c>
      <c r="N2070" s="7" t="e">
        <f>VLOOKUP(F2070,HC!A$6:D$100,3,FALSE)</f>
        <v>#N/A</v>
      </c>
      <c r="O2070" s="7" t="e">
        <f>VLOOKUP(F2070,HC!A$6:D$1000,2,FALSE)</f>
        <v>#N/A</v>
      </c>
      <c r="P2070" t="s">
        <v>661</v>
      </c>
      <c r="Q2070" s="7" t="s">
        <v>701</v>
      </c>
      <c r="U2070">
        <f t="shared" si="34"/>
        <v>1395</v>
      </c>
    </row>
    <row r="2071" spans="1:21" ht="37.5" customHeight="1" x14ac:dyDescent="0.25">
      <c r="A2071" s="33">
        <v>45086</v>
      </c>
      <c r="B2071" s="13">
        <v>23</v>
      </c>
      <c r="C2071" t="s">
        <v>3</v>
      </c>
      <c r="D2071" t="s">
        <v>4</v>
      </c>
      <c r="E2071" t="s">
        <v>5</v>
      </c>
      <c r="F2071" s="6">
        <v>112991248</v>
      </c>
      <c r="G2071" t="s">
        <v>461</v>
      </c>
      <c r="H2071" t="s">
        <v>7</v>
      </c>
      <c r="I2071">
        <v>0</v>
      </c>
      <c r="J2071">
        <v>0</v>
      </c>
      <c r="K2071">
        <v>0</v>
      </c>
      <c r="L2071">
        <v>0</v>
      </c>
      <c r="M2071">
        <v>0.44</v>
      </c>
      <c r="N2071" s="7" t="e">
        <f>VLOOKUP(F2071,HC!A$6:D$100,3,FALSE)</f>
        <v>#N/A</v>
      </c>
      <c r="O2071" s="7" t="e">
        <f>VLOOKUP(F2071,HC!A$6:D$1000,2,FALSE)</f>
        <v>#N/A</v>
      </c>
      <c r="P2071" t="s">
        <v>661</v>
      </c>
      <c r="Q2071" s="7" t="s">
        <v>681</v>
      </c>
      <c r="U2071">
        <f t="shared" si="34"/>
        <v>1395</v>
      </c>
    </row>
    <row r="2072" spans="1:21" ht="37.5" customHeight="1" x14ac:dyDescent="0.25">
      <c r="A2072" s="33">
        <v>45086</v>
      </c>
      <c r="B2072" s="13">
        <v>23</v>
      </c>
      <c r="C2072" t="s">
        <v>3</v>
      </c>
      <c r="D2072" t="s">
        <v>4</v>
      </c>
      <c r="E2072" t="s">
        <v>5</v>
      </c>
      <c r="F2072" s="6">
        <v>113020667</v>
      </c>
      <c r="G2072" t="s">
        <v>380</v>
      </c>
      <c r="H2072" t="s">
        <v>47</v>
      </c>
      <c r="I2072">
        <v>0</v>
      </c>
      <c r="J2072">
        <v>0</v>
      </c>
      <c r="K2072">
        <v>0</v>
      </c>
      <c r="L2072">
        <v>0</v>
      </c>
      <c r="M2072">
        <v>0.15</v>
      </c>
      <c r="N2072" s="7" t="e">
        <f>VLOOKUP(F2072,HC!A$6:D$100,3,FALSE)</f>
        <v>#N/A</v>
      </c>
      <c r="O2072" s="7" t="str">
        <f>VLOOKUP(F2072,HC!A$6:D$1000,2,FALSE)</f>
        <v>mavpauli</v>
      </c>
      <c r="P2072" t="s">
        <v>661</v>
      </c>
      <c r="Q2072" s="7" t="s">
        <v>684</v>
      </c>
      <c r="U2072">
        <f t="shared" si="34"/>
        <v>12</v>
      </c>
    </row>
    <row r="2073" spans="1:21" ht="37.5" customHeight="1" x14ac:dyDescent="0.25">
      <c r="A2073" s="33">
        <v>45086</v>
      </c>
      <c r="B2073" s="13">
        <v>23</v>
      </c>
      <c r="C2073" t="s">
        <v>3</v>
      </c>
      <c r="D2073" t="s">
        <v>4</v>
      </c>
      <c r="E2073" t="s">
        <v>21</v>
      </c>
      <c r="F2073" s="6">
        <v>201167501</v>
      </c>
      <c r="G2073" t="s">
        <v>863</v>
      </c>
      <c r="H2073" t="s">
        <v>44</v>
      </c>
      <c r="I2073">
        <v>0</v>
      </c>
      <c r="J2073">
        <v>0</v>
      </c>
      <c r="K2073">
        <v>0</v>
      </c>
      <c r="L2073">
        <v>0</v>
      </c>
      <c r="M2073">
        <v>0.2</v>
      </c>
      <c r="N2073" s="7" t="e">
        <f>VLOOKUP(F2073,HC!A$6:D$100,3,FALSE)</f>
        <v>#N/A</v>
      </c>
      <c r="O2073" s="7" t="str">
        <f>VLOOKUP(F2073,HC!A$6:D$1000,2,FALSE)</f>
        <v>wguanajr</v>
      </c>
      <c r="Q2073" s="7"/>
      <c r="U2073">
        <f t="shared" si="34"/>
        <v>36</v>
      </c>
    </row>
    <row r="2074" spans="1:21" ht="37.5" customHeight="1" x14ac:dyDescent="0.25">
      <c r="A2074" s="33">
        <v>45086</v>
      </c>
      <c r="B2074" s="13">
        <v>23</v>
      </c>
      <c r="C2074" t="s">
        <v>3</v>
      </c>
      <c r="D2074" t="s">
        <v>4</v>
      </c>
      <c r="E2074" t="s">
        <v>21</v>
      </c>
      <c r="F2074" s="6">
        <v>201198979</v>
      </c>
      <c r="G2074" t="s">
        <v>905</v>
      </c>
      <c r="H2074" t="s">
        <v>285</v>
      </c>
      <c r="I2074">
        <v>0</v>
      </c>
      <c r="J2074">
        <v>0</v>
      </c>
      <c r="K2074">
        <v>0</v>
      </c>
      <c r="L2074">
        <v>0</v>
      </c>
      <c r="M2074">
        <v>0.22</v>
      </c>
      <c r="N2074" s="7" t="e">
        <f>VLOOKUP(F2074,HC!A$6:D$100,3,FALSE)</f>
        <v>#N/A</v>
      </c>
      <c r="O2074" s="7" t="e">
        <f>VLOOKUP(F2074,HC!A$6:D$1000,2,FALSE)</f>
        <v>#N/A</v>
      </c>
      <c r="Q2074" s="7"/>
      <c r="U2074">
        <f t="shared" si="34"/>
        <v>1395</v>
      </c>
    </row>
    <row r="2075" spans="1:21" ht="37.5" customHeight="1" x14ac:dyDescent="0.25">
      <c r="A2075" s="33">
        <v>45086</v>
      </c>
      <c r="B2075" s="13">
        <v>23</v>
      </c>
      <c r="C2075" t="s">
        <v>3</v>
      </c>
      <c r="D2075" t="s">
        <v>4</v>
      </c>
      <c r="E2075" t="s">
        <v>21</v>
      </c>
      <c r="F2075" s="6">
        <v>201211582</v>
      </c>
      <c r="G2075" t="s">
        <v>991</v>
      </c>
      <c r="H2075" t="s">
        <v>17</v>
      </c>
      <c r="I2075">
        <v>0</v>
      </c>
      <c r="J2075">
        <v>0</v>
      </c>
      <c r="K2075">
        <v>0</v>
      </c>
      <c r="L2075">
        <v>0</v>
      </c>
      <c r="M2075">
        <v>0.39</v>
      </c>
      <c r="N2075" s="7" t="e">
        <f>VLOOKUP(F2075,HC!A$6:D$100,3,FALSE)</f>
        <v>#N/A</v>
      </c>
      <c r="O2075" s="7" t="e">
        <f>VLOOKUP(F2075,HC!A$6:D$1000,2,FALSE)</f>
        <v>#N/A</v>
      </c>
      <c r="P2075" t="s">
        <v>664</v>
      </c>
      <c r="Q2075" s="7" t="s">
        <v>708</v>
      </c>
      <c r="U2075">
        <f t="shared" si="34"/>
        <v>1395</v>
      </c>
    </row>
    <row r="2076" spans="1:21" ht="37.5" customHeight="1" x14ac:dyDescent="0.25">
      <c r="A2076" s="33">
        <v>45086</v>
      </c>
      <c r="B2076" s="13">
        <v>23</v>
      </c>
      <c r="C2076" t="s">
        <v>3</v>
      </c>
      <c r="D2076" t="s">
        <v>4</v>
      </c>
      <c r="E2076" t="s">
        <v>21</v>
      </c>
      <c r="F2076" s="6">
        <v>201318227</v>
      </c>
      <c r="G2076" t="s">
        <v>973</v>
      </c>
      <c r="H2076" t="s">
        <v>47</v>
      </c>
      <c r="I2076">
        <v>0</v>
      </c>
      <c r="J2076">
        <v>0</v>
      </c>
      <c r="K2076">
        <v>0</v>
      </c>
      <c r="L2076">
        <v>0</v>
      </c>
      <c r="M2076">
        <v>0.75</v>
      </c>
      <c r="N2076" s="7" t="e">
        <f>VLOOKUP(F2076,HC!A$6:D$100,3,FALSE)</f>
        <v>#N/A</v>
      </c>
      <c r="O2076" s="7" t="e">
        <f>VLOOKUP(F2076,HC!A$6:D$1000,2,FALSE)</f>
        <v>#N/A</v>
      </c>
      <c r="P2076" t="s">
        <v>664</v>
      </c>
      <c r="Q2076" s="7" t="s">
        <v>711</v>
      </c>
      <c r="U2076">
        <f t="shared" si="34"/>
        <v>1395</v>
      </c>
    </row>
    <row r="2077" spans="1:21" ht="37.5" customHeight="1" x14ac:dyDescent="0.25">
      <c r="A2077" s="33">
        <v>45086</v>
      </c>
      <c r="B2077" s="13">
        <v>23</v>
      </c>
      <c r="C2077" t="s">
        <v>3</v>
      </c>
      <c r="D2077" t="s">
        <v>4</v>
      </c>
      <c r="E2077" t="s">
        <v>21</v>
      </c>
      <c r="F2077" s="6">
        <v>201374875</v>
      </c>
      <c r="G2077" t="s">
        <v>1088</v>
      </c>
      <c r="H2077" t="s">
        <v>263</v>
      </c>
      <c r="I2077">
        <v>0</v>
      </c>
      <c r="J2077">
        <v>0</v>
      </c>
      <c r="K2077">
        <v>0</v>
      </c>
      <c r="L2077">
        <v>0</v>
      </c>
      <c r="M2077">
        <v>0.53</v>
      </c>
      <c r="N2077" s="7" t="e">
        <f>VLOOKUP(F2077,HC!A$6:D$100,3,FALSE)</f>
        <v>#N/A</v>
      </c>
      <c r="O2077" s="7" t="e">
        <f>VLOOKUP(F2077,HC!A$6:D$1000,2,FALSE)</f>
        <v>#N/A</v>
      </c>
      <c r="P2077" t="s">
        <v>666</v>
      </c>
      <c r="Q2077" s="7"/>
      <c r="U2077">
        <f t="shared" si="34"/>
        <v>1395</v>
      </c>
    </row>
    <row r="2078" spans="1:21" ht="37.5" customHeight="1" x14ac:dyDescent="0.25">
      <c r="A2078" s="33">
        <v>45086</v>
      </c>
      <c r="B2078" s="13">
        <v>23</v>
      </c>
      <c r="C2078" t="s">
        <v>3</v>
      </c>
      <c r="D2078" t="s">
        <v>4</v>
      </c>
      <c r="E2078" t="s">
        <v>21</v>
      </c>
      <c r="F2078" s="6">
        <v>201408478</v>
      </c>
      <c r="G2078" t="s">
        <v>1110</v>
      </c>
      <c r="H2078" t="s">
        <v>1040</v>
      </c>
      <c r="I2078">
        <v>0</v>
      </c>
      <c r="J2078">
        <v>0</v>
      </c>
      <c r="K2078">
        <v>0</v>
      </c>
      <c r="L2078">
        <v>0</v>
      </c>
      <c r="M2078">
        <v>0.23</v>
      </c>
      <c r="N2078" s="7" t="e">
        <f>VLOOKUP(F2078,HC!A$6:D$100,3,FALSE)</f>
        <v>#N/A</v>
      </c>
      <c r="O2078" s="7" t="str">
        <f>VLOOKUP(F2078,HC!A$6:D$1000,2,FALSE)</f>
        <v>dacaldey</v>
      </c>
      <c r="P2078" t="s">
        <v>661</v>
      </c>
      <c r="Q2078" s="7" t="s">
        <v>681</v>
      </c>
      <c r="U2078">
        <f t="shared" si="34"/>
        <v>12</v>
      </c>
    </row>
    <row r="2079" spans="1:21" ht="37.5" customHeight="1" x14ac:dyDescent="0.25">
      <c r="A2079" s="33">
        <v>45087</v>
      </c>
      <c r="B2079" s="13">
        <v>23</v>
      </c>
      <c r="C2079" t="s">
        <v>3</v>
      </c>
      <c r="D2079" t="s">
        <v>4</v>
      </c>
      <c r="E2079" t="s">
        <v>5</v>
      </c>
      <c r="F2079" s="6">
        <v>112971961</v>
      </c>
      <c r="G2079" t="s">
        <v>755</v>
      </c>
      <c r="H2079" t="s">
        <v>332</v>
      </c>
      <c r="I2079">
        <v>0</v>
      </c>
      <c r="J2079">
        <v>0</v>
      </c>
      <c r="K2079">
        <v>0</v>
      </c>
      <c r="L2079">
        <v>0</v>
      </c>
      <c r="M2079">
        <v>0.05</v>
      </c>
      <c r="N2079" s="7" t="e">
        <f>VLOOKUP(F2079,HC!A$6:D$100,3,FALSE)</f>
        <v>#N/A</v>
      </c>
      <c r="O2079" s="7" t="e">
        <f>VLOOKUP(F2079,HC!A$6:D$1000,2,FALSE)</f>
        <v>#N/A</v>
      </c>
      <c r="P2079" t="s">
        <v>668</v>
      </c>
      <c r="Q2079" s="7" t="s">
        <v>732</v>
      </c>
      <c r="U2079">
        <f t="shared" si="34"/>
        <v>1395</v>
      </c>
    </row>
    <row r="2080" spans="1:21" ht="37.5" customHeight="1" x14ac:dyDescent="0.25">
      <c r="A2080" s="33">
        <v>45087</v>
      </c>
      <c r="B2080" s="13">
        <v>23</v>
      </c>
      <c r="C2080" t="s">
        <v>3</v>
      </c>
      <c r="D2080" t="s">
        <v>4</v>
      </c>
      <c r="E2080" t="s">
        <v>5</v>
      </c>
      <c r="F2080" s="6">
        <v>113003674</v>
      </c>
      <c r="G2080" t="s">
        <v>855</v>
      </c>
      <c r="H2080" t="s">
        <v>49</v>
      </c>
      <c r="I2080">
        <v>0</v>
      </c>
      <c r="J2080">
        <v>0</v>
      </c>
      <c r="K2080">
        <v>0</v>
      </c>
      <c r="L2080">
        <v>0</v>
      </c>
      <c r="M2080">
        <v>0.32</v>
      </c>
      <c r="N2080" s="7" t="e">
        <f>VLOOKUP(F2080,HC!A$6:D$100,3,FALSE)</f>
        <v>#N/A</v>
      </c>
      <c r="O2080" s="7" t="str">
        <f>VLOOKUP(F2080,HC!A$6:D$1000,2,FALSE)</f>
        <v>jcarlgas</v>
      </c>
      <c r="P2080" t="s">
        <v>668</v>
      </c>
      <c r="Q2080" s="7" t="s">
        <v>729</v>
      </c>
      <c r="U2080">
        <f t="shared" si="34"/>
        <v>4</v>
      </c>
    </row>
    <row r="2081" spans="1:21" ht="37.5" customHeight="1" x14ac:dyDescent="0.25">
      <c r="A2081" s="33">
        <v>45087</v>
      </c>
      <c r="B2081" s="13">
        <v>23</v>
      </c>
      <c r="C2081" t="s">
        <v>3</v>
      </c>
      <c r="D2081" t="s">
        <v>4</v>
      </c>
      <c r="E2081" t="s">
        <v>21</v>
      </c>
      <c r="F2081" s="6">
        <v>200615883</v>
      </c>
      <c r="G2081" t="s">
        <v>508</v>
      </c>
      <c r="H2081" t="s">
        <v>47</v>
      </c>
      <c r="I2081">
        <v>0</v>
      </c>
      <c r="J2081">
        <v>0</v>
      </c>
      <c r="K2081">
        <v>0</v>
      </c>
      <c r="L2081">
        <v>0</v>
      </c>
      <c r="M2081">
        <v>0.22</v>
      </c>
      <c r="N2081" s="7" t="e">
        <f>VLOOKUP(F2081,HC!A$6:D$100,3,FALSE)</f>
        <v>#N/A</v>
      </c>
      <c r="O2081" s="7" t="e">
        <f>VLOOKUP(F2081,HC!A$6:D$1000,2,FALSE)</f>
        <v>#N/A</v>
      </c>
      <c r="P2081" t="s">
        <v>662</v>
      </c>
      <c r="Q2081" s="7" t="s">
        <v>691</v>
      </c>
      <c r="U2081">
        <f t="shared" si="34"/>
        <v>1395</v>
      </c>
    </row>
    <row r="2082" spans="1:21" ht="37.5" customHeight="1" x14ac:dyDescent="0.25">
      <c r="A2082" s="33">
        <v>45087</v>
      </c>
      <c r="B2082" s="13">
        <v>23</v>
      </c>
      <c r="C2082" t="s">
        <v>3</v>
      </c>
      <c r="D2082" t="s">
        <v>4</v>
      </c>
      <c r="E2082" t="s">
        <v>21</v>
      </c>
      <c r="F2082" s="6">
        <v>201211582</v>
      </c>
      <c r="G2082" t="s">
        <v>991</v>
      </c>
      <c r="H2082" t="s">
        <v>17</v>
      </c>
      <c r="I2082">
        <v>0</v>
      </c>
      <c r="J2082">
        <v>0</v>
      </c>
      <c r="K2082">
        <v>0</v>
      </c>
      <c r="L2082">
        <v>0</v>
      </c>
      <c r="M2082">
        <v>0.16</v>
      </c>
      <c r="N2082" s="7" t="e">
        <f>VLOOKUP(F2082,HC!A$6:D$100,3,FALSE)</f>
        <v>#N/A</v>
      </c>
      <c r="O2082" s="7" t="e">
        <f>VLOOKUP(F2082,HC!A$6:D$1000,2,FALSE)</f>
        <v>#N/A</v>
      </c>
      <c r="P2082" t="s">
        <v>662</v>
      </c>
      <c r="Q2082" s="7" t="s">
        <v>757</v>
      </c>
      <c r="R2082" t="s">
        <v>1132</v>
      </c>
      <c r="U2082">
        <f t="shared" si="34"/>
        <v>1395</v>
      </c>
    </row>
    <row r="2083" spans="1:21" ht="37.5" customHeight="1" x14ac:dyDescent="0.25">
      <c r="A2083" s="33">
        <v>45087</v>
      </c>
      <c r="B2083" s="13">
        <v>23</v>
      </c>
      <c r="C2083" t="s">
        <v>3</v>
      </c>
      <c r="D2083" t="s">
        <v>4</v>
      </c>
      <c r="E2083" t="s">
        <v>21</v>
      </c>
      <c r="F2083" s="6">
        <v>201341822</v>
      </c>
      <c r="G2083" t="s">
        <v>989</v>
      </c>
      <c r="H2083" t="s">
        <v>49</v>
      </c>
      <c r="I2083">
        <v>0</v>
      </c>
      <c r="J2083">
        <v>0</v>
      </c>
      <c r="K2083">
        <v>0</v>
      </c>
      <c r="L2083">
        <v>0</v>
      </c>
      <c r="M2083">
        <v>0.16</v>
      </c>
      <c r="N2083" s="7" t="e">
        <f>VLOOKUP(F2083,HC!A$6:D$100,3,FALSE)</f>
        <v>#N/A</v>
      </c>
      <c r="O2083" s="7" t="e">
        <f>VLOOKUP(F2083,HC!A$6:D$1000,2,FALSE)</f>
        <v>#N/A</v>
      </c>
      <c r="P2083" t="s">
        <v>664</v>
      </c>
      <c r="Q2083" s="7" t="s">
        <v>777</v>
      </c>
      <c r="U2083">
        <f t="shared" si="34"/>
        <v>1395</v>
      </c>
    </row>
    <row r="2084" spans="1:21" ht="37.5" customHeight="1" x14ac:dyDescent="0.25">
      <c r="A2084" s="33">
        <v>45087</v>
      </c>
      <c r="B2084" s="13">
        <v>23</v>
      </c>
      <c r="C2084" t="s">
        <v>3</v>
      </c>
      <c r="D2084" t="s">
        <v>4</v>
      </c>
      <c r="E2084" t="s">
        <v>21</v>
      </c>
      <c r="F2084" s="6">
        <v>201403462</v>
      </c>
      <c r="G2084" t="s">
        <v>1054</v>
      </c>
      <c r="H2084" t="s">
        <v>49</v>
      </c>
      <c r="I2084">
        <v>0</v>
      </c>
      <c r="J2084">
        <v>0</v>
      </c>
      <c r="K2084">
        <v>0</v>
      </c>
      <c r="L2084">
        <v>0</v>
      </c>
      <c r="M2084">
        <v>0.22</v>
      </c>
      <c r="N2084" s="7" t="e">
        <f>VLOOKUP(F2084,HC!A$6:D$100,3,FALSE)</f>
        <v>#N/A</v>
      </c>
      <c r="O2084" s="7" t="str">
        <f>VLOOKUP(F2084,HC!A$6:D$1000,2,FALSE)</f>
        <v>valdojoe</v>
      </c>
      <c r="P2084" t="s">
        <v>664</v>
      </c>
      <c r="Q2084" s="7" t="s">
        <v>710</v>
      </c>
      <c r="U2084">
        <f t="shared" si="34"/>
        <v>22</v>
      </c>
    </row>
    <row r="2085" spans="1:21" ht="37.5" customHeight="1" x14ac:dyDescent="0.25">
      <c r="A2085" s="33">
        <v>45088</v>
      </c>
      <c r="B2085" s="13">
        <v>24</v>
      </c>
      <c r="C2085" t="s">
        <v>3</v>
      </c>
      <c r="D2085" t="s">
        <v>4</v>
      </c>
      <c r="E2085" t="s">
        <v>5</v>
      </c>
      <c r="F2085" s="6">
        <v>112912163</v>
      </c>
      <c r="G2085" t="s">
        <v>294</v>
      </c>
      <c r="H2085" t="s">
        <v>298</v>
      </c>
      <c r="I2085">
        <v>0</v>
      </c>
      <c r="J2085">
        <v>0</v>
      </c>
      <c r="K2085">
        <v>0</v>
      </c>
      <c r="L2085">
        <v>0</v>
      </c>
      <c r="M2085">
        <v>0.42</v>
      </c>
      <c r="N2085" s="7" t="e">
        <f>VLOOKUP(F2085,HC!A$6:D$100,3,FALSE)</f>
        <v>#N/A</v>
      </c>
      <c r="O2085" s="7" t="e">
        <f>VLOOKUP(F2085,HC!A$6:D$1000,2,FALSE)</f>
        <v>#N/A</v>
      </c>
      <c r="P2085" t="s">
        <v>664</v>
      </c>
      <c r="Q2085" s="7" t="s">
        <v>710</v>
      </c>
      <c r="U2085">
        <f t="shared" si="34"/>
        <v>1395</v>
      </c>
    </row>
    <row r="2086" spans="1:21" ht="37.5" customHeight="1" x14ac:dyDescent="0.25">
      <c r="A2086" s="33">
        <v>45088</v>
      </c>
      <c r="B2086" s="13">
        <v>24</v>
      </c>
      <c r="C2086" t="s">
        <v>3</v>
      </c>
      <c r="D2086" t="s">
        <v>4</v>
      </c>
      <c r="E2086" t="s">
        <v>5</v>
      </c>
      <c r="F2086" s="6">
        <v>112912209</v>
      </c>
      <c r="G2086" t="s">
        <v>671</v>
      </c>
      <c r="H2086" t="s">
        <v>403</v>
      </c>
      <c r="I2086">
        <v>0</v>
      </c>
      <c r="J2086">
        <v>0</v>
      </c>
      <c r="K2086">
        <v>0</v>
      </c>
      <c r="L2086">
        <v>0</v>
      </c>
      <c r="M2086">
        <v>0.22</v>
      </c>
      <c r="N2086" s="7" t="str">
        <f>VLOOKUP(F2086,HC!A$6:D$100,3,FALSE)</f>
        <v>NF-X1900</v>
      </c>
      <c r="O2086" s="7" t="str">
        <f>VLOOKUP(F2086,HC!A$6:D$1000,2,FALSE)</f>
        <v>moralefs</v>
      </c>
      <c r="P2086" t="s">
        <v>661</v>
      </c>
      <c r="Q2086" s="7" t="s">
        <v>681</v>
      </c>
      <c r="U2086">
        <f t="shared" si="34"/>
        <v>11</v>
      </c>
    </row>
    <row r="2087" spans="1:21" ht="37.5" customHeight="1" x14ac:dyDescent="0.25">
      <c r="A2087" s="33">
        <v>45088</v>
      </c>
      <c r="B2087" s="13">
        <v>24</v>
      </c>
      <c r="C2087" t="s">
        <v>3</v>
      </c>
      <c r="D2087" t="s">
        <v>4</v>
      </c>
      <c r="E2087" t="s">
        <v>5</v>
      </c>
      <c r="F2087" s="6">
        <v>112912663</v>
      </c>
      <c r="G2087" t="s">
        <v>8</v>
      </c>
      <c r="H2087" t="s">
        <v>403</v>
      </c>
      <c r="I2087">
        <v>0</v>
      </c>
      <c r="J2087">
        <v>0</v>
      </c>
      <c r="K2087">
        <v>0</v>
      </c>
      <c r="L2087">
        <v>0</v>
      </c>
      <c r="M2087">
        <v>0.15</v>
      </c>
      <c r="N2087" s="7" t="e">
        <f>VLOOKUP(F2087,HC!A$6:D$100,3,FALSE)</f>
        <v>#N/A</v>
      </c>
      <c r="O2087" s="7" t="e">
        <f>VLOOKUP(F2087,HC!A$6:D$1000,2,FALSE)</f>
        <v>#N/A</v>
      </c>
      <c r="P2087" t="s">
        <v>662</v>
      </c>
      <c r="Q2087" s="7"/>
      <c r="U2087">
        <f t="shared" si="34"/>
        <v>1395</v>
      </c>
    </row>
    <row r="2088" spans="1:21" ht="37.5" customHeight="1" x14ac:dyDescent="0.25">
      <c r="A2088" s="33">
        <v>45088</v>
      </c>
      <c r="B2088" s="13">
        <v>24</v>
      </c>
      <c r="C2088" t="s">
        <v>3</v>
      </c>
      <c r="D2088" t="s">
        <v>4</v>
      </c>
      <c r="E2088" t="s">
        <v>5</v>
      </c>
      <c r="F2088" s="6">
        <v>112950784</v>
      </c>
      <c r="G2088" t="s">
        <v>261</v>
      </c>
      <c r="H2088" t="s">
        <v>282</v>
      </c>
      <c r="I2088">
        <v>0</v>
      </c>
      <c r="J2088">
        <v>0</v>
      </c>
      <c r="K2088">
        <v>0</v>
      </c>
      <c r="L2088">
        <v>0</v>
      </c>
      <c r="M2088">
        <v>0.67</v>
      </c>
      <c r="N2088" s="7" t="str">
        <f>VLOOKUP(F2088,HC!A$6:D$100,3,FALSE)</f>
        <v>NF-X1900</v>
      </c>
      <c r="O2088" s="7" t="str">
        <f>VLOOKUP(F2088,HC!A$6:D$1000,2,FALSE)</f>
        <v>sarojast</v>
      </c>
      <c r="P2088" t="s">
        <v>664</v>
      </c>
      <c r="Q2088" s="7" t="s">
        <v>710</v>
      </c>
      <c r="U2088">
        <f t="shared" si="34"/>
        <v>33</v>
      </c>
    </row>
    <row r="2089" spans="1:21" ht="37.5" customHeight="1" x14ac:dyDescent="0.25">
      <c r="A2089" s="33">
        <v>45088</v>
      </c>
      <c r="B2089" s="13">
        <v>24</v>
      </c>
      <c r="C2089" t="s">
        <v>3</v>
      </c>
      <c r="D2089" t="s">
        <v>4</v>
      </c>
      <c r="E2089" t="s">
        <v>21</v>
      </c>
      <c r="F2089" s="6">
        <v>200574655</v>
      </c>
      <c r="G2089" t="s">
        <v>630</v>
      </c>
      <c r="H2089" t="s">
        <v>44</v>
      </c>
      <c r="I2089">
        <v>0</v>
      </c>
      <c r="J2089">
        <v>0</v>
      </c>
      <c r="K2089">
        <v>0</v>
      </c>
      <c r="L2089">
        <v>0</v>
      </c>
      <c r="M2089">
        <v>0.42</v>
      </c>
      <c r="N2089" s="7" t="e">
        <f>VLOOKUP(F2089,HC!A$6:D$100,3,FALSE)</f>
        <v>#N/A</v>
      </c>
      <c r="O2089" s="7" t="str">
        <f>VLOOKUP(F2089,HC!A$6:D$1000,2,FALSE)</f>
        <v>dulceami</v>
      </c>
      <c r="P2089" t="s">
        <v>664</v>
      </c>
      <c r="Q2089" s="7" t="s">
        <v>711</v>
      </c>
      <c r="U2089">
        <f t="shared" si="34"/>
        <v>20</v>
      </c>
    </row>
    <row r="2090" spans="1:21" ht="37.5" customHeight="1" x14ac:dyDescent="0.25">
      <c r="A2090" s="33">
        <v>45089</v>
      </c>
      <c r="B2090" s="13">
        <v>24</v>
      </c>
      <c r="C2090" t="s">
        <v>3</v>
      </c>
      <c r="D2090" t="s">
        <v>4</v>
      </c>
      <c r="E2090" t="s">
        <v>21</v>
      </c>
      <c r="F2090" s="6">
        <v>112912007</v>
      </c>
      <c r="G2090" t="s">
        <v>518</v>
      </c>
      <c r="H2090" t="s">
        <v>268</v>
      </c>
      <c r="I2090">
        <v>0</v>
      </c>
      <c r="J2090">
        <v>0</v>
      </c>
      <c r="K2090">
        <v>0</v>
      </c>
      <c r="L2090">
        <v>0</v>
      </c>
      <c r="M2090">
        <v>1.17</v>
      </c>
      <c r="N2090" s="7" t="e">
        <f>VLOOKUP(F2090,HC!A$6:D$100,3,FALSE)</f>
        <v>#N/A</v>
      </c>
      <c r="O2090" s="7" t="e">
        <f>VLOOKUP(F2090,HC!A$6:D$1000,2,FALSE)</f>
        <v>#N/A</v>
      </c>
      <c r="P2090" t="s">
        <v>662</v>
      </c>
      <c r="Q2090" s="7" t="s">
        <v>757</v>
      </c>
      <c r="R2090" t="s">
        <v>1066</v>
      </c>
      <c r="U2090">
        <f t="shared" si="34"/>
        <v>1395</v>
      </c>
    </row>
    <row r="2091" spans="1:21" ht="37.5" customHeight="1" x14ac:dyDescent="0.25">
      <c r="A2091" s="33">
        <v>45089</v>
      </c>
      <c r="B2091" s="13">
        <v>24</v>
      </c>
      <c r="C2091" t="s">
        <v>3</v>
      </c>
      <c r="D2091" t="s">
        <v>4</v>
      </c>
      <c r="E2091" t="s">
        <v>5</v>
      </c>
      <c r="F2091" s="6">
        <v>112950802</v>
      </c>
      <c r="G2091" t="s">
        <v>416</v>
      </c>
      <c r="H2091" t="s">
        <v>298</v>
      </c>
      <c r="I2091">
        <v>0</v>
      </c>
      <c r="J2091">
        <v>0</v>
      </c>
      <c r="K2091">
        <v>0</v>
      </c>
      <c r="L2091">
        <v>0</v>
      </c>
      <c r="M2091">
        <v>0.09</v>
      </c>
      <c r="N2091" s="7" t="e">
        <f>VLOOKUP(F2091,HC!A$6:D$100,3,FALSE)</f>
        <v>#N/A</v>
      </c>
      <c r="O2091" s="7" t="e">
        <f>VLOOKUP(F2091,HC!A$6:D$1000,2,FALSE)</f>
        <v>#N/A</v>
      </c>
      <c r="P2091" t="s">
        <v>664</v>
      </c>
      <c r="Q2091" s="7" t="s">
        <v>777</v>
      </c>
      <c r="U2091">
        <f t="shared" si="34"/>
        <v>1395</v>
      </c>
    </row>
    <row r="2092" spans="1:21" ht="37.5" customHeight="1" x14ac:dyDescent="0.25">
      <c r="A2092" s="33">
        <v>45089</v>
      </c>
      <c r="B2092" s="13">
        <v>24</v>
      </c>
      <c r="C2092" t="s">
        <v>3</v>
      </c>
      <c r="D2092" t="s">
        <v>4</v>
      </c>
      <c r="E2092" t="s">
        <v>5</v>
      </c>
      <c r="F2092" s="6">
        <v>112971961</v>
      </c>
      <c r="G2092" t="s">
        <v>755</v>
      </c>
      <c r="H2092" t="s">
        <v>332</v>
      </c>
      <c r="I2092">
        <v>0</v>
      </c>
      <c r="J2092">
        <v>0</v>
      </c>
      <c r="K2092">
        <v>0</v>
      </c>
      <c r="L2092">
        <v>0</v>
      </c>
      <c r="M2092">
        <v>0.14000000000000001</v>
      </c>
      <c r="N2092" s="7" t="e">
        <f>VLOOKUP(F2092,HC!A$6:D$100,3,FALSE)</f>
        <v>#N/A</v>
      </c>
      <c r="O2092" s="7" t="e">
        <f>VLOOKUP(F2092,HC!A$6:D$1000,2,FALSE)</f>
        <v>#N/A</v>
      </c>
      <c r="P2092" t="s">
        <v>664</v>
      </c>
      <c r="Q2092" s="7" t="s">
        <v>777</v>
      </c>
      <c r="U2092">
        <f t="shared" si="34"/>
        <v>1395</v>
      </c>
    </row>
    <row r="2093" spans="1:21" ht="37.5" customHeight="1" x14ac:dyDescent="0.25">
      <c r="A2093" s="33">
        <v>45089</v>
      </c>
      <c r="B2093" s="13">
        <v>24</v>
      </c>
      <c r="C2093" t="s">
        <v>3</v>
      </c>
      <c r="D2093" t="s">
        <v>4</v>
      </c>
      <c r="E2093" t="s">
        <v>5</v>
      </c>
      <c r="F2093" s="6">
        <v>113014403</v>
      </c>
      <c r="G2093" t="s">
        <v>373</v>
      </c>
      <c r="H2093" t="s">
        <v>298</v>
      </c>
      <c r="I2093">
        <v>0</v>
      </c>
      <c r="J2093">
        <v>0</v>
      </c>
      <c r="K2093">
        <v>0</v>
      </c>
      <c r="L2093">
        <v>0</v>
      </c>
      <c r="M2093">
        <v>0.1</v>
      </c>
      <c r="N2093" s="7" t="e">
        <f>VLOOKUP(F2093,HC!A$6:D$100,3,FALSE)</f>
        <v>#N/A</v>
      </c>
      <c r="O2093" s="7" t="str">
        <f>VLOOKUP(F2093,HC!A$6:D$1000,2,FALSE)</f>
        <v>wnoraria</v>
      </c>
      <c r="P2093" t="s">
        <v>665</v>
      </c>
      <c r="Q2093" s="7" t="s">
        <v>722</v>
      </c>
      <c r="R2093" t="s">
        <v>1133</v>
      </c>
      <c r="U2093">
        <f t="shared" si="34"/>
        <v>23</v>
      </c>
    </row>
    <row r="2094" spans="1:21" ht="37.5" customHeight="1" x14ac:dyDescent="0.25">
      <c r="A2094" s="33">
        <v>45089</v>
      </c>
      <c r="B2094" s="13">
        <v>24</v>
      </c>
      <c r="C2094" t="s">
        <v>3</v>
      </c>
      <c r="D2094" t="s">
        <v>4</v>
      </c>
      <c r="E2094" t="s">
        <v>5</v>
      </c>
      <c r="F2094" s="6">
        <v>113020463</v>
      </c>
      <c r="G2094" t="s">
        <v>321</v>
      </c>
      <c r="H2094" t="s">
        <v>44</v>
      </c>
      <c r="I2094">
        <v>0</v>
      </c>
      <c r="J2094">
        <v>0</v>
      </c>
      <c r="K2094">
        <v>0</v>
      </c>
      <c r="L2094">
        <v>0</v>
      </c>
      <c r="M2094">
        <v>0.26</v>
      </c>
      <c r="N2094" s="7" t="e">
        <f>VLOOKUP(F2094,HC!A$6:D$100,3,FALSE)</f>
        <v>#N/A</v>
      </c>
      <c r="O2094" s="7" t="str">
        <f>VLOOKUP(F2094,HC!A$6:D$1000,2,FALSE)</f>
        <v>myriamav</v>
      </c>
      <c r="P2094" t="s">
        <v>662</v>
      </c>
      <c r="Q2094" s="7" t="s">
        <v>687</v>
      </c>
      <c r="U2094">
        <f t="shared" si="34"/>
        <v>24</v>
      </c>
    </row>
    <row r="2095" spans="1:21" ht="37.5" customHeight="1" x14ac:dyDescent="0.25">
      <c r="A2095" s="33">
        <v>45089</v>
      </c>
      <c r="B2095" s="13">
        <v>24</v>
      </c>
      <c r="C2095" t="s">
        <v>3</v>
      </c>
      <c r="D2095" t="s">
        <v>4</v>
      </c>
      <c r="E2095" t="s">
        <v>21</v>
      </c>
      <c r="F2095" s="6">
        <v>201166890</v>
      </c>
      <c r="G2095" t="s">
        <v>998</v>
      </c>
      <c r="H2095" t="s">
        <v>298</v>
      </c>
      <c r="I2095">
        <v>0</v>
      </c>
      <c r="J2095">
        <v>0</v>
      </c>
      <c r="K2095">
        <v>0</v>
      </c>
      <c r="L2095">
        <v>0</v>
      </c>
      <c r="M2095">
        <v>1.01</v>
      </c>
      <c r="N2095" s="7" t="e">
        <f>VLOOKUP(F2095,HC!A$6:D$100,3,FALSE)</f>
        <v>#N/A</v>
      </c>
      <c r="O2095" s="7" t="str">
        <f>VLOOKUP(F2095,HC!A$6:D$1000,2,FALSE)</f>
        <v>lcabadan</v>
      </c>
      <c r="P2095" t="s">
        <v>664</v>
      </c>
      <c r="Q2095" s="7" t="s">
        <v>711</v>
      </c>
      <c r="R2095" t="s">
        <v>1134</v>
      </c>
      <c r="U2095">
        <f t="shared" si="34"/>
        <v>24</v>
      </c>
    </row>
    <row r="2096" spans="1:21" ht="37.5" customHeight="1" x14ac:dyDescent="0.25">
      <c r="A2096" s="33">
        <v>45089</v>
      </c>
      <c r="B2096" s="13">
        <v>24</v>
      </c>
      <c r="C2096" t="s">
        <v>3</v>
      </c>
      <c r="D2096" t="s">
        <v>4</v>
      </c>
      <c r="E2096" t="s">
        <v>21</v>
      </c>
      <c r="F2096" s="6">
        <v>201201993</v>
      </c>
      <c r="G2096" t="s">
        <v>964</v>
      </c>
      <c r="H2096" t="s">
        <v>285</v>
      </c>
      <c r="I2096">
        <v>0</v>
      </c>
      <c r="J2096">
        <v>0</v>
      </c>
      <c r="K2096">
        <v>0</v>
      </c>
      <c r="L2096">
        <v>0</v>
      </c>
      <c r="M2096">
        <v>0.2</v>
      </c>
      <c r="N2096" s="7" t="e">
        <f>VLOOKUP(F2096,HC!A$6:D$100,3,FALSE)</f>
        <v>#N/A</v>
      </c>
      <c r="O2096" s="7" t="e">
        <f>VLOOKUP(F2096,HC!A$6:D$1000,2,FALSE)</f>
        <v>#N/A</v>
      </c>
      <c r="P2096" t="s">
        <v>665</v>
      </c>
      <c r="Q2096" s="7" t="s">
        <v>722</v>
      </c>
      <c r="U2096">
        <f t="shared" si="34"/>
        <v>1395</v>
      </c>
    </row>
    <row r="2097" spans="1:21" ht="37.5" customHeight="1" x14ac:dyDescent="0.25">
      <c r="A2097" s="33">
        <v>45089</v>
      </c>
      <c r="B2097" s="13">
        <v>24</v>
      </c>
      <c r="C2097" t="s">
        <v>3</v>
      </c>
      <c r="D2097" t="s">
        <v>4</v>
      </c>
      <c r="E2097" t="s">
        <v>21</v>
      </c>
      <c r="F2097" s="6">
        <v>201329529</v>
      </c>
      <c r="G2097" t="s">
        <v>1069</v>
      </c>
      <c r="H2097" t="s">
        <v>263</v>
      </c>
      <c r="I2097">
        <v>0</v>
      </c>
      <c r="J2097">
        <v>0</v>
      </c>
      <c r="K2097">
        <v>0</v>
      </c>
      <c r="L2097">
        <v>0</v>
      </c>
      <c r="M2097">
        <v>0.21</v>
      </c>
      <c r="N2097" s="7" t="e">
        <f>VLOOKUP(F2097,HC!A$6:D$100,3,FALSE)</f>
        <v>#N/A</v>
      </c>
      <c r="O2097" s="7" t="e">
        <f>VLOOKUP(F2097,HC!A$6:D$1000,2,FALSE)</f>
        <v>#N/A</v>
      </c>
      <c r="P2097" t="s">
        <v>661</v>
      </c>
      <c r="Q2097" s="7" t="s">
        <v>681</v>
      </c>
      <c r="U2097">
        <f t="shared" si="34"/>
        <v>1395</v>
      </c>
    </row>
    <row r="2098" spans="1:21" ht="37.5" customHeight="1" x14ac:dyDescent="0.25">
      <c r="A2098" s="33">
        <v>45089</v>
      </c>
      <c r="B2098" s="13">
        <v>24</v>
      </c>
      <c r="C2098" t="s">
        <v>3</v>
      </c>
      <c r="D2098" t="s">
        <v>4</v>
      </c>
      <c r="E2098" t="s">
        <v>21</v>
      </c>
      <c r="F2098" s="6">
        <v>201365896</v>
      </c>
      <c r="G2098" t="s">
        <v>1045</v>
      </c>
      <c r="H2098" t="s">
        <v>1040</v>
      </c>
      <c r="I2098">
        <v>0</v>
      </c>
      <c r="J2098">
        <v>0</v>
      </c>
      <c r="K2098">
        <v>0</v>
      </c>
      <c r="L2098">
        <v>0</v>
      </c>
      <c r="M2098">
        <v>0.47</v>
      </c>
      <c r="N2098" s="7" t="e">
        <f>VLOOKUP(F2098,HC!A$6:D$100,3,FALSE)</f>
        <v>#N/A</v>
      </c>
      <c r="O2098" s="7" t="e">
        <f>VLOOKUP(F2098,HC!A$6:D$1000,2,FALSE)</f>
        <v>#N/A</v>
      </c>
      <c r="P2098" t="s">
        <v>664</v>
      </c>
      <c r="Q2098" s="7" t="s">
        <v>717</v>
      </c>
      <c r="U2098">
        <f t="shared" si="34"/>
        <v>1395</v>
      </c>
    </row>
    <row r="2099" spans="1:21" ht="37.5" customHeight="1" x14ac:dyDescent="0.25">
      <c r="A2099" s="33">
        <v>45090</v>
      </c>
      <c r="B2099" s="13">
        <v>24</v>
      </c>
      <c r="C2099" t="s">
        <v>3</v>
      </c>
      <c r="D2099" t="s">
        <v>4</v>
      </c>
      <c r="E2099" t="s">
        <v>21</v>
      </c>
      <c r="F2099" s="6">
        <v>112912067</v>
      </c>
      <c r="G2099" t="s">
        <v>921</v>
      </c>
      <c r="H2099" t="s">
        <v>44</v>
      </c>
      <c r="I2099">
        <v>0</v>
      </c>
      <c r="J2099">
        <v>0</v>
      </c>
      <c r="K2099">
        <v>0</v>
      </c>
      <c r="L2099">
        <v>0</v>
      </c>
      <c r="M2099">
        <v>0.69</v>
      </c>
      <c r="N2099" s="7" t="e">
        <f>VLOOKUP(F2099,HC!A$6:D$100,3,FALSE)</f>
        <v>#N/A</v>
      </c>
      <c r="O2099" s="7" t="e">
        <f>VLOOKUP(F2099,HC!A$6:D$1000,2,FALSE)</f>
        <v>#N/A</v>
      </c>
      <c r="P2099" t="s">
        <v>664</v>
      </c>
      <c r="Q2099" s="7" t="s">
        <v>710</v>
      </c>
      <c r="U2099">
        <f t="shared" si="34"/>
        <v>1395</v>
      </c>
    </row>
    <row r="2100" spans="1:21" ht="37.5" customHeight="1" x14ac:dyDescent="0.25">
      <c r="A2100" s="33">
        <v>45090</v>
      </c>
      <c r="B2100" s="13">
        <v>24</v>
      </c>
      <c r="C2100" t="s">
        <v>3</v>
      </c>
      <c r="D2100" t="s">
        <v>4</v>
      </c>
      <c r="E2100" t="s">
        <v>5</v>
      </c>
      <c r="F2100" s="6">
        <v>112912209</v>
      </c>
      <c r="G2100" t="s">
        <v>671</v>
      </c>
      <c r="H2100" t="s">
        <v>403</v>
      </c>
      <c r="I2100">
        <v>0</v>
      </c>
      <c r="J2100">
        <v>0</v>
      </c>
      <c r="K2100">
        <v>0</v>
      </c>
      <c r="L2100">
        <v>0</v>
      </c>
      <c r="M2100">
        <v>0.82</v>
      </c>
      <c r="N2100" s="7" t="str">
        <f>VLOOKUP(F2100,HC!A$6:D$100,3,FALSE)</f>
        <v>NF-X1900</v>
      </c>
      <c r="O2100" s="7" t="str">
        <f>VLOOKUP(F2100,HC!A$6:D$1000,2,FALSE)</f>
        <v>moralefs</v>
      </c>
      <c r="P2100" t="s">
        <v>664</v>
      </c>
      <c r="Q2100" s="7" t="s">
        <v>708</v>
      </c>
      <c r="U2100">
        <f t="shared" si="34"/>
        <v>11</v>
      </c>
    </row>
    <row r="2101" spans="1:21" ht="37.5" customHeight="1" x14ac:dyDescent="0.25">
      <c r="A2101" s="33">
        <v>45090</v>
      </c>
      <c r="B2101" s="13">
        <v>24</v>
      </c>
      <c r="C2101" t="s">
        <v>3</v>
      </c>
      <c r="D2101" t="s">
        <v>4</v>
      </c>
      <c r="E2101" t="s">
        <v>5</v>
      </c>
      <c r="F2101" s="6">
        <v>112912752</v>
      </c>
      <c r="G2101" t="s">
        <v>251</v>
      </c>
      <c r="H2101" t="s">
        <v>268</v>
      </c>
      <c r="I2101">
        <v>0</v>
      </c>
      <c r="J2101">
        <v>0</v>
      </c>
      <c r="K2101">
        <v>0</v>
      </c>
      <c r="L2101">
        <v>0</v>
      </c>
      <c r="M2101">
        <v>0.52</v>
      </c>
      <c r="N2101" s="7" t="str">
        <f>VLOOKUP(F2101,HC!A$6:D$100,3,FALSE)</f>
        <v>NF-X1900</v>
      </c>
      <c r="O2101" s="7" t="str">
        <f>VLOOKUP(F2101,HC!A$6:D$1000,2,FALSE)</f>
        <v>valderle</v>
      </c>
      <c r="P2101" t="s">
        <v>664</v>
      </c>
      <c r="Q2101" s="7" t="s">
        <v>709</v>
      </c>
      <c r="U2101">
        <f t="shared" si="34"/>
        <v>50</v>
      </c>
    </row>
    <row r="2102" spans="1:21" ht="37.5" customHeight="1" x14ac:dyDescent="0.25">
      <c r="A2102" s="33">
        <v>45090</v>
      </c>
      <c r="B2102" s="13">
        <v>24</v>
      </c>
      <c r="C2102" t="s">
        <v>3</v>
      </c>
      <c r="D2102" t="s">
        <v>4</v>
      </c>
      <c r="E2102" t="s">
        <v>5</v>
      </c>
      <c r="F2102" s="6">
        <v>112981212</v>
      </c>
      <c r="G2102" t="s">
        <v>573</v>
      </c>
      <c r="H2102" t="s">
        <v>44</v>
      </c>
      <c r="I2102">
        <v>0</v>
      </c>
      <c r="J2102">
        <v>0</v>
      </c>
      <c r="K2102">
        <v>0</v>
      </c>
      <c r="L2102">
        <v>0</v>
      </c>
      <c r="M2102">
        <v>0.22</v>
      </c>
      <c r="N2102" s="7" t="e">
        <f>VLOOKUP(F2102,HC!A$6:D$100,3,FALSE)</f>
        <v>#N/A</v>
      </c>
      <c r="O2102" s="7" t="str">
        <f>VLOOKUP(F2102,HC!A$6:D$1000,2,FALSE)</f>
        <v>alysonza</v>
      </c>
      <c r="P2102" t="s">
        <v>670</v>
      </c>
      <c r="Q2102" s="7" t="s">
        <v>746</v>
      </c>
      <c r="U2102">
        <f t="shared" si="34"/>
        <v>23</v>
      </c>
    </row>
    <row r="2103" spans="1:21" ht="37.5" customHeight="1" x14ac:dyDescent="0.25">
      <c r="A2103" s="33">
        <v>45090</v>
      </c>
      <c r="B2103" s="13">
        <v>24</v>
      </c>
      <c r="C2103" t="s">
        <v>3</v>
      </c>
      <c r="D2103" t="s">
        <v>4</v>
      </c>
      <c r="E2103" t="s">
        <v>5</v>
      </c>
      <c r="F2103" s="6">
        <v>113014042</v>
      </c>
      <c r="G2103" t="s">
        <v>329</v>
      </c>
      <c r="H2103" t="s">
        <v>7</v>
      </c>
      <c r="I2103">
        <v>0</v>
      </c>
      <c r="J2103">
        <v>0</v>
      </c>
      <c r="K2103">
        <v>0</v>
      </c>
      <c r="L2103">
        <v>0</v>
      </c>
      <c r="M2103">
        <v>0.54</v>
      </c>
      <c r="N2103" s="7" t="e">
        <f>VLOOKUP(F2103,HC!A$6:D$100,3,FALSE)</f>
        <v>#N/A</v>
      </c>
      <c r="O2103" s="7" t="str">
        <f>VLOOKUP(F2103,HC!A$6:D$1000,2,FALSE)</f>
        <v>rfcervan</v>
      </c>
      <c r="P2103" t="s">
        <v>661</v>
      </c>
      <c r="Q2103" s="7" t="s">
        <v>681</v>
      </c>
      <c r="U2103">
        <f t="shared" si="34"/>
        <v>23</v>
      </c>
    </row>
    <row r="2104" spans="1:21" ht="37.5" customHeight="1" x14ac:dyDescent="0.25">
      <c r="A2104" s="33">
        <v>45090</v>
      </c>
      <c r="B2104" s="13">
        <v>24</v>
      </c>
      <c r="C2104" t="s">
        <v>3</v>
      </c>
      <c r="D2104" t="s">
        <v>4</v>
      </c>
      <c r="E2104" t="s">
        <v>5</v>
      </c>
      <c r="F2104" s="6">
        <v>200404250</v>
      </c>
      <c r="G2104" t="s">
        <v>51</v>
      </c>
      <c r="H2104" t="s">
        <v>298</v>
      </c>
      <c r="I2104">
        <v>0</v>
      </c>
      <c r="J2104">
        <v>0</v>
      </c>
      <c r="K2104">
        <v>0</v>
      </c>
      <c r="L2104">
        <v>0</v>
      </c>
      <c r="M2104">
        <v>0.03</v>
      </c>
      <c r="N2104" s="7" t="e">
        <f>VLOOKUP(F2104,HC!A$6:D$100,3,FALSE)</f>
        <v>#N/A</v>
      </c>
      <c r="O2104" s="7" t="str">
        <f>VLOOKUP(F2104,HC!A$6:D$1000,2,FALSE)</f>
        <v>xcathurt</v>
      </c>
      <c r="P2104" t="s">
        <v>662</v>
      </c>
      <c r="Q2104" s="7" t="s">
        <v>766</v>
      </c>
      <c r="U2104">
        <f t="shared" si="34"/>
        <v>124</v>
      </c>
    </row>
    <row r="2105" spans="1:21" ht="37.5" customHeight="1" x14ac:dyDescent="0.25">
      <c r="A2105" s="33">
        <v>45090</v>
      </c>
      <c r="B2105" s="13">
        <v>24</v>
      </c>
      <c r="C2105" t="s">
        <v>3</v>
      </c>
      <c r="D2105" t="s">
        <v>4</v>
      </c>
      <c r="E2105" t="s">
        <v>21</v>
      </c>
      <c r="F2105" s="6">
        <v>201165769</v>
      </c>
      <c r="G2105" t="s">
        <v>903</v>
      </c>
      <c r="H2105" t="s">
        <v>285</v>
      </c>
      <c r="I2105">
        <v>0</v>
      </c>
      <c r="J2105">
        <v>0</v>
      </c>
      <c r="K2105">
        <v>0</v>
      </c>
      <c r="L2105">
        <v>0</v>
      </c>
      <c r="M2105">
        <v>0.18</v>
      </c>
      <c r="N2105" s="7" t="e">
        <f>VLOOKUP(F2105,HC!A$6:D$100,3,FALSE)</f>
        <v>#N/A</v>
      </c>
      <c r="O2105" s="7" t="str">
        <f>VLOOKUP(F2105,HC!A$6:D$1000,2,FALSE)</f>
        <v>puenkare</v>
      </c>
      <c r="P2105" t="s">
        <v>665</v>
      </c>
      <c r="Q2105" s="7" t="s">
        <v>722</v>
      </c>
      <c r="U2105">
        <f t="shared" si="34"/>
        <v>19</v>
      </c>
    </row>
    <row r="2106" spans="1:21" ht="37.5" customHeight="1" x14ac:dyDescent="0.25">
      <c r="A2106" s="33">
        <v>45091</v>
      </c>
      <c r="B2106" s="13">
        <v>24</v>
      </c>
      <c r="C2106" t="s">
        <v>3</v>
      </c>
      <c r="D2106" t="s">
        <v>4</v>
      </c>
      <c r="E2106" t="s">
        <v>21</v>
      </c>
      <c r="F2106" s="6">
        <v>112912067</v>
      </c>
      <c r="G2106" t="s">
        <v>921</v>
      </c>
      <c r="H2106" t="s">
        <v>44</v>
      </c>
      <c r="I2106">
        <v>0</v>
      </c>
      <c r="J2106">
        <v>0</v>
      </c>
      <c r="K2106">
        <v>0</v>
      </c>
      <c r="L2106">
        <v>0</v>
      </c>
      <c r="M2106">
        <v>0.68</v>
      </c>
      <c r="N2106" s="7" t="e">
        <f>VLOOKUP(F2106,HC!A$6:D$100,3,FALSE)</f>
        <v>#N/A</v>
      </c>
      <c r="O2106" s="7" t="e">
        <f>VLOOKUP(F2106,HC!A$6:D$1000,2,FALSE)</f>
        <v>#N/A</v>
      </c>
      <c r="P2106" t="s">
        <v>664</v>
      </c>
      <c r="Q2106" s="7" t="s">
        <v>710</v>
      </c>
      <c r="U2106">
        <f t="shared" si="34"/>
        <v>1395</v>
      </c>
    </row>
    <row r="2107" spans="1:21" ht="37.5" customHeight="1" x14ac:dyDescent="0.25">
      <c r="A2107" s="33">
        <v>45091</v>
      </c>
      <c r="B2107" s="13">
        <v>24</v>
      </c>
      <c r="C2107" t="s">
        <v>3</v>
      </c>
      <c r="D2107" t="s">
        <v>4</v>
      </c>
      <c r="E2107" t="s">
        <v>5</v>
      </c>
      <c r="F2107" s="6">
        <v>112912661</v>
      </c>
      <c r="G2107" t="s">
        <v>782</v>
      </c>
      <c r="H2107" t="s">
        <v>14</v>
      </c>
      <c r="I2107">
        <v>0</v>
      </c>
      <c r="J2107">
        <v>0</v>
      </c>
      <c r="K2107">
        <v>0</v>
      </c>
      <c r="L2107">
        <v>0</v>
      </c>
      <c r="M2107">
        <v>0.75</v>
      </c>
      <c r="N2107" s="7" t="str">
        <f>VLOOKUP(F2107,HC!A$6:D$100,3,FALSE)</f>
        <v>DA-X0700</v>
      </c>
      <c r="O2107" s="7" t="str">
        <f>VLOOKUP(F2107,HC!A$6:D$1000,2,FALSE)</f>
        <v>franmorb</v>
      </c>
      <c r="P2107" t="s">
        <v>661</v>
      </c>
      <c r="Q2107" s="7" t="s">
        <v>681</v>
      </c>
      <c r="U2107">
        <f t="shared" si="34"/>
        <v>8</v>
      </c>
    </row>
    <row r="2108" spans="1:21" ht="37.5" customHeight="1" x14ac:dyDescent="0.25">
      <c r="A2108" s="33">
        <v>45091</v>
      </c>
      <c r="B2108" s="13">
        <v>24</v>
      </c>
      <c r="C2108" t="s">
        <v>3</v>
      </c>
      <c r="D2108" t="s">
        <v>4</v>
      </c>
      <c r="E2108" t="s">
        <v>5</v>
      </c>
      <c r="F2108" s="6">
        <v>112912752</v>
      </c>
      <c r="G2108" t="s">
        <v>251</v>
      </c>
      <c r="H2108" t="s">
        <v>268</v>
      </c>
      <c r="I2108">
        <v>0</v>
      </c>
      <c r="J2108">
        <v>0</v>
      </c>
      <c r="K2108">
        <v>0</v>
      </c>
      <c r="L2108">
        <v>0</v>
      </c>
      <c r="M2108">
        <v>0.63</v>
      </c>
      <c r="N2108" s="7" t="str">
        <f>VLOOKUP(F2108,HC!A$6:D$100,3,FALSE)</f>
        <v>NF-X1900</v>
      </c>
      <c r="O2108" s="7" t="str">
        <f>VLOOKUP(F2108,HC!A$6:D$1000,2,FALSE)</f>
        <v>valderle</v>
      </c>
      <c r="P2108" t="s">
        <v>664</v>
      </c>
      <c r="Q2108" s="7" t="s">
        <v>709</v>
      </c>
      <c r="U2108">
        <f t="shared" si="34"/>
        <v>50</v>
      </c>
    </row>
    <row r="2109" spans="1:21" ht="37.5" customHeight="1" x14ac:dyDescent="0.25">
      <c r="A2109" s="33">
        <v>45091</v>
      </c>
      <c r="B2109" s="13">
        <v>24</v>
      </c>
      <c r="C2109" t="s">
        <v>3</v>
      </c>
      <c r="D2109" t="s">
        <v>4</v>
      </c>
      <c r="E2109" t="s">
        <v>5</v>
      </c>
      <c r="F2109" s="6">
        <v>112920654</v>
      </c>
      <c r="G2109" t="s">
        <v>500</v>
      </c>
      <c r="H2109" t="s">
        <v>14</v>
      </c>
      <c r="I2109">
        <v>0</v>
      </c>
      <c r="J2109">
        <v>0</v>
      </c>
      <c r="K2109">
        <v>0</v>
      </c>
      <c r="L2109">
        <v>0</v>
      </c>
      <c r="M2109">
        <v>0.14000000000000001</v>
      </c>
      <c r="N2109" s="7" t="str">
        <f>VLOOKUP(F2109,HC!A$6:D$100,3,FALSE)</f>
        <v>DB-X0700</v>
      </c>
      <c r="O2109" s="7" t="str">
        <f>VLOOKUP(F2109,HC!A$6:D$1000,2,FALSE)</f>
        <v>qhojulie</v>
      </c>
      <c r="P2109" t="s">
        <v>664</v>
      </c>
      <c r="Q2109" s="7" t="s">
        <v>708</v>
      </c>
      <c r="U2109">
        <f t="shared" si="34"/>
        <v>16</v>
      </c>
    </row>
    <row r="2110" spans="1:21" ht="37.5" customHeight="1" x14ac:dyDescent="0.25">
      <c r="A2110" s="33">
        <v>45091</v>
      </c>
      <c r="B2110" s="13">
        <v>24</v>
      </c>
      <c r="C2110" t="s">
        <v>3</v>
      </c>
      <c r="D2110" t="s">
        <v>4</v>
      </c>
      <c r="E2110" t="s">
        <v>5</v>
      </c>
      <c r="F2110" s="6">
        <v>112920655</v>
      </c>
      <c r="G2110" t="s">
        <v>509</v>
      </c>
      <c r="H2110" t="s">
        <v>282</v>
      </c>
      <c r="I2110">
        <v>0</v>
      </c>
      <c r="J2110">
        <v>0</v>
      </c>
      <c r="K2110">
        <v>0</v>
      </c>
      <c r="L2110">
        <v>0</v>
      </c>
      <c r="M2110">
        <v>0.18</v>
      </c>
      <c r="N2110" s="7" t="e">
        <f>VLOOKUP(F2110,HC!A$6:D$100,3,FALSE)</f>
        <v>#N/A</v>
      </c>
      <c r="O2110" s="7" t="e">
        <f>VLOOKUP(F2110,HC!A$6:D$1000,2,FALSE)</f>
        <v>#N/A</v>
      </c>
      <c r="P2110" t="s">
        <v>664</v>
      </c>
      <c r="Q2110" s="7" t="s">
        <v>716</v>
      </c>
      <c r="U2110">
        <f t="shared" si="34"/>
        <v>1395</v>
      </c>
    </row>
    <row r="2111" spans="1:21" ht="37.5" customHeight="1" x14ac:dyDescent="0.25">
      <c r="A2111" s="33">
        <v>45091</v>
      </c>
      <c r="B2111" s="13">
        <v>24</v>
      </c>
      <c r="C2111" t="s">
        <v>3</v>
      </c>
      <c r="D2111" t="s">
        <v>4</v>
      </c>
      <c r="E2111" t="s">
        <v>5</v>
      </c>
      <c r="F2111" s="6">
        <v>112980899</v>
      </c>
      <c r="G2111" t="s">
        <v>396</v>
      </c>
      <c r="H2111" t="s">
        <v>285</v>
      </c>
      <c r="I2111">
        <v>0</v>
      </c>
      <c r="J2111">
        <v>0</v>
      </c>
      <c r="K2111">
        <v>0</v>
      </c>
      <c r="L2111">
        <v>0</v>
      </c>
      <c r="M2111">
        <v>0.36</v>
      </c>
      <c r="N2111" s="7" t="str">
        <f>VLOOKUP(F2111,HC!A$6:D$100,3,FALSE)</f>
        <v>NF-X1900</v>
      </c>
      <c r="O2111" s="7" t="str">
        <f>VLOOKUP(F2111,HC!A$6:D$1000,2,FALSE)</f>
        <v>aravilac</v>
      </c>
      <c r="P2111" t="s">
        <v>664</v>
      </c>
      <c r="Q2111" s="7" t="s">
        <v>708</v>
      </c>
      <c r="U2111">
        <f t="shared" si="34"/>
        <v>33</v>
      </c>
    </row>
    <row r="2112" spans="1:21" ht="37.5" customHeight="1" x14ac:dyDescent="0.25">
      <c r="A2112" s="33">
        <v>45091</v>
      </c>
      <c r="B2112" s="13">
        <v>24</v>
      </c>
      <c r="C2112" t="s">
        <v>3</v>
      </c>
      <c r="D2112" t="s">
        <v>4</v>
      </c>
      <c r="E2112" t="s">
        <v>21</v>
      </c>
      <c r="F2112" s="6">
        <v>200508315</v>
      </c>
      <c r="G2112" t="s">
        <v>428</v>
      </c>
      <c r="H2112" t="s">
        <v>7</v>
      </c>
      <c r="I2112">
        <v>0</v>
      </c>
      <c r="J2112">
        <v>0</v>
      </c>
      <c r="K2112">
        <v>0</v>
      </c>
      <c r="L2112">
        <v>0</v>
      </c>
      <c r="M2112">
        <v>2.79</v>
      </c>
      <c r="N2112" s="7" t="e">
        <f>VLOOKUP(F2112,HC!A$6:D$100,3,FALSE)</f>
        <v>#N/A</v>
      </c>
      <c r="O2112" s="7" t="str">
        <f>VLOOKUP(F2112,HC!A$6:D$1000,2,FALSE)</f>
        <v>taldaher</v>
      </c>
      <c r="P2112" t="s">
        <v>664</v>
      </c>
      <c r="Q2112" s="7" t="s">
        <v>717</v>
      </c>
      <c r="U2112">
        <f t="shared" si="34"/>
        <v>18</v>
      </c>
    </row>
    <row r="2113" spans="1:21" ht="37.5" customHeight="1" x14ac:dyDescent="0.25">
      <c r="A2113" s="33">
        <v>45091</v>
      </c>
      <c r="B2113" s="13">
        <v>24</v>
      </c>
      <c r="C2113" t="s">
        <v>3</v>
      </c>
      <c r="D2113" t="s">
        <v>4</v>
      </c>
      <c r="E2113" t="s">
        <v>21</v>
      </c>
      <c r="F2113" s="6">
        <v>200552734</v>
      </c>
      <c r="G2113" t="s">
        <v>492</v>
      </c>
      <c r="H2113" t="s">
        <v>7</v>
      </c>
      <c r="I2113">
        <v>0</v>
      </c>
      <c r="J2113">
        <v>0</v>
      </c>
      <c r="K2113">
        <v>0</v>
      </c>
      <c r="L2113">
        <v>0</v>
      </c>
      <c r="M2113">
        <v>1.59</v>
      </c>
      <c r="N2113" s="7" t="e">
        <f>VLOOKUP(F2113,HC!A$6:D$100,3,FALSE)</f>
        <v>#N/A</v>
      </c>
      <c r="O2113" s="7" t="e">
        <f>VLOOKUP(F2113,HC!A$6:D$1000,2,FALSE)</f>
        <v>#N/A</v>
      </c>
      <c r="P2113" t="s">
        <v>664</v>
      </c>
      <c r="Q2113" s="7" t="s">
        <v>716</v>
      </c>
      <c r="U2113">
        <f t="shared" si="34"/>
        <v>1395</v>
      </c>
    </row>
    <row r="2114" spans="1:21" ht="37.5" customHeight="1" x14ac:dyDescent="0.25">
      <c r="A2114" s="33">
        <v>45091</v>
      </c>
      <c r="B2114" s="13">
        <v>24</v>
      </c>
      <c r="C2114" t="s">
        <v>3</v>
      </c>
      <c r="D2114" t="s">
        <v>4</v>
      </c>
      <c r="E2114" t="s">
        <v>21</v>
      </c>
      <c r="F2114" s="6">
        <v>201390700</v>
      </c>
      <c r="G2114" t="s">
        <v>1047</v>
      </c>
      <c r="H2114" t="s">
        <v>44</v>
      </c>
      <c r="I2114">
        <v>0</v>
      </c>
      <c r="J2114">
        <v>0</v>
      </c>
      <c r="K2114">
        <v>0</v>
      </c>
      <c r="L2114">
        <v>0</v>
      </c>
      <c r="M2114">
        <v>1.28</v>
      </c>
      <c r="N2114" s="7" t="e">
        <f>VLOOKUP(F2114,HC!A$6:D$100,3,FALSE)</f>
        <v>#N/A</v>
      </c>
      <c r="O2114" s="7" t="e">
        <f>VLOOKUP(F2114,HC!A$6:D$1000,2,FALSE)</f>
        <v>#N/A</v>
      </c>
      <c r="P2114" t="s">
        <v>664</v>
      </c>
      <c r="Q2114" s="7" t="s">
        <v>716</v>
      </c>
      <c r="U2114">
        <f t="shared" si="34"/>
        <v>1395</v>
      </c>
    </row>
    <row r="2115" spans="1:21" ht="37.5" customHeight="1" x14ac:dyDescent="0.25">
      <c r="A2115" s="33">
        <v>45092</v>
      </c>
      <c r="B2115" s="13">
        <v>24</v>
      </c>
      <c r="C2115" t="s">
        <v>3</v>
      </c>
      <c r="D2115" t="s">
        <v>4</v>
      </c>
      <c r="E2115" t="s">
        <v>5</v>
      </c>
      <c r="F2115" s="6">
        <v>112920654</v>
      </c>
      <c r="G2115" t="s">
        <v>500</v>
      </c>
      <c r="H2115" t="s">
        <v>14</v>
      </c>
      <c r="I2115">
        <v>0</v>
      </c>
      <c r="J2115">
        <v>0</v>
      </c>
      <c r="K2115">
        <v>0</v>
      </c>
      <c r="L2115">
        <v>0</v>
      </c>
      <c r="M2115">
        <v>0.46</v>
      </c>
      <c r="N2115" s="7" t="str">
        <f>VLOOKUP(F2115,HC!A$6:D$100,3,FALSE)</f>
        <v>DB-X0700</v>
      </c>
      <c r="O2115" s="7" t="str">
        <f>VLOOKUP(F2115,HC!A$6:D$1000,2,FALSE)</f>
        <v>qhojulie</v>
      </c>
      <c r="Q2115" s="7"/>
      <c r="R2115" t="s">
        <v>391</v>
      </c>
      <c r="U2115">
        <f t="shared" ref="U2115:U2178" si="35">COUNTIF(O$2:O$4999,O2115)</f>
        <v>16</v>
      </c>
    </row>
    <row r="2116" spans="1:21" ht="37.5" customHeight="1" x14ac:dyDescent="0.25">
      <c r="A2116" s="33">
        <v>45092</v>
      </c>
      <c r="B2116" s="13">
        <v>24</v>
      </c>
      <c r="C2116" t="s">
        <v>3</v>
      </c>
      <c r="D2116" t="s">
        <v>4</v>
      </c>
      <c r="E2116" t="s">
        <v>5</v>
      </c>
      <c r="F2116" s="6">
        <v>112972897</v>
      </c>
      <c r="G2116" t="s">
        <v>1128</v>
      </c>
      <c r="H2116" t="s">
        <v>282</v>
      </c>
      <c r="I2116">
        <v>0</v>
      </c>
      <c r="J2116">
        <v>0</v>
      </c>
      <c r="K2116">
        <v>0</v>
      </c>
      <c r="L2116">
        <v>0</v>
      </c>
      <c r="M2116">
        <v>0.45</v>
      </c>
      <c r="N2116" s="7" t="str">
        <f>VLOOKUP(F2116,HC!A$6:D$100,3,FALSE)</f>
        <v>DB-X0700</v>
      </c>
      <c r="O2116" s="7" t="str">
        <f>VLOOKUP(F2116,HC!A$6:D$1000,2,FALSE)</f>
        <v>adonairk</v>
      </c>
      <c r="Q2116" s="7"/>
      <c r="R2116" t="s">
        <v>391</v>
      </c>
      <c r="U2116">
        <f t="shared" si="35"/>
        <v>3</v>
      </c>
    </row>
    <row r="2117" spans="1:21" ht="37.5" customHeight="1" x14ac:dyDescent="0.25">
      <c r="A2117" s="33">
        <v>45092</v>
      </c>
      <c r="B2117" s="13">
        <v>24</v>
      </c>
      <c r="C2117" t="s">
        <v>3</v>
      </c>
      <c r="D2117" t="s">
        <v>4</v>
      </c>
      <c r="E2117" t="s">
        <v>5</v>
      </c>
      <c r="F2117" s="6">
        <v>112980878</v>
      </c>
      <c r="G2117" t="s">
        <v>481</v>
      </c>
      <c r="H2117" t="s">
        <v>298</v>
      </c>
      <c r="I2117">
        <v>0</v>
      </c>
      <c r="J2117">
        <v>0</v>
      </c>
      <c r="K2117">
        <v>0</v>
      </c>
      <c r="L2117">
        <v>0</v>
      </c>
      <c r="M2117">
        <v>0.18</v>
      </c>
      <c r="N2117" s="7" t="e">
        <f>VLOOKUP(F2117,HC!A$6:D$100,3,FALSE)</f>
        <v>#N/A</v>
      </c>
      <c r="O2117" s="7" t="e">
        <f>VLOOKUP(F2117,HC!A$6:D$1000,2,FALSE)</f>
        <v>#N/A</v>
      </c>
      <c r="P2117" t="s">
        <v>664</v>
      </c>
      <c r="Q2117" s="7" t="s">
        <v>716</v>
      </c>
      <c r="U2117">
        <f t="shared" si="35"/>
        <v>1395</v>
      </c>
    </row>
    <row r="2118" spans="1:21" ht="37.5" customHeight="1" x14ac:dyDescent="0.25">
      <c r="A2118" s="33">
        <v>45092</v>
      </c>
      <c r="B2118" s="13">
        <v>24</v>
      </c>
      <c r="C2118" t="s">
        <v>3</v>
      </c>
      <c r="D2118" t="s">
        <v>4</v>
      </c>
      <c r="E2118" t="s">
        <v>5</v>
      </c>
      <c r="F2118" s="6">
        <v>113020476</v>
      </c>
      <c r="G2118" t="s">
        <v>330</v>
      </c>
      <c r="H2118" t="s">
        <v>7</v>
      </c>
      <c r="I2118">
        <v>0</v>
      </c>
      <c r="J2118">
        <v>0</v>
      </c>
      <c r="K2118">
        <v>0</v>
      </c>
      <c r="L2118">
        <v>0</v>
      </c>
      <c r="M2118">
        <v>0.17</v>
      </c>
      <c r="N2118" s="7" t="e">
        <f>VLOOKUP(F2118,HC!A$6:D$100,3,FALSE)</f>
        <v>#N/A</v>
      </c>
      <c r="O2118" s="7" t="str">
        <f>VLOOKUP(F2118,HC!A$6:D$1000,2,FALSE)</f>
        <v>polettpu</v>
      </c>
      <c r="P2118" t="s">
        <v>661</v>
      </c>
      <c r="Q2118" s="7" t="s">
        <v>681</v>
      </c>
      <c r="U2118">
        <f t="shared" si="35"/>
        <v>55</v>
      </c>
    </row>
    <row r="2119" spans="1:21" ht="37.5" customHeight="1" x14ac:dyDescent="0.25">
      <c r="A2119" s="33">
        <v>45092</v>
      </c>
      <c r="B2119" s="13">
        <v>24</v>
      </c>
      <c r="C2119" t="s">
        <v>3</v>
      </c>
      <c r="D2119" t="s">
        <v>4</v>
      </c>
      <c r="E2119" t="s">
        <v>5</v>
      </c>
      <c r="F2119" s="6">
        <v>113101453</v>
      </c>
      <c r="G2119" t="s">
        <v>50</v>
      </c>
      <c r="H2119" t="s">
        <v>44</v>
      </c>
      <c r="I2119">
        <v>0</v>
      </c>
      <c r="J2119">
        <v>0</v>
      </c>
      <c r="K2119">
        <v>0</v>
      </c>
      <c r="L2119">
        <v>0</v>
      </c>
      <c r="M2119">
        <v>0.82</v>
      </c>
      <c r="N2119" s="7" t="e">
        <f>VLOOKUP(F2119,HC!A$6:D$100,3,FALSE)</f>
        <v>#N/A</v>
      </c>
      <c r="O2119" s="7" t="str">
        <f>VLOOKUP(F2119,HC!A$6:D$1000,2,FALSE)</f>
        <v>qisgeova</v>
      </c>
      <c r="Q2119" s="7"/>
      <c r="U2119">
        <f t="shared" si="35"/>
        <v>57</v>
      </c>
    </row>
    <row r="2120" spans="1:21" ht="37.5" customHeight="1" x14ac:dyDescent="0.25">
      <c r="A2120" s="33">
        <v>45092</v>
      </c>
      <c r="B2120" s="13">
        <v>24</v>
      </c>
      <c r="C2120" t="s">
        <v>3</v>
      </c>
      <c r="D2120" t="s">
        <v>4</v>
      </c>
      <c r="E2120" t="s">
        <v>21</v>
      </c>
      <c r="F2120" s="6">
        <v>201167501</v>
      </c>
      <c r="G2120" t="s">
        <v>863</v>
      </c>
      <c r="H2120" t="s">
        <v>44</v>
      </c>
      <c r="I2120">
        <v>0</v>
      </c>
      <c r="J2120">
        <v>0</v>
      </c>
      <c r="K2120">
        <v>0</v>
      </c>
      <c r="L2120">
        <v>0</v>
      </c>
      <c r="M2120">
        <v>0.71</v>
      </c>
      <c r="N2120" s="7" t="e">
        <f>VLOOKUP(F2120,HC!A$6:D$100,3,FALSE)</f>
        <v>#N/A</v>
      </c>
      <c r="O2120" s="7" t="str">
        <f>VLOOKUP(F2120,HC!A$6:D$1000,2,FALSE)</f>
        <v>wguanajr</v>
      </c>
      <c r="Q2120" s="7"/>
      <c r="U2120">
        <f t="shared" si="35"/>
        <v>36</v>
      </c>
    </row>
    <row r="2121" spans="1:21" ht="37.5" customHeight="1" x14ac:dyDescent="0.25">
      <c r="A2121" s="33">
        <v>45092</v>
      </c>
      <c r="B2121" s="13">
        <v>24</v>
      </c>
      <c r="C2121" t="s">
        <v>3</v>
      </c>
      <c r="D2121" t="s">
        <v>4</v>
      </c>
      <c r="E2121" t="s">
        <v>21</v>
      </c>
      <c r="F2121" s="6">
        <v>201228411</v>
      </c>
      <c r="G2121" t="s">
        <v>938</v>
      </c>
      <c r="H2121" t="s">
        <v>49</v>
      </c>
      <c r="I2121">
        <v>0</v>
      </c>
      <c r="J2121">
        <v>0</v>
      </c>
      <c r="K2121">
        <v>0</v>
      </c>
      <c r="L2121">
        <v>0</v>
      </c>
      <c r="M2121">
        <v>0.14000000000000001</v>
      </c>
      <c r="N2121" s="7" t="e">
        <f>VLOOKUP(F2121,HC!A$6:D$100,3,FALSE)</f>
        <v>#N/A</v>
      </c>
      <c r="O2121" s="7" t="str">
        <f>VLOOKUP(F2121,HC!A$6:D$1000,2,FALSE)</f>
        <v>jazmiwhe</v>
      </c>
      <c r="P2121" t="s">
        <v>661</v>
      </c>
      <c r="Q2121" s="7" t="s">
        <v>681</v>
      </c>
      <c r="U2121">
        <f t="shared" si="35"/>
        <v>36</v>
      </c>
    </row>
    <row r="2122" spans="1:21" ht="37.5" customHeight="1" x14ac:dyDescent="0.25">
      <c r="A2122" s="33">
        <v>45092</v>
      </c>
      <c r="B2122" s="13">
        <v>24</v>
      </c>
      <c r="C2122" t="s">
        <v>3</v>
      </c>
      <c r="D2122" t="s">
        <v>4</v>
      </c>
      <c r="E2122" t="s">
        <v>21</v>
      </c>
      <c r="F2122" s="6">
        <v>201315151</v>
      </c>
      <c r="G2122" t="s">
        <v>1079</v>
      </c>
      <c r="H2122" t="s">
        <v>47</v>
      </c>
      <c r="I2122">
        <v>0</v>
      </c>
      <c r="J2122">
        <v>0</v>
      </c>
      <c r="K2122">
        <v>0</v>
      </c>
      <c r="L2122">
        <v>0</v>
      </c>
      <c r="M2122">
        <v>0.46</v>
      </c>
      <c r="N2122" s="7" t="e">
        <f>VLOOKUP(F2122,HC!A$6:D$100,3,FALSE)</f>
        <v>#N/A</v>
      </c>
      <c r="O2122" s="7" t="e">
        <f>VLOOKUP(F2122,HC!A$6:D$1000,2,FALSE)</f>
        <v>#N/A</v>
      </c>
      <c r="P2122" t="s">
        <v>667</v>
      </c>
      <c r="Q2122" s="7" t="s">
        <v>306</v>
      </c>
      <c r="U2122">
        <f t="shared" si="35"/>
        <v>1395</v>
      </c>
    </row>
    <row r="2123" spans="1:21" ht="37.5" customHeight="1" x14ac:dyDescent="0.25">
      <c r="A2123" s="33">
        <v>45092</v>
      </c>
      <c r="B2123" s="13">
        <v>24</v>
      </c>
      <c r="C2123" t="s">
        <v>3</v>
      </c>
      <c r="D2123" t="s">
        <v>4</v>
      </c>
      <c r="E2123" t="s">
        <v>21</v>
      </c>
      <c r="F2123" s="6">
        <v>201341822</v>
      </c>
      <c r="G2123" t="s">
        <v>989</v>
      </c>
      <c r="H2123" t="s">
        <v>49</v>
      </c>
      <c r="I2123">
        <v>0</v>
      </c>
      <c r="J2123">
        <v>0</v>
      </c>
      <c r="K2123">
        <v>0</v>
      </c>
      <c r="L2123">
        <v>0</v>
      </c>
      <c r="M2123">
        <v>0.55000000000000004</v>
      </c>
      <c r="N2123" s="7" t="e">
        <f>VLOOKUP(F2123,HC!A$6:D$100,3,FALSE)</f>
        <v>#N/A</v>
      </c>
      <c r="O2123" s="7" t="e">
        <f>VLOOKUP(F2123,HC!A$6:D$1000,2,FALSE)</f>
        <v>#N/A</v>
      </c>
      <c r="P2123" t="s">
        <v>670</v>
      </c>
      <c r="Q2123" s="7" t="s">
        <v>749</v>
      </c>
      <c r="U2123">
        <f t="shared" si="35"/>
        <v>1395</v>
      </c>
    </row>
    <row r="2124" spans="1:21" ht="37.5" customHeight="1" x14ac:dyDescent="0.25">
      <c r="A2124" s="33">
        <v>45092</v>
      </c>
      <c r="B2124" s="13">
        <v>24</v>
      </c>
      <c r="C2124" t="s">
        <v>3</v>
      </c>
      <c r="D2124" t="s">
        <v>4</v>
      </c>
      <c r="E2124" t="s">
        <v>21</v>
      </c>
      <c r="F2124" s="6">
        <v>201377831</v>
      </c>
      <c r="G2124" t="s">
        <v>1135</v>
      </c>
      <c r="H2124" t="s">
        <v>7</v>
      </c>
      <c r="I2124">
        <v>0</v>
      </c>
      <c r="J2124">
        <v>0</v>
      </c>
      <c r="K2124">
        <v>0</v>
      </c>
      <c r="L2124">
        <v>0</v>
      </c>
      <c r="M2124">
        <v>0.18</v>
      </c>
      <c r="N2124" s="7" t="e">
        <f>VLOOKUP(F2124,HC!A$6:D$100,3,FALSE)</f>
        <v>#N/A</v>
      </c>
      <c r="O2124" s="7" t="e">
        <f>VLOOKUP(F2124,HC!A$6:D$1000,2,FALSE)</f>
        <v>#N/A</v>
      </c>
      <c r="Q2124" s="7"/>
      <c r="U2124">
        <f t="shared" si="35"/>
        <v>1395</v>
      </c>
    </row>
    <row r="2125" spans="1:21" ht="37.5" customHeight="1" x14ac:dyDescent="0.25">
      <c r="A2125" s="33">
        <v>45093</v>
      </c>
      <c r="B2125" s="13">
        <v>24</v>
      </c>
      <c r="C2125" t="s">
        <v>3</v>
      </c>
      <c r="D2125" t="s">
        <v>4</v>
      </c>
      <c r="E2125" t="s">
        <v>5</v>
      </c>
      <c r="F2125" s="6">
        <v>112920655</v>
      </c>
      <c r="G2125" t="s">
        <v>509</v>
      </c>
      <c r="H2125" t="s">
        <v>282</v>
      </c>
      <c r="I2125">
        <v>0</v>
      </c>
      <c r="J2125">
        <v>0</v>
      </c>
      <c r="K2125">
        <v>0</v>
      </c>
      <c r="L2125">
        <v>0</v>
      </c>
      <c r="M2125">
        <v>0.53</v>
      </c>
      <c r="N2125" s="7" t="e">
        <f>VLOOKUP(F2125,HC!A$6:D$100,3,FALSE)</f>
        <v>#N/A</v>
      </c>
      <c r="O2125" s="7" t="e">
        <f>VLOOKUP(F2125,HC!A$6:D$1000,2,FALSE)</f>
        <v>#N/A</v>
      </c>
      <c r="Q2125" s="7"/>
      <c r="U2125">
        <f t="shared" si="35"/>
        <v>1395</v>
      </c>
    </row>
    <row r="2126" spans="1:21" ht="37.5" customHeight="1" x14ac:dyDescent="0.25">
      <c r="A2126" s="33">
        <v>45093</v>
      </c>
      <c r="B2126" s="13">
        <v>24</v>
      </c>
      <c r="C2126" t="s">
        <v>3</v>
      </c>
      <c r="D2126" t="s">
        <v>4</v>
      </c>
      <c r="E2126" t="s">
        <v>5</v>
      </c>
      <c r="F2126" s="6">
        <v>113020476</v>
      </c>
      <c r="G2126" t="s">
        <v>330</v>
      </c>
      <c r="H2126" t="s">
        <v>7</v>
      </c>
      <c r="I2126">
        <v>0</v>
      </c>
      <c r="J2126">
        <v>0</v>
      </c>
      <c r="K2126">
        <v>0</v>
      </c>
      <c r="L2126">
        <v>0</v>
      </c>
      <c r="M2126">
        <v>0.14000000000000001</v>
      </c>
      <c r="N2126" s="7" t="e">
        <f>VLOOKUP(F2126,HC!A$6:D$100,3,FALSE)</f>
        <v>#N/A</v>
      </c>
      <c r="O2126" s="7" t="str">
        <f>VLOOKUP(F2126,HC!A$6:D$1000,2,FALSE)</f>
        <v>polettpu</v>
      </c>
      <c r="Q2126" s="7"/>
      <c r="U2126">
        <f t="shared" si="35"/>
        <v>55</v>
      </c>
    </row>
    <row r="2127" spans="1:21" ht="37.5" customHeight="1" x14ac:dyDescent="0.25">
      <c r="A2127" s="33">
        <v>45093</v>
      </c>
      <c r="B2127" s="13">
        <v>24</v>
      </c>
      <c r="C2127" t="s">
        <v>3</v>
      </c>
      <c r="D2127" t="s">
        <v>4</v>
      </c>
      <c r="E2127" t="s">
        <v>21</v>
      </c>
      <c r="F2127" s="6">
        <v>200625528</v>
      </c>
      <c r="G2127" t="s">
        <v>607</v>
      </c>
      <c r="H2127" t="s">
        <v>285</v>
      </c>
      <c r="I2127">
        <v>0</v>
      </c>
      <c r="J2127">
        <v>0</v>
      </c>
      <c r="K2127">
        <v>0</v>
      </c>
      <c r="L2127">
        <v>0</v>
      </c>
      <c r="M2127">
        <v>0.09</v>
      </c>
      <c r="N2127" s="7" t="e">
        <f>VLOOKUP(F2127,HC!A$6:D$100,3,FALSE)</f>
        <v>#N/A</v>
      </c>
      <c r="O2127" s="7" t="str">
        <f>VLOOKUP(F2127,HC!A$6:D$1000,2,FALSE)</f>
        <v>olivlizb</v>
      </c>
      <c r="Q2127" s="7"/>
      <c r="U2127">
        <f t="shared" si="35"/>
        <v>50</v>
      </c>
    </row>
    <row r="2128" spans="1:21" ht="37.5" customHeight="1" x14ac:dyDescent="0.25">
      <c r="A2128" s="33">
        <v>45093</v>
      </c>
      <c r="B2128" s="13">
        <v>24</v>
      </c>
      <c r="C2128" t="s">
        <v>3</v>
      </c>
      <c r="D2128" t="s">
        <v>4</v>
      </c>
      <c r="E2128" t="s">
        <v>21</v>
      </c>
      <c r="F2128" s="6">
        <v>201198979</v>
      </c>
      <c r="G2128" t="s">
        <v>905</v>
      </c>
      <c r="H2128" t="s">
        <v>285</v>
      </c>
      <c r="I2128">
        <v>0</v>
      </c>
      <c r="J2128">
        <v>0</v>
      </c>
      <c r="K2128">
        <v>0</v>
      </c>
      <c r="L2128">
        <v>0</v>
      </c>
      <c r="M2128">
        <v>0.91</v>
      </c>
      <c r="N2128" s="7" t="e">
        <f>VLOOKUP(F2128,HC!A$6:D$100,3,FALSE)</f>
        <v>#N/A</v>
      </c>
      <c r="O2128" s="7" t="e">
        <f>VLOOKUP(F2128,HC!A$6:D$1000,2,FALSE)</f>
        <v>#N/A</v>
      </c>
      <c r="Q2128" s="7"/>
      <c r="U2128">
        <f t="shared" si="35"/>
        <v>1395</v>
      </c>
    </row>
    <row r="2129" spans="1:21" ht="37.5" customHeight="1" x14ac:dyDescent="0.25">
      <c r="A2129" s="33">
        <v>45094</v>
      </c>
      <c r="B2129" s="13">
        <v>24</v>
      </c>
      <c r="C2129" t="s">
        <v>3</v>
      </c>
      <c r="D2129" t="s">
        <v>4</v>
      </c>
      <c r="E2129" t="s">
        <v>5</v>
      </c>
      <c r="F2129" s="6">
        <v>112916534</v>
      </c>
      <c r="G2129" t="s">
        <v>425</v>
      </c>
      <c r="H2129" t="s">
        <v>49</v>
      </c>
      <c r="I2129">
        <v>0</v>
      </c>
      <c r="J2129">
        <v>0</v>
      </c>
      <c r="K2129">
        <v>0</v>
      </c>
      <c r="L2129">
        <v>0</v>
      </c>
      <c r="M2129">
        <v>0.93</v>
      </c>
      <c r="N2129" s="7" t="str">
        <f>VLOOKUP(F2129,HC!A$6:D$100,3,FALSE)</f>
        <v>DB-X0700</v>
      </c>
      <c r="O2129" s="7" t="str">
        <f>VLOOKUP(F2129,HC!A$6:D$1000,2,FALSE)</f>
        <v>earelili</v>
      </c>
      <c r="Q2129" s="7"/>
      <c r="U2129">
        <f t="shared" si="35"/>
        <v>15</v>
      </c>
    </row>
    <row r="2130" spans="1:21" ht="37.5" customHeight="1" x14ac:dyDescent="0.25">
      <c r="A2130" s="33">
        <v>45094</v>
      </c>
      <c r="B2130" s="13">
        <v>24</v>
      </c>
      <c r="C2130" t="s">
        <v>3</v>
      </c>
      <c r="D2130" t="s">
        <v>4</v>
      </c>
      <c r="E2130" t="s">
        <v>5</v>
      </c>
      <c r="F2130" s="6">
        <v>112971962</v>
      </c>
      <c r="G2130" t="s">
        <v>338</v>
      </c>
      <c r="H2130" t="s">
        <v>17</v>
      </c>
      <c r="I2130">
        <v>0</v>
      </c>
      <c r="J2130">
        <v>0</v>
      </c>
      <c r="K2130">
        <v>0</v>
      </c>
      <c r="L2130">
        <v>0</v>
      </c>
      <c r="M2130">
        <v>0.14000000000000001</v>
      </c>
      <c r="N2130" s="7" t="str">
        <f>VLOOKUP(F2130,HC!A$6:D$100,3,FALSE)</f>
        <v>DB-X0700</v>
      </c>
      <c r="O2130" s="7" t="str">
        <f>VLOOKUP(F2130,HC!A$6:D$1000,2,FALSE)</f>
        <v>creyesal</v>
      </c>
      <c r="Q2130" s="7"/>
      <c r="U2130">
        <f t="shared" si="35"/>
        <v>38</v>
      </c>
    </row>
    <row r="2131" spans="1:21" ht="37.5" customHeight="1" x14ac:dyDescent="0.25">
      <c r="A2131" s="33">
        <v>45094</v>
      </c>
      <c r="B2131" s="13">
        <v>24</v>
      </c>
      <c r="C2131" t="s">
        <v>3</v>
      </c>
      <c r="D2131" t="s">
        <v>4</v>
      </c>
      <c r="E2131" t="s">
        <v>5</v>
      </c>
      <c r="F2131" s="6">
        <v>112971965</v>
      </c>
      <c r="G2131" t="s">
        <v>327</v>
      </c>
      <c r="H2131" t="s">
        <v>7</v>
      </c>
      <c r="I2131">
        <v>0</v>
      </c>
      <c r="J2131">
        <v>0</v>
      </c>
      <c r="K2131">
        <v>0</v>
      </c>
      <c r="L2131">
        <v>0</v>
      </c>
      <c r="M2131">
        <v>1.05</v>
      </c>
      <c r="N2131" s="7" t="e">
        <f>VLOOKUP(F2131,HC!A$6:D$100,3,FALSE)</f>
        <v>#N/A</v>
      </c>
      <c r="O2131" s="7" t="e">
        <f>VLOOKUP(F2131,HC!A$6:D$1000,2,FALSE)</f>
        <v>#N/A</v>
      </c>
      <c r="Q2131" s="7"/>
      <c r="U2131">
        <f t="shared" si="35"/>
        <v>1395</v>
      </c>
    </row>
    <row r="2132" spans="1:21" ht="37.5" customHeight="1" x14ac:dyDescent="0.25">
      <c r="A2132" s="33">
        <v>45094</v>
      </c>
      <c r="B2132" s="13">
        <v>24</v>
      </c>
      <c r="C2132" t="s">
        <v>3</v>
      </c>
      <c r="D2132" t="s">
        <v>4</v>
      </c>
      <c r="E2132" t="s">
        <v>21</v>
      </c>
      <c r="F2132" s="6">
        <v>200552734</v>
      </c>
      <c r="G2132" t="s">
        <v>492</v>
      </c>
      <c r="H2132" t="s">
        <v>7</v>
      </c>
      <c r="I2132">
        <v>0</v>
      </c>
      <c r="J2132">
        <v>0</v>
      </c>
      <c r="K2132">
        <v>0</v>
      </c>
      <c r="L2132">
        <v>0</v>
      </c>
      <c r="M2132">
        <v>0.83</v>
      </c>
      <c r="N2132" s="7" t="e">
        <f>VLOOKUP(F2132,HC!A$6:D$100,3,FALSE)</f>
        <v>#N/A</v>
      </c>
      <c r="O2132" s="7" t="e">
        <f>VLOOKUP(F2132,HC!A$6:D$1000,2,FALSE)</f>
        <v>#N/A</v>
      </c>
      <c r="Q2132" s="7"/>
      <c r="U2132">
        <f t="shared" si="35"/>
        <v>1395</v>
      </c>
    </row>
    <row r="2133" spans="1:21" ht="37.5" customHeight="1" x14ac:dyDescent="0.25">
      <c r="A2133" s="33">
        <v>45094</v>
      </c>
      <c r="B2133" s="13">
        <v>24</v>
      </c>
      <c r="C2133" t="s">
        <v>3</v>
      </c>
      <c r="D2133" t="s">
        <v>4</v>
      </c>
      <c r="E2133" t="s">
        <v>21</v>
      </c>
      <c r="F2133" s="6">
        <v>200585084</v>
      </c>
      <c r="G2133" t="s">
        <v>493</v>
      </c>
      <c r="H2133" t="s">
        <v>17</v>
      </c>
      <c r="I2133">
        <v>0</v>
      </c>
      <c r="J2133">
        <v>0</v>
      </c>
      <c r="K2133">
        <v>0</v>
      </c>
      <c r="L2133">
        <v>0</v>
      </c>
      <c r="M2133">
        <v>0.66</v>
      </c>
      <c r="N2133" s="7" t="e">
        <f>VLOOKUP(F2133,HC!A$6:D$100,3,FALSE)</f>
        <v>#N/A</v>
      </c>
      <c r="O2133" s="7" t="str">
        <f>VLOOKUP(F2133,HC!A$6:D$1000,2,FALSE)</f>
        <v>tessajvi</v>
      </c>
      <c r="Q2133" s="7"/>
      <c r="U2133">
        <f t="shared" si="35"/>
        <v>9</v>
      </c>
    </row>
    <row r="2134" spans="1:21" ht="37.5" customHeight="1" x14ac:dyDescent="0.25">
      <c r="A2134" s="33">
        <v>45094</v>
      </c>
      <c r="B2134" s="13">
        <v>24</v>
      </c>
      <c r="C2134" t="s">
        <v>3</v>
      </c>
      <c r="D2134" t="s">
        <v>4</v>
      </c>
      <c r="E2134" t="s">
        <v>21</v>
      </c>
      <c r="F2134" s="6">
        <v>201185653</v>
      </c>
      <c r="G2134" t="s">
        <v>987</v>
      </c>
      <c r="H2134" t="s">
        <v>49</v>
      </c>
      <c r="I2134">
        <v>0</v>
      </c>
      <c r="J2134">
        <v>0</v>
      </c>
      <c r="K2134">
        <v>0</v>
      </c>
      <c r="L2134">
        <v>0</v>
      </c>
      <c r="M2134">
        <v>0.23</v>
      </c>
      <c r="N2134" s="7" t="e">
        <f>VLOOKUP(F2134,HC!A$6:D$100,3,FALSE)</f>
        <v>#N/A</v>
      </c>
      <c r="O2134" s="7" t="str">
        <f>VLOOKUP(F2134,HC!A$6:D$1000,2,FALSE)</f>
        <v>luisamin</v>
      </c>
      <c r="Q2134" s="7"/>
      <c r="U2134">
        <f t="shared" si="35"/>
        <v>8</v>
      </c>
    </row>
    <row r="2135" spans="1:21" ht="37.5" customHeight="1" x14ac:dyDescent="0.25">
      <c r="A2135" s="33">
        <v>45094</v>
      </c>
      <c r="B2135" s="13">
        <v>24</v>
      </c>
      <c r="C2135" t="s">
        <v>3</v>
      </c>
      <c r="D2135" t="s">
        <v>4</v>
      </c>
      <c r="E2135" t="s">
        <v>21</v>
      </c>
      <c r="F2135" s="6">
        <v>201300426</v>
      </c>
      <c r="G2135" t="s">
        <v>1124</v>
      </c>
      <c r="H2135" t="s">
        <v>7</v>
      </c>
      <c r="I2135">
        <v>0</v>
      </c>
      <c r="J2135">
        <v>0</v>
      </c>
      <c r="K2135">
        <v>0</v>
      </c>
      <c r="L2135">
        <v>0</v>
      </c>
      <c r="M2135">
        <v>0.21</v>
      </c>
      <c r="N2135" s="7" t="e">
        <f>VLOOKUP(F2135,HC!A$6:D$100,3,FALSE)</f>
        <v>#N/A</v>
      </c>
      <c r="O2135" s="7" t="str">
        <f>VLOOKUP(F2135,HC!A$6:D$1000,2,FALSE)</f>
        <v>adriauli</v>
      </c>
      <c r="Q2135" s="7"/>
      <c r="U2135">
        <f t="shared" si="35"/>
        <v>5</v>
      </c>
    </row>
    <row r="2136" spans="1:21" ht="37.5" customHeight="1" x14ac:dyDescent="0.25">
      <c r="A2136" s="33">
        <v>45094</v>
      </c>
      <c r="B2136" s="13">
        <v>24</v>
      </c>
      <c r="C2136" t="s">
        <v>3</v>
      </c>
      <c r="D2136" t="s">
        <v>4</v>
      </c>
      <c r="E2136" t="s">
        <v>21</v>
      </c>
      <c r="F2136" s="6">
        <v>201354965</v>
      </c>
      <c r="G2136" t="s">
        <v>1063</v>
      </c>
      <c r="H2136" t="s">
        <v>263</v>
      </c>
      <c r="I2136">
        <v>0</v>
      </c>
      <c r="J2136">
        <v>0</v>
      </c>
      <c r="K2136">
        <v>0</v>
      </c>
      <c r="L2136">
        <v>0</v>
      </c>
      <c r="M2136">
        <v>0.49</v>
      </c>
      <c r="N2136" s="7" t="e">
        <f>VLOOKUP(F2136,HC!A$6:D$100,3,FALSE)</f>
        <v>#N/A</v>
      </c>
      <c r="O2136" s="7" t="str">
        <f>VLOOKUP(F2136,HC!A$6:D$1000,2,FALSE)</f>
        <v>alinejim</v>
      </c>
      <c r="Q2136" s="7"/>
      <c r="U2136">
        <f t="shared" si="35"/>
        <v>33</v>
      </c>
    </row>
    <row r="2137" spans="1:21" ht="37.5" customHeight="1" x14ac:dyDescent="0.25">
      <c r="A2137" s="33">
        <v>45095</v>
      </c>
      <c r="B2137" s="13">
        <v>25</v>
      </c>
      <c r="C2137" t="s">
        <v>3</v>
      </c>
      <c r="D2137" t="s">
        <v>4</v>
      </c>
      <c r="E2137" t="s">
        <v>5</v>
      </c>
      <c r="F2137" s="6">
        <v>112912008</v>
      </c>
      <c r="G2137" t="s">
        <v>249</v>
      </c>
      <c r="H2137" t="s">
        <v>14</v>
      </c>
      <c r="I2137">
        <v>0</v>
      </c>
      <c r="J2137">
        <v>0</v>
      </c>
      <c r="K2137">
        <v>0</v>
      </c>
      <c r="L2137">
        <v>0</v>
      </c>
      <c r="M2137">
        <v>0.85</v>
      </c>
      <c r="N2137" s="7" t="e">
        <f>VLOOKUP(F2137,HC!A$6:D$100,3,FALSE)</f>
        <v>#N/A</v>
      </c>
      <c r="O2137" s="7" t="e">
        <f>VLOOKUP(F2137,HC!A$6:D$1000,2,FALSE)</f>
        <v>#N/A</v>
      </c>
      <c r="Q2137" s="7"/>
      <c r="U2137">
        <f t="shared" si="35"/>
        <v>1395</v>
      </c>
    </row>
    <row r="2138" spans="1:21" ht="37.5" customHeight="1" x14ac:dyDescent="0.25">
      <c r="A2138" s="33">
        <v>45095</v>
      </c>
      <c r="B2138" s="13">
        <v>25</v>
      </c>
      <c r="C2138" t="s">
        <v>3</v>
      </c>
      <c r="D2138" t="s">
        <v>4</v>
      </c>
      <c r="E2138" t="s">
        <v>5</v>
      </c>
      <c r="F2138" s="6">
        <v>112912752</v>
      </c>
      <c r="G2138" t="s">
        <v>251</v>
      </c>
      <c r="H2138" t="s">
        <v>268</v>
      </c>
      <c r="I2138">
        <v>0</v>
      </c>
      <c r="J2138">
        <v>0</v>
      </c>
      <c r="K2138">
        <v>0</v>
      </c>
      <c r="L2138">
        <v>0</v>
      </c>
      <c r="M2138">
        <v>0.3</v>
      </c>
      <c r="N2138" s="7" t="str">
        <f>VLOOKUP(F2138,HC!A$6:D$100,3,FALSE)</f>
        <v>NF-X1900</v>
      </c>
      <c r="O2138" s="7" t="str">
        <f>VLOOKUP(F2138,HC!A$6:D$1000,2,FALSE)</f>
        <v>valderle</v>
      </c>
      <c r="P2138" t="s">
        <v>664</v>
      </c>
      <c r="Q2138" s="7" t="s">
        <v>709</v>
      </c>
      <c r="U2138">
        <f t="shared" si="35"/>
        <v>50</v>
      </c>
    </row>
    <row r="2139" spans="1:21" ht="37.5" customHeight="1" x14ac:dyDescent="0.25">
      <c r="A2139" s="33">
        <v>45095</v>
      </c>
      <c r="B2139" s="13">
        <v>25</v>
      </c>
      <c r="C2139" t="s">
        <v>3</v>
      </c>
      <c r="D2139" t="s">
        <v>4</v>
      </c>
      <c r="E2139" t="s">
        <v>5</v>
      </c>
      <c r="F2139" s="6">
        <v>112980844</v>
      </c>
      <c r="G2139" t="s">
        <v>13</v>
      </c>
      <c r="H2139" t="s">
        <v>268</v>
      </c>
      <c r="I2139">
        <v>0</v>
      </c>
      <c r="J2139">
        <v>0</v>
      </c>
      <c r="K2139">
        <v>0</v>
      </c>
      <c r="L2139">
        <v>0</v>
      </c>
      <c r="M2139">
        <v>0.66</v>
      </c>
      <c r="N2139" s="7" t="str">
        <f>VLOOKUP(F2139,HC!A$6:D$100,3,FALSE)</f>
        <v>DA-X0700</v>
      </c>
      <c r="O2139" s="7" t="str">
        <f>VLOOKUP(F2139,HC!A$6:D$1000,2,FALSE)</f>
        <v>samajpad</v>
      </c>
      <c r="P2139" t="s">
        <v>664</v>
      </c>
      <c r="Q2139" s="7" t="s">
        <v>711</v>
      </c>
      <c r="U2139">
        <f t="shared" si="35"/>
        <v>20</v>
      </c>
    </row>
    <row r="2140" spans="1:21" ht="37.5" customHeight="1" x14ac:dyDescent="0.25">
      <c r="A2140" s="33">
        <v>45095</v>
      </c>
      <c r="B2140" s="13">
        <v>25</v>
      </c>
      <c r="C2140" t="s">
        <v>3</v>
      </c>
      <c r="D2140" t="s">
        <v>4</v>
      </c>
      <c r="E2140" t="s">
        <v>5</v>
      </c>
      <c r="F2140" s="6">
        <v>112980899</v>
      </c>
      <c r="G2140" t="s">
        <v>396</v>
      </c>
      <c r="H2140" t="s">
        <v>285</v>
      </c>
      <c r="I2140">
        <v>0</v>
      </c>
      <c r="J2140">
        <v>0</v>
      </c>
      <c r="K2140">
        <v>0</v>
      </c>
      <c r="L2140">
        <v>0</v>
      </c>
      <c r="M2140">
        <v>0.37</v>
      </c>
      <c r="N2140" s="7" t="str">
        <f>VLOOKUP(F2140,HC!A$6:D$100,3,FALSE)</f>
        <v>NF-X1900</v>
      </c>
      <c r="O2140" s="7" t="str">
        <f>VLOOKUP(F2140,HC!A$6:D$1000,2,FALSE)</f>
        <v>aravilac</v>
      </c>
      <c r="P2140" t="s">
        <v>661</v>
      </c>
      <c r="Q2140" s="7" t="s">
        <v>681</v>
      </c>
      <c r="U2140">
        <f t="shared" si="35"/>
        <v>33</v>
      </c>
    </row>
    <row r="2141" spans="1:21" ht="37.5" customHeight="1" x14ac:dyDescent="0.25">
      <c r="A2141" s="33">
        <v>45095</v>
      </c>
      <c r="B2141" s="13">
        <v>25</v>
      </c>
      <c r="C2141" t="s">
        <v>3</v>
      </c>
      <c r="D2141" t="s">
        <v>4</v>
      </c>
      <c r="E2141" t="s">
        <v>5</v>
      </c>
      <c r="F2141" s="6">
        <v>113014403</v>
      </c>
      <c r="G2141" t="s">
        <v>373</v>
      </c>
      <c r="H2141" t="s">
        <v>298</v>
      </c>
      <c r="I2141">
        <v>0</v>
      </c>
      <c r="J2141">
        <v>0</v>
      </c>
      <c r="K2141">
        <v>0</v>
      </c>
      <c r="L2141">
        <v>0</v>
      </c>
      <c r="M2141">
        <v>0.32</v>
      </c>
      <c r="N2141" s="7" t="e">
        <f>VLOOKUP(F2141,HC!A$6:D$100,3,FALSE)</f>
        <v>#N/A</v>
      </c>
      <c r="O2141" s="7" t="str">
        <f>VLOOKUP(F2141,HC!A$6:D$1000,2,FALSE)</f>
        <v>wnoraria</v>
      </c>
      <c r="P2141" t="s">
        <v>662</v>
      </c>
      <c r="Q2141" s="7" t="s">
        <v>766</v>
      </c>
      <c r="R2141" t="s">
        <v>1136</v>
      </c>
      <c r="U2141">
        <f t="shared" si="35"/>
        <v>23</v>
      </c>
    </row>
    <row r="2142" spans="1:21" ht="37.5" customHeight="1" x14ac:dyDescent="0.25">
      <c r="A2142" s="33">
        <v>45095</v>
      </c>
      <c r="B2142" s="13">
        <v>25</v>
      </c>
      <c r="C2142" t="s">
        <v>3</v>
      </c>
      <c r="D2142" t="s">
        <v>4</v>
      </c>
      <c r="E2142" t="s">
        <v>5</v>
      </c>
      <c r="F2142" s="6">
        <v>113020667</v>
      </c>
      <c r="G2142" t="s">
        <v>380</v>
      </c>
      <c r="H2142" t="s">
        <v>47</v>
      </c>
      <c r="I2142">
        <v>0</v>
      </c>
      <c r="J2142">
        <v>0</v>
      </c>
      <c r="K2142">
        <v>0</v>
      </c>
      <c r="L2142">
        <v>0</v>
      </c>
      <c r="M2142">
        <v>0.26</v>
      </c>
      <c r="N2142" s="7" t="e">
        <f>VLOOKUP(F2142,HC!A$6:D$100,3,FALSE)</f>
        <v>#N/A</v>
      </c>
      <c r="O2142" s="7" t="str">
        <f>VLOOKUP(F2142,HC!A$6:D$1000,2,FALSE)</f>
        <v>mavpauli</v>
      </c>
      <c r="P2142" t="s">
        <v>661</v>
      </c>
      <c r="Q2142" s="7" t="s">
        <v>681</v>
      </c>
      <c r="U2142">
        <f t="shared" si="35"/>
        <v>12</v>
      </c>
    </row>
    <row r="2143" spans="1:21" ht="37.5" customHeight="1" x14ac:dyDescent="0.25">
      <c r="A2143" s="33">
        <v>45095</v>
      </c>
      <c r="B2143" s="13">
        <v>25</v>
      </c>
      <c r="C2143" t="s">
        <v>3</v>
      </c>
      <c r="D2143" t="s">
        <v>4</v>
      </c>
      <c r="E2143" t="s">
        <v>5</v>
      </c>
      <c r="F2143" s="6">
        <v>113101453</v>
      </c>
      <c r="G2143" t="s">
        <v>50</v>
      </c>
      <c r="H2143" t="s">
        <v>44</v>
      </c>
      <c r="I2143">
        <v>0</v>
      </c>
      <c r="J2143">
        <v>0</v>
      </c>
      <c r="K2143">
        <v>0</v>
      </c>
      <c r="L2143">
        <v>0</v>
      </c>
      <c r="M2143">
        <v>0.54</v>
      </c>
      <c r="N2143" s="7" t="e">
        <f>VLOOKUP(F2143,HC!A$6:D$100,3,FALSE)</f>
        <v>#N/A</v>
      </c>
      <c r="O2143" s="7" t="str">
        <f>VLOOKUP(F2143,HC!A$6:D$1000,2,FALSE)</f>
        <v>qisgeova</v>
      </c>
      <c r="P2143" t="s">
        <v>664</v>
      </c>
      <c r="Q2143" s="7" t="s">
        <v>711</v>
      </c>
      <c r="U2143">
        <f t="shared" si="35"/>
        <v>57</v>
      </c>
    </row>
    <row r="2144" spans="1:21" ht="37.5" customHeight="1" x14ac:dyDescent="0.25">
      <c r="A2144" s="33">
        <v>45095</v>
      </c>
      <c r="B2144" s="13">
        <v>25</v>
      </c>
      <c r="C2144" t="s">
        <v>3</v>
      </c>
      <c r="D2144" t="s">
        <v>4</v>
      </c>
      <c r="E2144" t="s">
        <v>5</v>
      </c>
      <c r="F2144" s="6">
        <v>200404250</v>
      </c>
      <c r="G2144" t="s">
        <v>51</v>
      </c>
      <c r="H2144" t="s">
        <v>298</v>
      </c>
      <c r="I2144">
        <v>0</v>
      </c>
      <c r="J2144">
        <v>0</v>
      </c>
      <c r="K2144">
        <v>0</v>
      </c>
      <c r="L2144">
        <v>0</v>
      </c>
      <c r="M2144">
        <v>1.29</v>
      </c>
      <c r="N2144" s="7" t="e">
        <f>VLOOKUP(F2144,HC!A$6:D$100,3,FALSE)</f>
        <v>#N/A</v>
      </c>
      <c r="O2144" s="7" t="str">
        <f>VLOOKUP(F2144,HC!A$6:D$1000,2,FALSE)</f>
        <v>xcathurt</v>
      </c>
      <c r="P2144" t="s">
        <v>662</v>
      </c>
      <c r="Q2144" s="7" t="s">
        <v>766</v>
      </c>
      <c r="U2144">
        <f t="shared" si="35"/>
        <v>124</v>
      </c>
    </row>
    <row r="2145" spans="1:21" ht="37.5" customHeight="1" x14ac:dyDescent="0.25">
      <c r="A2145" s="33">
        <v>45095</v>
      </c>
      <c r="B2145" s="13">
        <v>25</v>
      </c>
      <c r="C2145" t="s">
        <v>3</v>
      </c>
      <c r="D2145" t="s">
        <v>4</v>
      </c>
      <c r="E2145" t="s">
        <v>21</v>
      </c>
      <c r="F2145" s="6">
        <v>200535448</v>
      </c>
      <c r="G2145" t="s">
        <v>902</v>
      </c>
      <c r="H2145" t="s">
        <v>285</v>
      </c>
      <c r="I2145">
        <v>0</v>
      </c>
      <c r="J2145">
        <v>0</v>
      </c>
      <c r="K2145">
        <v>0</v>
      </c>
      <c r="L2145">
        <v>0</v>
      </c>
      <c r="M2145">
        <v>0.28000000000000003</v>
      </c>
      <c r="N2145" s="7" t="e">
        <f>VLOOKUP(F2145,HC!A$6:D$100,3,FALSE)</f>
        <v>#N/A</v>
      </c>
      <c r="O2145" s="7" t="e">
        <f>VLOOKUP(F2145,HC!A$6:D$1000,2,FALSE)</f>
        <v>#N/A</v>
      </c>
      <c r="P2145" t="s">
        <v>661</v>
      </c>
      <c r="Q2145" s="7" t="s">
        <v>681</v>
      </c>
      <c r="U2145">
        <f t="shared" si="35"/>
        <v>1395</v>
      </c>
    </row>
    <row r="2146" spans="1:21" ht="37.5" customHeight="1" x14ac:dyDescent="0.25">
      <c r="A2146" s="33">
        <v>45095</v>
      </c>
      <c r="B2146" s="13">
        <v>25</v>
      </c>
      <c r="C2146" t="s">
        <v>3</v>
      </c>
      <c r="D2146" t="s">
        <v>4</v>
      </c>
      <c r="E2146" t="s">
        <v>21</v>
      </c>
      <c r="F2146" s="6">
        <v>200552457</v>
      </c>
      <c r="G2146" t="s">
        <v>1068</v>
      </c>
      <c r="H2146" t="s">
        <v>268</v>
      </c>
      <c r="I2146">
        <v>0</v>
      </c>
      <c r="J2146">
        <v>0</v>
      </c>
      <c r="K2146">
        <v>0</v>
      </c>
      <c r="L2146">
        <v>0</v>
      </c>
      <c r="M2146">
        <v>0.37</v>
      </c>
      <c r="N2146" s="7" t="e">
        <f>VLOOKUP(F2146,HC!A$6:D$100,3,FALSE)</f>
        <v>#N/A</v>
      </c>
      <c r="O2146" s="7" t="str">
        <f>VLOOKUP(F2146,HC!A$6:D$1000,2,FALSE)</f>
        <v>heryyola</v>
      </c>
      <c r="P2146" t="s">
        <v>661</v>
      </c>
      <c r="Q2146" s="7" t="s">
        <v>681</v>
      </c>
      <c r="U2146">
        <f t="shared" si="35"/>
        <v>2</v>
      </c>
    </row>
    <row r="2147" spans="1:21" ht="37.5" customHeight="1" x14ac:dyDescent="0.25">
      <c r="A2147" s="33">
        <v>45095</v>
      </c>
      <c r="B2147" s="13">
        <v>25</v>
      </c>
      <c r="C2147" t="s">
        <v>3</v>
      </c>
      <c r="D2147" t="s">
        <v>4</v>
      </c>
      <c r="E2147" t="s">
        <v>21</v>
      </c>
      <c r="F2147" s="6">
        <v>200553205</v>
      </c>
      <c r="G2147" t="s">
        <v>838</v>
      </c>
      <c r="H2147" t="s">
        <v>298</v>
      </c>
      <c r="I2147">
        <v>0</v>
      </c>
      <c r="J2147">
        <v>0</v>
      </c>
      <c r="K2147">
        <v>0</v>
      </c>
      <c r="L2147">
        <v>0</v>
      </c>
      <c r="M2147">
        <v>0.15</v>
      </c>
      <c r="N2147" s="7" t="e">
        <f>VLOOKUP(F2147,HC!A$6:D$100,3,FALSE)</f>
        <v>#N/A</v>
      </c>
      <c r="O2147" s="7" t="e">
        <f>VLOOKUP(F2147,HC!A$6:D$1000,2,FALSE)</f>
        <v>#N/A</v>
      </c>
      <c r="P2147" t="s">
        <v>662</v>
      </c>
      <c r="Q2147" s="7" t="s">
        <v>691</v>
      </c>
      <c r="U2147">
        <f t="shared" si="35"/>
        <v>1395</v>
      </c>
    </row>
    <row r="2148" spans="1:21" ht="37.5" customHeight="1" x14ac:dyDescent="0.25">
      <c r="A2148" s="33">
        <v>45095</v>
      </c>
      <c r="B2148" s="13">
        <v>25</v>
      </c>
      <c r="C2148" t="s">
        <v>3</v>
      </c>
      <c r="D2148" t="s">
        <v>4</v>
      </c>
      <c r="E2148" t="s">
        <v>21</v>
      </c>
      <c r="F2148" s="6">
        <v>200625528</v>
      </c>
      <c r="G2148" t="s">
        <v>607</v>
      </c>
      <c r="H2148" t="s">
        <v>285</v>
      </c>
      <c r="I2148">
        <v>0</v>
      </c>
      <c r="J2148">
        <v>0</v>
      </c>
      <c r="K2148">
        <v>0</v>
      </c>
      <c r="L2148">
        <v>0</v>
      </c>
      <c r="M2148">
        <v>0.25</v>
      </c>
      <c r="N2148" s="7" t="e">
        <f>VLOOKUP(F2148,HC!A$6:D$100,3,FALSE)</f>
        <v>#N/A</v>
      </c>
      <c r="O2148" s="7" t="str">
        <f>VLOOKUP(F2148,HC!A$6:D$1000,2,FALSE)</f>
        <v>olivlizb</v>
      </c>
      <c r="P2148" t="s">
        <v>661</v>
      </c>
      <c r="Q2148" s="7" t="s">
        <v>681</v>
      </c>
      <c r="U2148">
        <f t="shared" si="35"/>
        <v>50</v>
      </c>
    </row>
    <row r="2149" spans="1:21" ht="37.5" customHeight="1" x14ac:dyDescent="0.25">
      <c r="A2149" s="33">
        <v>45095</v>
      </c>
      <c r="B2149" s="13">
        <v>25</v>
      </c>
      <c r="C2149" t="s">
        <v>3</v>
      </c>
      <c r="D2149" t="s">
        <v>4</v>
      </c>
      <c r="E2149" t="s">
        <v>21</v>
      </c>
      <c r="F2149" s="6">
        <v>201353166</v>
      </c>
      <c r="G2149" t="s">
        <v>1051</v>
      </c>
      <c r="H2149" t="s">
        <v>17</v>
      </c>
      <c r="I2149">
        <v>0</v>
      </c>
      <c r="J2149">
        <v>0</v>
      </c>
      <c r="K2149">
        <v>0</v>
      </c>
      <c r="L2149">
        <v>0</v>
      </c>
      <c r="M2149">
        <v>0.85</v>
      </c>
      <c r="N2149" s="7" t="e">
        <f>VLOOKUP(F2149,HC!A$6:D$100,3,FALSE)</f>
        <v>#N/A</v>
      </c>
      <c r="O2149" s="7" t="str">
        <f>VLOOKUP(F2149,HC!A$6:D$1000,2,FALSE)</f>
        <v>mamlucia</v>
      </c>
      <c r="P2149" t="s">
        <v>661</v>
      </c>
      <c r="Q2149" s="7" t="s">
        <v>681</v>
      </c>
      <c r="U2149">
        <f t="shared" si="35"/>
        <v>7</v>
      </c>
    </row>
    <row r="2150" spans="1:21" ht="37.5" customHeight="1" x14ac:dyDescent="0.25">
      <c r="A2150" s="33">
        <v>45095</v>
      </c>
      <c r="B2150" s="13">
        <v>25</v>
      </c>
      <c r="C2150" t="s">
        <v>3</v>
      </c>
      <c r="D2150" t="s">
        <v>4</v>
      </c>
      <c r="E2150" t="s">
        <v>21</v>
      </c>
      <c r="F2150" s="6">
        <v>201354944</v>
      </c>
      <c r="G2150" t="s">
        <v>1062</v>
      </c>
      <c r="H2150" t="s">
        <v>403</v>
      </c>
      <c r="I2150">
        <v>0</v>
      </c>
      <c r="J2150">
        <v>0</v>
      </c>
      <c r="K2150">
        <v>0</v>
      </c>
      <c r="L2150">
        <v>0</v>
      </c>
      <c r="M2150">
        <v>0.18</v>
      </c>
      <c r="N2150" s="7" t="e">
        <f>VLOOKUP(F2150,HC!A$6:D$100,3,FALSE)</f>
        <v>#N/A</v>
      </c>
      <c r="O2150" s="7" t="str">
        <f>VLOOKUP(F2150,HC!A$6:D$1000,2,FALSE)</f>
        <v>hernghug</v>
      </c>
      <c r="P2150" t="s">
        <v>661</v>
      </c>
      <c r="Q2150" s="7" t="s">
        <v>681</v>
      </c>
      <c r="U2150">
        <f t="shared" si="35"/>
        <v>3</v>
      </c>
    </row>
    <row r="2151" spans="1:21" ht="37.5" customHeight="1" x14ac:dyDescent="0.25">
      <c r="A2151" s="33">
        <v>45096</v>
      </c>
      <c r="B2151" s="13">
        <v>25</v>
      </c>
      <c r="C2151" t="s">
        <v>3</v>
      </c>
      <c r="D2151" t="s">
        <v>4</v>
      </c>
      <c r="E2151" t="s">
        <v>5</v>
      </c>
      <c r="F2151" s="6">
        <v>112698209</v>
      </c>
      <c r="G2151" t="s">
        <v>950</v>
      </c>
      <c r="H2151" t="s">
        <v>253</v>
      </c>
      <c r="I2151">
        <v>0</v>
      </c>
      <c r="J2151">
        <v>0</v>
      </c>
      <c r="K2151">
        <v>0</v>
      </c>
      <c r="L2151">
        <v>0</v>
      </c>
      <c r="M2151">
        <v>0.17</v>
      </c>
      <c r="N2151" s="7" t="str">
        <f>VLOOKUP(F2151,HC!A$6:D$100,3,FALSE)</f>
        <v>DA-X0700</v>
      </c>
      <c r="O2151" s="7" t="str">
        <f>VLOOKUP(F2151,HC!A$6:D$1000,2,FALSE)</f>
        <v>dianacec</v>
      </c>
      <c r="P2151" t="s">
        <v>664</v>
      </c>
      <c r="Q2151" s="7" t="s">
        <v>711</v>
      </c>
      <c r="U2151">
        <f t="shared" si="35"/>
        <v>3</v>
      </c>
    </row>
    <row r="2152" spans="1:21" ht="37.5" customHeight="1" x14ac:dyDescent="0.25">
      <c r="A2152" s="33">
        <v>45096</v>
      </c>
      <c r="B2152" s="13">
        <v>25</v>
      </c>
      <c r="C2152" t="s">
        <v>3</v>
      </c>
      <c r="D2152" t="s">
        <v>4</v>
      </c>
      <c r="E2152" t="s">
        <v>5</v>
      </c>
      <c r="F2152" s="6">
        <v>112912209</v>
      </c>
      <c r="G2152" t="s">
        <v>671</v>
      </c>
      <c r="H2152" t="s">
        <v>403</v>
      </c>
      <c r="I2152">
        <v>0</v>
      </c>
      <c r="J2152">
        <v>0</v>
      </c>
      <c r="K2152">
        <v>0</v>
      </c>
      <c r="L2152">
        <v>0</v>
      </c>
      <c r="M2152">
        <v>0.23</v>
      </c>
      <c r="N2152" s="7" t="str">
        <f>VLOOKUP(F2152,HC!A$6:D$100,3,FALSE)</f>
        <v>NF-X1900</v>
      </c>
      <c r="O2152" s="7" t="str">
        <f>VLOOKUP(F2152,HC!A$6:D$1000,2,FALSE)</f>
        <v>moralefs</v>
      </c>
      <c r="P2152" t="s">
        <v>664</v>
      </c>
      <c r="Q2152" s="7" t="s">
        <v>715</v>
      </c>
      <c r="U2152">
        <f t="shared" si="35"/>
        <v>11</v>
      </c>
    </row>
    <row r="2153" spans="1:21" ht="37.5" customHeight="1" x14ac:dyDescent="0.25">
      <c r="A2153" s="33">
        <v>45096</v>
      </c>
      <c r="B2153" s="13">
        <v>25</v>
      </c>
      <c r="C2153" t="s">
        <v>3</v>
      </c>
      <c r="D2153" t="s">
        <v>4</v>
      </c>
      <c r="E2153" t="s">
        <v>5</v>
      </c>
      <c r="F2153" s="6">
        <v>112942473</v>
      </c>
      <c r="G2153" t="s">
        <v>996</v>
      </c>
      <c r="H2153" t="s">
        <v>403</v>
      </c>
      <c r="I2153">
        <v>0</v>
      </c>
      <c r="J2153">
        <v>0</v>
      </c>
      <c r="K2153">
        <v>0</v>
      </c>
      <c r="L2153">
        <v>0</v>
      </c>
      <c r="M2153">
        <v>0.16</v>
      </c>
      <c r="N2153" s="7" t="str">
        <f>VLOOKUP(F2153,HC!A$6:D$100,3,FALSE)</f>
        <v>DC-X0700</v>
      </c>
      <c r="O2153" s="7" t="str">
        <f>VLOOKUP(F2153,HC!A$6:D$1000,2,FALSE)</f>
        <v>hildacec</v>
      </c>
      <c r="P2153" t="s">
        <v>662</v>
      </c>
      <c r="Q2153" s="7" t="s">
        <v>757</v>
      </c>
      <c r="U2153">
        <f t="shared" si="35"/>
        <v>6</v>
      </c>
    </row>
    <row r="2154" spans="1:21" ht="37.5" customHeight="1" x14ac:dyDescent="0.25">
      <c r="A2154" s="33">
        <v>45096</v>
      </c>
      <c r="B2154" s="13">
        <v>25</v>
      </c>
      <c r="C2154" t="s">
        <v>3</v>
      </c>
      <c r="D2154" t="s">
        <v>4</v>
      </c>
      <c r="E2154" t="s">
        <v>5</v>
      </c>
      <c r="F2154" s="6">
        <v>112955736</v>
      </c>
      <c r="G2154" t="s">
        <v>983</v>
      </c>
      <c r="H2154" t="s">
        <v>253</v>
      </c>
      <c r="I2154">
        <v>0</v>
      </c>
      <c r="J2154">
        <v>0</v>
      </c>
      <c r="K2154">
        <v>0</v>
      </c>
      <c r="L2154">
        <v>0</v>
      </c>
      <c r="M2154">
        <v>0.2</v>
      </c>
      <c r="N2154" s="7" t="str">
        <f>VLOOKUP(F2154,HC!A$6:D$100,3,FALSE)</f>
        <v>DA-X0700</v>
      </c>
      <c r="O2154" s="7" t="str">
        <f>VLOOKUP(F2154,HC!A$6:D$1000,2,FALSE)</f>
        <v>cueplalo</v>
      </c>
      <c r="P2154" t="s">
        <v>662</v>
      </c>
      <c r="Q2154" s="7" t="s">
        <v>691</v>
      </c>
      <c r="U2154">
        <f t="shared" si="35"/>
        <v>4</v>
      </c>
    </row>
    <row r="2155" spans="1:21" ht="37.5" customHeight="1" x14ac:dyDescent="0.25">
      <c r="A2155" s="33">
        <v>45096</v>
      </c>
      <c r="B2155" s="13">
        <v>25</v>
      </c>
      <c r="C2155" t="s">
        <v>3</v>
      </c>
      <c r="D2155" t="s">
        <v>4</v>
      </c>
      <c r="E2155" t="s">
        <v>5</v>
      </c>
      <c r="F2155" s="6">
        <v>112980878</v>
      </c>
      <c r="G2155" t="s">
        <v>481</v>
      </c>
      <c r="H2155" t="s">
        <v>298</v>
      </c>
      <c r="I2155">
        <v>0</v>
      </c>
      <c r="J2155">
        <v>0</v>
      </c>
      <c r="K2155">
        <v>0</v>
      </c>
      <c r="L2155">
        <v>0</v>
      </c>
      <c r="M2155">
        <v>0.26</v>
      </c>
      <c r="N2155" s="7" t="e">
        <f>VLOOKUP(F2155,HC!A$6:D$100,3,FALSE)</f>
        <v>#N/A</v>
      </c>
      <c r="O2155" s="7" t="e">
        <f>VLOOKUP(F2155,HC!A$6:D$1000,2,FALSE)</f>
        <v>#N/A</v>
      </c>
      <c r="P2155" t="s">
        <v>661</v>
      </c>
      <c r="Q2155" s="7" t="s">
        <v>681</v>
      </c>
      <c r="U2155">
        <f t="shared" si="35"/>
        <v>1395</v>
      </c>
    </row>
    <row r="2156" spans="1:21" ht="37.5" customHeight="1" x14ac:dyDescent="0.25">
      <c r="A2156" s="33">
        <v>45096</v>
      </c>
      <c r="B2156" s="13">
        <v>25</v>
      </c>
      <c r="C2156" t="s">
        <v>3</v>
      </c>
      <c r="D2156" t="s">
        <v>4</v>
      </c>
      <c r="E2156" t="s">
        <v>5</v>
      </c>
      <c r="F2156" s="6">
        <v>200404250</v>
      </c>
      <c r="G2156" t="s">
        <v>51</v>
      </c>
      <c r="H2156" t="s">
        <v>298</v>
      </c>
      <c r="I2156">
        <v>0</v>
      </c>
      <c r="J2156">
        <v>0</v>
      </c>
      <c r="K2156">
        <v>0</v>
      </c>
      <c r="L2156">
        <v>0</v>
      </c>
      <c r="M2156">
        <v>0.34</v>
      </c>
      <c r="N2156" s="7" t="e">
        <f>VLOOKUP(F2156,HC!A$6:D$100,3,FALSE)</f>
        <v>#N/A</v>
      </c>
      <c r="O2156" s="7" t="str">
        <f>VLOOKUP(F2156,HC!A$6:D$1000,2,FALSE)</f>
        <v>xcathurt</v>
      </c>
      <c r="P2156" t="s">
        <v>662</v>
      </c>
      <c r="Q2156" s="7" t="s">
        <v>766</v>
      </c>
      <c r="U2156">
        <f t="shared" si="35"/>
        <v>124</v>
      </c>
    </row>
    <row r="2157" spans="1:21" ht="37.5" customHeight="1" x14ac:dyDescent="0.25">
      <c r="A2157" s="33">
        <v>45096</v>
      </c>
      <c r="B2157" s="13">
        <v>25</v>
      </c>
      <c r="C2157" t="s">
        <v>3</v>
      </c>
      <c r="D2157" t="s">
        <v>4</v>
      </c>
      <c r="E2157" t="s">
        <v>21</v>
      </c>
      <c r="F2157" s="6">
        <v>200553205</v>
      </c>
      <c r="G2157" t="s">
        <v>838</v>
      </c>
      <c r="H2157" t="s">
        <v>298</v>
      </c>
      <c r="I2157">
        <v>0</v>
      </c>
      <c r="J2157">
        <v>0</v>
      </c>
      <c r="K2157">
        <v>0</v>
      </c>
      <c r="L2157">
        <v>0</v>
      </c>
      <c r="M2157">
        <v>0.4</v>
      </c>
      <c r="N2157" s="7" t="e">
        <f>VLOOKUP(F2157,HC!A$6:D$100,3,FALSE)</f>
        <v>#N/A</v>
      </c>
      <c r="O2157" s="7" t="e">
        <f>VLOOKUP(F2157,HC!A$6:D$1000,2,FALSE)</f>
        <v>#N/A</v>
      </c>
      <c r="P2157" t="s">
        <v>664</v>
      </c>
      <c r="Q2157" s="7" t="s">
        <v>708</v>
      </c>
      <c r="U2157">
        <f t="shared" si="35"/>
        <v>1395</v>
      </c>
    </row>
    <row r="2158" spans="1:21" ht="37.5" customHeight="1" x14ac:dyDescent="0.25">
      <c r="A2158" s="33">
        <v>45096</v>
      </c>
      <c r="B2158" s="13">
        <v>25</v>
      </c>
      <c r="C2158" t="s">
        <v>3</v>
      </c>
      <c r="D2158" t="s">
        <v>4</v>
      </c>
      <c r="E2158" t="s">
        <v>21</v>
      </c>
      <c r="F2158" s="6">
        <v>201172306</v>
      </c>
      <c r="G2158" t="s">
        <v>970</v>
      </c>
      <c r="H2158" t="s">
        <v>268</v>
      </c>
      <c r="I2158">
        <v>0</v>
      </c>
      <c r="J2158">
        <v>0</v>
      </c>
      <c r="K2158">
        <v>0</v>
      </c>
      <c r="L2158">
        <v>0</v>
      </c>
      <c r="M2158">
        <v>0.2</v>
      </c>
      <c r="N2158" s="7" t="e">
        <f>VLOOKUP(F2158,HC!A$6:D$100,3,FALSE)</f>
        <v>#N/A</v>
      </c>
      <c r="O2158" s="7" t="str">
        <f>VLOOKUP(F2158,HC!A$6:D$1000,2,FALSE)</f>
        <v>cesarvae</v>
      </c>
      <c r="P2158" t="s">
        <v>661</v>
      </c>
      <c r="Q2158" s="7" t="s">
        <v>681</v>
      </c>
      <c r="U2158">
        <f t="shared" si="35"/>
        <v>17</v>
      </c>
    </row>
    <row r="2159" spans="1:21" ht="37.5" customHeight="1" x14ac:dyDescent="0.25">
      <c r="A2159" s="33">
        <v>45096</v>
      </c>
      <c r="B2159" s="13">
        <v>25</v>
      </c>
      <c r="C2159" t="s">
        <v>3</v>
      </c>
      <c r="D2159" t="s">
        <v>4</v>
      </c>
      <c r="E2159" t="s">
        <v>21</v>
      </c>
      <c r="F2159" s="6">
        <v>201201993</v>
      </c>
      <c r="G2159" t="s">
        <v>964</v>
      </c>
      <c r="H2159" t="s">
        <v>285</v>
      </c>
      <c r="I2159">
        <v>0</v>
      </c>
      <c r="J2159">
        <v>0</v>
      </c>
      <c r="K2159">
        <v>0</v>
      </c>
      <c r="L2159">
        <v>0</v>
      </c>
      <c r="M2159">
        <v>0.15</v>
      </c>
      <c r="N2159" s="7" t="e">
        <f>VLOOKUP(F2159,HC!A$6:D$100,3,FALSE)</f>
        <v>#N/A</v>
      </c>
      <c r="O2159" s="7" t="e">
        <f>VLOOKUP(F2159,HC!A$6:D$1000,2,FALSE)</f>
        <v>#N/A</v>
      </c>
      <c r="P2159" t="s">
        <v>662</v>
      </c>
      <c r="Q2159" s="7" t="s">
        <v>691</v>
      </c>
      <c r="U2159">
        <f t="shared" si="35"/>
        <v>1395</v>
      </c>
    </row>
    <row r="2160" spans="1:21" ht="37.5" customHeight="1" x14ac:dyDescent="0.25">
      <c r="A2160" s="33">
        <v>45097</v>
      </c>
      <c r="B2160" s="13">
        <v>25</v>
      </c>
      <c r="C2160" t="s">
        <v>3</v>
      </c>
      <c r="D2160" t="s">
        <v>4</v>
      </c>
      <c r="E2160" t="s">
        <v>5</v>
      </c>
      <c r="F2160" s="6">
        <v>112950795</v>
      </c>
      <c r="G2160" t="s">
        <v>580</v>
      </c>
      <c r="H2160" t="s">
        <v>403</v>
      </c>
      <c r="I2160">
        <v>0</v>
      </c>
      <c r="J2160">
        <v>0</v>
      </c>
      <c r="K2160">
        <v>0</v>
      </c>
      <c r="L2160">
        <v>0</v>
      </c>
      <c r="M2160">
        <v>0.27</v>
      </c>
      <c r="N2160" s="7" t="str">
        <f>VLOOKUP(F2160,HC!A$6:D$100,3,FALSE)</f>
        <v>DA-X0700</v>
      </c>
      <c r="O2160" s="7" t="str">
        <f>VLOOKUP(F2160,HC!A$6:D$1000,2,FALSE)</f>
        <v>oespiali</v>
      </c>
      <c r="P2160" t="s">
        <v>664</v>
      </c>
      <c r="Q2160" s="7" t="s">
        <v>708</v>
      </c>
      <c r="U2160">
        <f t="shared" si="35"/>
        <v>10</v>
      </c>
    </row>
    <row r="2161" spans="1:21" ht="37.5" customHeight="1" x14ac:dyDescent="0.25">
      <c r="A2161" s="33">
        <v>45097</v>
      </c>
      <c r="B2161" s="13">
        <v>25</v>
      </c>
      <c r="C2161" t="s">
        <v>3</v>
      </c>
      <c r="D2161" t="s">
        <v>4</v>
      </c>
      <c r="E2161" t="s">
        <v>5</v>
      </c>
      <c r="F2161" s="6">
        <v>112972194</v>
      </c>
      <c r="G2161" t="s">
        <v>448</v>
      </c>
      <c r="H2161" t="s">
        <v>332</v>
      </c>
      <c r="I2161">
        <v>0</v>
      </c>
      <c r="J2161">
        <v>0</v>
      </c>
      <c r="K2161">
        <v>0</v>
      </c>
      <c r="L2161">
        <v>0</v>
      </c>
      <c r="M2161">
        <v>0.32</v>
      </c>
      <c r="N2161" s="7" t="str">
        <f>VLOOKUP(F2161,HC!A$6:D$100,3,FALSE)</f>
        <v>DB-X0700</v>
      </c>
      <c r="O2161" s="7" t="str">
        <f>VLOOKUP(F2161,HC!A$6:D$1000,2,FALSE)</f>
        <v>velaangl</v>
      </c>
      <c r="P2161" t="s">
        <v>665</v>
      </c>
      <c r="Q2161" s="7" t="s">
        <v>722</v>
      </c>
      <c r="U2161">
        <f t="shared" si="35"/>
        <v>5</v>
      </c>
    </row>
    <row r="2162" spans="1:21" ht="37.5" customHeight="1" x14ac:dyDescent="0.25">
      <c r="A2162" s="33">
        <v>45097</v>
      </c>
      <c r="B2162" s="13">
        <v>25</v>
      </c>
      <c r="C2162" t="s">
        <v>3</v>
      </c>
      <c r="D2162" t="s">
        <v>4</v>
      </c>
      <c r="E2162" t="s">
        <v>5</v>
      </c>
      <c r="F2162" s="6">
        <v>112980812</v>
      </c>
      <c r="G2162" t="s">
        <v>324</v>
      </c>
      <c r="H2162" t="s">
        <v>268</v>
      </c>
      <c r="I2162">
        <v>0</v>
      </c>
      <c r="J2162">
        <v>0</v>
      </c>
      <c r="K2162">
        <v>0</v>
      </c>
      <c r="L2162">
        <v>0</v>
      </c>
      <c r="M2162">
        <v>0.38</v>
      </c>
      <c r="N2162" s="7" t="str">
        <f>VLOOKUP(F2162,HC!A$6:D$100,3,FALSE)</f>
        <v>DA-X0700</v>
      </c>
      <c r="O2162" s="7" t="str">
        <f>VLOOKUP(F2162,HC!A$6:D$1000,2,FALSE)</f>
        <v>maryjacp</v>
      </c>
      <c r="P2162" t="s">
        <v>661</v>
      </c>
      <c r="Q2162" s="7" t="s">
        <v>681</v>
      </c>
      <c r="U2162">
        <f t="shared" si="35"/>
        <v>15</v>
      </c>
    </row>
    <row r="2163" spans="1:21" ht="37.5" customHeight="1" x14ac:dyDescent="0.25">
      <c r="A2163" s="33">
        <v>45097</v>
      </c>
      <c r="B2163" s="13">
        <v>25</v>
      </c>
      <c r="C2163" t="s">
        <v>3</v>
      </c>
      <c r="D2163" t="s">
        <v>4</v>
      </c>
      <c r="E2163" t="s">
        <v>5</v>
      </c>
      <c r="F2163" s="6">
        <v>113019039</v>
      </c>
      <c r="G2163" t="s">
        <v>480</v>
      </c>
      <c r="H2163" t="s">
        <v>285</v>
      </c>
      <c r="I2163">
        <v>0</v>
      </c>
      <c r="J2163">
        <v>0</v>
      </c>
      <c r="K2163">
        <v>0</v>
      </c>
      <c r="L2163">
        <v>0</v>
      </c>
      <c r="M2163">
        <v>0.51</v>
      </c>
      <c r="N2163" s="7" t="e">
        <f>VLOOKUP(F2163,HC!A$6:D$100,3,FALSE)</f>
        <v>#N/A</v>
      </c>
      <c r="O2163" s="7" t="e">
        <f>VLOOKUP(F2163,HC!A$6:D$1000,2,FALSE)</f>
        <v>#N/A</v>
      </c>
      <c r="P2163" t="s">
        <v>661</v>
      </c>
      <c r="Q2163" s="7" t="s">
        <v>681</v>
      </c>
      <c r="U2163">
        <f t="shared" si="35"/>
        <v>1395</v>
      </c>
    </row>
    <row r="2164" spans="1:21" ht="37.5" customHeight="1" x14ac:dyDescent="0.25">
      <c r="A2164" s="33">
        <v>45097</v>
      </c>
      <c r="B2164" s="13">
        <v>25</v>
      </c>
      <c r="C2164" t="s">
        <v>3</v>
      </c>
      <c r="D2164" t="s">
        <v>4</v>
      </c>
      <c r="E2164" t="s">
        <v>21</v>
      </c>
      <c r="F2164" s="6">
        <v>200625528</v>
      </c>
      <c r="G2164" t="s">
        <v>607</v>
      </c>
      <c r="H2164" t="s">
        <v>285</v>
      </c>
      <c r="I2164">
        <v>0</v>
      </c>
      <c r="J2164">
        <v>0</v>
      </c>
      <c r="K2164">
        <v>0</v>
      </c>
      <c r="L2164">
        <v>0</v>
      </c>
      <c r="M2164">
        <v>0.22</v>
      </c>
      <c r="N2164" s="7" t="e">
        <f>VLOOKUP(F2164,HC!A$6:D$100,3,FALSE)</f>
        <v>#N/A</v>
      </c>
      <c r="O2164" s="7" t="str">
        <f>VLOOKUP(F2164,HC!A$6:D$1000,2,FALSE)</f>
        <v>olivlizb</v>
      </c>
      <c r="P2164" t="s">
        <v>661</v>
      </c>
      <c r="Q2164" s="7" t="s">
        <v>681</v>
      </c>
      <c r="U2164">
        <f t="shared" si="35"/>
        <v>50</v>
      </c>
    </row>
    <row r="2165" spans="1:21" ht="37.5" customHeight="1" x14ac:dyDescent="0.25">
      <c r="A2165" s="33">
        <v>45097</v>
      </c>
      <c r="B2165" s="13">
        <v>25</v>
      </c>
      <c r="C2165" t="s">
        <v>3</v>
      </c>
      <c r="D2165" t="s">
        <v>4</v>
      </c>
      <c r="E2165" t="s">
        <v>21</v>
      </c>
      <c r="F2165" s="6">
        <v>201198370</v>
      </c>
      <c r="G2165" t="s">
        <v>931</v>
      </c>
      <c r="H2165" t="s">
        <v>17</v>
      </c>
      <c r="I2165">
        <v>0</v>
      </c>
      <c r="J2165">
        <v>0</v>
      </c>
      <c r="K2165">
        <v>0</v>
      </c>
      <c r="L2165">
        <v>0</v>
      </c>
      <c r="M2165">
        <v>0.08</v>
      </c>
      <c r="N2165" s="7" t="e">
        <f>VLOOKUP(F2165,HC!A$6:D$100,3,FALSE)</f>
        <v>#N/A</v>
      </c>
      <c r="O2165" s="7" t="e">
        <f>VLOOKUP(F2165,HC!A$6:D$1000,2,FALSE)</f>
        <v>#N/A</v>
      </c>
      <c r="P2165" t="s">
        <v>662</v>
      </c>
      <c r="Q2165" s="7" t="s">
        <v>691</v>
      </c>
      <c r="U2165">
        <f t="shared" si="35"/>
        <v>1395</v>
      </c>
    </row>
    <row r="2166" spans="1:21" ht="37.5" customHeight="1" x14ac:dyDescent="0.25">
      <c r="A2166" s="33">
        <v>45097</v>
      </c>
      <c r="B2166" s="13">
        <v>25</v>
      </c>
      <c r="C2166" t="s">
        <v>3</v>
      </c>
      <c r="D2166" t="s">
        <v>4</v>
      </c>
      <c r="E2166" t="s">
        <v>21</v>
      </c>
      <c r="F2166" s="6">
        <v>201198979</v>
      </c>
      <c r="G2166" t="s">
        <v>905</v>
      </c>
      <c r="H2166" t="s">
        <v>285</v>
      </c>
      <c r="I2166">
        <v>0</v>
      </c>
      <c r="J2166">
        <v>0</v>
      </c>
      <c r="K2166">
        <v>0</v>
      </c>
      <c r="L2166">
        <v>0</v>
      </c>
      <c r="M2166">
        <v>0.51</v>
      </c>
      <c r="N2166" s="7" t="e">
        <f>VLOOKUP(F2166,HC!A$6:D$100,3,FALSE)</f>
        <v>#N/A</v>
      </c>
      <c r="O2166" s="7" t="e">
        <f>VLOOKUP(F2166,HC!A$6:D$1000,2,FALSE)</f>
        <v>#N/A</v>
      </c>
      <c r="P2166" t="s">
        <v>664</v>
      </c>
      <c r="Q2166" s="7" t="s">
        <v>716</v>
      </c>
      <c r="U2166">
        <f t="shared" si="35"/>
        <v>1395</v>
      </c>
    </row>
    <row r="2167" spans="1:21" ht="37.5" customHeight="1" x14ac:dyDescent="0.25">
      <c r="A2167" s="33">
        <v>45097</v>
      </c>
      <c r="B2167" s="13">
        <v>25</v>
      </c>
      <c r="C2167" t="s">
        <v>3</v>
      </c>
      <c r="D2167" t="s">
        <v>4</v>
      </c>
      <c r="E2167" t="s">
        <v>21</v>
      </c>
      <c r="F2167" s="6">
        <v>201329529</v>
      </c>
      <c r="G2167" t="s">
        <v>1069</v>
      </c>
      <c r="H2167" t="s">
        <v>263</v>
      </c>
      <c r="I2167">
        <v>0</v>
      </c>
      <c r="J2167">
        <v>0</v>
      </c>
      <c r="K2167">
        <v>0</v>
      </c>
      <c r="L2167">
        <v>0</v>
      </c>
      <c r="M2167">
        <v>0.55000000000000004</v>
      </c>
      <c r="N2167" s="7" t="e">
        <f>VLOOKUP(F2167,HC!A$6:D$100,3,FALSE)</f>
        <v>#N/A</v>
      </c>
      <c r="O2167" s="7" t="e">
        <f>VLOOKUP(F2167,HC!A$6:D$1000,2,FALSE)</f>
        <v>#N/A</v>
      </c>
      <c r="P2167" t="s">
        <v>664</v>
      </c>
      <c r="Q2167" s="7" t="s">
        <v>711</v>
      </c>
      <c r="U2167">
        <f t="shared" si="35"/>
        <v>1395</v>
      </c>
    </row>
    <row r="2168" spans="1:21" ht="37.5" customHeight="1" x14ac:dyDescent="0.25">
      <c r="A2168" s="33">
        <v>45098</v>
      </c>
      <c r="B2168" s="13">
        <v>25</v>
      </c>
      <c r="C2168" t="s">
        <v>3</v>
      </c>
      <c r="D2168" t="s">
        <v>4</v>
      </c>
      <c r="E2168" t="s">
        <v>5</v>
      </c>
      <c r="F2168" s="6">
        <v>112460895</v>
      </c>
      <c r="G2168" t="s">
        <v>1137</v>
      </c>
      <c r="H2168" t="s">
        <v>639</v>
      </c>
      <c r="I2168">
        <v>0</v>
      </c>
      <c r="J2168">
        <v>0</v>
      </c>
      <c r="K2168">
        <v>0</v>
      </c>
      <c r="L2168">
        <v>0</v>
      </c>
      <c r="M2168">
        <v>5.46</v>
      </c>
      <c r="N2168" s="7" t="e">
        <f>VLOOKUP(F2168,HC!A$6:D$100,3,FALSE)</f>
        <v>#N/A</v>
      </c>
      <c r="O2168" s="7" t="e">
        <f>VLOOKUP(F2168,HC!A$6:D$1000,2,FALSE)</f>
        <v>#N/A</v>
      </c>
      <c r="Q2168" s="7"/>
      <c r="R2168" t="s">
        <v>1067</v>
      </c>
      <c r="U2168">
        <f t="shared" si="35"/>
        <v>1395</v>
      </c>
    </row>
    <row r="2169" spans="1:21" ht="37.5" customHeight="1" x14ac:dyDescent="0.25">
      <c r="A2169" s="33">
        <v>45098</v>
      </c>
      <c r="B2169" s="13">
        <v>25</v>
      </c>
      <c r="C2169" t="s">
        <v>3</v>
      </c>
      <c r="D2169" t="s">
        <v>4</v>
      </c>
      <c r="E2169" t="s">
        <v>5</v>
      </c>
      <c r="F2169" s="6">
        <v>112920655</v>
      </c>
      <c r="G2169" t="s">
        <v>509</v>
      </c>
      <c r="H2169" t="s">
        <v>282</v>
      </c>
      <c r="I2169">
        <v>0</v>
      </c>
      <c r="J2169">
        <v>0</v>
      </c>
      <c r="K2169">
        <v>0</v>
      </c>
      <c r="L2169">
        <v>0</v>
      </c>
      <c r="M2169">
        <v>1.67</v>
      </c>
      <c r="N2169" s="7" t="e">
        <f>VLOOKUP(F2169,HC!A$6:D$100,3,FALSE)</f>
        <v>#N/A</v>
      </c>
      <c r="O2169" s="7" t="e">
        <f>VLOOKUP(F2169,HC!A$6:D$1000,2,FALSE)</f>
        <v>#N/A</v>
      </c>
      <c r="P2169" t="s">
        <v>664</v>
      </c>
      <c r="Q2169" s="7" t="s">
        <v>708</v>
      </c>
      <c r="R2169" t="s">
        <v>0</v>
      </c>
      <c r="U2169">
        <f t="shared" si="35"/>
        <v>1395</v>
      </c>
    </row>
    <row r="2170" spans="1:21" ht="37.5" customHeight="1" x14ac:dyDescent="0.25">
      <c r="A2170" s="33">
        <v>45098</v>
      </c>
      <c r="B2170" s="13">
        <v>25</v>
      </c>
      <c r="C2170" t="s">
        <v>3</v>
      </c>
      <c r="D2170" t="s">
        <v>4</v>
      </c>
      <c r="E2170" t="s">
        <v>5</v>
      </c>
      <c r="F2170" s="6">
        <v>112950795</v>
      </c>
      <c r="G2170" t="s">
        <v>580</v>
      </c>
      <c r="H2170" t="s">
        <v>403</v>
      </c>
      <c r="I2170">
        <v>0</v>
      </c>
      <c r="J2170">
        <v>0</v>
      </c>
      <c r="K2170">
        <v>0</v>
      </c>
      <c r="L2170">
        <v>0</v>
      </c>
      <c r="M2170">
        <v>0.1</v>
      </c>
      <c r="N2170" s="7" t="str">
        <f>VLOOKUP(F2170,HC!A$6:D$100,3,FALSE)</f>
        <v>DA-X0700</v>
      </c>
      <c r="O2170" s="7" t="str">
        <f>VLOOKUP(F2170,HC!A$6:D$1000,2,FALSE)</f>
        <v>oespiali</v>
      </c>
      <c r="P2170" t="s">
        <v>664</v>
      </c>
      <c r="Q2170" s="7" t="s">
        <v>708</v>
      </c>
      <c r="U2170">
        <f t="shared" si="35"/>
        <v>10</v>
      </c>
    </row>
    <row r="2171" spans="1:21" ht="37.5" customHeight="1" x14ac:dyDescent="0.25">
      <c r="A2171" s="33">
        <v>45098</v>
      </c>
      <c r="B2171" s="13">
        <v>25</v>
      </c>
      <c r="C2171" t="s">
        <v>3</v>
      </c>
      <c r="D2171" t="s">
        <v>4</v>
      </c>
      <c r="E2171" t="s">
        <v>5</v>
      </c>
      <c r="F2171" s="6">
        <v>112950818</v>
      </c>
      <c r="G2171" t="s">
        <v>779</v>
      </c>
      <c r="H2171" t="s">
        <v>285</v>
      </c>
      <c r="I2171">
        <v>0</v>
      </c>
      <c r="J2171">
        <v>0</v>
      </c>
      <c r="K2171">
        <v>0</v>
      </c>
      <c r="L2171">
        <v>0</v>
      </c>
      <c r="M2171">
        <v>0.34</v>
      </c>
      <c r="N2171" s="7" t="str">
        <f>VLOOKUP(F2171,HC!A$6:D$100,3,FALSE)</f>
        <v>DA-X0700</v>
      </c>
      <c r="O2171" s="7" t="str">
        <f>VLOOKUP(F2171,HC!A$6:D$1000,2,FALSE)</f>
        <v>xedithsa</v>
      </c>
      <c r="P2171" t="s">
        <v>670</v>
      </c>
      <c r="Q2171" s="7" t="s">
        <v>746</v>
      </c>
      <c r="U2171">
        <f t="shared" si="35"/>
        <v>4</v>
      </c>
    </row>
    <row r="2172" spans="1:21" ht="37.5" customHeight="1" x14ac:dyDescent="0.25">
      <c r="A2172" s="33">
        <v>45098</v>
      </c>
      <c r="B2172" s="13">
        <v>25</v>
      </c>
      <c r="C2172" t="s">
        <v>3</v>
      </c>
      <c r="D2172" t="s">
        <v>4</v>
      </c>
      <c r="E2172" t="s">
        <v>5</v>
      </c>
      <c r="F2172" s="6">
        <v>112973049</v>
      </c>
      <c r="G2172" t="s">
        <v>314</v>
      </c>
      <c r="H2172" t="s">
        <v>7</v>
      </c>
      <c r="I2172">
        <v>0</v>
      </c>
      <c r="J2172">
        <v>0</v>
      </c>
      <c r="K2172">
        <v>0</v>
      </c>
      <c r="L2172">
        <v>0</v>
      </c>
      <c r="M2172">
        <v>0.13</v>
      </c>
      <c r="N2172" s="7" t="str">
        <f>VLOOKUP(F2172,HC!A$6:D$100,3,FALSE)</f>
        <v>DB-X0700</v>
      </c>
      <c r="O2172" s="7" t="str">
        <f>VLOOKUP(F2172,HC!A$6:D$1000,2,FALSE)</f>
        <v>afatimae</v>
      </c>
      <c r="P2172" t="s">
        <v>664</v>
      </c>
      <c r="Q2172" s="7" t="s">
        <v>711</v>
      </c>
      <c r="U2172">
        <f t="shared" si="35"/>
        <v>29</v>
      </c>
    </row>
    <row r="2173" spans="1:21" ht="37.5" customHeight="1" x14ac:dyDescent="0.25">
      <c r="A2173" s="33">
        <v>45098</v>
      </c>
      <c r="B2173" s="13">
        <v>25</v>
      </c>
      <c r="C2173" t="s">
        <v>3</v>
      </c>
      <c r="D2173" t="s">
        <v>4</v>
      </c>
      <c r="E2173" t="s">
        <v>5</v>
      </c>
      <c r="F2173" s="6">
        <v>112980812</v>
      </c>
      <c r="G2173" t="s">
        <v>324</v>
      </c>
      <c r="H2173" t="s">
        <v>268</v>
      </c>
      <c r="I2173">
        <v>0</v>
      </c>
      <c r="J2173">
        <v>0</v>
      </c>
      <c r="K2173">
        <v>0</v>
      </c>
      <c r="L2173">
        <v>0</v>
      </c>
      <c r="M2173">
        <v>0.68</v>
      </c>
      <c r="N2173" s="7" t="str">
        <f>VLOOKUP(F2173,HC!A$6:D$100,3,FALSE)</f>
        <v>DA-X0700</v>
      </c>
      <c r="O2173" s="7" t="str">
        <f>VLOOKUP(F2173,HC!A$6:D$1000,2,FALSE)</f>
        <v>maryjacp</v>
      </c>
      <c r="P2173" t="s">
        <v>661</v>
      </c>
      <c r="Q2173" s="7" t="s">
        <v>681</v>
      </c>
      <c r="U2173">
        <f t="shared" si="35"/>
        <v>15</v>
      </c>
    </row>
    <row r="2174" spans="1:21" ht="37.5" customHeight="1" x14ac:dyDescent="0.25">
      <c r="A2174" s="33">
        <v>45098</v>
      </c>
      <c r="B2174" s="13">
        <v>25</v>
      </c>
      <c r="C2174" t="s">
        <v>3</v>
      </c>
      <c r="D2174" t="s">
        <v>4</v>
      </c>
      <c r="E2174" t="s">
        <v>21</v>
      </c>
      <c r="F2174" s="6">
        <v>200552823</v>
      </c>
      <c r="G2174" t="s">
        <v>1138</v>
      </c>
      <c r="H2174" t="s">
        <v>268</v>
      </c>
      <c r="I2174">
        <v>0</v>
      </c>
      <c r="J2174">
        <v>0</v>
      </c>
      <c r="K2174">
        <v>0</v>
      </c>
      <c r="L2174">
        <v>0</v>
      </c>
      <c r="M2174">
        <v>0.46</v>
      </c>
      <c r="N2174" s="7" t="e">
        <f>VLOOKUP(F2174,HC!A$6:D$100,3,FALSE)</f>
        <v>#N/A</v>
      </c>
      <c r="O2174" s="7" t="e">
        <f>VLOOKUP(F2174,HC!A$6:D$1000,2,FALSE)</f>
        <v>#N/A</v>
      </c>
      <c r="P2174" t="s">
        <v>670</v>
      </c>
      <c r="Q2174" s="7" t="s">
        <v>746</v>
      </c>
      <c r="U2174">
        <f t="shared" si="35"/>
        <v>1395</v>
      </c>
    </row>
    <row r="2175" spans="1:21" ht="37.5" customHeight="1" x14ac:dyDescent="0.25">
      <c r="A2175" s="33">
        <v>45098</v>
      </c>
      <c r="B2175" s="13">
        <v>25</v>
      </c>
      <c r="C2175" t="s">
        <v>3</v>
      </c>
      <c r="D2175" t="s">
        <v>4</v>
      </c>
      <c r="E2175" t="s">
        <v>21</v>
      </c>
      <c r="F2175" s="6">
        <v>201211157</v>
      </c>
      <c r="G2175" t="s">
        <v>936</v>
      </c>
      <c r="H2175" t="s">
        <v>49</v>
      </c>
      <c r="I2175">
        <v>0</v>
      </c>
      <c r="J2175">
        <v>0</v>
      </c>
      <c r="K2175">
        <v>0</v>
      </c>
      <c r="L2175">
        <v>0</v>
      </c>
      <c r="M2175">
        <v>0.16</v>
      </c>
      <c r="N2175" s="7" t="e">
        <f>VLOOKUP(F2175,HC!A$6:D$100,3,FALSE)</f>
        <v>#N/A</v>
      </c>
      <c r="O2175" s="7" t="str">
        <f>VLOOKUP(F2175,HC!A$6:D$1000,2,FALSE)</f>
        <v>vargajed</v>
      </c>
      <c r="P2175" t="s">
        <v>664</v>
      </c>
      <c r="Q2175" s="7" t="s">
        <v>777</v>
      </c>
      <c r="U2175">
        <f t="shared" si="35"/>
        <v>17</v>
      </c>
    </row>
    <row r="2176" spans="1:21" ht="37.5" customHeight="1" x14ac:dyDescent="0.25">
      <c r="A2176" s="33">
        <v>45099</v>
      </c>
      <c r="B2176" s="13">
        <v>25</v>
      </c>
      <c r="C2176" t="s">
        <v>3</v>
      </c>
      <c r="D2176" t="s">
        <v>4</v>
      </c>
      <c r="E2176" t="s">
        <v>5</v>
      </c>
      <c r="F2176" s="6">
        <v>112951256</v>
      </c>
      <c r="G2176" t="s">
        <v>337</v>
      </c>
      <c r="H2176" t="s">
        <v>282</v>
      </c>
      <c r="I2176">
        <v>0</v>
      </c>
      <c r="J2176">
        <v>0</v>
      </c>
      <c r="K2176">
        <v>0</v>
      </c>
      <c r="L2176">
        <v>0</v>
      </c>
      <c r="M2176">
        <v>0.37</v>
      </c>
      <c r="N2176" s="7" t="str">
        <f>VLOOKUP(F2176,HC!A$6:D$100,3,FALSE)</f>
        <v>DA-X0700</v>
      </c>
      <c r="O2176" s="7" t="str">
        <f>VLOOKUP(F2176,HC!A$6:D$1000,2,FALSE)</f>
        <v>grkatery</v>
      </c>
      <c r="P2176" t="s">
        <v>666</v>
      </c>
      <c r="Q2176" s="7" t="s">
        <v>774</v>
      </c>
      <c r="U2176">
        <f t="shared" si="35"/>
        <v>17</v>
      </c>
    </row>
    <row r="2177" spans="1:21" ht="37.5" customHeight="1" x14ac:dyDescent="0.25">
      <c r="A2177" s="33">
        <v>45099</v>
      </c>
      <c r="B2177" s="13">
        <v>25</v>
      </c>
      <c r="C2177" t="s">
        <v>3</v>
      </c>
      <c r="D2177" t="s">
        <v>4</v>
      </c>
      <c r="E2177" t="s">
        <v>5</v>
      </c>
      <c r="F2177" s="6">
        <v>112971961</v>
      </c>
      <c r="G2177" t="s">
        <v>755</v>
      </c>
      <c r="H2177" t="s">
        <v>332</v>
      </c>
      <c r="I2177">
        <v>0</v>
      </c>
      <c r="J2177">
        <v>0</v>
      </c>
      <c r="K2177">
        <v>0</v>
      </c>
      <c r="L2177">
        <v>0</v>
      </c>
      <c r="M2177">
        <v>0.05</v>
      </c>
      <c r="N2177" s="7" t="e">
        <f>VLOOKUP(F2177,HC!A$6:D$100,3,FALSE)</f>
        <v>#N/A</v>
      </c>
      <c r="O2177" s="7" t="e">
        <f>VLOOKUP(F2177,HC!A$6:D$1000,2,FALSE)</f>
        <v>#N/A</v>
      </c>
      <c r="P2177" t="s">
        <v>668</v>
      </c>
      <c r="Q2177" s="7" t="s">
        <v>732</v>
      </c>
      <c r="U2177">
        <f t="shared" si="35"/>
        <v>1395</v>
      </c>
    </row>
    <row r="2178" spans="1:21" ht="37.5" customHeight="1" x14ac:dyDescent="0.25">
      <c r="A2178" s="33">
        <v>45099</v>
      </c>
      <c r="B2178" s="13">
        <v>25</v>
      </c>
      <c r="C2178" t="s">
        <v>3</v>
      </c>
      <c r="D2178" t="s">
        <v>4</v>
      </c>
      <c r="E2178" t="s">
        <v>21</v>
      </c>
      <c r="F2178" s="6">
        <v>200552429</v>
      </c>
      <c r="G2178" t="s">
        <v>1139</v>
      </c>
      <c r="H2178" t="s">
        <v>263</v>
      </c>
      <c r="I2178">
        <v>0</v>
      </c>
      <c r="J2178">
        <v>0</v>
      </c>
      <c r="K2178">
        <v>0</v>
      </c>
      <c r="L2178">
        <v>0</v>
      </c>
      <c r="M2178">
        <v>0.37</v>
      </c>
      <c r="N2178" s="7" t="e">
        <f>VLOOKUP(F2178,HC!A$6:D$100,3,FALSE)</f>
        <v>#N/A</v>
      </c>
      <c r="O2178" s="7" t="e">
        <f>VLOOKUP(F2178,HC!A$6:D$1000,2,FALSE)</f>
        <v>#N/A</v>
      </c>
      <c r="P2178" t="s">
        <v>664</v>
      </c>
      <c r="Q2178" s="7" t="s">
        <v>710</v>
      </c>
      <c r="U2178">
        <f t="shared" si="35"/>
        <v>1395</v>
      </c>
    </row>
    <row r="2179" spans="1:21" ht="37.5" customHeight="1" x14ac:dyDescent="0.25">
      <c r="A2179" s="33">
        <v>45099</v>
      </c>
      <c r="B2179" s="13">
        <v>25</v>
      </c>
      <c r="C2179" t="s">
        <v>3</v>
      </c>
      <c r="D2179" t="s">
        <v>4</v>
      </c>
      <c r="E2179" t="s">
        <v>21</v>
      </c>
      <c r="F2179" s="6">
        <v>201172306</v>
      </c>
      <c r="G2179" t="s">
        <v>970</v>
      </c>
      <c r="H2179" t="s">
        <v>268</v>
      </c>
      <c r="I2179">
        <v>0</v>
      </c>
      <c r="J2179">
        <v>0</v>
      </c>
      <c r="K2179">
        <v>0</v>
      </c>
      <c r="L2179">
        <v>0</v>
      </c>
      <c r="M2179">
        <v>0.25</v>
      </c>
      <c r="N2179" s="7" t="e">
        <f>VLOOKUP(F2179,HC!A$6:D$100,3,FALSE)</f>
        <v>#N/A</v>
      </c>
      <c r="O2179" s="7" t="str">
        <f>VLOOKUP(F2179,HC!A$6:D$1000,2,FALSE)</f>
        <v>cesarvae</v>
      </c>
      <c r="P2179" t="s">
        <v>664</v>
      </c>
      <c r="Q2179" s="7" t="s">
        <v>709</v>
      </c>
      <c r="U2179">
        <f t="shared" ref="U2179:U2242" si="36">COUNTIF(O$2:O$4999,O2179)</f>
        <v>17</v>
      </c>
    </row>
    <row r="2180" spans="1:21" ht="37.5" customHeight="1" x14ac:dyDescent="0.25">
      <c r="A2180" s="33">
        <v>45099</v>
      </c>
      <c r="B2180" s="13">
        <v>25</v>
      </c>
      <c r="C2180" t="s">
        <v>3</v>
      </c>
      <c r="D2180" t="s">
        <v>4</v>
      </c>
      <c r="E2180" t="s">
        <v>21</v>
      </c>
      <c r="F2180" s="6">
        <v>201195215</v>
      </c>
      <c r="G2180" t="s">
        <v>1140</v>
      </c>
      <c r="H2180" t="s">
        <v>17</v>
      </c>
      <c r="I2180">
        <v>0</v>
      </c>
      <c r="J2180">
        <v>0</v>
      </c>
      <c r="K2180">
        <v>0</v>
      </c>
      <c r="L2180">
        <v>0</v>
      </c>
      <c r="M2180">
        <v>0.65</v>
      </c>
      <c r="N2180" s="7" t="e">
        <f>VLOOKUP(F2180,HC!A$6:D$100,3,FALSE)</f>
        <v>#N/A</v>
      </c>
      <c r="O2180" s="7" t="str">
        <f>VLOOKUP(F2180,HC!A$6:D$1000,2,FALSE)</f>
        <v>guzmadaa</v>
      </c>
      <c r="P2180" t="s">
        <v>662</v>
      </c>
      <c r="Q2180" s="7" t="s">
        <v>702</v>
      </c>
      <c r="U2180">
        <f t="shared" si="36"/>
        <v>2</v>
      </c>
    </row>
    <row r="2181" spans="1:21" ht="37.5" customHeight="1" x14ac:dyDescent="0.25">
      <c r="A2181" s="33">
        <v>45099</v>
      </c>
      <c r="B2181" s="13">
        <v>25</v>
      </c>
      <c r="C2181" t="s">
        <v>3</v>
      </c>
      <c r="D2181" t="s">
        <v>4</v>
      </c>
      <c r="E2181" t="s">
        <v>21</v>
      </c>
      <c r="F2181" s="6">
        <v>201198922</v>
      </c>
      <c r="G2181" t="s">
        <v>1141</v>
      </c>
      <c r="H2181" t="s">
        <v>47</v>
      </c>
      <c r="I2181">
        <v>0</v>
      </c>
      <c r="J2181">
        <v>0</v>
      </c>
      <c r="K2181">
        <v>0</v>
      </c>
      <c r="L2181">
        <v>0</v>
      </c>
      <c r="M2181">
        <v>0.13</v>
      </c>
      <c r="N2181" s="7" t="e">
        <f>VLOOKUP(F2181,HC!A$6:D$100,3,FALSE)</f>
        <v>#N/A</v>
      </c>
      <c r="O2181" s="7" t="str">
        <f>VLOOKUP(F2181,HC!A$6:D$1000,2,FALSE)</f>
        <v>mendejoy</v>
      </c>
      <c r="P2181" t="s">
        <v>662</v>
      </c>
      <c r="Q2181" s="7" t="s">
        <v>688</v>
      </c>
      <c r="U2181">
        <f t="shared" si="36"/>
        <v>14</v>
      </c>
    </row>
    <row r="2182" spans="1:21" ht="37.5" customHeight="1" x14ac:dyDescent="0.25">
      <c r="A2182" s="33">
        <v>45099</v>
      </c>
      <c r="B2182" s="13">
        <v>25</v>
      </c>
      <c r="C2182" t="s">
        <v>3</v>
      </c>
      <c r="D2182" t="s">
        <v>4</v>
      </c>
      <c r="E2182" t="s">
        <v>21</v>
      </c>
      <c r="F2182" s="6">
        <v>201360639</v>
      </c>
      <c r="G2182" t="s">
        <v>1142</v>
      </c>
      <c r="H2182" t="s">
        <v>253</v>
      </c>
      <c r="I2182">
        <v>0</v>
      </c>
      <c r="J2182">
        <v>0</v>
      </c>
      <c r="K2182">
        <v>0</v>
      </c>
      <c r="L2182">
        <v>0</v>
      </c>
      <c r="M2182">
        <v>0.26</v>
      </c>
      <c r="N2182" s="7" t="e">
        <f>VLOOKUP(F2182,HC!A$6:D$100,3,FALSE)</f>
        <v>#N/A</v>
      </c>
      <c r="O2182" s="7" t="str">
        <f>VLOOKUP(F2182,HC!A$6:D$1000,2,FALSE)</f>
        <v>riveoyae</v>
      </c>
      <c r="P2182" t="s">
        <v>664</v>
      </c>
      <c r="Q2182" s="7" t="s">
        <v>708</v>
      </c>
      <c r="U2182">
        <f t="shared" si="36"/>
        <v>6</v>
      </c>
    </row>
    <row r="2183" spans="1:21" ht="37.5" customHeight="1" x14ac:dyDescent="0.25">
      <c r="A2183" s="33">
        <v>45100</v>
      </c>
      <c r="B2183" s="13">
        <v>25</v>
      </c>
      <c r="C2183" t="s">
        <v>3</v>
      </c>
      <c r="D2183" t="s">
        <v>4</v>
      </c>
      <c r="E2183" t="s">
        <v>5</v>
      </c>
      <c r="F2183" s="6">
        <v>112950784</v>
      </c>
      <c r="G2183" t="s">
        <v>261</v>
      </c>
      <c r="H2183" t="s">
        <v>282</v>
      </c>
      <c r="I2183">
        <v>0</v>
      </c>
      <c r="J2183">
        <v>0</v>
      </c>
      <c r="K2183">
        <v>0</v>
      </c>
      <c r="L2183">
        <v>0</v>
      </c>
      <c r="M2183">
        <v>0.22</v>
      </c>
      <c r="N2183" s="7" t="str">
        <f>VLOOKUP(F2183,HC!A$6:D$100,3,FALSE)</f>
        <v>NF-X1900</v>
      </c>
      <c r="O2183" s="7" t="str">
        <f>VLOOKUP(F2183,HC!A$6:D$1000,2,FALSE)</f>
        <v>sarojast</v>
      </c>
      <c r="P2183" t="s">
        <v>667</v>
      </c>
      <c r="Q2183" s="7"/>
      <c r="R2183" t="s">
        <v>1143</v>
      </c>
      <c r="U2183">
        <f t="shared" si="36"/>
        <v>33</v>
      </c>
    </row>
    <row r="2184" spans="1:21" ht="37.5" customHeight="1" x14ac:dyDescent="0.25">
      <c r="A2184" s="33">
        <v>45100</v>
      </c>
      <c r="B2184" s="13">
        <v>25</v>
      </c>
      <c r="C2184" t="s">
        <v>3</v>
      </c>
      <c r="D2184" t="s">
        <v>4</v>
      </c>
      <c r="E2184" t="s">
        <v>5</v>
      </c>
      <c r="F2184" s="6">
        <v>113020476</v>
      </c>
      <c r="G2184" t="s">
        <v>330</v>
      </c>
      <c r="H2184" t="s">
        <v>7</v>
      </c>
      <c r="I2184">
        <v>0</v>
      </c>
      <c r="J2184">
        <v>0</v>
      </c>
      <c r="K2184">
        <v>0</v>
      </c>
      <c r="L2184">
        <v>0</v>
      </c>
      <c r="M2184">
        <v>0.19</v>
      </c>
      <c r="N2184" s="7" t="e">
        <f>VLOOKUP(F2184,HC!A$6:D$100,3,FALSE)</f>
        <v>#N/A</v>
      </c>
      <c r="O2184" s="7" t="str">
        <f>VLOOKUP(F2184,HC!A$6:D$1000,2,FALSE)</f>
        <v>polettpu</v>
      </c>
      <c r="P2184" t="s">
        <v>665</v>
      </c>
      <c r="Q2184" s="7" t="s">
        <v>722</v>
      </c>
      <c r="U2184">
        <f t="shared" si="36"/>
        <v>55</v>
      </c>
    </row>
    <row r="2185" spans="1:21" ht="37.5" customHeight="1" x14ac:dyDescent="0.25">
      <c r="A2185" s="33">
        <v>45100</v>
      </c>
      <c r="B2185" s="13">
        <v>25</v>
      </c>
      <c r="C2185" t="s">
        <v>3</v>
      </c>
      <c r="D2185" t="s">
        <v>4</v>
      </c>
      <c r="E2185" t="s">
        <v>21</v>
      </c>
      <c r="F2185" s="6">
        <v>201191390</v>
      </c>
      <c r="G2185" t="s">
        <v>916</v>
      </c>
      <c r="H2185" t="s">
        <v>7</v>
      </c>
      <c r="I2185">
        <v>0</v>
      </c>
      <c r="J2185">
        <v>0</v>
      </c>
      <c r="K2185">
        <v>0</v>
      </c>
      <c r="L2185">
        <v>0</v>
      </c>
      <c r="M2185">
        <v>0.28999999999999998</v>
      </c>
      <c r="N2185" s="7" t="e">
        <f>VLOOKUP(F2185,HC!A$6:D$100,3,FALSE)</f>
        <v>#N/A</v>
      </c>
      <c r="O2185" s="7" t="str">
        <f>VLOOKUP(F2185,HC!A$6:D$1000,2,FALSE)</f>
        <v>bgajesus</v>
      </c>
      <c r="P2185" t="s">
        <v>661</v>
      </c>
      <c r="Q2185" s="7" t="s">
        <v>759</v>
      </c>
      <c r="U2185">
        <f t="shared" si="36"/>
        <v>37</v>
      </c>
    </row>
    <row r="2186" spans="1:21" ht="37.5" customHeight="1" x14ac:dyDescent="0.25">
      <c r="A2186" s="33">
        <v>45100</v>
      </c>
      <c r="B2186" s="13">
        <v>25</v>
      </c>
      <c r="C2186" t="s">
        <v>3</v>
      </c>
      <c r="D2186" t="s">
        <v>4</v>
      </c>
      <c r="E2186" t="s">
        <v>21</v>
      </c>
      <c r="F2186" s="6">
        <v>201354965</v>
      </c>
      <c r="G2186" t="s">
        <v>1063</v>
      </c>
      <c r="H2186" t="s">
        <v>263</v>
      </c>
      <c r="I2186">
        <v>0</v>
      </c>
      <c r="J2186">
        <v>0</v>
      </c>
      <c r="K2186">
        <v>0</v>
      </c>
      <c r="L2186">
        <v>0</v>
      </c>
      <c r="M2186">
        <v>0.35</v>
      </c>
      <c r="N2186" s="7" t="e">
        <f>VLOOKUP(F2186,HC!A$6:D$100,3,FALSE)</f>
        <v>#N/A</v>
      </c>
      <c r="O2186" s="7" t="str">
        <f>VLOOKUP(F2186,HC!A$6:D$1000,2,FALSE)</f>
        <v>alinejim</v>
      </c>
      <c r="P2186" t="s">
        <v>661</v>
      </c>
      <c r="Q2186" s="7" t="s">
        <v>700</v>
      </c>
      <c r="U2186">
        <f t="shared" si="36"/>
        <v>33</v>
      </c>
    </row>
    <row r="2187" spans="1:21" ht="37.5" customHeight="1" x14ac:dyDescent="0.25">
      <c r="A2187" s="33">
        <v>45100</v>
      </c>
      <c r="B2187" s="13">
        <v>25</v>
      </c>
      <c r="C2187" t="s">
        <v>3</v>
      </c>
      <c r="D2187" t="s">
        <v>4</v>
      </c>
      <c r="E2187" t="s">
        <v>21</v>
      </c>
      <c r="F2187" s="6">
        <v>201403462</v>
      </c>
      <c r="G2187" t="s">
        <v>1054</v>
      </c>
      <c r="H2187" t="s">
        <v>49</v>
      </c>
      <c r="I2187">
        <v>0</v>
      </c>
      <c r="J2187">
        <v>0</v>
      </c>
      <c r="K2187">
        <v>0</v>
      </c>
      <c r="L2187">
        <v>0</v>
      </c>
      <c r="M2187">
        <v>0.14000000000000001</v>
      </c>
      <c r="N2187" s="7" t="e">
        <f>VLOOKUP(F2187,HC!A$6:D$100,3,FALSE)</f>
        <v>#N/A</v>
      </c>
      <c r="O2187" s="7" t="str">
        <f>VLOOKUP(F2187,HC!A$6:D$1000,2,FALSE)</f>
        <v>valdojoe</v>
      </c>
      <c r="P2187" t="s">
        <v>664</v>
      </c>
      <c r="Q2187" s="7" t="s">
        <v>710</v>
      </c>
      <c r="U2187">
        <f t="shared" si="36"/>
        <v>22</v>
      </c>
    </row>
    <row r="2188" spans="1:21" ht="37.5" customHeight="1" x14ac:dyDescent="0.25">
      <c r="A2188" s="33">
        <v>45101</v>
      </c>
      <c r="B2188" s="13">
        <v>25</v>
      </c>
      <c r="C2188" t="s">
        <v>3</v>
      </c>
      <c r="D2188" t="s">
        <v>4</v>
      </c>
      <c r="E2188" t="s">
        <v>5</v>
      </c>
      <c r="F2188" s="6">
        <v>113020476</v>
      </c>
      <c r="G2188" t="s">
        <v>330</v>
      </c>
      <c r="H2188" t="s">
        <v>7</v>
      </c>
      <c r="I2188">
        <v>0</v>
      </c>
      <c r="J2188">
        <v>0</v>
      </c>
      <c r="K2188">
        <v>0</v>
      </c>
      <c r="L2188">
        <v>0</v>
      </c>
      <c r="M2188">
        <v>0.19</v>
      </c>
      <c r="N2188" s="7" t="e">
        <f>VLOOKUP(F2188,HC!A$6:D$100,3,FALSE)</f>
        <v>#N/A</v>
      </c>
      <c r="O2188" s="7" t="str">
        <f>VLOOKUP(F2188,HC!A$6:D$1000,2,FALSE)</f>
        <v>polettpu</v>
      </c>
      <c r="P2188" t="s">
        <v>662</v>
      </c>
      <c r="Q2188" s="7" t="s">
        <v>688</v>
      </c>
      <c r="U2188">
        <f t="shared" si="36"/>
        <v>55</v>
      </c>
    </row>
    <row r="2189" spans="1:21" ht="37.5" customHeight="1" x14ac:dyDescent="0.25">
      <c r="A2189" s="33">
        <v>45102</v>
      </c>
      <c r="B2189" s="13">
        <v>26</v>
      </c>
      <c r="C2189" t="s">
        <v>3</v>
      </c>
      <c r="D2189" t="s">
        <v>4</v>
      </c>
      <c r="E2189" t="s">
        <v>5</v>
      </c>
      <c r="F2189" s="6">
        <v>113103540</v>
      </c>
      <c r="G2189" t="s">
        <v>854</v>
      </c>
      <c r="H2189" t="s">
        <v>47</v>
      </c>
      <c r="I2189">
        <v>0</v>
      </c>
      <c r="J2189">
        <v>0</v>
      </c>
      <c r="K2189">
        <v>0</v>
      </c>
      <c r="L2189">
        <v>0</v>
      </c>
      <c r="M2189">
        <v>0.19</v>
      </c>
      <c r="N2189" s="7" t="e">
        <f>VLOOKUP(F2189,HC!A$6:D$100,3,FALSE)</f>
        <v>#N/A</v>
      </c>
      <c r="O2189" s="7" t="str">
        <f>VLOOKUP(F2189,HC!A$6:D$1000,2,FALSE)</f>
        <v>delgadax</v>
      </c>
      <c r="P2189" t="s">
        <v>661</v>
      </c>
      <c r="Q2189" s="7" t="s">
        <v>700</v>
      </c>
      <c r="U2189">
        <f t="shared" si="36"/>
        <v>9</v>
      </c>
    </row>
    <row r="2190" spans="1:21" ht="37.5" customHeight="1" x14ac:dyDescent="0.25">
      <c r="A2190" s="33">
        <v>45102</v>
      </c>
      <c r="B2190" s="13">
        <v>26</v>
      </c>
      <c r="C2190" t="s">
        <v>3</v>
      </c>
      <c r="D2190" t="s">
        <v>4</v>
      </c>
      <c r="E2190" t="s">
        <v>21</v>
      </c>
      <c r="F2190" s="6">
        <v>201354965</v>
      </c>
      <c r="G2190" t="s">
        <v>1063</v>
      </c>
      <c r="H2190" t="s">
        <v>263</v>
      </c>
      <c r="I2190">
        <v>0</v>
      </c>
      <c r="J2190">
        <v>0</v>
      </c>
      <c r="K2190">
        <v>0</v>
      </c>
      <c r="L2190">
        <v>0</v>
      </c>
      <c r="M2190">
        <v>0.12</v>
      </c>
      <c r="N2190" s="7" t="e">
        <f>VLOOKUP(F2190,HC!A$6:D$100,3,FALSE)</f>
        <v>#N/A</v>
      </c>
      <c r="O2190" s="7" t="str">
        <f>VLOOKUP(F2190,HC!A$6:D$1000,2,FALSE)</f>
        <v>alinejim</v>
      </c>
      <c r="P2190" t="s">
        <v>661</v>
      </c>
      <c r="Q2190" s="7" t="s">
        <v>700</v>
      </c>
      <c r="U2190">
        <f t="shared" si="36"/>
        <v>33</v>
      </c>
    </row>
    <row r="2191" spans="1:21" ht="37.5" customHeight="1" x14ac:dyDescent="0.25">
      <c r="A2191" s="33">
        <v>45102</v>
      </c>
      <c r="B2191" s="13">
        <v>26</v>
      </c>
      <c r="C2191" t="s">
        <v>3</v>
      </c>
      <c r="D2191" t="s">
        <v>4</v>
      </c>
      <c r="E2191" t="s">
        <v>21</v>
      </c>
      <c r="F2191" s="6">
        <v>201403462</v>
      </c>
      <c r="G2191" t="s">
        <v>1054</v>
      </c>
      <c r="H2191" t="s">
        <v>49</v>
      </c>
      <c r="I2191">
        <v>0</v>
      </c>
      <c r="J2191">
        <v>0</v>
      </c>
      <c r="K2191">
        <v>0</v>
      </c>
      <c r="L2191">
        <v>0</v>
      </c>
      <c r="M2191">
        <v>0.56999999999999995</v>
      </c>
      <c r="N2191" s="7" t="e">
        <f>VLOOKUP(F2191,HC!A$6:D$100,3,FALSE)</f>
        <v>#N/A</v>
      </c>
      <c r="O2191" s="7" t="str">
        <f>VLOOKUP(F2191,HC!A$6:D$1000,2,FALSE)</f>
        <v>valdojoe</v>
      </c>
      <c r="P2191" t="s">
        <v>661</v>
      </c>
      <c r="Q2191" s="7" t="s">
        <v>681</v>
      </c>
      <c r="U2191">
        <f t="shared" si="36"/>
        <v>22</v>
      </c>
    </row>
    <row r="2192" spans="1:21" ht="37.5" customHeight="1" x14ac:dyDescent="0.25">
      <c r="A2192" s="33">
        <v>45102</v>
      </c>
      <c r="B2192" s="13">
        <v>26</v>
      </c>
      <c r="C2192" t="s">
        <v>3</v>
      </c>
      <c r="D2192" t="s">
        <v>4</v>
      </c>
      <c r="E2192" t="s">
        <v>5</v>
      </c>
      <c r="F2192" s="6">
        <v>112980878</v>
      </c>
      <c r="G2192" t="s">
        <v>481</v>
      </c>
      <c r="H2192" t="s">
        <v>298</v>
      </c>
      <c r="I2192">
        <v>0</v>
      </c>
      <c r="J2192">
        <v>0</v>
      </c>
      <c r="K2192">
        <v>0</v>
      </c>
      <c r="L2192">
        <v>0</v>
      </c>
      <c r="M2192">
        <v>0.85</v>
      </c>
      <c r="N2192" s="7" t="e">
        <f>VLOOKUP(F2192,HC!A$6:D$100,3,FALSE)</f>
        <v>#N/A</v>
      </c>
      <c r="O2192" s="7" t="e">
        <f>VLOOKUP(F2192,HC!A$6:D$1000,2,FALSE)</f>
        <v>#N/A</v>
      </c>
      <c r="P2192" t="s">
        <v>664</v>
      </c>
      <c r="Q2192" s="7" t="s">
        <v>711</v>
      </c>
      <c r="U2192">
        <f t="shared" si="36"/>
        <v>1395</v>
      </c>
    </row>
    <row r="2193" spans="1:21" ht="37.5" customHeight="1" x14ac:dyDescent="0.25">
      <c r="A2193" s="33">
        <v>45102</v>
      </c>
      <c r="B2193" s="13">
        <v>26</v>
      </c>
      <c r="C2193" t="s">
        <v>3</v>
      </c>
      <c r="D2193" t="s">
        <v>4</v>
      </c>
      <c r="E2193" t="s">
        <v>5</v>
      </c>
      <c r="F2193" s="6">
        <v>113101453</v>
      </c>
      <c r="G2193" t="s">
        <v>50</v>
      </c>
      <c r="H2193" t="s">
        <v>44</v>
      </c>
      <c r="I2193">
        <v>0</v>
      </c>
      <c r="J2193">
        <v>0</v>
      </c>
      <c r="K2193">
        <v>0</v>
      </c>
      <c r="L2193">
        <v>0</v>
      </c>
      <c r="M2193">
        <v>0.12</v>
      </c>
      <c r="N2193" s="7" t="e">
        <f>VLOOKUP(F2193,HC!A$6:D$100,3,FALSE)</f>
        <v>#N/A</v>
      </c>
      <c r="O2193" s="7" t="str">
        <f>VLOOKUP(F2193,HC!A$6:D$1000,2,FALSE)</f>
        <v>qisgeova</v>
      </c>
      <c r="P2193" t="s">
        <v>670</v>
      </c>
      <c r="Q2193" s="7" t="s">
        <v>746</v>
      </c>
      <c r="U2193">
        <f t="shared" si="36"/>
        <v>57</v>
      </c>
    </row>
    <row r="2194" spans="1:21" ht="37.5" customHeight="1" x14ac:dyDescent="0.25">
      <c r="A2194" s="33">
        <v>45102</v>
      </c>
      <c r="B2194" s="13">
        <v>26</v>
      </c>
      <c r="C2194" t="s">
        <v>3</v>
      </c>
      <c r="D2194" t="s">
        <v>4</v>
      </c>
      <c r="E2194" t="s">
        <v>21</v>
      </c>
      <c r="F2194" s="6">
        <v>200594875</v>
      </c>
      <c r="G2194" t="s">
        <v>528</v>
      </c>
      <c r="H2194" t="s">
        <v>285</v>
      </c>
      <c r="I2194">
        <v>0</v>
      </c>
      <c r="J2194">
        <v>0</v>
      </c>
      <c r="K2194">
        <v>0</v>
      </c>
      <c r="L2194">
        <v>0</v>
      </c>
      <c r="M2194">
        <v>1.37</v>
      </c>
      <c r="N2194" s="7" t="e">
        <f>VLOOKUP(F2194,HC!A$6:D$100,3,FALSE)</f>
        <v>#N/A</v>
      </c>
      <c r="O2194" s="7" t="str">
        <f>VLOOKUP(F2194,HC!A$6:D$1000,2,FALSE)</f>
        <v>jwmaldon</v>
      </c>
      <c r="P2194" t="s">
        <v>664</v>
      </c>
      <c r="Q2194" s="7" t="s">
        <v>708</v>
      </c>
      <c r="U2194">
        <f t="shared" si="36"/>
        <v>7</v>
      </c>
    </row>
    <row r="2195" spans="1:21" ht="37.5" customHeight="1" x14ac:dyDescent="0.25">
      <c r="A2195" s="33">
        <v>45102</v>
      </c>
      <c r="B2195" s="13">
        <v>26</v>
      </c>
      <c r="C2195" t="s">
        <v>3</v>
      </c>
      <c r="D2195" t="s">
        <v>4</v>
      </c>
      <c r="E2195" t="s">
        <v>21</v>
      </c>
      <c r="F2195" s="6">
        <v>201191198</v>
      </c>
      <c r="G2195" t="s">
        <v>974</v>
      </c>
      <c r="H2195" t="s">
        <v>17</v>
      </c>
      <c r="I2195">
        <v>0</v>
      </c>
      <c r="J2195">
        <v>0</v>
      </c>
      <c r="K2195">
        <v>0</v>
      </c>
      <c r="L2195">
        <v>0</v>
      </c>
      <c r="M2195">
        <v>0.11</v>
      </c>
      <c r="N2195" s="7" t="e">
        <f>VLOOKUP(F2195,HC!A$6:D$100,3,FALSE)</f>
        <v>#N/A</v>
      </c>
      <c r="O2195" s="7" t="str">
        <f>VLOOKUP(F2195,HC!A$6:D$1000,2,FALSE)</f>
        <v>mojicemm</v>
      </c>
      <c r="P2195" t="s">
        <v>661</v>
      </c>
      <c r="Q2195" s="7" t="s">
        <v>681</v>
      </c>
      <c r="U2195">
        <f t="shared" si="36"/>
        <v>24</v>
      </c>
    </row>
    <row r="2196" spans="1:21" ht="37.5" customHeight="1" x14ac:dyDescent="0.25">
      <c r="A2196" s="33">
        <v>45102</v>
      </c>
      <c r="B2196" s="13">
        <v>26</v>
      </c>
      <c r="C2196" t="s">
        <v>3</v>
      </c>
      <c r="D2196" t="s">
        <v>4</v>
      </c>
      <c r="E2196" t="s">
        <v>21</v>
      </c>
      <c r="F2196" s="6">
        <v>201198979</v>
      </c>
      <c r="G2196" t="s">
        <v>905</v>
      </c>
      <c r="H2196" t="s">
        <v>285</v>
      </c>
      <c r="I2196">
        <v>0</v>
      </c>
      <c r="J2196">
        <v>0</v>
      </c>
      <c r="K2196">
        <v>0</v>
      </c>
      <c r="L2196">
        <v>0</v>
      </c>
      <c r="M2196">
        <v>0.05</v>
      </c>
      <c r="N2196" s="7" t="e">
        <f>VLOOKUP(F2196,HC!A$6:D$100,3,FALSE)</f>
        <v>#N/A</v>
      </c>
      <c r="O2196" s="7" t="e">
        <f>VLOOKUP(F2196,HC!A$6:D$1000,2,FALSE)</f>
        <v>#N/A</v>
      </c>
      <c r="P2196" t="s">
        <v>663</v>
      </c>
      <c r="Q2196" s="7" t="s">
        <v>695</v>
      </c>
      <c r="U2196">
        <f t="shared" si="36"/>
        <v>1395</v>
      </c>
    </row>
    <row r="2197" spans="1:21" ht="37.5" customHeight="1" x14ac:dyDescent="0.25">
      <c r="A2197" s="33">
        <v>45102</v>
      </c>
      <c r="B2197" s="13">
        <v>26</v>
      </c>
      <c r="C2197" t="s">
        <v>3</v>
      </c>
      <c r="D2197" t="s">
        <v>4</v>
      </c>
      <c r="E2197" t="s">
        <v>21</v>
      </c>
      <c r="F2197" s="6">
        <v>201201993</v>
      </c>
      <c r="G2197" t="s">
        <v>964</v>
      </c>
      <c r="H2197" t="s">
        <v>285</v>
      </c>
      <c r="I2197">
        <v>0</v>
      </c>
      <c r="J2197">
        <v>0</v>
      </c>
      <c r="K2197">
        <v>0</v>
      </c>
      <c r="L2197">
        <v>0</v>
      </c>
      <c r="M2197">
        <v>0.25</v>
      </c>
      <c r="N2197" s="7" t="e">
        <f>VLOOKUP(F2197,HC!A$6:D$100,3,FALSE)</f>
        <v>#N/A</v>
      </c>
      <c r="O2197" s="7" t="e">
        <f>VLOOKUP(F2197,HC!A$6:D$1000,2,FALSE)</f>
        <v>#N/A</v>
      </c>
      <c r="P2197" t="s">
        <v>661</v>
      </c>
      <c r="Q2197" s="7" t="s">
        <v>775</v>
      </c>
      <c r="U2197">
        <f t="shared" si="36"/>
        <v>1395</v>
      </c>
    </row>
    <row r="2198" spans="1:21" ht="37.5" customHeight="1" x14ac:dyDescent="0.25">
      <c r="A2198" s="33">
        <v>45102</v>
      </c>
      <c r="B2198" s="13">
        <v>26</v>
      </c>
      <c r="C2198" t="s">
        <v>3</v>
      </c>
      <c r="D2198" t="s">
        <v>4</v>
      </c>
      <c r="E2198" t="s">
        <v>21</v>
      </c>
      <c r="F2198" s="6">
        <v>201295432</v>
      </c>
      <c r="G2198" t="s">
        <v>1085</v>
      </c>
      <c r="H2198" t="s">
        <v>268</v>
      </c>
      <c r="I2198">
        <v>0</v>
      </c>
      <c r="J2198">
        <v>0</v>
      </c>
      <c r="K2198">
        <v>0</v>
      </c>
      <c r="L2198">
        <v>0</v>
      </c>
      <c r="M2198">
        <v>0.2</v>
      </c>
      <c r="N2198" s="7" t="e">
        <f>VLOOKUP(F2198,HC!A$6:D$100,3,FALSE)</f>
        <v>#N/A</v>
      </c>
      <c r="O2198" s="7" t="e">
        <f>VLOOKUP(F2198,HC!A$6:D$1000,2,FALSE)</f>
        <v>#N/A</v>
      </c>
      <c r="P2198" t="s">
        <v>661</v>
      </c>
      <c r="Q2198" s="7" t="s">
        <v>681</v>
      </c>
      <c r="U2198">
        <f t="shared" si="36"/>
        <v>1395</v>
      </c>
    </row>
    <row r="2199" spans="1:21" ht="37.5" customHeight="1" x14ac:dyDescent="0.25">
      <c r="A2199" s="33">
        <v>45102</v>
      </c>
      <c r="B2199" s="13">
        <v>26</v>
      </c>
      <c r="C2199" t="s">
        <v>3</v>
      </c>
      <c r="D2199" t="s">
        <v>4</v>
      </c>
      <c r="E2199" t="s">
        <v>21</v>
      </c>
      <c r="F2199" s="6">
        <v>201363254</v>
      </c>
      <c r="G2199" t="s">
        <v>1072</v>
      </c>
      <c r="H2199" t="s">
        <v>253</v>
      </c>
      <c r="I2199">
        <v>0</v>
      </c>
      <c r="J2199">
        <v>0</v>
      </c>
      <c r="K2199">
        <v>0</v>
      </c>
      <c r="L2199">
        <v>0</v>
      </c>
      <c r="M2199">
        <v>0.22</v>
      </c>
      <c r="N2199" s="7" t="e">
        <f>VLOOKUP(F2199,HC!A$6:D$100,3,FALSE)</f>
        <v>#N/A</v>
      </c>
      <c r="O2199" s="7" t="str">
        <f>VLOOKUP(F2199,HC!A$6:D$1000,2,FALSE)</f>
        <v>fwraziel</v>
      </c>
      <c r="P2199" t="s">
        <v>662</v>
      </c>
      <c r="Q2199" s="7" t="s">
        <v>757</v>
      </c>
      <c r="U2199">
        <f t="shared" si="36"/>
        <v>7</v>
      </c>
    </row>
    <row r="2200" spans="1:21" ht="37.5" customHeight="1" x14ac:dyDescent="0.25">
      <c r="A2200" s="33">
        <v>45102</v>
      </c>
      <c r="B2200" s="13">
        <v>26</v>
      </c>
      <c r="C2200" t="s">
        <v>3</v>
      </c>
      <c r="D2200" t="s">
        <v>4</v>
      </c>
      <c r="E2200" t="s">
        <v>21</v>
      </c>
      <c r="F2200" s="6">
        <v>201402106</v>
      </c>
      <c r="G2200" t="s">
        <v>1144</v>
      </c>
      <c r="H2200" t="s">
        <v>1040</v>
      </c>
      <c r="I2200">
        <v>0</v>
      </c>
      <c r="J2200">
        <v>0</v>
      </c>
      <c r="K2200">
        <v>0</v>
      </c>
      <c r="L2200">
        <v>0</v>
      </c>
      <c r="M2200">
        <v>0.1</v>
      </c>
      <c r="N2200" s="7" t="e">
        <f>VLOOKUP(F2200,HC!A$6:D$100,3,FALSE)</f>
        <v>#N/A</v>
      </c>
      <c r="O2200" s="7" t="e">
        <f>VLOOKUP(F2200,HC!A$6:D$1000,2,FALSE)</f>
        <v>#N/A</v>
      </c>
      <c r="P2200" t="s">
        <v>665</v>
      </c>
      <c r="Q2200" s="7" t="s">
        <v>722</v>
      </c>
      <c r="U2200">
        <f t="shared" si="36"/>
        <v>1395</v>
      </c>
    </row>
    <row r="2201" spans="1:21" ht="37.5" customHeight="1" x14ac:dyDescent="0.25">
      <c r="A2201" s="33">
        <v>45103</v>
      </c>
      <c r="B2201" s="13">
        <v>26</v>
      </c>
      <c r="C2201" t="s">
        <v>3</v>
      </c>
      <c r="D2201" t="s">
        <v>4</v>
      </c>
      <c r="E2201" t="s">
        <v>5</v>
      </c>
      <c r="F2201" s="6">
        <v>112950800</v>
      </c>
      <c r="G2201" t="s">
        <v>457</v>
      </c>
      <c r="H2201" t="s">
        <v>403</v>
      </c>
      <c r="I2201">
        <v>0</v>
      </c>
      <c r="J2201">
        <v>0</v>
      </c>
      <c r="K2201">
        <v>0</v>
      </c>
      <c r="L2201">
        <v>0</v>
      </c>
      <c r="M2201">
        <v>0.35</v>
      </c>
      <c r="N2201" s="7" t="str">
        <f>VLOOKUP(F2201,HC!A$6:D$100,3,FALSE)</f>
        <v>NF-X1900</v>
      </c>
      <c r="O2201" s="7" t="str">
        <f>VLOOKUP(F2201,HC!A$6:D$1000,2,FALSE)</f>
        <v>virimuni</v>
      </c>
      <c r="P2201" t="s">
        <v>661</v>
      </c>
      <c r="Q2201" s="7" t="s">
        <v>681</v>
      </c>
      <c r="U2201">
        <f t="shared" si="36"/>
        <v>10</v>
      </c>
    </row>
    <row r="2202" spans="1:21" ht="37.5" customHeight="1" x14ac:dyDescent="0.25">
      <c r="A2202" s="33">
        <v>45103</v>
      </c>
      <c r="B2202" s="13">
        <v>26</v>
      </c>
      <c r="C2202" t="s">
        <v>3</v>
      </c>
      <c r="D2202" t="s">
        <v>4</v>
      </c>
      <c r="E2202" t="s">
        <v>5</v>
      </c>
      <c r="F2202" s="6">
        <v>113040582</v>
      </c>
      <c r="G2202" t="s">
        <v>625</v>
      </c>
      <c r="H2202" t="s">
        <v>44</v>
      </c>
      <c r="I2202">
        <v>0</v>
      </c>
      <c r="J2202">
        <v>0</v>
      </c>
      <c r="K2202">
        <v>0</v>
      </c>
      <c r="L2202">
        <v>0</v>
      </c>
      <c r="M2202">
        <v>0.15</v>
      </c>
      <c r="N2202" s="7" t="e">
        <f>VLOOKUP(F2202,HC!A$6:D$100,3,FALSE)</f>
        <v>#N/A</v>
      </c>
      <c r="O2202" s="7" t="str">
        <f>VLOOKUP(F2202,HC!A$6:D$1000,2,FALSE)</f>
        <v>hgerardr</v>
      </c>
      <c r="P2202" t="s">
        <v>661</v>
      </c>
      <c r="Q2202" s="7" t="s">
        <v>681</v>
      </c>
      <c r="U2202">
        <f t="shared" si="36"/>
        <v>15</v>
      </c>
    </row>
    <row r="2203" spans="1:21" ht="37.5" customHeight="1" x14ac:dyDescent="0.25">
      <c r="A2203" s="33">
        <v>45103</v>
      </c>
      <c r="B2203" s="13">
        <v>26</v>
      </c>
      <c r="C2203" t="s">
        <v>3</v>
      </c>
      <c r="D2203" t="s">
        <v>4</v>
      </c>
      <c r="E2203" t="s">
        <v>21</v>
      </c>
      <c r="F2203" s="6">
        <v>200553205</v>
      </c>
      <c r="G2203" t="s">
        <v>838</v>
      </c>
      <c r="H2203" t="s">
        <v>298</v>
      </c>
      <c r="I2203">
        <v>0</v>
      </c>
      <c r="J2203">
        <v>0</v>
      </c>
      <c r="K2203">
        <v>0</v>
      </c>
      <c r="L2203">
        <v>0</v>
      </c>
      <c r="M2203">
        <v>0.17</v>
      </c>
      <c r="N2203" s="7" t="e">
        <f>VLOOKUP(F2203,HC!A$6:D$100,3,FALSE)</f>
        <v>#N/A</v>
      </c>
      <c r="O2203" s="7" t="e">
        <f>VLOOKUP(F2203,HC!A$6:D$1000,2,FALSE)</f>
        <v>#N/A</v>
      </c>
      <c r="P2203" t="s">
        <v>662</v>
      </c>
      <c r="Q2203" s="7" t="s">
        <v>691</v>
      </c>
      <c r="U2203">
        <f t="shared" si="36"/>
        <v>1395</v>
      </c>
    </row>
    <row r="2204" spans="1:21" ht="37.5" customHeight="1" x14ac:dyDescent="0.25">
      <c r="A2204" s="33">
        <v>45103</v>
      </c>
      <c r="B2204" s="13">
        <v>26</v>
      </c>
      <c r="C2204" t="s">
        <v>3</v>
      </c>
      <c r="D2204" t="s">
        <v>4</v>
      </c>
      <c r="E2204" t="s">
        <v>21</v>
      </c>
      <c r="F2204" s="6">
        <v>200625528</v>
      </c>
      <c r="G2204" t="s">
        <v>607</v>
      </c>
      <c r="H2204" t="s">
        <v>285</v>
      </c>
      <c r="I2204">
        <v>0</v>
      </c>
      <c r="J2204">
        <v>0</v>
      </c>
      <c r="K2204">
        <v>0</v>
      </c>
      <c r="L2204">
        <v>0</v>
      </c>
      <c r="M2204">
        <v>0.08</v>
      </c>
      <c r="N2204" s="7" t="e">
        <f>VLOOKUP(F2204,HC!A$6:D$100,3,FALSE)</f>
        <v>#N/A</v>
      </c>
      <c r="O2204" s="7" t="str">
        <f>VLOOKUP(F2204,HC!A$6:D$1000,2,FALSE)</f>
        <v>olivlizb</v>
      </c>
      <c r="P2204" t="s">
        <v>670</v>
      </c>
      <c r="Q2204" s="7" t="s">
        <v>746</v>
      </c>
      <c r="U2204">
        <f t="shared" si="36"/>
        <v>50</v>
      </c>
    </row>
    <row r="2205" spans="1:21" ht="37.5" customHeight="1" x14ac:dyDescent="0.25">
      <c r="A2205" s="33">
        <v>45103</v>
      </c>
      <c r="B2205" s="13">
        <v>26</v>
      </c>
      <c r="C2205" t="s">
        <v>3</v>
      </c>
      <c r="D2205" t="s">
        <v>4</v>
      </c>
      <c r="E2205" t="s">
        <v>21</v>
      </c>
      <c r="F2205" s="6">
        <v>201172306</v>
      </c>
      <c r="G2205" t="s">
        <v>970</v>
      </c>
      <c r="H2205" t="s">
        <v>268</v>
      </c>
      <c r="I2205">
        <v>0</v>
      </c>
      <c r="J2205">
        <v>0</v>
      </c>
      <c r="K2205">
        <v>0</v>
      </c>
      <c r="L2205">
        <v>0</v>
      </c>
      <c r="M2205">
        <v>0.23</v>
      </c>
      <c r="N2205" s="7" t="e">
        <f>VLOOKUP(F2205,HC!A$6:D$100,3,FALSE)</f>
        <v>#N/A</v>
      </c>
      <c r="O2205" s="7" t="str">
        <f>VLOOKUP(F2205,HC!A$6:D$1000,2,FALSE)</f>
        <v>cesarvae</v>
      </c>
      <c r="P2205" t="s">
        <v>661</v>
      </c>
      <c r="Q2205" s="7" t="s">
        <v>681</v>
      </c>
      <c r="U2205">
        <f t="shared" si="36"/>
        <v>17</v>
      </c>
    </row>
    <row r="2206" spans="1:21" ht="37.5" customHeight="1" x14ac:dyDescent="0.25">
      <c r="A2206" s="33">
        <v>45103</v>
      </c>
      <c r="B2206" s="13">
        <v>26</v>
      </c>
      <c r="C2206" t="s">
        <v>3</v>
      </c>
      <c r="D2206" t="s">
        <v>4</v>
      </c>
      <c r="E2206" t="s">
        <v>21</v>
      </c>
      <c r="F2206" s="6">
        <v>201354931</v>
      </c>
      <c r="G2206" t="s">
        <v>1071</v>
      </c>
      <c r="H2206" t="s">
        <v>253</v>
      </c>
      <c r="I2206">
        <v>0</v>
      </c>
      <c r="J2206">
        <v>0</v>
      </c>
      <c r="K2206">
        <v>0</v>
      </c>
      <c r="L2206">
        <v>0</v>
      </c>
      <c r="M2206">
        <v>0.44</v>
      </c>
      <c r="N2206" s="7" t="e">
        <f>VLOOKUP(F2206,HC!A$6:D$100,3,FALSE)</f>
        <v>#N/A</v>
      </c>
      <c r="O2206" s="7" t="e">
        <f>VLOOKUP(F2206,HC!A$6:D$1000,2,FALSE)</f>
        <v>#N/A</v>
      </c>
      <c r="P2206" t="s">
        <v>662</v>
      </c>
      <c r="Q2206" s="7" t="s">
        <v>691</v>
      </c>
      <c r="U2206">
        <f t="shared" si="36"/>
        <v>1395</v>
      </c>
    </row>
    <row r="2207" spans="1:21" ht="37.5" customHeight="1" x14ac:dyDescent="0.25">
      <c r="A2207" s="33">
        <v>45103</v>
      </c>
      <c r="B2207" s="13">
        <v>26</v>
      </c>
      <c r="C2207" t="s">
        <v>3</v>
      </c>
      <c r="D2207" t="s">
        <v>4</v>
      </c>
      <c r="E2207" t="s">
        <v>21</v>
      </c>
      <c r="F2207" s="6">
        <v>201355525</v>
      </c>
      <c r="G2207" t="s">
        <v>1003</v>
      </c>
      <c r="H2207" t="s">
        <v>403</v>
      </c>
      <c r="I2207">
        <v>0</v>
      </c>
      <c r="J2207">
        <v>0</v>
      </c>
      <c r="K2207">
        <v>0</v>
      </c>
      <c r="L2207">
        <v>0</v>
      </c>
      <c r="M2207">
        <v>1.35</v>
      </c>
      <c r="N2207" s="7" t="e">
        <f>VLOOKUP(F2207,HC!A$6:D$100,3,FALSE)</f>
        <v>#N/A</v>
      </c>
      <c r="O2207" s="7" t="e">
        <f>VLOOKUP(F2207,HC!A$6:D$1000,2,FALSE)</f>
        <v>#N/A</v>
      </c>
      <c r="P2207" t="s">
        <v>662</v>
      </c>
      <c r="Q2207" s="7" t="s">
        <v>691</v>
      </c>
      <c r="U2207">
        <f t="shared" si="36"/>
        <v>1395</v>
      </c>
    </row>
    <row r="2208" spans="1:21" ht="37.5" customHeight="1" x14ac:dyDescent="0.25">
      <c r="A2208" s="33">
        <v>45104</v>
      </c>
      <c r="B2208" s="13">
        <v>26</v>
      </c>
      <c r="C2208" t="s">
        <v>3</v>
      </c>
      <c r="D2208" t="s">
        <v>4</v>
      </c>
      <c r="E2208" t="s">
        <v>5</v>
      </c>
      <c r="F2208" s="6">
        <v>113014470</v>
      </c>
      <c r="G2208" t="s">
        <v>374</v>
      </c>
      <c r="H2208" t="s">
        <v>44</v>
      </c>
      <c r="I2208">
        <v>0</v>
      </c>
      <c r="J2208">
        <v>0</v>
      </c>
      <c r="K2208">
        <v>0</v>
      </c>
      <c r="L2208">
        <v>0</v>
      </c>
      <c r="M2208">
        <v>0.38</v>
      </c>
      <c r="N2208" s="7" t="e">
        <f>VLOOKUP(F2208,HC!A$6:D$100,3,FALSE)</f>
        <v>#N/A</v>
      </c>
      <c r="O2208" s="7" t="str">
        <f>VLOOKUP(F2208,HC!A$6:D$1000,2,FALSE)</f>
        <v>lupaguin</v>
      </c>
      <c r="P2208" t="s">
        <v>664</v>
      </c>
      <c r="Q2208" s="7" t="s">
        <v>710</v>
      </c>
      <c r="U2208">
        <f t="shared" si="36"/>
        <v>23</v>
      </c>
    </row>
    <row r="2209" spans="1:21" ht="37.5" customHeight="1" x14ac:dyDescent="0.25">
      <c r="A2209" s="33">
        <v>45104</v>
      </c>
      <c r="B2209" s="13">
        <v>26</v>
      </c>
      <c r="C2209" t="s">
        <v>3</v>
      </c>
      <c r="D2209" t="s">
        <v>4</v>
      </c>
      <c r="E2209" t="s">
        <v>5</v>
      </c>
      <c r="F2209" s="6">
        <v>200404250</v>
      </c>
      <c r="G2209" t="s">
        <v>51</v>
      </c>
      <c r="H2209" t="s">
        <v>298</v>
      </c>
      <c r="I2209">
        <v>0</v>
      </c>
      <c r="J2209">
        <v>0</v>
      </c>
      <c r="K2209">
        <v>0</v>
      </c>
      <c r="L2209">
        <v>0</v>
      </c>
      <c r="M2209">
        <v>0.42</v>
      </c>
      <c r="N2209" s="7" t="e">
        <f>VLOOKUP(F2209,HC!A$6:D$100,3,FALSE)</f>
        <v>#N/A</v>
      </c>
      <c r="O2209" s="7" t="str">
        <f>VLOOKUP(F2209,HC!A$6:D$1000,2,FALSE)</f>
        <v>xcathurt</v>
      </c>
      <c r="P2209" t="s">
        <v>662</v>
      </c>
      <c r="Q2209" s="7" t="s">
        <v>766</v>
      </c>
      <c r="U2209">
        <f t="shared" si="36"/>
        <v>124</v>
      </c>
    </row>
    <row r="2210" spans="1:21" ht="37.5" customHeight="1" x14ac:dyDescent="0.25">
      <c r="A2210" s="33">
        <v>45104</v>
      </c>
      <c r="B2210" s="13">
        <v>26</v>
      </c>
      <c r="C2210" t="s">
        <v>3</v>
      </c>
      <c r="D2210" t="s">
        <v>4</v>
      </c>
      <c r="E2210" t="s">
        <v>21</v>
      </c>
      <c r="F2210" s="6">
        <v>200564895</v>
      </c>
      <c r="G2210" t="s">
        <v>520</v>
      </c>
      <c r="H2210" t="s">
        <v>44</v>
      </c>
      <c r="I2210">
        <v>0</v>
      </c>
      <c r="J2210">
        <v>0</v>
      </c>
      <c r="K2210">
        <v>0</v>
      </c>
      <c r="L2210">
        <v>0</v>
      </c>
      <c r="M2210">
        <v>0.28000000000000003</v>
      </c>
      <c r="N2210" s="7" t="e">
        <f>VLOOKUP(F2210,HC!A$6:D$100,3,FALSE)</f>
        <v>#N/A</v>
      </c>
      <c r="O2210" s="7" t="str">
        <f>VLOOKUP(F2210,HC!A$6:D$1000,2,FALSE)</f>
        <v>hmendobr</v>
      </c>
      <c r="P2210" t="s">
        <v>663</v>
      </c>
      <c r="Q2210" s="7" t="s">
        <v>705</v>
      </c>
      <c r="U2210">
        <f t="shared" si="36"/>
        <v>16</v>
      </c>
    </row>
    <row r="2211" spans="1:21" ht="37.5" customHeight="1" x14ac:dyDescent="0.25">
      <c r="A2211" s="33">
        <v>45104</v>
      </c>
      <c r="B2211" s="13">
        <v>26</v>
      </c>
      <c r="C2211" t="s">
        <v>3</v>
      </c>
      <c r="D2211" t="s">
        <v>4</v>
      </c>
      <c r="E2211" t="s">
        <v>21</v>
      </c>
      <c r="F2211" s="6">
        <v>201320388</v>
      </c>
      <c r="G2211" t="s">
        <v>994</v>
      </c>
      <c r="H2211" t="s">
        <v>44</v>
      </c>
      <c r="I2211">
        <v>0</v>
      </c>
      <c r="J2211">
        <v>0</v>
      </c>
      <c r="K2211">
        <v>0</v>
      </c>
      <c r="L2211">
        <v>0</v>
      </c>
      <c r="M2211">
        <v>0.45</v>
      </c>
      <c r="N2211" s="7" t="e">
        <f>VLOOKUP(F2211,HC!A$6:D$100,3,FALSE)</f>
        <v>#N/A</v>
      </c>
      <c r="O2211" s="7" t="e">
        <f>VLOOKUP(F2211,HC!A$6:D$1000,2,FALSE)</f>
        <v>#N/A</v>
      </c>
      <c r="P2211" t="s">
        <v>664</v>
      </c>
      <c r="Q2211" s="7" t="s">
        <v>711</v>
      </c>
      <c r="U2211">
        <f t="shared" si="36"/>
        <v>1395</v>
      </c>
    </row>
    <row r="2212" spans="1:21" ht="37.5" customHeight="1" x14ac:dyDescent="0.25">
      <c r="A2212" s="33">
        <v>45104</v>
      </c>
      <c r="B2212" s="13">
        <v>26</v>
      </c>
      <c r="C2212" t="s">
        <v>3</v>
      </c>
      <c r="D2212" t="s">
        <v>4</v>
      </c>
      <c r="E2212" t="s">
        <v>21</v>
      </c>
      <c r="F2212" s="6">
        <v>201329529</v>
      </c>
      <c r="G2212" t="s">
        <v>1069</v>
      </c>
      <c r="H2212" t="s">
        <v>263</v>
      </c>
      <c r="I2212">
        <v>0</v>
      </c>
      <c r="J2212">
        <v>0</v>
      </c>
      <c r="K2212">
        <v>0</v>
      </c>
      <c r="L2212">
        <v>0</v>
      </c>
      <c r="M2212">
        <v>0.26</v>
      </c>
      <c r="N2212" s="7" t="e">
        <f>VLOOKUP(F2212,HC!A$6:D$100,3,FALSE)</f>
        <v>#N/A</v>
      </c>
      <c r="O2212" s="7" t="e">
        <f>VLOOKUP(F2212,HC!A$6:D$1000,2,FALSE)</f>
        <v>#N/A</v>
      </c>
      <c r="P2212" t="s">
        <v>664</v>
      </c>
      <c r="Q2212" s="7" t="s">
        <v>711</v>
      </c>
      <c r="U2212">
        <f t="shared" si="36"/>
        <v>1395</v>
      </c>
    </row>
    <row r="2213" spans="1:21" ht="37.5" customHeight="1" x14ac:dyDescent="0.25">
      <c r="A2213" s="33">
        <v>45104</v>
      </c>
      <c r="B2213" s="13">
        <v>26</v>
      </c>
      <c r="C2213" t="s">
        <v>3</v>
      </c>
      <c r="D2213" t="s">
        <v>4</v>
      </c>
      <c r="E2213" t="s">
        <v>21</v>
      </c>
      <c r="F2213" s="6">
        <v>201345774</v>
      </c>
      <c r="G2213" t="s">
        <v>1070</v>
      </c>
      <c r="H2213" t="s">
        <v>44</v>
      </c>
      <c r="I2213">
        <v>0</v>
      </c>
      <c r="J2213">
        <v>0</v>
      </c>
      <c r="K2213">
        <v>0</v>
      </c>
      <c r="L2213">
        <v>0</v>
      </c>
      <c r="M2213">
        <v>0.28999999999999998</v>
      </c>
      <c r="N2213" s="7" t="e">
        <f>VLOOKUP(F2213,HC!A$6:D$100,3,FALSE)</f>
        <v>#N/A</v>
      </c>
      <c r="O2213" s="7" t="str">
        <f>VLOOKUP(F2213,HC!A$6:D$1000,2,FALSE)</f>
        <v>jonquija</v>
      </c>
      <c r="P2213" t="s">
        <v>662</v>
      </c>
      <c r="Q2213" s="7" t="s">
        <v>757</v>
      </c>
      <c r="U2213">
        <f t="shared" si="36"/>
        <v>19</v>
      </c>
    </row>
    <row r="2214" spans="1:21" ht="37.5" customHeight="1" x14ac:dyDescent="0.25">
      <c r="A2214" s="33">
        <v>45105</v>
      </c>
      <c r="B2214" s="13">
        <v>26</v>
      </c>
      <c r="C2214" t="s">
        <v>3</v>
      </c>
      <c r="D2214" t="s">
        <v>4</v>
      </c>
      <c r="E2214" t="s">
        <v>5</v>
      </c>
      <c r="F2214" s="6">
        <v>112912663</v>
      </c>
      <c r="G2214" t="s">
        <v>8</v>
      </c>
      <c r="H2214" t="s">
        <v>403</v>
      </c>
      <c r="I2214">
        <v>0</v>
      </c>
      <c r="J2214">
        <v>0</v>
      </c>
      <c r="K2214">
        <v>0</v>
      </c>
      <c r="L2214">
        <v>0</v>
      </c>
      <c r="M2214">
        <v>0.74</v>
      </c>
      <c r="N2214" s="7" t="e">
        <f>VLOOKUP(F2214,HC!A$6:D$100,3,FALSE)</f>
        <v>#N/A</v>
      </c>
      <c r="O2214" s="7" t="e">
        <f>VLOOKUP(F2214,HC!A$6:D$1000,2,FALSE)</f>
        <v>#N/A</v>
      </c>
      <c r="P2214" t="s">
        <v>664</v>
      </c>
      <c r="Q2214" s="7" t="s">
        <v>708</v>
      </c>
      <c r="U2214">
        <f t="shared" si="36"/>
        <v>1395</v>
      </c>
    </row>
    <row r="2215" spans="1:21" ht="37.5" customHeight="1" x14ac:dyDescent="0.25">
      <c r="A2215" s="33">
        <v>45105</v>
      </c>
      <c r="B2215" s="13">
        <v>26</v>
      </c>
      <c r="C2215" t="s">
        <v>3</v>
      </c>
      <c r="D2215" t="s">
        <v>4</v>
      </c>
      <c r="E2215" t="s">
        <v>5</v>
      </c>
      <c r="F2215" s="6">
        <v>112980847</v>
      </c>
      <c r="G2215" t="s">
        <v>524</v>
      </c>
      <c r="H2215" t="s">
        <v>268</v>
      </c>
      <c r="I2215">
        <v>0</v>
      </c>
      <c r="J2215">
        <v>0</v>
      </c>
      <c r="K2215">
        <v>0</v>
      </c>
      <c r="L2215">
        <v>0</v>
      </c>
      <c r="M2215">
        <v>1.08</v>
      </c>
      <c r="N2215" s="7" t="e">
        <f>VLOOKUP(F2215,HC!A$6:D$100,3,FALSE)</f>
        <v>#N/A</v>
      </c>
      <c r="O2215" s="7" t="e">
        <f>VLOOKUP(F2215,HC!A$6:D$1000,2,FALSE)</f>
        <v>#N/A</v>
      </c>
      <c r="P2215" t="s">
        <v>670</v>
      </c>
      <c r="Q2215" s="7" t="s">
        <v>746</v>
      </c>
      <c r="R2215" t="s">
        <v>1145</v>
      </c>
      <c r="U2215">
        <f t="shared" si="36"/>
        <v>1395</v>
      </c>
    </row>
    <row r="2216" spans="1:21" ht="37.5" customHeight="1" x14ac:dyDescent="0.25">
      <c r="A2216" s="33">
        <v>45105</v>
      </c>
      <c r="B2216" s="13">
        <v>26</v>
      </c>
      <c r="C2216" t="s">
        <v>3</v>
      </c>
      <c r="D2216" t="s">
        <v>4</v>
      </c>
      <c r="E2216" t="s">
        <v>5</v>
      </c>
      <c r="F2216" s="6">
        <v>113101453</v>
      </c>
      <c r="G2216" t="s">
        <v>50</v>
      </c>
      <c r="H2216" t="s">
        <v>44</v>
      </c>
      <c r="I2216">
        <v>0</v>
      </c>
      <c r="J2216">
        <v>0</v>
      </c>
      <c r="K2216">
        <v>0</v>
      </c>
      <c r="L2216">
        <v>0</v>
      </c>
      <c r="M2216">
        <v>7.0000000000000007E-2</v>
      </c>
      <c r="N2216" s="7" t="e">
        <f>VLOOKUP(F2216,HC!A$6:D$100,3,FALSE)</f>
        <v>#N/A</v>
      </c>
      <c r="O2216" s="7" t="str">
        <f>VLOOKUP(F2216,HC!A$6:D$1000,2,FALSE)</f>
        <v>qisgeova</v>
      </c>
      <c r="P2216" t="s">
        <v>664</v>
      </c>
      <c r="Q2216" s="7" t="s">
        <v>711</v>
      </c>
      <c r="U2216">
        <f t="shared" si="36"/>
        <v>57</v>
      </c>
    </row>
    <row r="2217" spans="1:21" ht="37.5" customHeight="1" x14ac:dyDescent="0.25">
      <c r="A2217" s="33">
        <v>45105</v>
      </c>
      <c r="B2217" s="13">
        <v>26</v>
      </c>
      <c r="C2217" t="s">
        <v>3</v>
      </c>
      <c r="D2217" t="s">
        <v>4</v>
      </c>
      <c r="E2217" t="s">
        <v>5</v>
      </c>
      <c r="F2217" s="6">
        <v>113138338</v>
      </c>
      <c r="G2217" t="s">
        <v>398</v>
      </c>
      <c r="H2217" t="s">
        <v>282</v>
      </c>
      <c r="I2217">
        <v>0</v>
      </c>
      <c r="J2217">
        <v>0</v>
      </c>
      <c r="K2217">
        <v>0</v>
      </c>
      <c r="L2217">
        <v>0</v>
      </c>
      <c r="M2217">
        <v>2.12</v>
      </c>
      <c r="N2217" s="7" t="e">
        <f>VLOOKUP(F2217,HC!A$6:D$100,3,FALSE)</f>
        <v>#N/A</v>
      </c>
      <c r="O2217" s="7" t="str">
        <f>VLOOKUP(F2217,HC!A$6:D$1000,2,FALSE)</f>
        <v>cescornh</v>
      </c>
      <c r="P2217" t="s">
        <v>664</v>
      </c>
      <c r="Q2217" s="7" t="s">
        <v>708</v>
      </c>
      <c r="R2217" t="s">
        <v>1146</v>
      </c>
      <c r="U2217">
        <f t="shared" si="36"/>
        <v>10</v>
      </c>
    </row>
    <row r="2218" spans="1:21" ht="37.5" customHeight="1" x14ac:dyDescent="0.25">
      <c r="A2218" s="33">
        <v>45105</v>
      </c>
      <c r="B2218" s="13">
        <v>26</v>
      </c>
      <c r="C2218" t="s">
        <v>3</v>
      </c>
      <c r="D2218" t="s">
        <v>4</v>
      </c>
      <c r="E2218" t="s">
        <v>21</v>
      </c>
      <c r="F2218" s="6">
        <v>200615883</v>
      </c>
      <c r="G2218" t="s">
        <v>508</v>
      </c>
      <c r="H2218" t="s">
        <v>47</v>
      </c>
      <c r="I2218">
        <v>0</v>
      </c>
      <c r="J2218">
        <v>0</v>
      </c>
      <c r="K2218">
        <v>0</v>
      </c>
      <c r="L2218">
        <v>0</v>
      </c>
      <c r="M2218">
        <v>0.12</v>
      </c>
      <c r="N2218" s="7" t="e">
        <f>VLOOKUP(F2218,HC!A$6:D$100,3,FALSE)</f>
        <v>#N/A</v>
      </c>
      <c r="O2218" s="7" t="e">
        <f>VLOOKUP(F2218,HC!A$6:D$1000,2,FALSE)</f>
        <v>#N/A</v>
      </c>
      <c r="P2218" t="s">
        <v>661</v>
      </c>
      <c r="Q2218" s="7" t="s">
        <v>681</v>
      </c>
      <c r="U2218">
        <f t="shared" si="36"/>
        <v>1395</v>
      </c>
    </row>
    <row r="2219" spans="1:21" ht="37.5" customHeight="1" x14ac:dyDescent="0.25">
      <c r="A2219" s="33">
        <v>45105</v>
      </c>
      <c r="B2219" s="13">
        <v>26</v>
      </c>
      <c r="C2219" t="s">
        <v>3</v>
      </c>
      <c r="D2219" t="s">
        <v>4</v>
      </c>
      <c r="E2219" t="s">
        <v>21</v>
      </c>
      <c r="F2219" s="6">
        <v>201201993</v>
      </c>
      <c r="G2219" t="s">
        <v>964</v>
      </c>
      <c r="H2219" t="s">
        <v>1040</v>
      </c>
      <c r="I2219">
        <v>0</v>
      </c>
      <c r="J2219">
        <v>0</v>
      </c>
      <c r="K2219">
        <v>0</v>
      </c>
      <c r="L2219">
        <v>0</v>
      </c>
      <c r="M2219">
        <v>0.53</v>
      </c>
      <c r="N2219" s="7" t="e">
        <f>VLOOKUP(F2219,HC!A$6:D$100,3,FALSE)</f>
        <v>#N/A</v>
      </c>
      <c r="O2219" s="7" t="e">
        <f>VLOOKUP(F2219,HC!A$6:D$1000,2,FALSE)</f>
        <v>#N/A</v>
      </c>
      <c r="P2219" t="s">
        <v>661</v>
      </c>
      <c r="Q2219" s="7" t="s">
        <v>681</v>
      </c>
      <c r="U2219">
        <f t="shared" si="36"/>
        <v>1395</v>
      </c>
    </row>
    <row r="2220" spans="1:21" ht="37.5" customHeight="1" x14ac:dyDescent="0.25">
      <c r="A2220" s="33">
        <v>45106</v>
      </c>
      <c r="B2220" s="13">
        <v>26</v>
      </c>
      <c r="C2220" t="s">
        <v>3</v>
      </c>
      <c r="D2220" t="s">
        <v>4</v>
      </c>
      <c r="E2220" t="s">
        <v>21</v>
      </c>
      <c r="F2220" s="6">
        <v>112912747</v>
      </c>
      <c r="G2220" t="s">
        <v>995</v>
      </c>
      <c r="H2220" t="s">
        <v>263</v>
      </c>
      <c r="I2220">
        <v>0</v>
      </c>
      <c r="J2220">
        <v>0</v>
      </c>
      <c r="K2220">
        <v>0</v>
      </c>
      <c r="L2220">
        <v>0</v>
      </c>
      <c r="M2220">
        <v>0.28999999999999998</v>
      </c>
      <c r="N2220" s="7" t="e">
        <f>VLOOKUP(F2220,HC!A$6:D$100,3,FALSE)</f>
        <v>#N/A</v>
      </c>
      <c r="O2220" s="7" t="e">
        <f>VLOOKUP(F2220,HC!A$6:D$1000,2,FALSE)</f>
        <v>#N/A</v>
      </c>
      <c r="P2220" t="s">
        <v>664</v>
      </c>
      <c r="Q2220" s="7" t="s">
        <v>710</v>
      </c>
      <c r="U2220">
        <f t="shared" si="36"/>
        <v>1395</v>
      </c>
    </row>
    <row r="2221" spans="1:21" ht="37.5" customHeight="1" x14ac:dyDescent="0.25">
      <c r="A2221" s="33">
        <v>45106</v>
      </c>
      <c r="B2221" s="13">
        <v>26</v>
      </c>
      <c r="C2221" t="s">
        <v>3</v>
      </c>
      <c r="D2221" t="s">
        <v>4</v>
      </c>
      <c r="E2221" t="s">
        <v>5</v>
      </c>
      <c r="F2221" s="6">
        <v>112971962</v>
      </c>
      <c r="G2221" t="s">
        <v>338</v>
      </c>
      <c r="H2221" t="s">
        <v>17</v>
      </c>
      <c r="I2221">
        <v>0</v>
      </c>
      <c r="J2221">
        <v>0</v>
      </c>
      <c r="K2221">
        <v>0</v>
      </c>
      <c r="L2221">
        <v>0</v>
      </c>
      <c r="M2221">
        <v>0.18</v>
      </c>
      <c r="N2221" s="7" t="str">
        <f>VLOOKUP(F2221,HC!A$6:D$100,3,FALSE)</f>
        <v>DB-X0700</v>
      </c>
      <c r="O2221" s="7" t="str">
        <f>VLOOKUP(F2221,HC!A$6:D$1000,2,FALSE)</f>
        <v>creyesal</v>
      </c>
      <c r="P2221" t="s">
        <v>675</v>
      </c>
      <c r="Q2221" s="7"/>
      <c r="U2221">
        <f t="shared" si="36"/>
        <v>38</v>
      </c>
    </row>
    <row r="2222" spans="1:21" ht="37.5" customHeight="1" x14ac:dyDescent="0.25">
      <c r="A2222" s="33">
        <v>45106</v>
      </c>
      <c r="B2222" s="13">
        <v>26</v>
      </c>
      <c r="C2222" t="s">
        <v>3</v>
      </c>
      <c r="D2222" t="s">
        <v>4</v>
      </c>
      <c r="E2222" t="s">
        <v>5</v>
      </c>
      <c r="F2222" s="6">
        <v>112971980</v>
      </c>
      <c r="G2222" t="s">
        <v>445</v>
      </c>
      <c r="H2222" t="s">
        <v>282</v>
      </c>
      <c r="I2222">
        <v>0</v>
      </c>
      <c r="J2222">
        <v>0</v>
      </c>
      <c r="K2222">
        <v>0</v>
      </c>
      <c r="L2222">
        <v>0</v>
      </c>
      <c r="M2222">
        <v>0.31</v>
      </c>
      <c r="N2222" s="7" t="str">
        <f>VLOOKUP(F2222,HC!A$6:D$100,3,FALSE)</f>
        <v>DC-X0700</v>
      </c>
      <c r="O2222" s="7" t="str">
        <f>VLOOKUP(F2222,HC!A$6:D$1000,2,FALSE)</f>
        <v>cdanirom</v>
      </c>
      <c r="Q2222" s="7"/>
      <c r="U2222">
        <f t="shared" si="36"/>
        <v>25</v>
      </c>
    </row>
    <row r="2223" spans="1:21" ht="37.5" customHeight="1" x14ac:dyDescent="0.25">
      <c r="A2223" s="33">
        <v>45106</v>
      </c>
      <c r="B2223" s="13">
        <v>26</v>
      </c>
      <c r="C2223" t="s">
        <v>3</v>
      </c>
      <c r="D2223" t="s">
        <v>4</v>
      </c>
      <c r="E2223" t="s">
        <v>5</v>
      </c>
      <c r="F2223" s="6">
        <v>112973049</v>
      </c>
      <c r="G2223" t="s">
        <v>314</v>
      </c>
      <c r="H2223" t="s">
        <v>7</v>
      </c>
      <c r="I2223">
        <v>0</v>
      </c>
      <c r="J2223">
        <v>0</v>
      </c>
      <c r="K2223">
        <v>0</v>
      </c>
      <c r="L2223">
        <v>0</v>
      </c>
      <c r="M2223">
        <v>0.65</v>
      </c>
      <c r="N2223" s="7" t="str">
        <f>VLOOKUP(F2223,HC!A$6:D$100,3,FALSE)</f>
        <v>DB-X0700</v>
      </c>
      <c r="O2223" s="7" t="str">
        <f>VLOOKUP(F2223,HC!A$6:D$1000,2,FALSE)</f>
        <v>afatimae</v>
      </c>
      <c r="P2223" t="s">
        <v>664</v>
      </c>
      <c r="Q2223" s="7" t="s">
        <v>708</v>
      </c>
      <c r="U2223">
        <f t="shared" si="36"/>
        <v>29</v>
      </c>
    </row>
    <row r="2224" spans="1:21" ht="37.5" customHeight="1" x14ac:dyDescent="0.25">
      <c r="A2224" s="33">
        <v>45106</v>
      </c>
      <c r="B2224" s="13">
        <v>26</v>
      </c>
      <c r="C2224" t="s">
        <v>3</v>
      </c>
      <c r="D2224" t="s">
        <v>4</v>
      </c>
      <c r="E2224" t="s">
        <v>5</v>
      </c>
      <c r="F2224" s="6">
        <v>112981061</v>
      </c>
      <c r="G2224" t="s">
        <v>264</v>
      </c>
      <c r="H2224" t="s">
        <v>44</v>
      </c>
      <c r="I2224">
        <v>0</v>
      </c>
      <c r="J2224">
        <v>0</v>
      </c>
      <c r="K2224">
        <v>0</v>
      </c>
      <c r="L2224">
        <v>0</v>
      </c>
      <c r="M2224">
        <v>0.11</v>
      </c>
      <c r="N2224" s="7" t="str">
        <f>VLOOKUP(F2224,HC!A$6:D$100,3,FALSE)</f>
        <v>DA-X0700</v>
      </c>
      <c r="O2224" s="7" t="str">
        <f>VLOOKUP(F2224,HC!A$6:D$1000,2,FALSE)</f>
        <v>mclaudol</v>
      </c>
      <c r="P2224" t="s">
        <v>664</v>
      </c>
      <c r="Q2224" s="7" t="s">
        <v>711</v>
      </c>
      <c r="U2224">
        <f t="shared" si="36"/>
        <v>44</v>
      </c>
    </row>
    <row r="2225" spans="1:21" ht="37.5" customHeight="1" x14ac:dyDescent="0.25">
      <c r="A2225" s="33">
        <v>45106</v>
      </c>
      <c r="B2225" s="13">
        <v>26</v>
      </c>
      <c r="C2225" t="s">
        <v>3</v>
      </c>
      <c r="D2225" t="s">
        <v>4</v>
      </c>
      <c r="E2225" t="s">
        <v>5</v>
      </c>
      <c r="F2225" s="6">
        <v>113020476</v>
      </c>
      <c r="G2225" t="s">
        <v>330</v>
      </c>
      <c r="H2225" t="s">
        <v>7</v>
      </c>
      <c r="I2225">
        <v>0</v>
      </c>
      <c r="J2225">
        <v>0</v>
      </c>
      <c r="K2225">
        <v>0</v>
      </c>
      <c r="L2225">
        <v>0</v>
      </c>
      <c r="M2225">
        <v>0.16</v>
      </c>
      <c r="N2225" s="7" t="e">
        <f>VLOOKUP(F2225,HC!A$6:D$100,3,FALSE)</f>
        <v>#N/A</v>
      </c>
      <c r="O2225" s="7" t="str">
        <f>VLOOKUP(F2225,HC!A$6:D$1000,2,FALSE)</f>
        <v>polettpu</v>
      </c>
      <c r="P2225" t="s">
        <v>675</v>
      </c>
      <c r="Q2225" s="7"/>
      <c r="U2225">
        <f t="shared" si="36"/>
        <v>55</v>
      </c>
    </row>
    <row r="2226" spans="1:21" ht="37.5" customHeight="1" x14ac:dyDescent="0.25">
      <c r="A2226" s="33">
        <v>45106</v>
      </c>
      <c r="B2226" s="13">
        <v>26</v>
      </c>
      <c r="C2226" t="s">
        <v>3</v>
      </c>
      <c r="D2226" t="s">
        <v>4</v>
      </c>
      <c r="E2226" t="s">
        <v>5</v>
      </c>
      <c r="F2226" s="6">
        <v>113101453</v>
      </c>
      <c r="G2226" t="s">
        <v>50</v>
      </c>
      <c r="H2226" t="s">
        <v>44</v>
      </c>
      <c r="I2226">
        <v>0</v>
      </c>
      <c r="J2226">
        <v>0</v>
      </c>
      <c r="K2226">
        <v>0</v>
      </c>
      <c r="L2226">
        <v>0</v>
      </c>
      <c r="M2226">
        <v>0.14000000000000001</v>
      </c>
      <c r="N2226" s="7" t="e">
        <f>VLOOKUP(F2226,HC!A$6:D$100,3,FALSE)</f>
        <v>#N/A</v>
      </c>
      <c r="O2226" s="7" t="str">
        <f>VLOOKUP(F2226,HC!A$6:D$1000,2,FALSE)</f>
        <v>qisgeova</v>
      </c>
      <c r="P2226" t="s">
        <v>664</v>
      </c>
      <c r="Q2226" s="7" t="s">
        <v>708</v>
      </c>
      <c r="U2226">
        <f t="shared" si="36"/>
        <v>57</v>
      </c>
    </row>
    <row r="2227" spans="1:21" ht="37.5" customHeight="1" x14ac:dyDescent="0.25">
      <c r="A2227" s="33">
        <v>45106</v>
      </c>
      <c r="B2227" s="13">
        <v>26</v>
      </c>
      <c r="C2227" t="s">
        <v>3</v>
      </c>
      <c r="D2227" t="s">
        <v>4</v>
      </c>
      <c r="E2227" t="s">
        <v>5</v>
      </c>
      <c r="F2227" s="6">
        <v>113138338</v>
      </c>
      <c r="G2227" t="s">
        <v>398</v>
      </c>
      <c r="H2227" t="s">
        <v>282</v>
      </c>
      <c r="I2227">
        <v>0</v>
      </c>
      <c r="J2227">
        <v>0</v>
      </c>
      <c r="K2227">
        <v>0</v>
      </c>
      <c r="L2227">
        <v>0</v>
      </c>
      <c r="M2227">
        <v>1.58</v>
      </c>
      <c r="N2227" s="7" t="e">
        <f>VLOOKUP(F2227,HC!A$6:D$100,3,FALSE)</f>
        <v>#N/A</v>
      </c>
      <c r="O2227" s="7" t="str">
        <f>VLOOKUP(F2227,HC!A$6:D$1000,2,FALSE)</f>
        <v>cescornh</v>
      </c>
      <c r="Q2227" s="7"/>
      <c r="U2227">
        <f t="shared" si="36"/>
        <v>10</v>
      </c>
    </row>
    <row r="2228" spans="1:21" ht="37.5" customHeight="1" x14ac:dyDescent="0.25">
      <c r="A2228" s="33">
        <v>45106</v>
      </c>
      <c r="B2228" s="13">
        <v>26</v>
      </c>
      <c r="C2228" t="s">
        <v>3</v>
      </c>
      <c r="D2228" t="s">
        <v>4</v>
      </c>
      <c r="E2228" t="s">
        <v>21</v>
      </c>
      <c r="F2228" s="6">
        <v>201211157</v>
      </c>
      <c r="G2228" t="s">
        <v>936</v>
      </c>
      <c r="H2228" t="s">
        <v>459</v>
      </c>
      <c r="I2228">
        <v>0</v>
      </c>
      <c r="J2228">
        <v>0</v>
      </c>
      <c r="K2228">
        <v>0</v>
      </c>
      <c r="L2228">
        <v>0</v>
      </c>
      <c r="M2228">
        <v>0.73</v>
      </c>
      <c r="N2228" s="7" t="e">
        <f>VLOOKUP(F2228,HC!A$6:D$100,3,FALSE)</f>
        <v>#N/A</v>
      </c>
      <c r="O2228" s="7" t="str">
        <f>VLOOKUP(F2228,HC!A$6:D$1000,2,FALSE)</f>
        <v>vargajed</v>
      </c>
      <c r="P2228" t="s">
        <v>670</v>
      </c>
      <c r="Q2228" s="7" t="s">
        <v>748</v>
      </c>
      <c r="U2228">
        <f t="shared" si="36"/>
        <v>17</v>
      </c>
    </row>
    <row r="2229" spans="1:21" ht="37.5" customHeight="1" x14ac:dyDescent="0.25">
      <c r="A2229" s="33">
        <v>45106</v>
      </c>
      <c r="B2229" s="13">
        <v>26</v>
      </c>
      <c r="C2229" t="s">
        <v>3</v>
      </c>
      <c r="D2229" t="s">
        <v>4</v>
      </c>
      <c r="E2229" t="s">
        <v>21</v>
      </c>
      <c r="F2229" s="6">
        <v>201377831</v>
      </c>
      <c r="G2229" t="s">
        <v>1135</v>
      </c>
      <c r="H2229" t="s">
        <v>7</v>
      </c>
      <c r="I2229">
        <v>0</v>
      </c>
      <c r="J2229">
        <v>0</v>
      </c>
      <c r="K2229">
        <v>0</v>
      </c>
      <c r="L2229">
        <v>0</v>
      </c>
      <c r="M2229">
        <v>0.28999999999999998</v>
      </c>
      <c r="N2229" s="7" t="e">
        <f>VLOOKUP(F2229,HC!A$6:D$100,3,FALSE)</f>
        <v>#N/A</v>
      </c>
      <c r="O2229" s="7" t="e">
        <f>VLOOKUP(F2229,HC!A$6:D$1000,2,FALSE)</f>
        <v>#N/A</v>
      </c>
      <c r="Q2229" s="7"/>
      <c r="U2229">
        <f t="shared" si="36"/>
        <v>1395</v>
      </c>
    </row>
    <row r="2230" spans="1:21" ht="37.5" customHeight="1" x14ac:dyDescent="0.25">
      <c r="A2230" s="33">
        <v>45106</v>
      </c>
      <c r="B2230" s="13">
        <v>26</v>
      </c>
      <c r="C2230" t="s">
        <v>3</v>
      </c>
      <c r="D2230" t="s">
        <v>4</v>
      </c>
      <c r="E2230" t="s">
        <v>21</v>
      </c>
      <c r="F2230" s="6">
        <v>201403462</v>
      </c>
      <c r="G2230" t="s">
        <v>1054</v>
      </c>
      <c r="H2230" t="s">
        <v>49</v>
      </c>
      <c r="I2230">
        <v>0</v>
      </c>
      <c r="J2230">
        <v>0</v>
      </c>
      <c r="K2230">
        <v>0</v>
      </c>
      <c r="L2230">
        <v>0</v>
      </c>
      <c r="M2230">
        <v>1.25</v>
      </c>
      <c r="N2230" s="7" t="e">
        <f>VLOOKUP(F2230,HC!A$6:D$100,3,FALSE)</f>
        <v>#N/A</v>
      </c>
      <c r="O2230" s="7" t="str">
        <f>VLOOKUP(F2230,HC!A$6:D$1000,2,FALSE)</f>
        <v>valdojoe</v>
      </c>
      <c r="P2230" t="s">
        <v>662</v>
      </c>
      <c r="Q2230" s="7" t="s">
        <v>688</v>
      </c>
      <c r="U2230">
        <f t="shared" si="36"/>
        <v>22</v>
      </c>
    </row>
    <row r="2231" spans="1:21" ht="37.5" customHeight="1" x14ac:dyDescent="0.25">
      <c r="A2231" s="33">
        <v>45106</v>
      </c>
      <c r="B2231" s="13">
        <v>26</v>
      </c>
      <c r="C2231" t="s">
        <v>3</v>
      </c>
      <c r="D2231" t="s">
        <v>4</v>
      </c>
      <c r="E2231" t="s">
        <v>21</v>
      </c>
      <c r="F2231" s="6">
        <v>201409070</v>
      </c>
      <c r="G2231" t="s">
        <v>1078</v>
      </c>
      <c r="H2231" t="s">
        <v>47</v>
      </c>
      <c r="I2231">
        <v>0</v>
      </c>
      <c r="J2231">
        <v>0</v>
      </c>
      <c r="K2231">
        <v>0</v>
      </c>
      <c r="L2231">
        <v>0</v>
      </c>
      <c r="M2231">
        <v>0.26</v>
      </c>
      <c r="N2231" s="7" t="e">
        <f>VLOOKUP(F2231,HC!A$6:D$100,3,FALSE)</f>
        <v>#N/A</v>
      </c>
      <c r="O2231" s="7" t="e">
        <f>VLOOKUP(F2231,HC!A$6:D$1000,2,FALSE)</f>
        <v>#N/A</v>
      </c>
      <c r="Q2231" s="7"/>
      <c r="U2231">
        <f t="shared" si="36"/>
        <v>1395</v>
      </c>
    </row>
    <row r="2232" spans="1:21" ht="37.5" customHeight="1" x14ac:dyDescent="0.25">
      <c r="A2232" s="33">
        <v>45107</v>
      </c>
      <c r="B2232" s="13">
        <v>26</v>
      </c>
      <c r="C2232" t="s">
        <v>3</v>
      </c>
      <c r="D2232" t="s">
        <v>4</v>
      </c>
      <c r="E2232" t="s">
        <v>5</v>
      </c>
      <c r="F2232" s="6">
        <v>112951256</v>
      </c>
      <c r="G2232" t="s">
        <v>337</v>
      </c>
      <c r="H2232" t="s">
        <v>282</v>
      </c>
      <c r="I2232">
        <v>0</v>
      </c>
      <c r="J2232">
        <v>0</v>
      </c>
      <c r="K2232">
        <v>0</v>
      </c>
      <c r="L2232">
        <v>0</v>
      </c>
      <c r="M2232">
        <v>0.24</v>
      </c>
      <c r="N2232" s="7" t="str">
        <f>VLOOKUP(F2232,HC!A$6:D$100,3,FALSE)</f>
        <v>DA-X0700</v>
      </c>
      <c r="O2232" s="7" t="str">
        <f>VLOOKUP(F2232,HC!A$6:D$1000,2,FALSE)</f>
        <v>grkatery</v>
      </c>
      <c r="P2232" t="s">
        <v>666</v>
      </c>
      <c r="Q2232" s="7" t="s">
        <v>774</v>
      </c>
      <c r="U2232">
        <f t="shared" si="36"/>
        <v>17</v>
      </c>
    </row>
    <row r="2233" spans="1:21" ht="37.5" customHeight="1" x14ac:dyDescent="0.25">
      <c r="A2233" s="33">
        <v>45107</v>
      </c>
      <c r="B2233" s="13">
        <v>26</v>
      </c>
      <c r="C2233" t="s">
        <v>3</v>
      </c>
      <c r="D2233" t="s">
        <v>4</v>
      </c>
      <c r="E2233" t="s">
        <v>5</v>
      </c>
      <c r="F2233" s="6">
        <v>112971953</v>
      </c>
      <c r="G2233" t="s">
        <v>262</v>
      </c>
      <c r="H2233" t="s">
        <v>282</v>
      </c>
      <c r="I2233">
        <v>0</v>
      </c>
      <c r="J2233">
        <v>0</v>
      </c>
      <c r="K2233">
        <v>0</v>
      </c>
      <c r="L2233">
        <v>0</v>
      </c>
      <c r="M2233">
        <v>1.35</v>
      </c>
      <c r="N2233" s="7" t="str">
        <f>VLOOKUP(F2233,HC!A$6:D$100,3,FALSE)</f>
        <v>DB-X0700</v>
      </c>
      <c r="O2233" s="7" t="str">
        <f>VLOOKUP(F2233,HC!A$6:D$1000,2,FALSE)</f>
        <v>anzpalom</v>
      </c>
      <c r="P2233" t="s">
        <v>664</v>
      </c>
      <c r="Q2233" s="7" t="s">
        <v>712</v>
      </c>
      <c r="U2233">
        <f t="shared" si="36"/>
        <v>14</v>
      </c>
    </row>
    <row r="2234" spans="1:21" ht="37.5" customHeight="1" x14ac:dyDescent="0.25">
      <c r="A2234" s="33">
        <v>45107</v>
      </c>
      <c r="B2234" s="13">
        <v>26</v>
      </c>
      <c r="C2234" t="s">
        <v>3</v>
      </c>
      <c r="D2234" t="s">
        <v>4</v>
      </c>
      <c r="E2234" t="s">
        <v>5</v>
      </c>
      <c r="F2234" s="6">
        <v>112971980</v>
      </c>
      <c r="G2234" t="s">
        <v>445</v>
      </c>
      <c r="H2234" t="s">
        <v>282</v>
      </c>
      <c r="I2234">
        <v>0</v>
      </c>
      <c r="J2234">
        <v>0</v>
      </c>
      <c r="K2234">
        <v>0</v>
      </c>
      <c r="L2234">
        <v>0</v>
      </c>
      <c r="M2234">
        <v>0.59</v>
      </c>
      <c r="N2234" s="7" t="str">
        <f>VLOOKUP(F2234,HC!A$6:D$100,3,FALSE)</f>
        <v>DC-X0700</v>
      </c>
      <c r="O2234" s="7" t="str">
        <f>VLOOKUP(F2234,HC!A$6:D$1000,2,FALSE)</f>
        <v>cdanirom</v>
      </c>
      <c r="P2234" t="s">
        <v>666</v>
      </c>
      <c r="Q2234" s="7" t="s">
        <v>774</v>
      </c>
      <c r="U2234">
        <f t="shared" si="36"/>
        <v>25</v>
      </c>
    </row>
    <row r="2235" spans="1:21" ht="37.5" customHeight="1" x14ac:dyDescent="0.25">
      <c r="A2235" s="33">
        <v>45107</v>
      </c>
      <c r="B2235" s="13">
        <v>26</v>
      </c>
      <c r="C2235" t="s">
        <v>3</v>
      </c>
      <c r="D2235" t="s">
        <v>4</v>
      </c>
      <c r="E2235" t="s">
        <v>5</v>
      </c>
      <c r="F2235" s="6">
        <v>112973049</v>
      </c>
      <c r="G2235" t="s">
        <v>314</v>
      </c>
      <c r="H2235" t="s">
        <v>7</v>
      </c>
      <c r="I2235">
        <v>0</v>
      </c>
      <c r="J2235">
        <v>0</v>
      </c>
      <c r="K2235">
        <v>0</v>
      </c>
      <c r="L2235">
        <v>0</v>
      </c>
      <c r="M2235">
        <v>0.46</v>
      </c>
      <c r="N2235" s="7" t="str">
        <f>VLOOKUP(F2235,HC!A$6:D$100,3,FALSE)</f>
        <v>DB-X0700</v>
      </c>
      <c r="O2235" s="7" t="str">
        <f>VLOOKUP(F2235,HC!A$6:D$1000,2,FALSE)</f>
        <v>afatimae</v>
      </c>
      <c r="P2235" t="s">
        <v>664</v>
      </c>
      <c r="Q2235" s="7" t="s">
        <v>762</v>
      </c>
      <c r="U2235">
        <f t="shared" si="36"/>
        <v>29</v>
      </c>
    </row>
    <row r="2236" spans="1:21" ht="37.5" customHeight="1" x14ac:dyDescent="0.25">
      <c r="A2236" s="33">
        <v>45107</v>
      </c>
      <c r="B2236" s="13">
        <v>26</v>
      </c>
      <c r="C2236" t="s">
        <v>3</v>
      </c>
      <c r="D2236" t="s">
        <v>4</v>
      </c>
      <c r="E2236" t="s">
        <v>5</v>
      </c>
      <c r="F2236" s="6">
        <v>113003510</v>
      </c>
      <c r="G2236" t="s">
        <v>913</v>
      </c>
      <c r="H2236" t="s">
        <v>47</v>
      </c>
      <c r="I2236">
        <v>0</v>
      </c>
      <c r="J2236">
        <v>0</v>
      </c>
      <c r="K2236">
        <v>0</v>
      </c>
      <c r="L2236">
        <v>0</v>
      </c>
      <c r="M2236">
        <v>0.09</v>
      </c>
      <c r="N2236" s="7" t="e">
        <f>VLOOKUP(F2236,HC!A$6:D$100,3,FALSE)</f>
        <v>#N/A</v>
      </c>
      <c r="O2236" s="7" t="str">
        <f>VLOOKUP(F2236,HC!A$6:D$1000,2,FALSE)</f>
        <v>nperezmc</v>
      </c>
      <c r="P2236" t="s">
        <v>661</v>
      </c>
      <c r="Q2236" s="7" t="s">
        <v>681</v>
      </c>
      <c r="U2236">
        <f t="shared" si="36"/>
        <v>12</v>
      </c>
    </row>
    <row r="2237" spans="1:21" ht="37.5" customHeight="1" x14ac:dyDescent="0.25">
      <c r="A2237" s="33">
        <v>45107</v>
      </c>
      <c r="B2237" s="13">
        <v>26</v>
      </c>
      <c r="C2237" t="s">
        <v>3</v>
      </c>
      <c r="D2237" t="s">
        <v>4</v>
      </c>
      <c r="E2237" t="s">
        <v>5</v>
      </c>
      <c r="F2237" s="6">
        <v>113020476</v>
      </c>
      <c r="G2237" t="s">
        <v>330</v>
      </c>
      <c r="H2237" t="s">
        <v>7</v>
      </c>
      <c r="I2237">
        <v>0</v>
      </c>
      <c r="J2237">
        <v>0</v>
      </c>
      <c r="K2237">
        <v>0</v>
      </c>
      <c r="L2237">
        <v>0</v>
      </c>
      <c r="M2237">
        <v>0.09</v>
      </c>
      <c r="N2237" s="7" t="e">
        <f>VLOOKUP(F2237,HC!A$6:D$100,3,FALSE)</f>
        <v>#N/A</v>
      </c>
      <c r="O2237" s="7" t="str">
        <f>VLOOKUP(F2237,HC!A$6:D$1000,2,FALSE)</f>
        <v>polettpu</v>
      </c>
      <c r="P2237" t="s">
        <v>661</v>
      </c>
      <c r="Q2237" s="7" t="s">
        <v>681</v>
      </c>
      <c r="U2237">
        <f t="shared" si="36"/>
        <v>55</v>
      </c>
    </row>
    <row r="2238" spans="1:21" ht="37.5" customHeight="1" x14ac:dyDescent="0.25">
      <c r="A2238" s="33">
        <v>45107</v>
      </c>
      <c r="B2238" s="13">
        <v>26</v>
      </c>
      <c r="C2238" t="s">
        <v>3</v>
      </c>
      <c r="D2238" t="s">
        <v>4</v>
      </c>
      <c r="E2238" t="s">
        <v>5</v>
      </c>
      <c r="F2238" s="6">
        <v>200552734</v>
      </c>
      <c r="G2238" t="s">
        <v>492</v>
      </c>
      <c r="H2238" t="s">
        <v>7</v>
      </c>
      <c r="I2238">
        <v>0</v>
      </c>
      <c r="J2238">
        <v>0</v>
      </c>
      <c r="K2238">
        <v>0</v>
      </c>
      <c r="L2238">
        <v>0</v>
      </c>
      <c r="M2238">
        <v>0.98</v>
      </c>
      <c r="N2238" s="7" t="e">
        <f>VLOOKUP(F2238,HC!A$6:D$100,3,FALSE)</f>
        <v>#N/A</v>
      </c>
      <c r="O2238" s="7" t="e">
        <f>VLOOKUP(F2238,HC!A$6:D$1000,2,FALSE)</f>
        <v>#N/A</v>
      </c>
      <c r="P2238" t="s">
        <v>664</v>
      </c>
      <c r="Q2238" s="7" t="s">
        <v>717</v>
      </c>
      <c r="U2238">
        <f t="shared" si="36"/>
        <v>1395</v>
      </c>
    </row>
    <row r="2239" spans="1:21" ht="37.5" customHeight="1" x14ac:dyDescent="0.25">
      <c r="A2239" s="33">
        <v>45107</v>
      </c>
      <c r="B2239" s="13">
        <v>26</v>
      </c>
      <c r="C2239" t="s">
        <v>3</v>
      </c>
      <c r="D2239" t="s">
        <v>4</v>
      </c>
      <c r="E2239" t="s">
        <v>21</v>
      </c>
      <c r="F2239" s="6">
        <v>201191198</v>
      </c>
      <c r="G2239" t="s">
        <v>974</v>
      </c>
      <c r="H2239" t="s">
        <v>17</v>
      </c>
      <c r="I2239">
        <v>0</v>
      </c>
      <c r="J2239">
        <v>0</v>
      </c>
      <c r="K2239">
        <v>0</v>
      </c>
      <c r="L2239">
        <v>0</v>
      </c>
      <c r="M2239">
        <v>0.72</v>
      </c>
      <c r="N2239" s="7" t="e">
        <f>VLOOKUP(F2239,HC!A$6:D$100,3,FALSE)</f>
        <v>#N/A</v>
      </c>
      <c r="O2239" s="7" t="str">
        <f>VLOOKUP(F2239,HC!A$6:D$1000,2,FALSE)</f>
        <v>mojicemm</v>
      </c>
      <c r="P2239" t="s">
        <v>661</v>
      </c>
      <c r="Q2239" s="7" t="s">
        <v>684</v>
      </c>
      <c r="U2239">
        <f t="shared" si="36"/>
        <v>24</v>
      </c>
    </row>
    <row r="2240" spans="1:21" ht="37.5" customHeight="1" x14ac:dyDescent="0.25">
      <c r="A2240" s="33">
        <v>45107</v>
      </c>
      <c r="B2240" s="13">
        <v>26</v>
      </c>
      <c r="C2240" t="s">
        <v>3</v>
      </c>
      <c r="D2240" t="s">
        <v>4</v>
      </c>
      <c r="E2240" t="s">
        <v>21</v>
      </c>
      <c r="F2240" s="6">
        <v>201198922</v>
      </c>
      <c r="G2240" t="s">
        <v>1141</v>
      </c>
      <c r="H2240" t="s">
        <v>47</v>
      </c>
      <c r="I2240">
        <v>0</v>
      </c>
      <c r="J2240">
        <v>0</v>
      </c>
      <c r="K2240">
        <v>0</v>
      </c>
      <c r="L2240">
        <v>0</v>
      </c>
      <c r="M2240">
        <v>0.71</v>
      </c>
      <c r="N2240" s="7" t="e">
        <f>VLOOKUP(F2240,HC!A$6:D$100,3,FALSE)</f>
        <v>#N/A</v>
      </c>
      <c r="O2240" s="7" t="str">
        <f>VLOOKUP(F2240,HC!A$6:D$1000,2,FALSE)</f>
        <v>mendejoy</v>
      </c>
      <c r="P2240" t="s">
        <v>661</v>
      </c>
      <c r="Q2240" s="7" t="s">
        <v>700</v>
      </c>
      <c r="U2240">
        <f t="shared" si="36"/>
        <v>14</v>
      </c>
    </row>
    <row r="2241" spans="1:21" ht="37.5" customHeight="1" x14ac:dyDescent="0.25">
      <c r="A2241" s="33">
        <v>45107</v>
      </c>
      <c r="B2241" s="13">
        <v>26</v>
      </c>
      <c r="C2241" t="s">
        <v>3</v>
      </c>
      <c r="D2241" t="s">
        <v>4</v>
      </c>
      <c r="E2241" t="s">
        <v>21</v>
      </c>
      <c r="F2241" s="6">
        <v>201198979</v>
      </c>
      <c r="G2241" t="s">
        <v>905</v>
      </c>
      <c r="H2241" t="s">
        <v>285</v>
      </c>
      <c r="I2241">
        <v>0</v>
      </c>
      <c r="J2241">
        <v>0</v>
      </c>
      <c r="K2241">
        <v>0</v>
      </c>
      <c r="L2241">
        <v>0</v>
      </c>
      <c r="M2241">
        <v>0.38</v>
      </c>
      <c r="N2241" s="7" t="e">
        <f>VLOOKUP(F2241,HC!A$6:D$100,3,FALSE)</f>
        <v>#N/A</v>
      </c>
      <c r="O2241" s="7" t="e">
        <f>VLOOKUP(F2241,HC!A$6:D$1000,2,FALSE)</f>
        <v>#N/A</v>
      </c>
      <c r="P2241" t="s">
        <v>663</v>
      </c>
      <c r="Q2241" s="7" t="s">
        <v>695</v>
      </c>
      <c r="U2241">
        <f t="shared" si="36"/>
        <v>1395</v>
      </c>
    </row>
    <row r="2242" spans="1:21" ht="37.5" customHeight="1" x14ac:dyDescent="0.25">
      <c r="A2242" s="33">
        <v>45107</v>
      </c>
      <c r="B2242" s="13">
        <v>26</v>
      </c>
      <c r="C2242" t="s">
        <v>3</v>
      </c>
      <c r="D2242" t="s">
        <v>4</v>
      </c>
      <c r="E2242" t="s">
        <v>21</v>
      </c>
      <c r="F2242" s="6">
        <v>201298204</v>
      </c>
      <c r="G2242" t="s">
        <v>1147</v>
      </c>
      <c r="H2242" t="s">
        <v>47</v>
      </c>
      <c r="I2242">
        <v>0</v>
      </c>
      <c r="J2242">
        <v>0</v>
      </c>
      <c r="K2242">
        <v>0</v>
      </c>
      <c r="L2242">
        <v>0</v>
      </c>
      <c r="M2242">
        <v>0.39</v>
      </c>
      <c r="N2242" s="7" t="e">
        <f>VLOOKUP(F2242,HC!A$6:D$100,3,FALSE)</f>
        <v>#N/A</v>
      </c>
      <c r="O2242" s="7" t="e">
        <f>VLOOKUP(F2242,HC!A$6:D$1000,2,FALSE)</f>
        <v>#N/A</v>
      </c>
      <c r="Q2242" s="7"/>
      <c r="U2242">
        <f t="shared" si="36"/>
        <v>1395</v>
      </c>
    </row>
    <row r="2243" spans="1:21" ht="37.5" customHeight="1" x14ac:dyDescent="0.25">
      <c r="A2243" s="33">
        <v>45107</v>
      </c>
      <c r="B2243" s="13">
        <v>26</v>
      </c>
      <c r="C2243" t="s">
        <v>3</v>
      </c>
      <c r="D2243" t="s">
        <v>4</v>
      </c>
      <c r="E2243" t="s">
        <v>21</v>
      </c>
      <c r="F2243" s="6">
        <v>201329332</v>
      </c>
      <c r="G2243" t="s">
        <v>1091</v>
      </c>
      <c r="H2243" t="s">
        <v>49</v>
      </c>
      <c r="I2243">
        <v>0</v>
      </c>
      <c r="J2243">
        <v>0</v>
      </c>
      <c r="K2243">
        <v>0</v>
      </c>
      <c r="L2243">
        <v>0</v>
      </c>
      <c r="M2243">
        <v>0.12</v>
      </c>
      <c r="N2243" s="7" t="e">
        <f>VLOOKUP(F2243,HC!A$6:D$100,3,FALSE)</f>
        <v>#N/A</v>
      </c>
      <c r="O2243" s="7" t="e">
        <f>VLOOKUP(F2243,HC!A$6:D$1000,2,FALSE)</f>
        <v>#N/A</v>
      </c>
      <c r="P2243" t="s">
        <v>664</v>
      </c>
      <c r="Q2243" s="7" t="s">
        <v>710</v>
      </c>
      <c r="U2243">
        <f t="shared" ref="U2243:U2306" si="37">COUNTIF(O$2:O$4999,O2243)</f>
        <v>1395</v>
      </c>
    </row>
    <row r="2244" spans="1:21" ht="37.5" customHeight="1" x14ac:dyDescent="0.25">
      <c r="A2244" s="34">
        <v>45108</v>
      </c>
      <c r="B2244" s="13">
        <v>26</v>
      </c>
      <c r="C2244" t="s">
        <v>3</v>
      </c>
      <c r="D2244" t="s">
        <v>4</v>
      </c>
      <c r="E2244" t="s">
        <v>5</v>
      </c>
      <c r="F2244" s="6">
        <v>112920678</v>
      </c>
      <c r="G2244" t="s">
        <v>1148</v>
      </c>
      <c r="H2244" t="s">
        <v>282</v>
      </c>
      <c r="I2244">
        <v>0</v>
      </c>
      <c r="J2244">
        <v>0</v>
      </c>
      <c r="K2244">
        <v>0</v>
      </c>
      <c r="L2244">
        <v>0</v>
      </c>
      <c r="M2244">
        <v>0.02</v>
      </c>
      <c r="N2244" s="7" t="str">
        <f>VLOOKUP(F2244,HC!A$6:D$100,3,FALSE)</f>
        <v>DB-X0700</v>
      </c>
      <c r="O2244" s="7" t="str">
        <f>VLOOKUP(F2244,HC!A$6:D$1000,2,FALSE)</f>
        <v>cperezha</v>
      </c>
      <c r="P2244" t="s">
        <v>663</v>
      </c>
      <c r="Q2244" s="7" t="s">
        <v>707</v>
      </c>
      <c r="U2244">
        <f t="shared" si="37"/>
        <v>1</v>
      </c>
    </row>
    <row r="2245" spans="1:21" ht="37.5" customHeight="1" x14ac:dyDescent="0.25">
      <c r="A2245" s="34">
        <v>45108</v>
      </c>
      <c r="B2245" s="13">
        <v>26</v>
      </c>
      <c r="C2245" t="s">
        <v>3</v>
      </c>
      <c r="D2245" t="s">
        <v>4</v>
      </c>
      <c r="E2245" t="s">
        <v>5</v>
      </c>
      <c r="F2245" s="6">
        <v>112972521</v>
      </c>
      <c r="G2245" t="s">
        <v>1149</v>
      </c>
      <c r="H2245" t="s">
        <v>250</v>
      </c>
      <c r="I2245">
        <v>0</v>
      </c>
      <c r="J2245">
        <v>0</v>
      </c>
      <c r="K2245">
        <v>0</v>
      </c>
      <c r="L2245">
        <v>0</v>
      </c>
      <c r="M2245">
        <v>0.26</v>
      </c>
      <c r="N2245" s="7" t="str">
        <f>VLOOKUP(F2245,HC!A$6:D$100,3,FALSE)</f>
        <v>DB-X0700</v>
      </c>
      <c r="O2245" s="7" t="str">
        <f>VLOOKUP(F2245,HC!A$6:D$1000,2,FALSE)</f>
        <v>perezrro</v>
      </c>
      <c r="P2245" t="s">
        <v>661</v>
      </c>
      <c r="Q2245" s="7" t="s">
        <v>681</v>
      </c>
      <c r="U2245">
        <f t="shared" si="37"/>
        <v>5</v>
      </c>
    </row>
    <row r="2246" spans="1:21" ht="37.5" customHeight="1" x14ac:dyDescent="0.25">
      <c r="A2246" s="34">
        <v>45108</v>
      </c>
      <c r="B2246" s="13">
        <v>26</v>
      </c>
      <c r="C2246" t="s">
        <v>3</v>
      </c>
      <c r="D2246" t="s">
        <v>4</v>
      </c>
      <c r="E2246" t="s">
        <v>5</v>
      </c>
      <c r="F2246" s="6">
        <v>112991248</v>
      </c>
      <c r="G2246" t="s">
        <v>461</v>
      </c>
      <c r="H2246" t="s">
        <v>7</v>
      </c>
      <c r="I2246">
        <v>0</v>
      </c>
      <c r="J2246">
        <v>0</v>
      </c>
      <c r="K2246">
        <v>0</v>
      </c>
      <c r="L2246">
        <v>0</v>
      </c>
      <c r="M2246">
        <v>0.71</v>
      </c>
      <c r="N2246" s="7" t="e">
        <f>VLOOKUP(F2246,HC!A$6:D$100,3,FALSE)</f>
        <v>#N/A</v>
      </c>
      <c r="O2246" s="7" t="e">
        <f>VLOOKUP(F2246,HC!A$6:D$1000,2,FALSE)</f>
        <v>#N/A</v>
      </c>
      <c r="P2246" t="s">
        <v>661</v>
      </c>
      <c r="Q2246" s="7" t="s">
        <v>684</v>
      </c>
      <c r="U2246">
        <f t="shared" si="37"/>
        <v>1395</v>
      </c>
    </row>
    <row r="2247" spans="1:21" ht="37.5" customHeight="1" x14ac:dyDescent="0.25">
      <c r="A2247" s="34">
        <v>45108</v>
      </c>
      <c r="B2247" s="13">
        <v>26</v>
      </c>
      <c r="C2247" t="s">
        <v>3</v>
      </c>
      <c r="D2247" t="s">
        <v>4</v>
      </c>
      <c r="E2247" t="s">
        <v>21</v>
      </c>
      <c r="F2247" s="6">
        <v>200508323</v>
      </c>
      <c r="G2247" t="s">
        <v>1150</v>
      </c>
      <c r="H2247" t="s">
        <v>17</v>
      </c>
      <c r="I2247">
        <v>0</v>
      </c>
      <c r="J2247">
        <v>0</v>
      </c>
      <c r="K2247">
        <v>0</v>
      </c>
      <c r="L2247">
        <v>0</v>
      </c>
      <c r="M2247">
        <v>0.09</v>
      </c>
      <c r="N2247" s="7" t="e">
        <f>VLOOKUP(F2247,HC!A$6:D$100,3,FALSE)</f>
        <v>#N/A</v>
      </c>
      <c r="O2247" s="7" t="str">
        <f>VLOOKUP(F2247,HC!A$6:D$1000,2,FALSE)</f>
        <v>espejell</v>
      </c>
      <c r="P2247" t="s">
        <v>662</v>
      </c>
      <c r="Q2247" s="7" t="s">
        <v>757</v>
      </c>
      <c r="U2247">
        <f t="shared" si="37"/>
        <v>15</v>
      </c>
    </row>
    <row r="2248" spans="1:21" ht="37.5" customHeight="1" x14ac:dyDescent="0.25">
      <c r="A2248" s="34">
        <v>45108</v>
      </c>
      <c r="B2248" s="13">
        <v>26</v>
      </c>
      <c r="C2248" t="s">
        <v>3</v>
      </c>
      <c r="D2248" t="s">
        <v>4</v>
      </c>
      <c r="E2248" t="s">
        <v>21</v>
      </c>
      <c r="F2248" s="6">
        <v>201212196</v>
      </c>
      <c r="G2248" t="s">
        <v>958</v>
      </c>
      <c r="H2248" t="s">
        <v>17</v>
      </c>
      <c r="I2248">
        <v>0</v>
      </c>
      <c r="J2248">
        <v>0</v>
      </c>
      <c r="K2248">
        <v>0</v>
      </c>
      <c r="L2248">
        <v>0</v>
      </c>
      <c r="M2248">
        <v>0.1</v>
      </c>
      <c r="N2248" s="7" t="e">
        <f>VLOOKUP(F2248,HC!A$6:D$100,3,FALSE)</f>
        <v>#N/A</v>
      </c>
      <c r="O2248" s="7" t="e">
        <f>VLOOKUP(F2248,HC!A$6:D$1000,2,FALSE)</f>
        <v>#N/A</v>
      </c>
      <c r="P2248" t="s">
        <v>661</v>
      </c>
      <c r="Q2248" s="7" t="s">
        <v>681</v>
      </c>
      <c r="U2248">
        <f t="shared" si="37"/>
        <v>1395</v>
      </c>
    </row>
    <row r="2249" spans="1:21" ht="37.5" customHeight="1" x14ac:dyDescent="0.25">
      <c r="A2249" s="34">
        <v>45108</v>
      </c>
      <c r="B2249" s="13">
        <v>26</v>
      </c>
      <c r="C2249" t="s">
        <v>3</v>
      </c>
      <c r="D2249" t="s">
        <v>4</v>
      </c>
      <c r="E2249" t="s">
        <v>21</v>
      </c>
      <c r="F2249" s="6">
        <v>201318227</v>
      </c>
      <c r="G2249" t="s">
        <v>973</v>
      </c>
      <c r="H2249" t="s">
        <v>47</v>
      </c>
      <c r="I2249">
        <v>0</v>
      </c>
      <c r="J2249">
        <v>0</v>
      </c>
      <c r="K2249">
        <v>0</v>
      </c>
      <c r="L2249">
        <v>0</v>
      </c>
      <c r="M2249">
        <v>4.38</v>
      </c>
      <c r="N2249" s="7" t="e">
        <f>VLOOKUP(F2249,HC!A$6:D$100,3,FALSE)</f>
        <v>#N/A</v>
      </c>
      <c r="O2249" s="7" t="e">
        <f>VLOOKUP(F2249,HC!A$6:D$1000,2,FALSE)</f>
        <v>#N/A</v>
      </c>
      <c r="P2249" t="s">
        <v>661</v>
      </c>
      <c r="Q2249" s="7" t="s">
        <v>681</v>
      </c>
      <c r="U2249">
        <f t="shared" si="37"/>
        <v>1395</v>
      </c>
    </row>
    <row r="2250" spans="1:21" ht="37.5" customHeight="1" x14ac:dyDescent="0.25">
      <c r="A2250" s="34">
        <v>45108</v>
      </c>
      <c r="B2250" s="13">
        <v>26</v>
      </c>
      <c r="C2250" t="s">
        <v>3</v>
      </c>
      <c r="D2250" t="s">
        <v>4</v>
      </c>
      <c r="E2250" t="s">
        <v>21</v>
      </c>
      <c r="F2250" s="6">
        <v>201401654</v>
      </c>
      <c r="G2250" t="s">
        <v>1052</v>
      </c>
      <c r="H2250" t="s">
        <v>49</v>
      </c>
      <c r="I2250">
        <v>0</v>
      </c>
      <c r="J2250">
        <v>0</v>
      </c>
      <c r="K2250">
        <v>0</v>
      </c>
      <c r="L2250">
        <v>0</v>
      </c>
      <c r="M2250">
        <v>0.64</v>
      </c>
      <c r="N2250" s="7" t="e">
        <f>VLOOKUP(F2250,HC!A$6:D$100,3,FALSE)</f>
        <v>#N/A</v>
      </c>
      <c r="O2250" s="7" t="e">
        <f>VLOOKUP(F2250,HC!A$6:D$1000,2,FALSE)</f>
        <v>#N/A</v>
      </c>
      <c r="P2250" t="s">
        <v>661</v>
      </c>
      <c r="Q2250" s="7" t="s">
        <v>775</v>
      </c>
      <c r="U2250">
        <f t="shared" si="37"/>
        <v>1395</v>
      </c>
    </row>
    <row r="2251" spans="1:21" ht="37.5" customHeight="1" x14ac:dyDescent="0.25">
      <c r="A2251" s="34">
        <v>45109</v>
      </c>
      <c r="B2251" s="13">
        <v>27</v>
      </c>
      <c r="C2251" t="s">
        <v>3</v>
      </c>
      <c r="D2251" t="s">
        <v>4</v>
      </c>
      <c r="E2251" t="s">
        <v>21</v>
      </c>
      <c r="F2251" s="6">
        <v>112912007</v>
      </c>
      <c r="G2251" t="s">
        <v>518</v>
      </c>
      <c r="H2251" t="s">
        <v>268</v>
      </c>
      <c r="I2251">
        <v>0</v>
      </c>
      <c r="J2251">
        <v>0</v>
      </c>
      <c r="K2251">
        <v>0</v>
      </c>
      <c r="L2251">
        <v>0</v>
      </c>
      <c r="M2251">
        <v>0.34</v>
      </c>
      <c r="N2251" s="7" t="e">
        <f>VLOOKUP(F2251,HC!A$6:D$100,3,FALSE)</f>
        <v>#N/A</v>
      </c>
      <c r="O2251" s="7" t="e">
        <f>VLOOKUP(F2251,HC!A$6:D$1000,2,FALSE)</f>
        <v>#N/A</v>
      </c>
      <c r="P2251" t="s">
        <v>661</v>
      </c>
      <c r="Q2251" s="7" t="s">
        <v>681</v>
      </c>
      <c r="U2251">
        <f t="shared" si="37"/>
        <v>1395</v>
      </c>
    </row>
    <row r="2252" spans="1:21" ht="37.5" customHeight="1" x14ac:dyDescent="0.25">
      <c r="A2252" s="34">
        <v>45109</v>
      </c>
      <c r="B2252" s="13">
        <v>27</v>
      </c>
      <c r="C2252" t="s">
        <v>3</v>
      </c>
      <c r="D2252" t="s">
        <v>4</v>
      </c>
      <c r="E2252" t="s">
        <v>5</v>
      </c>
      <c r="F2252" s="6">
        <v>112912507</v>
      </c>
      <c r="G2252" t="s">
        <v>837</v>
      </c>
      <c r="H2252" t="s">
        <v>403</v>
      </c>
      <c r="I2252">
        <v>0</v>
      </c>
      <c r="J2252">
        <v>0</v>
      </c>
      <c r="K2252">
        <v>0</v>
      </c>
      <c r="L2252">
        <v>0</v>
      </c>
      <c r="M2252">
        <v>0.2</v>
      </c>
      <c r="N2252" s="7" t="str">
        <f>VLOOKUP(F2252,HC!A$6:D$100,3,FALSE)</f>
        <v>DA-X0700</v>
      </c>
      <c r="O2252" s="7" t="str">
        <f>VLOOKUP(F2252,HC!A$6:D$1000,2,FALSE)</f>
        <v>hvcharli</v>
      </c>
      <c r="P2252" t="s">
        <v>662</v>
      </c>
      <c r="Q2252" s="7" t="s">
        <v>757</v>
      </c>
      <c r="U2252">
        <f t="shared" si="37"/>
        <v>4</v>
      </c>
    </row>
    <row r="2253" spans="1:21" ht="37.5" customHeight="1" x14ac:dyDescent="0.25">
      <c r="A2253" s="34">
        <v>45109</v>
      </c>
      <c r="B2253" s="13">
        <v>27</v>
      </c>
      <c r="C2253" t="s">
        <v>3</v>
      </c>
      <c r="D2253" t="s">
        <v>4</v>
      </c>
      <c r="E2253" t="s">
        <v>5</v>
      </c>
      <c r="F2253" s="6">
        <v>112912663</v>
      </c>
      <c r="G2253" t="s">
        <v>8</v>
      </c>
      <c r="H2253" t="s">
        <v>403</v>
      </c>
      <c r="I2253">
        <v>0</v>
      </c>
      <c r="J2253">
        <v>0</v>
      </c>
      <c r="K2253">
        <v>0</v>
      </c>
      <c r="L2253">
        <v>0</v>
      </c>
      <c r="M2253">
        <v>0.79</v>
      </c>
      <c r="N2253" s="7" t="e">
        <f>VLOOKUP(F2253,HC!A$6:D$100,3,FALSE)</f>
        <v>#N/A</v>
      </c>
      <c r="O2253" s="7" t="e">
        <f>VLOOKUP(F2253,HC!A$6:D$1000,2,FALSE)</f>
        <v>#N/A</v>
      </c>
      <c r="P2253" t="s">
        <v>664</v>
      </c>
      <c r="Q2253" s="7" t="s">
        <v>710</v>
      </c>
      <c r="U2253">
        <f t="shared" si="37"/>
        <v>1395</v>
      </c>
    </row>
    <row r="2254" spans="1:21" ht="37.5" customHeight="1" x14ac:dyDescent="0.25">
      <c r="A2254" s="34">
        <v>45109</v>
      </c>
      <c r="B2254" s="13">
        <v>27</v>
      </c>
      <c r="C2254" t="s">
        <v>3</v>
      </c>
      <c r="D2254" t="s">
        <v>4</v>
      </c>
      <c r="E2254" t="s">
        <v>5</v>
      </c>
      <c r="F2254" s="6">
        <v>112980847</v>
      </c>
      <c r="G2254" t="s">
        <v>524</v>
      </c>
      <c r="H2254" t="s">
        <v>268</v>
      </c>
      <c r="I2254">
        <v>0</v>
      </c>
      <c r="J2254">
        <v>0</v>
      </c>
      <c r="K2254">
        <v>0</v>
      </c>
      <c r="L2254">
        <v>0</v>
      </c>
      <c r="M2254">
        <v>0.21</v>
      </c>
      <c r="N2254" s="7" t="e">
        <f>VLOOKUP(F2254,HC!A$6:D$100,3,FALSE)</f>
        <v>#N/A</v>
      </c>
      <c r="O2254" s="7" t="e">
        <f>VLOOKUP(F2254,HC!A$6:D$1000,2,FALSE)</f>
        <v>#N/A</v>
      </c>
      <c r="P2254" t="s">
        <v>670</v>
      </c>
      <c r="Q2254" s="7"/>
      <c r="R2254" t="s">
        <v>1151</v>
      </c>
      <c r="U2254">
        <f t="shared" si="37"/>
        <v>1395</v>
      </c>
    </row>
    <row r="2255" spans="1:21" ht="37.5" customHeight="1" x14ac:dyDescent="0.25">
      <c r="A2255" s="34">
        <v>45109</v>
      </c>
      <c r="B2255" s="13">
        <v>27</v>
      </c>
      <c r="C2255" t="s">
        <v>3</v>
      </c>
      <c r="D2255" t="s">
        <v>4</v>
      </c>
      <c r="E2255" t="s">
        <v>21</v>
      </c>
      <c r="F2255" s="6">
        <v>201172306</v>
      </c>
      <c r="G2255" t="s">
        <v>970</v>
      </c>
      <c r="H2255" t="s">
        <v>268</v>
      </c>
      <c r="I2255">
        <v>0</v>
      </c>
      <c r="J2255">
        <v>0</v>
      </c>
      <c r="K2255">
        <v>0</v>
      </c>
      <c r="L2255">
        <v>0</v>
      </c>
      <c r="M2255">
        <v>0.03</v>
      </c>
      <c r="N2255" s="7" t="e">
        <f>VLOOKUP(F2255,HC!A$6:D$100,3,FALSE)</f>
        <v>#N/A</v>
      </c>
      <c r="O2255" s="7" t="str">
        <f>VLOOKUP(F2255,HC!A$6:D$1000,2,FALSE)</f>
        <v>cesarvae</v>
      </c>
      <c r="P2255" t="s">
        <v>661</v>
      </c>
      <c r="Q2255" s="7" t="s">
        <v>681</v>
      </c>
      <c r="U2255">
        <f t="shared" si="37"/>
        <v>17</v>
      </c>
    </row>
    <row r="2256" spans="1:21" ht="37.5" customHeight="1" x14ac:dyDescent="0.25">
      <c r="A2256" s="34">
        <v>45109</v>
      </c>
      <c r="B2256" s="13">
        <v>27</v>
      </c>
      <c r="C2256" t="s">
        <v>3</v>
      </c>
      <c r="D2256" t="s">
        <v>4</v>
      </c>
      <c r="E2256" t="s">
        <v>21</v>
      </c>
      <c r="F2256" s="6">
        <v>201198979</v>
      </c>
      <c r="G2256" t="s">
        <v>905</v>
      </c>
      <c r="H2256" t="s">
        <v>285</v>
      </c>
      <c r="I2256">
        <v>0</v>
      </c>
      <c r="J2256">
        <v>0</v>
      </c>
      <c r="K2256">
        <v>0</v>
      </c>
      <c r="L2256">
        <v>0</v>
      </c>
      <c r="M2256">
        <v>0.23</v>
      </c>
      <c r="N2256" s="7" t="e">
        <f>VLOOKUP(F2256,HC!A$6:D$100,3,FALSE)</f>
        <v>#N/A</v>
      </c>
      <c r="O2256" s="7" t="e">
        <f>VLOOKUP(F2256,HC!A$6:D$1000,2,FALSE)</f>
        <v>#N/A</v>
      </c>
      <c r="P2256" t="s">
        <v>670</v>
      </c>
      <c r="Q2256" s="7" t="s">
        <v>746</v>
      </c>
      <c r="U2256">
        <f t="shared" si="37"/>
        <v>1395</v>
      </c>
    </row>
    <row r="2257" spans="1:21" ht="37.5" customHeight="1" x14ac:dyDescent="0.25">
      <c r="A2257" s="34">
        <v>45109</v>
      </c>
      <c r="B2257" s="13">
        <v>27</v>
      </c>
      <c r="C2257" t="s">
        <v>3</v>
      </c>
      <c r="D2257" t="s">
        <v>4</v>
      </c>
      <c r="E2257" t="s">
        <v>21</v>
      </c>
      <c r="F2257" s="6">
        <v>201201993</v>
      </c>
      <c r="G2257" t="s">
        <v>964</v>
      </c>
      <c r="H2257" t="s">
        <v>1040</v>
      </c>
      <c r="I2257">
        <v>0</v>
      </c>
      <c r="J2257">
        <v>0</v>
      </c>
      <c r="K2257">
        <v>0</v>
      </c>
      <c r="L2257">
        <v>0</v>
      </c>
      <c r="M2257">
        <v>0.27</v>
      </c>
      <c r="N2257" s="7" t="e">
        <f>VLOOKUP(F2257,HC!A$6:D$100,3,FALSE)</f>
        <v>#N/A</v>
      </c>
      <c r="O2257" s="7" t="e">
        <f>VLOOKUP(F2257,HC!A$6:D$1000,2,FALSE)</f>
        <v>#N/A</v>
      </c>
      <c r="P2257" t="s">
        <v>662</v>
      </c>
      <c r="Q2257" s="7" t="s">
        <v>691</v>
      </c>
      <c r="U2257">
        <f t="shared" si="37"/>
        <v>1395</v>
      </c>
    </row>
    <row r="2258" spans="1:21" ht="37.5" customHeight="1" x14ac:dyDescent="0.25">
      <c r="A2258" s="34">
        <v>45109</v>
      </c>
      <c r="B2258" s="13">
        <v>27</v>
      </c>
      <c r="C2258" t="s">
        <v>3</v>
      </c>
      <c r="D2258" t="s">
        <v>4</v>
      </c>
      <c r="E2258" t="s">
        <v>21</v>
      </c>
      <c r="F2258" s="6">
        <v>201294405</v>
      </c>
      <c r="G2258" t="s">
        <v>1086</v>
      </c>
      <c r="H2258" t="s">
        <v>268</v>
      </c>
      <c r="I2258">
        <v>0</v>
      </c>
      <c r="J2258">
        <v>0</v>
      </c>
      <c r="K2258">
        <v>0</v>
      </c>
      <c r="L2258">
        <v>0</v>
      </c>
      <c r="M2258">
        <v>0.18</v>
      </c>
      <c r="N2258" s="7" t="e">
        <f>VLOOKUP(F2258,HC!A$6:D$100,3,FALSE)</f>
        <v>#N/A</v>
      </c>
      <c r="O2258" s="7" t="e">
        <f>VLOOKUP(F2258,HC!A$6:D$1000,2,FALSE)</f>
        <v>#N/A</v>
      </c>
      <c r="P2258" t="s">
        <v>661</v>
      </c>
      <c r="Q2258" s="7" t="s">
        <v>681</v>
      </c>
      <c r="U2258">
        <f t="shared" si="37"/>
        <v>1395</v>
      </c>
    </row>
    <row r="2259" spans="1:21" ht="37.5" customHeight="1" x14ac:dyDescent="0.25">
      <c r="A2259" s="34">
        <v>45109</v>
      </c>
      <c r="B2259" s="13">
        <v>27</v>
      </c>
      <c r="C2259" t="s">
        <v>3</v>
      </c>
      <c r="D2259" t="s">
        <v>4</v>
      </c>
      <c r="E2259" t="s">
        <v>21</v>
      </c>
      <c r="F2259" s="6">
        <v>201378614</v>
      </c>
      <c r="G2259" t="s">
        <v>1046</v>
      </c>
      <c r="H2259" t="s">
        <v>1040</v>
      </c>
      <c r="I2259">
        <v>0</v>
      </c>
      <c r="J2259">
        <v>0</v>
      </c>
      <c r="K2259">
        <v>0</v>
      </c>
      <c r="L2259">
        <v>0</v>
      </c>
      <c r="M2259">
        <v>0.09</v>
      </c>
      <c r="N2259" s="7" t="e">
        <f>VLOOKUP(F2259,HC!A$6:D$100,3,FALSE)</f>
        <v>#N/A</v>
      </c>
      <c r="O2259" s="7" t="e">
        <f>VLOOKUP(F2259,HC!A$6:D$1000,2,FALSE)</f>
        <v>#N/A</v>
      </c>
      <c r="P2259" t="s">
        <v>662</v>
      </c>
      <c r="Q2259" s="7" t="s">
        <v>757</v>
      </c>
      <c r="U2259">
        <f t="shared" si="37"/>
        <v>1395</v>
      </c>
    </row>
    <row r="2260" spans="1:21" ht="37.5" customHeight="1" x14ac:dyDescent="0.25">
      <c r="A2260" s="34">
        <v>45109</v>
      </c>
      <c r="B2260" s="13">
        <v>27</v>
      </c>
      <c r="C2260" t="s">
        <v>3</v>
      </c>
      <c r="D2260" t="s">
        <v>4</v>
      </c>
      <c r="E2260" t="s">
        <v>21</v>
      </c>
      <c r="F2260" s="6">
        <v>201402216</v>
      </c>
      <c r="G2260" t="s">
        <v>1064</v>
      </c>
      <c r="H2260" t="s">
        <v>1040</v>
      </c>
      <c r="I2260">
        <v>0</v>
      </c>
      <c r="J2260">
        <v>0</v>
      </c>
      <c r="K2260">
        <v>0</v>
      </c>
      <c r="L2260">
        <v>0</v>
      </c>
      <c r="M2260">
        <v>0.16</v>
      </c>
      <c r="N2260" s="7" t="e">
        <f>VLOOKUP(F2260,HC!A$6:D$100,3,FALSE)</f>
        <v>#N/A</v>
      </c>
      <c r="O2260" s="7" t="e">
        <f>VLOOKUP(F2260,HC!A$6:D$1000,2,FALSE)</f>
        <v>#N/A</v>
      </c>
      <c r="P2260" t="s">
        <v>663</v>
      </c>
      <c r="Q2260" s="7" t="s">
        <v>705</v>
      </c>
      <c r="U2260">
        <f t="shared" si="37"/>
        <v>1395</v>
      </c>
    </row>
    <row r="2261" spans="1:21" ht="37.5" customHeight="1" x14ac:dyDescent="0.25">
      <c r="A2261" s="34">
        <v>45110</v>
      </c>
      <c r="B2261" s="13">
        <v>27</v>
      </c>
      <c r="C2261" t="s">
        <v>3</v>
      </c>
      <c r="D2261" t="s">
        <v>4</v>
      </c>
      <c r="E2261" t="s">
        <v>5</v>
      </c>
      <c r="F2261" s="6">
        <v>112950807</v>
      </c>
      <c r="G2261" t="s">
        <v>901</v>
      </c>
      <c r="H2261" t="s">
        <v>253</v>
      </c>
      <c r="I2261">
        <v>0</v>
      </c>
      <c r="J2261">
        <v>0</v>
      </c>
      <c r="K2261">
        <v>0</v>
      </c>
      <c r="L2261">
        <v>0</v>
      </c>
      <c r="M2261">
        <v>0.61</v>
      </c>
      <c r="N2261" s="7" t="str">
        <f>VLOOKUP(F2261,HC!A$6:D$100,3,FALSE)</f>
        <v>DA-X0700</v>
      </c>
      <c r="O2261" s="7" t="str">
        <f>VLOOKUP(F2261,HC!A$6:D$1000,2,FALSE)</f>
        <v>kaarsanc</v>
      </c>
      <c r="P2261" t="s">
        <v>661</v>
      </c>
      <c r="Q2261" s="7" t="s">
        <v>681</v>
      </c>
      <c r="U2261">
        <f t="shared" si="37"/>
        <v>4</v>
      </c>
    </row>
    <row r="2262" spans="1:21" ht="37.5" customHeight="1" x14ac:dyDescent="0.25">
      <c r="A2262" s="34">
        <v>45110</v>
      </c>
      <c r="B2262" s="13">
        <v>27</v>
      </c>
      <c r="C2262" t="s">
        <v>3</v>
      </c>
      <c r="D2262" t="s">
        <v>4</v>
      </c>
      <c r="E2262" t="s">
        <v>5</v>
      </c>
      <c r="F2262" s="6">
        <v>112955736</v>
      </c>
      <c r="G2262" t="s">
        <v>983</v>
      </c>
      <c r="H2262" t="s">
        <v>253</v>
      </c>
      <c r="I2262">
        <v>0</v>
      </c>
      <c r="J2262">
        <v>0</v>
      </c>
      <c r="K2262">
        <v>0</v>
      </c>
      <c r="L2262">
        <v>0</v>
      </c>
      <c r="M2262">
        <v>0.12</v>
      </c>
      <c r="N2262" s="7" t="str">
        <f>VLOOKUP(F2262,HC!A$6:D$100,3,FALSE)</f>
        <v>DA-X0700</v>
      </c>
      <c r="O2262" s="7" t="str">
        <f>VLOOKUP(F2262,HC!A$6:D$1000,2,FALSE)</f>
        <v>cueplalo</v>
      </c>
      <c r="P2262" t="s">
        <v>663</v>
      </c>
      <c r="Q2262" s="7" t="s">
        <v>705</v>
      </c>
      <c r="U2262">
        <f t="shared" si="37"/>
        <v>4</v>
      </c>
    </row>
    <row r="2263" spans="1:21" ht="37.5" customHeight="1" x14ac:dyDescent="0.25">
      <c r="A2263" s="34">
        <v>45110</v>
      </c>
      <c r="B2263" s="13">
        <v>27</v>
      </c>
      <c r="C2263" t="s">
        <v>3</v>
      </c>
      <c r="D2263" t="s">
        <v>4</v>
      </c>
      <c r="E2263" t="s">
        <v>5</v>
      </c>
      <c r="F2263" s="6">
        <v>112980847</v>
      </c>
      <c r="G2263" t="s">
        <v>524</v>
      </c>
      <c r="H2263" t="s">
        <v>268</v>
      </c>
      <c r="I2263">
        <v>0</v>
      </c>
      <c r="J2263">
        <v>0</v>
      </c>
      <c r="K2263">
        <v>0</v>
      </c>
      <c r="L2263">
        <v>0</v>
      </c>
      <c r="M2263">
        <v>0.37</v>
      </c>
      <c r="N2263" s="7" t="e">
        <f>VLOOKUP(F2263,HC!A$6:D$100,3,FALSE)</f>
        <v>#N/A</v>
      </c>
      <c r="O2263" s="7" t="e">
        <f>VLOOKUP(F2263,HC!A$6:D$1000,2,FALSE)</f>
        <v>#N/A</v>
      </c>
      <c r="P2263" t="s">
        <v>662</v>
      </c>
      <c r="Q2263" s="7" t="s">
        <v>757</v>
      </c>
      <c r="U2263">
        <f t="shared" si="37"/>
        <v>1395</v>
      </c>
    </row>
    <row r="2264" spans="1:21" ht="37.5" customHeight="1" x14ac:dyDescent="0.25">
      <c r="A2264" s="34">
        <v>45110</v>
      </c>
      <c r="B2264" s="13">
        <v>27</v>
      </c>
      <c r="C2264" t="s">
        <v>3</v>
      </c>
      <c r="D2264" t="s">
        <v>4</v>
      </c>
      <c r="E2264" t="s">
        <v>5</v>
      </c>
      <c r="F2264" s="6">
        <v>113014403</v>
      </c>
      <c r="G2264" t="s">
        <v>373</v>
      </c>
      <c r="H2264" t="s">
        <v>298</v>
      </c>
      <c r="I2264">
        <v>0</v>
      </c>
      <c r="J2264">
        <v>0</v>
      </c>
      <c r="K2264">
        <v>0</v>
      </c>
      <c r="L2264">
        <v>0</v>
      </c>
      <c r="M2264">
        <v>0.17</v>
      </c>
      <c r="N2264" s="7" t="e">
        <f>VLOOKUP(F2264,HC!A$6:D$100,3,FALSE)</f>
        <v>#N/A</v>
      </c>
      <c r="O2264" s="7" t="str">
        <f>VLOOKUP(F2264,HC!A$6:D$1000,2,FALSE)</f>
        <v>wnoraria</v>
      </c>
      <c r="P2264" t="s">
        <v>664</v>
      </c>
      <c r="Q2264" s="7" t="s">
        <v>711</v>
      </c>
      <c r="U2264">
        <f t="shared" si="37"/>
        <v>23</v>
      </c>
    </row>
    <row r="2265" spans="1:21" ht="37.5" customHeight="1" x14ac:dyDescent="0.25">
      <c r="A2265" s="34">
        <v>45110</v>
      </c>
      <c r="B2265" s="13">
        <v>27</v>
      </c>
      <c r="C2265" t="s">
        <v>3</v>
      </c>
      <c r="D2265" t="s">
        <v>4</v>
      </c>
      <c r="E2265" t="s">
        <v>5</v>
      </c>
      <c r="F2265" s="6">
        <v>200404250</v>
      </c>
      <c r="G2265" t="s">
        <v>51</v>
      </c>
      <c r="H2265" t="s">
        <v>298</v>
      </c>
      <c r="I2265">
        <v>0</v>
      </c>
      <c r="J2265">
        <v>0</v>
      </c>
      <c r="K2265">
        <v>0</v>
      </c>
      <c r="L2265">
        <v>0</v>
      </c>
      <c r="M2265">
        <v>0.44</v>
      </c>
      <c r="N2265" s="7" t="e">
        <f>VLOOKUP(F2265,HC!A$6:D$100,3,FALSE)</f>
        <v>#N/A</v>
      </c>
      <c r="O2265" s="7" t="str">
        <f>VLOOKUP(F2265,HC!A$6:D$1000,2,FALSE)</f>
        <v>xcathurt</v>
      </c>
      <c r="P2265" t="s">
        <v>662</v>
      </c>
      <c r="Q2265" s="7" t="s">
        <v>766</v>
      </c>
      <c r="R2265" t="s">
        <v>785</v>
      </c>
      <c r="U2265">
        <f t="shared" si="37"/>
        <v>124</v>
      </c>
    </row>
    <row r="2266" spans="1:21" ht="37.5" customHeight="1" x14ac:dyDescent="0.25">
      <c r="A2266" s="34">
        <v>45110</v>
      </c>
      <c r="B2266" s="13">
        <v>27</v>
      </c>
      <c r="C2266" t="s">
        <v>3</v>
      </c>
      <c r="D2266" t="s">
        <v>4</v>
      </c>
      <c r="E2266" t="s">
        <v>5</v>
      </c>
      <c r="F2266" s="6">
        <v>200614224</v>
      </c>
      <c r="G2266" t="s">
        <v>322</v>
      </c>
      <c r="H2266" t="s">
        <v>17</v>
      </c>
      <c r="I2266">
        <v>0</v>
      </c>
      <c r="J2266">
        <v>0</v>
      </c>
      <c r="K2266">
        <v>0</v>
      </c>
      <c r="L2266">
        <v>0</v>
      </c>
      <c r="M2266">
        <v>0.12</v>
      </c>
      <c r="N2266" s="7" t="e">
        <f>VLOOKUP(F2266,HC!A$6:D$100,3,FALSE)</f>
        <v>#N/A</v>
      </c>
      <c r="O2266" s="7" t="e">
        <f>VLOOKUP(F2266,HC!A$6:D$1000,2,FALSE)</f>
        <v>#N/A</v>
      </c>
      <c r="P2266" t="s">
        <v>669</v>
      </c>
      <c r="Q2266" s="7" t="s">
        <v>739</v>
      </c>
      <c r="U2266">
        <f t="shared" si="37"/>
        <v>1395</v>
      </c>
    </row>
    <row r="2267" spans="1:21" ht="37.5" customHeight="1" x14ac:dyDescent="0.25">
      <c r="A2267" s="34">
        <v>45110</v>
      </c>
      <c r="B2267" s="13">
        <v>27</v>
      </c>
      <c r="C2267" t="s">
        <v>3</v>
      </c>
      <c r="D2267" t="s">
        <v>4</v>
      </c>
      <c r="E2267" t="s">
        <v>21</v>
      </c>
      <c r="F2267" s="6">
        <v>201198979</v>
      </c>
      <c r="G2267" t="s">
        <v>905</v>
      </c>
      <c r="H2267" t="s">
        <v>285</v>
      </c>
      <c r="I2267">
        <v>0</v>
      </c>
      <c r="J2267">
        <v>0</v>
      </c>
      <c r="K2267">
        <v>0</v>
      </c>
      <c r="L2267">
        <v>0</v>
      </c>
      <c r="M2267">
        <v>0.49</v>
      </c>
      <c r="N2267" s="7" t="e">
        <f>VLOOKUP(F2267,HC!A$6:D$100,3,FALSE)</f>
        <v>#N/A</v>
      </c>
      <c r="O2267" s="7" t="e">
        <f>VLOOKUP(F2267,HC!A$6:D$1000,2,FALSE)</f>
        <v>#N/A</v>
      </c>
      <c r="P2267" t="s">
        <v>664</v>
      </c>
      <c r="Q2267" s="7" t="s">
        <v>708</v>
      </c>
      <c r="U2267">
        <f t="shared" si="37"/>
        <v>1395</v>
      </c>
    </row>
    <row r="2268" spans="1:21" ht="37.5" customHeight="1" x14ac:dyDescent="0.25">
      <c r="A2268" s="34">
        <v>45110</v>
      </c>
      <c r="B2268" s="13">
        <v>27</v>
      </c>
      <c r="C2268" t="s">
        <v>3</v>
      </c>
      <c r="D2268" t="s">
        <v>4</v>
      </c>
      <c r="E2268" t="s">
        <v>21</v>
      </c>
      <c r="F2268" s="6">
        <v>201298365</v>
      </c>
      <c r="G2268" t="s">
        <v>1152</v>
      </c>
      <c r="H2268" t="s">
        <v>268</v>
      </c>
      <c r="I2268">
        <v>0</v>
      </c>
      <c r="J2268">
        <v>0</v>
      </c>
      <c r="K2268">
        <v>0</v>
      </c>
      <c r="L2268">
        <v>0</v>
      </c>
      <c r="M2268">
        <v>0.56000000000000005</v>
      </c>
      <c r="N2268" s="7" t="e">
        <f>VLOOKUP(F2268,HC!A$6:D$100,3,FALSE)</f>
        <v>#N/A</v>
      </c>
      <c r="O2268" s="7" t="str">
        <f>VLOOKUP(F2268,HC!A$6:D$1000,2,FALSE)</f>
        <v>hernatle</v>
      </c>
      <c r="P2268" t="s">
        <v>665</v>
      </c>
      <c r="Q2268" s="7" t="s">
        <v>722</v>
      </c>
      <c r="U2268">
        <f t="shared" si="37"/>
        <v>2</v>
      </c>
    </row>
    <row r="2269" spans="1:21" ht="37.5" customHeight="1" x14ac:dyDescent="0.25">
      <c r="A2269" s="34">
        <v>45110</v>
      </c>
      <c r="B2269" s="13">
        <v>27</v>
      </c>
      <c r="C2269" t="s">
        <v>3</v>
      </c>
      <c r="D2269" t="s">
        <v>4</v>
      </c>
      <c r="E2269" t="s">
        <v>21</v>
      </c>
      <c r="F2269" s="6">
        <v>201314835</v>
      </c>
      <c r="G2269" t="s">
        <v>1060</v>
      </c>
      <c r="H2269" t="s">
        <v>263</v>
      </c>
      <c r="I2269">
        <v>0</v>
      </c>
      <c r="J2269">
        <v>0</v>
      </c>
      <c r="K2269">
        <v>0</v>
      </c>
      <c r="L2269">
        <v>0</v>
      </c>
      <c r="M2269">
        <v>0.1</v>
      </c>
      <c r="N2269" s="7" t="e">
        <f>VLOOKUP(F2269,HC!A$6:D$100,3,FALSE)</f>
        <v>#N/A</v>
      </c>
      <c r="O2269" s="7" t="e">
        <f>VLOOKUP(F2269,HC!A$6:D$1000,2,FALSE)</f>
        <v>#N/A</v>
      </c>
      <c r="P2269" t="s">
        <v>661</v>
      </c>
      <c r="Q2269" s="7" t="s">
        <v>681</v>
      </c>
      <c r="U2269">
        <f t="shared" si="37"/>
        <v>1395</v>
      </c>
    </row>
    <row r="2270" spans="1:21" ht="37.5" customHeight="1" x14ac:dyDescent="0.25">
      <c r="A2270" s="34">
        <v>45110</v>
      </c>
      <c r="B2270" s="13">
        <v>27</v>
      </c>
      <c r="C2270" t="s">
        <v>3</v>
      </c>
      <c r="D2270" t="s">
        <v>4</v>
      </c>
      <c r="E2270" t="s">
        <v>21</v>
      </c>
      <c r="F2270" s="6">
        <v>201368616</v>
      </c>
      <c r="G2270" t="s">
        <v>1125</v>
      </c>
      <c r="H2270" t="s">
        <v>285</v>
      </c>
      <c r="I2270">
        <v>0</v>
      </c>
      <c r="J2270">
        <v>0</v>
      </c>
      <c r="K2270">
        <v>0</v>
      </c>
      <c r="L2270">
        <v>0</v>
      </c>
      <c r="M2270">
        <v>0.26</v>
      </c>
      <c r="N2270" s="7" t="e">
        <f>VLOOKUP(F2270,HC!A$6:D$100,3,FALSE)</f>
        <v>#N/A</v>
      </c>
      <c r="O2270" s="7" t="e">
        <f>VLOOKUP(F2270,HC!A$6:D$1000,2,FALSE)</f>
        <v>#N/A</v>
      </c>
      <c r="P2270" t="s">
        <v>664</v>
      </c>
      <c r="Q2270" s="7" t="s">
        <v>710</v>
      </c>
      <c r="U2270">
        <f t="shared" si="37"/>
        <v>1395</v>
      </c>
    </row>
    <row r="2271" spans="1:21" ht="37.5" customHeight="1" x14ac:dyDescent="0.25">
      <c r="A2271" s="34">
        <v>45111</v>
      </c>
      <c r="B2271" s="13">
        <v>27</v>
      </c>
      <c r="C2271" t="s">
        <v>3</v>
      </c>
      <c r="D2271" t="s">
        <v>4</v>
      </c>
      <c r="E2271" t="s">
        <v>21</v>
      </c>
      <c r="F2271" s="6">
        <v>112912007</v>
      </c>
      <c r="G2271" t="s">
        <v>518</v>
      </c>
      <c r="H2271" t="s">
        <v>268</v>
      </c>
      <c r="I2271">
        <v>0</v>
      </c>
      <c r="J2271">
        <v>0</v>
      </c>
      <c r="K2271">
        <v>0</v>
      </c>
      <c r="L2271">
        <v>0</v>
      </c>
      <c r="M2271">
        <v>0.32</v>
      </c>
      <c r="N2271" s="7" t="e">
        <f>VLOOKUP(F2271,HC!A$6:D$100,3,FALSE)</f>
        <v>#N/A</v>
      </c>
      <c r="O2271" s="7" t="e">
        <f>VLOOKUP(F2271,HC!A$6:D$1000,2,FALSE)</f>
        <v>#N/A</v>
      </c>
      <c r="Q2271" s="7"/>
      <c r="R2271" t="s">
        <v>346</v>
      </c>
      <c r="U2271">
        <f t="shared" si="37"/>
        <v>1395</v>
      </c>
    </row>
    <row r="2272" spans="1:21" ht="37.5" customHeight="1" x14ac:dyDescent="0.25">
      <c r="A2272" s="34">
        <v>45111</v>
      </c>
      <c r="B2272" s="13">
        <v>27</v>
      </c>
      <c r="C2272" t="s">
        <v>3</v>
      </c>
      <c r="D2272" t="s">
        <v>4</v>
      </c>
      <c r="E2272" t="s">
        <v>5</v>
      </c>
      <c r="F2272" s="6">
        <v>112912745</v>
      </c>
      <c r="G2272" t="s">
        <v>478</v>
      </c>
      <c r="H2272" t="s">
        <v>268</v>
      </c>
      <c r="I2272">
        <v>0</v>
      </c>
      <c r="J2272">
        <v>0</v>
      </c>
      <c r="K2272">
        <v>0</v>
      </c>
      <c r="L2272">
        <v>0</v>
      </c>
      <c r="M2272">
        <v>0.31</v>
      </c>
      <c r="N2272" s="7" t="str">
        <f>VLOOKUP(F2272,HC!A$6:D$100,3,FALSE)</f>
        <v>DA-X0700</v>
      </c>
      <c r="O2272" s="7" t="str">
        <f>VLOOKUP(F2272,HC!A$6:D$1000,2,FALSE)</f>
        <v>nalexgom</v>
      </c>
      <c r="P2272" t="s">
        <v>664</v>
      </c>
      <c r="Q2272" s="7" t="s">
        <v>708</v>
      </c>
      <c r="U2272">
        <f t="shared" si="37"/>
        <v>22</v>
      </c>
    </row>
    <row r="2273" spans="1:21" ht="37.5" customHeight="1" x14ac:dyDescent="0.25">
      <c r="A2273" s="34">
        <v>45111</v>
      </c>
      <c r="B2273" s="13">
        <v>27</v>
      </c>
      <c r="C2273" t="s">
        <v>3</v>
      </c>
      <c r="D2273" t="s">
        <v>4</v>
      </c>
      <c r="E2273" t="s">
        <v>5</v>
      </c>
      <c r="F2273" s="6">
        <v>112971997</v>
      </c>
      <c r="G2273" t="s">
        <v>928</v>
      </c>
      <c r="H2273" t="s">
        <v>250</v>
      </c>
      <c r="I2273">
        <v>0</v>
      </c>
      <c r="J2273">
        <v>0</v>
      </c>
      <c r="K2273">
        <v>0</v>
      </c>
      <c r="L2273">
        <v>0</v>
      </c>
      <c r="M2273">
        <v>0.38</v>
      </c>
      <c r="N2273" s="7" t="str">
        <f>VLOOKUP(F2273,HC!A$6:D$100,3,FALSE)</f>
        <v>DA-X0700</v>
      </c>
      <c r="O2273" s="7" t="str">
        <f>VLOOKUP(F2273,HC!A$6:D$1000,2,FALSE)</f>
        <v>cemilini</v>
      </c>
      <c r="P2273" t="s">
        <v>661</v>
      </c>
      <c r="Q2273" s="7" t="s">
        <v>681</v>
      </c>
      <c r="U2273">
        <f t="shared" si="37"/>
        <v>10</v>
      </c>
    </row>
    <row r="2274" spans="1:21" ht="37.5" customHeight="1" x14ac:dyDescent="0.25">
      <c r="A2274" s="34">
        <v>45111</v>
      </c>
      <c r="B2274" s="13">
        <v>27</v>
      </c>
      <c r="C2274" t="s">
        <v>3</v>
      </c>
      <c r="D2274" t="s">
        <v>4</v>
      </c>
      <c r="E2274" t="s">
        <v>5</v>
      </c>
      <c r="F2274" s="6">
        <v>112981061</v>
      </c>
      <c r="G2274" t="s">
        <v>264</v>
      </c>
      <c r="H2274" t="s">
        <v>44</v>
      </c>
      <c r="I2274">
        <v>0</v>
      </c>
      <c r="J2274">
        <v>0</v>
      </c>
      <c r="K2274">
        <v>0</v>
      </c>
      <c r="L2274">
        <v>0</v>
      </c>
      <c r="M2274">
        <v>0.61</v>
      </c>
      <c r="N2274" s="7" t="str">
        <f>VLOOKUP(F2274,HC!A$6:D$100,3,FALSE)</f>
        <v>DA-X0700</v>
      </c>
      <c r="O2274" s="7" t="str">
        <f>VLOOKUP(F2274,HC!A$6:D$1000,2,FALSE)</f>
        <v>mclaudol</v>
      </c>
      <c r="P2274" t="s">
        <v>661</v>
      </c>
      <c r="Q2274" s="7" t="s">
        <v>681</v>
      </c>
      <c r="U2274">
        <f t="shared" si="37"/>
        <v>44</v>
      </c>
    </row>
    <row r="2275" spans="1:21" ht="37.5" customHeight="1" x14ac:dyDescent="0.25">
      <c r="A2275" s="34">
        <v>45111</v>
      </c>
      <c r="B2275" s="13">
        <v>27</v>
      </c>
      <c r="C2275" t="s">
        <v>3</v>
      </c>
      <c r="D2275" t="s">
        <v>4</v>
      </c>
      <c r="E2275" t="s">
        <v>5</v>
      </c>
      <c r="F2275" s="6">
        <v>112981212</v>
      </c>
      <c r="G2275" t="s">
        <v>573</v>
      </c>
      <c r="H2275" t="s">
        <v>44</v>
      </c>
      <c r="I2275">
        <v>0</v>
      </c>
      <c r="J2275">
        <v>0</v>
      </c>
      <c r="K2275">
        <v>0</v>
      </c>
      <c r="L2275">
        <v>0</v>
      </c>
      <c r="M2275">
        <v>0.37</v>
      </c>
      <c r="N2275" s="7" t="e">
        <f>VLOOKUP(F2275,HC!A$6:D$100,3,FALSE)</f>
        <v>#N/A</v>
      </c>
      <c r="O2275" s="7" t="str">
        <f>VLOOKUP(F2275,HC!A$6:D$1000,2,FALSE)</f>
        <v>alysonza</v>
      </c>
      <c r="P2275" t="s">
        <v>663</v>
      </c>
      <c r="Q2275" s="7" t="s">
        <v>695</v>
      </c>
      <c r="U2275">
        <f t="shared" si="37"/>
        <v>23</v>
      </c>
    </row>
    <row r="2276" spans="1:21" ht="37.5" customHeight="1" x14ac:dyDescent="0.25">
      <c r="A2276" s="34">
        <v>45111</v>
      </c>
      <c r="B2276" s="13">
        <v>27</v>
      </c>
      <c r="C2276" t="s">
        <v>3</v>
      </c>
      <c r="D2276" t="s">
        <v>4</v>
      </c>
      <c r="E2276" t="s">
        <v>5</v>
      </c>
      <c r="F2276" s="6">
        <v>113004017</v>
      </c>
      <c r="G2276" t="s">
        <v>922</v>
      </c>
      <c r="H2276" t="s">
        <v>47</v>
      </c>
      <c r="I2276">
        <v>0</v>
      </c>
      <c r="J2276">
        <v>0</v>
      </c>
      <c r="K2276">
        <v>0</v>
      </c>
      <c r="L2276">
        <v>0</v>
      </c>
      <c r="M2276">
        <v>0.75</v>
      </c>
      <c r="N2276" s="7" t="e">
        <f>VLOOKUP(F2276,HC!A$6:D$100,3,FALSE)</f>
        <v>#N/A</v>
      </c>
      <c r="O2276" s="7" t="e">
        <f>VLOOKUP(F2276,HC!A$6:D$1000,2,FALSE)</f>
        <v>#N/A</v>
      </c>
      <c r="P2276" t="s">
        <v>666</v>
      </c>
      <c r="Q2276" s="7" t="s">
        <v>774</v>
      </c>
      <c r="U2276">
        <f t="shared" si="37"/>
        <v>1395</v>
      </c>
    </row>
    <row r="2277" spans="1:21" ht="37.5" customHeight="1" x14ac:dyDescent="0.25">
      <c r="A2277" s="34">
        <v>45111</v>
      </c>
      <c r="B2277" s="13">
        <v>27</v>
      </c>
      <c r="C2277" t="s">
        <v>3</v>
      </c>
      <c r="D2277" t="s">
        <v>4</v>
      </c>
      <c r="E2277" t="s">
        <v>5</v>
      </c>
      <c r="F2277" s="6">
        <v>113101453</v>
      </c>
      <c r="G2277" t="s">
        <v>50</v>
      </c>
      <c r="H2277" t="s">
        <v>44</v>
      </c>
      <c r="I2277">
        <v>0</v>
      </c>
      <c r="J2277">
        <v>0</v>
      </c>
      <c r="K2277">
        <v>0</v>
      </c>
      <c r="L2277">
        <v>0</v>
      </c>
      <c r="M2277">
        <v>0.15</v>
      </c>
      <c r="N2277" s="7" t="e">
        <f>VLOOKUP(F2277,HC!A$6:D$100,3,FALSE)</f>
        <v>#N/A</v>
      </c>
      <c r="O2277" s="7" t="str">
        <f>VLOOKUP(F2277,HC!A$6:D$1000,2,FALSE)</f>
        <v>qisgeova</v>
      </c>
      <c r="P2277" t="s">
        <v>670</v>
      </c>
      <c r="Q2277" s="7" t="s">
        <v>748</v>
      </c>
      <c r="U2277">
        <f t="shared" si="37"/>
        <v>57</v>
      </c>
    </row>
    <row r="2278" spans="1:21" ht="37.5" customHeight="1" x14ac:dyDescent="0.25">
      <c r="A2278" s="34">
        <v>45111</v>
      </c>
      <c r="B2278" s="13">
        <v>27</v>
      </c>
      <c r="C2278" t="s">
        <v>3</v>
      </c>
      <c r="D2278" t="s">
        <v>4</v>
      </c>
      <c r="E2278" t="s">
        <v>5</v>
      </c>
      <c r="F2278" s="6">
        <v>200404250</v>
      </c>
      <c r="G2278" t="s">
        <v>51</v>
      </c>
      <c r="H2278" t="s">
        <v>298</v>
      </c>
      <c r="I2278">
        <v>0</v>
      </c>
      <c r="J2278">
        <v>0</v>
      </c>
      <c r="K2278">
        <v>0</v>
      </c>
      <c r="L2278">
        <v>0</v>
      </c>
      <c r="M2278">
        <v>1.27</v>
      </c>
      <c r="N2278" s="7" t="e">
        <f>VLOOKUP(F2278,HC!A$6:D$100,3,FALSE)</f>
        <v>#N/A</v>
      </c>
      <c r="O2278" s="7" t="str">
        <f>VLOOKUP(F2278,HC!A$6:D$1000,2,FALSE)</f>
        <v>xcathurt</v>
      </c>
      <c r="P2278" t="s">
        <v>662</v>
      </c>
      <c r="Q2278" s="7" t="s">
        <v>785</v>
      </c>
      <c r="U2278">
        <f t="shared" si="37"/>
        <v>124</v>
      </c>
    </row>
    <row r="2279" spans="1:21" ht="37.5" customHeight="1" x14ac:dyDescent="0.25">
      <c r="A2279" s="34">
        <v>45111</v>
      </c>
      <c r="B2279" s="13">
        <v>27</v>
      </c>
      <c r="C2279" t="s">
        <v>3</v>
      </c>
      <c r="D2279" t="s">
        <v>4</v>
      </c>
      <c r="E2279" t="s">
        <v>5</v>
      </c>
      <c r="F2279" s="6">
        <v>200562303</v>
      </c>
      <c r="G2279" t="s">
        <v>629</v>
      </c>
      <c r="H2279" t="s">
        <v>44</v>
      </c>
      <c r="I2279">
        <v>0</v>
      </c>
      <c r="J2279">
        <v>0</v>
      </c>
      <c r="K2279">
        <v>0</v>
      </c>
      <c r="L2279">
        <v>0</v>
      </c>
      <c r="M2279">
        <v>0.1</v>
      </c>
      <c r="N2279" s="7" t="e">
        <f>VLOOKUP(F2279,HC!A$6:D$100,3,FALSE)</f>
        <v>#N/A</v>
      </c>
      <c r="O2279" s="7" t="str">
        <f>VLOOKUP(F2279,HC!A$6:D$1000,2,FALSE)</f>
        <v>hejorgea</v>
      </c>
      <c r="P2279" t="s">
        <v>662</v>
      </c>
      <c r="Q2279" s="7" t="s">
        <v>688</v>
      </c>
      <c r="U2279">
        <f t="shared" si="37"/>
        <v>7</v>
      </c>
    </row>
    <row r="2280" spans="1:21" ht="37.5" customHeight="1" x14ac:dyDescent="0.25">
      <c r="A2280" s="34">
        <v>45111</v>
      </c>
      <c r="B2280" s="13">
        <v>27</v>
      </c>
      <c r="C2280" t="s">
        <v>3</v>
      </c>
      <c r="D2280" t="s">
        <v>4</v>
      </c>
      <c r="E2280" t="s">
        <v>5</v>
      </c>
      <c r="F2280" s="6">
        <v>200574655</v>
      </c>
      <c r="G2280" t="s">
        <v>630</v>
      </c>
      <c r="H2280" t="s">
        <v>44</v>
      </c>
      <c r="I2280">
        <v>0</v>
      </c>
      <c r="J2280">
        <v>0</v>
      </c>
      <c r="K2280">
        <v>0</v>
      </c>
      <c r="L2280">
        <v>0</v>
      </c>
      <c r="M2280">
        <v>1.08</v>
      </c>
      <c r="N2280" s="7" t="e">
        <f>VLOOKUP(F2280,HC!A$6:D$100,3,FALSE)</f>
        <v>#N/A</v>
      </c>
      <c r="O2280" s="7" t="str">
        <f>VLOOKUP(F2280,HC!A$6:D$1000,2,FALSE)</f>
        <v>dulceami</v>
      </c>
      <c r="P2280" t="s">
        <v>661</v>
      </c>
      <c r="Q2280" s="7" t="s">
        <v>681</v>
      </c>
      <c r="U2280">
        <f t="shared" si="37"/>
        <v>20</v>
      </c>
    </row>
    <row r="2281" spans="1:21" ht="37.5" customHeight="1" x14ac:dyDescent="0.25">
      <c r="A2281" s="34">
        <v>45111</v>
      </c>
      <c r="B2281" s="13">
        <v>27</v>
      </c>
      <c r="C2281" t="s">
        <v>3</v>
      </c>
      <c r="D2281" t="s">
        <v>4</v>
      </c>
      <c r="E2281" t="s">
        <v>5</v>
      </c>
      <c r="F2281" s="6">
        <v>200625517</v>
      </c>
      <c r="G2281" t="s">
        <v>323</v>
      </c>
      <c r="H2281" t="s">
        <v>44</v>
      </c>
      <c r="I2281">
        <v>0</v>
      </c>
      <c r="J2281">
        <v>0</v>
      </c>
      <c r="K2281">
        <v>0</v>
      </c>
      <c r="L2281">
        <v>0</v>
      </c>
      <c r="M2281">
        <v>0.5</v>
      </c>
      <c r="N2281" s="7" t="e">
        <f>VLOOKUP(F2281,HC!A$6:D$100,3,FALSE)</f>
        <v>#N/A</v>
      </c>
      <c r="O2281" s="7" t="e">
        <f>VLOOKUP(F2281,HC!A$6:D$1000,2,FALSE)</f>
        <v>#N/A</v>
      </c>
      <c r="P2281" t="s">
        <v>663</v>
      </c>
      <c r="Q2281" s="7" t="s">
        <v>695</v>
      </c>
      <c r="U2281">
        <f t="shared" si="37"/>
        <v>1395</v>
      </c>
    </row>
    <row r="2282" spans="1:21" ht="37.5" customHeight="1" x14ac:dyDescent="0.25">
      <c r="A2282" s="34">
        <v>45111</v>
      </c>
      <c r="B2282" s="13">
        <v>27</v>
      </c>
      <c r="C2282" t="s">
        <v>3</v>
      </c>
      <c r="D2282" t="s">
        <v>4</v>
      </c>
      <c r="E2282" t="s">
        <v>21</v>
      </c>
      <c r="F2282" s="6">
        <v>201165769</v>
      </c>
      <c r="G2282" t="s">
        <v>903</v>
      </c>
      <c r="H2282" t="s">
        <v>285</v>
      </c>
      <c r="I2282">
        <v>0</v>
      </c>
      <c r="J2282">
        <v>0</v>
      </c>
      <c r="K2282">
        <v>0</v>
      </c>
      <c r="L2282">
        <v>0</v>
      </c>
      <c r="M2282">
        <v>0.19</v>
      </c>
      <c r="N2282" s="7" t="e">
        <f>VLOOKUP(F2282,HC!A$6:D$100,3,FALSE)</f>
        <v>#N/A</v>
      </c>
      <c r="O2282" s="7" t="str">
        <f>VLOOKUP(F2282,HC!A$6:D$1000,2,FALSE)</f>
        <v>puenkare</v>
      </c>
      <c r="P2282" t="s">
        <v>664</v>
      </c>
      <c r="Q2282" s="7" t="s">
        <v>708</v>
      </c>
      <c r="U2282">
        <f t="shared" si="37"/>
        <v>19</v>
      </c>
    </row>
    <row r="2283" spans="1:21" ht="37.5" customHeight="1" x14ac:dyDescent="0.25">
      <c r="A2283" s="34">
        <v>45111</v>
      </c>
      <c r="B2283" s="13">
        <v>27</v>
      </c>
      <c r="C2283" t="s">
        <v>3</v>
      </c>
      <c r="D2283" t="s">
        <v>4</v>
      </c>
      <c r="E2283" t="s">
        <v>21</v>
      </c>
      <c r="F2283" s="6">
        <v>201172306</v>
      </c>
      <c r="G2283" t="s">
        <v>970</v>
      </c>
      <c r="H2283" t="s">
        <v>268</v>
      </c>
      <c r="I2283">
        <v>0</v>
      </c>
      <c r="J2283">
        <v>0</v>
      </c>
      <c r="K2283">
        <v>0</v>
      </c>
      <c r="L2283">
        <v>0</v>
      </c>
      <c r="M2283">
        <v>0.37</v>
      </c>
      <c r="N2283" s="7" t="e">
        <f>VLOOKUP(F2283,HC!A$6:D$100,3,FALSE)</f>
        <v>#N/A</v>
      </c>
      <c r="O2283" s="7" t="str">
        <f>VLOOKUP(F2283,HC!A$6:D$1000,2,FALSE)</f>
        <v>cesarvae</v>
      </c>
      <c r="P2283" t="s">
        <v>664</v>
      </c>
      <c r="Q2283" s="7" t="s">
        <v>710</v>
      </c>
      <c r="U2283">
        <f t="shared" si="37"/>
        <v>17</v>
      </c>
    </row>
    <row r="2284" spans="1:21" ht="37.5" customHeight="1" x14ac:dyDescent="0.25">
      <c r="A2284" s="34">
        <v>45111</v>
      </c>
      <c r="B2284" s="13">
        <v>27</v>
      </c>
      <c r="C2284" t="s">
        <v>3</v>
      </c>
      <c r="D2284" t="s">
        <v>4</v>
      </c>
      <c r="E2284" t="s">
        <v>21</v>
      </c>
      <c r="F2284" s="6">
        <v>201212196</v>
      </c>
      <c r="G2284" t="s">
        <v>958</v>
      </c>
      <c r="H2284" t="s">
        <v>17</v>
      </c>
      <c r="I2284">
        <v>0</v>
      </c>
      <c r="J2284">
        <v>0</v>
      </c>
      <c r="K2284">
        <v>0</v>
      </c>
      <c r="L2284">
        <v>0</v>
      </c>
      <c r="M2284">
        <v>0.34</v>
      </c>
      <c r="N2284" s="7" t="e">
        <f>VLOOKUP(F2284,HC!A$6:D$100,3,FALSE)</f>
        <v>#N/A</v>
      </c>
      <c r="O2284" s="7" t="e">
        <f>VLOOKUP(F2284,HC!A$6:D$1000,2,FALSE)</f>
        <v>#N/A</v>
      </c>
      <c r="P2284" t="s">
        <v>661</v>
      </c>
      <c r="Q2284" s="7" t="s">
        <v>681</v>
      </c>
      <c r="U2284">
        <f t="shared" si="37"/>
        <v>1395</v>
      </c>
    </row>
    <row r="2285" spans="1:21" ht="37.5" customHeight="1" x14ac:dyDescent="0.25">
      <c r="A2285" s="34">
        <v>45111</v>
      </c>
      <c r="B2285" s="13">
        <v>27</v>
      </c>
      <c r="C2285" t="s">
        <v>3</v>
      </c>
      <c r="D2285" t="s">
        <v>4</v>
      </c>
      <c r="E2285" t="s">
        <v>21</v>
      </c>
      <c r="F2285" s="6">
        <v>201314835</v>
      </c>
      <c r="G2285" t="s">
        <v>1060</v>
      </c>
      <c r="H2285" t="s">
        <v>263</v>
      </c>
      <c r="I2285">
        <v>0</v>
      </c>
      <c r="J2285">
        <v>0</v>
      </c>
      <c r="K2285">
        <v>0</v>
      </c>
      <c r="L2285">
        <v>0</v>
      </c>
      <c r="M2285">
        <v>0.46</v>
      </c>
      <c r="N2285" s="7" t="e">
        <f>VLOOKUP(F2285,HC!A$6:D$100,3,FALSE)</f>
        <v>#N/A</v>
      </c>
      <c r="O2285" s="7" t="e">
        <f>VLOOKUP(F2285,HC!A$6:D$1000,2,FALSE)</f>
        <v>#N/A</v>
      </c>
      <c r="P2285" t="s">
        <v>661</v>
      </c>
      <c r="Q2285" s="7" t="s">
        <v>681</v>
      </c>
      <c r="U2285">
        <f t="shared" si="37"/>
        <v>1395</v>
      </c>
    </row>
    <row r="2286" spans="1:21" ht="37.5" customHeight="1" x14ac:dyDescent="0.25">
      <c r="A2286" s="34">
        <v>45111</v>
      </c>
      <c r="B2286" s="13">
        <v>27</v>
      </c>
      <c r="C2286" t="s">
        <v>3</v>
      </c>
      <c r="D2286" t="s">
        <v>4</v>
      </c>
      <c r="E2286" t="s">
        <v>21</v>
      </c>
      <c r="F2286" s="6">
        <v>201374875</v>
      </c>
      <c r="G2286" t="s">
        <v>1088</v>
      </c>
      <c r="H2286" t="s">
        <v>263</v>
      </c>
      <c r="I2286">
        <v>0</v>
      </c>
      <c r="J2286">
        <v>0</v>
      </c>
      <c r="K2286">
        <v>0</v>
      </c>
      <c r="L2286">
        <v>0</v>
      </c>
      <c r="M2286">
        <v>0.38</v>
      </c>
      <c r="N2286" s="7" t="e">
        <f>VLOOKUP(F2286,HC!A$6:D$100,3,FALSE)</f>
        <v>#N/A</v>
      </c>
      <c r="O2286" s="7" t="e">
        <f>VLOOKUP(F2286,HC!A$6:D$1000,2,FALSE)</f>
        <v>#N/A</v>
      </c>
      <c r="P2286" t="s">
        <v>661</v>
      </c>
      <c r="Q2286" s="7" t="s">
        <v>681</v>
      </c>
      <c r="U2286">
        <f t="shared" si="37"/>
        <v>1395</v>
      </c>
    </row>
    <row r="2287" spans="1:21" ht="37.5" customHeight="1" x14ac:dyDescent="0.25">
      <c r="A2287" s="34">
        <v>45112</v>
      </c>
      <c r="B2287" s="13">
        <v>27</v>
      </c>
      <c r="C2287" t="s">
        <v>3</v>
      </c>
      <c r="D2287" t="s">
        <v>4</v>
      </c>
      <c r="E2287" t="s">
        <v>5</v>
      </c>
      <c r="F2287" s="6">
        <v>112912209</v>
      </c>
      <c r="G2287" t="s">
        <v>671</v>
      </c>
      <c r="H2287" t="s">
        <v>403</v>
      </c>
      <c r="I2287">
        <v>0</v>
      </c>
      <c r="J2287">
        <v>0</v>
      </c>
      <c r="K2287">
        <v>0</v>
      </c>
      <c r="L2287">
        <v>0</v>
      </c>
      <c r="M2287">
        <v>0.85</v>
      </c>
      <c r="N2287" s="7" t="str">
        <f>VLOOKUP(F2287,HC!A$6:D$100,3,FALSE)</f>
        <v>NF-X1900</v>
      </c>
      <c r="O2287" s="7" t="str">
        <f>VLOOKUP(F2287,HC!A$6:D$1000,2,FALSE)</f>
        <v>moralefs</v>
      </c>
      <c r="Q2287" s="7"/>
      <c r="U2287">
        <f t="shared" si="37"/>
        <v>11</v>
      </c>
    </row>
    <row r="2288" spans="1:21" ht="37.5" customHeight="1" x14ac:dyDescent="0.25">
      <c r="A2288" s="34">
        <v>45112</v>
      </c>
      <c r="B2288" s="13">
        <v>27</v>
      </c>
      <c r="C2288" t="s">
        <v>3</v>
      </c>
      <c r="D2288" t="s">
        <v>4</v>
      </c>
      <c r="E2288" t="s">
        <v>5</v>
      </c>
      <c r="F2288" s="6">
        <v>112920637</v>
      </c>
      <c r="G2288" t="s">
        <v>426</v>
      </c>
      <c r="H2288" t="s">
        <v>282</v>
      </c>
      <c r="I2288">
        <v>0</v>
      </c>
      <c r="J2288">
        <v>0</v>
      </c>
      <c r="K2288">
        <v>0</v>
      </c>
      <c r="L2288">
        <v>0</v>
      </c>
      <c r="M2288">
        <v>0.57999999999999996</v>
      </c>
      <c r="N2288" s="7" t="str">
        <f>VLOOKUP(F2288,HC!A$6:D$100,3,FALSE)</f>
        <v>DB-X0700</v>
      </c>
      <c r="O2288" s="7" t="str">
        <f>VLOOKUP(F2288,HC!A$6:D$1000,2,FALSE)</f>
        <v>antonitq</v>
      </c>
      <c r="Q2288" s="7"/>
      <c r="U2288">
        <f t="shared" si="37"/>
        <v>9</v>
      </c>
    </row>
    <row r="2289" spans="1:21" ht="37.5" customHeight="1" x14ac:dyDescent="0.25">
      <c r="A2289" s="34">
        <v>45112</v>
      </c>
      <c r="B2289" s="13">
        <v>27</v>
      </c>
      <c r="C2289" t="s">
        <v>3</v>
      </c>
      <c r="D2289" t="s">
        <v>4</v>
      </c>
      <c r="E2289" t="s">
        <v>5</v>
      </c>
      <c r="F2289" s="6">
        <v>112971962</v>
      </c>
      <c r="G2289" t="s">
        <v>338</v>
      </c>
      <c r="H2289" t="s">
        <v>17</v>
      </c>
      <c r="I2289">
        <v>0</v>
      </c>
      <c r="J2289">
        <v>0</v>
      </c>
      <c r="K2289">
        <v>0</v>
      </c>
      <c r="L2289">
        <v>0</v>
      </c>
      <c r="M2289">
        <v>0.15</v>
      </c>
      <c r="N2289" s="7" t="str">
        <f>VLOOKUP(F2289,HC!A$6:D$100,3,FALSE)</f>
        <v>DB-X0700</v>
      </c>
      <c r="O2289" s="7" t="str">
        <f>VLOOKUP(F2289,HC!A$6:D$1000,2,FALSE)</f>
        <v>creyesal</v>
      </c>
      <c r="P2289" t="s">
        <v>662</v>
      </c>
      <c r="Q2289" s="7" t="s">
        <v>688</v>
      </c>
      <c r="U2289">
        <f t="shared" si="37"/>
        <v>38</v>
      </c>
    </row>
    <row r="2290" spans="1:21" ht="37.5" customHeight="1" x14ac:dyDescent="0.25">
      <c r="A2290" s="34">
        <v>45112</v>
      </c>
      <c r="B2290" s="13">
        <v>27</v>
      </c>
      <c r="C2290" t="s">
        <v>3</v>
      </c>
      <c r="D2290" t="s">
        <v>4</v>
      </c>
      <c r="E2290" t="s">
        <v>5</v>
      </c>
      <c r="F2290" s="6">
        <v>112972521</v>
      </c>
      <c r="G2290" t="s">
        <v>1149</v>
      </c>
      <c r="H2290" t="s">
        <v>250</v>
      </c>
      <c r="I2290">
        <v>0</v>
      </c>
      <c r="J2290">
        <v>0</v>
      </c>
      <c r="K2290">
        <v>0</v>
      </c>
      <c r="L2290">
        <v>0</v>
      </c>
      <c r="M2290">
        <v>0.34</v>
      </c>
      <c r="N2290" s="7" t="str">
        <f>VLOOKUP(F2290,HC!A$6:D$100,3,FALSE)</f>
        <v>DB-X0700</v>
      </c>
      <c r="O2290" s="7" t="str">
        <f>VLOOKUP(F2290,HC!A$6:D$1000,2,FALSE)</f>
        <v>perezrro</v>
      </c>
      <c r="P2290" t="s">
        <v>664</v>
      </c>
      <c r="Q2290" s="7" t="s">
        <v>711</v>
      </c>
      <c r="U2290">
        <f t="shared" si="37"/>
        <v>5</v>
      </c>
    </row>
    <row r="2291" spans="1:21" ht="37.5" customHeight="1" x14ac:dyDescent="0.25">
      <c r="A2291" s="34">
        <v>45112</v>
      </c>
      <c r="B2291" s="13">
        <v>27</v>
      </c>
      <c r="C2291" t="s">
        <v>3</v>
      </c>
      <c r="D2291" t="s">
        <v>4</v>
      </c>
      <c r="E2291" t="s">
        <v>5</v>
      </c>
      <c r="F2291" s="6">
        <v>112980899</v>
      </c>
      <c r="G2291" t="s">
        <v>396</v>
      </c>
      <c r="H2291" t="s">
        <v>1040</v>
      </c>
      <c r="I2291">
        <v>0</v>
      </c>
      <c r="J2291">
        <v>0</v>
      </c>
      <c r="K2291">
        <v>0</v>
      </c>
      <c r="L2291">
        <v>0</v>
      </c>
      <c r="M2291">
        <v>0.22</v>
      </c>
      <c r="N2291" s="7" t="str">
        <f>VLOOKUP(F2291,HC!A$6:D$100,3,FALSE)</f>
        <v>NF-X1900</v>
      </c>
      <c r="O2291" s="7" t="str">
        <f>VLOOKUP(F2291,HC!A$6:D$1000,2,FALSE)</f>
        <v>aravilac</v>
      </c>
      <c r="P2291" t="s">
        <v>664</v>
      </c>
      <c r="Q2291" s="7" t="s">
        <v>708</v>
      </c>
      <c r="U2291">
        <f t="shared" si="37"/>
        <v>33</v>
      </c>
    </row>
    <row r="2292" spans="1:21" ht="37.5" customHeight="1" x14ac:dyDescent="0.25">
      <c r="A2292" s="34">
        <v>45112</v>
      </c>
      <c r="B2292" s="13">
        <v>27</v>
      </c>
      <c r="C2292" t="s">
        <v>3</v>
      </c>
      <c r="D2292" t="s">
        <v>4</v>
      </c>
      <c r="E2292" t="s">
        <v>5</v>
      </c>
      <c r="F2292" s="6">
        <v>112981201</v>
      </c>
      <c r="G2292" t="s">
        <v>532</v>
      </c>
      <c r="H2292" t="s">
        <v>44</v>
      </c>
      <c r="I2292">
        <v>0</v>
      </c>
      <c r="J2292">
        <v>0</v>
      </c>
      <c r="K2292">
        <v>0</v>
      </c>
      <c r="L2292">
        <v>0</v>
      </c>
      <c r="M2292">
        <v>0.46</v>
      </c>
      <c r="N2292" s="7" t="e">
        <f>VLOOKUP(F2292,HC!A$6:D$100,3,FALSE)</f>
        <v>#N/A</v>
      </c>
      <c r="O2292" s="7" t="e">
        <f>VLOOKUP(F2292,HC!A$6:D$1000,2,FALSE)</f>
        <v>#N/A</v>
      </c>
      <c r="P2292" t="s">
        <v>661</v>
      </c>
      <c r="Q2292" s="7" t="s">
        <v>684</v>
      </c>
      <c r="U2292">
        <f t="shared" si="37"/>
        <v>1395</v>
      </c>
    </row>
    <row r="2293" spans="1:21" ht="37.5" customHeight="1" x14ac:dyDescent="0.25">
      <c r="A2293" s="34">
        <v>45112</v>
      </c>
      <c r="B2293" s="13">
        <v>27</v>
      </c>
      <c r="C2293" t="s">
        <v>3</v>
      </c>
      <c r="D2293" t="s">
        <v>4</v>
      </c>
      <c r="E2293" t="s">
        <v>5</v>
      </c>
      <c r="F2293" s="6">
        <v>112981212</v>
      </c>
      <c r="G2293" t="s">
        <v>573</v>
      </c>
      <c r="H2293" t="s">
        <v>44</v>
      </c>
      <c r="I2293">
        <v>0</v>
      </c>
      <c r="J2293">
        <v>0</v>
      </c>
      <c r="K2293">
        <v>0</v>
      </c>
      <c r="L2293">
        <v>0</v>
      </c>
      <c r="M2293">
        <v>0.82</v>
      </c>
      <c r="N2293" s="7" t="e">
        <f>VLOOKUP(F2293,HC!A$6:D$100,3,FALSE)</f>
        <v>#N/A</v>
      </c>
      <c r="O2293" s="7" t="str">
        <f>VLOOKUP(F2293,HC!A$6:D$1000,2,FALSE)</f>
        <v>alysonza</v>
      </c>
      <c r="P2293" t="s">
        <v>663</v>
      </c>
      <c r="Q2293" s="7" t="s">
        <v>692</v>
      </c>
      <c r="U2293">
        <f t="shared" si="37"/>
        <v>23</v>
      </c>
    </row>
    <row r="2294" spans="1:21" ht="37.5" customHeight="1" x14ac:dyDescent="0.25">
      <c r="A2294" s="34">
        <v>45112</v>
      </c>
      <c r="B2294" s="13">
        <v>27</v>
      </c>
      <c r="C2294" t="s">
        <v>3</v>
      </c>
      <c r="D2294" t="s">
        <v>4</v>
      </c>
      <c r="E2294" t="s">
        <v>5</v>
      </c>
      <c r="F2294" s="6">
        <v>113101453</v>
      </c>
      <c r="G2294" t="s">
        <v>50</v>
      </c>
      <c r="H2294" t="s">
        <v>44</v>
      </c>
      <c r="I2294">
        <v>0</v>
      </c>
      <c r="J2294">
        <v>0</v>
      </c>
      <c r="K2294">
        <v>0</v>
      </c>
      <c r="L2294">
        <v>0</v>
      </c>
      <c r="M2294">
        <v>0.1</v>
      </c>
      <c r="N2294" s="7" t="e">
        <f>VLOOKUP(F2294,HC!A$6:D$100,3,FALSE)</f>
        <v>#N/A</v>
      </c>
      <c r="O2294" s="7" t="str">
        <f>VLOOKUP(F2294,HC!A$6:D$1000,2,FALSE)</f>
        <v>qisgeova</v>
      </c>
      <c r="Q2294" s="7"/>
      <c r="U2294">
        <f t="shared" si="37"/>
        <v>57</v>
      </c>
    </row>
    <row r="2295" spans="1:21" ht="37.5" customHeight="1" x14ac:dyDescent="0.25">
      <c r="A2295" s="34">
        <v>45112</v>
      </c>
      <c r="B2295" s="13">
        <v>27</v>
      </c>
      <c r="C2295" t="s">
        <v>3</v>
      </c>
      <c r="D2295" t="s">
        <v>4</v>
      </c>
      <c r="E2295" t="s">
        <v>5</v>
      </c>
      <c r="F2295" s="6">
        <v>200404250</v>
      </c>
      <c r="G2295" t="s">
        <v>51</v>
      </c>
      <c r="H2295" t="s">
        <v>298</v>
      </c>
      <c r="I2295">
        <v>0</v>
      </c>
      <c r="J2295">
        <v>0</v>
      </c>
      <c r="K2295">
        <v>0</v>
      </c>
      <c r="L2295">
        <v>0</v>
      </c>
      <c r="M2295">
        <v>0.47</v>
      </c>
      <c r="N2295" s="7" t="e">
        <f>VLOOKUP(F2295,HC!A$6:D$100,3,FALSE)</f>
        <v>#N/A</v>
      </c>
      <c r="O2295" s="7" t="str">
        <f>VLOOKUP(F2295,HC!A$6:D$1000,2,FALSE)</f>
        <v>xcathurt</v>
      </c>
      <c r="P2295" t="s">
        <v>662</v>
      </c>
      <c r="Q2295" s="7" t="s">
        <v>785</v>
      </c>
      <c r="U2295">
        <f t="shared" si="37"/>
        <v>124</v>
      </c>
    </row>
    <row r="2296" spans="1:21" ht="37.5" customHeight="1" x14ac:dyDescent="0.25">
      <c r="A2296" s="34">
        <v>45112</v>
      </c>
      <c r="B2296" s="13">
        <v>27</v>
      </c>
      <c r="C2296" t="s">
        <v>3</v>
      </c>
      <c r="D2296" t="s">
        <v>4</v>
      </c>
      <c r="E2296" t="s">
        <v>5</v>
      </c>
      <c r="F2296" s="6">
        <v>200552734</v>
      </c>
      <c r="G2296" t="s">
        <v>492</v>
      </c>
      <c r="H2296" t="s">
        <v>7</v>
      </c>
      <c r="I2296">
        <v>0</v>
      </c>
      <c r="J2296">
        <v>0</v>
      </c>
      <c r="K2296">
        <v>0</v>
      </c>
      <c r="L2296">
        <v>0</v>
      </c>
      <c r="M2296">
        <v>0.36</v>
      </c>
      <c r="N2296" s="7" t="e">
        <f>VLOOKUP(F2296,HC!A$6:D$100,3,FALSE)</f>
        <v>#N/A</v>
      </c>
      <c r="O2296" s="7" t="e">
        <f>VLOOKUP(F2296,HC!A$6:D$1000,2,FALSE)</f>
        <v>#N/A</v>
      </c>
      <c r="P2296" t="s">
        <v>664</v>
      </c>
      <c r="Q2296" s="7" t="s">
        <v>717</v>
      </c>
      <c r="U2296">
        <f t="shared" si="37"/>
        <v>1395</v>
      </c>
    </row>
    <row r="2297" spans="1:21" ht="37.5" customHeight="1" x14ac:dyDescent="0.25">
      <c r="A2297" s="34">
        <v>45112</v>
      </c>
      <c r="B2297" s="13">
        <v>27</v>
      </c>
      <c r="C2297" t="s">
        <v>3</v>
      </c>
      <c r="D2297" t="s">
        <v>4</v>
      </c>
      <c r="E2297" t="s">
        <v>5</v>
      </c>
      <c r="F2297" s="6">
        <v>200564845</v>
      </c>
      <c r="G2297" t="s">
        <v>440</v>
      </c>
      <c r="H2297" t="s">
        <v>47</v>
      </c>
      <c r="I2297">
        <v>0</v>
      </c>
      <c r="J2297">
        <v>0</v>
      </c>
      <c r="K2297">
        <v>0</v>
      </c>
      <c r="L2297">
        <v>0</v>
      </c>
      <c r="M2297">
        <v>0.1</v>
      </c>
      <c r="N2297" s="7" t="e">
        <f>VLOOKUP(F2297,HC!A$6:D$100,3,FALSE)</f>
        <v>#N/A</v>
      </c>
      <c r="O2297" s="7" t="e">
        <f>VLOOKUP(F2297,HC!A$6:D$1000,2,FALSE)</f>
        <v>#N/A</v>
      </c>
      <c r="P2297" t="s">
        <v>663</v>
      </c>
      <c r="Q2297" s="7" t="s">
        <v>704</v>
      </c>
      <c r="U2297">
        <f t="shared" si="37"/>
        <v>1395</v>
      </c>
    </row>
    <row r="2298" spans="1:21" ht="37.5" customHeight="1" x14ac:dyDescent="0.25">
      <c r="A2298" s="34">
        <v>45112</v>
      </c>
      <c r="B2298" s="13">
        <v>27</v>
      </c>
      <c r="C2298" t="s">
        <v>3</v>
      </c>
      <c r="D2298" t="s">
        <v>4</v>
      </c>
      <c r="E2298" t="s">
        <v>21</v>
      </c>
      <c r="F2298" s="6">
        <v>201166890</v>
      </c>
      <c r="G2298" t="s">
        <v>998</v>
      </c>
      <c r="H2298" t="s">
        <v>298</v>
      </c>
      <c r="I2298">
        <v>0</v>
      </c>
      <c r="J2298">
        <v>0</v>
      </c>
      <c r="K2298">
        <v>0</v>
      </c>
      <c r="L2298">
        <v>0</v>
      </c>
      <c r="M2298">
        <v>0.11</v>
      </c>
      <c r="N2298" s="7" t="e">
        <f>VLOOKUP(F2298,HC!A$6:D$100,3,FALSE)</f>
        <v>#N/A</v>
      </c>
      <c r="O2298" s="7" t="str">
        <f>VLOOKUP(F2298,HC!A$6:D$1000,2,FALSE)</f>
        <v>lcabadan</v>
      </c>
      <c r="P2298" t="s">
        <v>662</v>
      </c>
      <c r="Q2298" s="7" t="s">
        <v>688</v>
      </c>
      <c r="U2298">
        <f t="shared" si="37"/>
        <v>24</v>
      </c>
    </row>
    <row r="2299" spans="1:21" ht="37.5" customHeight="1" x14ac:dyDescent="0.25">
      <c r="A2299" s="34">
        <v>45112</v>
      </c>
      <c r="B2299" s="13">
        <v>27</v>
      </c>
      <c r="C2299" t="s">
        <v>3</v>
      </c>
      <c r="D2299" t="s">
        <v>4</v>
      </c>
      <c r="E2299" t="s">
        <v>21</v>
      </c>
      <c r="F2299" s="6">
        <v>201219500</v>
      </c>
      <c r="G2299" t="s">
        <v>937</v>
      </c>
      <c r="H2299" t="s">
        <v>17</v>
      </c>
      <c r="I2299">
        <v>0</v>
      </c>
      <c r="J2299">
        <v>0</v>
      </c>
      <c r="K2299">
        <v>0</v>
      </c>
      <c r="L2299">
        <v>0</v>
      </c>
      <c r="M2299">
        <v>0.67</v>
      </c>
      <c r="N2299" s="7" t="e">
        <f>VLOOKUP(F2299,HC!A$6:D$100,3,FALSE)</f>
        <v>#N/A</v>
      </c>
      <c r="O2299" s="7" t="str">
        <f>VLOOKUP(F2299,HC!A$6:D$1000,2,FALSE)</f>
        <v>ramsmazy</v>
      </c>
      <c r="Q2299" s="7"/>
      <c r="R2299" t="s">
        <v>1153</v>
      </c>
      <c r="U2299">
        <f t="shared" si="37"/>
        <v>12</v>
      </c>
    </row>
    <row r="2300" spans="1:21" ht="37.5" customHeight="1" x14ac:dyDescent="0.25">
      <c r="A2300" s="34">
        <v>45113</v>
      </c>
      <c r="B2300" s="13">
        <v>27</v>
      </c>
      <c r="C2300" t="s">
        <v>3</v>
      </c>
      <c r="D2300" t="s">
        <v>4</v>
      </c>
      <c r="E2300" t="s">
        <v>5</v>
      </c>
      <c r="F2300" s="6">
        <v>103260242</v>
      </c>
      <c r="G2300" t="s">
        <v>793</v>
      </c>
      <c r="H2300" t="s">
        <v>17</v>
      </c>
      <c r="I2300">
        <v>0</v>
      </c>
      <c r="J2300">
        <v>0</v>
      </c>
      <c r="K2300">
        <v>0</v>
      </c>
      <c r="L2300">
        <v>0</v>
      </c>
      <c r="M2300">
        <v>0.08</v>
      </c>
      <c r="N2300" s="7" t="e">
        <f>VLOOKUP(F2300,HC!A$6:D$100,3,FALSE)</f>
        <v>#N/A</v>
      </c>
      <c r="O2300" s="7" t="e">
        <f>VLOOKUP(F2300,HC!A$6:D$1000,2,FALSE)</f>
        <v>#N/A</v>
      </c>
      <c r="P2300" t="s">
        <v>661</v>
      </c>
      <c r="Q2300" s="7" t="s">
        <v>701</v>
      </c>
      <c r="U2300">
        <f t="shared" si="37"/>
        <v>1395</v>
      </c>
    </row>
    <row r="2301" spans="1:21" ht="37.5" customHeight="1" x14ac:dyDescent="0.25">
      <c r="A2301" s="34">
        <v>45113</v>
      </c>
      <c r="B2301" s="13">
        <v>27</v>
      </c>
      <c r="C2301" t="s">
        <v>3</v>
      </c>
      <c r="D2301" t="s">
        <v>4</v>
      </c>
      <c r="E2301" t="s">
        <v>5</v>
      </c>
      <c r="F2301" s="6">
        <v>112920655</v>
      </c>
      <c r="G2301" t="s">
        <v>509</v>
      </c>
      <c r="H2301" t="s">
        <v>282</v>
      </c>
      <c r="I2301">
        <v>0</v>
      </c>
      <c r="J2301">
        <v>0</v>
      </c>
      <c r="K2301">
        <v>0</v>
      </c>
      <c r="L2301">
        <v>0</v>
      </c>
      <c r="M2301">
        <v>0.83</v>
      </c>
      <c r="N2301" s="7" t="e">
        <f>VLOOKUP(F2301,HC!A$6:D$100,3,FALSE)</f>
        <v>#N/A</v>
      </c>
      <c r="O2301" s="7" t="e">
        <f>VLOOKUP(F2301,HC!A$6:D$1000,2,FALSE)</f>
        <v>#N/A</v>
      </c>
      <c r="P2301" t="s">
        <v>664</v>
      </c>
      <c r="Q2301" s="7" t="s">
        <v>711</v>
      </c>
      <c r="U2301">
        <f t="shared" si="37"/>
        <v>1395</v>
      </c>
    </row>
    <row r="2302" spans="1:21" ht="37.5" customHeight="1" x14ac:dyDescent="0.25">
      <c r="A2302" s="34">
        <v>45113</v>
      </c>
      <c r="B2302" s="13">
        <v>27</v>
      </c>
      <c r="C2302" t="s">
        <v>3</v>
      </c>
      <c r="D2302" t="s">
        <v>4</v>
      </c>
      <c r="E2302" t="s">
        <v>5</v>
      </c>
      <c r="F2302" s="6">
        <v>112971988</v>
      </c>
      <c r="G2302" t="s">
        <v>596</v>
      </c>
      <c r="H2302" t="s">
        <v>459</v>
      </c>
      <c r="I2302">
        <v>0</v>
      </c>
      <c r="J2302">
        <v>0</v>
      </c>
      <c r="K2302">
        <v>0</v>
      </c>
      <c r="L2302">
        <v>0</v>
      </c>
      <c r="M2302">
        <v>0.08</v>
      </c>
      <c r="N2302" s="7" t="str">
        <f>VLOOKUP(F2302,HC!A$6:D$100,3,FALSE)</f>
        <v>DB-X0700</v>
      </c>
      <c r="O2302" s="7" t="str">
        <f>VLOOKUP(F2302,HC!A$6:D$1000,2,FALSE)</f>
        <v>fadtrejo</v>
      </c>
      <c r="P2302" t="s">
        <v>662</v>
      </c>
      <c r="Q2302" s="7" t="s">
        <v>688</v>
      </c>
      <c r="U2302">
        <f t="shared" si="37"/>
        <v>7</v>
      </c>
    </row>
    <row r="2303" spans="1:21" ht="37.5" customHeight="1" x14ac:dyDescent="0.25">
      <c r="A2303" s="34">
        <v>45113</v>
      </c>
      <c r="B2303" s="13">
        <v>27</v>
      </c>
      <c r="C2303" t="s">
        <v>3</v>
      </c>
      <c r="D2303" t="s">
        <v>4</v>
      </c>
      <c r="E2303" t="s">
        <v>5</v>
      </c>
      <c r="F2303" s="6">
        <v>113020476</v>
      </c>
      <c r="G2303" t="s">
        <v>330</v>
      </c>
      <c r="H2303" t="s">
        <v>7</v>
      </c>
      <c r="I2303">
        <v>0</v>
      </c>
      <c r="J2303">
        <v>0</v>
      </c>
      <c r="K2303">
        <v>0</v>
      </c>
      <c r="L2303">
        <v>0</v>
      </c>
      <c r="M2303">
        <v>0.22</v>
      </c>
      <c r="N2303" s="7" t="e">
        <f>VLOOKUP(F2303,HC!A$6:D$100,3,FALSE)</f>
        <v>#N/A</v>
      </c>
      <c r="O2303" s="7" t="str">
        <f>VLOOKUP(F2303,HC!A$6:D$1000,2,FALSE)</f>
        <v>polettpu</v>
      </c>
      <c r="P2303" t="s">
        <v>661</v>
      </c>
      <c r="Q2303" s="7" t="s">
        <v>700</v>
      </c>
      <c r="U2303">
        <f t="shared" si="37"/>
        <v>55</v>
      </c>
    </row>
    <row r="2304" spans="1:21" ht="37.5" customHeight="1" x14ac:dyDescent="0.25">
      <c r="A2304" s="34">
        <v>45113</v>
      </c>
      <c r="B2304" s="13">
        <v>27</v>
      </c>
      <c r="C2304" t="s">
        <v>3</v>
      </c>
      <c r="D2304" t="s">
        <v>4</v>
      </c>
      <c r="E2304" t="s">
        <v>5</v>
      </c>
      <c r="F2304" s="6">
        <v>113040582</v>
      </c>
      <c r="G2304" t="s">
        <v>625</v>
      </c>
      <c r="H2304" t="s">
        <v>44</v>
      </c>
      <c r="I2304">
        <v>0</v>
      </c>
      <c r="J2304">
        <v>0</v>
      </c>
      <c r="K2304">
        <v>0</v>
      </c>
      <c r="L2304">
        <v>0</v>
      </c>
      <c r="M2304">
        <v>0.25</v>
      </c>
      <c r="N2304" s="7" t="e">
        <f>VLOOKUP(F2304,HC!A$6:D$100,3,FALSE)</f>
        <v>#N/A</v>
      </c>
      <c r="O2304" s="7" t="str">
        <f>VLOOKUP(F2304,HC!A$6:D$1000,2,FALSE)</f>
        <v>hgerardr</v>
      </c>
      <c r="P2304" t="s">
        <v>662</v>
      </c>
      <c r="Q2304" s="7" t="s">
        <v>691</v>
      </c>
      <c r="U2304">
        <f t="shared" si="37"/>
        <v>15</v>
      </c>
    </row>
    <row r="2305" spans="1:21" ht="37.5" customHeight="1" x14ac:dyDescent="0.25">
      <c r="A2305" s="34">
        <v>45113</v>
      </c>
      <c r="B2305" s="13">
        <v>27</v>
      </c>
      <c r="C2305" t="s">
        <v>3</v>
      </c>
      <c r="D2305" t="s">
        <v>4</v>
      </c>
      <c r="E2305" t="s">
        <v>5</v>
      </c>
      <c r="F2305" s="6">
        <v>200404250</v>
      </c>
      <c r="G2305" t="s">
        <v>51</v>
      </c>
      <c r="H2305" t="s">
        <v>298</v>
      </c>
      <c r="I2305">
        <v>0</v>
      </c>
      <c r="J2305">
        <v>0</v>
      </c>
      <c r="K2305">
        <v>0</v>
      </c>
      <c r="L2305">
        <v>0</v>
      </c>
      <c r="M2305">
        <v>0.52</v>
      </c>
      <c r="N2305" s="7" t="e">
        <f>VLOOKUP(F2305,HC!A$6:D$100,3,FALSE)</f>
        <v>#N/A</v>
      </c>
      <c r="O2305" s="7" t="str">
        <f>VLOOKUP(F2305,HC!A$6:D$1000,2,FALSE)</f>
        <v>xcathurt</v>
      </c>
      <c r="P2305" t="s">
        <v>662</v>
      </c>
      <c r="Q2305" s="7" t="s">
        <v>785</v>
      </c>
      <c r="U2305">
        <f t="shared" si="37"/>
        <v>124</v>
      </c>
    </row>
    <row r="2306" spans="1:21" ht="37.5" customHeight="1" x14ac:dyDescent="0.25">
      <c r="A2306" s="34">
        <v>45113</v>
      </c>
      <c r="B2306" s="13">
        <v>27</v>
      </c>
      <c r="C2306" t="s">
        <v>3</v>
      </c>
      <c r="D2306" t="s">
        <v>4</v>
      </c>
      <c r="E2306" t="s">
        <v>5</v>
      </c>
      <c r="F2306" s="6">
        <v>200615883</v>
      </c>
      <c r="G2306" t="s">
        <v>508</v>
      </c>
      <c r="H2306" t="s">
        <v>47</v>
      </c>
      <c r="I2306">
        <v>0</v>
      </c>
      <c r="J2306">
        <v>0</v>
      </c>
      <c r="K2306">
        <v>0</v>
      </c>
      <c r="L2306">
        <v>0</v>
      </c>
      <c r="M2306">
        <v>0.32</v>
      </c>
      <c r="N2306" s="7" t="e">
        <f>VLOOKUP(F2306,HC!A$6:D$100,3,FALSE)</f>
        <v>#N/A</v>
      </c>
      <c r="O2306" s="7" t="e">
        <f>VLOOKUP(F2306,HC!A$6:D$1000,2,FALSE)</f>
        <v>#N/A</v>
      </c>
      <c r="P2306" t="s">
        <v>661</v>
      </c>
      <c r="Q2306" s="7" t="s">
        <v>684</v>
      </c>
      <c r="U2306">
        <f t="shared" si="37"/>
        <v>1395</v>
      </c>
    </row>
    <row r="2307" spans="1:21" ht="37.5" customHeight="1" x14ac:dyDescent="0.25">
      <c r="A2307" s="34">
        <v>45113</v>
      </c>
      <c r="B2307" s="13">
        <v>27</v>
      </c>
      <c r="C2307" t="s">
        <v>3</v>
      </c>
      <c r="D2307" t="s">
        <v>4</v>
      </c>
      <c r="E2307" t="s">
        <v>21</v>
      </c>
      <c r="F2307" s="6">
        <v>201159033</v>
      </c>
      <c r="G2307" t="s">
        <v>1154</v>
      </c>
      <c r="H2307" t="s">
        <v>49</v>
      </c>
      <c r="I2307">
        <v>0</v>
      </c>
      <c r="J2307">
        <v>0</v>
      </c>
      <c r="K2307">
        <v>0</v>
      </c>
      <c r="L2307">
        <v>0</v>
      </c>
      <c r="M2307">
        <v>0.17</v>
      </c>
      <c r="N2307" s="7" t="e">
        <f>VLOOKUP(F2307,HC!A$6:D$100,3,FALSE)</f>
        <v>#N/A</v>
      </c>
      <c r="O2307" s="7" t="str">
        <f>VLOOKUP(F2307,HC!A$6:D$1000,2,FALSE)</f>
        <v>monsarru</v>
      </c>
      <c r="P2307" t="s">
        <v>661</v>
      </c>
      <c r="Q2307" s="7" t="s">
        <v>681</v>
      </c>
      <c r="U2307">
        <f t="shared" ref="U2307:U2370" si="38">COUNTIF(O$2:O$4999,O2307)</f>
        <v>7</v>
      </c>
    </row>
    <row r="2308" spans="1:21" ht="37.5" customHeight="1" x14ac:dyDescent="0.25">
      <c r="A2308" s="34">
        <v>45113</v>
      </c>
      <c r="B2308" s="13">
        <v>27</v>
      </c>
      <c r="C2308" t="s">
        <v>3</v>
      </c>
      <c r="D2308" t="s">
        <v>4</v>
      </c>
      <c r="E2308" t="s">
        <v>21</v>
      </c>
      <c r="F2308" s="6">
        <v>201223730</v>
      </c>
      <c r="G2308" t="s">
        <v>933</v>
      </c>
      <c r="H2308" t="s">
        <v>49</v>
      </c>
      <c r="I2308">
        <v>0</v>
      </c>
      <c r="J2308">
        <v>0</v>
      </c>
      <c r="K2308">
        <v>0</v>
      </c>
      <c r="L2308">
        <v>0</v>
      </c>
      <c r="M2308">
        <v>0.33</v>
      </c>
      <c r="N2308" s="7" t="e">
        <f>VLOOKUP(F2308,HC!A$6:D$100,3,FALSE)</f>
        <v>#N/A</v>
      </c>
      <c r="O2308" s="7" t="str">
        <f>VLOOKUP(F2308,HC!A$6:D$1000,2,FALSE)</f>
        <v>cesarito</v>
      </c>
      <c r="Q2308" s="7"/>
      <c r="U2308">
        <f t="shared" si="38"/>
        <v>39</v>
      </c>
    </row>
    <row r="2309" spans="1:21" ht="37.5" customHeight="1" x14ac:dyDescent="0.25">
      <c r="A2309" s="34">
        <v>45114</v>
      </c>
      <c r="B2309" s="13">
        <v>27</v>
      </c>
      <c r="C2309" t="s">
        <v>3</v>
      </c>
      <c r="D2309" t="s">
        <v>4</v>
      </c>
      <c r="E2309" t="s">
        <v>5</v>
      </c>
      <c r="F2309" s="6">
        <v>112912511</v>
      </c>
      <c r="G2309" t="s">
        <v>1155</v>
      </c>
      <c r="H2309" t="s">
        <v>47</v>
      </c>
      <c r="I2309">
        <v>0</v>
      </c>
      <c r="J2309">
        <v>0</v>
      </c>
      <c r="K2309">
        <v>0</v>
      </c>
      <c r="L2309">
        <v>0</v>
      </c>
      <c r="M2309">
        <v>0.97</v>
      </c>
      <c r="N2309" s="7" t="str">
        <f>VLOOKUP(F2309,HC!A$6:D$100,3,FALSE)</f>
        <v>DB-X0700</v>
      </c>
      <c r="O2309" s="7" t="str">
        <f>VLOOKUP(F2309,HC!A$6:D$1000,2,FALSE)</f>
        <v>sergelor</v>
      </c>
      <c r="P2309" t="s">
        <v>664</v>
      </c>
      <c r="Q2309" s="7" t="s">
        <v>717</v>
      </c>
      <c r="U2309">
        <f t="shared" si="38"/>
        <v>4</v>
      </c>
    </row>
    <row r="2310" spans="1:21" ht="37.5" customHeight="1" x14ac:dyDescent="0.25">
      <c r="A2310" s="34">
        <v>45114</v>
      </c>
      <c r="B2310" s="13">
        <v>27</v>
      </c>
      <c r="C2310" t="s">
        <v>3</v>
      </c>
      <c r="D2310" t="s">
        <v>4</v>
      </c>
      <c r="E2310" t="s">
        <v>5</v>
      </c>
      <c r="F2310" s="6">
        <v>112912983</v>
      </c>
      <c r="G2310" t="s">
        <v>558</v>
      </c>
      <c r="H2310" t="s">
        <v>49</v>
      </c>
      <c r="I2310">
        <v>0</v>
      </c>
      <c r="J2310">
        <v>0</v>
      </c>
      <c r="K2310">
        <v>0</v>
      </c>
      <c r="L2310">
        <v>0</v>
      </c>
      <c r="M2310">
        <v>0.12</v>
      </c>
      <c r="N2310" s="7" t="str">
        <f>VLOOKUP(F2310,HC!A$6:D$100,3,FALSE)</f>
        <v>NF-X1900</v>
      </c>
      <c r="O2310" s="7" t="str">
        <f>VLOOKUP(F2310,HC!A$6:D$1000,2,FALSE)</f>
        <v>wrocirod</v>
      </c>
      <c r="P2310" t="s">
        <v>661</v>
      </c>
      <c r="Q2310" s="7" t="s">
        <v>681</v>
      </c>
      <c r="U2310">
        <f t="shared" si="38"/>
        <v>16</v>
      </c>
    </row>
    <row r="2311" spans="1:21" ht="37.5" customHeight="1" x14ac:dyDescent="0.25">
      <c r="A2311" s="34">
        <v>45114</v>
      </c>
      <c r="B2311" s="13">
        <v>27</v>
      </c>
      <c r="C2311" t="s">
        <v>3</v>
      </c>
      <c r="D2311" t="s">
        <v>4</v>
      </c>
      <c r="E2311" t="s">
        <v>5</v>
      </c>
      <c r="F2311" s="6">
        <v>113014072</v>
      </c>
      <c r="G2311" t="s">
        <v>491</v>
      </c>
      <c r="H2311" t="s">
        <v>7</v>
      </c>
      <c r="I2311">
        <v>0</v>
      </c>
      <c r="J2311">
        <v>0</v>
      </c>
      <c r="K2311">
        <v>0</v>
      </c>
      <c r="L2311">
        <v>0</v>
      </c>
      <c r="M2311">
        <v>0.15</v>
      </c>
      <c r="N2311" s="7" t="e">
        <f>VLOOKUP(F2311,HC!A$6:D$100,3,FALSE)</f>
        <v>#N/A</v>
      </c>
      <c r="O2311" s="7" t="e">
        <f>VLOOKUP(F2311,HC!A$6:D$1000,2,FALSE)</f>
        <v>#N/A</v>
      </c>
      <c r="P2311" t="s">
        <v>675</v>
      </c>
      <c r="Q2311" s="7"/>
      <c r="U2311">
        <f t="shared" si="38"/>
        <v>1395</v>
      </c>
    </row>
    <row r="2312" spans="1:21" ht="37.5" customHeight="1" x14ac:dyDescent="0.25">
      <c r="A2312" s="34">
        <v>45114</v>
      </c>
      <c r="B2312" s="13">
        <v>27</v>
      </c>
      <c r="C2312" t="s">
        <v>3</v>
      </c>
      <c r="D2312" t="s">
        <v>4</v>
      </c>
      <c r="E2312" t="s">
        <v>5</v>
      </c>
      <c r="F2312" s="6">
        <v>113020476</v>
      </c>
      <c r="G2312" t="s">
        <v>330</v>
      </c>
      <c r="H2312" t="s">
        <v>7</v>
      </c>
      <c r="I2312">
        <v>0</v>
      </c>
      <c r="J2312">
        <v>0</v>
      </c>
      <c r="K2312">
        <v>0</v>
      </c>
      <c r="L2312">
        <v>0</v>
      </c>
      <c r="M2312">
        <v>0.27</v>
      </c>
      <c r="N2312" s="7" t="e">
        <f>VLOOKUP(F2312,HC!A$6:D$100,3,FALSE)</f>
        <v>#N/A</v>
      </c>
      <c r="O2312" s="7" t="str">
        <f>VLOOKUP(F2312,HC!A$6:D$1000,2,FALSE)</f>
        <v>polettpu</v>
      </c>
      <c r="P2312" t="s">
        <v>664</v>
      </c>
      <c r="Q2312" s="7" t="s">
        <v>717</v>
      </c>
      <c r="U2312">
        <f t="shared" si="38"/>
        <v>55</v>
      </c>
    </row>
    <row r="2313" spans="1:21" ht="37.5" customHeight="1" x14ac:dyDescent="0.25">
      <c r="A2313" s="34">
        <v>45114</v>
      </c>
      <c r="B2313" s="13">
        <v>27</v>
      </c>
      <c r="C2313" t="s">
        <v>3</v>
      </c>
      <c r="D2313" t="s">
        <v>4</v>
      </c>
      <c r="E2313" t="s">
        <v>21</v>
      </c>
      <c r="F2313" s="6">
        <v>201223730</v>
      </c>
      <c r="G2313" t="s">
        <v>933</v>
      </c>
      <c r="H2313" t="s">
        <v>49</v>
      </c>
      <c r="I2313">
        <v>0</v>
      </c>
      <c r="J2313">
        <v>0</v>
      </c>
      <c r="K2313">
        <v>0</v>
      </c>
      <c r="L2313">
        <v>0</v>
      </c>
      <c r="M2313">
        <v>0.21</v>
      </c>
      <c r="N2313" s="7" t="e">
        <f>VLOOKUP(F2313,HC!A$6:D$100,3,FALSE)</f>
        <v>#N/A</v>
      </c>
      <c r="O2313" s="7" t="str">
        <f>VLOOKUP(F2313,HC!A$6:D$1000,2,FALSE)</f>
        <v>cesarito</v>
      </c>
      <c r="Q2313" s="7"/>
      <c r="U2313">
        <f t="shared" si="38"/>
        <v>39</v>
      </c>
    </row>
    <row r="2314" spans="1:21" ht="37.5" customHeight="1" x14ac:dyDescent="0.25">
      <c r="A2314" s="34">
        <v>45114</v>
      </c>
      <c r="B2314" s="13">
        <v>27</v>
      </c>
      <c r="C2314" t="s">
        <v>3</v>
      </c>
      <c r="D2314" t="s">
        <v>4</v>
      </c>
      <c r="E2314" t="s">
        <v>21</v>
      </c>
      <c r="F2314" s="6">
        <v>201309605</v>
      </c>
      <c r="G2314" t="s">
        <v>1049</v>
      </c>
      <c r="H2314" t="s">
        <v>47</v>
      </c>
      <c r="I2314">
        <v>0</v>
      </c>
      <c r="J2314">
        <v>0</v>
      </c>
      <c r="K2314">
        <v>0</v>
      </c>
      <c r="L2314">
        <v>0</v>
      </c>
      <c r="M2314">
        <v>0.14000000000000001</v>
      </c>
      <c r="N2314" s="7" t="e">
        <f>VLOOKUP(F2314,HC!A$6:D$100,3,FALSE)</f>
        <v>#N/A</v>
      </c>
      <c r="O2314" s="7" t="e">
        <f>VLOOKUP(F2314,HC!A$6:D$1000,2,FALSE)</f>
        <v>#N/A</v>
      </c>
      <c r="P2314" t="s">
        <v>662</v>
      </c>
      <c r="Q2314" s="7" t="s">
        <v>688</v>
      </c>
      <c r="U2314">
        <f t="shared" si="38"/>
        <v>1395</v>
      </c>
    </row>
    <row r="2315" spans="1:21" ht="37.5" customHeight="1" x14ac:dyDescent="0.25">
      <c r="A2315" s="34">
        <v>45114</v>
      </c>
      <c r="B2315" s="13">
        <v>27</v>
      </c>
      <c r="C2315" t="s">
        <v>3</v>
      </c>
      <c r="D2315" t="s">
        <v>4</v>
      </c>
      <c r="E2315" t="s">
        <v>21</v>
      </c>
      <c r="F2315" s="6">
        <v>201363254</v>
      </c>
      <c r="G2315" t="s">
        <v>1072</v>
      </c>
      <c r="H2315" t="s">
        <v>459</v>
      </c>
      <c r="I2315">
        <v>0</v>
      </c>
      <c r="J2315">
        <v>0</v>
      </c>
      <c r="K2315">
        <v>0</v>
      </c>
      <c r="L2315">
        <v>0</v>
      </c>
      <c r="M2315">
        <v>0.18</v>
      </c>
      <c r="N2315" s="7" t="e">
        <f>VLOOKUP(F2315,HC!A$6:D$100,3,FALSE)</f>
        <v>#N/A</v>
      </c>
      <c r="O2315" s="7" t="str">
        <f>VLOOKUP(F2315,HC!A$6:D$1000,2,FALSE)</f>
        <v>fwraziel</v>
      </c>
      <c r="P2315" t="s">
        <v>661</v>
      </c>
      <c r="Q2315" s="7" t="s">
        <v>681</v>
      </c>
      <c r="U2315">
        <f t="shared" si="38"/>
        <v>7</v>
      </c>
    </row>
    <row r="2316" spans="1:21" ht="37.5" customHeight="1" x14ac:dyDescent="0.25">
      <c r="A2316" s="34">
        <v>45115</v>
      </c>
      <c r="B2316" s="13">
        <v>27</v>
      </c>
      <c r="C2316" t="s">
        <v>3</v>
      </c>
      <c r="D2316" t="s">
        <v>4</v>
      </c>
      <c r="E2316" t="s">
        <v>5</v>
      </c>
      <c r="F2316" s="6">
        <v>112920655</v>
      </c>
      <c r="G2316" t="s">
        <v>509</v>
      </c>
      <c r="H2316" t="s">
        <v>282</v>
      </c>
      <c r="I2316">
        <v>0</v>
      </c>
      <c r="J2316">
        <v>0</v>
      </c>
      <c r="K2316">
        <v>0</v>
      </c>
      <c r="L2316">
        <v>0</v>
      </c>
      <c r="M2316">
        <v>1.87</v>
      </c>
      <c r="N2316" s="7" t="e">
        <f>VLOOKUP(F2316,HC!A$6:D$100,3,FALSE)</f>
        <v>#N/A</v>
      </c>
      <c r="O2316" s="7" t="e">
        <f>VLOOKUP(F2316,HC!A$6:D$1000,2,FALSE)</f>
        <v>#N/A</v>
      </c>
      <c r="P2316" t="s">
        <v>664</v>
      </c>
      <c r="Q2316" s="7" t="s">
        <v>708</v>
      </c>
      <c r="U2316">
        <f t="shared" si="38"/>
        <v>1395</v>
      </c>
    </row>
    <row r="2317" spans="1:21" ht="37.5" customHeight="1" x14ac:dyDescent="0.25">
      <c r="A2317" s="34">
        <v>45115</v>
      </c>
      <c r="B2317" s="13">
        <v>27</v>
      </c>
      <c r="C2317" t="s">
        <v>3</v>
      </c>
      <c r="D2317" t="s">
        <v>4</v>
      </c>
      <c r="E2317" t="s">
        <v>5</v>
      </c>
      <c r="F2317" s="6">
        <v>112920666</v>
      </c>
      <c r="G2317" t="s">
        <v>252</v>
      </c>
      <c r="H2317" t="s">
        <v>459</v>
      </c>
      <c r="I2317">
        <v>0</v>
      </c>
      <c r="J2317">
        <v>0</v>
      </c>
      <c r="K2317">
        <v>0</v>
      </c>
      <c r="L2317">
        <v>0</v>
      </c>
      <c r="M2317">
        <v>0.13</v>
      </c>
      <c r="N2317" s="7" t="str">
        <f>VLOOKUP(F2317,HC!A$6:D$100,3,FALSE)</f>
        <v>D5-X0700</v>
      </c>
      <c r="O2317" s="7" t="str">
        <f>VLOOKUP(F2317,HC!A$6:D$1000,2,FALSE)</f>
        <v>jorochai</v>
      </c>
      <c r="P2317" t="s">
        <v>664</v>
      </c>
      <c r="Q2317" s="7" t="s">
        <v>711</v>
      </c>
      <c r="U2317">
        <f t="shared" si="38"/>
        <v>19</v>
      </c>
    </row>
    <row r="2318" spans="1:21" ht="37.5" customHeight="1" x14ac:dyDescent="0.25">
      <c r="A2318" s="34">
        <v>45115</v>
      </c>
      <c r="B2318" s="13">
        <v>27</v>
      </c>
      <c r="C2318" t="s">
        <v>3</v>
      </c>
      <c r="D2318" t="s">
        <v>4</v>
      </c>
      <c r="E2318" t="s">
        <v>5</v>
      </c>
      <c r="F2318" s="6">
        <v>113003971</v>
      </c>
      <c r="G2318" t="s">
        <v>284</v>
      </c>
      <c r="H2318" t="s">
        <v>49</v>
      </c>
      <c r="I2318">
        <v>0</v>
      </c>
      <c r="J2318">
        <v>0</v>
      </c>
      <c r="K2318">
        <v>0</v>
      </c>
      <c r="L2318">
        <v>0</v>
      </c>
      <c r="M2318">
        <v>0.1</v>
      </c>
      <c r="N2318" s="7" t="e">
        <f>VLOOKUP(F2318,HC!A$6:D$100,3,FALSE)</f>
        <v>#N/A</v>
      </c>
      <c r="O2318" s="7" t="str">
        <f>VLOOKUP(F2318,HC!A$6:D$1000,2,FALSE)</f>
        <v>garamird</v>
      </c>
      <c r="P2318" t="s">
        <v>661</v>
      </c>
      <c r="Q2318" s="7" t="s">
        <v>681</v>
      </c>
      <c r="U2318">
        <f t="shared" si="38"/>
        <v>14</v>
      </c>
    </row>
    <row r="2319" spans="1:21" ht="37.5" customHeight="1" x14ac:dyDescent="0.25">
      <c r="A2319" s="34">
        <v>45115</v>
      </c>
      <c r="B2319" s="13">
        <v>27</v>
      </c>
      <c r="C2319" t="s">
        <v>3</v>
      </c>
      <c r="D2319" t="s">
        <v>4</v>
      </c>
      <c r="E2319" t="s">
        <v>5</v>
      </c>
      <c r="F2319" s="6">
        <v>200562154</v>
      </c>
      <c r="G2319" t="s">
        <v>437</v>
      </c>
      <c r="H2319" t="s">
        <v>49</v>
      </c>
      <c r="I2319">
        <v>0</v>
      </c>
      <c r="J2319">
        <v>0</v>
      </c>
      <c r="K2319">
        <v>0</v>
      </c>
      <c r="L2319">
        <v>0</v>
      </c>
      <c r="M2319">
        <v>0.35</v>
      </c>
      <c r="N2319" s="7" t="e">
        <f>VLOOKUP(F2319,HC!A$6:D$100,3,FALSE)</f>
        <v>#N/A</v>
      </c>
      <c r="O2319" s="7" t="str">
        <f>VLOOKUP(F2319,HC!A$6:D$1000,2,FALSE)</f>
        <v>reyesmcw</v>
      </c>
      <c r="P2319" t="s">
        <v>663</v>
      </c>
      <c r="Q2319" s="7" t="s">
        <v>804</v>
      </c>
      <c r="U2319">
        <f t="shared" si="38"/>
        <v>38</v>
      </c>
    </row>
    <row r="2320" spans="1:21" ht="37.5" customHeight="1" x14ac:dyDescent="0.25">
      <c r="A2320" s="34">
        <v>45115</v>
      </c>
      <c r="B2320" s="13">
        <v>27</v>
      </c>
      <c r="C2320" t="s">
        <v>3</v>
      </c>
      <c r="D2320" t="s">
        <v>4</v>
      </c>
      <c r="E2320" t="s">
        <v>21</v>
      </c>
      <c r="F2320" s="6">
        <v>201185299</v>
      </c>
      <c r="G2320" t="s">
        <v>990</v>
      </c>
      <c r="H2320" t="s">
        <v>17</v>
      </c>
      <c r="I2320">
        <v>0</v>
      </c>
      <c r="J2320">
        <v>0</v>
      </c>
      <c r="K2320">
        <v>0</v>
      </c>
      <c r="L2320">
        <v>0</v>
      </c>
      <c r="M2320">
        <v>0.11</v>
      </c>
      <c r="N2320" s="7" t="e">
        <f>VLOOKUP(F2320,HC!A$6:D$100,3,FALSE)</f>
        <v>#N/A</v>
      </c>
      <c r="O2320" s="7" t="str">
        <f>VLOOKUP(F2320,HC!A$6:D$1000,2,FALSE)</f>
        <v>sganoemi</v>
      </c>
      <c r="P2320" t="s">
        <v>664</v>
      </c>
      <c r="Q2320" s="7" t="s">
        <v>708</v>
      </c>
      <c r="U2320">
        <f t="shared" si="38"/>
        <v>12</v>
      </c>
    </row>
    <row r="2321" spans="1:21" ht="37.5" customHeight="1" x14ac:dyDescent="0.25">
      <c r="A2321" s="34">
        <v>45116</v>
      </c>
      <c r="B2321" s="13">
        <v>28</v>
      </c>
      <c r="C2321" t="s">
        <v>3</v>
      </c>
      <c r="D2321" t="s">
        <v>4</v>
      </c>
      <c r="E2321" t="s">
        <v>5</v>
      </c>
      <c r="F2321" s="6">
        <v>112912745</v>
      </c>
      <c r="G2321" t="s">
        <v>478</v>
      </c>
      <c r="H2321" t="s">
        <v>268</v>
      </c>
      <c r="I2321">
        <v>0</v>
      </c>
      <c r="J2321">
        <v>0</v>
      </c>
      <c r="K2321">
        <v>0</v>
      </c>
      <c r="L2321">
        <v>0</v>
      </c>
      <c r="M2321">
        <v>0.48</v>
      </c>
      <c r="N2321" s="7" t="str">
        <f>VLOOKUP(F2321,HC!A$6:D$100,3,FALSE)</f>
        <v>DA-X0700</v>
      </c>
      <c r="O2321" s="7" t="str">
        <f>VLOOKUP(F2321,HC!A$6:D$1000,2,FALSE)</f>
        <v>nalexgom</v>
      </c>
      <c r="P2321" t="s">
        <v>664</v>
      </c>
      <c r="Q2321" s="7" t="s">
        <v>711</v>
      </c>
      <c r="U2321">
        <f t="shared" si="38"/>
        <v>22</v>
      </c>
    </row>
    <row r="2322" spans="1:21" ht="37.5" customHeight="1" x14ac:dyDescent="0.25">
      <c r="A2322" s="34">
        <v>45116</v>
      </c>
      <c r="B2322" s="13">
        <v>28</v>
      </c>
      <c r="C2322" t="s">
        <v>3</v>
      </c>
      <c r="D2322" t="s">
        <v>4</v>
      </c>
      <c r="E2322" t="s">
        <v>5</v>
      </c>
      <c r="F2322" s="6">
        <v>112950784</v>
      </c>
      <c r="G2322" t="s">
        <v>261</v>
      </c>
      <c r="H2322" t="s">
        <v>282</v>
      </c>
      <c r="I2322">
        <v>0</v>
      </c>
      <c r="J2322">
        <v>0</v>
      </c>
      <c r="K2322">
        <v>0</v>
      </c>
      <c r="L2322">
        <v>0</v>
      </c>
      <c r="M2322">
        <v>0.19</v>
      </c>
      <c r="N2322" s="7" t="str">
        <f>VLOOKUP(F2322,HC!A$6:D$100,3,FALSE)</f>
        <v>NF-X1900</v>
      </c>
      <c r="O2322" s="7" t="str">
        <f>VLOOKUP(F2322,HC!A$6:D$1000,2,FALSE)</f>
        <v>sarojast</v>
      </c>
      <c r="P2322" t="s">
        <v>661</v>
      </c>
      <c r="Q2322" s="7" t="s">
        <v>681</v>
      </c>
      <c r="U2322">
        <f t="shared" si="38"/>
        <v>33</v>
      </c>
    </row>
    <row r="2323" spans="1:21" ht="37.5" customHeight="1" x14ac:dyDescent="0.25">
      <c r="A2323" s="34">
        <v>45116</v>
      </c>
      <c r="B2323" s="13">
        <v>28</v>
      </c>
      <c r="C2323" t="s">
        <v>3</v>
      </c>
      <c r="D2323" t="s">
        <v>4</v>
      </c>
      <c r="E2323" t="s">
        <v>5</v>
      </c>
      <c r="F2323" s="6">
        <v>112980812</v>
      </c>
      <c r="G2323" t="s">
        <v>324</v>
      </c>
      <c r="H2323" t="s">
        <v>268</v>
      </c>
      <c r="I2323">
        <v>0</v>
      </c>
      <c r="J2323">
        <v>0</v>
      </c>
      <c r="K2323">
        <v>0</v>
      </c>
      <c r="L2323">
        <v>0</v>
      </c>
      <c r="M2323">
        <v>0.21</v>
      </c>
      <c r="N2323" s="7" t="str">
        <f>VLOOKUP(F2323,HC!A$6:D$100,3,FALSE)</f>
        <v>DA-X0700</v>
      </c>
      <c r="O2323" s="7" t="str">
        <f>VLOOKUP(F2323,HC!A$6:D$1000,2,FALSE)</f>
        <v>maryjacp</v>
      </c>
      <c r="P2323" t="s">
        <v>663</v>
      </c>
      <c r="Q2323" s="7" t="s">
        <v>692</v>
      </c>
      <c r="U2323">
        <f t="shared" si="38"/>
        <v>15</v>
      </c>
    </row>
    <row r="2324" spans="1:21" ht="37.5" customHeight="1" x14ac:dyDescent="0.25">
      <c r="A2324" s="34">
        <v>45116</v>
      </c>
      <c r="B2324" s="13">
        <v>28</v>
      </c>
      <c r="C2324" t="s">
        <v>3</v>
      </c>
      <c r="D2324" t="s">
        <v>4</v>
      </c>
      <c r="E2324" t="s">
        <v>5</v>
      </c>
      <c r="F2324" s="6">
        <v>113101453</v>
      </c>
      <c r="G2324" t="s">
        <v>50</v>
      </c>
      <c r="H2324" t="s">
        <v>44</v>
      </c>
      <c r="I2324">
        <v>0</v>
      </c>
      <c r="J2324">
        <v>0</v>
      </c>
      <c r="K2324">
        <v>0</v>
      </c>
      <c r="L2324">
        <v>0</v>
      </c>
      <c r="M2324">
        <v>0.08</v>
      </c>
      <c r="N2324" s="7" t="e">
        <f>VLOOKUP(F2324,HC!A$6:D$100,3,FALSE)</f>
        <v>#N/A</v>
      </c>
      <c r="O2324" s="7" t="str">
        <f>VLOOKUP(F2324,HC!A$6:D$1000,2,FALSE)</f>
        <v>qisgeova</v>
      </c>
      <c r="P2324" t="s">
        <v>661</v>
      </c>
      <c r="Q2324" s="7" t="s">
        <v>681</v>
      </c>
      <c r="U2324">
        <f t="shared" si="38"/>
        <v>57</v>
      </c>
    </row>
    <row r="2325" spans="1:21" ht="37.5" customHeight="1" x14ac:dyDescent="0.25">
      <c r="A2325" s="34">
        <v>45116</v>
      </c>
      <c r="B2325" s="13">
        <v>28</v>
      </c>
      <c r="C2325" t="s">
        <v>3</v>
      </c>
      <c r="D2325" t="s">
        <v>4</v>
      </c>
      <c r="E2325" t="s">
        <v>5</v>
      </c>
      <c r="F2325" s="6">
        <v>200625517</v>
      </c>
      <c r="G2325" t="s">
        <v>1157</v>
      </c>
      <c r="H2325" t="s">
        <v>44</v>
      </c>
      <c r="I2325">
        <v>0</v>
      </c>
      <c r="J2325">
        <v>0</v>
      </c>
      <c r="K2325">
        <v>0</v>
      </c>
      <c r="L2325">
        <v>0</v>
      </c>
      <c r="M2325">
        <v>0.36</v>
      </c>
      <c r="N2325" s="7" t="e">
        <f>VLOOKUP(F2325,HC!A$6:D$100,3,FALSE)</f>
        <v>#N/A</v>
      </c>
      <c r="O2325" s="7" t="e">
        <f>VLOOKUP(F2325,HC!A$6:D$1000,2,FALSE)</f>
        <v>#N/A</v>
      </c>
      <c r="P2325" t="s">
        <v>670</v>
      </c>
      <c r="Q2325" s="7" t="s">
        <v>744</v>
      </c>
      <c r="U2325">
        <f t="shared" si="38"/>
        <v>1395</v>
      </c>
    </row>
    <row r="2326" spans="1:21" ht="37.5" customHeight="1" x14ac:dyDescent="0.25">
      <c r="A2326" s="34">
        <v>45116</v>
      </c>
      <c r="B2326" s="13">
        <v>28</v>
      </c>
      <c r="C2326" t="s">
        <v>3</v>
      </c>
      <c r="D2326" t="s">
        <v>4</v>
      </c>
      <c r="E2326" t="s">
        <v>21</v>
      </c>
      <c r="F2326" s="6">
        <v>201204937</v>
      </c>
      <c r="G2326" t="s">
        <v>935</v>
      </c>
      <c r="H2326" t="s">
        <v>17</v>
      </c>
      <c r="I2326">
        <v>0</v>
      </c>
      <c r="J2326">
        <v>0</v>
      </c>
      <c r="K2326">
        <v>0</v>
      </c>
      <c r="L2326">
        <v>0</v>
      </c>
      <c r="M2326">
        <v>7.0000000000000007E-2</v>
      </c>
      <c r="N2326" s="7" t="e">
        <f>VLOOKUP(F2326,HC!A$6:D$100,3,FALSE)</f>
        <v>#N/A</v>
      </c>
      <c r="O2326" s="7" t="e">
        <f>VLOOKUP(F2326,HC!A$6:D$1000,2,FALSE)</f>
        <v>#N/A</v>
      </c>
      <c r="P2326" t="s">
        <v>661</v>
      </c>
      <c r="Q2326" s="7" t="s">
        <v>681</v>
      </c>
      <c r="U2326">
        <f t="shared" si="38"/>
        <v>1395</v>
      </c>
    </row>
    <row r="2327" spans="1:21" ht="37.5" customHeight="1" x14ac:dyDescent="0.25">
      <c r="A2327" s="34">
        <v>45116</v>
      </c>
      <c r="B2327" s="13">
        <v>28</v>
      </c>
      <c r="C2327" t="s">
        <v>3</v>
      </c>
      <c r="D2327" t="s">
        <v>4</v>
      </c>
      <c r="E2327" t="s">
        <v>21</v>
      </c>
      <c r="F2327" s="6">
        <v>201294405</v>
      </c>
      <c r="G2327" t="s">
        <v>1086</v>
      </c>
      <c r="H2327" t="s">
        <v>268</v>
      </c>
      <c r="I2327">
        <v>0</v>
      </c>
      <c r="J2327">
        <v>0</v>
      </c>
      <c r="K2327">
        <v>0</v>
      </c>
      <c r="L2327">
        <v>0</v>
      </c>
      <c r="M2327">
        <v>0.75</v>
      </c>
      <c r="N2327" s="7" t="e">
        <f>VLOOKUP(F2327,HC!A$6:D$100,3,FALSE)</f>
        <v>#N/A</v>
      </c>
      <c r="O2327" s="7" t="e">
        <f>VLOOKUP(F2327,HC!A$6:D$1000,2,FALSE)</f>
        <v>#N/A</v>
      </c>
      <c r="P2327" t="s">
        <v>664</v>
      </c>
      <c r="Q2327" s="7" t="s">
        <v>708</v>
      </c>
      <c r="R2327" t="s">
        <v>471</v>
      </c>
      <c r="U2327">
        <f t="shared" si="38"/>
        <v>1395</v>
      </c>
    </row>
    <row r="2328" spans="1:21" ht="37.5" customHeight="1" x14ac:dyDescent="0.25">
      <c r="A2328" s="34">
        <v>45116</v>
      </c>
      <c r="B2328" s="13">
        <v>28</v>
      </c>
      <c r="C2328" t="s">
        <v>3</v>
      </c>
      <c r="D2328" t="s">
        <v>4</v>
      </c>
      <c r="E2328" t="s">
        <v>21</v>
      </c>
      <c r="F2328" s="6">
        <v>201409070</v>
      </c>
      <c r="G2328" t="s">
        <v>1078</v>
      </c>
      <c r="H2328" t="s">
        <v>47</v>
      </c>
      <c r="I2328">
        <v>0</v>
      </c>
      <c r="J2328">
        <v>0</v>
      </c>
      <c r="K2328">
        <v>0</v>
      </c>
      <c r="L2328">
        <v>0</v>
      </c>
      <c r="M2328">
        <v>0.4</v>
      </c>
      <c r="N2328" s="7" t="e">
        <f>VLOOKUP(F2328,HC!A$6:D$100,3,FALSE)</f>
        <v>#N/A</v>
      </c>
      <c r="O2328" s="7" t="e">
        <f>VLOOKUP(F2328,HC!A$6:D$1000,2,FALSE)</f>
        <v>#N/A</v>
      </c>
      <c r="P2328" t="s">
        <v>664</v>
      </c>
      <c r="Q2328" s="7" t="s">
        <v>708</v>
      </c>
      <c r="U2328">
        <f t="shared" si="38"/>
        <v>1395</v>
      </c>
    </row>
    <row r="2329" spans="1:21" ht="37.5" customHeight="1" x14ac:dyDescent="0.25">
      <c r="A2329" s="34">
        <v>45117</v>
      </c>
      <c r="B2329" s="13">
        <v>28</v>
      </c>
      <c r="C2329" t="s">
        <v>3</v>
      </c>
      <c r="D2329" t="s">
        <v>4</v>
      </c>
      <c r="E2329" t="s">
        <v>5</v>
      </c>
      <c r="F2329" s="6">
        <v>112980878</v>
      </c>
      <c r="G2329" t="s">
        <v>481</v>
      </c>
      <c r="H2329" t="s">
        <v>298</v>
      </c>
      <c r="I2329">
        <v>0</v>
      </c>
      <c r="J2329">
        <v>0</v>
      </c>
      <c r="K2329">
        <v>0</v>
      </c>
      <c r="L2329">
        <v>0</v>
      </c>
      <c r="M2329">
        <v>0.16</v>
      </c>
      <c r="N2329" s="7" t="e">
        <f>VLOOKUP(F2329,HC!A$6:D$100,3,FALSE)</f>
        <v>#N/A</v>
      </c>
      <c r="O2329" s="7" t="e">
        <f>VLOOKUP(F2329,HC!A$6:D$1000,2,FALSE)</f>
        <v>#N/A</v>
      </c>
      <c r="P2329" t="s">
        <v>661</v>
      </c>
      <c r="Q2329" s="7" t="s">
        <v>681</v>
      </c>
      <c r="U2329">
        <f t="shared" si="38"/>
        <v>1395</v>
      </c>
    </row>
    <row r="2330" spans="1:21" ht="37.5" customHeight="1" x14ac:dyDescent="0.25">
      <c r="A2330" s="34">
        <v>45117</v>
      </c>
      <c r="B2330" s="13">
        <v>28</v>
      </c>
      <c r="C2330" t="s">
        <v>3</v>
      </c>
      <c r="D2330" t="s">
        <v>4</v>
      </c>
      <c r="E2330" t="s">
        <v>5</v>
      </c>
      <c r="F2330" s="6">
        <v>200404250</v>
      </c>
      <c r="G2330" t="s">
        <v>51</v>
      </c>
      <c r="H2330" t="s">
        <v>298</v>
      </c>
      <c r="I2330">
        <v>0</v>
      </c>
      <c r="J2330">
        <v>0</v>
      </c>
      <c r="K2330">
        <v>0</v>
      </c>
      <c r="L2330">
        <v>0</v>
      </c>
      <c r="M2330">
        <v>0.48</v>
      </c>
      <c r="N2330" s="7" t="e">
        <f>VLOOKUP(F2330,HC!A$6:D$100,3,FALSE)</f>
        <v>#N/A</v>
      </c>
      <c r="O2330" s="7" t="str">
        <f>VLOOKUP(F2330,HC!A$6:D$1000,2,FALSE)</f>
        <v>xcathurt</v>
      </c>
      <c r="P2330" t="s">
        <v>662</v>
      </c>
      <c r="Q2330" s="7" t="s">
        <v>785</v>
      </c>
      <c r="U2330">
        <f t="shared" si="38"/>
        <v>124</v>
      </c>
    </row>
    <row r="2331" spans="1:21" ht="37.5" customHeight="1" x14ac:dyDescent="0.25">
      <c r="A2331" s="34">
        <v>45118</v>
      </c>
      <c r="B2331" s="13">
        <v>28</v>
      </c>
      <c r="C2331" t="s">
        <v>3</v>
      </c>
      <c r="D2331" t="s">
        <v>4</v>
      </c>
      <c r="E2331" t="s">
        <v>5</v>
      </c>
      <c r="F2331" s="6">
        <v>112950809</v>
      </c>
      <c r="G2331" t="s">
        <v>402</v>
      </c>
      <c r="H2331" t="s">
        <v>403</v>
      </c>
      <c r="I2331">
        <v>0</v>
      </c>
      <c r="J2331">
        <v>0</v>
      </c>
      <c r="K2331">
        <v>0</v>
      </c>
      <c r="L2331">
        <v>0</v>
      </c>
      <c r="M2331">
        <v>0.12</v>
      </c>
      <c r="N2331" s="7" t="str">
        <f>VLOOKUP(F2331,HC!A$6:D$100,3,FALSE)</f>
        <v>DA-X0700</v>
      </c>
      <c r="O2331" s="7" t="str">
        <f>VLOOKUP(F2331,HC!A$6:D$1000,2,FALSE)</f>
        <v>lurochae</v>
      </c>
      <c r="Q2331" s="7"/>
      <c r="U2331">
        <f t="shared" si="38"/>
        <v>14</v>
      </c>
    </row>
    <row r="2332" spans="1:21" ht="37.5" customHeight="1" x14ac:dyDescent="0.25">
      <c r="A2332" s="34">
        <v>45118</v>
      </c>
      <c r="B2332" s="13">
        <v>28</v>
      </c>
      <c r="C2332" t="s">
        <v>3</v>
      </c>
      <c r="D2332" t="s">
        <v>4</v>
      </c>
      <c r="E2332" t="s">
        <v>5</v>
      </c>
      <c r="F2332" s="6">
        <v>112980878</v>
      </c>
      <c r="G2332" t="s">
        <v>481</v>
      </c>
      <c r="H2332" t="s">
        <v>298</v>
      </c>
      <c r="I2332">
        <v>0</v>
      </c>
      <c r="J2332">
        <v>0</v>
      </c>
      <c r="K2332">
        <v>0</v>
      </c>
      <c r="L2332">
        <v>0</v>
      </c>
      <c r="M2332">
        <v>0.78</v>
      </c>
      <c r="N2332" s="7" t="e">
        <f>VLOOKUP(F2332,HC!A$6:D$100,3,FALSE)</f>
        <v>#N/A</v>
      </c>
      <c r="O2332" s="7" t="e">
        <f>VLOOKUP(F2332,HC!A$6:D$1000,2,FALSE)</f>
        <v>#N/A</v>
      </c>
      <c r="P2332" t="s">
        <v>664</v>
      </c>
      <c r="Q2332" s="7" t="s">
        <v>717</v>
      </c>
      <c r="U2332">
        <f t="shared" si="38"/>
        <v>1395</v>
      </c>
    </row>
    <row r="2333" spans="1:21" ht="37.5" customHeight="1" x14ac:dyDescent="0.25">
      <c r="A2333" s="34">
        <v>45118</v>
      </c>
      <c r="B2333" s="13">
        <v>28</v>
      </c>
      <c r="C2333" t="s">
        <v>3</v>
      </c>
      <c r="D2333" t="s">
        <v>4</v>
      </c>
      <c r="E2333" t="s">
        <v>5</v>
      </c>
      <c r="F2333" s="6">
        <v>113014094</v>
      </c>
      <c r="G2333" t="s">
        <v>463</v>
      </c>
      <c r="H2333" t="s">
        <v>44</v>
      </c>
      <c r="I2333">
        <v>0</v>
      </c>
      <c r="J2333">
        <v>0</v>
      </c>
      <c r="K2333">
        <v>0</v>
      </c>
      <c r="L2333">
        <v>0</v>
      </c>
      <c r="M2333">
        <v>0.1</v>
      </c>
      <c r="N2333" s="7" t="e">
        <f>VLOOKUP(F2333,HC!A$6:D$100,3,FALSE)</f>
        <v>#N/A</v>
      </c>
      <c r="O2333" s="7" t="str">
        <f>VLOOKUP(F2333,HC!A$6:D$1000,2,FALSE)</f>
        <v>erikaadm</v>
      </c>
      <c r="P2333" t="s">
        <v>663</v>
      </c>
      <c r="Q2333" s="7" t="s">
        <v>695</v>
      </c>
      <c r="U2333">
        <f t="shared" si="38"/>
        <v>21</v>
      </c>
    </row>
    <row r="2334" spans="1:21" ht="37.5" customHeight="1" x14ac:dyDescent="0.25">
      <c r="A2334" s="34">
        <v>45118</v>
      </c>
      <c r="B2334" s="13">
        <v>28</v>
      </c>
      <c r="C2334" t="s">
        <v>3</v>
      </c>
      <c r="D2334" t="s">
        <v>4</v>
      </c>
      <c r="E2334" t="s">
        <v>5</v>
      </c>
      <c r="F2334" s="6">
        <v>113020463</v>
      </c>
      <c r="G2334" t="s">
        <v>321</v>
      </c>
      <c r="H2334" t="s">
        <v>44</v>
      </c>
      <c r="I2334">
        <v>0</v>
      </c>
      <c r="J2334">
        <v>0</v>
      </c>
      <c r="K2334">
        <v>0</v>
      </c>
      <c r="L2334">
        <v>0</v>
      </c>
      <c r="M2334">
        <v>0.52</v>
      </c>
      <c r="N2334" s="7" t="e">
        <f>VLOOKUP(F2334,HC!A$6:D$100,3,FALSE)</f>
        <v>#N/A</v>
      </c>
      <c r="O2334" s="7" t="str">
        <f>VLOOKUP(F2334,HC!A$6:D$1000,2,FALSE)</f>
        <v>myriamav</v>
      </c>
      <c r="Q2334" s="7"/>
      <c r="U2334">
        <f t="shared" si="38"/>
        <v>24</v>
      </c>
    </row>
    <row r="2335" spans="1:21" ht="37.5" customHeight="1" x14ac:dyDescent="0.25">
      <c r="A2335" s="34">
        <v>45118</v>
      </c>
      <c r="B2335" s="13">
        <v>28</v>
      </c>
      <c r="C2335" t="s">
        <v>3</v>
      </c>
      <c r="D2335" t="s">
        <v>4</v>
      </c>
      <c r="E2335" t="s">
        <v>5</v>
      </c>
      <c r="F2335" s="6">
        <v>200404250</v>
      </c>
      <c r="G2335" t="s">
        <v>51</v>
      </c>
      <c r="H2335" t="s">
        <v>298</v>
      </c>
      <c r="I2335">
        <v>0</v>
      </c>
      <c r="J2335">
        <v>0</v>
      </c>
      <c r="K2335">
        <v>0</v>
      </c>
      <c r="L2335">
        <v>0</v>
      </c>
      <c r="M2335">
        <v>0.37</v>
      </c>
      <c r="N2335" s="7" t="e">
        <f>VLOOKUP(F2335,HC!A$6:D$100,3,FALSE)</f>
        <v>#N/A</v>
      </c>
      <c r="O2335" s="7" t="str">
        <f>VLOOKUP(F2335,HC!A$6:D$1000,2,FALSE)</f>
        <v>xcathurt</v>
      </c>
      <c r="P2335" t="s">
        <v>662</v>
      </c>
      <c r="Q2335" s="7" t="s">
        <v>785</v>
      </c>
      <c r="U2335">
        <f t="shared" si="38"/>
        <v>124</v>
      </c>
    </row>
    <row r="2336" spans="1:21" ht="37.5" customHeight="1" x14ac:dyDescent="0.25">
      <c r="A2336" s="34">
        <v>45118</v>
      </c>
      <c r="B2336" s="13">
        <v>28</v>
      </c>
      <c r="C2336" t="s">
        <v>3</v>
      </c>
      <c r="D2336" t="s">
        <v>4</v>
      </c>
      <c r="E2336" t="s">
        <v>21</v>
      </c>
      <c r="F2336" s="6">
        <v>201165769</v>
      </c>
      <c r="G2336" t="s">
        <v>903</v>
      </c>
      <c r="H2336" t="s">
        <v>285</v>
      </c>
      <c r="I2336">
        <v>0</v>
      </c>
      <c r="J2336">
        <v>0</v>
      </c>
      <c r="K2336">
        <v>0</v>
      </c>
      <c r="L2336">
        <v>0</v>
      </c>
      <c r="M2336">
        <v>0.74</v>
      </c>
      <c r="N2336" s="7" t="e">
        <f>VLOOKUP(F2336,HC!A$6:D$100,3,FALSE)</f>
        <v>#N/A</v>
      </c>
      <c r="O2336" s="7" t="str">
        <f>VLOOKUP(F2336,HC!A$6:D$1000,2,FALSE)</f>
        <v>puenkare</v>
      </c>
      <c r="P2336" t="s">
        <v>664</v>
      </c>
      <c r="Q2336" s="7" t="s">
        <v>770</v>
      </c>
      <c r="U2336">
        <f t="shared" si="38"/>
        <v>19</v>
      </c>
    </row>
    <row r="2337" spans="1:21" ht="37.5" customHeight="1" x14ac:dyDescent="0.25">
      <c r="A2337" s="34">
        <v>45118</v>
      </c>
      <c r="B2337" s="13">
        <v>28</v>
      </c>
      <c r="C2337" t="s">
        <v>3</v>
      </c>
      <c r="D2337" t="s">
        <v>4</v>
      </c>
      <c r="E2337" t="s">
        <v>21</v>
      </c>
      <c r="F2337" s="6">
        <v>201201993</v>
      </c>
      <c r="G2337" t="s">
        <v>964</v>
      </c>
      <c r="H2337" t="s">
        <v>1040</v>
      </c>
      <c r="I2337">
        <v>0</v>
      </c>
      <c r="J2337">
        <v>0</v>
      </c>
      <c r="K2337">
        <v>0</v>
      </c>
      <c r="L2337">
        <v>0</v>
      </c>
      <c r="M2337">
        <v>0.32</v>
      </c>
      <c r="N2337" s="7" t="e">
        <f>VLOOKUP(F2337,HC!A$6:D$100,3,FALSE)</f>
        <v>#N/A</v>
      </c>
      <c r="O2337" s="7" t="e">
        <f>VLOOKUP(F2337,HC!A$6:D$1000,2,FALSE)</f>
        <v>#N/A</v>
      </c>
      <c r="P2337" t="s">
        <v>661</v>
      </c>
      <c r="Q2337" s="7" t="s">
        <v>681</v>
      </c>
      <c r="U2337">
        <f t="shared" si="38"/>
        <v>1395</v>
      </c>
    </row>
    <row r="2338" spans="1:21" ht="37.5" customHeight="1" x14ac:dyDescent="0.25">
      <c r="A2338" s="34">
        <v>45118</v>
      </c>
      <c r="B2338" s="13">
        <v>28</v>
      </c>
      <c r="C2338" t="s">
        <v>3</v>
      </c>
      <c r="D2338" t="s">
        <v>4</v>
      </c>
      <c r="E2338" t="s">
        <v>21</v>
      </c>
      <c r="F2338" s="6">
        <v>201320388</v>
      </c>
      <c r="G2338" t="s">
        <v>994</v>
      </c>
      <c r="H2338" t="s">
        <v>44</v>
      </c>
      <c r="I2338">
        <v>0</v>
      </c>
      <c r="J2338">
        <v>0</v>
      </c>
      <c r="K2338">
        <v>0</v>
      </c>
      <c r="L2338">
        <v>0</v>
      </c>
      <c r="M2338">
        <v>0.52</v>
      </c>
      <c r="N2338" s="7" t="e">
        <f>VLOOKUP(F2338,HC!A$6:D$100,3,FALSE)</f>
        <v>#N/A</v>
      </c>
      <c r="O2338" s="7" t="e">
        <f>VLOOKUP(F2338,HC!A$6:D$1000,2,FALSE)</f>
        <v>#N/A</v>
      </c>
      <c r="P2338" t="s">
        <v>661</v>
      </c>
      <c r="Q2338" s="7" t="s">
        <v>681</v>
      </c>
      <c r="U2338">
        <f t="shared" si="38"/>
        <v>1395</v>
      </c>
    </row>
    <row r="2339" spans="1:21" ht="37.5" customHeight="1" x14ac:dyDescent="0.25">
      <c r="A2339" s="34">
        <v>45118</v>
      </c>
      <c r="B2339" s="13">
        <v>28</v>
      </c>
      <c r="C2339" t="s">
        <v>3</v>
      </c>
      <c r="D2339" t="s">
        <v>4</v>
      </c>
      <c r="E2339" t="s">
        <v>21</v>
      </c>
      <c r="F2339" s="6">
        <v>201329529</v>
      </c>
      <c r="G2339" t="s">
        <v>1069</v>
      </c>
      <c r="H2339" t="s">
        <v>263</v>
      </c>
      <c r="I2339">
        <v>0</v>
      </c>
      <c r="J2339">
        <v>0</v>
      </c>
      <c r="K2339">
        <v>0</v>
      </c>
      <c r="L2339">
        <v>0</v>
      </c>
      <c r="M2339">
        <v>0.13</v>
      </c>
      <c r="N2339" s="7" t="e">
        <f>VLOOKUP(F2339,HC!A$6:D$100,3,FALSE)</f>
        <v>#N/A</v>
      </c>
      <c r="O2339" s="7" t="e">
        <f>VLOOKUP(F2339,HC!A$6:D$1000,2,FALSE)</f>
        <v>#N/A</v>
      </c>
      <c r="P2339" t="s">
        <v>661</v>
      </c>
      <c r="Q2339" s="7" t="s">
        <v>700</v>
      </c>
      <c r="U2339">
        <f t="shared" si="38"/>
        <v>1395</v>
      </c>
    </row>
    <row r="2340" spans="1:21" ht="37.5" customHeight="1" x14ac:dyDescent="0.25">
      <c r="A2340" s="34">
        <v>45118</v>
      </c>
      <c r="B2340" s="13">
        <v>28</v>
      </c>
      <c r="C2340" t="s">
        <v>3</v>
      </c>
      <c r="D2340" t="s">
        <v>4</v>
      </c>
      <c r="E2340" t="s">
        <v>21</v>
      </c>
      <c r="F2340" s="6">
        <v>201369351</v>
      </c>
      <c r="G2340" t="s">
        <v>1101</v>
      </c>
      <c r="H2340" t="s">
        <v>403</v>
      </c>
      <c r="I2340">
        <v>0</v>
      </c>
      <c r="J2340">
        <v>0</v>
      </c>
      <c r="K2340">
        <v>0</v>
      </c>
      <c r="L2340">
        <v>0</v>
      </c>
      <c r="M2340">
        <v>0.41</v>
      </c>
      <c r="N2340" s="7" t="e">
        <f>VLOOKUP(F2340,HC!A$6:D$100,3,FALSE)</f>
        <v>#N/A</v>
      </c>
      <c r="O2340" s="7" t="e">
        <f>VLOOKUP(F2340,HC!A$6:D$1000,2,FALSE)</f>
        <v>#N/A</v>
      </c>
      <c r="P2340" t="s">
        <v>664</v>
      </c>
      <c r="Q2340" s="7" t="s">
        <v>711</v>
      </c>
      <c r="U2340">
        <f t="shared" si="38"/>
        <v>1395</v>
      </c>
    </row>
    <row r="2341" spans="1:21" ht="37.5" customHeight="1" x14ac:dyDescent="0.25">
      <c r="A2341" s="34">
        <v>45118</v>
      </c>
      <c r="B2341" s="13">
        <v>28</v>
      </c>
      <c r="C2341" t="s">
        <v>3</v>
      </c>
      <c r="D2341" t="s">
        <v>4</v>
      </c>
      <c r="E2341" t="s">
        <v>21</v>
      </c>
      <c r="F2341" s="6">
        <v>201402060</v>
      </c>
      <c r="G2341" t="s">
        <v>1057</v>
      </c>
      <c r="H2341" t="s">
        <v>285</v>
      </c>
      <c r="I2341">
        <v>0</v>
      </c>
      <c r="J2341">
        <v>0</v>
      </c>
      <c r="K2341">
        <v>0</v>
      </c>
      <c r="L2341">
        <v>0</v>
      </c>
      <c r="M2341">
        <v>0.23</v>
      </c>
      <c r="N2341" s="7" t="e">
        <f>VLOOKUP(F2341,HC!A$6:D$100,3,FALSE)</f>
        <v>#N/A</v>
      </c>
      <c r="O2341" s="7" t="e">
        <f>VLOOKUP(F2341,HC!A$6:D$1000,2,FALSE)</f>
        <v>#N/A</v>
      </c>
      <c r="P2341" t="s">
        <v>664</v>
      </c>
      <c r="Q2341" s="7" t="s">
        <v>710</v>
      </c>
      <c r="U2341">
        <f t="shared" si="38"/>
        <v>1395</v>
      </c>
    </row>
    <row r="2342" spans="1:21" ht="37.5" customHeight="1" x14ac:dyDescent="0.25">
      <c r="A2342" s="34">
        <v>45119</v>
      </c>
      <c r="B2342" s="13">
        <v>28</v>
      </c>
      <c r="C2342" t="s">
        <v>3</v>
      </c>
      <c r="D2342" t="s">
        <v>4</v>
      </c>
      <c r="E2342" t="s">
        <v>5</v>
      </c>
      <c r="F2342" s="6">
        <v>112950809</v>
      </c>
      <c r="G2342" t="s">
        <v>402</v>
      </c>
      <c r="H2342" t="s">
        <v>403</v>
      </c>
      <c r="I2342">
        <v>0</v>
      </c>
      <c r="J2342">
        <v>0</v>
      </c>
      <c r="K2342">
        <v>0</v>
      </c>
      <c r="L2342">
        <v>0</v>
      </c>
      <c r="M2342">
        <v>0.12</v>
      </c>
      <c r="N2342" s="7" t="str">
        <f>VLOOKUP(F2342,HC!A$6:D$100,3,FALSE)</f>
        <v>DA-X0700</v>
      </c>
      <c r="O2342" s="7" t="str">
        <f>VLOOKUP(F2342,HC!A$6:D$1000,2,FALSE)</f>
        <v>lurochae</v>
      </c>
      <c r="P2342" t="s">
        <v>662</v>
      </c>
      <c r="Q2342" s="7" t="s">
        <v>688</v>
      </c>
      <c r="U2342">
        <f t="shared" si="38"/>
        <v>14</v>
      </c>
    </row>
    <row r="2343" spans="1:21" ht="37.5" customHeight="1" x14ac:dyDescent="0.25">
      <c r="A2343" s="34">
        <v>45119</v>
      </c>
      <c r="B2343" s="13">
        <v>28</v>
      </c>
      <c r="C2343" t="s">
        <v>3</v>
      </c>
      <c r="D2343" t="s">
        <v>4</v>
      </c>
      <c r="E2343" t="s">
        <v>5</v>
      </c>
      <c r="F2343" s="6">
        <v>112980878</v>
      </c>
      <c r="G2343" t="s">
        <v>481</v>
      </c>
      <c r="H2343" t="s">
        <v>298</v>
      </c>
      <c r="I2343">
        <v>0</v>
      </c>
      <c r="J2343">
        <v>0</v>
      </c>
      <c r="K2343">
        <v>0</v>
      </c>
      <c r="L2343">
        <v>0</v>
      </c>
      <c r="M2343">
        <v>0.78</v>
      </c>
      <c r="N2343" s="7" t="e">
        <f>VLOOKUP(F2343,HC!A$6:D$100,3,FALSE)</f>
        <v>#N/A</v>
      </c>
      <c r="O2343" s="7" t="e">
        <f>VLOOKUP(F2343,HC!A$6:D$1000,2,FALSE)</f>
        <v>#N/A</v>
      </c>
      <c r="P2343" t="s">
        <v>662</v>
      </c>
      <c r="Q2343" s="7" t="s">
        <v>691</v>
      </c>
      <c r="U2343">
        <f t="shared" si="38"/>
        <v>1395</v>
      </c>
    </row>
    <row r="2344" spans="1:21" ht="37.5" customHeight="1" x14ac:dyDescent="0.25">
      <c r="A2344" s="34">
        <v>45119</v>
      </c>
      <c r="B2344" s="13">
        <v>28</v>
      </c>
      <c r="C2344" t="s">
        <v>3</v>
      </c>
      <c r="D2344" t="s">
        <v>4</v>
      </c>
      <c r="E2344" t="s">
        <v>5</v>
      </c>
      <c r="F2344" s="6">
        <v>113014094</v>
      </c>
      <c r="G2344" t="s">
        <v>463</v>
      </c>
      <c r="H2344" t="s">
        <v>44</v>
      </c>
      <c r="I2344">
        <v>0</v>
      </c>
      <c r="J2344">
        <v>0</v>
      </c>
      <c r="K2344">
        <v>0</v>
      </c>
      <c r="L2344">
        <v>0</v>
      </c>
      <c r="M2344">
        <v>0.1</v>
      </c>
      <c r="N2344" s="7" t="e">
        <f>VLOOKUP(F2344,HC!A$6:D$100,3,FALSE)</f>
        <v>#N/A</v>
      </c>
      <c r="O2344" s="7" t="str">
        <f>VLOOKUP(F2344,HC!A$6:D$1000,2,FALSE)</f>
        <v>erikaadm</v>
      </c>
      <c r="P2344" t="s">
        <v>663</v>
      </c>
      <c r="Q2344" s="7" t="s">
        <v>695</v>
      </c>
      <c r="U2344">
        <f t="shared" si="38"/>
        <v>21</v>
      </c>
    </row>
    <row r="2345" spans="1:21" ht="37.5" customHeight="1" x14ac:dyDescent="0.25">
      <c r="A2345" s="34">
        <v>45119</v>
      </c>
      <c r="B2345" s="13">
        <v>28</v>
      </c>
      <c r="C2345" t="s">
        <v>3</v>
      </c>
      <c r="D2345" t="s">
        <v>4</v>
      </c>
      <c r="E2345" t="s">
        <v>5</v>
      </c>
      <c r="F2345" s="6">
        <v>113020463</v>
      </c>
      <c r="G2345" t="s">
        <v>321</v>
      </c>
      <c r="H2345" t="s">
        <v>44</v>
      </c>
      <c r="I2345">
        <v>0</v>
      </c>
      <c r="J2345">
        <v>0</v>
      </c>
      <c r="K2345">
        <v>0</v>
      </c>
      <c r="L2345">
        <v>0</v>
      </c>
      <c r="M2345">
        <v>0.52</v>
      </c>
      <c r="N2345" s="7" t="e">
        <f>VLOOKUP(F2345,HC!A$6:D$100,3,FALSE)</f>
        <v>#N/A</v>
      </c>
      <c r="O2345" s="7" t="str">
        <f>VLOOKUP(F2345,HC!A$6:D$1000,2,FALSE)</f>
        <v>myriamav</v>
      </c>
      <c r="P2345" t="s">
        <v>665</v>
      </c>
      <c r="Q2345" s="7" t="s">
        <v>722</v>
      </c>
      <c r="U2345">
        <f t="shared" si="38"/>
        <v>24</v>
      </c>
    </row>
    <row r="2346" spans="1:21" ht="37.5" customHeight="1" x14ac:dyDescent="0.25">
      <c r="A2346" s="34">
        <v>45119</v>
      </c>
      <c r="B2346" s="13">
        <v>28</v>
      </c>
      <c r="C2346" t="s">
        <v>3</v>
      </c>
      <c r="D2346" t="s">
        <v>4</v>
      </c>
      <c r="E2346" t="s">
        <v>5</v>
      </c>
      <c r="F2346" s="6">
        <v>200404250</v>
      </c>
      <c r="G2346" t="s">
        <v>51</v>
      </c>
      <c r="H2346" t="s">
        <v>298</v>
      </c>
      <c r="I2346">
        <v>0</v>
      </c>
      <c r="J2346">
        <v>0</v>
      </c>
      <c r="K2346">
        <v>0</v>
      </c>
      <c r="L2346">
        <v>0</v>
      </c>
      <c r="M2346">
        <v>0.37</v>
      </c>
      <c r="N2346" s="7" t="e">
        <f>VLOOKUP(F2346,HC!A$6:D$100,3,FALSE)</f>
        <v>#N/A</v>
      </c>
      <c r="O2346" s="7" t="str">
        <f>VLOOKUP(F2346,HC!A$6:D$1000,2,FALSE)</f>
        <v>xcathurt</v>
      </c>
      <c r="P2346" t="s">
        <v>662</v>
      </c>
      <c r="Q2346" s="7" t="s">
        <v>785</v>
      </c>
      <c r="U2346">
        <f t="shared" si="38"/>
        <v>124</v>
      </c>
    </row>
    <row r="2347" spans="1:21" ht="37.5" customHeight="1" x14ac:dyDescent="0.25">
      <c r="A2347" s="34">
        <v>45119</v>
      </c>
      <c r="B2347" s="13">
        <v>28</v>
      </c>
      <c r="C2347" t="s">
        <v>3</v>
      </c>
      <c r="D2347" t="s">
        <v>4</v>
      </c>
      <c r="E2347" t="s">
        <v>21</v>
      </c>
      <c r="F2347" s="6">
        <v>201165769</v>
      </c>
      <c r="G2347" t="s">
        <v>903</v>
      </c>
      <c r="H2347" t="s">
        <v>285</v>
      </c>
      <c r="I2347">
        <v>0</v>
      </c>
      <c r="J2347">
        <v>0</v>
      </c>
      <c r="K2347">
        <v>0</v>
      </c>
      <c r="L2347">
        <v>0</v>
      </c>
      <c r="M2347">
        <v>0.74</v>
      </c>
      <c r="N2347" s="7" t="e">
        <f>VLOOKUP(F2347,HC!A$6:D$100,3,FALSE)</f>
        <v>#N/A</v>
      </c>
      <c r="O2347" s="7" t="str">
        <f>VLOOKUP(F2347,HC!A$6:D$1000,2,FALSE)</f>
        <v>puenkare</v>
      </c>
      <c r="P2347" t="s">
        <v>664</v>
      </c>
      <c r="Q2347" s="7" t="s">
        <v>770</v>
      </c>
      <c r="U2347">
        <f t="shared" si="38"/>
        <v>19</v>
      </c>
    </row>
    <row r="2348" spans="1:21" ht="37.5" customHeight="1" x14ac:dyDescent="0.25">
      <c r="A2348" s="34">
        <v>45119</v>
      </c>
      <c r="B2348" s="13">
        <v>28</v>
      </c>
      <c r="C2348" t="s">
        <v>3</v>
      </c>
      <c r="D2348" t="s">
        <v>4</v>
      </c>
      <c r="E2348" t="s">
        <v>21</v>
      </c>
      <c r="F2348" s="6">
        <v>201201993</v>
      </c>
      <c r="G2348" t="s">
        <v>964</v>
      </c>
      <c r="H2348" t="s">
        <v>1040</v>
      </c>
      <c r="I2348">
        <v>0</v>
      </c>
      <c r="J2348">
        <v>0</v>
      </c>
      <c r="K2348">
        <v>0</v>
      </c>
      <c r="L2348">
        <v>0</v>
      </c>
      <c r="M2348">
        <v>0.32</v>
      </c>
      <c r="N2348" s="7" t="e">
        <f>VLOOKUP(F2348,HC!A$6:D$100,3,FALSE)</f>
        <v>#N/A</v>
      </c>
      <c r="O2348" s="7" t="e">
        <f>VLOOKUP(F2348,HC!A$6:D$1000,2,FALSE)</f>
        <v>#N/A</v>
      </c>
      <c r="P2348" t="s">
        <v>665</v>
      </c>
      <c r="Q2348" s="7" t="s">
        <v>722</v>
      </c>
      <c r="U2348">
        <f t="shared" si="38"/>
        <v>1395</v>
      </c>
    </row>
    <row r="2349" spans="1:21" ht="37.5" customHeight="1" x14ac:dyDescent="0.25">
      <c r="A2349" s="34">
        <v>45119</v>
      </c>
      <c r="B2349" s="13">
        <v>28</v>
      </c>
      <c r="C2349" t="s">
        <v>3</v>
      </c>
      <c r="D2349" t="s">
        <v>4</v>
      </c>
      <c r="E2349" t="s">
        <v>21</v>
      </c>
      <c r="F2349" s="6">
        <v>201320388</v>
      </c>
      <c r="G2349" t="s">
        <v>994</v>
      </c>
      <c r="H2349" t="s">
        <v>44</v>
      </c>
      <c r="I2349">
        <v>0</v>
      </c>
      <c r="J2349">
        <v>0</v>
      </c>
      <c r="K2349">
        <v>0</v>
      </c>
      <c r="L2349">
        <v>0</v>
      </c>
      <c r="M2349">
        <v>0.52</v>
      </c>
      <c r="N2349" s="7" t="e">
        <f>VLOOKUP(F2349,HC!A$6:D$100,3,FALSE)</f>
        <v>#N/A</v>
      </c>
      <c r="O2349" s="7" t="e">
        <f>VLOOKUP(F2349,HC!A$6:D$1000,2,FALSE)</f>
        <v>#N/A</v>
      </c>
      <c r="P2349" t="s">
        <v>661</v>
      </c>
      <c r="Q2349" s="7" t="s">
        <v>681</v>
      </c>
      <c r="U2349">
        <f t="shared" si="38"/>
        <v>1395</v>
      </c>
    </row>
    <row r="2350" spans="1:21" ht="37.5" customHeight="1" x14ac:dyDescent="0.25">
      <c r="A2350" s="34">
        <v>45119</v>
      </c>
      <c r="B2350" s="13">
        <v>28</v>
      </c>
      <c r="C2350" t="s">
        <v>3</v>
      </c>
      <c r="D2350" t="s">
        <v>4</v>
      </c>
      <c r="E2350" t="s">
        <v>21</v>
      </c>
      <c r="F2350" s="6">
        <v>201329529</v>
      </c>
      <c r="G2350" t="s">
        <v>1069</v>
      </c>
      <c r="H2350" t="s">
        <v>263</v>
      </c>
      <c r="I2350">
        <v>0</v>
      </c>
      <c r="J2350">
        <v>0</v>
      </c>
      <c r="K2350">
        <v>0</v>
      </c>
      <c r="L2350">
        <v>0</v>
      </c>
      <c r="M2350">
        <v>0.13</v>
      </c>
      <c r="N2350" s="7" t="e">
        <f>VLOOKUP(F2350,HC!A$6:D$100,3,FALSE)</f>
        <v>#N/A</v>
      </c>
      <c r="O2350" s="7" t="e">
        <f>VLOOKUP(F2350,HC!A$6:D$1000,2,FALSE)</f>
        <v>#N/A</v>
      </c>
      <c r="P2350" t="s">
        <v>661</v>
      </c>
      <c r="Q2350" s="7" t="s">
        <v>681</v>
      </c>
      <c r="U2350">
        <f t="shared" si="38"/>
        <v>1395</v>
      </c>
    </row>
    <row r="2351" spans="1:21" ht="37.5" customHeight="1" x14ac:dyDescent="0.25">
      <c r="A2351" s="34">
        <v>45119</v>
      </c>
      <c r="B2351" s="13">
        <v>28</v>
      </c>
      <c r="C2351" t="s">
        <v>3</v>
      </c>
      <c r="D2351" t="s">
        <v>4</v>
      </c>
      <c r="E2351" t="s">
        <v>21</v>
      </c>
      <c r="F2351" s="6">
        <v>201369351</v>
      </c>
      <c r="G2351" t="s">
        <v>1101</v>
      </c>
      <c r="H2351" t="s">
        <v>403</v>
      </c>
      <c r="I2351">
        <v>0</v>
      </c>
      <c r="J2351">
        <v>0</v>
      </c>
      <c r="K2351">
        <v>0</v>
      </c>
      <c r="L2351">
        <v>0</v>
      </c>
      <c r="M2351">
        <v>0.41</v>
      </c>
      <c r="N2351" s="7" t="e">
        <f>VLOOKUP(F2351,HC!A$6:D$100,3,FALSE)</f>
        <v>#N/A</v>
      </c>
      <c r="O2351" s="7" t="e">
        <f>VLOOKUP(F2351,HC!A$6:D$1000,2,FALSE)</f>
        <v>#N/A</v>
      </c>
      <c r="P2351" t="s">
        <v>664</v>
      </c>
      <c r="Q2351" s="7" t="s">
        <v>711</v>
      </c>
      <c r="U2351">
        <f t="shared" si="38"/>
        <v>1395</v>
      </c>
    </row>
    <row r="2352" spans="1:21" ht="37.5" customHeight="1" x14ac:dyDescent="0.25">
      <c r="A2352" s="34">
        <v>45119</v>
      </c>
      <c r="B2352" s="13">
        <v>28</v>
      </c>
      <c r="C2352" t="s">
        <v>3</v>
      </c>
      <c r="D2352" t="s">
        <v>4</v>
      </c>
      <c r="E2352" t="s">
        <v>21</v>
      </c>
      <c r="F2352" s="6">
        <v>201402060</v>
      </c>
      <c r="G2352" t="s">
        <v>1057</v>
      </c>
      <c r="H2352" t="s">
        <v>285</v>
      </c>
      <c r="I2352">
        <v>0</v>
      </c>
      <c r="J2352">
        <v>0</v>
      </c>
      <c r="K2352">
        <v>0</v>
      </c>
      <c r="L2352">
        <v>0</v>
      </c>
      <c r="M2352">
        <v>0.23</v>
      </c>
      <c r="N2352" s="7" t="e">
        <f>VLOOKUP(F2352,HC!A$6:D$100,3,FALSE)</f>
        <v>#N/A</v>
      </c>
      <c r="O2352" s="7" t="e">
        <f>VLOOKUP(F2352,HC!A$6:D$1000,2,FALSE)</f>
        <v>#N/A</v>
      </c>
      <c r="P2352" t="s">
        <v>662</v>
      </c>
      <c r="Q2352" s="7" t="s">
        <v>691</v>
      </c>
      <c r="U2352">
        <f t="shared" si="38"/>
        <v>1395</v>
      </c>
    </row>
    <row r="2353" spans="1:21" ht="37.5" customHeight="1" x14ac:dyDescent="0.25">
      <c r="A2353" s="34">
        <v>45120</v>
      </c>
      <c r="B2353" s="13">
        <v>28</v>
      </c>
      <c r="C2353" t="s">
        <v>3</v>
      </c>
      <c r="D2353" t="s">
        <v>4</v>
      </c>
      <c r="E2353" t="s">
        <v>5</v>
      </c>
      <c r="F2353" s="6">
        <v>112912054</v>
      </c>
      <c r="G2353" t="s">
        <v>333</v>
      </c>
      <c r="H2353" t="s">
        <v>282</v>
      </c>
      <c r="I2353">
        <v>0</v>
      </c>
      <c r="J2353">
        <v>0</v>
      </c>
      <c r="K2353">
        <v>0</v>
      </c>
      <c r="L2353">
        <v>0</v>
      </c>
      <c r="M2353">
        <v>0.2</v>
      </c>
      <c r="N2353" s="7" t="str">
        <f>VLOOKUP(F2353,HC!A$6:D$100,3,FALSE)</f>
        <v>DB-X0700</v>
      </c>
      <c r="O2353" s="7" t="str">
        <f>VLOOKUP(F2353,HC!A$6:D$1000,2,FALSE)</f>
        <v>privejor</v>
      </c>
      <c r="P2353" t="s">
        <v>661</v>
      </c>
      <c r="Q2353" s="7" t="s">
        <v>681</v>
      </c>
      <c r="U2353">
        <f t="shared" si="38"/>
        <v>14</v>
      </c>
    </row>
    <row r="2354" spans="1:21" ht="37.5" customHeight="1" x14ac:dyDescent="0.25">
      <c r="A2354" s="34">
        <v>45120</v>
      </c>
      <c r="B2354" s="13">
        <v>28</v>
      </c>
      <c r="C2354" t="s">
        <v>3</v>
      </c>
      <c r="D2354" t="s">
        <v>4</v>
      </c>
      <c r="E2354" t="s">
        <v>5</v>
      </c>
      <c r="F2354" s="6">
        <v>112981196</v>
      </c>
      <c r="G2354" t="s">
        <v>328</v>
      </c>
      <c r="H2354" t="s">
        <v>285</v>
      </c>
      <c r="I2354">
        <v>0</v>
      </c>
      <c r="J2354">
        <v>0</v>
      </c>
      <c r="K2354">
        <v>0</v>
      </c>
      <c r="L2354">
        <v>0</v>
      </c>
      <c r="M2354">
        <v>0.19</v>
      </c>
      <c r="N2354" s="7" t="e">
        <f>VLOOKUP(F2354,HC!A$6:D$100,3,FALSE)</f>
        <v>#N/A</v>
      </c>
      <c r="O2354" s="7" t="str">
        <f>VLOOKUP(F2354,HC!A$6:D$1000,2,FALSE)</f>
        <v>vandgome</v>
      </c>
      <c r="P2354" t="s">
        <v>661</v>
      </c>
      <c r="Q2354" s="7" t="s">
        <v>681</v>
      </c>
      <c r="U2354">
        <f t="shared" si="38"/>
        <v>24</v>
      </c>
    </row>
    <row r="2355" spans="1:21" ht="37.5" customHeight="1" x14ac:dyDescent="0.25">
      <c r="A2355" s="34">
        <v>45120</v>
      </c>
      <c r="B2355" s="13">
        <v>28</v>
      </c>
      <c r="C2355" t="s">
        <v>3</v>
      </c>
      <c r="D2355" t="s">
        <v>4</v>
      </c>
      <c r="E2355" t="s">
        <v>5</v>
      </c>
      <c r="F2355" s="6">
        <v>113040582</v>
      </c>
      <c r="G2355" t="s">
        <v>625</v>
      </c>
      <c r="H2355" t="s">
        <v>44</v>
      </c>
      <c r="I2355">
        <v>0</v>
      </c>
      <c r="J2355">
        <v>0</v>
      </c>
      <c r="K2355">
        <v>0</v>
      </c>
      <c r="L2355">
        <v>0</v>
      </c>
      <c r="M2355">
        <v>0.08</v>
      </c>
      <c r="N2355" s="7" t="e">
        <f>VLOOKUP(F2355,HC!A$6:D$100,3,FALSE)</f>
        <v>#N/A</v>
      </c>
      <c r="O2355" s="7" t="str">
        <f>VLOOKUP(F2355,HC!A$6:D$1000,2,FALSE)</f>
        <v>hgerardr</v>
      </c>
      <c r="P2355" t="s">
        <v>662</v>
      </c>
      <c r="Q2355" s="7" t="s">
        <v>702</v>
      </c>
      <c r="U2355">
        <f t="shared" si="38"/>
        <v>15</v>
      </c>
    </row>
    <row r="2356" spans="1:21" ht="37.5" customHeight="1" x14ac:dyDescent="0.25">
      <c r="A2356" s="34">
        <v>45120</v>
      </c>
      <c r="B2356" s="13">
        <v>28</v>
      </c>
      <c r="C2356" t="s">
        <v>3</v>
      </c>
      <c r="D2356" t="s">
        <v>4</v>
      </c>
      <c r="E2356" t="s">
        <v>5</v>
      </c>
      <c r="F2356" s="6">
        <v>113044620</v>
      </c>
      <c r="G2356" t="s">
        <v>470</v>
      </c>
      <c r="H2356" t="s">
        <v>44</v>
      </c>
      <c r="I2356">
        <v>0</v>
      </c>
      <c r="J2356">
        <v>0</v>
      </c>
      <c r="K2356">
        <v>0</v>
      </c>
      <c r="L2356">
        <v>0</v>
      </c>
      <c r="M2356">
        <v>0.38</v>
      </c>
      <c r="N2356" s="7" t="e">
        <f>VLOOKUP(F2356,HC!A$6:D$100,3,FALSE)</f>
        <v>#N/A</v>
      </c>
      <c r="O2356" s="7" t="str">
        <f>VLOOKUP(F2356,HC!A$6:D$1000,2,FALSE)</f>
        <v>aldojasw</v>
      </c>
      <c r="P2356" t="s">
        <v>664</v>
      </c>
      <c r="Q2356" s="7" t="s">
        <v>708</v>
      </c>
      <c r="U2356">
        <f t="shared" si="38"/>
        <v>11</v>
      </c>
    </row>
    <row r="2357" spans="1:21" ht="37.5" customHeight="1" x14ac:dyDescent="0.25">
      <c r="A2357" s="34">
        <v>45120</v>
      </c>
      <c r="B2357" s="13">
        <v>28</v>
      </c>
      <c r="C2357" t="s">
        <v>3</v>
      </c>
      <c r="D2357" t="s">
        <v>4</v>
      </c>
      <c r="E2357" t="s">
        <v>5</v>
      </c>
      <c r="F2357" s="6">
        <v>113101453</v>
      </c>
      <c r="G2357" t="s">
        <v>50</v>
      </c>
      <c r="H2357" t="s">
        <v>44</v>
      </c>
      <c r="I2357">
        <v>0</v>
      </c>
      <c r="J2357">
        <v>0</v>
      </c>
      <c r="K2357">
        <v>0</v>
      </c>
      <c r="L2357">
        <v>0</v>
      </c>
      <c r="M2357">
        <v>0.82</v>
      </c>
      <c r="N2357" s="7" t="e">
        <f>VLOOKUP(F2357,HC!A$6:D$100,3,FALSE)</f>
        <v>#N/A</v>
      </c>
      <c r="O2357" s="7" t="str">
        <f>VLOOKUP(F2357,HC!A$6:D$1000,2,FALSE)</f>
        <v>qisgeova</v>
      </c>
      <c r="P2357" t="s">
        <v>664</v>
      </c>
      <c r="Q2357" s="7" t="s">
        <v>717</v>
      </c>
      <c r="R2357" t="s">
        <v>620</v>
      </c>
      <c r="U2357">
        <f t="shared" si="38"/>
        <v>57</v>
      </c>
    </row>
    <row r="2358" spans="1:21" ht="37.5" customHeight="1" x14ac:dyDescent="0.25">
      <c r="A2358" s="34">
        <v>45120</v>
      </c>
      <c r="B2358" s="13">
        <v>28</v>
      </c>
      <c r="C2358" t="s">
        <v>3</v>
      </c>
      <c r="D2358" t="s">
        <v>4</v>
      </c>
      <c r="E2358" t="s">
        <v>5</v>
      </c>
      <c r="F2358" s="6">
        <v>200404250</v>
      </c>
      <c r="G2358" t="s">
        <v>51</v>
      </c>
      <c r="H2358" t="s">
        <v>298</v>
      </c>
      <c r="I2358">
        <v>0</v>
      </c>
      <c r="J2358">
        <v>0</v>
      </c>
      <c r="K2358">
        <v>0</v>
      </c>
      <c r="L2358">
        <v>0</v>
      </c>
      <c r="M2358">
        <v>0.42</v>
      </c>
      <c r="N2358" s="7" t="e">
        <f>VLOOKUP(F2358,HC!A$6:D$100,3,FALSE)</f>
        <v>#N/A</v>
      </c>
      <c r="O2358" s="7" t="str">
        <f>VLOOKUP(F2358,HC!A$6:D$1000,2,FALSE)</f>
        <v>xcathurt</v>
      </c>
      <c r="P2358" t="s">
        <v>662</v>
      </c>
      <c r="Q2358" s="7" t="s">
        <v>785</v>
      </c>
      <c r="U2358">
        <f t="shared" si="38"/>
        <v>124</v>
      </c>
    </row>
    <row r="2359" spans="1:21" ht="37.5" customHeight="1" x14ac:dyDescent="0.25">
      <c r="A2359" s="34">
        <v>45120</v>
      </c>
      <c r="B2359" s="13">
        <v>28</v>
      </c>
      <c r="C2359" t="s">
        <v>3</v>
      </c>
      <c r="D2359" t="s">
        <v>4</v>
      </c>
      <c r="E2359" t="s">
        <v>21</v>
      </c>
      <c r="F2359" s="6">
        <v>200407440</v>
      </c>
      <c r="G2359" t="s">
        <v>997</v>
      </c>
      <c r="H2359" t="s">
        <v>298</v>
      </c>
      <c r="I2359">
        <v>0</v>
      </c>
      <c r="J2359">
        <v>0</v>
      </c>
      <c r="K2359">
        <v>0</v>
      </c>
      <c r="L2359">
        <v>0</v>
      </c>
      <c r="M2359">
        <v>0.3</v>
      </c>
      <c r="N2359" s="7" t="e">
        <f>VLOOKUP(F2359,HC!A$6:D$100,3,FALSE)</f>
        <v>#N/A</v>
      </c>
      <c r="O2359" s="7" t="e">
        <f>VLOOKUP(F2359,HC!A$6:D$1000,2,FALSE)</f>
        <v>#N/A</v>
      </c>
      <c r="P2359" t="s">
        <v>670</v>
      </c>
      <c r="Q2359" s="7" t="s">
        <v>740</v>
      </c>
      <c r="U2359">
        <f t="shared" si="38"/>
        <v>1395</v>
      </c>
    </row>
    <row r="2360" spans="1:21" ht="37.5" customHeight="1" x14ac:dyDescent="0.25">
      <c r="A2360" s="34">
        <v>45120</v>
      </c>
      <c r="B2360" s="13">
        <v>28</v>
      </c>
      <c r="C2360" t="s">
        <v>3</v>
      </c>
      <c r="D2360" t="s">
        <v>4</v>
      </c>
      <c r="E2360" t="s">
        <v>5</v>
      </c>
      <c r="F2360" s="6">
        <v>200508315</v>
      </c>
      <c r="G2360" t="s">
        <v>428</v>
      </c>
      <c r="H2360" t="s">
        <v>7</v>
      </c>
      <c r="I2360">
        <v>0</v>
      </c>
      <c r="J2360">
        <v>0</v>
      </c>
      <c r="K2360">
        <v>0</v>
      </c>
      <c r="L2360">
        <v>0</v>
      </c>
      <c r="M2360">
        <v>0.39</v>
      </c>
      <c r="N2360" s="7" t="e">
        <f>VLOOKUP(F2360,HC!A$6:D$100,3,FALSE)</f>
        <v>#N/A</v>
      </c>
      <c r="O2360" s="7" t="str">
        <f>VLOOKUP(F2360,HC!A$6:D$1000,2,FALSE)</f>
        <v>taldaher</v>
      </c>
      <c r="P2360" t="s">
        <v>662</v>
      </c>
      <c r="Q2360" s="7" t="s">
        <v>702</v>
      </c>
      <c r="U2360">
        <f t="shared" si="38"/>
        <v>18</v>
      </c>
    </row>
    <row r="2361" spans="1:21" ht="37.5" customHeight="1" x14ac:dyDescent="0.25">
      <c r="A2361" s="34">
        <v>45120</v>
      </c>
      <c r="B2361" s="13">
        <v>28</v>
      </c>
      <c r="C2361" t="s">
        <v>3</v>
      </c>
      <c r="D2361" t="s">
        <v>4</v>
      </c>
      <c r="E2361" t="s">
        <v>5</v>
      </c>
      <c r="F2361" s="6">
        <v>200562154</v>
      </c>
      <c r="G2361" t="s">
        <v>437</v>
      </c>
      <c r="H2361" t="s">
        <v>49</v>
      </c>
      <c r="I2361">
        <v>0</v>
      </c>
      <c r="J2361">
        <v>0</v>
      </c>
      <c r="K2361">
        <v>0</v>
      </c>
      <c r="L2361">
        <v>0</v>
      </c>
      <c r="M2361">
        <v>0.45</v>
      </c>
      <c r="N2361" s="7" t="e">
        <f>VLOOKUP(F2361,HC!A$6:D$100,3,FALSE)</f>
        <v>#N/A</v>
      </c>
      <c r="O2361" s="7" t="str">
        <f>VLOOKUP(F2361,HC!A$6:D$1000,2,FALSE)</f>
        <v>reyesmcw</v>
      </c>
      <c r="P2361" t="s">
        <v>675</v>
      </c>
      <c r="Q2361" s="7"/>
      <c r="U2361">
        <f t="shared" si="38"/>
        <v>38</v>
      </c>
    </row>
    <row r="2362" spans="1:21" ht="37.5" customHeight="1" x14ac:dyDescent="0.25">
      <c r="A2362" s="34">
        <v>45120</v>
      </c>
      <c r="B2362" s="13">
        <v>28</v>
      </c>
      <c r="C2362" t="s">
        <v>3</v>
      </c>
      <c r="D2362" t="s">
        <v>4</v>
      </c>
      <c r="E2362" t="s">
        <v>5</v>
      </c>
      <c r="F2362" s="6">
        <v>200625528</v>
      </c>
      <c r="G2362" t="s">
        <v>607</v>
      </c>
      <c r="H2362" t="s">
        <v>285</v>
      </c>
      <c r="I2362">
        <v>0</v>
      </c>
      <c r="J2362">
        <v>0</v>
      </c>
      <c r="K2362">
        <v>0</v>
      </c>
      <c r="L2362">
        <v>0</v>
      </c>
      <c r="M2362">
        <v>0.12</v>
      </c>
      <c r="N2362" s="7" t="e">
        <f>VLOOKUP(F2362,HC!A$6:D$100,3,FALSE)</f>
        <v>#N/A</v>
      </c>
      <c r="O2362" s="7" t="str">
        <f>VLOOKUP(F2362,HC!A$6:D$1000,2,FALSE)</f>
        <v>olivlizb</v>
      </c>
      <c r="P2362" t="s">
        <v>662</v>
      </c>
      <c r="Q2362" s="7" t="s">
        <v>687</v>
      </c>
      <c r="U2362">
        <f t="shared" si="38"/>
        <v>50</v>
      </c>
    </row>
    <row r="2363" spans="1:21" ht="37.5" customHeight="1" x14ac:dyDescent="0.25">
      <c r="A2363" s="34">
        <v>45120</v>
      </c>
      <c r="B2363" s="13">
        <v>28</v>
      </c>
      <c r="C2363" t="s">
        <v>3</v>
      </c>
      <c r="D2363" t="s">
        <v>4</v>
      </c>
      <c r="E2363" t="s">
        <v>21</v>
      </c>
      <c r="F2363" s="6">
        <v>201191390</v>
      </c>
      <c r="G2363" t="s">
        <v>916</v>
      </c>
      <c r="H2363" t="s">
        <v>7</v>
      </c>
      <c r="I2363">
        <v>0</v>
      </c>
      <c r="J2363">
        <v>0</v>
      </c>
      <c r="K2363">
        <v>0</v>
      </c>
      <c r="L2363">
        <v>0</v>
      </c>
      <c r="M2363">
        <v>0.13</v>
      </c>
      <c r="N2363" s="7" t="e">
        <f>VLOOKUP(F2363,HC!A$6:D$100,3,FALSE)</f>
        <v>#N/A</v>
      </c>
      <c r="O2363" s="7" t="str">
        <f>VLOOKUP(F2363,HC!A$6:D$1000,2,FALSE)</f>
        <v>bgajesus</v>
      </c>
      <c r="P2363" t="s">
        <v>661</v>
      </c>
      <c r="Q2363" s="7" t="s">
        <v>759</v>
      </c>
      <c r="U2363">
        <f t="shared" si="38"/>
        <v>37</v>
      </c>
    </row>
    <row r="2364" spans="1:21" ht="37.5" customHeight="1" x14ac:dyDescent="0.25">
      <c r="A2364" s="34">
        <v>45120</v>
      </c>
      <c r="B2364" s="13">
        <v>28</v>
      </c>
      <c r="C2364" t="s">
        <v>3</v>
      </c>
      <c r="D2364" t="s">
        <v>4</v>
      </c>
      <c r="E2364" t="s">
        <v>21</v>
      </c>
      <c r="F2364" s="6">
        <v>201198922</v>
      </c>
      <c r="G2364" t="s">
        <v>1141</v>
      </c>
      <c r="H2364" t="s">
        <v>47</v>
      </c>
      <c r="I2364">
        <v>0</v>
      </c>
      <c r="J2364">
        <v>0</v>
      </c>
      <c r="K2364">
        <v>0</v>
      </c>
      <c r="L2364">
        <v>0</v>
      </c>
      <c r="M2364">
        <v>0.14000000000000001</v>
      </c>
      <c r="N2364" s="7" t="e">
        <f>VLOOKUP(F2364,HC!A$6:D$100,3,FALSE)</f>
        <v>#N/A</v>
      </c>
      <c r="O2364" s="7" t="str">
        <f>VLOOKUP(F2364,HC!A$6:D$1000,2,FALSE)</f>
        <v>mendejoy</v>
      </c>
      <c r="P2364" t="s">
        <v>661</v>
      </c>
      <c r="Q2364" s="7" t="s">
        <v>681</v>
      </c>
      <c r="U2364">
        <f t="shared" si="38"/>
        <v>14</v>
      </c>
    </row>
    <row r="2365" spans="1:21" ht="37.5" customHeight="1" x14ac:dyDescent="0.25">
      <c r="A2365" s="34">
        <v>45120</v>
      </c>
      <c r="B2365" s="13">
        <v>28</v>
      </c>
      <c r="C2365" t="s">
        <v>3</v>
      </c>
      <c r="D2365" t="s">
        <v>4</v>
      </c>
      <c r="E2365" t="s">
        <v>21</v>
      </c>
      <c r="F2365" s="6">
        <v>201201993</v>
      </c>
      <c r="G2365" t="s">
        <v>964</v>
      </c>
      <c r="H2365" t="s">
        <v>1040</v>
      </c>
      <c r="I2365">
        <v>0</v>
      </c>
      <c r="J2365">
        <v>0</v>
      </c>
      <c r="K2365">
        <v>0</v>
      </c>
      <c r="L2365">
        <v>0</v>
      </c>
      <c r="M2365">
        <v>0.19</v>
      </c>
      <c r="N2365" s="7" t="e">
        <f>VLOOKUP(F2365,HC!A$6:D$100,3,FALSE)</f>
        <v>#N/A</v>
      </c>
      <c r="O2365" s="7" t="e">
        <f>VLOOKUP(F2365,HC!A$6:D$1000,2,FALSE)</f>
        <v>#N/A</v>
      </c>
      <c r="P2365" t="s">
        <v>665</v>
      </c>
      <c r="Q2365" s="7" t="s">
        <v>722</v>
      </c>
      <c r="U2365">
        <f t="shared" si="38"/>
        <v>1395</v>
      </c>
    </row>
    <row r="2366" spans="1:21" ht="37.5" customHeight="1" x14ac:dyDescent="0.25">
      <c r="A2366" s="34">
        <v>45120</v>
      </c>
      <c r="B2366" s="13">
        <v>28</v>
      </c>
      <c r="C2366" t="s">
        <v>3</v>
      </c>
      <c r="D2366" t="s">
        <v>4</v>
      </c>
      <c r="E2366" t="s">
        <v>21</v>
      </c>
      <c r="F2366" s="6">
        <v>201294405</v>
      </c>
      <c r="G2366" t="s">
        <v>1086</v>
      </c>
      <c r="H2366" t="s">
        <v>268</v>
      </c>
      <c r="I2366">
        <v>0</v>
      </c>
      <c r="J2366">
        <v>0</v>
      </c>
      <c r="K2366">
        <v>0</v>
      </c>
      <c r="L2366">
        <v>0</v>
      </c>
      <c r="M2366">
        <v>0.11</v>
      </c>
      <c r="N2366" s="7" t="e">
        <f>VLOOKUP(F2366,HC!A$6:D$100,3,FALSE)</f>
        <v>#N/A</v>
      </c>
      <c r="O2366" s="7" t="e">
        <f>VLOOKUP(F2366,HC!A$6:D$1000,2,FALSE)</f>
        <v>#N/A</v>
      </c>
      <c r="P2366" t="s">
        <v>661</v>
      </c>
      <c r="Q2366" s="7" t="s">
        <v>681</v>
      </c>
      <c r="U2366">
        <f t="shared" si="38"/>
        <v>1395</v>
      </c>
    </row>
    <row r="2367" spans="1:21" ht="37.5" customHeight="1" x14ac:dyDescent="0.25">
      <c r="A2367" s="34">
        <v>45120</v>
      </c>
      <c r="B2367" s="13">
        <v>28</v>
      </c>
      <c r="C2367" t="s">
        <v>3</v>
      </c>
      <c r="D2367" t="s">
        <v>4</v>
      </c>
      <c r="E2367" t="s">
        <v>21</v>
      </c>
      <c r="F2367" s="6">
        <v>201295559</v>
      </c>
      <c r="G2367" t="s">
        <v>1158</v>
      </c>
      <c r="H2367" t="s">
        <v>47</v>
      </c>
      <c r="I2367">
        <v>0</v>
      </c>
      <c r="J2367">
        <v>0</v>
      </c>
      <c r="K2367">
        <v>0</v>
      </c>
      <c r="L2367">
        <v>0</v>
      </c>
      <c r="M2367">
        <v>0.09</v>
      </c>
      <c r="N2367" s="7" t="e">
        <f>VLOOKUP(F2367,HC!A$6:D$100,3,FALSE)</f>
        <v>#N/A</v>
      </c>
      <c r="O2367" s="7" t="str">
        <f>VLOOKUP(F2367,HC!A$6:D$1000,2,FALSE)</f>
        <v>maflorr</v>
      </c>
      <c r="P2367" t="s">
        <v>661</v>
      </c>
      <c r="Q2367" s="7" t="s">
        <v>700</v>
      </c>
      <c r="U2367">
        <f t="shared" si="38"/>
        <v>3</v>
      </c>
    </row>
    <row r="2368" spans="1:21" ht="37.5" customHeight="1" x14ac:dyDescent="0.25">
      <c r="A2368" s="34">
        <v>45120</v>
      </c>
      <c r="B2368" s="13">
        <v>28</v>
      </c>
      <c r="C2368" t="s">
        <v>3</v>
      </c>
      <c r="D2368" t="s">
        <v>4</v>
      </c>
      <c r="E2368" t="s">
        <v>21</v>
      </c>
      <c r="F2368" s="6">
        <v>201338665</v>
      </c>
      <c r="G2368" t="s">
        <v>1159</v>
      </c>
      <c r="H2368" t="s">
        <v>263</v>
      </c>
      <c r="I2368">
        <v>0</v>
      </c>
      <c r="J2368">
        <v>0</v>
      </c>
      <c r="K2368">
        <v>0</v>
      </c>
      <c r="L2368">
        <v>0</v>
      </c>
      <c r="M2368">
        <v>0.47</v>
      </c>
      <c r="N2368" s="7" t="e">
        <f>VLOOKUP(F2368,HC!A$6:D$100,3,FALSE)</f>
        <v>#N/A</v>
      </c>
      <c r="O2368" s="7" t="e">
        <f>VLOOKUP(F2368,HC!A$6:D$1000,2,FALSE)</f>
        <v>#N/A</v>
      </c>
      <c r="P2368" t="s">
        <v>661</v>
      </c>
      <c r="Q2368" s="7" t="s">
        <v>684</v>
      </c>
      <c r="U2368">
        <f t="shared" si="38"/>
        <v>1395</v>
      </c>
    </row>
    <row r="2369" spans="1:21" ht="37.5" customHeight="1" x14ac:dyDescent="0.25">
      <c r="A2369" s="34">
        <v>45120</v>
      </c>
      <c r="B2369" s="13">
        <v>28</v>
      </c>
      <c r="C2369" t="s">
        <v>3</v>
      </c>
      <c r="D2369" t="s">
        <v>4</v>
      </c>
      <c r="E2369" t="s">
        <v>21</v>
      </c>
      <c r="F2369" s="6">
        <v>201341822</v>
      </c>
      <c r="G2369" t="s">
        <v>989</v>
      </c>
      <c r="H2369" t="s">
        <v>49</v>
      </c>
      <c r="I2369">
        <v>0</v>
      </c>
      <c r="J2369">
        <v>0</v>
      </c>
      <c r="K2369">
        <v>0</v>
      </c>
      <c r="L2369">
        <v>0</v>
      </c>
      <c r="M2369">
        <v>0.33</v>
      </c>
      <c r="N2369" s="7" t="e">
        <f>VLOOKUP(F2369,HC!A$6:D$100,3,FALSE)</f>
        <v>#N/A</v>
      </c>
      <c r="O2369" s="7" t="e">
        <f>VLOOKUP(F2369,HC!A$6:D$1000,2,FALSE)</f>
        <v>#N/A</v>
      </c>
      <c r="P2369" t="s">
        <v>664</v>
      </c>
      <c r="Q2369" s="7" t="s">
        <v>708</v>
      </c>
      <c r="U2369">
        <f t="shared" si="38"/>
        <v>1395</v>
      </c>
    </row>
    <row r="2370" spans="1:21" ht="37.5" customHeight="1" x14ac:dyDescent="0.25">
      <c r="A2370" s="34">
        <v>45120</v>
      </c>
      <c r="B2370" s="13">
        <v>28</v>
      </c>
      <c r="C2370" t="s">
        <v>3</v>
      </c>
      <c r="D2370" t="s">
        <v>4</v>
      </c>
      <c r="E2370" t="s">
        <v>21</v>
      </c>
      <c r="F2370" s="6">
        <v>201363254</v>
      </c>
      <c r="G2370" t="s">
        <v>1072</v>
      </c>
      <c r="H2370" t="s">
        <v>459</v>
      </c>
      <c r="I2370">
        <v>0</v>
      </c>
      <c r="J2370">
        <v>0</v>
      </c>
      <c r="K2370">
        <v>0</v>
      </c>
      <c r="L2370">
        <v>0</v>
      </c>
      <c r="M2370">
        <v>1.26</v>
      </c>
      <c r="N2370" s="7" t="e">
        <f>VLOOKUP(F2370,HC!A$6:D$100,3,FALSE)</f>
        <v>#N/A</v>
      </c>
      <c r="O2370" s="7" t="str">
        <f>VLOOKUP(F2370,HC!A$6:D$1000,2,FALSE)</f>
        <v>fwraziel</v>
      </c>
      <c r="P2370" t="s">
        <v>662</v>
      </c>
      <c r="Q2370" s="7" t="s">
        <v>757</v>
      </c>
      <c r="U2370">
        <f t="shared" si="38"/>
        <v>7</v>
      </c>
    </row>
    <row r="2371" spans="1:21" ht="37.5" customHeight="1" x14ac:dyDescent="0.25">
      <c r="A2371" s="34">
        <v>45120</v>
      </c>
      <c r="B2371" s="13">
        <v>28</v>
      </c>
      <c r="C2371" t="s">
        <v>3</v>
      </c>
      <c r="D2371" t="s">
        <v>4</v>
      </c>
      <c r="E2371" t="s">
        <v>21</v>
      </c>
      <c r="F2371" s="6">
        <v>201374875</v>
      </c>
      <c r="G2371" t="s">
        <v>1088</v>
      </c>
      <c r="H2371" t="s">
        <v>263</v>
      </c>
      <c r="I2371">
        <v>0</v>
      </c>
      <c r="J2371">
        <v>0</v>
      </c>
      <c r="K2371">
        <v>0</v>
      </c>
      <c r="L2371">
        <v>0</v>
      </c>
      <c r="M2371">
        <v>0.41</v>
      </c>
      <c r="N2371" s="7" t="e">
        <f>VLOOKUP(F2371,HC!A$6:D$100,3,FALSE)</f>
        <v>#N/A</v>
      </c>
      <c r="O2371" s="7" t="e">
        <f>VLOOKUP(F2371,HC!A$6:D$1000,2,FALSE)</f>
        <v>#N/A</v>
      </c>
      <c r="P2371" t="s">
        <v>664</v>
      </c>
      <c r="Q2371" s="7" t="s">
        <v>712</v>
      </c>
      <c r="U2371">
        <f t="shared" ref="U2371:U2434" si="39">COUNTIF(O$2:O$4999,O2371)</f>
        <v>1395</v>
      </c>
    </row>
    <row r="2372" spans="1:21" ht="37.5" customHeight="1" x14ac:dyDescent="0.25">
      <c r="A2372" s="34">
        <v>45120</v>
      </c>
      <c r="B2372" s="13">
        <v>28</v>
      </c>
      <c r="C2372" t="s">
        <v>3</v>
      </c>
      <c r="D2372" t="s">
        <v>4</v>
      </c>
      <c r="E2372" t="s">
        <v>21</v>
      </c>
      <c r="F2372" s="6">
        <v>201401219</v>
      </c>
      <c r="G2372" t="s">
        <v>1160</v>
      </c>
      <c r="H2372" t="s">
        <v>1040</v>
      </c>
      <c r="I2372">
        <v>0</v>
      </c>
      <c r="J2372">
        <v>0</v>
      </c>
      <c r="K2372">
        <v>0</v>
      </c>
      <c r="L2372">
        <v>0</v>
      </c>
      <c r="M2372">
        <v>0.23</v>
      </c>
      <c r="N2372" s="7" t="e">
        <f>VLOOKUP(F2372,HC!A$6:D$100,3,FALSE)</f>
        <v>#N/A</v>
      </c>
      <c r="O2372" s="7" t="str">
        <f>VLOOKUP(F2372,HC!A$6:D$1000,2,FALSE)</f>
        <v>namorena</v>
      </c>
      <c r="P2372" t="s">
        <v>665</v>
      </c>
      <c r="Q2372" s="7" t="s">
        <v>722</v>
      </c>
      <c r="U2372">
        <f t="shared" si="39"/>
        <v>5</v>
      </c>
    </row>
    <row r="2373" spans="1:21" ht="37.5" customHeight="1" x14ac:dyDescent="0.25">
      <c r="A2373" s="34">
        <v>45120</v>
      </c>
      <c r="B2373" s="13">
        <v>28</v>
      </c>
      <c r="C2373" t="s">
        <v>3</v>
      </c>
      <c r="D2373" t="s">
        <v>4</v>
      </c>
      <c r="E2373" t="s">
        <v>21</v>
      </c>
      <c r="F2373" s="6">
        <v>201409070</v>
      </c>
      <c r="G2373" t="s">
        <v>1078</v>
      </c>
      <c r="H2373" t="s">
        <v>47</v>
      </c>
      <c r="I2373">
        <v>0</v>
      </c>
      <c r="J2373">
        <v>0</v>
      </c>
      <c r="K2373">
        <v>0</v>
      </c>
      <c r="L2373">
        <v>0</v>
      </c>
      <c r="M2373">
        <v>0.34</v>
      </c>
      <c r="N2373" s="7" t="e">
        <f>VLOOKUP(F2373,HC!A$6:D$100,3,FALSE)</f>
        <v>#N/A</v>
      </c>
      <c r="O2373" s="7" t="e">
        <f>VLOOKUP(F2373,HC!A$6:D$1000,2,FALSE)</f>
        <v>#N/A</v>
      </c>
      <c r="P2373" t="s">
        <v>661</v>
      </c>
      <c r="Q2373" s="7" t="s">
        <v>759</v>
      </c>
      <c r="U2373">
        <f t="shared" si="39"/>
        <v>1395</v>
      </c>
    </row>
    <row r="2374" spans="1:21" ht="37.5" customHeight="1" x14ac:dyDescent="0.25">
      <c r="A2374" s="34">
        <v>45121</v>
      </c>
      <c r="B2374" s="13">
        <v>28</v>
      </c>
      <c r="C2374" t="s">
        <v>3</v>
      </c>
      <c r="D2374" t="s">
        <v>4</v>
      </c>
      <c r="E2374" t="s">
        <v>21</v>
      </c>
      <c r="F2374" s="6">
        <v>112912747</v>
      </c>
      <c r="G2374" t="s">
        <v>995</v>
      </c>
      <c r="H2374" t="s">
        <v>263</v>
      </c>
      <c r="I2374">
        <v>0</v>
      </c>
      <c r="J2374">
        <v>0</v>
      </c>
      <c r="K2374">
        <v>0</v>
      </c>
      <c r="L2374">
        <v>0</v>
      </c>
      <c r="M2374">
        <v>0.47</v>
      </c>
      <c r="N2374" s="7" t="e">
        <f>VLOOKUP(F2374,HC!A$6:D$100,3,FALSE)</f>
        <v>#N/A</v>
      </c>
      <c r="O2374" s="7" t="e">
        <f>VLOOKUP(F2374,HC!A$6:D$1000,2,FALSE)</f>
        <v>#N/A</v>
      </c>
      <c r="P2374" t="s">
        <v>664</v>
      </c>
      <c r="Q2374" s="7" t="s">
        <v>708</v>
      </c>
      <c r="U2374">
        <f t="shared" si="39"/>
        <v>1395</v>
      </c>
    </row>
    <row r="2375" spans="1:21" ht="37.5" customHeight="1" x14ac:dyDescent="0.25">
      <c r="A2375" s="34">
        <v>45121</v>
      </c>
      <c r="B2375" s="13">
        <v>28</v>
      </c>
      <c r="C2375" t="s">
        <v>3</v>
      </c>
      <c r="D2375" t="s">
        <v>4</v>
      </c>
      <c r="E2375" t="s">
        <v>5</v>
      </c>
      <c r="F2375" s="6">
        <v>112916533</v>
      </c>
      <c r="G2375" t="s">
        <v>1161</v>
      </c>
      <c r="H2375" t="s">
        <v>47</v>
      </c>
      <c r="I2375">
        <v>0</v>
      </c>
      <c r="J2375">
        <v>0</v>
      </c>
      <c r="K2375">
        <v>0</v>
      </c>
      <c r="L2375">
        <v>0</v>
      </c>
      <c r="M2375">
        <v>0.69</v>
      </c>
      <c r="N2375" s="7" t="str">
        <f>VLOOKUP(F2375,HC!A$6:D$100,3,FALSE)</f>
        <v>DB-X0700</v>
      </c>
      <c r="O2375" s="7" t="str">
        <f>VLOOKUP(F2375,HC!A$6:D$1000,2,FALSE)</f>
        <v>ljorgeto</v>
      </c>
      <c r="P2375" t="s">
        <v>664</v>
      </c>
      <c r="Q2375" s="7" t="s">
        <v>715</v>
      </c>
      <c r="R2375" t="s">
        <v>620</v>
      </c>
      <c r="U2375">
        <f t="shared" si="39"/>
        <v>3</v>
      </c>
    </row>
    <row r="2376" spans="1:21" ht="37.5" customHeight="1" x14ac:dyDescent="0.25">
      <c r="A2376" s="34">
        <v>45121</v>
      </c>
      <c r="B2376" s="13">
        <v>28</v>
      </c>
      <c r="C2376" t="s">
        <v>3</v>
      </c>
      <c r="D2376" t="s">
        <v>4</v>
      </c>
      <c r="E2376" t="s">
        <v>5</v>
      </c>
      <c r="F2376" s="6">
        <v>112920654</v>
      </c>
      <c r="G2376" t="s">
        <v>500</v>
      </c>
      <c r="H2376" t="s">
        <v>14</v>
      </c>
      <c r="I2376">
        <v>0</v>
      </c>
      <c r="J2376">
        <v>0</v>
      </c>
      <c r="K2376">
        <v>0</v>
      </c>
      <c r="L2376">
        <v>0</v>
      </c>
      <c r="M2376">
        <v>0.16</v>
      </c>
      <c r="N2376" s="7" t="str">
        <f>VLOOKUP(F2376,HC!A$6:D$100,3,FALSE)</f>
        <v>DB-X0700</v>
      </c>
      <c r="O2376" s="7" t="str">
        <f>VLOOKUP(F2376,HC!A$6:D$1000,2,FALSE)</f>
        <v>qhojulie</v>
      </c>
      <c r="P2376" t="s">
        <v>665</v>
      </c>
      <c r="Q2376" s="7" t="s">
        <v>722</v>
      </c>
      <c r="U2376">
        <f t="shared" si="39"/>
        <v>16</v>
      </c>
    </row>
    <row r="2377" spans="1:21" ht="37.5" customHeight="1" x14ac:dyDescent="0.25">
      <c r="A2377" s="34">
        <v>45121</v>
      </c>
      <c r="B2377" s="13">
        <v>28</v>
      </c>
      <c r="C2377" t="s">
        <v>3</v>
      </c>
      <c r="D2377" t="s">
        <v>4</v>
      </c>
      <c r="E2377" t="s">
        <v>5</v>
      </c>
      <c r="F2377" s="6">
        <v>112971962</v>
      </c>
      <c r="G2377" t="s">
        <v>338</v>
      </c>
      <c r="H2377" t="s">
        <v>17</v>
      </c>
      <c r="I2377">
        <v>0</v>
      </c>
      <c r="J2377">
        <v>0</v>
      </c>
      <c r="K2377">
        <v>0</v>
      </c>
      <c r="L2377">
        <v>0</v>
      </c>
      <c r="M2377">
        <v>0.19</v>
      </c>
      <c r="N2377" s="7" t="str">
        <f>VLOOKUP(F2377,HC!A$6:D$100,3,FALSE)</f>
        <v>DB-X0700</v>
      </c>
      <c r="O2377" s="7" t="str">
        <f>VLOOKUP(F2377,HC!A$6:D$1000,2,FALSE)</f>
        <v>creyesal</v>
      </c>
      <c r="P2377" t="s">
        <v>664</v>
      </c>
      <c r="Q2377" s="7" t="s">
        <v>709</v>
      </c>
      <c r="U2377">
        <f t="shared" si="39"/>
        <v>38</v>
      </c>
    </row>
    <row r="2378" spans="1:21" ht="37.5" customHeight="1" x14ac:dyDescent="0.25">
      <c r="A2378" s="34">
        <v>45121</v>
      </c>
      <c r="B2378" s="13">
        <v>28</v>
      </c>
      <c r="C2378" t="s">
        <v>3</v>
      </c>
      <c r="D2378" t="s">
        <v>4</v>
      </c>
      <c r="E2378" t="s">
        <v>5</v>
      </c>
      <c r="F2378" s="6">
        <v>113052151</v>
      </c>
      <c r="G2378" t="s">
        <v>482</v>
      </c>
      <c r="H2378" t="s">
        <v>17</v>
      </c>
      <c r="I2378">
        <v>0</v>
      </c>
      <c r="J2378">
        <v>0</v>
      </c>
      <c r="K2378">
        <v>0</v>
      </c>
      <c r="L2378">
        <v>0</v>
      </c>
      <c r="M2378">
        <v>0.12</v>
      </c>
      <c r="N2378" s="7" t="e">
        <f>VLOOKUP(F2378,HC!A$6:D$100,3,FALSE)</f>
        <v>#N/A</v>
      </c>
      <c r="O2378" s="7" t="str">
        <f>VLOOKUP(F2378,HC!A$6:D$1000,2,FALSE)</f>
        <v>nilaurab</v>
      </c>
      <c r="P2378" t="s">
        <v>664</v>
      </c>
      <c r="Q2378" s="7" t="s">
        <v>717</v>
      </c>
      <c r="U2378">
        <f t="shared" si="39"/>
        <v>28</v>
      </c>
    </row>
    <row r="2379" spans="1:21" ht="37.5" customHeight="1" x14ac:dyDescent="0.25">
      <c r="A2379" s="34">
        <v>45121</v>
      </c>
      <c r="B2379" s="13">
        <v>28</v>
      </c>
      <c r="C2379" t="s">
        <v>3</v>
      </c>
      <c r="D2379" t="s">
        <v>4</v>
      </c>
      <c r="E2379" t="s">
        <v>5</v>
      </c>
      <c r="F2379" s="6">
        <v>200562154</v>
      </c>
      <c r="G2379" t="s">
        <v>437</v>
      </c>
      <c r="H2379" t="s">
        <v>49</v>
      </c>
      <c r="I2379">
        <v>0</v>
      </c>
      <c r="J2379">
        <v>0</v>
      </c>
      <c r="K2379">
        <v>0</v>
      </c>
      <c r="L2379">
        <v>0</v>
      </c>
      <c r="M2379">
        <v>0.56999999999999995</v>
      </c>
      <c r="N2379" s="7" t="e">
        <f>VLOOKUP(F2379,HC!A$6:D$100,3,FALSE)</f>
        <v>#N/A</v>
      </c>
      <c r="O2379" s="7" t="str">
        <f>VLOOKUP(F2379,HC!A$6:D$1000,2,FALSE)</f>
        <v>reyesmcw</v>
      </c>
      <c r="P2379" t="s">
        <v>675</v>
      </c>
      <c r="Q2379" s="7"/>
      <c r="U2379">
        <f t="shared" si="39"/>
        <v>38</v>
      </c>
    </row>
    <row r="2380" spans="1:21" ht="37.5" customHeight="1" x14ac:dyDescent="0.25">
      <c r="A2380" s="34">
        <v>45121</v>
      </c>
      <c r="B2380" s="13">
        <v>28</v>
      </c>
      <c r="C2380" t="s">
        <v>3</v>
      </c>
      <c r="D2380" t="s">
        <v>4</v>
      </c>
      <c r="E2380" t="s">
        <v>5</v>
      </c>
      <c r="F2380" s="6">
        <v>200564845</v>
      </c>
      <c r="G2380" t="s">
        <v>440</v>
      </c>
      <c r="H2380" t="s">
        <v>47</v>
      </c>
      <c r="I2380">
        <v>0</v>
      </c>
      <c r="J2380">
        <v>0</v>
      </c>
      <c r="K2380">
        <v>0</v>
      </c>
      <c r="L2380">
        <v>0</v>
      </c>
      <c r="M2380">
        <v>0.38</v>
      </c>
      <c r="N2380" s="7" t="e">
        <f>VLOOKUP(F2380,HC!A$6:D$100,3,FALSE)</f>
        <v>#N/A</v>
      </c>
      <c r="O2380" s="7" t="e">
        <f>VLOOKUP(F2380,HC!A$6:D$1000,2,FALSE)</f>
        <v>#N/A</v>
      </c>
      <c r="Q2380" s="7"/>
      <c r="U2380">
        <f t="shared" si="39"/>
        <v>1395</v>
      </c>
    </row>
    <row r="2381" spans="1:21" ht="37.5" customHeight="1" x14ac:dyDescent="0.25">
      <c r="A2381" s="34">
        <v>45121</v>
      </c>
      <c r="B2381" s="13">
        <v>28</v>
      </c>
      <c r="C2381" t="s">
        <v>3</v>
      </c>
      <c r="D2381" t="s">
        <v>4</v>
      </c>
      <c r="E2381" t="s">
        <v>5</v>
      </c>
      <c r="F2381" s="6">
        <v>200625528</v>
      </c>
      <c r="G2381" t="s">
        <v>607</v>
      </c>
      <c r="H2381" t="s">
        <v>285</v>
      </c>
      <c r="I2381">
        <v>0</v>
      </c>
      <c r="J2381">
        <v>0</v>
      </c>
      <c r="K2381">
        <v>0</v>
      </c>
      <c r="L2381">
        <v>0</v>
      </c>
      <c r="M2381">
        <v>0.18</v>
      </c>
      <c r="N2381" s="7" t="e">
        <f>VLOOKUP(F2381,HC!A$6:D$100,3,FALSE)</f>
        <v>#N/A</v>
      </c>
      <c r="O2381" s="7" t="str">
        <f>VLOOKUP(F2381,HC!A$6:D$1000,2,FALSE)</f>
        <v>olivlizb</v>
      </c>
      <c r="P2381" t="s">
        <v>665</v>
      </c>
      <c r="Q2381" s="7" t="s">
        <v>769</v>
      </c>
      <c r="U2381">
        <f t="shared" si="39"/>
        <v>50</v>
      </c>
    </row>
    <row r="2382" spans="1:21" ht="37.5" customHeight="1" x14ac:dyDescent="0.25">
      <c r="A2382" s="34">
        <v>45121</v>
      </c>
      <c r="B2382" s="13">
        <v>28</v>
      </c>
      <c r="C2382" t="s">
        <v>3</v>
      </c>
      <c r="D2382" t="s">
        <v>4</v>
      </c>
      <c r="E2382" t="s">
        <v>21</v>
      </c>
      <c r="F2382" s="6">
        <v>201166890</v>
      </c>
      <c r="G2382" t="s">
        <v>998</v>
      </c>
      <c r="H2382" t="s">
        <v>298</v>
      </c>
      <c r="I2382">
        <v>0</v>
      </c>
      <c r="J2382">
        <v>0</v>
      </c>
      <c r="K2382">
        <v>0</v>
      </c>
      <c r="L2382">
        <v>0</v>
      </c>
      <c r="M2382">
        <v>0.14000000000000001</v>
      </c>
      <c r="N2382" s="7" t="e">
        <f>VLOOKUP(F2382,HC!A$6:D$100,3,FALSE)</f>
        <v>#N/A</v>
      </c>
      <c r="O2382" s="7" t="str">
        <f>VLOOKUP(F2382,HC!A$6:D$1000,2,FALSE)</f>
        <v>lcabadan</v>
      </c>
      <c r="P2382" t="s">
        <v>664</v>
      </c>
      <c r="Q2382" s="7" t="s">
        <v>711</v>
      </c>
      <c r="U2382">
        <f t="shared" si="39"/>
        <v>24</v>
      </c>
    </row>
    <row r="2383" spans="1:21" ht="37.5" customHeight="1" x14ac:dyDescent="0.25">
      <c r="A2383" s="34">
        <v>45121</v>
      </c>
      <c r="B2383" s="13">
        <v>28</v>
      </c>
      <c r="C2383" t="s">
        <v>3</v>
      </c>
      <c r="D2383" t="s">
        <v>4</v>
      </c>
      <c r="E2383" t="s">
        <v>21</v>
      </c>
      <c r="F2383" s="6">
        <v>201167501</v>
      </c>
      <c r="G2383" t="s">
        <v>863</v>
      </c>
      <c r="H2383" t="s">
        <v>44</v>
      </c>
      <c r="I2383">
        <v>0</v>
      </c>
      <c r="J2383">
        <v>0</v>
      </c>
      <c r="K2383">
        <v>0</v>
      </c>
      <c r="L2383">
        <v>0</v>
      </c>
      <c r="M2383">
        <v>1.01</v>
      </c>
      <c r="N2383" s="7" t="e">
        <f>VLOOKUP(F2383,HC!A$6:D$100,3,FALSE)</f>
        <v>#N/A</v>
      </c>
      <c r="O2383" s="7" t="str">
        <f>VLOOKUP(F2383,HC!A$6:D$1000,2,FALSE)</f>
        <v>wguanajr</v>
      </c>
      <c r="P2383" t="s">
        <v>664</v>
      </c>
      <c r="Q2383" s="7" t="s">
        <v>770</v>
      </c>
      <c r="U2383">
        <f t="shared" si="39"/>
        <v>36</v>
      </c>
    </row>
    <row r="2384" spans="1:21" ht="37.5" customHeight="1" x14ac:dyDescent="0.25">
      <c r="A2384" s="34">
        <v>45121</v>
      </c>
      <c r="B2384" s="13">
        <v>28</v>
      </c>
      <c r="C2384" t="s">
        <v>3</v>
      </c>
      <c r="D2384" t="s">
        <v>4</v>
      </c>
      <c r="E2384" t="s">
        <v>21</v>
      </c>
      <c r="F2384" s="6">
        <v>201185653</v>
      </c>
      <c r="G2384" t="s">
        <v>987</v>
      </c>
      <c r="H2384" t="s">
        <v>49</v>
      </c>
      <c r="I2384">
        <v>0</v>
      </c>
      <c r="J2384">
        <v>0</v>
      </c>
      <c r="K2384">
        <v>0</v>
      </c>
      <c r="L2384">
        <v>0</v>
      </c>
      <c r="M2384">
        <v>0.14000000000000001</v>
      </c>
      <c r="N2384" s="7" t="e">
        <f>VLOOKUP(F2384,HC!A$6:D$100,3,FALSE)</f>
        <v>#N/A</v>
      </c>
      <c r="O2384" s="7" t="str">
        <f>VLOOKUP(F2384,HC!A$6:D$1000,2,FALSE)</f>
        <v>luisamin</v>
      </c>
      <c r="P2384" t="s">
        <v>661</v>
      </c>
      <c r="Q2384" s="7" t="s">
        <v>681</v>
      </c>
      <c r="U2384">
        <f t="shared" si="39"/>
        <v>8</v>
      </c>
    </row>
    <row r="2385" spans="1:21" ht="37.5" customHeight="1" x14ac:dyDescent="0.25">
      <c r="A2385" s="34">
        <v>45121</v>
      </c>
      <c r="B2385" s="13">
        <v>28</v>
      </c>
      <c r="C2385" t="s">
        <v>3</v>
      </c>
      <c r="D2385" t="s">
        <v>4</v>
      </c>
      <c r="E2385" t="s">
        <v>21</v>
      </c>
      <c r="F2385" s="6">
        <v>201320388</v>
      </c>
      <c r="G2385" t="s">
        <v>994</v>
      </c>
      <c r="H2385" t="s">
        <v>44</v>
      </c>
      <c r="I2385">
        <v>0</v>
      </c>
      <c r="J2385">
        <v>0</v>
      </c>
      <c r="K2385">
        <v>0</v>
      </c>
      <c r="L2385">
        <v>0</v>
      </c>
      <c r="M2385">
        <v>0.53</v>
      </c>
      <c r="N2385" s="7" t="e">
        <f>VLOOKUP(F2385,HC!A$6:D$100,3,FALSE)</f>
        <v>#N/A</v>
      </c>
      <c r="O2385" s="7" t="e">
        <f>VLOOKUP(F2385,HC!A$6:D$1000,2,FALSE)</f>
        <v>#N/A</v>
      </c>
      <c r="P2385" t="s">
        <v>661</v>
      </c>
      <c r="Q2385" s="7" t="s">
        <v>681</v>
      </c>
      <c r="U2385">
        <f t="shared" si="39"/>
        <v>1395</v>
      </c>
    </row>
    <row r="2386" spans="1:21" ht="37.5" customHeight="1" x14ac:dyDescent="0.25">
      <c r="A2386" s="34">
        <v>45121</v>
      </c>
      <c r="B2386" s="13">
        <v>28</v>
      </c>
      <c r="C2386" t="s">
        <v>3</v>
      </c>
      <c r="D2386" t="s">
        <v>4</v>
      </c>
      <c r="E2386" t="s">
        <v>21</v>
      </c>
      <c r="F2386" s="6">
        <v>201353166</v>
      </c>
      <c r="G2386" t="s">
        <v>1051</v>
      </c>
      <c r="H2386" t="s">
        <v>17</v>
      </c>
      <c r="I2386">
        <v>0</v>
      </c>
      <c r="J2386">
        <v>0</v>
      </c>
      <c r="K2386">
        <v>0</v>
      </c>
      <c r="L2386">
        <v>0</v>
      </c>
      <c r="M2386">
        <v>0.44</v>
      </c>
      <c r="N2386" s="7" t="e">
        <f>VLOOKUP(F2386,HC!A$6:D$100,3,FALSE)</f>
        <v>#N/A</v>
      </c>
      <c r="O2386" s="7" t="str">
        <f>VLOOKUP(F2386,HC!A$6:D$1000,2,FALSE)</f>
        <v>mamlucia</v>
      </c>
      <c r="P2386" t="s">
        <v>662</v>
      </c>
      <c r="Q2386" s="7" t="s">
        <v>688</v>
      </c>
      <c r="U2386">
        <f t="shared" si="39"/>
        <v>7</v>
      </c>
    </row>
    <row r="2387" spans="1:21" ht="37.5" customHeight="1" x14ac:dyDescent="0.25">
      <c r="A2387" s="34">
        <v>45121</v>
      </c>
      <c r="B2387" s="13">
        <v>28</v>
      </c>
      <c r="C2387" t="s">
        <v>3</v>
      </c>
      <c r="D2387" t="s">
        <v>4</v>
      </c>
      <c r="E2387" t="s">
        <v>21</v>
      </c>
      <c r="F2387" s="6">
        <v>201354965</v>
      </c>
      <c r="G2387" t="s">
        <v>1063</v>
      </c>
      <c r="H2387" t="s">
        <v>263</v>
      </c>
      <c r="I2387">
        <v>0</v>
      </c>
      <c r="J2387">
        <v>0</v>
      </c>
      <c r="K2387">
        <v>0</v>
      </c>
      <c r="L2387">
        <v>0</v>
      </c>
      <c r="M2387">
        <v>0.23</v>
      </c>
      <c r="N2387" s="7" t="e">
        <f>VLOOKUP(F2387,HC!A$6:D$100,3,FALSE)</f>
        <v>#N/A</v>
      </c>
      <c r="O2387" s="7" t="str">
        <f>VLOOKUP(F2387,HC!A$6:D$1000,2,FALSE)</f>
        <v>alinejim</v>
      </c>
      <c r="P2387" t="s">
        <v>670</v>
      </c>
      <c r="Q2387" s="7" t="s">
        <v>740</v>
      </c>
      <c r="U2387">
        <f t="shared" si="39"/>
        <v>33</v>
      </c>
    </row>
    <row r="2388" spans="1:21" ht="37.5" customHeight="1" x14ac:dyDescent="0.25">
      <c r="A2388" s="34">
        <v>45121</v>
      </c>
      <c r="B2388" s="13">
        <v>28</v>
      </c>
      <c r="C2388" t="s">
        <v>3</v>
      </c>
      <c r="D2388" t="s">
        <v>4</v>
      </c>
      <c r="E2388" t="s">
        <v>21</v>
      </c>
      <c r="F2388" s="6">
        <v>201403462</v>
      </c>
      <c r="G2388" t="s">
        <v>1054</v>
      </c>
      <c r="H2388" t="s">
        <v>49</v>
      </c>
      <c r="I2388">
        <v>0</v>
      </c>
      <c r="J2388">
        <v>0</v>
      </c>
      <c r="K2388">
        <v>0</v>
      </c>
      <c r="L2388">
        <v>0</v>
      </c>
      <c r="M2388">
        <v>0.25</v>
      </c>
      <c r="N2388" s="7" t="e">
        <f>VLOOKUP(F2388,HC!A$6:D$100,3,FALSE)</f>
        <v>#N/A</v>
      </c>
      <c r="O2388" s="7" t="str">
        <f>VLOOKUP(F2388,HC!A$6:D$1000,2,FALSE)</f>
        <v>valdojoe</v>
      </c>
      <c r="P2388" t="s">
        <v>662</v>
      </c>
      <c r="Q2388" s="7" t="s">
        <v>687</v>
      </c>
      <c r="U2388">
        <f t="shared" si="39"/>
        <v>22</v>
      </c>
    </row>
    <row r="2389" spans="1:21" ht="37.5" customHeight="1" x14ac:dyDescent="0.25">
      <c r="A2389" s="34">
        <v>45122</v>
      </c>
      <c r="B2389" s="13">
        <v>28</v>
      </c>
      <c r="C2389" t="s">
        <v>3</v>
      </c>
      <c r="D2389" t="s">
        <v>4</v>
      </c>
      <c r="E2389" t="s">
        <v>5</v>
      </c>
      <c r="F2389" s="6">
        <v>112912054</v>
      </c>
      <c r="G2389" t="s">
        <v>333</v>
      </c>
      <c r="H2389" t="s">
        <v>282</v>
      </c>
      <c r="I2389">
        <v>0</v>
      </c>
      <c r="J2389">
        <v>0</v>
      </c>
      <c r="K2389">
        <v>0</v>
      </c>
      <c r="L2389">
        <v>0</v>
      </c>
      <c r="M2389">
        <v>0.17</v>
      </c>
      <c r="N2389" s="7" t="str">
        <f>VLOOKUP(F2389,HC!A$6:D$100,3,FALSE)</f>
        <v>DB-X0700</v>
      </c>
      <c r="O2389" s="7" t="str">
        <f>VLOOKUP(F2389,HC!A$6:D$1000,2,FALSE)</f>
        <v>privejor</v>
      </c>
      <c r="Q2389" s="7"/>
      <c r="U2389">
        <f t="shared" si="39"/>
        <v>14</v>
      </c>
    </row>
    <row r="2390" spans="1:21" ht="37.5" customHeight="1" x14ac:dyDescent="0.25">
      <c r="A2390" s="34">
        <v>45122</v>
      </c>
      <c r="B2390" s="13">
        <v>28</v>
      </c>
      <c r="C2390" t="s">
        <v>3</v>
      </c>
      <c r="D2390" t="s">
        <v>4</v>
      </c>
      <c r="E2390" t="s">
        <v>5</v>
      </c>
      <c r="F2390" s="6">
        <v>112916533</v>
      </c>
      <c r="G2390" t="s">
        <v>1161</v>
      </c>
      <c r="H2390" t="s">
        <v>47</v>
      </c>
      <c r="I2390">
        <v>0</v>
      </c>
      <c r="J2390">
        <v>0</v>
      </c>
      <c r="K2390">
        <v>0</v>
      </c>
      <c r="L2390">
        <v>0</v>
      </c>
      <c r="M2390">
        <v>0.69</v>
      </c>
      <c r="N2390" s="7" t="str">
        <f>VLOOKUP(F2390,HC!A$6:D$100,3,FALSE)</f>
        <v>DB-X0700</v>
      </c>
      <c r="O2390" s="7" t="str">
        <f>VLOOKUP(F2390,HC!A$6:D$1000,2,FALSE)</f>
        <v>ljorgeto</v>
      </c>
      <c r="P2390" t="s">
        <v>675</v>
      </c>
      <c r="Q2390" s="7"/>
      <c r="U2390">
        <f t="shared" si="39"/>
        <v>3</v>
      </c>
    </row>
    <row r="2391" spans="1:21" ht="37.5" customHeight="1" x14ac:dyDescent="0.25">
      <c r="A2391" s="34">
        <v>45122</v>
      </c>
      <c r="B2391" s="13">
        <v>28</v>
      </c>
      <c r="C2391" t="s">
        <v>3</v>
      </c>
      <c r="D2391" t="s">
        <v>4</v>
      </c>
      <c r="E2391" t="s">
        <v>5</v>
      </c>
      <c r="F2391" s="6">
        <v>112951256</v>
      </c>
      <c r="G2391" t="s">
        <v>337</v>
      </c>
      <c r="H2391" t="s">
        <v>282</v>
      </c>
      <c r="I2391">
        <v>0</v>
      </c>
      <c r="J2391">
        <v>0</v>
      </c>
      <c r="K2391">
        <v>0</v>
      </c>
      <c r="L2391">
        <v>0</v>
      </c>
      <c r="M2391">
        <v>1.3</v>
      </c>
      <c r="N2391" s="7" t="str">
        <f>VLOOKUP(F2391,HC!A$6:D$100,3,FALSE)</f>
        <v>DA-X0700</v>
      </c>
      <c r="O2391" s="7" t="str">
        <f>VLOOKUP(F2391,HC!A$6:D$1000,2,FALSE)</f>
        <v>grkatery</v>
      </c>
      <c r="P2391" t="s">
        <v>664</v>
      </c>
      <c r="Q2391" s="7" t="s">
        <v>717</v>
      </c>
      <c r="U2391">
        <f t="shared" si="39"/>
        <v>17</v>
      </c>
    </row>
    <row r="2392" spans="1:21" ht="37.5" customHeight="1" x14ac:dyDescent="0.25">
      <c r="A2392" s="34">
        <v>45122</v>
      </c>
      <c r="B2392" s="13">
        <v>28</v>
      </c>
      <c r="C2392" t="s">
        <v>3</v>
      </c>
      <c r="D2392" t="s">
        <v>4</v>
      </c>
      <c r="E2392" t="s">
        <v>5</v>
      </c>
      <c r="F2392" s="6">
        <v>112971962</v>
      </c>
      <c r="G2392" t="s">
        <v>338</v>
      </c>
      <c r="H2392" t="s">
        <v>17</v>
      </c>
      <c r="I2392">
        <v>0</v>
      </c>
      <c r="J2392">
        <v>0</v>
      </c>
      <c r="K2392">
        <v>0</v>
      </c>
      <c r="L2392">
        <v>0</v>
      </c>
      <c r="M2392">
        <v>0.34</v>
      </c>
      <c r="N2392" s="7" t="str">
        <f>VLOOKUP(F2392,HC!A$6:D$100,3,FALSE)</f>
        <v>DB-X0700</v>
      </c>
      <c r="O2392" s="7" t="str">
        <f>VLOOKUP(F2392,HC!A$6:D$1000,2,FALSE)</f>
        <v>creyesal</v>
      </c>
      <c r="P2392" t="s">
        <v>670</v>
      </c>
      <c r="Q2392" s="7" t="s">
        <v>748</v>
      </c>
      <c r="U2392">
        <f t="shared" si="39"/>
        <v>38</v>
      </c>
    </row>
    <row r="2393" spans="1:21" ht="37.5" customHeight="1" x14ac:dyDescent="0.25">
      <c r="A2393" s="34">
        <v>45122</v>
      </c>
      <c r="B2393" s="13">
        <v>28</v>
      </c>
      <c r="C2393" t="s">
        <v>3</v>
      </c>
      <c r="D2393" t="s">
        <v>4</v>
      </c>
      <c r="E2393" t="s">
        <v>5</v>
      </c>
      <c r="F2393" s="6">
        <v>112976043</v>
      </c>
      <c r="G2393" t="s">
        <v>1162</v>
      </c>
      <c r="H2393" t="s">
        <v>1163</v>
      </c>
      <c r="I2393">
        <v>0</v>
      </c>
      <c r="J2393">
        <v>0</v>
      </c>
      <c r="K2393">
        <v>0</v>
      </c>
      <c r="L2393">
        <v>0</v>
      </c>
      <c r="M2393">
        <v>0.01</v>
      </c>
      <c r="N2393" s="7" t="str">
        <f>VLOOKUP(F2393,HC!A$6:D$100,3,FALSE)</f>
        <v>DE-X1024</v>
      </c>
      <c r="O2393" s="7" t="str">
        <f>VLOOKUP(F2393,HC!A$6:D$1000,2,FALSE)</f>
        <v>ricrivab</v>
      </c>
      <c r="P2393" t="s">
        <v>668</v>
      </c>
      <c r="Q2393" s="7" t="s">
        <v>729</v>
      </c>
      <c r="U2393">
        <f t="shared" si="39"/>
        <v>4</v>
      </c>
    </row>
    <row r="2394" spans="1:21" ht="37.5" customHeight="1" x14ac:dyDescent="0.25">
      <c r="A2394" s="34">
        <v>45122</v>
      </c>
      <c r="B2394" s="13">
        <v>28</v>
      </c>
      <c r="C2394" t="s">
        <v>3</v>
      </c>
      <c r="D2394" t="s">
        <v>4</v>
      </c>
      <c r="E2394" t="s">
        <v>5</v>
      </c>
      <c r="F2394" s="6">
        <v>113004099</v>
      </c>
      <c r="G2394" t="s">
        <v>542</v>
      </c>
      <c r="H2394" t="s">
        <v>7</v>
      </c>
      <c r="I2394">
        <v>0</v>
      </c>
      <c r="J2394">
        <v>0</v>
      </c>
      <c r="K2394">
        <v>0</v>
      </c>
      <c r="L2394">
        <v>0</v>
      </c>
      <c r="M2394">
        <v>7.0000000000000007E-2</v>
      </c>
      <c r="N2394" s="7" t="e">
        <f>VLOOKUP(F2394,HC!A$6:D$100,3,FALSE)</f>
        <v>#N/A</v>
      </c>
      <c r="O2394" s="7" t="str">
        <f>VLOOKUP(F2394,HC!A$6:D$1000,2,FALSE)</f>
        <v>partilum</v>
      </c>
      <c r="P2394" t="s">
        <v>664</v>
      </c>
      <c r="Q2394" s="7" t="s">
        <v>708</v>
      </c>
      <c r="U2394">
        <f t="shared" si="39"/>
        <v>8</v>
      </c>
    </row>
    <row r="2395" spans="1:21" ht="37.5" customHeight="1" x14ac:dyDescent="0.25">
      <c r="A2395" s="34">
        <v>45122</v>
      </c>
      <c r="B2395" s="13">
        <v>28</v>
      </c>
      <c r="C2395" t="s">
        <v>3</v>
      </c>
      <c r="D2395" t="s">
        <v>4</v>
      </c>
      <c r="E2395" t="s">
        <v>5</v>
      </c>
      <c r="F2395" s="6">
        <v>113014084</v>
      </c>
      <c r="G2395" t="s">
        <v>462</v>
      </c>
      <c r="H2395" t="s">
        <v>47</v>
      </c>
      <c r="I2395">
        <v>0</v>
      </c>
      <c r="J2395">
        <v>0</v>
      </c>
      <c r="K2395">
        <v>0</v>
      </c>
      <c r="L2395">
        <v>0</v>
      </c>
      <c r="M2395">
        <v>0.54</v>
      </c>
      <c r="N2395" s="7" t="e">
        <f>VLOOKUP(F2395,HC!A$6:D$100,3,FALSE)</f>
        <v>#N/A</v>
      </c>
      <c r="O2395" s="7" t="str">
        <f>VLOOKUP(F2395,HC!A$6:D$1000,2,FALSE)</f>
        <v>dnmanuel</v>
      </c>
      <c r="P2395" t="s">
        <v>670</v>
      </c>
      <c r="Q2395" s="7" t="s">
        <v>784</v>
      </c>
      <c r="U2395">
        <f t="shared" si="39"/>
        <v>6</v>
      </c>
    </row>
    <row r="2396" spans="1:21" ht="37.5" customHeight="1" x14ac:dyDescent="0.25">
      <c r="A2396" s="34">
        <v>45122</v>
      </c>
      <c r="B2396" s="13">
        <v>28</v>
      </c>
      <c r="C2396" t="s">
        <v>3</v>
      </c>
      <c r="D2396" t="s">
        <v>4</v>
      </c>
      <c r="E2396" t="s">
        <v>5</v>
      </c>
      <c r="F2396" s="6">
        <v>113020476</v>
      </c>
      <c r="G2396" t="s">
        <v>330</v>
      </c>
      <c r="H2396" t="s">
        <v>7</v>
      </c>
      <c r="I2396">
        <v>0</v>
      </c>
      <c r="J2396">
        <v>0</v>
      </c>
      <c r="K2396">
        <v>0</v>
      </c>
      <c r="L2396">
        <v>0</v>
      </c>
      <c r="M2396">
        <v>0.22</v>
      </c>
      <c r="N2396" s="7" t="e">
        <f>VLOOKUP(F2396,HC!A$6:D$100,3,FALSE)</f>
        <v>#N/A</v>
      </c>
      <c r="O2396" s="7" t="str">
        <f>VLOOKUP(F2396,HC!A$6:D$1000,2,FALSE)</f>
        <v>polettpu</v>
      </c>
      <c r="P2396" t="s">
        <v>675</v>
      </c>
      <c r="Q2396" s="7"/>
      <c r="U2396">
        <f t="shared" si="39"/>
        <v>55</v>
      </c>
    </row>
    <row r="2397" spans="1:21" ht="37.5" customHeight="1" x14ac:dyDescent="0.25">
      <c r="A2397" s="34">
        <v>45122</v>
      </c>
      <c r="B2397" s="13">
        <v>28</v>
      </c>
      <c r="C2397" t="s">
        <v>3</v>
      </c>
      <c r="D2397" t="s">
        <v>4</v>
      </c>
      <c r="E2397" t="s">
        <v>5</v>
      </c>
      <c r="F2397" s="6">
        <v>113101262</v>
      </c>
      <c r="G2397" t="s">
        <v>642</v>
      </c>
      <c r="H2397" t="s">
        <v>49</v>
      </c>
      <c r="I2397">
        <v>0</v>
      </c>
      <c r="J2397">
        <v>0</v>
      </c>
      <c r="K2397">
        <v>0</v>
      </c>
      <c r="L2397">
        <v>0</v>
      </c>
      <c r="M2397">
        <v>0.19</v>
      </c>
      <c r="N2397" s="7" t="e">
        <f>VLOOKUP(F2397,HC!A$6:D$100,3,FALSE)</f>
        <v>#N/A</v>
      </c>
      <c r="O2397" s="7" t="str">
        <f>VLOOKUP(F2397,HC!A$6:D$1000,2,FALSE)</f>
        <v>cetinocr</v>
      </c>
      <c r="P2397" t="s">
        <v>664</v>
      </c>
      <c r="Q2397" s="7" t="s">
        <v>708</v>
      </c>
      <c r="U2397">
        <f t="shared" si="39"/>
        <v>6</v>
      </c>
    </row>
    <row r="2398" spans="1:21" ht="37.5" customHeight="1" x14ac:dyDescent="0.25">
      <c r="A2398" s="34">
        <v>45122</v>
      </c>
      <c r="B2398" s="13">
        <v>28</v>
      </c>
      <c r="C2398" t="s">
        <v>3</v>
      </c>
      <c r="D2398" t="s">
        <v>4</v>
      </c>
      <c r="E2398" t="s">
        <v>5</v>
      </c>
      <c r="F2398" s="6">
        <v>200562154</v>
      </c>
      <c r="G2398" t="s">
        <v>437</v>
      </c>
      <c r="H2398" t="s">
        <v>49</v>
      </c>
      <c r="I2398">
        <v>0</v>
      </c>
      <c r="J2398">
        <v>0</v>
      </c>
      <c r="K2398">
        <v>0</v>
      </c>
      <c r="L2398">
        <v>0</v>
      </c>
      <c r="M2398">
        <v>0.49</v>
      </c>
      <c r="N2398" s="7" t="e">
        <f>VLOOKUP(F2398,HC!A$6:D$100,3,FALSE)</f>
        <v>#N/A</v>
      </c>
      <c r="O2398" s="7" t="str">
        <f>VLOOKUP(F2398,HC!A$6:D$1000,2,FALSE)</f>
        <v>reyesmcw</v>
      </c>
      <c r="P2398" t="s">
        <v>675</v>
      </c>
      <c r="Q2398" s="7"/>
      <c r="U2398">
        <f t="shared" si="39"/>
        <v>38</v>
      </c>
    </row>
    <row r="2399" spans="1:21" ht="37.5" customHeight="1" x14ac:dyDescent="0.25">
      <c r="A2399" s="34">
        <v>45122</v>
      </c>
      <c r="B2399" s="13">
        <v>28</v>
      </c>
      <c r="C2399" t="s">
        <v>3</v>
      </c>
      <c r="D2399" t="s">
        <v>4</v>
      </c>
      <c r="E2399" t="s">
        <v>5</v>
      </c>
      <c r="F2399" s="6">
        <v>200564845</v>
      </c>
      <c r="G2399" t="s">
        <v>440</v>
      </c>
      <c r="H2399" t="s">
        <v>47</v>
      </c>
      <c r="I2399">
        <v>0</v>
      </c>
      <c r="J2399">
        <v>0</v>
      </c>
      <c r="K2399">
        <v>0</v>
      </c>
      <c r="L2399">
        <v>0</v>
      </c>
      <c r="M2399">
        <v>0.41</v>
      </c>
      <c r="N2399" s="7" t="e">
        <f>VLOOKUP(F2399,HC!A$6:D$100,3,FALSE)</f>
        <v>#N/A</v>
      </c>
      <c r="O2399" s="7" t="e">
        <f>VLOOKUP(F2399,HC!A$6:D$1000,2,FALSE)</f>
        <v>#N/A</v>
      </c>
      <c r="P2399" t="s">
        <v>662</v>
      </c>
      <c r="Q2399" s="7" t="s">
        <v>785</v>
      </c>
      <c r="U2399">
        <f t="shared" si="39"/>
        <v>1395</v>
      </c>
    </row>
    <row r="2400" spans="1:21" ht="37.5" customHeight="1" x14ac:dyDescent="0.25">
      <c r="A2400" s="34">
        <v>45122</v>
      </c>
      <c r="B2400" s="13">
        <v>28</v>
      </c>
      <c r="C2400" t="s">
        <v>3</v>
      </c>
      <c r="D2400" t="s">
        <v>4</v>
      </c>
      <c r="E2400" t="s">
        <v>5</v>
      </c>
      <c r="F2400" s="6">
        <v>200614224</v>
      </c>
      <c r="G2400" t="s">
        <v>322</v>
      </c>
      <c r="H2400" t="s">
        <v>17</v>
      </c>
      <c r="I2400">
        <v>0</v>
      </c>
      <c r="J2400">
        <v>0</v>
      </c>
      <c r="K2400">
        <v>0</v>
      </c>
      <c r="L2400">
        <v>0</v>
      </c>
      <c r="M2400">
        <v>0.1</v>
      </c>
      <c r="N2400" s="7" t="e">
        <f>VLOOKUP(F2400,HC!A$6:D$100,3,FALSE)</f>
        <v>#N/A</v>
      </c>
      <c r="O2400" s="7" t="e">
        <f>VLOOKUP(F2400,HC!A$6:D$1000,2,FALSE)</f>
        <v>#N/A</v>
      </c>
      <c r="P2400" t="s">
        <v>662</v>
      </c>
      <c r="Q2400" s="7" t="s">
        <v>688</v>
      </c>
      <c r="U2400">
        <f t="shared" si="39"/>
        <v>1395</v>
      </c>
    </row>
    <row r="2401" spans="1:21" ht="37.5" customHeight="1" x14ac:dyDescent="0.25">
      <c r="A2401" s="34">
        <v>45122</v>
      </c>
      <c r="B2401" s="13">
        <v>28</v>
      </c>
      <c r="C2401" t="s">
        <v>3</v>
      </c>
      <c r="D2401" t="s">
        <v>4</v>
      </c>
      <c r="E2401" t="s">
        <v>5</v>
      </c>
      <c r="F2401" s="6">
        <v>200615883</v>
      </c>
      <c r="G2401" t="s">
        <v>508</v>
      </c>
      <c r="H2401" t="s">
        <v>47</v>
      </c>
      <c r="I2401">
        <v>0</v>
      </c>
      <c r="J2401">
        <v>0</v>
      </c>
      <c r="K2401">
        <v>0</v>
      </c>
      <c r="L2401">
        <v>0</v>
      </c>
      <c r="M2401">
        <v>0.18</v>
      </c>
      <c r="N2401" s="7" t="e">
        <f>VLOOKUP(F2401,HC!A$6:D$100,3,FALSE)</f>
        <v>#N/A</v>
      </c>
      <c r="O2401" s="7" t="e">
        <f>VLOOKUP(F2401,HC!A$6:D$1000,2,FALSE)</f>
        <v>#N/A</v>
      </c>
      <c r="P2401" t="s">
        <v>665</v>
      </c>
      <c r="Q2401" s="7" t="s">
        <v>722</v>
      </c>
      <c r="U2401">
        <f t="shared" si="39"/>
        <v>1395</v>
      </c>
    </row>
    <row r="2402" spans="1:21" ht="37.5" customHeight="1" x14ac:dyDescent="0.25">
      <c r="A2402" s="34">
        <v>45122</v>
      </c>
      <c r="B2402" s="13">
        <v>28</v>
      </c>
      <c r="C2402" t="s">
        <v>3</v>
      </c>
      <c r="D2402" t="s">
        <v>4</v>
      </c>
      <c r="E2402" t="s">
        <v>21</v>
      </c>
      <c r="F2402" s="6">
        <v>201166890</v>
      </c>
      <c r="G2402" t="s">
        <v>998</v>
      </c>
      <c r="H2402" t="s">
        <v>298</v>
      </c>
      <c r="I2402">
        <v>0</v>
      </c>
      <c r="J2402">
        <v>0</v>
      </c>
      <c r="K2402">
        <v>0</v>
      </c>
      <c r="L2402">
        <v>0</v>
      </c>
      <c r="M2402">
        <v>0.14000000000000001</v>
      </c>
      <c r="N2402" s="7" t="e">
        <f>VLOOKUP(F2402,HC!A$6:D$100,3,FALSE)</f>
        <v>#N/A</v>
      </c>
      <c r="O2402" s="7" t="str">
        <f>VLOOKUP(F2402,HC!A$6:D$1000,2,FALSE)</f>
        <v>lcabadan</v>
      </c>
      <c r="P2402" t="s">
        <v>664</v>
      </c>
      <c r="Q2402" s="7" t="s">
        <v>712</v>
      </c>
      <c r="U2402">
        <f t="shared" si="39"/>
        <v>24</v>
      </c>
    </row>
    <row r="2403" spans="1:21" ht="37.5" customHeight="1" x14ac:dyDescent="0.25">
      <c r="A2403" s="34">
        <v>45122</v>
      </c>
      <c r="B2403" s="13">
        <v>28</v>
      </c>
      <c r="C2403" t="s">
        <v>3</v>
      </c>
      <c r="D2403" t="s">
        <v>4</v>
      </c>
      <c r="E2403" t="s">
        <v>21</v>
      </c>
      <c r="F2403" s="6">
        <v>201167388</v>
      </c>
      <c r="G2403" t="s">
        <v>1096</v>
      </c>
      <c r="H2403" t="s">
        <v>7</v>
      </c>
      <c r="I2403">
        <v>0</v>
      </c>
      <c r="J2403">
        <v>0</v>
      </c>
      <c r="K2403">
        <v>0</v>
      </c>
      <c r="L2403">
        <v>0</v>
      </c>
      <c r="M2403">
        <v>0.15</v>
      </c>
      <c r="N2403" s="7" t="e">
        <f>VLOOKUP(F2403,HC!A$6:D$100,3,FALSE)</f>
        <v>#N/A</v>
      </c>
      <c r="O2403" s="7" t="str">
        <f>VLOOKUP(F2403,HC!A$6:D$1000,2,FALSE)</f>
        <v>naguirro</v>
      </c>
      <c r="P2403" t="s">
        <v>664</v>
      </c>
      <c r="Q2403" s="7" t="s">
        <v>712</v>
      </c>
      <c r="U2403">
        <f t="shared" si="39"/>
        <v>7</v>
      </c>
    </row>
    <row r="2404" spans="1:21" ht="37.5" customHeight="1" x14ac:dyDescent="0.25">
      <c r="A2404" s="34">
        <v>45122</v>
      </c>
      <c r="B2404" s="13">
        <v>28</v>
      </c>
      <c r="C2404" t="s">
        <v>3</v>
      </c>
      <c r="D2404" t="s">
        <v>4</v>
      </c>
      <c r="E2404" t="s">
        <v>21</v>
      </c>
      <c r="F2404" s="6">
        <v>201314835</v>
      </c>
      <c r="G2404" t="s">
        <v>1060</v>
      </c>
      <c r="H2404" t="s">
        <v>263</v>
      </c>
      <c r="I2404">
        <v>0</v>
      </c>
      <c r="J2404">
        <v>0</v>
      </c>
      <c r="K2404">
        <v>0</v>
      </c>
      <c r="L2404">
        <v>0</v>
      </c>
      <c r="M2404">
        <v>0.77</v>
      </c>
      <c r="N2404" s="7" t="e">
        <f>VLOOKUP(F2404,HC!A$6:D$100,3,FALSE)</f>
        <v>#N/A</v>
      </c>
      <c r="O2404" s="7" t="e">
        <f>VLOOKUP(F2404,HC!A$6:D$1000,2,FALSE)</f>
        <v>#N/A</v>
      </c>
      <c r="P2404" t="s">
        <v>675</v>
      </c>
      <c r="Q2404" s="7"/>
      <c r="U2404">
        <f t="shared" si="39"/>
        <v>1395</v>
      </c>
    </row>
    <row r="2405" spans="1:21" ht="37.5" customHeight="1" x14ac:dyDescent="0.25">
      <c r="A2405" s="34">
        <v>45122</v>
      </c>
      <c r="B2405" s="13">
        <v>28</v>
      </c>
      <c r="C2405" t="s">
        <v>3</v>
      </c>
      <c r="D2405" t="s">
        <v>4</v>
      </c>
      <c r="E2405" t="s">
        <v>21</v>
      </c>
      <c r="F2405" s="6">
        <v>201374875</v>
      </c>
      <c r="G2405" t="s">
        <v>1088</v>
      </c>
      <c r="H2405" t="s">
        <v>263</v>
      </c>
      <c r="I2405">
        <v>0</v>
      </c>
      <c r="J2405">
        <v>0</v>
      </c>
      <c r="K2405">
        <v>0</v>
      </c>
      <c r="L2405">
        <v>0</v>
      </c>
      <c r="M2405">
        <v>0.05</v>
      </c>
      <c r="N2405" s="7" t="e">
        <f>VLOOKUP(F2405,HC!A$6:D$100,3,FALSE)</f>
        <v>#N/A</v>
      </c>
      <c r="O2405" s="7" t="e">
        <f>VLOOKUP(F2405,HC!A$6:D$1000,2,FALSE)</f>
        <v>#N/A</v>
      </c>
      <c r="P2405" t="s">
        <v>662</v>
      </c>
      <c r="Q2405" s="7" t="s">
        <v>785</v>
      </c>
      <c r="U2405">
        <f t="shared" si="39"/>
        <v>1395</v>
      </c>
    </row>
    <row r="2406" spans="1:21" ht="37.5" customHeight="1" x14ac:dyDescent="0.25">
      <c r="A2406" s="34">
        <v>45123</v>
      </c>
      <c r="B2406" s="13">
        <v>29</v>
      </c>
      <c r="C2406" t="s">
        <v>3</v>
      </c>
      <c r="D2406" t="s">
        <v>4</v>
      </c>
      <c r="E2406" t="s">
        <v>5</v>
      </c>
      <c r="F2406" s="6">
        <v>112912752</v>
      </c>
      <c r="G2406" t="s">
        <v>251</v>
      </c>
      <c r="H2406" t="s">
        <v>285</v>
      </c>
      <c r="I2406">
        <v>0</v>
      </c>
      <c r="J2406">
        <v>0</v>
      </c>
      <c r="K2406">
        <v>0</v>
      </c>
      <c r="L2406">
        <v>0</v>
      </c>
      <c r="M2406">
        <v>0.28000000000000003</v>
      </c>
      <c r="N2406" s="7" t="str">
        <f>VLOOKUP(F2406,HC!A$6:D$100,3,FALSE)</f>
        <v>NF-X1900</v>
      </c>
      <c r="O2406" s="7" t="str">
        <f>VLOOKUP(F2406,HC!A$6:D$1000,2,FALSE)</f>
        <v>valderle</v>
      </c>
      <c r="P2406" t="s">
        <v>670</v>
      </c>
      <c r="Q2406" s="7" t="s">
        <v>746</v>
      </c>
      <c r="U2406">
        <f t="shared" si="39"/>
        <v>50</v>
      </c>
    </row>
    <row r="2407" spans="1:21" ht="37.5" customHeight="1" x14ac:dyDescent="0.25">
      <c r="A2407" s="34">
        <v>45123</v>
      </c>
      <c r="B2407" s="13">
        <v>29</v>
      </c>
      <c r="C2407" t="s">
        <v>3</v>
      </c>
      <c r="D2407" t="s">
        <v>4</v>
      </c>
      <c r="E2407" t="s">
        <v>5</v>
      </c>
      <c r="F2407" s="6">
        <v>112916534</v>
      </c>
      <c r="G2407" t="s">
        <v>425</v>
      </c>
      <c r="H2407" t="s">
        <v>49</v>
      </c>
      <c r="I2407">
        <v>0</v>
      </c>
      <c r="J2407">
        <v>0</v>
      </c>
      <c r="K2407">
        <v>0</v>
      </c>
      <c r="L2407">
        <v>0</v>
      </c>
      <c r="M2407">
        <v>0.56000000000000005</v>
      </c>
      <c r="N2407" s="7" t="str">
        <f>VLOOKUP(F2407,HC!A$6:D$100,3,FALSE)</f>
        <v>DB-X0700</v>
      </c>
      <c r="O2407" s="7" t="str">
        <f>VLOOKUP(F2407,HC!A$6:D$1000,2,FALSE)</f>
        <v>earelili</v>
      </c>
      <c r="P2407" t="s">
        <v>665</v>
      </c>
      <c r="Q2407" s="7" t="s">
        <v>722</v>
      </c>
      <c r="U2407">
        <f t="shared" si="39"/>
        <v>15</v>
      </c>
    </row>
    <row r="2408" spans="1:21" ht="37.5" customHeight="1" x14ac:dyDescent="0.25">
      <c r="A2408" s="34">
        <v>45123</v>
      </c>
      <c r="B2408" s="13">
        <v>29</v>
      </c>
      <c r="C2408" t="s">
        <v>3</v>
      </c>
      <c r="D2408" t="s">
        <v>4</v>
      </c>
      <c r="E2408" t="s">
        <v>5</v>
      </c>
      <c r="F2408" s="6">
        <v>112950818</v>
      </c>
      <c r="G2408" t="s">
        <v>779</v>
      </c>
      <c r="H2408" t="s">
        <v>1040</v>
      </c>
      <c r="I2408">
        <v>0</v>
      </c>
      <c r="J2408">
        <v>0</v>
      </c>
      <c r="K2408">
        <v>0</v>
      </c>
      <c r="L2408">
        <v>0</v>
      </c>
      <c r="M2408">
        <v>0.15</v>
      </c>
      <c r="N2408" s="7" t="str">
        <f>VLOOKUP(F2408,HC!A$6:D$100,3,FALSE)</f>
        <v>DA-X0700</v>
      </c>
      <c r="O2408" s="7" t="str">
        <f>VLOOKUP(F2408,HC!A$6:D$1000,2,FALSE)</f>
        <v>xedithsa</v>
      </c>
      <c r="P2408" t="s">
        <v>661</v>
      </c>
      <c r="Q2408" s="7" t="s">
        <v>681</v>
      </c>
      <c r="U2408">
        <f t="shared" si="39"/>
        <v>4</v>
      </c>
    </row>
    <row r="2409" spans="1:21" ht="37.5" customHeight="1" x14ac:dyDescent="0.25">
      <c r="A2409" s="34">
        <v>45123</v>
      </c>
      <c r="B2409" s="13">
        <v>29</v>
      </c>
      <c r="C2409" t="s">
        <v>3</v>
      </c>
      <c r="D2409" t="s">
        <v>4</v>
      </c>
      <c r="E2409" t="s">
        <v>5</v>
      </c>
      <c r="F2409" s="6">
        <v>112971962</v>
      </c>
      <c r="G2409" t="s">
        <v>338</v>
      </c>
      <c r="H2409" t="s">
        <v>17</v>
      </c>
      <c r="I2409">
        <v>0</v>
      </c>
      <c r="J2409">
        <v>0</v>
      </c>
      <c r="K2409">
        <v>0</v>
      </c>
      <c r="L2409">
        <v>0</v>
      </c>
      <c r="M2409">
        <v>0.22</v>
      </c>
      <c r="N2409" s="7" t="str">
        <f>VLOOKUP(F2409,HC!A$6:D$100,3,FALSE)</f>
        <v>DB-X0700</v>
      </c>
      <c r="O2409" s="7" t="str">
        <f>VLOOKUP(F2409,HC!A$6:D$1000,2,FALSE)</f>
        <v>creyesal</v>
      </c>
      <c r="P2409" t="s">
        <v>661</v>
      </c>
      <c r="Q2409" s="7" t="s">
        <v>681</v>
      </c>
      <c r="U2409">
        <f t="shared" si="39"/>
        <v>38</v>
      </c>
    </row>
    <row r="2410" spans="1:21" ht="37.5" customHeight="1" x14ac:dyDescent="0.25">
      <c r="A2410" s="34">
        <v>45123</v>
      </c>
      <c r="B2410" s="13">
        <v>29</v>
      </c>
      <c r="C2410" t="s">
        <v>3</v>
      </c>
      <c r="D2410" t="s">
        <v>4</v>
      </c>
      <c r="E2410" t="s">
        <v>5</v>
      </c>
      <c r="F2410" s="6">
        <v>112981194</v>
      </c>
      <c r="G2410" t="s">
        <v>540</v>
      </c>
      <c r="H2410" t="s">
        <v>285</v>
      </c>
      <c r="I2410">
        <v>0</v>
      </c>
      <c r="J2410">
        <v>0</v>
      </c>
      <c r="K2410">
        <v>0</v>
      </c>
      <c r="L2410">
        <v>0</v>
      </c>
      <c r="M2410">
        <v>0.25</v>
      </c>
      <c r="N2410" s="7" t="str">
        <f>VLOOKUP(F2410,HC!A$6:D$100,3,FALSE)</f>
        <v>NF-X1900</v>
      </c>
      <c r="O2410" s="7" t="str">
        <f>VLOOKUP(F2410,HC!A$6:D$1000,2,FALSE)</f>
        <v>csandrak</v>
      </c>
      <c r="P2410" t="s">
        <v>665</v>
      </c>
      <c r="Q2410" s="7" t="s">
        <v>722</v>
      </c>
      <c r="U2410">
        <f t="shared" si="39"/>
        <v>8</v>
      </c>
    </row>
    <row r="2411" spans="1:21" ht="37.5" customHeight="1" x14ac:dyDescent="0.25">
      <c r="A2411" s="34">
        <v>45123</v>
      </c>
      <c r="B2411" s="13">
        <v>29</v>
      </c>
      <c r="C2411" t="s">
        <v>3</v>
      </c>
      <c r="D2411" t="s">
        <v>4</v>
      </c>
      <c r="E2411" t="s">
        <v>5</v>
      </c>
      <c r="F2411" s="6">
        <v>113014470</v>
      </c>
      <c r="G2411" t="s">
        <v>374</v>
      </c>
      <c r="H2411" t="s">
        <v>44</v>
      </c>
      <c r="I2411">
        <v>0</v>
      </c>
      <c r="J2411">
        <v>0</v>
      </c>
      <c r="K2411">
        <v>0</v>
      </c>
      <c r="L2411">
        <v>0</v>
      </c>
      <c r="M2411">
        <v>0.28000000000000003</v>
      </c>
      <c r="N2411" s="7" t="e">
        <f>VLOOKUP(F2411,HC!A$6:D$100,3,FALSE)</f>
        <v>#N/A</v>
      </c>
      <c r="O2411" s="7" t="str">
        <f>VLOOKUP(F2411,HC!A$6:D$1000,2,FALSE)</f>
        <v>lupaguin</v>
      </c>
      <c r="P2411" t="s">
        <v>661</v>
      </c>
      <c r="Q2411" s="7" t="s">
        <v>681</v>
      </c>
      <c r="U2411">
        <f t="shared" si="39"/>
        <v>23</v>
      </c>
    </row>
    <row r="2412" spans="1:21" ht="37.5" customHeight="1" x14ac:dyDescent="0.25">
      <c r="A2412" s="34">
        <v>45123</v>
      </c>
      <c r="B2412" s="13">
        <v>29</v>
      </c>
      <c r="C2412" t="s">
        <v>3</v>
      </c>
      <c r="D2412" t="s">
        <v>4</v>
      </c>
      <c r="E2412" t="s">
        <v>21</v>
      </c>
      <c r="F2412" s="6">
        <v>200525930</v>
      </c>
      <c r="G2412" t="s">
        <v>1108</v>
      </c>
      <c r="H2412" t="s">
        <v>47</v>
      </c>
      <c r="I2412">
        <v>0</v>
      </c>
      <c r="J2412">
        <v>0</v>
      </c>
      <c r="K2412">
        <v>0</v>
      </c>
      <c r="L2412">
        <v>0</v>
      </c>
      <c r="M2412">
        <v>0.17</v>
      </c>
      <c r="N2412" s="7" t="e">
        <f>VLOOKUP(F2412,HC!A$6:D$100,3,FALSE)</f>
        <v>#N/A</v>
      </c>
      <c r="O2412" s="7" t="e">
        <f>VLOOKUP(F2412,HC!A$6:D$1000,2,FALSE)</f>
        <v>#N/A</v>
      </c>
      <c r="P2412" t="s">
        <v>664</v>
      </c>
      <c r="Q2412" s="7" t="s">
        <v>709</v>
      </c>
      <c r="U2412">
        <f t="shared" si="39"/>
        <v>1395</v>
      </c>
    </row>
    <row r="2413" spans="1:21" ht="37.5" customHeight="1" x14ac:dyDescent="0.25">
      <c r="A2413" s="34">
        <v>45123</v>
      </c>
      <c r="B2413" s="13">
        <v>29</v>
      </c>
      <c r="C2413" t="s">
        <v>3</v>
      </c>
      <c r="D2413" t="s">
        <v>4</v>
      </c>
      <c r="E2413" t="s">
        <v>5</v>
      </c>
      <c r="F2413" s="6">
        <v>200562154</v>
      </c>
      <c r="G2413" t="s">
        <v>437</v>
      </c>
      <c r="H2413" t="s">
        <v>49</v>
      </c>
      <c r="I2413">
        <v>0</v>
      </c>
      <c r="J2413">
        <v>0</v>
      </c>
      <c r="K2413">
        <v>0</v>
      </c>
      <c r="L2413">
        <v>0</v>
      </c>
      <c r="M2413">
        <v>0.48</v>
      </c>
      <c r="N2413" s="7" t="e">
        <f>VLOOKUP(F2413,HC!A$6:D$100,3,FALSE)</f>
        <v>#N/A</v>
      </c>
      <c r="O2413" s="7" t="str">
        <f>VLOOKUP(F2413,HC!A$6:D$1000,2,FALSE)</f>
        <v>reyesmcw</v>
      </c>
      <c r="P2413" t="s">
        <v>663</v>
      </c>
      <c r="Q2413" s="7"/>
      <c r="R2413" t="s">
        <v>1165</v>
      </c>
      <c r="U2413">
        <f t="shared" si="39"/>
        <v>38</v>
      </c>
    </row>
    <row r="2414" spans="1:21" ht="37.5" customHeight="1" x14ac:dyDescent="0.25">
      <c r="A2414" s="34">
        <v>45123</v>
      </c>
      <c r="B2414" s="13">
        <v>29</v>
      </c>
      <c r="C2414" t="s">
        <v>3</v>
      </c>
      <c r="D2414" t="s">
        <v>4</v>
      </c>
      <c r="E2414" t="s">
        <v>5</v>
      </c>
      <c r="F2414" s="6">
        <v>200625517</v>
      </c>
      <c r="G2414" t="s">
        <v>1157</v>
      </c>
      <c r="H2414" t="s">
        <v>44</v>
      </c>
      <c r="I2414">
        <v>0</v>
      </c>
      <c r="J2414">
        <v>0</v>
      </c>
      <c r="K2414">
        <v>0</v>
      </c>
      <c r="L2414">
        <v>0</v>
      </c>
      <c r="M2414">
        <v>0.24</v>
      </c>
      <c r="N2414" s="7" t="e">
        <f>VLOOKUP(F2414,HC!A$6:D$100,3,FALSE)</f>
        <v>#N/A</v>
      </c>
      <c r="O2414" s="7" t="e">
        <f>VLOOKUP(F2414,HC!A$6:D$1000,2,FALSE)</f>
        <v>#N/A</v>
      </c>
      <c r="P2414" t="s">
        <v>661</v>
      </c>
      <c r="Q2414" s="7" t="s">
        <v>681</v>
      </c>
      <c r="U2414">
        <f t="shared" si="39"/>
        <v>1395</v>
      </c>
    </row>
    <row r="2415" spans="1:21" ht="37.5" customHeight="1" x14ac:dyDescent="0.25">
      <c r="A2415" s="34">
        <v>45123</v>
      </c>
      <c r="B2415" s="13">
        <v>29</v>
      </c>
      <c r="C2415" t="s">
        <v>3</v>
      </c>
      <c r="D2415" t="s">
        <v>4</v>
      </c>
      <c r="E2415" t="s">
        <v>21</v>
      </c>
      <c r="F2415" s="6">
        <v>201167501</v>
      </c>
      <c r="G2415" t="s">
        <v>863</v>
      </c>
      <c r="H2415" t="s">
        <v>44</v>
      </c>
      <c r="I2415">
        <v>0</v>
      </c>
      <c r="J2415">
        <v>0</v>
      </c>
      <c r="K2415">
        <v>0</v>
      </c>
      <c r="L2415">
        <v>0</v>
      </c>
      <c r="M2415">
        <v>0.35</v>
      </c>
      <c r="N2415" s="7" t="e">
        <f>VLOOKUP(F2415,HC!A$6:D$100,3,FALSE)</f>
        <v>#N/A</v>
      </c>
      <c r="O2415" s="7" t="str">
        <f>VLOOKUP(F2415,HC!A$6:D$1000,2,FALSE)</f>
        <v>wguanajr</v>
      </c>
      <c r="P2415" t="s">
        <v>661</v>
      </c>
      <c r="Q2415" s="7" t="s">
        <v>681</v>
      </c>
      <c r="U2415">
        <f t="shared" si="39"/>
        <v>36</v>
      </c>
    </row>
    <row r="2416" spans="1:21" ht="37.5" customHeight="1" x14ac:dyDescent="0.25">
      <c r="A2416" s="34">
        <v>45123</v>
      </c>
      <c r="B2416" s="13">
        <v>29</v>
      </c>
      <c r="C2416" t="s">
        <v>3</v>
      </c>
      <c r="D2416" t="s">
        <v>4</v>
      </c>
      <c r="E2416" t="s">
        <v>21</v>
      </c>
      <c r="F2416" s="6">
        <v>201186777</v>
      </c>
      <c r="G2416" t="s">
        <v>856</v>
      </c>
      <c r="H2416" t="s">
        <v>298</v>
      </c>
      <c r="I2416">
        <v>0</v>
      </c>
      <c r="J2416">
        <v>0</v>
      </c>
      <c r="K2416">
        <v>0</v>
      </c>
      <c r="L2416">
        <v>0</v>
      </c>
      <c r="M2416">
        <v>0.22</v>
      </c>
      <c r="N2416" s="7" t="e">
        <f>VLOOKUP(F2416,HC!A$6:D$100,3,FALSE)</f>
        <v>#N/A</v>
      </c>
      <c r="O2416" s="7" t="str">
        <f>VLOOKUP(F2416,HC!A$6:D$1000,2,FALSE)</f>
        <v>bemonzon</v>
      </c>
      <c r="P2416" t="s">
        <v>661</v>
      </c>
      <c r="Q2416" s="7" t="s">
        <v>681</v>
      </c>
      <c r="U2416">
        <f t="shared" si="39"/>
        <v>15</v>
      </c>
    </row>
    <row r="2417" spans="1:21" ht="37.5" customHeight="1" x14ac:dyDescent="0.25">
      <c r="A2417" s="34">
        <v>45123</v>
      </c>
      <c r="B2417" s="13">
        <v>29</v>
      </c>
      <c r="C2417" t="s">
        <v>3</v>
      </c>
      <c r="D2417" t="s">
        <v>4</v>
      </c>
      <c r="E2417" t="s">
        <v>21</v>
      </c>
      <c r="F2417" s="6">
        <v>201191198</v>
      </c>
      <c r="G2417" t="s">
        <v>974</v>
      </c>
      <c r="H2417" t="s">
        <v>17</v>
      </c>
      <c r="I2417">
        <v>0</v>
      </c>
      <c r="J2417">
        <v>0</v>
      </c>
      <c r="K2417">
        <v>0</v>
      </c>
      <c r="L2417">
        <v>0</v>
      </c>
      <c r="M2417">
        <v>0.56000000000000005</v>
      </c>
      <c r="N2417" s="7" t="e">
        <f>VLOOKUP(F2417,HC!A$6:D$100,3,FALSE)</f>
        <v>#N/A</v>
      </c>
      <c r="O2417" s="7" t="str">
        <f>VLOOKUP(F2417,HC!A$6:D$1000,2,FALSE)</f>
        <v>mojicemm</v>
      </c>
      <c r="P2417" t="s">
        <v>661</v>
      </c>
      <c r="Q2417" s="7" t="s">
        <v>681</v>
      </c>
      <c r="U2417">
        <f t="shared" si="39"/>
        <v>24</v>
      </c>
    </row>
    <row r="2418" spans="1:21" ht="37.5" customHeight="1" x14ac:dyDescent="0.25">
      <c r="A2418" s="34">
        <v>45123</v>
      </c>
      <c r="B2418" s="13">
        <v>29</v>
      </c>
      <c r="C2418" t="s">
        <v>3</v>
      </c>
      <c r="D2418" t="s">
        <v>4</v>
      </c>
      <c r="E2418" t="s">
        <v>21</v>
      </c>
      <c r="F2418" s="6">
        <v>201353166</v>
      </c>
      <c r="G2418" t="s">
        <v>1051</v>
      </c>
      <c r="H2418" t="s">
        <v>17</v>
      </c>
      <c r="I2418">
        <v>0</v>
      </c>
      <c r="J2418">
        <v>0</v>
      </c>
      <c r="K2418">
        <v>0</v>
      </c>
      <c r="L2418">
        <v>0</v>
      </c>
      <c r="M2418">
        <v>0.23</v>
      </c>
      <c r="N2418" s="7" t="e">
        <f>VLOOKUP(F2418,HC!A$6:D$100,3,FALSE)</f>
        <v>#N/A</v>
      </c>
      <c r="O2418" s="7" t="str">
        <f>VLOOKUP(F2418,HC!A$6:D$1000,2,FALSE)</f>
        <v>mamlucia</v>
      </c>
      <c r="P2418" t="s">
        <v>662</v>
      </c>
      <c r="Q2418" s="7" t="s">
        <v>757</v>
      </c>
      <c r="U2418">
        <f t="shared" si="39"/>
        <v>7</v>
      </c>
    </row>
    <row r="2419" spans="1:21" ht="37.5" customHeight="1" x14ac:dyDescent="0.25">
      <c r="A2419" s="34">
        <v>45123</v>
      </c>
      <c r="B2419" s="13">
        <v>29</v>
      </c>
      <c r="C2419" t="s">
        <v>3</v>
      </c>
      <c r="D2419" t="s">
        <v>4</v>
      </c>
      <c r="E2419" t="s">
        <v>21</v>
      </c>
      <c r="F2419" s="6">
        <v>201378542</v>
      </c>
      <c r="G2419" t="s">
        <v>1164</v>
      </c>
      <c r="H2419" t="s">
        <v>1040</v>
      </c>
      <c r="I2419">
        <v>0</v>
      </c>
      <c r="J2419">
        <v>0</v>
      </c>
      <c r="K2419">
        <v>0</v>
      </c>
      <c r="L2419">
        <v>0</v>
      </c>
      <c r="M2419">
        <v>0.2</v>
      </c>
      <c r="N2419" s="7" t="e">
        <f>VLOOKUP(F2419,HC!A$6:D$100,3,FALSE)</f>
        <v>#N/A</v>
      </c>
      <c r="O2419" s="7" t="str">
        <f>VLOOKUP(F2419,HC!A$6:D$1000,2,FALSE)</f>
        <v>tcontree</v>
      </c>
      <c r="P2419" t="s">
        <v>662</v>
      </c>
      <c r="Q2419" s="7" t="s">
        <v>757</v>
      </c>
      <c r="U2419">
        <f t="shared" si="39"/>
        <v>9</v>
      </c>
    </row>
    <row r="2420" spans="1:21" ht="37.5" customHeight="1" x14ac:dyDescent="0.25">
      <c r="A2420" s="34">
        <v>45123</v>
      </c>
      <c r="B2420" s="13">
        <v>29</v>
      </c>
      <c r="C2420" t="s">
        <v>3</v>
      </c>
      <c r="D2420" t="s">
        <v>4</v>
      </c>
      <c r="E2420" t="s">
        <v>21</v>
      </c>
      <c r="F2420" s="6">
        <v>201378614</v>
      </c>
      <c r="G2420" t="s">
        <v>1046</v>
      </c>
      <c r="H2420" t="s">
        <v>1040</v>
      </c>
      <c r="I2420">
        <v>0</v>
      </c>
      <c r="J2420">
        <v>0</v>
      </c>
      <c r="K2420">
        <v>0</v>
      </c>
      <c r="L2420">
        <v>0</v>
      </c>
      <c r="M2420">
        <v>0.11</v>
      </c>
      <c r="N2420" s="7" t="e">
        <f>VLOOKUP(F2420,HC!A$6:D$100,3,FALSE)</f>
        <v>#N/A</v>
      </c>
      <c r="O2420" s="7" t="e">
        <f>VLOOKUP(F2420,HC!A$6:D$1000,2,FALSE)</f>
        <v>#N/A</v>
      </c>
      <c r="P2420" t="s">
        <v>662</v>
      </c>
      <c r="Q2420" s="7" t="s">
        <v>757</v>
      </c>
      <c r="U2420">
        <f t="shared" si="39"/>
        <v>1395</v>
      </c>
    </row>
    <row r="2421" spans="1:21" ht="37.5" customHeight="1" x14ac:dyDescent="0.25">
      <c r="A2421" s="34">
        <v>45123</v>
      </c>
      <c r="B2421" s="13">
        <v>29</v>
      </c>
      <c r="C2421" t="s">
        <v>3</v>
      </c>
      <c r="D2421" t="s">
        <v>4</v>
      </c>
      <c r="E2421" t="s">
        <v>21</v>
      </c>
      <c r="F2421" s="6">
        <v>201409070</v>
      </c>
      <c r="G2421" t="s">
        <v>1078</v>
      </c>
      <c r="H2421" t="s">
        <v>47</v>
      </c>
      <c r="I2421">
        <v>0</v>
      </c>
      <c r="J2421">
        <v>0</v>
      </c>
      <c r="K2421">
        <v>0</v>
      </c>
      <c r="L2421">
        <v>0</v>
      </c>
      <c r="M2421">
        <v>0.59</v>
      </c>
      <c r="N2421" s="7" t="e">
        <f>VLOOKUP(F2421,HC!A$6:D$100,3,FALSE)</f>
        <v>#N/A</v>
      </c>
      <c r="O2421" s="7" t="e">
        <f>VLOOKUP(F2421,HC!A$6:D$1000,2,FALSE)</f>
        <v>#N/A</v>
      </c>
      <c r="P2421" t="s">
        <v>661</v>
      </c>
      <c r="Q2421" s="7" t="s">
        <v>681</v>
      </c>
      <c r="U2421">
        <f t="shared" si="39"/>
        <v>1395</v>
      </c>
    </row>
    <row r="2422" spans="1:21" ht="37.5" customHeight="1" x14ac:dyDescent="0.25">
      <c r="A2422" s="34">
        <v>45123</v>
      </c>
      <c r="B2422" s="13">
        <v>29</v>
      </c>
      <c r="C2422" t="s">
        <v>3</v>
      </c>
      <c r="D2422" t="s">
        <v>438</v>
      </c>
      <c r="E2422" t="s">
        <v>5</v>
      </c>
      <c r="F2422" s="6">
        <v>112912745</v>
      </c>
      <c r="G2422" t="s">
        <v>478</v>
      </c>
      <c r="H2422" t="s">
        <v>285</v>
      </c>
      <c r="I2422">
        <v>0</v>
      </c>
      <c r="J2422">
        <v>0</v>
      </c>
      <c r="K2422">
        <v>0</v>
      </c>
      <c r="L2422">
        <v>0</v>
      </c>
      <c r="M2422">
        <v>0.37</v>
      </c>
      <c r="N2422" s="7" t="str">
        <f>VLOOKUP(F2422,HC!A$6:D$100,3,FALSE)</f>
        <v>DA-X0700</v>
      </c>
      <c r="O2422" s="7" t="str">
        <f>VLOOKUP(F2422,HC!A$6:D$1000,2,FALSE)</f>
        <v>nalexgom</v>
      </c>
      <c r="P2422" t="s">
        <v>664</v>
      </c>
      <c r="Q2422" s="7" t="s">
        <v>709</v>
      </c>
      <c r="U2422">
        <f t="shared" si="39"/>
        <v>22</v>
      </c>
    </row>
    <row r="2423" spans="1:21" ht="37.5" customHeight="1" x14ac:dyDescent="0.25">
      <c r="A2423" s="34">
        <v>45124</v>
      </c>
      <c r="B2423" s="13">
        <v>29</v>
      </c>
      <c r="C2423" t="s">
        <v>3</v>
      </c>
      <c r="D2423" t="s">
        <v>4</v>
      </c>
      <c r="E2423" t="s">
        <v>5</v>
      </c>
      <c r="F2423" s="6">
        <v>112698209</v>
      </c>
      <c r="G2423" t="s">
        <v>950</v>
      </c>
      <c r="H2423" t="s">
        <v>253</v>
      </c>
      <c r="I2423">
        <v>0</v>
      </c>
      <c r="J2423">
        <v>0</v>
      </c>
      <c r="K2423">
        <v>0</v>
      </c>
      <c r="L2423">
        <v>0</v>
      </c>
      <c r="M2423">
        <v>7.0000000000000007E-2</v>
      </c>
      <c r="N2423" s="7" t="str">
        <f>VLOOKUP(F2423,HC!A$6:D$100,3,FALSE)</f>
        <v>DA-X0700</v>
      </c>
      <c r="O2423" s="7" t="str">
        <f>VLOOKUP(F2423,HC!A$6:D$1000,2,FALSE)</f>
        <v>dianacec</v>
      </c>
      <c r="P2423" t="s">
        <v>664</v>
      </c>
      <c r="Q2423" s="7" t="s">
        <v>711</v>
      </c>
      <c r="U2423">
        <f t="shared" si="39"/>
        <v>3</v>
      </c>
    </row>
    <row r="2424" spans="1:21" ht="37.5" customHeight="1" x14ac:dyDescent="0.25">
      <c r="A2424" s="34">
        <v>45124</v>
      </c>
      <c r="B2424" s="13">
        <v>29</v>
      </c>
      <c r="C2424" t="s">
        <v>3</v>
      </c>
      <c r="D2424" t="s">
        <v>4</v>
      </c>
      <c r="E2424" t="s">
        <v>5</v>
      </c>
      <c r="F2424" s="6">
        <v>112912663</v>
      </c>
      <c r="G2424" t="s">
        <v>8</v>
      </c>
      <c r="H2424" t="s">
        <v>403</v>
      </c>
      <c r="I2424">
        <v>0</v>
      </c>
      <c r="J2424">
        <v>0</v>
      </c>
      <c r="K2424">
        <v>0</v>
      </c>
      <c r="L2424">
        <v>0</v>
      </c>
      <c r="M2424">
        <v>0.59</v>
      </c>
      <c r="N2424" s="7" t="e">
        <f>VLOOKUP(F2424,HC!A$6:D$100,3,FALSE)</f>
        <v>#N/A</v>
      </c>
      <c r="O2424" s="7" t="e">
        <f>VLOOKUP(F2424,HC!A$6:D$1000,2,FALSE)</f>
        <v>#N/A</v>
      </c>
      <c r="P2424" t="s">
        <v>666</v>
      </c>
      <c r="Q2424" s="7" t="s">
        <v>774</v>
      </c>
      <c r="U2424">
        <f t="shared" si="39"/>
        <v>1395</v>
      </c>
    </row>
    <row r="2425" spans="1:21" ht="37.5" customHeight="1" x14ac:dyDescent="0.25">
      <c r="A2425" s="34">
        <v>45124</v>
      </c>
      <c r="B2425" s="13">
        <v>29</v>
      </c>
      <c r="C2425" t="s">
        <v>3</v>
      </c>
      <c r="D2425" t="s">
        <v>4</v>
      </c>
      <c r="E2425" t="s">
        <v>5</v>
      </c>
      <c r="F2425" s="6">
        <v>112971962</v>
      </c>
      <c r="G2425" t="s">
        <v>338</v>
      </c>
      <c r="H2425" t="s">
        <v>17</v>
      </c>
      <c r="I2425">
        <v>0</v>
      </c>
      <c r="J2425">
        <v>0</v>
      </c>
      <c r="K2425">
        <v>0</v>
      </c>
      <c r="L2425">
        <v>0</v>
      </c>
      <c r="M2425">
        <v>0.26</v>
      </c>
      <c r="N2425" s="7" t="str">
        <f>VLOOKUP(F2425,HC!A$6:D$100,3,FALSE)</f>
        <v>DB-X0700</v>
      </c>
      <c r="O2425" s="7" t="str">
        <f>VLOOKUP(F2425,HC!A$6:D$1000,2,FALSE)</f>
        <v>creyesal</v>
      </c>
      <c r="P2425" t="s">
        <v>662</v>
      </c>
      <c r="Q2425" s="7" t="s">
        <v>687</v>
      </c>
      <c r="U2425">
        <f t="shared" si="39"/>
        <v>38</v>
      </c>
    </row>
    <row r="2426" spans="1:21" ht="37.5" customHeight="1" x14ac:dyDescent="0.25">
      <c r="A2426" s="34">
        <v>45124</v>
      </c>
      <c r="B2426" s="13">
        <v>29</v>
      </c>
      <c r="C2426" t="s">
        <v>3</v>
      </c>
      <c r="D2426" t="s">
        <v>4</v>
      </c>
      <c r="E2426" t="s">
        <v>5</v>
      </c>
      <c r="F2426" s="6">
        <v>112981061</v>
      </c>
      <c r="G2426" t="s">
        <v>264</v>
      </c>
      <c r="H2426" t="s">
        <v>44</v>
      </c>
      <c r="I2426">
        <v>0</v>
      </c>
      <c r="J2426">
        <v>0</v>
      </c>
      <c r="K2426">
        <v>0</v>
      </c>
      <c r="L2426">
        <v>0</v>
      </c>
      <c r="M2426">
        <v>1.36</v>
      </c>
      <c r="N2426" s="7" t="str">
        <f>VLOOKUP(F2426,HC!A$6:D$100,3,FALSE)</f>
        <v>DA-X0700</v>
      </c>
      <c r="O2426" s="7" t="str">
        <f>VLOOKUP(F2426,HC!A$6:D$1000,2,FALSE)</f>
        <v>mclaudol</v>
      </c>
      <c r="P2426" t="s">
        <v>662</v>
      </c>
      <c r="Q2426" s="7" t="s">
        <v>757</v>
      </c>
      <c r="U2426">
        <f t="shared" si="39"/>
        <v>44</v>
      </c>
    </row>
    <row r="2427" spans="1:21" ht="37.5" customHeight="1" x14ac:dyDescent="0.25">
      <c r="A2427" s="34">
        <v>45124</v>
      </c>
      <c r="B2427" s="13">
        <v>29</v>
      </c>
      <c r="C2427" t="s">
        <v>3</v>
      </c>
      <c r="D2427" t="s">
        <v>4</v>
      </c>
      <c r="E2427" t="s">
        <v>5</v>
      </c>
      <c r="F2427" s="6">
        <v>113004017</v>
      </c>
      <c r="G2427" t="s">
        <v>922</v>
      </c>
      <c r="H2427" t="s">
        <v>47</v>
      </c>
      <c r="I2427">
        <v>0</v>
      </c>
      <c r="J2427">
        <v>0</v>
      </c>
      <c r="K2427">
        <v>0</v>
      </c>
      <c r="L2427">
        <v>0</v>
      </c>
      <c r="M2427">
        <v>0.56000000000000005</v>
      </c>
      <c r="N2427" s="7" t="e">
        <f>VLOOKUP(F2427,HC!A$6:D$100,3,FALSE)</f>
        <v>#N/A</v>
      </c>
      <c r="O2427" s="7" t="e">
        <f>VLOOKUP(F2427,HC!A$6:D$1000,2,FALSE)</f>
        <v>#N/A</v>
      </c>
      <c r="P2427" t="s">
        <v>662</v>
      </c>
      <c r="Q2427" s="7" t="s">
        <v>688</v>
      </c>
      <c r="U2427">
        <f t="shared" si="39"/>
        <v>1395</v>
      </c>
    </row>
    <row r="2428" spans="1:21" ht="37.5" customHeight="1" x14ac:dyDescent="0.25">
      <c r="A2428" s="34">
        <v>45124</v>
      </c>
      <c r="B2428" s="13">
        <v>29</v>
      </c>
      <c r="C2428" t="s">
        <v>3</v>
      </c>
      <c r="D2428" t="s">
        <v>4</v>
      </c>
      <c r="E2428" t="s">
        <v>5</v>
      </c>
      <c r="F2428" s="6">
        <v>113014084</v>
      </c>
      <c r="G2428" t="s">
        <v>462</v>
      </c>
      <c r="H2428" t="s">
        <v>47</v>
      </c>
      <c r="I2428">
        <v>0</v>
      </c>
      <c r="J2428">
        <v>0</v>
      </c>
      <c r="K2428">
        <v>0</v>
      </c>
      <c r="L2428">
        <v>0</v>
      </c>
      <c r="M2428">
        <v>0.15</v>
      </c>
      <c r="N2428" s="7" t="e">
        <f>VLOOKUP(F2428,HC!A$6:D$100,3,FALSE)</f>
        <v>#N/A</v>
      </c>
      <c r="O2428" s="7" t="str">
        <f>VLOOKUP(F2428,HC!A$6:D$1000,2,FALSE)</f>
        <v>dnmanuel</v>
      </c>
      <c r="P2428" t="s">
        <v>670</v>
      </c>
      <c r="Q2428" s="7" t="s">
        <v>748</v>
      </c>
      <c r="U2428">
        <f t="shared" si="39"/>
        <v>6</v>
      </c>
    </row>
    <row r="2429" spans="1:21" ht="37.5" customHeight="1" x14ac:dyDescent="0.25">
      <c r="A2429" s="34">
        <v>45124</v>
      </c>
      <c r="B2429" s="13">
        <v>29</v>
      </c>
      <c r="C2429" t="s">
        <v>3</v>
      </c>
      <c r="D2429" t="s">
        <v>4</v>
      </c>
      <c r="E2429" t="s">
        <v>5</v>
      </c>
      <c r="F2429" s="6">
        <v>113101453</v>
      </c>
      <c r="G2429" t="s">
        <v>50</v>
      </c>
      <c r="H2429" t="s">
        <v>44</v>
      </c>
      <c r="I2429">
        <v>0</v>
      </c>
      <c r="J2429">
        <v>0</v>
      </c>
      <c r="K2429">
        <v>0</v>
      </c>
      <c r="L2429">
        <v>0</v>
      </c>
      <c r="M2429">
        <v>0.5</v>
      </c>
      <c r="N2429" s="7" t="e">
        <f>VLOOKUP(F2429,HC!A$6:D$100,3,FALSE)</f>
        <v>#N/A</v>
      </c>
      <c r="O2429" s="7" t="str">
        <f>VLOOKUP(F2429,HC!A$6:D$1000,2,FALSE)</f>
        <v>qisgeova</v>
      </c>
      <c r="P2429" t="s">
        <v>664</v>
      </c>
      <c r="Q2429" s="7" t="s">
        <v>712</v>
      </c>
      <c r="U2429">
        <f t="shared" si="39"/>
        <v>57</v>
      </c>
    </row>
    <row r="2430" spans="1:21" ht="37.5" customHeight="1" x14ac:dyDescent="0.25">
      <c r="A2430" s="34">
        <v>45124</v>
      </c>
      <c r="B2430" s="13">
        <v>29</v>
      </c>
      <c r="C2430" t="s">
        <v>3</v>
      </c>
      <c r="D2430" t="s">
        <v>4</v>
      </c>
      <c r="E2430" t="s">
        <v>5</v>
      </c>
      <c r="F2430" s="6">
        <v>200514421</v>
      </c>
      <c r="G2430" t="s">
        <v>301</v>
      </c>
      <c r="H2430" t="s">
        <v>298</v>
      </c>
      <c r="I2430">
        <v>0</v>
      </c>
      <c r="J2430">
        <v>0</v>
      </c>
      <c r="K2430">
        <v>0</v>
      </c>
      <c r="L2430">
        <v>0</v>
      </c>
      <c r="M2430">
        <v>1.43</v>
      </c>
      <c r="N2430" s="7" t="e">
        <f>VLOOKUP(F2430,HC!A$6:D$100,3,FALSE)</f>
        <v>#N/A</v>
      </c>
      <c r="O2430" s="7" t="str">
        <f>VLOOKUP(F2430,HC!A$6:D$1000,2,FALSE)</f>
        <v>padillms</v>
      </c>
      <c r="P2430" t="s">
        <v>664</v>
      </c>
      <c r="Q2430" s="7" t="s">
        <v>712</v>
      </c>
      <c r="R2430" t="s">
        <v>620</v>
      </c>
      <c r="U2430">
        <f t="shared" si="39"/>
        <v>21</v>
      </c>
    </row>
    <row r="2431" spans="1:21" ht="37.5" customHeight="1" x14ac:dyDescent="0.25">
      <c r="A2431" s="34">
        <v>45124</v>
      </c>
      <c r="B2431" s="13">
        <v>29</v>
      </c>
      <c r="C2431" t="s">
        <v>3</v>
      </c>
      <c r="D2431" t="s">
        <v>4</v>
      </c>
      <c r="E2431" t="s">
        <v>5</v>
      </c>
      <c r="F2431" s="6">
        <v>200553205</v>
      </c>
      <c r="G2431" t="s">
        <v>838</v>
      </c>
      <c r="H2431" t="s">
        <v>298</v>
      </c>
      <c r="I2431">
        <v>0</v>
      </c>
      <c r="J2431">
        <v>0</v>
      </c>
      <c r="K2431">
        <v>0</v>
      </c>
      <c r="L2431">
        <v>0</v>
      </c>
      <c r="M2431">
        <v>0.27</v>
      </c>
      <c r="N2431" s="7" t="e">
        <f>VLOOKUP(F2431,HC!A$6:D$100,3,FALSE)</f>
        <v>#N/A</v>
      </c>
      <c r="O2431" s="7" t="e">
        <f>VLOOKUP(F2431,HC!A$6:D$1000,2,FALSE)</f>
        <v>#N/A</v>
      </c>
      <c r="P2431" t="s">
        <v>662</v>
      </c>
      <c r="Q2431" s="7" t="s">
        <v>757</v>
      </c>
      <c r="U2431">
        <f t="shared" si="39"/>
        <v>1395</v>
      </c>
    </row>
    <row r="2432" spans="1:21" ht="37.5" customHeight="1" x14ac:dyDescent="0.25">
      <c r="A2432" s="34">
        <v>45124</v>
      </c>
      <c r="B2432" s="13">
        <v>29</v>
      </c>
      <c r="C2432" t="s">
        <v>3</v>
      </c>
      <c r="D2432" t="s">
        <v>4</v>
      </c>
      <c r="E2432" t="s">
        <v>5</v>
      </c>
      <c r="F2432" s="6">
        <v>200562154</v>
      </c>
      <c r="G2432" t="s">
        <v>437</v>
      </c>
      <c r="H2432" t="s">
        <v>49</v>
      </c>
      <c r="I2432">
        <v>0</v>
      </c>
      <c r="J2432">
        <v>0</v>
      </c>
      <c r="K2432">
        <v>0</v>
      </c>
      <c r="L2432">
        <v>0</v>
      </c>
      <c r="M2432">
        <v>0.21</v>
      </c>
      <c r="N2432" s="7" t="e">
        <f>VLOOKUP(F2432,HC!A$6:D$100,3,FALSE)</f>
        <v>#N/A</v>
      </c>
      <c r="O2432" s="7" t="str">
        <f>VLOOKUP(F2432,HC!A$6:D$1000,2,FALSE)</f>
        <v>reyesmcw</v>
      </c>
      <c r="P2432" t="s">
        <v>662</v>
      </c>
      <c r="Q2432" s="7" t="s">
        <v>690</v>
      </c>
      <c r="U2432">
        <f t="shared" si="39"/>
        <v>38</v>
      </c>
    </row>
    <row r="2433" spans="1:21" ht="37.5" customHeight="1" x14ac:dyDescent="0.25">
      <c r="A2433" s="34">
        <v>45124</v>
      </c>
      <c r="B2433" s="13">
        <v>29</v>
      </c>
      <c r="C2433" t="s">
        <v>3</v>
      </c>
      <c r="D2433" t="s">
        <v>4</v>
      </c>
      <c r="E2433" t="s">
        <v>5</v>
      </c>
      <c r="F2433" s="6">
        <v>200574655</v>
      </c>
      <c r="G2433" t="s">
        <v>630</v>
      </c>
      <c r="H2433" t="s">
        <v>44</v>
      </c>
      <c r="I2433">
        <v>0</v>
      </c>
      <c r="J2433">
        <v>0</v>
      </c>
      <c r="K2433">
        <v>0</v>
      </c>
      <c r="L2433">
        <v>0</v>
      </c>
      <c r="M2433">
        <v>1.07</v>
      </c>
      <c r="N2433" s="7" t="e">
        <f>VLOOKUP(F2433,HC!A$6:D$100,3,FALSE)</f>
        <v>#N/A</v>
      </c>
      <c r="O2433" s="7" t="str">
        <f>VLOOKUP(F2433,HC!A$6:D$1000,2,FALSE)</f>
        <v>dulceami</v>
      </c>
      <c r="P2433" t="s">
        <v>664</v>
      </c>
      <c r="Q2433" s="7" t="s">
        <v>708</v>
      </c>
      <c r="U2433">
        <f t="shared" si="39"/>
        <v>20</v>
      </c>
    </row>
    <row r="2434" spans="1:21" ht="37.5" customHeight="1" x14ac:dyDescent="0.25">
      <c r="A2434" s="34">
        <v>45124</v>
      </c>
      <c r="B2434" s="13">
        <v>29</v>
      </c>
      <c r="C2434" t="s">
        <v>3</v>
      </c>
      <c r="D2434" t="s">
        <v>4</v>
      </c>
      <c r="E2434" t="s">
        <v>5</v>
      </c>
      <c r="F2434" s="6">
        <v>200594875</v>
      </c>
      <c r="G2434" t="s">
        <v>528</v>
      </c>
      <c r="H2434" t="s">
        <v>285</v>
      </c>
      <c r="I2434">
        <v>0</v>
      </c>
      <c r="J2434">
        <v>0</v>
      </c>
      <c r="K2434">
        <v>0</v>
      </c>
      <c r="L2434">
        <v>0</v>
      </c>
      <c r="M2434">
        <v>0.68</v>
      </c>
      <c r="N2434" s="7" t="e">
        <f>VLOOKUP(F2434,HC!A$6:D$100,3,FALSE)</f>
        <v>#N/A</v>
      </c>
      <c r="O2434" s="7" t="str">
        <f>VLOOKUP(F2434,HC!A$6:D$1000,2,FALSE)</f>
        <v>jwmaldon</v>
      </c>
      <c r="P2434" t="s">
        <v>664</v>
      </c>
      <c r="Q2434" s="7" t="s">
        <v>709</v>
      </c>
      <c r="U2434">
        <f t="shared" si="39"/>
        <v>7</v>
      </c>
    </row>
    <row r="2435" spans="1:21" ht="37.5" customHeight="1" x14ac:dyDescent="0.25">
      <c r="A2435" s="34">
        <v>45124</v>
      </c>
      <c r="B2435" s="13">
        <v>29</v>
      </c>
      <c r="C2435" t="s">
        <v>3</v>
      </c>
      <c r="D2435" t="s">
        <v>4</v>
      </c>
      <c r="E2435" t="s">
        <v>5</v>
      </c>
      <c r="F2435" s="6">
        <v>200625517</v>
      </c>
      <c r="G2435" t="s">
        <v>1157</v>
      </c>
      <c r="H2435" t="s">
        <v>44</v>
      </c>
      <c r="I2435">
        <v>0</v>
      </c>
      <c r="J2435">
        <v>0</v>
      </c>
      <c r="K2435">
        <v>0</v>
      </c>
      <c r="L2435">
        <v>0</v>
      </c>
      <c r="M2435">
        <v>1.89</v>
      </c>
      <c r="N2435" s="7" t="e">
        <f>VLOOKUP(F2435,HC!A$6:D$100,3,FALSE)</f>
        <v>#N/A</v>
      </c>
      <c r="O2435" s="7" t="e">
        <f>VLOOKUP(F2435,HC!A$6:D$1000,2,FALSE)</f>
        <v>#N/A</v>
      </c>
      <c r="P2435" t="s">
        <v>662</v>
      </c>
      <c r="Q2435" s="7" t="s">
        <v>688</v>
      </c>
      <c r="U2435">
        <f t="shared" ref="U2435:U2498" si="40">COUNTIF(O$2:O$4999,O2435)</f>
        <v>1395</v>
      </c>
    </row>
    <row r="2436" spans="1:21" ht="37.5" customHeight="1" x14ac:dyDescent="0.25">
      <c r="A2436" s="34">
        <v>45124</v>
      </c>
      <c r="B2436" s="13">
        <v>29</v>
      </c>
      <c r="C2436" t="s">
        <v>3</v>
      </c>
      <c r="D2436" t="s">
        <v>4</v>
      </c>
      <c r="E2436" t="s">
        <v>21</v>
      </c>
      <c r="F2436" s="6">
        <v>201167501</v>
      </c>
      <c r="G2436" t="s">
        <v>863</v>
      </c>
      <c r="H2436" t="s">
        <v>44</v>
      </c>
      <c r="I2436">
        <v>0</v>
      </c>
      <c r="J2436">
        <v>0</v>
      </c>
      <c r="K2436">
        <v>0</v>
      </c>
      <c r="L2436">
        <v>0</v>
      </c>
      <c r="M2436">
        <v>0.28999999999999998</v>
      </c>
      <c r="N2436" s="7" t="e">
        <f>VLOOKUP(F2436,HC!A$6:D$100,3,FALSE)</f>
        <v>#N/A</v>
      </c>
      <c r="O2436" s="7" t="str">
        <f>VLOOKUP(F2436,HC!A$6:D$1000,2,FALSE)</f>
        <v>wguanajr</v>
      </c>
      <c r="P2436" t="s">
        <v>661</v>
      </c>
      <c r="Q2436" s="7" t="s">
        <v>681</v>
      </c>
      <c r="U2436">
        <f t="shared" si="40"/>
        <v>36</v>
      </c>
    </row>
    <row r="2437" spans="1:21" ht="37.5" customHeight="1" x14ac:dyDescent="0.25">
      <c r="A2437" s="34">
        <v>45124</v>
      </c>
      <c r="B2437" s="13">
        <v>29</v>
      </c>
      <c r="C2437" t="s">
        <v>3</v>
      </c>
      <c r="D2437" t="s">
        <v>4</v>
      </c>
      <c r="E2437" t="s">
        <v>21</v>
      </c>
      <c r="F2437" s="6">
        <v>201194235</v>
      </c>
      <c r="G2437" t="s">
        <v>1166</v>
      </c>
      <c r="H2437" t="s">
        <v>298</v>
      </c>
      <c r="I2437">
        <v>0</v>
      </c>
      <c r="J2437">
        <v>0</v>
      </c>
      <c r="K2437">
        <v>0</v>
      </c>
      <c r="L2437">
        <v>0</v>
      </c>
      <c r="M2437">
        <v>0.39</v>
      </c>
      <c r="N2437" s="7" t="e">
        <f>VLOOKUP(F2437,HC!A$6:D$100,3,FALSE)</f>
        <v>#N/A</v>
      </c>
      <c r="O2437" s="7" t="e">
        <f>VLOOKUP(F2437,HC!A$6:D$1000,2,FALSE)</f>
        <v>#N/A</v>
      </c>
      <c r="P2437" t="s">
        <v>661</v>
      </c>
      <c r="Q2437" s="7" t="s">
        <v>681</v>
      </c>
      <c r="U2437">
        <f t="shared" si="40"/>
        <v>1395</v>
      </c>
    </row>
    <row r="2438" spans="1:21" ht="37.5" customHeight="1" x14ac:dyDescent="0.25">
      <c r="A2438" s="34">
        <v>45124</v>
      </c>
      <c r="B2438" s="13">
        <v>29</v>
      </c>
      <c r="C2438" t="s">
        <v>3</v>
      </c>
      <c r="D2438" t="s">
        <v>4</v>
      </c>
      <c r="E2438" t="s">
        <v>21</v>
      </c>
      <c r="F2438" s="6">
        <v>201204937</v>
      </c>
      <c r="G2438" t="s">
        <v>935</v>
      </c>
      <c r="H2438" t="s">
        <v>17</v>
      </c>
      <c r="I2438">
        <v>0</v>
      </c>
      <c r="J2438">
        <v>0</v>
      </c>
      <c r="K2438">
        <v>0</v>
      </c>
      <c r="L2438">
        <v>0</v>
      </c>
      <c r="M2438">
        <v>0.99</v>
      </c>
      <c r="N2438" s="7" t="e">
        <f>VLOOKUP(F2438,HC!A$6:D$100,3,FALSE)</f>
        <v>#N/A</v>
      </c>
      <c r="O2438" s="7" t="e">
        <f>VLOOKUP(F2438,HC!A$6:D$1000,2,FALSE)</f>
        <v>#N/A</v>
      </c>
      <c r="P2438" t="s">
        <v>661</v>
      </c>
      <c r="Q2438" s="7" t="s">
        <v>681</v>
      </c>
      <c r="U2438">
        <f t="shared" si="40"/>
        <v>1395</v>
      </c>
    </row>
    <row r="2439" spans="1:21" ht="37.5" customHeight="1" x14ac:dyDescent="0.25">
      <c r="A2439" s="34">
        <v>45124</v>
      </c>
      <c r="B2439" s="13">
        <v>29</v>
      </c>
      <c r="C2439" t="s">
        <v>3</v>
      </c>
      <c r="D2439" t="s">
        <v>4</v>
      </c>
      <c r="E2439" t="s">
        <v>21</v>
      </c>
      <c r="F2439" s="6">
        <v>201295432</v>
      </c>
      <c r="G2439" t="s">
        <v>1085</v>
      </c>
      <c r="H2439" t="s">
        <v>1040</v>
      </c>
      <c r="I2439">
        <v>0</v>
      </c>
      <c r="J2439">
        <v>0</v>
      </c>
      <c r="K2439">
        <v>0</v>
      </c>
      <c r="L2439">
        <v>0</v>
      </c>
      <c r="M2439">
        <v>0.24</v>
      </c>
      <c r="N2439" s="7" t="e">
        <f>VLOOKUP(F2439,HC!A$6:D$100,3,FALSE)</f>
        <v>#N/A</v>
      </c>
      <c r="O2439" s="7" t="e">
        <f>VLOOKUP(F2439,HC!A$6:D$1000,2,FALSE)</f>
        <v>#N/A</v>
      </c>
      <c r="P2439" t="s">
        <v>662</v>
      </c>
      <c r="Q2439" s="7" t="s">
        <v>687</v>
      </c>
      <c r="U2439">
        <f t="shared" si="40"/>
        <v>1395</v>
      </c>
    </row>
    <row r="2440" spans="1:21" ht="37.5" customHeight="1" x14ac:dyDescent="0.25">
      <c r="A2440" s="34">
        <v>45125</v>
      </c>
      <c r="B2440" s="13">
        <v>29</v>
      </c>
      <c r="C2440" t="s">
        <v>3</v>
      </c>
      <c r="D2440" t="s">
        <v>4</v>
      </c>
      <c r="E2440" t="s">
        <v>5</v>
      </c>
      <c r="F2440" s="6">
        <v>112912008</v>
      </c>
      <c r="G2440" t="s">
        <v>249</v>
      </c>
      <c r="H2440" t="s">
        <v>14</v>
      </c>
      <c r="I2440">
        <v>0</v>
      </c>
      <c r="J2440">
        <v>0</v>
      </c>
      <c r="K2440">
        <v>0</v>
      </c>
      <c r="L2440">
        <v>0</v>
      </c>
      <c r="M2440">
        <v>0.96</v>
      </c>
      <c r="N2440" s="7" t="e">
        <f>VLOOKUP(F2440,HC!A$6:D$100,3,FALSE)</f>
        <v>#N/A</v>
      </c>
      <c r="O2440" s="7" t="e">
        <f>VLOOKUP(F2440,HC!A$6:D$1000,2,FALSE)</f>
        <v>#N/A</v>
      </c>
      <c r="P2440" t="s">
        <v>664</v>
      </c>
      <c r="Q2440" s="7" t="s">
        <v>712</v>
      </c>
      <c r="U2440">
        <f t="shared" si="40"/>
        <v>1395</v>
      </c>
    </row>
    <row r="2441" spans="1:21" ht="37.5" customHeight="1" x14ac:dyDescent="0.25">
      <c r="A2441" s="34">
        <v>45125</v>
      </c>
      <c r="B2441" s="13">
        <v>29</v>
      </c>
      <c r="C2441" t="s">
        <v>3</v>
      </c>
      <c r="D2441" t="s">
        <v>4</v>
      </c>
      <c r="E2441" t="s">
        <v>5</v>
      </c>
      <c r="F2441" s="6">
        <v>112912049</v>
      </c>
      <c r="G2441" t="s">
        <v>488</v>
      </c>
      <c r="H2441" t="s">
        <v>282</v>
      </c>
      <c r="I2441">
        <v>0</v>
      </c>
      <c r="J2441">
        <v>0</v>
      </c>
      <c r="K2441">
        <v>0</v>
      </c>
      <c r="L2441">
        <v>0</v>
      </c>
      <c r="M2441">
        <v>0.18</v>
      </c>
      <c r="N2441" s="7" t="str">
        <f>VLOOKUP(F2441,HC!A$6:D$100,3,FALSE)</f>
        <v>NF-X1900</v>
      </c>
      <c r="O2441" s="7" t="str">
        <f>VLOOKUP(F2441,HC!A$6:D$1000,2,FALSE)</f>
        <v>zchvazqu</v>
      </c>
      <c r="P2441" t="s">
        <v>661</v>
      </c>
      <c r="Q2441" s="7" t="s">
        <v>759</v>
      </c>
      <c r="U2441">
        <f t="shared" si="40"/>
        <v>11</v>
      </c>
    </row>
    <row r="2442" spans="1:21" ht="37.5" customHeight="1" x14ac:dyDescent="0.25">
      <c r="A2442" s="34">
        <v>45125</v>
      </c>
      <c r="B2442" s="13">
        <v>29</v>
      </c>
      <c r="C2442" t="s">
        <v>3</v>
      </c>
      <c r="D2442" t="s">
        <v>4</v>
      </c>
      <c r="E2442" t="s">
        <v>5</v>
      </c>
      <c r="F2442" s="6">
        <v>112912163</v>
      </c>
      <c r="G2442" t="s">
        <v>294</v>
      </c>
      <c r="H2442" t="s">
        <v>298</v>
      </c>
      <c r="I2442">
        <v>0</v>
      </c>
      <c r="J2442">
        <v>0</v>
      </c>
      <c r="K2442">
        <v>0</v>
      </c>
      <c r="L2442">
        <v>0</v>
      </c>
      <c r="M2442">
        <v>0.62</v>
      </c>
      <c r="N2442" s="7" t="e">
        <f>VLOOKUP(F2442,HC!A$6:D$100,3,FALSE)</f>
        <v>#N/A</v>
      </c>
      <c r="O2442" s="7" t="e">
        <f>VLOOKUP(F2442,HC!A$6:D$1000,2,FALSE)</f>
        <v>#N/A</v>
      </c>
      <c r="P2442" t="s">
        <v>663</v>
      </c>
      <c r="Q2442" s="7" t="s">
        <v>804</v>
      </c>
      <c r="U2442">
        <f t="shared" si="40"/>
        <v>1395</v>
      </c>
    </row>
    <row r="2443" spans="1:21" ht="37.5" customHeight="1" x14ac:dyDescent="0.25">
      <c r="A2443" s="34">
        <v>45125</v>
      </c>
      <c r="B2443" s="13">
        <v>29</v>
      </c>
      <c r="C2443" t="s">
        <v>3</v>
      </c>
      <c r="D2443" t="s">
        <v>4</v>
      </c>
      <c r="E2443" t="s">
        <v>5</v>
      </c>
      <c r="F2443" s="6">
        <v>112912752</v>
      </c>
      <c r="G2443" t="s">
        <v>251</v>
      </c>
      <c r="H2443" t="s">
        <v>285</v>
      </c>
      <c r="I2443">
        <v>0</v>
      </c>
      <c r="J2443">
        <v>0</v>
      </c>
      <c r="K2443">
        <v>0</v>
      </c>
      <c r="L2443">
        <v>0</v>
      </c>
      <c r="M2443">
        <v>0.41</v>
      </c>
      <c r="N2443" s="7" t="str">
        <f>VLOOKUP(F2443,HC!A$6:D$100,3,FALSE)</f>
        <v>NF-X1900</v>
      </c>
      <c r="O2443" s="7" t="str">
        <f>VLOOKUP(F2443,HC!A$6:D$1000,2,FALSE)</f>
        <v>valderle</v>
      </c>
      <c r="P2443" t="s">
        <v>662</v>
      </c>
      <c r="Q2443" s="7" t="s">
        <v>688</v>
      </c>
      <c r="U2443">
        <f t="shared" si="40"/>
        <v>50</v>
      </c>
    </row>
    <row r="2444" spans="1:21" ht="37.5" customHeight="1" x14ac:dyDescent="0.25">
      <c r="A2444" s="34">
        <v>45125</v>
      </c>
      <c r="B2444" s="13">
        <v>29</v>
      </c>
      <c r="C2444" t="s">
        <v>3</v>
      </c>
      <c r="D2444" t="s">
        <v>4</v>
      </c>
      <c r="E2444" t="s">
        <v>5</v>
      </c>
      <c r="F2444" s="6">
        <v>112981212</v>
      </c>
      <c r="G2444" t="s">
        <v>573</v>
      </c>
      <c r="H2444" t="s">
        <v>44</v>
      </c>
      <c r="I2444">
        <v>0</v>
      </c>
      <c r="J2444">
        <v>0</v>
      </c>
      <c r="K2444">
        <v>0</v>
      </c>
      <c r="L2444">
        <v>0</v>
      </c>
      <c r="M2444">
        <v>0.06</v>
      </c>
      <c r="N2444" s="7" t="e">
        <f>VLOOKUP(F2444,HC!A$6:D$100,3,FALSE)</f>
        <v>#N/A</v>
      </c>
      <c r="O2444" s="7" t="str">
        <f>VLOOKUP(F2444,HC!A$6:D$1000,2,FALSE)</f>
        <v>alysonza</v>
      </c>
      <c r="P2444" t="s">
        <v>664</v>
      </c>
      <c r="Q2444" s="7" t="s">
        <v>711</v>
      </c>
      <c r="U2444">
        <f t="shared" si="40"/>
        <v>23</v>
      </c>
    </row>
    <row r="2445" spans="1:21" ht="37.5" customHeight="1" x14ac:dyDescent="0.25">
      <c r="A2445" s="34">
        <v>45125</v>
      </c>
      <c r="B2445" s="13">
        <v>29</v>
      </c>
      <c r="C2445" t="s">
        <v>3</v>
      </c>
      <c r="D2445" t="s">
        <v>4</v>
      </c>
      <c r="E2445" t="s">
        <v>5</v>
      </c>
      <c r="F2445" s="6">
        <v>113003635</v>
      </c>
      <c r="G2445" t="s">
        <v>930</v>
      </c>
      <c r="H2445" t="s">
        <v>44</v>
      </c>
      <c r="I2445">
        <v>0</v>
      </c>
      <c r="J2445">
        <v>0</v>
      </c>
      <c r="K2445">
        <v>0</v>
      </c>
      <c r="L2445">
        <v>0</v>
      </c>
      <c r="M2445">
        <v>0.49</v>
      </c>
      <c r="N2445" s="7" t="e">
        <f>VLOOKUP(F2445,HC!A$6:D$100,3,FALSE)</f>
        <v>#N/A</v>
      </c>
      <c r="O2445" s="7" t="str">
        <f>VLOOKUP(F2445,HC!A$6:D$1000,2,FALSE)</f>
        <v>barrgiof</v>
      </c>
      <c r="P2445" t="s">
        <v>664</v>
      </c>
      <c r="Q2445" s="7" t="s">
        <v>711</v>
      </c>
      <c r="U2445">
        <f t="shared" si="40"/>
        <v>9</v>
      </c>
    </row>
    <row r="2446" spans="1:21" ht="37.5" customHeight="1" x14ac:dyDescent="0.25">
      <c r="A2446" s="34">
        <v>45125</v>
      </c>
      <c r="B2446" s="13">
        <v>29</v>
      </c>
      <c r="C2446" t="s">
        <v>3</v>
      </c>
      <c r="D2446" t="s">
        <v>4</v>
      </c>
      <c r="E2446" t="s">
        <v>5</v>
      </c>
      <c r="F2446" s="6">
        <v>113004017</v>
      </c>
      <c r="G2446" t="s">
        <v>922</v>
      </c>
      <c r="H2446" t="s">
        <v>47</v>
      </c>
      <c r="I2446">
        <v>0</v>
      </c>
      <c r="J2446">
        <v>0</v>
      </c>
      <c r="K2446">
        <v>0</v>
      </c>
      <c r="L2446">
        <v>0</v>
      </c>
      <c r="M2446">
        <v>0.62</v>
      </c>
      <c r="N2446" s="7" t="e">
        <f>VLOOKUP(F2446,HC!A$6:D$100,3,FALSE)</f>
        <v>#N/A</v>
      </c>
      <c r="O2446" s="7" t="e">
        <f>VLOOKUP(F2446,HC!A$6:D$1000,2,FALSE)</f>
        <v>#N/A</v>
      </c>
      <c r="P2446" t="s">
        <v>662</v>
      </c>
      <c r="Q2446" s="7" t="s">
        <v>688</v>
      </c>
      <c r="U2446">
        <f t="shared" si="40"/>
        <v>1395</v>
      </c>
    </row>
    <row r="2447" spans="1:21" ht="37.5" customHeight="1" x14ac:dyDescent="0.25">
      <c r="A2447" s="34">
        <v>45125</v>
      </c>
      <c r="B2447" s="13">
        <v>29</v>
      </c>
      <c r="C2447" t="s">
        <v>3</v>
      </c>
      <c r="D2447" t="s">
        <v>4</v>
      </c>
      <c r="E2447" t="s">
        <v>5</v>
      </c>
      <c r="F2447" s="6">
        <v>113014084</v>
      </c>
      <c r="G2447" t="s">
        <v>462</v>
      </c>
      <c r="H2447" t="s">
        <v>47</v>
      </c>
      <c r="I2447">
        <v>0</v>
      </c>
      <c r="J2447">
        <v>0</v>
      </c>
      <c r="K2447">
        <v>0</v>
      </c>
      <c r="L2447">
        <v>0</v>
      </c>
      <c r="M2447">
        <v>0.17</v>
      </c>
      <c r="N2447" s="7" t="e">
        <f>VLOOKUP(F2447,HC!A$6:D$100,3,FALSE)</f>
        <v>#N/A</v>
      </c>
      <c r="O2447" s="7" t="str">
        <f>VLOOKUP(F2447,HC!A$6:D$1000,2,FALSE)</f>
        <v>dnmanuel</v>
      </c>
      <c r="P2447" t="s">
        <v>670</v>
      </c>
      <c r="Q2447" s="7" t="s">
        <v>748</v>
      </c>
      <c r="U2447">
        <f t="shared" si="40"/>
        <v>6</v>
      </c>
    </row>
    <row r="2448" spans="1:21" ht="37.5" customHeight="1" x14ac:dyDescent="0.25">
      <c r="A2448" s="34">
        <v>45125</v>
      </c>
      <c r="B2448" s="13">
        <v>29</v>
      </c>
      <c r="C2448" t="s">
        <v>3</v>
      </c>
      <c r="D2448" t="s">
        <v>4</v>
      </c>
      <c r="E2448" t="s">
        <v>5</v>
      </c>
      <c r="F2448" s="6">
        <v>113020476</v>
      </c>
      <c r="G2448" t="s">
        <v>330</v>
      </c>
      <c r="H2448" t="s">
        <v>7</v>
      </c>
      <c r="I2448">
        <v>0</v>
      </c>
      <c r="J2448">
        <v>0</v>
      </c>
      <c r="K2448">
        <v>0</v>
      </c>
      <c r="L2448">
        <v>0</v>
      </c>
      <c r="M2448">
        <v>0.09</v>
      </c>
      <c r="N2448" s="7" t="e">
        <f>VLOOKUP(F2448,HC!A$6:D$100,3,FALSE)</f>
        <v>#N/A</v>
      </c>
      <c r="O2448" s="7" t="str">
        <f>VLOOKUP(F2448,HC!A$6:D$1000,2,FALSE)</f>
        <v>polettpu</v>
      </c>
      <c r="P2448" t="s">
        <v>664</v>
      </c>
      <c r="Q2448" s="7" t="s">
        <v>717</v>
      </c>
      <c r="U2448">
        <f t="shared" si="40"/>
        <v>55</v>
      </c>
    </row>
    <row r="2449" spans="1:21" ht="37.5" customHeight="1" x14ac:dyDescent="0.25">
      <c r="A2449" s="34">
        <v>45125</v>
      </c>
      <c r="B2449" s="13">
        <v>29</v>
      </c>
      <c r="C2449" t="s">
        <v>3</v>
      </c>
      <c r="D2449" t="s">
        <v>4</v>
      </c>
      <c r="E2449" t="s">
        <v>5</v>
      </c>
      <c r="F2449" s="6">
        <v>200574655</v>
      </c>
      <c r="G2449" t="s">
        <v>630</v>
      </c>
      <c r="H2449" t="s">
        <v>44</v>
      </c>
      <c r="I2449">
        <v>0</v>
      </c>
      <c r="J2449">
        <v>0</v>
      </c>
      <c r="K2449">
        <v>0</v>
      </c>
      <c r="L2449">
        <v>0</v>
      </c>
      <c r="M2449">
        <v>0.19</v>
      </c>
      <c r="N2449" s="7" t="e">
        <f>VLOOKUP(F2449,HC!A$6:D$100,3,FALSE)</f>
        <v>#N/A</v>
      </c>
      <c r="O2449" s="7" t="str">
        <f>VLOOKUP(F2449,HC!A$6:D$1000,2,FALSE)</f>
        <v>dulceami</v>
      </c>
      <c r="P2449" t="s">
        <v>662</v>
      </c>
      <c r="Q2449" s="7" t="s">
        <v>688</v>
      </c>
      <c r="U2449">
        <f t="shared" si="40"/>
        <v>20</v>
      </c>
    </row>
    <row r="2450" spans="1:21" ht="37.5" customHeight="1" x14ac:dyDescent="0.25">
      <c r="A2450" s="34">
        <v>45125</v>
      </c>
      <c r="B2450" s="13">
        <v>29</v>
      </c>
      <c r="C2450" t="s">
        <v>3</v>
      </c>
      <c r="D2450" t="s">
        <v>4</v>
      </c>
      <c r="E2450" t="s">
        <v>21</v>
      </c>
      <c r="F2450" s="6">
        <v>201198370</v>
      </c>
      <c r="G2450" t="s">
        <v>931</v>
      </c>
      <c r="H2450" t="s">
        <v>17</v>
      </c>
      <c r="I2450">
        <v>0</v>
      </c>
      <c r="J2450">
        <v>0</v>
      </c>
      <c r="K2450">
        <v>0</v>
      </c>
      <c r="L2450">
        <v>0</v>
      </c>
      <c r="M2450">
        <v>0.25</v>
      </c>
      <c r="N2450" s="7" t="e">
        <f>VLOOKUP(F2450,HC!A$6:D$100,3,FALSE)</f>
        <v>#N/A</v>
      </c>
      <c r="O2450" s="7" t="e">
        <f>VLOOKUP(F2450,HC!A$6:D$1000,2,FALSE)</f>
        <v>#N/A</v>
      </c>
      <c r="P2450" t="s">
        <v>661</v>
      </c>
      <c r="Q2450" s="7" t="s">
        <v>681</v>
      </c>
      <c r="U2450">
        <f t="shared" si="40"/>
        <v>1395</v>
      </c>
    </row>
    <row r="2451" spans="1:21" ht="37.5" customHeight="1" x14ac:dyDescent="0.25">
      <c r="A2451" s="34">
        <v>45125</v>
      </c>
      <c r="B2451" s="13">
        <v>29</v>
      </c>
      <c r="C2451" t="s">
        <v>3</v>
      </c>
      <c r="D2451" t="s">
        <v>4</v>
      </c>
      <c r="E2451" t="s">
        <v>21</v>
      </c>
      <c r="F2451" s="6">
        <v>201314835</v>
      </c>
      <c r="G2451" t="s">
        <v>1060</v>
      </c>
      <c r="H2451" t="s">
        <v>263</v>
      </c>
      <c r="I2451">
        <v>0</v>
      </c>
      <c r="J2451">
        <v>0</v>
      </c>
      <c r="K2451">
        <v>0</v>
      </c>
      <c r="L2451">
        <v>0</v>
      </c>
      <c r="M2451">
        <v>0.51</v>
      </c>
      <c r="N2451" s="7" t="e">
        <f>VLOOKUP(F2451,HC!A$6:D$100,3,FALSE)</f>
        <v>#N/A</v>
      </c>
      <c r="O2451" s="7" t="e">
        <f>VLOOKUP(F2451,HC!A$6:D$1000,2,FALSE)</f>
        <v>#N/A</v>
      </c>
      <c r="P2451" t="s">
        <v>662</v>
      </c>
      <c r="Q2451" s="7" t="s">
        <v>691</v>
      </c>
      <c r="U2451">
        <f t="shared" si="40"/>
        <v>1395</v>
      </c>
    </row>
    <row r="2452" spans="1:21" ht="37.5" customHeight="1" x14ac:dyDescent="0.25">
      <c r="A2452" s="34">
        <v>45125</v>
      </c>
      <c r="B2452" s="13">
        <v>29</v>
      </c>
      <c r="C2452" t="s">
        <v>3</v>
      </c>
      <c r="D2452" t="s">
        <v>4</v>
      </c>
      <c r="E2452" t="s">
        <v>21</v>
      </c>
      <c r="F2452" s="6">
        <v>201360639</v>
      </c>
      <c r="G2452" t="s">
        <v>1142</v>
      </c>
      <c r="H2452" t="s">
        <v>253</v>
      </c>
      <c r="I2452">
        <v>0</v>
      </c>
      <c r="J2452">
        <v>0</v>
      </c>
      <c r="K2452">
        <v>0</v>
      </c>
      <c r="L2452">
        <v>0</v>
      </c>
      <c r="M2452">
        <v>12.38</v>
      </c>
      <c r="N2452" s="7" t="e">
        <f>VLOOKUP(F2452,HC!A$6:D$100,3,FALSE)</f>
        <v>#N/A</v>
      </c>
      <c r="O2452" s="7" t="str">
        <f>VLOOKUP(F2452,HC!A$6:D$1000,2,FALSE)</f>
        <v>riveoyae</v>
      </c>
      <c r="P2452" t="s">
        <v>661</v>
      </c>
      <c r="Q2452" s="7" t="s">
        <v>681</v>
      </c>
      <c r="U2452">
        <f t="shared" si="40"/>
        <v>6</v>
      </c>
    </row>
    <row r="2453" spans="1:21" ht="37.5" customHeight="1" x14ac:dyDescent="0.25">
      <c r="A2453" s="34">
        <v>45125</v>
      </c>
      <c r="B2453" s="13">
        <v>29</v>
      </c>
      <c r="C2453" t="s">
        <v>3</v>
      </c>
      <c r="D2453" t="s">
        <v>4</v>
      </c>
      <c r="E2453" t="s">
        <v>21</v>
      </c>
      <c r="F2453" s="6">
        <v>201378542</v>
      </c>
      <c r="G2453" t="s">
        <v>1164</v>
      </c>
      <c r="H2453" t="s">
        <v>1040</v>
      </c>
      <c r="I2453">
        <v>0</v>
      </c>
      <c r="J2453">
        <v>0</v>
      </c>
      <c r="K2453">
        <v>0</v>
      </c>
      <c r="L2453">
        <v>0</v>
      </c>
      <c r="M2453">
        <v>0.35</v>
      </c>
      <c r="N2453" s="7" t="e">
        <f>VLOOKUP(F2453,HC!A$6:D$100,3,FALSE)</f>
        <v>#N/A</v>
      </c>
      <c r="O2453" s="7" t="str">
        <f>VLOOKUP(F2453,HC!A$6:D$1000,2,FALSE)</f>
        <v>tcontree</v>
      </c>
      <c r="P2453" t="s">
        <v>664</v>
      </c>
      <c r="Q2453" s="7" t="s">
        <v>711</v>
      </c>
      <c r="U2453">
        <f t="shared" si="40"/>
        <v>9</v>
      </c>
    </row>
    <row r="2454" spans="1:21" ht="37.5" customHeight="1" x14ac:dyDescent="0.25">
      <c r="A2454" s="34">
        <v>45125</v>
      </c>
      <c r="B2454" s="13">
        <v>29</v>
      </c>
      <c r="C2454" t="s">
        <v>3</v>
      </c>
      <c r="D2454" t="s">
        <v>4</v>
      </c>
      <c r="E2454" t="s">
        <v>21</v>
      </c>
      <c r="F2454" s="6">
        <v>201402060</v>
      </c>
      <c r="G2454" t="s">
        <v>1057</v>
      </c>
      <c r="H2454" t="s">
        <v>285</v>
      </c>
      <c r="I2454">
        <v>0</v>
      </c>
      <c r="J2454">
        <v>0</v>
      </c>
      <c r="K2454">
        <v>0</v>
      </c>
      <c r="L2454">
        <v>0</v>
      </c>
      <c r="M2454">
        <v>1.51</v>
      </c>
      <c r="N2454" s="7" t="e">
        <f>VLOOKUP(F2454,HC!A$6:D$100,3,FALSE)</f>
        <v>#N/A</v>
      </c>
      <c r="O2454" s="7" t="e">
        <f>VLOOKUP(F2454,HC!A$6:D$1000,2,FALSE)</f>
        <v>#N/A</v>
      </c>
      <c r="P2454" t="s">
        <v>661</v>
      </c>
      <c r="Q2454" s="7" t="s">
        <v>681</v>
      </c>
      <c r="U2454">
        <f t="shared" si="40"/>
        <v>1395</v>
      </c>
    </row>
    <row r="2455" spans="1:21" ht="37.5" customHeight="1" x14ac:dyDescent="0.25">
      <c r="A2455" s="34">
        <v>45125</v>
      </c>
      <c r="B2455" s="13">
        <v>29</v>
      </c>
      <c r="C2455" t="s">
        <v>3</v>
      </c>
      <c r="D2455" t="s">
        <v>4</v>
      </c>
      <c r="E2455" t="s">
        <v>21</v>
      </c>
      <c r="F2455" s="6">
        <v>201402216</v>
      </c>
      <c r="G2455" t="s">
        <v>1064</v>
      </c>
      <c r="H2455" t="s">
        <v>1040</v>
      </c>
      <c r="I2455">
        <v>0</v>
      </c>
      <c r="J2455">
        <v>0</v>
      </c>
      <c r="K2455">
        <v>0</v>
      </c>
      <c r="L2455">
        <v>0</v>
      </c>
      <c r="M2455">
        <v>0.28999999999999998</v>
      </c>
      <c r="N2455" s="7" t="e">
        <f>VLOOKUP(F2455,HC!A$6:D$100,3,FALSE)</f>
        <v>#N/A</v>
      </c>
      <c r="O2455" s="7" t="e">
        <f>VLOOKUP(F2455,HC!A$6:D$1000,2,FALSE)</f>
        <v>#N/A</v>
      </c>
      <c r="P2455" t="s">
        <v>668</v>
      </c>
      <c r="Q2455" s="7" t="s">
        <v>730</v>
      </c>
      <c r="U2455">
        <f t="shared" si="40"/>
        <v>1395</v>
      </c>
    </row>
    <row r="2456" spans="1:21" ht="37.5" customHeight="1" x14ac:dyDescent="0.25">
      <c r="A2456" s="34">
        <v>45125</v>
      </c>
      <c r="B2456" s="13">
        <v>29</v>
      </c>
      <c r="C2456" t="s">
        <v>3</v>
      </c>
      <c r="D2456" t="s">
        <v>4</v>
      </c>
      <c r="E2456" t="s">
        <v>21</v>
      </c>
      <c r="F2456" s="6">
        <v>201403462</v>
      </c>
      <c r="G2456" t="s">
        <v>1054</v>
      </c>
      <c r="H2456" t="s">
        <v>49</v>
      </c>
      <c r="I2456">
        <v>0</v>
      </c>
      <c r="J2456">
        <v>0</v>
      </c>
      <c r="K2456">
        <v>0</v>
      </c>
      <c r="L2456">
        <v>0</v>
      </c>
      <c r="M2456">
        <v>0.25</v>
      </c>
      <c r="N2456" s="7" t="e">
        <f>VLOOKUP(F2456,HC!A$6:D$100,3,FALSE)</f>
        <v>#N/A</v>
      </c>
      <c r="O2456" s="7" t="str">
        <f>VLOOKUP(F2456,HC!A$6:D$1000,2,FALSE)</f>
        <v>valdojoe</v>
      </c>
      <c r="P2456" t="s">
        <v>662</v>
      </c>
      <c r="Q2456" s="7" t="s">
        <v>757</v>
      </c>
      <c r="U2456">
        <f t="shared" si="40"/>
        <v>22</v>
      </c>
    </row>
    <row r="2457" spans="1:21" ht="37.5" customHeight="1" x14ac:dyDescent="0.25">
      <c r="A2457" s="34">
        <v>45126</v>
      </c>
      <c r="B2457" s="13">
        <v>29</v>
      </c>
      <c r="C2457" t="s">
        <v>3</v>
      </c>
      <c r="D2457" t="s">
        <v>4</v>
      </c>
      <c r="E2457" t="s">
        <v>5</v>
      </c>
      <c r="F2457" s="6">
        <v>112950795</v>
      </c>
      <c r="G2457" t="s">
        <v>580</v>
      </c>
      <c r="H2457" t="s">
        <v>403</v>
      </c>
      <c r="I2457">
        <v>0</v>
      </c>
      <c r="J2457">
        <v>0</v>
      </c>
      <c r="K2457">
        <v>0</v>
      </c>
      <c r="L2457">
        <v>0</v>
      </c>
      <c r="M2457">
        <v>0.34</v>
      </c>
      <c r="N2457" s="7" t="str">
        <f>VLOOKUP(F2457,HC!A$6:D$100,3,FALSE)</f>
        <v>DA-X0700</v>
      </c>
      <c r="O2457" s="7" t="str">
        <f>VLOOKUP(F2457,HC!A$6:D$1000,2,FALSE)</f>
        <v>oespiali</v>
      </c>
      <c r="P2457" t="s">
        <v>664</v>
      </c>
      <c r="Q2457" s="7" t="s">
        <v>716</v>
      </c>
      <c r="U2457">
        <f t="shared" si="40"/>
        <v>10</v>
      </c>
    </row>
    <row r="2458" spans="1:21" ht="37.5" customHeight="1" x14ac:dyDescent="0.25">
      <c r="A2458" s="34">
        <v>45126</v>
      </c>
      <c r="B2458" s="13">
        <v>29</v>
      </c>
      <c r="C2458" t="s">
        <v>3</v>
      </c>
      <c r="D2458" t="s">
        <v>4</v>
      </c>
      <c r="E2458" t="s">
        <v>5</v>
      </c>
      <c r="F2458" s="6">
        <v>112971962</v>
      </c>
      <c r="G2458" t="s">
        <v>338</v>
      </c>
      <c r="H2458" t="s">
        <v>17</v>
      </c>
      <c r="I2458">
        <v>0</v>
      </c>
      <c r="J2458">
        <v>0</v>
      </c>
      <c r="K2458">
        <v>0</v>
      </c>
      <c r="L2458">
        <v>0</v>
      </c>
      <c r="M2458">
        <v>0.42</v>
      </c>
      <c r="N2458" s="7" t="str">
        <f>VLOOKUP(F2458,HC!A$6:D$100,3,FALSE)</f>
        <v>DB-X0700</v>
      </c>
      <c r="O2458" s="7" t="str">
        <f>VLOOKUP(F2458,HC!A$6:D$1000,2,FALSE)</f>
        <v>creyesal</v>
      </c>
      <c r="P2458" t="s">
        <v>670</v>
      </c>
      <c r="Q2458" s="7" t="s">
        <v>748</v>
      </c>
      <c r="U2458">
        <f t="shared" si="40"/>
        <v>38</v>
      </c>
    </row>
    <row r="2459" spans="1:21" ht="37.5" customHeight="1" x14ac:dyDescent="0.25">
      <c r="A2459" s="34">
        <v>45126</v>
      </c>
      <c r="B2459" s="13">
        <v>29</v>
      </c>
      <c r="C2459" t="s">
        <v>3</v>
      </c>
      <c r="D2459" t="s">
        <v>4</v>
      </c>
      <c r="E2459" t="s">
        <v>5</v>
      </c>
      <c r="F2459" s="6">
        <v>112980899</v>
      </c>
      <c r="G2459" t="s">
        <v>396</v>
      </c>
      <c r="H2459" t="s">
        <v>1040</v>
      </c>
      <c r="I2459">
        <v>0</v>
      </c>
      <c r="J2459">
        <v>0</v>
      </c>
      <c r="K2459">
        <v>0</v>
      </c>
      <c r="L2459">
        <v>0</v>
      </c>
      <c r="M2459">
        <v>0.15</v>
      </c>
      <c r="N2459" s="7" t="str">
        <f>VLOOKUP(F2459,HC!A$6:D$100,3,FALSE)</f>
        <v>NF-X1900</v>
      </c>
      <c r="O2459" s="7" t="str">
        <f>VLOOKUP(F2459,HC!A$6:D$1000,2,FALSE)</f>
        <v>aravilac</v>
      </c>
      <c r="P2459" t="s">
        <v>661</v>
      </c>
      <c r="Q2459" s="7" t="s">
        <v>681</v>
      </c>
      <c r="U2459">
        <f t="shared" si="40"/>
        <v>33</v>
      </c>
    </row>
    <row r="2460" spans="1:21" ht="37.5" customHeight="1" x14ac:dyDescent="0.25">
      <c r="A2460" s="34">
        <v>45126</v>
      </c>
      <c r="B2460" s="13">
        <v>29</v>
      </c>
      <c r="C2460" t="s">
        <v>3</v>
      </c>
      <c r="D2460" t="s">
        <v>4</v>
      </c>
      <c r="E2460" t="s">
        <v>5</v>
      </c>
      <c r="F2460" s="6">
        <v>113014094</v>
      </c>
      <c r="G2460" t="s">
        <v>463</v>
      </c>
      <c r="H2460" t="s">
        <v>44</v>
      </c>
      <c r="I2460">
        <v>0</v>
      </c>
      <c r="J2460">
        <v>0</v>
      </c>
      <c r="K2460">
        <v>0</v>
      </c>
      <c r="L2460">
        <v>0</v>
      </c>
      <c r="M2460">
        <v>0.53</v>
      </c>
      <c r="N2460" s="7" t="e">
        <f>VLOOKUP(F2460,HC!A$6:D$100,3,FALSE)</f>
        <v>#N/A</v>
      </c>
      <c r="O2460" s="7" t="str">
        <f>VLOOKUP(F2460,HC!A$6:D$1000,2,FALSE)</f>
        <v>erikaadm</v>
      </c>
      <c r="P2460" t="s">
        <v>661</v>
      </c>
      <c r="Q2460" s="7" t="s">
        <v>684</v>
      </c>
      <c r="U2460">
        <f t="shared" si="40"/>
        <v>21</v>
      </c>
    </row>
    <row r="2461" spans="1:21" ht="37.5" customHeight="1" x14ac:dyDescent="0.25">
      <c r="A2461" s="34">
        <v>45126</v>
      </c>
      <c r="B2461" s="13">
        <v>29</v>
      </c>
      <c r="C2461" t="s">
        <v>3</v>
      </c>
      <c r="D2461" t="s">
        <v>4</v>
      </c>
      <c r="E2461" t="s">
        <v>5</v>
      </c>
      <c r="F2461" s="6">
        <v>113014470</v>
      </c>
      <c r="G2461" t="s">
        <v>374</v>
      </c>
      <c r="H2461" t="s">
        <v>44</v>
      </c>
      <c r="I2461">
        <v>0</v>
      </c>
      <c r="J2461">
        <v>0</v>
      </c>
      <c r="K2461">
        <v>0</v>
      </c>
      <c r="L2461">
        <v>0</v>
      </c>
      <c r="M2461">
        <v>0.19</v>
      </c>
      <c r="N2461" s="7" t="e">
        <f>VLOOKUP(F2461,HC!A$6:D$100,3,FALSE)</f>
        <v>#N/A</v>
      </c>
      <c r="O2461" s="7" t="str">
        <f>VLOOKUP(F2461,HC!A$6:D$1000,2,FALSE)</f>
        <v>lupaguin</v>
      </c>
      <c r="P2461" t="s">
        <v>662</v>
      </c>
      <c r="Q2461" s="7" t="s">
        <v>688</v>
      </c>
      <c r="U2461">
        <f t="shared" si="40"/>
        <v>23</v>
      </c>
    </row>
    <row r="2462" spans="1:21" ht="37.5" customHeight="1" x14ac:dyDescent="0.25">
      <c r="A2462" s="34">
        <v>45126</v>
      </c>
      <c r="B2462" s="13">
        <v>29</v>
      </c>
      <c r="C2462" t="s">
        <v>3</v>
      </c>
      <c r="D2462" t="s">
        <v>4</v>
      </c>
      <c r="E2462" t="s">
        <v>5</v>
      </c>
      <c r="F2462" s="6">
        <v>113101453</v>
      </c>
      <c r="G2462" t="s">
        <v>50</v>
      </c>
      <c r="H2462" t="s">
        <v>44</v>
      </c>
      <c r="I2462">
        <v>0</v>
      </c>
      <c r="J2462">
        <v>0</v>
      </c>
      <c r="K2462">
        <v>0</v>
      </c>
      <c r="L2462">
        <v>0</v>
      </c>
      <c r="M2462">
        <v>0.63</v>
      </c>
      <c r="N2462" s="7" t="e">
        <f>VLOOKUP(F2462,HC!A$6:D$100,3,FALSE)</f>
        <v>#N/A</v>
      </c>
      <c r="O2462" s="7" t="str">
        <f>VLOOKUP(F2462,HC!A$6:D$1000,2,FALSE)</f>
        <v>qisgeova</v>
      </c>
      <c r="P2462" t="s">
        <v>664</v>
      </c>
      <c r="Q2462" s="7" t="s">
        <v>711</v>
      </c>
      <c r="U2462">
        <f t="shared" si="40"/>
        <v>57</v>
      </c>
    </row>
    <row r="2463" spans="1:21" ht="37.5" customHeight="1" x14ac:dyDescent="0.25">
      <c r="A2463" s="34">
        <v>45126</v>
      </c>
      <c r="B2463" s="13">
        <v>29</v>
      </c>
      <c r="C2463" t="s">
        <v>3</v>
      </c>
      <c r="D2463" t="s">
        <v>4</v>
      </c>
      <c r="E2463" t="s">
        <v>5</v>
      </c>
      <c r="F2463" s="6">
        <v>200404250</v>
      </c>
      <c r="G2463" t="s">
        <v>51</v>
      </c>
      <c r="H2463" t="s">
        <v>298</v>
      </c>
      <c r="I2463">
        <v>0</v>
      </c>
      <c r="J2463">
        <v>0</v>
      </c>
      <c r="K2463">
        <v>0</v>
      </c>
      <c r="L2463">
        <v>0</v>
      </c>
      <c r="M2463">
        <v>1.23</v>
      </c>
      <c r="N2463" s="7" t="e">
        <f>VLOOKUP(F2463,HC!A$6:D$100,3,FALSE)</f>
        <v>#N/A</v>
      </c>
      <c r="O2463" s="7" t="str">
        <f>VLOOKUP(F2463,HC!A$6:D$1000,2,FALSE)</f>
        <v>xcathurt</v>
      </c>
      <c r="P2463" t="s">
        <v>662</v>
      </c>
      <c r="Q2463" s="7" t="s">
        <v>766</v>
      </c>
      <c r="U2463">
        <f t="shared" si="40"/>
        <v>124</v>
      </c>
    </row>
    <row r="2464" spans="1:21" ht="37.5" customHeight="1" x14ac:dyDescent="0.25">
      <c r="A2464" s="34">
        <v>45126</v>
      </c>
      <c r="B2464" s="13">
        <v>29</v>
      </c>
      <c r="C2464" t="s">
        <v>3</v>
      </c>
      <c r="D2464" t="s">
        <v>4</v>
      </c>
      <c r="E2464" t="s">
        <v>21</v>
      </c>
      <c r="F2464" s="6">
        <v>200552429</v>
      </c>
      <c r="G2464" t="s">
        <v>1139</v>
      </c>
      <c r="H2464" t="s">
        <v>263</v>
      </c>
      <c r="I2464">
        <v>0</v>
      </c>
      <c r="J2464">
        <v>0</v>
      </c>
      <c r="K2464">
        <v>0</v>
      </c>
      <c r="L2464">
        <v>0</v>
      </c>
      <c r="M2464">
        <v>0.55000000000000004</v>
      </c>
      <c r="N2464" s="7" t="e">
        <f>VLOOKUP(F2464,HC!A$6:D$100,3,FALSE)</f>
        <v>#N/A</v>
      </c>
      <c r="O2464" s="7" t="e">
        <f>VLOOKUP(F2464,HC!A$6:D$1000,2,FALSE)</f>
        <v>#N/A</v>
      </c>
      <c r="P2464" t="s">
        <v>661</v>
      </c>
      <c r="Q2464" s="7" t="s">
        <v>681</v>
      </c>
      <c r="U2464">
        <f t="shared" si="40"/>
        <v>1395</v>
      </c>
    </row>
    <row r="2465" spans="1:21" ht="37.5" customHeight="1" x14ac:dyDescent="0.25">
      <c r="A2465" s="34">
        <v>45126</v>
      </c>
      <c r="B2465" s="13">
        <v>29</v>
      </c>
      <c r="C2465" t="s">
        <v>3</v>
      </c>
      <c r="D2465" t="s">
        <v>4</v>
      </c>
      <c r="E2465" t="s">
        <v>5</v>
      </c>
      <c r="F2465" s="6">
        <v>200584282</v>
      </c>
      <c r="G2465" t="s">
        <v>521</v>
      </c>
      <c r="H2465" t="s">
        <v>44</v>
      </c>
      <c r="I2465">
        <v>0</v>
      </c>
      <c r="J2465">
        <v>0</v>
      </c>
      <c r="K2465">
        <v>0</v>
      </c>
      <c r="L2465">
        <v>0</v>
      </c>
      <c r="M2465">
        <v>0.3</v>
      </c>
      <c r="N2465" s="7" t="e">
        <f>VLOOKUP(F2465,HC!A$6:D$100,3,FALSE)</f>
        <v>#N/A</v>
      </c>
      <c r="O2465" s="7" t="str">
        <f>VLOOKUP(F2465,HC!A$6:D$1000,2,FALSE)</f>
        <v>ldianade</v>
      </c>
      <c r="P2465" t="s">
        <v>664</v>
      </c>
      <c r="Q2465" s="7" t="s">
        <v>711</v>
      </c>
      <c r="U2465">
        <f t="shared" si="40"/>
        <v>4</v>
      </c>
    </row>
    <row r="2466" spans="1:21" ht="37.5" customHeight="1" x14ac:dyDescent="0.25">
      <c r="A2466" s="34">
        <v>45126</v>
      </c>
      <c r="B2466" s="13">
        <v>29</v>
      </c>
      <c r="C2466" t="s">
        <v>3</v>
      </c>
      <c r="D2466" t="s">
        <v>4</v>
      </c>
      <c r="E2466" t="s">
        <v>21</v>
      </c>
      <c r="F2466" s="6">
        <v>201166890</v>
      </c>
      <c r="G2466" t="s">
        <v>998</v>
      </c>
      <c r="H2466" t="s">
        <v>298</v>
      </c>
      <c r="I2466">
        <v>0</v>
      </c>
      <c r="J2466">
        <v>0</v>
      </c>
      <c r="K2466">
        <v>0</v>
      </c>
      <c r="L2466">
        <v>0</v>
      </c>
      <c r="M2466">
        <v>0.53</v>
      </c>
      <c r="N2466" s="7" t="e">
        <f>VLOOKUP(F2466,HC!A$6:D$100,3,FALSE)</f>
        <v>#N/A</v>
      </c>
      <c r="O2466" s="7" t="str">
        <f>VLOOKUP(F2466,HC!A$6:D$1000,2,FALSE)</f>
        <v>lcabadan</v>
      </c>
      <c r="P2466" t="s">
        <v>662</v>
      </c>
      <c r="Q2466" s="7" t="s">
        <v>687</v>
      </c>
      <c r="U2466">
        <f t="shared" si="40"/>
        <v>24</v>
      </c>
    </row>
    <row r="2467" spans="1:21" ht="37.5" customHeight="1" x14ac:dyDescent="0.25">
      <c r="A2467" s="34">
        <v>45126</v>
      </c>
      <c r="B2467" s="13">
        <v>29</v>
      </c>
      <c r="C2467" t="s">
        <v>3</v>
      </c>
      <c r="D2467" t="s">
        <v>4</v>
      </c>
      <c r="E2467" t="s">
        <v>21</v>
      </c>
      <c r="F2467" s="6">
        <v>201186833</v>
      </c>
      <c r="G2467" t="s">
        <v>904</v>
      </c>
      <c r="H2467" t="s">
        <v>285</v>
      </c>
      <c r="I2467">
        <v>0</v>
      </c>
      <c r="J2467">
        <v>0</v>
      </c>
      <c r="K2467">
        <v>0</v>
      </c>
      <c r="L2467">
        <v>0</v>
      </c>
      <c r="M2467">
        <v>0.13</v>
      </c>
      <c r="N2467" s="7" t="e">
        <f>VLOOKUP(F2467,HC!A$6:D$100,3,FALSE)</f>
        <v>#N/A</v>
      </c>
      <c r="O2467" s="7" t="str">
        <f>VLOOKUP(F2467,HC!A$6:D$1000,2,FALSE)</f>
        <v>jaalexav</v>
      </c>
      <c r="P2467" t="s">
        <v>665</v>
      </c>
      <c r="Q2467" s="7" t="s">
        <v>722</v>
      </c>
      <c r="U2467">
        <f t="shared" si="40"/>
        <v>16</v>
      </c>
    </row>
    <row r="2468" spans="1:21" ht="37.5" customHeight="1" x14ac:dyDescent="0.25">
      <c r="A2468" s="34">
        <v>45126</v>
      </c>
      <c r="B2468" s="13">
        <v>29</v>
      </c>
      <c r="C2468" t="s">
        <v>3</v>
      </c>
      <c r="D2468" t="s">
        <v>4</v>
      </c>
      <c r="E2468" t="s">
        <v>21</v>
      </c>
      <c r="F2468" s="6">
        <v>201201993</v>
      </c>
      <c r="G2468" t="s">
        <v>964</v>
      </c>
      <c r="H2468" t="s">
        <v>1040</v>
      </c>
      <c r="I2468">
        <v>0</v>
      </c>
      <c r="J2468">
        <v>0</v>
      </c>
      <c r="K2468">
        <v>0</v>
      </c>
      <c r="L2468">
        <v>0</v>
      </c>
      <c r="M2468">
        <v>0.32</v>
      </c>
      <c r="N2468" s="7" t="e">
        <f>VLOOKUP(F2468,HC!A$6:D$100,3,FALSE)</f>
        <v>#N/A</v>
      </c>
      <c r="O2468" s="7" t="e">
        <f>VLOOKUP(F2468,HC!A$6:D$1000,2,FALSE)</f>
        <v>#N/A</v>
      </c>
      <c r="P2468" t="s">
        <v>663</v>
      </c>
      <c r="Q2468" s="7" t="s">
        <v>692</v>
      </c>
      <c r="U2468">
        <f t="shared" si="40"/>
        <v>1395</v>
      </c>
    </row>
    <row r="2469" spans="1:21" ht="37.5" customHeight="1" x14ac:dyDescent="0.25">
      <c r="A2469" s="34">
        <v>45126</v>
      </c>
      <c r="B2469" s="13">
        <v>29</v>
      </c>
      <c r="C2469" t="s">
        <v>3</v>
      </c>
      <c r="D2469" t="s">
        <v>4</v>
      </c>
      <c r="E2469" t="s">
        <v>21</v>
      </c>
      <c r="F2469" s="6">
        <v>201351399</v>
      </c>
      <c r="G2469" t="s">
        <v>1130</v>
      </c>
      <c r="H2469" t="s">
        <v>282</v>
      </c>
      <c r="I2469">
        <v>0</v>
      </c>
      <c r="J2469">
        <v>0</v>
      </c>
      <c r="K2469">
        <v>0</v>
      </c>
      <c r="L2469">
        <v>0</v>
      </c>
      <c r="M2469">
        <v>0.3</v>
      </c>
      <c r="N2469" s="7" t="e">
        <f>VLOOKUP(F2469,HC!A$6:D$100,3,FALSE)</f>
        <v>#N/A</v>
      </c>
      <c r="O2469" s="7" t="str">
        <f>VLOOKUP(F2469,HC!A$6:D$1000,2,FALSE)</f>
        <v>aramosmo</v>
      </c>
      <c r="P2469" t="s">
        <v>661</v>
      </c>
      <c r="Q2469" s="7" t="s">
        <v>681</v>
      </c>
      <c r="U2469">
        <f t="shared" si="40"/>
        <v>3</v>
      </c>
    </row>
    <row r="2470" spans="1:21" ht="37.5" customHeight="1" x14ac:dyDescent="0.25">
      <c r="A2470" s="34">
        <v>45126</v>
      </c>
      <c r="B2470" s="13">
        <v>29</v>
      </c>
      <c r="C2470" t="s">
        <v>3</v>
      </c>
      <c r="D2470" t="s">
        <v>4</v>
      </c>
      <c r="E2470" t="s">
        <v>21</v>
      </c>
      <c r="F2470" s="6">
        <v>201360639</v>
      </c>
      <c r="G2470" t="s">
        <v>1142</v>
      </c>
      <c r="H2470" t="s">
        <v>253</v>
      </c>
      <c r="I2470">
        <v>0</v>
      </c>
      <c r="J2470">
        <v>0</v>
      </c>
      <c r="K2470">
        <v>0</v>
      </c>
      <c r="L2470">
        <v>0</v>
      </c>
      <c r="M2470">
        <v>2.75</v>
      </c>
      <c r="N2470" s="7" t="e">
        <f>VLOOKUP(F2470,HC!A$6:D$100,3,FALSE)</f>
        <v>#N/A</v>
      </c>
      <c r="O2470" s="7" t="str">
        <f>VLOOKUP(F2470,HC!A$6:D$1000,2,FALSE)</f>
        <v>riveoyae</v>
      </c>
      <c r="Q2470" s="7"/>
      <c r="U2470">
        <f t="shared" si="40"/>
        <v>6</v>
      </c>
    </row>
    <row r="2471" spans="1:21" ht="37.5" customHeight="1" x14ac:dyDescent="0.25">
      <c r="A2471" s="34">
        <v>45126</v>
      </c>
      <c r="B2471" s="13">
        <v>29</v>
      </c>
      <c r="C2471" t="s">
        <v>3</v>
      </c>
      <c r="D2471" t="s">
        <v>4</v>
      </c>
      <c r="E2471" t="s">
        <v>21</v>
      </c>
      <c r="F2471" s="6">
        <v>201386201</v>
      </c>
      <c r="G2471" t="s">
        <v>1167</v>
      </c>
      <c r="H2471" t="s">
        <v>17</v>
      </c>
      <c r="I2471">
        <v>0</v>
      </c>
      <c r="J2471">
        <v>0</v>
      </c>
      <c r="K2471">
        <v>0</v>
      </c>
      <c r="L2471">
        <v>0</v>
      </c>
      <c r="M2471">
        <v>0.82</v>
      </c>
      <c r="N2471" s="7" t="e">
        <f>VLOOKUP(F2471,HC!A$6:D$100,3,FALSE)</f>
        <v>#N/A</v>
      </c>
      <c r="O2471" s="7" t="str">
        <f>VLOOKUP(F2471,HC!A$6:D$1000,2,FALSE)</f>
        <v>castjanr</v>
      </c>
      <c r="Q2471" s="7"/>
      <c r="U2471">
        <f t="shared" si="40"/>
        <v>11</v>
      </c>
    </row>
    <row r="2472" spans="1:21" ht="37.5" customHeight="1" x14ac:dyDescent="0.25">
      <c r="A2472" s="34">
        <v>45126</v>
      </c>
      <c r="B2472" s="13">
        <v>29</v>
      </c>
      <c r="C2472" t="s">
        <v>3</v>
      </c>
      <c r="D2472" t="s">
        <v>4</v>
      </c>
      <c r="E2472" t="s">
        <v>21</v>
      </c>
      <c r="F2472" s="6">
        <v>201401219</v>
      </c>
      <c r="G2472" t="s">
        <v>1160</v>
      </c>
      <c r="H2472" t="s">
        <v>1040</v>
      </c>
      <c r="I2472">
        <v>0</v>
      </c>
      <c r="J2472">
        <v>0</v>
      </c>
      <c r="K2472">
        <v>0</v>
      </c>
      <c r="L2472">
        <v>0</v>
      </c>
      <c r="M2472">
        <v>0.15</v>
      </c>
      <c r="N2472" s="7" t="e">
        <f>VLOOKUP(F2472,HC!A$6:D$100,3,FALSE)</f>
        <v>#N/A</v>
      </c>
      <c r="O2472" s="7" t="str">
        <f>VLOOKUP(F2472,HC!A$6:D$1000,2,FALSE)</f>
        <v>namorena</v>
      </c>
      <c r="Q2472" s="7"/>
      <c r="U2472">
        <f t="shared" si="40"/>
        <v>5</v>
      </c>
    </row>
    <row r="2473" spans="1:21" ht="37.5" customHeight="1" x14ac:dyDescent="0.25">
      <c r="A2473" s="34">
        <v>45126</v>
      </c>
      <c r="B2473" s="13">
        <v>29</v>
      </c>
      <c r="C2473" t="s">
        <v>3</v>
      </c>
      <c r="D2473" t="s">
        <v>4</v>
      </c>
      <c r="E2473" t="s">
        <v>21</v>
      </c>
      <c r="F2473" s="6">
        <v>201402216</v>
      </c>
      <c r="G2473" t="s">
        <v>1064</v>
      </c>
      <c r="H2473" t="s">
        <v>1040</v>
      </c>
      <c r="I2473">
        <v>0</v>
      </c>
      <c r="J2473">
        <v>0</v>
      </c>
      <c r="K2473">
        <v>0</v>
      </c>
      <c r="L2473">
        <v>0</v>
      </c>
      <c r="M2473">
        <v>0.11</v>
      </c>
      <c r="N2473" s="7" t="e">
        <f>VLOOKUP(F2473,HC!A$6:D$100,3,FALSE)</f>
        <v>#N/A</v>
      </c>
      <c r="O2473" s="7" t="e">
        <f>VLOOKUP(F2473,HC!A$6:D$1000,2,FALSE)</f>
        <v>#N/A</v>
      </c>
      <c r="P2473" t="s">
        <v>661</v>
      </c>
      <c r="Q2473" s="7" t="s">
        <v>759</v>
      </c>
      <c r="U2473">
        <f t="shared" si="40"/>
        <v>1395</v>
      </c>
    </row>
    <row r="2474" spans="1:21" ht="37.5" customHeight="1" x14ac:dyDescent="0.25">
      <c r="A2474" s="34">
        <v>45126</v>
      </c>
      <c r="B2474" s="13">
        <v>29</v>
      </c>
      <c r="C2474" t="s">
        <v>3</v>
      </c>
      <c r="D2474" t="s">
        <v>4</v>
      </c>
      <c r="E2474" t="s">
        <v>21</v>
      </c>
      <c r="F2474" s="6">
        <v>201403431</v>
      </c>
      <c r="G2474" t="s">
        <v>1081</v>
      </c>
      <c r="H2474" t="s">
        <v>7</v>
      </c>
      <c r="I2474">
        <v>0</v>
      </c>
      <c r="J2474">
        <v>0</v>
      </c>
      <c r="K2474">
        <v>0</v>
      </c>
      <c r="L2474">
        <v>0</v>
      </c>
      <c r="M2474">
        <v>0.14000000000000001</v>
      </c>
      <c r="N2474" s="7" t="e">
        <f>VLOOKUP(F2474,HC!A$6:D$100,3,FALSE)</f>
        <v>#N/A</v>
      </c>
      <c r="O2474" s="7" t="e">
        <f>VLOOKUP(F2474,HC!A$6:D$1000,2,FALSE)</f>
        <v>#N/A</v>
      </c>
      <c r="Q2474" s="7"/>
      <c r="U2474">
        <f t="shared" si="40"/>
        <v>1395</v>
      </c>
    </row>
    <row r="2475" spans="1:21" ht="37.5" customHeight="1" x14ac:dyDescent="0.25">
      <c r="A2475" s="34">
        <v>45127</v>
      </c>
      <c r="B2475" s="13">
        <v>29</v>
      </c>
      <c r="C2475" t="s">
        <v>3</v>
      </c>
      <c r="D2475" t="s">
        <v>4</v>
      </c>
      <c r="E2475" t="s">
        <v>5</v>
      </c>
      <c r="F2475" s="6">
        <v>112950800</v>
      </c>
      <c r="G2475" t="s">
        <v>457</v>
      </c>
      <c r="H2475" t="s">
        <v>403</v>
      </c>
      <c r="I2475">
        <v>0</v>
      </c>
      <c r="J2475">
        <v>0</v>
      </c>
      <c r="K2475">
        <v>0</v>
      </c>
      <c r="L2475">
        <v>0</v>
      </c>
      <c r="M2475">
        <v>0.2</v>
      </c>
      <c r="N2475" s="7" t="str">
        <f>VLOOKUP(F2475,HC!A$6:D$100,3,FALSE)</f>
        <v>NF-X1900</v>
      </c>
      <c r="O2475" s="7" t="str">
        <f>VLOOKUP(F2475,HC!A$6:D$1000,2,FALSE)</f>
        <v>virimuni</v>
      </c>
      <c r="P2475" t="s">
        <v>661</v>
      </c>
      <c r="Q2475" s="7" t="s">
        <v>681</v>
      </c>
      <c r="U2475">
        <f t="shared" si="40"/>
        <v>10</v>
      </c>
    </row>
    <row r="2476" spans="1:21" ht="37.5" customHeight="1" x14ac:dyDescent="0.25">
      <c r="A2476" s="34">
        <v>45127</v>
      </c>
      <c r="B2476" s="13">
        <v>29</v>
      </c>
      <c r="C2476" t="s">
        <v>3</v>
      </c>
      <c r="D2476" t="s">
        <v>4</v>
      </c>
      <c r="E2476" t="s">
        <v>5</v>
      </c>
      <c r="F2476" s="6">
        <v>112971962</v>
      </c>
      <c r="G2476" t="s">
        <v>338</v>
      </c>
      <c r="H2476" t="s">
        <v>17</v>
      </c>
      <c r="I2476">
        <v>0</v>
      </c>
      <c r="J2476">
        <v>0</v>
      </c>
      <c r="K2476">
        <v>0</v>
      </c>
      <c r="L2476">
        <v>0</v>
      </c>
      <c r="M2476">
        <v>0.2</v>
      </c>
      <c r="N2476" s="7" t="str">
        <f>VLOOKUP(F2476,HC!A$6:D$100,3,FALSE)</f>
        <v>DB-X0700</v>
      </c>
      <c r="O2476" s="7" t="str">
        <f>VLOOKUP(F2476,HC!A$6:D$1000,2,FALSE)</f>
        <v>creyesal</v>
      </c>
      <c r="P2476" t="s">
        <v>670</v>
      </c>
      <c r="Q2476" s="7" t="s">
        <v>748</v>
      </c>
      <c r="U2476">
        <f t="shared" si="40"/>
        <v>38</v>
      </c>
    </row>
    <row r="2477" spans="1:21" ht="37.5" customHeight="1" x14ac:dyDescent="0.25">
      <c r="A2477" s="34">
        <v>45127</v>
      </c>
      <c r="B2477" s="13">
        <v>29</v>
      </c>
      <c r="C2477" t="s">
        <v>3</v>
      </c>
      <c r="D2477" t="s">
        <v>4</v>
      </c>
      <c r="E2477" t="s">
        <v>5</v>
      </c>
      <c r="F2477" s="6">
        <v>113014042</v>
      </c>
      <c r="G2477" t="s">
        <v>329</v>
      </c>
      <c r="H2477" t="s">
        <v>7</v>
      </c>
      <c r="I2477">
        <v>0</v>
      </c>
      <c r="J2477">
        <v>0</v>
      </c>
      <c r="K2477">
        <v>0</v>
      </c>
      <c r="L2477">
        <v>0</v>
      </c>
      <c r="M2477">
        <v>0.71</v>
      </c>
      <c r="N2477" s="7" t="e">
        <f>VLOOKUP(F2477,HC!A$6:D$100,3,FALSE)</f>
        <v>#N/A</v>
      </c>
      <c r="O2477" s="7" t="str">
        <f>VLOOKUP(F2477,HC!A$6:D$1000,2,FALSE)</f>
        <v>rfcervan</v>
      </c>
      <c r="P2477" t="s">
        <v>675</v>
      </c>
      <c r="Q2477" s="7"/>
      <c r="U2477">
        <f t="shared" si="40"/>
        <v>23</v>
      </c>
    </row>
    <row r="2478" spans="1:21" ht="37.5" customHeight="1" x14ac:dyDescent="0.25">
      <c r="A2478" s="34">
        <v>45127</v>
      </c>
      <c r="B2478" s="13">
        <v>29</v>
      </c>
      <c r="C2478" t="s">
        <v>3</v>
      </c>
      <c r="D2478" t="s">
        <v>4</v>
      </c>
      <c r="E2478" t="s">
        <v>5</v>
      </c>
      <c r="F2478" s="6">
        <v>113014403</v>
      </c>
      <c r="G2478" t="s">
        <v>373</v>
      </c>
      <c r="H2478" t="s">
        <v>298</v>
      </c>
      <c r="I2478">
        <v>0</v>
      </c>
      <c r="J2478">
        <v>0</v>
      </c>
      <c r="K2478">
        <v>0</v>
      </c>
      <c r="L2478">
        <v>0</v>
      </c>
      <c r="M2478">
        <v>1.42</v>
      </c>
      <c r="N2478" s="7" t="e">
        <f>VLOOKUP(F2478,HC!A$6:D$100,3,FALSE)</f>
        <v>#N/A</v>
      </c>
      <c r="O2478" s="7" t="str">
        <f>VLOOKUP(F2478,HC!A$6:D$1000,2,FALSE)</f>
        <v>wnoraria</v>
      </c>
      <c r="P2478" t="s">
        <v>670</v>
      </c>
      <c r="Q2478" s="7" t="s">
        <v>763</v>
      </c>
      <c r="R2478" t="s">
        <v>620</v>
      </c>
      <c r="U2478">
        <f t="shared" si="40"/>
        <v>23</v>
      </c>
    </row>
    <row r="2479" spans="1:21" ht="37.5" customHeight="1" x14ac:dyDescent="0.25">
      <c r="A2479" s="34">
        <v>45127</v>
      </c>
      <c r="B2479" s="13">
        <v>29</v>
      </c>
      <c r="C2479" t="s">
        <v>3</v>
      </c>
      <c r="D2479" t="s">
        <v>4</v>
      </c>
      <c r="E2479" t="s">
        <v>5</v>
      </c>
      <c r="F2479" s="6">
        <v>113020476</v>
      </c>
      <c r="G2479" t="s">
        <v>330</v>
      </c>
      <c r="H2479" t="s">
        <v>7</v>
      </c>
      <c r="I2479">
        <v>0</v>
      </c>
      <c r="J2479">
        <v>0</v>
      </c>
      <c r="K2479">
        <v>0</v>
      </c>
      <c r="L2479">
        <v>0</v>
      </c>
      <c r="M2479">
        <v>0.28000000000000003</v>
      </c>
      <c r="N2479" s="7" t="e">
        <f>VLOOKUP(F2479,HC!A$6:D$100,3,FALSE)</f>
        <v>#N/A</v>
      </c>
      <c r="O2479" s="7" t="str">
        <f>VLOOKUP(F2479,HC!A$6:D$1000,2,FALSE)</f>
        <v>polettpu</v>
      </c>
      <c r="P2479" t="s">
        <v>675</v>
      </c>
      <c r="Q2479" s="7"/>
      <c r="U2479">
        <f t="shared" si="40"/>
        <v>55</v>
      </c>
    </row>
    <row r="2480" spans="1:21" ht="37.5" customHeight="1" x14ac:dyDescent="0.25">
      <c r="A2480" s="34">
        <v>45127</v>
      </c>
      <c r="B2480" s="13">
        <v>29</v>
      </c>
      <c r="C2480" t="s">
        <v>3</v>
      </c>
      <c r="D2480" t="s">
        <v>4</v>
      </c>
      <c r="E2480" t="s">
        <v>5</v>
      </c>
      <c r="F2480" s="6">
        <v>200552734</v>
      </c>
      <c r="G2480" t="s">
        <v>492</v>
      </c>
      <c r="H2480" t="s">
        <v>7</v>
      </c>
      <c r="I2480">
        <v>0</v>
      </c>
      <c r="J2480">
        <v>0</v>
      </c>
      <c r="K2480">
        <v>0</v>
      </c>
      <c r="L2480">
        <v>0</v>
      </c>
      <c r="M2480">
        <v>0.42</v>
      </c>
      <c r="N2480" s="7" t="e">
        <f>VLOOKUP(F2480,HC!A$6:D$100,3,FALSE)</f>
        <v>#N/A</v>
      </c>
      <c r="O2480" s="7" t="e">
        <f>VLOOKUP(F2480,HC!A$6:D$1000,2,FALSE)</f>
        <v>#N/A</v>
      </c>
      <c r="P2480" t="s">
        <v>664</v>
      </c>
      <c r="Q2480" s="7" t="s">
        <v>717</v>
      </c>
      <c r="U2480">
        <f t="shared" si="40"/>
        <v>1395</v>
      </c>
    </row>
    <row r="2481" spans="1:21" ht="37.5" customHeight="1" x14ac:dyDescent="0.25">
      <c r="A2481" s="34">
        <v>45127</v>
      </c>
      <c r="B2481" s="13">
        <v>29</v>
      </c>
      <c r="C2481" t="s">
        <v>3</v>
      </c>
      <c r="D2481" t="s">
        <v>4</v>
      </c>
      <c r="E2481" t="s">
        <v>5</v>
      </c>
      <c r="F2481" s="6">
        <v>200562154</v>
      </c>
      <c r="G2481" t="s">
        <v>437</v>
      </c>
      <c r="H2481" t="s">
        <v>49</v>
      </c>
      <c r="I2481">
        <v>0</v>
      </c>
      <c r="J2481">
        <v>0</v>
      </c>
      <c r="K2481">
        <v>0</v>
      </c>
      <c r="L2481">
        <v>0</v>
      </c>
      <c r="M2481">
        <v>0.45</v>
      </c>
      <c r="N2481" s="7" t="e">
        <f>VLOOKUP(F2481,HC!A$6:D$100,3,FALSE)</f>
        <v>#N/A</v>
      </c>
      <c r="O2481" s="7" t="str">
        <f>VLOOKUP(F2481,HC!A$6:D$1000,2,FALSE)</f>
        <v>reyesmcw</v>
      </c>
      <c r="P2481" t="s">
        <v>675</v>
      </c>
      <c r="Q2481" s="7"/>
      <c r="U2481">
        <f t="shared" si="40"/>
        <v>38</v>
      </c>
    </row>
    <row r="2482" spans="1:21" ht="37.5" customHeight="1" x14ac:dyDescent="0.25">
      <c r="A2482" s="34">
        <v>45127</v>
      </c>
      <c r="B2482" s="13">
        <v>29</v>
      </c>
      <c r="C2482" t="s">
        <v>3</v>
      </c>
      <c r="D2482" t="s">
        <v>4</v>
      </c>
      <c r="E2482" t="s">
        <v>21</v>
      </c>
      <c r="F2482" s="6">
        <v>201159033</v>
      </c>
      <c r="G2482" t="s">
        <v>1154</v>
      </c>
      <c r="H2482" t="s">
        <v>49</v>
      </c>
      <c r="I2482">
        <v>0</v>
      </c>
      <c r="J2482">
        <v>0</v>
      </c>
      <c r="K2482">
        <v>0</v>
      </c>
      <c r="L2482">
        <v>0</v>
      </c>
      <c r="M2482">
        <v>0.5</v>
      </c>
      <c r="N2482" s="7" t="e">
        <f>VLOOKUP(F2482,HC!A$6:D$100,3,FALSE)</f>
        <v>#N/A</v>
      </c>
      <c r="O2482" s="7" t="str">
        <f>VLOOKUP(F2482,HC!A$6:D$1000,2,FALSE)</f>
        <v>monsarru</v>
      </c>
      <c r="P2482" t="s">
        <v>661</v>
      </c>
      <c r="Q2482" s="7" t="s">
        <v>684</v>
      </c>
      <c r="U2482">
        <f t="shared" si="40"/>
        <v>7</v>
      </c>
    </row>
    <row r="2483" spans="1:21" ht="37.5" customHeight="1" x14ac:dyDescent="0.25">
      <c r="A2483" s="34">
        <v>45127</v>
      </c>
      <c r="B2483" s="13">
        <v>29</v>
      </c>
      <c r="C2483" t="s">
        <v>3</v>
      </c>
      <c r="D2483" t="s">
        <v>4</v>
      </c>
      <c r="E2483" t="s">
        <v>21</v>
      </c>
      <c r="F2483" s="6">
        <v>201191390</v>
      </c>
      <c r="G2483" t="s">
        <v>916</v>
      </c>
      <c r="H2483" t="s">
        <v>7</v>
      </c>
      <c r="I2483">
        <v>0</v>
      </c>
      <c r="J2483">
        <v>0</v>
      </c>
      <c r="K2483">
        <v>0</v>
      </c>
      <c r="L2483">
        <v>0</v>
      </c>
      <c r="M2483">
        <v>0.13</v>
      </c>
      <c r="N2483" s="7" t="e">
        <f>VLOOKUP(F2483,HC!A$6:D$100,3,FALSE)</f>
        <v>#N/A</v>
      </c>
      <c r="O2483" s="7" t="str">
        <f>VLOOKUP(F2483,HC!A$6:D$1000,2,FALSE)</f>
        <v>bgajesus</v>
      </c>
      <c r="P2483" t="s">
        <v>661</v>
      </c>
      <c r="Q2483" s="7" t="s">
        <v>684</v>
      </c>
      <c r="U2483">
        <f t="shared" si="40"/>
        <v>37</v>
      </c>
    </row>
    <row r="2484" spans="1:21" ht="37.5" customHeight="1" x14ac:dyDescent="0.25">
      <c r="A2484" s="34">
        <v>45127</v>
      </c>
      <c r="B2484" s="13">
        <v>29</v>
      </c>
      <c r="C2484" t="s">
        <v>3</v>
      </c>
      <c r="D2484" t="s">
        <v>4</v>
      </c>
      <c r="E2484" t="s">
        <v>21</v>
      </c>
      <c r="F2484" s="6">
        <v>201341822</v>
      </c>
      <c r="G2484" t="s">
        <v>989</v>
      </c>
      <c r="H2484" t="s">
        <v>49</v>
      </c>
      <c r="I2484">
        <v>0</v>
      </c>
      <c r="J2484">
        <v>0</v>
      </c>
      <c r="K2484">
        <v>0</v>
      </c>
      <c r="L2484">
        <v>0</v>
      </c>
      <c r="M2484">
        <v>0.14000000000000001</v>
      </c>
      <c r="N2484" s="7" t="e">
        <f>VLOOKUP(F2484,HC!A$6:D$100,3,FALSE)</f>
        <v>#N/A</v>
      </c>
      <c r="O2484" s="7" t="e">
        <f>VLOOKUP(F2484,HC!A$6:D$1000,2,FALSE)</f>
        <v>#N/A</v>
      </c>
      <c r="P2484" t="s">
        <v>664</v>
      </c>
      <c r="Q2484" s="7" t="s">
        <v>708</v>
      </c>
      <c r="U2484">
        <f t="shared" si="40"/>
        <v>1395</v>
      </c>
    </row>
    <row r="2485" spans="1:21" ht="37.5" customHeight="1" x14ac:dyDescent="0.25">
      <c r="A2485" s="34">
        <v>45127</v>
      </c>
      <c r="B2485" s="13">
        <v>29</v>
      </c>
      <c r="C2485" t="s">
        <v>3</v>
      </c>
      <c r="D2485" t="s">
        <v>4</v>
      </c>
      <c r="E2485" t="s">
        <v>21</v>
      </c>
      <c r="F2485" s="6">
        <v>201345774</v>
      </c>
      <c r="G2485" t="s">
        <v>1070</v>
      </c>
      <c r="H2485" t="s">
        <v>44</v>
      </c>
      <c r="I2485">
        <v>0</v>
      </c>
      <c r="J2485">
        <v>0</v>
      </c>
      <c r="K2485">
        <v>0</v>
      </c>
      <c r="L2485">
        <v>0</v>
      </c>
      <c r="M2485">
        <v>0.56000000000000005</v>
      </c>
      <c r="N2485" s="7" t="e">
        <f>VLOOKUP(F2485,HC!A$6:D$100,3,FALSE)</f>
        <v>#N/A</v>
      </c>
      <c r="O2485" s="7" t="str">
        <f>VLOOKUP(F2485,HC!A$6:D$1000,2,FALSE)</f>
        <v>jonquija</v>
      </c>
      <c r="P2485" t="s">
        <v>662</v>
      </c>
      <c r="Q2485" s="7" t="s">
        <v>691</v>
      </c>
      <c r="U2485">
        <f t="shared" si="40"/>
        <v>19</v>
      </c>
    </row>
    <row r="2486" spans="1:21" ht="37.5" customHeight="1" x14ac:dyDescent="0.25">
      <c r="A2486" s="34">
        <v>45127</v>
      </c>
      <c r="B2486" s="13">
        <v>29</v>
      </c>
      <c r="C2486" t="s">
        <v>3</v>
      </c>
      <c r="D2486" t="s">
        <v>4</v>
      </c>
      <c r="E2486" t="s">
        <v>21</v>
      </c>
      <c r="F2486" s="6">
        <v>201360639</v>
      </c>
      <c r="G2486" t="s">
        <v>1142</v>
      </c>
      <c r="H2486" t="s">
        <v>253</v>
      </c>
      <c r="I2486">
        <v>0</v>
      </c>
      <c r="J2486">
        <v>0</v>
      </c>
      <c r="K2486">
        <v>0</v>
      </c>
      <c r="L2486">
        <v>0</v>
      </c>
      <c r="M2486">
        <v>0.13</v>
      </c>
      <c r="N2486" s="7" t="e">
        <f>VLOOKUP(F2486,HC!A$6:D$100,3,FALSE)</f>
        <v>#N/A</v>
      </c>
      <c r="O2486" s="7" t="str">
        <f>VLOOKUP(F2486,HC!A$6:D$1000,2,FALSE)</f>
        <v>riveoyae</v>
      </c>
      <c r="P2486" t="s">
        <v>662</v>
      </c>
      <c r="Q2486" s="7" t="s">
        <v>757</v>
      </c>
      <c r="U2486">
        <f t="shared" si="40"/>
        <v>6</v>
      </c>
    </row>
    <row r="2487" spans="1:21" ht="37.5" customHeight="1" x14ac:dyDescent="0.25">
      <c r="A2487" s="34">
        <v>45127</v>
      </c>
      <c r="B2487" s="13">
        <v>29</v>
      </c>
      <c r="C2487" t="s">
        <v>3</v>
      </c>
      <c r="D2487" t="s">
        <v>4</v>
      </c>
      <c r="E2487" t="s">
        <v>21</v>
      </c>
      <c r="F2487" s="6">
        <v>201386201</v>
      </c>
      <c r="G2487" t="s">
        <v>1167</v>
      </c>
      <c r="H2487" t="s">
        <v>17</v>
      </c>
      <c r="I2487">
        <v>0</v>
      </c>
      <c r="J2487">
        <v>0</v>
      </c>
      <c r="K2487">
        <v>0</v>
      </c>
      <c r="L2487">
        <v>0</v>
      </c>
      <c r="M2487">
        <v>0.1</v>
      </c>
      <c r="N2487" s="7" t="e">
        <f>VLOOKUP(F2487,HC!A$6:D$100,3,FALSE)</f>
        <v>#N/A</v>
      </c>
      <c r="O2487" s="7" t="str">
        <f>VLOOKUP(F2487,HC!A$6:D$1000,2,FALSE)</f>
        <v>castjanr</v>
      </c>
      <c r="P2487" t="s">
        <v>661</v>
      </c>
      <c r="Q2487" s="7" t="s">
        <v>681</v>
      </c>
      <c r="U2487">
        <f t="shared" si="40"/>
        <v>11</v>
      </c>
    </row>
    <row r="2488" spans="1:21" ht="37.5" customHeight="1" x14ac:dyDescent="0.25">
      <c r="A2488" s="34">
        <v>45127</v>
      </c>
      <c r="B2488" s="13">
        <v>29</v>
      </c>
      <c r="C2488" t="s">
        <v>3</v>
      </c>
      <c r="D2488" t="s">
        <v>4</v>
      </c>
      <c r="E2488" t="s">
        <v>21</v>
      </c>
      <c r="F2488" s="6">
        <v>201403462</v>
      </c>
      <c r="G2488" t="s">
        <v>1054</v>
      </c>
      <c r="H2488" t="s">
        <v>49</v>
      </c>
      <c r="I2488">
        <v>0</v>
      </c>
      <c r="J2488">
        <v>0</v>
      </c>
      <c r="K2488">
        <v>0</v>
      </c>
      <c r="L2488">
        <v>0</v>
      </c>
      <c r="M2488">
        <v>0.15</v>
      </c>
      <c r="N2488" s="7" t="e">
        <f>VLOOKUP(F2488,HC!A$6:D$100,3,FALSE)</f>
        <v>#N/A</v>
      </c>
      <c r="O2488" s="7" t="str">
        <f>VLOOKUP(F2488,HC!A$6:D$1000,2,FALSE)</f>
        <v>valdojoe</v>
      </c>
      <c r="P2488" t="s">
        <v>664</v>
      </c>
      <c r="Q2488" s="7" t="s">
        <v>710</v>
      </c>
      <c r="U2488">
        <f t="shared" si="40"/>
        <v>22</v>
      </c>
    </row>
    <row r="2489" spans="1:21" ht="37.5" customHeight="1" x14ac:dyDescent="0.25">
      <c r="A2489" s="34">
        <v>45128</v>
      </c>
      <c r="B2489" s="13">
        <v>29</v>
      </c>
      <c r="C2489" t="s">
        <v>3</v>
      </c>
      <c r="D2489" t="s">
        <v>4</v>
      </c>
      <c r="E2489" t="s">
        <v>21</v>
      </c>
      <c r="F2489" s="6">
        <v>112912747</v>
      </c>
      <c r="G2489" t="s">
        <v>995</v>
      </c>
      <c r="H2489" t="s">
        <v>263</v>
      </c>
      <c r="I2489">
        <v>0</v>
      </c>
      <c r="J2489">
        <v>0</v>
      </c>
      <c r="K2489">
        <v>0</v>
      </c>
      <c r="L2489">
        <v>0</v>
      </c>
      <c r="M2489">
        <v>0.42</v>
      </c>
      <c r="N2489" s="7" t="e">
        <f>VLOOKUP(F2489,HC!A$6:D$100,3,FALSE)</f>
        <v>#N/A</v>
      </c>
      <c r="O2489" s="7" t="e">
        <f>VLOOKUP(F2489,HC!A$6:D$1000,2,FALSE)</f>
        <v>#N/A</v>
      </c>
      <c r="P2489" t="s">
        <v>664</v>
      </c>
      <c r="Q2489" t="s">
        <v>708</v>
      </c>
      <c r="R2489" t="s">
        <v>1169</v>
      </c>
      <c r="U2489">
        <f t="shared" si="40"/>
        <v>1395</v>
      </c>
    </row>
    <row r="2490" spans="1:21" ht="37.5" customHeight="1" x14ac:dyDescent="0.25">
      <c r="A2490" s="34">
        <v>45128</v>
      </c>
      <c r="B2490" s="13">
        <v>29</v>
      </c>
      <c r="C2490" t="s">
        <v>3</v>
      </c>
      <c r="D2490" t="s">
        <v>4</v>
      </c>
      <c r="E2490" t="s">
        <v>5</v>
      </c>
      <c r="F2490" s="6">
        <v>112971953</v>
      </c>
      <c r="G2490" t="s">
        <v>262</v>
      </c>
      <c r="H2490" t="s">
        <v>282</v>
      </c>
      <c r="I2490">
        <v>0</v>
      </c>
      <c r="J2490">
        <v>0</v>
      </c>
      <c r="K2490">
        <v>0</v>
      </c>
      <c r="L2490">
        <v>0</v>
      </c>
      <c r="M2490">
        <v>5.55</v>
      </c>
      <c r="N2490" s="7" t="str">
        <f>VLOOKUP(F2490,HC!A$6:D$100,3,FALSE)</f>
        <v>DB-X0700</v>
      </c>
      <c r="O2490" s="7" t="str">
        <f>VLOOKUP(F2490,HC!A$6:D$1000,2,FALSE)</f>
        <v>anzpalom</v>
      </c>
      <c r="P2490" t="s">
        <v>661</v>
      </c>
      <c r="Q2490" t="s">
        <v>684</v>
      </c>
      <c r="U2490">
        <f t="shared" si="40"/>
        <v>14</v>
      </c>
    </row>
    <row r="2491" spans="1:21" ht="37.5" customHeight="1" x14ac:dyDescent="0.25">
      <c r="A2491" s="34">
        <v>45128</v>
      </c>
      <c r="B2491" s="13">
        <v>29</v>
      </c>
      <c r="C2491" t="s">
        <v>3</v>
      </c>
      <c r="D2491" t="s">
        <v>4</v>
      </c>
      <c r="E2491" t="s">
        <v>5</v>
      </c>
      <c r="F2491" s="6">
        <v>112971962</v>
      </c>
      <c r="G2491" t="s">
        <v>338</v>
      </c>
      <c r="H2491" t="s">
        <v>17</v>
      </c>
      <c r="I2491">
        <v>0</v>
      </c>
      <c r="J2491">
        <v>0</v>
      </c>
      <c r="K2491">
        <v>0</v>
      </c>
      <c r="L2491">
        <v>0</v>
      </c>
      <c r="M2491">
        <v>0.3</v>
      </c>
      <c r="N2491" s="7" t="str">
        <f>VLOOKUP(F2491,HC!A$6:D$100,3,FALSE)</f>
        <v>DB-X0700</v>
      </c>
      <c r="O2491" s="7" t="str">
        <f>VLOOKUP(F2491,HC!A$6:D$1000,2,FALSE)</f>
        <v>creyesal</v>
      </c>
      <c r="P2491" t="s">
        <v>670</v>
      </c>
      <c r="R2491" t="s">
        <v>1170</v>
      </c>
      <c r="U2491">
        <f t="shared" si="40"/>
        <v>38</v>
      </c>
    </row>
    <row r="2492" spans="1:21" ht="37.5" customHeight="1" x14ac:dyDescent="0.25">
      <c r="A2492" s="34">
        <v>45128</v>
      </c>
      <c r="B2492" s="13">
        <v>29</v>
      </c>
      <c r="C2492" t="s">
        <v>3</v>
      </c>
      <c r="D2492" t="s">
        <v>4</v>
      </c>
      <c r="E2492" t="s">
        <v>5</v>
      </c>
      <c r="F2492" s="6">
        <v>200562154</v>
      </c>
      <c r="G2492" t="s">
        <v>437</v>
      </c>
      <c r="H2492" t="s">
        <v>49</v>
      </c>
      <c r="I2492">
        <v>0</v>
      </c>
      <c r="J2492">
        <v>0</v>
      </c>
      <c r="K2492">
        <v>0</v>
      </c>
      <c r="L2492">
        <v>0</v>
      </c>
      <c r="M2492">
        <v>0.42</v>
      </c>
      <c r="N2492" s="7" t="e">
        <f>VLOOKUP(F2492,HC!A$6:D$100,3,FALSE)</f>
        <v>#N/A</v>
      </c>
      <c r="O2492" s="7" t="str">
        <f>VLOOKUP(F2492,HC!A$6:D$1000,2,FALSE)</f>
        <v>reyesmcw</v>
      </c>
      <c r="P2492" t="s">
        <v>675</v>
      </c>
      <c r="U2492">
        <f t="shared" si="40"/>
        <v>38</v>
      </c>
    </row>
    <row r="2493" spans="1:21" ht="37.5" customHeight="1" x14ac:dyDescent="0.25">
      <c r="A2493" s="34">
        <v>45128</v>
      </c>
      <c r="B2493" s="13">
        <v>29</v>
      </c>
      <c r="C2493" t="s">
        <v>3</v>
      </c>
      <c r="D2493" t="s">
        <v>4</v>
      </c>
      <c r="E2493" t="s">
        <v>21</v>
      </c>
      <c r="F2493" s="6">
        <v>201345737</v>
      </c>
      <c r="G2493" t="s">
        <v>1083</v>
      </c>
      <c r="H2493" t="s">
        <v>17</v>
      </c>
      <c r="I2493">
        <v>0</v>
      </c>
      <c r="J2493">
        <v>0</v>
      </c>
      <c r="K2493">
        <v>0</v>
      </c>
      <c r="L2493">
        <v>0</v>
      </c>
      <c r="M2493">
        <v>0.22</v>
      </c>
      <c r="N2493" s="7" t="e">
        <f>VLOOKUP(F2493,HC!A$6:D$100,3,FALSE)</f>
        <v>#N/A</v>
      </c>
      <c r="O2493" s="7" t="str">
        <f>VLOOKUP(F2493,HC!A$6:D$1000,2,FALSE)</f>
        <v>upacoros</v>
      </c>
      <c r="P2493" t="s">
        <v>662</v>
      </c>
      <c r="Q2493" t="s">
        <v>702</v>
      </c>
      <c r="U2493">
        <f t="shared" si="40"/>
        <v>11</v>
      </c>
    </row>
    <row r="2494" spans="1:21" ht="37.5" customHeight="1" x14ac:dyDescent="0.25">
      <c r="A2494" s="34">
        <v>45128</v>
      </c>
      <c r="B2494" s="13">
        <v>29</v>
      </c>
      <c r="C2494" t="s">
        <v>3</v>
      </c>
      <c r="D2494" t="s">
        <v>4</v>
      </c>
      <c r="E2494" t="s">
        <v>21</v>
      </c>
      <c r="F2494" s="6">
        <v>201353234</v>
      </c>
      <c r="G2494" t="s">
        <v>1168</v>
      </c>
      <c r="H2494" t="s">
        <v>282</v>
      </c>
      <c r="I2494">
        <v>0</v>
      </c>
      <c r="J2494">
        <v>0</v>
      </c>
      <c r="K2494">
        <v>0</v>
      </c>
      <c r="L2494">
        <v>0</v>
      </c>
      <c r="M2494">
        <v>0.3</v>
      </c>
      <c r="N2494" s="7" t="e">
        <f>VLOOKUP(F2494,HC!A$6:D$100,3,FALSE)</f>
        <v>#N/A</v>
      </c>
      <c r="O2494" s="7" t="str">
        <f>VLOOKUP(F2494,HC!A$6:D$1000,2,FALSE)</f>
        <v>paeramon</v>
      </c>
      <c r="P2494" t="s">
        <v>661</v>
      </c>
      <c r="Q2494" t="s">
        <v>681</v>
      </c>
      <c r="U2494">
        <f t="shared" si="40"/>
        <v>6</v>
      </c>
    </row>
    <row r="2495" spans="1:21" ht="37.5" customHeight="1" x14ac:dyDescent="0.25">
      <c r="A2495" s="34">
        <v>45129</v>
      </c>
      <c r="B2495" s="13">
        <v>29</v>
      </c>
      <c r="C2495" t="s">
        <v>3</v>
      </c>
      <c r="D2495" t="s">
        <v>4</v>
      </c>
      <c r="E2495" t="s">
        <v>5</v>
      </c>
      <c r="F2495" s="6">
        <v>112912054</v>
      </c>
      <c r="G2495" t="s">
        <v>333</v>
      </c>
      <c r="H2495" t="s">
        <v>282</v>
      </c>
      <c r="I2495">
        <v>0</v>
      </c>
      <c r="J2495">
        <v>0</v>
      </c>
      <c r="K2495">
        <v>0</v>
      </c>
      <c r="L2495">
        <v>0</v>
      </c>
      <c r="M2495">
        <v>0.17</v>
      </c>
      <c r="N2495" s="7" t="str">
        <f>VLOOKUP(F2495,HC!A$6:D$100,3,FALSE)</f>
        <v>DB-X0700</v>
      </c>
      <c r="O2495" s="7" t="str">
        <f>VLOOKUP(F2495,HC!A$6:D$1000,2,FALSE)</f>
        <v>privejor</v>
      </c>
      <c r="P2495" t="s">
        <v>661</v>
      </c>
      <c r="Q2495" t="s">
        <v>684</v>
      </c>
      <c r="U2495">
        <f t="shared" si="40"/>
        <v>14</v>
      </c>
    </row>
    <row r="2496" spans="1:21" ht="37.5" customHeight="1" x14ac:dyDescent="0.25">
      <c r="A2496" s="34">
        <v>45129</v>
      </c>
      <c r="B2496" s="13">
        <v>29</v>
      </c>
      <c r="C2496" t="s">
        <v>3</v>
      </c>
      <c r="D2496" t="s">
        <v>4</v>
      </c>
      <c r="E2496" t="s">
        <v>21</v>
      </c>
      <c r="F2496" s="6">
        <v>112912747</v>
      </c>
      <c r="G2496" t="s">
        <v>995</v>
      </c>
      <c r="H2496" t="s">
        <v>263</v>
      </c>
      <c r="I2496">
        <v>0</v>
      </c>
      <c r="J2496">
        <v>0</v>
      </c>
      <c r="K2496">
        <v>0</v>
      </c>
      <c r="L2496">
        <v>0</v>
      </c>
      <c r="M2496">
        <v>0.95</v>
      </c>
      <c r="N2496" s="7" t="e">
        <f>VLOOKUP(F2496,HC!A$6:D$100,3,FALSE)</f>
        <v>#N/A</v>
      </c>
      <c r="O2496" s="7" t="e">
        <f>VLOOKUP(F2496,HC!A$6:D$1000,2,FALSE)</f>
        <v>#N/A</v>
      </c>
      <c r="P2496" t="s">
        <v>665</v>
      </c>
      <c r="Q2496" t="s">
        <v>722</v>
      </c>
      <c r="U2496">
        <f t="shared" si="40"/>
        <v>1395</v>
      </c>
    </row>
    <row r="2497" spans="1:21" ht="37.5" customHeight="1" x14ac:dyDescent="0.25">
      <c r="A2497" s="34">
        <v>45129</v>
      </c>
      <c r="B2497" s="13">
        <v>29</v>
      </c>
      <c r="C2497" t="s">
        <v>3</v>
      </c>
      <c r="D2497" t="s">
        <v>4</v>
      </c>
      <c r="E2497" t="s">
        <v>5</v>
      </c>
      <c r="F2497" s="6">
        <v>112916534</v>
      </c>
      <c r="G2497" t="s">
        <v>425</v>
      </c>
      <c r="H2497" t="s">
        <v>49</v>
      </c>
      <c r="I2497">
        <v>0</v>
      </c>
      <c r="J2497">
        <v>0</v>
      </c>
      <c r="K2497">
        <v>0</v>
      </c>
      <c r="L2497">
        <v>0</v>
      </c>
      <c r="M2497">
        <v>1.23</v>
      </c>
      <c r="N2497" s="7" t="str">
        <f>VLOOKUP(F2497,HC!A$6:D$100,3,FALSE)</f>
        <v>DB-X0700</v>
      </c>
      <c r="O2497" s="7" t="str">
        <f>VLOOKUP(F2497,HC!A$6:D$1000,2,FALSE)</f>
        <v>earelili</v>
      </c>
      <c r="P2497" t="s">
        <v>664</v>
      </c>
      <c r="Q2497" t="s">
        <v>716</v>
      </c>
      <c r="U2497">
        <f t="shared" si="40"/>
        <v>15</v>
      </c>
    </row>
    <row r="2498" spans="1:21" ht="37.5" customHeight="1" x14ac:dyDescent="0.25">
      <c r="A2498" s="34">
        <v>45129</v>
      </c>
      <c r="B2498" s="13">
        <v>29</v>
      </c>
      <c r="C2498" t="s">
        <v>3</v>
      </c>
      <c r="D2498" t="s">
        <v>4</v>
      </c>
      <c r="E2498" t="s">
        <v>5</v>
      </c>
      <c r="F2498" s="6">
        <v>112972524</v>
      </c>
      <c r="G2498" t="s">
        <v>312</v>
      </c>
      <c r="H2498" t="s">
        <v>250</v>
      </c>
      <c r="I2498">
        <v>0</v>
      </c>
      <c r="J2498">
        <v>0</v>
      </c>
      <c r="K2498">
        <v>0</v>
      </c>
      <c r="L2498">
        <v>0</v>
      </c>
      <c r="M2498">
        <v>0.25</v>
      </c>
      <c r="N2498" s="7" t="str">
        <f>VLOOKUP(F2498,HC!A$6:D$100,3,FALSE)</f>
        <v>DB-X0700</v>
      </c>
      <c r="O2498" s="7" t="str">
        <f>VLOOKUP(F2498,HC!A$6:D$1000,2,FALSE)</f>
        <v>csantibl</v>
      </c>
      <c r="P2498" t="s">
        <v>663</v>
      </c>
      <c r="Q2498" t="s">
        <v>692</v>
      </c>
      <c r="U2498">
        <f t="shared" si="40"/>
        <v>17</v>
      </c>
    </row>
    <row r="2499" spans="1:21" ht="37.5" customHeight="1" x14ac:dyDescent="0.25">
      <c r="A2499" s="34">
        <v>45129</v>
      </c>
      <c r="B2499" s="13">
        <v>29</v>
      </c>
      <c r="C2499" t="s">
        <v>3</v>
      </c>
      <c r="D2499" t="s">
        <v>4</v>
      </c>
      <c r="E2499" t="s">
        <v>21</v>
      </c>
      <c r="F2499" s="6">
        <v>200525930</v>
      </c>
      <c r="G2499" t="s">
        <v>1108</v>
      </c>
      <c r="H2499" t="s">
        <v>47</v>
      </c>
      <c r="I2499">
        <v>0</v>
      </c>
      <c r="J2499">
        <v>0</v>
      </c>
      <c r="K2499">
        <v>0</v>
      </c>
      <c r="L2499">
        <v>0</v>
      </c>
      <c r="M2499">
        <v>0.36</v>
      </c>
      <c r="N2499" s="7" t="e">
        <f>VLOOKUP(F2499,HC!A$6:D$100,3,FALSE)</f>
        <v>#N/A</v>
      </c>
      <c r="O2499" s="7" t="e">
        <f>VLOOKUP(F2499,HC!A$6:D$1000,2,FALSE)</f>
        <v>#N/A</v>
      </c>
      <c r="P2499" t="s">
        <v>661</v>
      </c>
      <c r="Q2499" t="s">
        <v>681</v>
      </c>
      <c r="U2499">
        <f t="shared" ref="U2499:U2562" si="41">COUNTIF(O$2:O$4999,O2499)</f>
        <v>1395</v>
      </c>
    </row>
    <row r="2500" spans="1:21" ht="37.5" customHeight="1" x14ac:dyDescent="0.25">
      <c r="A2500" s="34">
        <v>45129</v>
      </c>
      <c r="B2500" s="13">
        <v>29</v>
      </c>
      <c r="C2500" t="s">
        <v>3</v>
      </c>
      <c r="D2500" t="s">
        <v>4</v>
      </c>
      <c r="E2500" t="s">
        <v>5</v>
      </c>
      <c r="F2500" s="6">
        <v>200562154</v>
      </c>
      <c r="G2500" t="s">
        <v>437</v>
      </c>
      <c r="H2500" t="s">
        <v>49</v>
      </c>
      <c r="I2500">
        <v>0</v>
      </c>
      <c r="J2500">
        <v>0</v>
      </c>
      <c r="K2500">
        <v>0</v>
      </c>
      <c r="L2500">
        <v>0</v>
      </c>
      <c r="M2500">
        <v>0.37</v>
      </c>
      <c r="N2500" s="7" t="e">
        <f>VLOOKUP(F2500,HC!A$6:D$100,3,FALSE)</f>
        <v>#N/A</v>
      </c>
      <c r="O2500" s="7" t="str">
        <f>VLOOKUP(F2500,HC!A$6:D$1000,2,FALSE)</f>
        <v>reyesmcw</v>
      </c>
      <c r="P2500" t="s">
        <v>661</v>
      </c>
      <c r="Q2500" t="s">
        <v>681</v>
      </c>
      <c r="U2500">
        <f t="shared" si="41"/>
        <v>38</v>
      </c>
    </row>
    <row r="2501" spans="1:21" ht="37.5" customHeight="1" x14ac:dyDescent="0.25">
      <c r="A2501" s="34">
        <v>45129</v>
      </c>
      <c r="B2501" s="13">
        <v>29</v>
      </c>
      <c r="C2501" t="s">
        <v>3</v>
      </c>
      <c r="D2501" t="s">
        <v>4</v>
      </c>
      <c r="E2501" t="s">
        <v>21</v>
      </c>
      <c r="F2501" s="6">
        <v>201374875</v>
      </c>
      <c r="G2501" t="s">
        <v>1088</v>
      </c>
      <c r="H2501" t="s">
        <v>263</v>
      </c>
      <c r="I2501">
        <v>0</v>
      </c>
      <c r="J2501">
        <v>0</v>
      </c>
      <c r="K2501">
        <v>0</v>
      </c>
      <c r="L2501">
        <v>0</v>
      </c>
      <c r="M2501">
        <v>0.27</v>
      </c>
      <c r="N2501" s="7" t="e">
        <f>VLOOKUP(F2501,HC!A$6:D$100,3,FALSE)</f>
        <v>#N/A</v>
      </c>
      <c r="O2501" s="7" t="e">
        <f>VLOOKUP(F2501,HC!A$6:D$1000,2,FALSE)</f>
        <v>#N/A</v>
      </c>
      <c r="P2501" t="s">
        <v>661</v>
      </c>
      <c r="Q2501" t="s">
        <v>681</v>
      </c>
      <c r="U2501">
        <f t="shared" si="41"/>
        <v>1395</v>
      </c>
    </row>
    <row r="2502" spans="1:21" ht="37.5" customHeight="1" x14ac:dyDescent="0.25">
      <c r="A2502" s="34">
        <v>45129</v>
      </c>
      <c r="B2502" s="13">
        <v>29</v>
      </c>
      <c r="C2502" t="s">
        <v>3</v>
      </c>
      <c r="D2502" t="s">
        <v>4</v>
      </c>
      <c r="E2502" t="s">
        <v>21</v>
      </c>
      <c r="F2502" s="6">
        <v>201408141</v>
      </c>
      <c r="G2502" t="s">
        <v>1113</v>
      </c>
      <c r="H2502" t="s">
        <v>17</v>
      </c>
      <c r="I2502">
        <v>0</v>
      </c>
      <c r="J2502">
        <v>0</v>
      </c>
      <c r="K2502">
        <v>0</v>
      </c>
      <c r="L2502">
        <v>0</v>
      </c>
      <c r="M2502">
        <v>0.4</v>
      </c>
      <c r="N2502" s="7" t="e">
        <f>VLOOKUP(F2502,HC!A$6:D$100,3,FALSE)</f>
        <v>#N/A</v>
      </c>
      <c r="O2502" s="7" t="str">
        <f>VLOOKUP(F2502,HC!A$6:D$1000,2,FALSE)</f>
        <v>alberlug</v>
      </c>
      <c r="U2502">
        <f t="shared" si="41"/>
        <v>3</v>
      </c>
    </row>
    <row r="2503" spans="1:21" ht="37.5" customHeight="1" x14ac:dyDescent="0.25">
      <c r="A2503" s="34">
        <v>45130</v>
      </c>
      <c r="B2503" s="13">
        <v>30</v>
      </c>
      <c r="C2503" t="s">
        <v>3</v>
      </c>
      <c r="D2503" t="s">
        <v>4</v>
      </c>
      <c r="E2503" t="s">
        <v>21</v>
      </c>
      <c r="F2503" s="6">
        <v>112912067</v>
      </c>
      <c r="G2503" t="s">
        <v>921</v>
      </c>
      <c r="H2503" t="s">
        <v>44</v>
      </c>
      <c r="I2503">
        <v>0</v>
      </c>
      <c r="J2503">
        <v>0</v>
      </c>
      <c r="K2503">
        <v>0</v>
      </c>
      <c r="L2503">
        <v>0</v>
      </c>
      <c r="M2503">
        <v>0.16</v>
      </c>
      <c r="N2503" s="7" t="e">
        <f>VLOOKUP(F2503,HC!A$6:D$100,3,FALSE)</f>
        <v>#N/A</v>
      </c>
      <c r="O2503" s="7" t="e">
        <f>VLOOKUP(F2503,HC!A$6:D$1000,2,FALSE)</f>
        <v>#N/A</v>
      </c>
      <c r="P2503" t="s">
        <v>661</v>
      </c>
      <c r="Q2503" t="s">
        <v>681</v>
      </c>
      <c r="U2503">
        <f t="shared" si="41"/>
        <v>1395</v>
      </c>
    </row>
    <row r="2504" spans="1:21" ht="37.5" customHeight="1" x14ac:dyDescent="0.25">
      <c r="A2504" s="34">
        <v>45130</v>
      </c>
      <c r="B2504" s="13">
        <v>30</v>
      </c>
      <c r="C2504" t="s">
        <v>3</v>
      </c>
      <c r="D2504" t="s">
        <v>4</v>
      </c>
      <c r="E2504" t="s">
        <v>5</v>
      </c>
      <c r="F2504" s="6">
        <v>112912203</v>
      </c>
      <c r="G2504" t="s">
        <v>778</v>
      </c>
      <c r="H2504" t="s">
        <v>253</v>
      </c>
      <c r="I2504">
        <v>0</v>
      </c>
      <c r="J2504">
        <v>0</v>
      </c>
      <c r="K2504">
        <v>0</v>
      </c>
      <c r="L2504">
        <v>0</v>
      </c>
      <c r="M2504">
        <v>0.45</v>
      </c>
      <c r="N2504" s="7" t="str">
        <f>VLOOKUP(F2504,HC!A$6:D$100,3,FALSE)</f>
        <v>DA-X0700</v>
      </c>
      <c r="O2504" s="7" t="str">
        <f>VLOOKUP(F2504,HC!A$6:D$1000,2,FALSE)</f>
        <v>omarleoa</v>
      </c>
      <c r="P2504" t="s">
        <v>662</v>
      </c>
      <c r="Q2504" t="s">
        <v>757</v>
      </c>
      <c r="U2504">
        <f t="shared" si="41"/>
        <v>5</v>
      </c>
    </row>
    <row r="2505" spans="1:21" ht="37.5" customHeight="1" x14ac:dyDescent="0.25">
      <c r="A2505" s="34">
        <v>45130</v>
      </c>
      <c r="B2505" s="13">
        <v>30</v>
      </c>
      <c r="C2505" t="s">
        <v>3</v>
      </c>
      <c r="D2505" t="s">
        <v>4</v>
      </c>
      <c r="E2505" t="s">
        <v>5</v>
      </c>
      <c r="F2505" s="6">
        <v>112950797</v>
      </c>
      <c r="G2505" t="s">
        <v>11</v>
      </c>
      <c r="H2505" t="s">
        <v>1040</v>
      </c>
      <c r="I2505">
        <v>0</v>
      </c>
      <c r="J2505">
        <v>0</v>
      </c>
      <c r="K2505">
        <v>0</v>
      </c>
      <c r="L2505">
        <v>0</v>
      </c>
      <c r="M2505">
        <v>0.45</v>
      </c>
      <c r="N2505" s="7" t="str">
        <f>VLOOKUP(F2505,HC!A$6:D$100,3,FALSE)</f>
        <v>DA-X0700</v>
      </c>
      <c r="O2505" s="7" t="str">
        <f>VLOOKUP(F2505,HC!A$6:D$1000,2,FALSE)</f>
        <v>hesdenis</v>
      </c>
      <c r="P2505" t="s">
        <v>664</v>
      </c>
      <c r="Q2505" t="s">
        <v>708</v>
      </c>
      <c r="U2505">
        <f t="shared" si="41"/>
        <v>7</v>
      </c>
    </row>
    <row r="2506" spans="1:21" ht="37.5" customHeight="1" x14ac:dyDescent="0.25">
      <c r="A2506" s="34">
        <v>45130</v>
      </c>
      <c r="B2506" s="13">
        <v>30</v>
      </c>
      <c r="C2506" t="s">
        <v>3</v>
      </c>
      <c r="D2506" t="s">
        <v>4</v>
      </c>
      <c r="E2506" t="s">
        <v>5</v>
      </c>
      <c r="F2506" s="6">
        <v>112971962</v>
      </c>
      <c r="G2506" t="s">
        <v>338</v>
      </c>
      <c r="H2506" t="s">
        <v>17</v>
      </c>
      <c r="I2506">
        <v>0</v>
      </c>
      <c r="J2506">
        <v>0</v>
      </c>
      <c r="K2506">
        <v>0</v>
      </c>
      <c r="L2506">
        <v>0</v>
      </c>
      <c r="M2506">
        <v>0.16</v>
      </c>
      <c r="N2506" s="7" t="str">
        <f>VLOOKUP(F2506,HC!A$6:D$100,3,FALSE)</f>
        <v>DB-X0700</v>
      </c>
      <c r="O2506" s="7" t="str">
        <f>VLOOKUP(F2506,HC!A$6:D$1000,2,FALSE)</f>
        <v>creyesal</v>
      </c>
      <c r="P2506" t="s">
        <v>670</v>
      </c>
      <c r="Q2506" t="s">
        <v>748</v>
      </c>
      <c r="U2506">
        <f t="shared" si="41"/>
        <v>38</v>
      </c>
    </row>
    <row r="2507" spans="1:21" ht="37.5" customHeight="1" x14ac:dyDescent="0.25">
      <c r="A2507" s="34">
        <v>45130</v>
      </c>
      <c r="B2507" s="13">
        <v>30</v>
      </c>
      <c r="C2507" t="s">
        <v>3</v>
      </c>
      <c r="D2507" t="s">
        <v>4</v>
      </c>
      <c r="E2507" t="s">
        <v>5</v>
      </c>
      <c r="F2507" s="6">
        <v>112972215</v>
      </c>
      <c r="G2507" t="s">
        <v>984</v>
      </c>
      <c r="H2507" t="s">
        <v>298</v>
      </c>
      <c r="I2507">
        <v>0</v>
      </c>
      <c r="J2507">
        <v>0</v>
      </c>
      <c r="K2507">
        <v>0</v>
      </c>
      <c r="L2507">
        <v>0</v>
      </c>
      <c r="M2507">
        <v>0.54</v>
      </c>
      <c r="N2507" s="7" t="str">
        <f>VLOOKUP(F2507,HC!A$6:D$100,3,FALSE)</f>
        <v>DB-X0700</v>
      </c>
      <c r="O2507" s="7" t="str">
        <f>VLOOKUP(F2507,HC!A$6:D$1000,2,FALSE)</f>
        <v>cruzbana</v>
      </c>
      <c r="P2507" t="s">
        <v>661</v>
      </c>
      <c r="Q2507" t="s">
        <v>681</v>
      </c>
      <c r="U2507">
        <f t="shared" si="41"/>
        <v>16</v>
      </c>
    </row>
    <row r="2508" spans="1:21" ht="37.5" customHeight="1" x14ac:dyDescent="0.25">
      <c r="A2508" s="34">
        <v>45130</v>
      </c>
      <c r="B2508" s="13">
        <v>30</v>
      </c>
      <c r="C2508" t="s">
        <v>3</v>
      </c>
      <c r="D2508" t="s">
        <v>4</v>
      </c>
      <c r="E2508" t="s">
        <v>5</v>
      </c>
      <c r="F2508" s="6">
        <v>112981194</v>
      </c>
      <c r="G2508" t="s">
        <v>540</v>
      </c>
      <c r="H2508" t="s">
        <v>285</v>
      </c>
      <c r="I2508">
        <v>0</v>
      </c>
      <c r="J2508">
        <v>0</v>
      </c>
      <c r="K2508">
        <v>0</v>
      </c>
      <c r="L2508">
        <v>0</v>
      </c>
      <c r="M2508">
        <v>0.3</v>
      </c>
      <c r="N2508" s="7" t="str">
        <f>VLOOKUP(F2508,HC!A$6:D$100,3,FALSE)</f>
        <v>NF-X1900</v>
      </c>
      <c r="O2508" s="7" t="str">
        <f>VLOOKUP(F2508,HC!A$6:D$1000,2,FALSE)</f>
        <v>csandrak</v>
      </c>
      <c r="P2508" t="s">
        <v>664</v>
      </c>
      <c r="Q2508" t="s">
        <v>717</v>
      </c>
      <c r="U2508">
        <f t="shared" si="41"/>
        <v>8</v>
      </c>
    </row>
    <row r="2509" spans="1:21" ht="37.5" customHeight="1" x14ac:dyDescent="0.25">
      <c r="A2509" s="34">
        <v>45130</v>
      </c>
      <c r="B2509" s="13">
        <v>30</v>
      </c>
      <c r="C2509" t="s">
        <v>3</v>
      </c>
      <c r="D2509" t="s">
        <v>4</v>
      </c>
      <c r="E2509" t="s">
        <v>5</v>
      </c>
      <c r="F2509" s="6">
        <v>113014403</v>
      </c>
      <c r="G2509" t="s">
        <v>373</v>
      </c>
      <c r="H2509" t="s">
        <v>298</v>
      </c>
      <c r="I2509">
        <v>0</v>
      </c>
      <c r="J2509">
        <v>0</v>
      </c>
      <c r="K2509">
        <v>0</v>
      </c>
      <c r="L2509">
        <v>0</v>
      </c>
      <c r="M2509">
        <v>0.36</v>
      </c>
      <c r="N2509" s="7" t="e">
        <f>VLOOKUP(F2509,HC!A$6:D$100,3,FALSE)</f>
        <v>#N/A</v>
      </c>
      <c r="O2509" s="7" t="str">
        <f>VLOOKUP(F2509,HC!A$6:D$1000,2,FALSE)</f>
        <v>wnoraria</v>
      </c>
      <c r="R2509" t="s">
        <v>1172</v>
      </c>
      <c r="U2509">
        <f t="shared" si="41"/>
        <v>23</v>
      </c>
    </row>
    <row r="2510" spans="1:21" ht="37.5" customHeight="1" x14ac:dyDescent="0.25">
      <c r="A2510" s="34">
        <v>45130</v>
      </c>
      <c r="B2510" s="13">
        <v>30</v>
      </c>
      <c r="C2510" t="s">
        <v>3</v>
      </c>
      <c r="D2510" t="s">
        <v>4</v>
      </c>
      <c r="E2510" t="s">
        <v>5</v>
      </c>
      <c r="F2510" s="6">
        <v>113019001</v>
      </c>
      <c r="G2510" t="s">
        <v>464</v>
      </c>
      <c r="H2510" t="s">
        <v>1040</v>
      </c>
      <c r="I2510">
        <v>0</v>
      </c>
      <c r="J2510">
        <v>0</v>
      </c>
      <c r="K2510">
        <v>0</v>
      </c>
      <c r="L2510">
        <v>0</v>
      </c>
      <c r="M2510">
        <v>0.37</v>
      </c>
      <c r="N2510" s="7" t="e">
        <f>VLOOKUP(F2510,HC!A$6:D$100,3,FALSE)</f>
        <v>#N/A</v>
      </c>
      <c r="O2510" s="7" t="str">
        <f>VLOOKUP(F2510,HC!A$6:D$1000,2,FALSE)</f>
        <v>dolozane</v>
      </c>
      <c r="P2510" t="s">
        <v>661</v>
      </c>
      <c r="Q2510" t="s">
        <v>681</v>
      </c>
      <c r="U2510">
        <f t="shared" si="41"/>
        <v>17</v>
      </c>
    </row>
    <row r="2511" spans="1:21" ht="37.5" customHeight="1" x14ac:dyDescent="0.25">
      <c r="A2511" s="34">
        <v>45130</v>
      </c>
      <c r="B2511" s="13">
        <v>30</v>
      </c>
      <c r="C2511" t="s">
        <v>3</v>
      </c>
      <c r="D2511" t="s">
        <v>4</v>
      </c>
      <c r="E2511" t="s">
        <v>5</v>
      </c>
      <c r="F2511" s="6">
        <v>113101453</v>
      </c>
      <c r="G2511" t="s">
        <v>50</v>
      </c>
      <c r="H2511" t="s">
        <v>44</v>
      </c>
      <c r="I2511">
        <v>0</v>
      </c>
      <c r="J2511">
        <v>0</v>
      </c>
      <c r="K2511">
        <v>0</v>
      </c>
      <c r="L2511">
        <v>0</v>
      </c>
      <c r="M2511">
        <v>0.23</v>
      </c>
      <c r="N2511" s="7" t="e">
        <f>VLOOKUP(F2511,HC!A$6:D$100,3,FALSE)</f>
        <v>#N/A</v>
      </c>
      <c r="O2511" s="7" t="str">
        <f>VLOOKUP(F2511,HC!A$6:D$1000,2,FALSE)</f>
        <v>qisgeova</v>
      </c>
      <c r="P2511" t="s">
        <v>662</v>
      </c>
      <c r="Q2511" t="s">
        <v>688</v>
      </c>
      <c r="U2511">
        <f t="shared" si="41"/>
        <v>57</v>
      </c>
    </row>
    <row r="2512" spans="1:21" ht="37.5" customHeight="1" x14ac:dyDescent="0.25">
      <c r="A2512" s="34">
        <v>45130</v>
      </c>
      <c r="B2512" s="13">
        <v>30</v>
      </c>
      <c r="C2512" t="s">
        <v>3</v>
      </c>
      <c r="D2512" t="s">
        <v>4</v>
      </c>
      <c r="E2512" t="s">
        <v>21</v>
      </c>
      <c r="F2512" s="6">
        <v>201314835</v>
      </c>
      <c r="G2512" t="s">
        <v>1060</v>
      </c>
      <c r="H2512" t="s">
        <v>263</v>
      </c>
      <c r="I2512">
        <v>0</v>
      </c>
      <c r="J2512">
        <v>0</v>
      </c>
      <c r="K2512">
        <v>0</v>
      </c>
      <c r="L2512">
        <v>0</v>
      </c>
      <c r="M2512">
        <v>0.5</v>
      </c>
      <c r="N2512" s="7" t="e">
        <f>VLOOKUP(F2512,HC!A$6:D$100,3,FALSE)</f>
        <v>#N/A</v>
      </c>
      <c r="O2512" s="7" t="e">
        <f>VLOOKUP(F2512,HC!A$6:D$1000,2,FALSE)</f>
        <v>#N/A</v>
      </c>
      <c r="P2512" t="s">
        <v>661</v>
      </c>
      <c r="Q2512" t="s">
        <v>701</v>
      </c>
      <c r="U2512">
        <f t="shared" si="41"/>
        <v>1395</v>
      </c>
    </row>
    <row r="2513" spans="1:21" ht="37.5" customHeight="1" x14ac:dyDescent="0.25">
      <c r="A2513" s="34">
        <v>45130</v>
      </c>
      <c r="B2513" s="13">
        <v>30</v>
      </c>
      <c r="C2513" t="s">
        <v>3</v>
      </c>
      <c r="D2513" t="s">
        <v>4</v>
      </c>
      <c r="E2513" t="s">
        <v>21</v>
      </c>
      <c r="F2513" s="6">
        <v>201396328</v>
      </c>
      <c r="G2513" t="s">
        <v>1171</v>
      </c>
      <c r="H2513" t="s">
        <v>263</v>
      </c>
      <c r="I2513">
        <v>0</v>
      </c>
      <c r="J2513">
        <v>0</v>
      </c>
      <c r="K2513">
        <v>0</v>
      </c>
      <c r="L2513">
        <v>0</v>
      </c>
      <c r="M2513">
        <v>0.84</v>
      </c>
      <c r="N2513" s="7" t="e">
        <f>VLOOKUP(F2513,HC!A$6:D$100,3,FALSE)</f>
        <v>#N/A</v>
      </c>
      <c r="O2513" s="7" t="str">
        <f>VLOOKUP(F2513,HC!A$6:D$1000,2,FALSE)</f>
        <v>nalcanch</v>
      </c>
      <c r="P2513" t="s">
        <v>664</v>
      </c>
      <c r="Q2513" t="s">
        <v>711</v>
      </c>
      <c r="U2513">
        <f t="shared" si="41"/>
        <v>12</v>
      </c>
    </row>
    <row r="2514" spans="1:21" ht="37.5" customHeight="1" x14ac:dyDescent="0.25">
      <c r="A2514" s="34">
        <v>45130</v>
      </c>
      <c r="B2514" s="13">
        <v>30</v>
      </c>
      <c r="C2514" t="s">
        <v>3</v>
      </c>
      <c r="D2514" t="s">
        <v>438</v>
      </c>
      <c r="E2514" t="s">
        <v>5</v>
      </c>
      <c r="F2514" s="6">
        <v>113014403</v>
      </c>
      <c r="G2514" t="s">
        <v>373</v>
      </c>
      <c r="H2514" t="s">
        <v>298</v>
      </c>
      <c r="I2514">
        <v>0</v>
      </c>
      <c r="J2514">
        <v>0</v>
      </c>
      <c r="K2514">
        <v>0</v>
      </c>
      <c r="L2514">
        <v>0</v>
      </c>
      <c r="M2514">
        <v>0.27</v>
      </c>
      <c r="N2514" s="7" t="e">
        <f>VLOOKUP(F2514,HC!A$6:D$100,3,FALSE)</f>
        <v>#N/A</v>
      </c>
      <c r="O2514" s="7" t="str">
        <f>VLOOKUP(F2514,HC!A$6:D$1000,2,FALSE)</f>
        <v>wnoraria</v>
      </c>
      <c r="R2514" t="s">
        <v>1172</v>
      </c>
      <c r="U2514">
        <f t="shared" si="41"/>
        <v>23</v>
      </c>
    </row>
    <row r="2515" spans="1:21" ht="37.5" customHeight="1" x14ac:dyDescent="0.25">
      <c r="A2515" s="34">
        <v>45131</v>
      </c>
      <c r="B2515" s="13">
        <v>30</v>
      </c>
      <c r="C2515" t="s">
        <v>3</v>
      </c>
      <c r="D2515" t="s">
        <v>4</v>
      </c>
      <c r="E2515" t="s">
        <v>5</v>
      </c>
      <c r="F2515" s="6">
        <v>112912663</v>
      </c>
      <c r="G2515" t="s">
        <v>8</v>
      </c>
      <c r="H2515" t="s">
        <v>403</v>
      </c>
      <c r="I2515">
        <v>0</v>
      </c>
      <c r="J2515">
        <v>0</v>
      </c>
      <c r="K2515">
        <v>0</v>
      </c>
      <c r="L2515">
        <v>0</v>
      </c>
      <c r="M2515">
        <v>0.19</v>
      </c>
      <c r="N2515" s="7" t="e">
        <f>VLOOKUP(F2515,HC!A$6:D$100,3,FALSE)</f>
        <v>#N/A</v>
      </c>
      <c r="O2515" s="7" t="e">
        <f>VLOOKUP(F2515,HC!A$6:D$1000,2,FALSE)</f>
        <v>#N/A</v>
      </c>
      <c r="P2515" t="s">
        <v>661</v>
      </c>
      <c r="Q2515" t="s">
        <v>684</v>
      </c>
      <c r="U2515">
        <f t="shared" si="41"/>
        <v>1395</v>
      </c>
    </row>
    <row r="2516" spans="1:21" ht="37.5" customHeight="1" x14ac:dyDescent="0.25">
      <c r="A2516" s="34">
        <v>45131</v>
      </c>
      <c r="B2516" s="13">
        <v>30</v>
      </c>
      <c r="C2516" t="s">
        <v>3</v>
      </c>
      <c r="D2516" t="s">
        <v>4</v>
      </c>
      <c r="E2516" t="s">
        <v>5</v>
      </c>
      <c r="F2516" s="6">
        <v>112920664</v>
      </c>
      <c r="G2516" t="s">
        <v>474</v>
      </c>
      <c r="H2516" t="s">
        <v>250</v>
      </c>
      <c r="I2516">
        <v>0</v>
      </c>
      <c r="J2516">
        <v>0</v>
      </c>
      <c r="K2516">
        <v>0</v>
      </c>
      <c r="L2516">
        <v>0</v>
      </c>
      <c r="M2516">
        <v>0.34</v>
      </c>
      <c r="N2516" s="7" t="str">
        <f>VLOOKUP(F2516,HC!A$6:D$100,3,FALSE)</f>
        <v>DA-X0700</v>
      </c>
      <c r="O2516" s="7" t="str">
        <f>VLOOKUP(F2516,HC!A$6:D$1000,2,FALSE)</f>
        <v>samualbg</v>
      </c>
      <c r="P2516" t="s">
        <v>661</v>
      </c>
      <c r="Q2516" t="s">
        <v>681</v>
      </c>
      <c r="U2516">
        <f t="shared" si="41"/>
        <v>7</v>
      </c>
    </row>
    <row r="2517" spans="1:21" ht="37.5" customHeight="1" x14ac:dyDescent="0.25">
      <c r="A2517" s="34">
        <v>45131</v>
      </c>
      <c r="B2517" s="13">
        <v>30</v>
      </c>
      <c r="C2517" t="s">
        <v>3</v>
      </c>
      <c r="D2517" t="s">
        <v>4</v>
      </c>
      <c r="E2517" t="s">
        <v>5</v>
      </c>
      <c r="F2517" s="6">
        <v>112972215</v>
      </c>
      <c r="G2517" t="s">
        <v>984</v>
      </c>
      <c r="H2517" t="s">
        <v>298</v>
      </c>
      <c r="I2517">
        <v>0</v>
      </c>
      <c r="J2517">
        <v>0</v>
      </c>
      <c r="K2517">
        <v>0</v>
      </c>
      <c r="L2517">
        <v>0</v>
      </c>
      <c r="M2517">
        <v>0.12</v>
      </c>
      <c r="N2517" s="7" t="str">
        <f>VLOOKUP(F2517,HC!A$6:D$100,3,FALSE)</f>
        <v>DB-X0700</v>
      </c>
      <c r="O2517" s="7" t="str">
        <f>VLOOKUP(F2517,HC!A$6:D$1000,2,FALSE)</f>
        <v>cruzbana</v>
      </c>
      <c r="P2517" t="s">
        <v>666</v>
      </c>
      <c r="Q2517" t="s">
        <v>768</v>
      </c>
      <c r="U2517">
        <f t="shared" si="41"/>
        <v>16</v>
      </c>
    </row>
    <row r="2518" spans="1:21" ht="37.5" customHeight="1" x14ac:dyDescent="0.25">
      <c r="A2518" s="34">
        <v>45131</v>
      </c>
      <c r="B2518" s="13">
        <v>30</v>
      </c>
      <c r="C2518" t="s">
        <v>3</v>
      </c>
      <c r="D2518" t="s">
        <v>4</v>
      </c>
      <c r="E2518" t="s">
        <v>5</v>
      </c>
      <c r="F2518" s="6">
        <v>112981201</v>
      </c>
      <c r="G2518" t="s">
        <v>532</v>
      </c>
      <c r="H2518" t="s">
        <v>44</v>
      </c>
      <c r="I2518">
        <v>0</v>
      </c>
      <c r="J2518">
        <v>0</v>
      </c>
      <c r="K2518">
        <v>0</v>
      </c>
      <c r="L2518">
        <v>0</v>
      </c>
      <c r="M2518">
        <v>0.59</v>
      </c>
      <c r="N2518" s="7" t="e">
        <f>VLOOKUP(F2518,HC!A$6:D$100,3,FALSE)</f>
        <v>#N/A</v>
      </c>
      <c r="O2518" s="7" t="e">
        <f>VLOOKUP(F2518,HC!A$6:D$1000,2,FALSE)</f>
        <v>#N/A</v>
      </c>
      <c r="P2518" t="s">
        <v>661</v>
      </c>
      <c r="Q2518" t="s">
        <v>681</v>
      </c>
      <c r="U2518">
        <f t="shared" si="41"/>
        <v>1395</v>
      </c>
    </row>
    <row r="2519" spans="1:21" ht="37.5" customHeight="1" x14ac:dyDescent="0.25">
      <c r="A2519" s="34">
        <v>45131</v>
      </c>
      <c r="B2519" s="13">
        <v>30</v>
      </c>
      <c r="C2519" t="s">
        <v>3</v>
      </c>
      <c r="D2519" t="s">
        <v>4</v>
      </c>
      <c r="E2519" t="s">
        <v>5</v>
      </c>
      <c r="F2519" s="6">
        <v>113014403</v>
      </c>
      <c r="G2519" t="s">
        <v>373</v>
      </c>
      <c r="H2519" t="s">
        <v>298</v>
      </c>
      <c r="I2519">
        <v>0</v>
      </c>
      <c r="J2519">
        <v>0</v>
      </c>
      <c r="K2519">
        <v>0</v>
      </c>
      <c r="L2519">
        <v>0</v>
      </c>
      <c r="M2519">
        <v>1.1000000000000001</v>
      </c>
      <c r="N2519" s="7" t="e">
        <f>VLOOKUP(F2519,HC!A$6:D$100,3,FALSE)</f>
        <v>#N/A</v>
      </c>
      <c r="O2519" s="7" t="str">
        <f>VLOOKUP(F2519,HC!A$6:D$1000,2,FALSE)</f>
        <v>wnoraria</v>
      </c>
      <c r="P2519" t="s">
        <v>664</v>
      </c>
      <c r="Q2519" t="s">
        <v>762</v>
      </c>
      <c r="R2519" t="s">
        <v>620</v>
      </c>
      <c r="U2519">
        <f t="shared" si="41"/>
        <v>23</v>
      </c>
    </row>
    <row r="2520" spans="1:21" ht="37.5" customHeight="1" x14ac:dyDescent="0.25">
      <c r="A2520" s="34">
        <v>45131</v>
      </c>
      <c r="B2520" s="13">
        <v>30</v>
      </c>
      <c r="C2520" t="s">
        <v>3</v>
      </c>
      <c r="D2520" t="s">
        <v>4</v>
      </c>
      <c r="E2520" t="s">
        <v>5</v>
      </c>
      <c r="F2520" s="6">
        <v>113020463</v>
      </c>
      <c r="G2520" t="s">
        <v>321</v>
      </c>
      <c r="H2520" t="s">
        <v>44</v>
      </c>
      <c r="I2520">
        <v>0</v>
      </c>
      <c r="J2520">
        <v>0</v>
      </c>
      <c r="K2520">
        <v>0</v>
      </c>
      <c r="L2520">
        <v>0</v>
      </c>
      <c r="M2520">
        <v>0.22</v>
      </c>
      <c r="N2520" s="7" t="e">
        <f>VLOOKUP(F2520,HC!A$6:D$100,3,FALSE)</f>
        <v>#N/A</v>
      </c>
      <c r="O2520" s="7" t="str">
        <f>VLOOKUP(F2520,HC!A$6:D$1000,2,FALSE)</f>
        <v>myriamav</v>
      </c>
      <c r="P2520" t="s">
        <v>661</v>
      </c>
      <c r="Q2520" t="s">
        <v>700</v>
      </c>
      <c r="U2520">
        <f t="shared" si="41"/>
        <v>24</v>
      </c>
    </row>
    <row r="2521" spans="1:21" ht="37.5" customHeight="1" x14ac:dyDescent="0.25">
      <c r="A2521" s="34">
        <v>45131</v>
      </c>
      <c r="B2521" s="13">
        <v>30</v>
      </c>
      <c r="C2521" t="s">
        <v>3</v>
      </c>
      <c r="D2521" t="s">
        <v>4</v>
      </c>
      <c r="E2521" t="s">
        <v>21</v>
      </c>
      <c r="F2521" s="6">
        <v>201162388</v>
      </c>
      <c r="G2521" t="s">
        <v>1120</v>
      </c>
      <c r="H2521" t="s">
        <v>285</v>
      </c>
      <c r="I2521">
        <v>0</v>
      </c>
      <c r="J2521">
        <v>0</v>
      </c>
      <c r="K2521">
        <v>0</v>
      </c>
      <c r="L2521">
        <v>0</v>
      </c>
      <c r="M2521">
        <v>0.3</v>
      </c>
      <c r="N2521" s="7" t="e">
        <f>VLOOKUP(F2521,HC!A$6:D$100,3,FALSE)</f>
        <v>#N/A</v>
      </c>
      <c r="O2521" s="7" t="str">
        <f>VLOOKUP(F2521,HC!A$6:D$1000,2,FALSE)</f>
        <v>alfrerok</v>
      </c>
      <c r="P2521" t="s">
        <v>670</v>
      </c>
      <c r="Q2521" t="s">
        <v>748</v>
      </c>
      <c r="U2521">
        <f t="shared" si="41"/>
        <v>3</v>
      </c>
    </row>
    <row r="2522" spans="1:21" ht="37.5" customHeight="1" x14ac:dyDescent="0.25">
      <c r="A2522" s="34">
        <v>45131</v>
      </c>
      <c r="B2522" s="13">
        <v>30</v>
      </c>
      <c r="C2522" t="s">
        <v>3</v>
      </c>
      <c r="D2522" t="s">
        <v>4</v>
      </c>
      <c r="E2522" t="s">
        <v>21</v>
      </c>
      <c r="F2522" s="6">
        <v>201354965</v>
      </c>
      <c r="G2522" t="s">
        <v>1063</v>
      </c>
      <c r="H2522" t="s">
        <v>263</v>
      </c>
      <c r="I2522">
        <v>0</v>
      </c>
      <c r="J2522">
        <v>0</v>
      </c>
      <c r="K2522">
        <v>0</v>
      </c>
      <c r="L2522">
        <v>0</v>
      </c>
      <c r="M2522">
        <v>0.2</v>
      </c>
      <c r="N2522" s="7" t="e">
        <f>VLOOKUP(F2522,HC!A$6:D$100,3,FALSE)</f>
        <v>#N/A</v>
      </c>
      <c r="O2522" s="7" t="str">
        <f>VLOOKUP(F2522,HC!A$6:D$1000,2,FALSE)</f>
        <v>alinejim</v>
      </c>
      <c r="P2522" t="s">
        <v>665</v>
      </c>
      <c r="Q2522" t="s">
        <v>722</v>
      </c>
      <c r="U2522">
        <f t="shared" si="41"/>
        <v>33</v>
      </c>
    </row>
    <row r="2523" spans="1:21" ht="37.5" customHeight="1" x14ac:dyDescent="0.25">
      <c r="A2523" s="34">
        <v>45131</v>
      </c>
      <c r="B2523" s="13">
        <v>30</v>
      </c>
      <c r="C2523" t="s">
        <v>3</v>
      </c>
      <c r="D2523" t="s">
        <v>4</v>
      </c>
      <c r="E2523" t="s">
        <v>21</v>
      </c>
      <c r="F2523" s="6">
        <v>201355525</v>
      </c>
      <c r="G2523" t="s">
        <v>1003</v>
      </c>
      <c r="H2523" t="s">
        <v>403</v>
      </c>
      <c r="I2523">
        <v>0</v>
      </c>
      <c r="J2523">
        <v>0</v>
      </c>
      <c r="K2523">
        <v>0</v>
      </c>
      <c r="L2523">
        <v>0</v>
      </c>
      <c r="M2523">
        <v>0.25</v>
      </c>
      <c r="N2523" s="7" t="e">
        <f>VLOOKUP(F2523,HC!A$6:D$100,3,FALSE)</f>
        <v>#N/A</v>
      </c>
      <c r="O2523" s="7" t="e">
        <f>VLOOKUP(F2523,HC!A$6:D$1000,2,FALSE)</f>
        <v>#N/A</v>
      </c>
      <c r="P2523" t="s">
        <v>662</v>
      </c>
      <c r="Q2523" t="s">
        <v>691</v>
      </c>
      <c r="U2523">
        <f t="shared" si="41"/>
        <v>1395</v>
      </c>
    </row>
    <row r="2524" spans="1:21" ht="37.5" customHeight="1" x14ac:dyDescent="0.25">
      <c r="A2524" s="34">
        <v>45131</v>
      </c>
      <c r="B2524" s="13">
        <v>30</v>
      </c>
      <c r="C2524" t="s">
        <v>3</v>
      </c>
      <c r="D2524" t="s">
        <v>4</v>
      </c>
      <c r="E2524" t="s">
        <v>21</v>
      </c>
      <c r="F2524" s="6">
        <v>201402216</v>
      </c>
      <c r="G2524" t="s">
        <v>1064</v>
      </c>
      <c r="H2524" t="s">
        <v>1040</v>
      </c>
      <c r="I2524">
        <v>0</v>
      </c>
      <c r="J2524">
        <v>0</v>
      </c>
      <c r="K2524">
        <v>0</v>
      </c>
      <c r="L2524">
        <v>0</v>
      </c>
      <c r="M2524">
        <v>0.14000000000000001</v>
      </c>
      <c r="N2524" s="7" t="e">
        <f>VLOOKUP(F2524,HC!A$6:D$100,3,FALSE)</f>
        <v>#N/A</v>
      </c>
      <c r="O2524" s="7" t="e">
        <f>VLOOKUP(F2524,HC!A$6:D$1000,2,FALSE)</f>
        <v>#N/A</v>
      </c>
      <c r="P2524" t="s">
        <v>661</v>
      </c>
      <c r="Q2524" t="s">
        <v>681</v>
      </c>
      <c r="U2524">
        <f t="shared" si="41"/>
        <v>1395</v>
      </c>
    </row>
    <row r="2525" spans="1:21" ht="37.5" customHeight="1" x14ac:dyDescent="0.25">
      <c r="A2525" s="34">
        <v>45132</v>
      </c>
      <c r="B2525" s="13">
        <v>30</v>
      </c>
      <c r="C2525" t="s">
        <v>3</v>
      </c>
      <c r="D2525" t="s">
        <v>4</v>
      </c>
      <c r="E2525" t="s">
        <v>5</v>
      </c>
      <c r="F2525" s="6">
        <v>112981014</v>
      </c>
      <c r="G2525" t="s">
        <v>367</v>
      </c>
      <c r="H2525" t="s">
        <v>1040</v>
      </c>
      <c r="I2525">
        <v>0</v>
      </c>
      <c r="J2525">
        <v>0</v>
      </c>
      <c r="K2525">
        <v>0</v>
      </c>
      <c r="L2525">
        <v>0</v>
      </c>
      <c r="M2525">
        <v>0.73</v>
      </c>
      <c r="N2525" s="7" t="str">
        <f>VLOOKUP(F2525,HC!A$6:D$100,3,FALSE)</f>
        <v>DJ-X0700</v>
      </c>
      <c r="O2525" s="7" t="str">
        <f>VLOOKUP(F2525,HC!A$6:D$1000,2,FALSE)</f>
        <v>rpabloul</v>
      </c>
      <c r="R2525" t="s">
        <v>1174</v>
      </c>
      <c r="U2525">
        <f t="shared" si="41"/>
        <v>17</v>
      </c>
    </row>
    <row r="2526" spans="1:21" ht="37.5" customHeight="1" x14ac:dyDescent="0.25">
      <c r="A2526" s="34">
        <v>45132</v>
      </c>
      <c r="B2526" s="13">
        <v>30</v>
      </c>
      <c r="C2526" t="s">
        <v>3</v>
      </c>
      <c r="D2526" t="s">
        <v>4</v>
      </c>
      <c r="E2526" t="s">
        <v>5</v>
      </c>
      <c r="F2526" s="6">
        <v>112981061</v>
      </c>
      <c r="G2526" t="s">
        <v>264</v>
      </c>
      <c r="H2526" t="s">
        <v>44</v>
      </c>
      <c r="I2526">
        <v>0</v>
      </c>
      <c r="J2526">
        <v>0</v>
      </c>
      <c r="K2526">
        <v>0</v>
      </c>
      <c r="L2526">
        <v>0</v>
      </c>
      <c r="M2526">
        <v>0.2</v>
      </c>
      <c r="N2526" s="7" t="str">
        <f>VLOOKUP(F2526,HC!A$6:D$100,3,FALSE)</f>
        <v>DA-X0700</v>
      </c>
      <c r="O2526" s="7" t="str">
        <f>VLOOKUP(F2526,HC!A$6:D$1000,2,FALSE)</f>
        <v>mclaudol</v>
      </c>
      <c r="P2526" t="s">
        <v>663</v>
      </c>
      <c r="Q2526" t="s">
        <v>707</v>
      </c>
      <c r="U2526">
        <f t="shared" si="41"/>
        <v>44</v>
      </c>
    </row>
    <row r="2527" spans="1:21" ht="37.5" customHeight="1" x14ac:dyDescent="0.25">
      <c r="A2527" s="34">
        <v>45132</v>
      </c>
      <c r="B2527" s="13">
        <v>30</v>
      </c>
      <c r="C2527" t="s">
        <v>3</v>
      </c>
      <c r="D2527" t="s">
        <v>4</v>
      </c>
      <c r="E2527" t="s">
        <v>5</v>
      </c>
      <c r="F2527" s="6">
        <v>200404250</v>
      </c>
      <c r="G2527" t="s">
        <v>51</v>
      </c>
      <c r="H2527" t="s">
        <v>298</v>
      </c>
      <c r="I2527">
        <v>0</v>
      </c>
      <c r="J2527">
        <v>0</v>
      </c>
      <c r="K2527">
        <v>0</v>
      </c>
      <c r="L2527">
        <v>0</v>
      </c>
      <c r="M2527">
        <v>0.33</v>
      </c>
      <c r="N2527" s="7" t="e">
        <f>VLOOKUP(F2527,HC!A$6:D$100,3,FALSE)</f>
        <v>#N/A</v>
      </c>
      <c r="O2527" s="7" t="str">
        <f>VLOOKUP(F2527,HC!A$6:D$1000,2,FALSE)</f>
        <v>xcathurt</v>
      </c>
      <c r="P2527" t="s">
        <v>662</v>
      </c>
      <c r="Q2527" t="s">
        <v>766</v>
      </c>
      <c r="U2527">
        <f t="shared" si="41"/>
        <v>124</v>
      </c>
    </row>
    <row r="2528" spans="1:21" ht="37.5" customHeight="1" x14ac:dyDescent="0.25">
      <c r="A2528" s="34">
        <v>45132</v>
      </c>
      <c r="B2528" s="13">
        <v>30</v>
      </c>
      <c r="C2528" t="s">
        <v>3</v>
      </c>
      <c r="D2528" t="s">
        <v>4</v>
      </c>
      <c r="E2528" t="s">
        <v>21</v>
      </c>
      <c r="F2528" s="6">
        <v>200407440</v>
      </c>
      <c r="G2528" t="s">
        <v>997</v>
      </c>
      <c r="H2528" t="s">
        <v>298</v>
      </c>
      <c r="I2528">
        <v>0</v>
      </c>
      <c r="J2528">
        <v>0</v>
      </c>
      <c r="K2528">
        <v>0</v>
      </c>
      <c r="L2528">
        <v>0</v>
      </c>
      <c r="M2528">
        <v>0.67</v>
      </c>
      <c r="N2528" s="7" t="e">
        <f>VLOOKUP(F2528,HC!A$6:D$100,3,FALSE)</f>
        <v>#N/A</v>
      </c>
      <c r="O2528" s="7" t="e">
        <f>VLOOKUP(F2528,HC!A$6:D$1000,2,FALSE)</f>
        <v>#N/A</v>
      </c>
      <c r="P2528" t="s">
        <v>664</v>
      </c>
      <c r="Q2528" t="s">
        <v>717</v>
      </c>
      <c r="U2528">
        <f t="shared" si="41"/>
        <v>1395</v>
      </c>
    </row>
    <row r="2529" spans="1:21" ht="37.5" customHeight="1" x14ac:dyDescent="0.25">
      <c r="A2529" s="34">
        <v>45132</v>
      </c>
      <c r="B2529" s="13">
        <v>30</v>
      </c>
      <c r="C2529" t="s">
        <v>3</v>
      </c>
      <c r="D2529" t="s">
        <v>4</v>
      </c>
      <c r="E2529" t="s">
        <v>5</v>
      </c>
      <c r="F2529" s="6">
        <v>200574655</v>
      </c>
      <c r="G2529" t="s">
        <v>630</v>
      </c>
      <c r="H2529" t="s">
        <v>44</v>
      </c>
      <c r="I2529">
        <v>0</v>
      </c>
      <c r="J2529">
        <v>0</v>
      </c>
      <c r="K2529">
        <v>0</v>
      </c>
      <c r="L2529">
        <v>0</v>
      </c>
      <c r="M2529">
        <v>0.23</v>
      </c>
      <c r="N2529" s="7" t="e">
        <f>VLOOKUP(F2529,HC!A$6:D$100,3,FALSE)</f>
        <v>#N/A</v>
      </c>
      <c r="O2529" s="7" t="str">
        <f>VLOOKUP(F2529,HC!A$6:D$1000,2,FALSE)</f>
        <v>dulceami</v>
      </c>
      <c r="P2529" t="s">
        <v>661</v>
      </c>
      <c r="Q2529" t="s">
        <v>681</v>
      </c>
      <c r="U2529">
        <f t="shared" si="41"/>
        <v>20</v>
      </c>
    </row>
    <row r="2530" spans="1:21" ht="37.5" customHeight="1" x14ac:dyDescent="0.25">
      <c r="A2530" s="34">
        <v>45132</v>
      </c>
      <c r="B2530" s="13">
        <v>30</v>
      </c>
      <c r="C2530" t="s">
        <v>3</v>
      </c>
      <c r="D2530" t="s">
        <v>4</v>
      </c>
      <c r="E2530" t="s">
        <v>21</v>
      </c>
      <c r="F2530" s="6">
        <v>201329529</v>
      </c>
      <c r="G2530" t="s">
        <v>1069</v>
      </c>
      <c r="H2530" t="s">
        <v>263</v>
      </c>
      <c r="I2530">
        <v>0</v>
      </c>
      <c r="J2530">
        <v>0</v>
      </c>
      <c r="K2530">
        <v>0</v>
      </c>
      <c r="L2530">
        <v>0</v>
      </c>
      <c r="M2530">
        <v>0.85</v>
      </c>
      <c r="N2530" s="7" t="e">
        <f>VLOOKUP(F2530,HC!A$6:D$100,3,FALSE)</f>
        <v>#N/A</v>
      </c>
      <c r="O2530" s="7" t="e">
        <f>VLOOKUP(F2530,HC!A$6:D$1000,2,FALSE)</f>
        <v>#N/A</v>
      </c>
      <c r="P2530" t="s">
        <v>664</v>
      </c>
      <c r="Q2530" t="s">
        <v>711</v>
      </c>
      <c r="U2530">
        <f t="shared" si="41"/>
        <v>1395</v>
      </c>
    </row>
    <row r="2531" spans="1:21" ht="37.5" customHeight="1" x14ac:dyDescent="0.25">
      <c r="A2531" s="34">
        <v>45132</v>
      </c>
      <c r="B2531" s="13">
        <v>30</v>
      </c>
      <c r="C2531" t="s">
        <v>3</v>
      </c>
      <c r="D2531" t="s">
        <v>4</v>
      </c>
      <c r="E2531" t="s">
        <v>21</v>
      </c>
      <c r="F2531" s="6">
        <v>201378452</v>
      </c>
      <c r="G2531" t="s">
        <v>1173</v>
      </c>
      <c r="H2531" t="s">
        <v>298</v>
      </c>
      <c r="I2531">
        <v>0</v>
      </c>
      <c r="J2531">
        <v>0</v>
      </c>
      <c r="K2531">
        <v>0</v>
      </c>
      <c r="L2531">
        <v>0</v>
      </c>
      <c r="M2531">
        <v>0.57999999999999996</v>
      </c>
      <c r="N2531" s="7" t="e">
        <f>VLOOKUP(F2531,HC!A$6:D$100,3,FALSE)</f>
        <v>#N/A</v>
      </c>
      <c r="O2531" s="7" t="str">
        <f>VLOOKUP(F2531,HC!A$6:D$1000,2,FALSE)</f>
        <v>omhperez</v>
      </c>
      <c r="P2531" t="s">
        <v>664</v>
      </c>
      <c r="U2531">
        <f t="shared" si="41"/>
        <v>9</v>
      </c>
    </row>
    <row r="2532" spans="1:21" ht="37.5" customHeight="1" x14ac:dyDescent="0.25">
      <c r="A2532" s="34">
        <v>45133</v>
      </c>
      <c r="B2532" s="13">
        <v>30</v>
      </c>
      <c r="C2532" t="s">
        <v>3</v>
      </c>
      <c r="D2532" t="s">
        <v>4</v>
      </c>
      <c r="E2532" t="s">
        <v>5</v>
      </c>
      <c r="F2532" s="6">
        <v>112981013</v>
      </c>
      <c r="G2532" t="s">
        <v>283</v>
      </c>
      <c r="H2532" t="s">
        <v>285</v>
      </c>
      <c r="I2532">
        <v>0</v>
      </c>
      <c r="J2532">
        <v>0</v>
      </c>
      <c r="K2532">
        <v>0</v>
      </c>
      <c r="L2532">
        <v>0</v>
      </c>
      <c r="M2532">
        <v>0.21</v>
      </c>
      <c r="N2532" s="7" t="str">
        <f>VLOOKUP(F2532,HC!A$6:D$100,3,FALSE)</f>
        <v>DA-X0700</v>
      </c>
      <c r="O2532" s="7" t="str">
        <f>VLOOKUP(F2532,HC!A$6:D$1000,2,FALSE)</f>
        <v>normaelo</v>
      </c>
      <c r="P2532" t="s">
        <v>664</v>
      </c>
      <c r="Q2532" t="s">
        <v>717</v>
      </c>
      <c r="U2532">
        <f t="shared" si="41"/>
        <v>24</v>
      </c>
    </row>
    <row r="2533" spans="1:21" ht="37.5" customHeight="1" x14ac:dyDescent="0.25">
      <c r="A2533" s="34">
        <v>45133</v>
      </c>
      <c r="B2533" s="13">
        <v>30</v>
      </c>
      <c r="C2533" t="s">
        <v>3</v>
      </c>
      <c r="D2533" t="s">
        <v>4</v>
      </c>
      <c r="E2533" t="s">
        <v>21</v>
      </c>
      <c r="F2533" s="6">
        <v>201167501</v>
      </c>
      <c r="G2533" t="s">
        <v>863</v>
      </c>
      <c r="H2533" t="s">
        <v>44</v>
      </c>
      <c r="I2533">
        <v>0</v>
      </c>
      <c r="J2533">
        <v>0</v>
      </c>
      <c r="K2533">
        <v>0</v>
      </c>
      <c r="L2533">
        <v>0</v>
      </c>
      <c r="M2533">
        <v>0.35</v>
      </c>
      <c r="N2533" s="7" t="e">
        <f>VLOOKUP(F2533,HC!A$6:D$100,3,FALSE)</f>
        <v>#N/A</v>
      </c>
      <c r="O2533" s="7" t="str">
        <f>VLOOKUP(F2533,HC!A$6:D$1000,2,FALSE)</f>
        <v>wguanajr</v>
      </c>
      <c r="P2533" t="s">
        <v>662</v>
      </c>
      <c r="Q2533" t="s">
        <v>687</v>
      </c>
      <c r="U2533">
        <f t="shared" si="41"/>
        <v>36</v>
      </c>
    </row>
    <row r="2534" spans="1:21" ht="37.5" customHeight="1" x14ac:dyDescent="0.25">
      <c r="A2534" s="34">
        <v>45133</v>
      </c>
      <c r="B2534" s="13">
        <v>30</v>
      </c>
      <c r="C2534" t="s">
        <v>3</v>
      </c>
      <c r="D2534" t="s">
        <v>4</v>
      </c>
      <c r="E2534" t="s">
        <v>21</v>
      </c>
      <c r="F2534" s="6">
        <v>201186833</v>
      </c>
      <c r="G2534" t="s">
        <v>904</v>
      </c>
      <c r="H2534" t="s">
        <v>285</v>
      </c>
      <c r="I2534">
        <v>0</v>
      </c>
      <c r="J2534">
        <v>0</v>
      </c>
      <c r="K2534">
        <v>0</v>
      </c>
      <c r="L2534">
        <v>0</v>
      </c>
      <c r="M2534">
        <v>0.16</v>
      </c>
      <c r="N2534" s="7" t="e">
        <f>VLOOKUP(F2534,HC!A$6:D$100,3,FALSE)</f>
        <v>#N/A</v>
      </c>
      <c r="O2534" s="7" t="str">
        <f>VLOOKUP(F2534,HC!A$6:D$1000,2,FALSE)</f>
        <v>jaalexav</v>
      </c>
      <c r="P2534" t="s">
        <v>661</v>
      </c>
      <c r="Q2534" t="s">
        <v>681</v>
      </c>
      <c r="U2534">
        <f t="shared" si="41"/>
        <v>16</v>
      </c>
    </row>
    <row r="2535" spans="1:21" ht="37.5" customHeight="1" x14ac:dyDescent="0.25">
      <c r="A2535" s="34">
        <v>45133</v>
      </c>
      <c r="B2535" s="13">
        <v>30</v>
      </c>
      <c r="C2535" t="s">
        <v>3</v>
      </c>
      <c r="D2535" t="s">
        <v>4</v>
      </c>
      <c r="E2535" t="s">
        <v>21</v>
      </c>
      <c r="F2535" s="6">
        <v>201353293</v>
      </c>
      <c r="G2535" t="s">
        <v>1175</v>
      </c>
      <c r="H2535" t="s">
        <v>403</v>
      </c>
      <c r="I2535">
        <v>0</v>
      </c>
      <c r="J2535">
        <v>0</v>
      </c>
      <c r="K2535">
        <v>0</v>
      </c>
      <c r="L2535">
        <v>0</v>
      </c>
      <c r="M2535">
        <v>0.25</v>
      </c>
      <c r="N2535" s="7" t="e">
        <f>VLOOKUP(F2535,HC!A$6:D$100,3,FALSE)</f>
        <v>#N/A</v>
      </c>
      <c r="O2535" s="7" t="str">
        <f>VLOOKUP(F2535,HC!A$6:D$1000,2,FALSE)</f>
        <v>caitzaya</v>
      </c>
      <c r="P2535" t="s">
        <v>662</v>
      </c>
      <c r="Q2535" t="s">
        <v>688</v>
      </c>
      <c r="U2535">
        <f t="shared" si="41"/>
        <v>2</v>
      </c>
    </row>
    <row r="2536" spans="1:21" ht="37.5" customHeight="1" x14ac:dyDescent="0.25">
      <c r="A2536" s="34">
        <v>45133</v>
      </c>
      <c r="B2536" s="13">
        <v>30</v>
      </c>
      <c r="C2536" t="s">
        <v>3</v>
      </c>
      <c r="D2536" t="s">
        <v>4</v>
      </c>
      <c r="E2536" t="s">
        <v>21</v>
      </c>
      <c r="F2536" s="6">
        <v>201378542</v>
      </c>
      <c r="G2536" t="s">
        <v>1164</v>
      </c>
      <c r="H2536" t="s">
        <v>1040</v>
      </c>
      <c r="I2536">
        <v>0</v>
      </c>
      <c r="J2536">
        <v>0</v>
      </c>
      <c r="K2536">
        <v>0</v>
      </c>
      <c r="L2536">
        <v>0</v>
      </c>
      <c r="M2536">
        <v>0.22</v>
      </c>
      <c r="N2536" s="7" t="e">
        <f>VLOOKUP(F2536,HC!A$6:D$100,3,FALSE)</f>
        <v>#N/A</v>
      </c>
      <c r="O2536" s="7" t="str">
        <f>VLOOKUP(F2536,HC!A$6:D$1000,2,FALSE)</f>
        <v>tcontree</v>
      </c>
      <c r="P2536" t="s">
        <v>664</v>
      </c>
      <c r="Q2536" t="s">
        <v>710</v>
      </c>
      <c r="U2536">
        <f t="shared" si="41"/>
        <v>9</v>
      </c>
    </row>
    <row r="2537" spans="1:21" ht="37.5" customHeight="1" x14ac:dyDescent="0.25">
      <c r="A2537" s="34">
        <v>45134</v>
      </c>
      <c r="B2537" s="13">
        <v>30</v>
      </c>
      <c r="C2537" t="s">
        <v>3</v>
      </c>
      <c r="D2537" t="s">
        <v>4</v>
      </c>
      <c r="E2537" t="s">
        <v>5</v>
      </c>
      <c r="F2537" s="6">
        <v>112912054</v>
      </c>
      <c r="G2537" t="s">
        <v>333</v>
      </c>
      <c r="H2537" t="s">
        <v>282</v>
      </c>
      <c r="I2537">
        <v>0</v>
      </c>
      <c r="J2537">
        <v>0</v>
      </c>
      <c r="K2537">
        <v>0</v>
      </c>
      <c r="L2537">
        <v>0</v>
      </c>
      <c r="M2537">
        <v>0.21</v>
      </c>
      <c r="N2537" s="7" t="str">
        <f>VLOOKUP(F2537,HC!A$6:D$100,3,FALSE)</f>
        <v>DB-X0700</v>
      </c>
      <c r="O2537" s="7" t="str">
        <f>VLOOKUP(F2537,HC!A$6:D$1000,2,FALSE)</f>
        <v>privejor</v>
      </c>
      <c r="P2537" t="s">
        <v>664</v>
      </c>
      <c r="Q2537" t="s">
        <v>721</v>
      </c>
      <c r="U2537">
        <f t="shared" si="41"/>
        <v>14</v>
      </c>
    </row>
    <row r="2538" spans="1:21" ht="37.5" customHeight="1" x14ac:dyDescent="0.25">
      <c r="A2538" s="34">
        <v>45134</v>
      </c>
      <c r="B2538" s="13">
        <v>30</v>
      </c>
      <c r="C2538" t="s">
        <v>3</v>
      </c>
      <c r="D2538" t="s">
        <v>4</v>
      </c>
      <c r="E2538" t="s">
        <v>5</v>
      </c>
      <c r="F2538" s="6">
        <v>112972521</v>
      </c>
      <c r="G2538" t="s">
        <v>1149</v>
      </c>
      <c r="H2538" t="s">
        <v>250</v>
      </c>
      <c r="I2538">
        <v>0</v>
      </c>
      <c r="J2538">
        <v>0</v>
      </c>
      <c r="K2538">
        <v>0</v>
      </c>
      <c r="L2538">
        <v>0</v>
      </c>
      <c r="M2538">
        <v>0.57999999999999996</v>
      </c>
      <c r="N2538" s="7" t="str">
        <f>VLOOKUP(F2538,HC!A$6:D$100,3,FALSE)</f>
        <v>DB-X0700</v>
      </c>
      <c r="O2538" s="7" t="str">
        <f>VLOOKUP(F2538,HC!A$6:D$1000,2,FALSE)</f>
        <v>perezrro</v>
      </c>
      <c r="P2538" t="s">
        <v>661</v>
      </c>
      <c r="Q2538" t="s">
        <v>681</v>
      </c>
      <c r="U2538">
        <f t="shared" si="41"/>
        <v>5</v>
      </c>
    </row>
    <row r="2539" spans="1:21" ht="37.5" customHeight="1" x14ac:dyDescent="0.25">
      <c r="A2539" s="34">
        <v>45134</v>
      </c>
      <c r="B2539" s="13">
        <v>30</v>
      </c>
      <c r="C2539" t="s">
        <v>3</v>
      </c>
      <c r="D2539" t="s">
        <v>4</v>
      </c>
      <c r="E2539" t="s">
        <v>5</v>
      </c>
      <c r="F2539" s="6">
        <v>112981196</v>
      </c>
      <c r="G2539" t="s">
        <v>328</v>
      </c>
      <c r="H2539" t="s">
        <v>285</v>
      </c>
      <c r="I2539">
        <v>0</v>
      </c>
      <c r="J2539">
        <v>0</v>
      </c>
      <c r="K2539">
        <v>0</v>
      </c>
      <c r="L2539">
        <v>0</v>
      </c>
      <c r="M2539">
        <v>0.18</v>
      </c>
      <c r="N2539" s="7" t="e">
        <f>VLOOKUP(F2539,HC!A$6:D$100,3,FALSE)</f>
        <v>#N/A</v>
      </c>
      <c r="O2539" s="7" t="str">
        <f>VLOOKUP(F2539,HC!A$6:D$1000,2,FALSE)</f>
        <v>vandgome</v>
      </c>
      <c r="P2539" t="s">
        <v>661</v>
      </c>
      <c r="Q2539" t="s">
        <v>681</v>
      </c>
      <c r="U2539">
        <f t="shared" si="41"/>
        <v>24</v>
      </c>
    </row>
    <row r="2540" spans="1:21" ht="37.5" customHeight="1" x14ac:dyDescent="0.25">
      <c r="A2540" s="34">
        <v>45134</v>
      </c>
      <c r="B2540" s="13">
        <v>30</v>
      </c>
      <c r="C2540" t="s">
        <v>3</v>
      </c>
      <c r="D2540" t="s">
        <v>4</v>
      </c>
      <c r="E2540" t="s">
        <v>5</v>
      </c>
      <c r="F2540" s="6">
        <v>113020476</v>
      </c>
      <c r="G2540" t="s">
        <v>330</v>
      </c>
      <c r="H2540" t="s">
        <v>7</v>
      </c>
      <c r="I2540">
        <v>0</v>
      </c>
      <c r="J2540">
        <v>0</v>
      </c>
      <c r="K2540">
        <v>0</v>
      </c>
      <c r="L2540">
        <v>0</v>
      </c>
      <c r="M2540">
        <v>0.18</v>
      </c>
      <c r="N2540" s="7" t="e">
        <f>VLOOKUP(F2540,HC!A$6:D$100,3,FALSE)</f>
        <v>#N/A</v>
      </c>
      <c r="O2540" s="7" t="str">
        <f>VLOOKUP(F2540,HC!A$6:D$1000,2,FALSE)</f>
        <v>polettpu</v>
      </c>
      <c r="P2540" t="s">
        <v>675</v>
      </c>
      <c r="U2540">
        <f t="shared" si="41"/>
        <v>55</v>
      </c>
    </row>
    <row r="2541" spans="1:21" ht="37.5" customHeight="1" x14ac:dyDescent="0.25">
      <c r="A2541" s="34">
        <v>45134</v>
      </c>
      <c r="B2541" s="13">
        <v>30</v>
      </c>
      <c r="C2541" t="s">
        <v>3</v>
      </c>
      <c r="D2541" t="s">
        <v>4</v>
      </c>
      <c r="E2541" t="s">
        <v>5</v>
      </c>
      <c r="F2541" s="6">
        <v>200404250</v>
      </c>
      <c r="G2541" t="s">
        <v>51</v>
      </c>
      <c r="H2541" t="s">
        <v>298</v>
      </c>
      <c r="I2541">
        <v>0</v>
      </c>
      <c r="J2541">
        <v>0</v>
      </c>
      <c r="K2541">
        <v>0</v>
      </c>
      <c r="L2541">
        <v>0</v>
      </c>
      <c r="M2541">
        <v>0.43</v>
      </c>
      <c r="N2541" s="7" t="e">
        <f>VLOOKUP(F2541,HC!A$6:D$100,3,FALSE)</f>
        <v>#N/A</v>
      </c>
      <c r="O2541" s="7" t="str">
        <f>VLOOKUP(F2541,HC!A$6:D$1000,2,FALSE)</f>
        <v>xcathurt</v>
      </c>
      <c r="P2541" t="s">
        <v>662</v>
      </c>
      <c r="Q2541" t="s">
        <v>785</v>
      </c>
      <c r="U2541">
        <f t="shared" si="41"/>
        <v>124</v>
      </c>
    </row>
    <row r="2542" spans="1:21" ht="37.5" customHeight="1" x14ac:dyDescent="0.25">
      <c r="A2542" s="34">
        <v>45134</v>
      </c>
      <c r="B2542" s="13">
        <v>30</v>
      </c>
      <c r="C2542" t="s">
        <v>3</v>
      </c>
      <c r="D2542" t="s">
        <v>4</v>
      </c>
      <c r="E2542" t="s">
        <v>5</v>
      </c>
      <c r="F2542" s="6">
        <v>200508315</v>
      </c>
      <c r="G2542" t="s">
        <v>428</v>
      </c>
      <c r="H2542" t="s">
        <v>7</v>
      </c>
      <c r="I2542">
        <v>0</v>
      </c>
      <c r="J2542">
        <v>0</v>
      </c>
      <c r="K2542">
        <v>0</v>
      </c>
      <c r="L2542">
        <v>0</v>
      </c>
      <c r="M2542">
        <v>0.13</v>
      </c>
      <c r="N2542" s="7" t="e">
        <f>VLOOKUP(F2542,HC!A$6:D$100,3,FALSE)</f>
        <v>#N/A</v>
      </c>
      <c r="O2542" s="7" t="str">
        <f>VLOOKUP(F2542,HC!A$6:D$1000,2,FALSE)</f>
        <v>taldaher</v>
      </c>
      <c r="P2542" t="s">
        <v>661</v>
      </c>
      <c r="Q2542" t="s">
        <v>684</v>
      </c>
      <c r="U2542">
        <f t="shared" si="41"/>
        <v>18</v>
      </c>
    </row>
    <row r="2543" spans="1:21" ht="37.5" customHeight="1" x14ac:dyDescent="0.25">
      <c r="A2543" s="34">
        <v>45134</v>
      </c>
      <c r="B2543" s="13">
        <v>30</v>
      </c>
      <c r="C2543" t="s">
        <v>3</v>
      </c>
      <c r="D2543" t="s">
        <v>4</v>
      </c>
      <c r="E2543" t="s">
        <v>5</v>
      </c>
      <c r="F2543" s="6">
        <v>200562154</v>
      </c>
      <c r="G2543" t="s">
        <v>437</v>
      </c>
      <c r="H2543" t="s">
        <v>49</v>
      </c>
      <c r="I2543">
        <v>0</v>
      </c>
      <c r="J2543">
        <v>0</v>
      </c>
      <c r="K2543">
        <v>0</v>
      </c>
      <c r="L2543">
        <v>0</v>
      </c>
      <c r="M2543">
        <v>0.49</v>
      </c>
      <c r="N2543" s="7" t="e">
        <f>VLOOKUP(F2543,HC!A$6:D$100,3,FALSE)</f>
        <v>#N/A</v>
      </c>
      <c r="O2543" s="7" t="str">
        <f>VLOOKUP(F2543,HC!A$6:D$1000,2,FALSE)</f>
        <v>reyesmcw</v>
      </c>
      <c r="P2543" t="s">
        <v>675</v>
      </c>
      <c r="U2543">
        <f t="shared" si="41"/>
        <v>38</v>
      </c>
    </row>
    <row r="2544" spans="1:21" ht="37.5" customHeight="1" x14ac:dyDescent="0.25">
      <c r="A2544" s="34">
        <v>45134</v>
      </c>
      <c r="B2544" s="13">
        <v>30</v>
      </c>
      <c r="C2544" t="s">
        <v>3</v>
      </c>
      <c r="D2544" t="s">
        <v>4</v>
      </c>
      <c r="E2544" t="s">
        <v>21</v>
      </c>
      <c r="F2544" s="6">
        <v>201318227</v>
      </c>
      <c r="G2544" t="s">
        <v>973</v>
      </c>
      <c r="H2544" t="s">
        <v>47</v>
      </c>
      <c r="I2544">
        <v>0</v>
      </c>
      <c r="J2544">
        <v>0</v>
      </c>
      <c r="K2544">
        <v>0</v>
      </c>
      <c r="L2544">
        <v>0</v>
      </c>
      <c r="M2544">
        <v>0.26</v>
      </c>
      <c r="N2544" s="7" t="e">
        <f>VLOOKUP(F2544,HC!A$6:D$100,3,FALSE)</f>
        <v>#N/A</v>
      </c>
      <c r="O2544" s="7" t="e">
        <f>VLOOKUP(F2544,HC!A$6:D$1000,2,FALSE)</f>
        <v>#N/A</v>
      </c>
      <c r="P2544" t="s">
        <v>661</v>
      </c>
      <c r="Q2544" t="s">
        <v>700</v>
      </c>
      <c r="U2544">
        <f t="shared" si="41"/>
        <v>1395</v>
      </c>
    </row>
    <row r="2545" spans="1:21" ht="37.5" customHeight="1" x14ac:dyDescent="0.25">
      <c r="A2545" s="34">
        <v>45134</v>
      </c>
      <c r="B2545" s="13">
        <v>30</v>
      </c>
      <c r="C2545" t="s">
        <v>3</v>
      </c>
      <c r="D2545" t="s">
        <v>4</v>
      </c>
      <c r="E2545" t="s">
        <v>21</v>
      </c>
      <c r="F2545" s="6">
        <v>201354965</v>
      </c>
      <c r="G2545" t="s">
        <v>1063</v>
      </c>
      <c r="H2545" t="s">
        <v>263</v>
      </c>
      <c r="I2545">
        <v>0</v>
      </c>
      <c r="J2545">
        <v>0</v>
      </c>
      <c r="K2545">
        <v>0</v>
      </c>
      <c r="L2545">
        <v>0</v>
      </c>
      <c r="M2545">
        <v>0.24</v>
      </c>
      <c r="N2545" s="7" t="e">
        <f>VLOOKUP(F2545,HC!A$6:D$100,3,FALSE)</f>
        <v>#N/A</v>
      </c>
      <c r="O2545" s="7" t="str">
        <f>VLOOKUP(F2545,HC!A$6:D$1000,2,FALSE)</f>
        <v>alinejim</v>
      </c>
      <c r="P2545" t="s">
        <v>670</v>
      </c>
      <c r="U2545">
        <f t="shared" si="41"/>
        <v>33</v>
      </c>
    </row>
    <row r="2546" spans="1:21" ht="37.5" customHeight="1" x14ac:dyDescent="0.25">
      <c r="A2546" s="34">
        <v>45135</v>
      </c>
      <c r="B2546" s="13">
        <v>30</v>
      </c>
      <c r="C2546" t="s">
        <v>3</v>
      </c>
      <c r="D2546" t="s">
        <v>4</v>
      </c>
      <c r="E2546" t="s">
        <v>5</v>
      </c>
      <c r="F2546" s="6">
        <v>112920666</v>
      </c>
      <c r="G2546" t="s">
        <v>252</v>
      </c>
      <c r="H2546" t="s">
        <v>459</v>
      </c>
      <c r="I2546">
        <v>0</v>
      </c>
      <c r="J2546">
        <v>0</v>
      </c>
      <c r="K2546">
        <v>0</v>
      </c>
      <c r="L2546">
        <v>0</v>
      </c>
      <c r="M2546">
        <v>0.24</v>
      </c>
      <c r="N2546" s="7" t="str">
        <f>VLOOKUP(F2546,HC!A$6:D$100,3,FALSE)</f>
        <v>D5-X0700</v>
      </c>
      <c r="O2546" s="7" t="str">
        <f>VLOOKUP(F2546,HC!A$6:D$1000,2,FALSE)</f>
        <v>jorochai</v>
      </c>
      <c r="P2546" t="s">
        <v>663</v>
      </c>
      <c r="Q2546" t="s">
        <v>695</v>
      </c>
      <c r="U2546">
        <f t="shared" si="41"/>
        <v>19</v>
      </c>
    </row>
    <row r="2547" spans="1:21" ht="37.5" customHeight="1" x14ac:dyDescent="0.25">
      <c r="A2547" s="34">
        <v>45135</v>
      </c>
      <c r="B2547" s="13">
        <v>30</v>
      </c>
      <c r="C2547" t="s">
        <v>3</v>
      </c>
      <c r="D2547" t="s">
        <v>4</v>
      </c>
      <c r="E2547" t="s">
        <v>5</v>
      </c>
      <c r="F2547" s="6">
        <v>112972524</v>
      </c>
      <c r="G2547" t="s">
        <v>312</v>
      </c>
      <c r="H2547" t="s">
        <v>250</v>
      </c>
      <c r="I2547">
        <v>0</v>
      </c>
      <c r="J2547">
        <v>0</v>
      </c>
      <c r="K2547">
        <v>0</v>
      </c>
      <c r="L2547">
        <v>0</v>
      </c>
      <c r="M2547">
        <v>0.33</v>
      </c>
      <c r="N2547" s="7" t="str">
        <f>VLOOKUP(F2547,HC!A$6:D$100,3,FALSE)</f>
        <v>DB-X0700</v>
      </c>
      <c r="O2547" s="7" t="str">
        <f>VLOOKUP(F2547,HC!A$6:D$1000,2,FALSE)</f>
        <v>csantibl</v>
      </c>
      <c r="P2547" t="s">
        <v>661</v>
      </c>
      <c r="Q2547" t="s">
        <v>684</v>
      </c>
      <c r="U2547">
        <f t="shared" si="41"/>
        <v>17</v>
      </c>
    </row>
    <row r="2548" spans="1:21" ht="37.5" customHeight="1" x14ac:dyDescent="0.25">
      <c r="A2548" s="34">
        <v>45135</v>
      </c>
      <c r="B2548" s="13">
        <v>30</v>
      </c>
      <c r="C2548" t="s">
        <v>3</v>
      </c>
      <c r="D2548" t="s">
        <v>4</v>
      </c>
      <c r="E2548" t="s">
        <v>5</v>
      </c>
      <c r="F2548" s="6">
        <v>113101262</v>
      </c>
      <c r="G2548" t="s">
        <v>642</v>
      </c>
      <c r="H2548" t="s">
        <v>49</v>
      </c>
      <c r="I2548">
        <v>0</v>
      </c>
      <c r="J2548">
        <v>0</v>
      </c>
      <c r="K2548">
        <v>0</v>
      </c>
      <c r="L2548">
        <v>0</v>
      </c>
      <c r="M2548">
        <v>7.0000000000000007E-2</v>
      </c>
      <c r="N2548" s="7" t="e">
        <f>VLOOKUP(F2548,HC!A$6:D$100,3,FALSE)</f>
        <v>#N/A</v>
      </c>
      <c r="O2548" s="7" t="str">
        <f>VLOOKUP(F2548,HC!A$6:D$1000,2,FALSE)</f>
        <v>cetinocr</v>
      </c>
      <c r="P2548" t="s">
        <v>664</v>
      </c>
      <c r="Q2548" t="s">
        <v>709</v>
      </c>
      <c r="U2548">
        <f t="shared" si="41"/>
        <v>6</v>
      </c>
    </row>
    <row r="2549" spans="1:21" ht="37.5" customHeight="1" x14ac:dyDescent="0.25">
      <c r="A2549" s="34">
        <v>45135</v>
      </c>
      <c r="B2549" s="13">
        <v>30</v>
      </c>
      <c r="C2549" t="s">
        <v>3</v>
      </c>
      <c r="D2549" t="s">
        <v>4</v>
      </c>
      <c r="E2549" t="s">
        <v>5</v>
      </c>
      <c r="F2549" s="6">
        <v>200562154</v>
      </c>
      <c r="G2549" t="s">
        <v>437</v>
      </c>
      <c r="H2549" t="s">
        <v>49</v>
      </c>
      <c r="I2549">
        <v>0</v>
      </c>
      <c r="J2549">
        <v>0</v>
      </c>
      <c r="K2549">
        <v>0</v>
      </c>
      <c r="L2549">
        <v>0</v>
      </c>
      <c r="M2549">
        <v>0.44</v>
      </c>
      <c r="N2549" s="7" t="e">
        <f>VLOOKUP(F2549,HC!A$6:D$100,3,FALSE)</f>
        <v>#N/A</v>
      </c>
      <c r="O2549" s="7" t="str">
        <f>VLOOKUP(F2549,HC!A$6:D$1000,2,FALSE)</f>
        <v>reyesmcw</v>
      </c>
      <c r="P2549" t="s">
        <v>675</v>
      </c>
      <c r="U2549">
        <f t="shared" si="41"/>
        <v>38</v>
      </c>
    </row>
    <row r="2550" spans="1:21" ht="37.5" customHeight="1" x14ac:dyDescent="0.25">
      <c r="A2550" s="34">
        <v>45135</v>
      </c>
      <c r="B2550" s="13">
        <v>30</v>
      </c>
      <c r="C2550" t="s">
        <v>3</v>
      </c>
      <c r="D2550" t="s">
        <v>4</v>
      </c>
      <c r="E2550" t="s">
        <v>5</v>
      </c>
      <c r="F2550" s="6">
        <v>200625528</v>
      </c>
      <c r="G2550" t="s">
        <v>607</v>
      </c>
      <c r="H2550" t="s">
        <v>285</v>
      </c>
      <c r="I2550">
        <v>0</v>
      </c>
      <c r="J2550">
        <v>0</v>
      </c>
      <c r="K2550">
        <v>0</v>
      </c>
      <c r="L2550">
        <v>0</v>
      </c>
      <c r="M2550">
        <v>0.24</v>
      </c>
      <c r="N2550" s="7" t="e">
        <f>VLOOKUP(F2550,HC!A$6:D$100,3,FALSE)</f>
        <v>#N/A</v>
      </c>
      <c r="O2550" s="7" t="str">
        <f>VLOOKUP(F2550,HC!A$6:D$1000,2,FALSE)</f>
        <v>olivlizb</v>
      </c>
      <c r="P2550" t="s">
        <v>662</v>
      </c>
      <c r="Q2550" t="s">
        <v>687</v>
      </c>
      <c r="U2550">
        <f t="shared" si="41"/>
        <v>50</v>
      </c>
    </row>
    <row r="2551" spans="1:21" ht="37.5" customHeight="1" x14ac:dyDescent="0.25">
      <c r="A2551" s="34">
        <v>45135</v>
      </c>
      <c r="B2551" s="13">
        <v>30</v>
      </c>
      <c r="C2551" t="s">
        <v>3</v>
      </c>
      <c r="D2551" t="s">
        <v>4</v>
      </c>
      <c r="E2551" t="s">
        <v>21</v>
      </c>
      <c r="F2551" s="6">
        <v>201211157</v>
      </c>
      <c r="G2551" t="s">
        <v>936</v>
      </c>
      <c r="H2551" t="s">
        <v>459</v>
      </c>
      <c r="I2551">
        <v>0</v>
      </c>
      <c r="J2551">
        <v>0</v>
      </c>
      <c r="K2551">
        <v>0</v>
      </c>
      <c r="L2551">
        <v>0</v>
      </c>
      <c r="M2551">
        <v>0.36</v>
      </c>
      <c r="N2551" s="7" t="e">
        <f>VLOOKUP(F2551,HC!A$6:D$100,3,FALSE)</f>
        <v>#N/A</v>
      </c>
      <c r="O2551" s="7" t="str">
        <f>VLOOKUP(F2551,HC!A$6:D$1000,2,FALSE)</f>
        <v>vargajed</v>
      </c>
      <c r="P2551" t="s">
        <v>661</v>
      </c>
      <c r="Q2551" t="s">
        <v>684</v>
      </c>
      <c r="U2551">
        <f t="shared" si="41"/>
        <v>17</v>
      </c>
    </row>
    <row r="2552" spans="1:21" ht="37.5" customHeight="1" x14ac:dyDescent="0.25">
      <c r="A2552" s="34">
        <v>45136</v>
      </c>
      <c r="B2552" s="13">
        <v>30</v>
      </c>
      <c r="C2552" t="s">
        <v>3</v>
      </c>
      <c r="D2552" t="s">
        <v>4</v>
      </c>
      <c r="E2552" t="s">
        <v>21</v>
      </c>
      <c r="F2552" s="6">
        <v>112912747</v>
      </c>
      <c r="G2552" t="s">
        <v>995</v>
      </c>
      <c r="H2552" t="s">
        <v>263</v>
      </c>
      <c r="I2552">
        <v>0</v>
      </c>
      <c r="J2552">
        <v>0</v>
      </c>
      <c r="K2552">
        <v>0</v>
      </c>
      <c r="L2552">
        <v>0</v>
      </c>
      <c r="M2552">
        <v>0.43</v>
      </c>
      <c r="N2552" s="7" t="e">
        <f>VLOOKUP(F2552,HC!A$6:D$100,3,FALSE)</f>
        <v>#N/A</v>
      </c>
      <c r="O2552" s="7" t="e">
        <f>VLOOKUP(F2552,HC!A$6:D$1000,2,FALSE)</f>
        <v>#N/A</v>
      </c>
      <c r="P2552" t="s">
        <v>669</v>
      </c>
      <c r="Q2552" t="s">
        <v>739</v>
      </c>
      <c r="U2552">
        <f t="shared" si="41"/>
        <v>1395</v>
      </c>
    </row>
    <row r="2553" spans="1:21" ht="37.5" customHeight="1" x14ac:dyDescent="0.25">
      <c r="A2553" s="34">
        <v>45136</v>
      </c>
      <c r="B2553" s="13">
        <v>30</v>
      </c>
      <c r="C2553" t="s">
        <v>3</v>
      </c>
      <c r="D2553" t="s">
        <v>4</v>
      </c>
      <c r="E2553" t="s">
        <v>5</v>
      </c>
      <c r="F2553" s="6">
        <v>112920666</v>
      </c>
      <c r="G2553" t="s">
        <v>252</v>
      </c>
      <c r="H2553" t="s">
        <v>459</v>
      </c>
      <c r="I2553">
        <v>0</v>
      </c>
      <c r="J2553">
        <v>0</v>
      </c>
      <c r="K2553">
        <v>0</v>
      </c>
      <c r="L2553">
        <v>0</v>
      </c>
      <c r="M2553">
        <v>0.1</v>
      </c>
      <c r="N2553" s="7" t="str">
        <f>VLOOKUP(F2553,HC!A$6:D$100,3,FALSE)</f>
        <v>D5-X0700</v>
      </c>
      <c r="O2553" s="7" t="str">
        <f>VLOOKUP(F2553,HC!A$6:D$1000,2,FALSE)</f>
        <v>jorochai</v>
      </c>
      <c r="P2553" t="s">
        <v>662</v>
      </c>
      <c r="Q2553" t="s">
        <v>688</v>
      </c>
      <c r="U2553">
        <f t="shared" si="41"/>
        <v>19</v>
      </c>
    </row>
    <row r="2554" spans="1:21" ht="37.5" customHeight="1" x14ac:dyDescent="0.25">
      <c r="A2554" s="34">
        <v>45136</v>
      </c>
      <c r="B2554" s="13">
        <v>30</v>
      </c>
      <c r="C2554" t="s">
        <v>3</v>
      </c>
      <c r="D2554" t="s">
        <v>4</v>
      </c>
      <c r="E2554" t="s">
        <v>5</v>
      </c>
      <c r="F2554" s="6">
        <v>113020476</v>
      </c>
      <c r="G2554" t="s">
        <v>330</v>
      </c>
      <c r="H2554" t="s">
        <v>7</v>
      </c>
      <c r="I2554">
        <v>0</v>
      </c>
      <c r="J2554">
        <v>0</v>
      </c>
      <c r="K2554">
        <v>0</v>
      </c>
      <c r="L2554">
        <v>0</v>
      </c>
      <c r="M2554">
        <v>0.24</v>
      </c>
      <c r="N2554" s="7" t="e">
        <f>VLOOKUP(F2554,HC!A$6:D$100,3,FALSE)</f>
        <v>#N/A</v>
      </c>
      <c r="O2554" s="7" t="str">
        <f>VLOOKUP(F2554,HC!A$6:D$1000,2,FALSE)</f>
        <v>polettpu</v>
      </c>
      <c r="P2554" t="s">
        <v>675</v>
      </c>
      <c r="U2554">
        <f t="shared" si="41"/>
        <v>55</v>
      </c>
    </row>
    <row r="2555" spans="1:21" ht="37.5" customHeight="1" x14ac:dyDescent="0.25">
      <c r="A2555" s="34">
        <v>45136</v>
      </c>
      <c r="B2555" s="13">
        <v>30</v>
      </c>
      <c r="C2555" t="s">
        <v>3</v>
      </c>
      <c r="D2555" t="s">
        <v>4</v>
      </c>
      <c r="E2555" t="s">
        <v>5</v>
      </c>
      <c r="F2555" s="6">
        <v>113020497</v>
      </c>
      <c r="G2555" t="s">
        <v>606</v>
      </c>
      <c r="H2555" t="s">
        <v>47</v>
      </c>
      <c r="I2555">
        <v>0</v>
      </c>
      <c r="J2555">
        <v>0</v>
      </c>
      <c r="K2555">
        <v>0</v>
      </c>
      <c r="L2555">
        <v>0</v>
      </c>
      <c r="M2555">
        <v>0.42</v>
      </c>
      <c r="N2555" s="7" t="e">
        <f>VLOOKUP(F2555,HC!A$6:D$100,3,FALSE)</f>
        <v>#N/A</v>
      </c>
      <c r="O2555" s="7" t="str">
        <f>VLOOKUP(F2555,HC!A$6:D$1000,2,FALSE)</f>
        <v>diamartd</v>
      </c>
      <c r="P2555" t="s">
        <v>664</v>
      </c>
      <c r="Q2555" t="s">
        <v>777</v>
      </c>
      <c r="U2555">
        <f t="shared" si="41"/>
        <v>14</v>
      </c>
    </row>
    <row r="2556" spans="1:21" ht="37.5" customHeight="1" x14ac:dyDescent="0.25">
      <c r="A2556" s="34">
        <v>45136</v>
      </c>
      <c r="B2556" s="13">
        <v>30</v>
      </c>
      <c r="C2556" t="s">
        <v>3</v>
      </c>
      <c r="D2556" t="s">
        <v>4</v>
      </c>
      <c r="E2556" t="s">
        <v>5</v>
      </c>
      <c r="F2556" s="6">
        <v>113052151</v>
      </c>
      <c r="G2556" t="s">
        <v>482</v>
      </c>
      <c r="H2556" t="s">
        <v>17</v>
      </c>
      <c r="I2556">
        <v>0</v>
      </c>
      <c r="J2556">
        <v>0</v>
      </c>
      <c r="K2556">
        <v>0</v>
      </c>
      <c r="L2556">
        <v>0</v>
      </c>
      <c r="M2556">
        <v>0.17</v>
      </c>
      <c r="N2556" s="7" t="e">
        <f>VLOOKUP(F2556,HC!A$6:D$100,3,FALSE)</f>
        <v>#N/A</v>
      </c>
      <c r="O2556" s="7" t="str">
        <f>VLOOKUP(F2556,HC!A$6:D$1000,2,FALSE)</f>
        <v>nilaurab</v>
      </c>
      <c r="P2556" t="s">
        <v>662</v>
      </c>
      <c r="Q2556" t="s">
        <v>691</v>
      </c>
      <c r="U2556">
        <f t="shared" si="41"/>
        <v>28</v>
      </c>
    </row>
    <row r="2557" spans="1:21" ht="37.5" customHeight="1" x14ac:dyDescent="0.25">
      <c r="A2557" s="34">
        <v>45136</v>
      </c>
      <c r="B2557" s="13">
        <v>30</v>
      </c>
      <c r="C2557" t="s">
        <v>3</v>
      </c>
      <c r="D2557" t="s">
        <v>4</v>
      </c>
      <c r="E2557" t="s">
        <v>5</v>
      </c>
      <c r="F2557" s="6">
        <v>200562154</v>
      </c>
      <c r="G2557" t="s">
        <v>437</v>
      </c>
      <c r="H2557" t="s">
        <v>49</v>
      </c>
      <c r="I2557">
        <v>0</v>
      </c>
      <c r="J2557">
        <v>0</v>
      </c>
      <c r="K2557">
        <v>0</v>
      </c>
      <c r="L2557">
        <v>0</v>
      </c>
      <c r="M2557">
        <v>0.3</v>
      </c>
      <c r="N2557" s="7" t="e">
        <f>VLOOKUP(F2557,HC!A$6:D$100,3,FALSE)</f>
        <v>#N/A</v>
      </c>
      <c r="O2557" s="7" t="str">
        <f>VLOOKUP(F2557,HC!A$6:D$1000,2,FALSE)</f>
        <v>reyesmcw</v>
      </c>
      <c r="P2557" t="s">
        <v>675</v>
      </c>
      <c r="U2557">
        <f t="shared" si="41"/>
        <v>38</v>
      </c>
    </row>
    <row r="2558" spans="1:21" ht="37.5" customHeight="1" x14ac:dyDescent="0.25">
      <c r="A2558" s="34">
        <v>45136</v>
      </c>
      <c r="B2558" s="13">
        <v>30</v>
      </c>
      <c r="C2558" t="s">
        <v>3</v>
      </c>
      <c r="D2558" t="s">
        <v>4</v>
      </c>
      <c r="E2558" t="s">
        <v>5</v>
      </c>
      <c r="F2558" s="6">
        <v>200615883</v>
      </c>
      <c r="G2558" t="s">
        <v>508</v>
      </c>
      <c r="H2558" t="s">
        <v>47</v>
      </c>
      <c r="I2558">
        <v>0</v>
      </c>
      <c r="J2558">
        <v>0</v>
      </c>
      <c r="K2558">
        <v>0</v>
      </c>
      <c r="L2558">
        <v>0</v>
      </c>
      <c r="M2558">
        <v>0.19</v>
      </c>
      <c r="N2558" s="7" t="e">
        <f>VLOOKUP(F2558,HC!A$6:D$100,3,FALSE)</f>
        <v>#N/A</v>
      </c>
      <c r="O2558" s="7" t="e">
        <f>VLOOKUP(F2558,HC!A$6:D$1000,2,FALSE)</f>
        <v>#N/A</v>
      </c>
      <c r="P2558" t="s">
        <v>664</v>
      </c>
      <c r="Q2558" t="s">
        <v>761</v>
      </c>
      <c r="U2558">
        <f t="shared" si="41"/>
        <v>1395</v>
      </c>
    </row>
    <row r="2559" spans="1:21" ht="37.5" customHeight="1" x14ac:dyDescent="0.25">
      <c r="A2559" s="34">
        <v>45136</v>
      </c>
      <c r="B2559" s="13">
        <v>30</v>
      </c>
      <c r="C2559" t="s">
        <v>3</v>
      </c>
      <c r="D2559" t="s">
        <v>4</v>
      </c>
      <c r="E2559" t="s">
        <v>21</v>
      </c>
      <c r="F2559" s="6">
        <v>201191390</v>
      </c>
      <c r="G2559" t="s">
        <v>916</v>
      </c>
      <c r="H2559" t="s">
        <v>7</v>
      </c>
      <c r="I2559">
        <v>0</v>
      </c>
      <c r="J2559">
        <v>0</v>
      </c>
      <c r="K2559">
        <v>0</v>
      </c>
      <c r="L2559">
        <v>0</v>
      </c>
      <c r="M2559">
        <v>1.28</v>
      </c>
      <c r="N2559" s="7" t="e">
        <f>VLOOKUP(F2559,HC!A$6:D$100,3,FALSE)</f>
        <v>#N/A</v>
      </c>
      <c r="O2559" s="7" t="str">
        <f>VLOOKUP(F2559,HC!A$6:D$1000,2,FALSE)</f>
        <v>bgajesus</v>
      </c>
      <c r="P2559" t="s">
        <v>664</v>
      </c>
      <c r="Q2559" t="s">
        <v>770</v>
      </c>
      <c r="U2559">
        <f t="shared" si="41"/>
        <v>37</v>
      </c>
    </row>
    <row r="2560" spans="1:21" ht="37.5" customHeight="1" x14ac:dyDescent="0.25">
      <c r="A2560" s="34">
        <v>45136</v>
      </c>
      <c r="B2560" s="13">
        <v>30</v>
      </c>
      <c r="C2560" t="s">
        <v>3</v>
      </c>
      <c r="D2560" t="s">
        <v>4</v>
      </c>
      <c r="E2560" t="s">
        <v>21</v>
      </c>
      <c r="F2560" s="6">
        <v>201403462</v>
      </c>
      <c r="G2560" t="s">
        <v>1054</v>
      </c>
      <c r="H2560" t="s">
        <v>49</v>
      </c>
      <c r="I2560">
        <v>0</v>
      </c>
      <c r="J2560">
        <v>0</v>
      </c>
      <c r="K2560">
        <v>0</v>
      </c>
      <c r="L2560">
        <v>0</v>
      </c>
      <c r="M2560">
        <v>0.3</v>
      </c>
      <c r="N2560" s="7" t="e">
        <f>VLOOKUP(F2560,HC!A$6:D$100,3,FALSE)</f>
        <v>#N/A</v>
      </c>
      <c r="O2560" s="7" t="str">
        <f>VLOOKUP(F2560,HC!A$6:D$1000,2,FALSE)</f>
        <v>valdojoe</v>
      </c>
      <c r="P2560" t="s">
        <v>664</v>
      </c>
      <c r="Q2560" t="s">
        <v>712</v>
      </c>
      <c r="U2560">
        <f t="shared" si="41"/>
        <v>22</v>
      </c>
    </row>
    <row r="2561" spans="1:21" ht="37.5" customHeight="1" x14ac:dyDescent="0.25">
      <c r="A2561" s="34">
        <v>45137</v>
      </c>
      <c r="B2561" s="13">
        <v>31</v>
      </c>
      <c r="C2561" t="s">
        <v>3</v>
      </c>
      <c r="D2561" t="s">
        <v>4</v>
      </c>
      <c r="E2561" t="s">
        <v>5</v>
      </c>
      <c r="F2561" s="6">
        <v>112981196</v>
      </c>
      <c r="G2561" t="s">
        <v>328</v>
      </c>
      <c r="H2561" t="s">
        <v>285</v>
      </c>
      <c r="I2561">
        <v>0</v>
      </c>
      <c r="J2561">
        <v>0</v>
      </c>
      <c r="K2561">
        <v>0</v>
      </c>
      <c r="L2561">
        <v>0</v>
      </c>
      <c r="M2561">
        <v>0.31</v>
      </c>
      <c r="N2561" s="7" t="e">
        <f>VLOOKUP(F2561,HC!A$6:D$100,3,FALSE)</f>
        <v>#N/A</v>
      </c>
      <c r="O2561" s="7" t="str">
        <f>VLOOKUP(F2561,HC!A$6:D$1000,2,FALSE)</f>
        <v>vandgome</v>
      </c>
      <c r="P2561" t="s">
        <v>661</v>
      </c>
      <c r="Q2561" t="s">
        <v>681</v>
      </c>
      <c r="U2561">
        <f t="shared" si="41"/>
        <v>24</v>
      </c>
    </row>
    <row r="2562" spans="1:21" ht="37.5" customHeight="1" x14ac:dyDescent="0.25">
      <c r="A2562" s="34">
        <v>45137</v>
      </c>
      <c r="B2562" s="13">
        <v>31</v>
      </c>
      <c r="C2562" t="s">
        <v>3</v>
      </c>
      <c r="D2562" t="s">
        <v>4</v>
      </c>
      <c r="E2562" t="s">
        <v>21</v>
      </c>
      <c r="F2562" s="6">
        <v>201353328</v>
      </c>
      <c r="G2562" t="s">
        <v>1176</v>
      </c>
      <c r="H2562" t="s">
        <v>282</v>
      </c>
      <c r="I2562">
        <v>0</v>
      </c>
      <c r="J2562">
        <v>0</v>
      </c>
      <c r="K2562">
        <v>0</v>
      </c>
      <c r="L2562">
        <v>0</v>
      </c>
      <c r="M2562">
        <v>0.55000000000000004</v>
      </c>
      <c r="N2562" s="7" t="e">
        <f>VLOOKUP(F2562,HC!A$6:D$100,3,FALSE)</f>
        <v>#N/A</v>
      </c>
      <c r="O2562" s="7" t="str">
        <f>VLOOKUP(F2562,HC!A$6:D$1000,2,FALSE)</f>
        <v>zairamen</v>
      </c>
      <c r="P2562" t="s">
        <v>662</v>
      </c>
      <c r="Q2562" t="s">
        <v>687</v>
      </c>
      <c r="U2562">
        <f t="shared" si="41"/>
        <v>4</v>
      </c>
    </row>
    <row r="2563" spans="1:21" ht="37.5" customHeight="1" x14ac:dyDescent="0.25">
      <c r="A2563" s="34">
        <v>45137</v>
      </c>
      <c r="B2563" s="13">
        <v>31</v>
      </c>
      <c r="C2563" t="s">
        <v>3</v>
      </c>
      <c r="D2563" t="s">
        <v>4</v>
      </c>
      <c r="E2563" t="s">
        <v>21</v>
      </c>
      <c r="F2563" s="6">
        <v>201378452</v>
      </c>
      <c r="G2563" t="s">
        <v>1173</v>
      </c>
      <c r="H2563" t="s">
        <v>298</v>
      </c>
      <c r="I2563">
        <v>0</v>
      </c>
      <c r="J2563">
        <v>0</v>
      </c>
      <c r="K2563">
        <v>0</v>
      </c>
      <c r="L2563">
        <v>0</v>
      </c>
      <c r="M2563">
        <v>1.22</v>
      </c>
      <c r="N2563" s="7" t="e">
        <f>VLOOKUP(F2563,HC!A$6:D$100,3,FALSE)</f>
        <v>#N/A</v>
      </c>
      <c r="O2563" s="7" t="str">
        <f>VLOOKUP(F2563,HC!A$6:D$1000,2,FALSE)</f>
        <v>omhperez</v>
      </c>
      <c r="P2563" t="s">
        <v>661</v>
      </c>
      <c r="Q2563" t="s">
        <v>681</v>
      </c>
      <c r="U2563">
        <f t="shared" ref="U2563:U2626" si="42">COUNTIF(O$2:O$4999,O2563)</f>
        <v>9</v>
      </c>
    </row>
    <row r="2564" spans="1:21" ht="37.5" customHeight="1" x14ac:dyDescent="0.25">
      <c r="A2564" s="34">
        <v>45137</v>
      </c>
      <c r="B2564" s="13">
        <v>31</v>
      </c>
      <c r="C2564" t="s">
        <v>3</v>
      </c>
      <c r="D2564" t="s">
        <v>4</v>
      </c>
      <c r="E2564" t="s">
        <v>21</v>
      </c>
      <c r="F2564" s="6">
        <v>201396328</v>
      </c>
      <c r="G2564" t="s">
        <v>1171</v>
      </c>
      <c r="H2564" t="s">
        <v>263</v>
      </c>
      <c r="I2564">
        <v>0</v>
      </c>
      <c r="J2564">
        <v>0</v>
      </c>
      <c r="K2564">
        <v>0</v>
      </c>
      <c r="L2564">
        <v>0</v>
      </c>
      <c r="M2564">
        <v>1.03</v>
      </c>
      <c r="N2564" s="7" t="e">
        <f>VLOOKUP(F2564,HC!A$6:D$100,3,FALSE)</f>
        <v>#N/A</v>
      </c>
      <c r="O2564" s="7" t="str">
        <f>VLOOKUP(F2564,HC!A$6:D$1000,2,FALSE)</f>
        <v>nalcanch</v>
      </c>
      <c r="P2564" t="s">
        <v>661</v>
      </c>
      <c r="Q2564" t="s">
        <v>684</v>
      </c>
      <c r="U2564">
        <f t="shared" si="42"/>
        <v>12</v>
      </c>
    </row>
    <row r="2565" spans="1:21" ht="37.5" customHeight="1" x14ac:dyDescent="0.25">
      <c r="A2565" s="34">
        <v>45138</v>
      </c>
      <c r="B2565" s="13">
        <v>31</v>
      </c>
      <c r="C2565" t="s">
        <v>3</v>
      </c>
      <c r="D2565" t="s">
        <v>4</v>
      </c>
      <c r="E2565" t="s">
        <v>5</v>
      </c>
      <c r="F2565" s="6">
        <v>112912752</v>
      </c>
      <c r="G2565" t="s">
        <v>251</v>
      </c>
      <c r="H2565" t="s">
        <v>285</v>
      </c>
      <c r="I2565">
        <v>0</v>
      </c>
      <c r="J2565">
        <v>0</v>
      </c>
      <c r="K2565">
        <v>0</v>
      </c>
      <c r="L2565">
        <v>0</v>
      </c>
      <c r="M2565">
        <v>0.11</v>
      </c>
      <c r="N2565" s="7" t="str">
        <f>VLOOKUP(F2565,HC!A$6:D$100,3,FALSE)</f>
        <v>NF-X1900</v>
      </c>
      <c r="O2565" s="7" t="str">
        <f>VLOOKUP(F2565,HC!A$6:D$1000,2,FALSE)</f>
        <v>valderle</v>
      </c>
      <c r="P2565" t="s">
        <v>668</v>
      </c>
      <c r="Q2565" t="s">
        <v>730</v>
      </c>
      <c r="U2565">
        <f t="shared" si="42"/>
        <v>50</v>
      </c>
    </row>
    <row r="2566" spans="1:21" ht="37.5" customHeight="1" x14ac:dyDescent="0.25">
      <c r="A2566" s="34">
        <v>45138</v>
      </c>
      <c r="B2566" s="13">
        <v>31</v>
      </c>
      <c r="C2566" t="s">
        <v>3</v>
      </c>
      <c r="D2566" t="s">
        <v>4</v>
      </c>
      <c r="E2566" t="s">
        <v>5</v>
      </c>
      <c r="F2566" s="6">
        <v>112950800</v>
      </c>
      <c r="G2566" t="s">
        <v>457</v>
      </c>
      <c r="H2566" t="s">
        <v>332</v>
      </c>
      <c r="I2566">
        <v>0</v>
      </c>
      <c r="J2566">
        <v>0</v>
      </c>
      <c r="K2566">
        <v>0</v>
      </c>
      <c r="L2566">
        <v>0</v>
      </c>
      <c r="M2566">
        <v>0.17</v>
      </c>
      <c r="N2566" s="7" t="str">
        <f>VLOOKUP(F2566,HC!A$6:D$100,3,FALSE)</f>
        <v>NF-X1900</v>
      </c>
      <c r="O2566" s="7" t="str">
        <f>VLOOKUP(F2566,HC!A$6:D$1000,2,FALSE)</f>
        <v>virimuni</v>
      </c>
      <c r="P2566" t="s">
        <v>662</v>
      </c>
      <c r="Q2566" t="s">
        <v>687</v>
      </c>
      <c r="U2566">
        <f t="shared" si="42"/>
        <v>10</v>
      </c>
    </row>
    <row r="2567" spans="1:21" ht="37.5" customHeight="1" x14ac:dyDescent="0.25">
      <c r="A2567" s="34">
        <v>45138</v>
      </c>
      <c r="B2567" s="13">
        <v>31</v>
      </c>
      <c r="C2567" t="s">
        <v>3</v>
      </c>
      <c r="D2567" t="s">
        <v>4</v>
      </c>
      <c r="E2567" t="s">
        <v>5</v>
      </c>
      <c r="F2567" s="6">
        <v>112980899</v>
      </c>
      <c r="G2567" t="s">
        <v>396</v>
      </c>
      <c r="H2567" t="s">
        <v>1040</v>
      </c>
      <c r="I2567">
        <v>0</v>
      </c>
      <c r="J2567">
        <v>0</v>
      </c>
      <c r="K2567">
        <v>0</v>
      </c>
      <c r="L2567">
        <v>0</v>
      </c>
      <c r="M2567">
        <v>0.42</v>
      </c>
      <c r="N2567" s="7" t="str">
        <f>VLOOKUP(F2567,HC!A$6:D$100,3,FALSE)</f>
        <v>NF-X1900</v>
      </c>
      <c r="O2567" s="7" t="str">
        <f>VLOOKUP(F2567,HC!A$6:D$1000,2,FALSE)</f>
        <v>aravilac</v>
      </c>
      <c r="P2567" t="s">
        <v>662</v>
      </c>
      <c r="Q2567" t="s">
        <v>691</v>
      </c>
      <c r="U2567">
        <f t="shared" si="42"/>
        <v>33</v>
      </c>
    </row>
    <row r="2568" spans="1:21" ht="37.5" customHeight="1" x14ac:dyDescent="0.25">
      <c r="A2568" s="34">
        <v>45138</v>
      </c>
      <c r="B2568" s="13">
        <v>31</v>
      </c>
      <c r="C2568" t="s">
        <v>3</v>
      </c>
      <c r="D2568" t="s">
        <v>4</v>
      </c>
      <c r="E2568" t="s">
        <v>5</v>
      </c>
      <c r="F2568" s="6">
        <v>112981061</v>
      </c>
      <c r="G2568" t="s">
        <v>264</v>
      </c>
      <c r="H2568" t="s">
        <v>44</v>
      </c>
      <c r="I2568">
        <v>0</v>
      </c>
      <c r="J2568">
        <v>0</v>
      </c>
      <c r="K2568">
        <v>0</v>
      </c>
      <c r="L2568">
        <v>0</v>
      </c>
      <c r="M2568">
        <v>0.34</v>
      </c>
      <c r="N2568" s="7" t="str">
        <f>VLOOKUP(F2568,HC!A$6:D$100,3,FALSE)</f>
        <v>DA-X0700</v>
      </c>
      <c r="O2568" s="7" t="str">
        <f>VLOOKUP(F2568,HC!A$6:D$1000,2,FALSE)</f>
        <v>mclaudol</v>
      </c>
      <c r="P2568" t="s">
        <v>662</v>
      </c>
      <c r="Q2568" t="s">
        <v>688</v>
      </c>
      <c r="U2568">
        <f t="shared" si="42"/>
        <v>44</v>
      </c>
    </row>
    <row r="2569" spans="1:21" ht="37.5" customHeight="1" x14ac:dyDescent="0.25">
      <c r="A2569" s="34">
        <v>45138</v>
      </c>
      <c r="B2569" s="13">
        <v>31</v>
      </c>
      <c r="C2569" t="s">
        <v>3</v>
      </c>
      <c r="D2569" t="s">
        <v>4</v>
      </c>
      <c r="E2569" t="s">
        <v>5</v>
      </c>
      <c r="F2569" s="6">
        <v>112981196</v>
      </c>
      <c r="G2569" t="s">
        <v>328</v>
      </c>
      <c r="H2569" t="s">
        <v>285</v>
      </c>
      <c r="I2569">
        <v>0</v>
      </c>
      <c r="J2569">
        <v>0</v>
      </c>
      <c r="K2569">
        <v>0</v>
      </c>
      <c r="L2569">
        <v>0</v>
      </c>
      <c r="M2569">
        <v>0.18</v>
      </c>
      <c r="N2569" s="7" t="e">
        <f>VLOOKUP(F2569,HC!A$6:D$100,3,FALSE)</f>
        <v>#N/A</v>
      </c>
      <c r="O2569" s="7" t="str">
        <f>VLOOKUP(F2569,HC!A$6:D$1000,2,FALSE)</f>
        <v>vandgome</v>
      </c>
      <c r="P2569" t="s">
        <v>661</v>
      </c>
      <c r="Q2569" t="s">
        <v>681</v>
      </c>
      <c r="U2569">
        <f t="shared" si="42"/>
        <v>24</v>
      </c>
    </row>
    <row r="2570" spans="1:21" ht="37.5" customHeight="1" x14ac:dyDescent="0.25">
      <c r="A2570" s="34">
        <v>45138</v>
      </c>
      <c r="B2570" s="13">
        <v>31</v>
      </c>
      <c r="C2570" t="s">
        <v>3</v>
      </c>
      <c r="D2570" t="s">
        <v>4</v>
      </c>
      <c r="E2570" t="s">
        <v>5</v>
      </c>
      <c r="F2570" s="6">
        <v>113003635</v>
      </c>
      <c r="G2570" t="s">
        <v>930</v>
      </c>
      <c r="H2570" t="s">
        <v>44</v>
      </c>
      <c r="I2570">
        <v>0</v>
      </c>
      <c r="J2570">
        <v>0</v>
      </c>
      <c r="K2570">
        <v>0</v>
      </c>
      <c r="L2570">
        <v>0</v>
      </c>
      <c r="M2570">
        <v>0.35</v>
      </c>
      <c r="N2570" s="7" t="e">
        <f>VLOOKUP(F2570,HC!A$6:D$100,3,FALSE)</f>
        <v>#N/A</v>
      </c>
      <c r="O2570" s="7" t="str">
        <f>VLOOKUP(F2570,HC!A$6:D$1000,2,FALSE)</f>
        <v>barrgiof</v>
      </c>
      <c r="P2570" t="s">
        <v>664</v>
      </c>
      <c r="Q2570" t="s">
        <v>762</v>
      </c>
      <c r="U2570">
        <f t="shared" si="42"/>
        <v>9</v>
      </c>
    </row>
    <row r="2571" spans="1:21" ht="37.5" customHeight="1" x14ac:dyDescent="0.25">
      <c r="A2571" s="34">
        <v>45138</v>
      </c>
      <c r="B2571" s="13">
        <v>31</v>
      </c>
      <c r="C2571" t="s">
        <v>3</v>
      </c>
      <c r="D2571" t="s">
        <v>4</v>
      </c>
      <c r="E2571" t="s">
        <v>21</v>
      </c>
      <c r="F2571" s="6">
        <v>113013981</v>
      </c>
      <c r="G2571" t="s">
        <v>966</v>
      </c>
      <c r="H2571" t="s">
        <v>1040</v>
      </c>
      <c r="I2571">
        <v>0</v>
      </c>
      <c r="J2571">
        <v>0</v>
      </c>
      <c r="K2571">
        <v>0</v>
      </c>
      <c r="L2571">
        <v>0</v>
      </c>
      <c r="M2571">
        <v>0.18</v>
      </c>
      <c r="N2571" s="7" t="e">
        <f>VLOOKUP(F2571,HC!A$6:D$100,3,FALSE)</f>
        <v>#N/A</v>
      </c>
      <c r="O2571" s="7" t="e">
        <f>VLOOKUP(F2571,HC!A$6:D$1000,2,FALSE)</f>
        <v>#N/A</v>
      </c>
      <c r="P2571" t="s">
        <v>661</v>
      </c>
      <c r="Q2571" t="s">
        <v>681</v>
      </c>
      <c r="U2571">
        <f t="shared" si="42"/>
        <v>1395</v>
      </c>
    </row>
    <row r="2572" spans="1:21" ht="37.5" customHeight="1" x14ac:dyDescent="0.25">
      <c r="A2572" s="34">
        <v>45138</v>
      </c>
      <c r="B2572" s="13">
        <v>31</v>
      </c>
      <c r="C2572" t="s">
        <v>3</v>
      </c>
      <c r="D2572" t="s">
        <v>4</v>
      </c>
      <c r="E2572" t="s">
        <v>5</v>
      </c>
      <c r="F2572" s="6">
        <v>113101453</v>
      </c>
      <c r="G2572" t="s">
        <v>50</v>
      </c>
      <c r="H2572" t="s">
        <v>44</v>
      </c>
      <c r="I2572">
        <v>0</v>
      </c>
      <c r="J2572">
        <v>0</v>
      </c>
      <c r="K2572">
        <v>0</v>
      </c>
      <c r="L2572">
        <v>0</v>
      </c>
      <c r="M2572">
        <v>0.19</v>
      </c>
      <c r="N2572" s="7" t="e">
        <f>VLOOKUP(F2572,HC!A$6:D$100,3,FALSE)</f>
        <v>#N/A</v>
      </c>
      <c r="O2572" s="7" t="str">
        <f>VLOOKUP(F2572,HC!A$6:D$1000,2,FALSE)</f>
        <v>qisgeova</v>
      </c>
      <c r="P2572" t="s">
        <v>661</v>
      </c>
      <c r="Q2572" t="s">
        <v>681</v>
      </c>
      <c r="U2572">
        <f t="shared" si="42"/>
        <v>57</v>
      </c>
    </row>
    <row r="2573" spans="1:21" ht="37.5" customHeight="1" x14ac:dyDescent="0.25">
      <c r="A2573" s="34">
        <v>45138</v>
      </c>
      <c r="B2573" s="13">
        <v>31</v>
      </c>
      <c r="C2573" t="s">
        <v>3</v>
      </c>
      <c r="D2573" t="s">
        <v>4</v>
      </c>
      <c r="E2573" t="s">
        <v>5</v>
      </c>
      <c r="F2573" s="6">
        <v>200404250</v>
      </c>
      <c r="G2573" t="s">
        <v>51</v>
      </c>
      <c r="H2573" t="s">
        <v>298</v>
      </c>
      <c r="I2573">
        <v>0</v>
      </c>
      <c r="J2573">
        <v>0</v>
      </c>
      <c r="K2573">
        <v>0</v>
      </c>
      <c r="L2573">
        <v>0</v>
      </c>
      <c r="M2573">
        <v>0.48</v>
      </c>
      <c r="N2573" s="7" t="e">
        <f>VLOOKUP(F2573,HC!A$6:D$100,3,FALSE)</f>
        <v>#N/A</v>
      </c>
      <c r="O2573" s="7" t="str">
        <f>VLOOKUP(F2573,HC!A$6:D$1000,2,FALSE)</f>
        <v>xcathurt</v>
      </c>
      <c r="P2573" t="s">
        <v>662</v>
      </c>
      <c r="Q2573" t="s">
        <v>785</v>
      </c>
      <c r="U2573">
        <f t="shared" si="42"/>
        <v>124</v>
      </c>
    </row>
    <row r="2574" spans="1:21" ht="37.5" customHeight="1" x14ac:dyDescent="0.25">
      <c r="A2574" s="34">
        <v>45138</v>
      </c>
      <c r="B2574" s="13">
        <v>31</v>
      </c>
      <c r="C2574" t="s">
        <v>3</v>
      </c>
      <c r="D2574" t="s">
        <v>4</v>
      </c>
      <c r="E2574" t="s">
        <v>21</v>
      </c>
      <c r="F2574" s="6">
        <v>200407440</v>
      </c>
      <c r="G2574" t="s">
        <v>997</v>
      </c>
      <c r="H2574" t="s">
        <v>298</v>
      </c>
      <c r="I2574">
        <v>0</v>
      </c>
      <c r="J2574">
        <v>0</v>
      </c>
      <c r="K2574">
        <v>0</v>
      </c>
      <c r="L2574">
        <v>0</v>
      </c>
      <c r="M2574">
        <v>0.28000000000000003</v>
      </c>
      <c r="N2574" s="7" t="e">
        <f>VLOOKUP(F2574,HC!A$6:D$100,3,FALSE)</f>
        <v>#N/A</v>
      </c>
      <c r="O2574" s="7" t="e">
        <f>VLOOKUP(F2574,HC!A$6:D$1000,2,FALSE)</f>
        <v>#N/A</v>
      </c>
      <c r="P2574" t="s">
        <v>670</v>
      </c>
      <c r="Q2574" t="s">
        <v>805</v>
      </c>
      <c r="U2574">
        <f t="shared" si="42"/>
        <v>1395</v>
      </c>
    </row>
    <row r="2575" spans="1:21" ht="37.5" customHeight="1" x14ac:dyDescent="0.25">
      <c r="A2575" s="34">
        <v>45138</v>
      </c>
      <c r="B2575" s="13">
        <v>31</v>
      </c>
      <c r="C2575" t="s">
        <v>3</v>
      </c>
      <c r="D2575" t="s">
        <v>4</v>
      </c>
      <c r="E2575" t="s">
        <v>5</v>
      </c>
      <c r="F2575" s="6">
        <v>200562154</v>
      </c>
      <c r="G2575" t="s">
        <v>437</v>
      </c>
      <c r="H2575" t="s">
        <v>49</v>
      </c>
      <c r="I2575">
        <v>0</v>
      </c>
      <c r="J2575">
        <v>0</v>
      </c>
      <c r="K2575">
        <v>0</v>
      </c>
      <c r="L2575">
        <v>0</v>
      </c>
      <c r="M2575">
        <v>0.39</v>
      </c>
      <c r="N2575" s="7" t="e">
        <f>VLOOKUP(F2575,HC!A$6:D$100,3,FALSE)</f>
        <v>#N/A</v>
      </c>
      <c r="O2575" s="7" t="str">
        <f>VLOOKUP(F2575,HC!A$6:D$1000,2,FALSE)</f>
        <v>reyesmcw</v>
      </c>
      <c r="P2575" t="s">
        <v>661</v>
      </c>
      <c r="Q2575" t="s">
        <v>681</v>
      </c>
      <c r="U2575">
        <f t="shared" si="42"/>
        <v>38</v>
      </c>
    </row>
    <row r="2576" spans="1:21" ht="37.5" customHeight="1" x14ac:dyDescent="0.25">
      <c r="A2576" s="34">
        <v>45138</v>
      </c>
      <c r="B2576" s="13">
        <v>31</v>
      </c>
      <c r="C2576" t="s">
        <v>3</v>
      </c>
      <c r="D2576" t="s">
        <v>4</v>
      </c>
      <c r="E2576" t="s">
        <v>21</v>
      </c>
      <c r="F2576" s="6">
        <v>201295432</v>
      </c>
      <c r="G2576" t="s">
        <v>1085</v>
      </c>
      <c r="H2576" t="s">
        <v>1040</v>
      </c>
      <c r="I2576">
        <v>0</v>
      </c>
      <c r="J2576">
        <v>0</v>
      </c>
      <c r="K2576">
        <v>0</v>
      </c>
      <c r="L2576">
        <v>0</v>
      </c>
      <c r="M2576">
        <v>0.11</v>
      </c>
      <c r="N2576" s="7" t="e">
        <f>VLOOKUP(F2576,HC!A$6:D$100,3,FALSE)</f>
        <v>#N/A</v>
      </c>
      <c r="O2576" s="7" t="e">
        <f>VLOOKUP(F2576,HC!A$6:D$1000,2,FALSE)</f>
        <v>#N/A</v>
      </c>
      <c r="P2576" t="s">
        <v>661</v>
      </c>
      <c r="Q2576" t="s">
        <v>681</v>
      </c>
      <c r="U2576">
        <f t="shared" si="42"/>
        <v>1395</v>
      </c>
    </row>
    <row r="2577" spans="1:21" ht="37.5" customHeight="1" x14ac:dyDescent="0.25">
      <c r="A2577" s="34">
        <v>45138</v>
      </c>
      <c r="B2577" s="13">
        <v>31</v>
      </c>
      <c r="C2577" t="s">
        <v>3</v>
      </c>
      <c r="D2577" t="s">
        <v>4</v>
      </c>
      <c r="E2577" t="s">
        <v>21</v>
      </c>
      <c r="F2577" s="6">
        <v>201329529</v>
      </c>
      <c r="G2577" t="s">
        <v>1069</v>
      </c>
      <c r="H2577" t="s">
        <v>263</v>
      </c>
      <c r="I2577">
        <v>0</v>
      </c>
      <c r="J2577">
        <v>0</v>
      </c>
      <c r="K2577">
        <v>0</v>
      </c>
      <c r="L2577">
        <v>0</v>
      </c>
      <c r="M2577">
        <v>0.46</v>
      </c>
      <c r="N2577" s="7" t="e">
        <f>VLOOKUP(F2577,HC!A$6:D$100,3,FALSE)</f>
        <v>#N/A</v>
      </c>
      <c r="O2577" s="7" t="e">
        <f>VLOOKUP(F2577,HC!A$6:D$1000,2,FALSE)</f>
        <v>#N/A</v>
      </c>
      <c r="P2577" t="s">
        <v>664</v>
      </c>
      <c r="Q2577" t="s">
        <v>708</v>
      </c>
      <c r="U2577">
        <f t="shared" si="42"/>
        <v>1395</v>
      </c>
    </row>
    <row r="2578" spans="1:21" ht="37.5" customHeight="1" x14ac:dyDescent="0.25">
      <c r="A2578" s="34">
        <v>45138</v>
      </c>
      <c r="B2578" s="13">
        <v>31</v>
      </c>
      <c r="C2578" t="s">
        <v>3</v>
      </c>
      <c r="D2578" t="s">
        <v>4</v>
      </c>
      <c r="E2578" t="s">
        <v>21</v>
      </c>
      <c r="F2578" s="6">
        <v>201354965</v>
      </c>
      <c r="G2578" t="s">
        <v>1063</v>
      </c>
      <c r="H2578" t="s">
        <v>263</v>
      </c>
      <c r="I2578">
        <v>0</v>
      </c>
      <c r="J2578">
        <v>0</v>
      </c>
      <c r="K2578">
        <v>0</v>
      </c>
      <c r="L2578">
        <v>0</v>
      </c>
      <c r="M2578">
        <v>0.8</v>
      </c>
      <c r="N2578" s="7" t="e">
        <f>VLOOKUP(F2578,HC!A$6:D$100,3,FALSE)</f>
        <v>#N/A</v>
      </c>
      <c r="O2578" s="7" t="str">
        <f>VLOOKUP(F2578,HC!A$6:D$1000,2,FALSE)</f>
        <v>alinejim</v>
      </c>
      <c r="P2578" t="s">
        <v>661</v>
      </c>
      <c r="Q2578" t="s">
        <v>681</v>
      </c>
      <c r="U2578">
        <f t="shared" si="42"/>
        <v>33</v>
      </c>
    </row>
    <row r="2579" spans="1:21" ht="37.5" customHeight="1" x14ac:dyDescent="0.25">
      <c r="A2579" s="34">
        <v>45138</v>
      </c>
      <c r="B2579" s="13">
        <v>31</v>
      </c>
      <c r="C2579" t="s">
        <v>3</v>
      </c>
      <c r="D2579" t="s">
        <v>4</v>
      </c>
      <c r="E2579" t="s">
        <v>21</v>
      </c>
      <c r="F2579" s="6">
        <v>201368616</v>
      </c>
      <c r="G2579" t="s">
        <v>1125</v>
      </c>
      <c r="H2579" t="s">
        <v>285</v>
      </c>
      <c r="I2579">
        <v>0</v>
      </c>
      <c r="J2579">
        <v>0</v>
      </c>
      <c r="K2579">
        <v>0</v>
      </c>
      <c r="L2579">
        <v>0</v>
      </c>
      <c r="M2579">
        <v>0.23</v>
      </c>
      <c r="N2579" s="7" t="e">
        <f>VLOOKUP(F2579,HC!A$6:D$100,3,FALSE)</f>
        <v>#N/A</v>
      </c>
      <c r="O2579" s="7" t="e">
        <f>VLOOKUP(F2579,HC!A$6:D$1000,2,FALSE)</f>
        <v>#N/A</v>
      </c>
      <c r="P2579" t="s">
        <v>661</v>
      </c>
      <c r="Q2579" t="s">
        <v>684</v>
      </c>
      <c r="U2579">
        <f t="shared" si="42"/>
        <v>1395</v>
      </c>
    </row>
    <row r="2580" spans="1:21" ht="37.5" customHeight="1" x14ac:dyDescent="0.25">
      <c r="A2580" s="35">
        <v>45139</v>
      </c>
      <c r="B2580" s="13">
        <v>31</v>
      </c>
      <c r="C2580" t="s">
        <v>3</v>
      </c>
      <c r="D2580" t="s">
        <v>4</v>
      </c>
      <c r="E2580" t="s">
        <v>5</v>
      </c>
      <c r="F2580" s="6">
        <v>112981061</v>
      </c>
      <c r="G2580" t="s">
        <v>264</v>
      </c>
      <c r="H2580" t="s">
        <v>44</v>
      </c>
      <c r="I2580">
        <v>0</v>
      </c>
      <c r="J2580">
        <v>0</v>
      </c>
      <c r="K2580">
        <v>0</v>
      </c>
      <c r="L2580">
        <v>0</v>
      </c>
      <c r="M2580">
        <v>0.19</v>
      </c>
      <c r="N2580" s="7" t="str">
        <f>VLOOKUP(F2580,HC!A$6:D$100,3,FALSE)</f>
        <v>DA-X0700</v>
      </c>
      <c r="O2580" s="7" t="str">
        <f>VLOOKUP(F2580,HC!A$6:D$1000,2,FALSE)</f>
        <v>mclaudol</v>
      </c>
      <c r="P2580" t="s">
        <v>662</v>
      </c>
      <c r="Q2580" t="s">
        <v>688</v>
      </c>
      <c r="U2580">
        <f t="shared" si="42"/>
        <v>44</v>
      </c>
    </row>
    <row r="2581" spans="1:21" ht="37.5" customHeight="1" x14ac:dyDescent="0.25">
      <c r="A2581" s="35">
        <v>45139</v>
      </c>
      <c r="B2581" s="13">
        <v>31</v>
      </c>
      <c r="C2581" t="s">
        <v>3</v>
      </c>
      <c r="D2581" t="s">
        <v>4</v>
      </c>
      <c r="E2581" t="s">
        <v>5</v>
      </c>
      <c r="F2581" s="6">
        <v>112981196</v>
      </c>
      <c r="G2581" t="s">
        <v>328</v>
      </c>
      <c r="H2581" t="s">
        <v>285</v>
      </c>
      <c r="I2581">
        <v>0</v>
      </c>
      <c r="J2581">
        <v>0</v>
      </c>
      <c r="K2581">
        <v>0</v>
      </c>
      <c r="L2581">
        <v>0</v>
      </c>
      <c r="M2581">
        <v>0.19</v>
      </c>
      <c r="N2581" s="7" t="e">
        <f>VLOOKUP(F2581,HC!A$6:D$100,3,FALSE)</f>
        <v>#N/A</v>
      </c>
      <c r="O2581" s="7" t="str">
        <f>VLOOKUP(F2581,HC!A$6:D$1000,2,FALSE)</f>
        <v>vandgome</v>
      </c>
      <c r="P2581" t="s">
        <v>661</v>
      </c>
      <c r="Q2581" t="s">
        <v>681</v>
      </c>
      <c r="U2581">
        <f t="shared" si="42"/>
        <v>24</v>
      </c>
    </row>
    <row r="2582" spans="1:21" ht="37.5" customHeight="1" x14ac:dyDescent="0.25">
      <c r="A2582" s="35">
        <v>45139</v>
      </c>
      <c r="B2582" s="13">
        <v>31</v>
      </c>
      <c r="C2582" t="s">
        <v>3</v>
      </c>
      <c r="D2582" t="s">
        <v>4</v>
      </c>
      <c r="E2582" t="s">
        <v>5</v>
      </c>
      <c r="F2582" s="6">
        <v>113014094</v>
      </c>
      <c r="G2582" t="s">
        <v>463</v>
      </c>
      <c r="H2582" t="s">
        <v>44</v>
      </c>
      <c r="I2582">
        <v>0</v>
      </c>
      <c r="J2582">
        <v>0</v>
      </c>
      <c r="K2582">
        <v>0</v>
      </c>
      <c r="L2582">
        <v>0</v>
      </c>
      <c r="M2582">
        <v>0.21</v>
      </c>
      <c r="N2582" s="7" t="e">
        <f>VLOOKUP(F2582,HC!A$6:D$100,3,FALSE)</f>
        <v>#N/A</v>
      </c>
      <c r="O2582" s="7" t="str">
        <f>VLOOKUP(F2582,HC!A$6:D$1000,2,FALSE)</f>
        <v>erikaadm</v>
      </c>
      <c r="P2582" t="s">
        <v>664</v>
      </c>
      <c r="Q2582" t="s">
        <v>710</v>
      </c>
      <c r="U2582">
        <f t="shared" si="42"/>
        <v>21</v>
      </c>
    </row>
    <row r="2583" spans="1:21" ht="37.5" customHeight="1" x14ac:dyDescent="0.25">
      <c r="A2583" s="35">
        <v>45139</v>
      </c>
      <c r="B2583" s="13">
        <v>31</v>
      </c>
      <c r="C2583" t="s">
        <v>3</v>
      </c>
      <c r="D2583" t="s">
        <v>4</v>
      </c>
      <c r="E2583" t="s">
        <v>5</v>
      </c>
      <c r="F2583" s="6">
        <v>113020463</v>
      </c>
      <c r="G2583" t="s">
        <v>321</v>
      </c>
      <c r="H2583" t="s">
        <v>44</v>
      </c>
      <c r="I2583">
        <v>0</v>
      </c>
      <c r="J2583">
        <v>0</v>
      </c>
      <c r="K2583">
        <v>0</v>
      </c>
      <c r="L2583">
        <v>0</v>
      </c>
      <c r="M2583">
        <v>0.37</v>
      </c>
      <c r="N2583" s="7" t="e">
        <f>VLOOKUP(F2583,HC!A$6:D$100,3,FALSE)</f>
        <v>#N/A</v>
      </c>
      <c r="O2583" s="7" t="str">
        <f>VLOOKUP(F2583,HC!A$6:D$1000,2,FALSE)</f>
        <v>myriamav</v>
      </c>
      <c r="P2583" t="s">
        <v>670</v>
      </c>
      <c r="Q2583" t="s">
        <v>764</v>
      </c>
      <c r="U2583">
        <f t="shared" si="42"/>
        <v>24</v>
      </c>
    </row>
    <row r="2584" spans="1:21" ht="37.5" customHeight="1" x14ac:dyDescent="0.25">
      <c r="A2584" s="35">
        <v>45139</v>
      </c>
      <c r="B2584" s="13">
        <v>31</v>
      </c>
      <c r="C2584" t="s">
        <v>3</v>
      </c>
      <c r="D2584" t="s">
        <v>4</v>
      </c>
      <c r="E2584" t="s">
        <v>5</v>
      </c>
      <c r="F2584" s="6">
        <v>200404250</v>
      </c>
      <c r="G2584" t="s">
        <v>51</v>
      </c>
      <c r="H2584" t="s">
        <v>298</v>
      </c>
      <c r="I2584">
        <v>0</v>
      </c>
      <c r="J2584">
        <v>0</v>
      </c>
      <c r="K2584">
        <v>0</v>
      </c>
      <c r="L2584">
        <v>0</v>
      </c>
      <c r="M2584">
        <v>0.48</v>
      </c>
      <c r="N2584" s="7" t="e">
        <f>VLOOKUP(F2584,HC!A$6:D$100,3,FALSE)</f>
        <v>#N/A</v>
      </c>
      <c r="O2584" s="7" t="str">
        <f>VLOOKUP(F2584,HC!A$6:D$1000,2,FALSE)</f>
        <v>xcathurt</v>
      </c>
      <c r="P2584" t="s">
        <v>662</v>
      </c>
      <c r="Q2584" t="s">
        <v>785</v>
      </c>
      <c r="U2584">
        <f t="shared" si="42"/>
        <v>124</v>
      </c>
    </row>
    <row r="2585" spans="1:21" ht="37.5" customHeight="1" x14ac:dyDescent="0.25">
      <c r="A2585" s="35">
        <v>45139</v>
      </c>
      <c r="B2585" s="13">
        <v>31</v>
      </c>
      <c r="C2585" t="s">
        <v>3</v>
      </c>
      <c r="D2585" t="s">
        <v>4</v>
      </c>
      <c r="E2585" t="s">
        <v>5</v>
      </c>
      <c r="F2585" s="6">
        <v>200514421</v>
      </c>
      <c r="G2585" t="s">
        <v>301</v>
      </c>
      <c r="H2585" t="s">
        <v>298</v>
      </c>
      <c r="I2585">
        <v>0</v>
      </c>
      <c r="J2585">
        <v>0</v>
      </c>
      <c r="K2585">
        <v>0</v>
      </c>
      <c r="L2585">
        <v>0</v>
      </c>
      <c r="M2585">
        <v>0.93</v>
      </c>
      <c r="N2585" s="7" t="e">
        <f>VLOOKUP(F2585,HC!A$6:D$100,3,FALSE)</f>
        <v>#N/A</v>
      </c>
      <c r="O2585" s="7" t="str">
        <f>VLOOKUP(F2585,HC!A$6:D$1000,2,FALSE)</f>
        <v>padillms</v>
      </c>
      <c r="P2585" t="s">
        <v>662</v>
      </c>
      <c r="Q2585" t="s">
        <v>688</v>
      </c>
      <c r="U2585">
        <f t="shared" si="42"/>
        <v>21</v>
      </c>
    </row>
    <row r="2586" spans="1:21" ht="37.5" customHeight="1" x14ac:dyDescent="0.25">
      <c r="A2586" s="35">
        <v>45139</v>
      </c>
      <c r="B2586" s="13">
        <v>31</v>
      </c>
      <c r="C2586" t="s">
        <v>3</v>
      </c>
      <c r="D2586" t="s">
        <v>4</v>
      </c>
      <c r="E2586" t="s">
        <v>5</v>
      </c>
      <c r="F2586" s="6">
        <v>200625528</v>
      </c>
      <c r="G2586" t="s">
        <v>607</v>
      </c>
      <c r="H2586" t="s">
        <v>285</v>
      </c>
      <c r="I2586">
        <v>0</v>
      </c>
      <c r="J2586">
        <v>0</v>
      </c>
      <c r="K2586">
        <v>0</v>
      </c>
      <c r="L2586">
        <v>0</v>
      </c>
      <c r="M2586">
        <v>0.1</v>
      </c>
      <c r="N2586" s="7" t="e">
        <f>VLOOKUP(F2586,HC!A$6:D$100,3,FALSE)</f>
        <v>#N/A</v>
      </c>
      <c r="O2586" s="7" t="str">
        <f>VLOOKUP(F2586,HC!A$6:D$1000,2,FALSE)</f>
        <v>olivlizb</v>
      </c>
      <c r="P2586" t="s">
        <v>661</v>
      </c>
      <c r="Q2586" t="s">
        <v>681</v>
      </c>
      <c r="U2586">
        <f t="shared" si="42"/>
        <v>50</v>
      </c>
    </row>
    <row r="2587" spans="1:21" ht="37.5" customHeight="1" x14ac:dyDescent="0.25">
      <c r="A2587" s="35">
        <v>45139</v>
      </c>
      <c r="B2587" s="13">
        <v>31</v>
      </c>
      <c r="C2587" t="s">
        <v>3</v>
      </c>
      <c r="D2587" t="s">
        <v>4</v>
      </c>
      <c r="E2587" t="s">
        <v>5</v>
      </c>
      <c r="F2587" s="6">
        <v>201172306</v>
      </c>
      <c r="G2587" t="s">
        <v>970</v>
      </c>
      <c r="H2587" t="s">
        <v>1040</v>
      </c>
      <c r="I2587">
        <v>0</v>
      </c>
      <c r="J2587">
        <v>0</v>
      </c>
      <c r="K2587">
        <v>0</v>
      </c>
      <c r="L2587">
        <v>0</v>
      </c>
      <c r="M2587">
        <v>0.81</v>
      </c>
      <c r="N2587" s="7" t="e">
        <f>VLOOKUP(F2587,HC!A$6:D$100,3,FALSE)</f>
        <v>#N/A</v>
      </c>
      <c r="O2587" s="7" t="str">
        <f>VLOOKUP(F2587,HC!A$6:D$1000,2,FALSE)</f>
        <v>cesarvae</v>
      </c>
      <c r="P2587" t="s">
        <v>662</v>
      </c>
      <c r="Q2587" t="s">
        <v>691</v>
      </c>
      <c r="U2587">
        <f t="shared" si="42"/>
        <v>17</v>
      </c>
    </row>
    <row r="2588" spans="1:21" ht="37.5" customHeight="1" x14ac:dyDescent="0.25">
      <c r="A2588" s="35">
        <v>45139</v>
      </c>
      <c r="B2588" s="13">
        <v>31</v>
      </c>
      <c r="C2588" t="s">
        <v>3</v>
      </c>
      <c r="D2588" t="s">
        <v>4</v>
      </c>
      <c r="E2588" t="s">
        <v>5</v>
      </c>
      <c r="F2588" s="6">
        <v>201185653</v>
      </c>
      <c r="G2588" t="s">
        <v>987</v>
      </c>
      <c r="H2588" t="s">
        <v>49</v>
      </c>
      <c r="I2588">
        <v>0</v>
      </c>
      <c r="J2588">
        <v>0</v>
      </c>
      <c r="K2588">
        <v>0</v>
      </c>
      <c r="L2588">
        <v>0</v>
      </c>
      <c r="M2588">
        <v>7.0000000000000007E-2</v>
      </c>
      <c r="N2588" s="7" t="e">
        <f>VLOOKUP(F2588,HC!A$6:D$100,3,FALSE)</f>
        <v>#N/A</v>
      </c>
      <c r="O2588" s="7" t="str">
        <f>VLOOKUP(F2588,HC!A$6:D$1000,2,FALSE)</f>
        <v>luisamin</v>
      </c>
      <c r="P2588" t="s">
        <v>661</v>
      </c>
      <c r="Q2588" t="s">
        <v>681</v>
      </c>
      <c r="U2588">
        <f t="shared" si="42"/>
        <v>8</v>
      </c>
    </row>
    <row r="2589" spans="1:21" ht="37.5" customHeight="1" x14ac:dyDescent="0.25">
      <c r="A2589" s="35">
        <v>45139</v>
      </c>
      <c r="B2589" s="13">
        <v>31</v>
      </c>
      <c r="C2589" t="s">
        <v>3</v>
      </c>
      <c r="D2589" t="s">
        <v>4</v>
      </c>
      <c r="E2589" t="s">
        <v>21</v>
      </c>
      <c r="F2589" s="6">
        <v>201338665</v>
      </c>
      <c r="G2589" t="s">
        <v>1159</v>
      </c>
      <c r="H2589" t="s">
        <v>263</v>
      </c>
      <c r="I2589">
        <v>0</v>
      </c>
      <c r="J2589">
        <v>0</v>
      </c>
      <c r="K2589">
        <v>0</v>
      </c>
      <c r="L2589">
        <v>0</v>
      </c>
      <c r="M2589">
        <v>0.34</v>
      </c>
      <c r="N2589" s="7" t="e">
        <f>VLOOKUP(F2589,HC!A$6:D$100,3,FALSE)</f>
        <v>#N/A</v>
      </c>
      <c r="O2589" s="7" t="e">
        <f>VLOOKUP(F2589,HC!A$6:D$1000,2,FALSE)</f>
        <v>#N/A</v>
      </c>
      <c r="P2589" t="s">
        <v>661</v>
      </c>
      <c r="Q2589" t="s">
        <v>759</v>
      </c>
      <c r="U2589">
        <f t="shared" si="42"/>
        <v>1395</v>
      </c>
    </row>
    <row r="2590" spans="1:21" ht="37.5" customHeight="1" x14ac:dyDescent="0.25">
      <c r="A2590" s="35">
        <v>45139</v>
      </c>
      <c r="B2590" s="13">
        <v>31</v>
      </c>
      <c r="C2590" t="s">
        <v>3</v>
      </c>
      <c r="D2590" t="s">
        <v>4</v>
      </c>
      <c r="E2590" t="s">
        <v>21</v>
      </c>
      <c r="F2590" s="6">
        <v>201354965</v>
      </c>
      <c r="G2590" t="s">
        <v>1063</v>
      </c>
      <c r="H2590" t="s">
        <v>263</v>
      </c>
      <c r="I2590">
        <v>0</v>
      </c>
      <c r="J2590">
        <v>0</v>
      </c>
      <c r="K2590">
        <v>0</v>
      </c>
      <c r="L2590">
        <v>0</v>
      </c>
      <c r="M2590">
        <v>0.28999999999999998</v>
      </c>
      <c r="N2590" s="7" t="e">
        <f>VLOOKUP(F2590,HC!A$6:D$100,3,FALSE)</f>
        <v>#N/A</v>
      </c>
      <c r="O2590" s="7" t="str">
        <f>VLOOKUP(F2590,HC!A$6:D$1000,2,FALSE)</f>
        <v>alinejim</v>
      </c>
      <c r="P2590" t="s">
        <v>670</v>
      </c>
      <c r="Q2590" t="s">
        <v>742</v>
      </c>
      <c r="U2590">
        <f t="shared" si="42"/>
        <v>33</v>
      </c>
    </row>
    <row r="2591" spans="1:21" ht="37.5" customHeight="1" x14ac:dyDescent="0.25">
      <c r="A2591" s="35">
        <v>45139</v>
      </c>
      <c r="B2591" s="13">
        <v>31</v>
      </c>
      <c r="C2591" t="s">
        <v>3</v>
      </c>
      <c r="D2591" t="s">
        <v>4</v>
      </c>
      <c r="E2591" t="s">
        <v>21</v>
      </c>
      <c r="F2591" s="6">
        <v>201355525</v>
      </c>
      <c r="G2591" t="s">
        <v>1003</v>
      </c>
      <c r="H2591" t="s">
        <v>332</v>
      </c>
      <c r="I2591">
        <v>0</v>
      </c>
      <c r="J2591">
        <v>0</v>
      </c>
      <c r="K2591">
        <v>0</v>
      </c>
      <c r="L2591">
        <v>0</v>
      </c>
      <c r="M2591">
        <v>0.21</v>
      </c>
      <c r="N2591" s="7" t="e">
        <f>VLOOKUP(F2591,HC!A$6:D$100,3,FALSE)</f>
        <v>#N/A</v>
      </c>
      <c r="O2591" s="7" t="e">
        <f>VLOOKUP(F2591,HC!A$6:D$1000,2,FALSE)</f>
        <v>#N/A</v>
      </c>
      <c r="P2591" t="s">
        <v>663</v>
      </c>
      <c r="Q2591" t="s">
        <v>692</v>
      </c>
      <c r="U2591">
        <f t="shared" si="42"/>
        <v>1395</v>
      </c>
    </row>
    <row r="2592" spans="1:21" ht="37.5" customHeight="1" x14ac:dyDescent="0.25">
      <c r="A2592" s="35">
        <v>45139</v>
      </c>
      <c r="B2592" s="13">
        <v>31</v>
      </c>
      <c r="C2592" t="s">
        <v>3</v>
      </c>
      <c r="D2592" t="s">
        <v>4</v>
      </c>
      <c r="E2592" t="s">
        <v>21</v>
      </c>
      <c r="F2592" s="6">
        <v>201402060</v>
      </c>
      <c r="G2592" t="s">
        <v>1057</v>
      </c>
      <c r="H2592" t="s">
        <v>285</v>
      </c>
      <c r="I2592">
        <v>0</v>
      </c>
      <c r="J2592">
        <v>0</v>
      </c>
      <c r="K2592">
        <v>0</v>
      </c>
      <c r="L2592">
        <v>0</v>
      </c>
      <c r="M2592">
        <v>0.97</v>
      </c>
      <c r="N2592" s="7" t="e">
        <f>VLOOKUP(F2592,HC!A$6:D$100,3,FALSE)</f>
        <v>#N/A</v>
      </c>
      <c r="O2592" s="7" t="e">
        <f>VLOOKUP(F2592,HC!A$6:D$1000,2,FALSE)</f>
        <v>#N/A</v>
      </c>
      <c r="P2592" t="s">
        <v>664</v>
      </c>
      <c r="Q2592" t="s">
        <v>710</v>
      </c>
      <c r="U2592">
        <f t="shared" si="42"/>
        <v>1395</v>
      </c>
    </row>
    <row r="2593" spans="1:21" ht="37.5" customHeight="1" x14ac:dyDescent="0.25">
      <c r="A2593" s="35">
        <v>45140</v>
      </c>
      <c r="B2593" s="13">
        <v>31</v>
      </c>
      <c r="C2593" t="s">
        <v>3</v>
      </c>
      <c r="D2593" t="s">
        <v>4</v>
      </c>
      <c r="E2593" t="s">
        <v>5</v>
      </c>
      <c r="F2593" s="6">
        <v>112912752</v>
      </c>
      <c r="G2593" t="s">
        <v>251</v>
      </c>
      <c r="H2593" t="s">
        <v>285</v>
      </c>
      <c r="I2593">
        <v>0</v>
      </c>
      <c r="J2593">
        <v>0</v>
      </c>
      <c r="K2593">
        <v>0</v>
      </c>
      <c r="L2593">
        <v>0</v>
      </c>
      <c r="M2593">
        <v>0.13</v>
      </c>
      <c r="N2593" s="7" t="str">
        <f>VLOOKUP(F2593,HC!A$6:D$100,3,FALSE)</f>
        <v>NF-X1900</v>
      </c>
      <c r="O2593" s="7" t="str">
        <f>VLOOKUP(F2593,HC!A$6:D$1000,2,FALSE)</f>
        <v>valderle</v>
      </c>
      <c r="P2593" t="s">
        <v>670</v>
      </c>
      <c r="Q2593" t="s">
        <v>749</v>
      </c>
      <c r="U2593">
        <f t="shared" si="42"/>
        <v>50</v>
      </c>
    </row>
    <row r="2594" spans="1:21" ht="37.5" customHeight="1" x14ac:dyDescent="0.25">
      <c r="A2594" s="35">
        <v>45140</v>
      </c>
      <c r="B2594" s="13">
        <v>31</v>
      </c>
      <c r="C2594" t="s">
        <v>3</v>
      </c>
      <c r="D2594" t="s">
        <v>4</v>
      </c>
      <c r="E2594" t="s">
        <v>5</v>
      </c>
      <c r="F2594" s="6">
        <v>112950792</v>
      </c>
      <c r="G2594" t="s">
        <v>618</v>
      </c>
      <c r="H2594" t="s">
        <v>1040</v>
      </c>
      <c r="I2594">
        <v>0</v>
      </c>
      <c r="J2594">
        <v>0</v>
      </c>
      <c r="K2594">
        <v>0</v>
      </c>
      <c r="L2594">
        <v>0</v>
      </c>
      <c r="M2594">
        <v>0.22</v>
      </c>
      <c r="N2594" s="7" t="str">
        <f>VLOOKUP(F2594,HC!A$6:D$100,3,FALSE)</f>
        <v>NF-X1900</v>
      </c>
      <c r="O2594" s="7" t="str">
        <f>VLOOKUP(F2594,HC!A$6:D$1000,2,FALSE)</f>
        <v>genevmor</v>
      </c>
      <c r="P2594" t="s">
        <v>664</v>
      </c>
      <c r="Q2594" t="s">
        <v>771</v>
      </c>
      <c r="U2594">
        <f t="shared" si="42"/>
        <v>8</v>
      </c>
    </row>
    <row r="2595" spans="1:21" ht="37.5" customHeight="1" x14ac:dyDescent="0.25">
      <c r="A2595" s="35">
        <v>45140</v>
      </c>
      <c r="B2595" s="13">
        <v>31</v>
      </c>
      <c r="C2595" t="s">
        <v>3</v>
      </c>
      <c r="D2595" t="s">
        <v>4</v>
      </c>
      <c r="E2595" t="s">
        <v>5</v>
      </c>
      <c r="F2595" s="6">
        <v>112972524</v>
      </c>
      <c r="G2595" t="s">
        <v>312</v>
      </c>
      <c r="H2595" t="s">
        <v>250</v>
      </c>
      <c r="I2595">
        <v>0</v>
      </c>
      <c r="J2595">
        <v>0</v>
      </c>
      <c r="K2595">
        <v>0</v>
      </c>
      <c r="L2595">
        <v>0</v>
      </c>
      <c r="M2595">
        <v>0.11</v>
      </c>
      <c r="N2595" s="7" t="str">
        <f>VLOOKUP(F2595,HC!A$6:D$100,3,FALSE)</f>
        <v>DB-X0700</v>
      </c>
      <c r="O2595" s="7" t="str">
        <f>VLOOKUP(F2595,HC!A$6:D$1000,2,FALSE)</f>
        <v>csantibl</v>
      </c>
      <c r="P2595" t="s">
        <v>670</v>
      </c>
      <c r="Q2595" t="s">
        <v>763</v>
      </c>
      <c r="U2595">
        <f t="shared" si="42"/>
        <v>17</v>
      </c>
    </row>
    <row r="2596" spans="1:21" ht="37.5" customHeight="1" x14ac:dyDescent="0.25">
      <c r="A2596" s="35">
        <v>45140</v>
      </c>
      <c r="B2596" s="13">
        <v>31</v>
      </c>
      <c r="C2596" t="s">
        <v>3</v>
      </c>
      <c r="D2596" t="s">
        <v>4</v>
      </c>
      <c r="E2596" t="s">
        <v>5</v>
      </c>
      <c r="F2596" s="6">
        <v>112980899</v>
      </c>
      <c r="G2596" t="s">
        <v>396</v>
      </c>
      <c r="H2596" t="s">
        <v>1040</v>
      </c>
      <c r="I2596">
        <v>0</v>
      </c>
      <c r="J2596">
        <v>0</v>
      </c>
      <c r="K2596">
        <v>0</v>
      </c>
      <c r="L2596">
        <v>0</v>
      </c>
      <c r="M2596">
        <v>0.21</v>
      </c>
      <c r="N2596" s="7" t="str">
        <f>VLOOKUP(F2596,HC!A$6:D$100,3,FALSE)</f>
        <v>NF-X1900</v>
      </c>
      <c r="O2596" s="7" t="str">
        <f>VLOOKUP(F2596,HC!A$6:D$1000,2,FALSE)</f>
        <v>aravilac</v>
      </c>
      <c r="P2596" t="s">
        <v>661</v>
      </c>
      <c r="Q2596" t="s">
        <v>681</v>
      </c>
      <c r="U2596">
        <f t="shared" si="42"/>
        <v>33</v>
      </c>
    </row>
    <row r="2597" spans="1:21" ht="37.5" customHeight="1" x14ac:dyDescent="0.25">
      <c r="A2597" s="35">
        <v>45140</v>
      </c>
      <c r="B2597" s="13">
        <v>31</v>
      </c>
      <c r="C2597" t="s">
        <v>3</v>
      </c>
      <c r="D2597" t="s">
        <v>4</v>
      </c>
      <c r="E2597" t="s">
        <v>5</v>
      </c>
      <c r="F2597" s="6">
        <v>112981013</v>
      </c>
      <c r="G2597" t="s">
        <v>283</v>
      </c>
      <c r="H2597" t="s">
        <v>285</v>
      </c>
      <c r="I2597">
        <v>0</v>
      </c>
      <c r="J2597">
        <v>0</v>
      </c>
      <c r="K2597">
        <v>0</v>
      </c>
      <c r="L2597">
        <v>0</v>
      </c>
      <c r="M2597">
        <v>0.2</v>
      </c>
      <c r="N2597" s="7" t="str">
        <f>VLOOKUP(F2597,HC!A$6:D$100,3,FALSE)</f>
        <v>DA-X0700</v>
      </c>
      <c r="O2597" s="7" t="str">
        <f>VLOOKUP(F2597,HC!A$6:D$1000,2,FALSE)</f>
        <v>normaelo</v>
      </c>
      <c r="P2597" t="s">
        <v>662</v>
      </c>
      <c r="Q2597" t="s">
        <v>688</v>
      </c>
      <c r="U2597">
        <f t="shared" si="42"/>
        <v>24</v>
      </c>
    </row>
    <row r="2598" spans="1:21" ht="37.5" customHeight="1" x14ac:dyDescent="0.25">
      <c r="A2598" s="35">
        <v>45140</v>
      </c>
      <c r="B2598" s="13">
        <v>31</v>
      </c>
      <c r="C2598" t="s">
        <v>3</v>
      </c>
      <c r="D2598" t="s">
        <v>4</v>
      </c>
      <c r="E2598" t="s">
        <v>5</v>
      </c>
      <c r="F2598" s="6">
        <v>200404250</v>
      </c>
      <c r="G2598" t="s">
        <v>51</v>
      </c>
      <c r="H2598" t="s">
        <v>298</v>
      </c>
      <c r="I2598">
        <v>0</v>
      </c>
      <c r="J2598">
        <v>0</v>
      </c>
      <c r="K2598">
        <v>0</v>
      </c>
      <c r="L2598">
        <v>0</v>
      </c>
      <c r="M2598">
        <v>0.24</v>
      </c>
      <c r="N2598" s="7" t="e">
        <f>VLOOKUP(F2598,HC!A$6:D$100,3,FALSE)</f>
        <v>#N/A</v>
      </c>
      <c r="O2598" s="7" t="str">
        <f>VLOOKUP(F2598,HC!A$6:D$1000,2,FALSE)</f>
        <v>xcathurt</v>
      </c>
      <c r="P2598" t="s">
        <v>662</v>
      </c>
      <c r="Q2598" t="s">
        <v>785</v>
      </c>
      <c r="U2598">
        <f t="shared" si="42"/>
        <v>124</v>
      </c>
    </row>
    <row r="2599" spans="1:21" ht="37.5" customHeight="1" x14ac:dyDescent="0.25">
      <c r="A2599" s="35">
        <v>45140</v>
      </c>
      <c r="B2599" s="13">
        <v>31</v>
      </c>
      <c r="C2599" t="s">
        <v>3</v>
      </c>
      <c r="D2599" t="s">
        <v>4</v>
      </c>
      <c r="E2599" t="s">
        <v>21</v>
      </c>
      <c r="F2599" s="6">
        <v>201320388</v>
      </c>
      <c r="G2599" t="s">
        <v>994</v>
      </c>
      <c r="H2599" t="s">
        <v>44</v>
      </c>
      <c r="I2599">
        <v>0</v>
      </c>
      <c r="J2599">
        <v>0</v>
      </c>
      <c r="K2599">
        <v>0</v>
      </c>
      <c r="L2599">
        <v>0</v>
      </c>
      <c r="M2599">
        <v>1.86</v>
      </c>
      <c r="N2599" s="7" t="e">
        <f>VLOOKUP(F2599,HC!A$6:D$100,3,FALSE)</f>
        <v>#N/A</v>
      </c>
      <c r="O2599" s="7" t="e">
        <f>VLOOKUP(F2599,HC!A$6:D$1000,2,FALSE)</f>
        <v>#N/A</v>
      </c>
      <c r="P2599" t="s">
        <v>664</v>
      </c>
      <c r="Q2599" t="s">
        <v>711</v>
      </c>
      <c r="U2599">
        <f t="shared" si="42"/>
        <v>1395</v>
      </c>
    </row>
    <row r="2600" spans="1:21" ht="37.5" customHeight="1" x14ac:dyDescent="0.25">
      <c r="A2600" s="35">
        <v>45140</v>
      </c>
      <c r="B2600" s="13">
        <v>31</v>
      </c>
      <c r="C2600" t="s">
        <v>3</v>
      </c>
      <c r="D2600" t="s">
        <v>4</v>
      </c>
      <c r="E2600" t="s">
        <v>21</v>
      </c>
      <c r="F2600" s="6">
        <v>201336567</v>
      </c>
      <c r="G2600" t="s">
        <v>1177</v>
      </c>
      <c r="H2600" t="s">
        <v>263</v>
      </c>
      <c r="I2600">
        <v>0</v>
      </c>
      <c r="J2600">
        <v>0</v>
      </c>
      <c r="K2600">
        <v>0</v>
      </c>
      <c r="L2600">
        <v>0</v>
      </c>
      <c r="M2600">
        <v>0.18</v>
      </c>
      <c r="N2600" s="7" t="e">
        <f>VLOOKUP(F2600,HC!A$6:D$100,3,FALSE)</f>
        <v>#N/A</v>
      </c>
      <c r="O2600" s="7" t="e">
        <f>VLOOKUP(F2600,HC!A$6:D$1000,2,FALSE)</f>
        <v>#N/A</v>
      </c>
      <c r="P2600" t="s">
        <v>662</v>
      </c>
      <c r="Q2600" t="s">
        <v>688</v>
      </c>
      <c r="U2600">
        <f t="shared" si="42"/>
        <v>1395</v>
      </c>
    </row>
    <row r="2601" spans="1:21" ht="37.5" customHeight="1" x14ac:dyDescent="0.25">
      <c r="A2601" s="35">
        <v>45140</v>
      </c>
      <c r="B2601" s="13">
        <v>31</v>
      </c>
      <c r="C2601" t="s">
        <v>3</v>
      </c>
      <c r="D2601" t="s">
        <v>4</v>
      </c>
      <c r="E2601" t="s">
        <v>21</v>
      </c>
      <c r="F2601" s="6">
        <v>201378452</v>
      </c>
      <c r="G2601" t="s">
        <v>1173</v>
      </c>
      <c r="H2601" t="s">
        <v>298</v>
      </c>
      <c r="I2601">
        <v>0</v>
      </c>
      <c r="J2601">
        <v>0</v>
      </c>
      <c r="K2601">
        <v>0</v>
      </c>
      <c r="L2601">
        <v>0</v>
      </c>
      <c r="M2601">
        <v>1.1000000000000001</v>
      </c>
      <c r="N2601" s="7" t="e">
        <f>VLOOKUP(F2601,HC!A$6:D$100,3,FALSE)</f>
        <v>#N/A</v>
      </c>
      <c r="O2601" s="7" t="str">
        <f>VLOOKUP(F2601,HC!A$6:D$1000,2,FALSE)</f>
        <v>omhperez</v>
      </c>
      <c r="P2601" t="s">
        <v>662</v>
      </c>
      <c r="Q2601" t="s">
        <v>757</v>
      </c>
      <c r="U2601">
        <f t="shared" si="42"/>
        <v>9</v>
      </c>
    </row>
    <row r="2602" spans="1:21" ht="37.5" customHeight="1" x14ac:dyDescent="0.25">
      <c r="A2602" s="35">
        <v>45141</v>
      </c>
      <c r="B2602" s="13">
        <v>31</v>
      </c>
      <c r="C2602" t="s">
        <v>3</v>
      </c>
      <c r="D2602" t="s">
        <v>4</v>
      </c>
      <c r="E2602" t="s">
        <v>21</v>
      </c>
      <c r="F2602" s="6">
        <v>112912747</v>
      </c>
      <c r="G2602" t="s">
        <v>995</v>
      </c>
      <c r="H2602" t="s">
        <v>263</v>
      </c>
      <c r="I2602">
        <v>0</v>
      </c>
      <c r="J2602">
        <v>0</v>
      </c>
      <c r="K2602">
        <v>0</v>
      </c>
      <c r="L2602">
        <v>0</v>
      </c>
      <c r="M2602">
        <v>0.28999999999999998</v>
      </c>
      <c r="N2602" s="7" t="e">
        <f>VLOOKUP(F2602,HC!A$6:D$100,3,FALSE)</f>
        <v>#N/A</v>
      </c>
      <c r="O2602" s="7" t="e">
        <f>VLOOKUP(F2602,HC!A$6:D$1000,2,FALSE)</f>
        <v>#N/A</v>
      </c>
      <c r="P2602" t="s">
        <v>664</v>
      </c>
      <c r="Q2602" t="s">
        <v>711</v>
      </c>
      <c r="U2602">
        <f t="shared" si="42"/>
        <v>1395</v>
      </c>
    </row>
    <row r="2603" spans="1:21" ht="37.5" customHeight="1" x14ac:dyDescent="0.25">
      <c r="A2603" s="35">
        <v>45141</v>
      </c>
      <c r="B2603" s="13">
        <v>31</v>
      </c>
      <c r="C2603" t="s">
        <v>3</v>
      </c>
      <c r="D2603" t="s">
        <v>4</v>
      </c>
      <c r="E2603" t="s">
        <v>5</v>
      </c>
      <c r="F2603" s="6">
        <v>112971962</v>
      </c>
      <c r="G2603" t="s">
        <v>338</v>
      </c>
      <c r="H2603" t="s">
        <v>17</v>
      </c>
      <c r="I2603">
        <v>0</v>
      </c>
      <c r="J2603">
        <v>0</v>
      </c>
      <c r="K2603">
        <v>0</v>
      </c>
      <c r="L2603">
        <v>0</v>
      </c>
      <c r="M2603">
        <v>0.4</v>
      </c>
      <c r="N2603" s="7" t="str">
        <f>VLOOKUP(F2603,HC!A$6:D$100,3,FALSE)</f>
        <v>DB-X0700</v>
      </c>
      <c r="O2603" s="7" t="str">
        <f>VLOOKUP(F2603,HC!A$6:D$1000,2,FALSE)</f>
        <v>creyesal</v>
      </c>
      <c r="P2603" t="s">
        <v>670</v>
      </c>
      <c r="Q2603" t="s">
        <v>748</v>
      </c>
      <c r="U2603">
        <f t="shared" si="42"/>
        <v>38</v>
      </c>
    </row>
    <row r="2604" spans="1:21" ht="37.5" customHeight="1" x14ac:dyDescent="0.25">
      <c r="A2604" s="35">
        <v>45141</v>
      </c>
      <c r="B2604" s="13">
        <v>31</v>
      </c>
      <c r="C2604" t="s">
        <v>3</v>
      </c>
      <c r="D2604" t="s">
        <v>4</v>
      </c>
      <c r="E2604" t="s">
        <v>5</v>
      </c>
      <c r="F2604" s="6">
        <v>112972524</v>
      </c>
      <c r="G2604" t="s">
        <v>312</v>
      </c>
      <c r="H2604" t="s">
        <v>250</v>
      </c>
      <c r="I2604">
        <v>0</v>
      </c>
      <c r="J2604">
        <v>0</v>
      </c>
      <c r="K2604">
        <v>0</v>
      </c>
      <c r="L2604">
        <v>0</v>
      </c>
      <c r="M2604">
        <v>0.52</v>
      </c>
      <c r="N2604" s="7" t="str">
        <f>VLOOKUP(F2604,HC!A$6:D$100,3,FALSE)</f>
        <v>DB-X0700</v>
      </c>
      <c r="O2604" s="7" t="str">
        <f>VLOOKUP(F2604,HC!A$6:D$1000,2,FALSE)</f>
        <v>csantibl</v>
      </c>
      <c r="P2604" t="s">
        <v>670</v>
      </c>
      <c r="Q2604" t="s">
        <v>742</v>
      </c>
      <c r="U2604">
        <f t="shared" si="42"/>
        <v>17</v>
      </c>
    </row>
    <row r="2605" spans="1:21" ht="37.5" customHeight="1" x14ac:dyDescent="0.25">
      <c r="A2605" s="35">
        <v>45141</v>
      </c>
      <c r="B2605" s="13">
        <v>31</v>
      </c>
      <c r="C2605" t="s">
        <v>3</v>
      </c>
      <c r="D2605" t="s">
        <v>4</v>
      </c>
      <c r="E2605" t="s">
        <v>5</v>
      </c>
      <c r="F2605" s="6">
        <v>112981061</v>
      </c>
      <c r="G2605" t="s">
        <v>264</v>
      </c>
      <c r="H2605" t="s">
        <v>44</v>
      </c>
      <c r="I2605">
        <v>0</v>
      </c>
      <c r="J2605">
        <v>0</v>
      </c>
      <c r="K2605">
        <v>0</v>
      </c>
      <c r="L2605">
        <v>0</v>
      </c>
      <c r="M2605">
        <v>0.23</v>
      </c>
      <c r="N2605" s="7" t="str">
        <f>VLOOKUP(F2605,HC!A$6:D$100,3,FALSE)</f>
        <v>DA-X0700</v>
      </c>
      <c r="O2605" s="7" t="str">
        <f>VLOOKUP(F2605,HC!A$6:D$1000,2,FALSE)</f>
        <v>mclaudol</v>
      </c>
      <c r="P2605" t="s">
        <v>661</v>
      </c>
      <c r="Q2605" t="s">
        <v>681</v>
      </c>
      <c r="U2605">
        <f t="shared" si="42"/>
        <v>44</v>
      </c>
    </row>
    <row r="2606" spans="1:21" ht="37.5" customHeight="1" x14ac:dyDescent="0.25">
      <c r="A2606" s="35">
        <v>45141</v>
      </c>
      <c r="B2606" s="13">
        <v>31</v>
      </c>
      <c r="C2606" t="s">
        <v>3</v>
      </c>
      <c r="D2606" t="s">
        <v>4</v>
      </c>
      <c r="E2606" t="s">
        <v>5</v>
      </c>
      <c r="F2606" s="6">
        <v>112981196</v>
      </c>
      <c r="G2606" t="s">
        <v>328</v>
      </c>
      <c r="H2606" t="s">
        <v>285</v>
      </c>
      <c r="I2606">
        <v>0</v>
      </c>
      <c r="J2606">
        <v>0</v>
      </c>
      <c r="K2606">
        <v>0</v>
      </c>
      <c r="L2606">
        <v>0</v>
      </c>
      <c r="M2606">
        <v>0.2</v>
      </c>
      <c r="N2606" s="7" t="e">
        <f>VLOOKUP(F2606,HC!A$6:D$100,3,FALSE)</f>
        <v>#N/A</v>
      </c>
      <c r="O2606" s="7" t="str">
        <f>VLOOKUP(F2606,HC!A$6:D$1000,2,FALSE)</f>
        <v>vandgome</v>
      </c>
      <c r="P2606" t="s">
        <v>663</v>
      </c>
      <c r="Q2606" t="s">
        <v>695</v>
      </c>
      <c r="U2606">
        <f t="shared" si="42"/>
        <v>24</v>
      </c>
    </row>
    <row r="2607" spans="1:21" ht="37.5" customHeight="1" x14ac:dyDescent="0.25">
      <c r="A2607" s="35">
        <v>45141</v>
      </c>
      <c r="B2607" s="13">
        <v>31</v>
      </c>
      <c r="C2607" t="s">
        <v>3</v>
      </c>
      <c r="D2607" t="s">
        <v>4</v>
      </c>
      <c r="E2607" t="s">
        <v>5</v>
      </c>
      <c r="F2607" s="6">
        <v>113003510</v>
      </c>
      <c r="G2607" t="s">
        <v>913</v>
      </c>
      <c r="H2607" t="s">
        <v>47</v>
      </c>
      <c r="I2607">
        <v>0</v>
      </c>
      <c r="J2607">
        <v>0</v>
      </c>
      <c r="K2607">
        <v>0</v>
      </c>
      <c r="L2607">
        <v>0</v>
      </c>
      <c r="M2607">
        <v>0.55000000000000004</v>
      </c>
      <c r="N2607" s="7" t="e">
        <f>VLOOKUP(F2607,HC!A$6:D$100,3,FALSE)</f>
        <v>#N/A</v>
      </c>
      <c r="O2607" s="7" t="str">
        <f>VLOOKUP(F2607,HC!A$6:D$1000,2,FALSE)</f>
        <v>nperezmc</v>
      </c>
      <c r="P2607" t="s">
        <v>666</v>
      </c>
      <c r="Q2607" t="s">
        <v>774</v>
      </c>
      <c r="U2607">
        <f t="shared" si="42"/>
        <v>12</v>
      </c>
    </row>
    <row r="2608" spans="1:21" ht="37.5" customHeight="1" x14ac:dyDescent="0.25">
      <c r="A2608" s="35">
        <v>45141</v>
      </c>
      <c r="B2608" s="13">
        <v>31</v>
      </c>
      <c r="C2608" t="s">
        <v>3</v>
      </c>
      <c r="D2608" t="s">
        <v>4</v>
      </c>
      <c r="E2608" t="s">
        <v>5</v>
      </c>
      <c r="F2608" s="6">
        <v>113014560</v>
      </c>
      <c r="G2608" t="s">
        <v>599</v>
      </c>
      <c r="H2608" t="s">
        <v>17</v>
      </c>
      <c r="I2608">
        <v>0</v>
      </c>
      <c r="J2608">
        <v>0</v>
      </c>
      <c r="K2608">
        <v>0</v>
      </c>
      <c r="L2608">
        <v>0</v>
      </c>
      <c r="M2608">
        <v>0.21</v>
      </c>
      <c r="N2608" s="7" t="e">
        <f>VLOOKUP(F2608,HC!A$6:D$100,3,FALSE)</f>
        <v>#N/A</v>
      </c>
      <c r="O2608" s="7" t="str">
        <f>VLOOKUP(F2608,HC!A$6:D$1000,2,FALSE)</f>
        <v>zlopamer</v>
      </c>
      <c r="P2608" t="s">
        <v>663</v>
      </c>
      <c r="Q2608" t="s">
        <v>695</v>
      </c>
      <c r="U2608">
        <f t="shared" si="42"/>
        <v>15</v>
      </c>
    </row>
    <row r="2609" spans="1:21" ht="37.5" customHeight="1" x14ac:dyDescent="0.25">
      <c r="A2609" s="35">
        <v>45141</v>
      </c>
      <c r="B2609" s="13">
        <v>31</v>
      </c>
      <c r="C2609" t="s">
        <v>3</v>
      </c>
      <c r="D2609" t="s">
        <v>4</v>
      </c>
      <c r="E2609" t="s">
        <v>5</v>
      </c>
      <c r="F2609" s="6">
        <v>113020476</v>
      </c>
      <c r="G2609" t="s">
        <v>330</v>
      </c>
      <c r="H2609" t="s">
        <v>7</v>
      </c>
      <c r="I2609">
        <v>0</v>
      </c>
      <c r="J2609">
        <v>0</v>
      </c>
      <c r="K2609">
        <v>0</v>
      </c>
      <c r="L2609">
        <v>0</v>
      </c>
      <c r="M2609">
        <v>0.41</v>
      </c>
      <c r="N2609" s="7" t="e">
        <f>VLOOKUP(F2609,HC!A$6:D$100,3,FALSE)</f>
        <v>#N/A</v>
      </c>
      <c r="O2609" s="7" t="str">
        <f>VLOOKUP(F2609,HC!A$6:D$1000,2,FALSE)</f>
        <v>polettpu</v>
      </c>
      <c r="P2609" t="s">
        <v>675</v>
      </c>
      <c r="U2609">
        <f t="shared" si="42"/>
        <v>55</v>
      </c>
    </row>
    <row r="2610" spans="1:21" ht="37.5" customHeight="1" x14ac:dyDescent="0.25">
      <c r="A2610" s="35">
        <v>45141</v>
      </c>
      <c r="B2610" s="13">
        <v>31</v>
      </c>
      <c r="C2610" t="s">
        <v>3</v>
      </c>
      <c r="D2610" t="s">
        <v>4</v>
      </c>
      <c r="E2610" t="s">
        <v>5</v>
      </c>
      <c r="F2610" s="6">
        <v>200562154</v>
      </c>
      <c r="G2610" t="s">
        <v>437</v>
      </c>
      <c r="H2610" t="s">
        <v>49</v>
      </c>
      <c r="I2610">
        <v>0</v>
      </c>
      <c r="J2610">
        <v>0</v>
      </c>
      <c r="K2610">
        <v>0</v>
      </c>
      <c r="L2610">
        <v>0</v>
      </c>
      <c r="M2610">
        <v>0.4</v>
      </c>
      <c r="N2610" s="7" t="e">
        <f>VLOOKUP(F2610,HC!A$6:D$100,3,FALSE)</f>
        <v>#N/A</v>
      </c>
      <c r="O2610" s="7" t="str">
        <f>VLOOKUP(F2610,HC!A$6:D$1000,2,FALSE)</f>
        <v>reyesmcw</v>
      </c>
      <c r="P2610" t="s">
        <v>675</v>
      </c>
      <c r="U2610">
        <f t="shared" si="42"/>
        <v>38</v>
      </c>
    </row>
    <row r="2611" spans="1:21" ht="37.5" customHeight="1" x14ac:dyDescent="0.25">
      <c r="A2611" s="35">
        <v>45141</v>
      </c>
      <c r="B2611" s="13">
        <v>31</v>
      </c>
      <c r="C2611" t="s">
        <v>3</v>
      </c>
      <c r="D2611" t="s">
        <v>4</v>
      </c>
      <c r="E2611" t="s">
        <v>5</v>
      </c>
      <c r="F2611" s="6">
        <v>200614224</v>
      </c>
      <c r="G2611" t="s">
        <v>322</v>
      </c>
      <c r="H2611" t="s">
        <v>17</v>
      </c>
      <c r="I2611">
        <v>0</v>
      </c>
      <c r="J2611">
        <v>0</v>
      </c>
      <c r="K2611">
        <v>0</v>
      </c>
      <c r="L2611">
        <v>0</v>
      </c>
      <c r="M2611">
        <v>0.8</v>
      </c>
      <c r="N2611" s="7" t="e">
        <f>VLOOKUP(F2611,HC!A$6:D$100,3,FALSE)</f>
        <v>#N/A</v>
      </c>
      <c r="O2611" s="7" t="e">
        <f>VLOOKUP(F2611,HC!A$6:D$1000,2,FALSE)</f>
        <v>#N/A</v>
      </c>
      <c r="P2611" t="s">
        <v>666</v>
      </c>
      <c r="Q2611" t="s">
        <v>774</v>
      </c>
      <c r="U2611">
        <f t="shared" si="42"/>
        <v>1395</v>
      </c>
    </row>
    <row r="2612" spans="1:21" ht="37.5" customHeight="1" x14ac:dyDescent="0.25">
      <c r="A2612" s="35">
        <v>45141</v>
      </c>
      <c r="B2612" s="13">
        <v>31</v>
      </c>
      <c r="C2612" t="s">
        <v>3</v>
      </c>
      <c r="D2612" t="s">
        <v>4</v>
      </c>
      <c r="E2612" t="s">
        <v>5</v>
      </c>
      <c r="F2612" s="6">
        <v>201191390</v>
      </c>
      <c r="G2612" t="s">
        <v>916</v>
      </c>
      <c r="H2612" t="s">
        <v>7</v>
      </c>
      <c r="I2612">
        <v>0</v>
      </c>
      <c r="J2612">
        <v>0</v>
      </c>
      <c r="K2612">
        <v>0</v>
      </c>
      <c r="L2612">
        <v>0</v>
      </c>
      <c r="M2612">
        <v>0.13</v>
      </c>
      <c r="N2612" s="7" t="e">
        <f>VLOOKUP(F2612,HC!A$6:D$100,3,FALSE)</f>
        <v>#N/A</v>
      </c>
      <c r="O2612" s="7" t="str">
        <f>VLOOKUP(F2612,HC!A$6:D$1000,2,FALSE)</f>
        <v>bgajesus</v>
      </c>
      <c r="P2612" t="s">
        <v>662</v>
      </c>
      <c r="Q2612" t="s">
        <v>688</v>
      </c>
      <c r="U2612">
        <f t="shared" si="42"/>
        <v>37</v>
      </c>
    </row>
    <row r="2613" spans="1:21" ht="37.5" customHeight="1" x14ac:dyDescent="0.25">
      <c r="A2613" s="35">
        <v>45141</v>
      </c>
      <c r="B2613" s="13">
        <v>31</v>
      </c>
      <c r="C2613" t="s">
        <v>3</v>
      </c>
      <c r="D2613" t="s">
        <v>4</v>
      </c>
      <c r="E2613" t="s">
        <v>21</v>
      </c>
      <c r="F2613" s="6">
        <v>201318227</v>
      </c>
      <c r="G2613" t="s">
        <v>973</v>
      </c>
      <c r="H2613" t="s">
        <v>47</v>
      </c>
      <c r="I2613">
        <v>0</v>
      </c>
      <c r="J2613">
        <v>0</v>
      </c>
      <c r="K2613">
        <v>0</v>
      </c>
      <c r="L2613">
        <v>0</v>
      </c>
      <c r="M2613">
        <v>0.64</v>
      </c>
      <c r="N2613" s="7" t="e">
        <f>VLOOKUP(F2613,HC!A$6:D$100,3,FALSE)</f>
        <v>#N/A</v>
      </c>
      <c r="O2613" s="7" t="e">
        <f>VLOOKUP(F2613,HC!A$6:D$1000,2,FALSE)</f>
        <v>#N/A</v>
      </c>
      <c r="P2613" t="s">
        <v>675</v>
      </c>
      <c r="U2613">
        <f t="shared" si="42"/>
        <v>1395</v>
      </c>
    </row>
    <row r="2614" spans="1:21" ht="37.5" customHeight="1" x14ac:dyDescent="0.25">
      <c r="A2614" s="35">
        <v>45141</v>
      </c>
      <c r="B2614" s="13">
        <v>31</v>
      </c>
      <c r="C2614" t="s">
        <v>3</v>
      </c>
      <c r="D2614" t="s">
        <v>4</v>
      </c>
      <c r="E2614" t="s">
        <v>21</v>
      </c>
      <c r="F2614" s="6">
        <v>201354965</v>
      </c>
      <c r="G2614" t="s">
        <v>1063</v>
      </c>
      <c r="H2614" t="s">
        <v>263</v>
      </c>
      <c r="I2614">
        <v>0</v>
      </c>
      <c r="J2614">
        <v>0</v>
      </c>
      <c r="K2614">
        <v>0</v>
      </c>
      <c r="L2614">
        <v>0</v>
      </c>
      <c r="M2614">
        <v>0.09</v>
      </c>
      <c r="N2614" s="7" t="e">
        <f>VLOOKUP(F2614,HC!A$6:D$100,3,FALSE)</f>
        <v>#N/A</v>
      </c>
      <c r="O2614" s="7" t="str">
        <f>VLOOKUP(F2614,HC!A$6:D$1000,2,FALSE)</f>
        <v>alinejim</v>
      </c>
      <c r="P2614" t="s">
        <v>662</v>
      </c>
      <c r="Q2614" t="s">
        <v>688</v>
      </c>
      <c r="U2614">
        <f t="shared" si="42"/>
        <v>33</v>
      </c>
    </row>
    <row r="2615" spans="1:21" ht="37.5" customHeight="1" x14ac:dyDescent="0.25">
      <c r="A2615" s="35">
        <v>45141</v>
      </c>
      <c r="B2615" s="13">
        <v>31</v>
      </c>
      <c r="C2615" t="s">
        <v>3</v>
      </c>
      <c r="D2615" t="s">
        <v>4</v>
      </c>
      <c r="E2615" t="s">
        <v>5</v>
      </c>
      <c r="F2615" s="6">
        <v>112912511</v>
      </c>
      <c r="G2615" t="s">
        <v>1155</v>
      </c>
      <c r="H2615" t="s">
        <v>47</v>
      </c>
      <c r="I2615">
        <v>0</v>
      </c>
      <c r="J2615">
        <v>0</v>
      </c>
      <c r="K2615">
        <v>0</v>
      </c>
      <c r="L2615">
        <v>0</v>
      </c>
      <c r="M2615">
        <v>0.66</v>
      </c>
      <c r="N2615" s="7" t="str">
        <f>VLOOKUP(F2615,HC!A$6:D$100,3,FALSE)</f>
        <v>DB-X0700</v>
      </c>
      <c r="O2615" s="7" t="str">
        <f>VLOOKUP(F2615,HC!A$6:D$1000,2,FALSE)</f>
        <v>sergelor</v>
      </c>
      <c r="P2615" t="s">
        <v>664</v>
      </c>
      <c r="Q2615" t="s">
        <v>711</v>
      </c>
      <c r="U2615">
        <f t="shared" si="42"/>
        <v>4</v>
      </c>
    </row>
    <row r="2616" spans="1:21" ht="37.5" customHeight="1" x14ac:dyDescent="0.25">
      <c r="A2616" s="35">
        <v>45141</v>
      </c>
      <c r="B2616" s="13">
        <v>31</v>
      </c>
      <c r="C2616" t="s">
        <v>3</v>
      </c>
      <c r="D2616" t="s">
        <v>4</v>
      </c>
      <c r="E2616" t="s">
        <v>21</v>
      </c>
      <c r="F2616" s="6">
        <v>112912747</v>
      </c>
      <c r="G2616" t="s">
        <v>995</v>
      </c>
      <c r="H2616" t="s">
        <v>263</v>
      </c>
      <c r="I2616">
        <v>0</v>
      </c>
      <c r="J2616">
        <v>0</v>
      </c>
      <c r="K2616">
        <v>0</v>
      </c>
      <c r="L2616">
        <v>0</v>
      </c>
      <c r="M2616">
        <v>0.76</v>
      </c>
      <c r="N2616" s="7" t="e">
        <f>VLOOKUP(F2616,HC!A$6:D$100,3,FALSE)</f>
        <v>#N/A</v>
      </c>
      <c r="O2616" s="7" t="e">
        <f>VLOOKUP(F2616,HC!A$6:D$1000,2,FALSE)</f>
        <v>#N/A</v>
      </c>
      <c r="R2616" t="s">
        <v>1178</v>
      </c>
      <c r="U2616">
        <f t="shared" si="42"/>
        <v>1395</v>
      </c>
    </row>
    <row r="2617" spans="1:21" ht="37.5" customHeight="1" x14ac:dyDescent="0.25">
      <c r="A2617" s="35">
        <v>45142</v>
      </c>
      <c r="B2617" s="13">
        <v>31</v>
      </c>
      <c r="C2617" t="s">
        <v>3</v>
      </c>
      <c r="D2617" t="s">
        <v>4</v>
      </c>
      <c r="E2617" t="s">
        <v>5</v>
      </c>
      <c r="F2617" s="6">
        <v>112913641</v>
      </c>
      <c r="G2617" t="s">
        <v>978</v>
      </c>
      <c r="H2617" t="s">
        <v>47</v>
      </c>
      <c r="I2617">
        <v>0</v>
      </c>
      <c r="J2617">
        <v>0</v>
      </c>
      <c r="K2617">
        <v>0</v>
      </c>
      <c r="L2617">
        <v>0</v>
      </c>
      <c r="M2617">
        <v>1.01</v>
      </c>
      <c r="N2617" s="7" t="str">
        <f>VLOOKUP(F2617,HC!A$6:D$100,3,FALSE)</f>
        <v>DB-X0700</v>
      </c>
      <c r="O2617" s="7" t="str">
        <f>VLOOKUP(F2617,HC!A$6:D$1000,2,FALSE)</f>
        <v>arevamau</v>
      </c>
      <c r="R2617" t="s">
        <v>1178</v>
      </c>
      <c r="U2617">
        <f t="shared" si="42"/>
        <v>3</v>
      </c>
    </row>
    <row r="2618" spans="1:21" ht="37.5" customHeight="1" x14ac:dyDescent="0.25">
      <c r="A2618" s="35">
        <v>45142</v>
      </c>
      <c r="B2618" s="13">
        <v>31</v>
      </c>
      <c r="C2618" t="s">
        <v>3</v>
      </c>
      <c r="D2618" t="s">
        <v>4</v>
      </c>
      <c r="E2618" t="s">
        <v>5</v>
      </c>
      <c r="F2618" s="6">
        <v>112920666</v>
      </c>
      <c r="G2618" t="s">
        <v>252</v>
      </c>
      <c r="H2618" t="s">
        <v>459</v>
      </c>
      <c r="I2618">
        <v>0</v>
      </c>
      <c r="J2618">
        <v>0</v>
      </c>
      <c r="K2618">
        <v>0</v>
      </c>
      <c r="L2618">
        <v>0</v>
      </c>
      <c r="M2618">
        <v>0.18</v>
      </c>
      <c r="N2618" s="7" t="str">
        <f>VLOOKUP(F2618,HC!A$6:D$100,3,FALSE)</f>
        <v>D5-X0700</v>
      </c>
      <c r="O2618" s="7" t="str">
        <f>VLOOKUP(F2618,HC!A$6:D$1000,2,FALSE)</f>
        <v>jorochai</v>
      </c>
      <c r="P2618" t="s">
        <v>662</v>
      </c>
      <c r="Q2618" t="s">
        <v>757</v>
      </c>
      <c r="U2618">
        <f t="shared" si="42"/>
        <v>19</v>
      </c>
    </row>
    <row r="2619" spans="1:21" ht="37.5" customHeight="1" x14ac:dyDescent="0.25">
      <c r="A2619" s="35">
        <v>45142</v>
      </c>
      <c r="B2619" s="13">
        <v>31</v>
      </c>
      <c r="C2619" t="s">
        <v>3</v>
      </c>
      <c r="D2619" t="s">
        <v>4</v>
      </c>
      <c r="E2619" t="s">
        <v>5</v>
      </c>
      <c r="F2619" s="6">
        <v>112950784</v>
      </c>
      <c r="G2619" t="s">
        <v>261</v>
      </c>
      <c r="H2619" t="s">
        <v>282</v>
      </c>
      <c r="I2619">
        <v>0</v>
      </c>
      <c r="J2619">
        <v>0</v>
      </c>
      <c r="K2619">
        <v>0</v>
      </c>
      <c r="L2619">
        <v>0</v>
      </c>
      <c r="M2619">
        <v>0.28999999999999998</v>
      </c>
      <c r="N2619" s="7" t="str">
        <f>VLOOKUP(F2619,HC!A$6:D$100,3,FALSE)</f>
        <v>NF-X1900</v>
      </c>
      <c r="O2619" s="7" t="str">
        <f>VLOOKUP(F2619,HC!A$6:D$1000,2,FALSE)</f>
        <v>sarojast</v>
      </c>
      <c r="P2619" t="s">
        <v>661</v>
      </c>
      <c r="Q2619" t="s">
        <v>681</v>
      </c>
      <c r="U2619">
        <f t="shared" si="42"/>
        <v>33</v>
      </c>
    </row>
    <row r="2620" spans="1:21" ht="37.5" customHeight="1" x14ac:dyDescent="0.25">
      <c r="A2620" s="35">
        <v>45142</v>
      </c>
      <c r="B2620" s="13">
        <v>31</v>
      </c>
      <c r="C2620" t="s">
        <v>3</v>
      </c>
      <c r="D2620" t="s">
        <v>4</v>
      </c>
      <c r="E2620" t="s">
        <v>5</v>
      </c>
      <c r="F2620" s="6">
        <v>112973049</v>
      </c>
      <c r="G2620" t="s">
        <v>314</v>
      </c>
      <c r="H2620" t="s">
        <v>7</v>
      </c>
      <c r="I2620">
        <v>0</v>
      </c>
      <c r="J2620">
        <v>0</v>
      </c>
      <c r="K2620">
        <v>0</v>
      </c>
      <c r="L2620">
        <v>0</v>
      </c>
      <c r="M2620">
        <v>0.13</v>
      </c>
      <c r="N2620" s="7" t="str">
        <f>VLOOKUP(F2620,HC!A$6:D$100,3,FALSE)</f>
        <v>DB-X0700</v>
      </c>
      <c r="O2620" s="7" t="str">
        <f>VLOOKUP(F2620,HC!A$6:D$1000,2,FALSE)</f>
        <v>afatimae</v>
      </c>
      <c r="P2620" t="s">
        <v>664</v>
      </c>
      <c r="Q2620" t="s">
        <v>711</v>
      </c>
      <c r="U2620">
        <f t="shared" si="42"/>
        <v>29</v>
      </c>
    </row>
    <row r="2621" spans="1:21" ht="37.5" customHeight="1" x14ac:dyDescent="0.25">
      <c r="A2621" s="35">
        <v>45142</v>
      </c>
      <c r="B2621" s="13">
        <v>31</v>
      </c>
      <c r="C2621" t="s">
        <v>3</v>
      </c>
      <c r="D2621" t="s">
        <v>4</v>
      </c>
      <c r="E2621" t="s">
        <v>5</v>
      </c>
      <c r="F2621" s="6">
        <v>113003510</v>
      </c>
      <c r="G2621" t="s">
        <v>913</v>
      </c>
      <c r="H2621" t="s">
        <v>47</v>
      </c>
      <c r="I2621">
        <v>0</v>
      </c>
      <c r="J2621">
        <v>0</v>
      </c>
      <c r="K2621">
        <v>0</v>
      </c>
      <c r="L2621">
        <v>0</v>
      </c>
      <c r="M2621">
        <v>0.7</v>
      </c>
      <c r="N2621" s="7" t="e">
        <f>VLOOKUP(F2621,HC!A$6:D$100,3,FALSE)</f>
        <v>#N/A</v>
      </c>
      <c r="O2621" s="7" t="str">
        <f>VLOOKUP(F2621,HC!A$6:D$1000,2,FALSE)</f>
        <v>nperezmc</v>
      </c>
      <c r="R2621" t="s">
        <v>1178</v>
      </c>
      <c r="U2621">
        <f t="shared" si="42"/>
        <v>12</v>
      </c>
    </row>
    <row r="2622" spans="1:21" ht="37.5" customHeight="1" x14ac:dyDescent="0.25">
      <c r="A2622" s="35">
        <v>45142</v>
      </c>
      <c r="B2622" s="13">
        <v>31</v>
      </c>
      <c r="C2622" t="s">
        <v>3</v>
      </c>
      <c r="D2622" t="s">
        <v>4</v>
      </c>
      <c r="E2622" t="s">
        <v>5</v>
      </c>
      <c r="F2622" s="6">
        <v>113014470</v>
      </c>
      <c r="G2622" t="s">
        <v>374</v>
      </c>
      <c r="H2622" t="s">
        <v>44</v>
      </c>
      <c r="I2622">
        <v>0</v>
      </c>
      <c r="J2622">
        <v>0</v>
      </c>
      <c r="K2622">
        <v>0</v>
      </c>
      <c r="L2622">
        <v>0</v>
      </c>
      <c r="M2622">
        <v>0.63</v>
      </c>
      <c r="N2622" s="7" t="e">
        <f>VLOOKUP(F2622,HC!A$6:D$100,3,FALSE)</f>
        <v>#N/A</v>
      </c>
      <c r="O2622" s="7" t="str">
        <f>VLOOKUP(F2622,HC!A$6:D$1000,2,FALSE)</f>
        <v>lupaguin</v>
      </c>
      <c r="R2622" t="s">
        <v>1178</v>
      </c>
      <c r="U2622">
        <f t="shared" si="42"/>
        <v>23</v>
      </c>
    </row>
    <row r="2623" spans="1:21" ht="37.5" customHeight="1" x14ac:dyDescent="0.25">
      <c r="A2623" s="35">
        <v>45142</v>
      </c>
      <c r="B2623" s="13">
        <v>31</v>
      </c>
      <c r="C2623" t="s">
        <v>3</v>
      </c>
      <c r="D2623" t="s">
        <v>4</v>
      </c>
      <c r="E2623" t="s">
        <v>5</v>
      </c>
      <c r="F2623" s="6">
        <v>113014560</v>
      </c>
      <c r="G2623" t="s">
        <v>599</v>
      </c>
      <c r="H2623" t="s">
        <v>17</v>
      </c>
      <c r="I2623">
        <v>0</v>
      </c>
      <c r="J2623">
        <v>0</v>
      </c>
      <c r="K2623">
        <v>0</v>
      </c>
      <c r="L2623">
        <v>0</v>
      </c>
      <c r="M2623">
        <v>0.04</v>
      </c>
      <c r="N2623" s="7" t="e">
        <f>VLOOKUP(F2623,HC!A$6:D$100,3,FALSE)</f>
        <v>#N/A</v>
      </c>
      <c r="O2623" s="7" t="str">
        <f>VLOOKUP(F2623,HC!A$6:D$1000,2,FALSE)</f>
        <v>zlopamer</v>
      </c>
      <c r="P2623" t="s">
        <v>663</v>
      </c>
      <c r="Q2623" t="s">
        <v>692</v>
      </c>
      <c r="U2623">
        <f t="shared" si="42"/>
        <v>15</v>
      </c>
    </row>
    <row r="2624" spans="1:21" ht="37.5" customHeight="1" x14ac:dyDescent="0.25">
      <c r="A2624" s="35">
        <v>45142</v>
      </c>
      <c r="B2624" s="13">
        <v>31</v>
      </c>
      <c r="C2624" t="s">
        <v>3</v>
      </c>
      <c r="D2624" t="s">
        <v>4</v>
      </c>
      <c r="E2624" t="s">
        <v>5</v>
      </c>
      <c r="F2624" s="6">
        <v>113020497</v>
      </c>
      <c r="G2624" t="s">
        <v>606</v>
      </c>
      <c r="H2624" t="s">
        <v>47</v>
      </c>
      <c r="I2624">
        <v>0</v>
      </c>
      <c r="J2624">
        <v>0</v>
      </c>
      <c r="K2624">
        <v>0</v>
      </c>
      <c r="L2624">
        <v>0</v>
      </c>
      <c r="M2624">
        <v>0.66</v>
      </c>
      <c r="N2624" s="7" t="e">
        <f>VLOOKUP(F2624,HC!A$6:D$100,3,FALSE)</f>
        <v>#N/A</v>
      </c>
      <c r="O2624" s="7" t="str">
        <f>VLOOKUP(F2624,HC!A$6:D$1000,2,FALSE)</f>
        <v>diamartd</v>
      </c>
      <c r="R2624" t="s">
        <v>1178</v>
      </c>
      <c r="U2624">
        <f t="shared" si="42"/>
        <v>14</v>
      </c>
    </row>
    <row r="2625" spans="1:21" ht="37.5" customHeight="1" x14ac:dyDescent="0.25">
      <c r="A2625" s="35">
        <v>45142</v>
      </c>
      <c r="B2625" s="13">
        <v>31</v>
      </c>
      <c r="C2625" t="s">
        <v>3</v>
      </c>
      <c r="D2625" t="s">
        <v>4</v>
      </c>
      <c r="E2625" t="s">
        <v>5</v>
      </c>
      <c r="F2625" s="6">
        <v>113044763</v>
      </c>
      <c r="G2625" t="s">
        <v>553</v>
      </c>
      <c r="H2625" t="s">
        <v>47</v>
      </c>
      <c r="I2625">
        <v>0</v>
      </c>
      <c r="J2625">
        <v>0</v>
      </c>
      <c r="K2625">
        <v>0</v>
      </c>
      <c r="L2625">
        <v>0</v>
      </c>
      <c r="M2625">
        <v>0.64</v>
      </c>
      <c r="N2625" s="7" t="e">
        <f>VLOOKUP(F2625,HC!A$6:D$100,3,FALSE)</f>
        <v>#N/A</v>
      </c>
      <c r="O2625" s="7" t="str">
        <f>VLOOKUP(F2625,HC!A$6:D$1000,2,FALSE)</f>
        <v>urbistep</v>
      </c>
      <c r="R2625" t="s">
        <v>1178</v>
      </c>
      <c r="U2625">
        <f t="shared" si="42"/>
        <v>6</v>
      </c>
    </row>
    <row r="2626" spans="1:21" ht="37.5" customHeight="1" x14ac:dyDescent="0.25">
      <c r="A2626" s="35">
        <v>45142</v>
      </c>
      <c r="B2626" s="13">
        <v>31</v>
      </c>
      <c r="C2626" t="s">
        <v>3</v>
      </c>
      <c r="D2626" t="s">
        <v>4</v>
      </c>
      <c r="E2626" t="s">
        <v>5</v>
      </c>
      <c r="F2626" s="6">
        <v>200562154</v>
      </c>
      <c r="G2626" t="s">
        <v>437</v>
      </c>
      <c r="H2626" t="s">
        <v>49</v>
      </c>
      <c r="I2626">
        <v>0</v>
      </c>
      <c r="J2626">
        <v>0</v>
      </c>
      <c r="K2626">
        <v>0</v>
      </c>
      <c r="L2626">
        <v>0</v>
      </c>
      <c r="M2626">
        <v>0.34</v>
      </c>
      <c r="N2626" s="7" t="e">
        <f>VLOOKUP(F2626,HC!A$6:D$100,3,FALSE)</f>
        <v>#N/A</v>
      </c>
      <c r="O2626" s="7" t="str">
        <f>VLOOKUP(F2626,HC!A$6:D$1000,2,FALSE)</f>
        <v>reyesmcw</v>
      </c>
      <c r="R2626" t="s">
        <v>1178</v>
      </c>
      <c r="U2626">
        <f t="shared" si="42"/>
        <v>38</v>
      </c>
    </row>
    <row r="2627" spans="1:21" ht="37.5" customHeight="1" x14ac:dyDescent="0.25">
      <c r="A2627" s="35">
        <v>45142</v>
      </c>
      <c r="B2627" s="13">
        <v>31</v>
      </c>
      <c r="C2627" t="s">
        <v>3</v>
      </c>
      <c r="D2627" t="s">
        <v>4</v>
      </c>
      <c r="E2627" t="s">
        <v>5</v>
      </c>
      <c r="F2627" s="6">
        <v>200614224</v>
      </c>
      <c r="G2627" t="s">
        <v>322</v>
      </c>
      <c r="H2627" t="s">
        <v>17</v>
      </c>
      <c r="I2627">
        <v>0</v>
      </c>
      <c r="J2627">
        <v>0</v>
      </c>
      <c r="K2627">
        <v>0</v>
      </c>
      <c r="L2627">
        <v>0</v>
      </c>
      <c r="M2627">
        <v>0.32</v>
      </c>
      <c r="N2627" s="7" t="e">
        <f>VLOOKUP(F2627,HC!A$6:D$100,3,FALSE)</f>
        <v>#N/A</v>
      </c>
      <c r="O2627" s="7" t="e">
        <f>VLOOKUP(F2627,HC!A$6:D$1000,2,FALSE)</f>
        <v>#N/A</v>
      </c>
      <c r="R2627" t="s">
        <v>1178</v>
      </c>
      <c r="U2627">
        <f t="shared" ref="U2627:U2690" si="43">COUNTIF(O$2:O$4999,O2627)</f>
        <v>1395</v>
      </c>
    </row>
    <row r="2628" spans="1:21" ht="37.5" customHeight="1" x14ac:dyDescent="0.25">
      <c r="A2628" s="35">
        <v>45142</v>
      </c>
      <c r="B2628" s="13">
        <v>31</v>
      </c>
      <c r="C2628" t="s">
        <v>3</v>
      </c>
      <c r="D2628" t="s">
        <v>4</v>
      </c>
      <c r="E2628" t="s">
        <v>5</v>
      </c>
      <c r="F2628" s="6">
        <v>201198427</v>
      </c>
      <c r="G2628" t="s">
        <v>1056</v>
      </c>
      <c r="H2628" t="s">
        <v>47</v>
      </c>
      <c r="I2628">
        <v>0</v>
      </c>
      <c r="J2628">
        <v>0</v>
      </c>
      <c r="K2628">
        <v>0</v>
      </c>
      <c r="L2628">
        <v>0</v>
      </c>
      <c r="M2628">
        <v>0.64</v>
      </c>
      <c r="N2628" s="7" t="e">
        <f>VLOOKUP(F2628,HC!A$6:D$100,3,FALSE)</f>
        <v>#N/A</v>
      </c>
      <c r="O2628" s="7" t="str">
        <f>VLOOKUP(F2628,HC!A$6:D$1000,2,FALSE)</f>
        <v>paulinbp</v>
      </c>
      <c r="R2628" t="s">
        <v>1178</v>
      </c>
      <c r="U2628">
        <f t="shared" si="43"/>
        <v>3</v>
      </c>
    </row>
    <row r="2629" spans="1:21" ht="37.5" customHeight="1" x14ac:dyDescent="0.25">
      <c r="A2629" s="35">
        <v>45142</v>
      </c>
      <c r="B2629" s="13">
        <v>31</v>
      </c>
      <c r="C2629" t="s">
        <v>3</v>
      </c>
      <c r="D2629" t="s">
        <v>4</v>
      </c>
      <c r="E2629" t="s">
        <v>5</v>
      </c>
      <c r="F2629" s="6">
        <v>201202093</v>
      </c>
      <c r="G2629" t="s">
        <v>479</v>
      </c>
      <c r="H2629" t="s">
        <v>298</v>
      </c>
      <c r="I2629">
        <v>0</v>
      </c>
      <c r="J2629">
        <v>0</v>
      </c>
      <c r="K2629">
        <v>0</v>
      </c>
      <c r="L2629">
        <v>0</v>
      </c>
      <c r="M2629">
        <v>0.06</v>
      </c>
      <c r="N2629" s="7" t="e">
        <f>VLOOKUP(F2629,HC!A$6:D$100,3,FALSE)</f>
        <v>#N/A</v>
      </c>
      <c r="O2629" s="7" t="str">
        <f>VLOOKUP(F2629,HC!A$6:D$1000,2,FALSE)</f>
        <v>eliorten</v>
      </c>
      <c r="P2629" t="s">
        <v>663</v>
      </c>
      <c r="Q2629" t="s">
        <v>692</v>
      </c>
      <c r="U2629">
        <f t="shared" si="43"/>
        <v>12</v>
      </c>
    </row>
    <row r="2630" spans="1:21" ht="37.5" customHeight="1" x14ac:dyDescent="0.25">
      <c r="A2630" s="35">
        <v>45142</v>
      </c>
      <c r="B2630" s="13">
        <v>31</v>
      </c>
      <c r="C2630" t="s">
        <v>3</v>
      </c>
      <c r="D2630" t="s">
        <v>4</v>
      </c>
      <c r="E2630" t="s">
        <v>5</v>
      </c>
      <c r="F2630" s="6">
        <v>201223730</v>
      </c>
      <c r="G2630" t="s">
        <v>933</v>
      </c>
      <c r="H2630" t="s">
        <v>49</v>
      </c>
      <c r="I2630">
        <v>0</v>
      </c>
      <c r="J2630">
        <v>0</v>
      </c>
      <c r="K2630">
        <v>0</v>
      </c>
      <c r="L2630">
        <v>0</v>
      </c>
      <c r="M2630">
        <v>0.72</v>
      </c>
      <c r="N2630" s="7" t="e">
        <f>VLOOKUP(F2630,HC!A$6:D$100,3,FALSE)</f>
        <v>#N/A</v>
      </c>
      <c r="O2630" s="7" t="str">
        <f>VLOOKUP(F2630,HC!A$6:D$1000,2,FALSE)</f>
        <v>cesarito</v>
      </c>
      <c r="P2630" t="s">
        <v>661</v>
      </c>
      <c r="Q2630" t="s">
        <v>681</v>
      </c>
      <c r="U2630">
        <f t="shared" si="43"/>
        <v>39</v>
      </c>
    </row>
    <row r="2631" spans="1:21" ht="37.5" customHeight="1" x14ac:dyDescent="0.25">
      <c r="A2631" s="35">
        <v>45142</v>
      </c>
      <c r="B2631" s="13">
        <v>31</v>
      </c>
      <c r="C2631" t="s">
        <v>3</v>
      </c>
      <c r="D2631" t="s">
        <v>4</v>
      </c>
      <c r="E2631" t="s">
        <v>21</v>
      </c>
      <c r="F2631" s="6">
        <v>201295559</v>
      </c>
      <c r="G2631" t="s">
        <v>1158</v>
      </c>
      <c r="H2631" t="s">
        <v>47</v>
      </c>
      <c r="I2631">
        <v>0</v>
      </c>
      <c r="J2631">
        <v>0</v>
      </c>
      <c r="K2631">
        <v>0</v>
      </c>
      <c r="L2631">
        <v>0</v>
      </c>
      <c r="M2631">
        <v>0.73</v>
      </c>
      <c r="N2631" s="7" t="e">
        <f>VLOOKUP(F2631,HC!A$6:D$100,3,FALSE)</f>
        <v>#N/A</v>
      </c>
      <c r="O2631" s="7" t="str">
        <f>VLOOKUP(F2631,HC!A$6:D$1000,2,FALSE)</f>
        <v>maflorr</v>
      </c>
      <c r="R2631" t="s">
        <v>1178</v>
      </c>
      <c r="U2631">
        <f t="shared" si="43"/>
        <v>3</v>
      </c>
    </row>
    <row r="2632" spans="1:21" ht="37.5" customHeight="1" x14ac:dyDescent="0.25">
      <c r="A2632" s="35">
        <v>45142</v>
      </c>
      <c r="B2632" s="13">
        <v>31</v>
      </c>
      <c r="C2632" t="s">
        <v>3</v>
      </c>
      <c r="D2632" t="s">
        <v>4</v>
      </c>
      <c r="E2632" t="s">
        <v>21</v>
      </c>
      <c r="F2632" s="6">
        <v>201318227</v>
      </c>
      <c r="G2632" t="s">
        <v>973</v>
      </c>
      <c r="H2632" t="s">
        <v>47</v>
      </c>
      <c r="I2632">
        <v>0</v>
      </c>
      <c r="J2632">
        <v>0</v>
      </c>
      <c r="K2632">
        <v>0</v>
      </c>
      <c r="L2632">
        <v>0</v>
      </c>
      <c r="M2632">
        <v>0.7</v>
      </c>
      <c r="N2632" s="7" t="e">
        <f>VLOOKUP(F2632,HC!A$6:D$100,3,FALSE)</f>
        <v>#N/A</v>
      </c>
      <c r="O2632" s="7" t="e">
        <f>VLOOKUP(F2632,HC!A$6:D$1000,2,FALSE)</f>
        <v>#N/A</v>
      </c>
      <c r="R2632" t="s">
        <v>1178</v>
      </c>
      <c r="U2632">
        <f t="shared" si="43"/>
        <v>1395</v>
      </c>
    </row>
    <row r="2633" spans="1:21" ht="37.5" customHeight="1" x14ac:dyDescent="0.25">
      <c r="A2633" s="35">
        <v>45142</v>
      </c>
      <c r="B2633" s="13">
        <v>31</v>
      </c>
      <c r="C2633" t="s">
        <v>3</v>
      </c>
      <c r="D2633" t="s">
        <v>4</v>
      </c>
      <c r="E2633" t="s">
        <v>21</v>
      </c>
      <c r="F2633" s="6">
        <v>201345737</v>
      </c>
      <c r="G2633" t="s">
        <v>1083</v>
      </c>
      <c r="H2633" t="s">
        <v>17</v>
      </c>
      <c r="I2633">
        <v>0</v>
      </c>
      <c r="J2633">
        <v>0</v>
      </c>
      <c r="K2633">
        <v>0</v>
      </c>
      <c r="L2633">
        <v>0</v>
      </c>
      <c r="M2633">
        <v>0.95</v>
      </c>
      <c r="N2633" s="7" t="e">
        <f>VLOOKUP(F2633,HC!A$6:D$100,3,FALSE)</f>
        <v>#N/A</v>
      </c>
      <c r="O2633" s="7" t="str">
        <f>VLOOKUP(F2633,HC!A$6:D$1000,2,FALSE)</f>
        <v>upacoros</v>
      </c>
      <c r="R2633" t="s">
        <v>1178</v>
      </c>
      <c r="U2633">
        <f t="shared" si="43"/>
        <v>11</v>
      </c>
    </row>
    <row r="2634" spans="1:21" ht="37.5" customHeight="1" x14ac:dyDescent="0.25">
      <c r="A2634" s="35">
        <v>45142</v>
      </c>
      <c r="B2634" s="13">
        <v>31</v>
      </c>
      <c r="C2634" t="s">
        <v>3</v>
      </c>
      <c r="D2634" t="s">
        <v>4</v>
      </c>
      <c r="E2634" t="s">
        <v>21</v>
      </c>
      <c r="F2634" s="6">
        <v>201354965</v>
      </c>
      <c r="G2634" t="s">
        <v>1063</v>
      </c>
      <c r="H2634" t="s">
        <v>263</v>
      </c>
      <c r="I2634">
        <v>0</v>
      </c>
      <c r="J2634">
        <v>0</v>
      </c>
      <c r="K2634">
        <v>0</v>
      </c>
      <c r="L2634">
        <v>0</v>
      </c>
      <c r="M2634">
        <v>1.34</v>
      </c>
      <c r="N2634" s="7" t="e">
        <f>VLOOKUP(F2634,HC!A$6:D$100,3,FALSE)</f>
        <v>#N/A</v>
      </c>
      <c r="O2634" s="7" t="str">
        <f>VLOOKUP(F2634,HC!A$6:D$1000,2,FALSE)</f>
        <v>alinejim</v>
      </c>
      <c r="R2634" t="s">
        <v>1178</v>
      </c>
      <c r="U2634">
        <f t="shared" si="43"/>
        <v>33</v>
      </c>
    </row>
    <row r="2635" spans="1:21" ht="37.5" customHeight="1" x14ac:dyDescent="0.25">
      <c r="A2635" s="35">
        <v>45142</v>
      </c>
      <c r="B2635" s="13">
        <v>31</v>
      </c>
      <c r="C2635" t="s">
        <v>3</v>
      </c>
      <c r="D2635" t="s">
        <v>4</v>
      </c>
      <c r="E2635" t="s">
        <v>21</v>
      </c>
      <c r="F2635" s="6">
        <v>201403462</v>
      </c>
      <c r="G2635" t="s">
        <v>1054</v>
      </c>
      <c r="H2635" t="s">
        <v>49</v>
      </c>
      <c r="I2635">
        <v>0</v>
      </c>
      <c r="J2635">
        <v>0</v>
      </c>
      <c r="K2635">
        <v>0</v>
      </c>
      <c r="L2635">
        <v>0</v>
      </c>
      <c r="M2635">
        <v>0.42</v>
      </c>
      <c r="N2635" s="7" t="e">
        <f>VLOOKUP(F2635,HC!A$6:D$100,3,FALSE)</f>
        <v>#N/A</v>
      </c>
      <c r="O2635" s="7" t="str">
        <f>VLOOKUP(F2635,HC!A$6:D$1000,2,FALSE)</f>
        <v>valdojoe</v>
      </c>
      <c r="P2635" t="s">
        <v>669</v>
      </c>
      <c r="Q2635" t="s">
        <v>739</v>
      </c>
      <c r="U2635">
        <f t="shared" si="43"/>
        <v>22</v>
      </c>
    </row>
    <row r="2636" spans="1:21" ht="37.5" customHeight="1" x14ac:dyDescent="0.25">
      <c r="A2636" s="36">
        <v>45143</v>
      </c>
      <c r="B2636" s="13">
        <v>31</v>
      </c>
      <c r="C2636" t="s">
        <v>3</v>
      </c>
      <c r="D2636" t="s">
        <v>4</v>
      </c>
      <c r="E2636" t="s">
        <v>21</v>
      </c>
      <c r="F2636" s="6">
        <v>112912747</v>
      </c>
      <c r="G2636" t="s">
        <v>995</v>
      </c>
      <c r="H2636" t="s">
        <v>263</v>
      </c>
      <c r="I2636">
        <v>0</v>
      </c>
      <c r="J2636">
        <v>0</v>
      </c>
      <c r="K2636">
        <v>0</v>
      </c>
      <c r="L2636">
        <v>0</v>
      </c>
      <c r="M2636">
        <v>0.36</v>
      </c>
      <c r="N2636" s="7" t="e">
        <f>VLOOKUP(F2636,HC!A$6:D$100,3,FALSE)</f>
        <v>#N/A</v>
      </c>
      <c r="O2636" s="7" t="e">
        <f>VLOOKUP(F2636,HC!A$6:D$1000,2,FALSE)</f>
        <v>#N/A</v>
      </c>
      <c r="P2636" t="s">
        <v>664</v>
      </c>
      <c r="Q2636" t="s">
        <v>708</v>
      </c>
      <c r="U2636">
        <f t="shared" si="43"/>
        <v>1395</v>
      </c>
    </row>
    <row r="2637" spans="1:21" ht="37.5" customHeight="1" x14ac:dyDescent="0.25">
      <c r="A2637" s="36">
        <v>45143</v>
      </c>
      <c r="B2637" s="13">
        <v>31</v>
      </c>
      <c r="C2637" t="s">
        <v>3</v>
      </c>
      <c r="D2637" t="s">
        <v>4</v>
      </c>
      <c r="E2637" t="s">
        <v>5</v>
      </c>
      <c r="F2637" s="6">
        <v>113003971</v>
      </c>
      <c r="G2637" t="s">
        <v>284</v>
      </c>
      <c r="H2637" t="s">
        <v>49</v>
      </c>
      <c r="I2637">
        <v>0</v>
      </c>
      <c r="J2637">
        <v>0</v>
      </c>
      <c r="K2637">
        <v>0</v>
      </c>
      <c r="L2637">
        <v>0</v>
      </c>
      <c r="M2637">
        <v>0.08</v>
      </c>
      <c r="N2637" s="7" t="e">
        <f>VLOOKUP(F2637,HC!A$6:D$100,3,FALSE)</f>
        <v>#N/A</v>
      </c>
      <c r="O2637" s="7" t="str">
        <f>VLOOKUP(F2637,HC!A$6:D$1000,2,FALSE)</f>
        <v>garamird</v>
      </c>
      <c r="P2637" t="s">
        <v>664</v>
      </c>
      <c r="Q2637" t="s">
        <v>710</v>
      </c>
      <c r="U2637">
        <f t="shared" si="43"/>
        <v>14</v>
      </c>
    </row>
    <row r="2638" spans="1:21" ht="37.5" customHeight="1" x14ac:dyDescent="0.25">
      <c r="A2638" s="36">
        <v>45143</v>
      </c>
      <c r="B2638" s="13">
        <v>31</v>
      </c>
      <c r="C2638" t="s">
        <v>3</v>
      </c>
      <c r="D2638" t="s">
        <v>4</v>
      </c>
      <c r="E2638" t="s">
        <v>5</v>
      </c>
      <c r="F2638" s="6">
        <v>113020476</v>
      </c>
      <c r="G2638" t="s">
        <v>330</v>
      </c>
      <c r="H2638" t="s">
        <v>7</v>
      </c>
      <c r="I2638">
        <v>0</v>
      </c>
      <c r="J2638">
        <v>0</v>
      </c>
      <c r="K2638">
        <v>0</v>
      </c>
      <c r="L2638">
        <v>0</v>
      </c>
      <c r="M2638">
        <v>0.09</v>
      </c>
      <c r="N2638" s="7" t="e">
        <f>VLOOKUP(F2638,HC!A$6:D$100,3,FALSE)</f>
        <v>#N/A</v>
      </c>
      <c r="O2638" s="7" t="str">
        <f>VLOOKUP(F2638,HC!A$6:D$1000,2,FALSE)</f>
        <v>polettpu</v>
      </c>
      <c r="P2638" t="s">
        <v>661</v>
      </c>
      <c r="Q2638" t="s">
        <v>681</v>
      </c>
      <c r="U2638">
        <f t="shared" si="43"/>
        <v>55</v>
      </c>
    </row>
    <row r="2639" spans="1:21" ht="37.5" customHeight="1" x14ac:dyDescent="0.25">
      <c r="A2639" s="36">
        <v>45143</v>
      </c>
      <c r="B2639" s="13">
        <v>31</v>
      </c>
      <c r="C2639" t="s">
        <v>3</v>
      </c>
      <c r="D2639" t="s">
        <v>4</v>
      </c>
      <c r="E2639" t="s">
        <v>21</v>
      </c>
      <c r="F2639" s="6">
        <v>200552429</v>
      </c>
      <c r="G2639" t="s">
        <v>1139</v>
      </c>
      <c r="H2639" t="s">
        <v>263</v>
      </c>
      <c r="I2639">
        <v>0</v>
      </c>
      <c r="J2639">
        <v>0</v>
      </c>
      <c r="K2639">
        <v>0</v>
      </c>
      <c r="L2639">
        <v>0</v>
      </c>
      <c r="M2639">
        <v>0.3</v>
      </c>
      <c r="N2639" s="7" t="e">
        <f>VLOOKUP(F2639,HC!A$6:D$100,3,FALSE)</f>
        <v>#N/A</v>
      </c>
      <c r="O2639" s="7" t="e">
        <f>VLOOKUP(F2639,HC!A$6:D$1000,2,FALSE)</f>
        <v>#N/A</v>
      </c>
      <c r="P2639" t="s">
        <v>661</v>
      </c>
      <c r="Q2639" t="s">
        <v>681</v>
      </c>
      <c r="U2639">
        <f t="shared" si="43"/>
        <v>1395</v>
      </c>
    </row>
    <row r="2640" spans="1:21" ht="37.5" customHeight="1" x14ac:dyDescent="0.25">
      <c r="A2640" s="36">
        <v>45143</v>
      </c>
      <c r="B2640" s="13">
        <v>31</v>
      </c>
      <c r="C2640" t="s">
        <v>3</v>
      </c>
      <c r="D2640" t="s">
        <v>4</v>
      </c>
      <c r="E2640" t="s">
        <v>21</v>
      </c>
      <c r="F2640" s="6">
        <v>201345737</v>
      </c>
      <c r="G2640" t="s">
        <v>1083</v>
      </c>
      <c r="H2640" t="s">
        <v>17</v>
      </c>
      <c r="I2640">
        <v>0</v>
      </c>
      <c r="J2640">
        <v>0</v>
      </c>
      <c r="K2640">
        <v>0</v>
      </c>
      <c r="L2640">
        <v>0</v>
      </c>
      <c r="M2640">
        <v>1.0900000000000001</v>
      </c>
      <c r="N2640" s="7" t="e">
        <f>VLOOKUP(F2640,HC!A$6:D$100,3,FALSE)</f>
        <v>#N/A</v>
      </c>
      <c r="O2640" s="7" t="str">
        <f>VLOOKUP(F2640,HC!A$6:D$1000,2,FALSE)</f>
        <v>upacoros</v>
      </c>
      <c r="P2640" t="s">
        <v>664</v>
      </c>
      <c r="Q2640" t="s">
        <v>708</v>
      </c>
      <c r="R2640" t="s">
        <v>355</v>
      </c>
      <c r="U2640">
        <f t="shared" si="43"/>
        <v>11</v>
      </c>
    </row>
    <row r="2641" spans="1:21" ht="37.5" customHeight="1" x14ac:dyDescent="0.25">
      <c r="A2641" s="36">
        <v>45143</v>
      </c>
      <c r="B2641" s="13">
        <v>31</v>
      </c>
      <c r="C2641" t="s">
        <v>3</v>
      </c>
      <c r="D2641" t="s">
        <v>4</v>
      </c>
      <c r="E2641" t="s">
        <v>21</v>
      </c>
      <c r="F2641" s="6">
        <v>201386201</v>
      </c>
      <c r="G2641" t="s">
        <v>1167</v>
      </c>
      <c r="H2641" t="s">
        <v>17</v>
      </c>
      <c r="I2641">
        <v>0</v>
      </c>
      <c r="J2641">
        <v>0</v>
      </c>
      <c r="K2641">
        <v>0</v>
      </c>
      <c r="L2641">
        <v>0</v>
      </c>
      <c r="M2641">
        <v>0.56000000000000005</v>
      </c>
      <c r="N2641" s="7" t="e">
        <f>VLOOKUP(F2641,HC!A$6:D$100,3,FALSE)</f>
        <v>#N/A</v>
      </c>
      <c r="O2641" s="7" t="str">
        <f>VLOOKUP(F2641,HC!A$6:D$1000,2,FALSE)</f>
        <v>castjanr</v>
      </c>
      <c r="P2641" t="s">
        <v>661</v>
      </c>
      <c r="Q2641" t="s">
        <v>681</v>
      </c>
      <c r="U2641">
        <f t="shared" si="43"/>
        <v>11</v>
      </c>
    </row>
    <row r="2642" spans="1:21" ht="37.5" customHeight="1" x14ac:dyDescent="0.25">
      <c r="A2642" s="36">
        <v>45144</v>
      </c>
      <c r="B2642" s="13">
        <v>32</v>
      </c>
      <c r="C2642" t="s">
        <v>3</v>
      </c>
      <c r="D2642" t="s">
        <v>4</v>
      </c>
      <c r="E2642" t="s">
        <v>5</v>
      </c>
      <c r="F2642" s="6">
        <v>112950802</v>
      </c>
      <c r="G2642" t="s">
        <v>416</v>
      </c>
      <c r="H2642" t="s">
        <v>298</v>
      </c>
      <c r="I2642">
        <v>0</v>
      </c>
      <c r="J2642">
        <v>0</v>
      </c>
      <c r="K2642">
        <v>0</v>
      </c>
      <c r="L2642">
        <v>0</v>
      </c>
      <c r="M2642">
        <v>0.08</v>
      </c>
      <c r="N2642" s="7" t="e">
        <f>VLOOKUP(F2642,HC!A$6:D$100,3,FALSE)</f>
        <v>#N/A</v>
      </c>
      <c r="O2642" s="7" t="e">
        <f>VLOOKUP(F2642,HC!A$6:D$1000,2,FALSE)</f>
        <v>#N/A</v>
      </c>
      <c r="P2642" t="s">
        <v>662</v>
      </c>
      <c r="Q2642" t="s">
        <v>690</v>
      </c>
      <c r="U2642">
        <f t="shared" si="43"/>
        <v>1395</v>
      </c>
    </row>
    <row r="2643" spans="1:21" ht="37.5" customHeight="1" x14ac:dyDescent="0.25">
      <c r="A2643" s="36">
        <v>45144</v>
      </c>
      <c r="B2643" s="13">
        <v>32</v>
      </c>
      <c r="C2643" t="s">
        <v>3</v>
      </c>
      <c r="D2643" t="s">
        <v>4</v>
      </c>
      <c r="E2643" t="s">
        <v>5</v>
      </c>
      <c r="F2643" s="6">
        <v>112971962</v>
      </c>
      <c r="G2643" t="s">
        <v>338</v>
      </c>
      <c r="H2643" t="s">
        <v>17</v>
      </c>
      <c r="I2643">
        <v>0</v>
      </c>
      <c r="J2643">
        <v>0</v>
      </c>
      <c r="K2643">
        <v>0</v>
      </c>
      <c r="L2643">
        <v>0</v>
      </c>
      <c r="M2643">
        <v>0.2</v>
      </c>
      <c r="N2643" s="7" t="str">
        <f>VLOOKUP(F2643,HC!A$6:D$100,3,FALSE)</f>
        <v>DB-X0700</v>
      </c>
      <c r="O2643" s="7" t="str">
        <f>VLOOKUP(F2643,HC!A$6:D$1000,2,FALSE)</f>
        <v>creyesal</v>
      </c>
      <c r="P2643" t="s">
        <v>661</v>
      </c>
      <c r="Q2643" t="s">
        <v>681</v>
      </c>
      <c r="U2643">
        <f t="shared" si="43"/>
        <v>38</v>
      </c>
    </row>
    <row r="2644" spans="1:21" ht="37.5" customHeight="1" x14ac:dyDescent="0.25">
      <c r="A2644" s="36">
        <v>45144</v>
      </c>
      <c r="B2644" s="13">
        <v>32</v>
      </c>
      <c r="C2644" t="s">
        <v>3</v>
      </c>
      <c r="D2644" t="s">
        <v>4</v>
      </c>
      <c r="E2644" t="s">
        <v>5</v>
      </c>
      <c r="F2644" s="6">
        <v>112980847</v>
      </c>
      <c r="G2644" t="s">
        <v>524</v>
      </c>
      <c r="H2644" t="s">
        <v>1040</v>
      </c>
      <c r="I2644">
        <v>0</v>
      </c>
      <c r="J2644">
        <v>0</v>
      </c>
      <c r="K2644">
        <v>0</v>
      </c>
      <c r="L2644">
        <v>0</v>
      </c>
      <c r="M2644">
        <v>0.24</v>
      </c>
      <c r="N2644" s="7" t="e">
        <f>VLOOKUP(F2644,HC!A$6:D$100,3,FALSE)</f>
        <v>#N/A</v>
      </c>
      <c r="O2644" s="7" t="e">
        <f>VLOOKUP(F2644,HC!A$6:D$1000,2,FALSE)</f>
        <v>#N/A</v>
      </c>
      <c r="P2644" t="s">
        <v>664</v>
      </c>
      <c r="Q2644" t="s">
        <v>717</v>
      </c>
      <c r="U2644">
        <f t="shared" si="43"/>
        <v>1395</v>
      </c>
    </row>
    <row r="2645" spans="1:21" ht="37.5" customHeight="1" x14ac:dyDescent="0.25">
      <c r="A2645" s="36">
        <v>45144</v>
      </c>
      <c r="B2645" s="13">
        <v>32</v>
      </c>
      <c r="C2645" t="s">
        <v>3</v>
      </c>
      <c r="D2645" t="s">
        <v>4</v>
      </c>
      <c r="E2645" t="s">
        <v>5</v>
      </c>
      <c r="F2645" s="6">
        <v>112980899</v>
      </c>
      <c r="G2645" t="s">
        <v>396</v>
      </c>
      <c r="H2645" t="s">
        <v>332</v>
      </c>
      <c r="I2645">
        <v>0</v>
      </c>
      <c r="J2645">
        <v>0</v>
      </c>
      <c r="K2645">
        <v>0</v>
      </c>
      <c r="L2645">
        <v>0</v>
      </c>
      <c r="M2645">
        <v>0.24</v>
      </c>
      <c r="N2645" s="7" t="str">
        <f>VLOOKUP(F2645,HC!A$6:D$100,3,FALSE)</f>
        <v>NF-X1900</v>
      </c>
      <c r="O2645" s="7" t="str">
        <f>VLOOKUP(F2645,HC!A$6:D$1000,2,FALSE)</f>
        <v>aravilac</v>
      </c>
      <c r="P2645" t="s">
        <v>670</v>
      </c>
      <c r="Q2645" t="s">
        <v>748</v>
      </c>
      <c r="U2645">
        <f t="shared" si="43"/>
        <v>33</v>
      </c>
    </row>
    <row r="2646" spans="1:21" ht="37.5" customHeight="1" x14ac:dyDescent="0.25">
      <c r="A2646" s="36">
        <v>45144</v>
      </c>
      <c r="B2646" s="13">
        <v>32</v>
      </c>
      <c r="C2646" t="s">
        <v>3</v>
      </c>
      <c r="D2646" t="s">
        <v>4</v>
      </c>
      <c r="E2646" t="s">
        <v>5</v>
      </c>
      <c r="F2646" s="6">
        <v>112981196</v>
      </c>
      <c r="G2646" t="s">
        <v>328</v>
      </c>
      <c r="H2646" t="s">
        <v>285</v>
      </c>
      <c r="I2646">
        <v>0</v>
      </c>
      <c r="J2646">
        <v>0</v>
      </c>
      <c r="K2646">
        <v>0</v>
      </c>
      <c r="L2646">
        <v>0</v>
      </c>
      <c r="M2646">
        <v>0.24</v>
      </c>
      <c r="N2646" s="7" t="e">
        <f>VLOOKUP(F2646,HC!A$6:D$100,3,FALSE)</f>
        <v>#N/A</v>
      </c>
      <c r="O2646" s="7" t="str">
        <f>VLOOKUP(F2646,HC!A$6:D$1000,2,FALSE)</f>
        <v>vandgome</v>
      </c>
      <c r="P2646" t="s">
        <v>664</v>
      </c>
      <c r="Q2646" t="s">
        <v>710</v>
      </c>
      <c r="U2646">
        <f t="shared" si="43"/>
        <v>24</v>
      </c>
    </row>
    <row r="2647" spans="1:21" ht="37.5" customHeight="1" x14ac:dyDescent="0.25">
      <c r="A2647" s="36">
        <v>45144</v>
      </c>
      <c r="B2647" s="13">
        <v>32</v>
      </c>
      <c r="C2647" t="s">
        <v>3</v>
      </c>
      <c r="D2647" t="s">
        <v>4</v>
      </c>
      <c r="E2647" t="s">
        <v>21</v>
      </c>
      <c r="F2647" s="6">
        <v>113010145</v>
      </c>
      <c r="G2647" t="s">
        <v>1179</v>
      </c>
      <c r="H2647" t="s">
        <v>298</v>
      </c>
      <c r="I2647">
        <v>0</v>
      </c>
      <c r="J2647">
        <v>0</v>
      </c>
      <c r="K2647">
        <v>0</v>
      </c>
      <c r="L2647">
        <v>0</v>
      </c>
      <c r="M2647">
        <v>0.64</v>
      </c>
      <c r="N2647" s="7" t="e">
        <f>VLOOKUP(F2647,HC!A$6:D$100,3,FALSE)</f>
        <v>#N/A</v>
      </c>
      <c r="O2647" s="7" t="e">
        <f>VLOOKUP(F2647,HC!A$6:D$1000,2,FALSE)</f>
        <v>#N/A</v>
      </c>
      <c r="P2647" t="s">
        <v>664</v>
      </c>
      <c r="Q2647" t="s">
        <v>709</v>
      </c>
      <c r="U2647">
        <f t="shared" si="43"/>
        <v>1395</v>
      </c>
    </row>
    <row r="2648" spans="1:21" ht="37.5" customHeight="1" x14ac:dyDescent="0.25">
      <c r="A2648" s="36">
        <v>45144</v>
      </c>
      <c r="B2648" s="13">
        <v>32</v>
      </c>
      <c r="C2648" t="s">
        <v>3</v>
      </c>
      <c r="D2648" t="s">
        <v>4</v>
      </c>
      <c r="E2648" t="s">
        <v>5</v>
      </c>
      <c r="F2648" s="6">
        <v>113052151</v>
      </c>
      <c r="G2648" t="s">
        <v>482</v>
      </c>
      <c r="H2648" t="s">
        <v>17</v>
      </c>
      <c r="I2648">
        <v>0</v>
      </c>
      <c r="J2648">
        <v>0</v>
      </c>
      <c r="K2648">
        <v>0</v>
      </c>
      <c r="L2648">
        <v>0</v>
      </c>
      <c r="M2648">
        <v>0.13</v>
      </c>
      <c r="N2648" s="7" t="e">
        <f>VLOOKUP(F2648,HC!A$6:D$100,3,FALSE)</f>
        <v>#N/A</v>
      </c>
      <c r="O2648" s="7" t="str">
        <f>VLOOKUP(F2648,HC!A$6:D$1000,2,FALSE)</f>
        <v>nilaurab</v>
      </c>
      <c r="P2648" t="s">
        <v>663</v>
      </c>
      <c r="Q2648" t="s">
        <v>692</v>
      </c>
      <c r="U2648">
        <f t="shared" si="43"/>
        <v>28</v>
      </c>
    </row>
    <row r="2649" spans="1:21" ht="37.5" customHeight="1" x14ac:dyDescent="0.25">
      <c r="A2649" s="36">
        <v>45144</v>
      </c>
      <c r="B2649" s="13">
        <v>32</v>
      </c>
      <c r="C2649" t="s">
        <v>3</v>
      </c>
      <c r="D2649" t="s">
        <v>4</v>
      </c>
      <c r="E2649" t="s">
        <v>21</v>
      </c>
      <c r="F2649" s="6">
        <v>200407440</v>
      </c>
      <c r="G2649" t="s">
        <v>997</v>
      </c>
      <c r="H2649" t="s">
        <v>298</v>
      </c>
      <c r="I2649">
        <v>0</v>
      </c>
      <c r="J2649">
        <v>0</v>
      </c>
      <c r="K2649">
        <v>0</v>
      </c>
      <c r="L2649">
        <v>0</v>
      </c>
      <c r="M2649">
        <v>0.1</v>
      </c>
      <c r="N2649" s="7" t="e">
        <f>VLOOKUP(F2649,HC!A$6:D$100,3,FALSE)</f>
        <v>#N/A</v>
      </c>
      <c r="O2649" s="7" t="e">
        <f>VLOOKUP(F2649,HC!A$6:D$1000,2,FALSE)</f>
        <v>#N/A</v>
      </c>
      <c r="P2649" t="s">
        <v>661</v>
      </c>
      <c r="Q2649" t="s">
        <v>759</v>
      </c>
      <c r="U2649">
        <f t="shared" si="43"/>
        <v>1395</v>
      </c>
    </row>
    <row r="2650" spans="1:21" ht="37.5" customHeight="1" x14ac:dyDescent="0.25">
      <c r="A2650" s="36">
        <v>45144</v>
      </c>
      <c r="B2650" s="13">
        <v>32</v>
      </c>
      <c r="C2650" t="s">
        <v>3</v>
      </c>
      <c r="D2650" t="s">
        <v>4</v>
      </c>
      <c r="E2650" t="s">
        <v>21</v>
      </c>
      <c r="F2650" s="6">
        <v>200508323</v>
      </c>
      <c r="G2650" t="s">
        <v>1150</v>
      </c>
      <c r="H2650" t="s">
        <v>17</v>
      </c>
      <c r="I2650">
        <v>0</v>
      </c>
      <c r="J2650">
        <v>0</v>
      </c>
      <c r="K2650">
        <v>0</v>
      </c>
      <c r="L2650">
        <v>0</v>
      </c>
      <c r="M2650">
        <v>0.18</v>
      </c>
      <c r="N2650" s="7" t="e">
        <f>VLOOKUP(F2650,HC!A$6:D$100,3,FALSE)</f>
        <v>#N/A</v>
      </c>
      <c r="O2650" s="7" t="str">
        <f>VLOOKUP(F2650,HC!A$6:D$1000,2,FALSE)</f>
        <v>espejell</v>
      </c>
      <c r="P2650" t="s">
        <v>661</v>
      </c>
      <c r="Q2650" t="s">
        <v>681</v>
      </c>
      <c r="U2650">
        <f t="shared" si="43"/>
        <v>15</v>
      </c>
    </row>
    <row r="2651" spans="1:21" ht="37.5" customHeight="1" x14ac:dyDescent="0.25">
      <c r="A2651" s="36">
        <v>45144</v>
      </c>
      <c r="B2651" s="13">
        <v>32</v>
      </c>
      <c r="C2651" t="s">
        <v>3</v>
      </c>
      <c r="D2651" t="s">
        <v>4</v>
      </c>
      <c r="E2651" t="s">
        <v>5</v>
      </c>
      <c r="F2651" s="6">
        <v>201165769</v>
      </c>
      <c r="G2651" t="s">
        <v>903</v>
      </c>
      <c r="H2651" t="s">
        <v>285</v>
      </c>
      <c r="I2651">
        <v>0</v>
      </c>
      <c r="J2651">
        <v>0</v>
      </c>
      <c r="K2651">
        <v>0</v>
      </c>
      <c r="L2651">
        <v>0</v>
      </c>
      <c r="M2651">
        <v>0.13</v>
      </c>
      <c r="N2651" s="7" t="e">
        <f>VLOOKUP(F2651,HC!A$6:D$100,3,FALSE)</f>
        <v>#N/A</v>
      </c>
      <c r="O2651" s="7" t="str">
        <f>VLOOKUP(F2651,HC!A$6:D$1000,2,FALSE)</f>
        <v>puenkare</v>
      </c>
      <c r="P2651" t="s">
        <v>661</v>
      </c>
      <c r="Q2651" t="s">
        <v>701</v>
      </c>
      <c r="U2651">
        <f t="shared" si="43"/>
        <v>19</v>
      </c>
    </row>
    <row r="2652" spans="1:21" ht="37.5" customHeight="1" x14ac:dyDescent="0.25">
      <c r="A2652" s="36">
        <v>45144</v>
      </c>
      <c r="B2652" s="13">
        <v>32</v>
      </c>
      <c r="C2652" t="s">
        <v>3</v>
      </c>
      <c r="D2652" t="s">
        <v>4</v>
      </c>
      <c r="E2652" t="s">
        <v>21</v>
      </c>
      <c r="F2652" s="6">
        <v>201386201</v>
      </c>
      <c r="G2652" t="s">
        <v>1167</v>
      </c>
      <c r="H2652" t="s">
        <v>17</v>
      </c>
      <c r="I2652">
        <v>0</v>
      </c>
      <c r="J2652">
        <v>0</v>
      </c>
      <c r="K2652">
        <v>0</v>
      </c>
      <c r="L2652">
        <v>0</v>
      </c>
      <c r="M2652">
        <v>0.33</v>
      </c>
      <c r="N2652" s="7" t="e">
        <f>VLOOKUP(F2652,HC!A$6:D$100,3,FALSE)</f>
        <v>#N/A</v>
      </c>
      <c r="O2652" s="7" t="str">
        <f>VLOOKUP(F2652,HC!A$6:D$1000,2,FALSE)</f>
        <v>castjanr</v>
      </c>
      <c r="P2652" t="s">
        <v>664</v>
      </c>
      <c r="Q2652" t="s">
        <v>710</v>
      </c>
      <c r="U2652">
        <f t="shared" si="43"/>
        <v>11</v>
      </c>
    </row>
    <row r="2653" spans="1:21" ht="37.5" customHeight="1" x14ac:dyDescent="0.25">
      <c r="A2653" s="36">
        <v>45145</v>
      </c>
      <c r="B2653" s="13">
        <v>32</v>
      </c>
      <c r="C2653" t="s">
        <v>3</v>
      </c>
      <c r="D2653" t="s">
        <v>4</v>
      </c>
      <c r="E2653" t="s">
        <v>5</v>
      </c>
      <c r="F2653" s="6">
        <v>112912745</v>
      </c>
      <c r="G2653" t="s">
        <v>478</v>
      </c>
      <c r="H2653" t="s">
        <v>285</v>
      </c>
      <c r="I2653">
        <v>0</v>
      </c>
      <c r="J2653">
        <v>0</v>
      </c>
      <c r="K2653">
        <v>0</v>
      </c>
      <c r="L2653">
        <v>0</v>
      </c>
      <c r="M2653">
        <v>0.86</v>
      </c>
      <c r="N2653" s="7" t="str">
        <f>VLOOKUP(F2653,HC!A$6:D$100,3,FALSE)</f>
        <v>DA-X0700</v>
      </c>
      <c r="O2653" s="7" t="str">
        <f>VLOOKUP(F2653,HC!A$6:D$1000,2,FALSE)</f>
        <v>nalexgom</v>
      </c>
      <c r="P2653" t="s">
        <v>662</v>
      </c>
      <c r="Q2653" t="s">
        <v>691</v>
      </c>
      <c r="U2653">
        <f t="shared" si="43"/>
        <v>22</v>
      </c>
    </row>
    <row r="2654" spans="1:21" ht="37.5" customHeight="1" x14ac:dyDescent="0.25">
      <c r="A2654" s="36">
        <v>45145</v>
      </c>
      <c r="B2654" s="13">
        <v>32</v>
      </c>
      <c r="C2654" t="s">
        <v>3</v>
      </c>
      <c r="D2654" t="s">
        <v>4</v>
      </c>
      <c r="E2654" t="s">
        <v>5</v>
      </c>
      <c r="F2654" s="6">
        <v>112981014</v>
      </c>
      <c r="G2654" t="s">
        <v>367</v>
      </c>
      <c r="H2654" t="s">
        <v>1040</v>
      </c>
      <c r="I2654">
        <v>0</v>
      </c>
      <c r="J2654">
        <v>0</v>
      </c>
      <c r="K2654">
        <v>0</v>
      </c>
      <c r="L2654">
        <v>0</v>
      </c>
      <c r="M2654">
        <v>0.3</v>
      </c>
      <c r="N2654" s="7" t="str">
        <f>VLOOKUP(F2654,HC!A$6:D$100,3,FALSE)</f>
        <v>DJ-X0700</v>
      </c>
      <c r="O2654" s="7" t="str">
        <f>VLOOKUP(F2654,HC!A$6:D$1000,2,FALSE)</f>
        <v>rpabloul</v>
      </c>
      <c r="P2654" t="s">
        <v>664</v>
      </c>
      <c r="Q2654" t="s">
        <v>708</v>
      </c>
      <c r="U2654">
        <f t="shared" si="43"/>
        <v>17</v>
      </c>
    </row>
    <row r="2655" spans="1:21" ht="37.5" customHeight="1" x14ac:dyDescent="0.25">
      <c r="A2655" s="36">
        <v>45145</v>
      </c>
      <c r="B2655" s="13">
        <v>32</v>
      </c>
      <c r="C2655" t="s">
        <v>3</v>
      </c>
      <c r="D2655" t="s">
        <v>4</v>
      </c>
      <c r="E2655" t="s">
        <v>5</v>
      </c>
      <c r="F2655" s="6">
        <v>112981061</v>
      </c>
      <c r="G2655" t="s">
        <v>264</v>
      </c>
      <c r="H2655" t="s">
        <v>44</v>
      </c>
      <c r="I2655">
        <v>0</v>
      </c>
      <c r="J2655">
        <v>0</v>
      </c>
      <c r="K2655">
        <v>0</v>
      </c>
      <c r="L2655">
        <v>0</v>
      </c>
      <c r="M2655">
        <v>0.3</v>
      </c>
      <c r="N2655" s="7" t="str">
        <f>VLOOKUP(F2655,HC!A$6:D$100,3,FALSE)</f>
        <v>DA-X0700</v>
      </c>
      <c r="O2655" s="7" t="str">
        <f>VLOOKUP(F2655,HC!A$6:D$1000,2,FALSE)</f>
        <v>mclaudol</v>
      </c>
      <c r="P2655" t="s">
        <v>661</v>
      </c>
      <c r="Q2655" t="s">
        <v>681</v>
      </c>
      <c r="U2655">
        <f t="shared" si="43"/>
        <v>44</v>
      </c>
    </row>
    <row r="2656" spans="1:21" ht="37.5" customHeight="1" x14ac:dyDescent="0.25">
      <c r="A2656" s="36">
        <v>45145</v>
      </c>
      <c r="B2656" s="13">
        <v>32</v>
      </c>
      <c r="C2656" t="s">
        <v>3</v>
      </c>
      <c r="D2656" t="s">
        <v>4</v>
      </c>
      <c r="E2656" t="s">
        <v>21</v>
      </c>
      <c r="F2656" s="6">
        <v>113013981</v>
      </c>
      <c r="G2656" t="s">
        <v>966</v>
      </c>
      <c r="H2656" t="s">
        <v>1040</v>
      </c>
      <c r="I2656">
        <v>0</v>
      </c>
      <c r="J2656">
        <v>0</v>
      </c>
      <c r="K2656">
        <v>0</v>
      </c>
      <c r="L2656">
        <v>0</v>
      </c>
      <c r="M2656">
        <v>0.19</v>
      </c>
      <c r="N2656" s="7" t="e">
        <f>VLOOKUP(F2656,HC!A$6:D$100,3,FALSE)</f>
        <v>#N/A</v>
      </c>
      <c r="O2656" s="7" t="e">
        <f>VLOOKUP(F2656,HC!A$6:D$1000,2,FALSE)</f>
        <v>#N/A</v>
      </c>
      <c r="P2656" t="s">
        <v>662</v>
      </c>
      <c r="Q2656" t="s">
        <v>757</v>
      </c>
      <c r="U2656">
        <f t="shared" si="43"/>
        <v>1395</v>
      </c>
    </row>
    <row r="2657" spans="1:21" ht="37.5" customHeight="1" x14ac:dyDescent="0.25">
      <c r="A2657" s="36">
        <v>45145</v>
      </c>
      <c r="B2657" s="13">
        <v>32</v>
      </c>
      <c r="C2657" t="s">
        <v>3</v>
      </c>
      <c r="D2657" t="s">
        <v>4</v>
      </c>
      <c r="E2657" t="s">
        <v>5</v>
      </c>
      <c r="F2657" s="6">
        <v>200404250</v>
      </c>
      <c r="G2657" t="s">
        <v>51</v>
      </c>
      <c r="H2657" t="s">
        <v>298</v>
      </c>
      <c r="I2657">
        <v>0</v>
      </c>
      <c r="J2657">
        <v>0</v>
      </c>
      <c r="K2657">
        <v>0</v>
      </c>
      <c r="L2657">
        <v>0</v>
      </c>
      <c r="M2657">
        <v>1.1000000000000001</v>
      </c>
      <c r="N2657" s="7" t="e">
        <f>VLOOKUP(F2657,HC!A$6:D$100,3,FALSE)</f>
        <v>#N/A</v>
      </c>
      <c r="O2657" s="7" t="str">
        <f>VLOOKUP(F2657,HC!A$6:D$1000,2,FALSE)</f>
        <v>xcathurt</v>
      </c>
      <c r="P2657" t="s">
        <v>664</v>
      </c>
      <c r="Q2657" t="s">
        <v>711</v>
      </c>
      <c r="U2657">
        <f t="shared" si="43"/>
        <v>124</v>
      </c>
    </row>
    <row r="2658" spans="1:21" ht="37.5" customHeight="1" x14ac:dyDescent="0.25">
      <c r="A2658" s="36">
        <v>45145</v>
      </c>
      <c r="B2658" s="13">
        <v>32</v>
      </c>
      <c r="C2658" t="s">
        <v>3</v>
      </c>
      <c r="D2658" t="s">
        <v>4</v>
      </c>
      <c r="E2658" t="s">
        <v>5</v>
      </c>
      <c r="F2658" s="6">
        <v>200563038</v>
      </c>
      <c r="G2658" t="s">
        <v>949</v>
      </c>
      <c r="H2658" t="s">
        <v>47</v>
      </c>
      <c r="I2658">
        <v>0</v>
      </c>
      <c r="J2658">
        <v>0</v>
      </c>
      <c r="K2658">
        <v>0</v>
      </c>
      <c r="L2658">
        <v>0</v>
      </c>
      <c r="M2658">
        <v>0.19</v>
      </c>
      <c r="N2658" s="7" t="e">
        <f>VLOOKUP(F2658,HC!A$6:D$100,3,FALSE)</f>
        <v>#N/A</v>
      </c>
      <c r="O2658" s="7" t="str">
        <f>VLOOKUP(F2658,HC!A$6:D$1000,2,FALSE)</f>
        <v>ariaszee</v>
      </c>
      <c r="P2658" t="s">
        <v>661</v>
      </c>
      <c r="Q2658" t="s">
        <v>681</v>
      </c>
      <c r="U2658">
        <f t="shared" si="43"/>
        <v>9</v>
      </c>
    </row>
    <row r="2659" spans="1:21" ht="37.5" customHeight="1" x14ac:dyDescent="0.25">
      <c r="A2659" s="36">
        <v>45145</v>
      </c>
      <c r="B2659" s="13">
        <v>32</v>
      </c>
      <c r="C2659" t="s">
        <v>3</v>
      </c>
      <c r="D2659" t="s">
        <v>4</v>
      </c>
      <c r="E2659" t="s">
        <v>5</v>
      </c>
      <c r="F2659" s="6">
        <v>200564895</v>
      </c>
      <c r="G2659" t="s">
        <v>520</v>
      </c>
      <c r="H2659" t="s">
        <v>44</v>
      </c>
      <c r="I2659">
        <v>0</v>
      </c>
      <c r="J2659">
        <v>0</v>
      </c>
      <c r="K2659">
        <v>0</v>
      </c>
      <c r="L2659">
        <v>0</v>
      </c>
      <c r="M2659">
        <v>0.14000000000000001</v>
      </c>
      <c r="N2659" s="7" t="e">
        <f>VLOOKUP(F2659,HC!A$6:D$100,3,FALSE)</f>
        <v>#N/A</v>
      </c>
      <c r="O2659" s="7" t="str">
        <f>VLOOKUP(F2659,HC!A$6:D$1000,2,FALSE)</f>
        <v>hmendobr</v>
      </c>
      <c r="P2659" t="s">
        <v>661</v>
      </c>
      <c r="Q2659" t="s">
        <v>681</v>
      </c>
      <c r="U2659">
        <f t="shared" si="43"/>
        <v>16</v>
      </c>
    </row>
    <row r="2660" spans="1:21" ht="37.5" customHeight="1" x14ac:dyDescent="0.25">
      <c r="A2660" s="36">
        <v>45145</v>
      </c>
      <c r="B2660" s="13">
        <v>32</v>
      </c>
      <c r="C2660" t="s">
        <v>3</v>
      </c>
      <c r="D2660" t="s">
        <v>4</v>
      </c>
      <c r="E2660" t="s">
        <v>5</v>
      </c>
      <c r="F2660" s="6">
        <v>200614224</v>
      </c>
      <c r="G2660" t="s">
        <v>322</v>
      </c>
      <c r="H2660" t="s">
        <v>17</v>
      </c>
      <c r="I2660">
        <v>0</v>
      </c>
      <c r="J2660">
        <v>0</v>
      </c>
      <c r="K2660">
        <v>0</v>
      </c>
      <c r="L2660">
        <v>0</v>
      </c>
      <c r="M2660">
        <v>1.1100000000000001</v>
      </c>
      <c r="N2660" s="7" t="e">
        <f>VLOOKUP(F2660,HC!A$6:D$100,3,FALSE)</f>
        <v>#N/A</v>
      </c>
      <c r="O2660" s="7" t="e">
        <f>VLOOKUP(F2660,HC!A$6:D$1000,2,FALSE)</f>
        <v>#N/A</v>
      </c>
      <c r="P2660" t="s">
        <v>661</v>
      </c>
      <c r="Q2660" t="s">
        <v>700</v>
      </c>
      <c r="U2660">
        <f t="shared" si="43"/>
        <v>1395</v>
      </c>
    </row>
    <row r="2661" spans="1:21" ht="37.5" customHeight="1" x14ac:dyDescent="0.25">
      <c r="A2661" s="36">
        <v>45145</v>
      </c>
      <c r="B2661" s="13">
        <v>32</v>
      </c>
      <c r="C2661" t="s">
        <v>3</v>
      </c>
      <c r="D2661" t="s">
        <v>4</v>
      </c>
      <c r="E2661" t="s">
        <v>5</v>
      </c>
      <c r="F2661" s="6">
        <v>201186777</v>
      </c>
      <c r="G2661" t="s">
        <v>856</v>
      </c>
      <c r="H2661" t="s">
        <v>298</v>
      </c>
      <c r="I2661">
        <v>0</v>
      </c>
      <c r="J2661">
        <v>0</v>
      </c>
      <c r="K2661">
        <v>0</v>
      </c>
      <c r="L2661">
        <v>0</v>
      </c>
      <c r="M2661">
        <v>0.51</v>
      </c>
      <c r="N2661" s="7" t="e">
        <f>VLOOKUP(F2661,HC!A$6:D$100,3,FALSE)</f>
        <v>#N/A</v>
      </c>
      <c r="O2661" s="7" t="str">
        <f>VLOOKUP(F2661,HC!A$6:D$1000,2,FALSE)</f>
        <v>bemonzon</v>
      </c>
      <c r="P2661" t="s">
        <v>670</v>
      </c>
      <c r="Q2661" t="s">
        <v>746</v>
      </c>
      <c r="U2661">
        <f t="shared" si="43"/>
        <v>15</v>
      </c>
    </row>
    <row r="2662" spans="1:21" ht="37.5" customHeight="1" x14ac:dyDescent="0.25">
      <c r="A2662" s="36">
        <v>45145</v>
      </c>
      <c r="B2662" s="13">
        <v>32</v>
      </c>
      <c r="C2662" t="s">
        <v>3</v>
      </c>
      <c r="D2662" t="s">
        <v>4</v>
      </c>
      <c r="E2662" t="s">
        <v>5</v>
      </c>
      <c r="F2662" s="6">
        <v>201197964</v>
      </c>
      <c r="G2662" t="s">
        <v>1180</v>
      </c>
      <c r="H2662" t="s">
        <v>298</v>
      </c>
      <c r="I2662">
        <v>0</v>
      </c>
      <c r="J2662">
        <v>0</v>
      </c>
      <c r="K2662">
        <v>0</v>
      </c>
      <c r="L2662">
        <v>0</v>
      </c>
      <c r="M2662">
        <v>0.16</v>
      </c>
      <c r="N2662" s="7" t="e">
        <f>VLOOKUP(F2662,HC!A$6:D$100,3,FALSE)</f>
        <v>#N/A</v>
      </c>
      <c r="O2662" s="7" t="str">
        <f>VLOOKUP(F2662,HC!A$6:D$1000,2,FALSE)</f>
        <v>matzquij</v>
      </c>
      <c r="P2662" t="s">
        <v>661</v>
      </c>
      <c r="Q2662" t="s">
        <v>681</v>
      </c>
      <c r="U2662">
        <f t="shared" si="43"/>
        <v>16</v>
      </c>
    </row>
    <row r="2663" spans="1:21" ht="37.5" customHeight="1" x14ac:dyDescent="0.25">
      <c r="A2663" s="36">
        <v>45146</v>
      </c>
      <c r="B2663" s="13">
        <v>32</v>
      </c>
      <c r="C2663" t="s">
        <v>3</v>
      </c>
      <c r="D2663" t="s">
        <v>4</v>
      </c>
      <c r="E2663" t="s">
        <v>5</v>
      </c>
      <c r="F2663" s="6">
        <v>112912049</v>
      </c>
      <c r="G2663" t="s">
        <v>488</v>
      </c>
      <c r="H2663" t="s">
        <v>403</v>
      </c>
      <c r="I2663">
        <v>0</v>
      </c>
      <c r="J2663">
        <v>0</v>
      </c>
      <c r="K2663">
        <v>0</v>
      </c>
      <c r="L2663">
        <v>0</v>
      </c>
      <c r="M2663">
        <v>0.08</v>
      </c>
      <c r="N2663" s="7" t="str">
        <f>VLOOKUP(F2663,HC!A$6:D$100,3,FALSE)</f>
        <v>NF-X1900</v>
      </c>
      <c r="O2663" s="7" t="str">
        <f>VLOOKUP(F2663,HC!A$6:D$1000,2,FALSE)</f>
        <v>zchvazqu</v>
      </c>
      <c r="P2663" t="s">
        <v>661</v>
      </c>
      <c r="Q2663" t="s">
        <v>681</v>
      </c>
      <c r="U2663">
        <f t="shared" si="43"/>
        <v>11</v>
      </c>
    </row>
    <row r="2664" spans="1:21" ht="37.5" customHeight="1" x14ac:dyDescent="0.25">
      <c r="A2664" s="36">
        <v>45146</v>
      </c>
      <c r="B2664" s="13">
        <v>32</v>
      </c>
      <c r="C2664" t="s">
        <v>3</v>
      </c>
      <c r="D2664" t="s">
        <v>4</v>
      </c>
      <c r="E2664" t="s">
        <v>5</v>
      </c>
      <c r="F2664" s="6">
        <v>112912752</v>
      </c>
      <c r="G2664" t="s">
        <v>251</v>
      </c>
      <c r="H2664" t="s">
        <v>332</v>
      </c>
      <c r="I2664">
        <v>0</v>
      </c>
      <c r="J2664">
        <v>0</v>
      </c>
      <c r="K2664">
        <v>0</v>
      </c>
      <c r="L2664">
        <v>0</v>
      </c>
      <c r="M2664">
        <v>0.15</v>
      </c>
      <c r="N2664" s="7" t="str">
        <f>VLOOKUP(F2664,HC!A$6:D$100,3,FALSE)</f>
        <v>NF-X1900</v>
      </c>
      <c r="O2664" s="7" t="str">
        <f>VLOOKUP(F2664,HC!A$6:D$1000,2,FALSE)</f>
        <v>valderle</v>
      </c>
      <c r="P2664" t="s">
        <v>664</v>
      </c>
      <c r="Q2664" t="s">
        <v>709</v>
      </c>
      <c r="U2664">
        <f t="shared" si="43"/>
        <v>50</v>
      </c>
    </row>
    <row r="2665" spans="1:21" ht="37.5" customHeight="1" x14ac:dyDescent="0.25">
      <c r="A2665" s="36">
        <v>45146</v>
      </c>
      <c r="B2665" s="13">
        <v>32</v>
      </c>
      <c r="C2665" t="s">
        <v>3</v>
      </c>
      <c r="D2665" t="s">
        <v>4</v>
      </c>
      <c r="E2665" t="s">
        <v>5</v>
      </c>
      <c r="F2665" s="6">
        <v>112950792</v>
      </c>
      <c r="G2665" t="s">
        <v>618</v>
      </c>
      <c r="H2665" t="s">
        <v>282</v>
      </c>
      <c r="I2665">
        <v>0</v>
      </c>
      <c r="J2665">
        <v>0</v>
      </c>
      <c r="K2665">
        <v>0</v>
      </c>
      <c r="L2665">
        <v>0</v>
      </c>
      <c r="M2665">
        <v>0.56999999999999995</v>
      </c>
      <c r="N2665" s="7" t="str">
        <f>VLOOKUP(F2665,HC!A$6:D$100,3,FALSE)</f>
        <v>NF-X1900</v>
      </c>
      <c r="O2665" s="7" t="str">
        <f>VLOOKUP(F2665,HC!A$6:D$1000,2,FALSE)</f>
        <v>genevmor</v>
      </c>
      <c r="P2665" t="s">
        <v>661</v>
      </c>
      <c r="Q2665" t="s">
        <v>684</v>
      </c>
      <c r="U2665">
        <f t="shared" si="43"/>
        <v>8</v>
      </c>
    </row>
    <row r="2666" spans="1:21" ht="37.5" customHeight="1" x14ac:dyDescent="0.25">
      <c r="A2666" s="36">
        <v>45146</v>
      </c>
      <c r="B2666" s="13">
        <v>32</v>
      </c>
      <c r="C2666" t="s">
        <v>3</v>
      </c>
      <c r="D2666" t="s">
        <v>4</v>
      </c>
      <c r="E2666" t="s">
        <v>5</v>
      </c>
      <c r="F2666" s="6">
        <v>112971980</v>
      </c>
      <c r="G2666" t="s">
        <v>445</v>
      </c>
      <c r="H2666" t="s">
        <v>459</v>
      </c>
      <c r="I2666">
        <v>0</v>
      </c>
      <c r="J2666">
        <v>0</v>
      </c>
      <c r="K2666">
        <v>0</v>
      </c>
      <c r="L2666">
        <v>0</v>
      </c>
      <c r="M2666">
        <v>0.17</v>
      </c>
      <c r="N2666" s="7" t="str">
        <f>VLOOKUP(F2666,HC!A$6:D$100,3,FALSE)</f>
        <v>DC-X0700</v>
      </c>
      <c r="O2666" s="7" t="str">
        <f>VLOOKUP(F2666,HC!A$6:D$1000,2,FALSE)</f>
        <v>cdanirom</v>
      </c>
      <c r="P2666" t="s">
        <v>663</v>
      </c>
      <c r="Q2666" t="s">
        <v>707</v>
      </c>
      <c r="U2666">
        <f t="shared" si="43"/>
        <v>25</v>
      </c>
    </row>
    <row r="2667" spans="1:21" ht="37.5" customHeight="1" x14ac:dyDescent="0.25">
      <c r="A2667" s="36">
        <v>45146</v>
      </c>
      <c r="B2667" s="13">
        <v>32</v>
      </c>
      <c r="C2667" t="s">
        <v>3</v>
      </c>
      <c r="D2667" t="s">
        <v>4</v>
      </c>
      <c r="E2667" t="s">
        <v>5</v>
      </c>
      <c r="F2667" s="6">
        <v>113003635</v>
      </c>
      <c r="G2667" t="s">
        <v>930</v>
      </c>
      <c r="H2667" t="s">
        <v>44</v>
      </c>
      <c r="I2667">
        <v>0</v>
      </c>
      <c r="J2667">
        <v>0</v>
      </c>
      <c r="K2667">
        <v>0</v>
      </c>
      <c r="L2667">
        <v>0</v>
      </c>
      <c r="M2667">
        <v>0.26</v>
      </c>
      <c r="N2667" s="7" t="e">
        <f>VLOOKUP(F2667,HC!A$6:D$100,3,FALSE)</f>
        <v>#N/A</v>
      </c>
      <c r="O2667" s="7" t="str">
        <f>VLOOKUP(F2667,HC!A$6:D$1000,2,FALSE)</f>
        <v>barrgiof</v>
      </c>
      <c r="P2667" t="s">
        <v>664</v>
      </c>
      <c r="Q2667" t="s">
        <v>711</v>
      </c>
      <c r="U2667">
        <f t="shared" si="43"/>
        <v>9</v>
      </c>
    </row>
    <row r="2668" spans="1:21" ht="37.5" customHeight="1" x14ac:dyDescent="0.25">
      <c r="A2668" s="36">
        <v>45146</v>
      </c>
      <c r="B2668" s="13">
        <v>32</v>
      </c>
      <c r="C2668" t="s">
        <v>3</v>
      </c>
      <c r="D2668" t="s">
        <v>4</v>
      </c>
      <c r="E2668" t="s">
        <v>5</v>
      </c>
      <c r="F2668" s="6">
        <v>113020476</v>
      </c>
      <c r="G2668" t="s">
        <v>330</v>
      </c>
      <c r="H2668" t="s">
        <v>7</v>
      </c>
      <c r="I2668">
        <v>0</v>
      </c>
      <c r="J2668">
        <v>0</v>
      </c>
      <c r="K2668">
        <v>0</v>
      </c>
      <c r="L2668">
        <v>0</v>
      </c>
      <c r="M2668">
        <v>0.19</v>
      </c>
      <c r="N2668" s="7" t="e">
        <f>VLOOKUP(F2668,HC!A$6:D$100,3,FALSE)</f>
        <v>#N/A</v>
      </c>
      <c r="O2668" s="7" t="str">
        <f>VLOOKUP(F2668,HC!A$6:D$1000,2,FALSE)</f>
        <v>polettpu</v>
      </c>
      <c r="P2668" t="s">
        <v>663</v>
      </c>
      <c r="Q2668" t="s">
        <v>692</v>
      </c>
      <c r="U2668">
        <f t="shared" si="43"/>
        <v>55</v>
      </c>
    </row>
    <row r="2669" spans="1:21" ht="37.5" customHeight="1" x14ac:dyDescent="0.25">
      <c r="A2669" s="36">
        <v>45146</v>
      </c>
      <c r="B2669" s="13">
        <v>32</v>
      </c>
      <c r="C2669" t="s">
        <v>3</v>
      </c>
      <c r="D2669" t="s">
        <v>4</v>
      </c>
      <c r="E2669" t="s">
        <v>5</v>
      </c>
      <c r="F2669" s="6">
        <v>113020497</v>
      </c>
      <c r="G2669" t="s">
        <v>606</v>
      </c>
      <c r="H2669" t="s">
        <v>47</v>
      </c>
      <c r="I2669">
        <v>0</v>
      </c>
      <c r="J2669">
        <v>0</v>
      </c>
      <c r="K2669">
        <v>0</v>
      </c>
      <c r="L2669">
        <v>0</v>
      </c>
      <c r="M2669">
        <v>0.14000000000000001</v>
      </c>
      <c r="N2669" s="7" t="e">
        <f>VLOOKUP(F2669,HC!A$6:D$100,3,FALSE)</f>
        <v>#N/A</v>
      </c>
      <c r="O2669" s="7" t="str">
        <f>VLOOKUP(F2669,HC!A$6:D$1000,2,FALSE)</f>
        <v>diamartd</v>
      </c>
      <c r="P2669" t="s">
        <v>661</v>
      </c>
      <c r="Q2669" t="s">
        <v>681</v>
      </c>
      <c r="U2669">
        <f t="shared" si="43"/>
        <v>14</v>
      </c>
    </row>
    <row r="2670" spans="1:21" ht="37.5" customHeight="1" x14ac:dyDescent="0.25">
      <c r="A2670" s="36">
        <v>45146</v>
      </c>
      <c r="B2670" s="13">
        <v>32</v>
      </c>
      <c r="C2670" t="s">
        <v>3</v>
      </c>
      <c r="D2670" t="s">
        <v>4</v>
      </c>
      <c r="E2670" t="s">
        <v>5</v>
      </c>
      <c r="F2670" s="6">
        <v>113101453</v>
      </c>
      <c r="G2670" t="s">
        <v>50</v>
      </c>
      <c r="H2670" t="s">
        <v>44</v>
      </c>
      <c r="I2670">
        <v>0</v>
      </c>
      <c r="J2670">
        <v>0</v>
      </c>
      <c r="K2670">
        <v>0</v>
      </c>
      <c r="L2670">
        <v>0</v>
      </c>
      <c r="M2670">
        <v>0.11</v>
      </c>
      <c r="N2670" s="7" t="e">
        <f>VLOOKUP(F2670,HC!A$6:D$100,3,FALSE)</f>
        <v>#N/A</v>
      </c>
      <c r="O2670" s="7" t="str">
        <f>VLOOKUP(F2670,HC!A$6:D$1000,2,FALSE)</f>
        <v>qisgeova</v>
      </c>
      <c r="P2670" t="s">
        <v>661</v>
      </c>
      <c r="Q2670" t="s">
        <v>681</v>
      </c>
      <c r="U2670">
        <f t="shared" si="43"/>
        <v>57</v>
      </c>
    </row>
    <row r="2671" spans="1:21" ht="37.5" customHeight="1" x14ac:dyDescent="0.25">
      <c r="A2671" s="36">
        <v>45146</v>
      </c>
      <c r="B2671" s="13">
        <v>32</v>
      </c>
      <c r="C2671" t="s">
        <v>3</v>
      </c>
      <c r="D2671" t="s">
        <v>4</v>
      </c>
      <c r="E2671" t="s">
        <v>5</v>
      </c>
      <c r="F2671" s="6">
        <v>113103540</v>
      </c>
      <c r="G2671" t="s">
        <v>854</v>
      </c>
      <c r="H2671" t="s">
        <v>47</v>
      </c>
      <c r="I2671">
        <v>0</v>
      </c>
      <c r="J2671">
        <v>0</v>
      </c>
      <c r="K2671">
        <v>0</v>
      </c>
      <c r="L2671">
        <v>0</v>
      </c>
      <c r="M2671">
        <v>0.24</v>
      </c>
      <c r="N2671" s="7" t="e">
        <f>VLOOKUP(F2671,HC!A$6:D$100,3,FALSE)</f>
        <v>#N/A</v>
      </c>
      <c r="O2671" s="7" t="str">
        <f>VLOOKUP(F2671,HC!A$6:D$1000,2,FALSE)</f>
        <v>delgadax</v>
      </c>
      <c r="P2671" t="s">
        <v>662</v>
      </c>
      <c r="Q2671" t="s">
        <v>687</v>
      </c>
      <c r="U2671">
        <f t="shared" si="43"/>
        <v>9</v>
      </c>
    </row>
    <row r="2672" spans="1:21" ht="37.5" customHeight="1" x14ac:dyDescent="0.25">
      <c r="A2672" s="36">
        <v>45146</v>
      </c>
      <c r="B2672" s="13">
        <v>32</v>
      </c>
      <c r="C2672" t="s">
        <v>3</v>
      </c>
      <c r="D2672" t="s">
        <v>4</v>
      </c>
      <c r="E2672" t="s">
        <v>5</v>
      </c>
      <c r="F2672" s="6">
        <v>200404250</v>
      </c>
      <c r="G2672" t="s">
        <v>51</v>
      </c>
      <c r="H2672" t="s">
        <v>298</v>
      </c>
      <c r="I2672">
        <v>0</v>
      </c>
      <c r="J2672">
        <v>0</v>
      </c>
      <c r="K2672">
        <v>0</v>
      </c>
      <c r="L2672">
        <v>0</v>
      </c>
      <c r="M2672">
        <v>0.48</v>
      </c>
      <c r="N2672" s="7" t="e">
        <f>VLOOKUP(F2672,HC!A$6:D$100,3,FALSE)</f>
        <v>#N/A</v>
      </c>
      <c r="O2672" s="7" t="str">
        <f>VLOOKUP(F2672,HC!A$6:D$1000,2,FALSE)</f>
        <v>xcathurt</v>
      </c>
      <c r="P2672" t="s">
        <v>662</v>
      </c>
      <c r="Q2672" t="s">
        <v>785</v>
      </c>
      <c r="U2672">
        <f t="shared" si="43"/>
        <v>124</v>
      </c>
    </row>
    <row r="2673" spans="1:21" ht="37.5" customHeight="1" x14ac:dyDescent="0.25">
      <c r="A2673" s="36">
        <v>45146</v>
      </c>
      <c r="B2673" s="13">
        <v>32</v>
      </c>
      <c r="C2673" t="s">
        <v>3</v>
      </c>
      <c r="D2673" t="s">
        <v>4</v>
      </c>
      <c r="E2673" t="s">
        <v>5</v>
      </c>
      <c r="F2673" s="6">
        <v>200614224</v>
      </c>
      <c r="G2673" t="s">
        <v>322</v>
      </c>
      <c r="H2673" t="s">
        <v>17</v>
      </c>
      <c r="I2673">
        <v>0</v>
      </c>
      <c r="J2673">
        <v>0</v>
      </c>
      <c r="K2673">
        <v>0</v>
      </c>
      <c r="L2673">
        <v>0</v>
      </c>
      <c r="M2673">
        <v>2.91</v>
      </c>
      <c r="N2673" s="7" t="e">
        <f>VLOOKUP(F2673,HC!A$6:D$100,3,FALSE)</f>
        <v>#N/A</v>
      </c>
      <c r="O2673" s="7" t="e">
        <f>VLOOKUP(F2673,HC!A$6:D$1000,2,FALSE)</f>
        <v>#N/A</v>
      </c>
      <c r="P2673" t="s">
        <v>661</v>
      </c>
      <c r="Q2673" t="s">
        <v>700</v>
      </c>
      <c r="U2673">
        <f t="shared" si="43"/>
        <v>1395</v>
      </c>
    </row>
    <row r="2674" spans="1:21" ht="37.5" customHeight="1" x14ac:dyDescent="0.25">
      <c r="A2674" s="36">
        <v>45146</v>
      </c>
      <c r="B2674" s="13">
        <v>32</v>
      </c>
      <c r="C2674" t="s">
        <v>3</v>
      </c>
      <c r="D2674" t="s">
        <v>4</v>
      </c>
      <c r="E2674" t="s">
        <v>5</v>
      </c>
      <c r="F2674" s="6">
        <v>201172306</v>
      </c>
      <c r="G2674" t="s">
        <v>970</v>
      </c>
      <c r="H2674" t="s">
        <v>1040</v>
      </c>
      <c r="I2674">
        <v>0</v>
      </c>
      <c r="J2674">
        <v>0</v>
      </c>
      <c r="K2674">
        <v>0</v>
      </c>
      <c r="L2674">
        <v>0</v>
      </c>
      <c r="M2674">
        <v>0.11</v>
      </c>
      <c r="N2674" s="7" t="e">
        <f>VLOOKUP(F2674,HC!A$6:D$100,3,FALSE)</f>
        <v>#N/A</v>
      </c>
      <c r="O2674" s="7" t="str">
        <f>VLOOKUP(F2674,HC!A$6:D$1000,2,FALSE)</f>
        <v>cesarvae</v>
      </c>
      <c r="P2674" t="s">
        <v>661</v>
      </c>
      <c r="Q2674" t="s">
        <v>759</v>
      </c>
      <c r="U2674">
        <f t="shared" si="43"/>
        <v>17</v>
      </c>
    </row>
    <row r="2675" spans="1:21" ht="37.5" customHeight="1" x14ac:dyDescent="0.25">
      <c r="A2675" s="36">
        <v>45146</v>
      </c>
      <c r="B2675" s="13">
        <v>32</v>
      </c>
      <c r="C2675" t="s">
        <v>3</v>
      </c>
      <c r="D2675" t="s">
        <v>4</v>
      </c>
      <c r="E2675" t="s">
        <v>5</v>
      </c>
      <c r="F2675" s="6">
        <v>201202093</v>
      </c>
      <c r="G2675" t="s">
        <v>479</v>
      </c>
      <c r="H2675" t="s">
        <v>298</v>
      </c>
      <c r="I2675">
        <v>0</v>
      </c>
      <c r="J2675">
        <v>0</v>
      </c>
      <c r="K2675">
        <v>0</v>
      </c>
      <c r="L2675">
        <v>0</v>
      </c>
      <c r="M2675">
        <v>0.12</v>
      </c>
      <c r="N2675" s="7" t="e">
        <f>VLOOKUP(F2675,HC!A$6:D$100,3,FALSE)</f>
        <v>#N/A</v>
      </c>
      <c r="O2675" s="7" t="str">
        <f>VLOOKUP(F2675,HC!A$6:D$1000,2,FALSE)</f>
        <v>eliorten</v>
      </c>
      <c r="P2675" t="s">
        <v>663</v>
      </c>
      <c r="Q2675" t="s">
        <v>692</v>
      </c>
      <c r="U2675">
        <f t="shared" si="43"/>
        <v>12</v>
      </c>
    </row>
    <row r="2676" spans="1:21" ht="37.5" customHeight="1" x14ac:dyDescent="0.25">
      <c r="A2676" s="36">
        <v>45146</v>
      </c>
      <c r="B2676" s="13">
        <v>32</v>
      </c>
      <c r="C2676" t="s">
        <v>3</v>
      </c>
      <c r="D2676" t="s">
        <v>4</v>
      </c>
      <c r="E2676" t="s">
        <v>21</v>
      </c>
      <c r="F2676" s="6">
        <v>201403462</v>
      </c>
      <c r="G2676" t="s">
        <v>1054</v>
      </c>
      <c r="H2676" t="s">
        <v>49</v>
      </c>
      <c r="I2676">
        <v>0</v>
      </c>
      <c r="J2676">
        <v>0</v>
      </c>
      <c r="K2676">
        <v>0</v>
      </c>
      <c r="L2676">
        <v>0</v>
      </c>
      <c r="M2676">
        <v>0.18</v>
      </c>
      <c r="N2676" s="7" t="e">
        <f>VLOOKUP(F2676,HC!A$6:D$100,3,FALSE)</f>
        <v>#N/A</v>
      </c>
      <c r="O2676" s="7" t="str">
        <f>VLOOKUP(F2676,HC!A$6:D$1000,2,FALSE)</f>
        <v>valdojoe</v>
      </c>
      <c r="P2676" t="s">
        <v>669</v>
      </c>
      <c r="Q2676" t="s">
        <v>739</v>
      </c>
      <c r="U2676">
        <f t="shared" si="43"/>
        <v>22</v>
      </c>
    </row>
    <row r="2677" spans="1:21" ht="37.5" customHeight="1" x14ac:dyDescent="0.25">
      <c r="A2677" s="36">
        <v>45147</v>
      </c>
      <c r="B2677" s="13">
        <v>32</v>
      </c>
      <c r="C2677" t="s">
        <v>3</v>
      </c>
      <c r="D2677" t="s">
        <v>4</v>
      </c>
      <c r="E2677" t="s">
        <v>5</v>
      </c>
      <c r="F2677" s="6">
        <v>112920637</v>
      </c>
      <c r="G2677" t="s">
        <v>426</v>
      </c>
      <c r="H2677" t="s">
        <v>459</v>
      </c>
      <c r="I2677">
        <v>0</v>
      </c>
      <c r="J2677">
        <v>0</v>
      </c>
      <c r="K2677">
        <v>0</v>
      </c>
      <c r="L2677">
        <v>0</v>
      </c>
      <c r="M2677">
        <v>0.14000000000000001</v>
      </c>
      <c r="N2677" s="7" t="str">
        <f>VLOOKUP(F2677,HC!A$6:D$100,3,FALSE)</f>
        <v>DB-X0700</v>
      </c>
      <c r="O2677" s="7" t="str">
        <f>VLOOKUP(F2677,HC!A$6:D$1000,2,FALSE)</f>
        <v>antonitq</v>
      </c>
      <c r="P2677" t="s">
        <v>661</v>
      </c>
      <c r="Q2677" t="s">
        <v>681</v>
      </c>
      <c r="U2677">
        <f t="shared" si="43"/>
        <v>9</v>
      </c>
    </row>
    <row r="2678" spans="1:21" ht="37.5" customHeight="1" x14ac:dyDescent="0.25">
      <c r="A2678" s="36">
        <v>45147</v>
      </c>
      <c r="B2678" s="13">
        <v>32</v>
      </c>
      <c r="C2678" t="s">
        <v>3</v>
      </c>
      <c r="D2678" t="s">
        <v>4</v>
      </c>
      <c r="E2678" t="s">
        <v>5</v>
      </c>
      <c r="F2678" s="6">
        <v>112971980</v>
      </c>
      <c r="G2678" t="s">
        <v>445</v>
      </c>
      <c r="H2678" t="s">
        <v>459</v>
      </c>
      <c r="I2678">
        <v>0</v>
      </c>
      <c r="J2678">
        <v>0</v>
      </c>
      <c r="K2678">
        <v>0</v>
      </c>
      <c r="L2678">
        <v>0</v>
      </c>
      <c r="M2678">
        <v>0.3</v>
      </c>
      <c r="N2678" s="7" t="str">
        <f>VLOOKUP(F2678,HC!A$6:D$100,3,FALSE)</f>
        <v>DC-X0700</v>
      </c>
      <c r="O2678" s="7" t="str">
        <f>VLOOKUP(F2678,HC!A$6:D$1000,2,FALSE)</f>
        <v>cdanirom</v>
      </c>
      <c r="P2678" t="s">
        <v>663</v>
      </c>
      <c r="Q2678" t="s">
        <v>692</v>
      </c>
      <c r="U2678">
        <f t="shared" si="43"/>
        <v>25</v>
      </c>
    </row>
    <row r="2679" spans="1:21" ht="37.5" customHeight="1" x14ac:dyDescent="0.25">
      <c r="A2679" s="36">
        <v>45147</v>
      </c>
      <c r="B2679" s="13">
        <v>32</v>
      </c>
      <c r="C2679" t="s">
        <v>3</v>
      </c>
      <c r="D2679" t="s">
        <v>4</v>
      </c>
      <c r="E2679" t="s">
        <v>5</v>
      </c>
      <c r="F2679" s="6">
        <v>112980899</v>
      </c>
      <c r="G2679" t="s">
        <v>396</v>
      </c>
      <c r="H2679" t="s">
        <v>332</v>
      </c>
      <c r="I2679">
        <v>0</v>
      </c>
      <c r="J2679">
        <v>0</v>
      </c>
      <c r="K2679">
        <v>0</v>
      </c>
      <c r="L2679">
        <v>0</v>
      </c>
      <c r="M2679">
        <v>0.24</v>
      </c>
      <c r="N2679" s="7" t="str">
        <f>VLOOKUP(F2679,HC!A$6:D$100,3,FALSE)</f>
        <v>NF-X1900</v>
      </c>
      <c r="O2679" s="7" t="str">
        <f>VLOOKUP(F2679,HC!A$6:D$1000,2,FALSE)</f>
        <v>aravilac</v>
      </c>
      <c r="P2679" t="s">
        <v>664</v>
      </c>
      <c r="Q2679" t="s">
        <v>708</v>
      </c>
      <c r="U2679">
        <f t="shared" si="43"/>
        <v>33</v>
      </c>
    </row>
    <row r="2680" spans="1:21" ht="37.5" customHeight="1" x14ac:dyDescent="0.25">
      <c r="A2680" s="36">
        <v>45147</v>
      </c>
      <c r="B2680" s="13">
        <v>32</v>
      </c>
      <c r="C2680" t="s">
        <v>3</v>
      </c>
      <c r="D2680" t="s">
        <v>4</v>
      </c>
      <c r="E2680" t="s">
        <v>5</v>
      </c>
      <c r="F2680" s="6">
        <v>113014470</v>
      </c>
      <c r="G2680" t="s">
        <v>374</v>
      </c>
      <c r="H2680" t="s">
        <v>44</v>
      </c>
      <c r="I2680">
        <v>0</v>
      </c>
      <c r="J2680">
        <v>0</v>
      </c>
      <c r="K2680">
        <v>0</v>
      </c>
      <c r="L2680">
        <v>0</v>
      </c>
      <c r="M2680">
        <v>0.34</v>
      </c>
      <c r="N2680" s="7" t="e">
        <f>VLOOKUP(F2680,HC!A$6:D$100,3,FALSE)</f>
        <v>#N/A</v>
      </c>
      <c r="O2680" s="7" t="str">
        <f>VLOOKUP(F2680,HC!A$6:D$1000,2,FALSE)</f>
        <v>lupaguin</v>
      </c>
      <c r="P2680" t="s">
        <v>661</v>
      </c>
      <c r="Q2680" t="s">
        <v>681</v>
      </c>
      <c r="U2680">
        <f t="shared" si="43"/>
        <v>23</v>
      </c>
    </row>
    <row r="2681" spans="1:21" ht="37.5" customHeight="1" x14ac:dyDescent="0.25">
      <c r="A2681" s="36">
        <v>45147</v>
      </c>
      <c r="B2681" s="13">
        <v>32</v>
      </c>
      <c r="C2681" t="s">
        <v>3</v>
      </c>
      <c r="D2681" t="s">
        <v>4</v>
      </c>
      <c r="E2681" t="s">
        <v>5</v>
      </c>
      <c r="F2681" s="6">
        <v>200404250</v>
      </c>
      <c r="G2681" t="s">
        <v>51</v>
      </c>
      <c r="H2681" t="s">
        <v>298</v>
      </c>
      <c r="I2681">
        <v>0</v>
      </c>
      <c r="J2681">
        <v>0</v>
      </c>
      <c r="K2681">
        <v>0</v>
      </c>
      <c r="L2681">
        <v>0</v>
      </c>
      <c r="M2681">
        <v>0.59</v>
      </c>
      <c r="N2681" s="7" t="e">
        <f>VLOOKUP(F2681,HC!A$6:D$100,3,FALSE)</f>
        <v>#N/A</v>
      </c>
      <c r="O2681" s="7" t="str">
        <f>VLOOKUP(F2681,HC!A$6:D$1000,2,FALSE)</f>
        <v>xcathurt</v>
      </c>
      <c r="P2681" t="s">
        <v>662</v>
      </c>
      <c r="Q2681" t="s">
        <v>785</v>
      </c>
      <c r="U2681">
        <f t="shared" si="43"/>
        <v>124</v>
      </c>
    </row>
    <row r="2682" spans="1:21" ht="37.5" customHeight="1" x14ac:dyDescent="0.25">
      <c r="A2682" s="36">
        <v>45147</v>
      </c>
      <c r="B2682" s="13">
        <v>32</v>
      </c>
      <c r="C2682" t="s">
        <v>3</v>
      </c>
      <c r="D2682" t="s">
        <v>4</v>
      </c>
      <c r="E2682" t="s">
        <v>5</v>
      </c>
      <c r="F2682" s="6">
        <v>201191390</v>
      </c>
      <c r="G2682" t="s">
        <v>916</v>
      </c>
      <c r="H2682" t="s">
        <v>7</v>
      </c>
      <c r="I2682">
        <v>0</v>
      </c>
      <c r="J2682">
        <v>0</v>
      </c>
      <c r="K2682">
        <v>0</v>
      </c>
      <c r="L2682">
        <v>0</v>
      </c>
      <c r="M2682">
        <v>0.09</v>
      </c>
      <c r="N2682" s="7" t="e">
        <f>VLOOKUP(F2682,HC!A$6:D$100,3,FALSE)</f>
        <v>#N/A</v>
      </c>
      <c r="O2682" s="7" t="str">
        <f>VLOOKUP(F2682,HC!A$6:D$1000,2,FALSE)</f>
        <v>bgajesus</v>
      </c>
      <c r="P2682" t="s">
        <v>662</v>
      </c>
      <c r="Q2682" t="s">
        <v>702</v>
      </c>
      <c r="U2682">
        <f t="shared" si="43"/>
        <v>37</v>
      </c>
    </row>
    <row r="2683" spans="1:21" ht="37.5" customHeight="1" x14ac:dyDescent="0.25">
      <c r="A2683" s="36">
        <v>45147</v>
      </c>
      <c r="B2683" s="13">
        <v>32</v>
      </c>
      <c r="C2683" t="s">
        <v>3</v>
      </c>
      <c r="D2683" t="s">
        <v>4</v>
      </c>
      <c r="E2683" t="s">
        <v>21</v>
      </c>
      <c r="F2683" s="6">
        <v>201329529</v>
      </c>
      <c r="G2683" t="s">
        <v>1069</v>
      </c>
      <c r="H2683" t="s">
        <v>263</v>
      </c>
      <c r="I2683">
        <v>0</v>
      </c>
      <c r="J2683">
        <v>0</v>
      </c>
      <c r="K2683">
        <v>0</v>
      </c>
      <c r="L2683">
        <v>0</v>
      </c>
      <c r="M2683">
        <v>0.16</v>
      </c>
      <c r="N2683" s="7" t="e">
        <f>VLOOKUP(F2683,HC!A$6:D$100,3,FALSE)</f>
        <v>#N/A</v>
      </c>
      <c r="O2683" s="7" t="e">
        <f>VLOOKUP(F2683,HC!A$6:D$1000,2,FALSE)</f>
        <v>#N/A</v>
      </c>
      <c r="P2683" t="s">
        <v>664</v>
      </c>
      <c r="Q2683" t="s">
        <v>708</v>
      </c>
      <c r="U2683">
        <f t="shared" si="43"/>
        <v>1395</v>
      </c>
    </row>
    <row r="2684" spans="1:21" ht="37.5" customHeight="1" x14ac:dyDescent="0.25">
      <c r="A2684" s="36">
        <v>45147</v>
      </c>
      <c r="B2684" s="13">
        <v>32</v>
      </c>
      <c r="C2684" t="s">
        <v>3</v>
      </c>
      <c r="D2684" t="s">
        <v>4</v>
      </c>
      <c r="E2684" t="s">
        <v>21</v>
      </c>
      <c r="F2684" s="6">
        <v>201345774</v>
      </c>
      <c r="G2684" t="s">
        <v>1070</v>
      </c>
      <c r="H2684" t="s">
        <v>44</v>
      </c>
      <c r="I2684">
        <v>0</v>
      </c>
      <c r="J2684">
        <v>0</v>
      </c>
      <c r="K2684">
        <v>0</v>
      </c>
      <c r="L2684">
        <v>0</v>
      </c>
      <c r="M2684">
        <v>0.22</v>
      </c>
      <c r="N2684" s="7" t="e">
        <f>VLOOKUP(F2684,HC!A$6:D$100,3,FALSE)</f>
        <v>#N/A</v>
      </c>
      <c r="O2684" s="7" t="str">
        <f>VLOOKUP(F2684,HC!A$6:D$1000,2,FALSE)</f>
        <v>jonquija</v>
      </c>
      <c r="P2684" t="s">
        <v>666</v>
      </c>
      <c r="Q2684" t="s">
        <v>814</v>
      </c>
      <c r="U2684">
        <f t="shared" si="43"/>
        <v>19</v>
      </c>
    </row>
    <row r="2685" spans="1:21" ht="37.5" customHeight="1" x14ac:dyDescent="0.25">
      <c r="A2685" s="36">
        <v>45147</v>
      </c>
      <c r="B2685" s="13">
        <v>32</v>
      </c>
      <c r="C2685" t="s">
        <v>3</v>
      </c>
      <c r="D2685" t="s">
        <v>4</v>
      </c>
      <c r="E2685" t="s">
        <v>21</v>
      </c>
      <c r="F2685" s="6">
        <v>201386201</v>
      </c>
      <c r="G2685" t="s">
        <v>1167</v>
      </c>
      <c r="H2685" t="s">
        <v>17</v>
      </c>
      <c r="I2685">
        <v>0</v>
      </c>
      <c r="J2685">
        <v>0</v>
      </c>
      <c r="K2685">
        <v>0</v>
      </c>
      <c r="L2685">
        <v>0</v>
      </c>
      <c r="M2685">
        <v>0.19</v>
      </c>
      <c r="N2685" s="7" t="e">
        <f>VLOOKUP(F2685,HC!A$6:D$100,3,FALSE)</f>
        <v>#N/A</v>
      </c>
      <c r="O2685" s="7" t="str">
        <f>VLOOKUP(F2685,HC!A$6:D$1000,2,FALSE)</f>
        <v>castjanr</v>
      </c>
      <c r="P2685" t="s">
        <v>661</v>
      </c>
      <c r="Q2685" t="s">
        <v>759</v>
      </c>
      <c r="U2685">
        <f t="shared" si="43"/>
        <v>11</v>
      </c>
    </row>
    <row r="2686" spans="1:21" ht="37.5" customHeight="1" x14ac:dyDescent="0.25">
      <c r="A2686" s="36">
        <v>45148</v>
      </c>
      <c r="B2686" s="13">
        <v>32</v>
      </c>
      <c r="C2686" t="s">
        <v>3</v>
      </c>
      <c r="D2686" t="s">
        <v>4</v>
      </c>
      <c r="E2686" t="s">
        <v>5</v>
      </c>
      <c r="F2686" s="6">
        <v>112971980</v>
      </c>
      <c r="G2686" t="s">
        <v>445</v>
      </c>
      <c r="H2686" t="s">
        <v>459</v>
      </c>
      <c r="I2686">
        <v>0</v>
      </c>
      <c r="J2686">
        <v>0</v>
      </c>
      <c r="K2686">
        <v>0</v>
      </c>
      <c r="L2686">
        <v>0</v>
      </c>
      <c r="M2686">
        <v>0.31</v>
      </c>
      <c r="N2686" s="7" t="str">
        <f>VLOOKUP(F2686,HC!A$6:D$100,3,FALSE)</f>
        <v>DC-X0700</v>
      </c>
      <c r="O2686" s="7" t="str">
        <f>VLOOKUP(F2686,HC!A$6:D$1000,2,FALSE)</f>
        <v>cdanirom</v>
      </c>
      <c r="P2686" t="s">
        <v>663</v>
      </c>
      <c r="Q2686" t="s">
        <v>705</v>
      </c>
      <c r="U2686">
        <f t="shared" si="43"/>
        <v>25</v>
      </c>
    </row>
    <row r="2687" spans="1:21" ht="37.5" customHeight="1" x14ac:dyDescent="0.25">
      <c r="A2687" s="36">
        <v>45148</v>
      </c>
      <c r="B2687" s="13">
        <v>32</v>
      </c>
      <c r="C2687" t="s">
        <v>3</v>
      </c>
      <c r="D2687" t="s">
        <v>4</v>
      </c>
      <c r="E2687" t="s">
        <v>5</v>
      </c>
      <c r="F2687" s="6">
        <v>113003635</v>
      </c>
      <c r="G2687" t="s">
        <v>930</v>
      </c>
      <c r="H2687" t="s">
        <v>44</v>
      </c>
      <c r="I2687">
        <v>0</v>
      </c>
      <c r="J2687">
        <v>0</v>
      </c>
      <c r="K2687">
        <v>0</v>
      </c>
      <c r="L2687">
        <v>0</v>
      </c>
      <c r="M2687">
        <v>0.73</v>
      </c>
      <c r="N2687" s="7" t="e">
        <f>VLOOKUP(F2687,HC!A$6:D$100,3,FALSE)</f>
        <v>#N/A</v>
      </c>
      <c r="O2687" s="7" t="str">
        <f>VLOOKUP(F2687,HC!A$6:D$1000,2,FALSE)</f>
        <v>barrgiof</v>
      </c>
      <c r="P2687" t="s">
        <v>664</v>
      </c>
      <c r="Q2687" t="s">
        <v>712</v>
      </c>
      <c r="U2687">
        <f t="shared" si="43"/>
        <v>9</v>
      </c>
    </row>
    <row r="2688" spans="1:21" ht="37.5" customHeight="1" x14ac:dyDescent="0.25">
      <c r="A2688" s="36">
        <v>45148</v>
      </c>
      <c r="B2688" s="13">
        <v>32</v>
      </c>
      <c r="C2688" t="s">
        <v>3</v>
      </c>
      <c r="D2688" t="s">
        <v>4</v>
      </c>
      <c r="E2688" t="s">
        <v>5</v>
      </c>
      <c r="F2688" s="6">
        <v>113040582</v>
      </c>
      <c r="G2688" t="s">
        <v>625</v>
      </c>
      <c r="H2688" t="s">
        <v>44</v>
      </c>
      <c r="I2688">
        <v>0</v>
      </c>
      <c r="J2688">
        <v>0</v>
      </c>
      <c r="K2688">
        <v>0</v>
      </c>
      <c r="L2688">
        <v>0</v>
      </c>
      <c r="M2688">
        <v>0.23</v>
      </c>
      <c r="N2688" s="7" t="e">
        <f>VLOOKUP(F2688,HC!A$6:D$100,3,FALSE)</f>
        <v>#N/A</v>
      </c>
      <c r="O2688" s="7" t="str">
        <f>VLOOKUP(F2688,HC!A$6:D$1000,2,FALSE)</f>
        <v>hgerardr</v>
      </c>
      <c r="P2688" t="s">
        <v>662</v>
      </c>
      <c r="Q2688" t="s">
        <v>688</v>
      </c>
      <c r="U2688">
        <f t="shared" si="43"/>
        <v>15</v>
      </c>
    </row>
    <row r="2689" spans="1:21" ht="37.5" customHeight="1" x14ac:dyDescent="0.25">
      <c r="A2689" s="36">
        <v>45148</v>
      </c>
      <c r="B2689" s="13">
        <v>32</v>
      </c>
      <c r="C2689" t="s">
        <v>3</v>
      </c>
      <c r="D2689" t="s">
        <v>4</v>
      </c>
      <c r="E2689" t="s">
        <v>5</v>
      </c>
      <c r="F2689" s="6">
        <v>200404250</v>
      </c>
      <c r="G2689" t="s">
        <v>51</v>
      </c>
      <c r="H2689" t="s">
        <v>298</v>
      </c>
      <c r="I2689">
        <v>0</v>
      </c>
      <c r="J2689">
        <v>0</v>
      </c>
      <c r="K2689">
        <v>0</v>
      </c>
      <c r="L2689">
        <v>0</v>
      </c>
      <c r="M2689">
        <v>0.4</v>
      </c>
      <c r="N2689" s="7" t="e">
        <f>VLOOKUP(F2689,HC!A$6:D$100,3,FALSE)</f>
        <v>#N/A</v>
      </c>
      <c r="O2689" s="7" t="str">
        <f>VLOOKUP(F2689,HC!A$6:D$1000,2,FALSE)</f>
        <v>xcathurt</v>
      </c>
      <c r="P2689" t="s">
        <v>662</v>
      </c>
      <c r="Q2689" t="s">
        <v>785</v>
      </c>
      <c r="U2689">
        <f t="shared" si="43"/>
        <v>124</v>
      </c>
    </row>
    <row r="2690" spans="1:21" ht="37.5" customHeight="1" x14ac:dyDescent="0.25">
      <c r="A2690" s="36">
        <v>45148</v>
      </c>
      <c r="B2690" s="13">
        <v>32</v>
      </c>
      <c r="C2690" t="s">
        <v>3</v>
      </c>
      <c r="D2690" t="s">
        <v>4</v>
      </c>
      <c r="E2690" t="s">
        <v>5</v>
      </c>
      <c r="F2690" s="6">
        <v>200562154</v>
      </c>
      <c r="G2690" t="s">
        <v>437</v>
      </c>
      <c r="H2690" t="s">
        <v>49</v>
      </c>
      <c r="I2690">
        <v>0</v>
      </c>
      <c r="J2690">
        <v>0</v>
      </c>
      <c r="K2690">
        <v>0</v>
      </c>
      <c r="L2690">
        <v>0</v>
      </c>
      <c r="M2690">
        <v>0.34</v>
      </c>
      <c r="N2690" s="7" t="e">
        <f>VLOOKUP(F2690,HC!A$6:D$100,3,FALSE)</f>
        <v>#N/A</v>
      </c>
      <c r="O2690" s="7" t="str">
        <f>VLOOKUP(F2690,HC!A$6:D$1000,2,FALSE)</f>
        <v>reyesmcw</v>
      </c>
      <c r="P2690" t="s">
        <v>675</v>
      </c>
      <c r="U2690">
        <f t="shared" si="43"/>
        <v>38</v>
      </c>
    </row>
    <row r="2691" spans="1:21" ht="37.5" customHeight="1" x14ac:dyDescent="0.25">
      <c r="A2691" s="36">
        <v>45148</v>
      </c>
      <c r="B2691" s="13">
        <v>32</v>
      </c>
      <c r="C2691" t="s">
        <v>3</v>
      </c>
      <c r="D2691" t="s">
        <v>4</v>
      </c>
      <c r="E2691" t="s">
        <v>5</v>
      </c>
      <c r="F2691" s="6">
        <v>200574655</v>
      </c>
      <c r="G2691" t="s">
        <v>630</v>
      </c>
      <c r="H2691" t="s">
        <v>44</v>
      </c>
      <c r="I2691">
        <v>0</v>
      </c>
      <c r="J2691">
        <v>0</v>
      </c>
      <c r="K2691">
        <v>0</v>
      </c>
      <c r="L2691">
        <v>0</v>
      </c>
      <c r="M2691">
        <v>0.13</v>
      </c>
      <c r="N2691" s="7" t="e">
        <f>VLOOKUP(F2691,HC!A$6:D$100,3,FALSE)</f>
        <v>#N/A</v>
      </c>
      <c r="O2691" s="7" t="str">
        <f>VLOOKUP(F2691,HC!A$6:D$1000,2,FALSE)</f>
        <v>dulceami</v>
      </c>
      <c r="P2691" t="s">
        <v>661</v>
      </c>
      <c r="Q2691" t="s">
        <v>681</v>
      </c>
      <c r="U2691">
        <f t="shared" ref="U2691:U2754" si="44">COUNTIF(O$2:O$4999,O2691)</f>
        <v>20</v>
      </c>
    </row>
    <row r="2692" spans="1:21" ht="37.5" customHeight="1" x14ac:dyDescent="0.25">
      <c r="A2692" s="36">
        <v>45148</v>
      </c>
      <c r="B2692" s="13">
        <v>32</v>
      </c>
      <c r="C2692" t="s">
        <v>3</v>
      </c>
      <c r="D2692" t="s">
        <v>4</v>
      </c>
      <c r="E2692" t="s">
        <v>5</v>
      </c>
      <c r="F2692" s="6">
        <v>201172306</v>
      </c>
      <c r="G2692" t="s">
        <v>970</v>
      </c>
      <c r="H2692" t="s">
        <v>1040</v>
      </c>
      <c r="I2692">
        <v>0</v>
      </c>
      <c r="J2692">
        <v>0</v>
      </c>
      <c r="K2692">
        <v>0</v>
      </c>
      <c r="L2692">
        <v>0</v>
      </c>
      <c r="M2692">
        <v>0.14000000000000001</v>
      </c>
      <c r="N2692" s="7" t="e">
        <f>VLOOKUP(F2692,HC!A$6:D$100,3,FALSE)</f>
        <v>#N/A</v>
      </c>
      <c r="O2692" s="7" t="str">
        <f>VLOOKUP(F2692,HC!A$6:D$1000,2,FALSE)</f>
        <v>cesarvae</v>
      </c>
      <c r="P2692" t="s">
        <v>662</v>
      </c>
      <c r="Q2692" t="s">
        <v>757</v>
      </c>
      <c r="U2692">
        <f t="shared" si="44"/>
        <v>17</v>
      </c>
    </row>
    <row r="2693" spans="1:21" ht="37.5" customHeight="1" x14ac:dyDescent="0.25">
      <c r="A2693" s="36">
        <v>45148</v>
      </c>
      <c r="B2693" s="13">
        <v>32</v>
      </c>
      <c r="C2693" t="s">
        <v>3</v>
      </c>
      <c r="D2693" t="s">
        <v>4</v>
      </c>
      <c r="E2693" t="s">
        <v>5</v>
      </c>
      <c r="F2693" s="6">
        <v>201186833</v>
      </c>
      <c r="G2693" t="s">
        <v>904</v>
      </c>
      <c r="H2693" t="s">
        <v>285</v>
      </c>
      <c r="I2693">
        <v>0</v>
      </c>
      <c r="J2693">
        <v>0</v>
      </c>
      <c r="K2693">
        <v>0</v>
      </c>
      <c r="L2693">
        <v>0</v>
      </c>
      <c r="M2693">
        <v>0.13</v>
      </c>
      <c r="N2693" s="7" t="e">
        <f>VLOOKUP(F2693,HC!A$6:D$100,3,FALSE)</f>
        <v>#N/A</v>
      </c>
      <c r="O2693" s="7" t="str">
        <f>VLOOKUP(F2693,HC!A$6:D$1000,2,FALSE)</f>
        <v>jaalexav</v>
      </c>
      <c r="P2693" t="s">
        <v>661</v>
      </c>
      <c r="Q2693" t="s">
        <v>775</v>
      </c>
      <c r="U2693">
        <f t="shared" si="44"/>
        <v>16</v>
      </c>
    </row>
    <row r="2694" spans="1:21" ht="37.5" customHeight="1" x14ac:dyDescent="0.25">
      <c r="A2694" s="36">
        <v>45148</v>
      </c>
      <c r="B2694" s="13">
        <v>32</v>
      </c>
      <c r="C2694" t="s">
        <v>3</v>
      </c>
      <c r="D2694" t="s">
        <v>4</v>
      </c>
      <c r="E2694" t="s">
        <v>21</v>
      </c>
      <c r="F2694" s="6">
        <v>201295429</v>
      </c>
      <c r="G2694" t="s">
        <v>1097</v>
      </c>
      <c r="H2694" t="s">
        <v>47</v>
      </c>
      <c r="I2694">
        <v>0</v>
      </c>
      <c r="J2694">
        <v>0</v>
      </c>
      <c r="K2694">
        <v>0</v>
      </c>
      <c r="L2694">
        <v>0</v>
      </c>
      <c r="M2694">
        <v>1.25</v>
      </c>
      <c r="N2694" s="7" t="e">
        <f>VLOOKUP(F2694,HC!A$6:D$100,3,FALSE)</f>
        <v>#N/A</v>
      </c>
      <c r="O2694" s="7" t="str">
        <f>VLOOKUP(F2694,HC!A$6:D$1000,2,FALSE)</f>
        <v>mireljes</v>
      </c>
      <c r="P2694" t="s">
        <v>661</v>
      </c>
      <c r="Q2694" t="s">
        <v>700</v>
      </c>
      <c r="U2694">
        <f t="shared" si="44"/>
        <v>9</v>
      </c>
    </row>
    <row r="2695" spans="1:21" ht="37.5" customHeight="1" x14ac:dyDescent="0.25">
      <c r="A2695" s="36">
        <v>45149</v>
      </c>
      <c r="B2695" s="13">
        <v>32</v>
      </c>
      <c r="C2695" t="s">
        <v>3</v>
      </c>
      <c r="D2695" t="s">
        <v>4</v>
      </c>
      <c r="E2695" t="s">
        <v>5</v>
      </c>
      <c r="F2695" s="6">
        <v>112920637</v>
      </c>
      <c r="G2695" t="s">
        <v>426</v>
      </c>
      <c r="H2695" t="s">
        <v>459</v>
      </c>
      <c r="I2695">
        <v>0</v>
      </c>
      <c r="J2695">
        <v>0</v>
      </c>
      <c r="K2695">
        <v>0</v>
      </c>
      <c r="L2695">
        <v>0</v>
      </c>
      <c r="M2695">
        <v>0.19</v>
      </c>
      <c r="N2695" s="7" t="str">
        <f>VLOOKUP(F2695,HC!A$6:D$100,3,FALSE)</f>
        <v>DB-X0700</v>
      </c>
      <c r="O2695" s="7" t="str">
        <f>VLOOKUP(F2695,HC!A$6:D$1000,2,FALSE)</f>
        <v>antonitq</v>
      </c>
      <c r="P2695" t="s">
        <v>661</v>
      </c>
      <c r="Q2695" t="s">
        <v>681</v>
      </c>
      <c r="U2695">
        <f t="shared" si="44"/>
        <v>9</v>
      </c>
    </row>
    <row r="2696" spans="1:21" ht="37.5" customHeight="1" x14ac:dyDescent="0.25">
      <c r="A2696" s="36">
        <v>45149</v>
      </c>
      <c r="B2696" s="13">
        <v>32</v>
      </c>
      <c r="C2696" t="s">
        <v>3</v>
      </c>
      <c r="D2696" t="s">
        <v>4</v>
      </c>
      <c r="E2696" t="s">
        <v>5</v>
      </c>
      <c r="F2696" s="6">
        <v>112920664</v>
      </c>
      <c r="G2696" t="s">
        <v>474</v>
      </c>
      <c r="H2696" t="s">
        <v>250</v>
      </c>
      <c r="I2696">
        <v>0</v>
      </c>
      <c r="J2696">
        <v>0</v>
      </c>
      <c r="K2696">
        <v>0</v>
      </c>
      <c r="L2696">
        <v>0</v>
      </c>
      <c r="M2696">
        <v>0.02</v>
      </c>
      <c r="N2696" s="7" t="str">
        <f>VLOOKUP(F2696,HC!A$6:D$100,3,FALSE)</f>
        <v>DA-X0700</v>
      </c>
      <c r="O2696" s="7" t="str">
        <f>VLOOKUP(F2696,HC!A$6:D$1000,2,FALSE)</f>
        <v>samualbg</v>
      </c>
      <c r="P2696" t="s">
        <v>663</v>
      </c>
      <c r="Q2696" t="s">
        <v>695</v>
      </c>
      <c r="U2696">
        <f t="shared" si="44"/>
        <v>7</v>
      </c>
    </row>
    <row r="2697" spans="1:21" ht="37.5" customHeight="1" x14ac:dyDescent="0.25">
      <c r="A2697" s="36">
        <v>45149</v>
      </c>
      <c r="B2697" s="13">
        <v>32</v>
      </c>
      <c r="C2697" t="s">
        <v>3</v>
      </c>
      <c r="D2697" t="s">
        <v>4</v>
      </c>
      <c r="E2697" t="s">
        <v>5</v>
      </c>
      <c r="F2697" s="6">
        <v>112971988</v>
      </c>
      <c r="G2697" t="s">
        <v>596</v>
      </c>
      <c r="H2697" t="s">
        <v>459</v>
      </c>
      <c r="I2697">
        <v>0</v>
      </c>
      <c r="J2697">
        <v>0</v>
      </c>
      <c r="K2697">
        <v>0</v>
      </c>
      <c r="L2697">
        <v>0</v>
      </c>
      <c r="M2697">
        <v>0.24</v>
      </c>
      <c r="N2697" s="7" t="str">
        <f>VLOOKUP(F2697,HC!A$6:D$100,3,FALSE)</f>
        <v>DB-X0700</v>
      </c>
      <c r="O2697" s="7" t="str">
        <f>VLOOKUP(F2697,HC!A$6:D$1000,2,FALSE)</f>
        <v>fadtrejo</v>
      </c>
      <c r="P2697" t="s">
        <v>662</v>
      </c>
      <c r="Q2697" t="s">
        <v>687</v>
      </c>
      <c r="U2697">
        <f t="shared" si="44"/>
        <v>7</v>
      </c>
    </row>
    <row r="2698" spans="1:21" ht="37.5" customHeight="1" x14ac:dyDescent="0.25">
      <c r="A2698" s="36">
        <v>45149</v>
      </c>
      <c r="B2698" s="13">
        <v>32</v>
      </c>
      <c r="C2698" t="s">
        <v>3</v>
      </c>
      <c r="D2698" t="s">
        <v>4</v>
      </c>
      <c r="E2698" t="s">
        <v>5</v>
      </c>
      <c r="F2698" s="6">
        <v>113020463</v>
      </c>
      <c r="G2698" t="s">
        <v>321</v>
      </c>
      <c r="H2698" t="s">
        <v>44</v>
      </c>
      <c r="I2698">
        <v>0</v>
      </c>
      <c r="J2698">
        <v>0</v>
      </c>
      <c r="K2698">
        <v>0</v>
      </c>
      <c r="L2698">
        <v>0</v>
      </c>
      <c r="M2698">
        <v>0.48</v>
      </c>
      <c r="N2698" s="7" t="e">
        <f>VLOOKUP(F2698,HC!A$6:D$100,3,FALSE)</f>
        <v>#N/A</v>
      </c>
      <c r="O2698" s="7" t="str">
        <f>VLOOKUP(F2698,HC!A$6:D$1000,2,FALSE)</f>
        <v>myriamav</v>
      </c>
      <c r="P2698" t="s">
        <v>664</v>
      </c>
      <c r="Q2698" t="s">
        <v>710</v>
      </c>
      <c r="U2698">
        <f t="shared" si="44"/>
        <v>24</v>
      </c>
    </row>
    <row r="2699" spans="1:21" ht="37.5" customHeight="1" x14ac:dyDescent="0.25">
      <c r="A2699" s="36">
        <v>45149</v>
      </c>
      <c r="B2699" s="13">
        <v>32</v>
      </c>
      <c r="C2699" t="s">
        <v>3</v>
      </c>
      <c r="D2699" t="s">
        <v>4</v>
      </c>
      <c r="E2699" t="s">
        <v>5</v>
      </c>
      <c r="F2699" s="6">
        <v>113052151</v>
      </c>
      <c r="G2699" t="s">
        <v>482</v>
      </c>
      <c r="H2699" t="s">
        <v>17</v>
      </c>
      <c r="I2699">
        <v>0</v>
      </c>
      <c r="J2699">
        <v>0</v>
      </c>
      <c r="K2699">
        <v>0</v>
      </c>
      <c r="L2699">
        <v>0</v>
      </c>
      <c r="M2699">
        <v>0.23</v>
      </c>
      <c r="N2699" s="7" t="e">
        <f>VLOOKUP(F2699,HC!A$6:D$100,3,FALSE)</f>
        <v>#N/A</v>
      </c>
      <c r="O2699" s="7" t="str">
        <f>VLOOKUP(F2699,HC!A$6:D$1000,2,FALSE)</f>
        <v>nilaurab</v>
      </c>
      <c r="P2699" t="s">
        <v>670</v>
      </c>
      <c r="Q2699" t="s">
        <v>748</v>
      </c>
      <c r="U2699">
        <f t="shared" si="44"/>
        <v>28</v>
      </c>
    </row>
    <row r="2700" spans="1:21" ht="37.5" customHeight="1" x14ac:dyDescent="0.25">
      <c r="A2700" s="36">
        <v>45149</v>
      </c>
      <c r="B2700" s="13">
        <v>32</v>
      </c>
      <c r="C2700" t="s">
        <v>3</v>
      </c>
      <c r="D2700" t="s">
        <v>4</v>
      </c>
      <c r="E2700" t="s">
        <v>5</v>
      </c>
      <c r="F2700" s="6">
        <v>200562154</v>
      </c>
      <c r="G2700" t="s">
        <v>437</v>
      </c>
      <c r="H2700" t="s">
        <v>49</v>
      </c>
      <c r="I2700">
        <v>0</v>
      </c>
      <c r="J2700">
        <v>0</v>
      </c>
      <c r="K2700">
        <v>0</v>
      </c>
      <c r="L2700">
        <v>0</v>
      </c>
      <c r="M2700">
        <v>0.46</v>
      </c>
      <c r="N2700" s="7" t="e">
        <f>VLOOKUP(F2700,HC!A$6:D$100,3,FALSE)</f>
        <v>#N/A</v>
      </c>
      <c r="O2700" s="7" t="str">
        <f>VLOOKUP(F2700,HC!A$6:D$1000,2,FALSE)</f>
        <v>reyesmcw</v>
      </c>
      <c r="P2700" t="s">
        <v>675</v>
      </c>
      <c r="U2700">
        <f t="shared" si="44"/>
        <v>38</v>
      </c>
    </row>
    <row r="2701" spans="1:21" ht="37.5" customHeight="1" x14ac:dyDescent="0.25">
      <c r="A2701" s="36">
        <v>45149</v>
      </c>
      <c r="B2701" s="13">
        <v>32</v>
      </c>
      <c r="C2701" t="s">
        <v>3</v>
      </c>
      <c r="D2701" t="s">
        <v>4</v>
      </c>
      <c r="E2701" t="s">
        <v>5</v>
      </c>
      <c r="F2701" s="6">
        <v>201166890</v>
      </c>
      <c r="G2701" t="s">
        <v>998</v>
      </c>
      <c r="H2701" t="s">
        <v>298</v>
      </c>
      <c r="I2701">
        <v>0</v>
      </c>
      <c r="J2701">
        <v>0</v>
      </c>
      <c r="K2701">
        <v>0</v>
      </c>
      <c r="L2701">
        <v>0</v>
      </c>
      <c r="M2701">
        <v>0.79</v>
      </c>
      <c r="N2701" s="7" t="e">
        <f>VLOOKUP(F2701,HC!A$6:D$100,3,FALSE)</f>
        <v>#N/A</v>
      </c>
      <c r="O2701" s="7" t="str">
        <f>VLOOKUP(F2701,HC!A$6:D$1000,2,FALSE)</f>
        <v>lcabadan</v>
      </c>
      <c r="P2701" t="s">
        <v>664</v>
      </c>
      <c r="Q2701" t="s">
        <v>712</v>
      </c>
      <c r="U2701">
        <f t="shared" si="44"/>
        <v>24</v>
      </c>
    </row>
    <row r="2702" spans="1:21" ht="37.5" customHeight="1" x14ac:dyDescent="0.25">
      <c r="A2702" s="36">
        <v>45149</v>
      </c>
      <c r="B2702" s="13">
        <v>32</v>
      </c>
      <c r="C2702" t="s">
        <v>3</v>
      </c>
      <c r="D2702" t="s">
        <v>4</v>
      </c>
      <c r="E2702" t="s">
        <v>5</v>
      </c>
      <c r="F2702" s="6">
        <v>201191390</v>
      </c>
      <c r="G2702" t="s">
        <v>916</v>
      </c>
      <c r="H2702" t="s">
        <v>7</v>
      </c>
      <c r="I2702">
        <v>0</v>
      </c>
      <c r="J2702">
        <v>0</v>
      </c>
      <c r="K2702">
        <v>0</v>
      </c>
      <c r="L2702">
        <v>0</v>
      </c>
      <c r="M2702">
        <v>0.18</v>
      </c>
      <c r="N2702" s="7" t="e">
        <f>VLOOKUP(F2702,HC!A$6:D$100,3,FALSE)</f>
        <v>#N/A</v>
      </c>
      <c r="O2702" s="7" t="str">
        <f>VLOOKUP(F2702,HC!A$6:D$1000,2,FALSE)</f>
        <v>bgajesus</v>
      </c>
      <c r="P2702" t="s">
        <v>662</v>
      </c>
      <c r="Q2702" t="s">
        <v>688</v>
      </c>
      <c r="U2702">
        <f t="shared" si="44"/>
        <v>37</v>
      </c>
    </row>
    <row r="2703" spans="1:21" ht="37.5" customHeight="1" x14ac:dyDescent="0.25">
      <c r="A2703" s="36">
        <v>45149</v>
      </c>
      <c r="B2703" s="13">
        <v>32</v>
      </c>
      <c r="C2703" t="s">
        <v>3</v>
      </c>
      <c r="D2703" t="s">
        <v>4</v>
      </c>
      <c r="E2703" t="s">
        <v>21</v>
      </c>
      <c r="F2703" s="6">
        <v>201341534</v>
      </c>
      <c r="G2703" t="s">
        <v>1181</v>
      </c>
      <c r="H2703" t="s">
        <v>285</v>
      </c>
      <c r="I2703">
        <v>0</v>
      </c>
      <c r="J2703">
        <v>0</v>
      </c>
      <c r="K2703">
        <v>0</v>
      </c>
      <c r="L2703">
        <v>0</v>
      </c>
      <c r="M2703">
        <v>7.0000000000000007E-2</v>
      </c>
      <c r="N2703" s="7" t="e">
        <f>VLOOKUP(F2703,HC!A$6:D$100,3,FALSE)</f>
        <v>#N/A</v>
      </c>
      <c r="O2703" s="7" t="str">
        <f>VLOOKUP(F2703,HC!A$6:D$1000,2,FALSE)</f>
        <v>beceresm</v>
      </c>
      <c r="P2703" t="s">
        <v>664</v>
      </c>
      <c r="Q2703" t="s">
        <v>715</v>
      </c>
      <c r="U2703">
        <f t="shared" si="44"/>
        <v>10</v>
      </c>
    </row>
    <row r="2704" spans="1:21" ht="37.5" customHeight="1" x14ac:dyDescent="0.25">
      <c r="A2704" s="36">
        <v>45149</v>
      </c>
      <c r="B2704" s="13">
        <v>32</v>
      </c>
      <c r="C2704" t="s">
        <v>3</v>
      </c>
      <c r="D2704" t="s">
        <v>4</v>
      </c>
      <c r="E2704" t="s">
        <v>5</v>
      </c>
      <c r="F2704" s="6">
        <v>201353234</v>
      </c>
      <c r="G2704" t="s">
        <v>1168</v>
      </c>
      <c r="H2704" t="s">
        <v>403</v>
      </c>
      <c r="I2704">
        <v>0</v>
      </c>
      <c r="J2704">
        <v>0</v>
      </c>
      <c r="K2704">
        <v>0</v>
      </c>
      <c r="L2704">
        <v>0</v>
      </c>
      <c r="M2704">
        <v>0.18</v>
      </c>
      <c r="N2704" s="7" t="e">
        <f>VLOOKUP(F2704,HC!A$6:D$100,3,FALSE)</f>
        <v>#N/A</v>
      </c>
      <c r="O2704" s="7" t="str">
        <f>VLOOKUP(F2704,HC!A$6:D$1000,2,FALSE)</f>
        <v>paeramon</v>
      </c>
      <c r="P2704" t="s">
        <v>661</v>
      </c>
      <c r="Q2704" t="s">
        <v>681</v>
      </c>
      <c r="U2704">
        <f t="shared" si="44"/>
        <v>6</v>
      </c>
    </row>
    <row r="2705" spans="1:21" ht="37.5" customHeight="1" x14ac:dyDescent="0.25">
      <c r="A2705" s="36">
        <v>45149</v>
      </c>
      <c r="B2705" s="13">
        <v>32</v>
      </c>
      <c r="C2705" t="s">
        <v>3</v>
      </c>
      <c r="D2705" t="s">
        <v>4</v>
      </c>
      <c r="E2705" t="s">
        <v>5</v>
      </c>
      <c r="F2705" s="6">
        <v>201354965</v>
      </c>
      <c r="G2705" t="s">
        <v>1063</v>
      </c>
      <c r="H2705" t="s">
        <v>263</v>
      </c>
      <c r="I2705">
        <v>0</v>
      </c>
      <c r="J2705">
        <v>0</v>
      </c>
      <c r="K2705">
        <v>0</v>
      </c>
      <c r="L2705">
        <v>0</v>
      </c>
      <c r="M2705">
        <v>0.08</v>
      </c>
      <c r="N2705" s="7" t="e">
        <f>VLOOKUP(F2705,HC!A$6:D$100,3,FALSE)</f>
        <v>#N/A</v>
      </c>
      <c r="O2705" s="7" t="str">
        <f>VLOOKUP(F2705,HC!A$6:D$1000,2,FALSE)</f>
        <v>alinejim</v>
      </c>
      <c r="P2705" t="s">
        <v>661</v>
      </c>
      <c r="Q2705" t="s">
        <v>759</v>
      </c>
      <c r="U2705">
        <f t="shared" si="44"/>
        <v>33</v>
      </c>
    </row>
    <row r="2706" spans="1:21" ht="37.5" customHeight="1" x14ac:dyDescent="0.25">
      <c r="A2706" s="36">
        <v>45150</v>
      </c>
      <c r="B2706" s="13">
        <v>32</v>
      </c>
      <c r="C2706" t="s">
        <v>3</v>
      </c>
      <c r="D2706" t="s">
        <v>4</v>
      </c>
      <c r="E2706" t="s">
        <v>5</v>
      </c>
      <c r="F2706" s="6">
        <v>112916534</v>
      </c>
      <c r="G2706" t="s">
        <v>425</v>
      </c>
      <c r="H2706" t="s">
        <v>49</v>
      </c>
      <c r="I2706">
        <v>0</v>
      </c>
      <c r="J2706">
        <v>0</v>
      </c>
      <c r="K2706">
        <v>0</v>
      </c>
      <c r="L2706">
        <v>0</v>
      </c>
      <c r="M2706">
        <v>0.57999999999999996</v>
      </c>
      <c r="N2706" s="7" t="str">
        <f>VLOOKUP(F2706,HC!A$6:D$100,3,FALSE)</f>
        <v>DB-X0700</v>
      </c>
      <c r="O2706" s="7" t="str">
        <f>VLOOKUP(F2706,HC!A$6:D$1000,2,FALSE)</f>
        <v>earelili</v>
      </c>
      <c r="P2706" t="s">
        <v>661</v>
      </c>
      <c r="Q2706" t="s">
        <v>681</v>
      </c>
      <c r="U2706">
        <f t="shared" si="44"/>
        <v>15</v>
      </c>
    </row>
    <row r="2707" spans="1:21" ht="37.5" customHeight="1" x14ac:dyDescent="0.25">
      <c r="A2707" s="36">
        <v>45150</v>
      </c>
      <c r="B2707" s="13">
        <v>32</v>
      </c>
      <c r="C2707" t="s">
        <v>3</v>
      </c>
      <c r="D2707" t="s">
        <v>4</v>
      </c>
      <c r="E2707" t="s">
        <v>5</v>
      </c>
      <c r="F2707" s="6">
        <v>112920666</v>
      </c>
      <c r="G2707" t="s">
        <v>252</v>
      </c>
      <c r="H2707" t="s">
        <v>459</v>
      </c>
      <c r="I2707">
        <v>0</v>
      </c>
      <c r="J2707">
        <v>0</v>
      </c>
      <c r="K2707">
        <v>0</v>
      </c>
      <c r="L2707">
        <v>0</v>
      </c>
      <c r="M2707">
        <v>0.21</v>
      </c>
      <c r="N2707" s="7" t="str">
        <f>VLOOKUP(F2707,HC!A$6:D$100,3,FALSE)</f>
        <v>D5-X0700</v>
      </c>
      <c r="O2707" s="7" t="str">
        <f>VLOOKUP(F2707,HC!A$6:D$1000,2,FALSE)</f>
        <v>jorochai</v>
      </c>
      <c r="P2707" t="s">
        <v>664</v>
      </c>
      <c r="Q2707" t="s">
        <v>708</v>
      </c>
      <c r="U2707">
        <f t="shared" si="44"/>
        <v>19</v>
      </c>
    </row>
    <row r="2708" spans="1:21" ht="37.5" customHeight="1" x14ac:dyDescent="0.25">
      <c r="A2708" s="36">
        <v>45150</v>
      </c>
      <c r="B2708" s="13">
        <v>32</v>
      </c>
      <c r="C2708" t="s">
        <v>3</v>
      </c>
      <c r="D2708" t="s">
        <v>4</v>
      </c>
      <c r="E2708" t="s">
        <v>5</v>
      </c>
      <c r="F2708" s="6">
        <v>112951256</v>
      </c>
      <c r="G2708" t="s">
        <v>337</v>
      </c>
      <c r="H2708" t="s">
        <v>459</v>
      </c>
      <c r="I2708">
        <v>0</v>
      </c>
      <c r="J2708">
        <v>0</v>
      </c>
      <c r="K2708">
        <v>0</v>
      </c>
      <c r="L2708">
        <v>0</v>
      </c>
      <c r="M2708">
        <v>1.02</v>
      </c>
      <c r="N2708" s="7" t="str">
        <f>VLOOKUP(F2708,HC!A$6:D$100,3,FALSE)</f>
        <v>DA-X0700</v>
      </c>
      <c r="O2708" s="7" t="str">
        <f>VLOOKUP(F2708,HC!A$6:D$1000,2,FALSE)</f>
        <v>grkatery</v>
      </c>
      <c r="P2708" t="s">
        <v>661</v>
      </c>
      <c r="Q2708" t="s">
        <v>681</v>
      </c>
      <c r="U2708">
        <f t="shared" si="44"/>
        <v>17</v>
      </c>
    </row>
    <row r="2709" spans="1:21" ht="37.5" customHeight="1" x14ac:dyDescent="0.25">
      <c r="A2709" s="36">
        <v>45150</v>
      </c>
      <c r="B2709" s="13">
        <v>32</v>
      </c>
      <c r="C2709" t="s">
        <v>3</v>
      </c>
      <c r="D2709" t="s">
        <v>4</v>
      </c>
      <c r="E2709" t="s">
        <v>5</v>
      </c>
      <c r="F2709" s="6">
        <v>112972897</v>
      </c>
      <c r="G2709" t="s">
        <v>1128</v>
      </c>
      <c r="H2709" t="s">
        <v>403</v>
      </c>
      <c r="I2709">
        <v>0</v>
      </c>
      <c r="J2709">
        <v>0</v>
      </c>
      <c r="K2709">
        <v>0</v>
      </c>
      <c r="L2709">
        <v>0</v>
      </c>
      <c r="M2709">
        <v>0.73</v>
      </c>
      <c r="N2709" s="7" t="str">
        <f>VLOOKUP(F2709,HC!A$6:D$100,3,FALSE)</f>
        <v>DB-X0700</v>
      </c>
      <c r="O2709" s="7" t="str">
        <f>VLOOKUP(F2709,HC!A$6:D$1000,2,FALSE)</f>
        <v>adonairk</v>
      </c>
      <c r="P2709" t="s">
        <v>664</v>
      </c>
      <c r="R2709" t="s">
        <v>1182</v>
      </c>
      <c r="U2709">
        <f t="shared" si="44"/>
        <v>3</v>
      </c>
    </row>
    <row r="2710" spans="1:21" ht="37.5" customHeight="1" x14ac:dyDescent="0.25">
      <c r="A2710" s="36">
        <v>45150</v>
      </c>
      <c r="B2710" s="13">
        <v>32</v>
      </c>
      <c r="C2710" t="s">
        <v>3</v>
      </c>
      <c r="D2710" t="s">
        <v>4</v>
      </c>
      <c r="E2710" t="s">
        <v>5</v>
      </c>
      <c r="F2710" s="6">
        <v>113014092</v>
      </c>
      <c r="G2710" t="s">
        <v>552</v>
      </c>
      <c r="H2710" t="s">
        <v>7</v>
      </c>
      <c r="I2710">
        <v>0</v>
      </c>
      <c r="J2710">
        <v>0</v>
      </c>
      <c r="K2710">
        <v>0</v>
      </c>
      <c r="L2710">
        <v>0</v>
      </c>
      <c r="M2710">
        <v>0.87</v>
      </c>
      <c r="N2710" s="7" t="e">
        <f>VLOOKUP(F2710,HC!A$6:D$100,3,FALSE)</f>
        <v>#N/A</v>
      </c>
      <c r="O2710" s="7" t="str">
        <f>VLOOKUP(F2710,HC!A$6:D$1000,2,FALSE)</f>
        <v>rsanccri</v>
      </c>
      <c r="P2710" t="s">
        <v>661</v>
      </c>
      <c r="Q2710" t="s">
        <v>681</v>
      </c>
      <c r="U2710">
        <f t="shared" si="44"/>
        <v>11</v>
      </c>
    </row>
    <row r="2711" spans="1:21" ht="37.5" customHeight="1" x14ac:dyDescent="0.25">
      <c r="A2711" s="36">
        <v>45150</v>
      </c>
      <c r="B2711" s="13">
        <v>32</v>
      </c>
      <c r="C2711" t="s">
        <v>3</v>
      </c>
      <c r="D2711" t="s">
        <v>4</v>
      </c>
      <c r="E2711" t="s">
        <v>5</v>
      </c>
      <c r="F2711" s="6">
        <v>201223730</v>
      </c>
      <c r="G2711" t="s">
        <v>933</v>
      </c>
      <c r="H2711" t="s">
        <v>49</v>
      </c>
      <c r="I2711">
        <v>0</v>
      </c>
      <c r="J2711">
        <v>0</v>
      </c>
      <c r="K2711">
        <v>0</v>
      </c>
      <c r="L2711">
        <v>0</v>
      </c>
      <c r="M2711">
        <v>0.78</v>
      </c>
      <c r="N2711" s="7" t="e">
        <f>VLOOKUP(F2711,HC!A$6:D$100,3,FALSE)</f>
        <v>#N/A</v>
      </c>
      <c r="O2711" s="7" t="str">
        <f>VLOOKUP(F2711,HC!A$6:D$1000,2,FALSE)</f>
        <v>cesarito</v>
      </c>
      <c r="P2711" t="s">
        <v>661</v>
      </c>
      <c r="Q2711" t="s">
        <v>681</v>
      </c>
      <c r="U2711">
        <f t="shared" si="44"/>
        <v>39</v>
      </c>
    </row>
    <row r="2712" spans="1:21" ht="37.5" customHeight="1" x14ac:dyDescent="0.25">
      <c r="A2712" s="36">
        <v>45151</v>
      </c>
      <c r="B2712" s="13">
        <v>33</v>
      </c>
      <c r="C2712" t="s">
        <v>3</v>
      </c>
      <c r="D2712" t="s">
        <v>4</v>
      </c>
      <c r="E2712" t="s">
        <v>5</v>
      </c>
      <c r="F2712" s="6">
        <v>113014078</v>
      </c>
      <c r="G2712" t="s">
        <v>567</v>
      </c>
      <c r="H2712" t="s">
        <v>298</v>
      </c>
      <c r="I2712">
        <v>0</v>
      </c>
      <c r="J2712">
        <v>0</v>
      </c>
      <c r="K2712">
        <v>0</v>
      </c>
      <c r="L2712">
        <v>0</v>
      </c>
      <c r="M2712">
        <v>0.52</v>
      </c>
      <c r="N2712" s="7" t="e">
        <f>VLOOKUP(F2712,HC!A$6:D$100,3,FALSE)</f>
        <v>#N/A</v>
      </c>
      <c r="O2712" s="7" t="str">
        <f>VLOOKUP(F2712,HC!A$6:D$1000,2,FALSE)</f>
        <v>dnaldair</v>
      </c>
      <c r="P2712" t="s">
        <v>661</v>
      </c>
      <c r="Q2712" t="s">
        <v>681</v>
      </c>
      <c r="U2712">
        <f t="shared" si="44"/>
        <v>14</v>
      </c>
    </row>
    <row r="2713" spans="1:21" ht="37.5" customHeight="1" x14ac:dyDescent="0.25">
      <c r="A2713" s="36">
        <v>45152</v>
      </c>
      <c r="B2713" s="13">
        <v>33</v>
      </c>
      <c r="C2713" t="s">
        <v>3</v>
      </c>
      <c r="D2713" t="s">
        <v>4</v>
      </c>
      <c r="E2713" t="s">
        <v>5</v>
      </c>
      <c r="F2713" s="38">
        <v>112971980</v>
      </c>
      <c r="G2713" t="s">
        <v>445</v>
      </c>
      <c r="H2713" t="s">
        <v>459</v>
      </c>
      <c r="I2713">
        <v>0</v>
      </c>
      <c r="J2713">
        <v>0</v>
      </c>
      <c r="K2713">
        <v>0</v>
      </c>
      <c r="L2713">
        <v>0</v>
      </c>
      <c r="M2713">
        <v>0.36</v>
      </c>
      <c r="N2713" s="7" t="str">
        <f>VLOOKUP(F2713,HC!A$6:D$100,3,FALSE)</f>
        <v>DC-X0700</v>
      </c>
      <c r="O2713" s="7" t="str">
        <f>VLOOKUP(F2713,HC!A$6:D$1000,2,FALSE)</f>
        <v>cdanirom</v>
      </c>
      <c r="P2713" t="s">
        <v>670</v>
      </c>
      <c r="Q2713" t="s">
        <v>746</v>
      </c>
      <c r="U2713">
        <f t="shared" si="44"/>
        <v>25</v>
      </c>
    </row>
    <row r="2714" spans="1:21" ht="37.5" customHeight="1" x14ac:dyDescent="0.25">
      <c r="A2714" s="36">
        <v>45152</v>
      </c>
      <c r="B2714" s="13">
        <v>33</v>
      </c>
      <c r="C2714" t="s">
        <v>3</v>
      </c>
      <c r="D2714" t="s">
        <v>4</v>
      </c>
      <c r="E2714" t="s">
        <v>5</v>
      </c>
      <c r="F2714" s="38">
        <v>113101453</v>
      </c>
      <c r="G2714" t="s">
        <v>50</v>
      </c>
      <c r="H2714" t="s">
        <v>44</v>
      </c>
      <c r="I2714">
        <v>0</v>
      </c>
      <c r="J2714">
        <v>0</v>
      </c>
      <c r="K2714">
        <v>0</v>
      </c>
      <c r="L2714">
        <v>0</v>
      </c>
      <c r="M2714">
        <v>0.06</v>
      </c>
      <c r="N2714" s="7" t="e">
        <f>VLOOKUP(F2714,HC!A$6:D$100,3,FALSE)</f>
        <v>#N/A</v>
      </c>
      <c r="O2714" s="7" t="str">
        <f>VLOOKUP(F2714,HC!A$6:D$1000,2,FALSE)</f>
        <v>qisgeova</v>
      </c>
      <c r="P2714" t="s">
        <v>664</v>
      </c>
      <c r="Q2714" t="s">
        <v>711</v>
      </c>
      <c r="U2714">
        <f t="shared" si="44"/>
        <v>57</v>
      </c>
    </row>
    <row r="2715" spans="1:21" ht="37.5" customHeight="1" x14ac:dyDescent="0.25">
      <c r="A2715" s="36">
        <v>45152</v>
      </c>
      <c r="B2715" s="13">
        <v>33</v>
      </c>
      <c r="C2715" t="s">
        <v>3</v>
      </c>
      <c r="D2715" t="s">
        <v>4</v>
      </c>
      <c r="E2715" t="s">
        <v>5</v>
      </c>
      <c r="F2715" s="38">
        <v>200404250</v>
      </c>
      <c r="G2715" t="s">
        <v>51</v>
      </c>
      <c r="H2715" t="s">
        <v>298</v>
      </c>
      <c r="I2715">
        <v>0</v>
      </c>
      <c r="J2715">
        <v>0</v>
      </c>
      <c r="K2715">
        <v>0</v>
      </c>
      <c r="L2715">
        <v>0</v>
      </c>
      <c r="M2715">
        <v>0.83</v>
      </c>
      <c r="N2715" s="7" t="e">
        <f>VLOOKUP(F2715,HC!A$6:D$100,3,FALSE)</f>
        <v>#N/A</v>
      </c>
      <c r="O2715" s="7" t="str">
        <f>VLOOKUP(F2715,HC!A$6:D$1000,2,FALSE)</f>
        <v>xcathurt</v>
      </c>
      <c r="P2715" t="s">
        <v>662</v>
      </c>
      <c r="Q2715" t="s">
        <v>766</v>
      </c>
      <c r="R2715" t="s">
        <v>1213</v>
      </c>
      <c r="U2715">
        <f t="shared" si="44"/>
        <v>124</v>
      </c>
    </row>
    <row r="2716" spans="1:21" ht="37.5" customHeight="1" x14ac:dyDescent="0.25">
      <c r="A2716" s="36">
        <v>45152</v>
      </c>
      <c r="B2716" s="13">
        <v>33</v>
      </c>
      <c r="C2716" t="s">
        <v>3</v>
      </c>
      <c r="D2716" t="s">
        <v>4</v>
      </c>
      <c r="E2716" t="s">
        <v>5</v>
      </c>
      <c r="F2716" s="38">
        <v>201166890</v>
      </c>
      <c r="G2716" t="s">
        <v>998</v>
      </c>
      <c r="H2716" t="s">
        <v>298</v>
      </c>
      <c r="I2716">
        <v>0</v>
      </c>
      <c r="J2716">
        <v>0</v>
      </c>
      <c r="K2716">
        <v>0</v>
      </c>
      <c r="L2716">
        <v>0</v>
      </c>
      <c r="M2716">
        <v>0.33</v>
      </c>
      <c r="N2716" s="7" t="e">
        <f>VLOOKUP(F2716,HC!A$6:D$100,3,FALSE)</f>
        <v>#N/A</v>
      </c>
      <c r="O2716" s="7" t="str">
        <f>VLOOKUP(F2716,HC!A$6:D$1000,2,FALSE)</f>
        <v>lcabadan</v>
      </c>
      <c r="P2716" t="s">
        <v>661</v>
      </c>
      <c r="Q2716" t="s">
        <v>700</v>
      </c>
      <c r="U2716">
        <f t="shared" si="44"/>
        <v>24</v>
      </c>
    </row>
    <row r="2717" spans="1:21" ht="37.5" customHeight="1" x14ac:dyDescent="0.25">
      <c r="A2717" s="36">
        <v>45152</v>
      </c>
      <c r="B2717" s="13">
        <v>33</v>
      </c>
      <c r="C2717" t="s">
        <v>3</v>
      </c>
      <c r="D2717" t="s">
        <v>4</v>
      </c>
      <c r="E2717" t="s">
        <v>5</v>
      </c>
      <c r="F2717" s="38">
        <v>201318220</v>
      </c>
      <c r="G2717" t="s">
        <v>1183</v>
      </c>
      <c r="H2717" t="s">
        <v>1040</v>
      </c>
      <c r="I2717">
        <v>0</v>
      </c>
      <c r="J2717">
        <v>0</v>
      </c>
      <c r="K2717">
        <v>0</v>
      </c>
      <c r="L2717">
        <v>0</v>
      </c>
      <c r="M2717">
        <v>7.0000000000000007E-2</v>
      </c>
      <c r="N2717" s="7" t="e">
        <f>VLOOKUP(F2717,HC!A$6:D$100,3,FALSE)</f>
        <v>#N/A</v>
      </c>
      <c r="O2717" s="7" t="str">
        <f>VLOOKUP(F2717,HC!A$6:D$1000,2,FALSE)</f>
        <v>raufjas</v>
      </c>
      <c r="P2717" t="s">
        <v>661</v>
      </c>
      <c r="Q2717" t="s">
        <v>684</v>
      </c>
      <c r="U2717">
        <f t="shared" si="44"/>
        <v>11</v>
      </c>
    </row>
    <row r="2718" spans="1:21" ht="37.5" customHeight="1" x14ac:dyDescent="0.25">
      <c r="A2718" s="36">
        <v>45152</v>
      </c>
      <c r="B2718" s="13">
        <v>33</v>
      </c>
      <c r="C2718" t="s">
        <v>3</v>
      </c>
      <c r="D2718" t="s">
        <v>4</v>
      </c>
      <c r="E2718" t="s">
        <v>5</v>
      </c>
      <c r="F2718" s="38">
        <v>201345774</v>
      </c>
      <c r="G2718" t="s">
        <v>1070</v>
      </c>
      <c r="H2718" t="s">
        <v>44</v>
      </c>
      <c r="I2718">
        <v>0</v>
      </c>
      <c r="J2718">
        <v>0</v>
      </c>
      <c r="K2718">
        <v>0</v>
      </c>
      <c r="L2718">
        <v>0</v>
      </c>
      <c r="M2718">
        <v>0.25</v>
      </c>
      <c r="N2718" s="7" t="e">
        <f>VLOOKUP(F2718,HC!A$6:D$100,3,FALSE)</f>
        <v>#N/A</v>
      </c>
      <c r="O2718" s="7" t="str">
        <f>VLOOKUP(F2718,HC!A$6:D$1000,2,FALSE)</f>
        <v>jonquija</v>
      </c>
      <c r="P2718" t="s">
        <v>661</v>
      </c>
      <c r="Q2718" t="s">
        <v>759</v>
      </c>
      <c r="U2718">
        <f t="shared" si="44"/>
        <v>19</v>
      </c>
    </row>
    <row r="2719" spans="1:21" ht="37.5" customHeight="1" x14ac:dyDescent="0.25">
      <c r="A2719" s="36">
        <v>45152</v>
      </c>
      <c r="B2719" s="13">
        <v>33</v>
      </c>
      <c r="C2719" t="s">
        <v>3</v>
      </c>
      <c r="D2719" t="s">
        <v>4</v>
      </c>
      <c r="E2719" t="s">
        <v>5</v>
      </c>
      <c r="F2719" s="38">
        <v>201378614</v>
      </c>
      <c r="G2719" t="s">
        <v>1046</v>
      </c>
      <c r="H2719" t="s">
        <v>1040</v>
      </c>
      <c r="I2719">
        <v>0</v>
      </c>
      <c r="J2719">
        <v>0</v>
      </c>
      <c r="K2719">
        <v>0</v>
      </c>
      <c r="L2719">
        <v>0</v>
      </c>
      <c r="M2719">
        <v>0.23</v>
      </c>
      <c r="N2719" s="7" t="e">
        <f>VLOOKUP(F2719,HC!A$6:D$100,3,FALSE)</f>
        <v>#N/A</v>
      </c>
      <c r="O2719" s="7" t="e">
        <f>VLOOKUP(F2719,HC!A$6:D$1000,2,FALSE)</f>
        <v>#N/A</v>
      </c>
      <c r="P2719" t="s">
        <v>661</v>
      </c>
      <c r="Q2719" t="s">
        <v>759</v>
      </c>
      <c r="U2719">
        <f t="shared" si="44"/>
        <v>1395</v>
      </c>
    </row>
    <row r="2720" spans="1:21" ht="37.5" customHeight="1" x14ac:dyDescent="0.25">
      <c r="A2720" s="36">
        <v>45152</v>
      </c>
      <c r="B2720" s="13">
        <v>33</v>
      </c>
      <c r="C2720" t="s">
        <v>3</v>
      </c>
      <c r="D2720" t="s">
        <v>4</v>
      </c>
      <c r="E2720" t="s">
        <v>21</v>
      </c>
      <c r="F2720" s="38">
        <v>201847967</v>
      </c>
      <c r="G2720" t="s">
        <v>1184</v>
      </c>
      <c r="H2720" t="s">
        <v>285</v>
      </c>
      <c r="I2720">
        <v>0</v>
      </c>
      <c r="J2720">
        <v>0</v>
      </c>
      <c r="K2720">
        <v>0</v>
      </c>
      <c r="L2720">
        <v>0</v>
      </c>
      <c r="M2720">
        <v>0.24</v>
      </c>
      <c r="N2720" s="7" t="e">
        <f>VLOOKUP(F2720,HC!A$6:D$100,3,FALSE)</f>
        <v>#N/A</v>
      </c>
      <c r="O2720" s="7" t="str">
        <f>VLOOKUP(F2720,HC!A$6:D$1000,2,FALSE)</f>
        <v>gusangui</v>
      </c>
      <c r="P2720" t="s">
        <v>668</v>
      </c>
      <c r="Q2720" t="s">
        <v>732</v>
      </c>
      <c r="U2720">
        <f t="shared" si="44"/>
        <v>1</v>
      </c>
    </row>
    <row r="2721" spans="1:21" ht="37.5" customHeight="1" x14ac:dyDescent="0.25">
      <c r="A2721" s="36">
        <v>45153</v>
      </c>
      <c r="B2721" s="13">
        <v>33</v>
      </c>
      <c r="C2721" t="s">
        <v>3</v>
      </c>
      <c r="D2721" t="s">
        <v>4</v>
      </c>
      <c r="E2721" t="s">
        <v>5</v>
      </c>
      <c r="F2721">
        <v>113014042</v>
      </c>
      <c r="G2721" t="s">
        <v>329</v>
      </c>
      <c r="H2721" t="s">
        <v>403</v>
      </c>
      <c r="I2721">
        <v>0</v>
      </c>
      <c r="J2721">
        <v>0</v>
      </c>
      <c r="K2721">
        <v>0</v>
      </c>
      <c r="L2721">
        <v>0</v>
      </c>
      <c r="M2721">
        <v>0.15</v>
      </c>
      <c r="N2721" s="7" t="e">
        <f>VLOOKUP(F2721,HC!A$6:D$100,3,FALSE)</f>
        <v>#N/A</v>
      </c>
      <c r="O2721" s="7" t="str">
        <f>VLOOKUP(F2721,HC!A$6:D$1000,2,FALSE)</f>
        <v>rfcervan</v>
      </c>
      <c r="P2721" t="s">
        <v>662</v>
      </c>
      <c r="Q2721" t="s">
        <v>691</v>
      </c>
      <c r="U2721">
        <f t="shared" si="44"/>
        <v>23</v>
      </c>
    </row>
    <row r="2722" spans="1:21" ht="37.5" customHeight="1" x14ac:dyDescent="0.25">
      <c r="A2722" s="36">
        <v>45153</v>
      </c>
      <c r="B2722" s="13">
        <v>33</v>
      </c>
      <c r="C2722" t="s">
        <v>3</v>
      </c>
      <c r="D2722" t="s">
        <v>4</v>
      </c>
      <c r="E2722" t="s">
        <v>5</v>
      </c>
      <c r="F2722">
        <v>113101453</v>
      </c>
      <c r="G2722" t="s">
        <v>50</v>
      </c>
      <c r="H2722" t="s">
        <v>44</v>
      </c>
      <c r="I2722">
        <v>0</v>
      </c>
      <c r="J2722">
        <v>0</v>
      </c>
      <c r="K2722">
        <v>0</v>
      </c>
      <c r="L2722">
        <v>0</v>
      </c>
      <c r="M2722">
        <v>0.19</v>
      </c>
      <c r="N2722" s="7" t="e">
        <f>VLOOKUP(F2722,HC!A$6:D$100,3,FALSE)</f>
        <v>#N/A</v>
      </c>
      <c r="O2722" s="7" t="str">
        <f>VLOOKUP(F2722,HC!A$6:D$1000,2,FALSE)</f>
        <v>qisgeova</v>
      </c>
      <c r="P2722" t="s">
        <v>664</v>
      </c>
      <c r="Q2722" t="s">
        <v>711</v>
      </c>
      <c r="U2722">
        <f t="shared" si="44"/>
        <v>57</v>
      </c>
    </row>
    <row r="2723" spans="1:21" ht="37.5" customHeight="1" x14ac:dyDescent="0.25">
      <c r="A2723" s="36">
        <v>45153</v>
      </c>
      <c r="B2723" s="13">
        <v>33</v>
      </c>
      <c r="C2723" t="s">
        <v>3</v>
      </c>
      <c r="D2723" t="s">
        <v>4</v>
      </c>
      <c r="E2723" t="s">
        <v>5</v>
      </c>
      <c r="F2723">
        <v>200534675</v>
      </c>
      <c r="G2723" t="s">
        <v>534</v>
      </c>
      <c r="H2723" t="s">
        <v>17</v>
      </c>
      <c r="I2723">
        <v>0</v>
      </c>
      <c r="J2723">
        <v>0</v>
      </c>
      <c r="K2723">
        <v>0</v>
      </c>
      <c r="L2723">
        <v>0</v>
      </c>
      <c r="M2723">
        <v>0.24</v>
      </c>
      <c r="N2723" s="7" t="e">
        <f>VLOOKUP(F2723,HC!A$6:D$100,3,FALSE)</f>
        <v>#N/A</v>
      </c>
      <c r="O2723" s="7" t="str">
        <f>VLOOKUP(F2723,HC!A$6:D$1000,2,FALSE)</f>
        <v>juanpmun</v>
      </c>
      <c r="P2723" t="s">
        <v>664</v>
      </c>
      <c r="Q2723" t="s">
        <v>709</v>
      </c>
      <c r="U2723">
        <f t="shared" si="44"/>
        <v>16</v>
      </c>
    </row>
    <row r="2724" spans="1:21" ht="37.5" customHeight="1" x14ac:dyDescent="0.25">
      <c r="A2724" s="36">
        <v>45153</v>
      </c>
      <c r="B2724" s="13">
        <v>33</v>
      </c>
      <c r="C2724" t="s">
        <v>3</v>
      </c>
      <c r="D2724" t="s">
        <v>4</v>
      </c>
      <c r="E2724" t="s">
        <v>5</v>
      </c>
      <c r="F2724">
        <v>200574655</v>
      </c>
      <c r="G2724" t="s">
        <v>630</v>
      </c>
      <c r="H2724" t="s">
        <v>44</v>
      </c>
      <c r="I2724">
        <v>0</v>
      </c>
      <c r="J2724">
        <v>0</v>
      </c>
      <c r="K2724">
        <v>0</v>
      </c>
      <c r="L2724">
        <v>0</v>
      </c>
      <c r="M2724">
        <v>0.32</v>
      </c>
      <c r="N2724" s="7" t="e">
        <f>VLOOKUP(F2724,HC!A$6:D$100,3,FALSE)</f>
        <v>#N/A</v>
      </c>
      <c r="O2724" s="7" t="str">
        <f>VLOOKUP(F2724,HC!A$6:D$1000,2,FALSE)</f>
        <v>dulceami</v>
      </c>
      <c r="P2724" t="s">
        <v>661</v>
      </c>
      <c r="Q2724" t="s">
        <v>759</v>
      </c>
      <c r="U2724">
        <f t="shared" si="44"/>
        <v>20</v>
      </c>
    </row>
    <row r="2725" spans="1:21" ht="37.5" customHeight="1" x14ac:dyDescent="0.25">
      <c r="A2725" s="36">
        <v>45153</v>
      </c>
      <c r="B2725" s="13">
        <v>33</v>
      </c>
      <c r="C2725" t="s">
        <v>3</v>
      </c>
      <c r="D2725" t="s">
        <v>4</v>
      </c>
      <c r="E2725" t="s">
        <v>5</v>
      </c>
      <c r="F2725">
        <v>200615315</v>
      </c>
      <c r="G2725" t="s">
        <v>1119</v>
      </c>
      <c r="H2725" t="s">
        <v>1040</v>
      </c>
      <c r="I2725">
        <v>0</v>
      </c>
      <c r="J2725">
        <v>0</v>
      </c>
      <c r="K2725">
        <v>0</v>
      </c>
      <c r="L2725">
        <v>0</v>
      </c>
      <c r="M2725">
        <v>0.21</v>
      </c>
      <c r="N2725" s="7" t="e">
        <f>VLOOKUP(F2725,HC!A$6:D$100,3,FALSE)</f>
        <v>#N/A</v>
      </c>
      <c r="O2725" s="7" t="str">
        <f>VLOOKUP(F2725,HC!A$6:D$1000,2,FALSE)</f>
        <v>gascfdan</v>
      </c>
      <c r="P2725" t="s">
        <v>664</v>
      </c>
      <c r="Q2725" t="s">
        <v>708</v>
      </c>
      <c r="U2725">
        <f t="shared" si="44"/>
        <v>4</v>
      </c>
    </row>
    <row r="2726" spans="1:21" ht="37.5" customHeight="1" x14ac:dyDescent="0.25">
      <c r="A2726" s="36">
        <v>45153</v>
      </c>
      <c r="B2726" s="13">
        <v>33</v>
      </c>
      <c r="C2726" t="s">
        <v>3</v>
      </c>
      <c r="D2726" t="s">
        <v>4</v>
      </c>
      <c r="E2726" t="s">
        <v>5</v>
      </c>
      <c r="F2726">
        <v>201186777</v>
      </c>
      <c r="G2726" t="s">
        <v>856</v>
      </c>
      <c r="H2726" t="s">
        <v>298</v>
      </c>
      <c r="I2726">
        <v>0</v>
      </c>
      <c r="J2726">
        <v>0</v>
      </c>
      <c r="K2726">
        <v>0</v>
      </c>
      <c r="L2726">
        <v>0</v>
      </c>
      <c r="M2726">
        <v>0.57999999999999996</v>
      </c>
      <c r="N2726" s="7" t="e">
        <f>VLOOKUP(F2726,HC!A$6:D$100,3,FALSE)</f>
        <v>#N/A</v>
      </c>
      <c r="O2726" s="7" t="str">
        <f>VLOOKUP(F2726,HC!A$6:D$1000,2,FALSE)</f>
        <v>bemonzon</v>
      </c>
      <c r="P2726" t="s">
        <v>661</v>
      </c>
      <c r="Q2726" t="s">
        <v>684</v>
      </c>
      <c r="U2726">
        <f t="shared" si="44"/>
        <v>15</v>
      </c>
    </row>
    <row r="2727" spans="1:21" ht="37.5" customHeight="1" x14ac:dyDescent="0.25">
      <c r="A2727" s="36">
        <v>45153</v>
      </c>
      <c r="B2727" s="13">
        <v>33</v>
      </c>
      <c r="C2727" t="s">
        <v>3</v>
      </c>
      <c r="D2727" t="s">
        <v>4</v>
      </c>
      <c r="E2727" t="s">
        <v>5</v>
      </c>
      <c r="F2727">
        <v>201186833</v>
      </c>
      <c r="G2727" t="s">
        <v>904</v>
      </c>
      <c r="H2727" t="s">
        <v>285</v>
      </c>
      <c r="I2727">
        <v>0</v>
      </c>
      <c r="J2727">
        <v>0</v>
      </c>
      <c r="K2727">
        <v>0</v>
      </c>
      <c r="L2727">
        <v>0</v>
      </c>
      <c r="M2727">
        <v>0.11</v>
      </c>
      <c r="N2727" s="7" t="e">
        <f>VLOOKUP(F2727,HC!A$6:D$100,3,FALSE)</f>
        <v>#N/A</v>
      </c>
      <c r="O2727" s="7" t="str">
        <f>VLOOKUP(F2727,HC!A$6:D$1000,2,FALSE)</f>
        <v>jaalexav</v>
      </c>
      <c r="P2727" t="s">
        <v>661</v>
      </c>
      <c r="Q2727" t="s">
        <v>681</v>
      </c>
      <c r="U2727">
        <f t="shared" si="44"/>
        <v>16</v>
      </c>
    </row>
    <row r="2728" spans="1:21" ht="37.5" customHeight="1" x14ac:dyDescent="0.25">
      <c r="A2728" s="36">
        <v>45153</v>
      </c>
      <c r="B2728" s="13">
        <v>33</v>
      </c>
      <c r="C2728" t="s">
        <v>3</v>
      </c>
      <c r="D2728" t="s">
        <v>4</v>
      </c>
      <c r="E2728" t="s">
        <v>5</v>
      </c>
      <c r="F2728">
        <v>201202093</v>
      </c>
      <c r="G2728" t="s">
        <v>479</v>
      </c>
      <c r="H2728" t="s">
        <v>298</v>
      </c>
      <c r="I2728">
        <v>0</v>
      </c>
      <c r="J2728">
        <v>0</v>
      </c>
      <c r="K2728">
        <v>0</v>
      </c>
      <c r="L2728">
        <v>0</v>
      </c>
      <c r="M2728">
        <v>0.18</v>
      </c>
      <c r="N2728" s="7" t="e">
        <f>VLOOKUP(F2728,HC!A$6:D$100,3,FALSE)</f>
        <v>#N/A</v>
      </c>
      <c r="O2728" s="7" t="str">
        <f>VLOOKUP(F2728,HC!A$6:D$1000,2,FALSE)</f>
        <v>eliorten</v>
      </c>
      <c r="P2728" t="s">
        <v>661</v>
      </c>
      <c r="Q2728" t="s">
        <v>759</v>
      </c>
      <c r="U2728">
        <f t="shared" si="44"/>
        <v>12</v>
      </c>
    </row>
    <row r="2729" spans="1:21" ht="37.5" customHeight="1" x14ac:dyDescent="0.25">
      <c r="A2729" s="36">
        <v>45153</v>
      </c>
      <c r="B2729" s="13">
        <v>33</v>
      </c>
      <c r="C2729" t="s">
        <v>3</v>
      </c>
      <c r="D2729" t="s">
        <v>4</v>
      </c>
      <c r="E2729" t="s">
        <v>5</v>
      </c>
      <c r="F2729">
        <v>201386201</v>
      </c>
      <c r="G2729" t="s">
        <v>1167</v>
      </c>
      <c r="H2729" t="s">
        <v>17</v>
      </c>
      <c r="I2729">
        <v>0</v>
      </c>
      <c r="J2729">
        <v>0</v>
      </c>
      <c r="K2729">
        <v>0</v>
      </c>
      <c r="L2729">
        <v>0</v>
      </c>
      <c r="M2729">
        <v>0.42</v>
      </c>
      <c r="N2729" s="7" t="e">
        <f>VLOOKUP(F2729,HC!A$6:D$100,3,FALSE)</f>
        <v>#N/A</v>
      </c>
      <c r="O2729" s="7" t="str">
        <f>VLOOKUP(F2729,HC!A$6:D$1000,2,FALSE)</f>
        <v>castjanr</v>
      </c>
      <c r="P2729" t="s">
        <v>661</v>
      </c>
      <c r="Q2729" t="s">
        <v>759</v>
      </c>
      <c r="U2729">
        <f t="shared" si="44"/>
        <v>11</v>
      </c>
    </row>
    <row r="2730" spans="1:21" ht="37.5" customHeight="1" x14ac:dyDescent="0.25">
      <c r="A2730" s="36">
        <v>45153</v>
      </c>
      <c r="B2730" s="13">
        <v>33</v>
      </c>
      <c r="C2730" t="s">
        <v>3</v>
      </c>
      <c r="D2730" t="s">
        <v>4</v>
      </c>
      <c r="E2730" t="s">
        <v>5</v>
      </c>
      <c r="F2730">
        <v>201396328</v>
      </c>
      <c r="G2730" t="s">
        <v>1171</v>
      </c>
      <c r="H2730" t="s">
        <v>263</v>
      </c>
      <c r="I2730">
        <v>0</v>
      </c>
      <c r="J2730">
        <v>0</v>
      </c>
      <c r="K2730">
        <v>0</v>
      </c>
      <c r="L2730">
        <v>0</v>
      </c>
      <c r="M2730">
        <v>0.24</v>
      </c>
      <c r="N2730" s="7" t="e">
        <f>VLOOKUP(F2730,HC!A$6:D$100,3,FALSE)</f>
        <v>#N/A</v>
      </c>
      <c r="O2730" s="7" t="str">
        <f>VLOOKUP(F2730,HC!A$6:D$1000,2,FALSE)</f>
        <v>nalcanch</v>
      </c>
      <c r="P2730" t="s">
        <v>670</v>
      </c>
      <c r="Q2730" t="s">
        <v>746</v>
      </c>
      <c r="U2730">
        <f t="shared" si="44"/>
        <v>12</v>
      </c>
    </row>
    <row r="2731" spans="1:21" ht="37.5" customHeight="1" x14ac:dyDescent="0.25">
      <c r="A2731" s="36">
        <v>45154</v>
      </c>
      <c r="B2731" s="13">
        <v>33</v>
      </c>
      <c r="C2731" t="s">
        <v>3</v>
      </c>
      <c r="D2731" t="s">
        <v>4</v>
      </c>
      <c r="E2731" t="s">
        <v>5</v>
      </c>
      <c r="F2731">
        <v>112912745</v>
      </c>
      <c r="G2731" t="s">
        <v>478</v>
      </c>
      <c r="H2731" t="s">
        <v>285</v>
      </c>
      <c r="I2731">
        <v>0</v>
      </c>
      <c r="J2731">
        <v>0</v>
      </c>
      <c r="K2731">
        <v>0</v>
      </c>
      <c r="L2731">
        <v>0</v>
      </c>
      <c r="M2731">
        <v>0.37</v>
      </c>
      <c r="N2731" s="7" t="str">
        <f>VLOOKUP(F2731,HC!A$6:D$100,3,FALSE)</f>
        <v>DA-X0700</v>
      </c>
      <c r="O2731" s="7" t="str">
        <f>VLOOKUP(F2731,HC!A$6:D$1000,2,FALSE)</f>
        <v>nalexgom</v>
      </c>
      <c r="P2731" t="s">
        <v>664</v>
      </c>
      <c r="Q2731" t="s">
        <v>711</v>
      </c>
      <c r="U2731">
        <f t="shared" si="44"/>
        <v>22</v>
      </c>
    </row>
    <row r="2732" spans="1:21" ht="37.5" customHeight="1" x14ac:dyDescent="0.25">
      <c r="A2732" s="36">
        <v>45154</v>
      </c>
      <c r="B2732" s="13">
        <v>33</v>
      </c>
      <c r="C2732" t="s">
        <v>3</v>
      </c>
      <c r="D2732" t="s">
        <v>4</v>
      </c>
      <c r="E2732" t="s">
        <v>5</v>
      </c>
      <c r="F2732">
        <v>112912983</v>
      </c>
      <c r="G2732" t="s">
        <v>558</v>
      </c>
      <c r="H2732" t="s">
        <v>403</v>
      </c>
      <c r="I2732">
        <v>0</v>
      </c>
      <c r="J2732">
        <v>0</v>
      </c>
      <c r="K2732">
        <v>0</v>
      </c>
      <c r="L2732">
        <v>0</v>
      </c>
      <c r="M2732">
        <v>0.18</v>
      </c>
      <c r="N2732" s="7" t="str">
        <f>VLOOKUP(F2732,HC!A$6:D$100,3,FALSE)</f>
        <v>NF-X1900</v>
      </c>
      <c r="O2732" s="7" t="str">
        <f>VLOOKUP(F2732,HC!A$6:D$1000,2,FALSE)</f>
        <v>wrocirod</v>
      </c>
      <c r="P2732" t="s">
        <v>661</v>
      </c>
      <c r="Q2732" t="s">
        <v>681</v>
      </c>
      <c r="U2732">
        <f t="shared" si="44"/>
        <v>16</v>
      </c>
    </row>
    <row r="2733" spans="1:21" ht="37.5" customHeight="1" x14ac:dyDescent="0.25">
      <c r="A2733" s="36">
        <v>45154</v>
      </c>
      <c r="B2733" s="13">
        <v>33</v>
      </c>
      <c r="C2733" t="s">
        <v>3</v>
      </c>
      <c r="D2733" t="s">
        <v>4</v>
      </c>
      <c r="E2733" t="s">
        <v>5</v>
      </c>
      <c r="F2733">
        <v>112920655</v>
      </c>
      <c r="G2733" t="s">
        <v>509</v>
      </c>
      <c r="H2733" t="s">
        <v>459</v>
      </c>
      <c r="I2733">
        <v>0</v>
      </c>
      <c r="J2733">
        <v>0</v>
      </c>
      <c r="K2733">
        <v>0</v>
      </c>
      <c r="L2733">
        <v>0</v>
      </c>
      <c r="M2733">
        <v>0.16</v>
      </c>
      <c r="N2733" s="7" t="e">
        <f>VLOOKUP(F2733,HC!A$6:D$100,3,FALSE)</f>
        <v>#N/A</v>
      </c>
      <c r="O2733" s="7" t="e">
        <f>VLOOKUP(F2733,HC!A$6:D$1000,2,FALSE)</f>
        <v>#N/A</v>
      </c>
      <c r="P2733" t="s">
        <v>664</v>
      </c>
      <c r="Q2733" t="s">
        <v>717</v>
      </c>
      <c r="U2733">
        <f t="shared" si="44"/>
        <v>1395</v>
      </c>
    </row>
    <row r="2734" spans="1:21" ht="37.5" customHeight="1" x14ac:dyDescent="0.25">
      <c r="A2734" s="36">
        <v>45154</v>
      </c>
      <c r="B2734" s="13">
        <v>33</v>
      </c>
      <c r="C2734" t="s">
        <v>3</v>
      </c>
      <c r="D2734" t="s">
        <v>4</v>
      </c>
      <c r="E2734" t="s">
        <v>5</v>
      </c>
      <c r="F2734">
        <v>112972710</v>
      </c>
      <c r="G2734" t="s">
        <v>447</v>
      </c>
      <c r="H2734" t="s">
        <v>459</v>
      </c>
      <c r="I2734">
        <v>0</v>
      </c>
      <c r="J2734">
        <v>0</v>
      </c>
      <c r="K2734">
        <v>0</v>
      </c>
      <c r="L2734">
        <v>0</v>
      </c>
      <c r="M2734">
        <v>1.2</v>
      </c>
      <c r="N2734" s="7" t="str">
        <f>VLOOKUP(F2734,HC!A$6:D$100,3,FALSE)</f>
        <v>DX-X0700</v>
      </c>
      <c r="O2734" s="7" t="str">
        <f>VLOOKUP(F2734,HC!A$6:D$1000,2,FALSE)</f>
        <v>cortesjj</v>
      </c>
      <c r="P2734" t="s">
        <v>669</v>
      </c>
      <c r="Q2734" t="s">
        <v>739</v>
      </c>
      <c r="U2734">
        <f t="shared" si="44"/>
        <v>4</v>
      </c>
    </row>
    <row r="2735" spans="1:21" ht="37.5" customHeight="1" x14ac:dyDescent="0.25">
      <c r="A2735" s="36">
        <v>45154</v>
      </c>
      <c r="B2735" s="13">
        <v>33</v>
      </c>
      <c r="C2735" t="s">
        <v>3</v>
      </c>
      <c r="D2735" t="s">
        <v>4</v>
      </c>
      <c r="E2735" t="s">
        <v>5</v>
      </c>
      <c r="F2735">
        <v>112973049</v>
      </c>
      <c r="G2735" t="s">
        <v>314</v>
      </c>
      <c r="H2735" t="s">
        <v>7</v>
      </c>
      <c r="I2735">
        <v>0</v>
      </c>
      <c r="J2735">
        <v>0</v>
      </c>
      <c r="K2735">
        <v>0</v>
      </c>
      <c r="L2735">
        <v>0</v>
      </c>
      <c r="M2735">
        <v>0.23</v>
      </c>
      <c r="N2735" s="7" t="str">
        <f>VLOOKUP(F2735,HC!A$6:D$100,3,FALSE)</f>
        <v>DB-X0700</v>
      </c>
      <c r="O2735" s="7" t="str">
        <f>VLOOKUP(F2735,HC!A$6:D$1000,2,FALSE)</f>
        <v>afatimae</v>
      </c>
      <c r="P2735" t="s">
        <v>661</v>
      </c>
      <c r="Q2735" t="s">
        <v>681</v>
      </c>
      <c r="U2735">
        <f t="shared" si="44"/>
        <v>29</v>
      </c>
    </row>
    <row r="2736" spans="1:21" ht="37.5" customHeight="1" x14ac:dyDescent="0.25">
      <c r="A2736" s="36">
        <v>45154</v>
      </c>
      <c r="B2736" s="13">
        <v>33</v>
      </c>
      <c r="C2736" t="s">
        <v>3</v>
      </c>
      <c r="D2736" t="s">
        <v>4</v>
      </c>
      <c r="E2736" t="s">
        <v>5</v>
      </c>
      <c r="F2736">
        <v>112981061</v>
      </c>
      <c r="G2736" t="s">
        <v>264</v>
      </c>
      <c r="H2736" t="s">
        <v>44</v>
      </c>
      <c r="I2736">
        <v>0</v>
      </c>
      <c r="J2736">
        <v>0</v>
      </c>
      <c r="K2736">
        <v>0</v>
      </c>
      <c r="L2736">
        <v>0</v>
      </c>
      <c r="M2736">
        <v>0.49</v>
      </c>
      <c r="N2736" s="7" t="str">
        <f>VLOOKUP(F2736,HC!A$6:D$100,3,FALSE)</f>
        <v>DA-X0700</v>
      </c>
      <c r="O2736" s="7" t="str">
        <f>VLOOKUP(F2736,HC!A$6:D$1000,2,FALSE)</f>
        <v>mclaudol</v>
      </c>
      <c r="P2736" t="s">
        <v>662</v>
      </c>
      <c r="Q2736" t="s">
        <v>687</v>
      </c>
      <c r="U2736">
        <f t="shared" si="44"/>
        <v>44</v>
      </c>
    </row>
    <row r="2737" spans="1:21" ht="37.5" customHeight="1" x14ac:dyDescent="0.25">
      <c r="A2737" s="36">
        <v>45154</v>
      </c>
      <c r="B2737" s="13">
        <v>33</v>
      </c>
      <c r="C2737" t="s">
        <v>3</v>
      </c>
      <c r="D2737" t="s">
        <v>4</v>
      </c>
      <c r="E2737" t="s">
        <v>5</v>
      </c>
      <c r="F2737">
        <v>113014078</v>
      </c>
      <c r="G2737" t="s">
        <v>567</v>
      </c>
      <c r="H2737" t="s">
        <v>298</v>
      </c>
      <c r="I2737">
        <v>0</v>
      </c>
      <c r="J2737">
        <v>0</v>
      </c>
      <c r="K2737">
        <v>0</v>
      </c>
      <c r="L2737">
        <v>0</v>
      </c>
      <c r="M2737">
        <v>1.9</v>
      </c>
      <c r="N2737" s="7" t="e">
        <f>VLOOKUP(F2737,HC!A$6:D$100,3,FALSE)</f>
        <v>#N/A</v>
      </c>
      <c r="O2737" s="7" t="str">
        <f>VLOOKUP(F2737,HC!A$6:D$1000,2,FALSE)</f>
        <v>dnaldair</v>
      </c>
      <c r="P2737" t="s">
        <v>664</v>
      </c>
      <c r="Q2737" t="s">
        <v>708</v>
      </c>
      <c r="U2737">
        <f t="shared" si="44"/>
        <v>14</v>
      </c>
    </row>
    <row r="2738" spans="1:21" ht="37.5" customHeight="1" x14ac:dyDescent="0.25">
      <c r="A2738" s="36">
        <v>45154</v>
      </c>
      <c r="B2738" s="13">
        <v>33</v>
      </c>
      <c r="C2738" t="s">
        <v>3</v>
      </c>
      <c r="D2738" t="s">
        <v>4</v>
      </c>
      <c r="E2738" t="s">
        <v>5</v>
      </c>
      <c r="F2738">
        <v>113101453</v>
      </c>
      <c r="G2738" t="s">
        <v>50</v>
      </c>
      <c r="H2738" t="s">
        <v>44</v>
      </c>
      <c r="I2738">
        <v>0</v>
      </c>
      <c r="J2738">
        <v>0</v>
      </c>
      <c r="K2738">
        <v>0</v>
      </c>
      <c r="L2738">
        <v>0</v>
      </c>
      <c r="M2738">
        <v>1.41</v>
      </c>
      <c r="N2738" s="7" t="e">
        <f>VLOOKUP(F2738,HC!A$6:D$100,3,FALSE)</f>
        <v>#N/A</v>
      </c>
      <c r="O2738" s="7" t="str">
        <f>VLOOKUP(F2738,HC!A$6:D$1000,2,FALSE)</f>
        <v>qisgeova</v>
      </c>
      <c r="P2738" t="s">
        <v>662</v>
      </c>
      <c r="Q2738" t="s">
        <v>1215</v>
      </c>
      <c r="U2738">
        <f t="shared" si="44"/>
        <v>57</v>
      </c>
    </row>
    <row r="2739" spans="1:21" ht="37.5" customHeight="1" x14ac:dyDescent="0.25">
      <c r="A2739" s="36">
        <v>45154</v>
      </c>
      <c r="B2739" s="13">
        <v>33</v>
      </c>
      <c r="C2739" t="s">
        <v>3</v>
      </c>
      <c r="D2739" t="s">
        <v>4</v>
      </c>
      <c r="E2739" t="s">
        <v>5</v>
      </c>
      <c r="F2739">
        <v>200404250</v>
      </c>
      <c r="G2739" t="s">
        <v>51</v>
      </c>
      <c r="H2739" t="s">
        <v>298</v>
      </c>
      <c r="I2739">
        <v>0</v>
      </c>
      <c r="J2739">
        <v>0</v>
      </c>
      <c r="K2739">
        <v>0</v>
      </c>
      <c r="L2739">
        <v>0</v>
      </c>
      <c r="M2739">
        <v>0.81</v>
      </c>
      <c r="N2739" s="7" t="e">
        <f>VLOOKUP(F2739,HC!A$6:D$100,3,FALSE)</f>
        <v>#N/A</v>
      </c>
      <c r="O2739" s="7" t="str">
        <f>VLOOKUP(F2739,HC!A$6:D$1000,2,FALSE)</f>
        <v>xcathurt</v>
      </c>
      <c r="P2739" t="s">
        <v>662</v>
      </c>
      <c r="Q2739" t="s">
        <v>766</v>
      </c>
      <c r="U2739">
        <f t="shared" si="44"/>
        <v>124</v>
      </c>
    </row>
    <row r="2740" spans="1:21" ht="37.5" customHeight="1" x14ac:dyDescent="0.25">
      <c r="A2740" s="36">
        <v>45154</v>
      </c>
      <c r="B2740" s="13">
        <v>33</v>
      </c>
      <c r="C2740" t="s">
        <v>3</v>
      </c>
      <c r="D2740" t="s">
        <v>4</v>
      </c>
      <c r="E2740" t="s">
        <v>5</v>
      </c>
      <c r="F2740">
        <v>200552734</v>
      </c>
      <c r="G2740" t="s">
        <v>492</v>
      </c>
      <c r="H2740" t="s">
        <v>7</v>
      </c>
      <c r="I2740">
        <v>0</v>
      </c>
      <c r="J2740">
        <v>0</v>
      </c>
      <c r="K2740">
        <v>0</v>
      </c>
      <c r="L2740">
        <v>0</v>
      </c>
      <c r="M2740">
        <v>0.08</v>
      </c>
      <c r="N2740" s="7" t="e">
        <f>VLOOKUP(F2740,HC!A$6:D$100,3,FALSE)</f>
        <v>#N/A</v>
      </c>
      <c r="O2740" s="7" t="e">
        <f>VLOOKUP(F2740,HC!A$6:D$1000,2,FALSE)</f>
        <v>#N/A</v>
      </c>
      <c r="P2740" t="s">
        <v>662</v>
      </c>
      <c r="Q2740" t="s">
        <v>687</v>
      </c>
      <c r="U2740">
        <f t="shared" si="44"/>
        <v>1395</v>
      </c>
    </row>
    <row r="2741" spans="1:21" ht="37.5" customHeight="1" x14ac:dyDescent="0.25">
      <c r="A2741" s="36">
        <v>45154</v>
      </c>
      <c r="B2741" s="13">
        <v>33</v>
      </c>
      <c r="C2741" t="s">
        <v>3</v>
      </c>
      <c r="D2741" t="s">
        <v>4</v>
      </c>
      <c r="E2741" t="s">
        <v>5</v>
      </c>
      <c r="F2741">
        <v>200564895</v>
      </c>
      <c r="G2741" t="s">
        <v>520</v>
      </c>
      <c r="H2741" t="s">
        <v>44</v>
      </c>
      <c r="I2741">
        <v>0</v>
      </c>
      <c r="J2741">
        <v>0</v>
      </c>
      <c r="K2741">
        <v>0</v>
      </c>
      <c r="L2741">
        <v>0</v>
      </c>
      <c r="M2741">
        <v>0.24</v>
      </c>
      <c r="N2741" s="7" t="e">
        <f>VLOOKUP(F2741,HC!A$6:D$100,3,FALSE)</f>
        <v>#N/A</v>
      </c>
      <c r="O2741" s="7" t="str">
        <f>VLOOKUP(F2741,HC!A$6:D$1000,2,FALSE)</f>
        <v>hmendobr</v>
      </c>
      <c r="P2741" t="s">
        <v>664</v>
      </c>
      <c r="Q2741" t="s">
        <v>709</v>
      </c>
      <c r="U2741">
        <f t="shared" si="44"/>
        <v>16</v>
      </c>
    </row>
    <row r="2742" spans="1:21" ht="37.5" customHeight="1" x14ac:dyDescent="0.25">
      <c r="A2742" s="36">
        <v>45154</v>
      </c>
      <c r="B2742" s="13">
        <v>33</v>
      </c>
      <c r="C2742" t="s">
        <v>3</v>
      </c>
      <c r="D2742" t="s">
        <v>4</v>
      </c>
      <c r="E2742" t="s">
        <v>5</v>
      </c>
      <c r="F2742">
        <v>201167501</v>
      </c>
      <c r="G2742" t="s">
        <v>863</v>
      </c>
      <c r="H2742" t="s">
        <v>44</v>
      </c>
      <c r="I2742">
        <v>0</v>
      </c>
      <c r="J2742">
        <v>0</v>
      </c>
      <c r="K2742">
        <v>0</v>
      </c>
      <c r="L2742">
        <v>0</v>
      </c>
      <c r="M2742">
        <v>0.17</v>
      </c>
      <c r="N2742" s="7" t="e">
        <f>VLOOKUP(F2742,HC!A$6:D$100,3,FALSE)</f>
        <v>#N/A</v>
      </c>
      <c r="O2742" s="7" t="str">
        <f>VLOOKUP(F2742,HC!A$6:D$1000,2,FALSE)</f>
        <v>wguanajr</v>
      </c>
      <c r="P2742" t="s">
        <v>661</v>
      </c>
      <c r="Q2742" t="s">
        <v>681</v>
      </c>
      <c r="U2742">
        <f t="shared" si="44"/>
        <v>36</v>
      </c>
    </row>
    <row r="2743" spans="1:21" ht="37.5" customHeight="1" x14ac:dyDescent="0.25">
      <c r="A2743" s="36">
        <v>45154</v>
      </c>
      <c r="B2743" s="13">
        <v>33</v>
      </c>
      <c r="C2743" t="s">
        <v>3</v>
      </c>
      <c r="D2743" t="s">
        <v>4</v>
      </c>
      <c r="E2743" t="s">
        <v>5</v>
      </c>
      <c r="F2743">
        <v>201295429</v>
      </c>
      <c r="G2743" t="s">
        <v>1097</v>
      </c>
      <c r="H2743" t="s">
        <v>47</v>
      </c>
      <c r="I2743">
        <v>0</v>
      </c>
      <c r="J2743">
        <v>0</v>
      </c>
      <c r="K2743">
        <v>0</v>
      </c>
      <c r="L2743">
        <v>0</v>
      </c>
      <c r="M2743">
        <v>0.08</v>
      </c>
      <c r="N2743" s="7" t="e">
        <f>VLOOKUP(F2743,HC!A$6:D$100,3,FALSE)</f>
        <v>#N/A</v>
      </c>
      <c r="O2743" s="7" t="str">
        <f>VLOOKUP(F2743,HC!A$6:D$1000,2,FALSE)</f>
        <v>mireljes</v>
      </c>
      <c r="P2743" t="s">
        <v>661</v>
      </c>
      <c r="Q2743" t="s">
        <v>681</v>
      </c>
      <c r="U2743">
        <f t="shared" si="44"/>
        <v>9</v>
      </c>
    </row>
    <row r="2744" spans="1:21" ht="37.5" customHeight="1" x14ac:dyDescent="0.25">
      <c r="A2744" s="36">
        <v>45154</v>
      </c>
      <c r="B2744" s="13">
        <v>33</v>
      </c>
      <c r="C2744" t="s">
        <v>3</v>
      </c>
      <c r="D2744" t="s">
        <v>4</v>
      </c>
      <c r="E2744" t="s">
        <v>5</v>
      </c>
      <c r="F2744">
        <v>201354965</v>
      </c>
      <c r="G2744" t="s">
        <v>1063</v>
      </c>
      <c r="H2744" t="s">
        <v>263</v>
      </c>
      <c r="I2744">
        <v>0</v>
      </c>
      <c r="J2744">
        <v>0</v>
      </c>
      <c r="K2744">
        <v>0</v>
      </c>
      <c r="L2744">
        <v>0</v>
      </c>
      <c r="M2744">
        <v>0.14000000000000001</v>
      </c>
      <c r="N2744" s="7" t="e">
        <f>VLOOKUP(F2744,HC!A$6:D$100,3,FALSE)</f>
        <v>#N/A</v>
      </c>
      <c r="O2744" s="7" t="str">
        <f>VLOOKUP(F2744,HC!A$6:D$1000,2,FALSE)</f>
        <v>alinejim</v>
      </c>
      <c r="P2744" t="s">
        <v>668</v>
      </c>
      <c r="Q2744" t="s">
        <v>729</v>
      </c>
      <c r="U2744">
        <f t="shared" si="44"/>
        <v>33</v>
      </c>
    </row>
    <row r="2745" spans="1:21" ht="37.5" customHeight="1" x14ac:dyDescent="0.25">
      <c r="A2745" s="36">
        <v>45154</v>
      </c>
      <c r="B2745" s="13">
        <v>33</v>
      </c>
      <c r="C2745" t="s">
        <v>3</v>
      </c>
      <c r="D2745" t="s">
        <v>4</v>
      </c>
      <c r="E2745" t="s">
        <v>5</v>
      </c>
      <c r="F2745">
        <v>201378614</v>
      </c>
      <c r="G2745" t="s">
        <v>1046</v>
      </c>
      <c r="H2745" t="s">
        <v>1040</v>
      </c>
      <c r="I2745">
        <v>0</v>
      </c>
      <c r="J2745">
        <v>0</v>
      </c>
      <c r="K2745">
        <v>0</v>
      </c>
      <c r="L2745">
        <v>0</v>
      </c>
      <c r="M2745">
        <v>0.16</v>
      </c>
      <c r="N2745" s="7" t="e">
        <f>VLOOKUP(F2745,HC!A$6:D$100,3,FALSE)</f>
        <v>#N/A</v>
      </c>
      <c r="O2745" s="7" t="e">
        <f>VLOOKUP(F2745,HC!A$6:D$1000,2,FALSE)</f>
        <v>#N/A</v>
      </c>
      <c r="P2745" t="s">
        <v>661</v>
      </c>
      <c r="Q2745" t="s">
        <v>775</v>
      </c>
      <c r="U2745">
        <f t="shared" si="44"/>
        <v>1395</v>
      </c>
    </row>
    <row r="2746" spans="1:21" ht="37.5" customHeight="1" x14ac:dyDescent="0.25">
      <c r="A2746" s="36">
        <v>45154</v>
      </c>
      <c r="B2746" s="13">
        <v>33</v>
      </c>
      <c r="C2746" t="s">
        <v>3</v>
      </c>
      <c r="D2746" t="s">
        <v>4</v>
      </c>
      <c r="E2746" t="s">
        <v>5</v>
      </c>
      <c r="F2746">
        <v>201408141</v>
      </c>
      <c r="G2746" t="s">
        <v>1113</v>
      </c>
      <c r="H2746" t="s">
        <v>403</v>
      </c>
      <c r="I2746">
        <v>0</v>
      </c>
      <c r="J2746">
        <v>0</v>
      </c>
      <c r="K2746">
        <v>0</v>
      </c>
      <c r="L2746">
        <v>0</v>
      </c>
      <c r="M2746">
        <v>0.22</v>
      </c>
      <c r="N2746" s="7" t="e">
        <f>VLOOKUP(F2746,HC!A$6:D$100,3,FALSE)</f>
        <v>#N/A</v>
      </c>
      <c r="O2746" s="7" t="str">
        <f>VLOOKUP(F2746,HC!A$6:D$1000,2,FALSE)</f>
        <v>alberlug</v>
      </c>
      <c r="P2746" t="s">
        <v>661</v>
      </c>
      <c r="Q2746" t="s">
        <v>681</v>
      </c>
      <c r="U2746">
        <f t="shared" si="44"/>
        <v>3</v>
      </c>
    </row>
    <row r="2747" spans="1:21" ht="37.5" customHeight="1" x14ac:dyDescent="0.25">
      <c r="A2747" s="36">
        <v>45155</v>
      </c>
      <c r="B2747" s="13">
        <v>33</v>
      </c>
      <c r="C2747" t="s">
        <v>3</v>
      </c>
      <c r="D2747" t="s">
        <v>4</v>
      </c>
      <c r="E2747" t="s">
        <v>5</v>
      </c>
      <c r="F2747">
        <v>113014560</v>
      </c>
      <c r="G2747" t="s">
        <v>599</v>
      </c>
      <c r="H2747" t="s">
        <v>17</v>
      </c>
      <c r="I2747">
        <v>0</v>
      </c>
      <c r="J2747">
        <v>0</v>
      </c>
      <c r="K2747">
        <v>0</v>
      </c>
      <c r="L2747">
        <v>0</v>
      </c>
      <c r="M2747">
        <v>0.24</v>
      </c>
      <c r="N2747" s="7" t="e">
        <f>VLOOKUP(F2747,HC!A$6:D$100,3,FALSE)</f>
        <v>#N/A</v>
      </c>
      <c r="O2747" s="7" t="str">
        <f>VLOOKUP(F2747,HC!A$6:D$1000,2,FALSE)</f>
        <v>zlopamer</v>
      </c>
      <c r="P2747" t="s">
        <v>664</v>
      </c>
      <c r="Q2747" t="s">
        <v>761</v>
      </c>
      <c r="U2747">
        <f t="shared" si="44"/>
        <v>15</v>
      </c>
    </row>
    <row r="2748" spans="1:21" ht="37.5" customHeight="1" x14ac:dyDescent="0.25">
      <c r="A2748" s="36">
        <v>45155</v>
      </c>
      <c r="B2748" s="13">
        <v>33</v>
      </c>
      <c r="C2748" t="s">
        <v>3</v>
      </c>
      <c r="D2748" t="s">
        <v>4</v>
      </c>
      <c r="E2748" t="s">
        <v>5</v>
      </c>
      <c r="F2748">
        <v>200508323</v>
      </c>
      <c r="G2748" t="s">
        <v>1150</v>
      </c>
      <c r="H2748" t="s">
        <v>17</v>
      </c>
      <c r="I2748">
        <v>0</v>
      </c>
      <c r="J2748">
        <v>0</v>
      </c>
      <c r="K2748">
        <v>0</v>
      </c>
      <c r="L2748">
        <v>0</v>
      </c>
      <c r="M2748">
        <v>0.53</v>
      </c>
      <c r="N2748" s="7" t="e">
        <f>VLOOKUP(F2748,HC!A$6:D$100,3,FALSE)</f>
        <v>#N/A</v>
      </c>
      <c r="O2748" s="7" t="str">
        <f>VLOOKUP(F2748,HC!A$6:D$1000,2,FALSE)</f>
        <v>espejell</v>
      </c>
      <c r="P2748" t="s">
        <v>661</v>
      </c>
      <c r="Q2748" t="s">
        <v>775</v>
      </c>
      <c r="U2748">
        <f t="shared" si="44"/>
        <v>15</v>
      </c>
    </row>
    <row r="2749" spans="1:21" ht="37.5" customHeight="1" x14ac:dyDescent="0.25">
      <c r="A2749" s="36">
        <v>45155</v>
      </c>
      <c r="B2749" s="13">
        <v>33</v>
      </c>
      <c r="C2749" t="s">
        <v>3</v>
      </c>
      <c r="D2749" t="s">
        <v>4</v>
      </c>
      <c r="E2749" t="s">
        <v>5</v>
      </c>
      <c r="F2749">
        <v>200562154</v>
      </c>
      <c r="G2749" t="s">
        <v>437</v>
      </c>
      <c r="H2749" t="s">
        <v>49</v>
      </c>
      <c r="I2749">
        <v>0</v>
      </c>
      <c r="J2749">
        <v>0</v>
      </c>
      <c r="K2749">
        <v>0</v>
      </c>
      <c r="L2749">
        <v>0</v>
      </c>
      <c r="M2749">
        <v>0.38</v>
      </c>
      <c r="N2749" s="7" t="e">
        <f>VLOOKUP(F2749,HC!A$6:D$100,3,FALSE)</f>
        <v>#N/A</v>
      </c>
      <c r="O2749" s="7" t="str">
        <f>VLOOKUP(F2749,HC!A$6:D$1000,2,FALSE)</f>
        <v>reyesmcw</v>
      </c>
      <c r="P2749" t="s">
        <v>675</v>
      </c>
      <c r="U2749">
        <f t="shared" si="44"/>
        <v>38</v>
      </c>
    </row>
    <row r="2750" spans="1:21" ht="37.5" customHeight="1" x14ac:dyDescent="0.25">
      <c r="A2750" s="36">
        <v>45155</v>
      </c>
      <c r="B2750" s="13">
        <v>33</v>
      </c>
      <c r="C2750" t="s">
        <v>3</v>
      </c>
      <c r="D2750" t="s">
        <v>4</v>
      </c>
      <c r="E2750" t="s">
        <v>5</v>
      </c>
      <c r="F2750">
        <v>200615883</v>
      </c>
      <c r="G2750" t="s">
        <v>508</v>
      </c>
      <c r="H2750" t="s">
        <v>47</v>
      </c>
      <c r="I2750">
        <v>0</v>
      </c>
      <c r="J2750">
        <v>0</v>
      </c>
      <c r="K2750">
        <v>0</v>
      </c>
      <c r="L2750">
        <v>0</v>
      </c>
      <c r="M2750">
        <v>0.43</v>
      </c>
      <c r="N2750" s="7" t="e">
        <f>VLOOKUP(F2750,HC!A$6:D$100,3,FALSE)</f>
        <v>#N/A</v>
      </c>
      <c r="O2750" s="7" t="e">
        <f>VLOOKUP(F2750,HC!A$6:D$1000,2,FALSE)</f>
        <v>#N/A</v>
      </c>
      <c r="P2750" t="s">
        <v>663</v>
      </c>
      <c r="Q2750" t="s">
        <v>705</v>
      </c>
      <c r="U2750">
        <f t="shared" si="44"/>
        <v>1395</v>
      </c>
    </row>
    <row r="2751" spans="1:21" ht="37.5" customHeight="1" x14ac:dyDescent="0.25">
      <c r="A2751" s="36">
        <v>45155</v>
      </c>
      <c r="B2751" s="13">
        <v>33</v>
      </c>
      <c r="C2751" t="s">
        <v>3</v>
      </c>
      <c r="D2751" t="s">
        <v>4</v>
      </c>
      <c r="E2751" t="s">
        <v>5</v>
      </c>
      <c r="F2751">
        <v>201159033</v>
      </c>
      <c r="G2751" t="s">
        <v>1154</v>
      </c>
      <c r="H2751" t="s">
        <v>49</v>
      </c>
      <c r="I2751">
        <v>0</v>
      </c>
      <c r="J2751">
        <v>0</v>
      </c>
      <c r="K2751">
        <v>0</v>
      </c>
      <c r="L2751">
        <v>0</v>
      </c>
      <c r="M2751">
        <v>0.34</v>
      </c>
      <c r="N2751" s="7" t="e">
        <f>VLOOKUP(F2751,HC!A$6:D$100,3,FALSE)</f>
        <v>#N/A</v>
      </c>
      <c r="O2751" s="7" t="str">
        <f>VLOOKUP(F2751,HC!A$6:D$1000,2,FALSE)</f>
        <v>monsarru</v>
      </c>
      <c r="P2751" t="s">
        <v>661</v>
      </c>
      <c r="Q2751" t="s">
        <v>775</v>
      </c>
      <c r="U2751">
        <f t="shared" si="44"/>
        <v>7</v>
      </c>
    </row>
    <row r="2752" spans="1:21" ht="37.5" customHeight="1" x14ac:dyDescent="0.25">
      <c r="A2752" s="36">
        <v>45155</v>
      </c>
      <c r="B2752" s="13">
        <v>33</v>
      </c>
      <c r="C2752" t="s">
        <v>3</v>
      </c>
      <c r="D2752" t="s">
        <v>4</v>
      </c>
      <c r="E2752" t="s">
        <v>21</v>
      </c>
      <c r="F2752">
        <v>201841804</v>
      </c>
      <c r="G2752" t="s">
        <v>1214</v>
      </c>
      <c r="H2752" t="s">
        <v>49</v>
      </c>
      <c r="I2752">
        <v>0</v>
      </c>
      <c r="J2752">
        <v>0</v>
      </c>
      <c r="K2752">
        <v>0</v>
      </c>
      <c r="L2752">
        <v>0</v>
      </c>
      <c r="M2752">
        <v>0.24</v>
      </c>
      <c r="N2752" s="7" t="e">
        <f>VLOOKUP(F2752,HC!A$6:D$100,3,FALSE)</f>
        <v>#N/A</v>
      </c>
      <c r="O2752" s="7" t="str">
        <f>VLOOKUP(F2752,HC!A$6:D$1000,2,FALSE)</f>
        <v>ruizhmic</v>
      </c>
      <c r="P2752" t="s">
        <v>665</v>
      </c>
      <c r="Q2752" t="s">
        <v>722</v>
      </c>
      <c r="U2752">
        <f t="shared" si="44"/>
        <v>8</v>
      </c>
    </row>
    <row r="2753" spans="1:21" ht="37.5" customHeight="1" x14ac:dyDescent="0.25">
      <c r="A2753" s="36">
        <v>45156</v>
      </c>
      <c r="B2753" s="13">
        <v>33</v>
      </c>
      <c r="C2753" t="s">
        <v>3</v>
      </c>
      <c r="D2753" t="s">
        <v>4</v>
      </c>
      <c r="E2753" t="s">
        <v>5</v>
      </c>
      <c r="F2753">
        <v>112951256</v>
      </c>
      <c r="G2753" t="s">
        <v>337</v>
      </c>
      <c r="H2753" t="s">
        <v>459</v>
      </c>
      <c r="I2753">
        <v>0</v>
      </c>
      <c r="J2753">
        <v>0</v>
      </c>
      <c r="K2753">
        <v>0</v>
      </c>
      <c r="L2753">
        <v>0</v>
      </c>
      <c r="M2753">
        <v>0.42</v>
      </c>
      <c r="N2753" s="7" t="str">
        <f>VLOOKUP(F2753,HC!A$6:D$100,3,FALSE)</f>
        <v>DA-X0700</v>
      </c>
      <c r="O2753" s="7" t="str">
        <f>VLOOKUP(F2753,HC!A$6:D$1000,2,FALSE)</f>
        <v>grkatery</v>
      </c>
      <c r="P2753" t="s">
        <v>664</v>
      </c>
      <c r="Q2753" t="s">
        <v>717</v>
      </c>
      <c r="U2753">
        <f t="shared" si="44"/>
        <v>17</v>
      </c>
    </row>
    <row r="2754" spans="1:21" ht="37.5" customHeight="1" x14ac:dyDescent="0.25">
      <c r="A2754" s="36">
        <v>45156</v>
      </c>
      <c r="B2754" s="13">
        <v>33</v>
      </c>
      <c r="C2754" t="s">
        <v>3</v>
      </c>
      <c r="D2754" t="s">
        <v>4</v>
      </c>
      <c r="E2754" t="s">
        <v>5</v>
      </c>
      <c r="F2754">
        <v>112971962</v>
      </c>
      <c r="G2754" t="s">
        <v>338</v>
      </c>
      <c r="H2754" t="s">
        <v>17</v>
      </c>
      <c r="I2754">
        <v>0</v>
      </c>
      <c r="J2754">
        <v>0</v>
      </c>
      <c r="K2754">
        <v>0</v>
      </c>
      <c r="L2754">
        <v>0</v>
      </c>
      <c r="M2754">
        <v>0.12</v>
      </c>
      <c r="N2754" s="7" t="str">
        <f>VLOOKUP(F2754,HC!A$6:D$100,3,FALSE)</f>
        <v>DB-X0700</v>
      </c>
      <c r="O2754" s="7" t="str">
        <f>VLOOKUP(F2754,HC!A$6:D$1000,2,FALSE)</f>
        <v>creyesal</v>
      </c>
      <c r="P2754" t="s">
        <v>661</v>
      </c>
      <c r="Q2754" t="s">
        <v>681</v>
      </c>
      <c r="U2754">
        <f t="shared" si="44"/>
        <v>38</v>
      </c>
    </row>
    <row r="2755" spans="1:21" ht="37.5" customHeight="1" x14ac:dyDescent="0.25">
      <c r="A2755" s="36">
        <v>45156</v>
      </c>
      <c r="B2755" s="13">
        <v>33</v>
      </c>
      <c r="C2755" t="s">
        <v>3</v>
      </c>
      <c r="D2755" t="s">
        <v>4</v>
      </c>
      <c r="E2755" t="s">
        <v>5</v>
      </c>
      <c r="F2755">
        <v>112971980</v>
      </c>
      <c r="G2755" t="s">
        <v>445</v>
      </c>
      <c r="H2755" t="s">
        <v>459</v>
      </c>
      <c r="I2755">
        <v>0</v>
      </c>
      <c r="J2755">
        <v>0</v>
      </c>
      <c r="K2755">
        <v>0</v>
      </c>
      <c r="L2755">
        <v>0</v>
      </c>
      <c r="M2755">
        <v>0.42</v>
      </c>
      <c r="N2755" s="7" t="str">
        <f>VLOOKUP(F2755,HC!A$6:D$100,3,FALSE)</f>
        <v>DC-X0700</v>
      </c>
      <c r="O2755" s="7" t="str">
        <f>VLOOKUP(F2755,HC!A$6:D$1000,2,FALSE)</f>
        <v>cdanirom</v>
      </c>
      <c r="P2755" t="s">
        <v>664</v>
      </c>
      <c r="Q2755" t="s">
        <v>711</v>
      </c>
      <c r="U2755">
        <f t="shared" ref="U2755:U2818" si="45">COUNTIF(O$2:O$4999,O2755)</f>
        <v>25</v>
      </c>
    </row>
    <row r="2756" spans="1:21" ht="37.5" customHeight="1" x14ac:dyDescent="0.25">
      <c r="A2756" s="36">
        <v>45156</v>
      </c>
      <c r="B2756" s="13">
        <v>33</v>
      </c>
      <c r="C2756" t="s">
        <v>3</v>
      </c>
      <c r="D2756" t="s">
        <v>4</v>
      </c>
      <c r="E2756" t="s">
        <v>5</v>
      </c>
      <c r="F2756">
        <v>112971997</v>
      </c>
      <c r="G2756" t="s">
        <v>928</v>
      </c>
      <c r="H2756" t="s">
        <v>250</v>
      </c>
      <c r="I2756">
        <v>0</v>
      </c>
      <c r="J2756">
        <v>0</v>
      </c>
      <c r="K2756">
        <v>0</v>
      </c>
      <c r="L2756">
        <v>0</v>
      </c>
      <c r="M2756">
        <v>0.05</v>
      </c>
      <c r="N2756" s="7" t="str">
        <f>VLOOKUP(F2756,HC!A$6:D$100,3,FALSE)</f>
        <v>DA-X0700</v>
      </c>
      <c r="O2756" s="7" t="str">
        <f>VLOOKUP(F2756,HC!A$6:D$1000,2,FALSE)</f>
        <v>cemilini</v>
      </c>
      <c r="P2756" t="s">
        <v>662</v>
      </c>
      <c r="Q2756" t="s">
        <v>687</v>
      </c>
      <c r="U2756">
        <f t="shared" si="45"/>
        <v>10</v>
      </c>
    </row>
    <row r="2757" spans="1:21" ht="37.5" customHeight="1" x14ac:dyDescent="0.25">
      <c r="A2757" s="36">
        <v>45156</v>
      </c>
      <c r="B2757" s="13">
        <v>33</v>
      </c>
      <c r="C2757" t="s">
        <v>3</v>
      </c>
      <c r="D2757" t="s">
        <v>4</v>
      </c>
      <c r="E2757" t="s">
        <v>5</v>
      </c>
      <c r="F2757">
        <v>112981013</v>
      </c>
      <c r="G2757" t="s">
        <v>283</v>
      </c>
      <c r="H2757" t="s">
        <v>285</v>
      </c>
      <c r="I2757">
        <v>0</v>
      </c>
      <c r="J2757">
        <v>0</v>
      </c>
      <c r="K2757">
        <v>0</v>
      </c>
      <c r="L2757">
        <v>0</v>
      </c>
      <c r="M2757">
        <v>0.02</v>
      </c>
      <c r="N2757" s="7" t="str">
        <f>VLOOKUP(F2757,HC!A$6:D$100,3,FALSE)</f>
        <v>DA-X0700</v>
      </c>
      <c r="O2757" s="7" t="str">
        <f>VLOOKUP(F2757,HC!A$6:D$1000,2,FALSE)</f>
        <v>normaelo</v>
      </c>
      <c r="P2757" t="s">
        <v>661</v>
      </c>
      <c r="Q2757" t="s">
        <v>681</v>
      </c>
      <c r="U2757">
        <f t="shared" si="45"/>
        <v>24</v>
      </c>
    </row>
    <row r="2758" spans="1:21" ht="37.5" customHeight="1" x14ac:dyDescent="0.25">
      <c r="A2758" s="36">
        <v>45156</v>
      </c>
      <c r="B2758" s="13">
        <v>33</v>
      </c>
      <c r="C2758" t="s">
        <v>3</v>
      </c>
      <c r="D2758" t="s">
        <v>4</v>
      </c>
      <c r="E2758" t="s">
        <v>5</v>
      </c>
      <c r="F2758">
        <v>113014074</v>
      </c>
      <c r="G2758" t="s">
        <v>1216</v>
      </c>
      <c r="H2758" t="s">
        <v>17</v>
      </c>
      <c r="I2758">
        <v>0</v>
      </c>
      <c r="J2758">
        <v>0</v>
      </c>
      <c r="K2758">
        <v>0</v>
      </c>
      <c r="L2758">
        <v>0</v>
      </c>
      <c r="M2758">
        <v>0.09</v>
      </c>
      <c r="N2758" s="7" t="e">
        <f>VLOOKUP(F2758,HC!A$6:D$100,3,FALSE)</f>
        <v>#N/A</v>
      </c>
      <c r="O2758" s="7" t="e">
        <f>VLOOKUP(F2758,HC!A$6:D$1000,2,FALSE)</f>
        <v>#N/A</v>
      </c>
      <c r="P2758" t="s">
        <v>661</v>
      </c>
      <c r="Q2758" t="s">
        <v>681</v>
      </c>
      <c r="U2758">
        <f t="shared" si="45"/>
        <v>1395</v>
      </c>
    </row>
    <row r="2759" spans="1:21" ht="37.5" customHeight="1" x14ac:dyDescent="0.25">
      <c r="A2759" s="36">
        <v>45156</v>
      </c>
      <c r="B2759" s="13">
        <v>33</v>
      </c>
      <c r="C2759" t="s">
        <v>3</v>
      </c>
      <c r="D2759" t="s">
        <v>4</v>
      </c>
      <c r="E2759" t="s">
        <v>5</v>
      </c>
      <c r="F2759">
        <v>200464838</v>
      </c>
      <c r="G2759" t="s">
        <v>358</v>
      </c>
      <c r="H2759" t="s">
        <v>7</v>
      </c>
      <c r="I2759">
        <v>0</v>
      </c>
      <c r="J2759">
        <v>0</v>
      </c>
      <c r="K2759">
        <v>0</v>
      </c>
      <c r="L2759">
        <v>0</v>
      </c>
      <c r="M2759">
        <v>0.72</v>
      </c>
      <c r="N2759" s="7" t="e">
        <f>VLOOKUP(F2759,HC!A$6:D$100,3,FALSE)</f>
        <v>#N/A</v>
      </c>
      <c r="O2759" s="7" t="str">
        <f>VLOOKUP(F2759,HC!A$6:D$1000,2,FALSE)</f>
        <v>ortfernj</v>
      </c>
      <c r="P2759" t="s">
        <v>662</v>
      </c>
      <c r="Q2759" t="s">
        <v>757</v>
      </c>
      <c r="U2759">
        <f t="shared" si="45"/>
        <v>9</v>
      </c>
    </row>
    <row r="2760" spans="1:21" ht="37.5" customHeight="1" x14ac:dyDescent="0.25">
      <c r="A2760" s="36">
        <v>45156</v>
      </c>
      <c r="B2760" s="13">
        <v>33</v>
      </c>
      <c r="C2760" t="s">
        <v>3</v>
      </c>
      <c r="D2760" t="s">
        <v>4</v>
      </c>
      <c r="E2760" t="s">
        <v>5</v>
      </c>
      <c r="F2760">
        <v>200508315</v>
      </c>
      <c r="G2760" t="s">
        <v>428</v>
      </c>
      <c r="H2760" t="s">
        <v>7</v>
      </c>
      <c r="I2760">
        <v>0</v>
      </c>
      <c r="J2760">
        <v>0</v>
      </c>
      <c r="K2760">
        <v>0</v>
      </c>
      <c r="L2760">
        <v>0</v>
      </c>
      <c r="M2760">
        <v>0.15</v>
      </c>
      <c r="N2760" s="7" t="e">
        <f>VLOOKUP(F2760,HC!A$6:D$100,3,FALSE)</f>
        <v>#N/A</v>
      </c>
      <c r="O2760" s="7" t="str">
        <f>VLOOKUP(F2760,HC!A$6:D$1000,2,FALSE)</f>
        <v>taldaher</v>
      </c>
      <c r="P2760" t="s">
        <v>662</v>
      </c>
      <c r="Q2760" t="s">
        <v>691</v>
      </c>
      <c r="U2760">
        <f t="shared" si="45"/>
        <v>18</v>
      </c>
    </row>
    <row r="2761" spans="1:21" ht="37.5" customHeight="1" x14ac:dyDescent="0.25">
      <c r="A2761" s="36">
        <v>45156</v>
      </c>
      <c r="B2761" s="13">
        <v>33</v>
      </c>
      <c r="C2761" t="s">
        <v>3</v>
      </c>
      <c r="D2761" t="s">
        <v>4</v>
      </c>
      <c r="E2761" t="s">
        <v>5</v>
      </c>
      <c r="F2761">
        <v>200552429</v>
      </c>
      <c r="G2761" t="s">
        <v>1139</v>
      </c>
      <c r="H2761" t="s">
        <v>263</v>
      </c>
      <c r="I2761">
        <v>0</v>
      </c>
      <c r="J2761">
        <v>0</v>
      </c>
      <c r="K2761">
        <v>0</v>
      </c>
      <c r="L2761">
        <v>0</v>
      </c>
      <c r="M2761">
        <v>0</v>
      </c>
      <c r="N2761" s="7" t="e">
        <f>VLOOKUP(F2761,HC!A$6:D$100,3,FALSE)</f>
        <v>#N/A</v>
      </c>
      <c r="O2761" s="7" t="e">
        <f>VLOOKUP(F2761,HC!A$6:D$1000,2,FALSE)</f>
        <v>#N/A</v>
      </c>
      <c r="P2761" t="s">
        <v>661</v>
      </c>
      <c r="Q2761" t="s">
        <v>681</v>
      </c>
      <c r="U2761">
        <f t="shared" si="45"/>
        <v>1395</v>
      </c>
    </row>
    <row r="2762" spans="1:21" ht="37.5" customHeight="1" x14ac:dyDescent="0.25">
      <c r="A2762" s="36">
        <v>45156</v>
      </c>
      <c r="B2762" s="13">
        <v>33</v>
      </c>
      <c r="C2762" t="s">
        <v>3</v>
      </c>
      <c r="D2762" t="s">
        <v>4</v>
      </c>
      <c r="E2762" t="s">
        <v>5</v>
      </c>
      <c r="F2762">
        <v>200615883</v>
      </c>
      <c r="G2762" t="s">
        <v>508</v>
      </c>
      <c r="H2762" t="s">
        <v>47</v>
      </c>
      <c r="I2762">
        <v>0</v>
      </c>
      <c r="J2762">
        <v>0</v>
      </c>
      <c r="K2762">
        <v>0</v>
      </c>
      <c r="L2762">
        <v>0</v>
      </c>
      <c r="M2762">
        <v>0.25</v>
      </c>
      <c r="N2762" s="7" t="e">
        <f>VLOOKUP(F2762,HC!A$6:D$100,3,FALSE)</f>
        <v>#N/A</v>
      </c>
      <c r="O2762" s="7" t="e">
        <f>VLOOKUP(F2762,HC!A$6:D$1000,2,FALSE)</f>
        <v>#N/A</v>
      </c>
      <c r="P2762" t="s">
        <v>663</v>
      </c>
      <c r="Q2762" t="s">
        <v>705</v>
      </c>
      <c r="U2762">
        <f t="shared" si="45"/>
        <v>1395</v>
      </c>
    </row>
    <row r="2763" spans="1:21" ht="37.5" customHeight="1" x14ac:dyDescent="0.25">
      <c r="A2763" s="36">
        <v>45156</v>
      </c>
      <c r="B2763" s="13">
        <v>33</v>
      </c>
      <c r="C2763" t="s">
        <v>3</v>
      </c>
      <c r="D2763" t="s">
        <v>4</v>
      </c>
      <c r="E2763" t="s">
        <v>5</v>
      </c>
      <c r="F2763">
        <v>201191390</v>
      </c>
      <c r="G2763" t="s">
        <v>916</v>
      </c>
      <c r="H2763" t="s">
        <v>7</v>
      </c>
      <c r="I2763">
        <v>0</v>
      </c>
      <c r="J2763">
        <v>0</v>
      </c>
      <c r="K2763">
        <v>0</v>
      </c>
      <c r="L2763">
        <v>0</v>
      </c>
      <c r="M2763">
        <v>0.87</v>
      </c>
      <c r="N2763" s="7" t="e">
        <f>VLOOKUP(F2763,HC!A$6:D$100,3,FALSE)</f>
        <v>#N/A</v>
      </c>
      <c r="O2763" s="7" t="str">
        <f>VLOOKUP(F2763,HC!A$6:D$1000,2,FALSE)</f>
        <v>bgajesus</v>
      </c>
      <c r="P2763" t="s">
        <v>664</v>
      </c>
      <c r="Q2763" t="s">
        <v>717</v>
      </c>
      <c r="U2763">
        <f t="shared" si="45"/>
        <v>37</v>
      </c>
    </row>
    <row r="2764" spans="1:21" ht="37.5" customHeight="1" x14ac:dyDescent="0.25">
      <c r="A2764" s="36">
        <v>45156</v>
      </c>
      <c r="B2764" s="13">
        <v>33</v>
      </c>
      <c r="C2764" t="s">
        <v>3</v>
      </c>
      <c r="D2764" t="s">
        <v>4</v>
      </c>
      <c r="E2764" t="s">
        <v>5</v>
      </c>
      <c r="F2764">
        <v>201386201</v>
      </c>
      <c r="G2764" t="s">
        <v>1167</v>
      </c>
      <c r="H2764" t="s">
        <v>17</v>
      </c>
      <c r="I2764">
        <v>0</v>
      </c>
      <c r="J2764">
        <v>0</v>
      </c>
      <c r="K2764">
        <v>0</v>
      </c>
      <c r="L2764">
        <v>0</v>
      </c>
      <c r="M2764">
        <v>0.2</v>
      </c>
      <c r="N2764" s="7" t="e">
        <f>VLOOKUP(F2764,HC!A$6:D$100,3,FALSE)</f>
        <v>#N/A</v>
      </c>
      <c r="O2764" s="7" t="str">
        <f>VLOOKUP(F2764,HC!A$6:D$1000,2,FALSE)</f>
        <v>castjanr</v>
      </c>
      <c r="P2764" t="s">
        <v>661</v>
      </c>
      <c r="Q2764" t="s">
        <v>775</v>
      </c>
      <c r="U2764">
        <f t="shared" si="45"/>
        <v>11</v>
      </c>
    </row>
    <row r="2765" spans="1:21" ht="37.5" customHeight="1" x14ac:dyDescent="0.25">
      <c r="A2765" s="36">
        <v>45156</v>
      </c>
      <c r="B2765" s="13">
        <v>33</v>
      </c>
      <c r="C2765" t="s">
        <v>3</v>
      </c>
      <c r="D2765" t="s">
        <v>4</v>
      </c>
      <c r="E2765" t="s">
        <v>5</v>
      </c>
      <c r="F2765">
        <v>201403532</v>
      </c>
      <c r="G2765" t="s">
        <v>1112</v>
      </c>
      <c r="H2765" t="s">
        <v>7</v>
      </c>
      <c r="I2765">
        <v>0</v>
      </c>
      <c r="J2765">
        <v>0</v>
      </c>
      <c r="K2765">
        <v>0</v>
      </c>
      <c r="L2765">
        <v>0</v>
      </c>
      <c r="M2765">
        <v>0.13</v>
      </c>
      <c r="N2765" s="7" t="e">
        <f>VLOOKUP(F2765,HC!A$6:D$100,3,FALSE)</f>
        <v>#N/A</v>
      </c>
      <c r="O2765" s="7" t="str">
        <f>VLOOKUP(F2765,HC!A$6:D$1000,2,FALSE)</f>
        <v>zhoracro</v>
      </c>
      <c r="P2765" t="s">
        <v>661</v>
      </c>
      <c r="Q2765" t="s">
        <v>681</v>
      </c>
      <c r="U2765">
        <f t="shared" si="45"/>
        <v>3</v>
      </c>
    </row>
    <row r="2766" spans="1:21" ht="37.5" customHeight="1" x14ac:dyDescent="0.25">
      <c r="A2766" s="36">
        <v>45156</v>
      </c>
      <c r="B2766" s="13">
        <v>33</v>
      </c>
      <c r="C2766" t="s">
        <v>3</v>
      </c>
      <c r="D2766" t="s">
        <v>4</v>
      </c>
      <c r="E2766" t="s">
        <v>5</v>
      </c>
      <c r="F2766">
        <v>201406984</v>
      </c>
      <c r="G2766" t="s">
        <v>1217</v>
      </c>
      <c r="H2766" t="s">
        <v>403</v>
      </c>
      <c r="I2766">
        <v>0</v>
      </c>
      <c r="J2766">
        <v>0</v>
      </c>
      <c r="K2766">
        <v>0</v>
      </c>
      <c r="L2766">
        <v>0</v>
      </c>
      <c r="M2766">
        <v>0.23</v>
      </c>
      <c r="N2766" s="7" t="e">
        <f>VLOOKUP(F2766,HC!A$6:D$100,3,FALSE)</f>
        <v>#N/A</v>
      </c>
      <c r="O2766" s="7" t="str">
        <f>VLOOKUP(F2766,HC!A$6:D$1000,2,FALSE)</f>
        <v>dmisaelp</v>
      </c>
      <c r="P2766" t="s">
        <v>663</v>
      </c>
      <c r="Q2766" t="s">
        <v>695</v>
      </c>
      <c r="U2766">
        <f t="shared" si="45"/>
        <v>3</v>
      </c>
    </row>
    <row r="2767" spans="1:21" ht="37.5" customHeight="1" x14ac:dyDescent="0.25">
      <c r="A2767" s="36">
        <v>45156</v>
      </c>
      <c r="B2767" s="13">
        <v>33</v>
      </c>
      <c r="C2767" t="s">
        <v>3</v>
      </c>
      <c r="D2767" t="s">
        <v>4</v>
      </c>
      <c r="E2767" t="s">
        <v>21</v>
      </c>
      <c r="F2767">
        <v>201841804</v>
      </c>
      <c r="G2767" t="s">
        <v>1214</v>
      </c>
      <c r="H2767" t="s">
        <v>49</v>
      </c>
      <c r="I2767">
        <v>0</v>
      </c>
      <c r="J2767">
        <v>0</v>
      </c>
      <c r="K2767">
        <v>0</v>
      </c>
      <c r="L2767">
        <v>0</v>
      </c>
      <c r="M2767">
        <v>0.5</v>
      </c>
      <c r="N2767" s="7" t="e">
        <f>VLOOKUP(F2767,HC!A$6:D$100,3,FALSE)</f>
        <v>#N/A</v>
      </c>
      <c r="O2767" s="7" t="str">
        <f>VLOOKUP(F2767,HC!A$6:D$1000,2,FALSE)</f>
        <v>ruizhmic</v>
      </c>
      <c r="P2767" t="s">
        <v>665</v>
      </c>
      <c r="Q2767" t="s">
        <v>722</v>
      </c>
      <c r="U2767">
        <f t="shared" si="45"/>
        <v>8</v>
      </c>
    </row>
    <row r="2768" spans="1:21" ht="37.5" customHeight="1" x14ac:dyDescent="0.25">
      <c r="A2768" s="36">
        <v>45156</v>
      </c>
      <c r="B2768" s="13">
        <v>33</v>
      </c>
      <c r="C2768" t="s">
        <v>3</v>
      </c>
      <c r="D2768" t="s">
        <v>4</v>
      </c>
      <c r="E2768" t="s">
        <v>21</v>
      </c>
      <c r="F2768">
        <v>201858789</v>
      </c>
      <c r="G2768" t="s">
        <v>1218</v>
      </c>
      <c r="H2768" t="s">
        <v>49</v>
      </c>
      <c r="I2768">
        <v>0</v>
      </c>
      <c r="J2768">
        <v>0</v>
      </c>
      <c r="K2768">
        <v>0</v>
      </c>
      <c r="L2768">
        <v>0</v>
      </c>
      <c r="M2768">
        <v>0.08</v>
      </c>
      <c r="N2768" s="7" t="e">
        <f>VLOOKUP(F2768,HC!A$6:D$100,3,FALSE)</f>
        <v>#N/A</v>
      </c>
      <c r="O2768" s="7" t="str">
        <f>VLOOKUP(F2768,HC!A$6:D$1000,2,FALSE)</f>
        <v>ignachis</v>
      </c>
      <c r="P2768" t="s">
        <v>664</v>
      </c>
      <c r="Q2768" t="s">
        <v>708</v>
      </c>
      <c r="U2768">
        <f t="shared" si="45"/>
        <v>8</v>
      </c>
    </row>
    <row r="2769" spans="1:21" ht="37.5" customHeight="1" x14ac:dyDescent="0.25">
      <c r="A2769" s="36">
        <v>45157</v>
      </c>
      <c r="B2769" s="13">
        <v>33</v>
      </c>
      <c r="C2769" t="s">
        <v>3</v>
      </c>
      <c r="D2769" t="s">
        <v>4</v>
      </c>
      <c r="E2769" t="s">
        <v>5</v>
      </c>
      <c r="F2769">
        <v>112972958</v>
      </c>
      <c r="G2769" t="s">
        <v>441</v>
      </c>
      <c r="H2769" t="s">
        <v>459</v>
      </c>
      <c r="I2769">
        <v>0</v>
      </c>
      <c r="J2769">
        <v>0</v>
      </c>
      <c r="K2769">
        <v>0</v>
      </c>
      <c r="L2769">
        <v>0</v>
      </c>
      <c r="M2769">
        <v>7.0000000000000007E-2</v>
      </c>
      <c r="N2769" s="7" t="str">
        <f>VLOOKUP(F2769,HC!A$6:D$100,3,FALSE)</f>
        <v>D5-X0700</v>
      </c>
      <c r="O2769" s="7" t="str">
        <f>VLOOKUP(F2769,HC!A$6:D$1000,2,FALSE)</f>
        <v>ugonzgui</v>
      </c>
      <c r="P2769" t="s">
        <v>661</v>
      </c>
      <c r="Q2769" t="s">
        <v>775</v>
      </c>
      <c r="U2769">
        <f t="shared" si="45"/>
        <v>13</v>
      </c>
    </row>
    <row r="2770" spans="1:21" ht="37.5" customHeight="1" x14ac:dyDescent="0.25">
      <c r="A2770" s="36">
        <v>45157</v>
      </c>
      <c r="B2770" s="13">
        <v>33</v>
      </c>
      <c r="C2770" t="s">
        <v>3</v>
      </c>
      <c r="D2770" t="s">
        <v>4</v>
      </c>
      <c r="E2770" t="s">
        <v>5</v>
      </c>
      <c r="F2770">
        <v>113020497</v>
      </c>
      <c r="G2770" t="s">
        <v>606</v>
      </c>
      <c r="H2770" t="s">
        <v>47</v>
      </c>
      <c r="I2770">
        <v>0</v>
      </c>
      <c r="J2770">
        <v>0</v>
      </c>
      <c r="K2770">
        <v>0</v>
      </c>
      <c r="L2770">
        <v>0</v>
      </c>
      <c r="M2770">
        <v>0.5</v>
      </c>
      <c r="N2770" s="7" t="e">
        <f>VLOOKUP(F2770,HC!A$6:D$100,3,FALSE)</f>
        <v>#N/A</v>
      </c>
      <c r="O2770" s="7" t="str">
        <f>VLOOKUP(F2770,HC!A$6:D$1000,2,FALSE)</f>
        <v>diamartd</v>
      </c>
      <c r="P2770" t="s">
        <v>661</v>
      </c>
      <c r="Q2770" t="s">
        <v>775</v>
      </c>
      <c r="U2770">
        <f t="shared" si="45"/>
        <v>14</v>
      </c>
    </row>
    <row r="2771" spans="1:21" ht="37.5" customHeight="1" x14ac:dyDescent="0.25">
      <c r="A2771" s="36">
        <v>45157</v>
      </c>
      <c r="B2771" s="13">
        <v>33</v>
      </c>
      <c r="C2771" t="s">
        <v>3</v>
      </c>
      <c r="D2771" t="s">
        <v>4</v>
      </c>
      <c r="E2771" t="s">
        <v>5</v>
      </c>
      <c r="F2771">
        <v>200563038</v>
      </c>
      <c r="G2771" t="s">
        <v>949</v>
      </c>
      <c r="H2771" t="s">
        <v>47</v>
      </c>
      <c r="I2771">
        <v>0</v>
      </c>
      <c r="J2771">
        <v>0</v>
      </c>
      <c r="K2771">
        <v>0</v>
      </c>
      <c r="L2771">
        <v>0</v>
      </c>
      <c r="M2771">
        <v>0.61</v>
      </c>
      <c r="N2771" s="7" t="e">
        <f>VLOOKUP(F2771,HC!A$6:D$100,3,FALSE)</f>
        <v>#N/A</v>
      </c>
      <c r="O2771" s="7" t="str">
        <f>VLOOKUP(F2771,HC!A$6:D$1000,2,FALSE)</f>
        <v>ariaszee</v>
      </c>
      <c r="P2771" t="s">
        <v>662</v>
      </c>
      <c r="Q2771" t="s">
        <v>757</v>
      </c>
      <c r="U2771">
        <f t="shared" si="45"/>
        <v>9</v>
      </c>
    </row>
    <row r="2772" spans="1:21" ht="37.5" customHeight="1" x14ac:dyDescent="0.25">
      <c r="A2772" s="36">
        <v>45157</v>
      </c>
      <c r="B2772" s="13">
        <v>33</v>
      </c>
      <c r="C2772" t="s">
        <v>3</v>
      </c>
      <c r="D2772" t="s">
        <v>4</v>
      </c>
      <c r="E2772" t="s">
        <v>5</v>
      </c>
      <c r="F2772">
        <v>201191198</v>
      </c>
      <c r="G2772" t="s">
        <v>974</v>
      </c>
      <c r="H2772" t="s">
        <v>17</v>
      </c>
      <c r="I2772">
        <v>0</v>
      </c>
      <c r="J2772">
        <v>0</v>
      </c>
      <c r="K2772">
        <v>0</v>
      </c>
      <c r="L2772">
        <v>0</v>
      </c>
      <c r="M2772">
        <v>0.52</v>
      </c>
      <c r="N2772" s="7" t="e">
        <f>VLOOKUP(F2772,HC!A$6:D$100,3,FALSE)</f>
        <v>#N/A</v>
      </c>
      <c r="O2772" s="7" t="str">
        <f>VLOOKUP(F2772,HC!A$6:D$1000,2,FALSE)</f>
        <v>mojicemm</v>
      </c>
      <c r="P2772" t="s">
        <v>661</v>
      </c>
      <c r="Q2772" t="s">
        <v>681</v>
      </c>
      <c r="U2772">
        <f t="shared" si="45"/>
        <v>24</v>
      </c>
    </row>
    <row r="2773" spans="1:21" ht="37.5" customHeight="1" x14ac:dyDescent="0.25">
      <c r="A2773" s="36">
        <v>45157</v>
      </c>
      <c r="B2773" s="13">
        <v>33</v>
      </c>
      <c r="C2773" t="s">
        <v>3</v>
      </c>
      <c r="D2773" t="s">
        <v>4</v>
      </c>
      <c r="E2773" t="s">
        <v>5</v>
      </c>
      <c r="F2773">
        <v>201191390</v>
      </c>
      <c r="G2773" t="s">
        <v>916</v>
      </c>
      <c r="H2773" t="s">
        <v>7</v>
      </c>
      <c r="I2773">
        <v>0</v>
      </c>
      <c r="J2773">
        <v>0</v>
      </c>
      <c r="K2773">
        <v>0</v>
      </c>
      <c r="L2773">
        <v>0</v>
      </c>
      <c r="M2773">
        <v>0.74</v>
      </c>
      <c r="N2773" s="7" t="e">
        <f>VLOOKUP(F2773,HC!A$6:D$100,3,FALSE)</f>
        <v>#N/A</v>
      </c>
      <c r="O2773" s="7" t="str">
        <f>VLOOKUP(F2773,HC!A$6:D$1000,2,FALSE)</f>
        <v>bgajesus</v>
      </c>
      <c r="P2773" t="s">
        <v>664</v>
      </c>
      <c r="Q2773" t="s">
        <v>716</v>
      </c>
      <c r="U2773">
        <f t="shared" si="45"/>
        <v>37</v>
      </c>
    </row>
    <row r="2774" spans="1:21" ht="37.5" customHeight="1" x14ac:dyDescent="0.25">
      <c r="A2774" s="36">
        <v>45157</v>
      </c>
      <c r="B2774" s="13">
        <v>33</v>
      </c>
      <c r="C2774" t="s">
        <v>3</v>
      </c>
      <c r="D2774" t="s">
        <v>4</v>
      </c>
      <c r="E2774" t="s">
        <v>5</v>
      </c>
      <c r="F2774">
        <v>201354965</v>
      </c>
      <c r="G2774" t="s">
        <v>1063</v>
      </c>
      <c r="H2774" t="s">
        <v>263</v>
      </c>
      <c r="I2774">
        <v>0</v>
      </c>
      <c r="J2774">
        <v>0</v>
      </c>
      <c r="K2774">
        <v>0</v>
      </c>
      <c r="L2774">
        <v>0</v>
      </c>
      <c r="M2774">
        <v>0.4</v>
      </c>
      <c r="N2774" s="7" t="e">
        <f>VLOOKUP(F2774,HC!A$6:D$100,3,FALSE)</f>
        <v>#N/A</v>
      </c>
      <c r="O2774" s="7" t="str">
        <f>VLOOKUP(F2774,HC!A$6:D$1000,2,FALSE)</f>
        <v>alinejim</v>
      </c>
      <c r="P2774" t="s">
        <v>661</v>
      </c>
      <c r="Q2774" t="s">
        <v>775</v>
      </c>
      <c r="U2774">
        <f t="shared" si="45"/>
        <v>33</v>
      </c>
    </row>
    <row r="2775" spans="1:21" ht="37.5" customHeight="1" x14ac:dyDescent="0.25">
      <c r="A2775" s="36">
        <v>45157</v>
      </c>
      <c r="B2775" s="13">
        <v>33</v>
      </c>
      <c r="C2775" t="s">
        <v>3</v>
      </c>
      <c r="D2775" t="s">
        <v>4</v>
      </c>
      <c r="E2775" t="s">
        <v>21</v>
      </c>
      <c r="F2775">
        <v>201841804</v>
      </c>
      <c r="G2775" t="s">
        <v>1214</v>
      </c>
      <c r="H2775" t="s">
        <v>49</v>
      </c>
      <c r="I2775">
        <v>0</v>
      </c>
      <c r="J2775">
        <v>0</v>
      </c>
      <c r="K2775">
        <v>0</v>
      </c>
      <c r="L2775">
        <v>0</v>
      </c>
      <c r="M2775">
        <v>0.27</v>
      </c>
      <c r="N2775" s="7" t="e">
        <f>VLOOKUP(F2775,HC!A$6:D$100,3,FALSE)</f>
        <v>#N/A</v>
      </c>
      <c r="O2775" s="7" t="str">
        <f>VLOOKUP(F2775,HC!A$6:D$1000,2,FALSE)</f>
        <v>ruizhmic</v>
      </c>
      <c r="P2775" t="s">
        <v>665</v>
      </c>
      <c r="Q2775" t="s">
        <v>722</v>
      </c>
      <c r="U2775">
        <f t="shared" si="45"/>
        <v>8</v>
      </c>
    </row>
    <row r="2776" spans="1:21" ht="37.5" customHeight="1" x14ac:dyDescent="0.25">
      <c r="A2776" s="36">
        <v>45158</v>
      </c>
      <c r="B2776" s="13">
        <v>34</v>
      </c>
      <c r="C2776" t="s">
        <v>3</v>
      </c>
      <c r="D2776" t="s">
        <v>4</v>
      </c>
      <c r="E2776" t="s">
        <v>5</v>
      </c>
      <c r="F2776">
        <v>112912050</v>
      </c>
      <c r="G2776" t="s">
        <v>624</v>
      </c>
      <c r="H2776" t="s">
        <v>282</v>
      </c>
      <c r="I2776">
        <v>0</v>
      </c>
      <c r="J2776">
        <v>0</v>
      </c>
      <c r="K2776">
        <v>0</v>
      </c>
      <c r="L2776">
        <v>0</v>
      </c>
      <c r="M2776">
        <v>0.56999999999999995</v>
      </c>
      <c r="N2776" s="7" t="str">
        <f>VLOOKUP(F2776,HC!A$6:D$100,3,FALSE)</f>
        <v>DA-X0700</v>
      </c>
      <c r="O2776" s="7" t="str">
        <f>VLOOKUP(F2776,HC!A$6:D$1000,2,FALSE)</f>
        <v>shernadt</v>
      </c>
      <c r="P2776" t="s">
        <v>670</v>
      </c>
      <c r="Q2776" t="s">
        <v>746</v>
      </c>
      <c r="U2776">
        <f t="shared" si="45"/>
        <v>4</v>
      </c>
    </row>
    <row r="2777" spans="1:21" ht="37.5" customHeight="1" x14ac:dyDescent="0.25">
      <c r="A2777" s="36">
        <v>45158</v>
      </c>
      <c r="B2777" s="13">
        <v>34</v>
      </c>
      <c r="C2777" t="s">
        <v>3</v>
      </c>
      <c r="D2777" t="s">
        <v>4</v>
      </c>
      <c r="E2777" t="s">
        <v>5</v>
      </c>
      <c r="F2777">
        <v>112912745</v>
      </c>
      <c r="G2777" t="s">
        <v>478</v>
      </c>
      <c r="H2777" t="s">
        <v>285</v>
      </c>
      <c r="I2777">
        <v>0</v>
      </c>
      <c r="J2777">
        <v>0</v>
      </c>
      <c r="K2777">
        <v>0</v>
      </c>
      <c r="L2777">
        <v>0</v>
      </c>
      <c r="M2777">
        <v>0.44</v>
      </c>
      <c r="N2777" s="7" t="str">
        <f>VLOOKUP(F2777,HC!A$6:D$100,3,FALSE)</f>
        <v>DA-X0700</v>
      </c>
      <c r="O2777" s="7" t="str">
        <f>VLOOKUP(F2777,HC!A$6:D$1000,2,FALSE)</f>
        <v>nalexgom</v>
      </c>
      <c r="P2777" t="s">
        <v>669</v>
      </c>
      <c r="Q2777" t="s">
        <v>739</v>
      </c>
      <c r="U2777">
        <f t="shared" si="45"/>
        <v>22</v>
      </c>
    </row>
    <row r="2778" spans="1:21" ht="37.5" customHeight="1" x14ac:dyDescent="0.25">
      <c r="A2778" s="36">
        <v>45158</v>
      </c>
      <c r="B2778" s="13">
        <v>34</v>
      </c>
      <c r="C2778" t="s">
        <v>3</v>
      </c>
      <c r="D2778" t="s">
        <v>4</v>
      </c>
      <c r="E2778" t="s">
        <v>5</v>
      </c>
      <c r="F2778">
        <v>112980899</v>
      </c>
      <c r="G2778" t="s">
        <v>396</v>
      </c>
      <c r="H2778" t="s">
        <v>332</v>
      </c>
      <c r="I2778">
        <v>0</v>
      </c>
      <c r="J2778">
        <v>0</v>
      </c>
      <c r="K2778">
        <v>0</v>
      </c>
      <c r="L2778">
        <v>0</v>
      </c>
      <c r="M2778">
        <v>0.82</v>
      </c>
      <c r="N2778" s="7" t="str">
        <f>VLOOKUP(F2778,HC!A$6:D$100,3,FALSE)</f>
        <v>NF-X1900</v>
      </c>
      <c r="O2778" s="7" t="str">
        <f>VLOOKUP(F2778,HC!A$6:D$1000,2,FALSE)</f>
        <v>aravilac</v>
      </c>
      <c r="P2778" t="s">
        <v>661</v>
      </c>
      <c r="Q2778" t="s">
        <v>681</v>
      </c>
      <c r="U2778">
        <f t="shared" si="45"/>
        <v>33</v>
      </c>
    </row>
    <row r="2779" spans="1:21" ht="37.5" customHeight="1" x14ac:dyDescent="0.25">
      <c r="A2779" s="36">
        <v>45158</v>
      </c>
      <c r="B2779" s="13">
        <v>34</v>
      </c>
      <c r="C2779" t="s">
        <v>3</v>
      </c>
      <c r="D2779" t="s">
        <v>4</v>
      </c>
      <c r="E2779" t="s">
        <v>5</v>
      </c>
      <c r="F2779">
        <v>113040582</v>
      </c>
      <c r="G2779" t="s">
        <v>625</v>
      </c>
      <c r="H2779" t="s">
        <v>44</v>
      </c>
      <c r="I2779">
        <v>0</v>
      </c>
      <c r="J2779">
        <v>0</v>
      </c>
      <c r="K2779">
        <v>0</v>
      </c>
      <c r="L2779">
        <v>0</v>
      </c>
      <c r="M2779">
        <v>0.32</v>
      </c>
      <c r="N2779" s="7" t="e">
        <f>VLOOKUP(F2779,HC!A$6:D$100,3,FALSE)</f>
        <v>#N/A</v>
      </c>
      <c r="O2779" s="7" t="str">
        <f>VLOOKUP(F2779,HC!A$6:D$1000,2,FALSE)</f>
        <v>hgerardr</v>
      </c>
      <c r="P2779" t="s">
        <v>661</v>
      </c>
      <c r="Q2779" t="s">
        <v>681</v>
      </c>
      <c r="U2779">
        <f t="shared" si="45"/>
        <v>15</v>
      </c>
    </row>
    <row r="2780" spans="1:21" ht="37.5" customHeight="1" x14ac:dyDescent="0.25">
      <c r="A2780" s="36">
        <v>45158</v>
      </c>
      <c r="B2780" s="13">
        <v>34</v>
      </c>
      <c r="C2780" t="s">
        <v>3</v>
      </c>
      <c r="D2780" t="s">
        <v>4</v>
      </c>
      <c r="E2780" t="s">
        <v>5</v>
      </c>
      <c r="F2780">
        <v>200574345</v>
      </c>
      <c r="G2780" t="s">
        <v>476</v>
      </c>
      <c r="H2780" t="s">
        <v>298</v>
      </c>
      <c r="I2780">
        <v>0</v>
      </c>
      <c r="J2780">
        <v>0</v>
      </c>
      <c r="K2780">
        <v>0</v>
      </c>
      <c r="L2780">
        <v>0</v>
      </c>
      <c r="M2780">
        <v>0.74</v>
      </c>
      <c r="N2780" s="7" t="e">
        <f>VLOOKUP(F2780,HC!A$6:D$100,3,FALSE)</f>
        <v>#N/A</v>
      </c>
      <c r="O2780" s="7" t="str">
        <f>VLOOKUP(F2780,HC!A$6:D$1000,2,FALSE)</f>
        <v>contrexj</v>
      </c>
      <c r="P2780" t="s">
        <v>664</v>
      </c>
      <c r="Q2780" t="s">
        <v>711</v>
      </c>
      <c r="U2780">
        <f t="shared" si="45"/>
        <v>17</v>
      </c>
    </row>
    <row r="2781" spans="1:21" ht="37.5" customHeight="1" x14ac:dyDescent="0.25">
      <c r="A2781" s="36">
        <v>45158</v>
      </c>
      <c r="B2781" s="13">
        <v>34</v>
      </c>
      <c r="C2781" t="s">
        <v>3</v>
      </c>
      <c r="D2781" t="s">
        <v>4</v>
      </c>
      <c r="E2781" t="s">
        <v>5</v>
      </c>
      <c r="F2781">
        <v>201186833</v>
      </c>
      <c r="G2781" t="s">
        <v>904</v>
      </c>
      <c r="H2781" t="s">
        <v>285</v>
      </c>
      <c r="I2781">
        <v>0</v>
      </c>
      <c r="J2781">
        <v>0</v>
      </c>
      <c r="K2781">
        <v>0</v>
      </c>
      <c r="L2781">
        <v>0</v>
      </c>
      <c r="M2781">
        <v>0.19</v>
      </c>
      <c r="N2781" s="7" t="e">
        <f>VLOOKUP(F2781,HC!A$6:D$100,3,FALSE)</f>
        <v>#N/A</v>
      </c>
      <c r="O2781" s="7" t="str">
        <f>VLOOKUP(F2781,HC!A$6:D$1000,2,FALSE)</f>
        <v>jaalexav</v>
      </c>
      <c r="P2781" t="s">
        <v>664</v>
      </c>
      <c r="Q2781" t="s">
        <v>710</v>
      </c>
      <c r="U2781">
        <f t="shared" si="45"/>
        <v>16</v>
      </c>
    </row>
    <row r="2782" spans="1:21" ht="37.5" customHeight="1" x14ac:dyDescent="0.25">
      <c r="A2782" s="36">
        <v>45158</v>
      </c>
      <c r="B2782" s="13">
        <v>34</v>
      </c>
      <c r="C2782" t="s">
        <v>3</v>
      </c>
      <c r="D2782" t="s">
        <v>4</v>
      </c>
      <c r="E2782" t="s">
        <v>5</v>
      </c>
      <c r="F2782">
        <v>201341534</v>
      </c>
      <c r="G2782" t="s">
        <v>1181</v>
      </c>
      <c r="H2782" t="s">
        <v>285</v>
      </c>
      <c r="I2782">
        <v>0</v>
      </c>
      <c r="J2782">
        <v>0</v>
      </c>
      <c r="K2782">
        <v>0</v>
      </c>
      <c r="L2782">
        <v>0</v>
      </c>
      <c r="M2782">
        <v>1.08</v>
      </c>
      <c r="N2782" s="7" t="e">
        <f>VLOOKUP(F2782,HC!A$6:D$100,3,FALSE)</f>
        <v>#N/A</v>
      </c>
      <c r="O2782" s="7" t="str">
        <f>VLOOKUP(F2782,HC!A$6:D$1000,2,FALSE)</f>
        <v>beceresm</v>
      </c>
      <c r="P2782" t="s">
        <v>662</v>
      </c>
      <c r="Q2782" t="s">
        <v>757</v>
      </c>
      <c r="U2782">
        <f t="shared" si="45"/>
        <v>10</v>
      </c>
    </row>
    <row r="2783" spans="1:21" ht="37.5" customHeight="1" x14ac:dyDescent="0.25">
      <c r="A2783" s="36">
        <v>45158</v>
      </c>
      <c r="B2783" s="13">
        <v>34</v>
      </c>
      <c r="C2783" t="s">
        <v>3</v>
      </c>
      <c r="D2783" t="s">
        <v>4</v>
      </c>
      <c r="E2783" t="s">
        <v>21</v>
      </c>
      <c r="F2783">
        <v>201901324</v>
      </c>
      <c r="G2783" t="s">
        <v>1219</v>
      </c>
      <c r="H2783" t="s">
        <v>282</v>
      </c>
      <c r="I2783">
        <v>0</v>
      </c>
      <c r="J2783">
        <v>0</v>
      </c>
      <c r="K2783">
        <v>0</v>
      </c>
      <c r="L2783">
        <v>0</v>
      </c>
      <c r="M2783">
        <v>0.71</v>
      </c>
      <c r="N2783" s="7" t="e">
        <f>VLOOKUP(F2783,HC!A$6:D$100,3,FALSE)</f>
        <v>#N/A</v>
      </c>
      <c r="O2783" s="7" t="str">
        <f>VLOOKUP(F2783,HC!A$6:D$1000,2,FALSE)</f>
        <v>velpalej</v>
      </c>
      <c r="P2783" t="s">
        <v>662</v>
      </c>
      <c r="Q2783" t="s">
        <v>702</v>
      </c>
      <c r="U2783">
        <f t="shared" si="45"/>
        <v>4</v>
      </c>
    </row>
    <row r="2784" spans="1:21" ht="37.5" customHeight="1" x14ac:dyDescent="0.25">
      <c r="A2784" s="36">
        <v>45159</v>
      </c>
      <c r="B2784" s="13">
        <v>34</v>
      </c>
      <c r="C2784" t="s">
        <v>3</v>
      </c>
      <c r="D2784" t="s">
        <v>4</v>
      </c>
      <c r="E2784" t="s">
        <v>5</v>
      </c>
      <c r="F2784">
        <v>112950784</v>
      </c>
      <c r="G2784" t="s">
        <v>261</v>
      </c>
      <c r="H2784" t="s">
        <v>282</v>
      </c>
      <c r="I2784">
        <v>0</v>
      </c>
      <c r="J2784">
        <v>0</v>
      </c>
      <c r="K2784">
        <v>0</v>
      </c>
      <c r="L2784">
        <v>0</v>
      </c>
      <c r="M2784">
        <v>0.09</v>
      </c>
      <c r="N2784" s="7" t="str">
        <f>VLOOKUP(F2784,HC!A$6:D$100,3,FALSE)</f>
        <v>NF-X1900</v>
      </c>
      <c r="O2784" s="7" t="str">
        <f>VLOOKUP(F2784,HC!A$6:D$1000,2,FALSE)</f>
        <v>sarojast</v>
      </c>
      <c r="P2784" t="s">
        <v>661</v>
      </c>
      <c r="Q2784" t="s">
        <v>681</v>
      </c>
      <c r="U2784">
        <f t="shared" si="45"/>
        <v>33</v>
      </c>
    </row>
    <row r="2785" spans="1:21" ht="37.5" customHeight="1" x14ac:dyDescent="0.25">
      <c r="A2785" s="36">
        <v>45159</v>
      </c>
      <c r="B2785" s="13">
        <v>34</v>
      </c>
      <c r="C2785" t="s">
        <v>3</v>
      </c>
      <c r="D2785" t="s">
        <v>4</v>
      </c>
      <c r="E2785" t="s">
        <v>5</v>
      </c>
      <c r="F2785">
        <v>112971997</v>
      </c>
      <c r="G2785" t="s">
        <v>928</v>
      </c>
      <c r="H2785" t="s">
        <v>250</v>
      </c>
      <c r="I2785">
        <v>0</v>
      </c>
      <c r="J2785">
        <v>0</v>
      </c>
      <c r="K2785">
        <v>0</v>
      </c>
      <c r="L2785">
        <v>0</v>
      </c>
      <c r="M2785">
        <v>0.13</v>
      </c>
      <c r="N2785" s="7" t="str">
        <f>VLOOKUP(F2785,HC!A$6:D$100,3,FALSE)</f>
        <v>DA-X0700</v>
      </c>
      <c r="O2785" s="7" t="str">
        <f>VLOOKUP(F2785,HC!A$6:D$1000,2,FALSE)</f>
        <v>cemilini</v>
      </c>
      <c r="P2785" t="s">
        <v>661</v>
      </c>
      <c r="Q2785" t="s">
        <v>681</v>
      </c>
      <c r="U2785">
        <f t="shared" si="45"/>
        <v>10</v>
      </c>
    </row>
    <row r="2786" spans="1:21" ht="37.5" customHeight="1" x14ac:dyDescent="0.25">
      <c r="A2786" s="36">
        <v>45159</v>
      </c>
      <c r="B2786" s="13">
        <v>34</v>
      </c>
      <c r="C2786" t="s">
        <v>3</v>
      </c>
      <c r="D2786" t="s">
        <v>4</v>
      </c>
      <c r="E2786" t="s">
        <v>5</v>
      </c>
      <c r="F2786">
        <v>112981212</v>
      </c>
      <c r="G2786" t="s">
        <v>573</v>
      </c>
      <c r="H2786" t="s">
        <v>44</v>
      </c>
      <c r="I2786">
        <v>0</v>
      </c>
      <c r="J2786">
        <v>0</v>
      </c>
      <c r="K2786">
        <v>0</v>
      </c>
      <c r="L2786">
        <v>0</v>
      </c>
      <c r="M2786">
        <v>0.61</v>
      </c>
      <c r="N2786" s="7" t="e">
        <f>VLOOKUP(F2786,HC!A$6:D$100,3,FALSE)</f>
        <v>#N/A</v>
      </c>
      <c r="O2786" s="7" t="str">
        <f>VLOOKUP(F2786,HC!A$6:D$1000,2,FALSE)</f>
        <v>alysonza</v>
      </c>
      <c r="P2786" t="s">
        <v>661</v>
      </c>
      <c r="Q2786" t="s">
        <v>701</v>
      </c>
      <c r="U2786">
        <f t="shared" si="45"/>
        <v>23</v>
      </c>
    </row>
    <row r="2787" spans="1:21" ht="37.5" customHeight="1" x14ac:dyDescent="0.25">
      <c r="A2787" s="36">
        <v>45159</v>
      </c>
      <c r="B2787" s="13">
        <v>34</v>
      </c>
      <c r="C2787" t="s">
        <v>3</v>
      </c>
      <c r="D2787" t="s">
        <v>4</v>
      </c>
      <c r="E2787" t="s">
        <v>5</v>
      </c>
      <c r="F2787">
        <v>113020463</v>
      </c>
      <c r="G2787" t="s">
        <v>321</v>
      </c>
      <c r="H2787" t="s">
        <v>44</v>
      </c>
      <c r="I2787">
        <v>0</v>
      </c>
      <c r="J2787">
        <v>0</v>
      </c>
      <c r="K2787">
        <v>0</v>
      </c>
      <c r="L2787">
        <v>0</v>
      </c>
      <c r="M2787">
        <v>0.39</v>
      </c>
      <c r="N2787" s="7" t="e">
        <f>VLOOKUP(F2787,HC!A$6:D$100,3,FALSE)</f>
        <v>#N/A</v>
      </c>
      <c r="O2787" s="7" t="str">
        <f>VLOOKUP(F2787,HC!A$6:D$1000,2,FALSE)</f>
        <v>myriamav</v>
      </c>
      <c r="P2787" t="s">
        <v>661</v>
      </c>
      <c r="Q2787" t="s">
        <v>681</v>
      </c>
      <c r="U2787">
        <f t="shared" si="45"/>
        <v>24</v>
      </c>
    </row>
    <row r="2788" spans="1:21" ht="37.5" customHeight="1" x14ac:dyDescent="0.25">
      <c r="A2788" s="36">
        <v>45159</v>
      </c>
      <c r="B2788" s="13">
        <v>34</v>
      </c>
      <c r="C2788" t="s">
        <v>3</v>
      </c>
      <c r="D2788" t="s">
        <v>4</v>
      </c>
      <c r="E2788" t="s">
        <v>5</v>
      </c>
      <c r="F2788">
        <v>200404250</v>
      </c>
      <c r="G2788" t="s">
        <v>51</v>
      </c>
      <c r="H2788" t="s">
        <v>298</v>
      </c>
      <c r="I2788">
        <v>0</v>
      </c>
      <c r="J2788">
        <v>0</v>
      </c>
      <c r="K2788">
        <v>0</v>
      </c>
      <c r="L2788">
        <v>0</v>
      </c>
      <c r="M2788">
        <v>1.01</v>
      </c>
      <c r="N2788" s="7" t="e">
        <f>VLOOKUP(F2788,HC!A$6:D$100,3,FALSE)</f>
        <v>#N/A</v>
      </c>
      <c r="O2788" s="7" t="str">
        <f>VLOOKUP(F2788,HC!A$6:D$1000,2,FALSE)</f>
        <v>xcathurt</v>
      </c>
      <c r="P2788" t="s">
        <v>670</v>
      </c>
      <c r="Q2788" t="s">
        <v>746</v>
      </c>
      <c r="R2788" t="s">
        <v>0</v>
      </c>
      <c r="U2788">
        <f t="shared" si="45"/>
        <v>124</v>
      </c>
    </row>
    <row r="2789" spans="1:21" ht="37.5" customHeight="1" x14ac:dyDescent="0.25">
      <c r="A2789" s="36">
        <v>45159</v>
      </c>
      <c r="B2789" s="13">
        <v>34</v>
      </c>
      <c r="C2789" t="s">
        <v>3</v>
      </c>
      <c r="D2789" t="s">
        <v>4</v>
      </c>
      <c r="E2789" t="s">
        <v>5</v>
      </c>
      <c r="F2789">
        <v>200562154</v>
      </c>
      <c r="G2789" t="s">
        <v>437</v>
      </c>
      <c r="H2789" t="s">
        <v>49</v>
      </c>
      <c r="I2789">
        <v>0</v>
      </c>
      <c r="J2789">
        <v>0</v>
      </c>
      <c r="K2789">
        <v>0</v>
      </c>
      <c r="L2789">
        <v>0</v>
      </c>
      <c r="M2789">
        <v>0.38</v>
      </c>
      <c r="N2789" s="7" t="e">
        <f>VLOOKUP(F2789,HC!A$6:D$100,3,FALSE)</f>
        <v>#N/A</v>
      </c>
      <c r="O2789" s="7" t="str">
        <f>VLOOKUP(F2789,HC!A$6:D$1000,2,FALSE)</f>
        <v>reyesmcw</v>
      </c>
      <c r="P2789" t="s">
        <v>661</v>
      </c>
      <c r="Q2789" t="s">
        <v>681</v>
      </c>
      <c r="U2789">
        <f t="shared" si="45"/>
        <v>38</v>
      </c>
    </row>
    <row r="2790" spans="1:21" ht="37.5" customHeight="1" x14ac:dyDescent="0.25">
      <c r="A2790" s="36">
        <v>45159</v>
      </c>
      <c r="B2790" s="13">
        <v>34</v>
      </c>
      <c r="C2790" t="s">
        <v>3</v>
      </c>
      <c r="D2790" t="s">
        <v>4</v>
      </c>
      <c r="E2790" t="s">
        <v>5</v>
      </c>
      <c r="F2790">
        <v>201202093</v>
      </c>
      <c r="G2790" t="s">
        <v>479</v>
      </c>
      <c r="H2790" t="s">
        <v>298</v>
      </c>
      <c r="I2790">
        <v>0</v>
      </c>
      <c r="J2790">
        <v>0</v>
      </c>
      <c r="K2790">
        <v>0</v>
      </c>
      <c r="L2790">
        <v>0</v>
      </c>
      <c r="M2790">
        <v>0.13</v>
      </c>
      <c r="N2790" s="7" t="e">
        <f>VLOOKUP(F2790,HC!A$6:D$100,3,FALSE)</f>
        <v>#N/A</v>
      </c>
      <c r="O2790" s="7" t="str">
        <f>VLOOKUP(F2790,HC!A$6:D$1000,2,FALSE)</f>
        <v>eliorten</v>
      </c>
      <c r="P2790" t="s">
        <v>665</v>
      </c>
      <c r="Q2790" t="s">
        <v>722</v>
      </c>
      <c r="U2790">
        <f t="shared" si="45"/>
        <v>12</v>
      </c>
    </row>
    <row r="2791" spans="1:21" ht="37.5" customHeight="1" x14ac:dyDescent="0.25">
      <c r="A2791" s="36">
        <v>45159</v>
      </c>
      <c r="B2791" s="13">
        <v>34</v>
      </c>
      <c r="C2791" t="s">
        <v>3</v>
      </c>
      <c r="D2791" t="s">
        <v>4</v>
      </c>
      <c r="E2791" t="s">
        <v>5</v>
      </c>
      <c r="F2791">
        <v>201353293</v>
      </c>
      <c r="G2791" t="s">
        <v>1175</v>
      </c>
      <c r="H2791" t="s">
        <v>332</v>
      </c>
      <c r="I2791">
        <v>0</v>
      </c>
      <c r="J2791">
        <v>0</v>
      </c>
      <c r="K2791">
        <v>0</v>
      </c>
      <c r="L2791">
        <v>0</v>
      </c>
      <c r="M2791">
        <v>0.53</v>
      </c>
      <c r="N2791" s="7" t="e">
        <f>VLOOKUP(F2791,HC!A$6:D$100,3,FALSE)</f>
        <v>#N/A</v>
      </c>
      <c r="O2791" s="7" t="str">
        <f>VLOOKUP(F2791,HC!A$6:D$1000,2,FALSE)</f>
        <v>caitzaya</v>
      </c>
      <c r="P2791" t="s">
        <v>661</v>
      </c>
      <c r="Q2791" t="s">
        <v>681</v>
      </c>
      <c r="U2791">
        <f t="shared" si="45"/>
        <v>2</v>
      </c>
    </row>
    <row r="2792" spans="1:21" ht="37.5" customHeight="1" x14ac:dyDescent="0.25">
      <c r="A2792" s="36">
        <v>45159</v>
      </c>
      <c r="B2792" s="13">
        <v>34</v>
      </c>
      <c r="C2792" t="s">
        <v>3</v>
      </c>
      <c r="D2792" t="s">
        <v>4</v>
      </c>
      <c r="E2792" t="s">
        <v>5</v>
      </c>
      <c r="F2792">
        <v>201386201</v>
      </c>
      <c r="G2792" t="s">
        <v>1167</v>
      </c>
      <c r="H2792" t="s">
        <v>17</v>
      </c>
      <c r="I2792">
        <v>0</v>
      </c>
      <c r="J2792">
        <v>0</v>
      </c>
      <c r="K2792">
        <v>0</v>
      </c>
      <c r="L2792">
        <v>0</v>
      </c>
      <c r="M2792">
        <v>0.18</v>
      </c>
      <c r="N2792" s="7" t="e">
        <f>VLOOKUP(F2792,HC!A$6:D$100,3,FALSE)</f>
        <v>#N/A</v>
      </c>
      <c r="O2792" s="7" t="str">
        <f>VLOOKUP(F2792,HC!A$6:D$1000,2,FALSE)</f>
        <v>castjanr</v>
      </c>
      <c r="P2792" t="s">
        <v>661</v>
      </c>
      <c r="Q2792" t="s">
        <v>681</v>
      </c>
      <c r="U2792">
        <f t="shared" si="45"/>
        <v>11</v>
      </c>
    </row>
    <row r="2793" spans="1:21" ht="37.5" customHeight="1" x14ac:dyDescent="0.25">
      <c r="A2793" s="36">
        <v>45160</v>
      </c>
      <c r="B2793" s="13">
        <v>34</v>
      </c>
      <c r="C2793" t="s">
        <v>3</v>
      </c>
      <c r="D2793" t="s">
        <v>4</v>
      </c>
      <c r="E2793" t="s">
        <v>21</v>
      </c>
      <c r="F2793">
        <v>112506531</v>
      </c>
      <c r="G2793" t="s">
        <v>1220</v>
      </c>
      <c r="H2793" t="s">
        <v>285</v>
      </c>
      <c r="I2793">
        <v>0</v>
      </c>
      <c r="J2793">
        <v>0</v>
      </c>
      <c r="K2793">
        <v>0</v>
      </c>
      <c r="L2793">
        <v>0</v>
      </c>
      <c r="M2793">
        <v>4.1100000000000003</v>
      </c>
      <c r="N2793" s="7" t="e">
        <f>VLOOKUP(F2793,HC!A$6:D$100,3,FALSE)</f>
        <v>#N/A</v>
      </c>
      <c r="O2793" s="7" t="e">
        <f>VLOOKUP(F2793,HC!A$6:D$1000,2,FALSE)</f>
        <v>#N/A</v>
      </c>
      <c r="P2793" t="s">
        <v>664</v>
      </c>
      <c r="Q2793" t="s">
        <v>710</v>
      </c>
      <c r="U2793">
        <f t="shared" si="45"/>
        <v>1395</v>
      </c>
    </row>
    <row r="2794" spans="1:21" ht="37.5" customHeight="1" x14ac:dyDescent="0.25">
      <c r="A2794" s="36">
        <v>45160</v>
      </c>
      <c r="B2794" s="13">
        <v>34</v>
      </c>
      <c r="C2794" t="s">
        <v>3</v>
      </c>
      <c r="D2794" t="s">
        <v>4</v>
      </c>
      <c r="E2794" t="s">
        <v>5</v>
      </c>
      <c r="F2794">
        <v>112912752</v>
      </c>
      <c r="G2794" t="s">
        <v>251</v>
      </c>
      <c r="H2794" t="s">
        <v>332</v>
      </c>
      <c r="I2794">
        <v>0</v>
      </c>
      <c r="J2794">
        <v>0</v>
      </c>
      <c r="K2794">
        <v>0</v>
      </c>
      <c r="L2794">
        <v>0</v>
      </c>
      <c r="M2794">
        <v>0.35</v>
      </c>
      <c r="N2794" s="7" t="str">
        <f>VLOOKUP(F2794,HC!A$6:D$100,3,FALSE)</f>
        <v>NF-X1900</v>
      </c>
      <c r="O2794" s="7" t="str">
        <f>VLOOKUP(F2794,HC!A$6:D$1000,2,FALSE)</f>
        <v>valderle</v>
      </c>
      <c r="P2794" t="s">
        <v>661</v>
      </c>
      <c r="Q2794" t="s">
        <v>681</v>
      </c>
      <c r="U2794">
        <f t="shared" si="45"/>
        <v>50</v>
      </c>
    </row>
    <row r="2795" spans="1:21" ht="37.5" customHeight="1" x14ac:dyDescent="0.25">
      <c r="A2795" s="36">
        <v>45160</v>
      </c>
      <c r="B2795" s="13">
        <v>34</v>
      </c>
      <c r="C2795" t="s">
        <v>3</v>
      </c>
      <c r="D2795" t="s">
        <v>4</v>
      </c>
      <c r="E2795" t="s">
        <v>5</v>
      </c>
      <c r="F2795">
        <v>112980832</v>
      </c>
      <c r="G2795" t="s">
        <v>427</v>
      </c>
      <c r="H2795" t="s">
        <v>285</v>
      </c>
      <c r="I2795">
        <v>0</v>
      </c>
      <c r="J2795">
        <v>0</v>
      </c>
      <c r="K2795">
        <v>0</v>
      </c>
      <c r="L2795">
        <v>0</v>
      </c>
      <c r="M2795">
        <v>0.73</v>
      </c>
      <c r="N2795" s="7" t="e">
        <f>VLOOKUP(F2795,HC!A$6:D$100,3,FALSE)</f>
        <v>#N/A</v>
      </c>
      <c r="O2795" s="7" t="e">
        <f>VLOOKUP(F2795,HC!A$6:D$1000,2,FALSE)</f>
        <v>#N/A</v>
      </c>
      <c r="P2795" t="s">
        <v>661</v>
      </c>
      <c r="Q2795" t="s">
        <v>681</v>
      </c>
      <c r="U2795">
        <f t="shared" si="45"/>
        <v>1395</v>
      </c>
    </row>
    <row r="2796" spans="1:21" ht="37.5" customHeight="1" x14ac:dyDescent="0.25">
      <c r="A2796" s="36">
        <v>45160</v>
      </c>
      <c r="B2796" s="13">
        <v>34</v>
      </c>
      <c r="C2796" t="s">
        <v>3</v>
      </c>
      <c r="D2796" t="s">
        <v>4</v>
      </c>
      <c r="E2796" t="s">
        <v>5</v>
      </c>
      <c r="F2796">
        <v>112980887</v>
      </c>
      <c r="G2796" t="s">
        <v>1221</v>
      </c>
      <c r="H2796" t="s">
        <v>282</v>
      </c>
      <c r="I2796">
        <v>0</v>
      </c>
      <c r="J2796">
        <v>0</v>
      </c>
      <c r="K2796">
        <v>0</v>
      </c>
      <c r="L2796">
        <v>0</v>
      </c>
      <c r="M2796">
        <v>0.14000000000000001</v>
      </c>
      <c r="N2796" s="7" t="e">
        <f>VLOOKUP(F2796,HC!A$6:D$100,3,FALSE)</f>
        <v>#N/A</v>
      </c>
      <c r="O2796" s="7" t="e">
        <f>VLOOKUP(F2796,HC!A$6:D$1000,2,FALSE)</f>
        <v>#N/A</v>
      </c>
      <c r="P2796" t="s">
        <v>665</v>
      </c>
      <c r="Q2796" t="s">
        <v>722</v>
      </c>
      <c r="U2796">
        <f t="shared" si="45"/>
        <v>1395</v>
      </c>
    </row>
    <row r="2797" spans="1:21" ht="37.5" customHeight="1" x14ac:dyDescent="0.25">
      <c r="A2797" s="36">
        <v>45160</v>
      </c>
      <c r="B2797" s="13">
        <v>34</v>
      </c>
      <c r="C2797" t="s">
        <v>3</v>
      </c>
      <c r="D2797" t="s">
        <v>4</v>
      </c>
      <c r="E2797" t="s">
        <v>5</v>
      </c>
      <c r="F2797">
        <v>112980899</v>
      </c>
      <c r="G2797" t="s">
        <v>396</v>
      </c>
      <c r="H2797" t="s">
        <v>332</v>
      </c>
      <c r="I2797">
        <v>0</v>
      </c>
      <c r="J2797">
        <v>0</v>
      </c>
      <c r="K2797">
        <v>0</v>
      </c>
      <c r="L2797">
        <v>0</v>
      </c>
      <c r="M2797">
        <v>0.35</v>
      </c>
      <c r="N2797" s="7" t="str">
        <f>VLOOKUP(F2797,HC!A$6:D$100,3,FALSE)</f>
        <v>NF-X1900</v>
      </c>
      <c r="O2797" s="7" t="str">
        <f>VLOOKUP(F2797,HC!A$6:D$1000,2,FALSE)</f>
        <v>aravilac</v>
      </c>
      <c r="P2797" t="s">
        <v>661</v>
      </c>
      <c r="Q2797" t="s">
        <v>681</v>
      </c>
      <c r="U2797">
        <f t="shared" si="45"/>
        <v>33</v>
      </c>
    </row>
    <row r="2798" spans="1:21" ht="37.5" customHeight="1" x14ac:dyDescent="0.25">
      <c r="A2798" s="36">
        <v>45160</v>
      </c>
      <c r="B2798" s="13">
        <v>34</v>
      </c>
      <c r="C2798" t="s">
        <v>3</v>
      </c>
      <c r="D2798" t="s">
        <v>4</v>
      </c>
      <c r="E2798" t="s">
        <v>5</v>
      </c>
      <c r="F2798">
        <v>113014078</v>
      </c>
      <c r="G2798" t="s">
        <v>567</v>
      </c>
      <c r="H2798" t="s">
        <v>298</v>
      </c>
      <c r="I2798">
        <v>0</v>
      </c>
      <c r="J2798">
        <v>0</v>
      </c>
      <c r="K2798">
        <v>0</v>
      </c>
      <c r="L2798">
        <v>0</v>
      </c>
      <c r="M2798">
        <v>0.8</v>
      </c>
      <c r="N2798" s="7" t="e">
        <f>VLOOKUP(F2798,HC!A$6:D$100,3,FALSE)</f>
        <v>#N/A</v>
      </c>
      <c r="O2798" s="7" t="str">
        <f>VLOOKUP(F2798,HC!A$6:D$1000,2,FALSE)</f>
        <v>dnaldair</v>
      </c>
      <c r="P2798" t="s">
        <v>661</v>
      </c>
      <c r="Q2798" t="s">
        <v>681</v>
      </c>
      <c r="U2798">
        <f t="shared" si="45"/>
        <v>14</v>
      </c>
    </row>
    <row r="2799" spans="1:21" ht="37.5" customHeight="1" x14ac:dyDescent="0.25">
      <c r="A2799" s="36">
        <v>45160</v>
      </c>
      <c r="B2799" s="13">
        <v>34</v>
      </c>
      <c r="C2799" t="s">
        <v>3</v>
      </c>
      <c r="D2799" t="s">
        <v>4</v>
      </c>
      <c r="E2799" t="s">
        <v>5</v>
      </c>
      <c r="F2799">
        <v>113014470</v>
      </c>
      <c r="G2799" t="s">
        <v>374</v>
      </c>
      <c r="H2799" t="s">
        <v>44</v>
      </c>
      <c r="I2799">
        <v>0</v>
      </c>
      <c r="J2799">
        <v>0</v>
      </c>
      <c r="K2799">
        <v>0</v>
      </c>
      <c r="L2799">
        <v>0</v>
      </c>
      <c r="M2799">
        <v>0.22</v>
      </c>
      <c r="N2799" s="7" t="e">
        <f>VLOOKUP(F2799,HC!A$6:D$100,3,FALSE)</f>
        <v>#N/A</v>
      </c>
      <c r="O2799" s="7" t="str">
        <f>VLOOKUP(F2799,HC!A$6:D$1000,2,FALSE)</f>
        <v>lupaguin</v>
      </c>
      <c r="P2799" t="s">
        <v>669</v>
      </c>
      <c r="Q2799" t="s">
        <v>739</v>
      </c>
      <c r="U2799">
        <f t="shared" si="45"/>
        <v>23</v>
      </c>
    </row>
    <row r="2800" spans="1:21" ht="37.5" customHeight="1" x14ac:dyDescent="0.25">
      <c r="A2800" s="36">
        <v>45160</v>
      </c>
      <c r="B2800" s="13">
        <v>34</v>
      </c>
      <c r="C2800" t="s">
        <v>3</v>
      </c>
      <c r="D2800" t="s">
        <v>4</v>
      </c>
      <c r="E2800" t="s">
        <v>5</v>
      </c>
      <c r="F2800">
        <v>113014592</v>
      </c>
      <c r="G2800" t="s">
        <v>967</v>
      </c>
      <c r="H2800" t="s">
        <v>298</v>
      </c>
      <c r="I2800">
        <v>0</v>
      </c>
      <c r="J2800">
        <v>0</v>
      </c>
      <c r="K2800">
        <v>0</v>
      </c>
      <c r="L2800">
        <v>0</v>
      </c>
      <c r="M2800">
        <v>0.18</v>
      </c>
      <c r="N2800" s="7" t="e">
        <f>VLOOKUP(F2800,HC!A$6:D$100,3,FALSE)</f>
        <v>#N/A</v>
      </c>
      <c r="O2800" s="7" t="str">
        <f>VLOOKUP(F2800,HC!A$6:D$1000,2,FALSE)</f>
        <v>brepicaz</v>
      </c>
      <c r="P2800" t="s">
        <v>661</v>
      </c>
      <c r="Q2800" t="s">
        <v>681</v>
      </c>
      <c r="U2800">
        <f t="shared" si="45"/>
        <v>6</v>
      </c>
    </row>
    <row r="2801" spans="1:21" ht="37.5" customHeight="1" x14ac:dyDescent="0.25">
      <c r="A2801" s="36">
        <v>45160</v>
      </c>
      <c r="B2801" s="13">
        <v>34</v>
      </c>
      <c r="C2801" t="s">
        <v>3</v>
      </c>
      <c r="D2801" t="s">
        <v>4</v>
      </c>
      <c r="E2801" t="s">
        <v>5</v>
      </c>
      <c r="F2801">
        <v>200574655</v>
      </c>
      <c r="G2801" t="s">
        <v>630</v>
      </c>
      <c r="H2801" t="s">
        <v>44</v>
      </c>
      <c r="I2801">
        <v>0</v>
      </c>
      <c r="J2801">
        <v>0</v>
      </c>
      <c r="K2801">
        <v>0</v>
      </c>
      <c r="L2801">
        <v>0</v>
      </c>
      <c r="M2801">
        <v>0.42</v>
      </c>
      <c r="N2801" s="7" t="e">
        <f>VLOOKUP(F2801,HC!A$6:D$100,3,FALSE)</f>
        <v>#N/A</v>
      </c>
      <c r="O2801" s="7" t="str">
        <f>VLOOKUP(F2801,HC!A$6:D$1000,2,FALSE)</f>
        <v>dulceami</v>
      </c>
      <c r="P2801" t="s">
        <v>664</v>
      </c>
      <c r="Q2801" t="s">
        <v>777</v>
      </c>
      <c r="U2801">
        <f t="shared" si="45"/>
        <v>20</v>
      </c>
    </row>
    <row r="2802" spans="1:21" ht="37.5" customHeight="1" x14ac:dyDescent="0.25">
      <c r="A2802" s="36">
        <v>45160</v>
      </c>
      <c r="B2802" s="13">
        <v>34</v>
      </c>
      <c r="C2802" t="s">
        <v>3</v>
      </c>
      <c r="D2802" t="s">
        <v>4</v>
      </c>
      <c r="E2802" t="s">
        <v>5</v>
      </c>
      <c r="F2802">
        <v>201167501</v>
      </c>
      <c r="G2802" t="s">
        <v>863</v>
      </c>
      <c r="H2802" t="s">
        <v>44</v>
      </c>
      <c r="I2802">
        <v>0</v>
      </c>
      <c r="J2802">
        <v>0</v>
      </c>
      <c r="K2802">
        <v>0</v>
      </c>
      <c r="L2802">
        <v>0</v>
      </c>
      <c r="M2802">
        <v>0.11</v>
      </c>
      <c r="N2802" s="7" t="e">
        <f>VLOOKUP(F2802,HC!A$6:D$100,3,FALSE)</f>
        <v>#N/A</v>
      </c>
      <c r="O2802" s="7" t="str">
        <f>VLOOKUP(F2802,HC!A$6:D$1000,2,FALSE)</f>
        <v>wguanajr</v>
      </c>
      <c r="P2802" t="s">
        <v>664</v>
      </c>
      <c r="Q2802" t="s">
        <v>708</v>
      </c>
      <c r="U2802">
        <f t="shared" si="45"/>
        <v>36</v>
      </c>
    </row>
    <row r="2803" spans="1:21" ht="37.5" customHeight="1" x14ac:dyDescent="0.25">
      <c r="A2803" s="36">
        <v>45160</v>
      </c>
      <c r="B2803" s="13">
        <v>34</v>
      </c>
      <c r="C2803" t="s">
        <v>3</v>
      </c>
      <c r="D2803" t="s">
        <v>4</v>
      </c>
      <c r="E2803" t="s">
        <v>5</v>
      </c>
      <c r="F2803">
        <v>201318220</v>
      </c>
      <c r="G2803" t="s">
        <v>1183</v>
      </c>
      <c r="H2803" t="s">
        <v>1040</v>
      </c>
      <c r="I2803">
        <v>0</v>
      </c>
      <c r="J2803">
        <v>0</v>
      </c>
      <c r="K2803">
        <v>0</v>
      </c>
      <c r="L2803">
        <v>0</v>
      </c>
      <c r="M2803">
        <v>0.03</v>
      </c>
      <c r="N2803" s="7" t="e">
        <f>VLOOKUP(F2803,HC!A$6:D$100,3,FALSE)</f>
        <v>#N/A</v>
      </c>
      <c r="O2803" s="7" t="str">
        <f>VLOOKUP(F2803,HC!A$6:D$1000,2,FALSE)</f>
        <v>raufjas</v>
      </c>
      <c r="P2803" t="s">
        <v>661</v>
      </c>
      <c r="Q2803" t="s">
        <v>681</v>
      </c>
      <c r="U2803">
        <f t="shared" si="45"/>
        <v>11</v>
      </c>
    </row>
    <row r="2804" spans="1:21" ht="37.5" customHeight="1" x14ac:dyDescent="0.25">
      <c r="A2804" s="36">
        <v>45160</v>
      </c>
      <c r="B2804" s="13">
        <v>34</v>
      </c>
      <c r="C2804" t="s">
        <v>3</v>
      </c>
      <c r="D2804" t="s">
        <v>4</v>
      </c>
      <c r="E2804" t="s">
        <v>5</v>
      </c>
      <c r="F2804">
        <v>201378614</v>
      </c>
      <c r="G2804" t="s">
        <v>1046</v>
      </c>
      <c r="H2804" t="s">
        <v>1040</v>
      </c>
      <c r="I2804">
        <v>0</v>
      </c>
      <c r="J2804">
        <v>0</v>
      </c>
      <c r="K2804">
        <v>0</v>
      </c>
      <c r="L2804">
        <v>0</v>
      </c>
      <c r="M2804">
        <v>0.3</v>
      </c>
      <c r="N2804" s="7" t="e">
        <f>VLOOKUP(F2804,HC!A$6:D$100,3,FALSE)</f>
        <v>#N/A</v>
      </c>
      <c r="O2804" s="7" t="e">
        <f>VLOOKUP(F2804,HC!A$6:D$1000,2,FALSE)</f>
        <v>#N/A</v>
      </c>
      <c r="P2804" t="s">
        <v>668</v>
      </c>
      <c r="Q2804" t="s">
        <v>732</v>
      </c>
      <c r="U2804">
        <f t="shared" si="45"/>
        <v>1395</v>
      </c>
    </row>
    <row r="2805" spans="1:21" ht="37.5" customHeight="1" x14ac:dyDescent="0.25">
      <c r="A2805" s="36">
        <v>45160</v>
      </c>
      <c r="B2805" s="13">
        <v>34</v>
      </c>
      <c r="C2805" t="s">
        <v>3</v>
      </c>
      <c r="D2805" t="s">
        <v>4</v>
      </c>
      <c r="E2805" t="s">
        <v>21</v>
      </c>
      <c r="F2805">
        <v>201615692</v>
      </c>
      <c r="G2805" t="s">
        <v>1222</v>
      </c>
      <c r="H2805" t="s">
        <v>298</v>
      </c>
      <c r="I2805">
        <v>0</v>
      </c>
      <c r="J2805">
        <v>0</v>
      </c>
      <c r="K2805">
        <v>0</v>
      </c>
      <c r="L2805">
        <v>0</v>
      </c>
      <c r="M2805">
        <v>1</v>
      </c>
      <c r="N2805" s="7" t="e">
        <f>VLOOKUP(F2805,HC!A$6:D$100,3,FALSE)</f>
        <v>#N/A</v>
      </c>
      <c r="O2805" s="7" t="e">
        <f>VLOOKUP(F2805,HC!A$6:D$1000,2,FALSE)</f>
        <v>#N/A</v>
      </c>
      <c r="P2805" t="s">
        <v>664</v>
      </c>
      <c r="Q2805" t="s">
        <v>710</v>
      </c>
      <c r="U2805">
        <f t="shared" si="45"/>
        <v>1395</v>
      </c>
    </row>
    <row r="2806" spans="1:21" ht="37.5" customHeight="1" x14ac:dyDescent="0.25">
      <c r="A2806" s="36">
        <v>45160</v>
      </c>
      <c r="B2806" s="13">
        <v>34</v>
      </c>
      <c r="C2806" t="s">
        <v>3</v>
      </c>
      <c r="D2806" t="s">
        <v>4</v>
      </c>
      <c r="E2806" t="s">
        <v>21</v>
      </c>
      <c r="F2806">
        <v>201874092</v>
      </c>
      <c r="G2806" t="s">
        <v>1223</v>
      </c>
      <c r="H2806" t="s">
        <v>285</v>
      </c>
      <c r="I2806">
        <v>0</v>
      </c>
      <c r="J2806">
        <v>0</v>
      </c>
      <c r="K2806">
        <v>0</v>
      </c>
      <c r="L2806">
        <v>0</v>
      </c>
      <c r="M2806">
        <v>0.01</v>
      </c>
      <c r="N2806" s="7" t="e">
        <f>VLOOKUP(F2806,HC!A$6:D$100,3,FALSE)</f>
        <v>#N/A</v>
      </c>
      <c r="O2806" s="7" t="e">
        <f>VLOOKUP(F2806,HC!A$6:D$1000,2,FALSE)</f>
        <v>#N/A</v>
      </c>
      <c r="P2806" t="s">
        <v>661</v>
      </c>
      <c r="Q2806" t="s">
        <v>681</v>
      </c>
      <c r="U2806">
        <f t="shared" si="45"/>
        <v>1395</v>
      </c>
    </row>
    <row r="2807" spans="1:21" ht="37.5" customHeight="1" x14ac:dyDescent="0.25">
      <c r="A2807" s="36">
        <v>45160</v>
      </c>
      <c r="B2807" s="13">
        <v>34</v>
      </c>
      <c r="C2807" t="s">
        <v>3</v>
      </c>
      <c r="D2807" t="s">
        <v>1224</v>
      </c>
      <c r="E2807" t="s">
        <v>21</v>
      </c>
      <c r="F2807">
        <v>201874092</v>
      </c>
      <c r="G2807" t="s">
        <v>1223</v>
      </c>
      <c r="H2807" t="s">
        <v>285</v>
      </c>
      <c r="I2807">
        <v>0</v>
      </c>
      <c r="J2807">
        <v>0</v>
      </c>
      <c r="K2807">
        <v>0</v>
      </c>
      <c r="L2807">
        <v>0</v>
      </c>
      <c r="M2807">
        <v>0.28999999999999998</v>
      </c>
      <c r="N2807" s="7" t="e">
        <f>VLOOKUP(F2807,HC!A$6:D$100,3,FALSE)</f>
        <v>#N/A</v>
      </c>
      <c r="O2807" s="7" t="e">
        <f>VLOOKUP(F2807,HC!A$6:D$1000,2,FALSE)</f>
        <v>#N/A</v>
      </c>
      <c r="P2807" t="s">
        <v>661</v>
      </c>
      <c r="Q2807" t="s">
        <v>681</v>
      </c>
      <c r="U2807">
        <f t="shared" si="45"/>
        <v>1395</v>
      </c>
    </row>
    <row r="2808" spans="1:21" ht="37.5" customHeight="1" x14ac:dyDescent="0.25">
      <c r="A2808" s="36">
        <v>45161</v>
      </c>
      <c r="B2808" s="13">
        <v>34</v>
      </c>
      <c r="C2808" t="s">
        <v>3</v>
      </c>
      <c r="D2808" t="s">
        <v>4</v>
      </c>
      <c r="E2808" t="s">
        <v>5</v>
      </c>
      <c r="F2808">
        <v>112912054</v>
      </c>
      <c r="G2808" t="s">
        <v>333</v>
      </c>
      <c r="H2808" t="s">
        <v>403</v>
      </c>
      <c r="I2808">
        <v>0</v>
      </c>
      <c r="J2808">
        <v>0</v>
      </c>
      <c r="K2808">
        <v>0</v>
      </c>
      <c r="L2808">
        <v>0</v>
      </c>
      <c r="M2808">
        <v>0.17</v>
      </c>
      <c r="N2808" s="7" t="str">
        <f>VLOOKUP(F2808,HC!A$6:D$100,3,FALSE)</f>
        <v>DB-X0700</v>
      </c>
      <c r="O2808" s="7" t="str">
        <f>VLOOKUP(F2808,HC!A$6:D$1000,2,FALSE)</f>
        <v>privejor</v>
      </c>
      <c r="P2808" t="s">
        <v>663</v>
      </c>
      <c r="Q2808" t="s">
        <v>692</v>
      </c>
      <c r="U2808">
        <f t="shared" si="45"/>
        <v>14</v>
      </c>
    </row>
    <row r="2809" spans="1:21" ht="37.5" customHeight="1" x14ac:dyDescent="0.25">
      <c r="A2809" s="36">
        <v>45161</v>
      </c>
      <c r="B2809" s="13">
        <v>34</v>
      </c>
      <c r="C2809" t="s">
        <v>3</v>
      </c>
      <c r="D2809" t="s">
        <v>4</v>
      </c>
      <c r="E2809" t="s">
        <v>5</v>
      </c>
      <c r="F2809">
        <v>112912745</v>
      </c>
      <c r="G2809" t="s">
        <v>478</v>
      </c>
      <c r="H2809" t="s">
        <v>285</v>
      </c>
      <c r="I2809">
        <v>0</v>
      </c>
      <c r="J2809">
        <v>0</v>
      </c>
      <c r="K2809">
        <v>0</v>
      </c>
      <c r="L2809">
        <v>0</v>
      </c>
      <c r="M2809">
        <v>0.06</v>
      </c>
      <c r="N2809" s="7" t="str">
        <f>VLOOKUP(F2809,HC!A$6:D$100,3,FALSE)</f>
        <v>DA-X0700</v>
      </c>
      <c r="O2809" s="7" t="str">
        <f>VLOOKUP(F2809,HC!A$6:D$1000,2,FALSE)</f>
        <v>nalexgom</v>
      </c>
      <c r="P2809" t="s">
        <v>662</v>
      </c>
      <c r="Q2809" t="s">
        <v>688</v>
      </c>
      <c r="U2809">
        <f t="shared" si="45"/>
        <v>22</v>
      </c>
    </row>
    <row r="2810" spans="1:21" ht="37.5" customHeight="1" x14ac:dyDescent="0.25">
      <c r="A2810" s="36">
        <v>45161</v>
      </c>
      <c r="B2810" s="13">
        <v>34</v>
      </c>
      <c r="C2810" t="s">
        <v>3</v>
      </c>
      <c r="D2810" t="s">
        <v>4</v>
      </c>
      <c r="E2810" t="s">
        <v>5</v>
      </c>
      <c r="F2810">
        <v>112971962</v>
      </c>
      <c r="G2810" t="s">
        <v>338</v>
      </c>
      <c r="H2810" t="s">
        <v>17</v>
      </c>
      <c r="I2810">
        <v>0</v>
      </c>
      <c r="J2810">
        <v>0</v>
      </c>
      <c r="K2810">
        <v>0</v>
      </c>
      <c r="L2810">
        <v>0</v>
      </c>
      <c r="M2810">
        <v>0.52</v>
      </c>
      <c r="N2810" s="7" t="str">
        <f>VLOOKUP(F2810,HC!A$6:D$100,3,FALSE)</f>
        <v>DB-X0700</v>
      </c>
      <c r="O2810" s="7" t="str">
        <f>VLOOKUP(F2810,HC!A$6:D$1000,2,FALSE)</f>
        <v>creyesal</v>
      </c>
      <c r="P2810" t="s">
        <v>664</v>
      </c>
      <c r="Q2810" t="s">
        <v>708</v>
      </c>
      <c r="U2810">
        <f t="shared" si="45"/>
        <v>38</v>
      </c>
    </row>
    <row r="2811" spans="1:21" ht="37.5" customHeight="1" x14ac:dyDescent="0.25">
      <c r="A2811" s="36">
        <v>45161</v>
      </c>
      <c r="B2811" s="13">
        <v>34</v>
      </c>
      <c r="C2811" t="s">
        <v>3</v>
      </c>
      <c r="D2811" t="s">
        <v>4</v>
      </c>
      <c r="E2811" t="s">
        <v>5</v>
      </c>
      <c r="F2811">
        <v>113014470</v>
      </c>
      <c r="G2811" t="s">
        <v>374</v>
      </c>
      <c r="H2811" t="s">
        <v>44</v>
      </c>
      <c r="I2811">
        <v>0</v>
      </c>
      <c r="J2811">
        <v>0</v>
      </c>
      <c r="K2811">
        <v>0</v>
      </c>
      <c r="L2811">
        <v>0</v>
      </c>
      <c r="M2811">
        <v>0.73</v>
      </c>
      <c r="N2811" s="7" t="e">
        <f>VLOOKUP(F2811,HC!A$6:D$100,3,FALSE)</f>
        <v>#N/A</v>
      </c>
      <c r="O2811" s="7" t="str">
        <f>VLOOKUP(F2811,HC!A$6:D$1000,2,FALSE)</f>
        <v>lupaguin</v>
      </c>
      <c r="P2811" t="s">
        <v>662</v>
      </c>
      <c r="Q2811" t="s">
        <v>702</v>
      </c>
      <c r="U2811">
        <f t="shared" si="45"/>
        <v>23</v>
      </c>
    </row>
    <row r="2812" spans="1:21" ht="37.5" customHeight="1" x14ac:dyDescent="0.25">
      <c r="A2812" s="36">
        <v>45161</v>
      </c>
      <c r="B2812" s="13">
        <v>34</v>
      </c>
      <c r="C2812" t="s">
        <v>3</v>
      </c>
      <c r="D2812" t="s">
        <v>4</v>
      </c>
      <c r="E2812" t="s">
        <v>5</v>
      </c>
      <c r="F2812">
        <v>113019001</v>
      </c>
      <c r="G2812" t="s">
        <v>464</v>
      </c>
      <c r="H2812" t="s">
        <v>1040</v>
      </c>
      <c r="I2812">
        <v>0</v>
      </c>
      <c r="J2812">
        <v>0</v>
      </c>
      <c r="K2812">
        <v>0</v>
      </c>
      <c r="L2812">
        <v>0</v>
      </c>
      <c r="M2812">
        <v>0.21</v>
      </c>
      <c r="N2812" s="7" t="e">
        <f>VLOOKUP(F2812,HC!A$6:D$100,3,FALSE)</f>
        <v>#N/A</v>
      </c>
      <c r="O2812" s="7" t="str">
        <f>VLOOKUP(F2812,HC!A$6:D$1000,2,FALSE)</f>
        <v>dolozane</v>
      </c>
      <c r="P2812" t="s">
        <v>664</v>
      </c>
      <c r="Q2812" t="s">
        <v>716</v>
      </c>
      <c r="U2812">
        <f t="shared" si="45"/>
        <v>17</v>
      </c>
    </row>
    <row r="2813" spans="1:21" ht="37.5" customHeight="1" x14ac:dyDescent="0.25">
      <c r="A2813" s="36">
        <v>45161</v>
      </c>
      <c r="B2813" s="13">
        <v>34</v>
      </c>
      <c r="C2813" t="s">
        <v>3</v>
      </c>
      <c r="D2813" t="s">
        <v>4</v>
      </c>
      <c r="E2813" t="s">
        <v>5</v>
      </c>
      <c r="F2813">
        <v>200404250</v>
      </c>
      <c r="G2813" t="s">
        <v>51</v>
      </c>
      <c r="H2813" t="s">
        <v>298</v>
      </c>
      <c r="I2813">
        <v>0</v>
      </c>
      <c r="J2813">
        <v>0</v>
      </c>
      <c r="K2813">
        <v>0</v>
      </c>
      <c r="L2813">
        <v>0</v>
      </c>
      <c r="M2813">
        <v>0.86</v>
      </c>
      <c r="N2813" s="7" t="e">
        <f>VLOOKUP(F2813,HC!A$6:D$100,3,FALSE)</f>
        <v>#N/A</v>
      </c>
      <c r="O2813" s="7" t="str">
        <f>VLOOKUP(F2813,HC!A$6:D$1000,2,FALSE)</f>
        <v>xcathurt</v>
      </c>
      <c r="P2813" t="s">
        <v>662</v>
      </c>
      <c r="Q2813" t="s">
        <v>785</v>
      </c>
      <c r="U2813">
        <f t="shared" si="45"/>
        <v>124</v>
      </c>
    </row>
    <row r="2814" spans="1:21" ht="37.5" customHeight="1" x14ac:dyDescent="0.25">
      <c r="A2814" s="36">
        <v>45161</v>
      </c>
      <c r="B2814" s="13">
        <v>34</v>
      </c>
      <c r="C2814" t="s">
        <v>3</v>
      </c>
      <c r="D2814" t="s">
        <v>4</v>
      </c>
      <c r="E2814" t="s">
        <v>5</v>
      </c>
      <c r="F2814">
        <v>200508323</v>
      </c>
      <c r="G2814" t="s">
        <v>1150</v>
      </c>
      <c r="H2814" t="s">
        <v>17</v>
      </c>
      <c r="I2814">
        <v>0</v>
      </c>
      <c r="J2814">
        <v>0</v>
      </c>
      <c r="K2814">
        <v>0</v>
      </c>
      <c r="L2814">
        <v>0</v>
      </c>
      <c r="M2814">
        <v>0.06</v>
      </c>
      <c r="N2814" s="7" t="e">
        <f>VLOOKUP(F2814,HC!A$6:D$100,3,FALSE)</f>
        <v>#N/A</v>
      </c>
      <c r="O2814" s="7" t="str">
        <f>VLOOKUP(F2814,HC!A$6:D$1000,2,FALSE)</f>
        <v>espejell</v>
      </c>
      <c r="P2814" t="s">
        <v>661</v>
      </c>
      <c r="Q2814" t="s">
        <v>775</v>
      </c>
      <c r="U2814">
        <f t="shared" si="45"/>
        <v>15</v>
      </c>
    </row>
    <row r="2815" spans="1:21" ht="37.5" customHeight="1" x14ac:dyDescent="0.25">
      <c r="A2815" s="36">
        <v>45161</v>
      </c>
      <c r="B2815" s="13">
        <v>34</v>
      </c>
      <c r="C2815" t="s">
        <v>3</v>
      </c>
      <c r="D2815" t="s">
        <v>4</v>
      </c>
      <c r="E2815" t="s">
        <v>5</v>
      </c>
      <c r="F2815">
        <v>200534675</v>
      </c>
      <c r="G2815" t="s">
        <v>534</v>
      </c>
      <c r="H2815" t="s">
        <v>17</v>
      </c>
      <c r="I2815">
        <v>0</v>
      </c>
      <c r="J2815">
        <v>0</v>
      </c>
      <c r="K2815">
        <v>0</v>
      </c>
      <c r="L2815">
        <v>0</v>
      </c>
      <c r="M2815">
        <v>0.39</v>
      </c>
      <c r="N2815" s="7" t="e">
        <f>VLOOKUP(F2815,HC!A$6:D$100,3,FALSE)</f>
        <v>#N/A</v>
      </c>
      <c r="O2815" s="7" t="str">
        <f>VLOOKUP(F2815,HC!A$6:D$1000,2,FALSE)</f>
        <v>juanpmun</v>
      </c>
      <c r="P2815" t="s">
        <v>662</v>
      </c>
      <c r="Q2815" t="s">
        <v>688</v>
      </c>
      <c r="U2815">
        <f t="shared" si="45"/>
        <v>16</v>
      </c>
    </row>
    <row r="2816" spans="1:21" ht="37.5" customHeight="1" x14ac:dyDescent="0.25">
      <c r="A2816" s="36">
        <v>45161</v>
      </c>
      <c r="B2816" s="13">
        <v>34</v>
      </c>
      <c r="C2816" t="s">
        <v>3</v>
      </c>
      <c r="D2816" t="s">
        <v>4</v>
      </c>
      <c r="E2816" t="s">
        <v>5</v>
      </c>
      <c r="F2816">
        <v>200620341</v>
      </c>
      <c r="G2816" t="s">
        <v>255</v>
      </c>
      <c r="H2816" t="s">
        <v>7</v>
      </c>
      <c r="I2816">
        <v>0</v>
      </c>
      <c r="J2816">
        <v>0</v>
      </c>
      <c r="K2816">
        <v>0</v>
      </c>
      <c r="L2816">
        <v>0</v>
      </c>
      <c r="M2816">
        <v>0.22</v>
      </c>
      <c r="N2816" s="7" t="e">
        <f>VLOOKUP(F2816,HC!A$6:D$100,3,FALSE)</f>
        <v>#N/A</v>
      </c>
      <c r="O2816" s="7" t="e">
        <f>VLOOKUP(F2816,HC!A$6:D$1000,2,FALSE)</f>
        <v>#N/A</v>
      </c>
      <c r="P2816" t="s">
        <v>664</v>
      </c>
      <c r="Q2816" t="s">
        <v>709</v>
      </c>
      <c r="U2816">
        <f t="shared" si="45"/>
        <v>1395</v>
      </c>
    </row>
    <row r="2817" spans="1:21" ht="37.5" customHeight="1" x14ac:dyDescent="0.25">
      <c r="A2817" s="36">
        <v>45161</v>
      </c>
      <c r="B2817" s="13">
        <v>34</v>
      </c>
      <c r="C2817" t="s">
        <v>3</v>
      </c>
      <c r="D2817" t="s">
        <v>4</v>
      </c>
      <c r="E2817" t="s">
        <v>5</v>
      </c>
      <c r="F2817">
        <v>201186833</v>
      </c>
      <c r="G2817" t="s">
        <v>904</v>
      </c>
      <c r="H2817" t="s">
        <v>285</v>
      </c>
      <c r="I2817">
        <v>0</v>
      </c>
      <c r="J2817">
        <v>0</v>
      </c>
      <c r="K2817">
        <v>0</v>
      </c>
      <c r="L2817">
        <v>0</v>
      </c>
      <c r="M2817">
        <v>1.25</v>
      </c>
      <c r="N2817" s="7" t="e">
        <f>VLOOKUP(F2817,HC!A$6:D$100,3,FALSE)</f>
        <v>#N/A</v>
      </c>
      <c r="O2817" s="7" t="str">
        <f>VLOOKUP(F2817,HC!A$6:D$1000,2,FALSE)</f>
        <v>jaalexav</v>
      </c>
      <c r="P2817" t="s">
        <v>664</v>
      </c>
      <c r="Q2817" t="s">
        <v>716</v>
      </c>
      <c r="U2817">
        <f t="shared" si="45"/>
        <v>16</v>
      </c>
    </row>
    <row r="2818" spans="1:21" ht="37.5" customHeight="1" x14ac:dyDescent="0.25">
      <c r="A2818" s="36">
        <v>45161</v>
      </c>
      <c r="B2818" s="13">
        <v>34</v>
      </c>
      <c r="C2818" t="s">
        <v>3</v>
      </c>
      <c r="D2818" t="s">
        <v>4</v>
      </c>
      <c r="E2818" t="s">
        <v>5</v>
      </c>
      <c r="F2818">
        <v>201191390</v>
      </c>
      <c r="G2818" t="s">
        <v>916</v>
      </c>
      <c r="H2818" t="s">
        <v>7</v>
      </c>
      <c r="I2818">
        <v>0</v>
      </c>
      <c r="J2818">
        <v>0</v>
      </c>
      <c r="K2818">
        <v>0</v>
      </c>
      <c r="L2818">
        <v>0</v>
      </c>
      <c r="M2818">
        <v>1.03</v>
      </c>
      <c r="N2818" s="7" t="e">
        <f>VLOOKUP(F2818,HC!A$6:D$100,3,FALSE)</f>
        <v>#N/A</v>
      </c>
      <c r="O2818" s="7" t="str">
        <f>VLOOKUP(F2818,HC!A$6:D$1000,2,FALSE)</f>
        <v>bgajesus</v>
      </c>
      <c r="P2818" t="s">
        <v>664</v>
      </c>
      <c r="Q2818" t="s">
        <v>716</v>
      </c>
      <c r="U2818">
        <f t="shared" si="45"/>
        <v>37</v>
      </c>
    </row>
    <row r="2819" spans="1:21" ht="37.5" customHeight="1" x14ac:dyDescent="0.25">
      <c r="A2819" s="36">
        <v>45161</v>
      </c>
      <c r="B2819" s="13">
        <v>34</v>
      </c>
      <c r="C2819" t="s">
        <v>3</v>
      </c>
      <c r="D2819" t="s">
        <v>4</v>
      </c>
      <c r="E2819" t="s">
        <v>5</v>
      </c>
      <c r="F2819">
        <v>201354965</v>
      </c>
      <c r="G2819" t="s">
        <v>1063</v>
      </c>
      <c r="H2819" t="s">
        <v>263</v>
      </c>
      <c r="I2819">
        <v>0</v>
      </c>
      <c r="J2819">
        <v>0</v>
      </c>
      <c r="K2819">
        <v>0</v>
      </c>
      <c r="L2819">
        <v>0</v>
      </c>
      <c r="M2819">
        <v>0.12</v>
      </c>
      <c r="N2819" s="7" t="e">
        <f>VLOOKUP(F2819,HC!A$6:D$100,3,FALSE)</f>
        <v>#N/A</v>
      </c>
      <c r="O2819" s="7" t="str">
        <f>VLOOKUP(F2819,HC!A$6:D$1000,2,FALSE)</f>
        <v>alinejim</v>
      </c>
      <c r="P2819" t="s">
        <v>661</v>
      </c>
      <c r="Q2819" t="s">
        <v>681</v>
      </c>
      <c r="U2819">
        <f t="shared" ref="U2819:U2882" si="46">COUNTIF(O$2:O$4999,O2819)</f>
        <v>33</v>
      </c>
    </row>
    <row r="2820" spans="1:21" ht="37.5" customHeight="1" x14ac:dyDescent="0.25">
      <c r="A2820" s="36">
        <v>45161</v>
      </c>
      <c r="B2820" s="13">
        <v>34</v>
      </c>
      <c r="C2820" t="s">
        <v>3</v>
      </c>
      <c r="D2820" t="s">
        <v>4</v>
      </c>
      <c r="E2820" t="s">
        <v>5</v>
      </c>
      <c r="F2820">
        <v>201378614</v>
      </c>
      <c r="G2820" t="s">
        <v>1046</v>
      </c>
      <c r="H2820" t="s">
        <v>1040</v>
      </c>
      <c r="I2820">
        <v>0</v>
      </c>
      <c r="J2820">
        <v>0</v>
      </c>
      <c r="K2820">
        <v>0</v>
      </c>
      <c r="L2820">
        <v>0</v>
      </c>
      <c r="M2820">
        <v>0.18</v>
      </c>
      <c r="N2820" s="7" t="e">
        <f>VLOOKUP(F2820,HC!A$6:D$100,3,FALSE)</f>
        <v>#N/A</v>
      </c>
      <c r="O2820" s="7" t="e">
        <f>VLOOKUP(F2820,HC!A$6:D$1000,2,FALSE)</f>
        <v>#N/A</v>
      </c>
      <c r="P2820" t="s">
        <v>661</v>
      </c>
      <c r="Q2820" t="s">
        <v>681</v>
      </c>
      <c r="U2820">
        <f t="shared" si="46"/>
        <v>1395</v>
      </c>
    </row>
    <row r="2821" spans="1:21" ht="37.5" customHeight="1" x14ac:dyDescent="0.25">
      <c r="A2821" s="36">
        <v>45161</v>
      </c>
      <c r="B2821" s="13">
        <v>34</v>
      </c>
      <c r="C2821" t="s">
        <v>3</v>
      </c>
      <c r="D2821" t="s">
        <v>4</v>
      </c>
      <c r="E2821" t="s">
        <v>21</v>
      </c>
      <c r="F2821">
        <v>201880542</v>
      </c>
      <c r="G2821" t="s">
        <v>1225</v>
      </c>
      <c r="H2821" t="s">
        <v>298</v>
      </c>
      <c r="I2821">
        <v>0</v>
      </c>
      <c r="J2821">
        <v>0</v>
      </c>
      <c r="K2821">
        <v>0</v>
      </c>
      <c r="L2821">
        <v>0</v>
      </c>
      <c r="M2821">
        <v>0.16</v>
      </c>
      <c r="N2821" s="7" t="e">
        <f>VLOOKUP(F2821,HC!A$6:D$100,3,FALSE)</f>
        <v>#N/A</v>
      </c>
      <c r="O2821" s="7" t="str">
        <f>VLOOKUP(F2821,HC!A$6:D$1000,2,FALSE)</f>
        <v>orticorp</v>
      </c>
      <c r="P2821" t="s">
        <v>663</v>
      </c>
      <c r="Q2821" t="s">
        <v>705</v>
      </c>
      <c r="U2821">
        <f t="shared" si="46"/>
        <v>24</v>
      </c>
    </row>
    <row r="2822" spans="1:21" ht="37.5" customHeight="1" x14ac:dyDescent="0.25">
      <c r="A2822" s="36">
        <v>45161</v>
      </c>
      <c r="B2822" s="13">
        <v>34</v>
      </c>
      <c r="C2822" t="s">
        <v>3</v>
      </c>
      <c r="D2822" t="s">
        <v>4</v>
      </c>
      <c r="E2822" t="s">
        <v>21</v>
      </c>
      <c r="F2822">
        <v>201891076</v>
      </c>
      <c r="G2822" t="s">
        <v>1226</v>
      </c>
      <c r="H2822" t="s">
        <v>298</v>
      </c>
      <c r="I2822">
        <v>0</v>
      </c>
      <c r="J2822">
        <v>0</v>
      </c>
      <c r="K2822">
        <v>0</v>
      </c>
      <c r="L2822">
        <v>0</v>
      </c>
      <c r="M2822">
        <v>0.45</v>
      </c>
      <c r="N2822" s="7" t="e">
        <f>VLOOKUP(F2822,HC!A$6:D$100,3,FALSE)</f>
        <v>#N/A</v>
      </c>
      <c r="O2822" s="7" t="str">
        <f>VLOOKUP(F2822,HC!A$6:D$1000,2,FALSE)</f>
        <v>marmolve</v>
      </c>
      <c r="P2822" t="s">
        <v>661</v>
      </c>
      <c r="Q2822" t="s">
        <v>681</v>
      </c>
      <c r="U2822">
        <f t="shared" si="46"/>
        <v>9</v>
      </c>
    </row>
    <row r="2823" spans="1:21" ht="37.5" customHeight="1" x14ac:dyDescent="0.25">
      <c r="A2823" s="36">
        <v>45161</v>
      </c>
      <c r="B2823" s="13">
        <v>34</v>
      </c>
      <c r="C2823" t="s">
        <v>3</v>
      </c>
      <c r="D2823" t="s">
        <v>4</v>
      </c>
      <c r="E2823" t="s">
        <v>21</v>
      </c>
      <c r="F2823">
        <v>201901649</v>
      </c>
      <c r="G2823" t="s">
        <v>1227</v>
      </c>
      <c r="H2823" t="s">
        <v>298</v>
      </c>
      <c r="I2823">
        <v>0</v>
      </c>
      <c r="J2823">
        <v>0</v>
      </c>
      <c r="K2823">
        <v>0</v>
      </c>
      <c r="L2823">
        <v>0</v>
      </c>
      <c r="M2823">
        <v>0.23</v>
      </c>
      <c r="N2823" s="7" t="e">
        <f>VLOOKUP(F2823,HC!A$6:D$100,3,FALSE)</f>
        <v>#N/A</v>
      </c>
      <c r="O2823" s="7" t="e">
        <f>VLOOKUP(F2823,HC!A$6:D$1000,2,FALSE)</f>
        <v>#N/A</v>
      </c>
      <c r="P2823" t="s">
        <v>663</v>
      </c>
      <c r="Q2823" t="s">
        <v>705</v>
      </c>
      <c r="U2823">
        <f t="shared" si="46"/>
        <v>1395</v>
      </c>
    </row>
    <row r="2824" spans="1:21" ht="37.5" customHeight="1" x14ac:dyDescent="0.25">
      <c r="A2824" s="36">
        <v>45161</v>
      </c>
      <c r="B2824" s="13">
        <v>34</v>
      </c>
      <c r="C2824" t="s">
        <v>3</v>
      </c>
      <c r="D2824" t="s">
        <v>4</v>
      </c>
      <c r="E2824" t="s">
        <v>21</v>
      </c>
      <c r="F2824">
        <v>201906503</v>
      </c>
      <c r="G2824" t="s">
        <v>1228</v>
      </c>
      <c r="H2824" t="s">
        <v>403</v>
      </c>
      <c r="I2824">
        <v>0</v>
      </c>
      <c r="J2824">
        <v>0</v>
      </c>
      <c r="K2824">
        <v>0</v>
      </c>
      <c r="L2824">
        <v>0</v>
      </c>
      <c r="M2824">
        <v>0.08</v>
      </c>
      <c r="N2824" s="7" t="e">
        <f>VLOOKUP(F2824,HC!A$6:D$100,3,FALSE)</f>
        <v>#N/A</v>
      </c>
      <c r="O2824" s="7" t="str">
        <f>VLOOKUP(F2824,HC!A$6:D$1000,2,FALSE)</f>
        <v>mqjennif</v>
      </c>
      <c r="P2824" t="s">
        <v>661</v>
      </c>
      <c r="Q2824" t="s">
        <v>681</v>
      </c>
      <c r="U2824">
        <f t="shared" si="46"/>
        <v>11</v>
      </c>
    </row>
    <row r="2825" spans="1:21" ht="37.5" customHeight="1" x14ac:dyDescent="0.25">
      <c r="A2825" s="36">
        <v>45162</v>
      </c>
      <c r="B2825" s="13">
        <v>34</v>
      </c>
      <c r="C2825" t="s">
        <v>3</v>
      </c>
      <c r="D2825" t="s">
        <v>4</v>
      </c>
      <c r="E2825" t="s">
        <v>5</v>
      </c>
      <c r="F2825">
        <v>112912054</v>
      </c>
      <c r="G2825" t="s">
        <v>333</v>
      </c>
      <c r="H2825" t="s">
        <v>403</v>
      </c>
      <c r="I2825">
        <v>0</v>
      </c>
      <c r="J2825">
        <v>0</v>
      </c>
      <c r="K2825">
        <v>0</v>
      </c>
      <c r="L2825">
        <v>0</v>
      </c>
      <c r="M2825">
        <v>0.43</v>
      </c>
      <c r="N2825" s="7" t="str">
        <f>VLOOKUP(F2825,HC!A$6:D$100,3,FALSE)</f>
        <v>DB-X0700</v>
      </c>
      <c r="O2825" s="7" t="str">
        <f>VLOOKUP(F2825,HC!A$6:D$1000,2,FALSE)</f>
        <v>privejor</v>
      </c>
      <c r="P2825" t="s">
        <v>663</v>
      </c>
      <c r="Q2825" t="s">
        <v>705</v>
      </c>
      <c r="U2825">
        <f t="shared" si="46"/>
        <v>14</v>
      </c>
    </row>
    <row r="2826" spans="1:21" ht="37.5" customHeight="1" x14ac:dyDescent="0.25">
      <c r="A2826" s="36">
        <v>45162</v>
      </c>
      <c r="B2826" s="13">
        <v>34</v>
      </c>
      <c r="C2826" t="s">
        <v>3</v>
      </c>
      <c r="D2826" t="s">
        <v>4</v>
      </c>
      <c r="E2826" t="s">
        <v>5</v>
      </c>
      <c r="F2826">
        <v>112920655</v>
      </c>
      <c r="G2826" t="s">
        <v>509</v>
      </c>
      <c r="H2826" t="s">
        <v>459</v>
      </c>
      <c r="I2826">
        <v>0</v>
      </c>
      <c r="J2826">
        <v>0</v>
      </c>
      <c r="K2826">
        <v>0</v>
      </c>
      <c r="L2826">
        <v>0</v>
      </c>
      <c r="M2826">
        <v>0.94</v>
      </c>
      <c r="N2826" s="7" t="e">
        <f>VLOOKUP(F2826,HC!A$6:D$100,3,FALSE)</f>
        <v>#N/A</v>
      </c>
      <c r="O2826" s="7" t="e">
        <f>VLOOKUP(F2826,HC!A$6:D$1000,2,FALSE)</f>
        <v>#N/A</v>
      </c>
      <c r="P2826" t="s">
        <v>664</v>
      </c>
      <c r="Q2826" t="s">
        <v>708</v>
      </c>
      <c r="U2826">
        <f t="shared" si="46"/>
        <v>1395</v>
      </c>
    </row>
    <row r="2827" spans="1:21" ht="37.5" customHeight="1" x14ac:dyDescent="0.25">
      <c r="A2827" s="36">
        <v>45162</v>
      </c>
      <c r="B2827" s="13">
        <v>34</v>
      </c>
      <c r="C2827" t="s">
        <v>3</v>
      </c>
      <c r="D2827" t="s">
        <v>4</v>
      </c>
      <c r="E2827" t="s">
        <v>5</v>
      </c>
      <c r="F2827">
        <v>112920679</v>
      </c>
      <c r="G2827" t="s">
        <v>519</v>
      </c>
      <c r="H2827" t="s">
        <v>285</v>
      </c>
      <c r="I2827">
        <v>0</v>
      </c>
      <c r="J2827">
        <v>0</v>
      </c>
      <c r="K2827">
        <v>0</v>
      </c>
      <c r="L2827">
        <v>0</v>
      </c>
      <c r="M2827">
        <v>0.96</v>
      </c>
      <c r="N2827" s="7" t="e">
        <f>VLOOKUP(F2827,HC!A$6:D$100,3,FALSE)</f>
        <v>#N/A</v>
      </c>
      <c r="O2827" s="7" t="e">
        <f>VLOOKUP(F2827,HC!A$6:D$1000,2,FALSE)</f>
        <v>#N/A</v>
      </c>
      <c r="P2827" t="s">
        <v>670</v>
      </c>
      <c r="Q2827" t="s">
        <v>742</v>
      </c>
      <c r="U2827">
        <f t="shared" si="46"/>
        <v>1395</v>
      </c>
    </row>
    <row r="2828" spans="1:21" ht="37.5" customHeight="1" x14ac:dyDescent="0.25">
      <c r="A2828" s="36">
        <v>45162</v>
      </c>
      <c r="B2828" s="13">
        <v>34</v>
      </c>
      <c r="C2828" t="s">
        <v>3</v>
      </c>
      <c r="D2828" t="s">
        <v>4</v>
      </c>
      <c r="E2828" t="s">
        <v>5</v>
      </c>
      <c r="F2828">
        <v>112980832</v>
      </c>
      <c r="G2828" t="s">
        <v>427</v>
      </c>
      <c r="H2828" t="s">
        <v>285</v>
      </c>
      <c r="I2828">
        <v>0</v>
      </c>
      <c r="J2828">
        <v>0</v>
      </c>
      <c r="K2828">
        <v>0</v>
      </c>
      <c r="L2828">
        <v>0</v>
      </c>
      <c r="M2828">
        <v>0.69</v>
      </c>
      <c r="N2828" s="7" t="e">
        <f>VLOOKUP(F2828,HC!A$6:D$100,3,FALSE)</f>
        <v>#N/A</v>
      </c>
      <c r="O2828" s="7" t="e">
        <f>VLOOKUP(F2828,HC!A$6:D$1000,2,FALSE)</f>
        <v>#N/A</v>
      </c>
      <c r="P2828" t="s">
        <v>664</v>
      </c>
      <c r="Q2828" t="s">
        <v>711</v>
      </c>
      <c r="U2828">
        <f t="shared" si="46"/>
        <v>1395</v>
      </c>
    </row>
    <row r="2829" spans="1:21" ht="37.5" customHeight="1" x14ac:dyDescent="0.25">
      <c r="A2829" s="36">
        <v>45162</v>
      </c>
      <c r="B2829" s="13">
        <v>34</v>
      </c>
      <c r="C2829" t="s">
        <v>3</v>
      </c>
      <c r="D2829" t="s">
        <v>4</v>
      </c>
      <c r="E2829" t="s">
        <v>5</v>
      </c>
      <c r="F2829">
        <v>113003510</v>
      </c>
      <c r="G2829" t="s">
        <v>913</v>
      </c>
      <c r="H2829" t="s">
        <v>47</v>
      </c>
      <c r="I2829">
        <v>0</v>
      </c>
      <c r="J2829">
        <v>0</v>
      </c>
      <c r="K2829">
        <v>0</v>
      </c>
      <c r="L2829">
        <v>0</v>
      </c>
      <c r="M2829">
        <v>0.08</v>
      </c>
      <c r="N2829" s="7" t="e">
        <f>VLOOKUP(F2829,HC!A$6:D$100,3,FALSE)</f>
        <v>#N/A</v>
      </c>
      <c r="O2829" s="7" t="str">
        <f>VLOOKUP(F2829,HC!A$6:D$1000,2,FALSE)</f>
        <v>nperezmc</v>
      </c>
      <c r="P2829" t="s">
        <v>661</v>
      </c>
      <c r="Q2829" t="s">
        <v>681</v>
      </c>
      <c r="U2829">
        <f t="shared" si="46"/>
        <v>12</v>
      </c>
    </row>
    <row r="2830" spans="1:21" ht="37.5" customHeight="1" x14ac:dyDescent="0.25">
      <c r="A2830" s="36">
        <v>45162</v>
      </c>
      <c r="B2830" s="13">
        <v>34</v>
      </c>
      <c r="C2830" t="s">
        <v>3</v>
      </c>
      <c r="D2830" t="s">
        <v>4</v>
      </c>
      <c r="E2830" t="s">
        <v>5</v>
      </c>
      <c r="F2830">
        <v>113014560</v>
      </c>
      <c r="G2830" t="s">
        <v>599</v>
      </c>
      <c r="H2830" t="s">
        <v>17</v>
      </c>
      <c r="I2830">
        <v>0</v>
      </c>
      <c r="J2830">
        <v>0</v>
      </c>
      <c r="K2830">
        <v>0</v>
      </c>
      <c r="L2830">
        <v>0</v>
      </c>
      <c r="M2830">
        <v>0.2</v>
      </c>
      <c r="N2830" s="7" t="e">
        <f>VLOOKUP(F2830,HC!A$6:D$100,3,FALSE)</f>
        <v>#N/A</v>
      </c>
      <c r="O2830" s="7" t="str">
        <f>VLOOKUP(F2830,HC!A$6:D$1000,2,FALSE)</f>
        <v>zlopamer</v>
      </c>
      <c r="P2830" t="s">
        <v>664</v>
      </c>
      <c r="Q2830" t="s">
        <v>777</v>
      </c>
      <c r="U2830">
        <f t="shared" si="46"/>
        <v>15</v>
      </c>
    </row>
    <row r="2831" spans="1:21" ht="37.5" customHeight="1" x14ac:dyDescent="0.25">
      <c r="A2831" s="36">
        <v>45162</v>
      </c>
      <c r="B2831" s="13">
        <v>34</v>
      </c>
      <c r="C2831" t="s">
        <v>3</v>
      </c>
      <c r="D2831" t="s">
        <v>4</v>
      </c>
      <c r="E2831" t="s">
        <v>5</v>
      </c>
      <c r="F2831">
        <v>113020476</v>
      </c>
      <c r="G2831" t="s">
        <v>330</v>
      </c>
      <c r="H2831" t="s">
        <v>7</v>
      </c>
      <c r="I2831">
        <v>0</v>
      </c>
      <c r="J2831">
        <v>0</v>
      </c>
      <c r="K2831">
        <v>0</v>
      </c>
      <c r="L2831">
        <v>0</v>
      </c>
      <c r="M2831">
        <v>0.51</v>
      </c>
      <c r="N2831" s="7" t="e">
        <f>VLOOKUP(F2831,HC!A$6:D$100,3,FALSE)</f>
        <v>#N/A</v>
      </c>
      <c r="O2831" s="7" t="str">
        <f>VLOOKUP(F2831,HC!A$6:D$1000,2,FALSE)</f>
        <v>polettpu</v>
      </c>
      <c r="P2831" t="s">
        <v>669</v>
      </c>
      <c r="Q2831" t="s">
        <v>739</v>
      </c>
      <c r="U2831">
        <f t="shared" si="46"/>
        <v>55</v>
      </c>
    </row>
    <row r="2832" spans="1:21" ht="37.5" customHeight="1" x14ac:dyDescent="0.25">
      <c r="A2832" s="36">
        <v>45162</v>
      </c>
      <c r="B2832" s="13">
        <v>34</v>
      </c>
      <c r="C2832" t="s">
        <v>3</v>
      </c>
      <c r="D2832" t="s">
        <v>4</v>
      </c>
      <c r="E2832" t="s">
        <v>5</v>
      </c>
      <c r="F2832">
        <v>113138338</v>
      </c>
      <c r="G2832" t="s">
        <v>398</v>
      </c>
      <c r="H2832" t="s">
        <v>459</v>
      </c>
      <c r="I2832">
        <v>0</v>
      </c>
      <c r="J2832">
        <v>0</v>
      </c>
      <c r="K2832">
        <v>0</v>
      </c>
      <c r="L2832">
        <v>0</v>
      </c>
      <c r="M2832">
        <v>2.08</v>
      </c>
      <c r="N2832" s="7" t="e">
        <f>VLOOKUP(F2832,HC!A$6:D$100,3,FALSE)</f>
        <v>#N/A</v>
      </c>
      <c r="O2832" s="7" t="str">
        <f>VLOOKUP(F2832,HC!A$6:D$1000,2,FALSE)</f>
        <v>cescornh</v>
      </c>
      <c r="P2832" t="s">
        <v>667</v>
      </c>
      <c r="Q2832" t="s">
        <v>773</v>
      </c>
      <c r="U2832">
        <f t="shared" si="46"/>
        <v>10</v>
      </c>
    </row>
    <row r="2833" spans="1:21" ht="37.5" customHeight="1" x14ac:dyDescent="0.25">
      <c r="A2833" s="36">
        <v>45162</v>
      </c>
      <c r="B2833" s="13">
        <v>34</v>
      </c>
      <c r="C2833" t="s">
        <v>3</v>
      </c>
      <c r="D2833" t="s">
        <v>4</v>
      </c>
      <c r="E2833" t="s">
        <v>5</v>
      </c>
      <c r="F2833">
        <v>200464838</v>
      </c>
      <c r="G2833" t="s">
        <v>358</v>
      </c>
      <c r="H2833" t="s">
        <v>7</v>
      </c>
      <c r="I2833">
        <v>0</v>
      </c>
      <c r="J2833">
        <v>0</v>
      </c>
      <c r="K2833">
        <v>0</v>
      </c>
      <c r="L2833">
        <v>0</v>
      </c>
      <c r="M2833">
        <v>7.0000000000000007E-2</v>
      </c>
      <c r="N2833" s="7" t="e">
        <f>VLOOKUP(F2833,HC!A$6:D$100,3,FALSE)</f>
        <v>#N/A</v>
      </c>
      <c r="O2833" s="7" t="str">
        <f>VLOOKUP(F2833,HC!A$6:D$1000,2,FALSE)</f>
        <v>ortfernj</v>
      </c>
      <c r="P2833" t="s">
        <v>661</v>
      </c>
      <c r="Q2833" t="s">
        <v>681</v>
      </c>
      <c r="U2833">
        <f t="shared" si="46"/>
        <v>9</v>
      </c>
    </row>
    <row r="2834" spans="1:21" ht="37.5" customHeight="1" x14ac:dyDescent="0.25">
      <c r="A2834" s="36">
        <v>45162</v>
      </c>
      <c r="B2834" s="13">
        <v>34</v>
      </c>
      <c r="C2834" t="s">
        <v>3</v>
      </c>
      <c r="D2834" t="s">
        <v>4</v>
      </c>
      <c r="E2834" t="s">
        <v>5</v>
      </c>
      <c r="F2834">
        <v>200562154</v>
      </c>
      <c r="G2834" t="s">
        <v>437</v>
      </c>
      <c r="H2834" t="s">
        <v>49</v>
      </c>
      <c r="I2834">
        <v>0</v>
      </c>
      <c r="J2834">
        <v>0</v>
      </c>
      <c r="K2834">
        <v>0</v>
      </c>
      <c r="L2834">
        <v>0</v>
      </c>
      <c r="M2834">
        <v>0.41</v>
      </c>
      <c r="N2834" s="7" t="e">
        <f>VLOOKUP(F2834,HC!A$6:D$100,3,FALSE)</f>
        <v>#N/A</v>
      </c>
      <c r="O2834" s="7" t="str">
        <f>VLOOKUP(F2834,HC!A$6:D$1000,2,FALSE)</f>
        <v>reyesmcw</v>
      </c>
      <c r="P2834" t="s">
        <v>663</v>
      </c>
      <c r="Q2834" t="s">
        <v>692</v>
      </c>
      <c r="R2834" t="s">
        <v>1165</v>
      </c>
      <c r="U2834">
        <f t="shared" si="46"/>
        <v>38</v>
      </c>
    </row>
    <row r="2835" spans="1:21" ht="37.5" customHeight="1" x14ac:dyDescent="0.25">
      <c r="A2835" s="36">
        <v>45162</v>
      </c>
      <c r="B2835" s="13">
        <v>34</v>
      </c>
      <c r="C2835" t="s">
        <v>3</v>
      </c>
      <c r="D2835" t="s">
        <v>4</v>
      </c>
      <c r="E2835" t="s">
        <v>5</v>
      </c>
      <c r="F2835">
        <v>201167388</v>
      </c>
      <c r="G2835" t="s">
        <v>1096</v>
      </c>
      <c r="H2835" t="s">
        <v>7</v>
      </c>
      <c r="I2835">
        <v>0</v>
      </c>
      <c r="J2835">
        <v>0</v>
      </c>
      <c r="K2835">
        <v>0</v>
      </c>
      <c r="L2835">
        <v>0</v>
      </c>
      <c r="M2835">
        <v>0.13</v>
      </c>
      <c r="N2835" s="7" t="e">
        <f>VLOOKUP(F2835,HC!A$6:D$100,3,FALSE)</f>
        <v>#N/A</v>
      </c>
      <c r="O2835" s="7" t="str">
        <f>VLOOKUP(F2835,HC!A$6:D$1000,2,FALSE)</f>
        <v>naguirro</v>
      </c>
      <c r="P2835" t="s">
        <v>664</v>
      </c>
      <c r="Q2835" t="s">
        <v>711</v>
      </c>
      <c r="U2835">
        <f t="shared" si="46"/>
        <v>7</v>
      </c>
    </row>
    <row r="2836" spans="1:21" ht="37.5" customHeight="1" x14ac:dyDescent="0.25">
      <c r="A2836" s="36">
        <v>45162</v>
      </c>
      <c r="B2836" s="13">
        <v>34</v>
      </c>
      <c r="C2836" t="s">
        <v>3</v>
      </c>
      <c r="D2836" t="s">
        <v>4</v>
      </c>
      <c r="E2836" t="s">
        <v>5</v>
      </c>
      <c r="F2836">
        <v>201351399</v>
      </c>
      <c r="G2836" t="s">
        <v>1130</v>
      </c>
      <c r="H2836" t="s">
        <v>459</v>
      </c>
      <c r="I2836">
        <v>0</v>
      </c>
      <c r="J2836">
        <v>0</v>
      </c>
      <c r="K2836">
        <v>0</v>
      </c>
      <c r="L2836">
        <v>0</v>
      </c>
      <c r="M2836">
        <v>0.19</v>
      </c>
      <c r="N2836" s="7" t="e">
        <f>VLOOKUP(F2836,HC!A$6:D$100,3,FALSE)</f>
        <v>#N/A</v>
      </c>
      <c r="O2836" s="7" t="str">
        <f>VLOOKUP(F2836,HC!A$6:D$1000,2,FALSE)</f>
        <v>aramosmo</v>
      </c>
      <c r="P2836" t="s">
        <v>661</v>
      </c>
      <c r="Q2836" t="s">
        <v>681</v>
      </c>
      <c r="U2836">
        <f t="shared" si="46"/>
        <v>3</v>
      </c>
    </row>
    <row r="2837" spans="1:21" ht="37.5" customHeight="1" x14ac:dyDescent="0.25">
      <c r="A2837" s="36">
        <v>45162</v>
      </c>
      <c r="B2837" s="13">
        <v>34</v>
      </c>
      <c r="C2837" t="s">
        <v>3</v>
      </c>
      <c r="D2837" t="s">
        <v>4</v>
      </c>
      <c r="E2837" t="s">
        <v>5</v>
      </c>
      <c r="F2837">
        <v>201354965</v>
      </c>
      <c r="G2837" t="s">
        <v>1063</v>
      </c>
      <c r="H2837" t="s">
        <v>263</v>
      </c>
      <c r="I2837">
        <v>0</v>
      </c>
      <c r="J2837">
        <v>0</v>
      </c>
      <c r="K2837">
        <v>0</v>
      </c>
      <c r="L2837">
        <v>0</v>
      </c>
      <c r="M2837">
        <v>0.17</v>
      </c>
      <c r="N2837" s="7" t="e">
        <f>VLOOKUP(F2837,HC!A$6:D$100,3,FALSE)</f>
        <v>#N/A</v>
      </c>
      <c r="O2837" s="7" t="str">
        <f>VLOOKUP(F2837,HC!A$6:D$1000,2,FALSE)</f>
        <v>alinejim</v>
      </c>
      <c r="P2837" t="s">
        <v>668</v>
      </c>
      <c r="Q2837" t="s">
        <v>732</v>
      </c>
      <c r="U2837">
        <f t="shared" si="46"/>
        <v>33</v>
      </c>
    </row>
    <row r="2838" spans="1:21" ht="37.5" customHeight="1" x14ac:dyDescent="0.25">
      <c r="A2838" s="36">
        <v>45162</v>
      </c>
      <c r="B2838" s="13">
        <v>34</v>
      </c>
      <c r="C2838" t="s">
        <v>3</v>
      </c>
      <c r="D2838" t="s">
        <v>4</v>
      </c>
      <c r="E2838" t="s">
        <v>21</v>
      </c>
      <c r="F2838">
        <v>201836048</v>
      </c>
      <c r="G2838" t="s">
        <v>1229</v>
      </c>
      <c r="H2838" t="s">
        <v>7</v>
      </c>
      <c r="I2838">
        <v>0</v>
      </c>
      <c r="J2838">
        <v>0</v>
      </c>
      <c r="K2838">
        <v>0</v>
      </c>
      <c r="L2838">
        <v>0</v>
      </c>
      <c r="M2838">
        <v>0.47</v>
      </c>
      <c r="N2838" s="7" t="e">
        <f>VLOOKUP(F2838,HC!A$6:D$100,3,FALSE)</f>
        <v>#N/A</v>
      </c>
      <c r="O2838" s="7" t="e">
        <f>VLOOKUP(F2838,HC!A$6:D$1000,2,FALSE)</f>
        <v>#N/A</v>
      </c>
      <c r="P2838" t="s">
        <v>664</v>
      </c>
      <c r="Q2838" t="s">
        <v>716</v>
      </c>
      <c r="U2838">
        <f t="shared" si="46"/>
        <v>1395</v>
      </c>
    </row>
    <row r="2839" spans="1:21" ht="37.5" customHeight="1" x14ac:dyDescent="0.25">
      <c r="A2839" s="36">
        <v>45162</v>
      </c>
      <c r="B2839" s="13">
        <v>34</v>
      </c>
      <c r="C2839" t="s">
        <v>3</v>
      </c>
      <c r="D2839" t="s">
        <v>4</v>
      </c>
      <c r="E2839" t="s">
        <v>21</v>
      </c>
      <c r="F2839">
        <v>201906503</v>
      </c>
      <c r="G2839" t="s">
        <v>1228</v>
      </c>
      <c r="H2839" t="s">
        <v>403</v>
      </c>
      <c r="I2839">
        <v>0</v>
      </c>
      <c r="J2839">
        <v>0</v>
      </c>
      <c r="K2839">
        <v>0</v>
      </c>
      <c r="L2839">
        <v>0</v>
      </c>
      <c r="M2839">
        <v>0.18</v>
      </c>
      <c r="N2839" s="7" t="e">
        <f>VLOOKUP(F2839,HC!A$6:D$100,3,FALSE)</f>
        <v>#N/A</v>
      </c>
      <c r="O2839" s="7" t="str">
        <f>VLOOKUP(F2839,HC!A$6:D$1000,2,FALSE)</f>
        <v>mqjennif</v>
      </c>
      <c r="P2839" t="s">
        <v>663</v>
      </c>
      <c r="Q2839" t="s">
        <v>695</v>
      </c>
      <c r="U2839">
        <f t="shared" si="46"/>
        <v>11</v>
      </c>
    </row>
    <row r="2840" spans="1:21" ht="37.5" customHeight="1" x14ac:dyDescent="0.25">
      <c r="A2840" s="36">
        <v>45163</v>
      </c>
      <c r="B2840" s="13">
        <v>34</v>
      </c>
      <c r="C2840" t="s">
        <v>3</v>
      </c>
      <c r="D2840" t="s">
        <v>4</v>
      </c>
      <c r="E2840" t="s">
        <v>5</v>
      </c>
      <c r="F2840">
        <v>112912054</v>
      </c>
      <c r="G2840" t="s">
        <v>333</v>
      </c>
      <c r="H2840" t="s">
        <v>403</v>
      </c>
      <c r="I2840">
        <v>0</v>
      </c>
      <c r="J2840">
        <v>0</v>
      </c>
      <c r="K2840">
        <v>0</v>
      </c>
      <c r="L2840">
        <v>0</v>
      </c>
      <c r="M2840">
        <v>0.38</v>
      </c>
      <c r="N2840" s="7" t="str">
        <f>VLOOKUP(F2840,HC!A$6:D$100,3,FALSE)</f>
        <v>DB-X0700</v>
      </c>
      <c r="O2840" s="7" t="str">
        <f>VLOOKUP(F2840,HC!A$6:D$1000,2,FALSE)</f>
        <v>privejor</v>
      </c>
      <c r="P2840" t="s">
        <v>670</v>
      </c>
      <c r="Q2840" t="s">
        <v>742</v>
      </c>
      <c r="U2840">
        <f t="shared" si="46"/>
        <v>14</v>
      </c>
    </row>
    <row r="2841" spans="1:21" ht="37.5" customHeight="1" x14ac:dyDescent="0.25">
      <c r="A2841" s="36">
        <v>45163</v>
      </c>
      <c r="B2841" s="13">
        <v>34</v>
      </c>
      <c r="C2841" t="s">
        <v>3</v>
      </c>
      <c r="D2841" t="s">
        <v>4</v>
      </c>
      <c r="E2841" t="s">
        <v>5</v>
      </c>
      <c r="F2841">
        <v>112971962</v>
      </c>
      <c r="G2841" t="s">
        <v>338</v>
      </c>
      <c r="H2841" t="s">
        <v>17</v>
      </c>
      <c r="I2841">
        <v>0</v>
      </c>
      <c r="J2841">
        <v>0</v>
      </c>
      <c r="K2841">
        <v>0</v>
      </c>
      <c r="L2841">
        <v>0</v>
      </c>
      <c r="M2841">
        <v>0.11</v>
      </c>
      <c r="N2841" s="7" t="str">
        <f>VLOOKUP(F2841,HC!A$6:D$100,3,FALSE)</f>
        <v>DB-X0700</v>
      </c>
      <c r="O2841" s="7" t="str">
        <f>VLOOKUP(F2841,HC!A$6:D$1000,2,FALSE)</f>
        <v>creyesal</v>
      </c>
      <c r="P2841" t="s">
        <v>661</v>
      </c>
      <c r="Q2841" t="s">
        <v>681</v>
      </c>
      <c r="U2841">
        <f t="shared" si="46"/>
        <v>38</v>
      </c>
    </row>
    <row r="2842" spans="1:21" ht="37.5" customHeight="1" x14ac:dyDescent="0.25">
      <c r="A2842" s="36">
        <v>45163</v>
      </c>
      <c r="B2842" s="13">
        <v>34</v>
      </c>
      <c r="C2842" t="s">
        <v>3</v>
      </c>
      <c r="D2842" t="s">
        <v>4</v>
      </c>
      <c r="E2842" t="s">
        <v>5</v>
      </c>
      <c r="F2842">
        <v>113020497</v>
      </c>
      <c r="G2842" t="s">
        <v>606</v>
      </c>
      <c r="H2842" t="s">
        <v>47</v>
      </c>
      <c r="I2842">
        <v>0</v>
      </c>
      <c r="J2842">
        <v>0</v>
      </c>
      <c r="K2842">
        <v>0</v>
      </c>
      <c r="L2842">
        <v>0</v>
      </c>
      <c r="M2842">
        <v>0.43</v>
      </c>
      <c r="N2842" s="7" t="e">
        <f>VLOOKUP(F2842,HC!A$6:D$100,3,FALSE)</f>
        <v>#N/A</v>
      </c>
      <c r="O2842" s="7" t="str">
        <f>VLOOKUP(F2842,HC!A$6:D$1000,2,FALSE)</f>
        <v>diamartd</v>
      </c>
      <c r="P2842" t="s">
        <v>664</v>
      </c>
      <c r="Q2842" t="s">
        <v>777</v>
      </c>
      <c r="U2842">
        <f t="shared" si="46"/>
        <v>14</v>
      </c>
    </row>
    <row r="2843" spans="1:21" ht="37.5" customHeight="1" x14ac:dyDescent="0.25">
      <c r="A2843" s="36">
        <v>45163</v>
      </c>
      <c r="B2843" s="13">
        <v>34</v>
      </c>
      <c r="C2843" t="s">
        <v>3</v>
      </c>
      <c r="D2843" t="s">
        <v>4</v>
      </c>
      <c r="E2843" t="s">
        <v>5</v>
      </c>
      <c r="F2843">
        <v>113138338</v>
      </c>
      <c r="G2843" t="s">
        <v>398</v>
      </c>
      <c r="H2843" t="s">
        <v>459</v>
      </c>
      <c r="I2843">
        <v>0</v>
      </c>
      <c r="J2843">
        <v>0</v>
      </c>
      <c r="K2843">
        <v>0</v>
      </c>
      <c r="L2843">
        <v>0</v>
      </c>
      <c r="M2843">
        <v>0.45</v>
      </c>
      <c r="N2843" s="7" t="e">
        <f>VLOOKUP(F2843,HC!A$6:D$100,3,FALSE)</f>
        <v>#N/A</v>
      </c>
      <c r="O2843" s="7" t="str">
        <f>VLOOKUP(F2843,HC!A$6:D$1000,2,FALSE)</f>
        <v>cescornh</v>
      </c>
      <c r="P2843" t="s">
        <v>661</v>
      </c>
      <c r="Q2843" t="s">
        <v>681</v>
      </c>
      <c r="U2843">
        <f t="shared" si="46"/>
        <v>10</v>
      </c>
    </row>
    <row r="2844" spans="1:21" ht="37.5" customHeight="1" x14ac:dyDescent="0.25">
      <c r="A2844" s="36">
        <v>45163</v>
      </c>
      <c r="B2844" s="13">
        <v>34</v>
      </c>
      <c r="C2844" t="s">
        <v>3</v>
      </c>
      <c r="D2844" t="s">
        <v>4</v>
      </c>
      <c r="E2844" t="s">
        <v>5</v>
      </c>
      <c r="F2844">
        <v>200553975</v>
      </c>
      <c r="G2844" t="s">
        <v>399</v>
      </c>
      <c r="H2844" t="s">
        <v>282</v>
      </c>
      <c r="I2844">
        <v>0</v>
      </c>
      <c r="J2844">
        <v>0</v>
      </c>
      <c r="K2844">
        <v>0</v>
      </c>
      <c r="L2844">
        <v>0</v>
      </c>
      <c r="M2844">
        <v>0.19</v>
      </c>
      <c r="N2844" s="7" t="e">
        <f>VLOOKUP(F2844,HC!A$6:D$100,3,FALSE)</f>
        <v>#N/A</v>
      </c>
      <c r="O2844" s="7" t="str">
        <f>VLOOKUP(F2844,HC!A$6:D$1000,2,FALSE)</f>
        <v>juandidu</v>
      </c>
      <c r="P2844" t="s">
        <v>661</v>
      </c>
      <c r="Q2844" t="s">
        <v>681</v>
      </c>
      <c r="U2844">
        <f t="shared" si="46"/>
        <v>4</v>
      </c>
    </row>
    <row r="2845" spans="1:21" ht="37.5" customHeight="1" x14ac:dyDescent="0.25">
      <c r="A2845" s="36">
        <v>45163</v>
      </c>
      <c r="B2845" s="13">
        <v>34</v>
      </c>
      <c r="C2845" t="s">
        <v>3</v>
      </c>
      <c r="D2845" t="s">
        <v>4</v>
      </c>
      <c r="E2845" t="s">
        <v>5</v>
      </c>
      <c r="F2845">
        <v>200562154</v>
      </c>
      <c r="G2845" t="s">
        <v>437</v>
      </c>
      <c r="H2845" t="s">
        <v>49</v>
      </c>
      <c r="I2845">
        <v>0</v>
      </c>
      <c r="J2845">
        <v>0</v>
      </c>
      <c r="K2845">
        <v>0</v>
      </c>
      <c r="L2845">
        <v>0</v>
      </c>
      <c r="M2845">
        <v>0.32</v>
      </c>
      <c r="N2845" s="7" t="e">
        <f>VLOOKUP(F2845,HC!A$6:D$100,3,FALSE)</f>
        <v>#N/A</v>
      </c>
      <c r="O2845" s="7" t="str">
        <f>VLOOKUP(F2845,HC!A$6:D$1000,2,FALSE)</f>
        <v>reyesmcw</v>
      </c>
      <c r="P2845" t="s">
        <v>663</v>
      </c>
      <c r="Q2845" t="s">
        <v>692</v>
      </c>
      <c r="R2845" t="s">
        <v>1165</v>
      </c>
      <c r="U2845">
        <f t="shared" si="46"/>
        <v>38</v>
      </c>
    </row>
    <row r="2846" spans="1:21" ht="37.5" customHeight="1" x14ac:dyDescent="0.25">
      <c r="A2846" s="36">
        <v>45163</v>
      </c>
      <c r="B2846" s="13">
        <v>34</v>
      </c>
      <c r="C2846" t="s">
        <v>3</v>
      </c>
      <c r="D2846" t="s">
        <v>4</v>
      </c>
      <c r="E2846" t="s">
        <v>5</v>
      </c>
      <c r="F2846">
        <v>200563038</v>
      </c>
      <c r="G2846" t="s">
        <v>949</v>
      </c>
      <c r="H2846" t="s">
        <v>47</v>
      </c>
      <c r="I2846">
        <v>0</v>
      </c>
      <c r="J2846">
        <v>0</v>
      </c>
      <c r="K2846">
        <v>0</v>
      </c>
      <c r="L2846">
        <v>0</v>
      </c>
      <c r="M2846">
        <v>2.13</v>
      </c>
      <c r="N2846" s="7" t="e">
        <f>VLOOKUP(F2846,HC!A$6:D$100,3,FALSE)</f>
        <v>#N/A</v>
      </c>
      <c r="O2846" s="7" t="str">
        <f>VLOOKUP(F2846,HC!A$6:D$1000,2,FALSE)</f>
        <v>ariaszee</v>
      </c>
      <c r="P2846" t="s">
        <v>664</v>
      </c>
      <c r="Q2846" t="s">
        <v>711</v>
      </c>
      <c r="U2846">
        <f t="shared" si="46"/>
        <v>9</v>
      </c>
    </row>
    <row r="2847" spans="1:21" ht="37.5" customHeight="1" x14ac:dyDescent="0.25">
      <c r="A2847" s="36">
        <v>45163</v>
      </c>
      <c r="B2847" s="13">
        <v>34</v>
      </c>
      <c r="C2847" t="s">
        <v>3</v>
      </c>
      <c r="D2847" t="s">
        <v>4</v>
      </c>
      <c r="E2847" t="s">
        <v>5</v>
      </c>
      <c r="F2847">
        <v>201185653</v>
      </c>
      <c r="G2847" t="s">
        <v>987</v>
      </c>
      <c r="H2847" t="s">
        <v>49</v>
      </c>
      <c r="I2847">
        <v>0</v>
      </c>
      <c r="J2847">
        <v>0</v>
      </c>
      <c r="K2847">
        <v>0</v>
      </c>
      <c r="L2847">
        <v>0</v>
      </c>
      <c r="M2847">
        <v>0.18</v>
      </c>
      <c r="N2847" s="7" t="e">
        <f>VLOOKUP(F2847,HC!A$6:D$100,3,FALSE)</f>
        <v>#N/A</v>
      </c>
      <c r="O2847" s="7" t="str">
        <f>VLOOKUP(F2847,HC!A$6:D$1000,2,FALSE)</f>
        <v>luisamin</v>
      </c>
      <c r="P2847" t="s">
        <v>661</v>
      </c>
      <c r="Q2847" t="s">
        <v>684</v>
      </c>
      <c r="U2847">
        <f t="shared" si="46"/>
        <v>8</v>
      </c>
    </row>
    <row r="2848" spans="1:21" ht="37.5" customHeight="1" x14ac:dyDescent="0.25">
      <c r="A2848" s="36">
        <v>45163</v>
      </c>
      <c r="B2848" s="13">
        <v>34</v>
      </c>
      <c r="C2848" t="s">
        <v>3</v>
      </c>
      <c r="D2848" t="s">
        <v>4</v>
      </c>
      <c r="E2848" t="s">
        <v>5</v>
      </c>
      <c r="F2848">
        <v>201211157</v>
      </c>
      <c r="G2848" t="s">
        <v>936</v>
      </c>
      <c r="H2848" t="s">
        <v>403</v>
      </c>
      <c r="I2848">
        <v>0</v>
      </c>
      <c r="J2848">
        <v>0</v>
      </c>
      <c r="K2848">
        <v>0</v>
      </c>
      <c r="L2848">
        <v>0</v>
      </c>
      <c r="M2848">
        <v>0.04</v>
      </c>
      <c r="N2848" s="7" t="e">
        <f>VLOOKUP(F2848,HC!A$6:D$100,3,FALSE)</f>
        <v>#N/A</v>
      </c>
      <c r="O2848" s="7" t="str">
        <f>VLOOKUP(F2848,HC!A$6:D$1000,2,FALSE)</f>
        <v>vargajed</v>
      </c>
      <c r="P2848" t="s">
        <v>661</v>
      </c>
      <c r="Q2848" t="s">
        <v>681</v>
      </c>
      <c r="U2848">
        <f t="shared" si="46"/>
        <v>17</v>
      </c>
    </row>
    <row r="2849" spans="1:21" ht="37.5" customHeight="1" x14ac:dyDescent="0.25">
      <c r="A2849" s="36">
        <v>45163</v>
      </c>
      <c r="B2849" s="13">
        <v>34</v>
      </c>
      <c r="C2849" t="s">
        <v>3</v>
      </c>
      <c r="D2849" t="s">
        <v>4</v>
      </c>
      <c r="E2849" t="s">
        <v>5</v>
      </c>
      <c r="F2849">
        <v>201354965</v>
      </c>
      <c r="G2849" t="s">
        <v>1063</v>
      </c>
      <c r="H2849" t="s">
        <v>263</v>
      </c>
      <c r="I2849">
        <v>0</v>
      </c>
      <c r="J2849">
        <v>0</v>
      </c>
      <c r="K2849">
        <v>0</v>
      </c>
      <c r="L2849">
        <v>0</v>
      </c>
      <c r="M2849">
        <v>0.27</v>
      </c>
      <c r="N2849" s="7" t="e">
        <f>VLOOKUP(F2849,HC!A$6:D$100,3,FALSE)</f>
        <v>#N/A</v>
      </c>
      <c r="O2849" s="7" t="str">
        <f>VLOOKUP(F2849,HC!A$6:D$1000,2,FALSE)</f>
        <v>alinejim</v>
      </c>
      <c r="P2849" t="s">
        <v>668</v>
      </c>
      <c r="Q2849" t="s">
        <v>732</v>
      </c>
      <c r="U2849">
        <f t="shared" si="46"/>
        <v>33</v>
      </c>
    </row>
    <row r="2850" spans="1:21" ht="37.5" customHeight="1" x14ac:dyDescent="0.25">
      <c r="A2850" s="36">
        <v>45163</v>
      </c>
      <c r="B2850" s="13">
        <v>34</v>
      </c>
      <c r="C2850" t="s">
        <v>3</v>
      </c>
      <c r="D2850" t="s">
        <v>4</v>
      </c>
      <c r="E2850" t="s">
        <v>5</v>
      </c>
      <c r="F2850">
        <v>201363254</v>
      </c>
      <c r="G2850" t="s">
        <v>1072</v>
      </c>
      <c r="H2850" t="s">
        <v>403</v>
      </c>
      <c r="I2850">
        <v>0</v>
      </c>
      <c r="J2850">
        <v>0</v>
      </c>
      <c r="K2850">
        <v>0</v>
      </c>
      <c r="L2850">
        <v>0</v>
      </c>
      <c r="M2850">
        <v>0.16</v>
      </c>
      <c r="N2850" s="7" t="e">
        <f>VLOOKUP(F2850,HC!A$6:D$100,3,FALSE)</f>
        <v>#N/A</v>
      </c>
      <c r="O2850" s="7" t="str">
        <f>VLOOKUP(F2850,HC!A$6:D$1000,2,FALSE)</f>
        <v>fwraziel</v>
      </c>
      <c r="P2850" t="s">
        <v>662</v>
      </c>
      <c r="Q2850" t="s">
        <v>702</v>
      </c>
      <c r="U2850">
        <f t="shared" si="46"/>
        <v>7</v>
      </c>
    </row>
    <row r="2851" spans="1:21" ht="37.5" customHeight="1" x14ac:dyDescent="0.25">
      <c r="A2851" s="36">
        <v>45163</v>
      </c>
      <c r="B2851" s="13">
        <v>34</v>
      </c>
      <c r="C2851" t="s">
        <v>3</v>
      </c>
      <c r="D2851" t="s">
        <v>4</v>
      </c>
      <c r="E2851" t="s">
        <v>21</v>
      </c>
      <c r="F2851">
        <v>201841804</v>
      </c>
      <c r="G2851" t="s">
        <v>1214</v>
      </c>
      <c r="H2851" t="s">
        <v>49</v>
      </c>
      <c r="I2851">
        <v>0</v>
      </c>
      <c r="J2851">
        <v>0</v>
      </c>
      <c r="K2851">
        <v>0</v>
      </c>
      <c r="L2851">
        <v>0</v>
      </c>
      <c r="M2851">
        <v>0.3</v>
      </c>
      <c r="N2851" s="7" t="e">
        <f>VLOOKUP(F2851,HC!A$6:D$100,3,FALSE)</f>
        <v>#N/A</v>
      </c>
      <c r="O2851" s="7" t="str">
        <f>VLOOKUP(F2851,HC!A$6:D$1000,2,FALSE)</f>
        <v>ruizhmic</v>
      </c>
      <c r="P2851" t="s">
        <v>664</v>
      </c>
      <c r="Q2851" t="s">
        <v>710</v>
      </c>
      <c r="U2851">
        <f t="shared" si="46"/>
        <v>8</v>
      </c>
    </row>
    <row r="2852" spans="1:21" ht="37.5" customHeight="1" x14ac:dyDescent="0.25">
      <c r="A2852" s="36">
        <v>45163</v>
      </c>
      <c r="B2852" s="13">
        <v>34</v>
      </c>
      <c r="C2852" t="s">
        <v>3</v>
      </c>
      <c r="D2852" t="s">
        <v>4</v>
      </c>
      <c r="E2852" t="s">
        <v>21</v>
      </c>
      <c r="F2852">
        <v>201906503</v>
      </c>
      <c r="G2852" t="s">
        <v>1228</v>
      </c>
      <c r="H2852" t="s">
        <v>403</v>
      </c>
      <c r="I2852">
        <v>0</v>
      </c>
      <c r="J2852">
        <v>0</v>
      </c>
      <c r="K2852">
        <v>0</v>
      </c>
      <c r="L2852">
        <v>0</v>
      </c>
      <c r="M2852">
        <v>0.18</v>
      </c>
      <c r="N2852" s="7" t="e">
        <f>VLOOKUP(F2852,HC!A$6:D$100,3,FALSE)</f>
        <v>#N/A</v>
      </c>
      <c r="O2852" s="7" t="str">
        <f>VLOOKUP(F2852,HC!A$6:D$1000,2,FALSE)</f>
        <v>mqjennif</v>
      </c>
      <c r="P2852" t="s">
        <v>663</v>
      </c>
      <c r="Q2852" t="s">
        <v>695</v>
      </c>
      <c r="U2852">
        <f t="shared" si="46"/>
        <v>11</v>
      </c>
    </row>
    <row r="2853" spans="1:21" ht="37.5" customHeight="1" x14ac:dyDescent="0.25">
      <c r="A2853" s="36">
        <v>45163</v>
      </c>
      <c r="B2853" s="13">
        <v>34</v>
      </c>
      <c r="C2853" t="s">
        <v>3</v>
      </c>
      <c r="D2853" t="s">
        <v>4</v>
      </c>
      <c r="E2853" t="s">
        <v>21</v>
      </c>
      <c r="F2853">
        <v>201908189</v>
      </c>
      <c r="G2853" t="s">
        <v>1230</v>
      </c>
      <c r="H2853" t="s">
        <v>263</v>
      </c>
      <c r="I2853">
        <v>0</v>
      </c>
      <c r="J2853">
        <v>0</v>
      </c>
      <c r="K2853">
        <v>0</v>
      </c>
      <c r="L2853">
        <v>0</v>
      </c>
      <c r="M2853">
        <v>0.28000000000000003</v>
      </c>
      <c r="N2853" s="7" t="e">
        <f>VLOOKUP(F2853,HC!A$6:D$100,3,FALSE)</f>
        <v>#N/A</v>
      </c>
      <c r="O2853" s="7" t="str">
        <f>VLOOKUP(F2853,HC!A$6:D$1000,2,FALSE)</f>
        <v>cmartif</v>
      </c>
      <c r="P2853" t="s">
        <v>664</v>
      </c>
      <c r="Q2853" t="s">
        <v>777</v>
      </c>
      <c r="U2853">
        <f t="shared" si="46"/>
        <v>7</v>
      </c>
    </row>
    <row r="2854" spans="1:21" ht="37.5" customHeight="1" x14ac:dyDescent="0.25">
      <c r="A2854" s="36">
        <v>45164</v>
      </c>
      <c r="B2854" s="13">
        <v>34</v>
      </c>
      <c r="C2854" t="s">
        <v>3</v>
      </c>
      <c r="D2854" t="s">
        <v>4</v>
      </c>
      <c r="E2854" t="s">
        <v>5</v>
      </c>
      <c r="F2854">
        <v>112971962</v>
      </c>
      <c r="G2854" t="s">
        <v>338</v>
      </c>
      <c r="H2854" t="s">
        <v>17</v>
      </c>
      <c r="I2854">
        <v>0</v>
      </c>
      <c r="J2854">
        <v>0</v>
      </c>
      <c r="K2854">
        <v>0</v>
      </c>
      <c r="L2854">
        <v>0</v>
      </c>
      <c r="M2854">
        <v>0.28999999999999998</v>
      </c>
      <c r="N2854" s="7" t="str">
        <f>VLOOKUP(F2854,HC!A$6:D$100,3,FALSE)</f>
        <v>DB-X0700</v>
      </c>
      <c r="O2854" s="7" t="str">
        <f>VLOOKUP(F2854,HC!A$6:D$1000,2,FALSE)</f>
        <v>creyesal</v>
      </c>
      <c r="P2854" t="s">
        <v>661</v>
      </c>
      <c r="Q2854" t="s">
        <v>681</v>
      </c>
      <c r="U2854">
        <f t="shared" si="46"/>
        <v>38</v>
      </c>
    </row>
    <row r="2855" spans="1:21" ht="37.5" customHeight="1" x14ac:dyDescent="0.25">
      <c r="A2855" s="36">
        <v>45164</v>
      </c>
      <c r="B2855" s="13">
        <v>34</v>
      </c>
      <c r="C2855" t="s">
        <v>3</v>
      </c>
      <c r="D2855" t="s">
        <v>4</v>
      </c>
      <c r="E2855" t="s">
        <v>5</v>
      </c>
      <c r="F2855">
        <v>113003656</v>
      </c>
      <c r="G2855" t="s">
        <v>297</v>
      </c>
      <c r="H2855" t="s">
        <v>47</v>
      </c>
      <c r="I2855">
        <v>0</v>
      </c>
      <c r="J2855">
        <v>0</v>
      </c>
      <c r="K2855">
        <v>0</v>
      </c>
      <c r="L2855">
        <v>0</v>
      </c>
      <c r="M2855">
        <v>0.45</v>
      </c>
      <c r="N2855" s="7" t="e">
        <f>VLOOKUP(F2855,HC!A$6:D$100,3,FALSE)</f>
        <v>#N/A</v>
      </c>
      <c r="O2855" s="7" t="str">
        <f>VLOOKUP(F2855,HC!A$6:D$1000,2,FALSE)</f>
        <v>uargoten</v>
      </c>
      <c r="P2855" t="s">
        <v>662</v>
      </c>
      <c r="Q2855" t="s">
        <v>766</v>
      </c>
      <c r="U2855">
        <f t="shared" si="46"/>
        <v>8</v>
      </c>
    </row>
    <row r="2856" spans="1:21" ht="37.5" customHeight="1" x14ac:dyDescent="0.25">
      <c r="A2856" s="36">
        <v>45164</v>
      </c>
      <c r="B2856" s="13">
        <v>34</v>
      </c>
      <c r="C2856" t="s">
        <v>3</v>
      </c>
      <c r="D2856" t="s">
        <v>4</v>
      </c>
      <c r="E2856" t="s">
        <v>5</v>
      </c>
      <c r="F2856">
        <v>113003971</v>
      </c>
      <c r="G2856" t="s">
        <v>284</v>
      </c>
      <c r="H2856" t="s">
        <v>49</v>
      </c>
      <c r="I2856">
        <v>0</v>
      </c>
      <c r="J2856">
        <v>0</v>
      </c>
      <c r="K2856">
        <v>0</v>
      </c>
      <c r="L2856">
        <v>0</v>
      </c>
      <c r="M2856">
        <v>0.21</v>
      </c>
      <c r="N2856" s="7" t="e">
        <f>VLOOKUP(F2856,HC!A$6:D$100,3,FALSE)</f>
        <v>#N/A</v>
      </c>
      <c r="O2856" s="7" t="str">
        <f>VLOOKUP(F2856,HC!A$6:D$1000,2,FALSE)</f>
        <v>garamird</v>
      </c>
      <c r="P2856" t="s">
        <v>661</v>
      </c>
      <c r="Q2856" t="s">
        <v>681</v>
      </c>
      <c r="U2856">
        <f t="shared" si="46"/>
        <v>14</v>
      </c>
    </row>
    <row r="2857" spans="1:21" ht="37.5" customHeight="1" x14ac:dyDescent="0.25">
      <c r="A2857" s="36">
        <v>45164</v>
      </c>
      <c r="B2857" s="13">
        <v>34</v>
      </c>
      <c r="C2857" t="s">
        <v>3</v>
      </c>
      <c r="D2857" t="s">
        <v>4</v>
      </c>
      <c r="E2857" t="s">
        <v>5</v>
      </c>
      <c r="F2857">
        <v>200614224</v>
      </c>
      <c r="G2857" t="s">
        <v>322</v>
      </c>
      <c r="H2857" t="s">
        <v>17</v>
      </c>
      <c r="I2857">
        <v>0</v>
      </c>
      <c r="J2857">
        <v>0</v>
      </c>
      <c r="K2857">
        <v>0</v>
      </c>
      <c r="L2857">
        <v>0</v>
      </c>
      <c r="M2857">
        <v>0.08</v>
      </c>
      <c r="N2857" s="7" t="e">
        <f>VLOOKUP(F2857,HC!A$6:D$100,3,FALSE)</f>
        <v>#N/A</v>
      </c>
      <c r="O2857" s="7" t="e">
        <f>VLOOKUP(F2857,HC!A$6:D$1000,2,FALSE)</f>
        <v>#N/A</v>
      </c>
      <c r="P2857" t="s">
        <v>665</v>
      </c>
      <c r="Q2857" t="s">
        <v>722</v>
      </c>
      <c r="U2857">
        <f t="shared" si="46"/>
        <v>1395</v>
      </c>
    </row>
    <row r="2858" spans="1:21" ht="37.5" customHeight="1" x14ac:dyDescent="0.25">
      <c r="A2858" s="36">
        <v>45164</v>
      </c>
      <c r="B2858" s="13">
        <v>34</v>
      </c>
      <c r="C2858" t="s">
        <v>3</v>
      </c>
      <c r="D2858" t="s">
        <v>4</v>
      </c>
      <c r="E2858" t="s">
        <v>5</v>
      </c>
      <c r="F2858">
        <v>201191198</v>
      </c>
      <c r="G2858" t="s">
        <v>974</v>
      </c>
      <c r="H2858" t="s">
        <v>17</v>
      </c>
      <c r="I2858">
        <v>0</v>
      </c>
      <c r="J2858">
        <v>0</v>
      </c>
      <c r="K2858">
        <v>0</v>
      </c>
      <c r="L2858">
        <v>0</v>
      </c>
      <c r="M2858">
        <v>0.08</v>
      </c>
      <c r="N2858" s="7" t="e">
        <f>VLOOKUP(F2858,HC!A$6:D$100,3,FALSE)</f>
        <v>#N/A</v>
      </c>
      <c r="O2858" s="7" t="str">
        <f>VLOOKUP(F2858,HC!A$6:D$1000,2,FALSE)</f>
        <v>mojicemm</v>
      </c>
      <c r="P2858" t="s">
        <v>663</v>
      </c>
      <c r="Q2858" t="s">
        <v>695</v>
      </c>
      <c r="U2858">
        <f t="shared" si="46"/>
        <v>24</v>
      </c>
    </row>
    <row r="2859" spans="1:21" ht="37.5" customHeight="1" x14ac:dyDescent="0.25">
      <c r="A2859" s="36">
        <v>45164</v>
      </c>
      <c r="B2859" s="13">
        <v>34</v>
      </c>
      <c r="C2859" t="s">
        <v>3</v>
      </c>
      <c r="D2859" t="s">
        <v>4</v>
      </c>
      <c r="E2859" t="s">
        <v>5</v>
      </c>
      <c r="F2859">
        <v>201223730</v>
      </c>
      <c r="G2859" t="s">
        <v>933</v>
      </c>
      <c r="H2859" t="s">
        <v>49</v>
      </c>
      <c r="I2859">
        <v>0</v>
      </c>
      <c r="J2859">
        <v>0</v>
      </c>
      <c r="K2859">
        <v>0</v>
      </c>
      <c r="L2859">
        <v>0</v>
      </c>
      <c r="M2859">
        <v>0.26</v>
      </c>
      <c r="N2859" s="7" t="e">
        <f>VLOOKUP(F2859,HC!A$6:D$100,3,FALSE)</f>
        <v>#N/A</v>
      </c>
      <c r="O2859" s="7" t="str">
        <f>VLOOKUP(F2859,HC!A$6:D$1000,2,FALSE)</f>
        <v>cesarito</v>
      </c>
      <c r="P2859" t="s">
        <v>664</v>
      </c>
      <c r="Q2859" t="s">
        <v>711</v>
      </c>
      <c r="U2859">
        <f t="shared" si="46"/>
        <v>39</v>
      </c>
    </row>
    <row r="2860" spans="1:21" ht="37.5" customHeight="1" x14ac:dyDescent="0.25">
      <c r="A2860" s="36">
        <v>45164</v>
      </c>
      <c r="B2860" s="13">
        <v>34</v>
      </c>
      <c r="C2860" t="s">
        <v>3</v>
      </c>
      <c r="D2860" t="s">
        <v>4</v>
      </c>
      <c r="E2860" t="s">
        <v>5</v>
      </c>
      <c r="F2860">
        <v>201295429</v>
      </c>
      <c r="G2860" t="s">
        <v>1097</v>
      </c>
      <c r="H2860" t="s">
        <v>47</v>
      </c>
      <c r="I2860">
        <v>0</v>
      </c>
      <c r="J2860">
        <v>0</v>
      </c>
      <c r="K2860">
        <v>0</v>
      </c>
      <c r="L2860">
        <v>0</v>
      </c>
      <c r="M2860">
        <v>0.53</v>
      </c>
      <c r="N2860" s="7" t="e">
        <f>VLOOKUP(F2860,HC!A$6:D$100,3,FALSE)</f>
        <v>#N/A</v>
      </c>
      <c r="O2860" s="7" t="str">
        <f>VLOOKUP(F2860,HC!A$6:D$1000,2,FALSE)</f>
        <v>mireljes</v>
      </c>
      <c r="P2860" t="s">
        <v>661</v>
      </c>
      <c r="Q2860" t="s">
        <v>681</v>
      </c>
      <c r="U2860">
        <f t="shared" si="46"/>
        <v>9</v>
      </c>
    </row>
    <row r="2861" spans="1:21" ht="37.5" customHeight="1" x14ac:dyDescent="0.25">
      <c r="A2861" s="36">
        <v>45164</v>
      </c>
      <c r="B2861" s="13">
        <v>34</v>
      </c>
      <c r="C2861" t="s">
        <v>3</v>
      </c>
      <c r="D2861" t="s">
        <v>4</v>
      </c>
      <c r="E2861" t="s">
        <v>21</v>
      </c>
      <c r="F2861">
        <v>201842039</v>
      </c>
      <c r="G2861" t="s">
        <v>1231</v>
      </c>
      <c r="H2861" t="s">
        <v>49</v>
      </c>
      <c r="I2861">
        <v>0</v>
      </c>
      <c r="J2861">
        <v>0</v>
      </c>
      <c r="K2861">
        <v>0</v>
      </c>
      <c r="L2861">
        <v>0</v>
      </c>
      <c r="M2861">
        <v>0.26</v>
      </c>
      <c r="N2861" s="7" t="e">
        <f>VLOOKUP(F2861,HC!A$6:D$100,3,FALSE)</f>
        <v>#N/A</v>
      </c>
      <c r="O2861" s="7" t="str">
        <f>VLOOKUP(F2861,HC!A$6:D$1000,2,FALSE)</f>
        <v>fantmar</v>
      </c>
      <c r="P2861" t="s">
        <v>661</v>
      </c>
      <c r="Q2861" t="s">
        <v>681</v>
      </c>
      <c r="U2861">
        <f t="shared" si="46"/>
        <v>11</v>
      </c>
    </row>
    <row r="2862" spans="1:21" ht="37.5" customHeight="1" x14ac:dyDescent="0.25">
      <c r="A2862" s="36">
        <v>45164</v>
      </c>
      <c r="B2862" s="13">
        <v>34</v>
      </c>
      <c r="C2862" t="s">
        <v>3</v>
      </c>
      <c r="D2862" t="s">
        <v>4</v>
      </c>
      <c r="E2862" t="s">
        <v>21</v>
      </c>
      <c r="F2862">
        <v>201902769</v>
      </c>
      <c r="G2862" t="s">
        <v>1232</v>
      </c>
      <c r="H2862" t="s">
        <v>7</v>
      </c>
      <c r="I2862">
        <v>0</v>
      </c>
      <c r="J2862">
        <v>0</v>
      </c>
      <c r="K2862">
        <v>0</v>
      </c>
      <c r="L2862">
        <v>0</v>
      </c>
      <c r="M2862">
        <v>0.27</v>
      </c>
      <c r="N2862" s="7" t="e">
        <f>VLOOKUP(F2862,HC!A$6:D$100,3,FALSE)</f>
        <v>#N/A</v>
      </c>
      <c r="O2862" s="7" t="e">
        <f>VLOOKUP(F2862,HC!A$6:D$1000,2,FALSE)</f>
        <v>#N/A</v>
      </c>
      <c r="P2862" t="s">
        <v>666</v>
      </c>
      <c r="Q2862" t="s">
        <v>814</v>
      </c>
      <c r="U2862">
        <f t="shared" si="46"/>
        <v>1395</v>
      </c>
    </row>
    <row r="2863" spans="1:21" ht="37.5" customHeight="1" x14ac:dyDescent="0.25">
      <c r="A2863" s="36">
        <v>45164</v>
      </c>
      <c r="B2863" s="13">
        <v>34</v>
      </c>
      <c r="C2863" t="s">
        <v>3</v>
      </c>
      <c r="D2863" t="s">
        <v>4</v>
      </c>
      <c r="E2863" t="s">
        <v>21</v>
      </c>
      <c r="F2863">
        <v>201906503</v>
      </c>
      <c r="G2863" t="s">
        <v>1228</v>
      </c>
      <c r="H2863" t="s">
        <v>403</v>
      </c>
      <c r="I2863">
        <v>0</v>
      </c>
      <c r="J2863">
        <v>0</v>
      </c>
      <c r="K2863">
        <v>0</v>
      </c>
      <c r="L2863">
        <v>0</v>
      </c>
      <c r="M2863">
        <v>0.15</v>
      </c>
      <c r="N2863" s="7" t="e">
        <f>VLOOKUP(F2863,HC!A$6:D$100,3,FALSE)</f>
        <v>#N/A</v>
      </c>
      <c r="O2863" s="7" t="str">
        <f>VLOOKUP(F2863,HC!A$6:D$1000,2,FALSE)</f>
        <v>mqjennif</v>
      </c>
      <c r="P2863" t="s">
        <v>663</v>
      </c>
      <c r="Q2863" t="s">
        <v>695</v>
      </c>
      <c r="U2863">
        <f t="shared" si="46"/>
        <v>11</v>
      </c>
    </row>
    <row r="2864" spans="1:21" ht="37.5" customHeight="1" x14ac:dyDescent="0.25">
      <c r="A2864" s="36">
        <v>45164</v>
      </c>
      <c r="B2864" s="13">
        <v>34</v>
      </c>
      <c r="C2864" t="s">
        <v>3</v>
      </c>
      <c r="D2864" t="s">
        <v>4</v>
      </c>
      <c r="E2864" t="s">
        <v>21</v>
      </c>
      <c r="F2864">
        <v>201908189</v>
      </c>
      <c r="G2864" t="s">
        <v>1230</v>
      </c>
      <c r="H2864" t="s">
        <v>263</v>
      </c>
      <c r="I2864">
        <v>0</v>
      </c>
      <c r="J2864">
        <v>0</v>
      </c>
      <c r="K2864">
        <v>0</v>
      </c>
      <c r="L2864">
        <v>0</v>
      </c>
      <c r="M2864">
        <v>0.42</v>
      </c>
      <c r="N2864" s="7" t="e">
        <f>VLOOKUP(F2864,HC!A$6:D$100,3,FALSE)</f>
        <v>#N/A</v>
      </c>
      <c r="O2864" s="7" t="str">
        <f>VLOOKUP(F2864,HC!A$6:D$1000,2,FALSE)</f>
        <v>cmartif</v>
      </c>
      <c r="P2864" t="s">
        <v>664</v>
      </c>
      <c r="Q2864" t="s">
        <v>777</v>
      </c>
      <c r="U2864">
        <f t="shared" si="46"/>
        <v>7</v>
      </c>
    </row>
    <row r="2865" spans="1:21" ht="37.5" customHeight="1" x14ac:dyDescent="0.25">
      <c r="A2865" s="36">
        <v>45165</v>
      </c>
      <c r="B2865" s="13">
        <v>35</v>
      </c>
      <c r="C2865" t="s">
        <v>3</v>
      </c>
      <c r="D2865" t="s">
        <v>4</v>
      </c>
      <c r="E2865" t="s">
        <v>5</v>
      </c>
      <c r="F2865">
        <v>112981061</v>
      </c>
      <c r="G2865" t="s">
        <v>264</v>
      </c>
      <c r="H2865" t="s">
        <v>44</v>
      </c>
      <c r="I2865">
        <v>0</v>
      </c>
      <c r="J2865">
        <v>0</v>
      </c>
      <c r="K2865">
        <v>0</v>
      </c>
      <c r="L2865">
        <v>0</v>
      </c>
      <c r="M2865">
        <v>0.28999999999999998</v>
      </c>
      <c r="N2865" s="7" t="str">
        <f>VLOOKUP(F2865,HC!A$6:D$100,3,FALSE)</f>
        <v>DA-X0700</v>
      </c>
      <c r="O2865" s="7" t="str">
        <f>VLOOKUP(F2865,HC!A$6:D$1000,2,FALSE)</f>
        <v>mclaudol</v>
      </c>
      <c r="P2865" t="s">
        <v>664</v>
      </c>
      <c r="Q2865" t="s">
        <v>777</v>
      </c>
      <c r="U2865">
        <f t="shared" si="46"/>
        <v>44</v>
      </c>
    </row>
    <row r="2866" spans="1:21" ht="37.5" customHeight="1" x14ac:dyDescent="0.25">
      <c r="A2866" s="36">
        <v>45165</v>
      </c>
      <c r="B2866" s="13">
        <v>35</v>
      </c>
      <c r="C2866" t="s">
        <v>3</v>
      </c>
      <c r="D2866" t="s">
        <v>4</v>
      </c>
      <c r="E2866" t="s">
        <v>5</v>
      </c>
      <c r="F2866">
        <v>113019031</v>
      </c>
      <c r="G2866" t="s">
        <v>1233</v>
      </c>
      <c r="H2866" t="s">
        <v>44</v>
      </c>
      <c r="I2866">
        <v>0</v>
      </c>
      <c r="J2866">
        <v>0</v>
      </c>
      <c r="K2866">
        <v>0</v>
      </c>
      <c r="L2866">
        <v>0</v>
      </c>
      <c r="M2866">
        <v>0.1</v>
      </c>
      <c r="N2866" s="7" t="e">
        <f>VLOOKUP(F2866,HC!A$6:D$100,3,FALSE)</f>
        <v>#N/A</v>
      </c>
      <c r="O2866" s="7" t="str">
        <f>VLOOKUP(F2866,HC!A$6:D$1000,2,FALSE)</f>
        <v>vermauri</v>
      </c>
      <c r="P2866" t="s">
        <v>661</v>
      </c>
      <c r="Q2866" t="s">
        <v>681</v>
      </c>
      <c r="U2866">
        <f t="shared" si="46"/>
        <v>3</v>
      </c>
    </row>
    <row r="2867" spans="1:21" ht="37.5" customHeight="1" x14ac:dyDescent="0.25">
      <c r="A2867" s="36">
        <v>45165</v>
      </c>
      <c r="B2867" s="13">
        <v>35</v>
      </c>
      <c r="C2867" t="s">
        <v>3</v>
      </c>
      <c r="D2867" t="s">
        <v>4</v>
      </c>
      <c r="E2867" t="s">
        <v>5</v>
      </c>
      <c r="F2867">
        <v>113020463</v>
      </c>
      <c r="G2867" t="s">
        <v>321</v>
      </c>
      <c r="H2867" t="s">
        <v>44</v>
      </c>
      <c r="I2867">
        <v>0</v>
      </c>
      <c r="J2867">
        <v>0</v>
      </c>
      <c r="K2867">
        <v>0</v>
      </c>
      <c r="L2867">
        <v>0</v>
      </c>
      <c r="M2867">
        <v>0.37</v>
      </c>
      <c r="N2867" s="7" t="e">
        <f>VLOOKUP(F2867,HC!A$6:D$100,3,FALSE)</f>
        <v>#N/A</v>
      </c>
      <c r="O2867" s="7" t="str">
        <f>VLOOKUP(F2867,HC!A$6:D$1000,2,FALSE)</f>
        <v>myriamav</v>
      </c>
      <c r="P2867" t="s">
        <v>664</v>
      </c>
      <c r="Q2867" t="s">
        <v>777</v>
      </c>
      <c r="U2867">
        <f t="shared" si="46"/>
        <v>24</v>
      </c>
    </row>
    <row r="2868" spans="1:21" ht="37.5" customHeight="1" x14ac:dyDescent="0.25">
      <c r="A2868" s="36">
        <v>45165</v>
      </c>
      <c r="B2868" s="13">
        <v>35</v>
      </c>
      <c r="C2868" t="s">
        <v>3</v>
      </c>
      <c r="D2868" t="s">
        <v>4</v>
      </c>
      <c r="E2868" t="s">
        <v>5</v>
      </c>
      <c r="F2868">
        <v>200570729</v>
      </c>
      <c r="G2868" t="s">
        <v>679</v>
      </c>
      <c r="H2868" t="s">
        <v>285</v>
      </c>
      <c r="I2868">
        <v>0</v>
      </c>
      <c r="J2868">
        <v>0</v>
      </c>
      <c r="K2868">
        <v>0</v>
      </c>
      <c r="L2868">
        <v>0</v>
      </c>
      <c r="M2868">
        <v>1.01</v>
      </c>
      <c r="N2868" s="7" t="e">
        <f>VLOOKUP(F2868,HC!A$6:D$100,3,FALSE)</f>
        <v>#N/A</v>
      </c>
      <c r="O2868" s="7" t="str">
        <f>VLOOKUP(F2868,HC!A$6:D$1000,2,FALSE)</f>
        <v>srodcaro</v>
      </c>
      <c r="P2868" t="s">
        <v>662</v>
      </c>
      <c r="Q2868" t="s">
        <v>702</v>
      </c>
      <c r="U2868">
        <f t="shared" si="46"/>
        <v>8</v>
      </c>
    </row>
    <row r="2869" spans="1:21" ht="37.5" customHeight="1" x14ac:dyDescent="0.25">
      <c r="A2869" s="36">
        <v>45165</v>
      </c>
      <c r="B2869" s="13">
        <v>35</v>
      </c>
      <c r="C2869" t="s">
        <v>3</v>
      </c>
      <c r="D2869" t="s">
        <v>4</v>
      </c>
      <c r="E2869" t="s">
        <v>5</v>
      </c>
      <c r="F2869">
        <v>200625528</v>
      </c>
      <c r="G2869" t="s">
        <v>607</v>
      </c>
      <c r="H2869" t="s">
        <v>285</v>
      </c>
      <c r="I2869">
        <v>0</v>
      </c>
      <c r="J2869">
        <v>0</v>
      </c>
      <c r="K2869">
        <v>0</v>
      </c>
      <c r="L2869">
        <v>0</v>
      </c>
      <c r="M2869">
        <v>0.18</v>
      </c>
      <c r="N2869" s="7" t="e">
        <f>VLOOKUP(F2869,HC!A$6:D$100,3,FALSE)</f>
        <v>#N/A</v>
      </c>
      <c r="O2869" s="7" t="str">
        <f>VLOOKUP(F2869,HC!A$6:D$1000,2,FALSE)</f>
        <v>olivlizb</v>
      </c>
      <c r="P2869" t="s">
        <v>664</v>
      </c>
      <c r="Q2869" t="s">
        <v>711</v>
      </c>
      <c r="U2869">
        <f t="shared" si="46"/>
        <v>50</v>
      </c>
    </row>
    <row r="2870" spans="1:21" ht="37.5" customHeight="1" x14ac:dyDescent="0.25">
      <c r="A2870" s="36">
        <v>45165</v>
      </c>
      <c r="B2870" s="13">
        <v>35</v>
      </c>
      <c r="C2870" t="s">
        <v>3</v>
      </c>
      <c r="D2870" t="s">
        <v>4</v>
      </c>
      <c r="E2870" t="s">
        <v>5</v>
      </c>
      <c r="F2870">
        <v>201197964</v>
      </c>
      <c r="G2870" t="s">
        <v>1180</v>
      </c>
      <c r="H2870" t="s">
        <v>298</v>
      </c>
      <c r="I2870">
        <v>0</v>
      </c>
      <c r="J2870">
        <v>0</v>
      </c>
      <c r="K2870">
        <v>0</v>
      </c>
      <c r="L2870">
        <v>0</v>
      </c>
      <c r="M2870">
        <v>0.19</v>
      </c>
      <c r="N2870" s="7" t="e">
        <f>VLOOKUP(F2870,HC!A$6:D$100,3,FALSE)</f>
        <v>#N/A</v>
      </c>
      <c r="O2870" s="7" t="str">
        <f>VLOOKUP(F2870,HC!A$6:D$1000,2,FALSE)</f>
        <v>matzquij</v>
      </c>
      <c r="P2870" t="s">
        <v>664</v>
      </c>
      <c r="Q2870" t="s">
        <v>777</v>
      </c>
      <c r="U2870">
        <f t="shared" si="46"/>
        <v>16</v>
      </c>
    </row>
    <row r="2871" spans="1:21" ht="37.5" customHeight="1" x14ac:dyDescent="0.25">
      <c r="A2871" s="36">
        <v>45165</v>
      </c>
      <c r="B2871" s="13">
        <v>35</v>
      </c>
      <c r="C2871" t="s">
        <v>3</v>
      </c>
      <c r="D2871" t="s">
        <v>4</v>
      </c>
      <c r="E2871" t="s">
        <v>5</v>
      </c>
      <c r="F2871">
        <v>201345774</v>
      </c>
      <c r="G2871" t="s">
        <v>1070</v>
      </c>
      <c r="H2871" t="s">
        <v>44</v>
      </c>
      <c r="I2871">
        <v>0</v>
      </c>
      <c r="J2871">
        <v>0</v>
      </c>
      <c r="K2871">
        <v>0</v>
      </c>
      <c r="L2871">
        <v>0</v>
      </c>
      <c r="M2871">
        <v>0.11</v>
      </c>
      <c r="N2871" s="7" t="e">
        <f>VLOOKUP(F2871,HC!A$6:D$100,3,FALSE)</f>
        <v>#N/A</v>
      </c>
      <c r="O2871" s="7" t="str">
        <f>VLOOKUP(F2871,HC!A$6:D$1000,2,FALSE)</f>
        <v>jonquija</v>
      </c>
      <c r="P2871" t="s">
        <v>662</v>
      </c>
      <c r="Q2871" t="s">
        <v>757</v>
      </c>
      <c r="U2871">
        <f t="shared" si="46"/>
        <v>19</v>
      </c>
    </row>
    <row r="2872" spans="1:21" ht="37.5" customHeight="1" x14ac:dyDescent="0.25">
      <c r="A2872" s="36">
        <v>45166</v>
      </c>
      <c r="B2872" s="13">
        <v>35</v>
      </c>
      <c r="C2872" t="s">
        <v>3</v>
      </c>
      <c r="D2872" t="s">
        <v>4</v>
      </c>
      <c r="E2872" t="s">
        <v>5</v>
      </c>
      <c r="F2872">
        <v>112971980</v>
      </c>
      <c r="G2872" t="s">
        <v>445</v>
      </c>
      <c r="H2872" t="s">
        <v>459</v>
      </c>
      <c r="I2872">
        <v>0</v>
      </c>
      <c r="J2872">
        <v>0</v>
      </c>
      <c r="K2872">
        <v>0</v>
      </c>
      <c r="L2872">
        <v>0</v>
      </c>
      <c r="M2872">
        <v>0.37</v>
      </c>
      <c r="N2872" s="7" t="str">
        <f>VLOOKUP(F2872,HC!A$6:D$100,3,FALSE)</f>
        <v>DC-X0700</v>
      </c>
      <c r="O2872" s="7" t="str">
        <f>VLOOKUP(F2872,HC!A$6:D$1000,2,FALSE)</f>
        <v>cdanirom</v>
      </c>
      <c r="P2872" t="s">
        <v>661</v>
      </c>
      <c r="Q2872" t="s">
        <v>681</v>
      </c>
      <c r="U2872">
        <f t="shared" si="46"/>
        <v>25</v>
      </c>
    </row>
    <row r="2873" spans="1:21" ht="37.5" customHeight="1" x14ac:dyDescent="0.25">
      <c r="A2873" s="36">
        <v>45166</v>
      </c>
      <c r="B2873" s="13">
        <v>35</v>
      </c>
      <c r="C2873" t="s">
        <v>3</v>
      </c>
      <c r="D2873" t="s">
        <v>4</v>
      </c>
      <c r="E2873" t="s">
        <v>5</v>
      </c>
      <c r="F2873">
        <v>113019001</v>
      </c>
      <c r="G2873" t="s">
        <v>464</v>
      </c>
      <c r="H2873" t="s">
        <v>1040</v>
      </c>
      <c r="I2873">
        <v>0</v>
      </c>
      <c r="J2873">
        <v>0</v>
      </c>
      <c r="K2873">
        <v>0</v>
      </c>
      <c r="L2873">
        <v>0</v>
      </c>
      <c r="M2873">
        <v>0.14000000000000001</v>
      </c>
      <c r="N2873" s="7" t="e">
        <f>VLOOKUP(F2873,HC!A$6:D$100,3,FALSE)</f>
        <v>#N/A</v>
      </c>
      <c r="O2873" s="7" t="str">
        <f>VLOOKUP(F2873,HC!A$6:D$1000,2,FALSE)</f>
        <v>dolozane</v>
      </c>
      <c r="P2873" t="s">
        <v>664</v>
      </c>
      <c r="Q2873" t="s">
        <v>716</v>
      </c>
      <c r="U2873">
        <f t="shared" si="46"/>
        <v>17</v>
      </c>
    </row>
    <row r="2874" spans="1:21" ht="37.5" customHeight="1" x14ac:dyDescent="0.25">
      <c r="A2874" s="36">
        <v>45166</v>
      </c>
      <c r="B2874" s="13">
        <v>35</v>
      </c>
      <c r="C2874" t="s">
        <v>3</v>
      </c>
      <c r="D2874" t="s">
        <v>4</v>
      </c>
      <c r="E2874" t="s">
        <v>5</v>
      </c>
      <c r="F2874">
        <v>113101453</v>
      </c>
      <c r="G2874" t="s">
        <v>50</v>
      </c>
      <c r="H2874" t="s">
        <v>44</v>
      </c>
      <c r="I2874">
        <v>0</v>
      </c>
      <c r="J2874">
        <v>0</v>
      </c>
      <c r="K2874">
        <v>0</v>
      </c>
      <c r="L2874">
        <v>0</v>
      </c>
      <c r="M2874">
        <v>0.15</v>
      </c>
      <c r="N2874" s="7" t="e">
        <f>VLOOKUP(F2874,HC!A$6:D$100,3,FALSE)</f>
        <v>#N/A</v>
      </c>
      <c r="O2874" s="7" t="str">
        <f>VLOOKUP(F2874,HC!A$6:D$1000,2,FALSE)</f>
        <v>qisgeova</v>
      </c>
      <c r="P2874" t="s">
        <v>663</v>
      </c>
      <c r="Q2874" t="s">
        <v>695</v>
      </c>
      <c r="U2874">
        <f t="shared" si="46"/>
        <v>57</v>
      </c>
    </row>
    <row r="2875" spans="1:21" ht="37.5" customHeight="1" x14ac:dyDescent="0.25">
      <c r="A2875" s="36">
        <v>45166</v>
      </c>
      <c r="B2875" s="13">
        <v>35</v>
      </c>
      <c r="C2875" t="s">
        <v>3</v>
      </c>
      <c r="D2875" t="s">
        <v>4</v>
      </c>
      <c r="E2875" t="s">
        <v>5</v>
      </c>
      <c r="F2875">
        <v>200514421</v>
      </c>
      <c r="G2875" t="s">
        <v>301</v>
      </c>
      <c r="H2875" t="s">
        <v>298</v>
      </c>
      <c r="I2875">
        <v>0</v>
      </c>
      <c r="J2875">
        <v>0</v>
      </c>
      <c r="K2875">
        <v>0</v>
      </c>
      <c r="L2875">
        <v>0</v>
      </c>
      <c r="M2875">
        <v>0.22</v>
      </c>
      <c r="N2875" s="7" t="e">
        <f>VLOOKUP(F2875,HC!A$6:D$100,3,FALSE)</f>
        <v>#N/A</v>
      </c>
      <c r="O2875" s="7" t="str">
        <f>VLOOKUP(F2875,HC!A$6:D$1000,2,FALSE)</f>
        <v>padillms</v>
      </c>
      <c r="P2875" t="s">
        <v>663</v>
      </c>
      <c r="Q2875" t="s">
        <v>695</v>
      </c>
      <c r="U2875">
        <f t="shared" si="46"/>
        <v>21</v>
      </c>
    </row>
    <row r="2876" spans="1:21" ht="37.5" customHeight="1" x14ac:dyDescent="0.25">
      <c r="A2876" s="36">
        <v>45166</v>
      </c>
      <c r="B2876" s="13">
        <v>35</v>
      </c>
      <c r="C2876" t="s">
        <v>3</v>
      </c>
      <c r="D2876" t="s">
        <v>4</v>
      </c>
      <c r="E2876" t="s">
        <v>5</v>
      </c>
      <c r="F2876">
        <v>200563038</v>
      </c>
      <c r="G2876" t="s">
        <v>949</v>
      </c>
      <c r="H2876" t="s">
        <v>47</v>
      </c>
      <c r="I2876">
        <v>0</v>
      </c>
      <c r="J2876">
        <v>0</v>
      </c>
      <c r="K2876">
        <v>0</v>
      </c>
      <c r="L2876">
        <v>0</v>
      </c>
      <c r="M2876">
        <v>0.17</v>
      </c>
      <c r="N2876" s="7" t="e">
        <f>VLOOKUP(F2876,HC!A$6:D$100,3,FALSE)</f>
        <v>#N/A</v>
      </c>
      <c r="O2876" s="7" t="str">
        <f>VLOOKUP(F2876,HC!A$6:D$1000,2,FALSE)</f>
        <v>ariaszee</v>
      </c>
      <c r="P2876" t="s">
        <v>663</v>
      </c>
      <c r="Q2876" t="s">
        <v>695</v>
      </c>
      <c r="U2876">
        <f t="shared" si="46"/>
        <v>9</v>
      </c>
    </row>
    <row r="2877" spans="1:21" ht="37.5" customHeight="1" x14ac:dyDescent="0.25">
      <c r="A2877" s="36">
        <v>45166</v>
      </c>
      <c r="B2877" s="13">
        <v>35</v>
      </c>
      <c r="C2877" t="s">
        <v>3</v>
      </c>
      <c r="D2877" t="s">
        <v>4</v>
      </c>
      <c r="E2877" t="s">
        <v>5</v>
      </c>
      <c r="F2877">
        <v>200594875</v>
      </c>
      <c r="G2877" t="s">
        <v>528</v>
      </c>
      <c r="H2877" t="s">
        <v>285</v>
      </c>
      <c r="I2877">
        <v>0</v>
      </c>
      <c r="J2877">
        <v>0</v>
      </c>
      <c r="K2877">
        <v>0</v>
      </c>
      <c r="L2877">
        <v>0</v>
      </c>
      <c r="M2877">
        <v>0.35</v>
      </c>
      <c r="N2877" s="7" t="e">
        <f>VLOOKUP(F2877,HC!A$6:D$100,3,FALSE)</f>
        <v>#N/A</v>
      </c>
      <c r="O2877" s="7" t="str">
        <f>VLOOKUP(F2877,HC!A$6:D$1000,2,FALSE)</f>
        <v>jwmaldon</v>
      </c>
      <c r="P2877" t="s">
        <v>664</v>
      </c>
      <c r="Q2877" t="s">
        <v>711</v>
      </c>
      <c r="U2877">
        <f t="shared" si="46"/>
        <v>7</v>
      </c>
    </row>
    <row r="2878" spans="1:21" ht="37.5" customHeight="1" x14ac:dyDescent="0.25">
      <c r="A2878" s="36">
        <v>45166</v>
      </c>
      <c r="B2878" s="13">
        <v>35</v>
      </c>
      <c r="C2878" t="s">
        <v>3</v>
      </c>
      <c r="D2878" t="s">
        <v>4</v>
      </c>
      <c r="E2878" t="s">
        <v>5</v>
      </c>
      <c r="F2878">
        <v>201162225</v>
      </c>
      <c r="G2878" t="s">
        <v>1111</v>
      </c>
      <c r="H2878" t="s">
        <v>285</v>
      </c>
      <c r="I2878">
        <v>0</v>
      </c>
      <c r="J2878">
        <v>0</v>
      </c>
      <c r="K2878">
        <v>0</v>
      </c>
      <c r="L2878">
        <v>0</v>
      </c>
      <c r="M2878">
        <v>0.18</v>
      </c>
      <c r="N2878" s="7" t="e">
        <f>VLOOKUP(F2878,HC!A$6:D$100,3,FALSE)</f>
        <v>#N/A</v>
      </c>
      <c r="O2878" s="7" t="str">
        <f>VLOOKUP(F2878,HC!A$6:D$1000,2,FALSE)</f>
        <v>isracoro</v>
      </c>
      <c r="P2878" t="s">
        <v>664</v>
      </c>
      <c r="Q2878" t="s">
        <v>710</v>
      </c>
      <c r="U2878">
        <f t="shared" si="46"/>
        <v>5</v>
      </c>
    </row>
    <row r="2879" spans="1:21" ht="37.5" customHeight="1" x14ac:dyDescent="0.25">
      <c r="A2879" s="36">
        <v>45166</v>
      </c>
      <c r="B2879" s="13">
        <v>35</v>
      </c>
      <c r="C2879" t="s">
        <v>3</v>
      </c>
      <c r="D2879" t="s">
        <v>4</v>
      </c>
      <c r="E2879" t="s">
        <v>5</v>
      </c>
      <c r="F2879">
        <v>201186833</v>
      </c>
      <c r="G2879" t="s">
        <v>904</v>
      </c>
      <c r="H2879" t="s">
        <v>285</v>
      </c>
      <c r="I2879">
        <v>0</v>
      </c>
      <c r="J2879">
        <v>0</v>
      </c>
      <c r="K2879">
        <v>0</v>
      </c>
      <c r="L2879">
        <v>0</v>
      </c>
      <c r="M2879">
        <v>0.12</v>
      </c>
      <c r="N2879" s="7" t="e">
        <f>VLOOKUP(F2879,HC!A$6:D$100,3,FALSE)</f>
        <v>#N/A</v>
      </c>
      <c r="O2879" s="7" t="str">
        <f>VLOOKUP(F2879,HC!A$6:D$1000,2,FALSE)</f>
        <v>jaalexav</v>
      </c>
      <c r="P2879" t="s">
        <v>664</v>
      </c>
      <c r="Q2879" t="s">
        <v>710</v>
      </c>
      <c r="U2879">
        <f t="shared" si="46"/>
        <v>16</v>
      </c>
    </row>
    <row r="2880" spans="1:21" ht="37.5" customHeight="1" x14ac:dyDescent="0.25">
      <c r="A2880" s="36">
        <v>45166</v>
      </c>
      <c r="B2880" s="13">
        <v>35</v>
      </c>
      <c r="C2880" t="s">
        <v>3</v>
      </c>
      <c r="D2880" t="s">
        <v>4</v>
      </c>
      <c r="E2880" t="s">
        <v>5</v>
      </c>
      <c r="F2880">
        <v>201211157</v>
      </c>
      <c r="G2880" t="s">
        <v>936</v>
      </c>
      <c r="H2880" t="s">
        <v>403</v>
      </c>
      <c r="I2880">
        <v>0</v>
      </c>
      <c r="J2880">
        <v>0</v>
      </c>
      <c r="K2880">
        <v>0</v>
      </c>
      <c r="L2880">
        <v>0</v>
      </c>
      <c r="M2880">
        <v>0.21</v>
      </c>
      <c r="N2880" s="7" t="e">
        <f>VLOOKUP(F2880,HC!A$6:D$100,3,FALSE)</f>
        <v>#N/A</v>
      </c>
      <c r="O2880" s="7" t="str">
        <f>VLOOKUP(F2880,HC!A$6:D$1000,2,FALSE)</f>
        <v>vargajed</v>
      </c>
      <c r="P2880" t="s">
        <v>664</v>
      </c>
      <c r="Q2880" t="s">
        <v>708</v>
      </c>
      <c r="U2880">
        <f t="shared" si="46"/>
        <v>17</v>
      </c>
    </row>
    <row r="2881" spans="1:21" ht="37.5" customHeight="1" x14ac:dyDescent="0.25">
      <c r="A2881" s="36">
        <v>45166</v>
      </c>
      <c r="B2881" s="13">
        <v>35</v>
      </c>
      <c r="C2881" t="s">
        <v>3</v>
      </c>
      <c r="D2881" t="s">
        <v>4</v>
      </c>
      <c r="E2881" t="s">
        <v>5</v>
      </c>
      <c r="F2881">
        <v>201318220</v>
      </c>
      <c r="G2881" t="s">
        <v>1183</v>
      </c>
      <c r="H2881" t="s">
        <v>1040</v>
      </c>
      <c r="I2881">
        <v>0</v>
      </c>
      <c r="J2881">
        <v>0</v>
      </c>
      <c r="K2881">
        <v>0</v>
      </c>
      <c r="L2881">
        <v>0</v>
      </c>
      <c r="M2881">
        <v>0.21</v>
      </c>
      <c r="N2881" s="7" t="e">
        <f>VLOOKUP(F2881,HC!A$6:D$100,3,FALSE)</f>
        <v>#N/A</v>
      </c>
      <c r="O2881" s="7" t="str">
        <f>VLOOKUP(F2881,HC!A$6:D$1000,2,FALSE)</f>
        <v>raufjas</v>
      </c>
      <c r="P2881" t="s">
        <v>662</v>
      </c>
      <c r="Q2881" t="s">
        <v>757</v>
      </c>
      <c r="U2881">
        <f t="shared" si="46"/>
        <v>11</v>
      </c>
    </row>
    <row r="2882" spans="1:21" ht="37.5" customHeight="1" x14ac:dyDescent="0.25">
      <c r="A2882" s="36">
        <v>45166</v>
      </c>
      <c r="B2882" s="13">
        <v>35</v>
      </c>
      <c r="C2882" t="s">
        <v>3</v>
      </c>
      <c r="D2882" t="s">
        <v>4</v>
      </c>
      <c r="E2882" t="s">
        <v>5</v>
      </c>
      <c r="F2882">
        <v>201396328</v>
      </c>
      <c r="G2882" t="s">
        <v>1171</v>
      </c>
      <c r="H2882" t="s">
        <v>263</v>
      </c>
      <c r="I2882">
        <v>0</v>
      </c>
      <c r="J2882">
        <v>0</v>
      </c>
      <c r="K2882">
        <v>0</v>
      </c>
      <c r="L2882">
        <v>0</v>
      </c>
      <c r="M2882">
        <v>0.24</v>
      </c>
      <c r="N2882" s="7" t="e">
        <f>VLOOKUP(F2882,HC!A$6:D$100,3,FALSE)</f>
        <v>#N/A</v>
      </c>
      <c r="O2882" s="7" t="str">
        <f>VLOOKUP(F2882,HC!A$6:D$1000,2,FALSE)</f>
        <v>nalcanch</v>
      </c>
      <c r="P2882" t="s">
        <v>661</v>
      </c>
      <c r="Q2882" t="s">
        <v>681</v>
      </c>
      <c r="U2882">
        <f t="shared" si="46"/>
        <v>12</v>
      </c>
    </row>
    <row r="2883" spans="1:21" ht="37.5" customHeight="1" x14ac:dyDescent="0.25">
      <c r="A2883" s="36">
        <v>45167</v>
      </c>
      <c r="B2883" s="13">
        <v>35</v>
      </c>
      <c r="C2883" t="s">
        <v>3</v>
      </c>
      <c r="D2883" t="s">
        <v>4</v>
      </c>
      <c r="E2883" t="s">
        <v>5</v>
      </c>
      <c r="F2883">
        <v>112950840</v>
      </c>
      <c r="G2883" t="s">
        <v>1235</v>
      </c>
      <c r="H2883" t="s">
        <v>403</v>
      </c>
      <c r="I2883">
        <v>0</v>
      </c>
      <c r="J2883">
        <v>0</v>
      </c>
      <c r="K2883">
        <v>0</v>
      </c>
      <c r="L2883">
        <v>0</v>
      </c>
      <c r="M2883">
        <v>1.06</v>
      </c>
      <c r="N2883" s="7" t="str">
        <f>VLOOKUP(F2883,HC!A$6:D$100,3,FALSE)</f>
        <v>DC-X0700</v>
      </c>
      <c r="O2883" s="7" t="str">
        <f>VLOOKUP(F2883,HC!A$6:D$1000,2,FALSE)</f>
        <v>coloralu</v>
      </c>
      <c r="P2883" t="s">
        <v>663</v>
      </c>
      <c r="Q2883" t="s">
        <v>695</v>
      </c>
      <c r="U2883">
        <f t="shared" ref="U2883:U2946" si="47">COUNTIF(O$2:O$4999,O2883)</f>
        <v>1</v>
      </c>
    </row>
    <row r="2884" spans="1:21" ht="37.5" customHeight="1" x14ac:dyDescent="0.25">
      <c r="A2884" s="36">
        <v>45167</v>
      </c>
      <c r="B2884" s="13">
        <v>35</v>
      </c>
      <c r="C2884" t="s">
        <v>3</v>
      </c>
      <c r="D2884" t="s">
        <v>4</v>
      </c>
      <c r="E2884" t="s">
        <v>5</v>
      </c>
      <c r="F2884">
        <v>112980887</v>
      </c>
      <c r="G2884" t="s">
        <v>1221</v>
      </c>
      <c r="H2884" t="s">
        <v>282</v>
      </c>
      <c r="I2884">
        <v>0</v>
      </c>
      <c r="J2884">
        <v>0</v>
      </c>
      <c r="K2884">
        <v>0</v>
      </c>
      <c r="L2884">
        <v>0</v>
      </c>
      <c r="M2884">
        <v>0.25</v>
      </c>
      <c r="N2884" s="7" t="e">
        <f>VLOOKUP(F2884,HC!A$6:D$100,3,FALSE)</f>
        <v>#N/A</v>
      </c>
      <c r="O2884" s="7" t="e">
        <f>VLOOKUP(F2884,HC!A$6:D$1000,2,FALSE)</f>
        <v>#N/A</v>
      </c>
      <c r="P2884" t="s">
        <v>662</v>
      </c>
      <c r="Q2884" t="s">
        <v>702</v>
      </c>
      <c r="U2884">
        <f t="shared" si="47"/>
        <v>1395</v>
      </c>
    </row>
    <row r="2885" spans="1:21" ht="37.5" customHeight="1" x14ac:dyDescent="0.25">
      <c r="A2885" s="36">
        <v>45167</v>
      </c>
      <c r="B2885" s="13">
        <v>35</v>
      </c>
      <c r="C2885" t="s">
        <v>3</v>
      </c>
      <c r="D2885" t="s">
        <v>4</v>
      </c>
      <c r="E2885" t="s">
        <v>5</v>
      </c>
      <c r="F2885">
        <v>112981013</v>
      </c>
      <c r="G2885" t="s">
        <v>283</v>
      </c>
      <c r="H2885" t="s">
        <v>285</v>
      </c>
      <c r="I2885">
        <v>0</v>
      </c>
      <c r="J2885">
        <v>0</v>
      </c>
      <c r="K2885">
        <v>0</v>
      </c>
      <c r="L2885">
        <v>0</v>
      </c>
      <c r="M2885">
        <v>0.38</v>
      </c>
      <c r="N2885" s="7" t="str">
        <f>VLOOKUP(F2885,HC!A$6:D$100,3,FALSE)</f>
        <v>DA-X0700</v>
      </c>
      <c r="O2885" s="7" t="str">
        <f>VLOOKUP(F2885,HC!A$6:D$1000,2,FALSE)</f>
        <v>normaelo</v>
      </c>
      <c r="P2885" t="s">
        <v>663</v>
      </c>
      <c r="Q2885" t="s">
        <v>695</v>
      </c>
      <c r="U2885">
        <f t="shared" si="47"/>
        <v>24</v>
      </c>
    </row>
    <row r="2886" spans="1:21" ht="37.5" customHeight="1" x14ac:dyDescent="0.25">
      <c r="A2886" s="36">
        <v>45167</v>
      </c>
      <c r="B2886" s="13">
        <v>35</v>
      </c>
      <c r="C2886" t="s">
        <v>3</v>
      </c>
      <c r="D2886" t="s">
        <v>4</v>
      </c>
      <c r="E2886" t="s">
        <v>5</v>
      </c>
      <c r="F2886">
        <v>112981061</v>
      </c>
      <c r="G2886" t="s">
        <v>264</v>
      </c>
      <c r="H2886" t="s">
        <v>44</v>
      </c>
      <c r="I2886">
        <v>0</v>
      </c>
      <c r="J2886">
        <v>0</v>
      </c>
      <c r="K2886">
        <v>0</v>
      </c>
      <c r="L2886">
        <v>0</v>
      </c>
      <c r="M2886">
        <v>0.59</v>
      </c>
      <c r="N2886" s="7" t="str">
        <f>VLOOKUP(F2886,HC!A$6:D$100,3,FALSE)</f>
        <v>DA-X0700</v>
      </c>
      <c r="O2886" s="7" t="str">
        <f>VLOOKUP(F2886,HC!A$6:D$1000,2,FALSE)</f>
        <v>mclaudol</v>
      </c>
      <c r="P2886" t="s">
        <v>662</v>
      </c>
      <c r="Q2886" t="s">
        <v>757</v>
      </c>
      <c r="U2886">
        <f t="shared" si="47"/>
        <v>44</v>
      </c>
    </row>
    <row r="2887" spans="1:21" ht="37.5" customHeight="1" x14ac:dyDescent="0.25">
      <c r="A2887" s="36">
        <v>45167</v>
      </c>
      <c r="B2887" s="13">
        <v>35</v>
      </c>
      <c r="C2887" t="s">
        <v>3</v>
      </c>
      <c r="D2887" t="s">
        <v>4</v>
      </c>
      <c r="E2887" t="s">
        <v>5</v>
      </c>
      <c r="F2887">
        <v>113014094</v>
      </c>
      <c r="G2887" t="s">
        <v>463</v>
      </c>
      <c r="H2887" t="s">
        <v>44</v>
      </c>
      <c r="I2887">
        <v>0</v>
      </c>
      <c r="J2887">
        <v>0</v>
      </c>
      <c r="K2887">
        <v>0</v>
      </c>
      <c r="L2887">
        <v>0</v>
      </c>
      <c r="M2887">
        <v>0.45</v>
      </c>
      <c r="N2887" s="7" t="e">
        <f>VLOOKUP(F2887,HC!A$6:D$100,3,FALSE)</f>
        <v>#N/A</v>
      </c>
      <c r="O2887" s="7" t="str">
        <f>VLOOKUP(F2887,HC!A$6:D$1000,2,FALSE)</f>
        <v>erikaadm</v>
      </c>
      <c r="P2887" t="s">
        <v>661</v>
      </c>
      <c r="Q2887" t="s">
        <v>681</v>
      </c>
      <c r="U2887">
        <f t="shared" si="47"/>
        <v>21</v>
      </c>
    </row>
    <row r="2888" spans="1:21" ht="37.5" customHeight="1" x14ac:dyDescent="0.25">
      <c r="A2888" s="36">
        <v>45167</v>
      </c>
      <c r="B2888" s="13">
        <v>35</v>
      </c>
      <c r="C2888" t="s">
        <v>3</v>
      </c>
      <c r="D2888" t="s">
        <v>4</v>
      </c>
      <c r="E2888" t="s">
        <v>5</v>
      </c>
      <c r="F2888">
        <v>113014403</v>
      </c>
      <c r="G2888" t="s">
        <v>373</v>
      </c>
      <c r="H2888" t="s">
        <v>298</v>
      </c>
      <c r="I2888">
        <v>0</v>
      </c>
      <c r="J2888">
        <v>0</v>
      </c>
      <c r="K2888">
        <v>0</v>
      </c>
      <c r="L2888">
        <v>0</v>
      </c>
      <c r="M2888">
        <v>0.34</v>
      </c>
      <c r="N2888" s="7" t="e">
        <f>VLOOKUP(F2888,HC!A$6:D$100,3,FALSE)</f>
        <v>#N/A</v>
      </c>
      <c r="O2888" s="7" t="str">
        <f>VLOOKUP(F2888,HC!A$6:D$1000,2,FALSE)</f>
        <v>wnoraria</v>
      </c>
      <c r="P2888" t="s">
        <v>662</v>
      </c>
      <c r="Q2888" t="s">
        <v>757</v>
      </c>
      <c r="U2888">
        <f t="shared" si="47"/>
        <v>23</v>
      </c>
    </row>
    <row r="2889" spans="1:21" ht="37.5" customHeight="1" x14ac:dyDescent="0.25">
      <c r="A2889" s="36">
        <v>45167</v>
      </c>
      <c r="B2889" s="13">
        <v>35</v>
      </c>
      <c r="C2889" t="s">
        <v>3</v>
      </c>
      <c r="D2889" t="s">
        <v>4</v>
      </c>
      <c r="E2889" t="s">
        <v>5</v>
      </c>
      <c r="F2889">
        <v>113019001</v>
      </c>
      <c r="G2889" t="s">
        <v>464</v>
      </c>
      <c r="H2889" t="s">
        <v>1040</v>
      </c>
      <c r="I2889">
        <v>0</v>
      </c>
      <c r="J2889">
        <v>0</v>
      </c>
      <c r="K2889">
        <v>0</v>
      </c>
      <c r="L2889">
        <v>0</v>
      </c>
      <c r="M2889">
        <v>0.45</v>
      </c>
      <c r="N2889" s="7" t="e">
        <f>VLOOKUP(F2889,HC!A$6:D$100,3,FALSE)</f>
        <v>#N/A</v>
      </c>
      <c r="O2889" s="7" t="str">
        <f>VLOOKUP(F2889,HC!A$6:D$1000,2,FALSE)</f>
        <v>dolozane</v>
      </c>
      <c r="P2889" t="s">
        <v>664</v>
      </c>
      <c r="Q2889" t="s">
        <v>716</v>
      </c>
      <c r="U2889">
        <f t="shared" si="47"/>
        <v>17</v>
      </c>
    </row>
    <row r="2890" spans="1:21" ht="37.5" customHeight="1" x14ac:dyDescent="0.25">
      <c r="A2890" s="36">
        <v>45167</v>
      </c>
      <c r="B2890" s="13">
        <v>35</v>
      </c>
      <c r="C2890" t="s">
        <v>3</v>
      </c>
      <c r="D2890" t="s">
        <v>4</v>
      </c>
      <c r="E2890" t="s">
        <v>5</v>
      </c>
      <c r="F2890">
        <v>200404250</v>
      </c>
      <c r="G2890" t="s">
        <v>51</v>
      </c>
      <c r="H2890" t="s">
        <v>298</v>
      </c>
      <c r="I2890">
        <v>0</v>
      </c>
      <c r="J2890">
        <v>0</v>
      </c>
      <c r="K2890">
        <v>0</v>
      </c>
      <c r="L2890">
        <v>0</v>
      </c>
      <c r="M2890">
        <v>0.47</v>
      </c>
      <c r="N2890" s="7" t="e">
        <f>VLOOKUP(F2890,HC!A$6:D$100,3,FALSE)</f>
        <v>#N/A</v>
      </c>
      <c r="O2890" s="7" t="str">
        <f>VLOOKUP(F2890,HC!A$6:D$1000,2,FALSE)</f>
        <v>xcathurt</v>
      </c>
      <c r="P2890" t="s">
        <v>662</v>
      </c>
      <c r="Q2890" t="s">
        <v>766</v>
      </c>
      <c r="U2890">
        <f t="shared" si="47"/>
        <v>124</v>
      </c>
    </row>
    <row r="2891" spans="1:21" ht="37.5" customHeight="1" x14ac:dyDescent="0.25">
      <c r="A2891" s="36">
        <v>45167</v>
      </c>
      <c r="B2891" s="13">
        <v>35</v>
      </c>
      <c r="C2891" t="s">
        <v>3</v>
      </c>
      <c r="D2891" t="s">
        <v>4</v>
      </c>
      <c r="E2891" t="s">
        <v>5</v>
      </c>
      <c r="F2891">
        <v>201166890</v>
      </c>
      <c r="G2891" t="s">
        <v>998</v>
      </c>
      <c r="H2891" t="s">
        <v>298</v>
      </c>
      <c r="I2891">
        <v>0</v>
      </c>
      <c r="J2891">
        <v>0</v>
      </c>
      <c r="K2891">
        <v>0</v>
      </c>
      <c r="L2891">
        <v>0</v>
      </c>
      <c r="M2891">
        <v>0.04</v>
      </c>
      <c r="N2891" s="7" t="e">
        <f>VLOOKUP(F2891,HC!A$6:D$100,3,FALSE)</f>
        <v>#N/A</v>
      </c>
      <c r="O2891" s="7" t="str">
        <f>VLOOKUP(F2891,HC!A$6:D$1000,2,FALSE)</f>
        <v>lcabadan</v>
      </c>
      <c r="P2891" t="s">
        <v>663</v>
      </c>
      <c r="Q2891" t="s">
        <v>695</v>
      </c>
      <c r="U2891">
        <f t="shared" si="47"/>
        <v>24</v>
      </c>
    </row>
    <row r="2892" spans="1:21" ht="37.5" customHeight="1" x14ac:dyDescent="0.25">
      <c r="A2892" s="36">
        <v>45167</v>
      </c>
      <c r="B2892" s="13">
        <v>35</v>
      </c>
      <c r="C2892" t="s">
        <v>3</v>
      </c>
      <c r="D2892" t="s">
        <v>4</v>
      </c>
      <c r="E2892" t="s">
        <v>5</v>
      </c>
      <c r="F2892">
        <v>201172412</v>
      </c>
      <c r="G2892" t="s">
        <v>986</v>
      </c>
      <c r="H2892" t="s">
        <v>44</v>
      </c>
      <c r="I2892">
        <v>0</v>
      </c>
      <c r="J2892">
        <v>0</v>
      </c>
      <c r="K2892">
        <v>0</v>
      </c>
      <c r="L2892">
        <v>0</v>
      </c>
      <c r="M2892">
        <v>0.15</v>
      </c>
      <c r="N2892" s="7" t="e">
        <f>VLOOKUP(F2892,HC!A$6:D$100,3,FALSE)</f>
        <v>#N/A</v>
      </c>
      <c r="O2892" s="7" t="str">
        <f>VLOOKUP(F2892,HC!A$6:D$1000,2,FALSE)</f>
        <v>adrpcast</v>
      </c>
      <c r="P2892" t="s">
        <v>661</v>
      </c>
      <c r="Q2892" t="s">
        <v>681</v>
      </c>
      <c r="U2892">
        <f t="shared" si="47"/>
        <v>6</v>
      </c>
    </row>
    <row r="2893" spans="1:21" ht="37.5" customHeight="1" x14ac:dyDescent="0.25">
      <c r="A2893" s="36">
        <v>45167</v>
      </c>
      <c r="B2893" s="13">
        <v>35</v>
      </c>
      <c r="C2893" t="s">
        <v>3</v>
      </c>
      <c r="D2893" t="s">
        <v>4</v>
      </c>
      <c r="E2893" t="s">
        <v>5</v>
      </c>
      <c r="F2893">
        <v>201219500</v>
      </c>
      <c r="G2893" t="s">
        <v>937</v>
      </c>
      <c r="H2893" t="s">
        <v>17</v>
      </c>
      <c r="I2893">
        <v>0</v>
      </c>
      <c r="J2893">
        <v>0</v>
      </c>
      <c r="K2893">
        <v>0</v>
      </c>
      <c r="L2893">
        <v>0</v>
      </c>
      <c r="M2893">
        <v>0.17</v>
      </c>
      <c r="N2893" s="7" t="e">
        <f>VLOOKUP(F2893,HC!A$6:D$100,3,FALSE)</f>
        <v>#N/A</v>
      </c>
      <c r="O2893" s="7" t="str">
        <f>VLOOKUP(F2893,HC!A$6:D$1000,2,FALSE)</f>
        <v>ramsmazy</v>
      </c>
      <c r="P2893" t="s">
        <v>664</v>
      </c>
      <c r="Q2893" t="s">
        <v>762</v>
      </c>
      <c r="R2893" t="s">
        <v>408</v>
      </c>
      <c r="U2893">
        <f t="shared" si="47"/>
        <v>12</v>
      </c>
    </row>
    <row r="2894" spans="1:21" ht="37.5" customHeight="1" x14ac:dyDescent="0.25">
      <c r="A2894" s="36">
        <v>45167</v>
      </c>
      <c r="B2894" s="13">
        <v>35</v>
      </c>
      <c r="C2894" t="s">
        <v>3</v>
      </c>
      <c r="D2894" t="s">
        <v>4</v>
      </c>
      <c r="E2894" t="s">
        <v>5</v>
      </c>
      <c r="F2894">
        <v>201298365</v>
      </c>
      <c r="G2894" t="s">
        <v>1152</v>
      </c>
      <c r="H2894" t="s">
        <v>285</v>
      </c>
      <c r="I2894">
        <v>0</v>
      </c>
      <c r="J2894">
        <v>0</v>
      </c>
      <c r="K2894">
        <v>0</v>
      </c>
      <c r="L2894">
        <v>0</v>
      </c>
      <c r="M2894">
        <v>0.62</v>
      </c>
      <c r="N2894" s="7" t="e">
        <f>VLOOKUP(F2894,HC!A$6:D$100,3,FALSE)</f>
        <v>#N/A</v>
      </c>
      <c r="O2894" s="7" t="str">
        <f>VLOOKUP(F2894,HC!A$6:D$1000,2,FALSE)</f>
        <v>hernatle</v>
      </c>
      <c r="P2894" t="s">
        <v>665</v>
      </c>
      <c r="Q2894" t="s">
        <v>722</v>
      </c>
      <c r="U2894">
        <f t="shared" si="47"/>
        <v>2</v>
      </c>
    </row>
    <row r="2895" spans="1:21" ht="37.5" customHeight="1" x14ac:dyDescent="0.25">
      <c r="A2895" s="36">
        <v>45167</v>
      </c>
      <c r="B2895" s="13">
        <v>35</v>
      </c>
      <c r="C2895" t="s">
        <v>3</v>
      </c>
      <c r="D2895" t="s">
        <v>4</v>
      </c>
      <c r="E2895" t="s">
        <v>5</v>
      </c>
      <c r="F2895">
        <v>201345774</v>
      </c>
      <c r="G2895" t="s">
        <v>1070</v>
      </c>
      <c r="H2895" t="s">
        <v>44</v>
      </c>
      <c r="I2895">
        <v>0</v>
      </c>
      <c r="J2895">
        <v>0</v>
      </c>
      <c r="K2895">
        <v>0</v>
      </c>
      <c r="L2895">
        <v>0</v>
      </c>
      <c r="M2895">
        <v>0.03</v>
      </c>
      <c r="N2895" s="7" t="e">
        <f>VLOOKUP(F2895,HC!A$6:D$100,3,FALSE)</f>
        <v>#N/A</v>
      </c>
      <c r="O2895" s="7" t="str">
        <f>VLOOKUP(F2895,HC!A$6:D$1000,2,FALSE)</f>
        <v>jonquija</v>
      </c>
      <c r="P2895" t="s">
        <v>664</v>
      </c>
      <c r="Q2895" t="s">
        <v>777</v>
      </c>
      <c r="U2895">
        <f t="shared" si="47"/>
        <v>19</v>
      </c>
    </row>
    <row r="2896" spans="1:21" ht="37.5" customHeight="1" x14ac:dyDescent="0.25">
      <c r="A2896" s="36">
        <v>45167</v>
      </c>
      <c r="B2896" s="13">
        <v>35</v>
      </c>
      <c r="C2896" t="s">
        <v>3</v>
      </c>
      <c r="D2896" t="s">
        <v>4</v>
      </c>
      <c r="E2896" t="s">
        <v>21</v>
      </c>
      <c r="F2896">
        <v>201858867</v>
      </c>
      <c r="G2896" t="s">
        <v>1236</v>
      </c>
      <c r="H2896" t="s">
        <v>49</v>
      </c>
      <c r="I2896">
        <v>0</v>
      </c>
      <c r="J2896">
        <v>0</v>
      </c>
      <c r="K2896">
        <v>0</v>
      </c>
      <c r="L2896">
        <v>0</v>
      </c>
      <c r="M2896">
        <v>0.31</v>
      </c>
      <c r="N2896" s="7" t="e">
        <f>VLOOKUP(F2896,HC!A$6:D$100,3,FALSE)</f>
        <v>#N/A</v>
      </c>
      <c r="O2896" s="7" t="str">
        <f>VLOOKUP(F2896,HC!A$6:D$1000,2,FALSE)</f>
        <v>tcruzvel</v>
      </c>
      <c r="P2896" t="s">
        <v>661</v>
      </c>
      <c r="Q2896" t="s">
        <v>681</v>
      </c>
      <c r="U2896">
        <f t="shared" si="47"/>
        <v>17</v>
      </c>
    </row>
    <row r="2897" spans="1:21" ht="37.5" customHeight="1" x14ac:dyDescent="0.25">
      <c r="A2897" s="36">
        <v>45167</v>
      </c>
      <c r="B2897" s="13">
        <v>35</v>
      </c>
      <c r="C2897" t="s">
        <v>3</v>
      </c>
      <c r="D2897" t="s">
        <v>4</v>
      </c>
      <c r="E2897" t="s">
        <v>21</v>
      </c>
      <c r="F2897">
        <v>201891076</v>
      </c>
      <c r="G2897" t="s">
        <v>1226</v>
      </c>
      <c r="H2897" t="s">
        <v>298</v>
      </c>
      <c r="I2897">
        <v>0</v>
      </c>
      <c r="J2897">
        <v>0</v>
      </c>
      <c r="K2897">
        <v>0</v>
      </c>
      <c r="L2897">
        <v>0</v>
      </c>
      <c r="M2897">
        <v>0.28000000000000003</v>
      </c>
      <c r="N2897" s="7" t="e">
        <f>VLOOKUP(F2897,HC!A$6:D$100,3,FALSE)</f>
        <v>#N/A</v>
      </c>
      <c r="O2897" s="7" t="str">
        <f>VLOOKUP(F2897,HC!A$6:D$1000,2,FALSE)</f>
        <v>marmolve</v>
      </c>
      <c r="P2897" t="s">
        <v>661</v>
      </c>
      <c r="Q2897" t="s">
        <v>681</v>
      </c>
      <c r="U2897">
        <f t="shared" si="47"/>
        <v>9</v>
      </c>
    </row>
    <row r="2898" spans="1:21" ht="37.5" customHeight="1" x14ac:dyDescent="0.25">
      <c r="A2898" s="36">
        <v>45168</v>
      </c>
      <c r="B2898" s="13">
        <v>35</v>
      </c>
      <c r="C2898" t="s">
        <v>3</v>
      </c>
      <c r="D2898" t="s">
        <v>4</v>
      </c>
      <c r="E2898" t="s">
        <v>5</v>
      </c>
      <c r="F2898">
        <v>112912506</v>
      </c>
      <c r="G2898" t="s">
        <v>1041</v>
      </c>
      <c r="H2898" t="s">
        <v>332</v>
      </c>
      <c r="I2898">
        <v>0</v>
      </c>
      <c r="J2898">
        <v>0</v>
      </c>
      <c r="K2898">
        <v>0</v>
      </c>
      <c r="L2898">
        <v>0</v>
      </c>
      <c r="M2898">
        <v>0.11</v>
      </c>
      <c r="N2898" s="7" t="str">
        <f>VLOOKUP(F2898,HC!A$6:D$100,3,FALSE)</f>
        <v>DA-X0700</v>
      </c>
      <c r="O2898" s="7" t="str">
        <f>VLOOKUP(F2898,HC!A$6:D$1000,2,FALSE)</f>
        <v>gakjessi</v>
      </c>
      <c r="P2898" t="s">
        <v>664</v>
      </c>
      <c r="Q2898" t="s">
        <v>711</v>
      </c>
      <c r="U2898">
        <f t="shared" si="47"/>
        <v>11</v>
      </c>
    </row>
    <row r="2899" spans="1:21" ht="37.5" customHeight="1" x14ac:dyDescent="0.25">
      <c r="A2899" s="36">
        <v>45168</v>
      </c>
      <c r="B2899" s="13">
        <v>35</v>
      </c>
      <c r="C2899" t="s">
        <v>3</v>
      </c>
      <c r="D2899" t="s">
        <v>4</v>
      </c>
      <c r="E2899" t="s">
        <v>5</v>
      </c>
      <c r="F2899">
        <v>112912745</v>
      </c>
      <c r="G2899" t="s">
        <v>478</v>
      </c>
      <c r="H2899" t="s">
        <v>285</v>
      </c>
      <c r="I2899">
        <v>0</v>
      </c>
      <c r="J2899">
        <v>0</v>
      </c>
      <c r="K2899">
        <v>0</v>
      </c>
      <c r="L2899">
        <v>0</v>
      </c>
      <c r="M2899">
        <v>0.44</v>
      </c>
      <c r="N2899" s="7" t="str">
        <f>VLOOKUP(F2899,HC!A$6:D$100,3,FALSE)</f>
        <v>DA-X0700</v>
      </c>
      <c r="O2899" s="7" t="str">
        <f>VLOOKUP(F2899,HC!A$6:D$1000,2,FALSE)</f>
        <v>nalexgom</v>
      </c>
      <c r="P2899" t="s">
        <v>664</v>
      </c>
      <c r="Q2899" t="s">
        <v>771</v>
      </c>
      <c r="U2899">
        <f t="shared" si="47"/>
        <v>22</v>
      </c>
    </row>
    <row r="2900" spans="1:21" ht="37.5" customHeight="1" x14ac:dyDescent="0.25">
      <c r="A2900" s="36">
        <v>45168</v>
      </c>
      <c r="B2900" s="13">
        <v>35</v>
      </c>
      <c r="C2900" t="s">
        <v>3</v>
      </c>
      <c r="D2900" t="s">
        <v>4</v>
      </c>
      <c r="E2900" t="s">
        <v>5</v>
      </c>
      <c r="F2900">
        <v>112971962</v>
      </c>
      <c r="G2900" t="s">
        <v>338</v>
      </c>
      <c r="H2900" t="s">
        <v>17</v>
      </c>
      <c r="I2900">
        <v>0</v>
      </c>
      <c r="J2900">
        <v>0</v>
      </c>
      <c r="K2900">
        <v>0</v>
      </c>
      <c r="L2900">
        <v>0</v>
      </c>
      <c r="M2900">
        <v>0.11</v>
      </c>
      <c r="N2900" s="7" t="str">
        <f>VLOOKUP(F2900,HC!A$6:D$100,3,FALSE)</f>
        <v>DB-X0700</v>
      </c>
      <c r="O2900" s="7" t="str">
        <f>VLOOKUP(F2900,HC!A$6:D$1000,2,FALSE)</f>
        <v>creyesal</v>
      </c>
      <c r="P2900" t="s">
        <v>664</v>
      </c>
      <c r="Q2900" t="s">
        <v>709</v>
      </c>
      <c r="U2900">
        <f t="shared" si="47"/>
        <v>38</v>
      </c>
    </row>
    <row r="2901" spans="1:21" ht="37.5" customHeight="1" x14ac:dyDescent="0.25">
      <c r="A2901" s="36">
        <v>45168</v>
      </c>
      <c r="B2901" s="13">
        <v>35</v>
      </c>
      <c r="C2901" t="s">
        <v>3</v>
      </c>
      <c r="D2901" t="s">
        <v>4</v>
      </c>
      <c r="E2901" t="s">
        <v>5</v>
      </c>
      <c r="F2901">
        <v>200404250</v>
      </c>
      <c r="G2901" t="s">
        <v>51</v>
      </c>
      <c r="H2901" t="s">
        <v>298</v>
      </c>
      <c r="I2901">
        <v>0</v>
      </c>
      <c r="J2901">
        <v>0</v>
      </c>
      <c r="K2901">
        <v>0</v>
      </c>
      <c r="L2901">
        <v>0</v>
      </c>
      <c r="M2901">
        <v>1.58</v>
      </c>
      <c r="N2901" s="7" t="e">
        <f>VLOOKUP(F2901,HC!A$6:D$100,3,FALSE)</f>
        <v>#N/A</v>
      </c>
      <c r="O2901" s="7" t="str">
        <f>VLOOKUP(F2901,HC!A$6:D$1000,2,FALSE)</f>
        <v>xcathurt</v>
      </c>
      <c r="P2901" t="s">
        <v>662</v>
      </c>
      <c r="Q2901" t="s">
        <v>766</v>
      </c>
      <c r="U2901">
        <f t="shared" si="47"/>
        <v>124</v>
      </c>
    </row>
    <row r="2902" spans="1:21" ht="37.5" customHeight="1" x14ac:dyDescent="0.25">
      <c r="A2902" s="36">
        <v>45168</v>
      </c>
      <c r="B2902" s="13">
        <v>35</v>
      </c>
      <c r="C2902" t="s">
        <v>3</v>
      </c>
      <c r="D2902" t="s">
        <v>4</v>
      </c>
      <c r="E2902" t="s">
        <v>5</v>
      </c>
      <c r="F2902">
        <v>200615883</v>
      </c>
      <c r="G2902" t="s">
        <v>508</v>
      </c>
      <c r="H2902" t="s">
        <v>47</v>
      </c>
      <c r="I2902">
        <v>0</v>
      </c>
      <c r="J2902">
        <v>0</v>
      </c>
      <c r="K2902">
        <v>0</v>
      </c>
      <c r="L2902">
        <v>0</v>
      </c>
      <c r="M2902">
        <v>0.83</v>
      </c>
      <c r="N2902" s="7" t="e">
        <f>VLOOKUP(F2902,HC!A$6:D$100,3,FALSE)</f>
        <v>#N/A</v>
      </c>
      <c r="O2902" s="7" t="e">
        <f>VLOOKUP(F2902,HC!A$6:D$1000,2,FALSE)</f>
        <v>#N/A</v>
      </c>
      <c r="P2902" t="s">
        <v>664</v>
      </c>
      <c r="Q2902" t="s">
        <v>708</v>
      </c>
      <c r="U2902">
        <f t="shared" si="47"/>
        <v>1395</v>
      </c>
    </row>
    <row r="2903" spans="1:21" ht="37.5" customHeight="1" x14ac:dyDescent="0.25">
      <c r="A2903" s="36">
        <v>45168</v>
      </c>
      <c r="B2903" s="13">
        <v>35</v>
      </c>
      <c r="C2903" t="s">
        <v>3</v>
      </c>
      <c r="D2903" t="s">
        <v>4</v>
      </c>
      <c r="E2903" t="s">
        <v>5</v>
      </c>
      <c r="F2903">
        <v>200625339</v>
      </c>
      <c r="G2903" t="s">
        <v>860</v>
      </c>
      <c r="H2903" t="s">
        <v>47</v>
      </c>
      <c r="I2903">
        <v>0</v>
      </c>
      <c r="J2903">
        <v>0</v>
      </c>
      <c r="K2903">
        <v>0</v>
      </c>
      <c r="L2903">
        <v>0</v>
      </c>
      <c r="M2903">
        <v>1.32</v>
      </c>
      <c r="N2903" s="7" t="e">
        <f>VLOOKUP(F2903,HC!A$6:D$100,3,FALSE)</f>
        <v>#N/A</v>
      </c>
      <c r="O2903" s="7" t="e">
        <f>VLOOKUP(F2903,HC!A$6:D$1000,2,FALSE)</f>
        <v>#N/A</v>
      </c>
      <c r="P2903" t="s">
        <v>663</v>
      </c>
      <c r="Q2903" t="s">
        <v>695</v>
      </c>
      <c r="U2903">
        <f t="shared" si="47"/>
        <v>1395</v>
      </c>
    </row>
    <row r="2904" spans="1:21" ht="37.5" customHeight="1" x14ac:dyDescent="0.25">
      <c r="A2904" s="36">
        <v>45168</v>
      </c>
      <c r="B2904" s="13">
        <v>35</v>
      </c>
      <c r="C2904" t="s">
        <v>3</v>
      </c>
      <c r="D2904" t="s">
        <v>4</v>
      </c>
      <c r="E2904" t="s">
        <v>5</v>
      </c>
      <c r="F2904">
        <v>201191390</v>
      </c>
      <c r="G2904" t="s">
        <v>916</v>
      </c>
      <c r="H2904" t="s">
        <v>7</v>
      </c>
      <c r="I2904">
        <v>0</v>
      </c>
      <c r="J2904">
        <v>0</v>
      </c>
      <c r="K2904">
        <v>0</v>
      </c>
      <c r="L2904">
        <v>0</v>
      </c>
      <c r="M2904">
        <v>0.28000000000000003</v>
      </c>
      <c r="N2904" s="7" t="e">
        <f>VLOOKUP(F2904,HC!A$6:D$100,3,FALSE)</f>
        <v>#N/A</v>
      </c>
      <c r="O2904" s="7" t="str">
        <f>VLOOKUP(F2904,HC!A$6:D$1000,2,FALSE)</f>
        <v>bgajesus</v>
      </c>
      <c r="P2904" t="s">
        <v>662</v>
      </c>
      <c r="Q2904" t="s">
        <v>702</v>
      </c>
      <c r="U2904">
        <f t="shared" si="47"/>
        <v>37</v>
      </c>
    </row>
    <row r="2905" spans="1:21" ht="37.5" customHeight="1" x14ac:dyDescent="0.25">
      <c r="A2905" s="36">
        <v>45168</v>
      </c>
      <c r="B2905" s="13">
        <v>35</v>
      </c>
      <c r="C2905" t="s">
        <v>3</v>
      </c>
      <c r="D2905" t="s">
        <v>4</v>
      </c>
      <c r="E2905" t="s">
        <v>5</v>
      </c>
      <c r="F2905">
        <v>201198922</v>
      </c>
      <c r="G2905" t="s">
        <v>1141</v>
      </c>
      <c r="H2905" t="s">
        <v>47</v>
      </c>
      <c r="I2905">
        <v>0</v>
      </c>
      <c r="J2905">
        <v>0</v>
      </c>
      <c r="K2905">
        <v>0</v>
      </c>
      <c r="L2905">
        <v>0</v>
      </c>
      <c r="M2905">
        <v>0.4</v>
      </c>
      <c r="N2905" s="7" t="e">
        <f>VLOOKUP(F2905,HC!A$6:D$100,3,FALSE)</f>
        <v>#N/A</v>
      </c>
      <c r="O2905" s="7" t="str">
        <f>VLOOKUP(F2905,HC!A$6:D$1000,2,FALSE)</f>
        <v>mendejoy</v>
      </c>
      <c r="U2905">
        <f t="shared" si="47"/>
        <v>14</v>
      </c>
    </row>
    <row r="2906" spans="1:21" ht="37.5" customHeight="1" x14ac:dyDescent="0.25">
      <c r="A2906" s="36">
        <v>45168</v>
      </c>
      <c r="B2906" s="13">
        <v>35</v>
      </c>
      <c r="C2906" t="s">
        <v>3</v>
      </c>
      <c r="D2906" t="s">
        <v>4</v>
      </c>
      <c r="E2906" t="s">
        <v>5</v>
      </c>
      <c r="F2906">
        <v>201228411</v>
      </c>
      <c r="G2906" t="s">
        <v>938</v>
      </c>
      <c r="H2906" t="s">
        <v>49</v>
      </c>
      <c r="I2906">
        <v>0</v>
      </c>
      <c r="J2906">
        <v>0</v>
      </c>
      <c r="K2906">
        <v>0</v>
      </c>
      <c r="L2906">
        <v>0</v>
      </c>
      <c r="M2906">
        <v>0.68</v>
      </c>
      <c r="N2906" s="7" t="e">
        <f>VLOOKUP(F2906,HC!A$6:D$100,3,FALSE)</f>
        <v>#N/A</v>
      </c>
      <c r="O2906" s="7" t="str">
        <f>VLOOKUP(F2906,HC!A$6:D$1000,2,FALSE)</f>
        <v>jazmiwhe</v>
      </c>
      <c r="U2906">
        <f t="shared" si="47"/>
        <v>36</v>
      </c>
    </row>
    <row r="2907" spans="1:21" ht="37.5" customHeight="1" x14ac:dyDescent="0.25">
      <c r="A2907" s="36">
        <v>45168</v>
      </c>
      <c r="B2907" s="13">
        <v>35</v>
      </c>
      <c r="C2907" t="s">
        <v>3</v>
      </c>
      <c r="D2907" t="s">
        <v>4</v>
      </c>
      <c r="E2907" t="s">
        <v>5</v>
      </c>
      <c r="F2907">
        <v>201294058</v>
      </c>
      <c r="G2907" t="s">
        <v>985</v>
      </c>
      <c r="H2907" t="s">
        <v>1040</v>
      </c>
      <c r="I2907">
        <v>0</v>
      </c>
      <c r="J2907">
        <v>0</v>
      </c>
      <c r="K2907">
        <v>0</v>
      </c>
      <c r="L2907">
        <v>0</v>
      </c>
      <c r="M2907">
        <v>0.13</v>
      </c>
      <c r="N2907" s="7" t="e">
        <f>VLOOKUP(F2907,HC!A$6:D$100,3,FALSE)</f>
        <v>#N/A</v>
      </c>
      <c r="O2907" s="7" t="str">
        <f>VLOOKUP(F2907,HC!A$6:D$1000,2,FALSE)</f>
        <v>alerikat</v>
      </c>
      <c r="P2907" t="s">
        <v>661</v>
      </c>
      <c r="Q2907" t="s">
        <v>681</v>
      </c>
      <c r="U2907">
        <f t="shared" si="47"/>
        <v>6</v>
      </c>
    </row>
    <row r="2908" spans="1:21" ht="37.5" customHeight="1" x14ac:dyDescent="0.25">
      <c r="A2908" s="36">
        <v>45168</v>
      </c>
      <c r="B2908" s="13">
        <v>35</v>
      </c>
      <c r="C2908" t="s">
        <v>3</v>
      </c>
      <c r="D2908" t="s">
        <v>4</v>
      </c>
      <c r="E2908" t="s">
        <v>5</v>
      </c>
      <c r="F2908">
        <v>201318220</v>
      </c>
      <c r="G2908" t="s">
        <v>1183</v>
      </c>
      <c r="H2908" t="s">
        <v>1040</v>
      </c>
      <c r="I2908">
        <v>0</v>
      </c>
      <c r="J2908">
        <v>0</v>
      </c>
      <c r="K2908">
        <v>0</v>
      </c>
      <c r="L2908">
        <v>0</v>
      </c>
      <c r="M2908">
        <v>1.02</v>
      </c>
      <c r="N2908" s="7" t="e">
        <f>VLOOKUP(F2908,HC!A$6:D$100,3,FALSE)</f>
        <v>#N/A</v>
      </c>
      <c r="O2908" s="7" t="str">
        <f>VLOOKUP(F2908,HC!A$6:D$1000,2,FALSE)</f>
        <v>raufjas</v>
      </c>
      <c r="U2908">
        <f t="shared" si="47"/>
        <v>11</v>
      </c>
    </row>
    <row r="2909" spans="1:21" ht="37.5" customHeight="1" x14ac:dyDescent="0.25">
      <c r="A2909" s="36">
        <v>45168</v>
      </c>
      <c r="B2909" s="13">
        <v>35</v>
      </c>
      <c r="C2909" t="s">
        <v>3</v>
      </c>
      <c r="D2909" t="s">
        <v>4</v>
      </c>
      <c r="E2909" t="s">
        <v>5</v>
      </c>
      <c r="F2909">
        <v>201354965</v>
      </c>
      <c r="G2909" t="s">
        <v>1063</v>
      </c>
      <c r="H2909" t="s">
        <v>263</v>
      </c>
      <c r="I2909">
        <v>0</v>
      </c>
      <c r="J2909">
        <v>0</v>
      </c>
      <c r="K2909">
        <v>0</v>
      </c>
      <c r="L2909">
        <v>0</v>
      </c>
      <c r="M2909">
        <v>0.24</v>
      </c>
      <c r="N2909" s="7" t="e">
        <f>VLOOKUP(F2909,HC!A$6:D$100,3,FALSE)</f>
        <v>#N/A</v>
      </c>
      <c r="O2909" s="7" t="str">
        <f>VLOOKUP(F2909,HC!A$6:D$1000,2,FALSE)</f>
        <v>alinejim</v>
      </c>
      <c r="P2909" t="s">
        <v>661</v>
      </c>
      <c r="Q2909" t="s">
        <v>681</v>
      </c>
      <c r="U2909">
        <f t="shared" si="47"/>
        <v>33</v>
      </c>
    </row>
    <row r="2910" spans="1:21" ht="37.5" customHeight="1" x14ac:dyDescent="0.25">
      <c r="A2910" s="36">
        <v>45168</v>
      </c>
      <c r="B2910" s="13">
        <v>35</v>
      </c>
      <c r="C2910" t="s">
        <v>3</v>
      </c>
      <c r="D2910" t="s">
        <v>4</v>
      </c>
      <c r="E2910" t="s">
        <v>21</v>
      </c>
      <c r="F2910">
        <v>201836048</v>
      </c>
      <c r="G2910" t="s">
        <v>1229</v>
      </c>
      <c r="H2910" t="s">
        <v>7</v>
      </c>
      <c r="I2910">
        <v>0</v>
      </c>
      <c r="J2910">
        <v>0</v>
      </c>
      <c r="K2910">
        <v>0</v>
      </c>
      <c r="L2910">
        <v>0</v>
      </c>
      <c r="M2910">
        <v>0.7</v>
      </c>
      <c r="N2910" s="7" t="e">
        <f>VLOOKUP(F2910,HC!A$6:D$100,3,FALSE)</f>
        <v>#N/A</v>
      </c>
      <c r="O2910" s="7" t="e">
        <f>VLOOKUP(F2910,HC!A$6:D$1000,2,FALSE)</f>
        <v>#N/A</v>
      </c>
      <c r="P2910" t="s">
        <v>662</v>
      </c>
      <c r="Q2910" t="s">
        <v>757</v>
      </c>
      <c r="U2910">
        <f t="shared" si="47"/>
        <v>1395</v>
      </c>
    </row>
    <row r="2911" spans="1:21" ht="37.5" customHeight="1" x14ac:dyDescent="0.25">
      <c r="A2911" s="36">
        <v>45169</v>
      </c>
      <c r="B2911" s="13">
        <v>35</v>
      </c>
      <c r="C2911" t="s">
        <v>3</v>
      </c>
      <c r="D2911" t="s">
        <v>4</v>
      </c>
      <c r="E2911" t="s">
        <v>5</v>
      </c>
      <c r="F2911">
        <v>112912054</v>
      </c>
      <c r="G2911" t="s">
        <v>333</v>
      </c>
      <c r="H2911" t="s">
        <v>403</v>
      </c>
      <c r="I2911">
        <v>0</v>
      </c>
      <c r="J2911">
        <v>0</v>
      </c>
      <c r="K2911">
        <v>0</v>
      </c>
      <c r="L2911">
        <v>0</v>
      </c>
      <c r="M2911">
        <v>0.15</v>
      </c>
      <c r="N2911" s="7" t="str">
        <f>VLOOKUP(F2911,HC!A$6:D$100,3,FALSE)</f>
        <v>DB-X0700</v>
      </c>
      <c r="O2911" s="7" t="str">
        <f>VLOOKUP(F2911,HC!A$6:D$1000,2,FALSE)</f>
        <v>privejor</v>
      </c>
      <c r="P2911" t="s">
        <v>670</v>
      </c>
      <c r="Q2911" t="s">
        <v>742</v>
      </c>
      <c r="U2911">
        <f t="shared" si="47"/>
        <v>14</v>
      </c>
    </row>
    <row r="2912" spans="1:21" ht="37.5" customHeight="1" x14ac:dyDescent="0.25">
      <c r="A2912" s="36">
        <v>45169</v>
      </c>
      <c r="B2912" s="13">
        <v>35</v>
      </c>
      <c r="C2912" t="s">
        <v>3</v>
      </c>
      <c r="D2912" t="s">
        <v>4</v>
      </c>
      <c r="E2912" t="s">
        <v>5</v>
      </c>
      <c r="F2912">
        <v>201162225</v>
      </c>
      <c r="G2912" t="s">
        <v>1111</v>
      </c>
      <c r="H2912" t="s">
        <v>285</v>
      </c>
      <c r="I2912">
        <v>0</v>
      </c>
      <c r="J2912">
        <v>0</v>
      </c>
      <c r="K2912">
        <v>0</v>
      </c>
      <c r="L2912">
        <v>0</v>
      </c>
      <c r="M2912">
        <v>0.83</v>
      </c>
      <c r="N2912" s="7" t="e">
        <f>VLOOKUP(F2912,HC!A$6:D$100,3,FALSE)</f>
        <v>#N/A</v>
      </c>
      <c r="O2912" s="7" t="str">
        <f>VLOOKUP(F2912,HC!A$6:D$1000,2,FALSE)</f>
        <v>isracoro</v>
      </c>
      <c r="P2912" t="s">
        <v>664</v>
      </c>
      <c r="Q2912" t="s">
        <v>711</v>
      </c>
      <c r="U2912">
        <f t="shared" si="47"/>
        <v>5</v>
      </c>
    </row>
    <row r="2913" spans="1:21" ht="37.5" customHeight="1" x14ac:dyDescent="0.25">
      <c r="A2913" s="36">
        <v>45169</v>
      </c>
      <c r="B2913" s="13">
        <v>35</v>
      </c>
      <c r="C2913" t="s">
        <v>3</v>
      </c>
      <c r="D2913" t="s">
        <v>4</v>
      </c>
      <c r="E2913" t="s">
        <v>5</v>
      </c>
      <c r="F2913">
        <v>201165769</v>
      </c>
      <c r="G2913" t="s">
        <v>903</v>
      </c>
      <c r="H2913" t="s">
        <v>285</v>
      </c>
      <c r="I2913">
        <v>0</v>
      </c>
      <c r="J2913">
        <v>0</v>
      </c>
      <c r="K2913">
        <v>0</v>
      </c>
      <c r="L2913">
        <v>0</v>
      </c>
      <c r="M2913">
        <v>0.15</v>
      </c>
      <c r="N2913" s="7" t="e">
        <f>VLOOKUP(F2913,HC!A$6:D$100,3,FALSE)</f>
        <v>#N/A</v>
      </c>
      <c r="O2913" s="7" t="str">
        <f>VLOOKUP(F2913,HC!A$6:D$1000,2,FALSE)</f>
        <v>puenkare</v>
      </c>
      <c r="P2913" t="s">
        <v>664</v>
      </c>
      <c r="Q2913" t="s">
        <v>710</v>
      </c>
      <c r="U2913">
        <f t="shared" si="47"/>
        <v>19</v>
      </c>
    </row>
    <row r="2914" spans="1:21" ht="37.5" customHeight="1" x14ac:dyDescent="0.25">
      <c r="A2914" s="36">
        <v>45169</v>
      </c>
      <c r="B2914" s="13">
        <v>35</v>
      </c>
      <c r="C2914" t="s">
        <v>3</v>
      </c>
      <c r="D2914" t="s">
        <v>4</v>
      </c>
      <c r="E2914" t="s">
        <v>5</v>
      </c>
      <c r="F2914">
        <v>201191390</v>
      </c>
      <c r="G2914" t="s">
        <v>916</v>
      </c>
      <c r="H2914" t="s">
        <v>7</v>
      </c>
      <c r="I2914">
        <v>0</v>
      </c>
      <c r="J2914">
        <v>0</v>
      </c>
      <c r="K2914">
        <v>0</v>
      </c>
      <c r="L2914">
        <v>0</v>
      </c>
      <c r="M2914">
        <v>1.1100000000000001</v>
      </c>
      <c r="N2914" s="7" t="e">
        <f>VLOOKUP(F2914,HC!A$6:D$100,3,FALSE)</f>
        <v>#N/A</v>
      </c>
      <c r="O2914" s="7" t="str">
        <f>VLOOKUP(F2914,HC!A$6:D$1000,2,FALSE)</f>
        <v>bgajesus</v>
      </c>
      <c r="P2914" t="s">
        <v>664</v>
      </c>
      <c r="Q2914" t="s">
        <v>708</v>
      </c>
      <c r="U2914">
        <f t="shared" si="47"/>
        <v>37</v>
      </c>
    </row>
    <row r="2915" spans="1:21" ht="37.5" customHeight="1" x14ac:dyDescent="0.25">
      <c r="A2915" s="36">
        <v>45169</v>
      </c>
      <c r="B2915" s="13">
        <v>35</v>
      </c>
      <c r="C2915" t="s">
        <v>3</v>
      </c>
      <c r="D2915" t="s">
        <v>4</v>
      </c>
      <c r="E2915" t="s">
        <v>5</v>
      </c>
      <c r="F2915">
        <v>201219500</v>
      </c>
      <c r="G2915" t="s">
        <v>937</v>
      </c>
      <c r="H2915" t="s">
        <v>17</v>
      </c>
      <c r="I2915">
        <v>0</v>
      </c>
      <c r="J2915">
        <v>0</v>
      </c>
      <c r="K2915">
        <v>0</v>
      </c>
      <c r="L2915">
        <v>0</v>
      </c>
      <c r="M2915">
        <v>0.1</v>
      </c>
      <c r="N2915" s="7" t="e">
        <f>VLOOKUP(F2915,HC!A$6:D$100,3,FALSE)</f>
        <v>#N/A</v>
      </c>
      <c r="O2915" s="7" t="str">
        <f>VLOOKUP(F2915,HC!A$6:D$1000,2,FALSE)</f>
        <v>ramsmazy</v>
      </c>
      <c r="P2915" t="s">
        <v>664</v>
      </c>
      <c r="Q2915" t="s">
        <v>708</v>
      </c>
      <c r="U2915">
        <f t="shared" si="47"/>
        <v>12</v>
      </c>
    </row>
    <row r="2916" spans="1:21" ht="37.5" customHeight="1" x14ac:dyDescent="0.25">
      <c r="A2916" s="36">
        <v>45169</v>
      </c>
      <c r="B2916" s="13">
        <v>35</v>
      </c>
      <c r="C2916" t="s">
        <v>3</v>
      </c>
      <c r="D2916" t="s">
        <v>4</v>
      </c>
      <c r="E2916" t="s">
        <v>5</v>
      </c>
      <c r="F2916">
        <v>201223730</v>
      </c>
      <c r="G2916" t="s">
        <v>933</v>
      </c>
      <c r="H2916" t="s">
        <v>49</v>
      </c>
      <c r="I2916">
        <v>0</v>
      </c>
      <c r="J2916">
        <v>0</v>
      </c>
      <c r="K2916">
        <v>0</v>
      </c>
      <c r="L2916">
        <v>0</v>
      </c>
      <c r="M2916">
        <v>0.65</v>
      </c>
      <c r="N2916" s="7" t="e">
        <f>VLOOKUP(F2916,HC!A$6:D$100,3,FALSE)</f>
        <v>#N/A</v>
      </c>
      <c r="O2916" s="7" t="str">
        <f>VLOOKUP(F2916,HC!A$6:D$1000,2,FALSE)</f>
        <v>cesarito</v>
      </c>
      <c r="P2916" t="s">
        <v>661</v>
      </c>
      <c r="Q2916" t="s">
        <v>681</v>
      </c>
      <c r="U2916">
        <f t="shared" si="47"/>
        <v>39</v>
      </c>
    </row>
    <row r="2917" spans="1:21" ht="37.5" customHeight="1" x14ac:dyDescent="0.25">
      <c r="A2917" s="36">
        <v>45169</v>
      </c>
      <c r="B2917" s="13">
        <v>35</v>
      </c>
      <c r="C2917" t="s">
        <v>3</v>
      </c>
      <c r="D2917" t="s">
        <v>4</v>
      </c>
      <c r="E2917" t="s">
        <v>5</v>
      </c>
      <c r="F2917">
        <v>201228411</v>
      </c>
      <c r="G2917" t="s">
        <v>938</v>
      </c>
      <c r="H2917" t="s">
        <v>49</v>
      </c>
      <c r="I2917">
        <v>0</v>
      </c>
      <c r="J2917">
        <v>0</v>
      </c>
      <c r="K2917">
        <v>0</v>
      </c>
      <c r="L2917">
        <v>0</v>
      </c>
      <c r="M2917">
        <v>0.54</v>
      </c>
      <c r="N2917" s="7" t="e">
        <f>VLOOKUP(F2917,HC!A$6:D$100,3,FALSE)</f>
        <v>#N/A</v>
      </c>
      <c r="O2917" s="7" t="str">
        <f>VLOOKUP(F2917,HC!A$6:D$1000,2,FALSE)</f>
        <v>jazmiwhe</v>
      </c>
      <c r="P2917" t="s">
        <v>661</v>
      </c>
      <c r="Q2917" t="s">
        <v>681</v>
      </c>
      <c r="U2917">
        <f t="shared" si="47"/>
        <v>36</v>
      </c>
    </row>
    <row r="2918" spans="1:21" ht="37.5" customHeight="1" x14ac:dyDescent="0.25">
      <c r="A2918" s="36">
        <v>45169</v>
      </c>
      <c r="B2918" s="13">
        <v>35</v>
      </c>
      <c r="C2918" t="s">
        <v>3</v>
      </c>
      <c r="D2918" t="s">
        <v>4</v>
      </c>
      <c r="E2918" t="s">
        <v>21</v>
      </c>
      <c r="F2918">
        <v>201836048</v>
      </c>
      <c r="G2918" t="s">
        <v>1229</v>
      </c>
      <c r="H2918" t="s">
        <v>7</v>
      </c>
      <c r="I2918">
        <v>0</v>
      </c>
      <c r="J2918">
        <v>0</v>
      </c>
      <c r="K2918">
        <v>0</v>
      </c>
      <c r="L2918">
        <v>0</v>
      </c>
      <c r="M2918">
        <v>1.21</v>
      </c>
      <c r="N2918" s="7" t="e">
        <f>VLOOKUP(F2918,HC!A$6:D$100,3,FALSE)</f>
        <v>#N/A</v>
      </c>
      <c r="O2918" s="7" t="e">
        <f>VLOOKUP(F2918,HC!A$6:D$1000,2,FALSE)</f>
        <v>#N/A</v>
      </c>
      <c r="P2918" t="s">
        <v>664</v>
      </c>
      <c r="Q2918" t="s">
        <v>711</v>
      </c>
      <c r="U2918">
        <f t="shared" si="47"/>
        <v>1395</v>
      </c>
    </row>
    <row r="2919" spans="1:21" ht="37.5" customHeight="1" x14ac:dyDescent="0.25">
      <c r="A2919" s="39">
        <v>45170</v>
      </c>
      <c r="B2919" s="13">
        <v>35</v>
      </c>
      <c r="C2919" t="s">
        <v>3</v>
      </c>
      <c r="D2919" t="s">
        <v>4</v>
      </c>
      <c r="E2919" t="s">
        <v>5</v>
      </c>
      <c r="F2919">
        <v>112912983</v>
      </c>
      <c r="G2919" t="s">
        <v>558</v>
      </c>
      <c r="H2919" t="s">
        <v>403</v>
      </c>
      <c r="I2919">
        <v>0</v>
      </c>
      <c r="J2919">
        <v>0</v>
      </c>
      <c r="K2919">
        <v>0</v>
      </c>
      <c r="L2919">
        <v>0</v>
      </c>
      <c r="M2919">
        <v>0.25</v>
      </c>
      <c r="N2919" s="7" t="str">
        <f>VLOOKUP(F2919,HC!A$6:D$100,3,FALSE)</f>
        <v>NF-X1900</v>
      </c>
      <c r="O2919" s="7" t="str">
        <f>VLOOKUP(F2919,HC!A$6:D$1000,2,FALSE)</f>
        <v>wrocirod</v>
      </c>
      <c r="P2919" t="s">
        <v>664</v>
      </c>
      <c r="Q2919" t="s">
        <v>716</v>
      </c>
      <c r="U2919">
        <f t="shared" si="47"/>
        <v>16</v>
      </c>
    </row>
    <row r="2920" spans="1:21" ht="37.5" customHeight="1" x14ac:dyDescent="0.25">
      <c r="A2920" s="39">
        <v>45170</v>
      </c>
      <c r="B2920" s="13">
        <v>35</v>
      </c>
      <c r="C2920" t="s">
        <v>3</v>
      </c>
      <c r="D2920" t="s">
        <v>4</v>
      </c>
      <c r="E2920" t="s">
        <v>5</v>
      </c>
      <c r="F2920">
        <v>112916533</v>
      </c>
      <c r="G2920" t="s">
        <v>1161</v>
      </c>
      <c r="H2920" t="s">
        <v>47</v>
      </c>
      <c r="I2920">
        <v>0</v>
      </c>
      <c r="J2920">
        <v>0</v>
      </c>
      <c r="K2920">
        <v>0</v>
      </c>
      <c r="L2920">
        <v>0</v>
      </c>
      <c r="M2920">
        <v>0.21</v>
      </c>
      <c r="N2920" s="7" t="str">
        <f>VLOOKUP(F2920,HC!A$6:D$100,3,FALSE)</f>
        <v>DB-X0700</v>
      </c>
      <c r="O2920" s="7" t="str">
        <f>VLOOKUP(F2920,HC!A$6:D$1000,2,FALSE)</f>
        <v>ljorgeto</v>
      </c>
      <c r="P2920" t="s">
        <v>670</v>
      </c>
      <c r="Q2920" t="s">
        <v>742</v>
      </c>
      <c r="U2920">
        <f t="shared" si="47"/>
        <v>3</v>
      </c>
    </row>
    <row r="2921" spans="1:21" ht="37.5" customHeight="1" x14ac:dyDescent="0.25">
      <c r="A2921" s="39">
        <v>45170</v>
      </c>
      <c r="B2921" s="13">
        <v>35</v>
      </c>
      <c r="C2921" t="s">
        <v>3</v>
      </c>
      <c r="D2921" t="s">
        <v>4</v>
      </c>
      <c r="E2921" t="s">
        <v>5</v>
      </c>
      <c r="F2921">
        <v>112920654</v>
      </c>
      <c r="G2921" t="s">
        <v>500</v>
      </c>
      <c r="H2921" t="s">
        <v>14</v>
      </c>
      <c r="I2921">
        <v>0</v>
      </c>
      <c r="J2921">
        <v>0</v>
      </c>
      <c r="K2921">
        <v>0</v>
      </c>
      <c r="L2921">
        <v>0</v>
      </c>
      <c r="M2921">
        <v>0.27</v>
      </c>
      <c r="N2921" s="7" t="str">
        <f>VLOOKUP(F2921,HC!A$6:D$100,3,FALSE)</f>
        <v>DB-X0700</v>
      </c>
      <c r="O2921" s="7" t="str">
        <f>VLOOKUP(F2921,HC!A$6:D$1000,2,FALSE)</f>
        <v>qhojulie</v>
      </c>
      <c r="P2921" t="s">
        <v>661</v>
      </c>
      <c r="Q2921" t="s">
        <v>681</v>
      </c>
      <c r="U2921">
        <f t="shared" si="47"/>
        <v>16</v>
      </c>
    </row>
    <row r="2922" spans="1:21" ht="37.5" customHeight="1" x14ac:dyDescent="0.25">
      <c r="A2922" s="39">
        <v>45170</v>
      </c>
      <c r="B2922" s="13">
        <v>35</v>
      </c>
      <c r="C2922" t="s">
        <v>3</v>
      </c>
      <c r="D2922" t="s">
        <v>4</v>
      </c>
      <c r="E2922" t="s">
        <v>5</v>
      </c>
      <c r="F2922">
        <v>112950784</v>
      </c>
      <c r="G2922" t="s">
        <v>261</v>
      </c>
      <c r="H2922" t="s">
        <v>282</v>
      </c>
      <c r="I2922">
        <v>0</v>
      </c>
      <c r="J2922">
        <v>0</v>
      </c>
      <c r="K2922">
        <v>0</v>
      </c>
      <c r="L2922">
        <v>0</v>
      </c>
      <c r="M2922">
        <v>0.13</v>
      </c>
      <c r="N2922" s="7" t="str">
        <f>VLOOKUP(F2922,HC!A$6:D$100,3,FALSE)</f>
        <v>NF-X1900</v>
      </c>
      <c r="O2922" s="7" t="str">
        <f>VLOOKUP(F2922,HC!A$6:D$1000,2,FALSE)</f>
        <v>sarojast</v>
      </c>
      <c r="P2922" t="s">
        <v>661</v>
      </c>
      <c r="Q2922" t="s">
        <v>681</v>
      </c>
      <c r="U2922">
        <f t="shared" si="47"/>
        <v>33</v>
      </c>
    </row>
    <row r="2923" spans="1:21" ht="37.5" customHeight="1" x14ac:dyDescent="0.25">
      <c r="A2923" s="39">
        <v>45170</v>
      </c>
      <c r="B2923" s="13">
        <v>35</v>
      </c>
      <c r="C2923" t="s">
        <v>3</v>
      </c>
      <c r="D2923" t="s">
        <v>4</v>
      </c>
      <c r="E2923" t="s">
        <v>21</v>
      </c>
      <c r="F2923">
        <v>113003619</v>
      </c>
      <c r="G2923" t="s">
        <v>1237</v>
      </c>
      <c r="H2923" t="s">
        <v>7</v>
      </c>
      <c r="I2923">
        <v>0</v>
      </c>
      <c r="J2923">
        <v>0</v>
      </c>
      <c r="K2923">
        <v>0</v>
      </c>
      <c r="L2923">
        <v>0</v>
      </c>
      <c r="M2923">
        <v>0.79</v>
      </c>
      <c r="N2923" s="7" t="e">
        <f>VLOOKUP(F2923,HC!A$6:D$100,3,FALSE)</f>
        <v>#N/A</v>
      </c>
      <c r="O2923" s="7" t="e">
        <f>VLOOKUP(F2923,HC!A$6:D$1000,2,FALSE)</f>
        <v>#N/A</v>
      </c>
      <c r="P2923" t="s">
        <v>664</v>
      </c>
      <c r="Q2923" t="s">
        <v>716</v>
      </c>
      <c r="U2923">
        <f t="shared" si="47"/>
        <v>1395</v>
      </c>
    </row>
    <row r="2924" spans="1:21" ht="37.5" customHeight="1" x14ac:dyDescent="0.25">
      <c r="A2924" s="39">
        <v>45170</v>
      </c>
      <c r="B2924" s="13">
        <v>35</v>
      </c>
      <c r="C2924" t="s">
        <v>3</v>
      </c>
      <c r="D2924" t="s">
        <v>4</v>
      </c>
      <c r="E2924" t="s">
        <v>5</v>
      </c>
      <c r="F2924">
        <v>113020476</v>
      </c>
      <c r="G2924" t="s">
        <v>330</v>
      </c>
      <c r="H2924" t="s">
        <v>7</v>
      </c>
      <c r="I2924">
        <v>0</v>
      </c>
      <c r="J2924">
        <v>0</v>
      </c>
      <c r="K2924">
        <v>0</v>
      </c>
      <c r="L2924">
        <v>0</v>
      </c>
      <c r="M2924">
        <v>0.77</v>
      </c>
      <c r="N2924" s="7" t="e">
        <f>VLOOKUP(F2924,HC!A$6:D$100,3,FALSE)</f>
        <v>#N/A</v>
      </c>
      <c r="O2924" s="7" t="str">
        <f>VLOOKUP(F2924,HC!A$6:D$1000,2,FALSE)</f>
        <v>polettpu</v>
      </c>
      <c r="P2924" t="s">
        <v>665</v>
      </c>
      <c r="Q2924" t="s">
        <v>722</v>
      </c>
      <c r="U2924">
        <f t="shared" si="47"/>
        <v>55</v>
      </c>
    </row>
    <row r="2925" spans="1:21" ht="37.5" customHeight="1" x14ac:dyDescent="0.25">
      <c r="A2925" s="39">
        <v>45170</v>
      </c>
      <c r="B2925" s="13">
        <v>35</v>
      </c>
      <c r="C2925" t="s">
        <v>3</v>
      </c>
      <c r="D2925" t="s">
        <v>4</v>
      </c>
      <c r="E2925" t="s">
        <v>5</v>
      </c>
      <c r="F2925">
        <v>201191390</v>
      </c>
      <c r="G2925" t="s">
        <v>916</v>
      </c>
      <c r="H2925" t="s">
        <v>7</v>
      </c>
      <c r="I2925">
        <v>0</v>
      </c>
      <c r="J2925">
        <v>0</v>
      </c>
      <c r="K2925">
        <v>0</v>
      </c>
      <c r="L2925">
        <v>0</v>
      </c>
      <c r="M2925">
        <v>0.75</v>
      </c>
      <c r="N2925" s="7" t="e">
        <f>VLOOKUP(F2925,HC!A$6:D$100,3,FALSE)</f>
        <v>#N/A</v>
      </c>
      <c r="O2925" s="7" t="str">
        <f>VLOOKUP(F2925,HC!A$6:D$1000,2,FALSE)</f>
        <v>bgajesus</v>
      </c>
      <c r="P2925" t="s">
        <v>664</v>
      </c>
      <c r="Q2925" t="s">
        <v>777</v>
      </c>
      <c r="U2925">
        <f t="shared" si="47"/>
        <v>37</v>
      </c>
    </row>
    <row r="2926" spans="1:21" ht="37.5" customHeight="1" x14ac:dyDescent="0.25">
      <c r="A2926" s="39">
        <v>45170</v>
      </c>
      <c r="B2926" s="13">
        <v>35</v>
      </c>
      <c r="C2926" t="s">
        <v>3</v>
      </c>
      <c r="D2926" t="s">
        <v>4</v>
      </c>
      <c r="E2926" t="s">
        <v>5</v>
      </c>
      <c r="F2926">
        <v>201219500</v>
      </c>
      <c r="G2926" t="s">
        <v>937</v>
      </c>
      <c r="H2926" t="s">
        <v>17</v>
      </c>
      <c r="I2926">
        <v>0</v>
      </c>
      <c r="J2926">
        <v>0</v>
      </c>
      <c r="K2926">
        <v>0</v>
      </c>
      <c r="L2926">
        <v>0</v>
      </c>
      <c r="M2926">
        <v>0.23</v>
      </c>
      <c r="N2926" s="7" t="e">
        <f>VLOOKUP(F2926,HC!A$6:D$100,3,FALSE)</f>
        <v>#N/A</v>
      </c>
      <c r="O2926" s="7" t="str">
        <f>VLOOKUP(F2926,HC!A$6:D$1000,2,FALSE)</f>
        <v>ramsmazy</v>
      </c>
      <c r="P2926" t="s">
        <v>661</v>
      </c>
      <c r="Q2926" t="s">
        <v>681</v>
      </c>
      <c r="U2926">
        <f t="shared" si="47"/>
        <v>12</v>
      </c>
    </row>
    <row r="2927" spans="1:21" ht="37.5" customHeight="1" x14ac:dyDescent="0.25">
      <c r="A2927" s="39">
        <v>45170</v>
      </c>
      <c r="B2927" s="13">
        <v>35</v>
      </c>
      <c r="C2927" t="s">
        <v>3</v>
      </c>
      <c r="D2927" t="s">
        <v>4</v>
      </c>
      <c r="E2927" t="s">
        <v>5</v>
      </c>
      <c r="F2927">
        <v>201223730</v>
      </c>
      <c r="G2927" t="s">
        <v>933</v>
      </c>
      <c r="H2927" t="s">
        <v>49</v>
      </c>
      <c r="I2927">
        <v>0</v>
      </c>
      <c r="J2927">
        <v>0</v>
      </c>
      <c r="K2927">
        <v>0</v>
      </c>
      <c r="L2927">
        <v>0</v>
      </c>
      <c r="M2927">
        <v>1.35</v>
      </c>
      <c r="N2927" s="7" t="e">
        <f>VLOOKUP(F2927,HC!A$6:D$100,3,FALSE)</f>
        <v>#N/A</v>
      </c>
      <c r="O2927" s="7" t="str">
        <f>VLOOKUP(F2927,HC!A$6:D$1000,2,FALSE)</f>
        <v>cesarito</v>
      </c>
      <c r="P2927" t="s">
        <v>661</v>
      </c>
      <c r="Q2927" t="s">
        <v>681</v>
      </c>
      <c r="U2927">
        <f t="shared" si="47"/>
        <v>39</v>
      </c>
    </row>
    <row r="2928" spans="1:21" ht="37.5" customHeight="1" x14ac:dyDescent="0.25">
      <c r="A2928" s="39">
        <v>45170</v>
      </c>
      <c r="B2928" s="13">
        <v>35</v>
      </c>
      <c r="C2928" t="s">
        <v>3</v>
      </c>
      <c r="D2928" t="s">
        <v>4</v>
      </c>
      <c r="E2928" t="s">
        <v>5</v>
      </c>
      <c r="F2928">
        <v>201228411</v>
      </c>
      <c r="G2928" t="s">
        <v>938</v>
      </c>
      <c r="H2928" t="s">
        <v>49</v>
      </c>
      <c r="I2928">
        <v>0</v>
      </c>
      <c r="J2928">
        <v>0</v>
      </c>
      <c r="K2928">
        <v>0</v>
      </c>
      <c r="L2928">
        <v>0</v>
      </c>
      <c r="M2928">
        <v>1.34</v>
      </c>
      <c r="N2928" s="7" t="e">
        <f>VLOOKUP(F2928,HC!A$6:D$100,3,FALSE)</f>
        <v>#N/A</v>
      </c>
      <c r="O2928" s="7" t="str">
        <f>VLOOKUP(F2928,HC!A$6:D$1000,2,FALSE)</f>
        <v>jazmiwhe</v>
      </c>
      <c r="P2928" t="s">
        <v>661</v>
      </c>
      <c r="Q2928" t="s">
        <v>681</v>
      </c>
      <c r="U2928">
        <f t="shared" si="47"/>
        <v>36</v>
      </c>
    </row>
    <row r="2929" spans="1:21" ht="37.5" customHeight="1" x14ac:dyDescent="0.25">
      <c r="A2929" s="39">
        <v>45170</v>
      </c>
      <c r="B2929" s="13">
        <v>35</v>
      </c>
      <c r="C2929" t="s">
        <v>3</v>
      </c>
      <c r="D2929" t="s">
        <v>4</v>
      </c>
      <c r="E2929" t="s">
        <v>21</v>
      </c>
      <c r="F2929">
        <v>201320536</v>
      </c>
      <c r="G2929" t="s">
        <v>992</v>
      </c>
      <c r="H2929" t="s">
        <v>49</v>
      </c>
      <c r="I2929">
        <v>0</v>
      </c>
      <c r="J2929">
        <v>0</v>
      </c>
      <c r="K2929">
        <v>0</v>
      </c>
      <c r="L2929">
        <v>0</v>
      </c>
      <c r="M2929">
        <v>0.2</v>
      </c>
      <c r="N2929" s="7" t="e">
        <f>VLOOKUP(F2929,HC!A$6:D$100,3,FALSE)</f>
        <v>#N/A</v>
      </c>
      <c r="O2929" s="7" t="str">
        <f>VLOOKUP(F2929,HC!A$6:D$1000,2,FALSE)</f>
        <v>ibalmigu</v>
      </c>
      <c r="P2929" t="s">
        <v>664</v>
      </c>
      <c r="Q2929" t="s">
        <v>777</v>
      </c>
      <c r="U2929">
        <f t="shared" si="47"/>
        <v>11</v>
      </c>
    </row>
    <row r="2930" spans="1:21" ht="37.5" customHeight="1" x14ac:dyDescent="0.25">
      <c r="A2930" s="39">
        <v>45170</v>
      </c>
      <c r="B2930" s="13">
        <v>35</v>
      </c>
      <c r="C2930" t="s">
        <v>3</v>
      </c>
      <c r="D2930" t="s">
        <v>4</v>
      </c>
      <c r="E2930" t="s">
        <v>21</v>
      </c>
      <c r="F2930">
        <v>201858867</v>
      </c>
      <c r="G2930" t="s">
        <v>1236</v>
      </c>
      <c r="H2930" t="s">
        <v>49</v>
      </c>
      <c r="I2930">
        <v>0</v>
      </c>
      <c r="J2930">
        <v>0</v>
      </c>
      <c r="K2930">
        <v>0</v>
      </c>
      <c r="L2930">
        <v>0</v>
      </c>
      <c r="M2930">
        <v>0.4</v>
      </c>
      <c r="N2930" s="7" t="e">
        <f>VLOOKUP(F2930,HC!A$6:D$100,3,FALSE)</f>
        <v>#N/A</v>
      </c>
      <c r="O2930" s="7" t="str">
        <f>VLOOKUP(F2930,HC!A$6:D$1000,2,FALSE)</f>
        <v>tcruzvel</v>
      </c>
      <c r="P2930" t="s">
        <v>663</v>
      </c>
      <c r="Q2930" t="s">
        <v>695</v>
      </c>
      <c r="U2930">
        <f t="shared" si="47"/>
        <v>17</v>
      </c>
    </row>
    <row r="2931" spans="1:21" ht="37.5" customHeight="1" x14ac:dyDescent="0.25">
      <c r="A2931" s="39">
        <v>45170</v>
      </c>
      <c r="B2931" s="13">
        <v>35</v>
      </c>
      <c r="C2931" t="s">
        <v>3</v>
      </c>
      <c r="D2931" t="s">
        <v>4</v>
      </c>
      <c r="E2931" t="s">
        <v>21</v>
      </c>
      <c r="F2931">
        <v>201901967</v>
      </c>
      <c r="G2931" t="s">
        <v>1238</v>
      </c>
      <c r="H2931" t="s">
        <v>403</v>
      </c>
      <c r="I2931">
        <v>0</v>
      </c>
      <c r="J2931">
        <v>0</v>
      </c>
      <c r="K2931">
        <v>0</v>
      </c>
      <c r="L2931">
        <v>0</v>
      </c>
      <c r="M2931">
        <v>0.21</v>
      </c>
      <c r="N2931" s="7" t="e">
        <f>VLOOKUP(F2931,HC!A$6:D$100,3,FALSE)</f>
        <v>#N/A</v>
      </c>
      <c r="O2931" s="7" t="str">
        <f>VLOOKUP(F2931,HC!A$6:D$1000,2,FALSE)</f>
        <v>ndomindi</v>
      </c>
      <c r="P2931" t="s">
        <v>661</v>
      </c>
      <c r="Q2931" t="s">
        <v>681</v>
      </c>
      <c r="U2931">
        <f t="shared" si="47"/>
        <v>7</v>
      </c>
    </row>
    <row r="2932" spans="1:21" ht="37.5" customHeight="1" x14ac:dyDescent="0.25">
      <c r="A2932" s="39">
        <v>45170</v>
      </c>
      <c r="B2932" s="13">
        <v>35</v>
      </c>
      <c r="C2932" t="s">
        <v>3</v>
      </c>
      <c r="D2932" t="s">
        <v>4</v>
      </c>
      <c r="E2932" t="s">
        <v>21</v>
      </c>
      <c r="F2932">
        <v>201903097</v>
      </c>
      <c r="G2932" t="s">
        <v>1239</v>
      </c>
      <c r="H2932" t="s">
        <v>263</v>
      </c>
      <c r="I2932">
        <v>0</v>
      </c>
      <c r="J2932">
        <v>0</v>
      </c>
      <c r="K2932">
        <v>0</v>
      </c>
      <c r="L2932">
        <v>0</v>
      </c>
      <c r="M2932">
        <v>1.25</v>
      </c>
      <c r="N2932" s="7" t="e">
        <f>VLOOKUP(F2932,HC!A$6:D$100,3,FALSE)</f>
        <v>#N/A</v>
      </c>
      <c r="O2932" s="7" t="str">
        <f>VLOOKUP(F2932,HC!A$6:D$1000,2,FALSE)</f>
        <v>montoliy</v>
      </c>
      <c r="U2932">
        <f t="shared" si="47"/>
        <v>10</v>
      </c>
    </row>
    <row r="2933" spans="1:21" ht="37.5" customHeight="1" x14ac:dyDescent="0.25">
      <c r="A2933" s="39">
        <v>45170</v>
      </c>
      <c r="B2933" s="13">
        <v>35</v>
      </c>
      <c r="C2933" t="s">
        <v>3</v>
      </c>
      <c r="D2933" t="s">
        <v>4</v>
      </c>
      <c r="E2933" t="s">
        <v>21</v>
      </c>
      <c r="F2933">
        <v>201906503</v>
      </c>
      <c r="G2933" t="s">
        <v>1228</v>
      </c>
      <c r="H2933" t="s">
        <v>403</v>
      </c>
      <c r="I2933">
        <v>0</v>
      </c>
      <c r="J2933">
        <v>0</v>
      </c>
      <c r="K2933">
        <v>0</v>
      </c>
      <c r="L2933">
        <v>0</v>
      </c>
      <c r="M2933">
        <v>0.19</v>
      </c>
      <c r="N2933" s="7" t="e">
        <f>VLOOKUP(F2933,HC!A$6:D$100,3,FALSE)</f>
        <v>#N/A</v>
      </c>
      <c r="O2933" s="7" t="str">
        <f>VLOOKUP(F2933,HC!A$6:D$1000,2,FALSE)</f>
        <v>mqjennif</v>
      </c>
      <c r="P2933" t="s">
        <v>661</v>
      </c>
      <c r="Q2933" t="s">
        <v>681</v>
      </c>
      <c r="U2933">
        <f t="shared" si="47"/>
        <v>11</v>
      </c>
    </row>
    <row r="2934" spans="1:21" ht="37.5" customHeight="1" x14ac:dyDescent="0.25">
      <c r="A2934" s="39">
        <v>45170</v>
      </c>
      <c r="B2934" s="13">
        <v>35</v>
      </c>
      <c r="C2934" t="s">
        <v>3</v>
      </c>
      <c r="D2934" t="s">
        <v>4</v>
      </c>
      <c r="E2934" t="s">
        <v>21</v>
      </c>
      <c r="F2934">
        <v>201908189</v>
      </c>
      <c r="G2934" t="s">
        <v>1230</v>
      </c>
      <c r="H2934" t="s">
        <v>263</v>
      </c>
      <c r="I2934">
        <v>0</v>
      </c>
      <c r="J2934">
        <v>0</v>
      </c>
      <c r="K2934">
        <v>0</v>
      </c>
      <c r="L2934">
        <v>0</v>
      </c>
      <c r="M2934">
        <v>0.68</v>
      </c>
      <c r="N2934" s="7" t="e">
        <f>VLOOKUP(F2934,HC!A$6:D$100,3,FALSE)</f>
        <v>#N/A</v>
      </c>
      <c r="O2934" s="7" t="str">
        <f>VLOOKUP(F2934,HC!A$6:D$1000,2,FALSE)</f>
        <v>cmartif</v>
      </c>
      <c r="P2934" t="s">
        <v>664</v>
      </c>
      <c r="Q2934" t="s">
        <v>777</v>
      </c>
      <c r="U2934">
        <f t="shared" si="47"/>
        <v>7</v>
      </c>
    </row>
    <row r="2935" spans="1:21" ht="37.5" customHeight="1" x14ac:dyDescent="0.25">
      <c r="A2935" s="39">
        <v>45171</v>
      </c>
      <c r="B2935" s="13">
        <v>35</v>
      </c>
      <c r="C2935" t="s">
        <v>3</v>
      </c>
      <c r="D2935" t="s">
        <v>4</v>
      </c>
      <c r="E2935" t="s">
        <v>5</v>
      </c>
      <c r="F2935">
        <v>112971962</v>
      </c>
      <c r="G2935" t="s">
        <v>338</v>
      </c>
      <c r="H2935" t="s">
        <v>17</v>
      </c>
      <c r="I2935">
        <v>0</v>
      </c>
      <c r="J2935">
        <v>0</v>
      </c>
      <c r="K2935">
        <v>0</v>
      </c>
      <c r="L2935">
        <v>0</v>
      </c>
      <c r="M2935">
        <v>0.16</v>
      </c>
      <c r="N2935" s="7" t="str">
        <f>VLOOKUP(F2935,HC!A$6:D$100,3,FALSE)</f>
        <v>DB-X0700</v>
      </c>
      <c r="O2935" s="7" t="str">
        <f>VLOOKUP(F2935,HC!A$6:D$1000,2,FALSE)</f>
        <v>creyesal</v>
      </c>
      <c r="P2935" t="s">
        <v>663</v>
      </c>
      <c r="Q2935" t="s">
        <v>695</v>
      </c>
      <c r="U2935">
        <f t="shared" si="47"/>
        <v>38</v>
      </c>
    </row>
    <row r="2936" spans="1:21" ht="37.5" customHeight="1" x14ac:dyDescent="0.25">
      <c r="A2936" s="39">
        <v>45171</v>
      </c>
      <c r="B2936" s="13">
        <v>35</v>
      </c>
      <c r="C2936" t="s">
        <v>3</v>
      </c>
      <c r="D2936" t="s">
        <v>4</v>
      </c>
      <c r="E2936" t="s">
        <v>5</v>
      </c>
      <c r="F2936">
        <v>113003656</v>
      </c>
      <c r="G2936" t="s">
        <v>297</v>
      </c>
      <c r="H2936" t="s">
        <v>47</v>
      </c>
      <c r="I2936">
        <v>0</v>
      </c>
      <c r="J2936">
        <v>0</v>
      </c>
      <c r="K2936">
        <v>0</v>
      </c>
      <c r="L2936">
        <v>0</v>
      </c>
      <c r="M2936">
        <v>0.12</v>
      </c>
      <c r="N2936" s="7" t="e">
        <f>VLOOKUP(F2936,HC!A$6:D$100,3,FALSE)</f>
        <v>#N/A</v>
      </c>
      <c r="O2936" s="7" t="str">
        <f>VLOOKUP(F2936,HC!A$6:D$1000,2,FALSE)</f>
        <v>uargoten</v>
      </c>
      <c r="U2936">
        <f t="shared" si="47"/>
        <v>8</v>
      </c>
    </row>
    <row r="2937" spans="1:21" ht="37.5" customHeight="1" x14ac:dyDescent="0.25">
      <c r="A2937" s="39">
        <v>45171</v>
      </c>
      <c r="B2937" s="13">
        <v>35</v>
      </c>
      <c r="C2937" t="s">
        <v>3</v>
      </c>
      <c r="D2937" t="s">
        <v>4</v>
      </c>
      <c r="E2937" t="s">
        <v>5</v>
      </c>
      <c r="F2937">
        <v>113020497</v>
      </c>
      <c r="G2937" t="s">
        <v>606</v>
      </c>
      <c r="H2937" t="s">
        <v>47</v>
      </c>
      <c r="I2937">
        <v>0</v>
      </c>
      <c r="J2937">
        <v>0</v>
      </c>
      <c r="K2937">
        <v>0</v>
      </c>
      <c r="L2937">
        <v>0</v>
      </c>
      <c r="M2937">
        <v>0.39</v>
      </c>
      <c r="N2937" s="7" t="e">
        <f>VLOOKUP(F2937,HC!A$6:D$100,3,FALSE)</f>
        <v>#N/A</v>
      </c>
      <c r="O2937" s="7" t="str">
        <f>VLOOKUP(F2937,HC!A$6:D$1000,2,FALSE)</f>
        <v>diamartd</v>
      </c>
      <c r="P2937" t="s">
        <v>670</v>
      </c>
      <c r="Q2937" t="s">
        <v>748</v>
      </c>
      <c r="U2937">
        <f t="shared" si="47"/>
        <v>14</v>
      </c>
    </row>
    <row r="2938" spans="1:21" ht="37.5" customHeight="1" x14ac:dyDescent="0.25">
      <c r="A2938" s="39">
        <v>45171</v>
      </c>
      <c r="B2938" s="13">
        <v>35</v>
      </c>
      <c r="C2938" t="s">
        <v>3</v>
      </c>
      <c r="D2938" t="s">
        <v>4</v>
      </c>
      <c r="E2938" t="s">
        <v>5</v>
      </c>
      <c r="F2938">
        <v>113101262</v>
      </c>
      <c r="G2938" t="s">
        <v>642</v>
      </c>
      <c r="H2938" t="s">
        <v>49</v>
      </c>
      <c r="I2938">
        <v>0</v>
      </c>
      <c r="J2938">
        <v>0</v>
      </c>
      <c r="K2938">
        <v>0</v>
      </c>
      <c r="L2938">
        <v>0</v>
      </c>
      <c r="M2938">
        <v>0.28999999999999998</v>
      </c>
      <c r="N2938" s="7" t="e">
        <f>VLOOKUP(F2938,HC!A$6:D$100,3,FALSE)</f>
        <v>#N/A</v>
      </c>
      <c r="O2938" s="7" t="str">
        <f>VLOOKUP(F2938,HC!A$6:D$1000,2,FALSE)</f>
        <v>cetinocr</v>
      </c>
      <c r="R2938" t="s">
        <v>1242</v>
      </c>
      <c r="U2938">
        <f t="shared" si="47"/>
        <v>6</v>
      </c>
    </row>
    <row r="2939" spans="1:21" ht="37.5" customHeight="1" x14ac:dyDescent="0.25">
      <c r="A2939" s="39">
        <v>45171</v>
      </c>
      <c r="B2939" s="13">
        <v>35</v>
      </c>
      <c r="C2939" t="s">
        <v>3</v>
      </c>
      <c r="D2939" t="s">
        <v>4</v>
      </c>
      <c r="E2939" t="s">
        <v>5</v>
      </c>
      <c r="F2939">
        <v>200526598</v>
      </c>
      <c r="G2939" t="s">
        <v>424</v>
      </c>
      <c r="H2939" t="s">
        <v>7</v>
      </c>
      <c r="I2939">
        <v>0</v>
      </c>
      <c r="J2939">
        <v>0</v>
      </c>
      <c r="K2939">
        <v>0</v>
      </c>
      <c r="L2939">
        <v>0</v>
      </c>
      <c r="M2939">
        <v>0.32</v>
      </c>
      <c r="N2939" s="7" t="e">
        <f>VLOOKUP(F2939,HC!A$6:D$100,3,FALSE)</f>
        <v>#N/A</v>
      </c>
      <c r="O2939" s="7" t="e">
        <f>VLOOKUP(F2939,HC!A$6:D$1000,2,FALSE)</f>
        <v>#N/A</v>
      </c>
      <c r="P2939" t="s">
        <v>664</v>
      </c>
      <c r="Q2939" t="s">
        <v>716</v>
      </c>
      <c r="U2939">
        <f t="shared" si="47"/>
        <v>1395</v>
      </c>
    </row>
    <row r="2940" spans="1:21" ht="37.5" customHeight="1" x14ac:dyDescent="0.25">
      <c r="A2940" s="39">
        <v>45171</v>
      </c>
      <c r="B2940" s="13">
        <v>35</v>
      </c>
      <c r="C2940" t="s">
        <v>3</v>
      </c>
      <c r="D2940" t="s">
        <v>4</v>
      </c>
      <c r="E2940" t="s">
        <v>5</v>
      </c>
      <c r="F2940">
        <v>200614224</v>
      </c>
      <c r="G2940" t="s">
        <v>322</v>
      </c>
      <c r="H2940" t="s">
        <v>17</v>
      </c>
      <c r="I2940">
        <v>0</v>
      </c>
      <c r="J2940">
        <v>0</v>
      </c>
      <c r="K2940">
        <v>0</v>
      </c>
      <c r="L2940">
        <v>0</v>
      </c>
      <c r="M2940">
        <v>0.25</v>
      </c>
      <c r="N2940" s="7" t="e">
        <f>VLOOKUP(F2940,HC!A$6:D$100,3,FALSE)</f>
        <v>#N/A</v>
      </c>
      <c r="O2940" s="7" t="e">
        <f>VLOOKUP(F2940,HC!A$6:D$1000,2,FALSE)</f>
        <v>#N/A</v>
      </c>
      <c r="P2940" t="s">
        <v>661</v>
      </c>
      <c r="Q2940" t="s">
        <v>681</v>
      </c>
      <c r="U2940">
        <f t="shared" si="47"/>
        <v>1395</v>
      </c>
    </row>
    <row r="2941" spans="1:21" ht="37.5" customHeight="1" x14ac:dyDescent="0.25">
      <c r="A2941" s="39">
        <v>45171</v>
      </c>
      <c r="B2941" s="13">
        <v>35</v>
      </c>
      <c r="C2941" t="s">
        <v>3</v>
      </c>
      <c r="D2941" t="s">
        <v>4</v>
      </c>
      <c r="E2941" t="s">
        <v>5</v>
      </c>
      <c r="F2941">
        <v>201191390</v>
      </c>
      <c r="G2941" t="s">
        <v>916</v>
      </c>
      <c r="H2941" t="s">
        <v>7</v>
      </c>
      <c r="I2941">
        <v>0</v>
      </c>
      <c r="J2941">
        <v>0</v>
      </c>
      <c r="K2941">
        <v>0</v>
      </c>
      <c r="L2941">
        <v>0</v>
      </c>
      <c r="M2941">
        <v>0.93</v>
      </c>
      <c r="N2941" s="7" t="e">
        <f>VLOOKUP(F2941,HC!A$6:D$100,3,FALSE)</f>
        <v>#N/A</v>
      </c>
      <c r="O2941" s="7" t="str">
        <f>VLOOKUP(F2941,HC!A$6:D$1000,2,FALSE)</f>
        <v>bgajesus</v>
      </c>
      <c r="P2941" t="s">
        <v>664</v>
      </c>
      <c r="Q2941" t="s">
        <v>716</v>
      </c>
      <c r="U2941">
        <f t="shared" si="47"/>
        <v>37</v>
      </c>
    </row>
    <row r="2942" spans="1:21" ht="37.5" customHeight="1" x14ac:dyDescent="0.25">
      <c r="A2942" s="39">
        <v>45171</v>
      </c>
      <c r="B2942" s="13">
        <v>35</v>
      </c>
      <c r="C2942" t="s">
        <v>3</v>
      </c>
      <c r="D2942" t="s">
        <v>4</v>
      </c>
      <c r="E2942" t="s">
        <v>5</v>
      </c>
      <c r="F2942">
        <v>201211157</v>
      </c>
      <c r="G2942" t="s">
        <v>936</v>
      </c>
      <c r="H2942" t="s">
        <v>403</v>
      </c>
      <c r="I2942">
        <v>0</v>
      </c>
      <c r="J2942">
        <v>0</v>
      </c>
      <c r="K2942">
        <v>0</v>
      </c>
      <c r="L2942">
        <v>0</v>
      </c>
      <c r="M2942">
        <v>0.37</v>
      </c>
      <c r="N2942" s="7" t="e">
        <f>VLOOKUP(F2942,HC!A$6:D$100,3,FALSE)</f>
        <v>#N/A</v>
      </c>
      <c r="O2942" s="7" t="str">
        <f>VLOOKUP(F2942,HC!A$6:D$1000,2,FALSE)</f>
        <v>vargajed</v>
      </c>
      <c r="P2942" t="s">
        <v>670</v>
      </c>
      <c r="Q2942" t="s">
        <v>742</v>
      </c>
      <c r="U2942">
        <f t="shared" si="47"/>
        <v>17</v>
      </c>
    </row>
    <row r="2943" spans="1:21" ht="37.5" customHeight="1" x14ac:dyDescent="0.25">
      <c r="A2943" s="39">
        <v>45171</v>
      </c>
      <c r="B2943" s="13">
        <v>35</v>
      </c>
      <c r="C2943" t="s">
        <v>3</v>
      </c>
      <c r="D2943" t="s">
        <v>4</v>
      </c>
      <c r="E2943" t="s">
        <v>5</v>
      </c>
      <c r="F2943">
        <v>201294789</v>
      </c>
      <c r="G2943" t="s">
        <v>1240</v>
      </c>
      <c r="H2943" t="s">
        <v>49</v>
      </c>
      <c r="I2943">
        <v>0</v>
      </c>
      <c r="J2943">
        <v>0</v>
      </c>
      <c r="K2943">
        <v>0</v>
      </c>
      <c r="L2943">
        <v>0</v>
      </c>
      <c r="M2943">
        <v>0.36</v>
      </c>
      <c r="N2943" s="7" t="e">
        <f>VLOOKUP(F2943,HC!A$6:D$100,3,FALSE)</f>
        <v>#N/A</v>
      </c>
      <c r="O2943" s="7" t="str">
        <f>VLOOKUP(F2943,HC!A$6:D$1000,2,FALSE)</f>
        <v>hortluz</v>
      </c>
      <c r="U2943">
        <f t="shared" si="47"/>
        <v>2</v>
      </c>
    </row>
    <row r="2944" spans="1:21" ht="37.5" customHeight="1" x14ac:dyDescent="0.25">
      <c r="A2944" s="39">
        <v>45171</v>
      </c>
      <c r="B2944" s="13">
        <v>35</v>
      </c>
      <c r="C2944" t="s">
        <v>3</v>
      </c>
      <c r="D2944" t="s">
        <v>4</v>
      </c>
      <c r="E2944" t="s">
        <v>5</v>
      </c>
      <c r="F2944">
        <v>201354965</v>
      </c>
      <c r="G2944" t="s">
        <v>1063</v>
      </c>
      <c r="H2944" t="s">
        <v>263</v>
      </c>
      <c r="I2944">
        <v>0</v>
      </c>
      <c r="J2944">
        <v>0</v>
      </c>
      <c r="K2944">
        <v>0</v>
      </c>
      <c r="L2944">
        <v>0</v>
      </c>
      <c r="M2944">
        <v>2.2799999999999998</v>
      </c>
      <c r="N2944" s="7" t="e">
        <f>VLOOKUP(F2944,HC!A$6:D$100,3,FALSE)</f>
        <v>#N/A</v>
      </c>
      <c r="O2944" s="7" t="str">
        <f>VLOOKUP(F2944,HC!A$6:D$1000,2,FALSE)</f>
        <v>alinejim</v>
      </c>
      <c r="P2944" t="s">
        <v>664</v>
      </c>
      <c r="Q2944" t="s">
        <v>711</v>
      </c>
      <c r="R2944" t="s">
        <v>0</v>
      </c>
      <c r="U2944">
        <f t="shared" si="47"/>
        <v>33</v>
      </c>
    </row>
    <row r="2945" spans="1:21" ht="37.5" customHeight="1" x14ac:dyDescent="0.25">
      <c r="A2945" s="39">
        <v>45171</v>
      </c>
      <c r="B2945" s="13">
        <v>35</v>
      </c>
      <c r="C2945" t="s">
        <v>3</v>
      </c>
      <c r="D2945" t="s">
        <v>4</v>
      </c>
      <c r="E2945" t="s">
        <v>5</v>
      </c>
      <c r="F2945">
        <v>201363254</v>
      </c>
      <c r="G2945" t="s">
        <v>1072</v>
      </c>
      <c r="H2945" t="s">
        <v>403</v>
      </c>
      <c r="I2945">
        <v>0</v>
      </c>
      <c r="J2945">
        <v>0</v>
      </c>
      <c r="K2945">
        <v>0</v>
      </c>
      <c r="L2945">
        <v>0</v>
      </c>
      <c r="M2945">
        <v>1.79</v>
      </c>
      <c r="N2945" s="7" t="e">
        <f>VLOOKUP(F2945,HC!A$6:D$100,3,FALSE)</f>
        <v>#N/A</v>
      </c>
      <c r="O2945" s="7" t="str">
        <f>VLOOKUP(F2945,HC!A$6:D$1000,2,FALSE)</f>
        <v>fwraziel</v>
      </c>
      <c r="P2945" t="s">
        <v>670</v>
      </c>
      <c r="Q2945" t="s">
        <v>748</v>
      </c>
      <c r="R2945" t="s">
        <v>1213</v>
      </c>
      <c r="U2945">
        <f t="shared" si="47"/>
        <v>7</v>
      </c>
    </row>
    <row r="2946" spans="1:21" ht="37.5" customHeight="1" x14ac:dyDescent="0.25">
      <c r="A2946" s="39">
        <v>45171</v>
      </c>
      <c r="B2946" s="13">
        <v>35</v>
      </c>
      <c r="C2946" t="s">
        <v>3</v>
      </c>
      <c r="D2946" t="s">
        <v>4</v>
      </c>
      <c r="E2946" t="s">
        <v>21</v>
      </c>
      <c r="F2946">
        <v>201408478</v>
      </c>
      <c r="G2946" t="s">
        <v>1110</v>
      </c>
      <c r="H2946" t="s">
        <v>7</v>
      </c>
      <c r="I2946">
        <v>0</v>
      </c>
      <c r="J2946">
        <v>0</v>
      </c>
      <c r="K2946">
        <v>0</v>
      </c>
      <c r="L2946">
        <v>0</v>
      </c>
      <c r="M2946">
        <v>1.49</v>
      </c>
      <c r="N2946" s="7" t="e">
        <f>VLOOKUP(F2946,HC!A$6:D$100,3,FALSE)</f>
        <v>#N/A</v>
      </c>
      <c r="O2946" s="7" t="str">
        <f>VLOOKUP(F2946,HC!A$6:D$1000,2,FALSE)</f>
        <v>dacaldey</v>
      </c>
      <c r="P2946" t="s">
        <v>664</v>
      </c>
      <c r="Q2946" t="s">
        <v>708</v>
      </c>
      <c r="U2946">
        <f t="shared" si="47"/>
        <v>12</v>
      </c>
    </row>
    <row r="2947" spans="1:21" ht="37.5" customHeight="1" x14ac:dyDescent="0.25">
      <c r="A2947" s="39">
        <v>45171</v>
      </c>
      <c r="B2947" s="13">
        <v>35</v>
      </c>
      <c r="C2947" t="s">
        <v>3</v>
      </c>
      <c r="D2947" t="s">
        <v>4</v>
      </c>
      <c r="E2947" t="s">
        <v>21</v>
      </c>
      <c r="F2947">
        <v>201842064</v>
      </c>
      <c r="G2947" t="s">
        <v>1241</v>
      </c>
      <c r="H2947" t="s">
        <v>49</v>
      </c>
      <c r="I2947">
        <v>0</v>
      </c>
      <c r="J2947">
        <v>0</v>
      </c>
      <c r="K2947">
        <v>0</v>
      </c>
      <c r="L2947">
        <v>0</v>
      </c>
      <c r="M2947">
        <v>0.48</v>
      </c>
      <c r="N2947" s="7" t="e">
        <f>VLOOKUP(F2947,HC!A$6:D$100,3,FALSE)</f>
        <v>#N/A</v>
      </c>
      <c r="O2947" s="7" t="str">
        <f>VLOOKUP(F2947,HC!A$6:D$1000,2,FALSE)</f>
        <v>agriandl</v>
      </c>
      <c r="P2947" t="s">
        <v>664</v>
      </c>
      <c r="Q2947" t="s">
        <v>710</v>
      </c>
      <c r="U2947">
        <f t="shared" ref="U2947:U3010" si="48">COUNTIF(O$2:O$4999,O2947)</f>
        <v>12</v>
      </c>
    </row>
    <row r="2948" spans="1:21" ht="37.5" customHeight="1" x14ac:dyDescent="0.25">
      <c r="A2948" s="39">
        <v>45171</v>
      </c>
      <c r="B2948" s="13">
        <v>35</v>
      </c>
      <c r="C2948" t="s">
        <v>3</v>
      </c>
      <c r="D2948" t="s">
        <v>4</v>
      </c>
      <c r="E2948" t="s">
        <v>21</v>
      </c>
      <c r="F2948">
        <v>201901967</v>
      </c>
      <c r="G2948" t="s">
        <v>1238</v>
      </c>
      <c r="H2948" t="s">
        <v>403</v>
      </c>
      <c r="I2948">
        <v>0</v>
      </c>
      <c r="J2948">
        <v>0</v>
      </c>
      <c r="K2948">
        <v>0</v>
      </c>
      <c r="L2948">
        <v>0</v>
      </c>
      <c r="M2948">
        <v>1.0900000000000001</v>
      </c>
      <c r="N2948" s="7" t="e">
        <f>VLOOKUP(F2948,HC!A$6:D$100,3,FALSE)</f>
        <v>#N/A</v>
      </c>
      <c r="O2948" s="7" t="str">
        <f>VLOOKUP(F2948,HC!A$6:D$1000,2,FALSE)</f>
        <v>ndomindi</v>
      </c>
      <c r="P2948" t="s">
        <v>664</v>
      </c>
      <c r="Q2948" t="s">
        <v>709</v>
      </c>
      <c r="R2948" t="s">
        <v>1213</v>
      </c>
      <c r="U2948">
        <f t="shared" si="48"/>
        <v>7</v>
      </c>
    </row>
    <row r="2949" spans="1:21" ht="37.5" customHeight="1" x14ac:dyDescent="0.25">
      <c r="A2949" s="39">
        <v>45171</v>
      </c>
      <c r="B2949" s="13">
        <v>35</v>
      </c>
      <c r="C2949" t="s">
        <v>3</v>
      </c>
      <c r="D2949" t="s">
        <v>4</v>
      </c>
      <c r="E2949" t="s">
        <v>21</v>
      </c>
      <c r="F2949">
        <v>201908189</v>
      </c>
      <c r="G2949" t="s">
        <v>1230</v>
      </c>
      <c r="H2949" t="s">
        <v>263</v>
      </c>
      <c r="I2949">
        <v>0</v>
      </c>
      <c r="J2949">
        <v>0</v>
      </c>
      <c r="K2949">
        <v>0</v>
      </c>
      <c r="L2949">
        <v>0</v>
      </c>
      <c r="M2949">
        <v>0.15</v>
      </c>
      <c r="N2949" s="7" t="e">
        <f>VLOOKUP(F2949,HC!A$6:D$100,3,FALSE)</f>
        <v>#N/A</v>
      </c>
      <c r="O2949" s="7" t="str">
        <f>VLOOKUP(F2949,HC!A$6:D$1000,2,FALSE)</f>
        <v>cmartif</v>
      </c>
      <c r="P2949" t="s">
        <v>664</v>
      </c>
      <c r="Q2949" t="s">
        <v>777</v>
      </c>
      <c r="U2949">
        <f t="shared" si="48"/>
        <v>7</v>
      </c>
    </row>
    <row r="2950" spans="1:21" ht="37.5" customHeight="1" x14ac:dyDescent="0.25">
      <c r="A2950" s="39">
        <v>45172</v>
      </c>
      <c r="B2950" s="13">
        <v>36</v>
      </c>
      <c r="C2950" t="s">
        <v>3</v>
      </c>
      <c r="D2950" t="s">
        <v>4</v>
      </c>
      <c r="E2950" t="s">
        <v>5</v>
      </c>
      <c r="F2950">
        <v>112980899</v>
      </c>
      <c r="G2950" t="s">
        <v>396</v>
      </c>
      <c r="H2950" t="s">
        <v>332</v>
      </c>
      <c r="I2950">
        <v>0</v>
      </c>
      <c r="J2950">
        <v>0</v>
      </c>
      <c r="K2950">
        <v>0</v>
      </c>
      <c r="L2950">
        <v>0</v>
      </c>
      <c r="M2950">
        <v>0.19</v>
      </c>
      <c r="N2950" s="7" t="str">
        <f>VLOOKUP(F2950,HC!A$6:D$100,3,FALSE)</f>
        <v>NF-X1900</v>
      </c>
      <c r="O2950" s="7" t="str">
        <f>VLOOKUP(F2950,HC!A$6:D$1000,2,FALSE)</f>
        <v>aravilac</v>
      </c>
      <c r="P2950" t="s">
        <v>661</v>
      </c>
      <c r="Q2950" t="s">
        <v>681</v>
      </c>
      <c r="U2950">
        <f t="shared" si="48"/>
        <v>33</v>
      </c>
    </row>
    <row r="2951" spans="1:21" ht="37.5" customHeight="1" x14ac:dyDescent="0.25">
      <c r="A2951" s="39">
        <v>45172</v>
      </c>
      <c r="B2951" s="13">
        <v>36</v>
      </c>
      <c r="C2951" t="s">
        <v>3</v>
      </c>
      <c r="D2951" t="s">
        <v>4</v>
      </c>
      <c r="E2951" t="s">
        <v>5</v>
      </c>
      <c r="F2951">
        <v>113014036</v>
      </c>
      <c r="G2951" t="s">
        <v>790</v>
      </c>
      <c r="H2951" t="s">
        <v>44</v>
      </c>
      <c r="I2951">
        <v>0</v>
      </c>
      <c r="J2951">
        <v>0</v>
      </c>
      <c r="K2951">
        <v>0</v>
      </c>
      <c r="L2951">
        <v>0</v>
      </c>
      <c r="M2951">
        <v>0.22</v>
      </c>
      <c r="N2951" s="7" t="e">
        <f>VLOOKUP(F2951,HC!A$6:D$100,3,FALSE)</f>
        <v>#N/A</v>
      </c>
      <c r="O2951" s="7" t="str">
        <f>VLOOKUP(F2951,HC!A$6:D$1000,2,FALSE)</f>
        <v>ronjosea</v>
      </c>
      <c r="P2951" t="s">
        <v>664</v>
      </c>
      <c r="Q2951" t="s">
        <v>709</v>
      </c>
      <c r="U2951">
        <f t="shared" si="48"/>
        <v>5</v>
      </c>
    </row>
    <row r="2952" spans="1:21" ht="37.5" customHeight="1" x14ac:dyDescent="0.25">
      <c r="A2952" s="39">
        <v>45172</v>
      </c>
      <c r="B2952" s="13">
        <v>36</v>
      </c>
      <c r="C2952" t="s">
        <v>3</v>
      </c>
      <c r="D2952" t="s">
        <v>4</v>
      </c>
      <c r="E2952" t="s">
        <v>5</v>
      </c>
      <c r="F2952">
        <v>113014084</v>
      </c>
      <c r="G2952" t="s">
        <v>462</v>
      </c>
      <c r="H2952" t="s">
        <v>47</v>
      </c>
      <c r="I2952">
        <v>0</v>
      </c>
      <c r="J2952">
        <v>0</v>
      </c>
      <c r="K2952">
        <v>0</v>
      </c>
      <c r="L2952">
        <v>0</v>
      </c>
      <c r="M2952">
        <v>0.15</v>
      </c>
      <c r="N2952" s="7" t="e">
        <f>VLOOKUP(F2952,HC!A$6:D$100,3,FALSE)</f>
        <v>#N/A</v>
      </c>
      <c r="O2952" s="7" t="str">
        <f>VLOOKUP(F2952,HC!A$6:D$1000,2,FALSE)</f>
        <v>dnmanuel</v>
      </c>
      <c r="P2952" t="s">
        <v>661</v>
      </c>
      <c r="Q2952" t="s">
        <v>681</v>
      </c>
      <c r="U2952">
        <f t="shared" si="48"/>
        <v>6</v>
      </c>
    </row>
    <row r="2953" spans="1:21" ht="37.5" customHeight="1" x14ac:dyDescent="0.25">
      <c r="A2953" s="39">
        <v>45172</v>
      </c>
      <c r="B2953" s="13">
        <v>36</v>
      </c>
      <c r="C2953" t="s">
        <v>3</v>
      </c>
      <c r="D2953" t="s">
        <v>4</v>
      </c>
      <c r="E2953" t="s">
        <v>5</v>
      </c>
      <c r="F2953">
        <v>201166890</v>
      </c>
      <c r="G2953" t="s">
        <v>998</v>
      </c>
      <c r="H2953" t="s">
        <v>298</v>
      </c>
      <c r="I2953">
        <v>0</v>
      </c>
      <c r="J2953">
        <v>0</v>
      </c>
      <c r="K2953">
        <v>0</v>
      </c>
      <c r="L2953">
        <v>0</v>
      </c>
      <c r="M2953">
        <v>0.56999999999999995</v>
      </c>
      <c r="N2953" s="7" t="e">
        <f>VLOOKUP(F2953,HC!A$6:D$100,3,FALSE)</f>
        <v>#N/A</v>
      </c>
      <c r="O2953" s="7" t="str">
        <f>VLOOKUP(F2953,HC!A$6:D$1000,2,FALSE)</f>
        <v>lcabadan</v>
      </c>
      <c r="P2953" t="s">
        <v>662</v>
      </c>
      <c r="Q2953" t="s">
        <v>691</v>
      </c>
      <c r="U2953">
        <f t="shared" si="48"/>
        <v>24</v>
      </c>
    </row>
    <row r="2954" spans="1:21" ht="37.5" customHeight="1" x14ac:dyDescent="0.25">
      <c r="A2954" s="39">
        <v>45172</v>
      </c>
      <c r="B2954" s="13">
        <v>36</v>
      </c>
      <c r="C2954" t="s">
        <v>3</v>
      </c>
      <c r="D2954" t="s">
        <v>4</v>
      </c>
      <c r="E2954" t="s">
        <v>5</v>
      </c>
      <c r="F2954">
        <v>201167501</v>
      </c>
      <c r="G2954" t="s">
        <v>863</v>
      </c>
      <c r="H2954" t="s">
        <v>44</v>
      </c>
      <c r="I2954">
        <v>0</v>
      </c>
      <c r="J2954">
        <v>0</v>
      </c>
      <c r="K2954">
        <v>0</v>
      </c>
      <c r="L2954">
        <v>0</v>
      </c>
      <c r="M2954">
        <v>0.16</v>
      </c>
      <c r="N2954" s="7" t="e">
        <f>VLOOKUP(F2954,HC!A$6:D$100,3,FALSE)</f>
        <v>#N/A</v>
      </c>
      <c r="O2954" s="7" t="str">
        <f>VLOOKUP(F2954,HC!A$6:D$1000,2,FALSE)</f>
        <v>wguanajr</v>
      </c>
      <c r="P2954" t="s">
        <v>662</v>
      </c>
      <c r="Q2954" t="s">
        <v>688</v>
      </c>
      <c r="U2954">
        <f t="shared" si="48"/>
        <v>36</v>
      </c>
    </row>
    <row r="2955" spans="1:21" ht="37.5" customHeight="1" x14ac:dyDescent="0.25">
      <c r="A2955" s="39">
        <v>45172</v>
      </c>
      <c r="B2955" s="13">
        <v>36</v>
      </c>
      <c r="C2955" t="s">
        <v>3</v>
      </c>
      <c r="D2955" t="s">
        <v>4</v>
      </c>
      <c r="E2955" t="s">
        <v>5</v>
      </c>
      <c r="F2955">
        <v>201186833</v>
      </c>
      <c r="G2955" t="s">
        <v>904</v>
      </c>
      <c r="H2955" t="s">
        <v>285</v>
      </c>
      <c r="I2955">
        <v>0</v>
      </c>
      <c r="J2955">
        <v>0</v>
      </c>
      <c r="K2955">
        <v>0</v>
      </c>
      <c r="L2955">
        <v>0</v>
      </c>
      <c r="M2955">
        <v>0.12</v>
      </c>
      <c r="N2955" s="7" t="e">
        <f>VLOOKUP(F2955,HC!A$6:D$100,3,FALSE)</f>
        <v>#N/A</v>
      </c>
      <c r="O2955" s="7" t="str">
        <f>VLOOKUP(F2955,HC!A$6:D$1000,2,FALSE)</f>
        <v>jaalexav</v>
      </c>
      <c r="P2955" t="s">
        <v>662</v>
      </c>
      <c r="Q2955" t="s">
        <v>702</v>
      </c>
      <c r="U2955">
        <f t="shared" si="48"/>
        <v>16</v>
      </c>
    </row>
    <row r="2956" spans="1:21" ht="37.5" customHeight="1" x14ac:dyDescent="0.25">
      <c r="A2956" s="39">
        <v>45172</v>
      </c>
      <c r="B2956" s="13">
        <v>36</v>
      </c>
      <c r="C2956" t="s">
        <v>3</v>
      </c>
      <c r="D2956" t="s">
        <v>4</v>
      </c>
      <c r="E2956" t="s">
        <v>5</v>
      </c>
      <c r="F2956">
        <v>201350949</v>
      </c>
      <c r="G2956" t="s">
        <v>1243</v>
      </c>
      <c r="H2956" t="s">
        <v>44</v>
      </c>
      <c r="I2956">
        <v>0</v>
      </c>
      <c r="J2956">
        <v>0</v>
      </c>
      <c r="K2956">
        <v>0</v>
      </c>
      <c r="L2956">
        <v>0</v>
      </c>
      <c r="M2956">
        <v>0.79</v>
      </c>
      <c r="N2956" s="7" t="e">
        <f>VLOOKUP(F2956,HC!A$6:D$100,3,FALSE)</f>
        <v>#N/A</v>
      </c>
      <c r="O2956" s="7" t="str">
        <f>VLOOKUP(F2956,HC!A$6:D$1000,2,FALSE)</f>
        <v>hreyeisa</v>
      </c>
      <c r="P2956" t="s">
        <v>664</v>
      </c>
      <c r="Q2956" t="s">
        <v>708</v>
      </c>
      <c r="U2956">
        <f t="shared" si="48"/>
        <v>5</v>
      </c>
    </row>
    <row r="2957" spans="1:21" ht="37.5" customHeight="1" x14ac:dyDescent="0.25">
      <c r="A2957" s="39">
        <v>45173</v>
      </c>
      <c r="B2957" s="13">
        <v>36</v>
      </c>
      <c r="C2957" t="s">
        <v>3</v>
      </c>
      <c r="D2957" t="s">
        <v>4</v>
      </c>
      <c r="E2957" t="s">
        <v>5</v>
      </c>
      <c r="F2957">
        <v>112981061</v>
      </c>
      <c r="G2957" t="s">
        <v>264</v>
      </c>
      <c r="H2957" t="s">
        <v>44</v>
      </c>
      <c r="I2957">
        <v>0</v>
      </c>
      <c r="J2957">
        <v>0</v>
      </c>
      <c r="K2957">
        <v>0</v>
      </c>
      <c r="L2957">
        <v>0</v>
      </c>
      <c r="M2957">
        <v>0.21</v>
      </c>
      <c r="N2957" s="7" t="str">
        <f>VLOOKUP(F2957,HC!A$6:D$100,3,FALSE)</f>
        <v>DA-X0700</v>
      </c>
      <c r="O2957" s="7" t="str">
        <f>VLOOKUP(F2957,HC!A$6:D$1000,2,FALSE)</f>
        <v>mclaudol</v>
      </c>
      <c r="P2957" t="s">
        <v>662</v>
      </c>
      <c r="Q2957" t="s">
        <v>757</v>
      </c>
      <c r="U2957">
        <f t="shared" si="48"/>
        <v>44</v>
      </c>
    </row>
    <row r="2958" spans="1:21" ht="37.5" customHeight="1" x14ac:dyDescent="0.25">
      <c r="A2958" s="39">
        <v>45173</v>
      </c>
      <c r="B2958" s="13">
        <v>36</v>
      </c>
      <c r="C2958" t="s">
        <v>3</v>
      </c>
      <c r="D2958" t="s">
        <v>4</v>
      </c>
      <c r="E2958" t="s">
        <v>5</v>
      </c>
      <c r="F2958">
        <v>113014403</v>
      </c>
      <c r="G2958" t="s">
        <v>373</v>
      </c>
      <c r="H2958" t="s">
        <v>298</v>
      </c>
      <c r="I2958">
        <v>0</v>
      </c>
      <c r="J2958">
        <v>0</v>
      </c>
      <c r="K2958">
        <v>0</v>
      </c>
      <c r="L2958">
        <v>0</v>
      </c>
      <c r="M2958">
        <v>0.13</v>
      </c>
      <c r="N2958" s="7" t="e">
        <f>VLOOKUP(F2958,HC!A$6:D$100,3,FALSE)</f>
        <v>#N/A</v>
      </c>
      <c r="O2958" s="7" t="str">
        <f>VLOOKUP(F2958,HC!A$6:D$1000,2,FALSE)</f>
        <v>wnoraria</v>
      </c>
      <c r="P2958" t="s">
        <v>661</v>
      </c>
      <c r="Q2958" t="s">
        <v>681</v>
      </c>
      <c r="U2958">
        <f t="shared" si="48"/>
        <v>23</v>
      </c>
    </row>
    <row r="2959" spans="1:21" ht="37.5" customHeight="1" x14ac:dyDescent="0.25">
      <c r="A2959" s="39">
        <v>45173</v>
      </c>
      <c r="B2959" s="13">
        <v>36</v>
      </c>
      <c r="C2959" t="s">
        <v>3</v>
      </c>
      <c r="D2959" t="s">
        <v>4</v>
      </c>
      <c r="E2959" t="s">
        <v>5</v>
      </c>
      <c r="F2959">
        <v>113101453</v>
      </c>
      <c r="G2959" t="s">
        <v>50</v>
      </c>
      <c r="H2959" t="s">
        <v>44</v>
      </c>
      <c r="I2959">
        <v>0</v>
      </c>
      <c r="J2959">
        <v>0</v>
      </c>
      <c r="K2959">
        <v>0</v>
      </c>
      <c r="L2959">
        <v>0</v>
      </c>
      <c r="M2959">
        <v>0.22</v>
      </c>
      <c r="N2959" s="7" t="e">
        <f>VLOOKUP(F2959,HC!A$6:D$100,3,FALSE)</f>
        <v>#N/A</v>
      </c>
      <c r="O2959" s="7" t="str">
        <f>VLOOKUP(F2959,HC!A$6:D$1000,2,FALSE)</f>
        <v>qisgeova</v>
      </c>
      <c r="P2959" t="s">
        <v>661</v>
      </c>
      <c r="Q2959" t="s">
        <v>681</v>
      </c>
      <c r="U2959">
        <f t="shared" si="48"/>
        <v>57</v>
      </c>
    </row>
    <row r="2960" spans="1:21" ht="37.5" customHeight="1" x14ac:dyDescent="0.25">
      <c r="A2960" s="39">
        <v>45173</v>
      </c>
      <c r="B2960" s="13">
        <v>36</v>
      </c>
      <c r="C2960" t="s">
        <v>3</v>
      </c>
      <c r="D2960" t="s">
        <v>4</v>
      </c>
      <c r="E2960" t="s">
        <v>5</v>
      </c>
      <c r="F2960">
        <v>200404250</v>
      </c>
      <c r="G2960" t="s">
        <v>51</v>
      </c>
      <c r="H2960" t="s">
        <v>298</v>
      </c>
      <c r="I2960">
        <v>0</v>
      </c>
      <c r="J2960">
        <v>0</v>
      </c>
      <c r="K2960">
        <v>0</v>
      </c>
      <c r="L2960">
        <v>0</v>
      </c>
      <c r="M2960">
        <v>0.55000000000000004</v>
      </c>
      <c r="N2960" s="7" t="e">
        <f>VLOOKUP(F2960,HC!A$6:D$100,3,FALSE)</f>
        <v>#N/A</v>
      </c>
      <c r="O2960" s="7" t="str">
        <f>VLOOKUP(F2960,HC!A$6:D$1000,2,FALSE)</f>
        <v>xcathurt</v>
      </c>
      <c r="P2960" t="s">
        <v>662</v>
      </c>
      <c r="Q2960" t="s">
        <v>766</v>
      </c>
      <c r="U2960">
        <f t="shared" si="48"/>
        <v>124</v>
      </c>
    </row>
    <row r="2961" spans="1:21" ht="37.5" customHeight="1" x14ac:dyDescent="0.25">
      <c r="A2961" s="39">
        <v>45173</v>
      </c>
      <c r="B2961" s="13">
        <v>36</v>
      </c>
      <c r="C2961" t="s">
        <v>3</v>
      </c>
      <c r="D2961" t="s">
        <v>4</v>
      </c>
      <c r="E2961" t="s">
        <v>5</v>
      </c>
      <c r="F2961">
        <v>200625528</v>
      </c>
      <c r="G2961" t="s">
        <v>607</v>
      </c>
      <c r="H2961" t="s">
        <v>285</v>
      </c>
      <c r="I2961">
        <v>0</v>
      </c>
      <c r="J2961">
        <v>0</v>
      </c>
      <c r="K2961">
        <v>0</v>
      </c>
      <c r="L2961">
        <v>0</v>
      </c>
      <c r="M2961">
        <v>0.06</v>
      </c>
      <c r="N2961" s="7" t="e">
        <f>VLOOKUP(F2961,HC!A$6:D$100,3,FALSE)</f>
        <v>#N/A</v>
      </c>
      <c r="O2961" s="7" t="str">
        <f>VLOOKUP(F2961,HC!A$6:D$1000,2,FALSE)</f>
        <v>olivlizb</v>
      </c>
      <c r="P2961" t="s">
        <v>664</v>
      </c>
      <c r="Q2961" t="s">
        <v>711</v>
      </c>
      <c r="U2961">
        <f t="shared" si="48"/>
        <v>50</v>
      </c>
    </row>
    <row r="2962" spans="1:21" ht="37.5" customHeight="1" x14ac:dyDescent="0.25">
      <c r="A2962" s="39">
        <v>45173</v>
      </c>
      <c r="B2962" s="13">
        <v>36</v>
      </c>
      <c r="C2962" t="s">
        <v>3</v>
      </c>
      <c r="D2962" t="s">
        <v>4</v>
      </c>
      <c r="E2962" t="s">
        <v>5</v>
      </c>
      <c r="F2962">
        <v>201162477</v>
      </c>
      <c r="G2962" t="s">
        <v>1244</v>
      </c>
      <c r="H2962" t="s">
        <v>285</v>
      </c>
      <c r="I2962">
        <v>0</v>
      </c>
      <c r="J2962">
        <v>0</v>
      </c>
      <c r="K2962">
        <v>0</v>
      </c>
      <c r="L2962">
        <v>0</v>
      </c>
      <c r="M2962">
        <v>0.08</v>
      </c>
      <c r="N2962" s="7" t="e">
        <f>VLOOKUP(F2962,HC!A$6:D$100,3,FALSE)</f>
        <v>#N/A</v>
      </c>
      <c r="O2962" s="7" t="str">
        <f>VLOOKUP(F2962,HC!A$6:D$1000,2,FALSE)</f>
        <v>victonay</v>
      </c>
      <c r="P2962" t="s">
        <v>663</v>
      </c>
      <c r="Q2962" t="s">
        <v>695</v>
      </c>
      <c r="U2962">
        <f t="shared" si="48"/>
        <v>4</v>
      </c>
    </row>
    <row r="2963" spans="1:21" ht="37.5" customHeight="1" x14ac:dyDescent="0.25">
      <c r="A2963" s="39">
        <v>45173</v>
      </c>
      <c r="B2963" s="13">
        <v>36</v>
      </c>
      <c r="C2963" t="s">
        <v>3</v>
      </c>
      <c r="D2963" t="s">
        <v>4</v>
      </c>
      <c r="E2963" t="s">
        <v>5</v>
      </c>
      <c r="F2963">
        <v>201402212</v>
      </c>
      <c r="G2963" t="s">
        <v>1131</v>
      </c>
      <c r="H2963" t="s">
        <v>263</v>
      </c>
      <c r="I2963">
        <v>0</v>
      </c>
      <c r="J2963">
        <v>0</v>
      </c>
      <c r="K2963">
        <v>0</v>
      </c>
      <c r="L2963">
        <v>0</v>
      </c>
      <c r="M2963">
        <v>0.86</v>
      </c>
      <c r="N2963" s="7" t="e">
        <f>VLOOKUP(F2963,HC!A$6:D$100,3,FALSE)</f>
        <v>#N/A</v>
      </c>
      <c r="O2963" s="7" t="str">
        <f>VLOOKUP(F2963,HC!A$6:D$1000,2,FALSE)</f>
        <v>karlpadr</v>
      </c>
      <c r="P2963" t="s">
        <v>664</v>
      </c>
      <c r="Q2963" t="s">
        <v>709</v>
      </c>
      <c r="U2963">
        <f t="shared" si="48"/>
        <v>5</v>
      </c>
    </row>
    <row r="2964" spans="1:21" ht="37.5" customHeight="1" x14ac:dyDescent="0.25">
      <c r="A2964" s="39">
        <v>45174</v>
      </c>
      <c r="B2964" s="13">
        <v>36</v>
      </c>
      <c r="C2964" t="s">
        <v>3</v>
      </c>
      <c r="D2964" t="s">
        <v>4</v>
      </c>
      <c r="E2964" t="s">
        <v>5</v>
      </c>
      <c r="F2964">
        <v>112980887</v>
      </c>
      <c r="G2964" t="s">
        <v>1221</v>
      </c>
      <c r="H2964" t="s">
        <v>282</v>
      </c>
      <c r="I2964">
        <v>0</v>
      </c>
      <c r="J2964">
        <v>0</v>
      </c>
      <c r="K2964">
        <v>0</v>
      </c>
      <c r="L2964">
        <v>0</v>
      </c>
      <c r="M2964">
        <v>0.22</v>
      </c>
      <c r="N2964" s="7" t="e">
        <f>VLOOKUP(F2964,HC!A$6:D$100,3,FALSE)</f>
        <v>#N/A</v>
      </c>
      <c r="O2964" s="7" t="e">
        <f>VLOOKUP(F2964,HC!A$6:D$1000,2,FALSE)</f>
        <v>#N/A</v>
      </c>
      <c r="P2964" t="s">
        <v>661</v>
      </c>
      <c r="Q2964" t="s">
        <v>681</v>
      </c>
      <c r="U2964">
        <f t="shared" si="48"/>
        <v>1395</v>
      </c>
    </row>
    <row r="2965" spans="1:21" ht="37.5" customHeight="1" x14ac:dyDescent="0.25">
      <c r="A2965" s="39">
        <v>45174</v>
      </c>
      <c r="B2965" s="13">
        <v>36</v>
      </c>
      <c r="C2965" t="s">
        <v>3</v>
      </c>
      <c r="D2965" t="s">
        <v>4</v>
      </c>
      <c r="E2965" t="s">
        <v>5</v>
      </c>
      <c r="F2965">
        <v>112981212</v>
      </c>
      <c r="G2965" t="s">
        <v>573</v>
      </c>
      <c r="H2965" t="s">
        <v>44</v>
      </c>
      <c r="I2965">
        <v>0</v>
      </c>
      <c r="J2965">
        <v>0</v>
      </c>
      <c r="K2965">
        <v>0</v>
      </c>
      <c r="L2965">
        <v>0</v>
      </c>
      <c r="M2965">
        <v>0.12</v>
      </c>
      <c r="N2965" s="7" t="e">
        <f>VLOOKUP(F2965,HC!A$6:D$100,3,FALSE)</f>
        <v>#N/A</v>
      </c>
      <c r="O2965" s="7" t="str">
        <f>VLOOKUP(F2965,HC!A$6:D$1000,2,FALSE)</f>
        <v>alysonza</v>
      </c>
      <c r="P2965" t="s">
        <v>662</v>
      </c>
      <c r="Q2965" t="s">
        <v>757</v>
      </c>
      <c r="U2965">
        <f t="shared" si="48"/>
        <v>23</v>
      </c>
    </row>
    <row r="2966" spans="1:21" ht="37.5" customHeight="1" x14ac:dyDescent="0.25">
      <c r="A2966" s="39">
        <v>45174</v>
      </c>
      <c r="B2966" s="13">
        <v>36</v>
      </c>
      <c r="C2966" t="s">
        <v>3</v>
      </c>
      <c r="D2966" t="s">
        <v>4</v>
      </c>
      <c r="E2966" t="s">
        <v>5</v>
      </c>
      <c r="F2966">
        <v>113014078</v>
      </c>
      <c r="G2966" t="s">
        <v>567</v>
      </c>
      <c r="H2966" t="s">
        <v>298</v>
      </c>
      <c r="I2966">
        <v>0</v>
      </c>
      <c r="J2966">
        <v>0</v>
      </c>
      <c r="K2966">
        <v>0</v>
      </c>
      <c r="L2966">
        <v>0</v>
      </c>
      <c r="M2966">
        <v>0.24</v>
      </c>
      <c r="N2966" s="7" t="e">
        <f>VLOOKUP(F2966,HC!A$6:D$100,3,FALSE)</f>
        <v>#N/A</v>
      </c>
      <c r="O2966" s="7" t="str">
        <f>VLOOKUP(F2966,HC!A$6:D$1000,2,FALSE)</f>
        <v>dnaldair</v>
      </c>
      <c r="P2966" t="s">
        <v>663</v>
      </c>
      <c r="Q2966" t="s">
        <v>695</v>
      </c>
      <c r="U2966">
        <f t="shared" si="48"/>
        <v>14</v>
      </c>
    </row>
    <row r="2967" spans="1:21" ht="37.5" customHeight="1" x14ac:dyDescent="0.25">
      <c r="A2967" s="39">
        <v>45174</v>
      </c>
      <c r="B2967" s="13">
        <v>36</v>
      </c>
      <c r="C2967" t="s">
        <v>3</v>
      </c>
      <c r="D2967" t="s">
        <v>4</v>
      </c>
      <c r="E2967" t="s">
        <v>5</v>
      </c>
      <c r="F2967">
        <v>113101453</v>
      </c>
      <c r="G2967" t="s">
        <v>50</v>
      </c>
      <c r="H2967" t="s">
        <v>44</v>
      </c>
      <c r="I2967">
        <v>0</v>
      </c>
      <c r="J2967">
        <v>0</v>
      </c>
      <c r="K2967">
        <v>0</v>
      </c>
      <c r="L2967">
        <v>0</v>
      </c>
      <c r="M2967">
        <v>0.11</v>
      </c>
      <c r="N2967" s="7" t="e">
        <f>VLOOKUP(F2967,HC!A$6:D$100,3,FALSE)</f>
        <v>#N/A</v>
      </c>
      <c r="O2967" s="7" t="str">
        <f>VLOOKUP(F2967,HC!A$6:D$1000,2,FALSE)</f>
        <v>qisgeova</v>
      </c>
      <c r="P2967" t="s">
        <v>661</v>
      </c>
      <c r="Q2967" t="s">
        <v>681</v>
      </c>
      <c r="U2967">
        <f t="shared" si="48"/>
        <v>57</v>
      </c>
    </row>
    <row r="2968" spans="1:21" ht="37.5" customHeight="1" x14ac:dyDescent="0.25">
      <c r="A2968" s="39">
        <v>45174</v>
      </c>
      <c r="B2968" s="13">
        <v>36</v>
      </c>
      <c r="C2968" t="s">
        <v>3</v>
      </c>
      <c r="D2968" t="s">
        <v>4</v>
      </c>
      <c r="E2968" t="s">
        <v>5</v>
      </c>
      <c r="F2968">
        <v>201162477</v>
      </c>
      <c r="G2968" t="s">
        <v>1244</v>
      </c>
      <c r="H2968" t="s">
        <v>285</v>
      </c>
      <c r="I2968">
        <v>0</v>
      </c>
      <c r="J2968">
        <v>0</v>
      </c>
      <c r="K2968">
        <v>0</v>
      </c>
      <c r="L2968">
        <v>0</v>
      </c>
      <c r="M2968">
        <v>0.11</v>
      </c>
      <c r="N2968" s="7" t="e">
        <f>VLOOKUP(F2968,HC!A$6:D$100,3,FALSE)</f>
        <v>#N/A</v>
      </c>
      <c r="O2968" s="7" t="str">
        <f>VLOOKUP(F2968,HC!A$6:D$1000,2,FALSE)</f>
        <v>victonay</v>
      </c>
      <c r="P2968" t="s">
        <v>663</v>
      </c>
      <c r="Q2968" t="s">
        <v>695</v>
      </c>
      <c r="U2968">
        <f t="shared" si="48"/>
        <v>4</v>
      </c>
    </row>
    <row r="2969" spans="1:21" ht="37.5" customHeight="1" x14ac:dyDescent="0.25">
      <c r="A2969" s="39">
        <v>45174</v>
      </c>
      <c r="B2969" s="13">
        <v>36</v>
      </c>
      <c r="C2969" t="s">
        <v>3</v>
      </c>
      <c r="D2969" t="s">
        <v>4</v>
      </c>
      <c r="E2969" t="s">
        <v>5</v>
      </c>
      <c r="F2969">
        <v>201191198</v>
      </c>
      <c r="G2969" t="s">
        <v>974</v>
      </c>
      <c r="H2969" t="s">
        <v>17</v>
      </c>
      <c r="I2969">
        <v>0</v>
      </c>
      <c r="J2969">
        <v>0</v>
      </c>
      <c r="K2969">
        <v>0</v>
      </c>
      <c r="L2969">
        <v>0</v>
      </c>
      <c r="M2969">
        <v>0.1</v>
      </c>
      <c r="N2969" s="7" t="e">
        <f>VLOOKUP(F2969,HC!A$6:D$100,3,FALSE)</f>
        <v>#N/A</v>
      </c>
      <c r="O2969" s="7" t="str">
        <f>VLOOKUP(F2969,HC!A$6:D$1000,2,FALSE)</f>
        <v>mojicemm</v>
      </c>
      <c r="P2969" t="s">
        <v>664</v>
      </c>
      <c r="Q2969" t="s">
        <v>710</v>
      </c>
      <c r="U2969">
        <f t="shared" si="48"/>
        <v>24</v>
      </c>
    </row>
    <row r="2970" spans="1:21" ht="37.5" customHeight="1" x14ac:dyDescent="0.25">
      <c r="A2970" s="39">
        <v>45174</v>
      </c>
      <c r="B2970" s="13">
        <v>36</v>
      </c>
      <c r="C2970" t="s">
        <v>3</v>
      </c>
      <c r="D2970" t="s">
        <v>4</v>
      </c>
      <c r="E2970" t="s">
        <v>5</v>
      </c>
      <c r="F2970">
        <v>201318220</v>
      </c>
      <c r="G2970" t="s">
        <v>1183</v>
      </c>
      <c r="H2970" t="s">
        <v>1040</v>
      </c>
      <c r="I2970">
        <v>0</v>
      </c>
      <c r="J2970">
        <v>0</v>
      </c>
      <c r="K2970">
        <v>0</v>
      </c>
      <c r="L2970">
        <v>0</v>
      </c>
      <c r="M2970">
        <v>0.32</v>
      </c>
      <c r="N2970" s="7" t="e">
        <f>VLOOKUP(F2970,HC!A$6:D$100,3,FALSE)</f>
        <v>#N/A</v>
      </c>
      <c r="O2970" s="7" t="str">
        <f>VLOOKUP(F2970,HC!A$6:D$1000,2,FALSE)</f>
        <v>raufjas</v>
      </c>
      <c r="P2970" t="s">
        <v>663</v>
      </c>
      <c r="Q2970" t="s">
        <v>695</v>
      </c>
      <c r="U2970">
        <f t="shared" si="48"/>
        <v>11</v>
      </c>
    </row>
    <row r="2971" spans="1:21" ht="37.5" customHeight="1" x14ac:dyDescent="0.25">
      <c r="A2971" s="39">
        <v>45174</v>
      </c>
      <c r="B2971" s="13">
        <v>36</v>
      </c>
      <c r="C2971" t="s">
        <v>3</v>
      </c>
      <c r="D2971" t="s">
        <v>4</v>
      </c>
      <c r="E2971" t="s">
        <v>5</v>
      </c>
      <c r="F2971">
        <v>201341534</v>
      </c>
      <c r="G2971" t="s">
        <v>1181</v>
      </c>
      <c r="H2971" t="s">
        <v>285</v>
      </c>
      <c r="I2971">
        <v>0</v>
      </c>
      <c r="J2971">
        <v>0</v>
      </c>
      <c r="K2971">
        <v>0</v>
      </c>
      <c r="L2971">
        <v>0</v>
      </c>
      <c r="M2971">
        <v>0.16</v>
      </c>
      <c r="N2971" s="7" t="e">
        <f>VLOOKUP(F2971,HC!A$6:D$100,3,FALSE)</f>
        <v>#N/A</v>
      </c>
      <c r="O2971" s="7" t="str">
        <f>VLOOKUP(F2971,HC!A$6:D$1000,2,FALSE)</f>
        <v>beceresm</v>
      </c>
      <c r="P2971" t="s">
        <v>664</v>
      </c>
      <c r="Q2971" t="s">
        <v>710</v>
      </c>
      <c r="U2971">
        <f t="shared" si="48"/>
        <v>10</v>
      </c>
    </row>
    <row r="2972" spans="1:21" ht="37.5" customHeight="1" x14ac:dyDescent="0.25">
      <c r="A2972" s="39">
        <v>45174</v>
      </c>
      <c r="B2972" s="13">
        <v>36</v>
      </c>
      <c r="C2972" t="s">
        <v>3</v>
      </c>
      <c r="D2972" t="s">
        <v>4</v>
      </c>
      <c r="E2972" t="s">
        <v>5</v>
      </c>
      <c r="F2972">
        <v>201345774</v>
      </c>
      <c r="G2972" t="s">
        <v>1070</v>
      </c>
      <c r="H2972" t="s">
        <v>44</v>
      </c>
      <c r="I2972">
        <v>0</v>
      </c>
      <c r="J2972">
        <v>0</v>
      </c>
      <c r="K2972">
        <v>0</v>
      </c>
      <c r="L2972">
        <v>0</v>
      </c>
      <c r="M2972">
        <v>0.67</v>
      </c>
      <c r="N2972" s="7" t="e">
        <f>VLOOKUP(F2972,HC!A$6:D$100,3,FALSE)</f>
        <v>#N/A</v>
      </c>
      <c r="O2972" s="7" t="str">
        <f>VLOOKUP(F2972,HC!A$6:D$1000,2,FALSE)</f>
        <v>jonquija</v>
      </c>
      <c r="P2972" t="s">
        <v>667</v>
      </c>
      <c r="Q2972" t="s">
        <v>306</v>
      </c>
      <c r="R2972" t="s">
        <v>1245</v>
      </c>
      <c r="U2972">
        <f t="shared" si="48"/>
        <v>19</v>
      </c>
    </row>
    <row r="2973" spans="1:21" ht="37.5" customHeight="1" x14ac:dyDescent="0.25">
      <c r="A2973" s="39">
        <v>45174</v>
      </c>
      <c r="B2973" s="13">
        <v>36</v>
      </c>
      <c r="C2973" t="s">
        <v>3</v>
      </c>
      <c r="D2973" t="s">
        <v>4</v>
      </c>
      <c r="E2973" t="s">
        <v>5</v>
      </c>
      <c r="F2973">
        <v>201378452</v>
      </c>
      <c r="G2973" t="s">
        <v>1173</v>
      </c>
      <c r="H2973" t="s">
        <v>298</v>
      </c>
      <c r="I2973">
        <v>0</v>
      </c>
      <c r="J2973">
        <v>0</v>
      </c>
      <c r="K2973">
        <v>0</v>
      </c>
      <c r="L2973">
        <v>0</v>
      </c>
      <c r="M2973">
        <v>0.18</v>
      </c>
      <c r="N2973" s="7" t="e">
        <f>VLOOKUP(F2973,HC!A$6:D$100,3,FALSE)</f>
        <v>#N/A</v>
      </c>
      <c r="O2973" s="7" t="str">
        <f>VLOOKUP(F2973,HC!A$6:D$1000,2,FALSE)</f>
        <v>omhperez</v>
      </c>
      <c r="P2973" t="s">
        <v>664</v>
      </c>
      <c r="Q2973" t="s">
        <v>771</v>
      </c>
      <c r="U2973">
        <f t="shared" si="48"/>
        <v>9</v>
      </c>
    </row>
    <row r="2974" spans="1:21" ht="37.5" customHeight="1" x14ac:dyDescent="0.25">
      <c r="A2974" s="39">
        <v>45174</v>
      </c>
      <c r="B2974" s="13">
        <v>36</v>
      </c>
      <c r="C2974" t="s">
        <v>3</v>
      </c>
      <c r="D2974" t="s">
        <v>4</v>
      </c>
      <c r="E2974" t="s">
        <v>21</v>
      </c>
      <c r="F2974">
        <v>201880542</v>
      </c>
      <c r="G2974" t="s">
        <v>1225</v>
      </c>
      <c r="H2974" t="s">
        <v>298</v>
      </c>
      <c r="I2974">
        <v>0</v>
      </c>
      <c r="J2974">
        <v>0</v>
      </c>
      <c r="K2974">
        <v>0</v>
      </c>
      <c r="L2974">
        <v>0</v>
      </c>
      <c r="M2974">
        <v>0.18</v>
      </c>
      <c r="N2974" s="7" t="e">
        <f>VLOOKUP(F2974,HC!A$6:D$100,3,FALSE)</f>
        <v>#N/A</v>
      </c>
      <c r="O2974" s="7" t="str">
        <f>VLOOKUP(F2974,HC!A$6:D$1000,2,FALSE)</f>
        <v>orticorp</v>
      </c>
      <c r="P2974" t="s">
        <v>664</v>
      </c>
      <c r="Q2974" t="s">
        <v>711</v>
      </c>
      <c r="U2974">
        <f t="shared" si="48"/>
        <v>24</v>
      </c>
    </row>
    <row r="2975" spans="1:21" ht="37.5" customHeight="1" x14ac:dyDescent="0.25">
      <c r="A2975" s="39">
        <v>45174</v>
      </c>
      <c r="B2975" s="13">
        <v>36</v>
      </c>
      <c r="C2975" t="s">
        <v>3</v>
      </c>
      <c r="D2975" t="s">
        <v>4</v>
      </c>
      <c r="E2975" t="s">
        <v>21</v>
      </c>
      <c r="F2975">
        <v>201908189</v>
      </c>
      <c r="G2975" t="s">
        <v>1230</v>
      </c>
      <c r="H2975" t="s">
        <v>17</v>
      </c>
      <c r="I2975">
        <v>0</v>
      </c>
      <c r="J2975">
        <v>0</v>
      </c>
      <c r="K2975">
        <v>0</v>
      </c>
      <c r="L2975">
        <v>0</v>
      </c>
      <c r="M2975">
        <v>0.3</v>
      </c>
      <c r="N2975" s="7" t="e">
        <f>VLOOKUP(F2975,HC!A$6:D$100,3,FALSE)</f>
        <v>#N/A</v>
      </c>
      <c r="O2975" s="7" t="str">
        <f>VLOOKUP(F2975,HC!A$6:D$1000,2,FALSE)</f>
        <v>cmartif</v>
      </c>
      <c r="P2975" t="s">
        <v>664</v>
      </c>
      <c r="Q2975" t="s">
        <v>777</v>
      </c>
      <c r="U2975">
        <f t="shared" si="48"/>
        <v>7</v>
      </c>
    </row>
    <row r="2976" spans="1:21" ht="37.5" customHeight="1" x14ac:dyDescent="0.25">
      <c r="A2976" s="39">
        <v>45175</v>
      </c>
      <c r="B2976" s="13">
        <v>36</v>
      </c>
      <c r="C2976" t="s">
        <v>3</v>
      </c>
      <c r="D2976" t="s">
        <v>4</v>
      </c>
      <c r="E2976" t="s">
        <v>5</v>
      </c>
      <c r="F2976">
        <v>112912506</v>
      </c>
      <c r="G2976" t="s">
        <v>1041</v>
      </c>
      <c r="H2976" t="s">
        <v>332</v>
      </c>
      <c r="I2976">
        <v>0</v>
      </c>
      <c r="J2976">
        <v>0</v>
      </c>
      <c r="K2976">
        <v>0</v>
      </c>
      <c r="L2976">
        <v>0</v>
      </c>
      <c r="M2976">
        <v>0.19</v>
      </c>
      <c r="N2976" s="7" t="str">
        <f>VLOOKUP(F2976,HC!A$6:D$100,3,FALSE)</f>
        <v>DA-X0700</v>
      </c>
      <c r="O2976" s="7" t="str">
        <f>VLOOKUP(F2976,HC!A$6:D$1000,2,FALSE)</f>
        <v>gakjessi</v>
      </c>
      <c r="P2976" t="s">
        <v>662</v>
      </c>
      <c r="Q2976" t="s">
        <v>757</v>
      </c>
      <c r="U2976">
        <f t="shared" si="48"/>
        <v>11</v>
      </c>
    </row>
    <row r="2977" spans="1:21" ht="37.5" customHeight="1" x14ac:dyDescent="0.25">
      <c r="A2977" s="39">
        <v>45175</v>
      </c>
      <c r="B2977" s="13">
        <v>36</v>
      </c>
      <c r="C2977" t="s">
        <v>3</v>
      </c>
      <c r="D2977" t="s">
        <v>4</v>
      </c>
      <c r="E2977" t="s">
        <v>21</v>
      </c>
      <c r="F2977">
        <v>112971959</v>
      </c>
      <c r="G2977" t="s">
        <v>1246</v>
      </c>
      <c r="H2977" t="s">
        <v>282</v>
      </c>
      <c r="I2977">
        <v>0</v>
      </c>
      <c r="J2977">
        <v>0</v>
      </c>
      <c r="K2977">
        <v>0</v>
      </c>
      <c r="L2977">
        <v>0</v>
      </c>
      <c r="M2977">
        <v>0.25</v>
      </c>
      <c r="N2977" s="7" t="e">
        <f>VLOOKUP(F2977,HC!A$6:D$100,3,FALSE)</f>
        <v>#N/A</v>
      </c>
      <c r="O2977" s="7" t="e">
        <f>VLOOKUP(F2977,HC!A$6:D$1000,2,FALSE)</f>
        <v>#N/A</v>
      </c>
      <c r="P2977" t="s">
        <v>665</v>
      </c>
      <c r="Q2977" t="s">
        <v>722</v>
      </c>
      <c r="U2977">
        <f t="shared" si="48"/>
        <v>1395</v>
      </c>
    </row>
    <row r="2978" spans="1:21" ht="37.5" customHeight="1" x14ac:dyDescent="0.25">
      <c r="A2978" s="39">
        <v>45175</v>
      </c>
      <c r="B2978" s="13">
        <v>36</v>
      </c>
      <c r="C2978" t="s">
        <v>3</v>
      </c>
      <c r="D2978" t="s">
        <v>4</v>
      </c>
      <c r="E2978" t="s">
        <v>5</v>
      </c>
      <c r="F2978">
        <v>112972958</v>
      </c>
      <c r="G2978" t="s">
        <v>441</v>
      </c>
      <c r="H2978" t="s">
        <v>459</v>
      </c>
      <c r="I2978">
        <v>0</v>
      </c>
      <c r="J2978">
        <v>0</v>
      </c>
      <c r="K2978">
        <v>0</v>
      </c>
      <c r="L2978">
        <v>0</v>
      </c>
      <c r="M2978">
        <v>0.85</v>
      </c>
      <c r="N2978" s="7" t="str">
        <f>VLOOKUP(F2978,HC!A$6:D$100,3,FALSE)</f>
        <v>D5-X0700</v>
      </c>
      <c r="O2978" s="7" t="str">
        <f>VLOOKUP(F2978,HC!A$6:D$1000,2,FALSE)</f>
        <v>ugonzgui</v>
      </c>
      <c r="P2978" t="s">
        <v>661</v>
      </c>
      <c r="Q2978" t="s">
        <v>681</v>
      </c>
      <c r="U2978">
        <f t="shared" si="48"/>
        <v>13</v>
      </c>
    </row>
    <row r="2979" spans="1:21" ht="37.5" customHeight="1" x14ac:dyDescent="0.25">
      <c r="A2979" s="39">
        <v>45175</v>
      </c>
      <c r="B2979" s="13">
        <v>36</v>
      </c>
      <c r="C2979" t="s">
        <v>3</v>
      </c>
      <c r="D2979" t="s">
        <v>4</v>
      </c>
      <c r="E2979" t="s">
        <v>5</v>
      </c>
      <c r="F2979">
        <v>112981061</v>
      </c>
      <c r="G2979" t="s">
        <v>264</v>
      </c>
      <c r="H2979" t="s">
        <v>44</v>
      </c>
      <c r="I2979">
        <v>0</v>
      </c>
      <c r="J2979">
        <v>0</v>
      </c>
      <c r="K2979">
        <v>0</v>
      </c>
      <c r="L2979">
        <v>0</v>
      </c>
      <c r="M2979">
        <v>0.13</v>
      </c>
      <c r="N2979" s="7" t="str">
        <f>VLOOKUP(F2979,HC!A$6:D$100,3,FALSE)</f>
        <v>DA-X0700</v>
      </c>
      <c r="O2979" s="7" t="str">
        <f>VLOOKUP(F2979,HC!A$6:D$1000,2,FALSE)</f>
        <v>mclaudol</v>
      </c>
      <c r="P2979" t="s">
        <v>663</v>
      </c>
      <c r="Q2979" t="s">
        <v>695</v>
      </c>
      <c r="U2979">
        <f t="shared" si="48"/>
        <v>44</v>
      </c>
    </row>
    <row r="2980" spans="1:21" ht="37.5" customHeight="1" x14ac:dyDescent="0.25">
      <c r="A2980" s="39">
        <v>45175</v>
      </c>
      <c r="B2980" s="13">
        <v>36</v>
      </c>
      <c r="C2980" t="s">
        <v>3</v>
      </c>
      <c r="D2980" t="s">
        <v>4</v>
      </c>
      <c r="E2980" t="s">
        <v>21</v>
      </c>
      <c r="F2980">
        <v>113014081</v>
      </c>
      <c r="G2980" t="s">
        <v>267</v>
      </c>
      <c r="H2980" t="s">
        <v>47</v>
      </c>
      <c r="I2980">
        <v>0</v>
      </c>
      <c r="J2980">
        <v>0</v>
      </c>
      <c r="K2980">
        <v>0</v>
      </c>
      <c r="L2980">
        <v>0</v>
      </c>
      <c r="M2980">
        <v>0.25</v>
      </c>
      <c r="N2980" s="7" t="e">
        <f>VLOOKUP(F2980,HC!A$6:D$100,3,FALSE)</f>
        <v>#N/A</v>
      </c>
      <c r="O2980" s="7" t="str">
        <f>VLOOKUP(F2980,HC!A$6:D$1000,2,FALSE)</f>
        <v>fraugene</v>
      </c>
      <c r="P2980" t="s">
        <v>665</v>
      </c>
      <c r="Q2980" t="s">
        <v>722</v>
      </c>
      <c r="U2980">
        <f t="shared" si="48"/>
        <v>32</v>
      </c>
    </row>
    <row r="2981" spans="1:21" ht="37.5" customHeight="1" x14ac:dyDescent="0.25">
      <c r="A2981" s="39">
        <v>45175</v>
      </c>
      <c r="B2981" s="13">
        <v>36</v>
      </c>
      <c r="C2981" t="s">
        <v>3</v>
      </c>
      <c r="D2981" t="s">
        <v>4</v>
      </c>
      <c r="E2981" t="s">
        <v>5</v>
      </c>
      <c r="F2981">
        <v>113014094</v>
      </c>
      <c r="G2981" t="s">
        <v>463</v>
      </c>
      <c r="H2981" t="s">
        <v>44</v>
      </c>
      <c r="I2981">
        <v>0</v>
      </c>
      <c r="J2981">
        <v>0</v>
      </c>
      <c r="K2981">
        <v>0</v>
      </c>
      <c r="L2981">
        <v>0</v>
      </c>
      <c r="M2981">
        <v>0.12</v>
      </c>
      <c r="N2981" s="7" t="e">
        <f>VLOOKUP(F2981,HC!A$6:D$100,3,FALSE)</f>
        <v>#N/A</v>
      </c>
      <c r="O2981" s="7" t="str">
        <f>VLOOKUP(F2981,HC!A$6:D$1000,2,FALSE)</f>
        <v>erikaadm</v>
      </c>
      <c r="P2981" t="s">
        <v>664</v>
      </c>
      <c r="Q2981" t="s">
        <v>708</v>
      </c>
      <c r="U2981">
        <f t="shared" si="48"/>
        <v>21</v>
      </c>
    </row>
    <row r="2982" spans="1:21" ht="37.5" customHeight="1" x14ac:dyDescent="0.25">
      <c r="A2982" s="39">
        <v>45175</v>
      </c>
      <c r="B2982" s="13">
        <v>36</v>
      </c>
      <c r="C2982" t="s">
        <v>3</v>
      </c>
      <c r="D2982" t="s">
        <v>4</v>
      </c>
      <c r="E2982" t="s">
        <v>5</v>
      </c>
      <c r="F2982">
        <v>113019001</v>
      </c>
      <c r="G2982" t="s">
        <v>464</v>
      </c>
      <c r="H2982" t="s">
        <v>1040</v>
      </c>
      <c r="I2982">
        <v>0</v>
      </c>
      <c r="J2982">
        <v>0</v>
      </c>
      <c r="K2982">
        <v>0</v>
      </c>
      <c r="L2982">
        <v>0</v>
      </c>
      <c r="M2982">
        <v>0.16</v>
      </c>
      <c r="N2982" s="7" t="e">
        <f>VLOOKUP(F2982,HC!A$6:D$100,3,FALSE)</f>
        <v>#N/A</v>
      </c>
      <c r="O2982" s="7" t="str">
        <f>VLOOKUP(F2982,HC!A$6:D$1000,2,FALSE)</f>
        <v>dolozane</v>
      </c>
      <c r="P2982" t="s">
        <v>661</v>
      </c>
      <c r="Q2982" t="s">
        <v>681</v>
      </c>
      <c r="U2982">
        <f t="shared" si="48"/>
        <v>17</v>
      </c>
    </row>
    <row r="2983" spans="1:21" ht="37.5" customHeight="1" x14ac:dyDescent="0.25">
      <c r="A2983" s="39">
        <v>45175</v>
      </c>
      <c r="B2983" s="13">
        <v>36</v>
      </c>
      <c r="C2983" t="s">
        <v>3</v>
      </c>
      <c r="D2983" t="s">
        <v>4</v>
      </c>
      <c r="E2983" t="s">
        <v>5</v>
      </c>
      <c r="F2983">
        <v>113044620</v>
      </c>
      <c r="G2983" t="s">
        <v>470</v>
      </c>
      <c r="H2983" t="s">
        <v>44</v>
      </c>
      <c r="I2983">
        <v>0</v>
      </c>
      <c r="J2983">
        <v>0</v>
      </c>
      <c r="K2983">
        <v>0</v>
      </c>
      <c r="L2983">
        <v>0</v>
      </c>
      <c r="M2983">
        <v>0.35</v>
      </c>
      <c r="N2983" s="7" t="e">
        <f>VLOOKUP(F2983,HC!A$6:D$100,3,FALSE)</f>
        <v>#N/A</v>
      </c>
      <c r="O2983" s="7" t="str">
        <f>VLOOKUP(F2983,HC!A$6:D$1000,2,FALSE)</f>
        <v>aldojasw</v>
      </c>
      <c r="P2983" t="s">
        <v>661</v>
      </c>
      <c r="Q2983" t="s">
        <v>681</v>
      </c>
      <c r="U2983">
        <f t="shared" si="48"/>
        <v>11</v>
      </c>
    </row>
    <row r="2984" spans="1:21" ht="37.5" customHeight="1" x14ac:dyDescent="0.25">
      <c r="A2984" s="39">
        <v>45175</v>
      </c>
      <c r="B2984" s="13">
        <v>36</v>
      </c>
      <c r="C2984" t="s">
        <v>3</v>
      </c>
      <c r="D2984" t="s">
        <v>4</v>
      </c>
      <c r="E2984" t="s">
        <v>5</v>
      </c>
      <c r="F2984">
        <v>113101453</v>
      </c>
      <c r="G2984" t="s">
        <v>50</v>
      </c>
      <c r="H2984" t="s">
        <v>44</v>
      </c>
      <c r="I2984">
        <v>0</v>
      </c>
      <c r="J2984">
        <v>0</v>
      </c>
      <c r="K2984">
        <v>0</v>
      </c>
      <c r="L2984">
        <v>0</v>
      </c>
      <c r="M2984">
        <v>0.28999999999999998</v>
      </c>
      <c r="N2984" s="7" t="e">
        <f>VLOOKUP(F2984,HC!A$6:D$100,3,FALSE)</f>
        <v>#N/A</v>
      </c>
      <c r="O2984" s="7" t="str">
        <f>VLOOKUP(F2984,HC!A$6:D$1000,2,FALSE)</f>
        <v>qisgeova</v>
      </c>
      <c r="P2984" t="s">
        <v>664</v>
      </c>
      <c r="Q2984" t="s">
        <v>709</v>
      </c>
      <c r="R2984" t="s">
        <v>0</v>
      </c>
      <c r="U2984">
        <f t="shared" si="48"/>
        <v>57</v>
      </c>
    </row>
    <row r="2985" spans="1:21" ht="37.5" customHeight="1" x14ac:dyDescent="0.25">
      <c r="A2985" s="39">
        <v>45175</v>
      </c>
      <c r="B2985" s="13">
        <v>36</v>
      </c>
      <c r="C2985" t="s">
        <v>3</v>
      </c>
      <c r="D2985" t="s">
        <v>4</v>
      </c>
      <c r="E2985" t="s">
        <v>5</v>
      </c>
      <c r="F2985">
        <v>200404250</v>
      </c>
      <c r="G2985" t="s">
        <v>51</v>
      </c>
      <c r="H2985" t="s">
        <v>298</v>
      </c>
      <c r="I2985">
        <v>0</v>
      </c>
      <c r="J2985">
        <v>0</v>
      </c>
      <c r="K2985">
        <v>0</v>
      </c>
      <c r="L2985">
        <v>0</v>
      </c>
      <c r="M2985">
        <v>0.35</v>
      </c>
      <c r="N2985" s="7" t="e">
        <f>VLOOKUP(F2985,HC!A$6:D$100,3,FALSE)</f>
        <v>#N/A</v>
      </c>
      <c r="O2985" s="7" t="str">
        <f>VLOOKUP(F2985,HC!A$6:D$1000,2,FALSE)</f>
        <v>xcathurt</v>
      </c>
      <c r="P2985" t="s">
        <v>662</v>
      </c>
      <c r="Q2985" t="s">
        <v>766</v>
      </c>
      <c r="U2985">
        <f t="shared" si="48"/>
        <v>124</v>
      </c>
    </row>
    <row r="2986" spans="1:21" ht="37.5" customHeight="1" x14ac:dyDescent="0.25">
      <c r="A2986" s="39">
        <v>45175</v>
      </c>
      <c r="B2986" s="13">
        <v>36</v>
      </c>
      <c r="C2986" t="s">
        <v>3</v>
      </c>
      <c r="D2986" t="s">
        <v>4</v>
      </c>
      <c r="E2986" t="s">
        <v>5</v>
      </c>
      <c r="F2986">
        <v>200574655</v>
      </c>
      <c r="G2986" t="s">
        <v>630</v>
      </c>
      <c r="H2986" t="s">
        <v>49</v>
      </c>
      <c r="I2986">
        <v>0</v>
      </c>
      <c r="J2986">
        <v>0</v>
      </c>
      <c r="K2986">
        <v>0</v>
      </c>
      <c r="L2986">
        <v>0</v>
      </c>
      <c r="M2986">
        <v>0.17</v>
      </c>
      <c r="N2986" s="7" t="e">
        <f>VLOOKUP(F2986,HC!A$6:D$100,3,FALSE)</f>
        <v>#N/A</v>
      </c>
      <c r="O2986" s="7" t="str">
        <f>VLOOKUP(F2986,HC!A$6:D$1000,2,FALSE)</f>
        <v>dulceami</v>
      </c>
      <c r="R2986" t="s">
        <v>1254</v>
      </c>
      <c r="U2986">
        <f t="shared" si="48"/>
        <v>20</v>
      </c>
    </row>
    <row r="2987" spans="1:21" ht="37.5" customHeight="1" x14ac:dyDescent="0.25">
      <c r="A2987" s="39">
        <v>45175</v>
      </c>
      <c r="B2987" s="13">
        <v>36</v>
      </c>
      <c r="C2987" t="s">
        <v>3</v>
      </c>
      <c r="D2987" t="s">
        <v>4</v>
      </c>
      <c r="E2987" t="s">
        <v>5</v>
      </c>
      <c r="F2987">
        <v>200615883</v>
      </c>
      <c r="G2987" t="s">
        <v>508</v>
      </c>
      <c r="H2987" t="s">
        <v>403</v>
      </c>
      <c r="I2987">
        <v>0</v>
      </c>
      <c r="J2987">
        <v>0</v>
      </c>
      <c r="K2987">
        <v>0</v>
      </c>
      <c r="L2987">
        <v>0</v>
      </c>
      <c r="M2987">
        <v>0.1</v>
      </c>
      <c r="N2987" s="7" t="e">
        <f>VLOOKUP(F2987,HC!A$6:D$100,3,FALSE)</f>
        <v>#N/A</v>
      </c>
      <c r="O2987" s="7" t="e">
        <f>VLOOKUP(F2987,HC!A$6:D$1000,2,FALSE)</f>
        <v>#N/A</v>
      </c>
      <c r="P2987" t="s">
        <v>661</v>
      </c>
      <c r="Q2987" t="s">
        <v>681</v>
      </c>
      <c r="U2987">
        <f t="shared" si="48"/>
        <v>1395</v>
      </c>
    </row>
    <row r="2988" spans="1:21" ht="37.5" customHeight="1" x14ac:dyDescent="0.25">
      <c r="A2988" s="39">
        <v>45175</v>
      </c>
      <c r="B2988" s="13">
        <v>36</v>
      </c>
      <c r="C2988" t="s">
        <v>3</v>
      </c>
      <c r="D2988" t="s">
        <v>4</v>
      </c>
      <c r="E2988" t="s">
        <v>5</v>
      </c>
      <c r="F2988">
        <v>201191390</v>
      </c>
      <c r="G2988" t="s">
        <v>916</v>
      </c>
      <c r="H2988" t="s">
        <v>7</v>
      </c>
      <c r="I2988">
        <v>0</v>
      </c>
      <c r="J2988">
        <v>0</v>
      </c>
      <c r="K2988">
        <v>0</v>
      </c>
      <c r="L2988">
        <v>0</v>
      </c>
      <c r="M2988">
        <v>0.45</v>
      </c>
      <c r="N2988" s="7" t="e">
        <f>VLOOKUP(F2988,HC!A$6:D$100,3,FALSE)</f>
        <v>#N/A</v>
      </c>
      <c r="O2988" s="7" t="str">
        <f>VLOOKUP(F2988,HC!A$6:D$1000,2,FALSE)</f>
        <v>bgajesus</v>
      </c>
      <c r="P2988" t="s">
        <v>664</v>
      </c>
      <c r="R2988" t="s">
        <v>1165</v>
      </c>
      <c r="U2988">
        <f t="shared" si="48"/>
        <v>37</v>
      </c>
    </row>
    <row r="2989" spans="1:21" ht="37.5" customHeight="1" x14ac:dyDescent="0.25">
      <c r="A2989" s="39">
        <v>45175</v>
      </c>
      <c r="B2989" s="13">
        <v>36</v>
      </c>
      <c r="C2989" t="s">
        <v>3</v>
      </c>
      <c r="D2989" t="s">
        <v>4</v>
      </c>
      <c r="E2989" t="s">
        <v>5</v>
      </c>
      <c r="F2989">
        <v>201198922</v>
      </c>
      <c r="G2989" t="s">
        <v>1141</v>
      </c>
      <c r="H2989" t="s">
        <v>403</v>
      </c>
      <c r="I2989">
        <v>0</v>
      </c>
      <c r="J2989">
        <v>0</v>
      </c>
      <c r="K2989">
        <v>0</v>
      </c>
      <c r="L2989">
        <v>0</v>
      </c>
      <c r="M2989">
        <v>0.38</v>
      </c>
      <c r="N2989" s="7" t="e">
        <f>VLOOKUP(F2989,HC!A$6:D$100,3,FALSE)</f>
        <v>#N/A</v>
      </c>
      <c r="O2989" s="7" t="str">
        <f>VLOOKUP(F2989,HC!A$6:D$1000,2,FALSE)</f>
        <v>mendejoy</v>
      </c>
      <c r="P2989" t="s">
        <v>663</v>
      </c>
      <c r="Q2989" t="s">
        <v>692</v>
      </c>
      <c r="U2989">
        <f t="shared" si="48"/>
        <v>14</v>
      </c>
    </row>
    <row r="2990" spans="1:21" ht="37.5" customHeight="1" x14ac:dyDescent="0.25">
      <c r="A2990" s="39">
        <v>45175</v>
      </c>
      <c r="B2990" s="13">
        <v>36</v>
      </c>
      <c r="C2990" t="s">
        <v>3</v>
      </c>
      <c r="D2990" t="s">
        <v>4</v>
      </c>
      <c r="E2990" t="s">
        <v>5</v>
      </c>
      <c r="F2990">
        <v>201223730</v>
      </c>
      <c r="G2990" t="s">
        <v>933</v>
      </c>
      <c r="H2990" t="s">
        <v>49</v>
      </c>
      <c r="I2990">
        <v>0</v>
      </c>
      <c r="J2990">
        <v>0</v>
      </c>
      <c r="K2990">
        <v>0</v>
      </c>
      <c r="L2990">
        <v>0</v>
      </c>
      <c r="M2990">
        <v>0.33</v>
      </c>
      <c r="N2990" s="7" t="e">
        <f>VLOOKUP(F2990,HC!A$6:D$100,3,FALSE)</f>
        <v>#N/A</v>
      </c>
      <c r="O2990" s="7" t="str">
        <f>VLOOKUP(F2990,HC!A$6:D$1000,2,FALSE)</f>
        <v>cesarito</v>
      </c>
      <c r="U2990">
        <f t="shared" si="48"/>
        <v>39</v>
      </c>
    </row>
    <row r="2991" spans="1:21" ht="37.5" customHeight="1" x14ac:dyDescent="0.25">
      <c r="A2991" s="39">
        <v>45175</v>
      </c>
      <c r="B2991" s="13">
        <v>36</v>
      </c>
      <c r="C2991" t="s">
        <v>3</v>
      </c>
      <c r="D2991" t="s">
        <v>4</v>
      </c>
      <c r="E2991" t="s">
        <v>5</v>
      </c>
      <c r="F2991">
        <v>201228411</v>
      </c>
      <c r="G2991" t="s">
        <v>938</v>
      </c>
      <c r="H2991" t="s">
        <v>49</v>
      </c>
      <c r="I2991">
        <v>0</v>
      </c>
      <c r="J2991">
        <v>0</v>
      </c>
      <c r="K2991">
        <v>0</v>
      </c>
      <c r="L2991">
        <v>0</v>
      </c>
      <c r="M2991">
        <v>0.84</v>
      </c>
      <c r="N2991" s="7" t="e">
        <f>VLOOKUP(F2991,HC!A$6:D$100,3,FALSE)</f>
        <v>#N/A</v>
      </c>
      <c r="O2991" s="7" t="str">
        <f>VLOOKUP(F2991,HC!A$6:D$1000,2,FALSE)</f>
        <v>jazmiwhe</v>
      </c>
      <c r="U2991">
        <f t="shared" si="48"/>
        <v>36</v>
      </c>
    </row>
    <row r="2992" spans="1:21" ht="37.5" customHeight="1" x14ac:dyDescent="0.25">
      <c r="A2992" s="39">
        <v>45175</v>
      </c>
      <c r="B2992" s="13">
        <v>36</v>
      </c>
      <c r="C2992" t="s">
        <v>3</v>
      </c>
      <c r="D2992" t="s">
        <v>4</v>
      </c>
      <c r="E2992" t="s">
        <v>5</v>
      </c>
      <c r="F2992">
        <v>201378452</v>
      </c>
      <c r="G2992" t="s">
        <v>1173</v>
      </c>
      <c r="H2992" t="s">
        <v>298</v>
      </c>
      <c r="I2992">
        <v>0</v>
      </c>
      <c r="J2992">
        <v>0</v>
      </c>
      <c r="K2992">
        <v>0</v>
      </c>
      <c r="L2992">
        <v>0</v>
      </c>
      <c r="M2992">
        <v>0.11</v>
      </c>
      <c r="N2992" s="7" t="e">
        <f>VLOOKUP(F2992,HC!A$6:D$100,3,FALSE)</f>
        <v>#N/A</v>
      </c>
      <c r="O2992" s="7" t="str">
        <f>VLOOKUP(F2992,HC!A$6:D$1000,2,FALSE)</f>
        <v>omhperez</v>
      </c>
      <c r="P2992" t="s">
        <v>664</v>
      </c>
      <c r="Q2992" t="s">
        <v>771</v>
      </c>
      <c r="U2992">
        <f t="shared" si="48"/>
        <v>9</v>
      </c>
    </row>
    <row r="2993" spans="1:21" ht="37.5" customHeight="1" x14ac:dyDescent="0.25">
      <c r="A2993" s="39">
        <v>45175</v>
      </c>
      <c r="B2993" s="13">
        <v>36</v>
      </c>
      <c r="C2993" t="s">
        <v>3</v>
      </c>
      <c r="D2993" t="s">
        <v>4</v>
      </c>
      <c r="E2993" t="s">
        <v>5</v>
      </c>
      <c r="F2993">
        <v>201402212</v>
      </c>
      <c r="G2993" t="s">
        <v>1131</v>
      </c>
      <c r="H2993" t="s">
        <v>250</v>
      </c>
      <c r="I2993">
        <v>0</v>
      </c>
      <c r="J2993">
        <v>0</v>
      </c>
      <c r="K2993">
        <v>0</v>
      </c>
      <c r="L2993">
        <v>0</v>
      </c>
      <c r="M2993">
        <v>0.28000000000000003</v>
      </c>
      <c r="N2993" s="7" t="e">
        <f>VLOOKUP(F2993,HC!A$6:D$100,3,FALSE)</f>
        <v>#N/A</v>
      </c>
      <c r="O2993" s="7" t="str">
        <f>VLOOKUP(F2993,HC!A$6:D$1000,2,FALSE)</f>
        <v>karlpadr</v>
      </c>
      <c r="P2993" t="s">
        <v>668</v>
      </c>
      <c r="Q2993" t="s">
        <v>732</v>
      </c>
      <c r="U2993">
        <f t="shared" si="48"/>
        <v>5</v>
      </c>
    </row>
    <row r="2994" spans="1:21" ht="37.5" customHeight="1" x14ac:dyDescent="0.25">
      <c r="A2994" s="39">
        <v>45175</v>
      </c>
      <c r="B2994" s="13">
        <v>36</v>
      </c>
      <c r="C2994" t="s">
        <v>3</v>
      </c>
      <c r="D2994" t="s">
        <v>4</v>
      </c>
      <c r="E2994" t="s">
        <v>21</v>
      </c>
      <c r="F2994">
        <v>201836048</v>
      </c>
      <c r="G2994" t="s">
        <v>1229</v>
      </c>
      <c r="H2994" t="s">
        <v>263</v>
      </c>
      <c r="I2994">
        <v>0</v>
      </c>
      <c r="J2994">
        <v>0</v>
      </c>
      <c r="K2994">
        <v>0</v>
      </c>
      <c r="L2994">
        <v>0</v>
      </c>
      <c r="M2994">
        <v>0.32</v>
      </c>
      <c r="N2994" s="7" t="e">
        <f>VLOOKUP(F2994,HC!A$6:D$100,3,FALSE)</f>
        <v>#N/A</v>
      </c>
      <c r="O2994" s="7" t="e">
        <f>VLOOKUP(F2994,HC!A$6:D$1000,2,FALSE)</f>
        <v>#N/A</v>
      </c>
      <c r="P2994" t="s">
        <v>662</v>
      </c>
      <c r="Q2994" t="s">
        <v>757</v>
      </c>
      <c r="U2994">
        <f t="shared" si="48"/>
        <v>1395</v>
      </c>
    </row>
    <row r="2995" spans="1:21" ht="37.5" customHeight="1" x14ac:dyDescent="0.25">
      <c r="A2995" s="39">
        <v>45175</v>
      </c>
      <c r="B2995" s="13">
        <v>36</v>
      </c>
      <c r="C2995" t="s">
        <v>3</v>
      </c>
      <c r="D2995" t="s">
        <v>4</v>
      </c>
      <c r="E2995" t="s">
        <v>21</v>
      </c>
      <c r="F2995">
        <v>201880542</v>
      </c>
      <c r="G2995" t="s">
        <v>1225</v>
      </c>
      <c r="H2995" t="s">
        <v>298</v>
      </c>
      <c r="I2995">
        <v>0</v>
      </c>
      <c r="J2995">
        <v>0</v>
      </c>
      <c r="K2995">
        <v>0</v>
      </c>
      <c r="L2995">
        <v>0</v>
      </c>
      <c r="M2995">
        <v>0.21</v>
      </c>
      <c r="N2995" s="7" t="e">
        <f>VLOOKUP(F2995,HC!A$6:D$100,3,FALSE)</f>
        <v>#N/A</v>
      </c>
      <c r="O2995" s="7" t="str">
        <f>VLOOKUP(F2995,HC!A$6:D$1000,2,FALSE)</f>
        <v>orticorp</v>
      </c>
      <c r="P2995" t="s">
        <v>664</v>
      </c>
      <c r="Q2995" t="s">
        <v>716</v>
      </c>
      <c r="U2995">
        <f t="shared" si="48"/>
        <v>24</v>
      </c>
    </row>
    <row r="2996" spans="1:21" ht="37.5" customHeight="1" x14ac:dyDescent="0.25">
      <c r="A2996" s="39">
        <v>45175</v>
      </c>
      <c r="B2996" s="13">
        <v>36</v>
      </c>
      <c r="C2996" t="s">
        <v>3</v>
      </c>
      <c r="D2996" t="s">
        <v>4</v>
      </c>
      <c r="E2996" t="s">
        <v>21</v>
      </c>
      <c r="F2996">
        <v>201891076</v>
      </c>
      <c r="G2996" t="s">
        <v>1226</v>
      </c>
      <c r="H2996" t="s">
        <v>298</v>
      </c>
      <c r="I2996">
        <v>0</v>
      </c>
      <c r="J2996">
        <v>0</v>
      </c>
      <c r="K2996">
        <v>0</v>
      </c>
      <c r="L2996">
        <v>0</v>
      </c>
      <c r="M2996">
        <v>0.61</v>
      </c>
      <c r="N2996" s="7" t="e">
        <f>VLOOKUP(F2996,HC!A$6:D$100,3,FALSE)</f>
        <v>#N/A</v>
      </c>
      <c r="O2996" s="7" t="str">
        <f>VLOOKUP(F2996,HC!A$6:D$1000,2,FALSE)</f>
        <v>marmolve</v>
      </c>
      <c r="P2996" t="s">
        <v>661</v>
      </c>
      <c r="Q2996" t="s">
        <v>681</v>
      </c>
      <c r="U2996">
        <f t="shared" si="48"/>
        <v>9</v>
      </c>
    </row>
    <row r="2997" spans="1:21" ht="37.5" customHeight="1" x14ac:dyDescent="0.25">
      <c r="A2997" s="39">
        <v>45176</v>
      </c>
      <c r="B2997" s="13">
        <v>36</v>
      </c>
      <c r="C2997" t="s">
        <v>3</v>
      </c>
      <c r="D2997" t="s">
        <v>4</v>
      </c>
      <c r="E2997" t="s">
        <v>5</v>
      </c>
      <c r="F2997">
        <v>112920638</v>
      </c>
      <c r="G2997" t="s">
        <v>1247</v>
      </c>
      <c r="H2997" t="s">
        <v>47</v>
      </c>
      <c r="I2997">
        <v>0</v>
      </c>
      <c r="J2997">
        <v>0</v>
      </c>
      <c r="K2997">
        <v>0</v>
      </c>
      <c r="L2997">
        <v>0</v>
      </c>
      <c r="M2997">
        <v>1.29</v>
      </c>
      <c r="N2997" s="7" t="str">
        <f>VLOOKUP(F2997,HC!A$6:D$100,3,FALSE)</f>
        <v>DB-X0700</v>
      </c>
      <c r="O2997" s="7" t="str">
        <f>VLOOKUP(F2997,HC!A$6:D$1000,2,FALSE)</f>
        <v>aguirrnj</v>
      </c>
      <c r="U2997">
        <f t="shared" si="48"/>
        <v>1</v>
      </c>
    </row>
    <row r="2998" spans="1:21" ht="37.5" customHeight="1" x14ac:dyDescent="0.25">
      <c r="A2998" s="39">
        <v>45176</v>
      </c>
      <c r="B2998" s="13">
        <v>36</v>
      </c>
      <c r="C2998" t="s">
        <v>3</v>
      </c>
      <c r="D2998" t="s">
        <v>4</v>
      </c>
      <c r="E2998" t="s">
        <v>5</v>
      </c>
      <c r="F2998">
        <v>112973049</v>
      </c>
      <c r="G2998" t="s">
        <v>314</v>
      </c>
      <c r="H2998" t="s">
        <v>285</v>
      </c>
      <c r="I2998">
        <v>0</v>
      </c>
      <c r="J2998">
        <v>0</v>
      </c>
      <c r="K2998">
        <v>0</v>
      </c>
      <c r="L2998">
        <v>0</v>
      </c>
      <c r="M2998">
        <v>1.2</v>
      </c>
      <c r="N2998" s="7" t="str">
        <f>VLOOKUP(F2998,HC!A$6:D$100,3,FALSE)</f>
        <v>DB-X0700</v>
      </c>
      <c r="O2998" s="7" t="str">
        <f>VLOOKUP(F2998,HC!A$6:D$1000,2,FALSE)</f>
        <v>afatimae</v>
      </c>
      <c r="U2998">
        <f t="shared" si="48"/>
        <v>29</v>
      </c>
    </row>
    <row r="2999" spans="1:21" ht="37.5" customHeight="1" x14ac:dyDescent="0.25">
      <c r="A2999" s="39">
        <v>45176</v>
      </c>
      <c r="B2999" s="13">
        <v>36</v>
      </c>
      <c r="C2999" t="s">
        <v>3</v>
      </c>
      <c r="D2999" t="s">
        <v>4</v>
      </c>
      <c r="E2999" t="s">
        <v>5</v>
      </c>
      <c r="F2999">
        <v>113003656</v>
      </c>
      <c r="G2999" t="s">
        <v>297</v>
      </c>
      <c r="H2999" t="s">
        <v>403</v>
      </c>
      <c r="I2999">
        <v>0</v>
      </c>
      <c r="J2999">
        <v>0</v>
      </c>
      <c r="K2999">
        <v>0</v>
      </c>
      <c r="L2999">
        <v>0</v>
      </c>
      <c r="M2999">
        <v>0.08</v>
      </c>
      <c r="N2999" s="7" t="e">
        <f>VLOOKUP(F2999,HC!A$6:D$100,3,FALSE)</f>
        <v>#N/A</v>
      </c>
      <c r="O2999" s="7" t="str">
        <f>VLOOKUP(F2999,HC!A$6:D$1000,2,FALSE)</f>
        <v>uargoten</v>
      </c>
      <c r="U2999">
        <f t="shared" si="48"/>
        <v>8</v>
      </c>
    </row>
    <row r="3000" spans="1:21" ht="37.5" customHeight="1" x14ac:dyDescent="0.25">
      <c r="A3000" s="39">
        <v>45176</v>
      </c>
      <c r="B3000" s="13">
        <v>36</v>
      </c>
      <c r="C3000" t="s">
        <v>3</v>
      </c>
      <c r="D3000" t="s">
        <v>4</v>
      </c>
      <c r="E3000" t="s">
        <v>5</v>
      </c>
      <c r="F3000">
        <v>113020476</v>
      </c>
      <c r="G3000" t="s">
        <v>330</v>
      </c>
      <c r="H3000" t="s">
        <v>7</v>
      </c>
      <c r="I3000">
        <v>0</v>
      </c>
      <c r="J3000">
        <v>0</v>
      </c>
      <c r="K3000">
        <v>0</v>
      </c>
      <c r="L3000">
        <v>0</v>
      </c>
      <c r="M3000">
        <v>0.44</v>
      </c>
      <c r="N3000" s="7" t="e">
        <f>VLOOKUP(F3000,HC!A$6:D$100,3,FALSE)</f>
        <v>#N/A</v>
      </c>
      <c r="O3000" s="7" t="str">
        <f>VLOOKUP(F3000,HC!A$6:D$1000,2,FALSE)</f>
        <v>polettpu</v>
      </c>
      <c r="U3000">
        <f t="shared" si="48"/>
        <v>55</v>
      </c>
    </row>
    <row r="3001" spans="1:21" ht="37.5" customHeight="1" x14ac:dyDescent="0.25">
      <c r="A3001" s="39">
        <v>45176</v>
      </c>
      <c r="B3001" s="13">
        <v>36</v>
      </c>
      <c r="C3001" t="s">
        <v>3</v>
      </c>
      <c r="D3001" t="s">
        <v>4</v>
      </c>
      <c r="E3001" t="s">
        <v>5</v>
      </c>
      <c r="F3001">
        <v>113044763</v>
      </c>
      <c r="G3001" t="s">
        <v>553</v>
      </c>
      <c r="H3001" t="s">
        <v>403</v>
      </c>
      <c r="I3001">
        <v>0</v>
      </c>
      <c r="J3001">
        <v>0</v>
      </c>
      <c r="K3001">
        <v>0</v>
      </c>
      <c r="L3001">
        <v>0</v>
      </c>
      <c r="M3001">
        <v>0.16</v>
      </c>
      <c r="N3001" s="7" t="e">
        <f>VLOOKUP(F3001,HC!A$6:D$100,3,FALSE)</f>
        <v>#N/A</v>
      </c>
      <c r="O3001" s="7" t="str">
        <f>VLOOKUP(F3001,HC!A$6:D$1000,2,FALSE)</f>
        <v>urbistep</v>
      </c>
      <c r="U3001">
        <f t="shared" si="48"/>
        <v>6</v>
      </c>
    </row>
    <row r="3002" spans="1:21" ht="37.5" customHeight="1" x14ac:dyDescent="0.25">
      <c r="A3002" s="39">
        <v>45176</v>
      </c>
      <c r="B3002" s="13">
        <v>36</v>
      </c>
      <c r="C3002" t="s">
        <v>3</v>
      </c>
      <c r="D3002" t="s">
        <v>4</v>
      </c>
      <c r="E3002" t="s">
        <v>5</v>
      </c>
      <c r="F3002">
        <v>201162477</v>
      </c>
      <c r="G3002" t="s">
        <v>1244</v>
      </c>
      <c r="H3002" t="s">
        <v>285</v>
      </c>
      <c r="I3002">
        <v>0</v>
      </c>
      <c r="J3002">
        <v>0</v>
      </c>
      <c r="K3002">
        <v>0</v>
      </c>
      <c r="L3002">
        <v>0</v>
      </c>
      <c r="M3002">
        <v>0.09</v>
      </c>
      <c r="N3002" s="7" t="e">
        <f>VLOOKUP(F3002,HC!A$6:D$100,3,FALSE)</f>
        <v>#N/A</v>
      </c>
      <c r="O3002" s="7" t="str">
        <f>VLOOKUP(F3002,HC!A$6:D$1000,2,FALSE)</f>
        <v>victonay</v>
      </c>
      <c r="U3002">
        <f t="shared" si="48"/>
        <v>4</v>
      </c>
    </row>
    <row r="3003" spans="1:21" ht="37.5" customHeight="1" x14ac:dyDescent="0.25">
      <c r="A3003" s="39">
        <v>45176</v>
      </c>
      <c r="B3003" s="13">
        <v>36</v>
      </c>
      <c r="C3003" t="s">
        <v>3</v>
      </c>
      <c r="D3003" t="s">
        <v>4</v>
      </c>
      <c r="E3003" t="s">
        <v>5</v>
      </c>
      <c r="F3003">
        <v>201191198</v>
      </c>
      <c r="G3003" t="s">
        <v>974</v>
      </c>
      <c r="H3003" t="s">
        <v>17</v>
      </c>
      <c r="I3003">
        <v>0</v>
      </c>
      <c r="J3003">
        <v>0</v>
      </c>
      <c r="K3003">
        <v>0</v>
      </c>
      <c r="L3003">
        <v>0</v>
      </c>
      <c r="M3003">
        <v>0.1</v>
      </c>
      <c r="N3003" s="7" t="e">
        <f>VLOOKUP(F3003,HC!A$6:D$100,3,FALSE)</f>
        <v>#N/A</v>
      </c>
      <c r="O3003" s="7" t="str">
        <f>VLOOKUP(F3003,HC!A$6:D$1000,2,FALSE)</f>
        <v>mojicemm</v>
      </c>
      <c r="U3003">
        <f t="shared" si="48"/>
        <v>24</v>
      </c>
    </row>
    <row r="3004" spans="1:21" ht="37.5" customHeight="1" x14ac:dyDescent="0.25">
      <c r="A3004" s="39">
        <v>45176</v>
      </c>
      <c r="B3004" s="13">
        <v>36</v>
      </c>
      <c r="C3004" t="s">
        <v>3</v>
      </c>
      <c r="D3004" t="s">
        <v>4</v>
      </c>
      <c r="E3004" t="s">
        <v>5</v>
      </c>
      <c r="F3004">
        <v>201223730</v>
      </c>
      <c r="G3004" t="s">
        <v>933</v>
      </c>
      <c r="H3004" t="s">
        <v>49</v>
      </c>
      <c r="I3004">
        <v>0</v>
      </c>
      <c r="J3004">
        <v>0</v>
      </c>
      <c r="K3004">
        <v>0</v>
      </c>
      <c r="L3004">
        <v>0</v>
      </c>
      <c r="M3004">
        <v>1.3</v>
      </c>
      <c r="N3004" s="7" t="e">
        <f>VLOOKUP(F3004,HC!A$6:D$100,3,FALSE)</f>
        <v>#N/A</v>
      </c>
      <c r="O3004" s="7" t="str">
        <f>VLOOKUP(F3004,HC!A$6:D$1000,2,FALSE)</f>
        <v>cesarito</v>
      </c>
      <c r="U3004">
        <f t="shared" si="48"/>
        <v>39</v>
      </c>
    </row>
    <row r="3005" spans="1:21" ht="37.5" customHeight="1" x14ac:dyDescent="0.25">
      <c r="A3005" s="39">
        <v>45176</v>
      </c>
      <c r="B3005" s="13">
        <v>36</v>
      </c>
      <c r="C3005" t="s">
        <v>3</v>
      </c>
      <c r="D3005" t="s">
        <v>4</v>
      </c>
      <c r="E3005" t="s">
        <v>5</v>
      </c>
      <c r="F3005">
        <v>201228411</v>
      </c>
      <c r="G3005" t="s">
        <v>938</v>
      </c>
      <c r="H3005" t="s">
        <v>49</v>
      </c>
      <c r="I3005">
        <v>0</v>
      </c>
      <c r="J3005">
        <v>0</v>
      </c>
      <c r="K3005">
        <v>0</v>
      </c>
      <c r="L3005">
        <v>0</v>
      </c>
      <c r="M3005">
        <v>1.28</v>
      </c>
      <c r="N3005" s="7" t="e">
        <f>VLOOKUP(F3005,HC!A$6:D$100,3,FALSE)</f>
        <v>#N/A</v>
      </c>
      <c r="O3005" s="7" t="str">
        <f>VLOOKUP(F3005,HC!A$6:D$1000,2,FALSE)</f>
        <v>jazmiwhe</v>
      </c>
      <c r="U3005">
        <f t="shared" si="48"/>
        <v>36</v>
      </c>
    </row>
    <row r="3006" spans="1:21" ht="37.5" customHeight="1" x14ac:dyDescent="0.25">
      <c r="A3006" s="39">
        <v>45176</v>
      </c>
      <c r="B3006" s="13">
        <v>36</v>
      </c>
      <c r="C3006" t="s">
        <v>3</v>
      </c>
      <c r="D3006" t="s">
        <v>4</v>
      </c>
      <c r="E3006" t="s">
        <v>5</v>
      </c>
      <c r="F3006">
        <v>201294789</v>
      </c>
      <c r="G3006" t="s">
        <v>1240</v>
      </c>
      <c r="H3006" t="s">
        <v>49</v>
      </c>
      <c r="I3006">
        <v>0</v>
      </c>
      <c r="J3006">
        <v>0</v>
      </c>
      <c r="K3006">
        <v>0</v>
      </c>
      <c r="L3006">
        <v>0</v>
      </c>
      <c r="M3006">
        <v>0.21</v>
      </c>
      <c r="N3006" s="7" t="e">
        <f>VLOOKUP(F3006,HC!A$6:D$100,3,FALSE)</f>
        <v>#N/A</v>
      </c>
      <c r="O3006" s="7" t="str">
        <f>VLOOKUP(F3006,HC!A$6:D$1000,2,FALSE)</f>
        <v>hortluz</v>
      </c>
      <c r="U3006">
        <f t="shared" si="48"/>
        <v>2</v>
      </c>
    </row>
    <row r="3007" spans="1:21" ht="37.5" customHeight="1" x14ac:dyDescent="0.25">
      <c r="A3007" s="39">
        <v>45176</v>
      </c>
      <c r="B3007" s="13">
        <v>36</v>
      </c>
      <c r="C3007" t="s">
        <v>3</v>
      </c>
      <c r="D3007" t="s">
        <v>4</v>
      </c>
      <c r="E3007" t="s">
        <v>21</v>
      </c>
      <c r="F3007">
        <v>201408478</v>
      </c>
      <c r="G3007" t="s">
        <v>1110</v>
      </c>
      <c r="H3007" t="s">
        <v>7</v>
      </c>
      <c r="I3007">
        <v>0</v>
      </c>
      <c r="J3007">
        <v>0</v>
      </c>
      <c r="K3007">
        <v>0</v>
      </c>
      <c r="L3007">
        <v>0</v>
      </c>
      <c r="M3007">
        <v>0.36</v>
      </c>
      <c r="N3007" s="7" t="e">
        <f>VLOOKUP(F3007,HC!A$6:D$100,3,FALSE)</f>
        <v>#N/A</v>
      </c>
      <c r="O3007" s="7" t="str">
        <f>VLOOKUP(F3007,HC!A$6:D$1000,2,FALSE)</f>
        <v>dacaldey</v>
      </c>
      <c r="U3007">
        <f t="shared" si="48"/>
        <v>12</v>
      </c>
    </row>
    <row r="3008" spans="1:21" ht="37.5" customHeight="1" x14ac:dyDescent="0.25">
      <c r="A3008" s="39">
        <v>45176</v>
      </c>
      <c r="B3008" s="13">
        <v>36</v>
      </c>
      <c r="C3008" t="s">
        <v>3</v>
      </c>
      <c r="D3008" t="s">
        <v>4</v>
      </c>
      <c r="E3008" t="s">
        <v>21</v>
      </c>
      <c r="F3008">
        <v>201836048</v>
      </c>
      <c r="G3008" t="s">
        <v>1229</v>
      </c>
      <c r="H3008" t="s">
        <v>263</v>
      </c>
      <c r="I3008">
        <v>0</v>
      </c>
      <c r="J3008">
        <v>0</v>
      </c>
      <c r="K3008">
        <v>0</v>
      </c>
      <c r="L3008">
        <v>0</v>
      </c>
      <c r="M3008">
        <v>1.1499999999999999</v>
      </c>
      <c r="N3008" s="7" t="e">
        <f>VLOOKUP(F3008,HC!A$6:D$100,3,FALSE)</f>
        <v>#N/A</v>
      </c>
      <c r="O3008" s="7" t="e">
        <f>VLOOKUP(F3008,HC!A$6:D$1000,2,FALSE)</f>
        <v>#N/A</v>
      </c>
      <c r="U3008">
        <f t="shared" si="48"/>
        <v>1395</v>
      </c>
    </row>
    <row r="3009" spans="1:21" ht="37.5" customHeight="1" x14ac:dyDescent="0.25">
      <c r="A3009" s="39">
        <v>45176</v>
      </c>
      <c r="B3009" s="13">
        <v>36</v>
      </c>
      <c r="C3009" t="s">
        <v>3</v>
      </c>
      <c r="D3009" t="s">
        <v>4</v>
      </c>
      <c r="E3009" t="s">
        <v>21</v>
      </c>
      <c r="F3009">
        <v>201841804</v>
      </c>
      <c r="G3009" t="s">
        <v>1214</v>
      </c>
      <c r="H3009" t="s">
        <v>17</v>
      </c>
      <c r="I3009">
        <v>0</v>
      </c>
      <c r="J3009">
        <v>0</v>
      </c>
      <c r="K3009">
        <v>0</v>
      </c>
      <c r="L3009">
        <v>0</v>
      </c>
      <c r="M3009">
        <v>0.22</v>
      </c>
      <c r="N3009" s="7" t="e">
        <f>VLOOKUP(F3009,HC!A$6:D$100,3,FALSE)</f>
        <v>#N/A</v>
      </c>
      <c r="O3009" s="7" t="str">
        <f>VLOOKUP(F3009,HC!A$6:D$1000,2,FALSE)</f>
        <v>ruizhmic</v>
      </c>
      <c r="U3009">
        <f t="shared" si="48"/>
        <v>8</v>
      </c>
    </row>
    <row r="3010" spans="1:21" ht="37.5" customHeight="1" x14ac:dyDescent="0.25">
      <c r="A3010" s="39">
        <v>45176</v>
      </c>
      <c r="B3010" s="13">
        <v>36</v>
      </c>
      <c r="C3010" t="s">
        <v>3</v>
      </c>
      <c r="D3010" t="s">
        <v>4</v>
      </c>
      <c r="E3010" t="s">
        <v>21</v>
      </c>
      <c r="F3010">
        <v>201847940</v>
      </c>
      <c r="G3010" t="s">
        <v>1248</v>
      </c>
      <c r="H3010" t="s">
        <v>17</v>
      </c>
      <c r="I3010">
        <v>0</v>
      </c>
      <c r="J3010">
        <v>0</v>
      </c>
      <c r="K3010">
        <v>0</v>
      </c>
      <c r="L3010">
        <v>0</v>
      </c>
      <c r="M3010">
        <v>0.9</v>
      </c>
      <c r="N3010" s="7" t="e">
        <f>VLOOKUP(F3010,HC!A$6:D$100,3,FALSE)</f>
        <v>#N/A</v>
      </c>
      <c r="O3010" s="7" t="e">
        <f>VLOOKUP(F3010,HC!A$6:D$1000,2,FALSE)</f>
        <v>#N/A</v>
      </c>
      <c r="U3010">
        <f t="shared" si="48"/>
        <v>1395</v>
      </c>
    </row>
    <row r="3011" spans="1:21" ht="37.5" customHeight="1" x14ac:dyDescent="0.25">
      <c r="A3011" s="39">
        <v>45176</v>
      </c>
      <c r="B3011" s="13">
        <v>36</v>
      </c>
      <c r="C3011" t="s">
        <v>3</v>
      </c>
      <c r="D3011" t="s">
        <v>4</v>
      </c>
      <c r="E3011" t="s">
        <v>21</v>
      </c>
      <c r="F3011">
        <v>201902769</v>
      </c>
      <c r="G3011" t="s">
        <v>1232</v>
      </c>
      <c r="H3011" t="s">
        <v>7</v>
      </c>
      <c r="I3011">
        <v>0</v>
      </c>
      <c r="J3011">
        <v>0</v>
      </c>
      <c r="K3011">
        <v>0</v>
      </c>
      <c r="L3011">
        <v>0</v>
      </c>
      <c r="M3011">
        <v>0.28000000000000003</v>
      </c>
      <c r="N3011" s="7" t="e">
        <f>VLOOKUP(F3011,HC!A$6:D$100,3,FALSE)</f>
        <v>#N/A</v>
      </c>
      <c r="O3011" s="7" t="e">
        <f>VLOOKUP(F3011,HC!A$6:D$1000,2,FALSE)</f>
        <v>#N/A</v>
      </c>
      <c r="U3011">
        <f t="shared" ref="U3011:U3074" si="49">COUNTIF(O$2:O$4999,O3011)</f>
        <v>1395</v>
      </c>
    </row>
    <row r="3012" spans="1:21" ht="37.5" customHeight="1" x14ac:dyDescent="0.25">
      <c r="A3012" s="39">
        <v>45176</v>
      </c>
      <c r="B3012" s="13">
        <v>36</v>
      </c>
      <c r="C3012" t="s">
        <v>3</v>
      </c>
      <c r="D3012" t="s">
        <v>4</v>
      </c>
      <c r="E3012" t="s">
        <v>21</v>
      </c>
      <c r="F3012">
        <v>201906503</v>
      </c>
      <c r="G3012" t="s">
        <v>1228</v>
      </c>
      <c r="H3012" t="s">
        <v>47</v>
      </c>
      <c r="I3012">
        <v>0</v>
      </c>
      <c r="J3012">
        <v>0</v>
      </c>
      <c r="K3012">
        <v>0</v>
      </c>
      <c r="L3012">
        <v>0</v>
      </c>
      <c r="M3012">
        <v>0.26</v>
      </c>
      <c r="N3012" s="7" t="e">
        <f>VLOOKUP(F3012,HC!A$6:D$100,3,FALSE)</f>
        <v>#N/A</v>
      </c>
      <c r="O3012" s="7" t="str">
        <f>VLOOKUP(F3012,HC!A$6:D$1000,2,FALSE)</f>
        <v>mqjennif</v>
      </c>
      <c r="U3012">
        <f t="shared" si="49"/>
        <v>11</v>
      </c>
    </row>
    <row r="3013" spans="1:21" ht="37.5" customHeight="1" x14ac:dyDescent="0.25">
      <c r="A3013" s="39">
        <v>45176</v>
      </c>
      <c r="B3013" s="13">
        <v>36</v>
      </c>
      <c r="C3013" t="s">
        <v>3</v>
      </c>
      <c r="D3013" t="s">
        <v>4</v>
      </c>
      <c r="E3013" t="s">
        <v>21</v>
      </c>
      <c r="F3013">
        <v>201908189</v>
      </c>
      <c r="G3013" t="s">
        <v>1230</v>
      </c>
      <c r="H3013" t="s">
        <v>17</v>
      </c>
      <c r="I3013">
        <v>0</v>
      </c>
      <c r="J3013">
        <v>0</v>
      </c>
      <c r="K3013">
        <v>0</v>
      </c>
      <c r="L3013">
        <v>0</v>
      </c>
      <c r="M3013">
        <v>0.17</v>
      </c>
      <c r="N3013" s="7" t="e">
        <f>VLOOKUP(F3013,HC!A$6:D$100,3,FALSE)</f>
        <v>#N/A</v>
      </c>
      <c r="O3013" s="7" t="str">
        <f>VLOOKUP(F3013,HC!A$6:D$1000,2,FALSE)</f>
        <v>cmartif</v>
      </c>
      <c r="U3013">
        <f t="shared" si="49"/>
        <v>7</v>
      </c>
    </row>
    <row r="3014" spans="1:21" ht="37.5" customHeight="1" x14ac:dyDescent="0.25">
      <c r="A3014" s="39">
        <v>45177</v>
      </c>
      <c r="B3014" s="13">
        <v>36</v>
      </c>
      <c r="C3014" t="s">
        <v>3</v>
      </c>
      <c r="D3014" t="s">
        <v>4</v>
      </c>
      <c r="E3014" t="s">
        <v>5</v>
      </c>
      <c r="F3014">
        <v>112920654</v>
      </c>
      <c r="G3014" t="s">
        <v>500</v>
      </c>
      <c r="H3014" t="s">
        <v>14</v>
      </c>
      <c r="I3014">
        <v>0</v>
      </c>
      <c r="J3014">
        <v>0</v>
      </c>
      <c r="K3014">
        <v>0</v>
      </c>
      <c r="L3014">
        <v>0</v>
      </c>
      <c r="M3014">
        <v>0.15</v>
      </c>
      <c r="N3014" s="7" t="str">
        <f>VLOOKUP(F3014,HC!A$6:D$100,3,FALSE)</f>
        <v>DB-X0700</v>
      </c>
      <c r="O3014" s="7" t="str">
        <f>VLOOKUP(F3014,HC!A$6:D$1000,2,FALSE)</f>
        <v>qhojulie</v>
      </c>
      <c r="U3014">
        <f t="shared" si="49"/>
        <v>16</v>
      </c>
    </row>
    <row r="3015" spans="1:21" ht="37.5" customHeight="1" x14ac:dyDescent="0.25">
      <c r="A3015" s="39">
        <v>45177</v>
      </c>
      <c r="B3015" s="13">
        <v>36</v>
      </c>
      <c r="C3015" t="s">
        <v>3</v>
      </c>
      <c r="D3015" t="s">
        <v>4</v>
      </c>
      <c r="E3015" t="s">
        <v>5</v>
      </c>
      <c r="F3015">
        <v>112950784</v>
      </c>
      <c r="G3015" t="s">
        <v>261</v>
      </c>
      <c r="H3015" t="s">
        <v>282</v>
      </c>
      <c r="I3015">
        <v>0</v>
      </c>
      <c r="J3015">
        <v>0</v>
      </c>
      <c r="K3015">
        <v>0</v>
      </c>
      <c r="L3015">
        <v>0</v>
      </c>
      <c r="M3015">
        <v>0.14000000000000001</v>
      </c>
      <c r="N3015" s="7" t="str">
        <f>VLOOKUP(F3015,HC!A$6:D$100,3,FALSE)</f>
        <v>NF-X1900</v>
      </c>
      <c r="O3015" s="7" t="str">
        <f>VLOOKUP(F3015,HC!A$6:D$1000,2,FALSE)</f>
        <v>sarojast</v>
      </c>
      <c r="U3015">
        <f t="shared" si="49"/>
        <v>33</v>
      </c>
    </row>
    <row r="3016" spans="1:21" ht="37.5" customHeight="1" x14ac:dyDescent="0.25">
      <c r="A3016" s="39">
        <v>45177</v>
      </c>
      <c r="B3016" s="13">
        <v>36</v>
      </c>
      <c r="C3016" t="s">
        <v>3</v>
      </c>
      <c r="D3016" t="s">
        <v>4</v>
      </c>
      <c r="E3016" t="s">
        <v>5</v>
      </c>
      <c r="F3016">
        <v>112972215</v>
      </c>
      <c r="G3016" t="s">
        <v>984</v>
      </c>
      <c r="H3016" t="s">
        <v>263</v>
      </c>
      <c r="I3016">
        <v>0</v>
      </c>
      <c r="J3016">
        <v>0</v>
      </c>
      <c r="K3016">
        <v>0</v>
      </c>
      <c r="L3016">
        <v>0</v>
      </c>
      <c r="M3016">
        <v>0.48</v>
      </c>
      <c r="N3016" s="7" t="str">
        <f>VLOOKUP(F3016,HC!A$6:D$100,3,FALSE)</f>
        <v>DB-X0700</v>
      </c>
      <c r="O3016" s="7" t="str">
        <f>VLOOKUP(F3016,HC!A$6:D$1000,2,FALSE)</f>
        <v>cruzbana</v>
      </c>
      <c r="U3016">
        <f t="shared" si="49"/>
        <v>16</v>
      </c>
    </row>
    <row r="3017" spans="1:21" ht="37.5" customHeight="1" x14ac:dyDescent="0.25">
      <c r="A3017" s="39">
        <v>45177</v>
      </c>
      <c r="B3017" s="13">
        <v>36</v>
      </c>
      <c r="C3017" t="s">
        <v>3</v>
      </c>
      <c r="D3017" t="s">
        <v>4</v>
      </c>
      <c r="E3017" t="s">
        <v>5</v>
      </c>
      <c r="F3017">
        <v>112973049</v>
      </c>
      <c r="G3017" t="s">
        <v>314</v>
      </c>
      <c r="H3017" t="s">
        <v>285</v>
      </c>
      <c r="I3017">
        <v>0</v>
      </c>
      <c r="J3017">
        <v>0</v>
      </c>
      <c r="K3017">
        <v>0</v>
      </c>
      <c r="L3017">
        <v>0</v>
      </c>
      <c r="M3017">
        <v>1</v>
      </c>
      <c r="N3017" s="7" t="str">
        <f>VLOOKUP(F3017,HC!A$6:D$100,3,FALSE)</f>
        <v>DB-X0700</v>
      </c>
      <c r="O3017" s="7" t="str">
        <f>VLOOKUP(F3017,HC!A$6:D$1000,2,FALSE)</f>
        <v>afatimae</v>
      </c>
      <c r="U3017">
        <f t="shared" si="49"/>
        <v>29</v>
      </c>
    </row>
    <row r="3018" spans="1:21" ht="37.5" customHeight="1" x14ac:dyDescent="0.25">
      <c r="A3018" s="39">
        <v>45177</v>
      </c>
      <c r="B3018" s="13">
        <v>36</v>
      </c>
      <c r="C3018" t="s">
        <v>3</v>
      </c>
      <c r="D3018" t="s">
        <v>4</v>
      </c>
      <c r="E3018" t="s">
        <v>21</v>
      </c>
      <c r="F3018">
        <v>113003619</v>
      </c>
      <c r="G3018" t="s">
        <v>1237</v>
      </c>
      <c r="H3018" t="s">
        <v>7</v>
      </c>
      <c r="I3018">
        <v>0</v>
      </c>
      <c r="J3018">
        <v>0</v>
      </c>
      <c r="K3018">
        <v>0</v>
      </c>
      <c r="L3018">
        <v>0</v>
      </c>
      <c r="M3018">
        <v>0.19</v>
      </c>
      <c r="N3018" s="7" t="e">
        <f>VLOOKUP(F3018,HC!A$6:D$100,3,FALSE)</f>
        <v>#N/A</v>
      </c>
      <c r="O3018" s="7" t="e">
        <f>VLOOKUP(F3018,HC!A$6:D$1000,2,FALSE)</f>
        <v>#N/A</v>
      </c>
      <c r="U3018">
        <f t="shared" si="49"/>
        <v>1395</v>
      </c>
    </row>
    <row r="3019" spans="1:21" ht="37.5" customHeight="1" x14ac:dyDescent="0.25">
      <c r="A3019" s="39">
        <v>45177</v>
      </c>
      <c r="B3019" s="13">
        <v>36</v>
      </c>
      <c r="C3019" t="s">
        <v>3</v>
      </c>
      <c r="D3019" t="s">
        <v>4</v>
      </c>
      <c r="E3019" t="s">
        <v>5</v>
      </c>
      <c r="F3019">
        <v>113019031</v>
      </c>
      <c r="G3019" t="s">
        <v>1233</v>
      </c>
      <c r="H3019" t="s">
        <v>44</v>
      </c>
      <c r="I3019">
        <v>0</v>
      </c>
      <c r="J3019">
        <v>0</v>
      </c>
      <c r="K3019">
        <v>0</v>
      </c>
      <c r="L3019">
        <v>0</v>
      </c>
      <c r="M3019">
        <v>0.1</v>
      </c>
      <c r="N3019" s="7" t="e">
        <f>VLOOKUP(F3019,HC!A$6:D$100,3,FALSE)</f>
        <v>#N/A</v>
      </c>
      <c r="O3019" s="7" t="str">
        <f>VLOOKUP(F3019,HC!A$6:D$1000,2,FALSE)</f>
        <v>vermauri</v>
      </c>
      <c r="U3019">
        <f t="shared" si="49"/>
        <v>3</v>
      </c>
    </row>
    <row r="3020" spans="1:21" ht="37.5" customHeight="1" x14ac:dyDescent="0.25">
      <c r="A3020" s="39">
        <v>45177</v>
      </c>
      <c r="B3020" s="13">
        <v>36</v>
      </c>
      <c r="C3020" t="s">
        <v>3</v>
      </c>
      <c r="D3020" t="s">
        <v>4</v>
      </c>
      <c r="E3020" t="s">
        <v>5</v>
      </c>
      <c r="F3020">
        <v>113020497</v>
      </c>
      <c r="G3020" t="s">
        <v>606</v>
      </c>
      <c r="H3020" t="s">
        <v>403</v>
      </c>
      <c r="I3020">
        <v>0</v>
      </c>
      <c r="J3020">
        <v>0</v>
      </c>
      <c r="K3020">
        <v>0</v>
      </c>
      <c r="L3020">
        <v>0</v>
      </c>
      <c r="M3020">
        <v>0.09</v>
      </c>
      <c r="N3020" s="7" t="e">
        <f>VLOOKUP(F3020,HC!A$6:D$100,3,FALSE)</f>
        <v>#N/A</v>
      </c>
      <c r="O3020" s="7" t="str">
        <f>VLOOKUP(F3020,HC!A$6:D$1000,2,FALSE)</f>
        <v>diamartd</v>
      </c>
      <c r="U3020">
        <f t="shared" si="49"/>
        <v>14</v>
      </c>
    </row>
    <row r="3021" spans="1:21" ht="37.5" customHeight="1" x14ac:dyDescent="0.25">
      <c r="A3021" s="39">
        <v>45177</v>
      </c>
      <c r="B3021" s="13">
        <v>36</v>
      </c>
      <c r="C3021" t="s">
        <v>3</v>
      </c>
      <c r="D3021" t="s">
        <v>4</v>
      </c>
      <c r="E3021" t="s">
        <v>5</v>
      </c>
      <c r="F3021">
        <v>200509662</v>
      </c>
      <c r="G3021" t="s">
        <v>1249</v>
      </c>
      <c r="H3021" t="s">
        <v>17</v>
      </c>
      <c r="I3021">
        <v>0</v>
      </c>
      <c r="J3021">
        <v>0</v>
      </c>
      <c r="K3021">
        <v>0</v>
      </c>
      <c r="L3021">
        <v>0</v>
      </c>
      <c r="M3021">
        <v>0.28000000000000003</v>
      </c>
      <c r="N3021" s="7" t="e">
        <f>VLOOKUP(F3021,HC!A$6:D$100,3,FALSE)</f>
        <v>#N/A</v>
      </c>
      <c r="O3021" s="7" t="str">
        <f>VLOOKUP(F3021,HC!A$6:D$1000,2,FALSE)</f>
        <v>carchico</v>
      </c>
      <c r="U3021">
        <f t="shared" si="49"/>
        <v>3</v>
      </c>
    </row>
    <row r="3022" spans="1:21" ht="37.5" customHeight="1" x14ac:dyDescent="0.25">
      <c r="A3022" s="39">
        <v>45177</v>
      </c>
      <c r="B3022" s="13">
        <v>36</v>
      </c>
      <c r="C3022" t="s">
        <v>3</v>
      </c>
      <c r="D3022" t="s">
        <v>4</v>
      </c>
      <c r="E3022" t="s">
        <v>5</v>
      </c>
      <c r="F3022">
        <v>201186777</v>
      </c>
      <c r="G3022" t="s">
        <v>856</v>
      </c>
      <c r="H3022" t="s">
        <v>298</v>
      </c>
      <c r="I3022">
        <v>0</v>
      </c>
      <c r="J3022">
        <v>0</v>
      </c>
      <c r="K3022">
        <v>0</v>
      </c>
      <c r="L3022">
        <v>0</v>
      </c>
      <c r="M3022">
        <v>0.56000000000000005</v>
      </c>
      <c r="N3022" s="7" t="e">
        <f>VLOOKUP(F3022,HC!A$6:D$100,3,FALSE)</f>
        <v>#N/A</v>
      </c>
      <c r="O3022" s="7" t="str">
        <f>VLOOKUP(F3022,HC!A$6:D$1000,2,FALSE)</f>
        <v>bemonzon</v>
      </c>
      <c r="U3022">
        <f t="shared" si="49"/>
        <v>15</v>
      </c>
    </row>
    <row r="3023" spans="1:21" ht="37.5" customHeight="1" x14ac:dyDescent="0.25">
      <c r="A3023" s="39">
        <v>45177</v>
      </c>
      <c r="B3023" s="13">
        <v>36</v>
      </c>
      <c r="C3023" t="s">
        <v>3</v>
      </c>
      <c r="D3023" t="s">
        <v>4</v>
      </c>
      <c r="E3023" t="s">
        <v>5</v>
      </c>
      <c r="F3023">
        <v>201191390</v>
      </c>
      <c r="G3023" t="s">
        <v>916</v>
      </c>
      <c r="H3023" t="s">
        <v>7</v>
      </c>
      <c r="I3023">
        <v>0</v>
      </c>
      <c r="J3023">
        <v>0</v>
      </c>
      <c r="K3023">
        <v>0</v>
      </c>
      <c r="L3023">
        <v>0</v>
      </c>
      <c r="M3023">
        <v>0.52</v>
      </c>
      <c r="N3023" s="7" t="e">
        <f>VLOOKUP(F3023,HC!A$6:D$100,3,FALSE)</f>
        <v>#N/A</v>
      </c>
      <c r="O3023" s="7" t="str">
        <f>VLOOKUP(F3023,HC!A$6:D$1000,2,FALSE)</f>
        <v>bgajesus</v>
      </c>
      <c r="U3023">
        <f t="shared" si="49"/>
        <v>37</v>
      </c>
    </row>
    <row r="3024" spans="1:21" ht="37.5" customHeight="1" x14ac:dyDescent="0.25">
      <c r="A3024" s="39">
        <v>45177</v>
      </c>
      <c r="B3024" s="13">
        <v>36</v>
      </c>
      <c r="C3024" t="s">
        <v>3</v>
      </c>
      <c r="D3024" t="s">
        <v>4</v>
      </c>
      <c r="E3024" t="s">
        <v>5</v>
      </c>
      <c r="F3024">
        <v>201223730</v>
      </c>
      <c r="G3024" t="s">
        <v>933</v>
      </c>
      <c r="H3024" t="s">
        <v>49</v>
      </c>
      <c r="I3024">
        <v>0</v>
      </c>
      <c r="J3024">
        <v>0</v>
      </c>
      <c r="K3024">
        <v>0</v>
      </c>
      <c r="L3024">
        <v>0</v>
      </c>
      <c r="M3024">
        <v>1.26</v>
      </c>
      <c r="N3024" s="7" t="e">
        <f>VLOOKUP(F3024,HC!A$6:D$100,3,FALSE)</f>
        <v>#N/A</v>
      </c>
      <c r="O3024" s="7" t="str">
        <f>VLOOKUP(F3024,HC!A$6:D$1000,2,FALSE)</f>
        <v>cesarito</v>
      </c>
      <c r="U3024">
        <f t="shared" si="49"/>
        <v>39</v>
      </c>
    </row>
    <row r="3025" spans="1:21" ht="37.5" customHeight="1" x14ac:dyDescent="0.25">
      <c r="A3025" s="39">
        <v>45177</v>
      </c>
      <c r="B3025" s="13">
        <v>36</v>
      </c>
      <c r="C3025" t="s">
        <v>3</v>
      </c>
      <c r="D3025" t="s">
        <v>4</v>
      </c>
      <c r="E3025" t="s">
        <v>5</v>
      </c>
      <c r="F3025">
        <v>201228411</v>
      </c>
      <c r="G3025" t="s">
        <v>938</v>
      </c>
      <c r="H3025" t="s">
        <v>49</v>
      </c>
      <c r="I3025">
        <v>0</v>
      </c>
      <c r="J3025">
        <v>0</v>
      </c>
      <c r="K3025">
        <v>0</v>
      </c>
      <c r="L3025">
        <v>0</v>
      </c>
      <c r="M3025">
        <v>1.28</v>
      </c>
      <c r="N3025" s="7" t="e">
        <f>VLOOKUP(F3025,HC!A$6:D$100,3,FALSE)</f>
        <v>#N/A</v>
      </c>
      <c r="O3025" s="7" t="str">
        <f>VLOOKUP(F3025,HC!A$6:D$1000,2,FALSE)</f>
        <v>jazmiwhe</v>
      </c>
      <c r="U3025">
        <f t="shared" si="49"/>
        <v>36</v>
      </c>
    </row>
    <row r="3026" spans="1:21" ht="37.5" customHeight="1" x14ac:dyDescent="0.25">
      <c r="A3026" s="39">
        <v>45177</v>
      </c>
      <c r="B3026" s="13">
        <v>36</v>
      </c>
      <c r="C3026" t="s">
        <v>3</v>
      </c>
      <c r="D3026" t="s">
        <v>4</v>
      </c>
      <c r="E3026" t="s">
        <v>21</v>
      </c>
      <c r="F3026">
        <v>201320536</v>
      </c>
      <c r="G3026" t="s">
        <v>992</v>
      </c>
      <c r="H3026" t="s">
        <v>17</v>
      </c>
      <c r="I3026">
        <v>0</v>
      </c>
      <c r="J3026">
        <v>0</v>
      </c>
      <c r="K3026">
        <v>0</v>
      </c>
      <c r="L3026">
        <v>0</v>
      </c>
      <c r="M3026">
        <v>0.22</v>
      </c>
      <c r="N3026" s="7" t="e">
        <f>VLOOKUP(F3026,HC!A$6:D$100,3,FALSE)</f>
        <v>#N/A</v>
      </c>
      <c r="O3026" s="7" t="str">
        <f>VLOOKUP(F3026,HC!A$6:D$1000,2,FALSE)</f>
        <v>ibalmigu</v>
      </c>
      <c r="U3026">
        <f t="shared" si="49"/>
        <v>11</v>
      </c>
    </row>
    <row r="3027" spans="1:21" ht="37.5" customHeight="1" x14ac:dyDescent="0.25">
      <c r="A3027" s="39">
        <v>45177</v>
      </c>
      <c r="B3027" s="13">
        <v>36</v>
      </c>
      <c r="C3027" t="s">
        <v>3</v>
      </c>
      <c r="D3027" t="s">
        <v>4</v>
      </c>
      <c r="E3027" t="s">
        <v>5</v>
      </c>
      <c r="F3027">
        <v>201345737</v>
      </c>
      <c r="G3027" t="s">
        <v>1083</v>
      </c>
      <c r="H3027" t="s">
        <v>263</v>
      </c>
      <c r="I3027">
        <v>0</v>
      </c>
      <c r="J3027">
        <v>0</v>
      </c>
      <c r="K3027">
        <v>0</v>
      </c>
      <c r="L3027">
        <v>0</v>
      </c>
      <c r="M3027">
        <v>0.09</v>
      </c>
      <c r="N3027" s="7" t="e">
        <f>VLOOKUP(F3027,HC!A$6:D$100,3,FALSE)</f>
        <v>#N/A</v>
      </c>
      <c r="O3027" s="7" t="str">
        <f>VLOOKUP(F3027,HC!A$6:D$1000,2,FALSE)</f>
        <v>upacoros</v>
      </c>
      <c r="U3027">
        <f t="shared" si="49"/>
        <v>11</v>
      </c>
    </row>
    <row r="3028" spans="1:21" ht="37.5" customHeight="1" x14ac:dyDescent="0.25">
      <c r="A3028" s="39">
        <v>45177</v>
      </c>
      <c r="B3028" s="13">
        <v>36</v>
      </c>
      <c r="C3028" t="s">
        <v>3</v>
      </c>
      <c r="D3028" t="s">
        <v>4</v>
      </c>
      <c r="E3028" t="s">
        <v>21</v>
      </c>
      <c r="F3028">
        <v>201615299</v>
      </c>
      <c r="G3028" t="s">
        <v>1250</v>
      </c>
      <c r="H3028" t="s">
        <v>49</v>
      </c>
      <c r="I3028">
        <v>0</v>
      </c>
      <c r="J3028">
        <v>0</v>
      </c>
      <c r="K3028">
        <v>0</v>
      </c>
      <c r="L3028">
        <v>0</v>
      </c>
      <c r="M3028">
        <v>0.25</v>
      </c>
      <c r="N3028" s="7" t="e">
        <f>VLOOKUP(F3028,HC!A$6:D$100,3,FALSE)</f>
        <v>#N/A</v>
      </c>
      <c r="O3028" s="7" t="e">
        <f>VLOOKUP(F3028,HC!A$6:D$1000,2,FALSE)</f>
        <v>#N/A</v>
      </c>
      <c r="U3028">
        <f t="shared" si="49"/>
        <v>1395</v>
      </c>
    </row>
    <row r="3029" spans="1:21" ht="37.5" customHeight="1" x14ac:dyDescent="0.25">
      <c r="A3029" s="39">
        <v>45177</v>
      </c>
      <c r="B3029" s="13">
        <v>36</v>
      </c>
      <c r="C3029" t="s">
        <v>3</v>
      </c>
      <c r="D3029" t="s">
        <v>4</v>
      </c>
      <c r="E3029" t="s">
        <v>21</v>
      </c>
      <c r="F3029">
        <v>201847940</v>
      </c>
      <c r="G3029" t="s">
        <v>1248</v>
      </c>
      <c r="H3029" t="s">
        <v>17</v>
      </c>
      <c r="I3029">
        <v>0</v>
      </c>
      <c r="J3029">
        <v>0</v>
      </c>
      <c r="K3029">
        <v>0</v>
      </c>
      <c r="L3029">
        <v>0</v>
      </c>
      <c r="M3029">
        <v>1.4</v>
      </c>
      <c r="N3029" s="7" t="e">
        <f>VLOOKUP(F3029,HC!A$6:D$100,3,FALSE)</f>
        <v>#N/A</v>
      </c>
      <c r="O3029" s="7" t="e">
        <f>VLOOKUP(F3029,HC!A$6:D$1000,2,FALSE)</f>
        <v>#N/A</v>
      </c>
      <c r="U3029">
        <f t="shared" si="49"/>
        <v>1395</v>
      </c>
    </row>
    <row r="3030" spans="1:21" ht="37.5" customHeight="1" x14ac:dyDescent="0.25">
      <c r="A3030" s="39">
        <v>45177</v>
      </c>
      <c r="B3030" s="13">
        <v>36</v>
      </c>
      <c r="C3030" t="s">
        <v>3</v>
      </c>
      <c r="D3030" t="s">
        <v>4</v>
      </c>
      <c r="E3030" t="s">
        <v>21</v>
      </c>
      <c r="F3030">
        <v>201901910</v>
      </c>
      <c r="G3030" t="s">
        <v>1251</v>
      </c>
      <c r="H3030" t="s">
        <v>17</v>
      </c>
      <c r="I3030">
        <v>0</v>
      </c>
      <c r="J3030">
        <v>0</v>
      </c>
      <c r="K3030">
        <v>0</v>
      </c>
      <c r="L3030">
        <v>0</v>
      </c>
      <c r="M3030">
        <v>0.16</v>
      </c>
      <c r="N3030" s="7" t="e">
        <f>VLOOKUP(F3030,HC!A$6:D$100,3,FALSE)</f>
        <v>#N/A</v>
      </c>
      <c r="O3030" s="7" t="str">
        <f>VLOOKUP(F3030,HC!A$6:D$1000,2,FALSE)</f>
        <v>sfloredw</v>
      </c>
      <c r="U3030">
        <f t="shared" si="49"/>
        <v>8</v>
      </c>
    </row>
    <row r="3031" spans="1:21" ht="37.5" customHeight="1" x14ac:dyDescent="0.25">
      <c r="A3031" s="39">
        <v>45178</v>
      </c>
      <c r="B3031" s="13">
        <v>36</v>
      </c>
      <c r="C3031" t="s">
        <v>3</v>
      </c>
      <c r="D3031" t="s">
        <v>4</v>
      </c>
      <c r="E3031" t="s">
        <v>5</v>
      </c>
      <c r="F3031">
        <v>112973049</v>
      </c>
      <c r="G3031" t="s">
        <v>314</v>
      </c>
      <c r="H3031" t="s">
        <v>285</v>
      </c>
      <c r="I3031">
        <v>0</v>
      </c>
      <c r="J3031">
        <v>0</v>
      </c>
      <c r="K3031">
        <v>0</v>
      </c>
      <c r="L3031">
        <v>0</v>
      </c>
      <c r="M3031">
        <v>0.94</v>
      </c>
      <c r="N3031" s="7" t="str">
        <f>VLOOKUP(F3031,HC!A$6:D$100,3,FALSE)</f>
        <v>DB-X0700</v>
      </c>
      <c r="O3031" s="7" t="str">
        <f>VLOOKUP(F3031,HC!A$6:D$1000,2,FALSE)</f>
        <v>afatimae</v>
      </c>
      <c r="U3031">
        <f t="shared" si="49"/>
        <v>29</v>
      </c>
    </row>
    <row r="3032" spans="1:21" ht="37.5" customHeight="1" x14ac:dyDescent="0.25">
      <c r="A3032" s="39">
        <v>45178</v>
      </c>
      <c r="B3032" s="13">
        <v>36</v>
      </c>
      <c r="C3032" t="s">
        <v>3</v>
      </c>
      <c r="D3032" t="s">
        <v>4</v>
      </c>
      <c r="E3032" t="s">
        <v>5</v>
      </c>
      <c r="F3032">
        <v>113003656</v>
      </c>
      <c r="G3032" t="s">
        <v>297</v>
      </c>
      <c r="H3032" t="s">
        <v>403</v>
      </c>
      <c r="I3032">
        <v>0</v>
      </c>
      <c r="J3032">
        <v>0</v>
      </c>
      <c r="K3032">
        <v>0</v>
      </c>
      <c r="L3032">
        <v>0</v>
      </c>
      <c r="M3032">
        <v>0.15</v>
      </c>
      <c r="N3032" s="7" t="e">
        <f>VLOOKUP(F3032,HC!A$6:D$100,3,FALSE)</f>
        <v>#N/A</v>
      </c>
      <c r="O3032" s="7" t="str">
        <f>VLOOKUP(F3032,HC!A$6:D$1000,2,FALSE)</f>
        <v>uargoten</v>
      </c>
      <c r="U3032">
        <f t="shared" si="49"/>
        <v>8</v>
      </c>
    </row>
    <row r="3033" spans="1:21" ht="37.5" customHeight="1" x14ac:dyDescent="0.25">
      <c r="A3033" s="39">
        <v>45178</v>
      </c>
      <c r="B3033" s="13">
        <v>36</v>
      </c>
      <c r="C3033" t="s">
        <v>3</v>
      </c>
      <c r="D3033" t="s">
        <v>4</v>
      </c>
      <c r="E3033" t="s">
        <v>5</v>
      </c>
      <c r="F3033">
        <v>113003971</v>
      </c>
      <c r="G3033" t="s">
        <v>284</v>
      </c>
      <c r="H3033" t="s">
        <v>49</v>
      </c>
      <c r="I3033">
        <v>0</v>
      </c>
      <c r="J3033">
        <v>0</v>
      </c>
      <c r="K3033">
        <v>0</v>
      </c>
      <c r="L3033">
        <v>0</v>
      </c>
      <c r="M3033">
        <v>0.48</v>
      </c>
      <c r="N3033" s="7" t="e">
        <f>VLOOKUP(F3033,HC!A$6:D$100,3,FALSE)</f>
        <v>#N/A</v>
      </c>
      <c r="O3033" s="7" t="str">
        <f>VLOOKUP(F3033,HC!A$6:D$1000,2,FALSE)</f>
        <v>garamird</v>
      </c>
      <c r="U3033">
        <f t="shared" si="49"/>
        <v>14</v>
      </c>
    </row>
    <row r="3034" spans="1:21" ht="37.5" customHeight="1" x14ac:dyDescent="0.25">
      <c r="A3034" s="39">
        <v>45178</v>
      </c>
      <c r="B3034" s="13">
        <v>36</v>
      </c>
      <c r="C3034" t="s">
        <v>3</v>
      </c>
      <c r="D3034" t="s">
        <v>4</v>
      </c>
      <c r="E3034" t="s">
        <v>5</v>
      </c>
      <c r="F3034">
        <v>113004099</v>
      </c>
      <c r="G3034" t="s">
        <v>542</v>
      </c>
      <c r="H3034" t="s">
        <v>263</v>
      </c>
      <c r="I3034">
        <v>0</v>
      </c>
      <c r="J3034">
        <v>0</v>
      </c>
      <c r="K3034">
        <v>0</v>
      </c>
      <c r="L3034">
        <v>0</v>
      </c>
      <c r="M3034">
        <v>0.19</v>
      </c>
      <c r="N3034" s="7" t="e">
        <f>VLOOKUP(F3034,HC!A$6:D$100,3,FALSE)</f>
        <v>#N/A</v>
      </c>
      <c r="O3034" s="7" t="str">
        <f>VLOOKUP(F3034,HC!A$6:D$1000,2,FALSE)</f>
        <v>partilum</v>
      </c>
      <c r="U3034">
        <f t="shared" si="49"/>
        <v>8</v>
      </c>
    </row>
    <row r="3035" spans="1:21" ht="37.5" customHeight="1" x14ac:dyDescent="0.25">
      <c r="A3035" s="39">
        <v>45178</v>
      </c>
      <c r="B3035" s="13">
        <v>36</v>
      </c>
      <c r="C3035" t="s">
        <v>3</v>
      </c>
      <c r="D3035" t="s">
        <v>4</v>
      </c>
      <c r="E3035" t="s">
        <v>5</v>
      </c>
      <c r="F3035">
        <v>113019099</v>
      </c>
      <c r="G3035" t="s">
        <v>1252</v>
      </c>
      <c r="H3035" t="s">
        <v>285</v>
      </c>
      <c r="I3035">
        <v>0</v>
      </c>
      <c r="J3035">
        <v>0</v>
      </c>
      <c r="K3035">
        <v>0</v>
      </c>
      <c r="L3035">
        <v>0</v>
      </c>
      <c r="M3035">
        <v>0.61</v>
      </c>
      <c r="N3035" s="7" t="e">
        <f>VLOOKUP(F3035,HC!A$6:D$100,3,FALSE)</f>
        <v>#N/A</v>
      </c>
      <c r="O3035" s="7" t="str">
        <f>VLOOKUP(F3035,HC!A$6:D$1000,2,FALSE)</f>
        <v>sericrio</v>
      </c>
      <c r="U3035">
        <f t="shared" si="49"/>
        <v>3</v>
      </c>
    </row>
    <row r="3036" spans="1:21" ht="37.5" customHeight="1" x14ac:dyDescent="0.25">
      <c r="A3036" s="39">
        <v>45178</v>
      </c>
      <c r="B3036" s="13">
        <v>36</v>
      </c>
      <c r="C3036" t="s">
        <v>3</v>
      </c>
      <c r="D3036" t="s">
        <v>4</v>
      </c>
      <c r="E3036" t="s">
        <v>5</v>
      </c>
      <c r="F3036">
        <v>113020497</v>
      </c>
      <c r="G3036" t="s">
        <v>606</v>
      </c>
      <c r="H3036" t="s">
        <v>403</v>
      </c>
      <c r="I3036">
        <v>0</v>
      </c>
      <c r="J3036">
        <v>0</v>
      </c>
      <c r="K3036">
        <v>0</v>
      </c>
      <c r="L3036">
        <v>0</v>
      </c>
      <c r="M3036">
        <v>0.11</v>
      </c>
      <c r="N3036" s="7" t="e">
        <f>VLOOKUP(F3036,HC!A$6:D$100,3,FALSE)</f>
        <v>#N/A</v>
      </c>
      <c r="O3036" s="7" t="str">
        <f>VLOOKUP(F3036,HC!A$6:D$1000,2,FALSE)</f>
        <v>diamartd</v>
      </c>
      <c r="U3036">
        <f t="shared" si="49"/>
        <v>14</v>
      </c>
    </row>
    <row r="3037" spans="1:21" ht="37.5" customHeight="1" x14ac:dyDescent="0.25">
      <c r="A3037" s="39">
        <v>45178</v>
      </c>
      <c r="B3037" s="13">
        <v>36</v>
      </c>
      <c r="C3037" t="s">
        <v>3</v>
      </c>
      <c r="D3037" t="s">
        <v>4</v>
      </c>
      <c r="E3037" t="s">
        <v>21</v>
      </c>
      <c r="F3037">
        <v>113044739</v>
      </c>
      <c r="G3037" t="s">
        <v>1253</v>
      </c>
      <c r="H3037" t="s">
        <v>17</v>
      </c>
      <c r="I3037">
        <v>0</v>
      </c>
      <c r="J3037">
        <v>0</v>
      </c>
      <c r="K3037">
        <v>0</v>
      </c>
      <c r="L3037">
        <v>0</v>
      </c>
      <c r="M3037">
        <v>0.16</v>
      </c>
      <c r="N3037" s="7" t="e">
        <f>VLOOKUP(F3037,HC!A$6:D$100,3,FALSE)</f>
        <v>#N/A</v>
      </c>
      <c r="O3037" s="7" t="str">
        <f>VLOOKUP(F3037,HC!A$6:D$1000,2,FALSE)</f>
        <v>ldireyno</v>
      </c>
      <c r="U3037">
        <f t="shared" si="49"/>
        <v>1</v>
      </c>
    </row>
    <row r="3038" spans="1:21" ht="37.5" customHeight="1" x14ac:dyDescent="0.25">
      <c r="A3038" s="39">
        <v>45178</v>
      </c>
      <c r="B3038" s="13">
        <v>36</v>
      </c>
      <c r="C3038" t="s">
        <v>3</v>
      </c>
      <c r="D3038" t="s">
        <v>4</v>
      </c>
      <c r="E3038" t="s">
        <v>5</v>
      </c>
      <c r="F3038">
        <v>113103540</v>
      </c>
      <c r="G3038" t="s">
        <v>854</v>
      </c>
      <c r="H3038" t="s">
        <v>403</v>
      </c>
      <c r="I3038">
        <v>0</v>
      </c>
      <c r="J3038">
        <v>0</v>
      </c>
      <c r="K3038">
        <v>0</v>
      </c>
      <c r="L3038">
        <v>0</v>
      </c>
      <c r="M3038">
        <v>0.34</v>
      </c>
      <c r="N3038" s="7" t="e">
        <f>VLOOKUP(F3038,HC!A$6:D$100,3,FALSE)</f>
        <v>#N/A</v>
      </c>
      <c r="O3038" s="7" t="str">
        <f>VLOOKUP(F3038,HC!A$6:D$1000,2,FALSE)</f>
        <v>delgadax</v>
      </c>
      <c r="U3038">
        <f t="shared" si="49"/>
        <v>9</v>
      </c>
    </row>
    <row r="3039" spans="1:21" ht="37.5" customHeight="1" x14ac:dyDescent="0.25">
      <c r="A3039" s="39">
        <v>45178</v>
      </c>
      <c r="B3039" s="13">
        <v>36</v>
      </c>
      <c r="C3039" t="s">
        <v>3</v>
      </c>
      <c r="D3039" t="s">
        <v>4</v>
      </c>
      <c r="E3039" t="s">
        <v>5</v>
      </c>
      <c r="F3039">
        <v>200508315</v>
      </c>
      <c r="G3039" t="s">
        <v>428</v>
      </c>
      <c r="H3039" t="s">
        <v>7</v>
      </c>
      <c r="I3039">
        <v>0</v>
      </c>
      <c r="J3039">
        <v>0</v>
      </c>
      <c r="K3039">
        <v>0</v>
      </c>
      <c r="L3039">
        <v>0</v>
      </c>
      <c r="M3039">
        <v>0.13</v>
      </c>
      <c r="N3039" s="7" t="e">
        <f>VLOOKUP(F3039,HC!A$6:D$100,3,FALSE)</f>
        <v>#N/A</v>
      </c>
      <c r="O3039" s="7" t="str">
        <f>VLOOKUP(F3039,HC!A$6:D$1000,2,FALSE)</f>
        <v>taldaher</v>
      </c>
      <c r="U3039">
        <f t="shared" si="49"/>
        <v>18</v>
      </c>
    </row>
    <row r="3040" spans="1:21" ht="37.5" customHeight="1" x14ac:dyDescent="0.25">
      <c r="A3040" s="39">
        <v>45178</v>
      </c>
      <c r="B3040" s="13">
        <v>36</v>
      </c>
      <c r="C3040" t="s">
        <v>3</v>
      </c>
      <c r="D3040" t="s">
        <v>4</v>
      </c>
      <c r="E3040" t="s">
        <v>5</v>
      </c>
      <c r="F3040">
        <v>201191390</v>
      </c>
      <c r="G3040" t="s">
        <v>916</v>
      </c>
      <c r="H3040" t="s">
        <v>7</v>
      </c>
      <c r="I3040">
        <v>0</v>
      </c>
      <c r="J3040">
        <v>0</v>
      </c>
      <c r="K3040">
        <v>0</v>
      </c>
      <c r="L3040">
        <v>0</v>
      </c>
      <c r="M3040">
        <v>0.75</v>
      </c>
      <c r="N3040" s="7" t="e">
        <f>VLOOKUP(F3040,HC!A$6:D$100,3,FALSE)</f>
        <v>#N/A</v>
      </c>
      <c r="O3040" s="7" t="str">
        <f>VLOOKUP(F3040,HC!A$6:D$1000,2,FALSE)</f>
        <v>bgajesus</v>
      </c>
      <c r="U3040">
        <f t="shared" si="49"/>
        <v>37</v>
      </c>
    </row>
    <row r="3041" spans="1:21" ht="37.5" customHeight="1" x14ac:dyDescent="0.25">
      <c r="A3041" s="39">
        <v>45178</v>
      </c>
      <c r="B3041" s="13">
        <v>36</v>
      </c>
      <c r="C3041" t="s">
        <v>3</v>
      </c>
      <c r="D3041" t="s">
        <v>4</v>
      </c>
      <c r="E3041" t="s">
        <v>5</v>
      </c>
      <c r="F3041">
        <v>201223730</v>
      </c>
      <c r="G3041" t="s">
        <v>933</v>
      </c>
      <c r="H3041" t="s">
        <v>49</v>
      </c>
      <c r="I3041">
        <v>0</v>
      </c>
      <c r="J3041">
        <v>0</v>
      </c>
      <c r="K3041">
        <v>0</v>
      </c>
      <c r="L3041">
        <v>0</v>
      </c>
      <c r="M3041">
        <v>1.55</v>
      </c>
      <c r="N3041" s="7" t="e">
        <f>VLOOKUP(F3041,HC!A$6:D$100,3,FALSE)</f>
        <v>#N/A</v>
      </c>
      <c r="O3041" s="7" t="str">
        <f>VLOOKUP(F3041,HC!A$6:D$1000,2,FALSE)</f>
        <v>cesarito</v>
      </c>
      <c r="U3041">
        <f t="shared" si="49"/>
        <v>39</v>
      </c>
    </row>
    <row r="3042" spans="1:21" ht="37.5" customHeight="1" x14ac:dyDescent="0.25">
      <c r="A3042" s="39">
        <v>45178</v>
      </c>
      <c r="B3042" s="13">
        <v>36</v>
      </c>
      <c r="C3042" t="s">
        <v>3</v>
      </c>
      <c r="D3042" t="s">
        <v>4</v>
      </c>
      <c r="E3042" t="s">
        <v>5</v>
      </c>
      <c r="F3042">
        <v>201228411</v>
      </c>
      <c r="G3042" t="s">
        <v>938</v>
      </c>
      <c r="H3042" t="s">
        <v>49</v>
      </c>
      <c r="I3042">
        <v>0</v>
      </c>
      <c r="J3042">
        <v>0</v>
      </c>
      <c r="K3042">
        <v>0</v>
      </c>
      <c r="L3042">
        <v>0</v>
      </c>
      <c r="M3042">
        <v>1.58</v>
      </c>
      <c r="N3042" s="7" t="e">
        <f>VLOOKUP(F3042,HC!A$6:D$100,3,FALSE)</f>
        <v>#N/A</v>
      </c>
      <c r="O3042" s="7" t="str">
        <f>VLOOKUP(F3042,HC!A$6:D$1000,2,FALSE)</f>
        <v>jazmiwhe</v>
      </c>
      <c r="U3042">
        <f t="shared" si="49"/>
        <v>36</v>
      </c>
    </row>
    <row r="3043" spans="1:21" ht="37.5" customHeight="1" x14ac:dyDescent="0.25">
      <c r="A3043" s="39">
        <v>45178</v>
      </c>
      <c r="B3043" s="13">
        <v>36</v>
      </c>
      <c r="C3043" t="s">
        <v>3</v>
      </c>
      <c r="D3043" t="s">
        <v>4</v>
      </c>
      <c r="E3043" t="s">
        <v>21</v>
      </c>
      <c r="F3043">
        <v>201836048</v>
      </c>
      <c r="G3043" t="s">
        <v>1229</v>
      </c>
      <c r="H3043" t="s">
        <v>263</v>
      </c>
      <c r="I3043">
        <v>0</v>
      </c>
      <c r="J3043">
        <v>0</v>
      </c>
      <c r="K3043">
        <v>0</v>
      </c>
      <c r="L3043">
        <v>0</v>
      </c>
      <c r="M3043">
        <v>0.8</v>
      </c>
      <c r="N3043" s="7" t="e">
        <f>VLOOKUP(F3043,HC!A$6:D$100,3,FALSE)</f>
        <v>#N/A</v>
      </c>
      <c r="O3043" s="7" t="e">
        <f>VLOOKUP(F3043,HC!A$6:D$1000,2,FALSE)</f>
        <v>#N/A</v>
      </c>
      <c r="U3043">
        <f t="shared" si="49"/>
        <v>1395</v>
      </c>
    </row>
    <row r="3044" spans="1:21" ht="37.5" customHeight="1" x14ac:dyDescent="0.25">
      <c r="A3044" s="39">
        <v>45178</v>
      </c>
      <c r="B3044" s="13">
        <v>36</v>
      </c>
      <c r="C3044" t="s">
        <v>3</v>
      </c>
      <c r="D3044" t="s">
        <v>4</v>
      </c>
      <c r="E3044" t="s">
        <v>21</v>
      </c>
      <c r="F3044">
        <v>201847940</v>
      </c>
      <c r="G3044" t="s">
        <v>1248</v>
      </c>
      <c r="H3044" t="s">
        <v>17</v>
      </c>
      <c r="I3044">
        <v>0</v>
      </c>
      <c r="J3044">
        <v>0</v>
      </c>
      <c r="K3044">
        <v>0</v>
      </c>
      <c r="L3044">
        <v>0</v>
      </c>
      <c r="M3044">
        <v>1.78</v>
      </c>
      <c r="N3044" s="7" t="e">
        <f>VLOOKUP(F3044,HC!A$6:D$100,3,FALSE)</f>
        <v>#N/A</v>
      </c>
      <c r="O3044" s="7" t="e">
        <f>VLOOKUP(F3044,HC!A$6:D$1000,2,FALSE)</f>
        <v>#N/A</v>
      </c>
      <c r="U3044">
        <f t="shared" si="49"/>
        <v>1395</v>
      </c>
    </row>
    <row r="3045" spans="1:21" ht="37.5" customHeight="1" x14ac:dyDescent="0.25">
      <c r="A3045" s="39">
        <v>45178</v>
      </c>
      <c r="B3045" s="13">
        <v>36</v>
      </c>
      <c r="C3045" t="s">
        <v>3</v>
      </c>
      <c r="D3045" t="s">
        <v>4</v>
      </c>
      <c r="E3045" t="s">
        <v>21</v>
      </c>
      <c r="F3045">
        <v>201858789</v>
      </c>
      <c r="G3045" t="s">
        <v>1218</v>
      </c>
      <c r="H3045" t="s">
        <v>17</v>
      </c>
      <c r="I3045">
        <v>0</v>
      </c>
      <c r="J3045">
        <v>0</v>
      </c>
      <c r="K3045">
        <v>0</v>
      </c>
      <c r="L3045">
        <v>0</v>
      </c>
      <c r="M3045">
        <v>0.19</v>
      </c>
      <c r="N3045" s="7" t="e">
        <f>VLOOKUP(F3045,HC!A$6:D$100,3,FALSE)</f>
        <v>#N/A</v>
      </c>
      <c r="O3045" s="7" t="str">
        <f>VLOOKUP(F3045,HC!A$6:D$1000,2,FALSE)</f>
        <v>ignachis</v>
      </c>
      <c r="U3045">
        <f t="shared" si="49"/>
        <v>8</v>
      </c>
    </row>
    <row r="3046" spans="1:21" ht="37.5" customHeight="1" x14ac:dyDescent="0.25">
      <c r="A3046" s="39">
        <v>45179</v>
      </c>
      <c r="B3046" s="13">
        <v>37</v>
      </c>
      <c r="C3046" t="s">
        <v>3</v>
      </c>
      <c r="D3046" t="s">
        <v>4</v>
      </c>
      <c r="E3046" t="s">
        <v>5</v>
      </c>
      <c r="F3046">
        <v>112912054</v>
      </c>
      <c r="G3046" t="s">
        <v>333</v>
      </c>
      <c r="H3046" t="s">
        <v>47</v>
      </c>
      <c r="I3046">
        <v>0</v>
      </c>
      <c r="J3046">
        <v>0</v>
      </c>
      <c r="K3046">
        <v>0</v>
      </c>
      <c r="L3046">
        <v>0</v>
      </c>
      <c r="M3046">
        <v>0.23</v>
      </c>
      <c r="N3046" s="7" t="str">
        <f>VLOOKUP(F3046,HC!A$6:D$100,3,FALSE)</f>
        <v>DB-X0700</v>
      </c>
      <c r="O3046" s="7" t="str">
        <f>VLOOKUP(F3046,HC!A$6:D$1000,2,FALSE)</f>
        <v>privejor</v>
      </c>
      <c r="P3046" t="s">
        <v>663</v>
      </c>
      <c r="Q3046" t="s">
        <v>695</v>
      </c>
      <c r="U3046">
        <f t="shared" si="49"/>
        <v>14</v>
      </c>
    </row>
    <row r="3047" spans="1:21" ht="37.5" customHeight="1" x14ac:dyDescent="0.25">
      <c r="A3047" s="39">
        <v>45179</v>
      </c>
      <c r="B3047" s="13">
        <v>37</v>
      </c>
      <c r="C3047" t="s">
        <v>3</v>
      </c>
      <c r="D3047" t="s">
        <v>4</v>
      </c>
      <c r="E3047" t="s">
        <v>21</v>
      </c>
      <c r="F3047">
        <v>112971959</v>
      </c>
      <c r="G3047" t="s">
        <v>1246</v>
      </c>
      <c r="H3047" t="s">
        <v>282</v>
      </c>
      <c r="I3047">
        <v>0</v>
      </c>
      <c r="J3047">
        <v>0</v>
      </c>
      <c r="K3047">
        <v>0</v>
      </c>
      <c r="L3047">
        <v>0</v>
      </c>
      <c r="M3047">
        <v>0.23</v>
      </c>
      <c r="N3047" s="7" t="e">
        <f>VLOOKUP(F3047,HC!A$6:D$100,3,FALSE)</f>
        <v>#N/A</v>
      </c>
      <c r="O3047" s="7" t="e">
        <f>VLOOKUP(F3047,HC!A$6:D$1000,2,FALSE)</f>
        <v>#N/A</v>
      </c>
      <c r="P3047" t="s">
        <v>664</v>
      </c>
      <c r="Q3047" t="s">
        <v>771</v>
      </c>
      <c r="U3047">
        <f t="shared" si="49"/>
        <v>1395</v>
      </c>
    </row>
    <row r="3048" spans="1:21" ht="37.5" customHeight="1" x14ac:dyDescent="0.25">
      <c r="A3048" s="39">
        <v>45179</v>
      </c>
      <c r="B3048" s="13">
        <v>37</v>
      </c>
      <c r="C3048" t="s">
        <v>3</v>
      </c>
      <c r="D3048" t="s">
        <v>4</v>
      </c>
      <c r="E3048" t="s">
        <v>5</v>
      </c>
      <c r="F3048">
        <v>112971997</v>
      </c>
      <c r="G3048" t="s">
        <v>928</v>
      </c>
      <c r="H3048" t="s">
        <v>14</v>
      </c>
      <c r="I3048">
        <v>0</v>
      </c>
      <c r="J3048">
        <v>0</v>
      </c>
      <c r="K3048">
        <v>0</v>
      </c>
      <c r="L3048">
        <v>0</v>
      </c>
      <c r="M3048">
        <v>0.38</v>
      </c>
      <c r="N3048" s="7" t="str">
        <f>VLOOKUP(F3048,HC!A$6:D$100,3,FALSE)</f>
        <v>DA-X0700</v>
      </c>
      <c r="O3048" s="7" t="str">
        <f>VLOOKUP(F3048,HC!A$6:D$1000,2,FALSE)</f>
        <v>cemilini</v>
      </c>
      <c r="P3048" t="s">
        <v>662</v>
      </c>
      <c r="Q3048" t="s">
        <v>702</v>
      </c>
      <c r="U3048">
        <f t="shared" si="49"/>
        <v>10</v>
      </c>
    </row>
    <row r="3049" spans="1:21" ht="37.5" customHeight="1" x14ac:dyDescent="0.25">
      <c r="A3049" s="39">
        <v>45179</v>
      </c>
      <c r="B3049" s="13">
        <v>37</v>
      </c>
      <c r="C3049" t="s">
        <v>3</v>
      </c>
      <c r="D3049" t="s">
        <v>4</v>
      </c>
      <c r="E3049" t="s">
        <v>5</v>
      </c>
      <c r="F3049">
        <v>112981061</v>
      </c>
      <c r="G3049" t="s">
        <v>264</v>
      </c>
      <c r="H3049" t="s">
        <v>44</v>
      </c>
      <c r="I3049">
        <v>0</v>
      </c>
      <c r="J3049">
        <v>0</v>
      </c>
      <c r="K3049">
        <v>0</v>
      </c>
      <c r="L3049">
        <v>0</v>
      </c>
      <c r="M3049">
        <v>0.41</v>
      </c>
      <c r="N3049" s="7" t="str">
        <f>VLOOKUP(F3049,HC!A$6:D$100,3,FALSE)</f>
        <v>DA-X0700</v>
      </c>
      <c r="O3049" s="7" t="str">
        <f>VLOOKUP(F3049,HC!A$6:D$1000,2,FALSE)</f>
        <v>mclaudol</v>
      </c>
      <c r="P3049" t="s">
        <v>663</v>
      </c>
      <c r="Q3049" t="s">
        <v>705</v>
      </c>
      <c r="U3049">
        <f t="shared" si="49"/>
        <v>44</v>
      </c>
    </row>
    <row r="3050" spans="1:21" ht="37.5" customHeight="1" x14ac:dyDescent="0.25">
      <c r="A3050" s="39">
        <v>45179</v>
      </c>
      <c r="B3050" s="13">
        <v>37</v>
      </c>
      <c r="C3050" t="s">
        <v>3</v>
      </c>
      <c r="D3050" t="s">
        <v>4</v>
      </c>
      <c r="E3050" t="s">
        <v>5</v>
      </c>
      <c r="F3050">
        <v>112981196</v>
      </c>
      <c r="G3050" t="s">
        <v>328</v>
      </c>
      <c r="H3050" t="s">
        <v>285</v>
      </c>
      <c r="I3050">
        <v>0</v>
      </c>
      <c r="J3050">
        <v>0</v>
      </c>
      <c r="K3050">
        <v>0</v>
      </c>
      <c r="L3050">
        <v>0</v>
      </c>
      <c r="M3050">
        <v>0.17</v>
      </c>
      <c r="N3050" s="7" t="e">
        <f>VLOOKUP(F3050,HC!A$6:D$100,3,FALSE)</f>
        <v>#N/A</v>
      </c>
      <c r="O3050" s="7" t="str">
        <f>VLOOKUP(F3050,HC!A$6:D$1000,2,FALSE)</f>
        <v>vandgome</v>
      </c>
      <c r="P3050" t="s">
        <v>661</v>
      </c>
      <c r="Q3050" t="s">
        <v>681</v>
      </c>
      <c r="U3050">
        <f t="shared" si="49"/>
        <v>24</v>
      </c>
    </row>
    <row r="3051" spans="1:21" ht="37.5" customHeight="1" x14ac:dyDescent="0.25">
      <c r="A3051" s="39">
        <v>45179</v>
      </c>
      <c r="B3051" s="13">
        <v>37</v>
      </c>
      <c r="C3051" t="s">
        <v>3</v>
      </c>
      <c r="D3051" t="s">
        <v>4</v>
      </c>
      <c r="E3051" t="s">
        <v>5</v>
      </c>
      <c r="F3051">
        <v>112981221</v>
      </c>
      <c r="G3051" t="s">
        <v>581</v>
      </c>
      <c r="H3051" t="s">
        <v>298</v>
      </c>
      <c r="I3051">
        <v>0</v>
      </c>
      <c r="J3051">
        <v>0</v>
      </c>
      <c r="K3051">
        <v>0</v>
      </c>
      <c r="L3051">
        <v>0</v>
      </c>
      <c r="M3051">
        <v>0.17</v>
      </c>
      <c r="N3051" s="7" t="e">
        <f>VLOOKUP(F3051,HC!A$6:D$100,3,FALSE)</f>
        <v>#N/A</v>
      </c>
      <c r="O3051" s="7" t="str">
        <f>VLOOKUP(F3051,HC!A$6:D$1000,2,FALSE)</f>
        <v>spercesa</v>
      </c>
      <c r="P3051" t="s">
        <v>664</v>
      </c>
      <c r="Q3051" t="s">
        <v>708</v>
      </c>
      <c r="U3051">
        <f t="shared" si="49"/>
        <v>6</v>
      </c>
    </row>
    <row r="3052" spans="1:21" ht="37.5" customHeight="1" x14ac:dyDescent="0.25">
      <c r="A3052" s="39">
        <v>45179</v>
      </c>
      <c r="B3052" s="13">
        <v>37</v>
      </c>
      <c r="C3052" t="s">
        <v>3</v>
      </c>
      <c r="D3052" t="s">
        <v>4</v>
      </c>
      <c r="E3052" t="s">
        <v>5</v>
      </c>
      <c r="F3052">
        <v>113014470</v>
      </c>
      <c r="G3052" t="s">
        <v>374</v>
      </c>
      <c r="H3052" t="s">
        <v>44</v>
      </c>
      <c r="I3052">
        <v>0</v>
      </c>
      <c r="J3052">
        <v>0</v>
      </c>
      <c r="K3052">
        <v>0</v>
      </c>
      <c r="L3052">
        <v>0</v>
      </c>
      <c r="M3052">
        <v>0.15</v>
      </c>
      <c r="N3052" s="7" t="e">
        <f>VLOOKUP(F3052,HC!A$6:D$100,3,FALSE)</f>
        <v>#N/A</v>
      </c>
      <c r="O3052" s="7" t="str">
        <f>VLOOKUP(F3052,HC!A$6:D$1000,2,FALSE)</f>
        <v>lupaguin</v>
      </c>
      <c r="P3052" t="s">
        <v>661</v>
      </c>
      <c r="Q3052" t="s">
        <v>681</v>
      </c>
      <c r="U3052">
        <f t="shared" si="49"/>
        <v>23</v>
      </c>
    </row>
    <row r="3053" spans="1:21" ht="37.5" customHeight="1" x14ac:dyDescent="0.25">
      <c r="A3053" s="39">
        <v>45179</v>
      </c>
      <c r="B3053" s="13">
        <v>37</v>
      </c>
      <c r="C3053" t="s">
        <v>3</v>
      </c>
      <c r="D3053" t="s">
        <v>4</v>
      </c>
      <c r="E3053" t="s">
        <v>5</v>
      </c>
      <c r="F3053">
        <v>113101453</v>
      </c>
      <c r="G3053" t="s">
        <v>50</v>
      </c>
      <c r="H3053" t="s">
        <v>44</v>
      </c>
      <c r="I3053">
        <v>0</v>
      </c>
      <c r="J3053">
        <v>0</v>
      </c>
      <c r="K3053">
        <v>0</v>
      </c>
      <c r="L3053">
        <v>0</v>
      </c>
      <c r="M3053">
        <v>0.12</v>
      </c>
      <c r="N3053" s="7" t="e">
        <f>VLOOKUP(F3053,HC!A$6:D$100,3,FALSE)</f>
        <v>#N/A</v>
      </c>
      <c r="O3053" s="7" t="str">
        <f>VLOOKUP(F3053,HC!A$6:D$1000,2,FALSE)</f>
        <v>qisgeova</v>
      </c>
      <c r="P3053" t="s">
        <v>661</v>
      </c>
      <c r="Q3053" t="s">
        <v>700</v>
      </c>
      <c r="U3053">
        <f t="shared" si="49"/>
        <v>57</v>
      </c>
    </row>
    <row r="3054" spans="1:21" ht="37.5" customHeight="1" x14ac:dyDescent="0.25">
      <c r="A3054" s="39">
        <v>45179</v>
      </c>
      <c r="B3054" s="13">
        <v>37</v>
      </c>
      <c r="C3054" t="s">
        <v>3</v>
      </c>
      <c r="D3054" t="s">
        <v>4</v>
      </c>
      <c r="E3054" t="s">
        <v>5</v>
      </c>
      <c r="F3054">
        <v>200574345</v>
      </c>
      <c r="G3054" t="s">
        <v>476</v>
      </c>
      <c r="H3054" t="s">
        <v>298</v>
      </c>
      <c r="I3054">
        <v>0</v>
      </c>
      <c r="J3054">
        <v>0</v>
      </c>
      <c r="K3054">
        <v>0</v>
      </c>
      <c r="L3054">
        <v>0</v>
      </c>
      <c r="M3054">
        <v>0.48</v>
      </c>
      <c r="N3054" s="7" t="e">
        <f>VLOOKUP(F3054,HC!A$6:D$100,3,FALSE)</f>
        <v>#N/A</v>
      </c>
      <c r="O3054" s="7" t="str">
        <f>VLOOKUP(F3054,HC!A$6:D$1000,2,FALSE)</f>
        <v>contrexj</v>
      </c>
      <c r="P3054" t="s">
        <v>670</v>
      </c>
      <c r="Q3054" t="s">
        <v>746</v>
      </c>
      <c r="R3054" t="s">
        <v>355</v>
      </c>
      <c r="U3054">
        <f t="shared" si="49"/>
        <v>17</v>
      </c>
    </row>
    <row r="3055" spans="1:21" ht="37.5" customHeight="1" x14ac:dyDescent="0.25">
      <c r="A3055" s="39">
        <v>45179</v>
      </c>
      <c r="B3055" s="13">
        <v>37</v>
      </c>
      <c r="C3055" t="s">
        <v>3</v>
      </c>
      <c r="D3055" t="s">
        <v>4</v>
      </c>
      <c r="E3055" t="s">
        <v>5</v>
      </c>
      <c r="F3055">
        <v>200625528</v>
      </c>
      <c r="G3055" t="s">
        <v>607</v>
      </c>
      <c r="H3055" t="s">
        <v>285</v>
      </c>
      <c r="I3055">
        <v>0</v>
      </c>
      <c r="J3055">
        <v>0</v>
      </c>
      <c r="K3055">
        <v>0</v>
      </c>
      <c r="L3055">
        <v>0</v>
      </c>
      <c r="M3055">
        <v>0.1</v>
      </c>
      <c r="N3055" s="7" t="e">
        <f>VLOOKUP(F3055,HC!A$6:D$100,3,FALSE)</f>
        <v>#N/A</v>
      </c>
      <c r="O3055" s="7" t="str">
        <f>VLOOKUP(F3055,HC!A$6:D$1000,2,FALSE)</f>
        <v>olivlizb</v>
      </c>
      <c r="P3055" t="s">
        <v>662</v>
      </c>
      <c r="Q3055" t="s">
        <v>757</v>
      </c>
      <c r="U3055">
        <f t="shared" si="49"/>
        <v>50</v>
      </c>
    </row>
    <row r="3056" spans="1:21" ht="37.5" customHeight="1" x14ac:dyDescent="0.25">
      <c r="A3056" s="39">
        <v>45179</v>
      </c>
      <c r="B3056" s="13">
        <v>37</v>
      </c>
      <c r="C3056" t="s">
        <v>3</v>
      </c>
      <c r="D3056" t="s">
        <v>4</v>
      </c>
      <c r="E3056" t="s">
        <v>5</v>
      </c>
      <c r="F3056">
        <v>201166890</v>
      </c>
      <c r="G3056" t="s">
        <v>998</v>
      </c>
      <c r="H3056" t="s">
        <v>298</v>
      </c>
      <c r="I3056">
        <v>0</v>
      </c>
      <c r="J3056">
        <v>0</v>
      </c>
      <c r="K3056">
        <v>0</v>
      </c>
      <c r="L3056">
        <v>0</v>
      </c>
      <c r="M3056">
        <v>0.22</v>
      </c>
      <c r="N3056" s="7" t="e">
        <f>VLOOKUP(F3056,HC!A$6:D$100,3,FALSE)</f>
        <v>#N/A</v>
      </c>
      <c r="O3056" s="7" t="str">
        <f>VLOOKUP(F3056,HC!A$6:D$1000,2,FALSE)</f>
        <v>lcabadan</v>
      </c>
      <c r="P3056" t="s">
        <v>666</v>
      </c>
      <c r="Q3056" t="s">
        <v>768</v>
      </c>
      <c r="R3056" t="s">
        <v>644</v>
      </c>
      <c r="U3056">
        <f t="shared" si="49"/>
        <v>24</v>
      </c>
    </row>
    <row r="3057" spans="1:21" ht="37.5" customHeight="1" x14ac:dyDescent="0.25">
      <c r="A3057" s="39">
        <v>45179</v>
      </c>
      <c r="B3057" s="13">
        <v>37</v>
      </c>
      <c r="C3057" t="s">
        <v>3</v>
      </c>
      <c r="D3057" t="s">
        <v>4</v>
      </c>
      <c r="E3057" t="s">
        <v>5</v>
      </c>
      <c r="F3057">
        <v>201172412</v>
      </c>
      <c r="G3057" t="s">
        <v>986</v>
      </c>
      <c r="H3057" t="s">
        <v>44</v>
      </c>
      <c r="I3057">
        <v>0</v>
      </c>
      <c r="J3057">
        <v>0</v>
      </c>
      <c r="K3057">
        <v>0</v>
      </c>
      <c r="L3057">
        <v>0</v>
      </c>
      <c r="M3057">
        <v>0.12</v>
      </c>
      <c r="N3057" s="7" t="e">
        <f>VLOOKUP(F3057,HC!A$6:D$100,3,FALSE)</f>
        <v>#N/A</v>
      </c>
      <c r="O3057" s="7" t="str">
        <f>VLOOKUP(F3057,HC!A$6:D$1000,2,FALSE)</f>
        <v>adrpcast</v>
      </c>
      <c r="P3057" t="s">
        <v>664</v>
      </c>
      <c r="Q3057" t="s">
        <v>777</v>
      </c>
      <c r="U3057">
        <f t="shared" si="49"/>
        <v>6</v>
      </c>
    </row>
    <row r="3058" spans="1:21" ht="37.5" customHeight="1" x14ac:dyDescent="0.25">
      <c r="A3058" s="39">
        <v>45179</v>
      </c>
      <c r="B3058" s="13">
        <v>37</v>
      </c>
      <c r="C3058" t="s">
        <v>3</v>
      </c>
      <c r="D3058" t="s">
        <v>4</v>
      </c>
      <c r="E3058" t="s">
        <v>5</v>
      </c>
      <c r="F3058">
        <v>201294058</v>
      </c>
      <c r="G3058" t="s">
        <v>985</v>
      </c>
      <c r="H3058" t="s">
        <v>1040</v>
      </c>
      <c r="I3058">
        <v>0</v>
      </c>
      <c r="J3058">
        <v>0</v>
      </c>
      <c r="K3058">
        <v>0</v>
      </c>
      <c r="L3058">
        <v>0</v>
      </c>
      <c r="M3058">
        <v>0.14000000000000001</v>
      </c>
      <c r="N3058" s="7" t="e">
        <f>VLOOKUP(F3058,HC!A$6:D$100,3,FALSE)</f>
        <v>#N/A</v>
      </c>
      <c r="O3058" s="7" t="str">
        <f>VLOOKUP(F3058,HC!A$6:D$1000,2,FALSE)</f>
        <v>alerikat</v>
      </c>
      <c r="P3058" t="s">
        <v>661</v>
      </c>
      <c r="Q3058" t="s">
        <v>681</v>
      </c>
      <c r="U3058">
        <f t="shared" si="49"/>
        <v>6</v>
      </c>
    </row>
    <row r="3059" spans="1:21" ht="37.5" customHeight="1" x14ac:dyDescent="0.25">
      <c r="A3059" s="39">
        <v>45179</v>
      </c>
      <c r="B3059" s="13">
        <v>37</v>
      </c>
      <c r="C3059" t="s">
        <v>3</v>
      </c>
      <c r="D3059" t="s">
        <v>4</v>
      </c>
      <c r="E3059" t="s">
        <v>21</v>
      </c>
      <c r="F3059">
        <v>201901324</v>
      </c>
      <c r="G3059" t="s">
        <v>1219</v>
      </c>
      <c r="H3059" t="s">
        <v>282</v>
      </c>
      <c r="I3059">
        <v>0</v>
      </c>
      <c r="J3059">
        <v>0</v>
      </c>
      <c r="K3059">
        <v>0</v>
      </c>
      <c r="L3059">
        <v>0</v>
      </c>
      <c r="M3059">
        <v>0.15</v>
      </c>
      <c r="N3059" s="7" t="e">
        <f>VLOOKUP(F3059,HC!A$6:D$100,3,FALSE)</f>
        <v>#N/A</v>
      </c>
      <c r="O3059" s="7" t="str">
        <f>VLOOKUP(F3059,HC!A$6:D$1000,2,FALSE)</f>
        <v>velpalej</v>
      </c>
      <c r="P3059" t="s">
        <v>663</v>
      </c>
      <c r="Q3059" t="s">
        <v>692</v>
      </c>
      <c r="R3059" t="s">
        <v>1255</v>
      </c>
      <c r="U3059">
        <f t="shared" si="49"/>
        <v>4</v>
      </c>
    </row>
    <row r="3060" spans="1:21" ht="37.5" customHeight="1" x14ac:dyDescent="0.25">
      <c r="A3060" s="39">
        <v>45180</v>
      </c>
      <c r="B3060" s="13">
        <v>37</v>
      </c>
      <c r="C3060" t="s">
        <v>3</v>
      </c>
      <c r="D3060" t="s">
        <v>4</v>
      </c>
      <c r="E3060" t="s">
        <v>5</v>
      </c>
      <c r="F3060">
        <v>103979960</v>
      </c>
      <c r="G3060" t="s">
        <v>372</v>
      </c>
      <c r="H3060" t="s">
        <v>44</v>
      </c>
      <c r="I3060">
        <v>0</v>
      </c>
      <c r="J3060">
        <v>0</v>
      </c>
      <c r="K3060">
        <v>0</v>
      </c>
      <c r="L3060">
        <v>0</v>
      </c>
      <c r="M3060">
        <v>0.34</v>
      </c>
      <c r="N3060" s="7" t="e">
        <f>VLOOKUP(F3060,HC!A$6:D$100,3,FALSE)</f>
        <v>#N/A</v>
      </c>
      <c r="O3060" s="7" t="e">
        <f>VLOOKUP(F3060,HC!A$6:D$1000,2,FALSE)</f>
        <v>#N/A</v>
      </c>
      <c r="P3060" t="s">
        <v>662</v>
      </c>
      <c r="Q3060" t="s">
        <v>757</v>
      </c>
      <c r="U3060">
        <f t="shared" si="49"/>
        <v>1395</v>
      </c>
    </row>
    <row r="3061" spans="1:21" ht="37.5" customHeight="1" x14ac:dyDescent="0.25">
      <c r="A3061" s="39">
        <v>45180</v>
      </c>
      <c r="B3061" s="13">
        <v>37</v>
      </c>
      <c r="C3061" t="s">
        <v>3</v>
      </c>
      <c r="D3061" t="s">
        <v>4</v>
      </c>
      <c r="E3061" t="s">
        <v>5</v>
      </c>
      <c r="F3061">
        <v>112912752</v>
      </c>
      <c r="G3061" t="s">
        <v>251</v>
      </c>
      <c r="H3061" t="s">
        <v>332</v>
      </c>
      <c r="I3061">
        <v>0</v>
      </c>
      <c r="J3061">
        <v>0</v>
      </c>
      <c r="K3061">
        <v>0</v>
      </c>
      <c r="L3061">
        <v>0</v>
      </c>
      <c r="M3061">
        <v>0.48</v>
      </c>
      <c r="N3061" s="7" t="str">
        <f>VLOOKUP(F3061,HC!A$6:D$100,3,FALSE)</f>
        <v>NF-X1900</v>
      </c>
      <c r="O3061" s="7" t="str">
        <f>VLOOKUP(F3061,HC!A$6:D$1000,2,FALSE)</f>
        <v>valderle</v>
      </c>
      <c r="P3061" t="s">
        <v>664</v>
      </c>
      <c r="Q3061" t="s">
        <v>709</v>
      </c>
      <c r="U3061">
        <f t="shared" si="49"/>
        <v>50</v>
      </c>
    </row>
    <row r="3062" spans="1:21" ht="37.5" customHeight="1" x14ac:dyDescent="0.25">
      <c r="A3062" s="39">
        <v>45180</v>
      </c>
      <c r="B3062" s="13">
        <v>37</v>
      </c>
      <c r="C3062" t="s">
        <v>3</v>
      </c>
      <c r="D3062" t="s">
        <v>4</v>
      </c>
      <c r="E3062" t="s">
        <v>5</v>
      </c>
      <c r="F3062">
        <v>112971962</v>
      </c>
      <c r="G3062" t="s">
        <v>338</v>
      </c>
      <c r="H3062" t="s">
        <v>263</v>
      </c>
      <c r="I3062">
        <v>0</v>
      </c>
      <c r="J3062">
        <v>0</v>
      </c>
      <c r="K3062">
        <v>0</v>
      </c>
      <c r="L3062">
        <v>0</v>
      </c>
      <c r="M3062">
        <v>0.1</v>
      </c>
      <c r="N3062" s="7" t="str">
        <f>VLOOKUP(F3062,HC!A$6:D$100,3,FALSE)</f>
        <v>DB-X0700</v>
      </c>
      <c r="O3062" s="7" t="str">
        <f>VLOOKUP(F3062,HC!A$6:D$1000,2,FALSE)</f>
        <v>creyesal</v>
      </c>
      <c r="P3062" t="s">
        <v>661</v>
      </c>
      <c r="Q3062" t="s">
        <v>681</v>
      </c>
      <c r="U3062">
        <f t="shared" si="49"/>
        <v>38</v>
      </c>
    </row>
    <row r="3063" spans="1:21" ht="37.5" customHeight="1" x14ac:dyDescent="0.25">
      <c r="A3063" s="39">
        <v>45180</v>
      </c>
      <c r="B3063" s="13">
        <v>37</v>
      </c>
      <c r="C3063" t="s">
        <v>3</v>
      </c>
      <c r="D3063" t="s">
        <v>4</v>
      </c>
      <c r="E3063" t="s">
        <v>5</v>
      </c>
      <c r="F3063">
        <v>112980899</v>
      </c>
      <c r="G3063" t="s">
        <v>396</v>
      </c>
      <c r="H3063" t="s">
        <v>332</v>
      </c>
      <c r="I3063">
        <v>0</v>
      </c>
      <c r="J3063">
        <v>0</v>
      </c>
      <c r="K3063">
        <v>0</v>
      </c>
      <c r="L3063">
        <v>0</v>
      </c>
      <c r="M3063">
        <v>0.66</v>
      </c>
      <c r="N3063" s="7" t="str">
        <f>VLOOKUP(F3063,HC!A$6:D$100,3,FALSE)</f>
        <v>NF-X1900</v>
      </c>
      <c r="O3063" s="7" t="str">
        <f>VLOOKUP(F3063,HC!A$6:D$1000,2,FALSE)</f>
        <v>aravilac</v>
      </c>
      <c r="P3063" t="s">
        <v>670</v>
      </c>
      <c r="Q3063" t="s">
        <v>742</v>
      </c>
      <c r="U3063">
        <f t="shared" si="49"/>
        <v>33</v>
      </c>
    </row>
    <row r="3064" spans="1:21" ht="37.5" customHeight="1" x14ac:dyDescent="0.25">
      <c r="A3064" s="39">
        <v>45180</v>
      </c>
      <c r="B3064" s="13">
        <v>37</v>
      </c>
      <c r="C3064" t="s">
        <v>3</v>
      </c>
      <c r="D3064" t="s">
        <v>4</v>
      </c>
      <c r="E3064" t="s">
        <v>5</v>
      </c>
      <c r="F3064">
        <v>112981013</v>
      </c>
      <c r="G3064" t="s">
        <v>283</v>
      </c>
      <c r="H3064" t="s">
        <v>250</v>
      </c>
      <c r="I3064">
        <v>0</v>
      </c>
      <c r="J3064">
        <v>0</v>
      </c>
      <c r="K3064">
        <v>0</v>
      </c>
      <c r="L3064">
        <v>0</v>
      </c>
      <c r="M3064">
        <v>0.27</v>
      </c>
      <c r="N3064" s="7" t="str">
        <f>VLOOKUP(F3064,HC!A$6:D$100,3,FALSE)</f>
        <v>DA-X0700</v>
      </c>
      <c r="O3064" s="7" t="str">
        <f>VLOOKUP(F3064,HC!A$6:D$1000,2,FALSE)</f>
        <v>normaelo</v>
      </c>
      <c r="P3064" t="s">
        <v>661</v>
      </c>
      <c r="Q3064" t="s">
        <v>681</v>
      </c>
      <c r="U3064">
        <f t="shared" si="49"/>
        <v>24</v>
      </c>
    </row>
    <row r="3065" spans="1:21" ht="37.5" customHeight="1" x14ac:dyDescent="0.25">
      <c r="A3065" s="39">
        <v>45180</v>
      </c>
      <c r="B3065" s="13">
        <v>37</v>
      </c>
      <c r="C3065" t="s">
        <v>3</v>
      </c>
      <c r="D3065" t="s">
        <v>4</v>
      </c>
      <c r="E3065" t="s">
        <v>5</v>
      </c>
      <c r="F3065">
        <v>112981194</v>
      </c>
      <c r="G3065" t="s">
        <v>540</v>
      </c>
      <c r="H3065" t="s">
        <v>332</v>
      </c>
      <c r="I3065">
        <v>0</v>
      </c>
      <c r="J3065">
        <v>0</v>
      </c>
      <c r="K3065">
        <v>0</v>
      </c>
      <c r="L3065">
        <v>0</v>
      </c>
      <c r="M3065">
        <v>0.2</v>
      </c>
      <c r="N3065" s="7" t="str">
        <f>VLOOKUP(F3065,HC!A$6:D$100,3,FALSE)</f>
        <v>NF-X1900</v>
      </c>
      <c r="O3065" s="7" t="str">
        <f>VLOOKUP(F3065,HC!A$6:D$1000,2,FALSE)</f>
        <v>csandrak</v>
      </c>
      <c r="P3065" t="s">
        <v>662</v>
      </c>
      <c r="Q3065" t="s">
        <v>757</v>
      </c>
      <c r="U3065">
        <f t="shared" si="49"/>
        <v>8</v>
      </c>
    </row>
    <row r="3066" spans="1:21" ht="37.5" customHeight="1" x14ac:dyDescent="0.25">
      <c r="A3066" s="39">
        <v>45180</v>
      </c>
      <c r="B3066" s="13">
        <v>37</v>
      </c>
      <c r="C3066" t="s">
        <v>3</v>
      </c>
      <c r="D3066" t="s">
        <v>4</v>
      </c>
      <c r="E3066" t="s">
        <v>5</v>
      </c>
      <c r="F3066">
        <v>113014403</v>
      </c>
      <c r="G3066" t="s">
        <v>373</v>
      </c>
      <c r="H3066" t="s">
        <v>250</v>
      </c>
      <c r="I3066">
        <v>0</v>
      </c>
      <c r="J3066">
        <v>0</v>
      </c>
      <c r="K3066">
        <v>0</v>
      </c>
      <c r="L3066">
        <v>0</v>
      </c>
      <c r="M3066">
        <v>0.19</v>
      </c>
      <c r="N3066" s="7" t="e">
        <f>VLOOKUP(F3066,HC!A$6:D$100,3,FALSE)</f>
        <v>#N/A</v>
      </c>
      <c r="O3066" s="7" t="str">
        <f>VLOOKUP(F3066,HC!A$6:D$1000,2,FALSE)</f>
        <v>wnoraria</v>
      </c>
      <c r="P3066" t="s">
        <v>661</v>
      </c>
      <c r="Q3066" t="s">
        <v>681</v>
      </c>
      <c r="U3066">
        <f t="shared" si="49"/>
        <v>23</v>
      </c>
    </row>
    <row r="3067" spans="1:21" ht="37.5" customHeight="1" x14ac:dyDescent="0.25">
      <c r="A3067" s="39">
        <v>45180</v>
      </c>
      <c r="B3067" s="13">
        <v>37</v>
      </c>
      <c r="C3067" t="s">
        <v>3</v>
      </c>
      <c r="D3067" t="s">
        <v>4</v>
      </c>
      <c r="E3067" t="s">
        <v>5</v>
      </c>
      <c r="F3067">
        <v>200509691</v>
      </c>
      <c r="G3067" t="s">
        <v>787</v>
      </c>
      <c r="H3067" t="s">
        <v>1040</v>
      </c>
      <c r="I3067">
        <v>0</v>
      </c>
      <c r="J3067">
        <v>0</v>
      </c>
      <c r="K3067">
        <v>0</v>
      </c>
      <c r="L3067">
        <v>0</v>
      </c>
      <c r="M3067">
        <v>0.05</v>
      </c>
      <c r="N3067" s="7" t="e">
        <f>VLOOKUP(F3067,HC!A$6:D$100,3,FALSE)</f>
        <v>#N/A</v>
      </c>
      <c r="O3067" s="7" t="str">
        <f>VLOOKUP(F3067,HC!A$6:D$1000,2,FALSE)</f>
        <v>josedmef</v>
      </c>
      <c r="P3067" t="s">
        <v>661</v>
      </c>
      <c r="Q3067" t="s">
        <v>681</v>
      </c>
      <c r="U3067">
        <f t="shared" si="49"/>
        <v>2</v>
      </c>
    </row>
    <row r="3068" spans="1:21" ht="37.5" customHeight="1" x14ac:dyDescent="0.25">
      <c r="A3068" s="39">
        <v>45180</v>
      </c>
      <c r="B3068" s="13">
        <v>37</v>
      </c>
      <c r="C3068" t="s">
        <v>3</v>
      </c>
      <c r="D3068" t="s">
        <v>4</v>
      </c>
      <c r="E3068" t="s">
        <v>5</v>
      </c>
      <c r="F3068">
        <v>200562154</v>
      </c>
      <c r="G3068" t="s">
        <v>437</v>
      </c>
      <c r="H3068" t="s">
        <v>49</v>
      </c>
      <c r="I3068">
        <v>0</v>
      </c>
      <c r="J3068">
        <v>0</v>
      </c>
      <c r="K3068">
        <v>0</v>
      </c>
      <c r="L3068">
        <v>0</v>
      </c>
      <c r="M3068">
        <v>0.2</v>
      </c>
      <c r="N3068" s="7" t="e">
        <f>VLOOKUP(F3068,HC!A$6:D$100,3,FALSE)</f>
        <v>#N/A</v>
      </c>
      <c r="O3068" s="7" t="str">
        <f>VLOOKUP(F3068,HC!A$6:D$1000,2,FALSE)</f>
        <v>reyesmcw</v>
      </c>
      <c r="P3068" t="s">
        <v>664</v>
      </c>
      <c r="Q3068" t="s">
        <v>708</v>
      </c>
      <c r="U3068">
        <f t="shared" si="49"/>
        <v>38</v>
      </c>
    </row>
    <row r="3069" spans="1:21" ht="37.5" customHeight="1" x14ac:dyDescent="0.25">
      <c r="A3069" s="39">
        <v>45180</v>
      </c>
      <c r="B3069" s="13">
        <v>37</v>
      </c>
      <c r="C3069" t="s">
        <v>3</v>
      </c>
      <c r="D3069" t="s">
        <v>4</v>
      </c>
      <c r="E3069" t="s">
        <v>5</v>
      </c>
      <c r="F3069">
        <v>200564895</v>
      </c>
      <c r="G3069" t="s">
        <v>520</v>
      </c>
      <c r="H3069" t="s">
        <v>44</v>
      </c>
      <c r="I3069">
        <v>0</v>
      </c>
      <c r="J3069">
        <v>0</v>
      </c>
      <c r="K3069">
        <v>0</v>
      </c>
      <c r="L3069">
        <v>0</v>
      </c>
      <c r="M3069">
        <v>0.23</v>
      </c>
      <c r="N3069" s="7" t="e">
        <f>VLOOKUP(F3069,HC!A$6:D$100,3,FALSE)</f>
        <v>#N/A</v>
      </c>
      <c r="O3069" s="7" t="str">
        <f>VLOOKUP(F3069,HC!A$6:D$1000,2,FALSE)</f>
        <v>hmendobr</v>
      </c>
      <c r="P3069" t="s">
        <v>663</v>
      </c>
      <c r="Q3069" t="s">
        <v>692</v>
      </c>
      <c r="U3069">
        <f t="shared" si="49"/>
        <v>16</v>
      </c>
    </row>
    <row r="3070" spans="1:21" ht="37.5" customHeight="1" x14ac:dyDescent="0.25">
      <c r="A3070" s="39">
        <v>45180</v>
      </c>
      <c r="B3070" s="13">
        <v>37</v>
      </c>
      <c r="C3070" t="s">
        <v>3</v>
      </c>
      <c r="D3070" t="s">
        <v>4</v>
      </c>
      <c r="E3070" t="s">
        <v>5</v>
      </c>
      <c r="F3070">
        <v>200574345</v>
      </c>
      <c r="G3070" t="s">
        <v>476</v>
      </c>
      <c r="H3070" t="s">
        <v>298</v>
      </c>
      <c r="I3070">
        <v>0</v>
      </c>
      <c r="J3070">
        <v>0</v>
      </c>
      <c r="K3070">
        <v>0</v>
      </c>
      <c r="L3070">
        <v>0</v>
      </c>
      <c r="M3070">
        <v>0.14000000000000001</v>
      </c>
      <c r="N3070" s="7" t="e">
        <f>VLOOKUP(F3070,HC!A$6:D$100,3,FALSE)</f>
        <v>#N/A</v>
      </c>
      <c r="O3070" s="7" t="str">
        <f>VLOOKUP(F3070,HC!A$6:D$1000,2,FALSE)</f>
        <v>contrexj</v>
      </c>
      <c r="P3070" t="s">
        <v>670</v>
      </c>
      <c r="Q3070" t="s">
        <v>746</v>
      </c>
      <c r="U3070">
        <f t="shared" si="49"/>
        <v>17</v>
      </c>
    </row>
    <row r="3071" spans="1:21" ht="37.5" customHeight="1" x14ac:dyDescent="0.25">
      <c r="A3071" s="39">
        <v>45180</v>
      </c>
      <c r="B3071" s="13">
        <v>37</v>
      </c>
      <c r="C3071" t="s">
        <v>3</v>
      </c>
      <c r="D3071" t="s">
        <v>4</v>
      </c>
      <c r="E3071" t="s">
        <v>5</v>
      </c>
      <c r="F3071">
        <v>200625528</v>
      </c>
      <c r="G3071" t="s">
        <v>607</v>
      </c>
      <c r="H3071" t="s">
        <v>285</v>
      </c>
      <c r="I3071">
        <v>0</v>
      </c>
      <c r="J3071">
        <v>0</v>
      </c>
      <c r="K3071">
        <v>0</v>
      </c>
      <c r="L3071">
        <v>0</v>
      </c>
      <c r="M3071">
        <v>0.21</v>
      </c>
      <c r="N3071" s="7" t="e">
        <f>VLOOKUP(F3071,HC!A$6:D$100,3,FALSE)</f>
        <v>#N/A</v>
      </c>
      <c r="O3071" s="7" t="str">
        <f>VLOOKUP(F3071,HC!A$6:D$1000,2,FALSE)</f>
        <v>olivlizb</v>
      </c>
      <c r="P3071" t="s">
        <v>662</v>
      </c>
      <c r="Q3071" t="s">
        <v>757</v>
      </c>
      <c r="U3071">
        <f t="shared" si="49"/>
        <v>50</v>
      </c>
    </row>
    <row r="3072" spans="1:21" ht="37.5" customHeight="1" x14ac:dyDescent="0.25">
      <c r="A3072" s="39">
        <v>45180</v>
      </c>
      <c r="B3072" s="13">
        <v>37</v>
      </c>
      <c r="C3072" t="s">
        <v>3</v>
      </c>
      <c r="D3072" t="s">
        <v>4</v>
      </c>
      <c r="E3072" t="s">
        <v>5</v>
      </c>
      <c r="F3072">
        <v>201186833</v>
      </c>
      <c r="G3072" t="s">
        <v>904</v>
      </c>
      <c r="H3072" t="s">
        <v>250</v>
      </c>
      <c r="I3072">
        <v>0</v>
      </c>
      <c r="J3072">
        <v>0</v>
      </c>
      <c r="K3072">
        <v>0</v>
      </c>
      <c r="L3072">
        <v>0</v>
      </c>
      <c r="M3072">
        <v>0.11</v>
      </c>
      <c r="N3072" s="7" t="e">
        <f>VLOOKUP(F3072,HC!A$6:D$100,3,FALSE)</f>
        <v>#N/A</v>
      </c>
      <c r="O3072" s="7" t="str">
        <f>VLOOKUP(F3072,HC!A$6:D$1000,2,FALSE)</f>
        <v>jaalexav</v>
      </c>
      <c r="P3072" t="s">
        <v>661</v>
      </c>
      <c r="Q3072" t="s">
        <v>681</v>
      </c>
      <c r="U3072">
        <f t="shared" si="49"/>
        <v>16</v>
      </c>
    </row>
    <row r="3073" spans="1:21" ht="37.5" customHeight="1" x14ac:dyDescent="0.25">
      <c r="A3073" s="39">
        <v>45180</v>
      </c>
      <c r="B3073" s="13">
        <v>37</v>
      </c>
      <c r="C3073" t="s">
        <v>3</v>
      </c>
      <c r="D3073" t="s">
        <v>4</v>
      </c>
      <c r="E3073" t="s">
        <v>5</v>
      </c>
      <c r="F3073">
        <v>201191390</v>
      </c>
      <c r="G3073" t="s">
        <v>916</v>
      </c>
      <c r="H3073" t="s">
        <v>7</v>
      </c>
      <c r="I3073">
        <v>0</v>
      </c>
      <c r="J3073">
        <v>0</v>
      </c>
      <c r="K3073">
        <v>0</v>
      </c>
      <c r="L3073">
        <v>0</v>
      </c>
      <c r="M3073">
        <v>0.64</v>
      </c>
      <c r="N3073" s="7" t="e">
        <f>VLOOKUP(F3073,HC!A$6:D$100,3,FALSE)</f>
        <v>#N/A</v>
      </c>
      <c r="O3073" s="7" t="str">
        <f>VLOOKUP(F3073,HC!A$6:D$1000,2,FALSE)</f>
        <v>bgajesus</v>
      </c>
      <c r="P3073" t="s">
        <v>675</v>
      </c>
      <c r="R3073" t="s">
        <v>959</v>
      </c>
      <c r="U3073">
        <f t="shared" si="49"/>
        <v>37</v>
      </c>
    </row>
    <row r="3074" spans="1:21" ht="37.5" customHeight="1" x14ac:dyDescent="0.25">
      <c r="A3074" s="39">
        <v>45180</v>
      </c>
      <c r="B3074" s="13">
        <v>37</v>
      </c>
      <c r="C3074" t="s">
        <v>3</v>
      </c>
      <c r="D3074" t="s">
        <v>4</v>
      </c>
      <c r="E3074" t="s">
        <v>5</v>
      </c>
      <c r="F3074">
        <v>201197964</v>
      </c>
      <c r="G3074" t="s">
        <v>1180</v>
      </c>
      <c r="H3074" t="s">
        <v>298</v>
      </c>
      <c r="I3074">
        <v>0</v>
      </c>
      <c r="J3074">
        <v>0</v>
      </c>
      <c r="K3074">
        <v>0</v>
      </c>
      <c r="L3074">
        <v>0</v>
      </c>
      <c r="M3074">
        <v>0.16</v>
      </c>
      <c r="N3074" s="7" t="e">
        <f>VLOOKUP(F3074,HC!A$6:D$100,3,FALSE)</f>
        <v>#N/A</v>
      </c>
      <c r="O3074" s="7" t="str">
        <f>VLOOKUP(F3074,HC!A$6:D$1000,2,FALSE)</f>
        <v>matzquij</v>
      </c>
      <c r="P3074" t="s">
        <v>661</v>
      </c>
      <c r="Q3074" t="s">
        <v>681</v>
      </c>
      <c r="U3074">
        <f t="shared" si="49"/>
        <v>16</v>
      </c>
    </row>
    <row r="3075" spans="1:21" ht="37.5" customHeight="1" x14ac:dyDescent="0.25">
      <c r="A3075" s="39">
        <v>45180</v>
      </c>
      <c r="B3075" s="13">
        <v>37</v>
      </c>
      <c r="C3075" t="s">
        <v>3</v>
      </c>
      <c r="D3075" t="s">
        <v>4</v>
      </c>
      <c r="E3075" t="s">
        <v>5</v>
      </c>
      <c r="F3075">
        <v>201345774</v>
      </c>
      <c r="G3075" t="s">
        <v>1070</v>
      </c>
      <c r="H3075" t="s">
        <v>44</v>
      </c>
      <c r="I3075">
        <v>0</v>
      </c>
      <c r="J3075">
        <v>0</v>
      </c>
      <c r="K3075">
        <v>0</v>
      </c>
      <c r="L3075">
        <v>0</v>
      </c>
      <c r="M3075">
        <v>0.13</v>
      </c>
      <c r="N3075" s="7" t="e">
        <f>VLOOKUP(F3075,HC!A$6:D$100,3,FALSE)</f>
        <v>#N/A</v>
      </c>
      <c r="O3075" s="7" t="str">
        <f>VLOOKUP(F3075,HC!A$6:D$1000,2,FALSE)</f>
        <v>jonquija</v>
      </c>
      <c r="P3075" t="s">
        <v>662</v>
      </c>
      <c r="Q3075" t="s">
        <v>757</v>
      </c>
      <c r="U3075">
        <f t="shared" ref="U3075:U3138" si="50">COUNTIF(O$2:O$4999,O3075)</f>
        <v>19</v>
      </c>
    </row>
    <row r="3076" spans="1:21" ht="37.5" customHeight="1" x14ac:dyDescent="0.25">
      <c r="A3076" s="39">
        <v>45180</v>
      </c>
      <c r="B3076" s="13">
        <v>37</v>
      </c>
      <c r="C3076" t="s">
        <v>3</v>
      </c>
      <c r="D3076" t="s">
        <v>4</v>
      </c>
      <c r="E3076" t="s">
        <v>5</v>
      </c>
      <c r="F3076">
        <v>201353328</v>
      </c>
      <c r="G3076" t="s">
        <v>1176</v>
      </c>
      <c r="H3076" t="s">
        <v>282</v>
      </c>
      <c r="I3076">
        <v>0</v>
      </c>
      <c r="J3076">
        <v>0</v>
      </c>
      <c r="K3076">
        <v>0</v>
      </c>
      <c r="L3076">
        <v>0</v>
      </c>
      <c r="M3076">
        <v>0.71</v>
      </c>
      <c r="N3076" s="7" t="e">
        <f>VLOOKUP(F3076,HC!A$6:D$100,3,FALSE)</f>
        <v>#N/A</v>
      </c>
      <c r="O3076" s="7" t="str">
        <f>VLOOKUP(F3076,HC!A$6:D$1000,2,FALSE)</f>
        <v>zairamen</v>
      </c>
      <c r="P3076" t="s">
        <v>664</v>
      </c>
      <c r="Q3076" t="s">
        <v>710</v>
      </c>
      <c r="U3076">
        <f t="shared" si="50"/>
        <v>4</v>
      </c>
    </row>
    <row r="3077" spans="1:21" ht="37.5" customHeight="1" x14ac:dyDescent="0.25">
      <c r="A3077" s="39">
        <v>45180</v>
      </c>
      <c r="B3077" s="13">
        <v>37</v>
      </c>
      <c r="C3077" t="s">
        <v>3</v>
      </c>
      <c r="D3077" t="s">
        <v>4</v>
      </c>
      <c r="E3077" t="s">
        <v>5</v>
      </c>
      <c r="F3077">
        <v>201386201</v>
      </c>
      <c r="G3077" t="s">
        <v>1167</v>
      </c>
      <c r="H3077" t="s">
        <v>17</v>
      </c>
      <c r="I3077">
        <v>0</v>
      </c>
      <c r="J3077">
        <v>0</v>
      </c>
      <c r="K3077">
        <v>0</v>
      </c>
      <c r="L3077">
        <v>0</v>
      </c>
      <c r="M3077">
        <v>0.15</v>
      </c>
      <c r="N3077" s="7" t="e">
        <f>VLOOKUP(F3077,HC!A$6:D$100,3,FALSE)</f>
        <v>#N/A</v>
      </c>
      <c r="O3077" s="7" t="str">
        <f>VLOOKUP(F3077,HC!A$6:D$1000,2,FALSE)</f>
        <v>castjanr</v>
      </c>
      <c r="P3077" t="s">
        <v>661</v>
      </c>
      <c r="Q3077" t="s">
        <v>681</v>
      </c>
      <c r="U3077">
        <f t="shared" si="50"/>
        <v>11</v>
      </c>
    </row>
    <row r="3078" spans="1:21" ht="37.5" customHeight="1" x14ac:dyDescent="0.25">
      <c r="A3078" s="39">
        <v>45180</v>
      </c>
      <c r="B3078" s="13">
        <v>37</v>
      </c>
      <c r="C3078" t="s">
        <v>3</v>
      </c>
      <c r="D3078" t="s">
        <v>4</v>
      </c>
      <c r="E3078" t="s">
        <v>21</v>
      </c>
      <c r="F3078">
        <v>201847940</v>
      </c>
      <c r="G3078" t="s">
        <v>1248</v>
      </c>
      <c r="H3078" t="s">
        <v>17</v>
      </c>
      <c r="I3078">
        <v>0</v>
      </c>
      <c r="J3078">
        <v>0</v>
      </c>
      <c r="K3078">
        <v>0</v>
      </c>
      <c r="L3078">
        <v>0</v>
      </c>
      <c r="M3078">
        <v>0.28999999999999998</v>
      </c>
      <c r="N3078" s="7" t="e">
        <f>VLOOKUP(F3078,HC!A$6:D$100,3,FALSE)</f>
        <v>#N/A</v>
      </c>
      <c r="O3078" s="7" t="e">
        <f>VLOOKUP(F3078,HC!A$6:D$1000,2,FALSE)</f>
        <v>#N/A</v>
      </c>
      <c r="P3078" t="s">
        <v>664</v>
      </c>
      <c r="Q3078" t="s">
        <v>711</v>
      </c>
      <c r="U3078">
        <f t="shared" si="50"/>
        <v>1395</v>
      </c>
    </row>
    <row r="3079" spans="1:21" ht="37.5" customHeight="1" x14ac:dyDescent="0.25">
      <c r="A3079" s="39">
        <v>45180</v>
      </c>
      <c r="B3079" s="13">
        <v>37</v>
      </c>
      <c r="C3079" t="s">
        <v>3</v>
      </c>
      <c r="D3079" t="s">
        <v>4</v>
      </c>
      <c r="E3079" t="s">
        <v>21</v>
      </c>
      <c r="F3079">
        <v>201880542</v>
      </c>
      <c r="G3079" t="s">
        <v>1225</v>
      </c>
      <c r="H3079" t="s">
        <v>298</v>
      </c>
      <c r="I3079">
        <v>0</v>
      </c>
      <c r="J3079">
        <v>0</v>
      </c>
      <c r="K3079">
        <v>0</v>
      </c>
      <c r="L3079">
        <v>0</v>
      </c>
      <c r="M3079">
        <v>0.21</v>
      </c>
      <c r="N3079" s="7" t="e">
        <f>VLOOKUP(F3079,HC!A$6:D$100,3,FALSE)</f>
        <v>#N/A</v>
      </c>
      <c r="O3079" s="7" t="str">
        <f>VLOOKUP(F3079,HC!A$6:D$1000,2,FALSE)</f>
        <v>orticorp</v>
      </c>
      <c r="P3079" t="s">
        <v>664</v>
      </c>
      <c r="Q3079" t="s">
        <v>716</v>
      </c>
      <c r="U3079">
        <f t="shared" si="50"/>
        <v>24</v>
      </c>
    </row>
    <row r="3080" spans="1:21" ht="37.5" customHeight="1" x14ac:dyDescent="0.25">
      <c r="A3080" s="39">
        <v>45180</v>
      </c>
      <c r="B3080" s="13">
        <v>37</v>
      </c>
      <c r="C3080" t="s">
        <v>3</v>
      </c>
      <c r="D3080" t="s">
        <v>438</v>
      </c>
      <c r="E3080" t="s">
        <v>21</v>
      </c>
      <c r="F3080">
        <v>201880542</v>
      </c>
      <c r="G3080" t="s">
        <v>1225</v>
      </c>
      <c r="H3080" t="s">
        <v>298</v>
      </c>
      <c r="I3080">
        <v>0</v>
      </c>
      <c r="J3080">
        <v>0</v>
      </c>
      <c r="K3080">
        <v>0</v>
      </c>
      <c r="L3080">
        <v>0</v>
      </c>
      <c r="M3080">
        <v>0.65</v>
      </c>
      <c r="N3080" s="7" t="e">
        <f>VLOOKUP(F3080,HC!A$6:D$100,3,FALSE)</f>
        <v>#N/A</v>
      </c>
      <c r="O3080" s="7" t="str">
        <f>VLOOKUP(F3080,HC!A$6:D$1000,2,FALSE)</f>
        <v>orticorp</v>
      </c>
      <c r="P3080" t="s">
        <v>661</v>
      </c>
      <c r="Q3080" t="s">
        <v>681</v>
      </c>
      <c r="U3080">
        <f t="shared" si="50"/>
        <v>24</v>
      </c>
    </row>
    <row r="3081" spans="1:21" ht="37.5" customHeight="1" x14ac:dyDescent="0.25">
      <c r="A3081" s="39">
        <v>45181</v>
      </c>
      <c r="B3081" s="13">
        <v>37</v>
      </c>
      <c r="C3081" t="s">
        <v>3</v>
      </c>
      <c r="D3081" t="s">
        <v>4</v>
      </c>
      <c r="E3081" t="s">
        <v>5</v>
      </c>
      <c r="F3081">
        <v>112912745</v>
      </c>
      <c r="G3081" t="s">
        <v>478</v>
      </c>
      <c r="H3081" t="s">
        <v>250</v>
      </c>
      <c r="I3081">
        <v>0</v>
      </c>
      <c r="J3081">
        <v>0</v>
      </c>
      <c r="K3081">
        <v>0</v>
      </c>
      <c r="L3081">
        <v>0</v>
      </c>
      <c r="M3081">
        <v>0.55000000000000004</v>
      </c>
      <c r="N3081" s="7" t="str">
        <f>VLOOKUP(F3081,HC!A$6:D$100,3,FALSE)</f>
        <v>DA-X0700</v>
      </c>
      <c r="O3081" s="7" t="str">
        <f>VLOOKUP(F3081,HC!A$6:D$1000,2,FALSE)</f>
        <v>nalexgom</v>
      </c>
      <c r="P3081" t="s">
        <v>664</v>
      </c>
      <c r="Q3081" t="s">
        <v>711</v>
      </c>
      <c r="U3081">
        <f t="shared" si="50"/>
        <v>22</v>
      </c>
    </row>
    <row r="3082" spans="1:21" ht="37.5" customHeight="1" x14ac:dyDescent="0.25">
      <c r="A3082" s="39">
        <v>45181</v>
      </c>
      <c r="B3082" s="13">
        <v>37</v>
      </c>
      <c r="C3082" t="s">
        <v>3</v>
      </c>
      <c r="D3082" t="s">
        <v>4</v>
      </c>
      <c r="E3082" t="s">
        <v>5</v>
      </c>
      <c r="F3082">
        <v>112920655</v>
      </c>
      <c r="G3082" t="s">
        <v>509</v>
      </c>
      <c r="H3082" t="s">
        <v>459</v>
      </c>
      <c r="I3082">
        <v>0</v>
      </c>
      <c r="J3082">
        <v>0</v>
      </c>
      <c r="K3082">
        <v>0</v>
      </c>
      <c r="L3082">
        <v>0</v>
      </c>
      <c r="M3082">
        <v>0.19</v>
      </c>
      <c r="N3082" s="7" t="e">
        <f>VLOOKUP(F3082,HC!A$6:D$100,3,FALSE)</f>
        <v>#N/A</v>
      </c>
      <c r="O3082" s="7" t="e">
        <f>VLOOKUP(F3082,HC!A$6:D$1000,2,FALSE)</f>
        <v>#N/A</v>
      </c>
      <c r="P3082" t="s">
        <v>670</v>
      </c>
      <c r="Q3082" t="s">
        <v>805</v>
      </c>
      <c r="U3082">
        <f t="shared" si="50"/>
        <v>1395</v>
      </c>
    </row>
    <row r="3083" spans="1:21" ht="37.5" customHeight="1" x14ac:dyDescent="0.25">
      <c r="A3083" s="39">
        <v>45181</v>
      </c>
      <c r="B3083" s="13">
        <v>37</v>
      </c>
      <c r="C3083" t="s">
        <v>3</v>
      </c>
      <c r="D3083" t="s">
        <v>4</v>
      </c>
      <c r="E3083" t="s">
        <v>5</v>
      </c>
      <c r="F3083">
        <v>112950795</v>
      </c>
      <c r="G3083" t="s">
        <v>580</v>
      </c>
      <c r="H3083" t="s">
        <v>282</v>
      </c>
      <c r="I3083">
        <v>0</v>
      </c>
      <c r="J3083">
        <v>0</v>
      </c>
      <c r="K3083">
        <v>0</v>
      </c>
      <c r="L3083">
        <v>0</v>
      </c>
      <c r="M3083">
        <v>0.41</v>
      </c>
      <c r="N3083" s="7" t="str">
        <f>VLOOKUP(F3083,HC!A$6:D$100,3,FALSE)</f>
        <v>DA-X0700</v>
      </c>
      <c r="O3083" s="7" t="str">
        <f>VLOOKUP(F3083,HC!A$6:D$1000,2,FALSE)</f>
        <v>oespiali</v>
      </c>
      <c r="P3083" t="s">
        <v>670</v>
      </c>
      <c r="Q3083" t="s">
        <v>746</v>
      </c>
      <c r="R3083" t="s">
        <v>0</v>
      </c>
      <c r="U3083">
        <f t="shared" si="50"/>
        <v>10</v>
      </c>
    </row>
    <row r="3084" spans="1:21" ht="37.5" customHeight="1" x14ac:dyDescent="0.25">
      <c r="A3084" s="39">
        <v>45181</v>
      </c>
      <c r="B3084" s="13">
        <v>37</v>
      </c>
      <c r="C3084" t="s">
        <v>3</v>
      </c>
      <c r="D3084" t="s">
        <v>4</v>
      </c>
      <c r="E3084" t="s">
        <v>21</v>
      </c>
      <c r="F3084">
        <v>112971959</v>
      </c>
      <c r="G3084" t="s">
        <v>1246</v>
      </c>
      <c r="H3084" t="s">
        <v>282</v>
      </c>
      <c r="I3084">
        <v>0</v>
      </c>
      <c r="J3084">
        <v>0</v>
      </c>
      <c r="K3084">
        <v>0</v>
      </c>
      <c r="L3084">
        <v>0</v>
      </c>
      <c r="M3084">
        <v>0.15</v>
      </c>
      <c r="N3084" s="7" t="e">
        <f>VLOOKUP(F3084,HC!A$6:D$100,3,FALSE)</f>
        <v>#N/A</v>
      </c>
      <c r="O3084" s="7" t="e">
        <f>VLOOKUP(F3084,HC!A$6:D$1000,2,FALSE)</f>
        <v>#N/A</v>
      </c>
      <c r="P3084" t="s">
        <v>663</v>
      </c>
      <c r="Q3084" t="s">
        <v>695</v>
      </c>
      <c r="U3084">
        <f t="shared" si="50"/>
        <v>1395</v>
      </c>
    </row>
    <row r="3085" spans="1:21" ht="37.5" customHeight="1" x14ac:dyDescent="0.25">
      <c r="A3085" s="39">
        <v>45181</v>
      </c>
      <c r="B3085" s="13">
        <v>37</v>
      </c>
      <c r="C3085" t="s">
        <v>3</v>
      </c>
      <c r="D3085" t="s">
        <v>4</v>
      </c>
      <c r="E3085" t="s">
        <v>5</v>
      </c>
      <c r="F3085">
        <v>112971980</v>
      </c>
      <c r="G3085" t="s">
        <v>445</v>
      </c>
      <c r="H3085" t="s">
        <v>459</v>
      </c>
      <c r="I3085">
        <v>0</v>
      </c>
      <c r="J3085">
        <v>0</v>
      </c>
      <c r="K3085">
        <v>0</v>
      </c>
      <c r="L3085">
        <v>0</v>
      </c>
      <c r="M3085">
        <v>0.09</v>
      </c>
      <c r="N3085" s="7" t="str">
        <f>VLOOKUP(F3085,HC!A$6:D$100,3,FALSE)</f>
        <v>DC-X0700</v>
      </c>
      <c r="O3085" s="7" t="str">
        <f>VLOOKUP(F3085,HC!A$6:D$1000,2,FALSE)</f>
        <v>cdanirom</v>
      </c>
      <c r="P3085" t="s">
        <v>661</v>
      </c>
      <c r="Q3085" t="s">
        <v>681</v>
      </c>
      <c r="U3085">
        <f t="shared" si="50"/>
        <v>25</v>
      </c>
    </row>
    <row r="3086" spans="1:21" ht="37.5" customHeight="1" x14ac:dyDescent="0.25">
      <c r="A3086" s="39">
        <v>45181</v>
      </c>
      <c r="B3086" s="13">
        <v>37</v>
      </c>
      <c r="C3086" t="s">
        <v>3</v>
      </c>
      <c r="D3086" t="s">
        <v>4</v>
      </c>
      <c r="E3086" t="s">
        <v>5</v>
      </c>
      <c r="F3086">
        <v>112972958</v>
      </c>
      <c r="G3086" t="s">
        <v>441</v>
      </c>
      <c r="H3086" t="s">
        <v>459</v>
      </c>
      <c r="I3086">
        <v>0</v>
      </c>
      <c r="J3086">
        <v>0</v>
      </c>
      <c r="K3086">
        <v>0</v>
      </c>
      <c r="L3086">
        <v>0</v>
      </c>
      <c r="M3086">
        <v>0.03</v>
      </c>
      <c r="N3086" s="7" t="str">
        <f>VLOOKUP(F3086,HC!A$6:D$100,3,FALSE)</f>
        <v>D5-X0700</v>
      </c>
      <c r="O3086" s="7" t="str">
        <f>VLOOKUP(F3086,HC!A$6:D$1000,2,FALSE)</f>
        <v>ugonzgui</v>
      </c>
      <c r="P3086" t="s">
        <v>663</v>
      </c>
      <c r="Q3086" t="s">
        <v>695</v>
      </c>
      <c r="U3086">
        <f t="shared" si="50"/>
        <v>13</v>
      </c>
    </row>
    <row r="3087" spans="1:21" ht="37.5" customHeight="1" x14ac:dyDescent="0.25">
      <c r="A3087" s="39">
        <v>45181</v>
      </c>
      <c r="B3087" s="13">
        <v>37</v>
      </c>
      <c r="C3087" t="s">
        <v>3</v>
      </c>
      <c r="D3087" t="s">
        <v>4</v>
      </c>
      <c r="E3087" t="s">
        <v>5</v>
      </c>
      <c r="F3087">
        <v>112980812</v>
      </c>
      <c r="G3087" t="s">
        <v>324</v>
      </c>
      <c r="H3087" t="s">
        <v>1040</v>
      </c>
      <c r="I3087">
        <v>0</v>
      </c>
      <c r="J3087">
        <v>0</v>
      </c>
      <c r="K3087">
        <v>0</v>
      </c>
      <c r="L3087">
        <v>0</v>
      </c>
      <c r="M3087">
        <v>0.14000000000000001</v>
      </c>
      <c r="N3087" s="7" t="str">
        <f>VLOOKUP(F3087,HC!A$6:D$100,3,FALSE)</f>
        <v>DA-X0700</v>
      </c>
      <c r="O3087" s="7" t="str">
        <f>VLOOKUP(F3087,HC!A$6:D$1000,2,FALSE)</f>
        <v>maryjacp</v>
      </c>
      <c r="P3087" t="s">
        <v>661</v>
      </c>
      <c r="Q3087" t="s">
        <v>681</v>
      </c>
      <c r="U3087">
        <f t="shared" si="50"/>
        <v>15</v>
      </c>
    </row>
    <row r="3088" spans="1:21" ht="37.5" customHeight="1" x14ac:dyDescent="0.25">
      <c r="A3088" s="39">
        <v>45181</v>
      </c>
      <c r="B3088" s="13">
        <v>37</v>
      </c>
      <c r="C3088" t="s">
        <v>3</v>
      </c>
      <c r="D3088" t="s">
        <v>4</v>
      </c>
      <c r="E3088" t="s">
        <v>5</v>
      </c>
      <c r="F3088">
        <v>112981221</v>
      </c>
      <c r="G3088" t="s">
        <v>581</v>
      </c>
      <c r="H3088" t="s">
        <v>298</v>
      </c>
      <c r="I3088">
        <v>0</v>
      </c>
      <c r="J3088">
        <v>0</v>
      </c>
      <c r="K3088">
        <v>0</v>
      </c>
      <c r="L3088">
        <v>0</v>
      </c>
      <c r="M3088">
        <v>0.31</v>
      </c>
      <c r="N3088" s="7" t="e">
        <f>VLOOKUP(F3088,HC!A$6:D$100,3,FALSE)</f>
        <v>#N/A</v>
      </c>
      <c r="O3088" s="7" t="str">
        <f>VLOOKUP(F3088,HC!A$6:D$1000,2,FALSE)</f>
        <v>spercesa</v>
      </c>
      <c r="P3088" t="s">
        <v>664</v>
      </c>
      <c r="Q3088" t="s">
        <v>770</v>
      </c>
      <c r="U3088">
        <f t="shared" si="50"/>
        <v>6</v>
      </c>
    </row>
    <row r="3089" spans="1:21" ht="37.5" customHeight="1" x14ac:dyDescent="0.25">
      <c r="A3089" s="39">
        <v>45181</v>
      </c>
      <c r="B3089" s="13">
        <v>37</v>
      </c>
      <c r="C3089" t="s">
        <v>3</v>
      </c>
      <c r="D3089" t="s">
        <v>4</v>
      </c>
      <c r="E3089" t="s">
        <v>5</v>
      </c>
      <c r="F3089">
        <v>113014402</v>
      </c>
      <c r="G3089" t="s">
        <v>397</v>
      </c>
      <c r="H3089" t="s">
        <v>298</v>
      </c>
      <c r="I3089">
        <v>0</v>
      </c>
      <c r="J3089">
        <v>0</v>
      </c>
      <c r="K3089">
        <v>0</v>
      </c>
      <c r="L3089">
        <v>0</v>
      </c>
      <c r="M3089">
        <v>0.05</v>
      </c>
      <c r="N3089" s="7" t="e">
        <f>VLOOKUP(F3089,HC!A$6:D$100,3,FALSE)</f>
        <v>#N/A</v>
      </c>
      <c r="O3089" s="7" t="str">
        <f>VLOOKUP(F3089,HC!A$6:D$1000,2,FALSE)</f>
        <v>umendoju</v>
      </c>
      <c r="R3089" t="s">
        <v>1257</v>
      </c>
      <c r="U3089">
        <f t="shared" si="50"/>
        <v>4</v>
      </c>
    </row>
    <row r="3090" spans="1:21" ht="37.5" customHeight="1" x14ac:dyDescent="0.25">
      <c r="A3090" s="39">
        <v>45181</v>
      </c>
      <c r="B3090" s="13">
        <v>37</v>
      </c>
      <c r="C3090" t="s">
        <v>3</v>
      </c>
      <c r="D3090" t="s">
        <v>4</v>
      </c>
      <c r="E3090" t="s">
        <v>5</v>
      </c>
      <c r="F3090">
        <v>113020476</v>
      </c>
      <c r="G3090" t="s">
        <v>330</v>
      </c>
      <c r="H3090" t="s">
        <v>7</v>
      </c>
      <c r="I3090">
        <v>0</v>
      </c>
      <c r="J3090">
        <v>0</v>
      </c>
      <c r="K3090">
        <v>0</v>
      </c>
      <c r="L3090">
        <v>0</v>
      </c>
      <c r="M3090">
        <v>0.43</v>
      </c>
      <c r="N3090" s="7" t="e">
        <f>VLOOKUP(F3090,HC!A$6:D$100,3,FALSE)</f>
        <v>#N/A</v>
      </c>
      <c r="O3090" s="7" t="str">
        <f>VLOOKUP(F3090,HC!A$6:D$1000,2,FALSE)</f>
        <v>polettpu</v>
      </c>
      <c r="P3090" t="s">
        <v>664</v>
      </c>
      <c r="Q3090" t="s">
        <v>711</v>
      </c>
      <c r="U3090">
        <f t="shared" si="50"/>
        <v>55</v>
      </c>
    </row>
    <row r="3091" spans="1:21" ht="37.5" customHeight="1" x14ac:dyDescent="0.25">
      <c r="A3091" s="39">
        <v>45181</v>
      </c>
      <c r="B3091" s="13">
        <v>37</v>
      </c>
      <c r="C3091" t="s">
        <v>3</v>
      </c>
      <c r="D3091" t="s">
        <v>4</v>
      </c>
      <c r="E3091" t="s">
        <v>5</v>
      </c>
      <c r="F3091">
        <v>200404250</v>
      </c>
      <c r="G3091" t="s">
        <v>51</v>
      </c>
      <c r="H3091" t="s">
        <v>298</v>
      </c>
      <c r="I3091">
        <v>0</v>
      </c>
      <c r="J3091">
        <v>0</v>
      </c>
      <c r="K3091">
        <v>0</v>
      </c>
      <c r="L3091">
        <v>0</v>
      </c>
      <c r="M3091">
        <v>0.24</v>
      </c>
      <c r="N3091" s="7" t="e">
        <f>VLOOKUP(F3091,HC!A$6:D$100,3,FALSE)</f>
        <v>#N/A</v>
      </c>
      <c r="O3091" s="7" t="str">
        <f>VLOOKUP(F3091,HC!A$6:D$1000,2,FALSE)</f>
        <v>xcathurt</v>
      </c>
      <c r="P3091" t="s">
        <v>663</v>
      </c>
      <c r="Q3091" t="s">
        <v>695</v>
      </c>
      <c r="U3091">
        <f t="shared" si="50"/>
        <v>124</v>
      </c>
    </row>
    <row r="3092" spans="1:21" ht="37.5" customHeight="1" x14ac:dyDescent="0.25">
      <c r="A3092" s="39">
        <v>45181</v>
      </c>
      <c r="B3092" s="13">
        <v>37</v>
      </c>
      <c r="C3092" t="s">
        <v>3</v>
      </c>
      <c r="D3092" t="s">
        <v>4</v>
      </c>
      <c r="E3092" t="s">
        <v>5</v>
      </c>
      <c r="F3092">
        <v>200553975</v>
      </c>
      <c r="G3092" t="s">
        <v>399</v>
      </c>
      <c r="H3092" t="s">
        <v>282</v>
      </c>
      <c r="I3092">
        <v>0</v>
      </c>
      <c r="J3092">
        <v>0</v>
      </c>
      <c r="K3092">
        <v>0</v>
      </c>
      <c r="L3092">
        <v>0</v>
      </c>
      <c r="M3092">
        <v>0.2</v>
      </c>
      <c r="N3092" s="7" t="e">
        <f>VLOOKUP(F3092,HC!A$6:D$100,3,FALSE)</f>
        <v>#N/A</v>
      </c>
      <c r="O3092" s="7" t="str">
        <f>VLOOKUP(F3092,HC!A$6:D$1000,2,FALSE)</f>
        <v>juandidu</v>
      </c>
      <c r="P3092" t="s">
        <v>662</v>
      </c>
      <c r="Q3092" t="s">
        <v>757</v>
      </c>
      <c r="U3092">
        <f t="shared" si="50"/>
        <v>4</v>
      </c>
    </row>
    <row r="3093" spans="1:21" ht="37.5" customHeight="1" x14ac:dyDescent="0.25">
      <c r="A3093" s="39">
        <v>45181</v>
      </c>
      <c r="B3093" s="13">
        <v>37</v>
      </c>
      <c r="C3093" t="s">
        <v>3</v>
      </c>
      <c r="D3093" t="s">
        <v>4</v>
      </c>
      <c r="E3093" t="s">
        <v>5</v>
      </c>
      <c r="F3093">
        <v>200625528</v>
      </c>
      <c r="G3093" t="s">
        <v>607</v>
      </c>
      <c r="H3093" t="s">
        <v>285</v>
      </c>
      <c r="I3093">
        <v>0</v>
      </c>
      <c r="J3093">
        <v>0</v>
      </c>
      <c r="K3093">
        <v>0</v>
      </c>
      <c r="L3093">
        <v>0</v>
      </c>
      <c r="M3093">
        <v>0.09</v>
      </c>
      <c r="N3093" s="7" t="e">
        <f>VLOOKUP(F3093,HC!A$6:D$100,3,FALSE)</f>
        <v>#N/A</v>
      </c>
      <c r="O3093" s="7" t="str">
        <f>VLOOKUP(F3093,HC!A$6:D$1000,2,FALSE)</f>
        <v>olivlizb</v>
      </c>
      <c r="P3093" t="s">
        <v>661</v>
      </c>
      <c r="Q3093" t="s">
        <v>684</v>
      </c>
      <c r="U3093">
        <f t="shared" si="50"/>
        <v>50</v>
      </c>
    </row>
    <row r="3094" spans="1:21" ht="37.5" customHeight="1" x14ac:dyDescent="0.25">
      <c r="A3094" s="39">
        <v>45181</v>
      </c>
      <c r="B3094" s="13">
        <v>37</v>
      </c>
      <c r="C3094" t="s">
        <v>3</v>
      </c>
      <c r="D3094" t="s">
        <v>4</v>
      </c>
      <c r="E3094" t="s">
        <v>5</v>
      </c>
      <c r="F3094">
        <v>201186833</v>
      </c>
      <c r="G3094" t="s">
        <v>904</v>
      </c>
      <c r="H3094" t="s">
        <v>250</v>
      </c>
      <c r="I3094">
        <v>0</v>
      </c>
      <c r="J3094">
        <v>0</v>
      </c>
      <c r="K3094">
        <v>0</v>
      </c>
      <c r="L3094">
        <v>0</v>
      </c>
      <c r="M3094">
        <v>0.09</v>
      </c>
      <c r="N3094" s="7" t="e">
        <f>VLOOKUP(F3094,HC!A$6:D$100,3,FALSE)</f>
        <v>#N/A</v>
      </c>
      <c r="O3094" s="7" t="str">
        <f>VLOOKUP(F3094,HC!A$6:D$1000,2,FALSE)</f>
        <v>jaalexav</v>
      </c>
      <c r="P3094" t="s">
        <v>662</v>
      </c>
      <c r="Q3094" t="s">
        <v>757</v>
      </c>
      <c r="U3094">
        <f t="shared" si="50"/>
        <v>16</v>
      </c>
    </row>
    <row r="3095" spans="1:21" ht="37.5" customHeight="1" x14ac:dyDescent="0.25">
      <c r="A3095" s="39">
        <v>45181</v>
      </c>
      <c r="B3095" s="13">
        <v>37</v>
      </c>
      <c r="C3095" t="s">
        <v>3</v>
      </c>
      <c r="D3095" t="s">
        <v>4</v>
      </c>
      <c r="E3095" t="s">
        <v>5</v>
      </c>
      <c r="F3095">
        <v>201191198</v>
      </c>
      <c r="G3095" t="s">
        <v>974</v>
      </c>
      <c r="H3095" t="s">
        <v>17</v>
      </c>
      <c r="I3095">
        <v>0</v>
      </c>
      <c r="J3095">
        <v>0</v>
      </c>
      <c r="K3095">
        <v>0</v>
      </c>
      <c r="L3095">
        <v>0</v>
      </c>
      <c r="M3095">
        <v>0.21</v>
      </c>
      <c r="N3095" s="7" t="e">
        <f>VLOOKUP(F3095,HC!A$6:D$100,3,FALSE)</f>
        <v>#N/A</v>
      </c>
      <c r="O3095" s="7" t="str">
        <f>VLOOKUP(F3095,HC!A$6:D$1000,2,FALSE)</f>
        <v>mojicemm</v>
      </c>
      <c r="P3095" t="s">
        <v>670</v>
      </c>
      <c r="Q3095" t="s">
        <v>746</v>
      </c>
      <c r="R3095" t="s">
        <v>1255</v>
      </c>
      <c r="U3095">
        <f t="shared" si="50"/>
        <v>24</v>
      </c>
    </row>
    <row r="3096" spans="1:21" ht="37.5" customHeight="1" x14ac:dyDescent="0.25">
      <c r="A3096" s="39">
        <v>45181</v>
      </c>
      <c r="B3096" s="13">
        <v>37</v>
      </c>
      <c r="C3096" t="s">
        <v>3</v>
      </c>
      <c r="D3096" t="s">
        <v>4</v>
      </c>
      <c r="E3096" t="s">
        <v>5</v>
      </c>
      <c r="F3096">
        <v>201198922</v>
      </c>
      <c r="G3096" t="s">
        <v>1141</v>
      </c>
      <c r="H3096" t="s">
        <v>403</v>
      </c>
      <c r="I3096">
        <v>0</v>
      </c>
      <c r="J3096">
        <v>0</v>
      </c>
      <c r="K3096">
        <v>0</v>
      </c>
      <c r="L3096">
        <v>0</v>
      </c>
      <c r="M3096">
        <v>0.56000000000000005</v>
      </c>
      <c r="N3096" s="7" t="e">
        <f>VLOOKUP(F3096,HC!A$6:D$100,3,FALSE)</f>
        <v>#N/A</v>
      </c>
      <c r="O3096" s="7" t="str">
        <f>VLOOKUP(F3096,HC!A$6:D$1000,2,FALSE)</f>
        <v>mendejoy</v>
      </c>
      <c r="P3096" t="s">
        <v>661</v>
      </c>
      <c r="Q3096" t="s">
        <v>681</v>
      </c>
      <c r="U3096">
        <f t="shared" si="50"/>
        <v>14</v>
      </c>
    </row>
    <row r="3097" spans="1:21" ht="37.5" customHeight="1" x14ac:dyDescent="0.25">
      <c r="A3097" s="39">
        <v>45181</v>
      </c>
      <c r="B3097" s="13">
        <v>37</v>
      </c>
      <c r="C3097" t="s">
        <v>3</v>
      </c>
      <c r="D3097" t="s">
        <v>4</v>
      </c>
      <c r="E3097" t="s">
        <v>5</v>
      </c>
      <c r="F3097">
        <v>201219500</v>
      </c>
      <c r="G3097" t="s">
        <v>937</v>
      </c>
      <c r="H3097" t="s">
        <v>17</v>
      </c>
      <c r="I3097">
        <v>0</v>
      </c>
      <c r="J3097">
        <v>0</v>
      </c>
      <c r="K3097">
        <v>0</v>
      </c>
      <c r="L3097">
        <v>0</v>
      </c>
      <c r="M3097">
        <v>0.61</v>
      </c>
      <c r="N3097" s="7" t="e">
        <f>VLOOKUP(F3097,HC!A$6:D$100,3,FALSE)</f>
        <v>#N/A</v>
      </c>
      <c r="O3097" s="7" t="str">
        <f>VLOOKUP(F3097,HC!A$6:D$1000,2,FALSE)</f>
        <v>ramsmazy</v>
      </c>
      <c r="P3097" t="s">
        <v>664</v>
      </c>
      <c r="Q3097" t="s">
        <v>711</v>
      </c>
      <c r="U3097">
        <f t="shared" si="50"/>
        <v>12</v>
      </c>
    </row>
    <row r="3098" spans="1:21" ht="37.5" customHeight="1" x14ac:dyDescent="0.25">
      <c r="A3098" s="39">
        <v>45181</v>
      </c>
      <c r="B3098" s="13">
        <v>37</v>
      </c>
      <c r="C3098" t="s">
        <v>3</v>
      </c>
      <c r="D3098" t="s">
        <v>4</v>
      </c>
      <c r="E3098" t="s">
        <v>5</v>
      </c>
      <c r="F3098">
        <v>201378542</v>
      </c>
      <c r="G3098" t="s">
        <v>1164</v>
      </c>
      <c r="H3098" t="s">
        <v>1040</v>
      </c>
      <c r="I3098">
        <v>0</v>
      </c>
      <c r="J3098">
        <v>0</v>
      </c>
      <c r="K3098">
        <v>0</v>
      </c>
      <c r="L3098">
        <v>0</v>
      </c>
      <c r="M3098">
        <v>0.11</v>
      </c>
      <c r="N3098" s="7" t="e">
        <f>VLOOKUP(F3098,HC!A$6:D$100,3,FALSE)</f>
        <v>#N/A</v>
      </c>
      <c r="O3098" s="7" t="str">
        <f>VLOOKUP(F3098,HC!A$6:D$1000,2,FALSE)</f>
        <v>tcontree</v>
      </c>
      <c r="P3098" t="s">
        <v>663</v>
      </c>
      <c r="Q3098" t="s">
        <v>695</v>
      </c>
      <c r="U3098">
        <f t="shared" si="50"/>
        <v>9</v>
      </c>
    </row>
    <row r="3099" spans="1:21" ht="37.5" customHeight="1" x14ac:dyDescent="0.25">
      <c r="A3099" s="39">
        <v>45181</v>
      </c>
      <c r="B3099" s="13">
        <v>37</v>
      </c>
      <c r="C3099" t="s">
        <v>3</v>
      </c>
      <c r="D3099" t="s">
        <v>4</v>
      </c>
      <c r="E3099" t="s">
        <v>5</v>
      </c>
      <c r="F3099">
        <v>201390638</v>
      </c>
      <c r="G3099" t="s">
        <v>1256</v>
      </c>
      <c r="H3099" t="s">
        <v>285</v>
      </c>
      <c r="I3099">
        <v>0</v>
      </c>
      <c r="J3099">
        <v>0</v>
      </c>
      <c r="K3099">
        <v>0</v>
      </c>
      <c r="L3099">
        <v>0</v>
      </c>
      <c r="M3099">
        <v>0.2</v>
      </c>
      <c r="N3099" s="7" t="e">
        <f>VLOOKUP(F3099,HC!A$6:D$100,3,FALSE)</f>
        <v>#N/A</v>
      </c>
      <c r="O3099" s="7" t="str">
        <f>VLOOKUP(F3099,HC!A$6:D$1000,2,FALSE)</f>
        <v>furielbe</v>
      </c>
      <c r="P3099" t="s">
        <v>663</v>
      </c>
      <c r="Q3099" t="s">
        <v>695</v>
      </c>
      <c r="U3099">
        <f t="shared" si="50"/>
        <v>4</v>
      </c>
    </row>
    <row r="3100" spans="1:21" ht="37.5" customHeight="1" x14ac:dyDescent="0.25">
      <c r="A3100" s="39">
        <v>45181</v>
      </c>
      <c r="B3100" s="13">
        <v>37</v>
      </c>
      <c r="C3100" t="s">
        <v>3</v>
      </c>
      <c r="D3100" t="s">
        <v>4</v>
      </c>
      <c r="E3100" t="s">
        <v>21</v>
      </c>
      <c r="F3100">
        <v>201842064</v>
      </c>
      <c r="G3100" t="s">
        <v>1241</v>
      </c>
      <c r="H3100" t="s">
        <v>17</v>
      </c>
      <c r="I3100">
        <v>0</v>
      </c>
      <c r="J3100">
        <v>0</v>
      </c>
      <c r="K3100">
        <v>0</v>
      </c>
      <c r="L3100">
        <v>0</v>
      </c>
      <c r="M3100">
        <v>0.16</v>
      </c>
      <c r="N3100" s="7" t="e">
        <f>VLOOKUP(F3100,HC!A$6:D$100,3,FALSE)</f>
        <v>#N/A</v>
      </c>
      <c r="O3100" s="7" t="str">
        <f>VLOOKUP(F3100,HC!A$6:D$1000,2,FALSE)</f>
        <v>agriandl</v>
      </c>
      <c r="P3100" t="s">
        <v>664</v>
      </c>
      <c r="Q3100" t="s">
        <v>770</v>
      </c>
      <c r="U3100">
        <f t="shared" si="50"/>
        <v>12</v>
      </c>
    </row>
    <row r="3101" spans="1:21" ht="37.5" customHeight="1" x14ac:dyDescent="0.25">
      <c r="A3101" s="39">
        <v>45181</v>
      </c>
      <c r="B3101" s="13">
        <v>37</v>
      </c>
      <c r="C3101" t="s">
        <v>3</v>
      </c>
      <c r="D3101" t="s">
        <v>4</v>
      </c>
      <c r="E3101" t="s">
        <v>21</v>
      </c>
      <c r="F3101">
        <v>201858867</v>
      </c>
      <c r="G3101" t="s">
        <v>1236</v>
      </c>
      <c r="H3101" t="s">
        <v>49</v>
      </c>
      <c r="I3101">
        <v>0</v>
      </c>
      <c r="J3101">
        <v>0</v>
      </c>
      <c r="K3101">
        <v>0</v>
      </c>
      <c r="L3101">
        <v>0</v>
      </c>
      <c r="M3101">
        <v>0.27</v>
      </c>
      <c r="N3101" s="7" t="e">
        <f>VLOOKUP(F3101,HC!A$6:D$100,3,FALSE)</f>
        <v>#N/A</v>
      </c>
      <c r="O3101" s="7" t="str">
        <f>VLOOKUP(F3101,HC!A$6:D$1000,2,FALSE)</f>
        <v>tcruzvel</v>
      </c>
      <c r="P3101" t="s">
        <v>663</v>
      </c>
      <c r="Q3101" t="s">
        <v>695</v>
      </c>
      <c r="U3101">
        <f t="shared" si="50"/>
        <v>17</v>
      </c>
    </row>
    <row r="3102" spans="1:21" ht="37.5" customHeight="1" x14ac:dyDescent="0.25">
      <c r="A3102" s="39">
        <v>45181</v>
      </c>
      <c r="B3102" s="13">
        <v>37</v>
      </c>
      <c r="C3102" t="s">
        <v>3</v>
      </c>
      <c r="D3102" t="s">
        <v>4</v>
      </c>
      <c r="E3102" t="s">
        <v>21</v>
      </c>
      <c r="F3102">
        <v>201880542</v>
      </c>
      <c r="G3102" t="s">
        <v>1225</v>
      </c>
      <c r="H3102" t="s">
        <v>298</v>
      </c>
      <c r="I3102">
        <v>0</v>
      </c>
      <c r="J3102">
        <v>0</v>
      </c>
      <c r="K3102">
        <v>0</v>
      </c>
      <c r="L3102">
        <v>0</v>
      </c>
      <c r="M3102">
        <v>0.42</v>
      </c>
      <c r="N3102" s="7" t="e">
        <f>VLOOKUP(F3102,HC!A$6:D$100,3,FALSE)</f>
        <v>#N/A</v>
      </c>
      <c r="O3102" s="7" t="str">
        <f>VLOOKUP(F3102,HC!A$6:D$1000,2,FALSE)</f>
        <v>orticorp</v>
      </c>
      <c r="P3102" t="s">
        <v>665</v>
      </c>
      <c r="Q3102" t="s">
        <v>722</v>
      </c>
      <c r="U3102">
        <f t="shared" si="50"/>
        <v>24</v>
      </c>
    </row>
    <row r="3103" spans="1:21" ht="37.5" customHeight="1" x14ac:dyDescent="0.25">
      <c r="A3103" s="39">
        <v>45182</v>
      </c>
      <c r="B3103" s="13">
        <v>37</v>
      </c>
      <c r="C3103" t="s">
        <v>3</v>
      </c>
      <c r="D3103" t="s">
        <v>4</v>
      </c>
      <c r="E3103" t="s">
        <v>5</v>
      </c>
      <c r="F3103">
        <v>112912164</v>
      </c>
      <c r="G3103" t="s">
        <v>1258</v>
      </c>
      <c r="H3103" t="s">
        <v>263</v>
      </c>
      <c r="I3103">
        <v>0</v>
      </c>
      <c r="J3103">
        <v>0</v>
      </c>
      <c r="K3103">
        <v>0</v>
      </c>
      <c r="L3103">
        <v>0</v>
      </c>
      <c r="M3103">
        <v>0.51</v>
      </c>
      <c r="N3103" s="7" t="str">
        <f>VLOOKUP(F3103,HC!A$6:D$100,3,FALSE)</f>
        <v>DB-X0700</v>
      </c>
      <c r="O3103" s="7" t="str">
        <f>VLOOKUP(F3103,HC!A$6:D$1000,2,FALSE)</f>
        <v>egortega</v>
      </c>
      <c r="P3103" t="s">
        <v>670</v>
      </c>
      <c r="Q3103" t="s">
        <v>1260</v>
      </c>
      <c r="U3103">
        <f t="shared" si="50"/>
        <v>1</v>
      </c>
    </row>
    <row r="3104" spans="1:21" ht="37.5" customHeight="1" x14ac:dyDescent="0.25">
      <c r="A3104" s="39">
        <v>45182</v>
      </c>
      <c r="B3104" s="13">
        <v>37</v>
      </c>
      <c r="C3104" t="s">
        <v>3</v>
      </c>
      <c r="D3104" t="s">
        <v>4</v>
      </c>
      <c r="E3104" t="s">
        <v>21</v>
      </c>
      <c r="F3104">
        <v>112971959</v>
      </c>
      <c r="G3104" t="s">
        <v>1246</v>
      </c>
      <c r="H3104" t="s">
        <v>282</v>
      </c>
      <c r="I3104">
        <v>0</v>
      </c>
      <c r="J3104">
        <v>0</v>
      </c>
      <c r="K3104">
        <v>0</v>
      </c>
      <c r="L3104">
        <v>0</v>
      </c>
      <c r="M3104">
        <v>0.2</v>
      </c>
      <c r="N3104" s="7" t="e">
        <f>VLOOKUP(F3104,HC!A$6:D$100,3,FALSE)</f>
        <v>#N/A</v>
      </c>
      <c r="O3104" s="7" t="e">
        <f>VLOOKUP(F3104,HC!A$6:D$1000,2,FALSE)</f>
        <v>#N/A</v>
      </c>
      <c r="P3104" t="s">
        <v>663</v>
      </c>
      <c r="Q3104" t="s">
        <v>692</v>
      </c>
      <c r="U3104">
        <f t="shared" si="50"/>
        <v>1395</v>
      </c>
    </row>
    <row r="3105" spans="1:21" ht="37.5" customHeight="1" x14ac:dyDescent="0.25">
      <c r="A3105" s="39">
        <v>45182</v>
      </c>
      <c r="B3105" s="13">
        <v>37</v>
      </c>
      <c r="C3105" t="s">
        <v>3</v>
      </c>
      <c r="D3105" t="s">
        <v>4</v>
      </c>
      <c r="E3105" t="s">
        <v>21</v>
      </c>
      <c r="F3105">
        <v>113003619</v>
      </c>
      <c r="G3105" t="s">
        <v>1237</v>
      </c>
      <c r="H3105" t="s">
        <v>7</v>
      </c>
      <c r="I3105">
        <v>0</v>
      </c>
      <c r="J3105">
        <v>0</v>
      </c>
      <c r="K3105">
        <v>0</v>
      </c>
      <c r="L3105">
        <v>0</v>
      </c>
      <c r="M3105">
        <v>0.67</v>
      </c>
      <c r="N3105" s="7" t="e">
        <f>VLOOKUP(F3105,HC!A$6:D$100,3,FALSE)</f>
        <v>#N/A</v>
      </c>
      <c r="O3105" s="7" t="e">
        <f>VLOOKUP(F3105,HC!A$6:D$1000,2,FALSE)</f>
        <v>#N/A</v>
      </c>
      <c r="P3105" t="s">
        <v>664</v>
      </c>
      <c r="Q3105" t="s">
        <v>762</v>
      </c>
      <c r="R3105" t="s">
        <v>0</v>
      </c>
      <c r="U3105">
        <f t="shared" si="50"/>
        <v>1395</v>
      </c>
    </row>
    <row r="3106" spans="1:21" ht="37.5" customHeight="1" x14ac:dyDescent="0.25">
      <c r="A3106" s="39">
        <v>45182</v>
      </c>
      <c r="B3106" s="13">
        <v>37</v>
      </c>
      <c r="C3106" t="s">
        <v>3</v>
      </c>
      <c r="D3106" t="s">
        <v>4</v>
      </c>
      <c r="E3106" t="s">
        <v>5</v>
      </c>
      <c r="F3106">
        <v>113004099</v>
      </c>
      <c r="G3106" t="s">
        <v>542</v>
      </c>
      <c r="H3106" t="s">
        <v>263</v>
      </c>
      <c r="I3106">
        <v>0</v>
      </c>
      <c r="J3106">
        <v>0</v>
      </c>
      <c r="K3106">
        <v>0</v>
      </c>
      <c r="L3106">
        <v>0</v>
      </c>
      <c r="M3106">
        <v>0.96</v>
      </c>
      <c r="N3106" s="7" t="e">
        <f>VLOOKUP(F3106,HC!A$6:D$100,3,FALSE)</f>
        <v>#N/A</v>
      </c>
      <c r="O3106" s="7" t="str">
        <f>VLOOKUP(F3106,HC!A$6:D$1000,2,FALSE)</f>
        <v>partilum</v>
      </c>
      <c r="P3106" t="s">
        <v>670</v>
      </c>
      <c r="Q3106" t="s">
        <v>764</v>
      </c>
      <c r="R3106" t="s">
        <v>355</v>
      </c>
      <c r="U3106">
        <f t="shared" si="50"/>
        <v>8</v>
      </c>
    </row>
    <row r="3107" spans="1:21" ht="37.5" customHeight="1" x14ac:dyDescent="0.25">
      <c r="A3107" s="39">
        <v>45182</v>
      </c>
      <c r="B3107" s="13">
        <v>37</v>
      </c>
      <c r="C3107" t="s">
        <v>3</v>
      </c>
      <c r="D3107" t="s">
        <v>4</v>
      </c>
      <c r="E3107" t="s">
        <v>5</v>
      </c>
      <c r="F3107">
        <v>113014403</v>
      </c>
      <c r="G3107" t="s">
        <v>373</v>
      </c>
      <c r="H3107" t="s">
        <v>250</v>
      </c>
      <c r="I3107">
        <v>0</v>
      </c>
      <c r="J3107">
        <v>0</v>
      </c>
      <c r="K3107">
        <v>0</v>
      </c>
      <c r="L3107">
        <v>0</v>
      </c>
      <c r="M3107">
        <v>0.19</v>
      </c>
      <c r="N3107" s="7" t="e">
        <f>VLOOKUP(F3107,HC!A$6:D$100,3,FALSE)</f>
        <v>#N/A</v>
      </c>
      <c r="O3107" s="7" t="str">
        <f>VLOOKUP(F3107,HC!A$6:D$1000,2,FALSE)</f>
        <v>wnoraria</v>
      </c>
      <c r="P3107" t="s">
        <v>661</v>
      </c>
      <c r="Q3107" t="s">
        <v>681</v>
      </c>
      <c r="U3107">
        <f t="shared" si="50"/>
        <v>23</v>
      </c>
    </row>
    <row r="3108" spans="1:21" ht="37.5" customHeight="1" x14ac:dyDescent="0.25">
      <c r="A3108" s="39">
        <v>45182</v>
      </c>
      <c r="B3108" s="13">
        <v>37</v>
      </c>
      <c r="C3108" t="s">
        <v>3</v>
      </c>
      <c r="D3108" t="s">
        <v>4</v>
      </c>
      <c r="E3108" t="s">
        <v>5</v>
      </c>
      <c r="F3108">
        <v>113014592</v>
      </c>
      <c r="G3108" t="s">
        <v>967</v>
      </c>
      <c r="H3108" t="s">
        <v>298</v>
      </c>
      <c r="I3108">
        <v>0</v>
      </c>
      <c r="J3108">
        <v>0</v>
      </c>
      <c r="K3108">
        <v>0</v>
      </c>
      <c r="L3108">
        <v>0</v>
      </c>
      <c r="M3108">
        <v>0.23</v>
      </c>
      <c r="N3108" s="7" t="e">
        <f>VLOOKUP(F3108,HC!A$6:D$100,3,FALSE)</f>
        <v>#N/A</v>
      </c>
      <c r="O3108" s="7" t="str">
        <f>VLOOKUP(F3108,HC!A$6:D$1000,2,FALSE)</f>
        <v>brepicaz</v>
      </c>
      <c r="P3108" t="s">
        <v>663</v>
      </c>
      <c r="Q3108" t="s">
        <v>692</v>
      </c>
      <c r="U3108">
        <f t="shared" si="50"/>
        <v>6</v>
      </c>
    </row>
    <row r="3109" spans="1:21" ht="37.5" customHeight="1" x14ac:dyDescent="0.25">
      <c r="A3109" s="39">
        <v>45182</v>
      </c>
      <c r="B3109" s="13">
        <v>37</v>
      </c>
      <c r="C3109" t="s">
        <v>3</v>
      </c>
      <c r="D3109" t="s">
        <v>4</v>
      </c>
      <c r="E3109" t="s">
        <v>5</v>
      </c>
      <c r="F3109">
        <v>113019001</v>
      </c>
      <c r="G3109" t="s">
        <v>464</v>
      </c>
      <c r="H3109" t="s">
        <v>1040</v>
      </c>
      <c r="I3109">
        <v>0</v>
      </c>
      <c r="J3109">
        <v>0</v>
      </c>
      <c r="K3109">
        <v>0</v>
      </c>
      <c r="L3109">
        <v>0</v>
      </c>
      <c r="M3109">
        <v>0.46</v>
      </c>
      <c r="N3109" s="7" t="e">
        <f>VLOOKUP(F3109,HC!A$6:D$100,3,FALSE)</f>
        <v>#N/A</v>
      </c>
      <c r="O3109" s="7" t="str">
        <f>VLOOKUP(F3109,HC!A$6:D$1000,2,FALSE)</f>
        <v>dolozane</v>
      </c>
      <c r="P3109" t="s">
        <v>663</v>
      </c>
      <c r="Q3109" t="s">
        <v>692</v>
      </c>
      <c r="U3109">
        <f t="shared" si="50"/>
        <v>17</v>
      </c>
    </row>
    <row r="3110" spans="1:21" ht="37.5" customHeight="1" x14ac:dyDescent="0.25">
      <c r="A3110" s="39">
        <v>45182</v>
      </c>
      <c r="B3110" s="13">
        <v>37</v>
      </c>
      <c r="C3110" t="s">
        <v>3</v>
      </c>
      <c r="D3110" t="s">
        <v>4</v>
      </c>
      <c r="E3110" t="s">
        <v>5</v>
      </c>
      <c r="F3110">
        <v>113101453</v>
      </c>
      <c r="G3110" t="s">
        <v>50</v>
      </c>
      <c r="H3110" t="s">
        <v>44</v>
      </c>
      <c r="I3110">
        <v>0</v>
      </c>
      <c r="J3110">
        <v>0</v>
      </c>
      <c r="K3110">
        <v>0</v>
      </c>
      <c r="L3110">
        <v>0</v>
      </c>
      <c r="M3110">
        <v>0.15</v>
      </c>
      <c r="N3110" s="7" t="e">
        <f>VLOOKUP(F3110,HC!A$6:D$100,3,FALSE)</f>
        <v>#N/A</v>
      </c>
      <c r="O3110" s="7" t="str">
        <f>VLOOKUP(F3110,HC!A$6:D$1000,2,FALSE)</f>
        <v>qisgeova</v>
      </c>
      <c r="P3110" t="s">
        <v>663</v>
      </c>
      <c r="Q3110" t="s">
        <v>695</v>
      </c>
      <c r="U3110">
        <f t="shared" si="50"/>
        <v>57</v>
      </c>
    </row>
    <row r="3111" spans="1:21" ht="37.5" customHeight="1" x14ac:dyDescent="0.25">
      <c r="A3111" s="39">
        <v>45182</v>
      </c>
      <c r="B3111" s="13">
        <v>37</v>
      </c>
      <c r="C3111" t="s">
        <v>3</v>
      </c>
      <c r="D3111" t="s">
        <v>4</v>
      </c>
      <c r="E3111" t="s">
        <v>5</v>
      </c>
      <c r="F3111">
        <v>113138338</v>
      </c>
      <c r="G3111" t="s">
        <v>398</v>
      </c>
      <c r="H3111" t="s">
        <v>459</v>
      </c>
      <c r="I3111">
        <v>0</v>
      </c>
      <c r="J3111">
        <v>0</v>
      </c>
      <c r="K3111">
        <v>0</v>
      </c>
      <c r="L3111">
        <v>0</v>
      </c>
      <c r="M3111">
        <v>0.85</v>
      </c>
      <c r="N3111" s="7" t="e">
        <f>VLOOKUP(F3111,HC!A$6:D$100,3,FALSE)</f>
        <v>#N/A</v>
      </c>
      <c r="O3111" s="7" t="str">
        <f>VLOOKUP(F3111,HC!A$6:D$1000,2,FALSE)</f>
        <v>cescornh</v>
      </c>
      <c r="P3111" t="s">
        <v>663</v>
      </c>
      <c r="Q3111" t="s">
        <v>692</v>
      </c>
      <c r="U3111">
        <f t="shared" si="50"/>
        <v>10</v>
      </c>
    </row>
    <row r="3112" spans="1:21" ht="37.5" customHeight="1" x14ac:dyDescent="0.25">
      <c r="A3112" s="39">
        <v>45182</v>
      </c>
      <c r="B3112" s="13">
        <v>37</v>
      </c>
      <c r="C3112" t="s">
        <v>3</v>
      </c>
      <c r="D3112" t="s">
        <v>4</v>
      </c>
      <c r="E3112" t="s">
        <v>5</v>
      </c>
      <c r="F3112">
        <v>200574345</v>
      </c>
      <c r="G3112" t="s">
        <v>476</v>
      </c>
      <c r="H3112" t="s">
        <v>298</v>
      </c>
      <c r="I3112">
        <v>0</v>
      </c>
      <c r="J3112">
        <v>0</v>
      </c>
      <c r="K3112">
        <v>0</v>
      </c>
      <c r="L3112">
        <v>0</v>
      </c>
      <c r="M3112">
        <v>0.28999999999999998</v>
      </c>
      <c r="N3112" s="7" t="e">
        <f>VLOOKUP(F3112,HC!A$6:D$100,3,FALSE)</f>
        <v>#N/A</v>
      </c>
      <c r="O3112" s="7" t="str">
        <f>VLOOKUP(F3112,HC!A$6:D$1000,2,FALSE)</f>
        <v>contrexj</v>
      </c>
      <c r="P3112" t="s">
        <v>661</v>
      </c>
      <c r="Q3112" t="s">
        <v>681</v>
      </c>
      <c r="U3112">
        <f t="shared" si="50"/>
        <v>17</v>
      </c>
    </row>
    <row r="3113" spans="1:21" ht="37.5" customHeight="1" x14ac:dyDescent="0.25">
      <c r="A3113" s="39">
        <v>45182</v>
      </c>
      <c r="B3113" s="13">
        <v>37</v>
      </c>
      <c r="C3113" t="s">
        <v>3</v>
      </c>
      <c r="D3113" t="s">
        <v>4</v>
      </c>
      <c r="E3113" t="s">
        <v>5</v>
      </c>
      <c r="F3113">
        <v>201167501</v>
      </c>
      <c r="G3113" t="s">
        <v>863</v>
      </c>
      <c r="H3113" t="s">
        <v>44</v>
      </c>
      <c r="I3113">
        <v>0</v>
      </c>
      <c r="J3113">
        <v>0</v>
      </c>
      <c r="K3113">
        <v>0</v>
      </c>
      <c r="L3113">
        <v>0</v>
      </c>
      <c r="M3113">
        <v>0.32</v>
      </c>
      <c r="N3113" s="7" t="e">
        <f>VLOOKUP(F3113,HC!A$6:D$100,3,FALSE)</f>
        <v>#N/A</v>
      </c>
      <c r="O3113" s="7" t="str">
        <f>VLOOKUP(F3113,HC!A$6:D$1000,2,FALSE)</f>
        <v>wguanajr</v>
      </c>
      <c r="P3113" t="s">
        <v>661</v>
      </c>
      <c r="Q3113" t="s">
        <v>775</v>
      </c>
      <c r="U3113">
        <f t="shared" si="50"/>
        <v>36</v>
      </c>
    </row>
    <row r="3114" spans="1:21" ht="37.5" customHeight="1" x14ac:dyDescent="0.25">
      <c r="A3114" s="39">
        <v>45182</v>
      </c>
      <c r="B3114" s="13">
        <v>37</v>
      </c>
      <c r="C3114" t="s">
        <v>3</v>
      </c>
      <c r="D3114" t="s">
        <v>4</v>
      </c>
      <c r="E3114" t="s">
        <v>5</v>
      </c>
      <c r="F3114">
        <v>201191390</v>
      </c>
      <c r="G3114" t="s">
        <v>916</v>
      </c>
      <c r="H3114" t="s">
        <v>7</v>
      </c>
      <c r="I3114">
        <v>0</v>
      </c>
      <c r="J3114">
        <v>0</v>
      </c>
      <c r="K3114">
        <v>0</v>
      </c>
      <c r="L3114">
        <v>0</v>
      </c>
      <c r="M3114">
        <v>0.56000000000000005</v>
      </c>
      <c r="N3114" s="7" t="e">
        <f>VLOOKUP(F3114,HC!A$6:D$100,3,FALSE)</f>
        <v>#N/A</v>
      </c>
      <c r="O3114" s="7" t="str">
        <f>VLOOKUP(F3114,HC!A$6:D$1000,2,FALSE)</f>
        <v>bgajesus</v>
      </c>
      <c r="P3114" t="s">
        <v>675</v>
      </c>
      <c r="U3114">
        <f t="shared" si="50"/>
        <v>37</v>
      </c>
    </row>
    <row r="3115" spans="1:21" ht="37.5" customHeight="1" x14ac:dyDescent="0.25">
      <c r="A3115" s="39">
        <v>45182</v>
      </c>
      <c r="B3115" s="13">
        <v>37</v>
      </c>
      <c r="C3115" t="s">
        <v>3</v>
      </c>
      <c r="D3115" t="s">
        <v>4</v>
      </c>
      <c r="E3115" t="s">
        <v>5</v>
      </c>
      <c r="F3115">
        <v>201197964</v>
      </c>
      <c r="G3115" t="s">
        <v>1180</v>
      </c>
      <c r="H3115" t="s">
        <v>298</v>
      </c>
      <c r="I3115">
        <v>0</v>
      </c>
      <c r="J3115">
        <v>0</v>
      </c>
      <c r="K3115">
        <v>0</v>
      </c>
      <c r="L3115">
        <v>0</v>
      </c>
      <c r="M3115">
        <v>0.11</v>
      </c>
      <c r="N3115" s="7" t="e">
        <f>VLOOKUP(F3115,HC!A$6:D$100,3,FALSE)</f>
        <v>#N/A</v>
      </c>
      <c r="O3115" s="7" t="str">
        <f>VLOOKUP(F3115,HC!A$6:D$1000,2,FALSE)</f>
        <v>matzquij</v>
      </c>
      <c r="P3115" t="s">
        <v>665</v>
      </c>
      <c r="Q3115" t="s">
        <v>722</v>
      </c>
      <c r="U3115">
        <f t="shared" si="50"/>
        <v>16</v>
      </c>
    </row>
    <row r="3116" spans="1:21" ht="37.5" customHeight="1" x14ac:dyDescent="0.25">
      <c r="A3116" s="39">
        <v>45182</v>
      </c>
      <c r="B3116" s="13">
        <v>37</v>
      </c>
      <c r="C3116" t="s">
        <v>3</v>
      </c>
      <c r="D3116" t="s">
        <v>4</v>
      </c>
      <c r="E3116" t="s">
        <v>5</v>
      </c>
      <c r="F3116">
        <v>201223730</v>
      </c>
      <c r="G3116" t="s">
        <v>933</v>
      </c>
      <c r="H3116" t="s">
        <v>49</v>
      </c>
      <c r="I3116">
        <v>0</v>
      </c>
      <c r="J3116">
        <v>0</v>
      </c>
      <c r="K3116">
        <v>0</v>
      </c>
      <c r="L3116">
        <v>0</v>
      </c>
      <c r="M3116">
        <v>0.88</v>
      </c>
      <c r="N3116" s="7" t="e">
        <f>VLOOKUP(F3116,HC!A$6:D$100,3,FALSE)</f>
        <v>#N/A</v>
      </c>
      <c r="O3116" s="7" t="str">
        <f>VLOOKUP(F3116,HC!A$6:D$1000,2,FALSE)</f>
        <v>cesarito</v>
      </c>
      <c r="P3116" t="s">
        <v>675</v>
      </c>
      <c r="U3116">
        <f t="shared" si="50"/>
        <v>39</v>
      </c>
    </row>
    <row r="3117" spans="1:21" ht="37.5" customHeight="1" x14ac:dyDescent="0.25">
      <c r="A3117" s="39">
        <v>45182</v>
      </c>
      <c r="B3117" s="13">
        <v>37</v>
      </c>
      <c r="C3117" t="s">
        <v>3</v>
      </c>
      <c r="D3117" t="s">
        <v>4</v>
      </c>
      <c r="E3117" t="s">
        <v>5</v>
      </c>
      <c r="F3117">
        <v>201228411</v>
      </c>
      <c r="G3117" t="s">
        <v>938</v>
      </c>
      <c r="H3117" t="s">
        <v>49</v>
      </c>
      <c r="I3117">
        <v>0</v>
      </c>
      <c r="J3117">
        <v>0</v>
      </c>
      <c r="K3117">
        <v>0</v>
      </c>
      <c r="L3117">
        <v>0</v>
      </c>
      <c r="M3117">
        <v>1.31</v>
      </c>
      <c r="N3117" s="7" t="e">
        <f>VLOOKUP(F3117,HC!A$6:D$100,3,FALSE)</f>
        <v>#N/A</v>
      </c>
      <c r="O3117" s="7" t="str">
        <f>VLOOKUP(F3117,HC!A$6:D$1000,2,FALSE)</f>
        <v>jazmiwhe</v>
      </c>
      <c r="P3117" t="s">
        <v>675</v>
      </c>
      <c r="U3117">
        <f t="shared" si="50"/>
        <v>36</v>
      </c>
    </row>
    <row r="3118" spans="1:21" ht="37.5" customHeight="1" x14ac:dyDescent="0.25">
      <c r="A3118" s="39">
        <v>45182</v>
      </c>
      <c r="B3118" s="13">
        <v>37</v>
      </c>
      <c r="C3118" t="s">
        <v>3</v>
      </c>
      <c r="D3118" t="s">
        <v>4</v>
      </c>
      <c r="E3118" t="s">
        <v>5</v>
      </c>
      <c r="F3118">
        <v>201345737</v>
      </c>
      <c r="G3118" t="s">
        <v>1083</v>
      </c>
      <c r="H3118" t="s">
        <v>263</v>
      </c>
      <c r="I3118">
        <v>0</v>
      </c>
      <c r="J3118">
        <v>0</v>
      </c>
      <c r="K3118">
        <v>0</v>
      </c>
      <c r="L3118">
        <v>0</v>
      </c>
      <c r="M3118">
        <v>0.11</v>
      </c>
      <c r="N3118" s="7" t="e">
        <f>VLOOKUP(F3118,HC!A$6:D$100,3,FALSE)</f>
        <v>#N/A</v>
      </c>
      <c r="O3118" s="7" t="str">
        <f>VLOOKUP(F3118,HC!A$6:D$1000,2,FALSE)</f>
        <v>upacoros</v>
      </c>
      <c r="P3118" t="s">
        <v>661</v>
      </c>
      <c r="Q3118" t="s">
        <v>681</v>
      </c>
      <c r="U3118">
        <f t="shared" si="50"/>
        <v>11</v>
      </c>
    </row>
    <row r="3119" spans="1:21" ht="37.5" customHeight="1" x14ac:dyDescent="0.25">
      <c r="A3119" s="39">
        <v>45182</v>
      </c>
      <c r="B3119" s="13">
        <v>37</v>
      </c>
      <c r="C3119" t="s">
        <v>3</v>
      </c>
      <c r="D3119" t="s">
        <v>4</v>
      </c>
      <c r="E3119" t="s">
        <v>5</v>
      </c>
      <c r="F3119">
        <v>201354965</v>
      </c>
      <c r="G3119" t="s">
        <v>1063</v>
      </c>
      <c r="H3119" t="s">
        <v>263</v>
      </c>
      <c r="I3119">
        <v>0</v>
      </c>
      <c r="J3119">
        <v>0</v>
      </c>
      <c r="K3119">
        <v>0</v>
      </c>
      <c r="L3119">
        <v>0</v>
      </c>
      <c r="M3119">
        <v>0.44</v>
      </c>
      <c r="N3119" s="7" t="e">
        <f>VLOOKUP(F3119,HC!A$6:D$100,3,FALSE)</f>
        <v>#N/A</v>
      </c>
      <c r="O3119" s="7" t="str">
        <f>VLOOKUP(F3119,HC!A$6:D$1000,2,FALSE)</f>
        <v>alinejim</v>
      </c>
      <c r="P3119" t="s">
        <v>675</v>
      </c>
      <c r="U3119">
        <f t="shared" si="50"/>
        <v>33</v>
      </c>
    </row>
    <row r="3120" spans="1:21" ht="37.5" customHeight="1" x14ac:dyDescent="0.25">
      <c r="A3120" s="39">
        <v>45182</v>
      </c>
      <c r="B3120" s="13">
        <v>37</v>
      </c>
      <c r="C3120" t="s">
        <v>3</v>
      </c>
      <c r="D3120" t="s">
        <v>4</v>
      </c>
      <c r="E3120" t="s">
        <v>5</v>
      </c>
      <c r="F3120">
        <v>201360639</v>
      </c>
      <c r="G3120" t="s">
        <v>1142</v>
      </c>
      <c r="H3120" t="s">
        <v>332</v>
      </c>
      <c r="I3120">
        <v>0</v>
      </c>
      <c r="J3120">
        <v>0</v>
      </c>
      <c r="K3120">
        <v>0</v>
      </c>
      <c r="L3120">
        <v>0</v>
      </c>
      <c r="M3120">
        <v>0.14000000000000001</v>
      </c>
      <c r="N3120" s="7" t="e">
        <f>VLOOKUP(F3120,HC!A$6:D$100,3,FALSE)</f>
        <v>#N/A</v>
      </c>
      <c r="O3120" s="7" t="str">
        <f>VLOOKUP(F3120,HC!A$6:D$1000,2,FALSE)</f>
        <v>riveoyae</v>
      </c>
      <c r="P3120" t="s">
        <v>662</v>
      </c>
      <c r="Q3120" t="s">
        <v>688</v>
      </c>
      <c r="U3120">
        <f t="shared" si="50"/>
        <v>6</v>
      </c>
    </row>
    <row r="3121" spans="1:21" ht="37.5" customHeight="1" x14ac:dyDescent="0.25">
      <c r="A3121" s="39">
        <v>45182</v>
      </c>
      <c r="B3121" s="13">
        <v>37</v>
      </c>
      <c r="C3121" t="s">
        <v>3</v>
      </c>
      <c r="D3121" t="s">
        <v>4</v>
      </c>
      <c r="E3121" t="s">
        <v>5</v>
      </c>
      <c r="F3121">
        <v>201378542</v>
      </c>
      <c r="G3121" t="s">
        <v>1164</v>
      </c>
      <c r="H3121" t="s">
        <v>1040</v>
      </c>
      <c r="I3121">
        <v>0</v>
      </c>
      <c r="J3121">
        <v>0</v>
      </c>
      <c r="K3121">
        <v>0</v>
      </c>
      <c r="L3121">
        <v>0</v>
      </c>
      <c r="M3121">
        <v>16.32</v>
      </c>
      <c r="N3121" s="7" t="e">
        <f>VLOOKUP(F3121,HC!A$6:D$100,3,FALSE)</f>
        <v>#N/A</v>
      </c>
      <c r="O3121" s="7" t="str">
        <f>VLOOKUP(F3121,HC!A$6:D$1000,2,FALSE)</f>
        <v>tcontree</v>
      </c>
      <c r="P3121" t="s">
        <v>662</v>
      </c>
      <c r="Q3121" t="s">
        <v>757</v>
      </c>
      <c r="U3121">
        <f t="shared" si="50"/>
        <v>9</v>
      </c>
    </row>
    <row r="3122" spans="1:21" ht="37.5" customHeight="1" x14ac:dyDescent="0.25">
      <c r="A3122" s="39">
        <v>45182</v>
      </c>
      <c r="B3122" s="13">
        <v>37</v>
      </c>
      <c r="C3122" t="s">
        <v>3</v>
      </c>
      <c r="D3122" t="s">
        <v>4</v>
      </c>
      <c r="E3122" t="s">
        <v>21</v>
      </c>
      <c r="F3122">
        <v>201836048</v>
      </c>
      <c r="G3122" t="s">
        <v>1229</v>
      </c>
      <c r="H3122" t="s">
        <v>263</v>
      </c>
      <c r="I3122">
        <v>0</v>
      </c>
      <c r="J3122">
        <v>0</v>
      </c>
      <c r="K3122">
        <v>0</v>
      </c>
      <c r="L3122">
        <v>0</v>
      </c>
      <c r="M3122">
        <v>0.02</v>
      </c>
      <c r="N3122" s="7" t="e">
        <f>VLOOKUP(F3122,HC!A$6:D$100,3,FALSE)</f>
        <v>#N/A</v>
      </c>
      <c r="O3122" s="7" t="e">
        <f>VLOOKUP(F3122,HC!A$6:D$1000,2,FALSE)</f>
        <v>#N/A</v>
      </c>
      <c r="P3122" t="s">
        <v>663</v>
      </c>
      <c r="Q3122" t="s">
        <v>705</v>
      </c>
      <c r="U3122">
        <f t="shared" si="50"/>
        <v>1395</v>
      </c>
    </row>
    <row r="3123" spans="1:21" ht="37.5" customHeight="1" x14ac:dyDescent="0.25">
      <c r="A3123" s="39">
        <v>45182</v>
      </c>
      <c r="B3123" s="13">
        <v>37</v>
      </c>
      <c r="C3123" t="s">
        <v>3</v>
      </c>
      <c r="D3123" t="s">
        <v>4</v>
      </c>
      <c r="E3123" t="s">
        <v>21</v>
      </c>
      <c r="F3123">
        <v>201880542</v>
      </c>
      <c r="G3123" t="s">
        <v>1225</v>
      </c>
      <c r="H3123" t="s">
        <v>298</v>
      </c>
      <c r="I3123">
        <v>0</v>
      </c>
      <c r="J3123">
        <v>0</v>
      </c>
      <c r="K3123">
        <v>0</v>
      </c>
      <c r="L3123">
        <v>0</v>
      </c>
      <c r="M3123">
        <v>0.13</v>
      </c>
      <c r="N3123" s="7" t="e">
        <f>VLOOKUP(F3123,HC!A$6:D$100,3,FALSE)</f>
        <v>#N/A</v>
      </c>
      <c r="O3123" s="7" t="str">
        <f>VLOOKUP(F3123,HC!A$6:D$1000,2,FALSE)</f>
        <v>orticorp</v>
      </c>
      <c r="P3123" t="s">
        <v>665</v>
      </c>
      <c r="Q3123" t="s">
        <v>722</v>
      </c>
      <c r="U3123">
        <f t="shared" si="50"/>
        <v>24</v>
      </c>
    </row>
    <row r="3124" spans="1:21" ht="37.5" customHeight="1" x14ac:dyDescent="0.25">
      <c r="A3124" s="39">
        <v>45182</v>
      </c>
      <c r="B3124" s="13">
        <v>37</v>
      </c>
      <c r="C3124" t="s">
        <v>3</v>
      </c>
      <c r="D3124" t="s">
        <v>4</v>
      </c>
      <c r="E3124" t="s">
        <v>21</v>
      </c>
      <c r="F3124">
        <v>201891076</v>
      </c>
      <c r="G3124" t="s">
        <v>1226</v>
      </c>
      <c r="H3124" t="s">
        <v>298</v>
      </c>
      <c r="I3124">
        <v>0</v>
      </c>
      <c r="J3124">
        <v>0</v>
      </c>
      <c r="K3124">
        <v>0</v>
      </c>
      <c r="L3124">
        <v>0</v>
      </c>
      <c r="M3124">
        <v>0.39</v>
      </c>
      <c r="N3124" s="7" t="e">
        <f>VLOOKUP(F3124,HC!A$6:D$100,3,FALSE)</f>
        <v>#N/A</v>
      </c>
      <c r="O3124" s="7" t="str">
        <f>VLOOKUP(F3124,HC!A$6:D$1000,2,FALSE)</f>
        <v>marmolve</v>
      </c>
      <c r="P3124" t="s">
        <v>666</v>
      </c>
      <c r="Q3124" t="s">
        <v>768</v>
      </c>
      <c r="U3124">
        <f t="shared" si="50"/>
        <v>9</v>
      </c>
    </row>
    <row r="3125" spans="1:21" ht="37.5" customHeight="1" x14ac:dyDescent="0.25">
      <c r="A3125" s="39">
        <v>45183</v>
      </c>
      <c r="B3125" s="13">
        <v>37</v>
      </c>
      <c r="C3125" t="s">
        <v>3</v>
      </c>
      <c r="D3125" t="s">
        <v>4</v>
      </c>
      <c r="E3125" t="s">
        <v>5</v>
      </c>
      <c r="F3125">
        <v>112912397</v>
      </c>
      <c r="G3125" t="s">
        <v>489</v>
      </c>
      <c r="H3125" t="s">
        <v>47</v>
      </c>
      <c r="I3125">
        <v>0</v>
      </c>
      <c r="J3125">
        <v>0</v>
      </c>
      <c r="K3125">
        <v>0</v>
      </c>
      <c r="L3125">
        <v>0</v>
      </c>
      <c r="M3125">
        <v>0.16</v>
      </c>
      <c r="N3125" s="7" t="str">
        <f>VLOOKUP(F3125,HC!A$6:D$100,3,FALSE)</f>
        <v>D5-X0700</v>
      </c>
      <c r="O3125" s="7" t="str">
        <f>VLOOKUP(F3125,HC!A$6:D$1000,2,FALSE)</f>
        <v>tjuandne</v>
      </c>
      <c r="P3125" t="s">
        <v>662</v>
      </c>
      <c r="Q3125" t="s">
        <v>691</v>
      </c>
      <c r="U3125">
        <f t="shared" si="50"/>
        <v>5</v>
      </c>
    </row>
    <row r="3126" spans="1:21" ht="37.5" customHeight="1" x14ac:dyDescent="0.25">
      <c r="A3126" s="39">
        <v>45183</v>
      </c>
      <c r="B3126" s="13">
        <v>37</v>
      </c>
      <c r="C3126" t="s">
        <v>3</v>
      </c>
      <c r="D3126" t="s">
        <v>4</v>
      </c>
      <c r="E3126" t="s">
        <v>5</v>
      </c>
      <c r="F3126">
        <v>112912752</v>
      </c>
      <c r="G3126" t="s">
        <v>251</v>
      </c>
      <c r="H3126" t="s">
        <v>332</v>
      </c>
      <c r="I3126">
        <v>0</v>
      </c>
      <c r="J3126">
        <v>0</v>
      </c>
      <c r="K3126">
        <v>0</v>
      </c>
      <c r="L3126">
        <v>0</v>
      </c>
      <c r="M3126">
        <v>0.23</v>
      </c>
      <c r="N3126" s="7" t="str">
        <f>VLOOKUP(F3126,HC!A$6:D$100,3,FALSE)</f>
        <v>NF-X1900</v>
      </c>
      <c r="O3126" s="7" t="str">
        <f>VLOOKUP(F3126,HC!A$6:D$1000,2,FALSE)</f>
        <v>valderle</v>
      </c>
      <c r="P3126" t="s">
        <v>663</v>
      </c>
      <c r="Q3126" t="s">
        <v>695</v>
      </c>
      <c r="U3126">
        <f t="shared" si="50"/>
        <v>50</v>
      </c>
    </row>
    <row r="3127" spans="1:21" ht="37.5" customHeight="1" x14ac:dyDescent="0.25">
      <c r="A3127" s="39">
        <v>45183</v>
      </c>
      <c r="B3127" s="13">
        <v>37</v>
      </c>
      <c r="C3127" t="s">
        <v>3</v>
      </c>
      <c r="D3127" t="s">
        <v>4</v>
      </c>
      <c r="E3127" t="s">
        <v>5</v>
      </c>
      <c r="F3127">
        <v>112951256</v>
      </c>
      <c r="G3127" t="s">
        <v>337</v>
      </c>
      <c r="H3127" t="s">
        <v>459</v>
      </c>
      <c r="I3127">
        <v>0</v>
      </c>
      <c r="J3127">
        <v>0</v>
      </c>
      <c r="K3127">
        <v>0</v>
      </c>
      <c r="L3127">
        <v>0</v>
      </c>
      <c r="M3127">
        <v>0.11</v>
      </c>
      <c r="N3127" s="7" t="str">
        <f>VLOOKUP(F3127,HC!A$6:D$100,3,FALSE)</f>
        <v>DA-X0700</v>
      </c>
      <c r="O3127" s="7" t="str">
        <f>VLOOKUP(F3127,HC!A$6:D$1000,2,FALSE)</f>
        <v>grkatery</v>
      </c>
      <c r="P3127" t="s">
        <v>664</v>
      </c>
      <c r="Q3127" t="s">
        <v>708</v>
      </c>
      <c r="U3127">
        <f t="shared" si="50"/>
        <v>17</v>
      </c>
    </row>
    <row r="3128" spans="1:21" ht="37.5" customHeight="1" x14ac:dyDescent="0.25">
      <c r="A3128" s="39">
        <v>45183</v>
      </c>
      <c r="B3128" s="13">
        <v>37</v>
      </c>
      <c r="C3128" t="s">
        <v>3</v>
      </c>
      <c r="D3128" t="s">
        <v>4</v>
      </c>
      <c r="E3128" t="s">
        <v>5</v>
      </c>
      <c r="F3128">
        <v>112972958</v>
      </c>
      <c r="G3128" t="s">
        <v>441</v>
      </c>
      <c r="H3128" t="s">
        <v>459</v>
      </c>
      <c r="I3128">
        <v>0</v>
      </c>
      <c r="J3128">
        <v>0</v>
      </c>
      <c r="K3128">
        <v>0</v>
      </c>
      <c r="L3128">
        <v>0</v>
      </c>
      <c r="M3128">
        <v>0.39</v>
      </c>
      <c r="N3128" s="7" t="str">
        <f>VLOOKUP(F3128,HC!A$6:D$100,3,FALSE)</f>
        <v>D5-X0700</v>
      </c>
      <c r="O3128" s="7" t="str">
        <f>VLOOKUP(F3128,HC!A$6:D$1000,2,FALSE)</f>
        <v>ugonzgui</v>
      </c>
      <c r="P3128" t="s">
        <v>661</v>
      </c>
      <c r="Q3128" t="s">
        <v>775</v>
      </c>
      <c r="U3128">
        <f t="shared" si="50"/>
        <v>13</v>
      </c>
    </row>
    <row r="3129" spans="1:21" ht="37.5" customHeight="1" x14ac:dyDescent="0.25">
      <c r="A3129" s="39">
        <v>45183</v>
      </c>
      <c r="B3129" s="13">
        <v>37</v>
      </c>
      <c r="C3129" t="s">
        <v>3</v>
      </c>
      <c r="D3129" t="s">
        <v>4</v>
      </c>
      <c r="E3129" t="s">
        <v>5</v>
      </c>
      <c r="F3129">
        <v>200574655</v>
      </c>
      <c r="G3129" t="s">
        <v>630</v>
      </c>
      <c r="H3129" t="s">
        <v>49</v>
      </c>
      <c r="I3129">
        <v>0</v>
      </c>
      <c r="J3129">
        <v>0</v>
      </c>
      <c r="K3129">
        <v>0</v>
      </c>
      <c r="L3129">
        <v>0</v>
      </c>
      <c r="M3129">
        <v>0.16</v>
      </c>
      <c r="N3129" s="7" t="e">
        <f>VLOOKUP(F3129,HC!A$6:D$100,3,FALSE)</f>
        <v>#N/A</v>
      </c>
      <c r="O3129" s="7" t="str">
        <f>VLOOKUP(F3129,HC!A$6:D$1000,2,FALSE)</f>
        <v>dulceami</v>
      </c>
      <c r="P3129" t="s">
        <v>663</v>
      </c>
      <c r="Q3129" t="s">
        <v>692</v>
      </c>
      <c r="U3129">
        <f t="shared" si="50"/>
        <v>20</v>
      </c>
    </row>
    <row r="3130" spans="1:21" ht="37.5" customHeight="1" x14ac:dyDescent="0.25">
      <c r="A3130" s="39">
        <v>45183</v>
      </c>
      <c r="B3130" s="13">
        <v>37</v>
      </c>
      <c r="C3130" t="s">
        <v>3</v>
      </c>
      <c r="D3130" t="s">
        <v>4</v>
      </c>
      <c r="E3130" t="s">
        <v>5</v>
      </c>
      <c r="F3130">
        <v>200625528</v>
      </c>
      <c r="G3130" t="s">
        <v>607</v>
      </c>
      <c r="H3130" t="s">
        <v>285</v>
      </c>
      <c r="I3130">
        <v>0</v>
      </c>
      <c r="J3130">
        <v>0</v>
      </c>
      <c r="K3130">
        <v>0</v>
      </c>
      <c r="L3130">
        <v>0</v>
      </c>
      <c r="M3130">
        <v>7.0000000000000007E-2</v>
      </c>
      <c r="N3130" s="7" t="e">
        <f>VLOOKUP(F3130,HC!A$6:D$100,3,FALSE)</f>
        <v>#N/A</v>
      </c>
      <c r="O3130" s="7" t="str">
        <f>VLOOKUP(F3130,HC!A$6:D$1000,2,FALSE)</f>
        <v>olivlizb</v>
      </c>
      <c r="P3130" t="s">
        <v>663</v>
      </c>
      <c r="Q3130" t="s">
        <v>704</v>
      </c>
      <c r="U3130">
        <f t="shared" si="50"/>
        <v>50</v>
      </c>
    </row>
    <row r="3131" spans="1:21" ht="37.5" customHeight="1" x14ac:dyDescent="0.25">
      <c r="A3131" s="39">
        <v>45183</v>
      </c>
      <c r="B3131" s="13">
        <v>37</v>
      </c>
      <c r="C3131" t="s">
        <v>3</v>
      </c>
      <c r="D3131" t="s">
        <v>4</v>
      </c>
      <c r="E3131" t="s">
        <v>5</v>
      </c>
      <c r="F3131">
        <v>201167388</v>
      </c>
      <c r="G3131" t="s">
        <v>1096</v>
      </c>
      <c r="H3131" t="s">
        <v>7</v>
      </c>
      <c r="I3131">
        <v>0</v>
      </c>
      <c r="J3131">
        <v>0</v>
      </c>
      <c r="K3131">
        <v>0</v>
      </c>
      <c r="L3131">
        <v>0</v>
      </c>
      <c r="M3131">
        <v>0.78</v>
      </c>
      <c r="N3131" s="7" t="e">
        <f>VLOOKUP(F3131,HC!A$6:D$100,3,FALSE)</f>
        <v>#N/A</v>
      </c>
      <c r="O3131" s="7" t="str">
        <f>VLOOKUP(F3131,HC!A$6:D$1000,2,FALSE)</f>
        <v>naguirro</v>
      </c>
      <c r="P3131" t="s">
        <v>664</v>
      </c>
      <c r="Q3131" t="s">
        <v>709</v>
      </c>
      <c r="R3131" t="s">
        <v>1261</v>
      </c>
      <c r="U3131">
        <f t="shared" si="50"/>
        <v>7</v>
      </c>
    </row>
    <row r="3132" spans="1:21" ht="37.5" customHeight="1" x14ac:dyDescent="0.25">
      <c r="A3132" s="39">
        <v>45183</v>
      </c>
      <c r="B3132" s="13">
        <v>37</v>
      </c>
      <c r="C3132" t="s">
        <v>3</v>
      </c>
      <c r="D3132" t="s">
        <v>4</v>
      </c>
      <c r="E3132" t="s">
        <v>5</v>
      </c>
      <c r="F3132">
        <v>201198922</v>
      </c>
      <c r="G3132" t="s">
        <v>1141</v>
      </c>
      <c r="H3132" t="s">
        <v>403</v>
      </c>
      <c r="I3132">
        <v>0</v>
      </c>
      <c r="J3132">
        <v>0</v>
      </c>
      <c r="K3132">
        <v>0</v>
      </c>
      <c r="L3132">
        <v>0</v>
      </c>
      <c r="M3132">
        <v>0.14000000000000001</v>
      </c>
      <c r="N3132" s="7" t="e">
        <f>VLOOKUP(F3132,HC!A$6:D$100,3,FALSE)</f>
        <v>#N/A</v>
      </c>
      <c r="O3132" s="7" t="str">
        <f>VLOOKUP(F3132,HC!A$6:D$1000,2,FALSE)</f>
        <v>mendejoy</v>
      </c>
      <c r="P3132" t="s">
        <v>661</v>
      </c>
      <c r="Q3132" t="s">
        <v>681</v>
      </c>
      <c r="U3132">
        <f t="shared" si="50"/>
        <v>14</v>
      </c>
    </row>
    <row r="3133" spans="1:21" ht="37.5" customHeight="1" x14ac:dyDescent="0.25">
      <c r="A3133" s="39">
        <v>45183</v>
      </c>
      <c r="B3133" s="13">
        <v>37</v>
      </c>
      <c r="C3133" t="s">
        <v>3</v>
      </c>
      <c r="D3133" t="s">
        <v>4</v>
      </c>
      <c r="E3133" t="s">
        <v>5</v>
      </c>
      <c r="F3133">
        <v>201211157</v>
      </c>
      <c r="G3133" t="s">
        <v>936</v>
      </c>
      <c r="H3133" t="s">
        <v>47</v>
      </c>
      <c r="I3133">
        <v>0</v>
      </c>
      <c r="J3133">
        <v>0</v>
      </c>
      <c r="K3133">
        <v>0</v>
      </c>
      <c r="L3133">
        <v>0</v>
      </c>
      <c r="M3133">
        <v>0.28000000000000003</v>
      </c>
      <c r="N3133" s="7" t="e">
        <f>VLOOKUP(F3133,HC!A$6:D$100,3,FALSE)</f>
        <v>#N/A</v>
      </c>
      <c r="O3133" s="7" t="str">
        <f>VLOOKUP(F3133,HC!A$6:D$1000,2,FALSE)</f>
        <v>vargajed</v>
      </c>
      <c r="P3133" t="s">
        <v>663</v>
      </c>
      <c r="Q3133" t="s">
        <v>704</v>
      </c>
      <c r="U3133">
        <f t="shared" si="50"/>
        <v>17</v>
      </c>
    </row>
    <row r="3134" spans="1:21" ht="37.5" customHeight="1" x14ac:dyDescent="0.25">
      <c r="A3134" s="39">
        <v>45183</v>
      </c>
      <c r="B3134" s="13">
        <v>37</v>
      </c>
      <c r="C3134" t="s">
        <v>3</v>
      </c>
      <c r="D3134" t="s">
        <v>4</v>
      </c>
      <c r="E3134" t="s">
        <v>5</v>
      </c>
      <c r="F3134">
        <v>201228411</v>
      </c>
      <c r="G3134" t="s">
        <v>938</v>
      </c>
      <c r="H3134" t="s">
        <v>49</v>
      </c>
      <c r="I3134">
        <v>0</v>
      </c>
      <c r="J3134">
        <v>0</v>
      </c>
      <c r="K3134">
        <v>0</v>
      </c>
      <c r="L3134">
        <v>0</v>
      </c>
      <c r="M3134">
        <v>1.08</v>
      </c>
      <c r="N3134" s="7" t="e">
        <f>VLOOKUP(F3134,HC!A$6:D$100,3,FALSE)</f>
        <v>#N/A</v>
      </c>
      <c r="O3134" s="7" t="str">
        <f>VLOOKUP(F3134,HC!A$6:D$1000,2,FALSE)</f>
        <v>jazmiwhe</v>
      </c>
      <c r="P3134" t="s">
        <v>675</v>
      </c>
      <c r="U3134">
        <f t="shared" si="50"/>
        <v>36</v>
      </c>
    </row>
    <row r="3135" spans="1:21" ht="37.5" customHeight="1" x14ac:dyDescent="0.25">
      <c r="A3135" s="39">
        <v>45183</v>
      </c>
      <c r="B3135" s="13">
        <v>37</v>
      </c>
      <c r="C3135" t="s">
        <v>3</v>
      </c>
      <c r="D3135" t="s">
        <v>4</v>
      </c>
      <c r="E3135" t="s">
        <v>5</v>
      </c>
      <c r="F3135">
        <v>201345737</v>
      </c>
      <c r="G3135" t="s">
        <v>1083</v>
      </c>
      <c r="H3135" t="s">
        <v>263</v>
      </c>
      <c r="I3135">
        <v>0</v>
      </c>
      <c r="J3135">
        <v>0</v>
      </c>
      <c r="K3135">
        <v>0</v>
      </c>
      <c r="L3135">
        <v>0</v>
      </c>
      <c r="M3135">
        <v>0.32</v>
      </c>
      <c r="N3135" s="7" t="e">
        <f>VLOOKUP(F3135,HC!A$6:D$100,3,FALSE)</f>
        <v>#N/A</v>
      </c>
      <c r="O3135" s="7" t="str">
        <f>VLOOKUP(F3135,HC!A$6:D$1000,2,FALSE)</f>
        <v>upacoros</v>
      </c>
      <c r="P3135" t="s">
        <v>664</v>
      </c>
      <c r="Q3135" t="s">
        <v>762</v>
      </c>
      <c r="R3135" t="s">
        <v>355</v>
      </c>
      <c r="U3135">
        <f t="shared" si="50"/>
        <v>11</v>
      </c>
    </row>
    <row r="3136" spans="1:21" ht="37.5" customHeight="1" x14ac:dyDescent="0.25">
      <c r="A3136" s="39">
        <v>45183</v>
      </c>
      <c r="B3136" s="13">
        <v>37</v>
      </c>
      <c r="C3136" t="s">
        <v>3</v>
      </c>
      <c r="D3136" t="s">
        <v>4</v>
      </c>
      <c r="E3136" t="s">
        <v>5</v>
      </c>
      <c r="F3136">
        <v>201354965</v>
      </c>
      <c r="G3136" t="s">
        <v>1063</v>
      </c>
      <c r="H3136" t="s">
        <v>263</v>
      </c>
      <c r="I3136">
        <v>0</v>
      </c>
      <c r="J3136">
        <v>0</v>
      </c>
      <c r="K3136">
        <v>0</v>
      </c>
      <c r="L3136">
        <v>0</v>
      </c>
      <c r="M3136">
        <v>0.22</v>
      </c>
      <c r="N3136" s="7" t="e">
        <f>VLOOKUP(F3136,HC!A$6:D$100,3,FALSE)</f>
        <v>#N/A</v>
      </c>
      <c r="O3136" s="7" t="str">
        <f>VLOOKUP(F3136,HC!A$6:D$1000,2,FALSE)</f>
        <v>alinejim</v>
      </c>
      <c r="P3136" t="s">
        <v>661</v>
      </c>
      <c r="Q3136" t="s">
        <v>681</v>
      </c>
      <c r="U3136">
        <f t="shared" si="50"/>
        <v>33</v>
      </c>
    </row>
    <row r="3137" spans="1:21" ht="37.5" customHeight="1" x14ac:dyDescent="0.25">
      <c r="A3137" s="39">
        <v>45183</v>
      </c>
      <c r="B3137" s="13">
        <v>37</v>
      </c>
      <c r="C3137" t="s">
        <v>3</v>
      </c>
      <c r="D3137" t="s">
        <v>4</v>
      </c>
      <c r="E3137" t="s">
        <v>5</v>
      </c>
      <c r="F3137">
        <v>201378542</v>
      </c>
      <c r="G3137" t="s">
        <v>1164</v>
      </c>
      <c r="H3137" t="s">
        <v>1040</v>
      </c>
      <c r="I3137">
        <v>0</v>
      </c>
      <c r="J3137">
        <v>0</v>
      </c>
      <c r="K3137">
        <v>0</v>
      </c>
      <c r="L3137">
        <v>0</v>
      </c>
      <c r="M3137">
        <v>7.68</v>
      </c>
      <c r="N3137" s="7" t="e">
        <f>VLOOKUP(F3137,HC!A$6:D$100,3,FALSE)</f>
        <v>#N/A</v>
      </c>
      <c r="O3137" s="7" t="str">
        <f>VLOOKUP(F3137,HC!A$6:D$1000,2,FALSE)</f>
        <v>tcontree</v>
      </c>
      <c r="P3137" t="s">
        <v>662</v>
      </c>
      <c r="Q3137" t="s">
        <v>688</v>
      </c>
      <c r="U3137">
        <f t="shared" si="50"/>
        <v>9</v>
      </c>
    </row>
    <row r="3138" spans="1:21" ht="37.5" customHeight="1" x14ac:dyDescent="0.25">
      <c r="A3138" s="39">
        <v>45183</v>
      </c>
      <c r="B3138" s="13">
        <v>37</v>
      </c>
      <c r="C3138" t="s">
        <v>3</v>
      </c>
      <c r="D3138" t="s">
        <v>4</v>
      </c>
      <c r="E3138" t="s">
        <v>21</v>
      </c>
      <c r="F3138">
        <v>201864225</v>
      </c>
      <c r="G3138" t="s">
        <v>1259</v>
      </c>
      <c r="H3138" t="s">
        <v>49</v>
      </c>
      <c r="I3138">
        <v>0</v>
      </c>
      <c r="J3138">
        <v>0</v>
      </c>
      <c r="K3138">
        <v>0</v>
      </c>
      <c r="L3138">
        <v>0</v>
      </c>
      <c r="M3138">
        <v>0.23</v>
      </c>
      <c r="N3138" s="7" t="e">
        <f>VLOOKUP(F3138,HC!A$6:D$100,3,FALSE)</f>
        <v>#N/A</v>
      </c>
      <c r="O3138" s="7" t="str">
        <f>VLOOKUP(F3138,HC!A$6:D$1000,2,FALSE)</f>
        <v>floreivc</v>
      </c>
      <c r="P3138" t="s">
        <v>662</v>
      </c>
      <c r="Q3138" t="s">
        <v>688</v>
      </c>
      <c r="U3138">
        <f t="shared" si="50"/>
        <v>7</v>
      </c>
    </row>
    <row r="3139" spans="1:21" ht="37.5" customHeight="1" x14ac:dyDescent="0.25">
      <c r="A3139" s="39">
        <v>45184</v>
      </c>
      <c r="B3139" s="13">
        <v>37</v>
      </c>
      <c r="C3139" t="s">
        <v>3</v>
      </c>
      <c r="D3139" t="s">
        <v>4</v>
      </c>
      <c r="E3139" t="s">
        <v>5</v>
      </c>
      <c r="F3139">
        <v>107351579</v>
      </c>
      <c r="G3139" t="s">
        <v>1262</v>
      </c>
      <c r="H3139" t="s">
        <v>282</v>
      </c>
      <c r="I3139">
        <v>0</v>
      </c>
      <c r="J3139">
        <v>0</v>
      </c>
      <c r="K3139">
        <v>0</v>
      </c>
      <c r="L3139">
        <v>0</v>
      </c>
      <c r="M3139">
        <v>0.47</v>
      </c>
      <c r="N3139" s="7" t="str">
        <f>VLOOKUP(F3139,HC!A$6:D$100,3,FALSE)</f>
        <v>NF-X1900</v>
      </c>
      <c r="O3139" s="7" t="str">
        <f>VLOOKUP(F3139,HC!A$6:D$1000,2,FALSE)</f>
        <v>caldmjos</v>
      </c>
      <c r="P3139" t="s">
        <v>663</v>
      </c>
      <c r="Q3139" t="s">
        <v>695</v>
      </c>
      <c r="U3139">
        <f t="shared" ref="U3139:U3202" si="51">COUNTIF(O$2:O$4999,O3139)</f>
        <v>1</v>
      </c>
    </row>
    <row r="3140" spans="1:21" ht="37.5" customHeight="1" x14ac:dyDescent="0.25">
      <c r="A3140" s="39">
        <v>45184</v>
      </c>
      <c r="B3140" s="13">
        <v>37</v>
      </c>
      <c r="C3140" t="s">
        <v>3</v>
      </c>
      <c r="D3140" t="s">
        <v>4</v>
      </c>
      <c r="E3140" t="s">
        <v>5</v>
      </c>
      <c r="F3140">
        <v>112920666</v>
      </c>
      <c r="G3140" t="s">
        <v>252</v>
      </c>
      <c r="H3140" t="s">
        <v>459</v>
      </c>
      <c r="I3140">
        <v>0</v>
      </c>
      <c r="J3140">
        <v>0</v>
      </c>
      <c r="K3140">
        <v>0</v>
      </c>
      <c r="L3140">
        <v>0</v>
      </c>
      <c r="M3140">
        <v>0.92</v>
      </c>
      <c r="N3140" s="7" t="str">
        <f>VLOOKUP(F3140,HC!A$6:D$100,3,FALSE)</f>
        <v>D5-X0700</v>
      </c>
      <c r="O3140" s="7" t="str">
        <f>VLOOKUP(F3140,HC!A$6:D$1000,2,FALSE)</f>
        <v>jorochai</v>
      </c>
      <c r="P3140" t="s">
        <v>670</v>
      </c>
      <c r="Q3140" t="s">
        <v>740</v>
      </c>
      <c r="U3140">
        <f t="shared" si="51"/>
        <v>19</v>
      </c>
    </row>
    <row r="3141" spans="1:21" ht="37.5" customHeight="1" x14ac:dyDescent="0.25">
      <c r="A3141" s="39">
        <v>45184</v>
      </c>
      <c r="B3141" s="13">
        <v>37</v>
      </c>
      <c r="C3141" t="s">
        <v>3</v>
      </c>
      <c r="D3141" t="s">
        <v>4</v>
      </c>
      <c r="E3141" t="s">
        <v>5</v>
      </c>
      <c r="F3141">
        <v>112950784</v>
      </c>
      <c r="G3141" t="s">
        <v>261</v>
      </c>
      <c r="H3141" t="s">
        <v>282</v>
      </c>
      <c r="I3141">
        <v>0</v>
      </c>
      <c r="J3141">
        <v>0</v>
      </c>
      <c r="K3141">
        <v>0</v>
      </c>
      <c r="L3141">
        <v>0</v>
      </c>
      <c r="M3141">
        <v>0.26</v>
      </c>
      <c r="N3141" s="7" t="str">
        <f>VLOOKUP(F3141,HC!A$6:D$100,3,FALSE)</f>
        <v>NF-X1900</v>
      </c>
      <c r="O3141" s="7" t="str">
        <f>VLOOKUP(F3141,HC!A$6:D$1000,2,FALSE)</f>
        <v>sarojast</v>
      </c>
      <c r="P3141" t="s">
        <v>661</v>
      </c>
      <c r="Q3141" t="s">
        <v>681</v>
      </c>
      <c r="U3141">
        <f t="shared" si="51"/>
        <v>33</v>
      </c>
    </row>
    <row r="3142" spans="1:21" ht="37.5" customHeight="1" x14ac:dyDescent="0.25">
      <c r="A3142" s="39">
        <v>45184</v>
      </c>
      <c r="B3142" s="13">
        <v>37</v>
      </c>
      <c r="C3142" t="s">
        <v>3</v>
      </c>
      <c r="D3142" t="s">
        <v>4</v>
      </c>
      <c r="E3142" t="s">
        <v>21</v>
      </c>
      <c r="F3142">
        <v>113003619</v>
      </c>
      <c r="G3142" t="s">
        <v>1237</v>
      </c>
      <c r="H3142" t="s">
        <v>7</v>
      </c>
      <c r="I3142">
        <v>0</v>
      </c>
      <c r="J3142">
        <v>0</v>
      </c>
      <c r="K3142">
        <v>0</v>
      </c>
      <c r="L3142">
        <v>0</v>
      </c>
      <c r="M3142">
        <v>0.28999999999999998</v>
      </c>
      <c r="N3142" s="7" t="e">
        <f>VLOOKUP(F3142,HC!A$6:D$100,3,FALSE)</f>
        <v>#N/A</v>
      </c>
      <c r="O3142" s="7" t="e">
        <f>VLOOKUP(F3142,HC!A$6:D$1000,2,FALSE)</f>
        <v>#N/A</v>
      </c>
      <c r="P3142" t="s">
        <v>667</v>
      </c>
      <c r="Q3142" t="s">
        <v>773</v>
      </c>
      <c r="U3142">
        <f t="shared" si="51"/>
        <v>1395</v>
      </c>
    </row>
    <row r="3143" spans="1:21" ht="37.5" customHeight="1" x14ac:dyDescent="0.25">
      <c r="A3143" s="39">
        <v>45184</v>
      </c>
      <c r="B3143" s="13">
        <v>37</v>
      </c>
      <c r="C3143" t="s">
        <v>3</v>
      </c>
      <c r="D3143" t="s">
        <v>4</v>
      </c>
      <c r="E3143" t="s">
        <v>5</v>
      </c>
      <c r="F3143">
        <v>113020476</v>
      </c>
      <c r="G3143" t="s">
        <v>330</v>
      </c>
      <c r="H3143" t="s">
        <v>7</v>
      </c>
      <c r="I3143">
        <v>0</v>
      </c>
      <c r="J3143">
        <v>0</v>
      </c>
      <c r="K3143">
        <v>0</v>
      </c>
      <c r="L3143">
        <v>0</v>
      </c>
      <c r="M3143">
        <v>0.4</v>
      </c>
      <c r="N3143" s="7" t="e">
        <f>VLOOKUP(F3143,HC!A$6:D$100,3,FALSE)</f>
        <v>#N/A</v>
      </c>
      <c r="O3143" s="7" t="str">
        <f>VLOOKUP(F3143,HC!A$6:D$1000,2,FALSE)</f>
        <v>polettpu</v>
      </c>
      <c r="P3143" t="s">
        <v>666</v>
      </c>
      <c r="Q3143" t="s">
        <v>768</v>
      </c>
      <c r="U3143">
        <f t="shared" si="51"/>
        <v>55</v>
      </c>
    </row>
    <row r="3144" spans="1:21" ht="37.5" customHeight="1" x14ac:dyDescent="0.25">
      <c r="A3144" s="39">
        <v>45184</v>
      </c>
      <c r="B3144" s="13">
        <v>37</v>
      </c>
      <c r="C3144" t="s">
        <v>3</v>
      </c>
      <c r="D3144" t="s">
        <v>4</v>
      </c>
      <c r="E3144" t="s">
        <v>5</v>
      </c>
      <c r="F3144">
        <v>113052151</v>
      </c>
      <c r="G3144" t="s">
        <v>482</v>
      </c>
      <c r="H3144" t="s">
        <v>17</v>
      </c>
      <c r="I3144">
        <v>0</v>
      </c>
      <c r="J3144">
        <v>0</v>
      </c>
      <c r="K3144">
        <v>0</v>
      </c>
      <c r="L3144">
        <v>0</v>
      </c>
      <c r="M3144">
        <v>0.56999999999999995</v>
      </c>
      <c r="N3144" s="7" t="e">
        <f>VLOOKUP(F3144,HC!A$6:D$100,3,FALSE)</f>
        <v>#N/A</v>
      </c>
      <c r="O3144" s="7" t="str">
        <f>VLOOKUP(F3144,HC!A$6:D$1000,2,FALSE)</f>
        <v>nilaurab</v>
      </c>
      <c r="P3144" t="s">
        <v>665</v>
      </c>
      <c r="Q3144" t="s">
        <v>722</v>
      </c>
      <c r="U3144">
        <f t="shared" si="51"/>
        <v>28</v>
      </c>
    </row>
    <row r="3145" spans="1:21" ht="37.5" customHeight="1" x14ac:dyDescent="0.25">
      <c r="A3145" s="39">
        <v>45184</v>
      </c>
      <c r="B3145" s="13">
        <v>37</v>
      </c>
      <c r="C3145" t="s">
        <v>3</v>
      </c>
      <c r="D3145" t="s">
        <v>4</v>
      </c>
      <c r="E3145" t="s">
        <v>5</v>
      </c>
      <c r="F3145">
        <v>200574655</v>
      </c>
      <c r="G3145" t="s">
        <v>630</v>
      </c>
      <c r="H3145" t="s">
        <v>49</v>
      </c>
      <c r="I3145">
        <v>0</v>
      </c>
      <c r="J3145">
        <v>0</v>
      </c>
      <c r="K3145">
        <v>0</v>
      </c>
      <c r="L3145">
        <v>0</v>
      </c>
      <c r="M3145">
        <v>0.28000000000000003</v>
      </c>
      <c r="N3145" s="7" t="e">
        <f>VLOOKUP(F3145,HC!A$6:D$100,3,FALSE)</f>
        <v>#N/A</v>
      </c>
      <c r="O3145" s="7" t="str">
        <f>VLOOKUP(F3145,HC!A$6:D$1000,2,FALSE)</f>
        <v>dulceami</v>
      </c>
      <c r="P3145" t="s">
        <v>663</v>
      </c>
      <c r="Q3145" t="s">
        <v>705</v>
      </c>
      <c r="U3145">
        <f t="shared" si="51"/>
        <v>20</v>
      </c>
    </row>
    <row r="3146" spans="1:21" ht="37.5" customHeight="1" x14ac:dyDescent="0.25">
      <c r="A3146" s="39">
        <v>45184</v>
      </c>
      <c r="B3146" s="13">
        <v>37</v>
      </c>
      <c r="C3146" t="s">
        <v>3</v>
      </c>
      <c r="D3146" t="s">
        <v>4</v>
      </c>
      <c r="E3146" t="s">
        <v>5</v>
      </c>
      <c r="F3146">
        <v>200615801</v>
      </c>
      <c r="G3146" t="s">
        <v>1094</v>
      </c>
      <c r="H3146" t="s">
        <v>1040</v>
      </c>
      <c r="I3146">
        <v>0</v>
      </c>
      <c r="J3146">
        <v>0</v>
      </c>
      <c r="K3146">
        <v>0</v>
      </c>
      <c r="L3146">
        <v>0</v>
      </c>
      <c r="M3146">
        <v>1.43</v>
      </c>
      <c r="N3146" s="7" t="e">
        <f>VLOOKUP(F3146,HC!A$6:D$100,3,FALSE)</f>
        <v>#N/A</v>
      </c>
      <c r="O3146" s="7" t="str">
        <f>VLOOKUP(F3146,HC!A$6:D$1000,2,FALSE)</f>
        <v>dangongo</v>
      </c>
      <c r="P3146" t="s">
        <v>662</v>
      </c>
      <c r="Q3146" t="s">
        <v>757</v>
      </c>
      <c r="U3146">
        <f t="shared" si="51"/>
        <v>2</v>
      </c>
    </row>
    <row r="3147" spans="1:21" ht="37.5" customHeight="1" x14ac:dyDescent="0.25">
      <c r="A3147" s="39">
        <v>45184</v>
      </c>
      <c r="B3147" s="13">
        <v>37</v>
      </c>
      <c r="C3147" t="s">
        <v>3</v>
      </c>
      <c r="D3147" t="s">
        <v>4</v>
      </c>
      <c r="E3147" t="s">
        <v>5</v>
      </c>
      <c r="F3147">
        <v>200625528</v>
      </c>
      <c r="G3147" t="s">
        <v>607</v>
      </c>
      <c r="H3147" t="s">
        <v>285</v>
      </c>
      <c r="I3147">
        <v>0</v>
      </c>
      <c r="J3147">
        <v>0</v>
      </c>
      <c r="K3147">
        <v>0</v>
      </c>
      <c r="L3147">
        <v>0</v>
      </c>
      <c r="M3147">
        <v>7.0000000000000007E-2</v>
      </c>
      <c r="N3147" s="7" t="e">
        <f>VLOOKUP(F3147,HC!A$6:D$100,3,FALSE)</f>
        <v>#N/A</v>
      </c>
      <c r="O3147" s="7" t="str">
        <f>VLOOKUP(F3147,HC!A$6:D$1000,2,FALSE)</f>
        <v>olivlizb</v>
      </c>
      <c r="P3147" t="s">
        <v>665</v>
      </c>
      <c r="Q3147" t="s">
        <v>722</v>
      </c>
      <c r="U3147">
        <f t="shared" si="51"/>
        <v>50</v>
      </c>
    </row>
    <row r="3148" spans="1:21" ht="37.5" customHeight="1" x14ac:dyDescent="0.25">
      <c r="A3148" s="39">
        <v>45184</v>
      </c>
      <c r="B3148" s="13">
        <v>37</v>
      </c>
      <c r="C3148" t="s">
        <v>3</v>
      </c>
      <c r="D3148" t="s">
        <v>4</v>
      </c>
      <c r="E3148" t="s">
        <v>5</v>
      </c>
      <c r="F3148">
        <v>201191390</v>
      </c>
      <c r="G3148" t="s">
        <v>916</v>
      </c>
      <c r="H3148" t="s">
        <v>7</v>
      </c>
      <c r="I3148">
        <v>0</v>
      </c>
      <c r="J3148">
        <v>0</v>
      </c>
      <c r="K3148">
        <v>0</v>
      </c>
      <c r="L3148">
        <v>0</v>
      </c>
      <c r="M3148">
        <v>0.56000000000000005</v>
      </c>
      <c r="N3148" s="7" t="e">
        <f>VLOOKUP(F3148,HC!A$6:D$100,3,FALSE)</f>
        <v>#N/A</v>
      </c>
      <c r="O3148" s="7" t="str">
        <f>VLOOKUP(F3148,HC!A$6:D$1000,2,FALSE)</f>
        <v>bgajesus</v>
      </c>
      <c r="P3148" t="s">
        <v>664</v>
      </c>
      <c r="Q3148" t="s">
        <v>716</v>
      </c>
      <c r="U3148">
        <f t="shared" si="51"/>
        <v>37</v>
      </c>
    </row>
    <row r="3149" spans="1:21" ht="37.5" customHeight="1" x14ac:dyDescent="0.25">
      <c r="A3149" s="39">
        <v>45184</v>
      </c>
      <c r="B3149" s="13">
        <v>37</v>
      </c>
      <c r="C3149" t="s">
        <v>3</v>
      </c>
      <c r="D3149" t="s">
        <v>4</v>
      </c>
      <c r="E3149" t="s">
        <v>5</v>
      </c>
      <c r="F3149">
        <v>201223730</v>
      </c>
      <c r="G3149" t="s">
        <v>933</v>
      </c>
      <c r="H3149" t="s">
        <v>49</v>
      </c>
      <c r="I3149">
        <v>0</v>
      </c>
      <c r="J3149">
        <v>0</v>
      </c>
      <c r="K3149">
        <v>0</v>
      </c>
      <c r="L3149">
        <v>0</v>
      </c>
      <c r="M3149">
        <v>1.1499999999999999</v>
      </c>
      <c r="N3149" s="7" t="e">
        <f>VLOOKUP(F3149,HC!A$6:D$100,3,FALSE)</f>
        <v>#N/A</v>
      </c>
      <c r="O3149" s="7" t="str">
        <f>VLOOKUP(F3149,HC!A$6:D$1000,2,FALSE)</f>
        <v>cesarito</v>
      </c>
      <c r="P3149" t="s">
        <v>675</v>
      </c>
      <c r="U3149">
        <f t="shared" si="51"/>
        <v>39</v>
      </c>
    </row>
    <row r="3150" spans="1:21" ht="37.5" customHeight="1" x14ac:dyDescent="0.25">
      <c r="A3150" s="39">
        <v>45184</v>
      </c>
      <c r="B3150" s="13">
        <v>37</v>
      </c>
      <c r="C3150" t="s">
        <v>3</v>
      </c>
      <c r="D3150" t="s">
        <v>4</v>
      </c>
      <c r="E3150" t="s">
        <v>5</v>
      </c>
      <c r="F3150">
        <v>201228411</v>
      </c>
      <c r="G3150" t="s">
        <v>938</v>
      </c>
      <c r="H3150" t="s">
        <v>49</v>
      </c>
      <c r="I3150">
        <v>0</v>
      </c>
      <c r="J3150">
        <v>0</v>
      </c>
      <c r="K3150">
        <v>0</v>
      </c>
      <c r="L3150">
        <v>0</v>
      </c>
      <c r="M3150">
        <v>1.1399999999999999</v>
      </c>
      <c r="N3150" s="7" t="e">
        <f>VLOOKUP(F3150,HC!A$6:D$100,3,FALSE)</f>
        <v>#N/A</v>
      </c>
      <c r="O3150" s="7" t="str">
        <f>VLOOKUP(F3150,HC!A$6:D$1000,2,FALSE)</f>
        <v>jazmiwhe</v>
      </c>
      <c r="P3150" t="s">
        <v>675</v>
      </c>
      <c r="U3150">
        <f t="shared" si="51"/>
        <v>36</v>
      </c>
    </row>
    <row r="3151" spans="1:21" ht="37.5" customHeight="1" x14ac:dyDescent="0.25">
      <c r="A3151" s="39">
        <v>45184</v>
      </c>
      <c r="B3151" s="13">
        <v>37</v>
      </c>
      <c r="C3151" t="s">
        <v>3</v>
      </c>
      <c r="D3151" t="s">
        <v>4</v>
      </c>
      <c r="E3151" t="s">
        <v>5</v>
      </c>
      <c r="F3151">
        <v>201341534</v>
      </c>
      <c r="G3151" t="s">
        <v>1181</v>
      </c>
      <c r="H3151" t="s">
        <v>285</v>
      </c>
      <c r="I3151">
        <v>0</v>
      </c>
      <c r="J3151">
        <v>0</v>
      </c>
      <c r="K3151">
        <v>0</v>
      </c>
      <c r="L3151">
        <v>0</v>
      </c>
      <c r="M3151">
        <v>2.1800000000000002</v>
      </c>
      <c r="N3151" s="7" t="e">
        <f>VLOOKUP(F3151,HC!A$6:D$100,3,FALSE)</f>
        <v>#N/A</v>
      </c>
      <c r="O3151" s="7" t="str">
        <f>VLOOKUP(F3151,HC!A$6:D$1000,2,FALSE)</f>
        <v>beceresm</v>
      </c>
      <c r="P3151" t="s">
        <v>664</v>
      </c>
      <c r="Q3151" t="s">
        <v>715</v>
      </c>
      <c r="U3151">
        <f t="shared" si="51"/>
        <v>10</v>
      </c>
    </row>
    <row r="3152" spans="1:21" ht="37.5" customHeight="1" x14ac:dyDescent="0.25">
      <c r="A3152" s="39">
        <v>45184</v>
      </c>
      <c r="B3152" s="13">
        <v>37</v>
      </c>
      <c r="C3152" t="s">
        <v>3</v>
      </c>
      <c r="D3152" t="s">
        <v>4</v>
      </c>
      <c r="E3152" t="s">
        <v>5</v>
      </c>
      <c r="F3152">
        <v>201353153</v>
      </c>
      <c r="G3152" t="s">
        <v>1263</v>
      </c>
      <c r="H3152" t="s">
        <v>459</v>
      </c>
      <c r="I3152">
        <v>0</v>
      </c>
      <c r="J3152">
        <v>0</v>
      </c>
      <c r="K3152">
        <v>0</v>
      </c>
      <c r="L3152">
        <v>0</v>
      </c>
      <c r="M3152">
        <v>1.05</v>
      </c>
      <c r="N3152" s="7" t="e">
        <f>VLOOKUP(F3152,HC!A$6:D$100,3,FALSE)</f>
        <v>#N/A</v>
      </c>
      <c r="O3152" s="7" t="str">
        <f>VLOOKUP(F3152,HC!A$6:D$1000,2,FALSE)</f>
        <v>javplasc</v>
      </c>
      <c r="P3152" t="s">
        <v>664</v>
      </c>
      <c r="Q3152" t="s">
        <v>761</v>
      </c>
      <c r="U3152">
        <f t="shared" si="51"/>
        <v>1</v>
      </c>
    </row>
    <row r="3153" spans="1:21" ht="37.5" customHeight="1" x14ac:dyDescent="0.25">
      <c r="A3153" s="39">
        <v>45184</v>
      </c>
      <c r="B3153" s="13">
        <v>37</v>
      </c>
      <c r="C3153" t="s">
        <v>3</v>
      </c>
      <c r="D3153" t="s">
        <v>4</v>
      </c>
      <c r="E3153" t="s">
        <v>21</v>
      </c>
      <c r="F3153">
        <v>201847940</v>
      </c>
      <c r="G3153" t="s">
        <v>1248</v>
      </c>
      <c r="H3153" t="s">
        <v>17</v>
      </c>
      <c r="I3153">
        <v>0</v>
      </c>
      <c r="J3153">
        <v>0</v>
      </c>
      <c r="K3153">
        <v>0</v>
      </c>
      <c r="L3153">
        <v>0</v>
      </c>
      <c r="M3153">
        <v>0.11</v>
      </c>
      <c r="N3153" s="7" t="e">
        <f>VLOOKUP(F3153,HC!A$6:D$100,3,FALSE)</f>
        <v>#N/A</v>
      </c>
      <c r="O3153" s="7" t="e">
        <f>VLOOKUP(F3153,HC!A$6:D$1000,2,FALSE)</f>
        <v>#N/A</v>
      </c>
      <c r="P3153" t="s">
        <v>664</v>
      </c>
      <c r="Q3153" t="s">
        <v>708</v>
      </c>
      <c r="U3153">
        <f t="shared" si="51"/>
        <v>1395</v>
      </c>
    </row>
    <row r="3154" spans="1:21" ht="37.5" customHeight="1" x14ac:dyDescent="0.25">
      <c r="A3154" s="39">
        <v>45184</v>
      </c>
      <c r="B3154" s="13">
        <v>37</v>
      </c>
      <c r="C3154" t="s">
        <v>3</v>
      </c>
      <c r="D3154" t="s">
        <v>4</v>
      </c>
      <c r="E3154" t="s">
        <v>21</v>
      </c>
      <c r="F3154">
        <v>201858789</v>
      </c>
      <c r="G3154" t="s">
        <v>1218</v>
      </c>
      <c r="H3154" t="s">
        <v>17</v>
      </c>
      <c r="I3154">
        <v>0</v>
      </c>
      <c r="J3154">
        <v>0</v>
      </c>
      <c r="K3154">
        <v>0</v>
      </c>
      <c r="L3154">
        <v>0</v>
      </c>
      <c r="M3154">
        <v>1.25</v>
      </c>
      <c r="N3154" s="7" t="e">
        <f>VLOOKUP(F3154,HC!A$6:D$100,3,FALSE)</f>
        <v>#N/A</v>
      </c>
      <c r="O3154" s="7" t="str">
        <f>VLOOKUP(F3154,HC!A$6:D$1000,2,FALSE)</f>
        <v>ignachis</v>
      </c>
      <c r="P3154" t="s">
        <v>661</v>
      </c>
      <c r="Q3154" t="s">
        <v>681</v>
      </c>
      <c r="U3154">
        <f t="shared" si="51"/>
        <v>8</v>
      </c>
    </row>
    <row r="3155" spans="1:21" ht="37.5" customHeight="1" x14ac:dyDescent="0.25">
      <c r="A3155" s="39">
        <v>45185</v>
      </c>
      <c r="B3155" s="13">
        <v>37</v>
      </c>
      <c r="C3155" t="s">
        <v>3</v>
      </c>
      <c r="D3155" t="s">
        <v>4</v>
      </c>
      <c r="E3155" t="s">
        <v>5</v>
      </c>
      <c r="F3155">
        <v>112920637</v>
      </c>
      <c r="G3155" t="s">
        <v>426</v>
      </c>
      <c r="H3155" t="s">
        <v>459</v>
      </c>
      <c r="I3155">
        <v>0</v>
      </c>
      <c r="J3155">
        <v>0</v>
      </c>
      <c r="K3155">
        <v>0</v>
      </c>
      <c r="L3155">
        <v>0</v>
      </c>
      <c r="M3155">
        <v>0.91</v>
      </c>
      <c r="N3155" s="7" t="str">
        <f>VLOOKUP(F3155,HC!A$6:D$100,3,FALSE)</f>
        <v>DB-X0700</v>
      </c>
      <c r="O3155" s="7" t="str">
        <f>VLOOKUP(F3155,HC!A$6:D$1000,2,FALSE)</f>
        <v>antonitq</v>
      </c>
      <c r="P3155" t="s">
        <v>664</v>
      </c>
      <c r="Q3155" t="s">
        <v>708</v>
      </c>
      <c r="U3155">
        <f t="shared" si="51"/>
        <v>9</v>
      </c>
    </row>
    <row r="3156" spans="1:21" ht="37.5" customHeight="1" x14ac:dyDescent="0.25">
      <c r="A3156" s="39">
        <v>45185</v>
      </c>
      <c r="B3156" s="13">
        <v>37</v>
      </c>
      <c r="C3156" t="s">
        <v>3</v>
      </c>
      <c r="D3156" t="s">
        <v>4</v>
      </c>
      <c r="E3156" t="s">
        <v>5</v>
      </c>
      <c r="F3156">
        <v>112920655</v>
      </c>
      <c r="G3156" t="s">
        <v>509</v>
      </c>
      <c r="H3156" t="s">
        <v>459</v>
      </c>
      <c r="I3156">
        <v>0</v>
      </c>
      <c r="J3156">
        <v>0</v>
      </c>
      <c r="K3156">
        <v>0</v>
      </c>
      <c r="L3156">
        <v>0</v>
      </c>
      <c r="M3156">
        <v>0.24</v>
      </c>
      <c r="N3156" s="7" t="e">
        <f>VLOOKUP(F3156,HC!A$6:D$100,3,FALSE)</f>
        <v>#N/A</v>
      </c>
      <c r="O3156" s="7" t="e">
        <f>VLOOKUP(F3156,HC!A$6:D$1000,2,FALSE)</f>
        <v>#N/A</v>
      </c>
      <c r="P3156" t="s">
        <v>664</v>
      </c>
      <c r="Q3156" t="s">
        <v>716</v>
      </c>
      <c r="U3156">
        <f t="shared" si="51"/>
        <v>1395</v>
      </c>
    </row>
    <row r="3157" spans="1:21" ht="37.5" customHeight="1" x14ac:dyDescent="0.25">
      <c r="A3157" s="39">
        <v>45185</v>
      </c>
      <c r="B3157" s="13">
        <v>37</v>
      </c>
      <c r="C3157" t="s">
        <v>3</v>
      </c>
      <c r="D3157" t="s">
        <v>4</v>
      </c>
      <c r="E3157" t="s">
        <v>5</v>
      </c>
      <c r="F3157">
        <v>113014042</v>
      </c>
      <c r="G3157" t="s">
        <v>329</v>
      </c>
      <c r="H3157" t="s">
        <v>47</v>
      </c>
      <c r="I3157">
        <v>0</v>
      </c>
      <c r="J3157">
        <v>0</v>
      </c>
      <c r="K3157">
        <v>0</v>
      </c>
      <c r="L3157">
        <v>0</v>
      </c>
      <c r="M3157">
        <v>0.3</v>
      </c>
      <c r="N3157" s="7" t="e">
        <f>VLOOKUP(F3157,HC!A$6:D$100,3,FALSE)</f>
        <v>#N/A</v>
      </c>
      <c r="O3157" s="7" t="str">
        <f>VLOOKUP(F3157,HC!A$6:D$1000,2,FALSE)</f>
        <v>rfcervan</v>
      </c>
      <c r="P3157" t="s">
        <v>663</v>
      </c>
      <c r="Q3157" t="s">
        <v>692</v>
      </c>
      <c r="U3157">
        <f t="shared" si="51"/>
        <v>23</v>
      </c>
    </row>
    <row r="3158" spans="1:21" ht="37.5" customHeight="1" x14ac:dyDescent="0.25">
      <c r="A3158" s="39">
        <v>45185</v>
      </c>
      <c r="B3158" s="13">
        <v>37</v>
      </c>
      <c r="C3158" t="s">
        <v>3</v>
      </c>
      <c r="D3158" t="s">
        <v>4</v>
      </c>
      <c r="E3158" t="s">
        <v>5</v>
      </c>
      <c r="F3158">
        <v>113014074</v>
      </c>
      <c r="G3158" t="s">
        <v>1216</v>
      </c>
      <c r="H3158" t="s">
        <v>263</v>
      </c>
      <c r="I3158">
        <v>0</v>
      </c>
      <c r="J3158">
        <v>0</v>
      </c>
      <c r="K3158">
        <v>0</v>
      </c>
      <c r="L3158">
        <v>0</v>
      </c>
      <c r="M3158">
        <v>0.28999999999999998</v>
      </c>
      <c r="N3158" s="7" t="e">
        <f>VLOOKUP(F3158,HC!A$6:D$100,3,FALSE)</f>
        <v>#N/A</v>
      </c>
      <c r="O3158" s="7" t="e">
        <f>VLOOKUP(F3158,HC!A$6:D$1000,2,FALSE)</f>
        <v>#N/A</v>
      </c>
      <c r="P3158" t="s">
        <v>663</v>
      </c>
      <c r="Q3158" t="s">
        <v>692</v>
      </c>
      <c r="U3158">
        <f t="shared" si="51"/>
        <v>1395</v>
      </c>
    </row>
    <row r="3159" spans="1:21" ht="37.5" customHeight="1" x14ac:dyDescent="0.25">
      <c r="A3159" s="39">
        <v>45185</v>
      </c>
      <c r="B3159" s="13">
        <v>37</v>
      </c>
      <c r="C3159" t="s">
        <v>3</v>
      </c>
      <c r="D3159" t="s">
        <v>4</v>
      </c>
      <c r="E3159" t="s">
        <v>5</v>
      </c>
      <c r="F3159">
        <v>113014560</v>
      </c>
      <c r="G3159" t="s">
        <v>599</v>
      </c>
      <c r="H3159" t="s">
        <v>263</v>
      </c>
      <c r="I3159">
        <v>0</v>
      </c>
      <c r="J3159">
        <v>0</v>
      </c>
      <c r="K3159">
        <v>0</v>
      </c>
      <c r="L3159">
        <v>0</v>
      </c>
      <c r="M3159">
        <v>0.1</v>
      </c>
      <c r="N3159" s="7" t="e">
        <f>VLOOKUP(F3159,HC!A$6:D$100,3,FALSE)</f>
        <v>#N/A</v>
      </c>
      <c r="O3159" s="7" t="str">
        <f>VLOOKUP(F3159,HC!A$6:D$1000,2,FALSE)</f>
        <v>zlopamer</v>
      </c>
      <c r="P3159" t="s">
        <v>664</v>
      </c>
      <c r="Q3159" t="s">
        <v>771</v>
      </c>
      <c r="U3159">
        <f t="shared" si="51"/>
        <v>15</v>
      </c>
    </row>
    <row r="3160" spans="1:21" ht="37.5" customHeight="1" x14ac:dyDescent="0.25">
      <c r="A3160" s="39">
        <v>45185</v>
      </c>
      <c r="B3160" s="13">
        <v>37</v>
      </c>
      <c r="C3160" t="s">
        <v>3</v>
      </c>
      <c r="D3160" t="s">
        <v>4</v>
      </c>
      <c r="E3160" t="s">
        <v>5</v>
      </c>
      <c r="F3160">
        <v>200614224</v>
      </c>
      <c r="G3160" t="s">
        <v>322</v>
      </c>
      <c r="H3160" t="s">
        <v>263</v>
      </c>
      <c r="I3160">
        <v>0</v>
      </c>
      <c r="J3160">
        <v>0</v>
      </c>
      <c r="K3160">
        <v>0</v>
      </c>
      <c r="L3160">
        <v>0</v>
      </c>
      <c r="M3160">
        <v>0.47</v>
      </c>
      <c r="N3160" s="7" t="e">
        <f>VLOOKUP(F3160,HC!A$6:D$100,3,FALSE)</f>
        <v>#N/A</v>
      </c>
      <c r="O3160" s="7" t="e">
        <f>VLOOKUP(F3160,HC!A$6:D$1000,2,FALSE)</f>
        <v>#N/A</v>
      </c>
      <c r="P3160" t="s">
        <v>663</v>
      </c>
      <c r="Q3160" t="s">
        <v>692</v>
      </c>
      <c r="U3160">
        <f t="shared" si="51"/>
        <v>1395</v>
      </c>
    </row>
    <row r="3161" spans="1:21" ht="37.5" customHeight="1" x14ac:dyDescent="0.25">
      <c r="A3161" s="39">
        <v>45185</v>
      </c>
      <c r="B3161" s="13">
        <v>37</v>
      </c>
      <c r="C3161" t="s">
        <v>3</v>
      </c>
      <c r="D3161" t="s">
        <v>4</v>
      </c>
      <c r="E3161" t="s">
        <v>5</v>
      </c>
      <c r="F3161">
        <v>201198922</v>
      </c>
      <c r="G3161" t="s">
        <v>1141</v>
      </c>
      <c r="H3161" t="s">
        <v>403</v>
      </c>
      <c r="I3161">
        <v>0</v>
      </c>
      <c r="J3161">
        <v>0</v>
      </c>
      <c r="K3161">
        <v>0</v>
      </c>
      <c r="L3161">
        <v>0</v>
      </c>
      <c r="M3161">
        <v>0.49</v>
      </c>
      <c r="N3161" s="7" t="e">
        <f>VLOOKUP(F3161,HC!A$6:D$100,3,FALSE)</f>
        <v>#N/A</v>
      </c>
      <c r="O3161" s="7" t="str">
        <f>VLOOKUP(F3161,HC!A$6:D$1000,2,FALSE)</f>
        <v>mendejoy</v>
      </c>
      <c r="P3161" t="s">
        <v>670</v>
      </c>
      <c r="Q3161" t="s">
        <v>742</v>
      </c>
      <c r="U3161">
        <f t="shared" si="51"/>
        <v>14</v>
      </c>
    </row>
    <row r="3162" spans="1:21" ht="37.5" customHeight="1" x14ac:dyDescent="0.25">
      <c r="A3162" s="39">
        <v>45185</v>
      </c>
      <c r="B3162" s="13">
        <v>37</v>
      </c>
      <c r="C3162" t="s">
        <v>3</v>
      </c>
      <c r="D3162" t="s">
        <v>4</v>
      </c>
      <c r="E3162" t="s">
        <v>5</v>
      </c>
      <c r="F3162">
        <v>201211157</v>
      </c>
      <c r="G3162" t="s">
        <v>936</v>
      </c>
      <c r="H3162" t="s">
        <v>47</v>
      </c>
      <c r="I3162">
        <v>0</v>
      </c>
      <c r="J3162">
        <v>0</v>
      </c>
      <c r="K3162">
        <v>0</v>
      </c>
      <c r="L3162">
        <v>0</v>
      </c>
      <c r="M3162">
        <v>0.23</v>
      </c>
      <c r="N3162" s="7" t="e">
        <f>VLOOKUP(F3162,HC!A$6:D$100,3,FALSE)</f>
        <v>#N/A</v>
      </c>
      <c r="O3162" s="7" t="str">
        <f>VLOOKUP(F3162,HC!A$6:D$1000,2,FALSE)</f>
        <v>vargajed</v>
      </c>
      <c r="P3162" t="s">
        <v>670</v>
      </c>
      <c r="Q3162" t="s">
        <v>742</v>
      </c>
      <c r="U3162">
        <f t="shared" si="51"/>
        <v>17</v>
      </c>
    </row>
    <row r="3163" spans="1:21" ht="37.5" customHeight="1" x14ac:dyDescent="0.25">
      <c r="A3163" s="39">
        <v>45185</v>
      </c>
      <c r="B3163" s="13">
        <v>37</v>
      </c>
      <c r="C3163" t="s">
        <v>3</v>
      </c>
      <c r="D3163" t="s">
        <v>4</v>
      </c>
      <c r="E3163" t="s">
        <v>5</v>
      </c>
      <c r="F3163">
        <v>201223730</v>
      </c>
      <c r="G3163" t="s">
        <v>933</v>
      </c>
      <c r="H3163" t="s">
        <v>49</v>
      </c>
      <c r="I3163">
        <v>0</v>
      </c>
      <c r="J3163">
        <v>0</v>
      </c>
      <c r="K3163">
        <v>0</v>
      </c>
      <c r="L3163">
        <v>0</v>
      </c>
      <c r="M3163">
        <v>0.63</v>
      </c>
      <c r="N3163" s="7" t="e">
        <f>VLOOKUP(F3163,HC!A$6:D$100,3,FALSE)</f>
        <v>#N/A</v>
      </c>
      <c r="O3163" s="7" t="str">
        <f>VLOOKUP(F3163,HC!A$6:D$1000,2,FALSE)</f>
        <v>cesarito</v>
      </c>
      <c r="P3163" t="s">
        <v>664</v>
      </c>
      <c r="R3163" t="s">
        <v>632</v>
      </c>
      <c r="U3163">
        <f t="shared" si="51"/>
        <v>39</v>
      </c>
    </row>
    <row r="3164" spans="1:21" ht="37.5" customHeight="1" x14ac:dyDescent="0.25">
      <c r="A3164" s="39">
        <v>45185</v>
      </c>
      <c r="B3164" s="13">
        <v>37</v>
      </c>
      <c r="C3164" t="s">
        <v>3</v>
      </c>
      <c r="D3164" t="s">
        <v>4</v>
      </c>
      <c r="E3164" t="s">
        <v>5</v>
      </c>
      <c r="F3164">
        <v>201228411</v>
      </c>
      <c r="G3164" t="s">
        <v>938</v>
      </c>
      <c r="H3164" t="s">
        <v>49</v>
      </c>
      <c r="I3164">
        <v>0</v>
      </c>
      <c r="J3164">
        <v>0</v>
      </c>
      <c r="K3164">
        <v>0</v>
      </c>
      <c r="L3164">
        <v>0</v>
      </c>
      <c r="M3164">
        <v>0.64</v>
      </c>
      <c r="N3164" s="7" t="e">
        <f>VLOOKUP(F3164,HC!A$6:D$100,3,FALSE)</f>
        <v>#N/A</v>
      </c>
      <c r="O3164" s="7" t="str">
        <f>VLOOKUP(F3164,HC!A$6:D$1000,2,FALSE)</f>
        <v>jazmiwhe</v>
      </c>
      <c r="P3164" t="s">
        <v>664</v>
      </c>
      <c r="R3164" t="s">
        <v>632</v>
      </c>
      <c r="U3164">
        <f t="shared" si="51"/>
        <v>36</v>
      </c>
    </row>
    <row r="3165" spans="1:21" ht="37.5" customHeight="1" x14ac:dyDescent="0.25">
      <c r="A3165" s="39">
        <v>45185</v>
      </c>
      <c r="B3165" s="13">
        <v>37</v>
      </c>
      <c r="C3165" t="s">
        <v>3</v>
      </c>
      <c r="D3165" t="s">
        <v>4</v>
      </c>
      <c r="E3165" t="s">
        <v>5</v>
      </c>
      <c r="F3165">
        <v>201295551</v>
      </c>
      <c r="G3165" t="s">
        <v>1264</v>
      </c>
      <c r="H3165" t="s">
        <v>263</v>
      </c>
      <c r="I3165">
        <v>0</v>
      </c>
      <c r="J3165">
        <v>0</v>
      </c>
      <c r="K3165">
        <v>0</v>
      </c>
      <c r="L3165">
        <v>0</v>
      </c>
      <c r="M3165">
        <v>0.06</v>
      </c>
      <c r="N3165" s="7" t="e">
        <f>VLOOKUP(F3165,HC!A$6:D$100,3,FALSE)</f>
        <v>#N/A</v>
      </c>
      <c r="O3165" s="7" t="e">
        <f>VLOOKUP(F3165,HC!A$6:D$1000,2,FALSE)</f>
        <v>#N/A</v>
      </c>
      <c r="P3165" t="s">
        <v>663</v>
      </c>
      <c r="Q3165" t="s">
        <v>692</v>
      </c>
      <c r="U3165">
        <f t="shared" si="51"/>
        <v>1395</v>
      </c>
    </row>
    <row r="3166" spans="1:21" ht="37.5" customHeight="1" x14ac:dyDescent="0.25">
      <c r="A3166" s="39">
        <v>45185</v>
      </c>
      <c r="B3166" s="13">
        <v>37</v>
      </c>
      <c r="C3166" t="s">
        <v>3</v>
      </c>
      <c r="D3166" t="s">
        <v>4</v>
      </c>
      <c r="E3166" t="s">
        <v>21</v>
      </c>
      <c r="F3166">
        <v>201842039</v>
      </c>
      <c r="G3166" t="s">
        <v>1231</v>
      </c>
      <c r="H3166" t="s">
        <v>49</v>
      </c>
      <c r="I3166">
        <v>0</v>
      </c>
      <c r="J3166">
        <v>0</v>
      </c>
      <c r="K3166">
        <v>0</v>
      </c>
      <c r="L3166">
        <v>0</v>
      </c>
      <c r="M3166">
        <v>0.13</v>
      </c>
      <c r="N3166" s="7" t="e">
        <f>VLOOKUP(F3166,HC!A$6:D$100,3,FALSE)</f>
        <v>#N/A</v>
      </c>
      <c r="O3166" s="7" t="str">
        <f>VLOOKUP(F3166,HC!A$6:D$1000,2,FALSE)</f>
        <v>fantmar</v>
      </c>
      <c r="P3166" t="s">
        <v>664</v>
      </c>
      <c r="Q3166" t="s">
        <v>777</v>
      </c>
      <c r="U3166">
        <f t="shared" si="51"/>
        <v>11</v>
      </c>
    </row>
    <row r="3167" spans="1:21" ht="37.5" customHeight="1" x14ac:dyDescent="0.25">
      <c r="A3167" s="39">
        <v>45185</v>
      </c>
      <c r="B3167" s="13">
        <v>37</v>
      </c>
      <c r="C3167" t="s">
        <v>3</v>
      </c>
      <c r="D3167" t="s">
        <v>4</v>
      </c>
      <c r="E3167" t="s">
        <v>21</v>
      </c>
      <c r="F3167">
        <v>201903097</v>
      </c>
      <c r="G3167" t="s">
        <v>1239</v>
      </c>
      <c r="H3167" t="s">
        <v>17</v>
      </c>
      <c r="I3167">
        <v>0</v>
      </c>
      <c r="J3167">
        <v>0</v>
      </c>
      <c r="K3167">
        <v>0</v>
      </c>
      <c r="L3167">
        <v>0</v>
      </c>
      <c r="M3167">
        <v>0.92</v>
      </c>
      <c r="N3167" s="7" t="e">
        <f>VLOOKUP(F3167,HC!A$6:D$100,3,FALSE)</f>
        <v>#N/A</v>
      </c>
      <c r="O3167" s="7" t="str">
        <f>VLOOKUP(F3167,HC!A$6:D$1000,2,FALSE)</f>
        <v>montoliy</v>
      </c>
      <c r="P3167" t="s">
        <v>664</v>
      </c>
      <c r="Q3167" t="s">
        <v>710</v>
      </c>
      <c r="U3167">
        <f t="shared" si="51"/>
        <v>10</v>
      </c>
    </row>
    <row r="3168" spans="1:21" ht="37.5" customHeight="1" x14ac:dyDescent="0.25">
      <c r="A3168" s="39">
        <v>45186</v>
      </c>
      <c r="B3168" s="13">
        <v>38</v>
      </c>
      <c r="C3168" t="s">
        <v>3</v>
      </c>
      <c r="D3168" t="s">
        <v>4</v>
      </c>
      <c r="E3168" t="s">
        <v>5</v>
      </c>
      <c r="F3168">
        <v>112912203</v>
      </c>
      <c r="G3168" t="s">
        <v>778</v>
      </c>
      <c r="H3168" t="s">
        <v>282</v>
      </c>
      <c r="I3168">
        <v>0</v>
      </c>
      <c r="J3168">
        <v>0</v>
      </c>
      <c r="K3168">
        <v>0</v>
      </c>
      <c r="L3168">
        <v>0</v>
      </c>
      <c r="M3168">
        <v>0.18</v>
      </c>
      <c r="N3168" s="7" t="str">
        <f>VLOOKUP(F3168,HC!A$6:D$100,3,FALSE)</f>
        <v>DA-X0700</v>
      </c>
      <c r="O3168" s="7" t="str">
        <f>VLOOKUP(F3168,HC!A$6:D$1000,2,FALSE)</f>
        <v>omarleoa</v>
      </c>
      <c r="P3168" t="s">
        <v>662</v>
      </c>
      <c r="Q3168" t="s">
        <v>757</v>
      </c>
      <c r="U3168">
        <f t="shared" si="51"/>
        <v>5</v>
      </c>
    </row>
    <row r="3169" spans="1:21" ht="37.5" customHeight="1" x14ac:dyDescent="0.25">
      <c r="A3169" s="39">
        <v>45186</v>
      </c>
      <c r="B3169" s="13">
        <v>38</v>
      </c>
      <c r="C3169" t="s">
        <v>3</v>
      </c>
      <c r="D3169" t="s">
        <v>4</v>
      </c>
      <c r="E3169" t="s">
        <v>5</v>
      </c>
      <c r="F3169">
        <v>112950784</v>
      </c>
      <c r="G3169" t="s">
        <v>261</v>
      </c>
      <c r="H3169" t="s">
        <v>282</v>
      </c>
      <c r="I3169">
        <v>0</v>
      </c>
      <c r="J3169">
        <v>0</v>
      </c>
      <c r="K3169">
        <v>0</v>
      </c>
      <c r="L3169">
        <v>0</v>
      </c>
      <c r="M3169">
        <v>0.17</v>
      </c>
      <c r="N3169" s="7" t="str">
        <f>VLOOKUP(F3169,HC!A$6:D$100,3,FALSE)</f>
        <v>NF-X1900</v>
      </c>
      <c r="O3169" s="7" t="str">
        <f>VLOOKUP(F3169,HC!A$6:D$1000,2,FALSE)</f>
        <v>sarojast</v>
      </c>
      <c r="P3169" t="s">
        <v>662</v>
      </c>
      <c r="Q3169" t="s">
        <v>687</v>
      </c>
      <c r="U3169">
        <f t="shared" si="51"/>
        <v>33</v>
      </c>
    </row>
    <row r="3170" spans="1:21" ht="37.5" customHeight="1" x14ac:dyDescent="0.25">
      <c r="A3170" s="39">
        <v>45186</v>
      </c>
      <c r="B3170" s="13">
        <v>38</v>
      </c>
      <c r="C3170" t="s">
        <v>3</v>
      </c>
      <c r="D3170" t="s">
        <v>4</v>
      </c>
      <c r="E3170" t="s">
        <v>5</v>
      </c>
      <c r="F3170">
        <v>112971962</v>
      </c>
      <c r="G3170" t="s">
        <v>338</v>
      </c>
      <c r="H3170" t="s">
        <v>263</v>
      </c>
      <c r="I3170">
        <v>0</v>
      </c>
      <c r="J3170">
        <v>0</v>
      </c>
      <c r="K3170">
        <v>0</v>
      </c>
      <c r="L3170">
        <v>0</v>
      </c>
      <c r="M3170">
        <v>0.14000000000000001</v>
      </c>
      <c r="N3170" s="7" t="str">
        <f>VLOOKUP(F3170,HC!A$6:D$100,3,FALSE)</f>
        <v>DB-X0700</v>
      </c>
      <c r="O3170" s="7" t="str">
        <f>VLOOKUP(F3170,HC!A$6:D$1000,2,FALSE)</f>
        <v>creyesal</v>
      </c>
      <c r="P3170" t="s">
        <v>664</v>
      </c>
      <c r="Q3170" t="s">
        <v>710</v>
      </c>
      <c r="U3170">
        <f t="shared" si="51"/>
        <v>38</v>
      </c>
    </row>
    <row r="3171" spans="1:21" ht="37.5" customHeight="1" x14ac:dyDescent="0.25">
      <c r="A3171" s="39">
        <v>45186</v>
      </c>
      <c r="B3171" s="13">
        <v>38</v>
      </c>
      <c r="C3171" t="s">
        <v>3</v>
      </c>
      <c r="D3171" t="s">
        <v>4</v>
      </c>
      <c r="E3171" t="s">
        <v>5</v>
      </c>
      <c r="F3171">
        <v>112980887</v>
      </c>
      <c r="G3171" t="s">
        <v>1221</v>
      </c>
      <c r="H3171" t="s">
        <v>282</v>
      </c>
      <c r="I3171">
        <v>0</v>
      </c>
      <c r="J3171">
        <v>0</v>
      </c>
      <c r="K3171">
        <v>0</v>
      </c>
      <c r="L3171">
        <v>0</v>
      </c>
      <c r="M3171">
        <v>0.18</v>
      </c>
      <c r="N3171" s="7" t="e">
        <f>VLOOKUP(F3171,HC!A$6:D$100,3,FALSE)</f>
        <v>#N/A</v>
      </c>
      <c r="O3171" s="7" t="e">
        <f>VLOOKUP(F3171,HC!A$6:D$1000,2,FALSE)</f>
        <v>#N/A</v>
      </c>
      <c r="P3171" t="s">
        <v>661</v>
      </c>
      <c r="Q3171" t="s">
        <v>681</v>
      </c>
      <c r="U3171">
        <f t="shared" si="51"/>
        <v>1395</v>
      </c>
    </row>
    <row r="3172" spans="1:21" ht="37.5" customHeight="1" x14ac:dyDescent="0.25">
      <c r="A3172" s="39">
        <v>45186</v>
      </c>
      <c r="B3172" s="13">
        <v>38</v>
      </c>
      <c r="C3172" t="s">
        <v>3</v>
      </c>
      <c r="D3172" t="s">
        <v>4</v>
      </c>
      <c r="E3172" t="s">
        <v>5</v>
      </c>
      <c r="F3172">
        <v>112981194</v>
      </c>
      <c r="G3172" t="s">
        <v>540</v>
      </c>
      <c r="H3172" t="s">
        <v>332</v>
      </c>
      <c r="I3172">
        <v>0</v>
      </c>
      <c r="J3172">
        <v>0</v>
      </c>
      <c r="K3172">
        <v>0</v>
      </c>
      <c r="L3172">
        <v>0</v>
      </c>
      <c r="M3172">
        <v>0.13</v>
      </c>
      <c r="N3172" s="7" t="str">
        <f>VLOOKUP(F3172,HC!A$6:D$100,3,FALSE)</f>
        <v>NF-X1900</v>
      </c>
      <c r="O3172" s="7" t="str">
        <f>VLOOKUP(F3172,HC!A$6:D$1000,2,FALSE)</f>
        <v>csandrak</v>
      </c>
      <c r="P3172" t="s">
        <v>661</v>
      </c>
      <c r="Q3172" t="s">
        <v>681</v>
      </c>
      <c r="U3172">
        <f t="shared" si="51"/>
        <v>8</v>
      </c>
    </row>
    <row r="3173" spans="1:21" ht="37.5" customHeight="1" x14ac:dyDescent="0.25">
      <c r="A3173" s="39">
        <v>45186</v>
      </c>
      <c r="B3173" s="13">
        <v>38</v>
      </c>
      <c r="C3173" t="s">
        <v>3</v>
      </c>
      <c r="D3173" t="s">
        <v>4</v>
      </c>
      <c r="E3173" t="s">
        <v>5</v>
      </c>
      <c r="F3173">
        <v>113014403</v>
      </c>
      <c r="G3173" t="s">
        <v>373</v>
      </c>
      <c r="H3173" t="s">
        <v>250</v>
      </c>
      <c r="I3173">
        <v>0</v>
      </c>
      <c r="J3173">
        <v>0</v>
      </c>
      <c r="K3173">
        <v>0</v>
      </c>
      <c r="L3173">
        <v>0</v>
      </c>
      <c r="M3173">
        <v>0.15</v>
      </c>
      <c r="N3173" s="7" t="e">
        <f>VLOOKUP(F3173,HC!A$6:D$100,3,FALSE)</f>
        <v>#N/A</v>
      </c>
      <c r="O3173" s="7" t="str">
        <f>VLOOKUP(F3173,HC!A$6:D$1000,2,FALSE)</f>
        <v>wnoraria</v>
      </c>
      <c r="P3173" t="s">
        <v>661</v>
      </c>
      <c r="Q3173" t="s">
        <v>681</v>
      </c>
      <c r="U3173">
        <f t="shared" si="51"/>
        <v>23</v>
      </c>
    </row>
    <row r="3174" spans="1:21" ht="37.5" customHeight="1" x14ac:dyDescent="0.25">
      <c r="A3174" s="39">
        <v>45186</v>
      </c>
      <c r="B3174" s="13">
        <v>38</v>
      </c>
      <c r="C3174" t="s">
        <v>3</v>
      </c>
      <c r="D3174" t="s">
        <v>4</v>
      </c>
      <c r="E3174" t="s">
        <v>5</v>
      </c>
      <c r="F3174">
        <v>113020463</v>
      </c>
      <c r="G3174" t="s">
        <v>321</v>
      </c>
      <c r="H3174" t="s">
        <v>44</v>
      </c>
      <c r="I3174">
        <v>0</v>
      </c>
      <c r="J3174">
        <v>0</v>
      </c>
      <c r="K3174">
        <v>0</v>
      </c>
      <c r="L3174">
        <v>0</v>
      </c>
      <c r="M3174">
        <v>0.23</v>
      </c>
      <c r="N3174" s="7" t="e">
        <f>VLOOKUP(F3174,HC!A$6:D$100,3,FALSE)</f>
        <v>#N/A</v>
      </c>
      <c r="O3174" s="7" t="str">
        <f>VLOOKUP(F3174,HC!A$6:D$1000,2,FALSE)</f>
        <v>myriamav</v>
      </c>
      <c r="P3174" t="s">
        <v>663</v>
      </c>
      <c r="Q3174" t="s">
        <v>692</v>
      </c>
      <c r="U3174">
        <f t="shared" si="51"/>
        <v>24</v>
      </c>
    </row>
    <row r="3175" spans="1:21" ht="37.5" customHeight="1" x14ac:dyDescent="0.25">
      <c r="A3175" s="39">
        <v>45186</v>
      </c>
      <c r="B3175" s="13">
        <v>38</v>
      </c>
      <c r="C3175" t="s">
        <v>3</v>
      </c>
      <c r="D3175" t="s">
        <v>4</v>
      </c>
      <c r="E3175" t="s">
        <v>5</v>
      </c>
      <c r="F3175">
        <v>113101453</v>
      </c>
      <c r="G3175" t="s">
        <v>50</v>
      </c>
      <c r="H3175" t="s">
        <v>44</v>
      </c>
      <c r="I3175">
        <v>0</v>
      </c>
      <c r="J3175">
        <v>0</v>
      </c>
      <c r="K3175">
        <v>0</v>
      </c>
      <c r="L3175">
        <v>0</v>
      </c>
      <c r="M3175">
        <v>0.11</v>
      </c>
      <c r="N3175" s="7" t="e">
        <f>VLOOKUP(F3175,HC!A$6:D$100,3,FALSE)</f>
        <v>#N/A</v>
      </c>
      <c r="O3175" s="7" t="str">
        <f>VLOOKUP(F3175,HC!A$6:D$1000,2,FALSE)</f>
        <v>qisgeova</v>
      </c>
      <c r="P3175" t="s">
        <v>661</v>
      </c>
      <c r="Q3175" t="s">
        <v>700</v>
      </c>
      <c r="U3175">
        <f t="shared" si="51"/>
        <v>57</v>
      </c>
    </row>
    <row r="3176" spans="1:21" ht="37.5" customHeight="1" x14ac:dyDescent="0.25">
      <c r="A3176" s="39">
        <v>45186</v>
      </c>
      <c r="B3176" s="13">
        <v>38</v>
      </c>
      <c r="C3176" t="s">
        <v>3</v>
      </c>
      <c r="D3176" t="s">
        <v>4</v>
      </c>
      <c r="E3176" t="s">
        <v>5</v>
      </c>
      <c r="F3176">
        <v>200404250</v>
      </c>
      <c r="G3176" t="s">
        <v>51</v>
      </c>
      <c r="H3176" t="s">
        <v>298</v>
      </c>
      <c r="I3176">
        <v>0</v>
      </c>
      <c r="J3176">
        <v>0</v>
      </c>
      <c r="K3176">
        <v>0</v>
      </c>
      <c r="L3176">
        <v>0</v>
      </c>
      <c r="M3176">
        <v>0.36</v>
      </c>
      <c r="N3176" s="7" t="e">
        <f>VLOOKUP(F3176,HC!A$6:D$100,3,FALSE)</f>
        <v>#N/A</v>
      </c>
      <c r="O3176" s="7" t="str">
        <f>VLOOKUP(F3176,HC!A$6:D$1000,2,FALSE)</f>
        <v>xcathurt</v>
      </c>
      <c r="P3176" t="s">
        <v>662</v>
      </c>
      <c r="Q3176" t="s">
        <v>766</v>
      </c>
      <c r="U3176">
        <f t="shared" si="51"/>
        <v>124</v>
      </c>
    </row>
    <row r="3177" spans="1:21" ht="37.5" customHeight="1" x14ac:dyDescent="0.25">
      <c r="A3177" s="39">
        <v>45186</v>
      </c>
      <c r="B3177" s="13">
        <v>38</v>
      </c>
      <c r="C3177" t="s">
        <v>3</v>
      </c>
      <c r="D3177" t="s">
        <v>4</v>
      </c>
      <c r="E3177" t="s">
        <v>5</v>
      </c>
      <c r="F3177">
        <v>200620341</v>
      </c>
      <c r="G3177" t="s">
        <v>255</v>
      </c>
      <c r="H3177" t="s">
        <v>250</v>
      </c>
      <c r="I3177">
        <v>0</v>
      </c>
      <c r="J3177">
        <v>0</v>
      </c>
      <c r="K3177">
        <v>0</v>
      </c>
      <c r="L3177">
        <v>0</v>
      </c>
      <c r="M3177">
        <v>0.28000000000000003</v>
      </c>
      <c r="N3177" s="7" t="e">
        <f>VLOOKUP(F3177,HC!A$6:D$100,3,FALSE)</f>
        <v>#N/A</v>
      </c>
      <c r="O3177" s="7" t="e">
        <f>VLOOKUP(F3177,HC!A$6:D$1000,2,FALSE)</f>
        <v>#N/A</v>
      </c>
      <c r="P3177" t="s">
        <v>661</v>
      </c>
      <c r="Q3177" t="s">
        <v>681</v>
      </c>
      <c r="U3177">
        <f t="shared" si="51"/>
        <v>1395</v>
      </c>
    </row>
    <row r="3178" spans="1:21" ht="37.5" customHeight="1" x14ac:dyDescent="0.25">
      <c r="A3178" s="39">
        <v>45186</v>
      </c>
      <c r="B3178" s="13">
        <v>38</v>
      </c>
      <c r="C3178" t="s">
        <v>3</v>
      </c>
      <c r="D3178" t="s">
        <v>4</v>
      </c>
      <c r="E3178" t="s">
        <v>5</v>
      </c>
      <c r="F3178">
        <v>201167501</v>
      </c>
      <c r="G3178" t="s">
        <v>863</v>
      </c>
      <c r="H3178" t="s">
        <v>44</v>
      </c>
      <c r="I3178">
        <v>0</v>
      </c>
      <c r="J3178">
        <v>0</v>
      </c>
      <c r="K3178">
        <v>0</v>
      </c>
      <c r="L3178">
        <v>0</v>
      </c>
      <c r="M3178">
        <v>0.21</v>
      </c>
      <c r="N3178" s="7" t="e">
        <f>VLOOKUP(F3178,HC!A$6:D$100,3,FALSE)</f>
        <v>#N/A</v>
      </c>
      <c r="O3178" s="7" t="str">
        <f>VLOOKUP(F3178,HC!A$6:D$1000,2,FALSE)</f>
        <v>wguanajr</v>
      </c>
      <c r="P3178" t="s">
        <v>664</v>
      </c>
      <c r="Q3178" t="s">
        <v>708</v>
      </c>
      <c r="U3178">
        <f t="shared" si="51"/>
        <v>36</v>
      </c>
    </row>
    <row r="3179" spans="1:21" ht="37.5" customHeight="1" x14ac:dyDescent="0.25">
      <c r="A3179" s="39">
        <v>45186</v>
      </c>
      <c r="B3179" s="13">
        <v>38</v>
      </c>
      <c r="C3179" t="s">
        <v>3</v>
      </c>
      <c r="D3179" t="s">
        <v>4</v>
      </c>
      <c r="E3179" t="s">
        <v>5</v>
      </c>
      <c r="F3179">
        <v>201341534</v>
      </c>
      <c r="G3179" t="s">
        <v>1181</v>
      </c>
      <c r="H3179" t="s">
        <v>285</v>
      </c>
      <c r="I3179">
        <v>0</v>
      </c>
      <c r="J3179">
        <v>0</v>
      </c>
      <c r="K3179">
        <v>0</v>
      </c>
      <c r="L3179">
        <v>0</v>
      </c>
      <c r="M3179">
        <v>0.18</v>
      </c>
      <c r="N3179" s="7" t="e">
        <f>VLOOKUP(F3179,HC!A$6:D$100,3,FALSE)</f>
        <v>#N/A</v>
      </c>
      <c r="O3179" s="7" t="str">
        <f>VLOOKUP(F3179,HC!A$6:D$1000,2,FALSE)</f>
        <v>beceresm</v>
      </c>
      <c r="P3179" t="s">
        <v>663</v>
      </c>
      <c r="Q3179" t="s">
        <v>692</v>
      </c>
      <c r="U3179">
        <f t="shared" si="51"/>
        <v>10</v>
      </c>
    </row>
    <row r="3180" spans="1:21" ht="37.5" customHeight="1" x14ac:dyDescent="0.25">
      <c r="A3180" s="39">
        <v>45186</v>
      </c>
      <c r="B3180" s="13">
        <v>38</v>
      </c>
      <c r="C3180" t="s">
        <v>3</v>
      </c>
      <c r="D3180" t="s">
        <v>4</v>
      </c>
      <c r="E3180" t="s">
        <v>21</v>
      </c>
      <c r="F3180">
        <v>201882567</v>
      </c>
      <c r="G3180" t="s">
        <v>1265</v>
      </c>
      <c r="H3180" t="s">
        <v>298</v>
      </c>
      <c r="I3180">
        <v>0</v>
      </c>
      <c r="J3180">
        <v>0</v>
      </c>
      <c r="K3180">
        <v>0</v>
      </c>
      <c r="L3180">
        <v>0</v>
      </c>
      <c r="M3180">
        <v>0.22</v>
      </c>
      <c r="N3180" s="7" t="e">
        <f>VLOOKUP(F3180,HC!A$6:D$100,3,FALSE)</f>
        <v>#N/A</v>
      </c>
      <c r="O3180" s="7" t="str">
        <f>VLOOKUP(F3180,HC!A$6:D$1000,2,FALSE)</f>
        <v>valtsalv</v>
      </c>
      <c r="P3180" t="s">
        <v>661</v>
      </c>
      <c r="Q3180" t="s">
        <v>681</v>
      </c>
      <c r="U3180">
        <f t="shared" si="51"/>
        <v>5</v>
      </c>
    </row>
    <row r="3181" spans="1:21" ht="37.5" customHeight="1" x14ac:dyDescent="0.25">
      <c r="A3181" s="39">
        <v>45187</v>
      </c>
      <c r="B3181" s="13">
        <v>38</v>
      </c>
      <c r="C3181" t="s">
        <v>3</v>
      </c>
      <c r="D3181" t="s">
        <v>4</v>
      </c>
      <c r="E3181" t="s">
        <v>5</v>
      </c>
      <c r="F3181">
        <v>103979960</v>
      </c>
      <c r="G3181" t="s">
        <v>372</v>
      </c>
      <c r="H3181" t="s">
        <v>44</v>
      </c>
      <c r="I3181">
        <v>0</v>
      </c>
      <c r="J3181">
        <v>0</v>
      </c>
      <c r="K3181">
        <v>0</v>
      </c>
      <c r="L3181">
        <v>0</v>
      </c>
      <c r="M3181">
        <v>0.47</v>
      </c>
      <c r="N3181" s="7" t="e">
        <f>VLOOKUP(F3181,HC!A$6:D$100,3,FALSE)</f>
        <v>#N/A</v>
      </c>
      <c r="O3181" s="7" t="e">
        <f>VLOOKUP(F3181,HC!A$6:D$1000,2,FALSE)</f>
        <v>#N/A</v>
      </c>
      <c r="P3181" t="s">
        <v>664</v>
      </c>
      <c r="Q3181" t="s">
        <v>711</v>
      </c>
      <c r="U3181">
        <f t="shared" si="51"/>
        <v>1395</v>
      </c>
    </row>
    <row r="3182" spans="1:21" ht="37.5" customHeight="1" x14ac:dyDescent="0.25">
      <c r="A3182" s="39">
        <v>45187</v>
      </c>
      <c r="B3182" s="13">
        <v>38</v>
      </c>
      <c r="C3182" t="s">
        <v>3</v>
      </c>
      <c r="D3182" t="s">
        <v>4</v>
      </c>
      <c r="E3182" t="s">
        <v>5</v>
      </c>
      <c r="F3182">
        <v>112950797</v>
      </c>
      <c r="G3182" t="s">
        <v>11</v>
      </c>
      <c r="H3182" t="s">
        <v>282</v>
      </c>
      <c r="I3182">
        <v>0</v>
      </c>
      <c r="J3182">
        <v>0</v>
      </c>
      <c r="K3182">
        <v>0</v>
      </c>
      <c r="L3182">
        <v>0</v>
      </c>
      <c r="M3182">
        <v>0.33</v>
      </c>
      <c r="N3182" s="7" t="str">
        <f>VLOOKUP(F3182,HC!A$6:D$100,3,FALSE)</f>
        <v>DA-X0700</v>
      </c>
      <c r="O3182" s="7" t="str">
        <f>VLOOKUP(F3182,HC!A$6:D$1000,2,FALSE)</f>
        <v>hesdenis</v>
      </c>
      <c r="P3182" t="s">
        <v>663</v>
      </c>
      <c r="Q3182" t="s">
        <v>692</v>
      </c>
      <c r="U3182">
        <f t="shared" si="51"/>
        <v>7</v>
      </c>
    </row>
    <row r="3183" spans="1:21" ht="37.5" customHeight="1" x14ac:dyDescent="0.25">
      <c r="A3183" s="39">
        <v>45187</v>
      </c>
      <c r="B3183" s="13">
        <v>38</v>
      </c>
      <c r="C3183" t="s">
        <v>3</v>
      </c>
      <c r="D3183" t="s">
        <v>4</v>
      </c>
      <c r="E3183" t="s">
        <v>5</v>
      </c>
      <c r="F3183">
        <v>113013981</v>
      </c>
      <c r="G3183" t="s">
        <v>966</v>
      </c>
      <c r="H3183" t="s">
        <v>1040</v>
      </c>
      <c r="I3183">
        <v>0</v>
      </c>
      <c r="J3183">
        <v>0</v>
      </c>
      <c r="K3183">
        <v>0</v>
      </c>
      <c r="L3183">
        <v>0</v>
      </c>
      <c r="M3183">
        <v>0.39</v>
      </c>
      <c r="N3183" s="7" t="e">
        <f>VLOOKUP(F3183,HC!A$6:D$100,3,FALSE)</f>
        <v>#N/A</v>
      </c>
      <c r="O3183" s="7" t="e">
        <f>VLOOKUP(F3183,HC!A$6:D$1000,2,FALSE)</f>
        <v>#N/A</v>
      </c>
      <c r="P3183" t="s">
        <v>663</v>
      </c>
      <c r="Q3183" t="s">
        <v>692</v>
      </c>
      <c r="U3183">
        <f t="shared" si="51"/>
        <v>1395</v>
      </c>
    </row>
    <row r="3184" spans="1:21" ht="37.5" customHeight="1" x14ac:dyDescent="0.25">
      <c r="A3184" s="39">
        <v>45187</v>
      </c>
      <c r="B3184" s="13">
        <v>38</v>
      </c>
      <c r="C3184" t="s">
        <v>3</v>
      </c>
      <c r="D3184" t="s">
        <v>4</v>
      </c>
      <c r="E3184" t="s">
        <v>5</v>
      </c>
      <c r="F3184">
        <v>113014094</v>
      </c>
      <c r="G3184" t="s">
        <v>463</v>
      </c>
      <c r="H3184" t="s">
        <v>44</v>
      </c>
      <c r="I3184">
        <v>0</v>
      </c>
      <c r="J3184">
        <v>0</v>
      </c>
      <c r="K3184">
        <v>0</v>
      </c>
      <c r="L3184">
        <v>0</v>
      </c>
      <c r="M3184">
        <v>0.31</v>
      </c>
      <c r="N3184" s="7" t="e">
        <f>VLOOKUP(F3184,HC!A$6:D$100,3,FALSE)</f>
        <v>#N/A</v>
      </c>
      <c r="O3184" s="7" t="str">
        <f>VLOOKUP(F3184,HC!A$6:D$1000,2,FALSE)</f>
        <v>erikaadm</v>
      </c>
      <c r="P3184" t="s">
        <v>664</v>
      </c>
      <c r="Q3184" t="s">
        <v>708</v>
      </c>
      <c r="U3184">
        <f t="shared" si="51"/>
        <v>21</v>
      </c>
    </row>
    <row r="3185" spans="1:21" ht="37.5" customHeight="1" x14ac:dyDescent="0.25">
      <c r="A3185" s="39">
        <v>45187</v>
      </c>
      <c r="B3185" s="13">
        <v>38</v>
      </c>
      <c r="C3185" t="s">
        <v>3</v>
      </c>
      <c r="D3185" t="s">
        <v>4</v>
      </c>
      <c r="E3185" t="s">
        <v>5</v>
      </c>
      <c r="F3185">
        <v>113052151</v>
      </c>
      <c r="G3185" t="s">
        <v>482</v>
      </c>
      <c r="H3185" t="s">
        <v>17</v>
      </c>
      <c r="I3185">
        <v>0</v>
      </c>
      <c r="J3185">
        <v>0</v>
      </c>
      <c r="K3185">
        <v>0</v>
      </c>
      <c r="L3185">
        <v>0</v>
      </c>
      <c r="M3185">
        <v>0.23</v>
      </c>
      <c r="N3185" s="7" t="e">
        <f>VLOOKUP(F3185,HC!A$6:D$100,3,FALSE)</f>
        <v>#N/A</v>
      </c>
      <c r="O3185" s="7" t="str">
        <f>VLOOKUP(F3185,HC!A$6:D$1000,2,FALSE)</f>
        <v>nilaurab</v>
      </c>
      <c r="P3185" t="s">
        <v>662</v>
      </c>
      <c r="Q3185" t="s">
        <v>757</v>
      </c>
      <c r="U3185">
        <f t="shared" si="51"/>
        <v>28</v>
      </c>
    </row>
    <row r="3186" spans="1:21" ht="37.5" customHeight="1" x14ac:dyDescent="0.25">
      <c r="A3186" s="39">
        <v>45187</v>
      </c>
      <c r="B3186" s="13">
        <v>38</v>
      </c>
      <c r="C3186" t="s">
        <v>3</v>
      </c>
      <c r="D3186" t="s">
        <v>4</v>
      </c>
      <c r="E3186" t="s">
        <v>5</v>
      </c>
      <c r="F3186">
        <v>200563038</v>
      </c>
      <c r="G3186" t="s">
        <v>949</v>
      </c>
      <c r="H3186" t="s">
        <v>403</v>
      </c>
      <c r="I3186">
        <v>0</v>
      </c>
      <c r="J3186">
        <v>0</v>
      </c>
      <c r="K3186">
        <v>0</v>
      </c>
      <c r="L3186">
        <v>0</v>
      </c>
      <c r="M3186">
        <v>0.34</v>
      </c>
      <c r="N3186" s="7" t="e">
        <f>VLOOKUP(F3186,HC!A$6:D$100,3,FALSE)</f>
        <v>#N/A</v>
      </c>
      <c r="O3186" s="7" t="str">
        <f>VLOOKUP(F3186,HC!A$6:D$1000,2,FALSE)</f>
        <v>ariaszee</v>
      </c>
      <c r="P3186" t="s">
        <v>669</v>
      </c>
      <c r="Q3186" t="s">
        <v>739</v>
      </c>
      <c r="U3186">
        <f t="shared" si="51"/>
        <v>9</v>
      </c>
    </row>
    <row r="3187" spans="1:21" ht="37.5" customHeight="1" x14ac:dyDescent="0.25">
      <c r="A3187" s="39">
        <v>45187</v>
      </c>
      <c r="B3187" s="13">
        <v>38</v>
      </c>
      <c r="C3187" t="s">
        <v>3</v>
      </c>
      <c r="D3187" t="s">
        <v>4</v>
      </c>
      <c r="E3187" t="s">
        <v>5</v>
      </c>
      <c r="F3187">
        <v>201165769</v>
      </c>
      <c r="G3187" t="s">
        <v>903</v>
      </c>
      <c r="H3187" t="s">
        <v>285</v>
      </c>
      <c r="I3187">
        <v>0</v>
      </c>
      <c r="J3187">
        <v>0</v>
      </c>
      <c r="K3187">
        <v>0</v>
      </c>
      <c r="L3187">
        <v>0</v>
      </c>
      <c r="M3187">
        <v>0.17</v>
      </c>
      <c r="N3187" s="7" t="e">
        <f>VLOOKUP(F3187,HC!A$6:D$100,3,FALSE)</f>
        <v>#N/A</v>
      </c>
      <c r="O3187" s="7" t="str">
        <f>VLOOKUP(F3187,HC!A$6:D$1000,2,FALSE)</f>
        <v>puenkare</v>
      </c>
      <c r="P3187" t="s">
        <v>663</v>
      </c>
      <c r="Q3187" t="s">
        <v>692</v>
      </c>
      <c r="U3187">
        <f t="shared" si="51"/>
        <v>19</v>
      </c>
    </row>
    <row r="3188" spans="1:21" ht="37.5" customHeight="1" x14ac:dyDescent="0.25">
      <c r="A3188" s="39">
        <v>45187</v>
      </c>
      <c r="B3188" s="13">
        <v>38</v>
      </c>
      <c r="C3188" t="s">
        <v>3</v>
      </c>
      <c r="D3188" t="s">
        <v>4</v>
      </c>
      <c r="E3188" t="s">
        <v>5</v>
      </c>
      <c r="F3188">
        <v>201167501</v>
      </c>
      <c r="G3188" t="s">
        <v>863</v>
      </c>
      <c r="H3188" t="s">
        <v>44</v>
      </c>
      <c r="I3188">
        <v>0</v>
      </c>
      <c r="J3188">
        <v>0</v>
      </c>
      <c r="K3188">
        <v>0</v>
      </c>
      <c r="L3188">
        <v>0</v>
      </c>
      <c r="M3188">
        <v>0.12</v>
      </c>
      <c r="N3188" s="7" t="e">
        <f>VLOOKUP(F3188,HC!A$6:D$100,3,FALSE)</f>
        <v>#N/A</v>
      </c>
      <c r="O3188" s="7" t="str">
        <f>VLOOKUP(F3188,HC!A$6:D$1000,2,FALSE)</f>
        <v>wguanajr</v>
      </c>
      <c r="P3188" t="s">
        <v>664</v>
      </c>
      <c r="Q3188" t="s">
        <v>777</v>
      </c>
      <c r="U3188">
        <f t="shared" si="51"/>
        <v>36</v>
      </c>
    </row>
    <row r="3189" spans="1:21" ht="37.5" customHeight="1" x14ac:dyDescent="0.25">
      <c r="A3189" s="39">
        <v>45187</v>
      </c>
      <c r="B3189" s="13">
        <v>38</v>
      </c>
      <c r="C3189" t="s">
        <v>3</v>
      </c>
      <c r="D3189" t="s">
        <v>4</v>
      </c>
      <c r="E3189" t="s">
        <v>21</v>
      </c>
      <c r="F3189">
        <v>201320536</v>
      </c>
      <c r="G3189" t="s">
        <v>992</v>
      </c>
      <c r="H3189" t="s">
        <v>17</v>
      </c>
      <c r="I3189">
        <v>0</v>
      </c>
      <c r="J3189">
        <v>0</v>
      </c>
      <c r="K3189">
        <v>0</v>
      </c>
      <c r="L3189">
        <v>0</v>
      </c>
      <c r="M3189">
        <v>0.28999999999999998</v>
      </c>
      <c r="N3189" s="7" t="e">
        <f>VLOOKUP(F3189,HC!A$6:D$100,3,FALSE)</f>
        <v>#N/A</v>
      </c>
      <c r="O3189" s="7" t="str">
        <f>VLOOKUP(F3189,HC!A$6:D$1000,2,FALSE)</f>
        <v>ibalmigu</v>
      </c>
      <c r="P3189" t="s">
        <v>661</v>
      </c>
      <c r="Q3189" t="s">
        <v>681</v>
      </c>
      <c r="U3189">
        <f t="shared" si="51"/>
        <v>11</v>
      </c>
    </row>
    <row r="3190" spans="1:21" ht="37.5" customHeight="1" x14ac:dyDescent="0.25">
      <c r="A3190" s="39">
        <v>45187</v>
      </c>
      <c r="B3190" s="13">
        <v>38</v>
      </c>
      <c r="C3190" t="s">
        <v>3</v>
      </c>
      <c r="D3190" t="s">
        <v>4</v>
      </c>
      <c r="E3190" t="s">
        <v>5</v>
      </c>
      <c r="F3190">
        <v>201341534</v>
      </c>
      <c r="G3190" t="s">
        <v>1181</v>
      </c>
      <c r="H3190" t="s">
        <v>285</v>
      </c>
      <c r="I3190">
        <v>0</v>
      </c>
      <c r="J3190">
        <v>0</v>
      </c>
      <c r="K3190">
        <v>0</v>
      </c>
      <c r="L3190">
        <v>0</v>
      </c>
      <c r="M3190">
        <v>0.08</v>
      </c>
      <c r="N3190" s="7" t="e">
        <f>VLOOKUP(F3190,HC!A$6:D$100,3,FALSE)</f>
        <v>#N/A</v>
      </c>
      <c r="O3190" s="7" t="str">
        <f>VLOOKUP(F3190,HC!A$6:D$1000,2,FALSE)</f>
        <v>beceresm</v>
      </c>
      <c r="P3190" t="s">
        <v>663</v>
      </c>
      <c r="Q3190" t="s">
        <v>692</v>
      </c>
      <c r="U3190">
        <f t="shared" si="51"/>
        <v>10</v>
      </c>
    </row>
    <row r="3191" spans="1:21" ht="37.5" customHeight="1" x14ac:dyDescent="0.25">
      <c r="A3191" s="39">
        <v>45187</v>
      </c>
      <c r="B3191" s="13">
        <v>38</v>
      </c>
      <c r="C3191" t="s">
        <v>3</v>
      </c>
      <c r="D3191" t="s">
        <v>4</v>
      </c>
      <c r="E3191" t="s">
        <v>21</v>
      </c>
      <c r="F3191">
        <v>201882567</v>
      </c>
      <c r="G3191" t="s">
        <v>1265</v>
      </c>
      <c r="H3191" t="s">
        <v>298</v>
      </c>
      <c r="I3191">
        <v>0</v>
      </c>
      <c r="J3191">
        <v>0</v>
      </c>
      <c r="K3191">
        <v>0</v>
      </c>
      <c r="L3191">
        <v>0</v>
      </c>
      <c r="M3191">
        <v>0.15</v>
      </c>
      <c r="N3191" s="7" t="e">
        <f>VLOOKUP(F3191,HC!A$6:D$100,3,FALSE)</f>
        <v>#N/A</v>
      </c>
      <c r="O3191" s="7" t="str">
        <f>VLOOKUP(F3191,HC!A$6:D$1000,2,FALSE)</f>
        <v>valtsalv</v>
      </c>
      <c r="P3191" t="s">
        <v>663</v>
      </c>
      <c r="Q3191" t="s">
        <v>692</v>
      </c>
      <c r="U3191">
        <f t="shared" si="51"/>
        <v>5</v>
      </c>
    </row>
    <row r="3192" spans="1:21" ht="37.5" customHeight="1" x14ac:dyDescent="0.25">
      <c r="A3192" s="39">
        <v>45187</v>
      </c>
      <c r="B3192" s="13">
        <v>38</v>
      </c>
      <c r="C3192" t="s">
        <v>3</v>
      </c>
      <c r="D3192" t="s">
        <v>4</v>
      </c>
      <c r="E3192" t="s">
        <v>21</v>
      </c>
      <c r="F3192">
        <v>201891076</v>
      </c>
      <c r="G3192" t="s">
        <v>1226</v>
      </c>
      <c r="H3192" t="s">
        <v>298</v>
      </c>
      <c r="I3192">
        <v>0</v>
      </c>
      <c r="J3192">
        <v>0</v>
      </c>
      <c r="K3192">
        <v>0</v>
      </c>
      <c r="L3192">
        <v>0</v>
      </c>
      <c r="M3192">
        <v>0.13</v>
      </c>
      <c r="N3192" s="7" t="e">
        <f>VLOOKUP(F3192,HC!A$6:D$100,3,FALSE)</f>
        <v>#N/A</v>
      </c>
      <c r="O3192" s="7" t="str">
        <f>VLOOKUP(F3192,HC!A$6:D$1000,2,FALSE)</f>
        <v>marmolve</v>
      </c>
      <c r="P3192" t="s">
        <v>667</v>
      </c>
      <c r="Q3192" t="s">
        <v>306</v>
      </c>
      <c r="U3192">
        <f t="shared" si="51"/>
        <v>9</v>
      </c>
    </row>
    <row r="3193" spans="1:21" ht="37.5" customHeight="1" x14ac:dyDescent="0.25">
      <c r="A3193" s="39">
        <v>45187</v>
      </c>
      <c r="B3193" s="13">
        <v>38</v>
      </c>
      <c r="C3193" t="s">
        <v>3</v>
      </c>
      <c r="D3193" t="s">
        <v>4</v>
      </c>
      <c r="E3193" t="s">
        <v>21</v>
      </c>
      <c r="F3193">
        <v>201902140</v>
      </c>
      <c r="G3193" t="s">
        <v>1266</v>
      </c>
      <c r="H3193" t="s">
        <v>282</v>
      </c>
      <c r="I3193">
        <v>0</v>
      </c>
      <c r="J3193">
        <v>0</v>
      </c>
      <c r="K3193">
        <v>0</v>
      </c>
      <c r="L3193">
        <v>0</v>
      </c>
      <c r="M3193">
        <v>0.18</v>
      </c>
      <c r="N3193" s="7" t="e">
        <f>VLOOKUP(F3193,HC!A$6:D$100,3,FALSE)</f>
        <v>#N/A</v>
      </c>
      <c r="O3193" s="7" t="str">
        <f>VLOOKUP(F3193,HC!A$6:D$1000,2,FALSE)</f>
        <v>almagarx</v>
      </c>
      <c r="P3193" t="s">
        <v>670</v>
      </c>
      <c r="Q3193" t="s">
        <v>746</v>
      </c>
      <c r="U3193">
        <f t="shared" si="51"/>
        <v>3</v>
      </c>
    </row>
    <row r="3194" spans="1:21" ht="37.5" customHeight="1" x14ac:dyDescent="0.25">
      <c r="A3194" s="39">
        <v>45187</v>
      </c>
      <c r="B3194" s="13">
        <v>38</v>
      </c>
      <c r="C3194" t="s">
        <v>3</v>
      </c>
      <c r="D3194" t="s">
        <v>1224</v>
      </c>
      <c r="E3194" t="s">
        <v>5</v>
      </c>
      <c r="F3194">
        <v>201378542</v>
      </c>
      <c r="G3194" t="s">
        <v>1267</v>
      </c>
      <c r="H3194" t="s">
        <v>1040</v>
      </c>
      <c r="I3194">
        <v>0</v>
      </c>
      <c r="J3194">
        <v>0</v>
      </c>
      <c r="K3194">
        <v>0</v>
      </c>
      <c r="L3194">
        <v>0</v>
      </c>
      <c r="M3194">
        <v>0.55000000000000004</v>
      </c>
      <c r="N3194" s="7" t="e">
        <f>VLOOKUP(F3194,HC!A$6:D$100,3,FALSE)</f>
        <v>#N/A</v>
      </c>
      <c r="O3194" s="7" t="str">
        <f>VLOOKUP(F3194,HC!A$6:D$1000,2,FALSE)</f>
        <v>tcontree</v>
      </c>
      <c r="P3194" t="s">
        <v>661</v>
      </c>
      <c r="Q3194" t="s">
        <v>681</v>
      </c>
      <c r="U3194">
        <f t="shared" si="51"/>
        <v>9</v>
      </c>
    </row>
    <row r="3195" spans="1:21" ht="37.5" customHeight="1" x14ac:dyDescent="0.25">
      <c r="A3195" s="39">
        <v>45187</v>
      </c>
      <c r="B3195" s="13">
        <v>38</v>
      </c>
      <c r="C3195" t="s">
        <v>3</v>
      </c>
      <c r="D3195" t="s">
        <v>1224</v>
      </c>
      <c r="E3195" t="s">
        <v>5</v>
      </c>
      <c r="F3195">
        <v>201401219</v>
      </c>
      <c r="G3195" t="s">
        <v>1160</v>
      </c>
      <c r="H3195" t="s">
        <v>1040</v>
      </c>
      <c r="I3195">
        <v>0</v>
      </c>
      <c r="J3195">
        <v>0</v>
      </c>
      <c r="K3195">
        <v>0</v>
      </c>
      <c r="L3195">
        <v>0</v>
      </c>
      <c r="M3195">
        <v>0.19</v>
      </c>
      <c r="N3195" s="7" t="e">
        <f>VLOOKUP(F3195,HC!A$6:D$100,3,FALSE)</f>
        <v>#N/A</v>
      </c>
      <c r="O3195" s="7" t="str">
        <f>VLOOKUP(F3195,HC!A$6:D$1000,2,FALSE)</f>
        <v>namorena</v>
      </c>
      <c r="P3195" t="s">
        <v>661</v>
      </c>
      <c r="Q3195" t="s">
        <v>681</v>
      </c>
      <c r="U3195">
        <f t="shared" si="51"/>
        <v>5</v>
      </c>
    </row>
    <row r="3196" spans="1:21" ht="37.5" customHeight="1" x14ac:dyDescent="0.25">
      <c r="A3196" s="39">
        <v>45188</v>
      </c>
      <c r="B3196" s="13">
        <v>38</v>
      </c>
      <c r="C3196" t="s">
        <v>3</v>
      </c>
      <c r="D3196" t="s">
        <v>4</v>
      </c>
      <c r="E3196" t="s">
        <v>5</v>
      </c>
      <c r="F3196">
        <v>112912507</v>
      </c>
      <c r="G3196" t="s">
        <v>837</v>
      </c>
      <c r="H3196" t="s">
        <v>282</v>
      </c>
      <c r="I3196">
        <v>0</v>
      </c>
      <c r="J3196">
        <v>0</v>
      </c>
      <c r="K3196">
        <v>0</v>
      </c>
      <c r="L3196">
        <v>0</v>
      </c>
      <c r="M3196">
        <v>0.05</v>
      </c>
      <c r="N3196" s="7" t="str">
        <f>VLOOKUP(F3196,HC!A$6:D$100,3,FALSE)</f>
        <v>DA-X0700</v>
      </c>
      <c r="O3196" s="7" t="str">
        <f>VLOOKUP(F3196,HC!A$6:D$1000,2,FALSE)</f>
        <v>hvcharli</v>
      </c>
      <c r="P3196" t="s">
        <v>663</v>
      </c>
      <c r="Q3196" t="s">
        <v>692</v>
      </c>
      <c r="U3196">
        <f t="shared" si="51"/>
        <v>4</v>
      </c>
    </row>
    <row r="3197" spans="1:21" ht="37.5" customHeight="1" x14ac:dyDescent="0.25">
      <c r="A3197" s="39">
        <v>45188</v>
      </c>
      <c r="B3197" s="13">
        <v>38</v>
      </c>
      <c r="C3197" t="s">
        <v>3</v>
      </c>
      <c r="D3197" t="s">
        <v>4</v>
      </c>
      <c r="E3197" t="s">
        <v>5</v>
      </c>
      <c r="F3197">
        <v>112950797</v>
      </c>
      <c r="G3197" t="s">
        <v>11</v>
      </c>
      <c r="H3197" t="s">
        <v>282</v>
      </c>
      <c r="I3197">
        <v>0</v>
      </c>
      <c r="J3197">
        <v>0</v>
      </c>
      <c r="K3197">
        <v>0</v>
      </c>
      <c r="L3197">
        <v>0</v>
      </c>
      <c r="M3197">
        <v>0.04</v>
      </c>
      <c r="N3197" s="7" t="str">
        <f>VLOOKUP(F3197,HC!A$6:D$100,3,FALSE)</f>
        <v>DA-X0700</v>
      </c>
      <c r="O3197" s="7" t="str">
        <f>VLOOKUP(F3197,HC!A$6:D$1000,2,FALSE)</f>
        <v>hesdenis</v>
      </c>
      <c r="P3197" t="s">
        <v>663</v>
      </c>
      <c r="Q3197" t="s">
        <v>692</v>
      </c>
      <c r="U3197">
        <f t="shared" si="51"/>
        <v>7</v>
      </c>
    </row>
    <row r="3198" spans="1:21" ht="37.5" customHeight="1" x14ac:dyDescent="0.25">
      <c r="A3198" s="39">
        <v>45188</v>
      </c>
      <c r="B3198" s="13">
        <v>38</v>
      </c>
      <c r="C3198" t="s">
        <v>3</v>
      </c>
      <c r="D3198" t="s">
        <v>4</v>
      </c>
      <c r="E3198" t="s">
        <v>5</v>
      </c>
      <c r="F3198">
        <v>112980899</v>
      </c>
      <c r="G3198" t="s">
        <v>396</v>
      </c>
      <c r="H3198" t="s">
        <v>332</v>
      </c>
      <c r="I3198">
        <v>0</v>
      </c>
      <c r="J3198">
        <v>0</v>
      </c>
      <c r="K3198">
        <v>0</v>
      </c>
      <c r="L3198">
        <v>0</v>
      </c>
      <c r="M3198">
        <v>0.24</v>
      </c>
      <c r="N3198" s="7" t="str">
        <f>VLOOKUP(F3198,HC!A$6:D$100,3,FALSE)</f>
        <v>NF-X1900</v>
      </c>
      <c r="O3198" s="7" t="str">
        <f>VLOOKUP(F3198,HC!A$6:D$1000,2,FALSE)</f>
        <v>aravilac</v>
      </c>
      <c r="P3198" t="s">
        <v>661</v>
      </c>
      <c r="Q3198" t="s">
        <v>681</v>
      </c>
      <c r="U3198">
        <f t="shared" si="51"/>
        <v>33</v>
      </c>
    </row>
    <row r="3199" spans="1:21" ht="37.5" customHeight="1" x14ac:dyDescent="0.25">
      <c r="A3199" s="39">
        <v>45188</v>
      </c>
      <c r="B3199" s="13">
        <v>38</v>
      </c>
      <c r="C3199" t="s">
        <v>3</v>
      </c>
      <c r="D3199" t="s">
        <v>4</v>
      </c>
      <c r="E3199" t="s">
        <v>5</v>
      </c>
      <c r="F3199">
        <v>113013999</v>
      </c>
      <c r="G3199" t="s">
        <v>1268</v>
      </c>
      <c r="H3199" t="s">
        <v>1040</v>
      </c>
      <c r="I3199">
        <v>0</v>
      </c>
      <c r="J3199">
        <v>0</v>
      </c>
      <c r="K3199">
        <v>0</v>
      </c>
      <c r="L3199">
        <v>0</v>
      </c>
      <c r="M3199">
        <v>0.14000000000000001</v>
      </c>
      <c r="N3199" s="7" t="e">
        <f>VLOOKUP(F3199,HC!A$6:D$100,3,FALSE)</f>
        <v>#N/A</v>
      </c>
      <c r="O3199" s="7" t="str">
        <f>VLOOKUP(F3199,HC!A$6:D$1000,2,FALSE)</f>
        <v>ivarayas</v>
      </c>
      <c r="P3199" t="s">
        <v>661</v>
      </c>
      <c r="Q3199" t="s">
        <v>681</v>
      </c>
      <c r="U3199">
        <f t="shared" si="51"/>
        <v>1</v>
      </c>
    </row>
    <row r="3200" spans="1:21" ht="37.5" customHeight="1" x14ac:dyDescent="0.25">
      <c r="A3200" s="39">
        <v>45188</v>
      </c>
      <c r="B3200" s="13">
        <v>38</v>
      </c>
      <c r="C3200" t="s">
        <v>3</v>
      </c>
      <c r="D3200" t="s">
        <v>4</v>
      </c>
      <c r="E3200" t="s">
        <v>5</v>
      </c>
      <c r="F3200">
        <v>113019001</v>
      </c>
      <c r="G3200" t="s">
        <v>464</v>
      </c>
      <c r="H3200" t="s">
        <v>1040</v>
      </c>
      <c r="I3200">
        <v>0</v>
      </c>
      <c r="J3200">
        <v>0</v>
      </c>
      <c r="K3200">
        <v>0</v>
      </c>
      <c r="L3200">
        <v>0</v>
      </c>
      <c r="M3200">
        <v>0.16</v>
      </c>
      <c r="N3200" s="7" t="e">
        <f>VLOOKUP(F3200,HC!A$6:D$100,3,FALSE)</f>
        <v>#N/A</v>
      </c>
      <c r="O3200" s="7" t="str">
        <f>VLOOKUP(F3200,HC!A$6:D$1000,2,FALSE)</f>
        <v>dolozane</v>
      </c>
      <c r="P3200" t="s">
        <v>661</v>
      </c>
      <c r="Q3200" t="s">
        <v>681</v>
      </c>
      <c r="U3200">
        <f t="shared" si="51"/>
        <v>17</v>
      </c>
    </row>
    <row r="3201" spans="1:21" ht="37.5" customHeight="1" x14ac:dyDescent="0.25">
      <c r="A3201" s="39">
        <v>45188</v>
      </c>
      <c r="B3201" s="13">
        <v>38</v>
      </c>
      <c r="C3201" t="s">
        <v>3</v>
      </c>
      <c r="D3201" t="s">
        <v>4</v>
      </c>
      <c r="E3201" t="s">
        <v>5</v>
      </c>
      <c r="F3201">
        <v>113020463</v>
      </c>
      <c r="G3201" t="s">
        <v>321</v>
      </c>
      <c r="H3201" t="s">
        <v>44</v>
      </c>
      <c r="I3201">
        <v>0</v>
      </c>
      <c r="J3201">
        <v>0</v>
      </c>
      <c r="K3201">
        <v>0</v>
      </c>
      <c r="L3201">
        <v>0</v>
      </c>
      <c r="M3201">
        <v>0.13</v>
      </c>
      <c r="N3201" s="7" t="e">
        <f>VLOOKUP(F3201,HC!A$6:D$100,3,FALSE)</f>
        <v>#N/A</v>
      </c>
      <c r="O3201" s="7" t="str">
        <f>VLOOKUP(F3201,HC!A$6:D$1000,2,FALSE)</f>
        <v>myriamav</v>
      </c>
      <c r="P3201" t="s">
        <v>664</v>
      </c>
      <c r="Q3201" t="s">
        <v>711</v>
      </c>
      <c r="U3201">
        <f t="shared" si="51"/>
        <v>24</v>
      </c>
    </row>
    <row r="3202" spans="1:21" ht="37.5" customHeight="1" x14ac:dyDescent="0.25">
      <c r="A3202" s="39">
        <v>45188</v>
      </c>
      <c r="B3202" s="13">
        <v>38</v>
      </c>
      <c r="C3202" t="s">
        <v>3</v>
      </c>
      <c r="D3202" t="s">
        <v>4</v>
      </c>
      <c r="E3202" t="s">
        <v>5</v>
      </c>
      <c r="F3202">
        <v>113020476</v>
      </c>
      <c r="G3202" t="s">
        <v>330</v>
      </c>
      <c r="H3202" t="s">
        <v>7</v>
      </c>
      <c r="I3202">
        <v>0</v>
      </c>
      <c r="J3202">
        <v>0</v>
      </c>
      <c r="K3202">
        <v>0</v>
      </c>
      <c r="L3202">
        <v>0</v>
      </c>
      <c r="M3202">
        <v>0.1</v>
      </c>
      <c r="N3202" s="7" t="e">
        <f>VLOOKUP(F3202,HC!A$6:D$100,3,FALSE)</f>
        <v>#N/A</v>
      </c>
      <c r="O3202" s="7" t="str">
        <f>VLOOKUP(F3202,HC!A$6:D$1000,2,FALSE)</f>
        <v>polettpu</v>
      </c>
      <c r="P3202" t="s">
        <v>664</v>
      </c>
      <c r="Q3202" t="s">
        <v>708</v>
      </c>
      <c r="U3202">
        <f t="shared" si="51"/>
        <v>55</v>
      </c>
    </row>
    <row r="3203" spans="1:21" ht="37.5" customHeight="1" x14ac:dyDescent="0.25">
      <c r="A3203" s="39">
        <v>45188</v>
      </c>
      <c r="B3203" s="13">
        <v>38</v>
      </c>
      <c r="C3203" t="s">
        <v>3</v>
      </c>
      <c r="D3203" t="s">
        <v>4</v>
      </c>
      <c r="E3203" t="s">
        <v>5</v>
      </c>
      <c r="F3203">
        <v>201165769</v>
      </c>
      <c r="G3203" t="s">
        <v>903</v>
      </c>
      <c r="H3203" t="s">
        <v>285</v>
      </c>
      <c r="I3203">
        <v>0</v>
      </c>
      <c r="J3203">
        <v>0</v>
      </c>
      <c r="K3203">
        <v>0</v>
      </c>
      <c r="L3203">
        <v>0</v>
      </c>
      <c r="M3203">
        <v>0.09</v>
      </c>
      <c r="N3203" s="7" t="e">
        <f>VLOOKUP(F3203,HC!A$6:D$100,3,FALSE)</f>
        <v>#N/A</v>
      </c>
      <c r="O3203" s="7" t="str">
        <f>VLOOKUP(F3203,HC!A$6:D$1000,2,FALSE)</f>
        <v>puenkare</v>
      </c>
      <c r="P3203" t="s">
        <v>661</v>
      </c>
      <c r="Q3203" t="s">
        <v>681</v>
      </c>
      <c r="U3203">
        <f t="shared" ref="U3203:U3266" si="52">COUNTIF(O$2:O$4999,O3203)</f>
        <v>19</v>
      </c>
    </row>
    <row r="3204" spans="1:21" ht="37.5" customHeight="1" x14ac:dyDescent="0.25">
      <c r="A3204" s="39">
        <v>45188</v>
      </c>
      <c r="B3204" s="13">
        <v>38</v>
      </c>
      <c r="C3204" t="s">
        <v>3</v>
      </c>
      <c r="D3204" t="s">
        <v>4</v>
      </c>
      <c r="E3204" t="s">
        <v>5</v>
      </c>
      <c r="F3204">
        <v>201166890</v>
      </c>
      <c r="G3204" t="s">
        <v>998</v>
      </c>
      <c r="H3204" t="s">
        <v>298</v>
      </c>
      <c r="I3204">
        <v>0</v>
      </c>
      <c r="J3204">
        <v>0</v>
      </c>
      <c r="K3204">
        <v>0</v>
      </c>
      <c r="L3204">
        <v>0</v>
      </c>
      <c r="M3204">
        <v>0.4</v>
      </c>
      <c r="N3204" s="7" t="e">
        <f>VLOOKUP(F3204,HC!A$6:D$100,3,FALSE)</f>
        <v>#N/A</v>
      </c>
      <c r="O3204" s="7" t="str">
        <f>VLOOKUP(F3204,HC!A$6:D$1000,2,FALSE)</f>
        <v>lcabadan</v>
      </c>
      <c r="P3204" t="s">
        <v>664</v>
      </c>
      <c r="Q3204" t="s">
        <v>710</v>
      </c>
      <c r="U3204">
        <f t="shared" si="52"/>
        <v>24</v>
      </c>
    </row>
    <row r="3205" spans="1:21" ht="37.5" customHeight="1" x14ac:dyDescent="0.25">
      <c r="A3205" s="39">
        <v>45189</v>
      </c>
      <c r="B3205" s="13">
        <v>38</v>
      </c>
      <c r="C3205" t="s">
        <v>3</v>
      </c>
      <c r="D3205" t="s">
        <v>4</v>
      </c>
      <c r="E3205" t="s">
        <v>5</v>
      </c>
      <c r="F3205">
        <v>112912397</v>
      </c>
      <c r="G3205" t="s">
        <v>489</v>
      </c>
      <c r="H3205" t="s">
        <v>47</v>
      </c>
      <c r="I3205">
        <v>0</v>
      </c>
      <c r="J3205">
        <v>0</v>
      </c>
      <c r="K3205">
        <v>0</v>
      </c>
      <c r="L3205">
        <v>0</v>
      </c>
      <c r="M3205">
        <v>0.44</v>
      </c>
      <c r="N3205" s="7" t="str">
        <f>VLOOKUP(F3205,HC!A$6:D$100,3,FALSE)</f>
        <v>D5-X0700</v>
      </c>
      <c r="O3205" s="7" t="str">
        <f>VLOOKUP(F3205,HC!A$6:D$1000,2,FALSE)</f>
        <v>tjuandne</v>
      </c>
      <c r="P3205" t="s">
        <v>668</v>
      </c>
      <c r="Q3205" t="s">
        <v>732</v>
      </c>
      <c r="R3205" t="s">
        <v>355</v>
      </c>
      <c r="U3205">
        <f t="shared" si="52"/>
        <v>5</v>
      </c>
    </row>
    <row r="3206" spans="1:21" ht="37.5" customHeight="1" x14ac:dyDescent="0.25">
      <c r="A3206" s="39">
        <v>45189</v>
      </c>
      <c r="B3206" s="13">
        <v>38</v>
      </c>
      <c r="C3206" t="s">
        <v>3</v>
      </c>
      <c r="D3206" t="s">
        <v>4</v>
      </c>
      <c r="E3206" t="s">
        <v>5</v>
      </c>
      <c r="F3206">
        <v>112912507</v>
      </c>
      <c r="G3206" t="s">
        <v>837</v>
      </c>
      <c r="H3206" t="s">
        <v>282</v>
      </c>
      <c r="I3206">
        <v>0</v>
      </c>
      <c r="J3206">
        <v>0</v>
      </c>
      <c r="K3206">
        <v>0</v>
      </c>
      <c r="L3206">
        <v>0</v>
      </c>
      <c r="M3206">
        <v>0.28000000000000003</v>
      </c>
      <c r="N3206" s="7" t="str">
        <f>VLOOKUP(F3206,HC!A$6:D$100,3,FALSE)</f>
        <v>DA-X0700</v>
      </c>
      <c r="O3206" s="7" t="str">
        <f>VLOOKUP(F3206,HC!A$6:D$1000,2,FALSE)</f>
        <v>hvcharli</v>
      </c>
      <c r="P3206" t="s">
        <v>661</v>
      </c>
      <c r="Q3206" t="s">
        <v>681</v>
      </c>
      <c r="U3206">
        <f t="shared" si="52"/>
        <v>4</v>
      </c>
    </row>
    <row r="3207" spans="1:21" ht="37.5" customHeight="1" x14ac:dyDescent="0.25">
      <c r="A3207" s="39">
        <v>45189</v>
      </c>
      <c r="B3207" s="13">
        <v>38</v>
      </c>
      <c r="C3207" t="s">
        <v>3</v>
      </c>
      <c r="D3207" t="s">
        <v>4</v>
      </c>
      <c r="E3207" t="s">
        <v>5</v>
      </c>
      <c r="F3207">
        <v>112912752</v>
      </c>
      <c r="G3207" t="s">
        <v>251</v>
      </c>
      <c r="H3207" t="s">
        <v>332</v>
      </c>
      <c r="I3207">
        <v>0</v>
      </c>
      <c r="J3207">
        <v>0</v>
      </c>
      <c r="K3207">
        <v>0</v>
      </c>
      <c r="L3207">
        <v>0</v>
      </c>
      <c r="M3207">
        <v>0.27</v>
      </c>
      <c r="N3207" s="7" t="str">
        <f>VLOOKUP(F3207,HC!A$6:D$100,3,FALSE)</f>
        <v>NF-X1900</v>
      </c>
      <c r="O3207" s="7" t="str">
        <f>VLOOKUP(F3207,HC!A$6:D$1000,2,FALSE)</f>
        <v>valderle</v>
      </c>
      <c r="P3207" t="s">
        <v>662</v>
      </c>
      <c r="Q3207" t="s">
        <v>688</v>
      </c>
      <c r="U3207">
        <f t="shared" si="52"/>
        <v>50</v>
      </c>
    </row>
    <row r="3208" spans="1:21" ht="37.5" customHeight="1" x14ac:dyDescent="0.25">
      <c r="A3208" s="39">
        <v>45189</v>
      </c>
      <c r="B3208" s="13">
        <v>38</v>
      </c>
      <c r="C3208" t="s">
        <v>3</v>
      </c>
      <c r="D3208" t="s">
        <v>4</v>
      </c>
      <c r="E3208" t="s">
        <v>5</v>
      </c>
      <c r="F3208">
        <v>112950797</v>
      </c>
      <c r="G3208" t="s">
        <v>11</v>
      </c>
      <c r="H3208" t="s">
        <v>282</v>
      </c>
      <c r="I3208">
        <v>0</v>
      </c>
      <c r="J3208">
        <v>0</v>
      </c>
      <c r="K3208">
        <v>0</v>
      </c>
      <c r="L3208">
        <v>0</v>
      </c>
      <c r="M3208">
        <v>0.15</v>
      </c>
      <c r="N3208" s="7" t="str">
        <f>VLOOKUP(F3208,HC!A$6:D$100,3,FALSE)</f>
        <v>DA-X0700</v>
      </c>
      <c r="O3208" s="7" t="str">
        <f>VLOOKUP(F3208,HC!A$6:D$1000,2,FALSE)</f>
        <v>hesdenis</v>
      </c>
      <c r="P3208" t="s">
        <v>661</v>
      </c>
      <c r="Q3208" t="s">
        <v>681</v>
      </c>
      <c r="U3208">
        <f t="shared" si="52"/>
        <v>7</v>
      </c>
    </row>
    <row r="3209" spans="1:21" ht="37.5" customHeight="1" x14ac:dyDescent="0.25">
      <c r="A3209" s="39">
        <v>45189</v>
      </c>
      <c r="B3209" s="13">
        <v>38</v>
      </c>
      <c r="C3209" t="s">
        <v>3</v>
      </c>
      <c r="D3209" t="s">
        <v>4</v>
      </c>
      <c r="E3209" t="s">
        <v>5</v>
      </c>
      <c r="F3209">
        <v>112971962</v>
      </c>
      <c r="G3209" t="s">
        <v>338</v>
      </c>
      <c r="H3209" t="s">
        <v>263</v>
      </c>
      <c r="I3209">
        <v>0</v>
      </c>
      <c r="J3209">
        <v>0</v>
      </c>
      <c r="K3209">
        <v>0</v>
      </c>
      <c r="L3209">
        <v>0</v>
      </c>
      <c r="M3209">
        <v>0.27</v>
      </c>
      <c r="N3209" s="7" t="str">
        <f>VLOOKUP(F3209,HC!A$6:D$100,3,FALSE)</f>
        <v>DB-X0700</v>
      </c>
      <c r="O3209" s="7" t="str">
        <f>VLOOKUP(F3209,HC!A$6:D$1000,2,FALSE)</f>
        <v>creyesal</v>
      </c>
      <c r="P3209" t="s">
        <v>661</v>
      </c>
      <c r="Q3209" t="s">
        <v>681</v>
      </c>
      <c r="U3209">
        <f t="shared" si="52"/>
        <v>38</v>
      </c>
    </row>
    <row r="3210" spans="1:21" ht="37.5" customHeight="1" x14ac:dyDescent="0.25">
      <c r="A3210" s="39">
        <v>45189</v>
      </c>
      <c r="B3210" s="13">
        <v>38</v>
      </c>
      <c r="C3210" t="s">
        <v>3</v>
      </c>
      <c r="D3210" t="s">
        <v>4</v>
      </c>
      <c r="E3210" t="s">
        <v>5</v>
      </c>
      <c r="F3210">
        <v>112972710</v>
      </c>
      <c r="G3210" t="s">
        <v>447</v>
      </c>
      <c r="H3210" t="s">
        <v>459</v>
      </c>
      <c r="I3210">
        <v>0</v>
      </c>
      <c r="J3210">
        <v>0</v>
      </c>
      <c r="K3210">
        <v>0</v>
      </c>
      <c r="L3210">
        <v>0</v>
      </c>
      <c r="M3210">
        <v>0.14000000000000001</v>
      </c>
      <c r="N3210" s="7" t="str">
        <f>VLOOKUP(F3210,HC!A$6:D$100,3,FALSE)</f>
        <v>DX-X0700</v>
      </c>
      <c r="O3210" s="7" t="str">
        <f>VLOOKUP(F3210,HC!A$6:D$1000,2,FALSE)</f>
        <v>cortesjj</v>
      </c>
      <c r="P3210" t="s">
        <v>662</v>
      </c>
      <c r="Q3210" t="s">
        <v>688</v>
      </c>
      <c r="U3210">
        <f t="shared" si="52"/>
        <v>4</v>
      </c>
    </row>
    <row r="3211" spans="1:21" ht="37.5" customHeight="1" x14ac:dyDescent="0.25">
      <c r="A3211" s="39">
        <v>45189</v>
      </c>
      <c r="B3211" s="13">
        <v>38</v>
      </c>
      <c r="C3211" t="s">
        <v>3</v>
      </c>
      <c r="D3211" t="s">
        <v>4</v>
      </c>
      <c r="E3211" t="s">
        <v>5</v>
      </c>
      <c r="F3211">
        <v>112981061</v>
      </c>
      <c r="G3211" t="s">
        <v>264</v>
      </c>
      <c r="H3211" t="s">
        <v>44</v>
      </c>
      <c r="I3211">
        <v>0</v>
      </c>
      <c r="J3211">
        <v>0</v>
      </c>
      <c r="K3211">
        <v>0</v>
      </c>
      <c r="L3211">
        <v>0</v>
      </c>
      <c r="M3211">
        <v>0.13</v>
      </c>
      <c r="N3211" s="7" t="str">
        <f>VLOOKUP(F3211,HC!A$6:D$100,3,FALSE)</f>
        <v>DA-X0700</v>
      </c>
      <c r="O3211" s="7" t="str">
        <f>VLOOKUP(F3211,HC!A$6:D$1000,2,FALSE)</f>
        <v>mclaudol</v>
      </c>
      <c r="P3211" t="s">
        <v>661</v>
      </c>
      <c r="Q3211" t="s">
        <v>681</v>
      </c>
      <c r="U3211">
        <f t="shared" si="52"/>
        <v>44</v>
      </c>
    </row>
    <row r="3212" spans="1:21" ht="37.5" customHeight="1" x14ac:dyDescent="0.25">
      <c r="A3212" s="39">
        <v>45189</v>
      </c>
      <c r="B3212" s="13">
        <v>38</v>
      </c>
      <c r="C3212" t="s">
        <v>3</v>
      </c>
      <c r="D3212" t="s">
        <v>4</v>
      </c>
      <c r="E3212" t="s">
        <v>5</v>
      </c>
      <c r="F3212">
        <v>113003510</v>
      </c>
      <c r="G3212" t="s">
        <v>913</v>
      </c>
      <c r="H3212" t="s">
        <v>403</v>
      </c>
      <c r="I3212">
        <v>0</v>
      </c>
      <c r="J3212">
        <v>0</v>
      </c>
      <c r="K3212">
        <v>0</v>
      </c>
      <c r="L3212">
        <v>0</v>
      </c>
      <c r="M3212">
        <v>0.4</v>
      </c>
      <c r="N3212" s="7" t="e">
        <f>VLOOKUP(F3212,HC!A$6:D$100,3,FALSE)</f>
        <v>#N/A</v>
      </c>
      <c r="O3212" s="7" t="str">
        <f>VLOOKUP(F3212,HC!A$6:D$1000,2,FALSE)</f>
        <v>nperezmc</v>
      </c>
      <c r="P3212" t="s">
        <v>662</v>
      </c>
      <c r="Q3212" t="s">
        <v>1215</v>
      </c>
      <c r="U3212">
        <f t="shared" si="52"/>
        <v>12</v>
      </c>
    </row>
    <row r="3213" spans="1:21" ht="37.5" customHeight="1" x14ac:dyDescent="0.25">
      <c r="A3213" s="39">
        <v>45189</v>
      </c>
      <c r="B3213" s="13">
        <v>38</v>
      </c>
      <c r="C3213" t="s">
        <v>3</v>
      </c>
      <c r="D3213" t="s">
        <v>4</v>
      </c>
      <c r="E3213" t="s">
        <v>21</v>
      </c>
      <c r="F3213">
        <v>113003619</v>
      </c>
      <c r="G3213" t="s">
        <v>1237</v>
      </c>
      <c r="H3213" t="s">
        <v>7</v>
      </c>
      <c r="I3213">
        <v>0</v>
      </c>
      <c r="J3213">
        <v>0</v>
      </c>
      <c r="K3213">
        <v>0</v>
      </c>
      <c r="L3213">
        <v>0</v>
      </c>
      <c r="M3213">
        <v>0.19</v>
      </c>
      <c r="N3213" s="7" t="e">
        <f>VLOOKUP(F3213,HC!A$6:D$100,3,FALSE)</f>
        <v>#N/A</v>
      </c>
      <c r="O3213" s="7" t="e">
        <f>VLOOKUP(F3213,HC!A$6:D$1000,2,FALSE)</f>
        <v>#N/A</v>
      </c>
      <c r="P3213" t="s">
        <v>663</v>
      </c>
      <c r="Q3213" t="s">
        <v>692</v>
      </c>
      <c r="U3213">
        <f t="shared" si="52"/>
        <v>1395</v>
      </c>
    </row>
    <row r="3214" spans="1:21" ht="37.5" customHeight="1" x14ac:dyDescent="0.25">
      <c r="A3214" s="39">
        <v>45189</v>
      </c>
      <c r="B3214" s="13">
        <v>38</v>
      </c>
      <c r="C3214" t="s">
        <v>3</v>
      </c>
      <c r="D3214" t="s">
        <v>4</v>
      </c>
      <c r="E3214" t="s">
        <v>5</v>
      </c>
      <c r="F3214">
        <v>113014470</v>
      </c>
      <c r="G3214" t="s">
        <v>374</v>
      </c>
      <c r="H3214" t="s">
        <v>44</v>
      </c>
      <c r="I3214">
        <v>0</v>
      </c>
      <c r="J3214">
        <v>0</v>
      </c>
      <c r="K3214">
        <v>0</v>
      </c>
      <c r="L3214">
        <v>0</v>
      </c>
      <c r="M3214">
        <v>0.14000000000000001</v>
      </c>
      <c r="N3214" s="7" t="e">
        <f>VLOOKUP(F3214,HC!A$6:D$100,3,FALSE)</f>
        <v>#N/A</v>
      </c>
      <c r="O3214" s="7" t="str">
        <f>VLOOKUP(F3214,HC!A$6:D$1000,2,FALSE)</f>
        <v>lupaguin</v>
      </c>
      <c r="P3214" t="s">
        <v>664</v>
      </c>
      <c r="Q3214" t="s">
        <v>777</v>
      </c>
      <c r="U3214">
        <f t="shared" si="52"/>
        <v>23</v>
      </c>
    </row>
    <row r="3215" spans="1:21" ht="37.5" customHeight="1" x14ac:dyDescent="0.25">
      <c r="A3215" s="39">
        <v>45189</v>
      </c>
      <c r="B3215" s="13">
        <v>38</v>
      </c>
      <c r="C3215" t="s">
        <v>3</v>
      </c>
      <c r="D3215" t="s">
        <v>4</v>
      </c>
      <c r="E3215" t="s">
        <v>5</v>
      </c>
      <c r="F3215">
        <v>113101453</v>
      </c>
      <c r="G3215" t="s">
        <v>50</v>
      </c>
      <c r="H3215" t="s">
        <v>44</v>
      </c>
      <c r="I3215">
        <v>0</v>
      </c>
      <c r="J3215">
        <v>0</v>
      </c>
      <c r="K3215">
        <v>0</v>
      </c>
      <c r="L3215">
        <v>0</v>
      </c>
      <c r="M3215">
        <v>0.15</v>
      </c>
      <c r="N3215" s="7" t="e">
        <f>VLOOKUP(F3215,HC!A$6:D$100,3,FALSE)</f>
        <v>#N/A</v>
      </c>
      <c r="O3215" s="7" t="str">
        <f>VLOOKUP(F3215,HC!A$6:D$1000,2,FALSE)</f>
        <v>qisgeova</v>
      </c>
      <c r="P3215" t="s">
        <v>661</v>
      </c>
      <c r="Q3215" t="s">
        <v>700</v>
      </c>
      <c r="U3215">
        <f t="shared" si="52"/>
        <v>57</v>
      </c>
    </row>
    <row r="3216" spans="1:21" ht="37.5" customHeight="1" x14ac:dyDescent="0.25">
      <c r="A3216" s="39">
        <v>45189</v>
      </c>
      <c r="B3216" s="13">
        <v>38</v>
      </c>
      <c r="C3216" t="s">
        <v>3</v>
      </c>
      <c r="D3216" t="s">
        <v>4</v>
      </c>
      <c r="E3216" t="s">
        <v>5</v>
      </c>
      <c r="F3216">
        <v>200574655</v>
      </c>
      <c r="G3216" t="s">
        <v>630</v>
      </c>
      <c r="H3216" t="s">
        <v>49</v>
      </c>
      <c r="I3216">
        <v>0</v>
      </c>
      <c r="J3216">
        <v>0</v>
      </c>
      <c r="K3216">
        <v>0</v>
      </c>
      <c r="L3216">
        <v>0</v>
      </c>
      <c r="M3216">
        <v>0.21</v>
      </c>
      <c r="N3216" s="7" t="e">
        <f>VLOOKUP(F3216,HC!A$6:D$100,3,FALSE)</f>
        <v>#N/A</v>
      </c>
      <c r="O3216" s="7" t="str">
        <f>VLOOKUP(F3216,HC!A$6:D$1000,2,FALSE)</f>
        <v>dulceami</v>
      </c>
      <c r="P3216" t="s">
        <v>661</v>
      </c>
      <c r="Q3216" t="s">
        <v>681</v>
      </c>
      <c r="U3216">
        <f t="shared" si="52"/>
        <v>20</v>
      </c>
    </row>
    <row r="3217" spans="1:21" ht="37.5" customHeight="1" x14ac:dyDescent="0.25">
      <c r="A3217" s="39">
        <v>45189</v>
      </c>
      <c r="B3217" s="13">
        <v>38</v>
      </c>
      <c r="C3217" t="s">
        <v>3</v>
      </c>
      <c r="D3217" t="s">
        <v>4</v>
      </c>
      <c r="E3217" t="s">
        <v>5</v>
      </c>
      <c r="F3217">
        <v>201166890</v>
      </c>
      <c r="G3217" t="s">
        <v>998</v>
      </c>
      <c r="H3217" t="s">
        <v>298</v>
      </c>
      <c r="I3217">
        <v>0</v>
      </c>
      <c r="J3217">
        <v>0</v>
      </c>
      <c r="K3217">
        <v>0</v>
      </c>
      <c r="L3217">
        <v>0</v>
      </c>
      <c r="M3217">
        <v>1.33</v>
      </c>
      <c r="N3217" s="7" t="e">
        <f>VLOOKUP(F3217,HC!A$6:D$100,3,FALSE)</f>
        <v>#N/A</v>
      </c>
      <c r="O3217" s="7" t="str">
        <f>VLOOKUP(F3217,HC!A$6:D$1000,2,FALSE)</f>
        <v>lcabadan</v>
      </c>
      <c r="P3217" t="s">
        <v>664</v>
      </c>
      <c r="Q3217" t="s">
        <v>710</v>
      </c>
      <c r="U3217">
        <f t="shared" si="52"/>
        <v>24</v>
      </c>
    </row>
    <row r="3218" spans="1:21" ht="37.5" customHeight="1" x14ac:dyDescent="0.25">
      <c r="A3218" s="39">
        <v>45189</v>
      </c>
      <c r="B3218" s="13">
        <v>38</v>
      </c>
      <c r="C3218" t="s">
        <v>3</v>
      </c>
      <c r="D3218" t="s">
        <v>4</v>
      </c>
      <c r="E3218" t="s">
        <v>5</v>
      </c>
      <c r="F3218">
        <v>201167501</v>
      </c>
      <c r="G3218" t="s">
        <v>863</v>
      </c>
      <c r="H3218" t="s">
        <v>44</v>
      </c>
      <c r="I3218">
        <v>0</v>
      </c>
      <c r="J3218">
        <v>0</v>
      </c>
      <c r="K3218">
        <v>0</v>
      </c>
      <c r="L3218">
        <v>0</v>
      </c>
      <c r="M3218">
        <v>0.22</v>
      </c>
      <c r="N3218" s="7" t="e">
        <f>VLOOKUP(F3218,HC!A$6:D$100,3,FALSE)</f>
        <v>#N/A</v>
      </c>
      <c r="O3218" s="7" t="str">
        <f>VLOOKUP(F3218,HC!A$6:D$1000,2,FALSE)</f>
        <v>wguanajr</v>
      </c>
      <c r="P3218" t="s">
        <v>661</v>
      </c>
      <c r="Q3218" t="s">
        <v>681</v>
      </c>
      <c r="U3218">
        <f t="shared" si="52"/>
        <v>36</v>
      </c>
    </row>
    <row r="3219" spans="1:21" ht="37.5" customHeight="1" x14ac:dyDescent="0.25">
      <c r="A3219" s="39">
        <v>45189</v>
      </c>
      <c r="B3219" s="13">
        <v>38</v>
      </c>
      <c r="C3219" t="s">
        <v>3</v>
      </c>
      <c r="D3219" t="s">
        <v>4</v>
      </c>
      <c r="E3219" t="s">
        <v>5</v>
      </c>
      <c r="F3219">
        <v>201191390</v>
      </c>
      <c r="G3219" t="s">
        <v>916</v>
      </c>
      <c r="H3219" t="s">
        <v>7</v>
      </c>
      <c r="I3219">
        <v>0</v>
      </c>
      <c r="J3219">
        <v>0</v>
      </c>
      <c r="K3219">
        <v>0</v>
      </c>
      <c r="L3219">
        <v>0</v>
      </c>
      <c r="M3219">
        <v>0.83</v>
      </c>
      <c r="N3219" s="7" t="e">
        <f>VLOOKUP(F3219,HC!A$6:D$100,3,FALSE)</f>
        <v>#N/A</v>
      </c>
      <c r="O3219" s="7" t="str">
        <f>VLOOKUP(F3219,HC!A$6:D$1000,2,FALSE)</f>
        <v>bgajesus</v>
      </c>
      <c r="P3219" t="s">
        <v>675</v>
      </c>
      <c r="U3219">
        <f t="shared" si="52"/>
        <v>37</v>
      </c>
    </row>
    <row r="3220" spans="1:21" ht="37.5" customHeight="1" x14ac:dyDescent="0.25">
      <c r="A3220" s="39">
        <v>45189</v>
      </c>
      <c r="B3220" s="13">
        <v>38</v>
      </c>
      <c r="C3220" t="s">
        <v>3</v>
      </c>
      <c r="D3220" t="s">
        <v>4</v>
      </c>
      <c r="E3220" t="s">
        <v>5</v>
      </c>
      <c r="F3220">
        <v>201223730</v>
      </c>
      <c r="G3220" t="s">
        <v>933</v>
      </c>
      <c r="H3220" t="s">
        <v>49</v>
      </c>
      <c r="I3220">
        <v>0</v>
      </c>
      <c r="J3220">
        <v>0</v>
      </c>
      <c r="K3220">
        <v>0</v>
      </c>
      <c r="L3220">
        <v>0</v>
      </c>
      <c r="M3220">
        <v>0.73</v>
      </c>
      <c r="N3220" s="7" t="e">
        <f>VLOOKUP(F3220,HC!A$6:D$100,3,FALSE)</f>
        <v>#N/A</v>
      </c>
      <c r="O3220" s="7" t="str">
        <f>VLOOKUP(F3220,HC!A$6:D$1000,2,FALSE)</f>
        <v>cesarito</v>
      </c>
      <c r="P3220" t="s">
        <v>675</v>
      </c>
      <c r="U3220">
        <f t="shared" si="52"/>
        <v>39</v>
      </c>
    </row>
    <row r="3221" spans="1:21" ht="37.5" customHeight="1" x14ac:dyDescent="0.25">
      <c r="A3221" s="39">
        <v>45189</v>
      </c>
      <c r="B3221" s="13">
        <v>38</v>
      </c>
      <c r="C3221" t="s">
        <v>3</v>
      </c>
      <c r="D3221" t="s">
        <v>4</v>
      </c>
      <c r="E3221" t="s">
        <v>5</v>
      </c>
      <c r="F3221">
        <v>201228411</v>
      </c>
      <c r="G3221" t="s">
        <v>938</v>
      </c>
      <c r="H3221" t="s">
        <v>49</v>
      </c>
      <c r="I3221">
        <v>0</v>
      </c>
      <c r="J3221">
        <v>0</v>
      </c>
      <c r="K3221">
        <v>0</v>
      </c>
      <c r="L3221">
        <v>0</v>
      </c>
      <c r="M3221">
        <v>0.74</v>
      </c>
      <c r="N3221" s="7" t="e">
        <f>VLOOKUP(F3221,HC!A$6:D$100,3,FALSE)</f>
        <v>#N/A</v>
      </c>
      <c r="O3221" s="7" t="str">
        <f>VLOOKUP(F3221,HC!A$6:D$1000,2,FALSE)</f>
        <v>jazmiwhe</v>
      </c>
      <c r="P3221" t="s">
        <v>675</v>
      </c>
      <c r="U3221">
        <f t="shared" si="52"/>
        <v>36</v>
      </c>
    </row>
    <row r="3222" spans="1:21" ht="37.5" customHeight="1" x14ac:dyDescent="0.25">
      <c r="A3222" s="39">
        <v>45189</v>
      </c>
      <c r="B3222" s="13">
        <v>38</v>
      </c>
      <c r="C3222" t="s">
        <v>3</v>
      </c>
      <c r="D3222" t="s">
        <v>4</v>
      </c>
      <c r="E3222" t="s">
        <v>5</v>
      </c>
      <c r="F3222">
        <v>201318220</v>
      </c>
      <c r="G3222" t="s">
        <v>1183</v>
      </c>
      <c r="H3222" t="s">
        <v>1040</v>
      </c>
      <c r="I3222">
        <v>0</v>
      </c>
      <c r="J3222">
        <v>0</v>
      </c>
      <c r="K3222">
        <v>0</v>
      </c>
      <c r="L3222">
        <v>0</v>
      </c>
      <c r="M3222">
        <v>0.33</v>
      </c>
      <c r="N3222" s="7" t="e">
        <f>VLOOKUP(F3222,HC!A$6:D$100,3,FALSE)</f>
        <v>#N/A</v>
      </c>
      <c r="O3222" s="7" t="str">
        <f>VLOOKUP(F3222,HC!A$6:D$1000,2,FALSE)</f>
        <v>raufjas</v>
      </c>
      <c r="P3222" t="s">
        <v>663</v>
      </c>
      <c r="Q3222" t="s">
        <v>692</v>
      </c>
      <c r="U3222">
        <f t="shared" si="52"/>
        <v>11</v>
      </c>
    </row>
    <row r="3223" spans="1:21" ht="37.5" customHeight="1" x14ac:dyDescent="0.25">
      <c r="A3223" s="39">
        <v>45189</v>
      </c>
      <c r="B3223" s="13">
        <v>38</v>
      </c>
      <c r="C3223" t="s">
        <v>3</v>
      </c>
      <c r="D3223" t="s">
        <v>4</v>
      </c>
      <c r="E3223" t="s">
        <v>5</v>
      </c>
      <c r="F3223">
        <v>201354965</v>
      </c>
      <c r="G3223" t="s">
        <v>1063</v>
      </c>
      <c r="H3223" t="s">
        <v>263</v>
      </c>
      <c r="I3223">
        <v>0</v>
      </c>
      <c r="J3223">
        <v>0</v>
      </c>
      <c r="K3223">
        <v>0</v>
      </c>
      <c r="L3223">
        <v>0</v>
      </c>
      <c r="M3223">
        <v>0.15</v>
      </c>
      <c r="N3223" s="7" t="e">
        <f>VLOOKUP(F3223,HC!A$6:D$100,3,FALSE)</f>
        <v>#N/A</v>
      </c>
      <c r="O3223" s="7" t="str">
        <f>VLOOKUP(F3223,HC!A$6:D$1000,2,FALSE)</f>
        <v>alinejim</v>
      </c>
      <c r="P3223" t="s">
        <v>665</v>
      </c>
      <c r="Q3223" t="s">
        <v>722</v>
      </c>
      <c r="U3223">
        <f t="shared" si="52"/>
        <v>33</v>
      </c>
    </row>
    <row r="3224" spans="1:21" ht="37.5" customHeight="1" x14ac:dyDescent="0.25">
      <c r="A3224" s="39">
        <v>45189</v>
      </c>
      <c r="B3224" s="13">
        <v>38</v>
      </c>
      <c r="C3224" t="s">
        <v>3</v>
      </c>
      <c r="D3224" t="s">
        <v>4</v>
      </c>
      <c r="E3224" t="s">
        <v>5</v>
      </c>
      <c r="F3224">
        <v>201396328</v>
      </c>
      <c r="G3224" t="s">
        <v>1171</v>
      </c>
      <c r="H3224" t="s">
        <v>250</v>
      </c>
      <c r="I3224">
        <v>0</v>
      </c>
      <c r="J3224">
        <v>0</v>
      </c>
      <c r="K3224">
        <v>0</v>
      </c>
      <c r="L3224">
        <v>0</v>
      </c>
      <c r="M3224">
        <v>0.13</v>
      </c>
      <c r="N3224" s="7" t="e">
        <f>VLOOKUP(F3224,HC!A$6:D$100,3,FALSE)</f>
        <v>#N/A</v>
      </c>
      <c r="O3224" s="7" t="str">
        <f>VLOOKUP(F3224,HC!A$6:D$1000,2,FALSE)</f>
        <v>nalcanch</v>
      </c>
      <c r="P3224" t="s">
        <v>661</v>
      </c>
      <c r="Q3224" t="s">
        <v>775</v>
      </c>
      <c r="U3224">
        <f t="shared" si="52"/>
        <v>12</v>
      </c>
    </row>
    <row r="3225" spans="1:21" ht="37.5" customHeight="1" x14ac:dyDescent="0.25">
      <c r="A3225" s="39">
        <v>45189</v>
      </c>
      <c r="B3225" s="13">
        <v>38</v>
      </c>
      <c r="C3225" t="s">
        <v>3</v>
      </c>
      <c r="D3225" t="s">
        <v>4</v>
      </c>
      <c r="E3225" t="s">
        <v>21</v>
      </c>
      <c r="F3225">
        <v>201880542</v>
      </c>
      <c r="G3225" t="s">
        <v>1225</v>
      </c>
      <c r="H3225" t="s">
        <v>298</v>
      </c>
      <c r="I3225">
        <v>0</v>
      </c>
      <c r="J3225">
        <v>0</v>
      </c>
      <c r="K3225">
        <v>0</v>
      </c>
      <c r="L3225">
        <v>0</v>
      </c>
      <c r="M3225">
        <v>0.46</v>
      </c>
      <c r="N3225" s="7" t="e">
        <f>VLOOKUP(F3225,HC!A$6:D$100,3,FALSE)</f>
        <v>#N/A</v>
      </c>
      <c r="O3225" s="7" t="str">
        <f>VLOOKUP(F3225,HC!A$6:D$1000,2,FALSE)</f>
        <v>orticorp</v>
      </c>
      <c r="P3225" t="s">
        <v>661</v>
      </c>
      <c r="Q3225" t="s">
        <v>681</v>
      </c>
      <c r="U3225">
        <f t="shared" si="52"/>
        <v>24</v>
      </c>
    </row>
    <row r="3226" spans="1:21" ht="37.5" customHeight="1" x14ac:dyDescent="0.25">
      <c r="A3226" s="39">
        <v>45190</v>
      </c>
      <c r="B3226" s="13">
        <v>38</v>
      </c>
      <c r="C3226" t="s">
        <v>3</v>
      </c>
      <c r="D3226" t="s">
        <v>4</v>
      </c>
      <c r="E3226" t="s">
        <v>5</v>
      </c>
      <c r="F3226">
        <v>112912052</v>
      </c>
      <c r="G3226" t="s">
        <v>900</v>
      </c>
      <c r="H3226" t="s">
        <v>459</v>
      </c>
      <c r="I3226">
        <v>0</v>
      </c>
      <c r="J3226">
        <v>0</v>
      </c>
      <c r="K3226">
        <v>0</v>
      </c>
      <c r="L3226">
        <v>0</v>
      </c>
      <c r="M3226">
        <v>0.45</v>
      </c>
      <c r="N3226" s="7" t="str">
        <f>VLOOKUP(F3226,HC!A$6:D$100,3,FALSE)</f>
        <v>DB-X0700</v>
      </c>
      <c r="O3226" s="7" t="str">
        <f>VLOOKUP(F3226,HC!A$6:D$1000,2,FALSE)</f>
        <v>oortizce</v>
      </c>
      <c r="U3226">
        <f t="shared" si="52"/>
        <v>5</v>
      </c>
    </row>
    <row r="3227" spans="1:21" ht="37.5" customHeight="1" x14ac:dyDescent="0.25">
      <c r="A3227" s="39">
        <v>45190</v>
      </c>
      <c r="B3227" s="13">
        <v>38</v>
      </c>
      <c r="C3227" t="s">
        <v>3</v>
      </c>
      <c r="D3227" t="s">
        <v>4</v>
      </c>
      <c r="E3227" t="s">
        <v>5</v>
      </c>
      <c r="F3227">
        <v>112912661</v>
      </c>
      <c r="G3227" t="s">
        <v>782</v>
      </c>
      <c r="H3227" t="s">
        <v>14</v>
      </c>
      <c r="I3227">
        <v>0</v>
      </c>
      <c r="J3227">
        <v>0</v>
      </c>
      <c r="K3227">
        <v>0</v>
      </c>
      <c r="L3227">
        <v>0</v>
      </c>
      <c r="M3227">
        <v>0.1</v>
      </c>
      <c r="N3227" s="7" t="str">
        <f>VLOOKUP(F3227,HC!A$6:D$100,3,FALSE)</f>
        <v>DA-X0700</v>
      </c>
      <c r="O3227" s="7" t="str">
        <f>VLOOKUP(F3227,HC!A$6:D$1000,2,FALSE)</f>
        <v>franmorb</v>
      </c>
      <c r="U3227">
        <f t="shared" si="52"/>
        <v>8</v>
      </c>
    </row>
    <row r="3228" spans="1:21" ht="37.5" customHeight="1" x14ac:dyDescent="0.25">
      <c r="A3228" s="39">
        <v>45190</v>
      </c>
      <c r="B3228" s="13">
        <v>38</v>
      </c>
      <c r="C3228" t="s">
        <v>3</v>
      </c>
      <c r="D3228" t="s">
        <v>4</v>
      </c>
      <c r="E3228" t="s">
        <v>5</v>
      </c>
      <c r="F3228">
        <v>112920655</v>
      </c>
      <c r="G3228" t="s">
        <v>509</v>
      </c>
      <c r="H3228" t="s">
        <v>459</v>
      </c>
      <c r="I3228">
        <v>0</v>
      </c>
      <c r="J3228">
        <v>0</v>
      </c>
      <c r="K3228">
        <v>0</v>
      </c>
      <c r="L3228">
        <v>0</v>
      </c>
      <c r="M3228">
        <v>0.23</v>
      </c>
      <c r="N3228" s="7" t="e">
        <f>VLOOKUP(F3228,HC!A$6:D$100,3,FALSE)</f>
        <v>#N/A</v>
      </c>
      <c r="O3228" s="7" t="e">
        <f>VLOOKUP(F3228,HC!A$6:D$1000,2,FALSE)</f>
        <v>#N/A</v>
      </c>
      <c r="U3228">
        <f t="shared" si="52"/>
        <v>1395</v>
      </c>
    </row>
    <row r="3229" spans="1:21" ht="37.5" customHeight="1" x14ac:dyDescent="0.25">
      <c r="A3229" s="39">
        <v>45190</v>
      </c>
      <c r="B3229" s="13">
        <v>38</v>
      </c>
      <c r="C3229" t="s">
        <v>3</v>
      </c>
      <c r="D3229" t="s">
        <v>4</v>
      </c>
      <c r="E3229" t="s">
        <v>5</v>
      </c>
      <c r="F3229">
        <v>112973049</v>
      </c>
      <c r="G3229" t="s">
        <v>314</v>
      </c>
      <c r="H3229" t="s">
        <v>285</v>
      </c>
      <c r="I3229">
        <v>0</v>
      </c>
      <c r="J3229">
        <v>0</v>
      </c>
      <c r="K3229">
        <v>0</v>
      </c>
      <c r="L3229">
        <v>0</v>
      </c>
      <c r="M3229">
        <v>0.25</v>
      </c>
      <c r="N3229" s="7" t="str">
        <f>VLOOKUP(F3229,HC!A$6:D$100,3,FALSE)</f>
        <v>DB-X0700</v>
      </c>
      <c r="O3229" s="7" t="str">
        <f>VLOOKUP(F3229,HC!A$6:D$1000,2,FALSE)</f>
        <v>afatimae</v>
      </c>
      <c r="U3229">
        <f t="shared" si="52"/>
        <v>29</v>
      </c>
    </row>
    <row r="3230" spans="1:21" ht="37.5" customHeight="1" x14ac:dyDescent="0.25">
      <c r="A3230" s="39">
        <v>45190</v>
      </c>
      <c r="B3230" s="13">
        <v>38</v>
      </c>
      <c r="C3230" t="s">
        <v>3</v>
      </c>
      <c r="D3230" t="s">
        <v>4</v>
      </c>
      <c r="E3230" t="s">
        <v>5</v>
      </c>
      <c r="F3230">
        <v>112976017</v>
      </c>
      <c r="G3230" t="s">
        <v>1269</v>
      </c>
      <c r="H3230" t="s">
        <v>1163</v>
      </c>
      <c r="I3230">
        <v>0</v>
      </c>
      <c r="J3230">
        <v>0</v>
      </c>
      <c r="K3230">
        <v>0</v>
      </c>
      <c r="L3230">
        <v>0</v>
      </c>
      <c r="M3230">
        <v>0.04</v>
      </c>
      <c r="N3230" s="7" t="str">
        <f>VLOOKUP(F3230,HC!A$6:D$100,3,FALSE)</f>
        <v>DB-X0700</v>
      </c>
      <c r="O3230" s="7" t="str">
        <f>VLOOKUP(F3230,HC!A$6:D$1000,2,FALSE)</f>
        <v>baezdiaw</v>
      </c>
      <c r="U3230">
        <f t="shared" si="52"/>
        <v>4</v>
      </c>
    </row>
    <row r="3231" spans="1:21" ht="37.5" customHeight="1" x14ac:dyDescent="0.25">
      <c r="A3231" s="39">
        <v>45190</v>
      </c>
      <c r="B3231" s="13">
        <v>38</v>
      </c>
      <c r="C3231" t="s">
        <v>3</v>
      </c>
      <c r="D3231" t="s">
        <v>4</v>
      </c>
      <c r="E3231" t="s">
        <v>5</v>
      </c>
      <c r="F3231">
        <v>112976043</v>
      </c>
      <c r="G3231" t="s">
        <v>1162</v>
      </c>
      <c r="H3231" t="s">
        <v>1163</v>
      </c>
      <c r="I3231">
        <v>0</v>
      </c>
      <c r="J3231">
        <v>0</v>
      </c>
      <c r="K3231">
        <v>0</v>
      </c>
      <c r="L3231">
        <v>0</v>
      </c>
      <c r="M3231">
        <v>0.13</v>
      </c>
      <c r="N3231" s="7" t="str">
        <f>VLOOKUP(F3231,HC!A$6:D$100,3,FALSE)</f>
        <v>DE-X1024</v>
      </c>
      <c r="O3231" s="7" t="str">
        <f>VLOOKUP(F3231,HC!A$6:D$1000,2,FALSE)</f>
        <v>ricrivab</v>
      </c>
      <c r="U3231">
        <f t="shared" si="52"/>
        <v>4</v>
      </c>
    </row>
    <row r="3232" spans="1:21" ht="37.5" customHeight="1" x14ac:dyDescent="0.25">
      <c r="A3232" s="39">
        <v>45190</v>
      </c>
      <c r="B3232" s="13">
        <v>38</v>
      </c>
      <c r="C3232" t="s">
        <v>3</v>
      </c>
      <c r="D3232" t="s">
        <v>4</v>
      </c>
      <c r="E3232" t="s">
        <v>5</v>
      </c>
      <c r="F3232">
        <v>113020476</v>
      </c>
      <c r="G3232" t="s">
        <v>330</v>
      </c>
      <c r="H3232" t="s">
        <v>7</v>
      </c>
      <c r="I3232">
        <v>0</v>
      </c>
      <c r="J3232">
        <v>0</v>
      </c>
      <c r="K3232">
        <v>0</v>
      </c>
      <c r="L3232">
        <v>0</v>
      </c>
      <c r="M3232">
        <v>0.12</v>
      </c>
      <c r="N3232" s="7" t="e">
        <f>VLOOKUP(F3232,HC!A$6:D$100,3,FALSE)</f>
        <v>#N/A</v>
      </c>
      <c r="O3232" s="7" t="str">
        <f>VLOOKUP(F3232,HC!A$6:D$1000,2,FALSE)</f>
        <v>polettpu</v>
      </c>
      <c r="U3232">
        <f t="shared" si="52"/>
        <v>55</v>
      </c>
    </row>
    <row r="3233" spans="1:21" ht="37.5" customHeight="1" x14ac:dyDescent="0.25">
      <c r="A3233" s="39">
        <v>45190</v>
      </c>
      <c r="B3233" s="13">
        <v>38</v>
      </c>
      <c r="C3233" t="s">
        <v>3</v>
      </c>
      <c r="D3233" t="s">
        <v>4</v>
      </c>
      <c r="E3233" t="s">
        <v>5</v>
      </c>
      <c r="F3233">
        <v>113052151</v>
      </c>
      <c r="G3233" t="s">
        <v>482</v>
      </c>
      <c r="H3233" t="s">
        <v>17</v>
      </c>
      <c r="I3233">
        <v>0</v>
      </c>
      <c r="J3233">
        <v>0</v>
      </c>
      <c r="K3233">
        <v>0</v>
      </c>
      <c r="L3233">
        <v>0</v>
      </c>
      <c r="M3233">
        <v>0.42</v>
      </c>
      <c r="N3233" s="7" t="e">
        <f>VLOOKUP(F3233,HC!A$6:D$100,3,FALSE)</f>
        <v>#N/A</v>
      </c>
      <c r="O3233" s="7" t="str">
        <f>VLOOKUP(F3233,HC!A$6:D$1000,2,FALSE)</f>
        <v>nilaurab</v>
      </c>
      <c r="U3233">
        <f t="shared" si="52"/>
        <v>28</v>
      </c>
    </row>
    <row r="3234" spans="1:21" ht="37.5" customHeight="1" x14ac:dyDescent="0.25">
      <c r="A3234" s="39">
        <v>45190</v>
      </c>
      <c r="B3234" s="13">
        <v>38</v>
      </c>
      <c r="C3234" t="s">
        <v>3</v>
      </c>
      <c r="D3234" t="s">
        <v>4</v>
      </c>
      <c r="E3234" t="s">
        <v>5</v>
      </c>
      <c r="F3234">
        <v>200464838</v>
      </c>
      <c r="G3234" t="s">
        <v>358</v>
      </c>
      <c r="H3234" t="s">
        <v>7</v>
      </c>
      <c r="I3234">
        <v>0</v>
      </c>
      <c r="J3234">
        <v>0</v>
      </c>
      <c r="K3234">
        <v>0</v>
      </c>
      <c r="L3234">
        <v>0</v>
      </c>
      <c r="M3234">
        <v>0.08</v>
      </c>
      <c r="N3234" s="7" t="e">
        <f>VLOOKUP(F3234,HC!A$6:D$100,3,FALSE)</f>
        <v>#N/A</v>
      </c>
      <c r="O3234" s="7" t="str">
        <f>VLOOKUP(F3234,HC!A$6:D$1000,2,FALSE)</f>
        <v>ortfernj</v>
      </c>
      <c r="U3234">
        <f t="shared" si="52"/>
        <v>9</v>
      </c>
    </row>
    <row r="3235" spans="1:21" ht="37.5" customHeight="1" x14ac:dyDescent="0.25">
      <c r="A3235" s="39">
        <v>45190</v>
      </c>
      <c r="B3235" s="13">
        <v>38</v>
      </c>
      <c r="C3235" t="s">
        <v>3</v>
      </c>
      <c r="D3235" t="s">
        <v>4</v>
      </c>
      <c r="E3235" t="s">
        <v>5</v>
      </c>
      <c r="F3235">
        <v>201191390</v>
      </c>
      <c r="G3235" t="s">
        <v>916</v>
      </c>
      <c r="H3235" t="s">
        <v>7</v>
      </c>
      <c r="I3235">
        <v>0</v>
      </c>
      <c r="J3235">
        <v>0</v>
      </c>
      <c r="K3235">
        <v>0</v>
      </c>
      <c r="L3235">
        <v>0</v>
      </c>
      <c r="M3235">
        <v>0.51</v>
      </c>
      <c r="N3235" s="7" t="e">
        <f>VLOOKUP(F3235,HC!A$6:D$100,3,FALSE)</f>
        <v>#N/A</v>
      </c>
      <c r="O3235" s="7" t="str">
        <f>VLOOKUP(F3235,HC!A$6:D$1000,2,FALSE)</f>
        <v>bgajesus</v>
      </c>
      <c r="U3235">
        <f t="shared" si="52"/>
        <v>37</v>
      </c>
    </row>
    <row r="3236" spans="1:21" ht="37.5" customHeight="1" x14ac:dyDescent="0.25">
      <c r="A3236" s="39">
        <v>45190</v>
      </c>
      <c r="B3236" s="13">
        <v>38</v>
      </c>
      <c r="C3236" t="s">
        <v>3</v>
      </c>
      <c r="D3236" t="s">
        <v>4</v>
      </c>
      <c r="E3236" t="s">
        <v>5</v>
      </c>
      <c r="F3236">
        <v>201211157</v>
      </c>
      <c r="G3236" t="s">
        <v>936</v>
      </c>
      <c r="H3236" t="s">
        <v>47</v>
      </c>
      <c r="I3236">
        <v>0</v>
      </c>
      <c r="J3236">
        <v>0</v>
      </c>
      <c r="K3236">
        <v>0</v>
      </c>
      <c r="L3236">
        <v>0</v>
      </c>
      <c r="M3236">
        <v>1.1599999999999999</v>
      </c>
      <c r="N3236" s="7" t="e">
        <f>VLOOKUP(F3236,HC!A$6:D$100,3,FALSE)</f>
        <v>#N/A</v>
      </c>
      <c r="O3236" s="7" t="str">
        <f>VLOOKUP(F3236,HC!A$6:D$1000,2,FALSE)</f>
        <v>vargajed</v>
      </c>
      <c r="U3236">
        <f t="shared" si="52"/>
        <v>17</v>
      </c>
    </row>
    <row r="3237" spans="1:21" ht="37.5" customHeight="1" x14ac:dyDescent="0.25">
      <c r="A3237" s="39">
        <v>45190</v>
      </c>
      <c r="B3237" s="13">
        <v>38</v>
      </c>
      <c r="C3237" t="s">
        <v>3</v>
      </c>
      <c r="D3237" t="s">
        <v>4</v>
      </c>
      <c r="E3237" t="s">
        <v>5</v>
      </c>
      <c r="F3237">
        <v>201223730</v>
      </c>
      <c r="G3237" t="s">
        <v>933</v>
      </c>
      <c r="H3237" t="s">
        <v>49</v>
      </c>
      <c r="I3237">
        <v>0</v>
      </c>
      <c r="J3237">
        <v>0</v>
      </c>
      <c r="K3237">
        <v>0</v>
      </c>
      <c r="L3237">
        <v>0</v>
      </c>
      <c r="M3237">
        <v>0.98</v>
      </c>
      <c r="N3237" s="7" t="e">
        <f>VLOOKUP(F3237,HC!A$6:D$100,3,FALSE)</f>
        <v>#N/A</v>
      </c>
      <c r="O3237" s="7" t="str">
        <f>VLOOKUP(F3237,HC!A$6:D$1000,2,FALSE)</f>
        <v>cesarito</v>
      </c>
      <c r="U3237">
        <f t="shared" si="52"/>
        <v>39</v>
      </c>
    </row>
    <row r="3238" spans="1:21" ht="37.5" customHeight="1" x14ac:dyDescent="0.25">
      <c r="A3238" s="39">
        <v>45190</v>
      </c>
      <c r="B3238" s="13">
        <v>38</v>
      </c>
      <c r="C3238" t="s">
        <v>3</v>
      </c>
      <c r="D3238" t="s">
        <v>4</v>
      </c>
      <c r="E3238" t="s">
        <v>5</v>
      </c>
      <c r="F3238">
        <v>201228411</v>
      </c>
      <c r="G3238" t="s">
        <v>938</v>
      </c>
      <c r="H3238" t="s">
        <v>49</v>
      </c>
      <c r="I3238">
        <v>0</v>
      </c>
      <c r="J3238">
        <v>0</v>
      </c>
      <c r="K3238">
        <v>0</v>
      </c>
      <c r="L3238">
        <v>0</v>
      </c>
      <c r="M3238">
        <v>1.4</v>
      </c>
      <c r="N3238" s="7" t="e">
        <f>VLOOKUP(F3238,HC!A$6:D$100,3,FALSE)</f>
        <v>#N/A</v>
      </c>
      <c r="O3238" s="7" t="str">
        <f>VLOOKUP(F3238,HC!A$6:D$1000,2,FALSE)</f>
        <v>jazmiwhe</v>
      </c>
      <c r="U3238">
        <f t="shared" si="52"/>
        <v>36</v>
      </c>
    </row>
    <row r="3239" spans="1:21" ht="37.5" customHeight="1" x14ac:dyDescent="0.25">
      <c r="A3239" s="39">
        <v>45190</v>
      </c>
      <c r="B3239" s="13">
        <v>38</v>
      </c>
      <c r="C3239" t="s">
        <v>3</v>
      </c>
      <c r="D3239" t="s">
        <v>4</v>
      </c>
      <c r="E3239" t="s">
        <v>5</v>
      </c>
      <c r="F3239">
        <v>201354965</v>
      </c>
      <c r="G3239" t="s">
        <v>1063</v>
      </c>
      <c r="H3239" t="s">
        <v>263</v>
      </c>
      <c r="I3239">
        <v>0</v>
      </c>
      <c r="J3239">
        <v>0</v>
      </c>
      <c r="K3239">
        <v>0</v>
      </c>
      <c r="L3239">
        <v>0</v>
      </c>
      <c r="M3239">
        <v>0.4</v>
      </c>
      <c r="N3239" s="7" t="e">
        <f>VLOOKUP(F3239,HC!A$6:D$100,3,FALSE)</f>
        <v>#N/A</v>
      </c>
      <c r="O3239" s="7" t="str">
        <f>VLOOKUP(F3239,HC!A$6:D$1000,2,FALSE)</f>
        <v>alinejim</v>
      </c>
      <c r="U3239">
        <f t="shared" si="52"/>
        <v>33</v>
      </c>
    </row>
    <row r="3240" spans="1:21" ht="37.5" customHeight="1" x14ac:dyDescent="0.25">
      <c r="A3240" s="39">
        <v>45190</v>
      </c>
      <c r="B3240" s="13">
        <v>38</v>
      </c>
      <c r="C3240" t="s">
        <v>3</v>
      </c>
      <c r="D3240" t="s">
        <v>4</v>
      </c>
      <c r="E3240" t="s">
        <v>21</v>
      </c>
      <c r="F3240">
        <v>201858789</v>
      </c>
      <c r="G3240" t="s">
        <v>1218</v>
      </c>
      <c r="H3240" t="s">
        <v>17</v>
      </c>
      <c r="I3240">
        <v>0</v>
      </c>
      <c r="J3240">
        <v>0</v>
      </c>
      <c r="K3240">
        <v>0</v>
      </c>
      <c r="L3240">
        <v>0</v>
      </c>
      <c r="M3240">
        <v>0.43</v>
      </c>
      <c r="N3240" s="7" t="e">
        <f>VLOOKUP(F3240,HC!A$6:D$100,3,FALSE)</f>
        <v>#N/A</v>
      </c>
      <c r="O3240" s="7" t="str">
        <f>VLOOKUP(F3240,HC!A$6:D$1000,2,FALSE)</f>
        <v>ignachis</v>
      </c>
      <c r="U3240">
        <f t="shared" si="52"/>
        <v>8</v>
      </c>
    </row>
    <row r="3241" spans="1:21" ht="37.5" customHeight="1" x14ac:dyDescent="0.25">
      <c r="A3241" s="39">
        <v>45190</v>
      </c>
      <c r="B3241" s="13">
        <v>38</v>
      </c>
      <c r="C3241" t="s">
        <v>3</v>
      </c>
      <c r="D3241" t="s">
        <v>4</v>
      </c>
      <c r="E3241" t="s">
        <v>21</v>
      </c>
      <c r="F3241">
        <v>201858867</v>
      </c>
      <c r="G3241" t="s">
        <v>1236</v>
      </c>
      <c r="H3241" t="s">
        <v>49</v>
      </c>
      <c r="I3241">
        <v>0</v>
      </c>
      <c r="J3241">
        <v>0</v>
      </c>
      <c r="K3241">
        <v>0</v>
      </c>
      <c r="L3241">
        <v>0</v>
      </c>
      <c r="M3241">
        <v>0.2</v>
      </c>
      <c r="N3241" s="7" t="e">
        <f>VLOOKUP(F3241,HC!A$6:D$100,3,FALSE)</f>
        <v>#N/A</v>
      </c>
      <c r="O3241" s="7" t="str">
        <f>VLOOKUP(F3241,HC!A$6:D$1000,2,FALSE)</f>
        <v>tcruzvel</v>
      </c>
      <c r="U3241">
        <f t="shared" si="52"/>
        <v>17</v>
      </c>
    </row>
    <row r="3242" spans="1:21" ht="37.5" customHeight="1" x14ac:dyDescent="0.25">
      <c r="A3242" s="39">
        <v>45191</v>
      </c>
      <c r="B3242" s="13">
        <v>38</v>
      </c>
      <c r="C3242" t="s">
        <v>3</v>
      </c>
      <c r="D3242" t="s">
        <v>4</v>
      </c>
      <c r="E3242" t="s">
        <v>5</v>
      </c>
      <c r="F3242">
        <v>112971962</v>
      </c>
      <c r="G3242" t="s">
        <v>338</v>
      </c>
      <c r="H3242" t="s">
        <v>263</v>
      </c>
      <c r="I3242">
        <v>0</v>
      </c>
      <c r="J3242">
        <v>0</v>
      </c>
      <c r="K3242">
        <v>0</v>
      </c>
      <c r="L3242">
        <v>0</v>
      </c>
      <c r="M3242">
        <v>0.32</v>
      </c>
      <c r="N3242" s="7" t="str">
        <f>VLOOKUP(F3242,HC!A$6:D$100,3,FALSE)</f>
        <v>DB-X0700</v>
      </c>
      <c r="O3242" s="7" t="str">
        <f>VLOOKUP(F3242,HC!A$6:D$1000,2,FALSE)</f>
        <v>creyesal</v>
      </c>
      <c r="U3242">
        <f t="shared" si="52"/>
        <v>38</v>
      </c>
    </row>
    <row r="3243" spans="1:21" ht="37.5" customHeight="1" x14ac:dyDescent="0.25">
      <c r="A3243" s="39">
        <v>45191</v>
      </c>
      <c r="B3243" s="13">
        <v>38</v>
      </c>
      <c r="C3243" t="s">
        <v>3</v>
      </c>
      <c r="D3243" t="s">
        <v>4</v>
      </c>
      <c r="E3243" t="s">
        <v>21</v>
      </c>
      <c r="F3243">
        <v>113003619</v>
      </c>
      <c r="G3243" t="s">
        <v>1237</v>
      </c>
      <c r="H3243" t="s">
        <v>7</v>
      </c>
      <c r="I3243">
        <v>0</v>
      </c>
      <c r="J3243">
        <v>0</v>
      </c>
      <c r="K3243">
        <v>0</v>
      </c>
      <c r="L3243">
        <v>0</v>
      </c>
      <c r="M3243">
        <v>0.1</v>
      </c>
      <c r="N3243" s="7" t="e">
        <f>VLOOKUP(F3243,HC!A$6:D$100,3,FALSE)</f>
        <v>#N/A</v>
      </c>
      <c r="O3243" s="7" t="e">
        <f>VLOOKUP(F3243,HC!A$6:D$1000,2,FALSE)</f>
        <v>#N/A</v>
      </c>
      <c r="U3243">
        <f t="shared" si="52"/>
        <v>1395</v>
      </c>
    </row>
    <row r="3244" spans="1:21" ht="37.5" customHeight="1" x14ac:dyDescent="0.25">
      <c r="A3244" s="39">
        <v>45191</v>
      </c>
      <c r="B3244" s="13">
        <v>38</v>
      </c>
      <c r="C3244" t="s">
        <v>3</v>
      </c>
      <c r="D3244" t="s">
        <v>4</v>
      </c>
      <c r="E3244" t="s">
        <v>5</v>
      </c>
      <c r="F3244">
        <v>113003656</v>
      </c>
      <c r="G3244" t="s">
        <v>297</v>
      </c>
      <c r="H3244" t="s">
        <v>403</v>
      </c>
      <c r="I3244">
        <v>0</v>
      </c>
      <c r="J3244">
        <v>0</v>
      </c>
      <c r="K3244">
        <v>0</v>
      </c>
      <c r="L3244">
        <v>0</v>
      </c>
      <c r="M3244">
        <v>0.15</v>
      </c>
      <c r="N3244" s="7" t="e">
        <f>VLOOKUP(F3244,HC!A$6:D$100,3,FALSE)</f>
        <v>#N/A</v>
      </c>
      <c r="O3244" s="7" t="str">
        <f>VLOOKUP(F3244,HC!A$6:D$1000,2,FALSE)</f>
        <v>uargoten</v>
      </c>
      <c r="U3244">
        <f t="shared" si="52"/>
        <v>8</v>
      </c>
    </row>
    <row r="3245" spans="1:21" ht="37.5" customHeight="1" x14ac:dyDescent="0.25">
      <c r="A3245" s="39">
        <v>45191</v>
      </c>
      <c r="B3245" s="13">
        <v>38</v>
      </c>
      <c r="C3245" t="s">
        <v>3</v>
      </c>
      <c r="D3245" t="s">
        <v>4</v>
      </c>
      <c r="E3245" t="s">
        <v>5</v>
      </c>
      <c r="F3245">
        <v>200625528</v>
      </c>
      <c r="G3245" t="s">
        <v>607</v>
      </c>
      <c r="H3245" t="s">
        <v>285</v>
      </c>
      <c r="I3245">
        <v>0</v>
      </c>
      <c r="J3245">
        <v>0</v>
      </c>
      <c r="K3245">
        <v>0</v>
      </c>
      <c r="L3245">
        <v>0</v>
      </c>
      <c r="M3245">
        <v>0.12</v>
      </c>
      <c r="N3245" s="7" t="e">
        <f>VLOOKUP(F3245,HC!A$6:D$100,3,FALSE)</f>
        <v>#N/A</v>
      </c>
      <c r="O3245" s="7" t="str">
        <f>VLOOKUP(F3245,HC!A$6:D$1000,2,FALSE)</f>
        <v>olivlizb</v>
      </c>
      <c r="U3245">
        <f t="shared" si="52"/>
        <v>50</v>
      </c>
    </row>
    <row r="3246" spans="1:21" ht="37.5" customHeight="1" x14ac:dyDescent="0.25">
      <c r="A3246" s="39">
        <v>45191</v>
      </c>
      <c r="B3246" s="13">
        <v>38</v>
      </c>
      <c r="C3246" t="s">
        <v>3</v>
      </c>
      <c r="D3246" t="s">
        <v>4</v>
      </c>
      <c r="E3246" t="s">
        <v>5</v>
      </c>
      <c r="F3246">
        <v>201159033</v>
      </c>
      <c r="G3246" t="s">
        <v>1154</v>
      </c>
      <c r="H3246" t="s">
        <v>49</v>
      </c>
      <c r="I3246">
        <v>0</v>
      </c>
      <c r="J3246">
        <v>0</v>
      </c>
      <c r="K3246">
        <v>0</v>
      </c>
      <c r="L3246">
        <v>0</v>
      </c>
      <c r="M3246">
        <v>0.23</v>
      </c>
      <c r="N3246" s="7" t="e">
        <f>VLOOKUP(F3246,HC!A$6:D$100,3,FALSE)</f>
        <v>#N/A</v>
      </c>
      <c r="O3246" s="7" t="str">
        <f>VLOOKUP(F3246,HC!A$6:D$1000,2,FALSE)</f>
        <v>monsarru</v>
      </c>
      <c r="U3246">
        <f t="shared" si="52"/>
        <v>7</v>
      </c>
    </row>
    <row r="3247" spans="1:21" ht="37.5" customHeight="1" x14ac:dyDescent="0.25">
      <c r="A3247" s="39">
        <v>45191</v>
      </c>
      <c r="B3247" s="13">
        <v>38</v>
      </c>
      <c r="C3247" t="s">
        <v>3</v>
      </c>
      <c r="D3247" t="s">
        <v>4</v>
      </c>
      <c r="E3247" t="s">
        <v>5</v>
      </c>
      <c r="F3247">
        <v>201219500</v>
      </c>
      <c r="G3247" t="s">
        <v>937</v>
      </c>
      <c r="H3247" t="s">
        <v>17</v>
      </c>
      <c r="I3247">
        <v>0</v>
      </c>
      <c r="J3247">
        <v>0</v>
      </c>
      <c r="K3247">
        <v>0</v>
      </c>
      <c r="L3247">
        <v>0</v>
      </c>
      <c r="M3247">
        <v>0.17</v>
      </c>
      <c r="N3247" s="7" t="e">
        <f>VLOOKUP(F3247,HC!A$6:D$100,3,FALSE)</f>
        <v>#N/A</v>
      </c>
      <c r="O3247" s="7" t="str">
        <f>VLOOKUP(F3247,HC!A$6:D$1000,2,FALSE)</f>
        <v>ramsmazy</v>
      </c>
      <c r="U3247">
        <f t="shared" si="52"/>
        <v>12</v>
      </c>
    </row>
    <row r="3248" spans="1:21" ht="37.5" customHeight="1" x14ac:dyDescent="0.25">
      <c r="A3248" s="39">
        <v>45191</v>
      </c>
      <c r="B3248" s="13">
        <v>38</v>
      </c>
      <c r="C3248" t="s">
        <v>3</v>
      </c>
      <c r="D3248" t="s">
        <v>4</v>
      </c>
      <c r="E3248" t="s">
        <v>5</v>
      </c>
      <c r="F3248">
        <v>201223730</v>
      </c>
      <c r="G3248" t="s">
        <v>933</v>
      </c>
      <c r="H3248" t="s">
        <v>49</v>
      </c>
      <c r="I3248">
        <v>0</v>
      </c>
      <c r="J3248">
        <v>0</v>
      </c>
      <c r="K3248">
        <v>0</v>
      </c>
      <c r="L3248">
        <v>0</v>
      </c>
      <c r="M3248">
        <v>0.67</v>
      </c>
      <c r="N3248" s="7" t="e">
        <f>VLOOKUP(F3248,HC!A$6:D$100,3,FALSE)</f>
        <v>#N/A</v>
      </c>
      <c r="O3248" s="7" t="str">
        <f>VLOOKUP(F3248,HC!A$6:D$1000,2,FALSE)</f>
        <v>cesarito</v>
      </c>
      <c r="U3248">
        <f t="shared" si="52"/>
        <v>39</v>
      </c>
    </row>
    <row r="3249" spans="1:21" ht="37.5" customHeight="1" x14ac:dyDescent="0.25">
      <c r="A3249" s="39">
        <v>45191</v>
      </c>
      <c r="B3249" s="13">
        <v>38</v>
      </c>
      <c r="C3249" t="s">
        <v>3</v>
      </c>
      <c r="D3249" t="s">
        <v>4</v>
      </c>
      <c r="E3249" t="s">
        <v>5</v>
      </c>
      <c r="F3249">
        <v>201228411</v>
      </c>
      <c r="G3249" t="s">
        <v>938</v>
      </c>
      <c r="H3249" t="s">
        <v>49</v>
      </c>
      <c r="I3249">
        <v>0</v>
      </c>
      <c r="J3249">
        <v>0</v>
      </c>
      <c r="K3249">
        <v>0</v>
      </c>
      <c r="L3249">
        <v>0</v>
      </c>
      <c r="M3249">
        <v>0.65</v>
      </c>
      <c r="N3249" s="7" t="e">
        <f>VLOOKUP(F3249,HC!A$6:D$100,3,FALSE)</f>
        <v>#N/A</v>
      </c>
      <c r="O3249" s="7" t="str">
        <f>VLOOKUP(F3249,HC!A$6:D$1000,2,FALSE)</f>
        <v>jazmiwhe</v>
      </c>
      <c r="U3249">
        <f t="shared" si="52"/>
        <v>36</v>
      </c>
    </row>
    <row r="3250" spans="1:21" ht="37.5" customHeight="1" x14ac:dyDescent="0.25">
      <c r="A3250" s="39">
        <v>45191</v>
      </c>
      <c r="B3250" s="13">
        <v>38</v>
      </c>
      <c r="C3250" t="s">
        <v>3</v>
      </c>
      <c r="D3250" t="s">
        <v>4</v>
      </c>
      <c r="E3250" t="s">
        <v>5</v>
      </c>
      <c r="F3250">
        <v>201298204</v>
      </c>
      <c r="G3250" t="s">
        <v>1147</v>
      </c>
      <c r="H3250" t="s">
        <v>403</v>
      </c>
      <c r="I3250">
        <v>0</v>
      </c>
      <c r="J3250">
        <v>0</v>
      </c>
      <c r="K3250">
        <v>0</v>
      </c>
      <c r="L3250">
        <v>0</v>
      </c>
      <c r="M3250">
        <v>0.1</v>
      </c>
      <c r="N3250" s="7" t="e">
        <f>VLOOKUP(F3250,HC!A$6:D$100,3,FALSE)</f>
        <v>#N/A</v>
      </c>
      <c r="O3250" s="7" t="e">
        <f>VLOOKUP(F3250,HC!A$6:D$1000,2,FALSE)</f>
        <v>#N/A</v>
      </c>
      <c r="U3250">
        <f t="shared" si="52"/>
        <v>1395</v>
      </c>
    </row>
    <row r="3251" spans="1:21" ht="37.5" customHeight="1" x14ac:dyDescent="0.25">
      <c r="A3251" s="39">
        <v>45191</v>
      </c>
      <c r="B3251" s="13">
        <v>38</v>
      </c>
      <c r="C3251" t="s">
        <v>3</v>
      </c>
      <c r="D3251" t="s">
        <v>4</v>
      </c>
      <c r="E3251" t="s">
        <v>5</v>
      </c>
      <c r="F3251">
        <v>201354965</v>
      </c>
      <c r="G3251" t="s">
        <v>1063</v>
      </c>
      <c r="H3251" t="s">
        <v>263</v>
      </c>
      <c r="I3251">
        <v>0</v>
      </c>
      <c r="J3251">
        <v>0</v>
      </c>
      <c r="K3251">
        <v>0</v>
      </c>
      <c r="L3251">
        <v>0</v>
      </c>
      <c r="M3251">
        <v>0.88</v>
      </c>
      <c r="N3251" s="7" t="e">
        <f>VLOOKUP(F3251,HC!A$6:D$100,3,FALSE)</f>
        <v>#N/A</v>
      </c>
      <c r="O3251" s="7" t="str">
        <f>VLOOKUP(F3251,HC!A$6:D$1000,2,FALSE)</f>
        <v>alinejim</v>
      </c>
      <c r="U3251">
        <f t="shared" si="52"/>
        <v>33</v>
      </c>
    </row>
    <row r="3252" spans="1:21" ht="37.5" customHeight="1" x14ac:dyDescent="0.25">
      <c r="A3252" s="39">
        <v>45191</v>
      </c>
      <c r="B3252" s="13">
        <v>38</v>
      </c>
      <c r="C3252" t="s">
        <v>3</v>
      </c>
      <c r="D3252" t="s">
        <v>4</v>
      </c>
      <c r="E3252" t="s">
        <v>21</v>
      </c>
      <c r="F3252">
        <v>201842064</v>
      </c>
      <c r="G3252" t="s">
        <v>1241</v>
      </c>
      <c r="H3252" t="s">
        <v>17</v>
      </c>
      <c r="I3252">
        <v>0</v>
      </c>
      <c r="J3252">
        <v>0</v>
      </c>
      <c r="K3252">
        <v>0</v>
      </c>
      <c r="L3252">
        <v>0</v>
      </c>
      <c r="M3252">
        <v>0.97</v>
      </c>
      <c r="N3252" s="7" t="e">
        <f>VLOOKUP(F3252,HC!A$6:D$100,3,FALSE)</f>
        <v>#N/A</v>
      </c>
      <c r="O3252" s="7" t="str">
        <f>VLOOKUP(F3252,HC!A$6:D$1000,2,FALSE)</f>
        <v>agriandl</v>
      </c>
      <c r="U3252">
        <f t="shared" si="52"/>
        <v>12</v>
      </c>
    </row>
    <row r="3253" spans="1:21" ht="37.5" customHeight="1" x14ac:dyDescent="0.25">
      <c r="A3253" s="39">
        <v>45191</v>
      </c>
      <c r="B3253" s="13">
        <v>38</v>
      </c>
      <c r="C3253" t="s">
        <v>3</v>
      </c>
      <c r="D3253" t="s">
        <v>4</v>
      </c>
      <c r="E3253" t="s">
        <v>21</v>
      </c>
      <c r="F3253">
        <v>201858867</v>
      </c>
      <c r="G3253" t="s">
        <v>1236</v>
      </c>
      <c r="H3253" t="s">
        <v>49</v>
      </c>
      <c r="I3253">
        <v>0</v>
      </c>
      <c r="J3253">
        <v>0</v>
      </c>
      <c r="K3253">
        <v>0</v>
      </c>
      <c r="L3253">
        <v>0</v>
      </c>
      <c r="M3253">
        <v>0.83</v>
      </c>
      <c r="N3253" s="7" t="e">
        <f>VLOOKUP(F3253,HC!A$6:D$100,3,FALSE)</f>
        <v>#N/A</v>
      </c>
      <c r="O3253" s="7" t="str">
        <f>VLOOKUP(F3253,HC!A$6:D$1000,2,FALSE)</f>
        <v>tcruzvel</v>
      </c>
      <c r="U3253">
        <f t="shared" si="52"/>
        <v>17</v>
      </c>
    </row>
    <row r="3254" spans="1:21" ht="37.5" customHeight="1" x14ac:dyDescent="0.25">
      <c r="A3254" s="39">
        <v>45192</v>
      </c>
      <c r="B3254" s="13">
        <v>38</v>
      </c>
      <c r="C3254" t="s">
        <v>3</v>
      </c>
      <c r="D3254" t="s">
        <v>4</v>
      </c>
      <c r="E3254" t="s">
        <v>5</v>
      </c>
      <c r="F3254">
        <v>112920654</v>
      </c>
      <c r="G3254" t="s">
        <v>500</v>
      </c>
      <c r="H3254" t="s">
        <v>14</v>
      </c>
      <c r="I3254">
        <v>0</v>
      </c>
      <c r="J3254">
        <v>0</v>
      </c>
      <c r="K3254">
        <v>0</v>
      </c>
      <c r="L3254">
        <v>0</v>
      </c>
      <c r="M3254">
        <v>1.37</v>
      </c>
      <c r="N3254" s="7" t="str">
        <f>VLOOKUP(F3254,HC!A$6:D$100,3,FALSE)</f>
        <v>DB-X0700</v>
      </c>
      <c r="O3254" s="7" t="str">
        <f>VLOOKUP(F3254,HC!A$6:D$1000,2,FALSE)</f>
        <v>qhojulie</v>
      </c>
      <c r="U3254">
        <f t="shared" si="52"/>
        <v>16</v>
      </c>
    </row>
    <row r="3255" spans="1:21" ht="37.5" customHeight="1" x14ac:dyDescent="0.25">
      <c r="A3255" s="39">
        <v>45192</v>
      </c>
      <c r="B3255" s="13">
        <v>38</v>
      </c>
      <c r="C3255" t="s">
        <v>3</v>
      </c>
      <c r="D3255" t="s">
        <v>4</v>
      </c>
      <c r="E3255" t="s">
        <v>5</v>
      </c>
      <c r="F3255">
        <v>112972521</v>
      </c>
      <c r="G3255" t="s">
        <v>1149</v>
      </c>
      <c r="H3255" t="s">
        <v>14</v>
      </c>
      <c r="I3255">
        <v>0</v>
      </c>
      <c r="J3255">
        <v>0</v>
      </c>
      <c r="K3255">
        <v>0</v>
      </c>
      <c r="L3255">
        <v>0</v>
      </c>
      <c r="M3255">
        <v>0.38</v>
      </c>
      <c r="N3255" s="7" t="str">
        <f>VLOOKUP(F3255,HC!A$6:D$100,3,FALSE)</f>
        <v>DB-X0700</v>
      </c>
      <c r="O3255" s="7" t="str">
        <f>VLOOKUP(F3255,HC!A$6:D$1000,2,FALSE)</f>
        <v>perezrro</v>
      </c>
      <c r="U3255">
        <f t="shared" si="52"/>
        <v>5</v>
      </c>
    </row>
    <row r="3256" spans="1:21" ht="37.5" customHeight="1" x14ac:dyDescent="0.25">
      <c r="A3256" s="39">
        <v>45192</v>
      </c>
      <c r="B3256" s="13">
        <v>38</v>
      </c>
      <c r="C3256" t="s">
        <v>3</v>
      </c>
      <c r="D3256" t="s">
        <v>4</v>
      </c>
      <c r="E3256" t="s">
        <v>5</v>
      </c>
      <c r="F3256">
        <v>112972524</v>
      </c>
      <c r="G3256" t="s">
        <v>312</v>
      </c>
      <c r="H3256" t="s">
        <v>14</v>
      </c>
      <c r="I3256">
        <v>0</v>
      </c>
      <c r="J3256">
        <v>0</v>
      </c>
      <c r="K3256">
        <v>0</v>
      </c>
      <c r="L3256">
        <v>0</v>
      </c>
      <c r="M3256">
        <v>0.41</v>
      </c>
      <c r="N3256" s="7" t="str">
        <f>VLOOKUP(F3256,HC!A$6:D$100,3,FALSE)</f>
        <v>DB-X0700</v>
      </c>
      <c r="O3256" s="7" t="str">
        <f>VLOOKUP(F3256,HC!A$6:D$1000,2,FALSE)</f>
        <v>csantibl</v>
      </c>
      <c r="U3256">
        <f t="shared" si="52"/>
        <v>17</v>
      </c>
    </row>
    <row r="3257" spans="1:21" ht="37.5" customHeight="1" x14ac:dyDescent="0.25">
      <c r="A3257" s="39">
        <v>45192</v>
      </c>
      <c r="B3257" s="13">
        <v>38</v>
      </c>
      <c r="C3257" t="s">
        <v>3</v>
      </c>
      <c r="D3257" t="s">
        <v>4</v>
      </c>
      <c r="E3257" t="s">
        <v>5</v>
      </c>
      <c r="F3257">
        <v>200526598</v>
      </c>
      <c r="G3257" t="s">
        <v>424</v>
      </c>
      <c r="H3257" t="s">
        <v>7</v>
      </c>
      <c r="I3257">
        <v>0</v>
      </c>
      <c r="J3257">
        <v>0</v>
      </c>
      <c r="K3257">
        <v>0</v>
      </c>
      <c r="L3257">
        <v>0</v>
      </c>
      <c r="M3257" t="s">
        <v>1270</v>
      </c>
      <c r="N3257" s="7" t="e">
        <f>VLOOKUP(F3257,HC!A$6:D$100,3,FALSE)</f>
        <v>#N/A</v>
      </c>
      <c r="O3257" s="7" t="e">
        <f>VLOOKUP(F3257,HC!A$6:D$1000,2,FALSE)</f>
        <v>#N/A</v>
      </c>
      <c r="P3257" t="s">
        <v>662</v>
      </c>
      <c r="Q3257" t="s">
        <v>757</v>
      </c>
      <c r="U3257">
        <f t="shared" si="52"/>
        <v>1395</v>
      </c>
    </row>
    <row r="3258" spans="1:21" ht="37.5" customHeight="1" x14ac:dyDescent="0.25">
      <c r="A3258" s="39">
        <v>45192</v>
      </c>
      <c r="B3258" s="13">
        <v>38</v>
      </c>
      <c r="C3258" t="s">
        <v>3</v>
      </c>
      <c r="D3258" t="s">
        <v>4</v>
      </c>
      <c r="E3258" t="s">
        <v>5</v>
      </c>
      <c r="F3258">
        <v>200614224</v>
      </c>
      <c r="G3258" t="s">
        <v>322</v>
      </c>
      <c r="H3258" t="s">
        <v>263</v>
      </c>
      <c r="I3258">
        <v>0</v>
      </c>
      <c r="J3258">
        <v>0</v>
      </c>
      <c r="K3258">
        <v>0</v>
      </c>
      <c r="L3258">
        <v>0</v>
      </c>
      <c r="M3258">
        <v>0.28000000000000003</v>
      </c>
      <c r="N3258" s="7" t="e">
        <f>VLOOKUP(F3258,HC!A$6:D$100,3,FALSE)</f>
        <v>#N/A</v>
      </c>
      <c r="O3258" s="7" t="e">
        <f>VLOOKUP(F3258,HC!A$6:D$1000,2,FALSE)</f>
        <v>#N/A</v>
      </c>
      <c r="P3258" t="s">
        <v>662</v>
      </c>
      <c r="Q3258" t="s">
        <v>757</v>
      </c>
      <c r="U3258">
        <f t="shared" si="52"/>
        <v>1395</v>
      </c>
    </row>
    <row r="3259" spans="1:21" ht="37.5" customHeight="1" x14ac:dyDescent="0.25">
      <c r="A3259" s="39">
        <v>45192</v>
      </c>
      <c r="B3259" s="13">
        <v>38</v>
      </c>
      <c r="C3259" t="s">
        <v>3</v>
      </c>
      <c r="D3259" t="s">
        <v>4</v>
      </c>
      <c r="E3259" t="s">
        <v>21</v>
      </c>
      <c r="F3259">
        <v>201408478</v>
      </c>
      <c r="G3259" t="s">
        <v>1110</v>
      </c>
      <c r="H3259" t="s">
        <v>7</v>
      </c>
      <c r="I3259">
        <v>0</v>
      </c>
      <c r="J3259">
        <v>0</v>
      </c>
      <c r="K3259">
        <v>0</v>
      </c>
      <c r="L3259">
        <v>0</v>
      </c>
      <c r="M3259">
        <v>0.79</v>
      </c>
      <c r="N3259" s="7" t="e">
        <f>VLOOKUP(F3259,HC!A$6:D$100,3,FALSE)</f>
        <v>#N/A</v>
      </c>
      <c r="O3259" s="7" t="str">
        <f>VLOOKUP(F3259,HC!A$6:D$1000,2,FALSE)</f>
        <v>dacaldey</v>
      </c>
      <c r="U3259">
        <f t="shared" si="52"/>
        <v>12</v>
      </c>
    </row>
    <row r="3260" spans="1:21" ht="37.5" customHeight="1" x14ac:dyDescent="0.25">
      <c r="A3260" s="39">
        <v>45193</v>
      </c>
      <c r="B3260" s="13">
        <v>39</v>
      </c>
      <c r="C3260" t="s">
        <v>3</v>
      </c>
      <c r="D3260" t="s">
        <v>4</v>
      </c>
      <c r="E3260" t="s">
        <v>5</v>
      </c>
      <c r="F3260">
        <v>112912506</v>
      </c>
      <c r="G3260" t="s">
        <v>1041</v>
      </c>
      <c r="H3260" t="s">
        <v>332</v>
      </c>
      <c r="I3260">
        <v>0</v>
      </c>
      <c r="J3260">
        <v>0</v>
      </c>
      <c r="K3260">
        <v>0</v>
      </c>
      <c r="L3260">
        <v>0</v>
      </c>
      <c r="M3260">
        <v>0.13</v>
      </c>
      <c r="N3260" s="7" t="str">
        <f>VLOOKUP(F3260,HC!A$6:D$100,3,FALSE)</f>
        <v>DA-X0700</v>
      </c>
      <c r="O3260" s="7" t="str">
        <f>VLOOKUP(F3260,HC!A$6:D$1000,2,FALSE)</f>
        <v>gakjessi</v>
      </c>
      <c r="P3260" t="s">
        <v>663</v>
      </c>
      <c r="Q3260" t="s">
        <v>692</v>
      </c>
      <c r="U3260">
        <f t="shared" si="52"/>
        <v>11</v>
      </c>
    </row>
    <row r="3261" spans="1:21" ht="37.5" customHeight="1" x14ac:dyDescent="0.25">
      <c r="A3261" s="39">
        <v>45193</v>
      </c>
      <c r="B3261" s="13">
        <v>39</v>
      </c>
      <c r="C3261" t="s">
        <v>3</v>
      </c>
      <c r="D3261" t="s">
        <v>4</v>
      </c>
      <c r="E3261" t="s">
        <v>5</v>
      </c>
      <c r="F3261">
        <v>112950784</v>
      </c>
      <c r="G3261" t="s">
        <v>261</v>
      </c>
      <c r="H3261" t="s">
        <v>282</v>
      </c>
      <c r="I3261">
        <v>0</v>
      </c>
      <c r="J3261">
        <v>0</v>
      </c>
      <c r="K3261">
        <v>0</v>
      </c>
      <c r="L3261">
        <v>0</v>
      </c>
      <c r="M3261">
        <v>0.1</v>
      </c>
      <c r="N3261" s="7" t="str">
        <f>VLOOKUP(F3261,HC!A$6:D$100,3,FALSE)</f>
        <v>NF-X1900</v>
      </c>
      <c r="O3261" s="7" t="str">
        <f>VLOOKUP(F3261,HC!A$6:D$1000,2,FALSE)</f>
        <v>sarojast</v>
      </c>
      <c r="P3261" t="s">
        <v>662</v>
      </c>
      <c r="Q3261" t="s">
        <v>757</v>
      </c>
      <c r="U3261">
        <f t="shared" si="52"/>
        <v>33</v>
      </c>
    </row>
    <row r="3262" spans="1:21" ht="37.5" customHeight="1" x14ac:dyDescent="0.25">
      <c r="A3262" s="39">
        <v>45193</v>
      </c>
      <c r="B3262" s="13">
        <v>39</v>
      </c>
      <c r="C3262" t="s">
        <v>3</v>
      </c>
      <c r="D3262" t="s">
        <v>4</v>
      </c>
      <c r="E3262" t="s">
        <v>5</v>
      </c>
      <c r="F3262">
        <v>112950792</v>
      </c>
      <c r="G3262" t="s">
        <v>618</v>
      </c>
      <c r="H3262" t="s">
        <v>282</v>
      </c>
      <c r="I3262">
        <v>0</v>
      </c>
      <c r="J3262">
        <v>0</v>
      </c>
      <c r="K3262">
        <v>0</v>
      </c>
      <c r="L3262">
        <v>0</v>
      </c>
      <c r="M3262">
        <v>0.75</v>
      </c>
      <c r="N3262" s="7" t="str">
        <f>VLOOKUP(F3262,HC!A$6:D$100,3,FALSE)</f>
        <v>NF-X1900</v>
      </c>
      <c r="O3262" s="7" t="str">
        <f>VLOOKUP(F3262,HC!A$6:D$1000,2,FALSE)</f>
        <v>genevmor</v>
      </c>
      <c r="P3262" t="s">
        <v>661</v>
      </c>
      <c r="Q3262" t="s">
        <v>701</v>
      </c>
      <c r="U3262">
        <f t="shared" si="52"/>
        <v>8</v>
      </c>
    </row>
    <row r="3263" spans="1:21" ht="37.5" customHeight="1" x14ac:dyDescent="0.25">
      <c r="A3263" s="39">
        <v>45193</v>
      </c>
      <c r="B3263" s="13">
        <v>39</v>
      </c>
      <c r="C3263" t="s">
        <v>3</v>
      </c>
      <c r="D3263" t="s">
        <v>4</v>
      </c>
      <c r="E3263" t="s">
        <v>5</v>
      </c>
      <c r="F3263">
        <v>112980986</v>
      </c>
      <c r="G3263" t="s">
        <v>999</v>
      </c>
      <c r="H3263" t="s">
        <v>250</v>
      </c>
      <c r="I3263">
        <v>0</v>
      </c>
      <c r="J3263">
        <v>0</v>
      </c>
      <c r="K3263">
        <v>0</v>
      </c>
      <c r="L3263">
        <v>0</v>
      </c>
      <c r="M3263">
        <v>0.16</v>
      </c>
      <c r="N3263" s="7" t="str">
        <f>VLOOKUP(F3263,HC!A$6:D$100,3,FALSE)</f>
        <v>DJ-X0700</v>
      </c>
      <c r="O3263" s="7" t="str">
        <f>VLOOKUP(F3263,HC!A$6:D$1000,2,FALSE)</f>
        <v>eserenca</v>
      </c>
      <c r="P3263" t="s">
        <v>661</v>
      </c>
      <c r="Q3263" t="s">
        <v>681</v>
      </c>
      <c r="U3263">
        <f t="shared" si="52"/>
        <v>3</v>
      </c>
    </row>
    <row r="3264" spans="1:21" ht="37.5" customHeight="1" x14ac:dyDescent="0.25">
      <c r="A3264" s="39">
        <v>45193</v>
      </c>
      <c r="B3264" s="13">
        <v>39</v>
      </c>
      <c r="C3264" t="s">
        <v>3</v>
      </c>
      <c r="D3264" t="s">
        <v>4</v>
      </c>
      <c r="E3264" t="s">
        <v>5</v>
      </c>
      <c r="F3264">
        <v>113014094</v>
      </c>
      <c r="G3264" t="s">
        <v>463</v>
      </c>
      <c r="H3264" t="s">
        <v>44</v>
      </c>
      <c r="I3264">
        <v>0</v>
      </c>
      <c r="J3264">
        <v>0</v>
      </c>
      <c r="K3264">
        <v>0</v>
      </c>
      <c r="L3264">
        <v>0</v>
      </c>
      <c r="M3264">
        <v>0.13</v>
      </c>
      <c r="N3264" s="7" t="e">
        <f>VLOOKUP(F3264,HC!A$6:D$100,3,FALSE)</f>
        <v>#N/A</v>
      </c>
      <c r="O3264" s="7" t="str">
        <f>VLOOKUP(F3264,HC!A$6:D$1000,2,FALSE)</f>
        <v>erikaadm</v>
      </c>
      <c r="P3264" t="s">
        <v>664</v>
      </c>
      <c r="Q3264" t="s">
        <v>708</v>
      </c>
      <c r="U3264">
        <f t="shared" si="52"/>
        <v>21</v>
      </c>
    </row>
    <row r="3265" spans="1:21" ht="37.5" customHeight="1" x14ac:dyDescent="0.25">
      <c r="A3265" s="39">
        <v>45193</v>
      </c>
      <c r="B3265" s="13">
        <v>39</v>
      </c>
      <c r="C3265" t="s">
        <v>3</v>
      </c>
      <c r="D3265" t="s">
        <v>4</v>
      </c>
      <c r="E3265" t="s">
        <v>5</v>
      </c>
      <c r="F3265">
        <v>200404250</v>
      </c>
      <c r="G3265" t="s">
        <v>51</v>
      </c>
      <c r="H3265" t="s">
        <v>298</v>
      </c>
      <c r="I3265">
        <v>0</v>
      </c>
      <c r="J3265">
        <v>0</v>
      </c>
      <c r="K3265">
        <v>0</v>
      </c>
      <c r="L3265">
        <v>0</v>
      </c>
      <c r="M3265">
        <v>0.28999999999999998</v>
      </c>
      <c r="N3265" s="7" t="e">
        <f>VLOOKUP(F3265,HC!A$6:D$100,3,FALSE)</f>
        <v>#N/A</v>
      </c>
      <c r="O3265" s="7" t="str">
        <f>VLOOKUP(F3265,HC!A$6:D$1000,2,FALSE)</f>
        <v>xcathurt</v>
      </c>
      <c r="P3265" t="s">
        <v>663</v>
      </c>
      <c r="Q3265" t="s">
        <v>692</v>
      </c>
      <c r="U3265">
        <f t="shared" si="52"/>
        <v>124</v>
      </c>
    </row>
    <row r="3266" spans="1:21" ht="37.5" customHeight="1" x14ac:dyDescent="0.25">
      <c r="A3266" s="39">
        <v>45193</v>
      </c>
      <c r="B3266" s="13">
        <v>39</v>
      </c>
      <c r="C3266" t="s">
        <v>3</v>
      </c>
      <c r="D3266" t="s">
        <v>4</v>
      </c>
      <c r="E3266" t="s">
        <v>5</v>
      </c>
      <c r="F3266">
        <v>201197964</v>
      </c>
      <c r="G3266" t="s">
        <v>1180</v>
      </c>
      <c r="H3266" t="s">
        <v>298</v>
      </c>
      <c r="I3266">
        <v>0</v>
      </c>
      <c r="J3266">
        <v>0</v>
      </c>
      <c r="K3266">
        <v>0</v>
      </c>
      <c r="L3266">
        <v>0</v>
      </c>
      <c r="M3266">
        <v>0.12</v>
      </c>
      <c r="N3266" s="7" t="e">
        <f>VLOOKUP(F3266,HC!A$6:D$100,3,FALSE)</f>
        <v>#N/A</v>
      </c>
      <c r="O3266" s="7" t="str">
        <f>VLOOKUP(F3266,HC!A$6:D$1000,2,FALSE)</f>
        <v>matzquij</v>
      </c>
      <c r="R3266" t="s">
        <v>1271</v>
      </c>
      <c r="U3266">
        <f t="shared" si="52"/>
        <v>16</v>
      </c>
    </row>
    <row r="3267" spans="1:21" ht="37.5" customHeight="1" x14ac:dyDescent="0.25">
      <c r="A3267" s="39">
        <v>45193</v>
      </c>
      <c r="B3267" s="13">
        <v>39</v>
      </c>
      <c r="C3267" t="s">
        <v>3</v>
      </c>
      <c r="D3267" t="s">
        <v>1224</v>
      </c>
      <c r="E3267" t="s">
        <v>5</v>
      </c>
      <c r="F3267">
        <v>201401219</v>
      </c>
      <c r="G3267" t="s">
        <v>1160</v>
      </c>
      <c r="H3267" t="s">
        <v>1040</v>
      </c>
      <c r="I3267">
        <v>0</v>
      </c>
      <c r="J3267">
        <v>0</v>
      </c>
      <c r="K3267">
        <v>0</v>
      </c>
      <c r="L3267">
        <v>0</v>
      </c>
      <c r="M3267">
        <v>1</v>
      </c>
      <c r="N3267" s="7" t="e">
        <f>VLOOKUP(F3267,HC!A$6:D$100,3,FALSE)</f>
        <v>#N/A</v>
      </c>
      <c r="O3267" s="7" t="str">
        <f>VLOOKUP(F3267,HC!A$6:D$1000,2,FALSE)</f>
        <v>namorena</v>
      </c>
      <c r="P3267" t="s">
        <v>661</v>
      </c>
      <c r="Q3267" t="s">
        <v>681</v>
      </c>
      <c r="U3267">
        <f t="shared" ref="U3267:U3330" si="53">COUNTIF(O$2:O$4999,O3267)</f>
        <v>5</v>
      </c>
    </row>
    <row r="3268" spans="1:21" ht="37.5" customHeight="1" x14ac:dyDescent="0.25">
      <c r="A3268" s="39">
        <v>45194</v>
      </c>
      <c r="B3268" s="13">
        <v>39</v>
      </c>
      <c r="C3268" t="s">
        <v>3</v>
      </c>
      <c r="D3268" t="s">
        <v>4</v>
      </c>
      <c r="E3268" t="s">
        <v>5</v>
      </c>
      <c r="F3268">
        <v>112912209</v>
      </c>
      <c r="G3268" t="s">
        <v>671</v>
      </c>
      <c r="H3268" t="s">
        <v>332</v>
      </c>
      <c r="I3268">
        <v>0</v>
      </c>
      <c r="J3268">
        <v>0</v>
      </c>
      <c r="K3268">
        <v>0</v>
      </c>
      <c r="L3268">
        <v>0</v>
      </c>
      <c r="M3268">
        <v>0.4</v>
      </c>
      <c r="N3268" s="7" t="str">
        <f>VLOOKUP(F3268,HC!A$6:D$100,3,FALSE)</f>
        <v>NF-X1900</v>
      </c>
      <c r="O3268" s="7" t="str">
        <f>VLOOKUP(F3268,HC!A$6:D$1000,2,FALSE)</f>
        <v>moralefs</v>
      </c>
      <c r="P3268" t="s">
        <v>664</v>
      </c>
      <c r="Q3268" t="s">
        <v>762</v>
      </c>
      <c r="R3268" t="s">
        <v>408</v>
      </c>
      <c r="U3268">
        <f t="shared" si="53"/>
        <v>11</v>
      </c>
    </row>
    <row r="3269" spans="1:21" ht="37.5" customHeight="1" x14ac:dyDescent="0.25">
      <c r="A3269" s="39">
        <v>45194</v>
      </c>
      <c r="B3269" s="13">
        <v>39</v>
      </c>
      <c r="C3269" t="s">
        <v>3</v>
      </c>
      <c r="D3269" t="s">
        <v>4</v>
      </c>
      <c r="E3269" t="s">
        <v>5</v>
      </c>
      <c r="F3269">
        <v>112981013</v>
      </c>
      <c r="G3269" t="s">
        <v>283</v>
      </c>
      <c r="H3269" t="s">
        <v>250</v>
      </c>
      <c r="I3269">
        <v>0</v>
      </c>
      <c r="J3269">
        <v>0</v>
      </c>
      <c r="K3269">
        <v>0</v>
      </c>
      <c r="L3269">
        <v>0</v>
      </c>
      <c r="M3269">
        <v>0.16</v>
      </c>
      <c r="N3269" s="7" t="str">
        <f>VLOOKUP(F3269,HC!A$6:D$100,3,FALSE)</f>
        <v>DA-X0700</v>
      </c>
      <c r="O3269" s="7" t="str">
        <f>VLOOKUP(F3269,HC!A$6:D$1000,2,FALSE)</f>
        <v>normaelo</v>
      </c>
      <c r="P3269" t="s">
        <v>664</v>
      </c>
      <c r="Q3269" t="s">
        <v>716</v>
      </c>
      <c r="U3269">
        <f t="shared" si="53"/>
        <v>24</v>
      </c>
    </row>
    <row r="3270" spans="1:21" ht="37.5" customHeight="1" x14ac:dyDescent="0.25">
      <c r="A3270" s="39">
        <v>45194</v>
      </c>
      <c r="B3270" s="13">
        <v>39</v>
      </c>
      <c r="C3270" t="s">
        <v>3</v>
      </c>
      <c r="D3270" t="s">
        <v>4</v>
      </c>
      <c r="E3270" t="s">
        <v>5</v>
      </c>
      <c r="F3270">
        <v>113014403</v>
      </c>
      <c r="G3270" t="s">
        <v>373</v>
      </c>
      <c r="H3270" t="s">
        <v>250</v>
      </c>
      <c r="I3270">
        <v>0</v>
      </c>
      <c r="J3270">
        <v>0</v>
      </c>
      <c r="K3270">
        <v>0</v>
      </c>
      <c r="L3270">
        <v>0</v>
      </c>
      <c r="M3270">
        <v>0.21</v>
      </c>
      <c r="N3270" s="7" t="e">
        <f>VLOOKUP(F3270,HC!A$6:D$100,3,FALSE)</f>
        <v>#N/A</v>
      </c>
      <c r="O3270" s="7" t="str">
        <f>VLOOKUP(F3270,HC!A$6:D$1000,2,FALSE)</f>
        <v>wnoraria</v>
      </c>
      <c r="P3270" t="s">
        <v>664</v>
      </c>
      <c r="Q3270" t="s">
        <v>708</v>
      </c>
      <c r="U3270">
        <f t="shared" si="53"/>
        <v>23</v>
      </c>
    </row>
    <row r="3271" spans="1:21" ht="37.5" customHeight="1" x14ac:dyDescent="0.25">
      <c r="A3271" s="39">
        <v>45194</v>
      </c>
      <c r="B3271" s="13">
        <v>39</v>
      </c>
      <c r="C3271" t="s">
        <v>3</v>
      </c>
      <c r="D3271" t="s">
        <v>4</v>
      </c>
      <c r="E3271" t="s">
        <v>5</v>
      </c>
      <c r="F3271">
        <v>200570729</v>
      </c>
      <c r="G3271" t="s">
        <v>679</v>
      </c>
      <c r="H3271" t="s">
        <v>285</v>
      </c>
      <c r="I3271">
        <v>0</v>
      </c>
      <c r="J3271">
        <v>0</v>
      </c>
      <c r="K3271">
        <v>0</v>
      </c>
      <c r="L3271">
        <v>0</v>
      </c>
      <c r="M3271">
        <v>0.21</v>
      </c>
      <c r="N3271" s="7" t="e">
        <f>VLOOKUP(F3271,HC!A$6:D$100,3,FALSE)</f>
        <v>#N/A</v>
      </c>
      <c r="O3271" s="7" t="str">
        <f>VLOOKUP(F3271,HC!A$6:D$1000,2,FALSE)</f>
        <v>srodcaro</v>
      </c>
      <c r="P3271" t="s">
        <v>661</v>
      </c>
      <c r="Q3271" t="s">
        <v>681</v>
      </c>
      <c r="U3271">
        <f t="shared" si="53"/>
        <v>8</v>
      </c>
    </row>
    <row r="3272" spans="1:21" ht="37.5" customHeight="1" x14ac:dyDescent="0.25">
      <c r="A3272" s="39">
        <v>45194</v>
      </c>
      <c r="B3272" s="13">
        <v>39</v>
      </c>
      <c r="C3272" t="s">
        <v>3</v>
      </c>
      <c r="D3272" t="s">
        <v>4</v>
      </c>
      <c r="E3272" t="s">
        <v>5</v>
      </c>
      <c r="F3272">
        <v>200620341</v>
      </c>
      <c r="G3272" t="s">
        <v>255</v>
      </c>
      <c r="H3272" t="s">
        <v>250</v>
      </c>
      <c r="I3272">
        <v>0</v>
      </c>
      <c r="J3272">
        <v>0</v>
      </c>
      <c r="K3272">
        <v>0</v>
      </c>
      <c r="L3272">
        <v>0</v>
      </c>
      <c r="M3272">
        <v>0.17</v>
      </c>
      <c r="N3272" s="7" t="e">
        <f>VLOOKUP(F3272,HC!A$6:D$100,3,FALSE)</f>
        <v>#N/A</v>
      </c>
      <c r="O3272" s="7" t="e">
        <f>VLOOKUP(F3272,HC!A$6:D$1000,2,FALSE)</f>
        <v>#N/A</v>
      </c>
      <c r="P3272" t="s">
        <v>661</v>
      </c>
      <c r="Q3272" t="s">
        <v>681</v>
      </c>
      <c r="U3272">
        <f t="shared" si="53"/>
        <v>1395</v>
      </c>
    </row>
    <row r="3273" spans="1:21" ht="37.5" customHeight="1" x14ac:dyDescent="0.25">
      <c r="A3273" s="39">
        <v>45194</v>
      </c>
      <c r="B3273" s="13">
        <v>39</v>
      </c>
      <c r="C3273" t="s">
        <v>3</v>
      </c>
      <c r="D3273" t="s">
        <v>4</v>
      </c>
      <c r="E3273" t="s">
        <v>5</v>
      </c>
      <c r="F3273">
        <v>200625528</v>
      </c>
      <c r="G3273" t="s">
        <v>607</v>
      </c>
      <c r="H3273" t="s">
        <v>285</v>
      </c>
      <c r="I3273">
        <v>0</v>
      </c>
      <c r="J3273">
        <v>0</v>
      </c>
      <c r="K3273">
        <v>0</v>
      </c>
      <c r="L3273">
        <v>0</v>
      </c>
      <c r="M3273">
        <v>0.1</v>
      </c>
      <c r="N3273" s="7" t="e">
        <f>VLOOKUP(F3273,HC!A$6:D$100,3,FALSE)</f>
        <v>#N/A</v>
      </c>
      <c r="O3273" s="7" t="str">
        <f>VLOOKUP(F3273,HC!A$6:D$1000,2,FALSE)</f>
        <v>olivlizb</v>
      </c>
      <c r="P3273" t="s">
        <v>661</v>
      </c>
      <c r="Q3273" t="s">
        <v>681</v>
      </c>
      <c r="U3273">
        <f t="shared" si="53"/>
        <v>50</v>
      </c>
    </row>
    <row r="3274" spans="1:21" ht="37.5" customHeight="1" x14ac:dyDescent="0.25">
      <c r="A3274" s="39">
        <v>45194</v>
      </c>
      <c r="B3274" s="13">
        <v>39</v>
      </c>
      <c r="C3274" t="s">
        <v>3</v>
      </c>
      <c r="D3274" t="s">
        <v>4</v>
      </c>
      <c r="E3274" t="s">
        <v>5</v>
      </c>
      <c r="F3274">
        <v>201167501</v>
      </c>
      <c r="G3274" t="s">
        <v>863</v>
      </c>
      <c r="H3274" t="s">
        <v>44</v>
      </c>
      <c r="I3274">
        <v>0</v>
      </c>
      <c r="J3274">
        <v>0</v>
      </c>
      <c r="K3274">
        <v>0</v>
      </c>
      <c r="L3274">
        <v>0</v>
      </c>
      <c r="M3274">
        <v>0.13</v>
      </c>
      <c r="N3274" s="7" t="e">
        <f>VLOOKUP(F3274,HC!A$6:D$100,3,FALSE)</f>
        <v>#N/A</v>
      </c>
      <c r="O3274" s="7" t="str">
        <f>VLOOKUP(F3274,HC!A$6:D$1000,2,FALSE)</f>
        <v>wguanajr</v>
      </c>
      <c r="R3274" t="s">
        <v>1271</v>
      </c>
      <c r="U3274">
        <f t="shared" si="53"/>
        <v>36</v>
      </c>
    </row>
    <row r="3275" spans="1:21" ht="37.5" customHeight="1" x14ac:dyDescent="0.25">
      <c r="A3275" s="39">
        <v>45194</v>
      </c>
      <c r="B3275" s="13">
        <v>39</v>
      </c>
      <c r="C3275" t="s">
        <v>3</v>
      </c>
      <c r="D3275" t="s">
        <v>1224</v>
      </c>
      <c r="E3275" t="s">
        <v>5</v>
      </c>
      <c r="F3275">
        <v>201318220</v>
      </c>
      <c r="G3275" t="s">
        <v>1183</v>
      </c>
      <c r="H3275" t="s">
        <v>1040</v>
      </c>
      <c r="I3275">
        <v>0</v>
      </c>
      <c r="J3275">
        <v>0</v>
      </c>
      <c r="K3275">
        <v>0</v>
      </c>
      <c r="L3275">
        <v>0</v>
      </c>
      <c r="M3275">
        <v>0.66</v>
      </c>
      <c r="N3275" s="7" t="e">
        <f>VLOOKUP(F3275,HC!A$6:D$100,3,FALSE)</f>
        <v>#N/A</v>
      </c>
      <c r="O3275" s="7" t="str">
        <f>VLOOKUP(F3275,HC!A$6:D$1000,2,FALSE)</f>
        <v>raufjas</v>
      </c>
      <c r="P3275" t="s">
        <v>661</v>
      </c>
      <c r="Q3275" t="s">
        <v>681</v>
      </c>
      <c r="U3275">
        <f t="shared" si="53"/>
        <v>11</v>
      </c>
    </row>
    <row r="3276" spans="1:21" ht="37.5" customHeight="1" x14ac:dyDescent="0.25">
      <c r="A3276" s="39">
        <v>45195</v>
      </c>
      <c r="B3276" s="13">
        <v>39</v>
      </c>
      <c r="C3276" t="s">
        <v>3</v>
      </c>
      <c r="D3276" t="s">
        <v>4</v>
      </c>
      <c r="E3276" t="s">
        <v>5</v>
      </c>
      <c r="F3276">
        <v>103979960</v>
      </c>
      <c r="G3276" t="s">
        <v>372</v>
      </c>
      <c r="H3276" t="s">
        <v>44</v>
      </c>
      <c r="I3276">
        <v>0</v>
      </c>
      <c r="J3276">
        <v>0</v>
      </c>
      <c r="K3276">
        <v>0</v>
      </c>
      <c r="L3276">
        <v>0</v>
      </c>
      <c r="M3276">
        <v>0.99</v>
      </c>
      <c r="N3276" s="7" t="e">
        <f>VLOOKUP(F3276,HC!A$6:D$100,3,FALSE)</f>
        <v>#N/A</v>
      </c>
      <c r="O3276" s="7" t="e">
        <f>VLOOKUP(F3276,HC!A$6:D$1000,2,FALSE)</f>
        <v>#N/A</v>
      </c>
      <c r="P3276" t="s">
        <v>661</v>
      </c>
      <c r="Q3276" t="s">
        <v>700</v>
      </c>
      <c r="U3276">
        <f t="shared" si="53"/>
        <v>1395</v>
      </c>
    </row>
    <row r="3277" spans="1:21" ht="37.5" customHeight="1" x14ac:dyDescent="0.25">
      <c r="A3277" s="39">
        <v>45195</v>
      </c>
      <c r="B3277" s="13">
        <v>39</v>
      </c>
      <c r="C3277" t="s">
        <v>3</v>
      </c>
      <c r="D3277" t="s">
        <v>4</v>
      </c>
      <c r="E3277" t="s">
        <v>5</v>
      </c>
      <c r="F3277">
        <v>112912049</v>
      </c>
      <c r="G3277" t="s">
        <v>488</v>
      </c>
      <c r="H3277" t="s">
        <v>47</v>
      </c>
      <c r="I3277">
        <v>0</v>
      </c>
      <c r="J3277">
        <v>0</v>
      </c>
      <c r="K3277">
        <v>0</v>
      </c>
      <c r="L3277">
        <v>0</v>
      </c>
      <c r="M3277">
        <v>0.16</v>
      </c>
      <c r="N3277" s="7" t="str">
        <f>VLOOKUP(F3277,HC!A$6:D$100,3,FALSE)</f>
        <v>NF-X1900</v>
      </c>
      <c r="O3277" s="7" t="str">
        <f>VLOOKUP(F3277,HC!A$6:D$1000,2,FALSE)</f>
        <v>zchvazqu</v>
      </c>
      <c r="P3277" t="s">
        <v>664</v>
      </c>
      <c r="Q3277" t="s">
        <v>711</v>
      </c>
      <c r="U3277">
        <f t="shared" si="53"/>
        <v>11</v>
      </c>
    </row>
    <row r="3278" spans="1:21" ht="37.5" customHeight="1" x14ac:dyDescent="0.25">
      <c r="A3278" s="39">
        <v>45195</v>
      </c>
      <c r="B3278" s="13">
        <v>39</v>
      </c>
      <c r="C3278" t="s">
        <v>3</v>
      </c>
      <c r="D3278" t="s">
        <v>4</v>
      </c>
      <c r="E3278" t="s">
        <v>5</v>
      </c>
      <c r="F3278">
        <v>112912752</v>
      </c>
      <c r="G3278" t="s">
        <v>251</v>
      </c>
      <c r="H3278" t="s">
        <v>332</v>
      </c>
      <c r="I3278">
        <v>0</v>
      </c>
      <c r="J3278">
        <v>0</v>
      </c>
      <c r="K3278">
        <v>0</v>
      </c>
      <c r="L3278">
        <v>0</v>
      </c>
      <c r="M3278">
        <v>0.19</v>
      </c>
      <c r="N3278" s="7" t="str">
        <f>VLOOKUP(F3278,HC!A$6:D$100,3,FALSE)</f>
        <v>NF-X1900</v>
      </c>
      <c r="O3278" s="7" t="str">
        <f>VLOOKUP(F3278,HC!A$6:D$1000,2,FALSE)</f>
        <v>valderle</v>
      </c>
      <c r="P3278" t="s">
        <v>668</v>
      </c>
      <c r="U3278">
        <f t="shared" si="53"/>
        <v>50</v>
      </c>
    </row>
    <row r="3279" spans="1:21" ht="37.5" customHeight="1" x14ac:dyDescent="0.25">
      <c r="A3279" s="39">
        <v>45195</v>
      </c>
      <c r="B3279" s="13">
        <v>39</v>
      </c>
      <c r="C3279" t="s">
        <v>3</v>
      </c>
      <c r="D3279" t="s">
        <v>4</v>
      </c>
      <c r="E3279" t="s">
        <v>5</v>
      </c>
      <c r="F3279">
        <v>112950784</v>
      </c>
      <c r="G3279" t="s">
        <v>261</v>
      </c>
      <c r="H3279" t="s">
        <v>282</v>
      </c>
      <c r="I3279">
        <v>0</v>
      </c>
      <c r="J3279">
        <v>0</v>
      </c>
      <c r="K3279">
        <v>0</v>
      </c>
      <c r="L3279">
        <v>0</v>
      </c>
      <c r="M3279">
        <v>0.16</v>
      </c>
      <c r="N3279" s="7" t="str">
        <f>VLOOKUP(F3279,HC!A$6:D$100,3,FALSE)</f>
        <v>NF-X1900</v>
      </c>
      <c r="O3279" s="7" t="str">
        <f>VLOOKUP(F3279,HC!A$6:D$1000,2,FALSE)</f>
        <v>sarojast</v>
      </c>
      <c r="P3279" t="s">
        <v>668</v>
      </c>
      <c r="U3279">
        <f t="shared" si="53"/>
        <v>33</v>
      </c>
    </row>
    <row r="3280" spans="1:21" ht="37.5" customHeight="1" x14ac:dyDescent="0.25">
      <c r="A3280" s="39">
        <v>45195</v>
      </c>
      <c r="B3280" s="13">
        <v>39</v>
      </c>
      <c r="C3280" t="s">
        <v>3</v>
      </c>
      <c r="D3280" t="s">
        <v>4</v>
      </c>
      <c r="E3280" t="s">
        <v>5</v>
      </c>
      <c r="F3280">
        <v>112971980</v>
      </c>
      <c r="G3280" t="s">
        <v>445</v>
      </c>
      <c r="H3280" t="s">
        <v>459</v>
      </c>
      <c r="I3280">
        <v>0</v>
      </c>
      <c r="J3280">
        <v>0</v>
      </c>
      <c r="K3280">
        <v>0</v>
      </c>
      <c r="L3280">
        <v>0</v>
      </c>
      <c r="M3280">
        <v>0.89</v>
      </c>
      <c r="N3280" s="7" t="str">
        <f>VLOOKUP(F3280,HC!A$6:D$100,3,FALSE)</f>
        <v>DC-X0700</v>
      </c>
      <c r="O3280" s="7" t="str">
        <f>VLOOKUP(F3280,HC!A$6:D$1000,2,FALSE)</f>
        <v>cdanirom</v>
      </c>
      <c r="P3280" t="s">
        <v>661</v>
      </c>
      <c r="Q3280" t="s">
        <v>681</v>
      </c>
      <c r="U3280">
        <f t="shared" si="53"/>
        <v>25</v>
      </c>
    </row>
    <row r="3281" spans="1:21" ht="37.5" customHeight="1" x14ac:dyDescent="0.25">
      <c r="A3281" s="39">
        <v>45195</v>
      </c>
      <c r="B3281" s="13">
        <v>39</v>
      </c>
      <c r="C3281" t="s">
        <v>3</v>
      </c>
      <c r="D3281" t="s">
        <v>4</v>
      </c>
      <c r="E3281" t="s">
        <v>5</v>
      </c>
      <c r="F3281">
        <v>112972521</v>
      </c>
      <c r="G3281" t="s">
        <v>1149</v>
      </c>
      <c r="H3281" t="s">
        <v>14</v>
      </c>
      <c r="I3281">
        <v>0</v>
      </c>
      <c r="J3281">
        <v>0</v>
      </c>
      <c r="K3281">
        <v>0</v>
      </c>
      <c r="L3281">
        <v>0</v>
      </c>
      <c r="M3281">
        <v>0.08</v>
      </c>
      <c r="N3281" s="7" t="str">
        <f>VLOOKUP(F3281,HC!A$6:D$100,3,FALSE)</f>
        <v>DB-X0700</v>
      </c>
      <c r="O3281" s="7" t="str">
        <f>VLOOKUP(F3281,HC!A$6:D$1000,2,FALSE)</f>
        <v>perezrro</v>
      </c>
      <c r="P3281" t="s">
        <v>664</v>
      </c>
      <c r="Q3281" t="s">
        <v>709</v>
      </c>
      <c r="U3281">
        <f t="shared" si="53"/>
        <v>5</v>
      </c>
    </row>
    <row r="3282" spans="1:21" ht="37.5" customHeight="1" x14ac:dyDescent="0.25">
      <c r="A3282" s="39">
        <v>45195</v>
      </c>
      <c r="B3282" s="13">
        <v>39</v>
      </c>
      <c r="C3282" t="s">
        <v>3</v>
      </c>
      <c r="D3282" t="s">
        <v>4</v>
      </c>
      <c r="E3282" t="s">
        <v>21</v>
      </c>
      <c r="F3282">
        <v>113014081</v>
      </c>
      <c r="G3282" t="s">
        <v>267</v>
      </c>
      <c r="H3282" t="s">
        <v>47</v>
      </c>
      <c r="I3282">
        <v>0</v>
      </c>
      <c r="J3282">
        <v>0</v>
      </c>
      <c r="K3282">
        <v>0</v>
      </c>
      <c r="L3282">
        <v>0</v>
      </c>
      <c r="M3282">
        <v>0.47</v>
      </c>
      <c r="N3282" s="7" t="e">
        <f>VLOOKUP(F3282,HC!A$6:D$100,3,FALSE)</f>
        <v>#N/A</v>
      </c>
      <c r="O3282" s="7" t="str">
        <f>VLOOKUP(F3282,HC!A$6:D$1000,2,FALSE)</f>
        <v>fraugene</v>
      </c>
      <c r="P3282" t="s">
        <v>662</v>
      </c>
      <c r="Q3282" t="s">
        <v>757</v>
      </c>
      <c r="U3282">
        <f t="shared" si="53"/>
        <v>32</v>
      </c>
    </row>
    <row r="3283" spans="1:21" ht="37.5" customHeight="1" x14ac:dyDescent="0.25">
      <c r="A3283" s="39">
        <v>45195</v>
      </c>
      <c r="B3283" s="13">
        <v>39</v>
      </c>
      <c r="C3283" t="s">
        <v>3</v>
      </c>
      <c r="D3283" t="s">
        <v>4</v>
      </c>
      <c r="E3283" t="s">
        <v>5</v>
      </c>
      <c r="F3283">
        <v>200564895</v>
      </c>
      <c r="G3283" t="s">
        <v>520</v>
      </c>
      <c r="H3283" t="s">
        <v>44</v>
      </c>
      <c r="I3283">
        <v>0</v>
      </c>
      <c r="J3283">
        <v>0</v>
      </c>
      <c r="K3283">
        <v>0</v>
      </c>
      <c r="L3283">
        <v>0</v>
      </c>
      <c r="M3283">
        <v>0.26</v>
      </c>
      <c r="N3283" s="7" t="e">
        <f>VLOOKUP(F3283,HC!A$6:D$100,3,FALSE)</f>
        <v>#N/A</v>
      </c>
      <c r="O3283" s="7" t="str">
        <f>VLOOKUP(F3283,HC!A$6:D$1000,2,FALSE)</f>
        <v>hmendobr</v>
      </c>
      <c r="P3283" t="s">
        <v>664</v>
      </c>
      <c r="U3283">
        <f t="shared" si="53"/>
        <v>16</v>
      </c>
    </row>
    <row r="3284" spans="1:21" ht="37.5" customHeight="1" x14ac:dyDescent="0.25">
      <c r="A3284" s="39">
        <v>45195</v>
      </c>
      <c r="B3284" s="13">
        <v>39</v>
      </c>
      <c r="C3284" t="s">
        <v>3</v>
      </c>
      <c r="D3284" t="s">
        <v>4</v>
      </c>
      <c r="E3284" t="s">
        <v>5</v>
      </c>
      <c r="F3284">
        <v>200570729</v>
      </c>
      <c r="G3284" t="s">
        <v>679</v>
      </c>
      <c r="H3284" t="s">
        <v>285</v>
      </c>
      <c r="I3284">
        <v>0</v>
      </c>
      <c r="J3284">
        <v>0</v>
      </c>
      <c r="K3284">
        <v>0</v>
      </c>
      <c r="L3284">
        <v>0</v>
      </c>
      <c r="M3284">
        <v>0.19</v>
      </c>
      <c r="N3284" s="7" t="e">
        <f>VLOOKUP(F3284,HC!A$6:D$100,3,FALSE)</f>
        <v>#N/A</v>
      </c>
      <c r="O3284" s="7" t="str">
        <f>VLOOKUP(F3284,HC!A$6:D$1000,2,FALSE)</f>
        <v>srodcaro</v>
      </c>
      <c r="P3284" t="s">
        <v>662</v>
      </c>
      <c r="U3284">
        <f t="shared" si="53"/>
        <v>8</v>
      </c>
    </row>
    <row r="3285" spans="1:21" ht="37.5" customHeight="1" x14ac:dyDescent="0.25">
      <c r="A3285" s="39">
        <v>45195</v>
      </c>
      <c r="B3285" s="13">
        <v>39</v>
      </c>
      <c r="C3285" t="s">
        <v>3</v>
      </c>
      <c r="D3285" t="s">
        <v>4</v>
      </c>
      <c r="E3285" t="s">
        <v>5</v>
      </c>
      <c r="F3285">
        <v>200620341</v>
      </c>
      <c r="G3285" t="s">
        <v>255</v>
      </c>
      <c r="H3285" t="s">
        <v>250</v>
      </c>
      <c r="I3285">
        <v>0</v>
      </c>
      <c r="J3285">
        <v>0</v>
      </c>
      <c r="K3285">
        <v>0</v>
      </c>
      <c r="L3285">
        <v>0</v>
      </c>
      <c r="M3285">
        <v>0.27</v>
      </c>
      <c r="N3285" s="7" t="e">
        <f>VLOOKUP(F3285,HC!A$6:D$100,3,FALSE)</f>
        <v>#N/A</v>
      </c>
      <c r="O3285" s="7" t="e">
        <f>VLOOKUP(F3285,HC!A$6:D$1000,2,FALSE)</f>
        <v>#N/A</v>
      </c>
      <c r="P3285" t="s">
        <v>661</v>
      </c>
      <c r="Q3285" t="s">
        <v>681</v>
      </c>
      <c r="U3285">
        <f t="shared" si="53"/>
        <v>1395</v>
      </c>
    </row>
    <row r="3286" spans="1:21" ht="37.5" customHeight="1" x14ac:dyDescent="0.25">
      <c r="A3286" s="39">
        <v>45195</v>
      </c>
      <c r="B3286" s="13">
        <v>39</v>
      </c>
      <c r="C3286" t="s">
        <v>3</v>
      </c>
      <c r="D3286" t="s">
        <v>4</v>
      </c>
      <c r="E3286" t="s">
        <v>5</v>
      </c>
      <c r="F3286">
        <v>201167501</v>
      </c>
      <c r="G3286" t="s">
        <v>863</v>
      </c>
      <c r="H3286" t="s">
        <v>44</v>
      </c>
      <c r="I3286">
        <v>0</v>
      </c>
      <c r="J3286">
        <v>0</v>
      </c>
      <c r="K3286">
        <v>0</v>
      </c>
      <c r="L3286">
        <v>0</v>
      </c>
      <c r="M3286">
        <v>0.27</v>
      </c>
      <c r="N3286" s="7" t="e">
        <f>VLOOKUP(F3286,HC!A$6:D$100,3,FALSE)</f>
        <v>#N/A</v>
      </c>
      <c r="O3286" s="7" t="str">
        <f>VLOOKUP(F3286,HC!A$6:D$1000,2,FALSE)</f>
        <v>wguanajr</v>
      </c>
      <c r="P3286" t="s">
        <v>664</v>
      </c>
      <c r="Q3286" t="s">
        <v>709</v>
      </c>
      <c r="U3286">
        <f t="shared" si="53"/>
        <v>36</v>
      </c>
    </row>
    <row r="3287" spans="1:21" ht="37.5" customHeight="1" x14ac:dyDescent="0.25">
      <c r="A3287" s="39">
        <v>45195</v>
      </c>
      <c r="B3287" s="13">
        <v>39</v>
      </c>
      <c r="C3287" t="s">
        <v>3</v>
      </c>
      <c r="D3287" t="s">
        <v>4</v>
      </c>
      <c r="E3287" t="s">
        <v>5</v>
      </c>
      <c r="F3287">
        <v>201186777</v>
      </c>
      <c r="G3287" t="s">
        <v>856</v>
      </c>
      <c r="H3287" t="s">
        <v>298</v>
      </c>
      <c r="I3287">
        <v>0</v>
      </c>
      <c r="J3287">
        <v>0</v>
      </c>
      <c r="K3287">
        <v>0</v>
      </c>
      <c r="L3287">
        <v>0</v>
      </c>
      <c r="M3287">
        <v>0.2</v>
      </c>
      <c r="N3287" s="7" t="e">
        <f>VLOOKUP(F3287,HC!A$6:D$100,3,FALSE)</f>
        <v>#N/A</v>
      </c>
      <c r="O3287" s="7" t="str">
        <f>VLOOKUP(F3287,HC!A$6:D$1000,2,FALSE)</f>
        <v>bemonzon</v>
      </c>
      <c r="P3287" t="s">
        <v>661</v>
      </c>
      <c r="Q3287" t="s">
        <v>681</v>
      </c>
      <c r="U3287">
        <f t="shared" si="53"/>
        <v>15</v>
      </c>
    </row>
    <row r="3288" spans="1:21" ht="37.5" customHeight="1" x14ac:dyDescent="0.25">
      <c r="A3288" s="39">
        <v>45195</v>
      </c>
      <c r="B3288" s="13">
        <v>39</v>
      </c>
      <c r="C3288" t="s">
        <v>3</v>
      </c>
      <c r="D3288" t="s">
        <v>4</v>
      </c>
      <c r="E3288" t="s">
        <v>21</v>
      </c>
      <c r="F3288">
        <v>201880542</v>
      </c>
      <c r="G3288" t="s">
        <v>1225</v>
      </c>
      <c r="H3288" t="s">
        <v>298</v>
      </c>
      <c r="I3288">
        <v>0</v>
      </c>
      <c r="J3288">
        <v>0</v>
      </c>
      <c r="K3288">
        <v>0</v>
      </c>
      <c r="L3288">
        <v>0</v>
      </c>
      <c r="M3288">
        <v>0.28999999999999998</v>
      </c>
      <c r="N3288" s="7" t="e">
        <f>VLOOKUP(F3288,HC!A$6:D$100,3,FALSE)</f>
        <v>#N/A</v>
      </c>
      <c r="O3288" s="7" t="str">
        <f>VLOOKUP(F3288,HC!A$6:D$1000,2,FALSE)</f>
        <v>orticorp</v>
      </c>
      <c r="P3288" t="s">
        <v>664</v>
      </c>
      <c r="Q3288" t="s">
        <v>716</v>
      </c>
      <c r="U3288">
        <f t="shared" si="53"/>
        <v>24</v>
      </c>
    </row>
    <row r="3289" spans="1:21" ht="37.5" customHeight="1" x14ac:dyDescent="0.25">
      <c r="A3289" s="39">
        <v>45195</v>
      </c>
      <c r="B3289" s="13">
        <v>39</v>
      </c>
      <c r="C3289" t="s">
        <v>3</v>
      </c>
      <c r="D3289" t="s">
        <v>1224</v>
      </c>
      <c r="E3289" t="s">
        <v>21</v>
      </c>
      <c r="F3289">
        <v>201903097</v>
      </c>
      <c r="G3289" t="s">
        <v>1239</v>
      </c>
      <c r="H3289" t="s">
        <v>17</v>
      </c>
      <c r="I3289">
        <v>0</v>
      </c>
      <c r="J3289">
        <v>0</v>
      </c>
      <c r="K3289">
        <v>0</v>
      </c>
      <c r="L3289">
        <v>0</v>
      </c>
      <c r="M3289">
        <v>0.9</v>
      </c>
      <c r="N3289" s="7" t="e">
        <f>VLOOKUP(F3289,HC!A$6:D$100,3,FALSE)</f>
        <v>#N/A</v>
      </c>
      <c r="O3289" s="7" t="str">
        <f>VLOOKUP(F3289,HC!A$6:D$1000,2,FALSE)</f>
        <v>montoliy</v>
      </c>
      <c r="P3289" t="s">
        <v>661</v>
      </c>
      <c r="Q3289" t="s">
        <v>681</v>
      </c>
      <c r="U3289">
        <f t="shared" si="53"/>
        <v>10</v>
      </c>
    </row>
    <row r="3290" spans="1:21" ht="37.5" customHeight="1" x14ac:dyDescent="0.25">
      <c r="A3290" s="39">
        <v>45196</v>
      </c>
      <c r="B3290" s="13">
        <v>39</v>
      </c>
      <c r="C3290" t="s">
        <v>3</v>
      </c>
      <c r="D3290" t="s">
        <v>4</v>
      </c>
      <c r="E3290" t="s">
        <v>5</v>
      </c>
      <c r="F3290">
        <v>112912209</v>
      </c>
      <c r="G3290" t="s">
        <v>671</v>
      </c>
      <c r="H3290" t="s">
        <v>332</v>
      </c>
      <c r="I3290">
        <v>0</v>
      </c>
      <c r="J3290">
        <v>0</v>
      </c>
      <c r="K3290">
        <v>0</v>
      </c>
      <c r="L3290">
        <v>0</v>
      </c>
      <c r="M3290">
        <v>1.19</v>
      </c>
      <c r="N3290" s="7" t="str">
        <f>VLOOKUP(F3290,HC!A$6:D$100,3,FALSE)</f>
        <v>NF-X1900</v>
      </c>
      <c r="O3290" s="7" t="str">
        <f>VLOOKUP(F3290,HC!A$6:D$1000,2,FALSE)</f>
        <v>moralefs</v>
      </c>
      <c r="U3290">
        <f t="shared" si="53"/>
        <v>11</v>
      </c>
    </row>
    <row r="3291" spans="1:21" ht="37.5" customHeight="1" x14ac:dyDescent="0.25">
      <c r="A3291" s="39">
        <v>45196</v>
      </c>
      <c r="B3291" s="13">
        <v>39</v>
      </c>
      <c r="C3291" t="s">
        <v>3</v>
      </c>
      <c r="D3291" t="s">
        <v>4</v>
      </c>
      <c r="E3291" t="s">
        <v>5</v>
      </c>
      <c r="F3291">
        <v>112912752</v>
      </c>
      <c r="G3291" t="s">
        <v>251</v>
      </c>
      <c r="H3291" t="s">
        <v>332</v>
      </c>
      <c r="I3291">
        <v>0</v>
      </c>
      <c r="J3291">
        <v>0</v>
      </c>
      <c r="K3291">
        <v>0</v>
      </c>
      <c r="L3291">
        <v>0</v>
      </c>
      <c r="M3291">
        <v>0.52</v>
      </c>
      <c r="N3291" s="7" t="str">
        <f>VLOOKUP(F3291,HC!A$6:D$100,3,FALSE)</f>
        <v>NF-X1900</v>
      </c>
      <c r="O3291" s="7" t="str">
        <f>VLOOKUP(F3291,HC!A$6:D$1000,2,FALSE)</f>
        <v>valderle</v>
      </c>
      <c r="U3291">
        <f t="shared" si="53"/>
        <v>50</v>
      </c>
    </row>
    <row r="3292" spans="1:21" ht="37.5" customHeight="1" x14ac:dyDescent="0.25">
      <c r="A3292" s="39">
        <v>45196</v>
      </c>
      <c r="B3292" s="13">
        <v>39</v>
      </c>
      <c r="C3292" t="s">
        <v>3</v>
      </c>
      <c r="D3292" t="s">
        <v>4</v>
      </c>
      <c r="E3292" t="s">
        <v>5</v>
      </c>
      <c r="F3292">
        <v>112920637</v>
      </c>
      <c r="G3292" t="s">
        <v>426</v>
      </c>
      <c r="H3292" t="s">
        <v>459</v>
      </c>
      <c r="I3292">
        <v>0</v>
      </c>
      <c r="J3292">
        <v>0</v>
      </c>
      <c r="K3292">
        <v>0</v>
      </c>
      <c r="L3292">
        <v>0</v>
      </c>
      <c r="M3292">
        <v>0.43</v>
      </c>
      <c r="N3292" s="7" t="str">
        <f>VLOOKUP(F3292,HC!A$6:D$100,3,FALSE)</f>
        <v>DB-X0700</v>
      </c>
      <c r="O3292" s="7" t="str">
        <f>VLOOKUP(F3292,HC!A$6:D$1000,2,FALSE)</f>
        <v>antonitq</v>
      </c>
      <c r="U3292">
        <f t="shared" si="53"/>
        <v>9</v>
      </c>
    </row>
    <row r="3293" spans="1:21" ht="37.5" customHeight="1" x14ac:dyDescent="0.25">
      <c r="A3293" s="39">
        <v>45196</v>
      </c>
      <c r="B3293" s="13">
        <v>39</v>
      </c>
      <c r="C3293" t="s">
        <v>3</v>
      </c>
      <c r="D3293" t="s">
        <v>4</v>
      </c>
      <c r="E3293" t="s">
        <v>5</v>
      </c>
      <c r="F3293">
        <v>112980899</v>
      </c>
      <c r="G3293" t="s">
        <v>396</v>
      </c>
      <c r="H3293" t="s">
        <v>332</v>
      </c>
      <c r="I3293">
        <v>0</v>
      </c>
      <c r="J3293">
        <v>0</v>
      </c>
      <c r="K3293">
        <v>0</v>
      </c>
      <c r="L3293">
        <v>0</v>
      </c>
      <c r="M3293">
        <v>0.31</v>
      </c>
      <c r="N3293" s="7" t="str">
        <f>VLOOKUP(F3293,HC!A$6:D$100,3,FALSE)</f>
        <v>NF-X1900</v>
      </c>
      <c r="O3293" s="7" t="str">
        <f>VLOOKUP(F3293,HC!A$6:D$1000,2,FALSE)</f>
        <v>aravilac</v>
      </c>
      <c r="U3293">
        <f t="shared" si="53"/>
        <v>33</v>
      </c>
    </row>
    <row r="3294" spans="1:21" ht="37.5" customHeight="1" x14ac:dyDescent="0.25">
      <c r="A3294" s="39">
        <v>45196</v>
      </c>
      <c r="B3294" s="13">
        <v>39</v>
      </c>
      <c r="C3294" t="s">
        <v>3</v>
      </c>
      <c r="D3294" t="s">
        <v>4</v>
      </c>
      <c r="E3294" t="s">
        <v>5</v>
      </c>
      <c r="F3294">
        <v>112981061</v>
      </c>
      <c r="G3294" t="s">
        <v>264</v>
      </c>
      <c r="H3294" t="s">
        <v>44</v>
      </c>
      <c r="I3294">
        <v>0</v>
      </c>
      <c r="J3294">
        <v>0</v>
      </c>
      <c r="K3294">
        <v>0</v>
      </c>
      <c r="L3294">
        <v>0</v>
      </c>
      <c r="M3294">
        <v>0.3</v>
      </c>
      <c r="N3294" s="7" t="str">
        <f>VLOOKUP(F3294,HC!A$6:D$100,3,FALSE)</f>
        <v>DA-X0700</v>
      </c>
      <c r="O3294" s="7" t="str">
        <f>VLOOKUP(F3294,HC!A$6:D$1000,2,FALSE)</f>
        <v>mclaudol</v>
      </c>
      <c r="U3294">
        <f t="shared" si="53"/>
        <v>44</v>
      </c>
    </row>
    <row r="3295" spans="1:21" ht="37.5" customHeight="1" x14ac:dyDescent="0.25">
      <c r="A3295" s="39">
        <v>45196</v>
      </c>
      <c r="B3295" s="13">
        <v>39</v>
      </c>
      <c r="C3295" t="s">
        <v>3</v>
      </c>
      <c r="D3295" t="s">
        <v>4</v>
      </c>
      <c r="E3295" t="s">
        <v>21</v>
      </c>
      <c r="F3295">
        <v>113003619</v>
      </c>
      <c r="G3295" t="s">
        <v>1237</v>
      </c>
      <c r="H3295" t="s">
        <v>7</v>
      </c>
      <c r="I3295">
        <v>0</v>
      </c>
      <c r="J3295">
        <v>0</v>
      </c>
      <c r="K3295">
        <v>0</v>
      </c>
      <c r="L3295">
        <v>0</v>
      </c>
      <c r="M3295">
        <v>0.19</v>
      </c>
      <c r="N3295" s="7" t="e">
        <f>VLOOKUP(F3295,HC!A$6:D$100,3,FALSE)</f>
        <v>#N/A</v>
      </c>
      <c r="O3295" s="7" t="e">
        <f>VLOOKUP(F3295,HC!A$6:D$1000,2,FALSE)</f>
        <v>#N/A</v>
      </c>
      <c r="U3295">
        <f t="shared" si="53"/>
        <v>1395</v>
      </c>
    </row>
    <row r="3296" spans="1:21" ht="37.5" customHeight="1" x14ac:dyDescent="0.25">
      <c r="A3296" s="39">
        <v>45196</v>
      </c>
      <c r="B3296" s="13">
        <v>39</v>
      </c>
      <c r="C3296" t="s">
        <v>3</v>
      </c>
      <c r="D3296" t="s">
        <v>4</v>
      </c>
      <c r="E3296" t="s">
        <v>5</v>
      </c>
      <c r="F3296">
        <v>113014592</v>
      </c>
      <c r="G3296" t="s">
        <v>967</v>
      </c>
      <c r="H3296" t="s">
        <v>298</v>
      </c>
      <c r="I3296">
        <v>0</v>
      </c>
      <c r="J3296">
        <v>0</v>
      </c>
      <c r="K3296">
        <v>0</v>
      </c>
      <c r="L3296">
        <v>0</v>
      </c>
      <c r="M3296">
        <v>0.09</v>
      </c>
      <c r="N3296" s="7" t="e">
        <f>VLOOKUP(F3296,HC!A$6:D$100,3,FALSE)</f>
        <v>#N/A</v>
      </c>
      <c r="O3296" s="7" t="str">
        <f>VLOOKUP(F3296,HC!A$6:D$1000,2,FALSE)</f>
        <v>brepicaz</v>
      </c>
      <c r="U3296">
        <f t="shared" si="53"/>
        <v>6</v>
      </c>
    </row>
    <row r="3297" spans="1:21" ht="37.5" customHeight="1" x14ac:dyDescent="0.25">
      <c r="A3297" s="39">
        <v>45196</v>
      </c>
      <c r="B3297" s="13">
        <v>39</v>
      </c>
      <c r="C3297" t="s">
        <v>3</v>
      </c>
      <c r="D3297" t="s">
        <v>4</v>
      </c>
      <c r="E3297" t="s">
        <v>5</v>
      </c>
      <c r="F3297">
        <v>113101453</v>
      </c>
      <c r="G3297" t="s">
        <v>50</v>
      </c>
      <c r="H3297" t="s">
        <v>44</v>
      </c>
      <c r="I3297">
        <v>0</v>
      </c>
      <c r="J3297">
        <v>0</v>
      </c>
      <c r="K3297">
        <v>0</v>
      </c>
      <c r="L3297">
        <v>0</v>
      </c>
      <c r="M3297">
        <v>0.52</v>
      </c>
      <c r="N3297" s="7" t="e">
        <f>VLOOKUP(F3297,HC!A$6:D$100,3,FALSE)</f>
        <v>#N/A</v>
      </c>
      <c r="O3297" s="7" t="str">
        <f>VLOOKUP(F3297,HC!A$6:D$1000,2,FALSE)</f>
        <v>qisgeova</v>
      </c>
      <c r="U3297">
        <f t="shared" si="53"/>
        <v>57</v>
      </c>
    </row>
    <row r="3298" spans="1:21" ht="37.5" customHeight="1" x14ac:dyDescent="0.25">
      <c r="A3298" s="39">
        <v>45196</v>
      </c>
      <c r="B3298" s="13">
        <v>39</v>
      </c>
      <c r="C3298" t="s">
        <v>3</v>
      </c>
      <c r="D3298" t="s">
        <v>4</v>
      </c>
      <c r="E3298" t="s">
        <v>5</v>
      </c>
      <c r="F3298">
        <v>200508315</v>
      </c>
      <c r="G3298" t="s">
        <v>428</v>
      </c>
      <c r="H3298" t="s">
        <v>7</v>
      </c>
      <c r="I3298">
        <v>0</v>
      </c>
      <c r="J3298">
        <v>0</v>
      </c>
      <c r="K3298">
        <v>0</v>
      </c>
      <c r="L3298">
        <v>0</v>
      </c>
      <c r="M3298">
        <v>0.2</v>
      </c>
      <c r="N3298" s="7" t="e">
        <f>VLOOKUP(F3298,HC!A$6:D$100,3,FALSE)</f>
        <v>#N/A</v>
      </c>
      <c r="O3298" s="7" t="str">
        <f>VLOOKUP(F3298,HC!A$6:D$1000,2,FALSE)</f>
        <v>taldaher</v>
      </c>
      <c r="U3298">
        <f t="shared" si="53"/>
        <v>18</v>
      </c>
    </row>
    <row r="3299" spans="1:21" ht="37.5" customHeight="1" x14ac:dyDescent="0.25">
      <c r="A3299" s="39">
        <v>45196</v>
      </c>
      <c r="B3299" s="13">
        <v>39</v>
      </c>
      <c r="C3299" t="s">
        <v>3</v>
      </c>
      <c r="D3299" t="s">
        <v>4</v>
      </c>
      <c r="E3299" t="s">
        <v>5</v>
      </c>
      <c r="F3299">
        <v>200614224</v>
      </c>
      <c r="G3299" t="s">
        <v>322</v>
      </c>
      <c r="H3299" t="s">
        <v>263</v>
      </c>
      <c r="I3299">
        <v>0</v>
      </c>
      <c r="J3299">
        <v>0</v>
      </c>
      <c r="K3299">
        <v>0</v>
      </c>
      <c r="L3299">
        <v>0</v>
      </c>
      <c r="M3299">
        <v>0.11</v>
      </c>
      <c r="N3299" s="7" t="e">
        <f>VLOOKUP(F3299,HC!A$6:D$100,3,FALSE)</f>
        <v>#N/A</v>
      </c>
      <c r="O3299" s="7" t="e">
        <f>VLOOKUP(F3299,HC!A$6:D$1000,2,FALSE)</f>
        <v>#N/A</v>
      </c>
      <c r="U3299">
        <f t="shared" si="53"/>
        <v>1395</v>
      </c>
    </row>
    <row r="3300" spans="1:21" ht="37.5" customHeight="1" x14ac:dyDescent="0.25">
      <c r="A3300" s="39">
        <v>45196</v>
      </c>
      <c r="B3300" s="13">
        <v>39</v>
      </c>
      <c r="C3300" t="s">
        <v>3</v>
      </c>
      <c r="D3300" t="s">
        <v>4</v>
      </c>
      <c r="E3300" t="s">
        <v>5</v>
      </c>
      <c r="F3300">
        <v>201166890</v>
      </c>
      <c r="G3300" t="s">
        <v>998</v>
      </c>
      <c r="H3300" t="s">
        <v>298</v>
      </c>
      <c r="I3300">
        <v>0</v>
      </c>
      <c r="J3300">
        <v>0</v>
      </c>
      <c r="K3300">
        <v>0</v>
      </c>
      <c r="L3300">
        <v>0</v>
      </c>
      <c r="M3300">
        <v>1.1100000000000001</v>
      </c>
      <c r="N3300" s="7" t="e">
        <f>VLOOKUP(F3300,HC!A$6:D$100,3,FALSE)</f>
        <v>#N/A</v>
      </c>
      <c r="O3300" s="7" t="str">
        <f>VLOOKUP(F3300,HC!A$6:D$1000,2,FALSE)</f>
        <v>lcabadan</v>
      </c>
      <c r="U3300">
        <f t="shared" si="53"/>
        <v>24</v>
      </c>
    </row>
    <row r="3301" spans="1:21" ht="37.5" customHeight="1" x14ac:dyDescent="0.25">
      <c r="A3301" s="39">
        <v>45196</v>
      </c>
      <c r="B3301" s="13">
        <v>39</v>
      </c>
      <c r="C3301" t="s">
        <v>3</v>
      </c>
      <c r="D3301" t="s">
        <v>4</v>
      </c>
      <c r="E3301" t="s">
        <v>5</v>
      </c>
      <c r="F3301">
        <v>201167501</v>
      </c>
      <c r="G3301" t="s">
        <v>863</v>
      </c>
      <c r="H3301" t="s">
        <v>44</v>
      </c>
      <c r="I3301">
        <v>0</v>
      </c>
      <c r="J3301">
        <v>0</v>
      </c>
      <c r="K3301">
        <v>0</v>
      </c>
      <c r="L3301">
        <v>0</v>
      </c>
      <c r="M3301">
        <v>0.38</v>
      </c>
      <c r="N3301" s="7" t="e">
        <f>VLOOKUP(F3301,HC!A$6:D$100,3,FALSE)</f>
        <v>#N/A</v>
      </c>
      <c r="O3301" s="7" t="str">
        <f>VLOOKUP(F3301,HC!A$6:D$1000,2,FALSE)</f>
        <v>wguanajr</v>
      </c>
      <c r="U3301">
        <f t="shared" si="53"/>
        <v>36</v>
      </c>
    </row>
    <row r="3302" spans="1:21" ht="37.5" customHeight="1" x14ac:dyDescent="0.25">
      <c r="A3302" s="39">
        <v>45196</v>
      </c>
      <c r="B3302" s="13">
        <v>39</v>
      </c>
      <c r="C3302" t="s">
        <v>3</v>
      </c>
      <c r="D3302" t="s">
        <v>4</v>
      </c>
      <c r="E3302" t="s">
        <v>5</v>
      </c>
      <c r="F3302">
        <v>201172412</v>
      </c>
      <c r="G3302" t="s">
        <v>986</v>
      </c>
      <c r="H3302" t="s">
        <v>44</v>
      </c>
      <c r="I3302">
        <v>0</v>
      </c>
      <c r="J3302">
        <v>0</v>
      </c>
      <c r="K3302">
        <v>0</v>
      </c>
      <c r="L3302">
        <v>0</v>
      </c>
      <c r="M3302">
        <v>0.12</v>
      </c>
      <c r="N3302" s="7" t="e">
        <f>VLOOKUP(F3302,HC!A$6:D$100,3,FALSE)</f>
        <v>#N/A</v>
      </c>
      <c r="O3302" s="7" t="str">
        <f>VLOOKUP(F3302,HC!A$6:D$1000,2,FALSE)</f>
        <v>adrpcast</v>
      </c>
      <c r="U3302">
        <f t="shared" si="53"/>
        <v>6</v>
      </c>
    </row>
    <row r="3303" spans="1:21" ht="37.5" customHeight="1" x14ac:dyDescent="0.25">
      <c r="A3303" s="39">
        <v>45196</v>
      </c>
      <c r="B3303" s="13">
        <v>39</v>
      </c>
      <c r="C3303" t="s">
        <v>3</v>
      </c>
      <c r="D3303" t="s">
        <v>4</v>
      </c>
      <c r="E3303" t="s">
        <v>5</v>
      </c>
      <c r="F3303">
        <v>201198922</v>
      </c>
      <c r="G3303" t="s">
        <v>1141</v>
      </c>
      <c r="H3303" t="s">
        <v>403</v>
      </c>
      <c r="I3303">
        <v>0</v>
      </c>
      <c r="J3303">
        <v>0</v>
      </c>
      <c r="K3303">
        <v>0</v>
      </c>
      <c r="L3303">
        <v>0</v>
      </c>
      <c r="M3303">
        <v>0.17</v>
      </c>
      <c r="N3303" s="7" t="e">
        <f>VLOOKUP(F3303,HC!A$6:D$100,3,FALSE)</f>
        <v>#N/A</v>
      </c>
      <c r="O3303" s="7" t="str">
        <f>VLOOKUP(F3303,HC!A$6:D$1000,2,FALSE)</f>
        <v>mendejoy</v>
      </c>
      <c r="U3303">
        <f t="shared" si="53"/>
        <v>14</v>
      </c>
    </row>
    <row r="3304" spans="1:21" ht="37.5" customHeight="1" x14ac:dyDescent="0.25">
      <c r="A3304" s="39">
        <v>45196</v>
      </c>
      <c r="B3304" s="13">
        <v>39</v>
      </c>
      <c r="C3304" t="s">
        <v>3</v>
      </c>
      <c r="D3304" t="s">
        <v>4</v>
      </c>
      <c r="E3304" t="s">
        <v>5</v>
      </c>
      <c r="F3304">
        <v>201223730</v>
      </c>
      <c r="G3304" t="s">
        <v>933</v>
      </c>
      <c r="H3304" t="s">
        <v>49</v>
      </c>
      <c r="I3304">
        <v>0</v>
      </c>
      <c r="J3304">
        <v>0</v>
      </c>
      <c r="K3304">
        <v>0</v>
      </c>
      <c r="L3304">
        <v>0</v>
      </c>
      <c r="M3304">
        <v>0.27</v>
      </c>
      <c r="N3304" s="7" t="e">
        <f>VLOOKUP(F3304,HC!A$6:D$100,3,FALSE)</f>
        <v>#N/A</v>
      </c>
      <c r="O3304" s="7" t="str">
        <f>VLOOKUP(F3304,HC!A$6:D$1000,2,FALSE)</f>
        <v>cesarito</v>
      </c>
      <c r="U3304">
        <f t="shared" si="53"/>
        <v>39</v>
      </c>
    </row>
    <row r="3305" spans="1:21" ht="37.5" customHeight="1" x14ac:dyDescent="0.25">
      <c r="A3305" s="39">
        <v>45196</v>
      </c>
      <c r="B3305" s="13">
        <v>39</v>
      </c>
      <c r="C3305" t="s">
        <v>3</v>
      </c>
      <c r="D3305" t="s">
        <v>4</v>
      </c>
      <c r="E3305" t="s">
        <v>5</v>
      </c>
      <c r="F3305">
        <v>201300426</v>
      </c>
      <c r="G3305" t="s">
        <v>1124</v>
      </c>
      <c r="H3305" t="s">
        <v>14</v>
      </c>
      <c r="I3305">
        <v>0</v>
      </c>
      <c r="J3305">
        <v>0</v>
      </c>
      <c r="K3305">
        <v>0</v>
      </c>
      <c r="L3305">
        <v>0</v>
      </c>
      <c r="M3305">
        <v>1.68</v>
      </c>
      <c r="N3305" s="7" t="e">
        <f>VLOOKUP(F3305,HC!A$6:D$100,3,FALSE)</f>
        <v>#N/A</v>
      </c>
      <c r="O3305" s="7" t="str">
        <f>VLOOKUP(F3305,HC!A$6:D$1000,2,FALSE)</f>
        <v>adriauli</v>
      </c>
      <c r="U3305">
        <f t="shared" si="53"/>
        <v>5</v>
      </c>
    </row>
    <row r="3306" spans="1:21" ht="37.5" customHeight="1" x14ac:dyDescent="0.25">
      <c r="A3306" s="39">
        <v>45196</v>
      </c>
      <c r="B3306" s="13">
        <v>39</v>
      </c>
      <c r="C3306" t="s">
        <v>3</v>
      </c>
      <c r="D3306" t="s">
        <v>4</v>
      </c>
      <c r="E3306" t="s">
        <v>5</v>
      </c>
      <c r="F3306">
        <v>201318220</v>
      </c>
      <c r="G3306" t="s">
        <v>1183</v>
      </c>
      <c r="H3306" t="s">
        <v>1040</v>
      </c>
      <c r="I3306">
        <v>0</v>
      </c>
      <c r="J3306">
        <v>0</v>
      </c>
      <c r="K3306">
        <v>0</v>
      </c>
      <c r="L3306">
        <v>0</v>
      </c>
      <c r="M3306">
        <v>0.5</v>
      </c>
      <c r="N3306" s="7" t="e">
        <f>VLOOKUP(F3306,HC!A$6:D$100,3,FALSE)</f>
        <v>#N/A</v>
      </c>
      <c r="O3306" s="7" t="str">
        <f>VLOOKUP(F3306,HC!A$6:D$1000,2,FALSE)</f>
        <v>raufjas</v>
      </c>
      <c r="U3306">
        <f t="shared" si="53"/>
        <v>11</v>
      </c>
    </row>
    <row r="3307" spans="1:21" ht="37.5" customHeight="1" x14ac:dyDescent="0.25">
      <c r="A3307" s="39">
        <v>45196</v>
      </c>
      <c r="B3307" s="13">
        <v>39</v>
      </c>
      <c r="C3307" t="s">
        <v>3</v>
      </c>
      <c r="D3307" t="s">
        <v>4</v>
      </c>
      <c r="E3307" t="s">
        <v>21</v>
      </c>
      <c r="F3307">
        <v>201891076</v>
      </c>
      <c r="G3307" t="s">
        <v>1226</v>
      </c>
      <c r="H3307" t="s">
        <v>298</v>
      </c>
      <c r="I3307">
        <v>0</v>
      </c>
      <c r="J3307">
        <v>0</v>
      </c>
      <c r="K3307">
        <v>0</v>
      </c>
      <c r="L3307">
        <v>0</v>
      </c>
      <c r="M3307">
        <v>0.2</v>
      </c>
      <c r="N3307" s="7" t="e">
        <f>VLOOKUP(F3307,HC!A$6:D$100,3,FALSE)</f>
        <v>#N/A</v>
      </c>
      <c r="O3307" s="7" t="str">
        <f>VLOOKUP(F3307,HC!A$6:D$1000,2,FALSE)</f>
        <v>marmolve</v>
      </c>
      <c r="U3307">
        <f t="shared" si="53"/>
        <v>9</v>
      </c>
    </row>
    <row r="3308" spans="1:21" ht="37.5" customHeight="1" x14ac:dyDescent="0.25">
      <c r="A3308" s="39">
        <v>45196</v>
      </c>
      <c r="B3308" s="13">
        <v>39</v>
      </c>
      <c r="C3308" t="s">
        <v>3</v>
      </c>
      <c r="D3308" t="s">
        <v>4</v>
      </c>
      <c r="E3308" t="s">
        <v>21</v>
      </c>
      <c r="F3308">
        <v>201901982</v>
      </c>
      <c r="G3308" t="s">
        <v>1272</v>
      </c>
      <c r="H3308" t="s">
        <v>47</v>
      </c>
      <c r="I3308">
        <v>0</v>
      </c>
      <c r="J3308">
        <v>0</v>
      </c>
      <c r="K3308">
        <v>0</v>
      </c>
      <c r="L3308">
        <v>0</v>
      </c>
      <c r="M3308">
        <v>0.33</v>
      </c>
      <c r="N3308" s="7" t="e">
        <f>VLOOKUP(F3308,HC!A$6:D$100,3,FALSE)</f>
        <v>#N/A</v>
      </c>
      <c r="O3308" s="7" t="e">
        <f>VLOOKUP(F3308,HC!A$6:D$1000,2,FALSE)</f>
        <v>#N/A</v>
      </c>
      <c r="U3308">
        <f t="shared" si="53"/>
        <v>1395</v>
      </c>
    </row>
    <row r="3309" spans="1:21" ht="37.5" customHeight="1" x14ac:dyDescent="0.25">
      <c r="A3309" s="39">
        <v>45196</v>
      </c>
      <c r="B3309" s="13">
        <v>39</v>
      </c>
      <c r="C3309" t="s">
        <v>3</v>
      </c>
      <c r="D3309" t="s">
        <v>4</v>
      </c>
      <c r="E3309" t="s">
        <v>21</v>
      </c>
      <c r="F3309">
        <v>202081527</v>
      </c>
      <c r="G3309" t="s">
        <v>1273</v>
      </c>
      <c r="H3309" t="s">
        <v>14</v>
      </c>
      <c r="I3309">
        <v>0</v>
      </c>
      <c r="J3309">
        <v>0</v>
      </c>
      <c r="K3309">
        <v>0</v>
      </c>
      <c r="L3309">
        <v>0</v>
      </c>
      <c r="M3309">
        <v>2.25</v>
      </c>
      <c r="N3309" s="7" t="e">
        <f>VLOOKUP(F3309,HC!A$6:D$100,3,FALSE)</f>
        <v>#N/A</v>
      </c>
      <c r="O3309" s="7" t="str">
        <f>VLOOKUP(F3309,HC!A$6:D$1000,2,FALSE)</f>
        <v>efrmartw</v>
      </c>
      <c r="U3309">
        <f t="shared" si="53"/>
        <v>12</v>
      </c>
    </row>
    <row r="3310" spans="1:21" ht="37.5" customHeight="1" x14ac:dyDescent="0.25">
      <c r="A3310" s="39">
        <v>45197</v>
      </c>
      <c r="B3310" s="13">
        <v>39</v>
      </c>
      <c r="C3310" t="s">
        <v>3</v>
      </c>
      <c r="D3310" t="s">
        <v>4</v>
      </c>
      <c r="E3310" t="s">
        <v>5</v>
      </c>
      <c r="F3310">
        <v>111280597</v>
      </c>
      <c r="G3310" t="s">
        <v>1274</v>
      </c>
      <c r="H3310" t="s">
        <v>14</v>
      </c>
      <c r="I3310">
        <v>0</v>
      </c>
      <c r="J3310">
        <v>0</v>
      </c>
      <c r="K3310">
        <v>0</v>
      </c>
      <c r="L3310">
        <v>0</v>
      </c>
      <c r="M3310">
        <v>1.94</v>
      </c>
      <c r="N3310" s="7" t="str">
        <f>VLOOKUP(F3310,HC!A$6:D$100,3,FALSE)</f>
        <v>DB-X0700</v>
      </c>
      <c r="O3310" s="7" t="str">
        <f>VLOOKUP(F3310,HC!A$6:D$1000,2,FALSE)</f>
        <v>ramonlco</v>
      </c>
      <c r="U3310">
        <f t="shared" si="53"/>
        <v>1</v>
      </c>
    </row>
    <row r="3311" spans="1:21" ht="37.5" customHeight="1" x14ac:dyDescent="0.25">
      <c r="A3311" s="39">
        <v>45197</v>
      </c>
      <c r="B3311" s="13">
        <v>39</v>
      </c>
      <c r="C3311" t="s">
        <v>3</v>
      </c>
      <c r="D3311" t="s">
        <v>4</v>
      </c>
      <c r="E3311" t="s">
        <v>5</v>
      </c>
      <c r="F3311">
        <v>112920654</v>
      </c>
      <c r="G3311" t="s">
        <v>500</v>
      </c>
      <c r="H3311" t="s">
        <v>14</v>
      </c>
      <c r="I3311">
        <v>0</v>
      </c>
      <c r="J3311">
        <v>0</v>
      </c>
      <c r="K3311">
        <v>0</v>
      </c>
      <c r="L3311">
        <v>0</v>
      </c>
      <c r="M3311">
        <v>0.04</v>
      </c>
      <c r="N3311" s="7" t="str">
        <f>VLOOKUP(F3311,HC!A$6:D$100,3,FALSE)</f>
        <v>DB-X0700</v>
      </c>
      <c r="O3311" s="7" t="str">
        <f>VLOOKUP(F3311,HC!A$6:D$1000,2,FALSE)</f>
        <v>qhojulie</v>
      </c>
      <c r="U3311">
        <f t="shared" si="53"/>
        <v>16</v>
      </c>
    </row>
    <row r="3312" spans="1:21" ht="37.5" customHeight="1" x14ac:dyDescent="0.25">
      <c r="A3312" s="39">
        <v>45197</v>
      </c>
      <c r="B3312" s="13">
        <v>39</v>
      </c>
      <c r="C3312" t="s">
        <v>3</v>
      </c>
      <c r="D3312" t="s">
        <v>4</v>
      </c>
      <c r="E3312" t="s">
        <v>5</v>
      </c>
      <c r="F3312">
        <v>112972201</v>
      </c>
      <c r="G3312" t="s">
        <v>1002</v>
      </c>
      <c r="H3312" t="s">
        <v>47</v>
      </c>
      <c r="I3312">
        <v>0</v>
      </c>
      <c r="J3312">
        <v>0</v>
      </c>
      <c r="K3312">
        <v>0</v>
      </c>
      <c r="L3312">
        <v>0</v>
      </c>
      <c r="M3312">
        <v>1.85</v>
      </c>
      <c r="N3312" s="7" t="str">
        <f>VLOOKUP(F3312,HC!A$6:D$100,3,FALSE)</f>
        <v>DC-X0700</v>
      </c>
      <c r="O3312" s="7" t="str">
        <f>VLOOKUP(F3312,HC!A$6:D$1000,2,FALSE)</f>
        <v>garcyand</v>
      </c>
      <c r="U3312">
        <f t="shared" si="53"/>
        <v>2</v>
      </c>
    </row>
    <row r="3313" spans="1:21" ht="37.5" customHeight="1" x14ac:dyDescent="0.25">
      <c r="A3313" s="39">
        <v>45197</v>
      </c>
      <c r="B3313" s="13">
        <v>39</v>
      </c>
      <c r="C3313" t="s">
        <v>3</v>
      </c>
      <c r="D3313" t="s">
        <v>4</v>
      </c>
      <c r="E3313" t="s">
        <v>5</v>
      </c>
      <c r="F3313">
        <v>112981212</v>
      </c>
      <c r="G3313" t="s">
        <v>573</v>
      </c>
      <c r="H3313" t="s">
        <v>44</v>
      </c>
      <c r="I3313">
        <v>0</v>
      </c>
      <c r="J3313">
        <v>0</v>
      </c>
      <c r="K3313">
        <v>0</v>
      </c>
      <c r="L3313">
        <v>0</v>
      </c>
      <c r="M3313">
        <v>1.22</v>
      </c>
      <c r="N3313" s="7" t="e">
        <f>VLOOKUP(F3313,HC!A$6:D$100,3,FALSE)</f>
        <v>#N/A</v>
      </c>
      <c r="O3313" s="7" t="str">
        <f>VLOOKUP(F3313,HC!A$6:D$1000,2,FALSE)</f>
        <v>alysonza</v>
      </c>
      <c r="U3313">
        <f t="shared" si="53"/>
        <v>23</v>
      </c>
    </row>
    <row r="3314" spans="1:21" ht="37.5" customHeight="1" x14ac:dyDescent="0.25">
      <c r="A3314" s="39">
        <v>45197</v>
      </c>
      <c r="B3314" s="13">
        <v>39</v>
      </c>
      <c r="C3314" t="s">
        <v>3</v>
      </c>
      <c r="D3314" t="s">
        <v>4</v>
      </c>
      <c r="E3314" t="s">
        <v>5</v>
      </c>
      <c r="F3314">
        <v>113003971</v>
      </c>
      <c r="G3314" t="s">
        <v>284</v>
      </c>
      <c r="H3314" t="s">
        <v>49</v>
      </c>
      <c r="I3314">
        <v>0</v>
      </c>
      <c r="J3314">
        <v>0</v>
      </c>
      <c r="K3314">
        <v>0</v>
      </c>
      <c r="L3314">
        <v>0</v>
      </c>
      <c r="M3314">
        <v>0.28000000000000003</v>
      </c>
      <c r="N3314" s="7" t="e">
        <f>VLOOKUP(F3314,HC!A$6:D$100,3,FALSE)</f>
        <v>#N/A</v>
      </c>
      <c r="O3314" s="7" t="str">
        <f>VLOOKUP(F3314,HC!A$6:D$1000,2,FALSE)</f>
        <v>garamird</v>
      </c>
      <c r="U3314">
        <f t="shared" si="53"/>
        <v>14</v>
      </c>
    </row>
    <row r="3315" spans="1:21" ht="37.5" customHeight="1" x14ac:dyDescent="0.25">
      <c r="A3315" s="39">
        <v>45197</v>
      </c>
      <c r="B3315" s="13">
        <v>39</v>
      </c>
      <c r="C3315" t="s">
        <v>3</v>
      </c>
      <c r="D3315" t="s">
        <v>4</v>
      </c>
      <c r="E3315" t="s">
        <v>5</v>
      </c>
      <c r="F3315">
        <v>113020476</v>
      </c>
      <c r="G3315" t="s">
        <v>330</v>
      </c>
      <c r="H3315" t="s">
        <v>7</v>
      </c>
      <c r="I3315">
        <v>0</v>
      </c>
      <c r="J3315">
        <v>0</v>
      </c>
      <c r="K3315">
        <v>0</v>
      </c>
      <c r="L3315">
        <v>0</v>
      </c>
      <c r="M3315">
        <v>0.15</v>
      </c>
      <c r="N3315" s="7" t="e">
        <f>VLOOKUP(F3315,HC!A$6:D$100,3,FALSE)</f>
        <v>#N/A</v>
      </c>
      <c r="O3315" s="7" t="str">
        <f>VLOOKUP(F3315,HC!A$6:D$1000,2,FALSE)</f>
        <v>polettpu</v>
      </c>
      <c r="U3315">
        <f t="shared" si="53"/>
        <v>55</v>
      </c>
    </row>
    <row r="3316" spans="1:21" ht="37.5" customHeight="1" x14ac:dyDescent="0.25">
      <c r="A3316" s="39">
        <v>45197</v>
      </c>
      <c r="B3316" s="13">
        <v>39</v>
      </c>
      <c r="C3316" t="s">
        <v>3</v>
      </c>
      <c r="D3316" t="s">
        <v>4</v>
      </c>
      <c r="E3316" t="s">
        <v>5</v>
      </c>
      <c r="F3316">
        <v>201159033</v>
      </c>
      <c r="G3316" t="s">
        <v>1154</v>
      </c>
      <c r="H3316" t="s">
        <v>49</v>
      </c>
      <c r="I3316">
        <v>0</v>
      </c>
      <c r="J3316">
        <v>0</v>
      </c>
      <c r="K3316">
        <v>0</v>
      </c>
      <c r="L3316">
        <v>0</v>
      </c>
      <c r="M3316">
        <v>0.04</v>
      </c>
      <c r="N3316" s="7" t="e">
        <f>VLOOKUP(F3316,HC!A$6:D$100,3,FALSE)</f>
        <v>#N/A</v>
      </c>
      <c r="O3316" s="7" t="str">
        <f>VLOOKUP(F3316,HC!A$6:D$1000,2,FALSE)</f>
        <v>monsarru</v>
      </c>
      <c r="U3316">
        <f t="shared" si="53"/>
        <v>7</v>
      </c>
    </row>
    <row r="3317" spans="1:21" ht="37.5" customHeight="1" x14ac:dyDescent="0.25">
      <c r="A3317" s="39">
        <v>45197</v>
      </c>
      <c r="B3317" s="13">
        <v>39</v>
      </c>
      <c r="C3317" t="s">
        <v>3</v>
      </c>
      <c r="D3317" t="s">
        <v>4</v>
      </c>
      <c r="E3317" t="s">
        <v>5</v>
      </c>
      <c r="F3317">
        <v>201167388</v>
      </c>
      <c r="G3317" t="s">
        <v>1096</v>
      </c>
      <c r="H3317" t="s">
        <v>7</v>
      </c>
      <c r="I3317">
        <v>0</v>
      </c>
      <c r="J3317">
        <v>0</v>
      </c>
      <c r="K3317">
        <v>0</v>
      </c>
      <c r="L3317">
        <v>0</v>
      </c>
      <c r="M3317">
        <v>0.09</v>
      </c>
      <c r="N3317" s="7" t="e">
        <f>VLOOKUP(F3317,HC!A$6:D$100,3,FALSE)</f>
        <v>#N/A</v>
      </c>
      <c r="O3317" s="7" t="str">
        <f>VLOOKUP(F3317,HC!A$6:D$1000,2,FALSE)</f>
        <v>naguirro</v>
      </c>
      <c r="U3317">
        <f t="shared" si="53"/>
        <v>7</v>
      </c>
    </row>
    <row r="3318" spans="1:21" ht="37.5" customHeight="1" x14ac:dyDescent="0.25">
      <c r="A3318" s="39">
        <v>45197</v>
      </c>
      <c r="B3318" s="13">
        <v>39</v>
      </c>
      <c r="C3318" t="s">
        <v>3</v>
      </c>
      <c r="D3318" t="s">
        <v>4</v>
      </c>
      <c r="E3318" t="s">
        <v>5</v>
      </c>
      <c r="F3318">
        <v>201223730</v>
      </c>
      <c r="G3318" t="s">
        <v>933</v>
      </c>
      <c r="H3318" t="s">
        <v>49</v>
      </c>
      <c r="I3318">
        <v>0</v>
      </c>
      <c r="J3318">
        <v>0</v>
      </c>
      <c r="K3318">
        <v>0</v>
      </c>
      <c r="L3318">
        <v>0</v>
      </c>
      <c r="M3318">
        <v>0.68</v>
      </c>
      <c r="N3318" s="7" t="e">
        <f>VLOOKUP(F3318,HC!A$6:D$100,3,FALSE)</f>
        <v>#N/A</v>
      </c>
      <c r="O3318" s="7" t="str">
        <f>VLOOKUP(F3318,HC!A$6:D$1000,2,FALSE)</f>
        <v>cesarito</v>
      </c>
      <c r="U3318">
        <f t="shared" si="53"/>
        <v>39</v>
      </c>
    </row>
    <row r="3319" spans="1:21" ht="37.5" customHeight="1" x14ac:dyDescent="0.25">
      <c r="A3319" s="39">
        <v>45197</v>
      </c>
      <c r="B3319" s="13">
        <v>39</v>
      </c>
      <c r="C3319" t="s">
        <v>3</v>
      </c>
      <c r="D3319" t="s">
        <v>4</v>
      </c>
      <c r="E3319" t="s">
        <v>5</v>
      </c>
      <c r="F3319">
        <v>201228411</v>
      </c>
      <c r="G3319" t="s">
        <v>938</v>
      </c>
      <c r="H3319" t="s">
        <v>49</v>
      </c>
      <c r="I3319">
        <v>0</v>
      </c>
      <c r="J3319">
        <v>0</v>
      </c>
      <c r="K3319">
        <v>0</v>
      </c>
      <c r="L3319">
        <v>0</v>
      </c>
      <c r="M3319">
        <v>0.66</v>
      </c>
      <c r="N3319" s="7" t="e">
        <f>VLOOKUP(F3319,HC!A$6:D$100,3,FALSE)</f>
        <v>#N/A</v>
      </c>
      <c r="O3319" s="7" t="str">
        <f>VLOOKUP(F3319,HC!A$6:D$1000,2,FALSE)</f>
        <v>jazmiwhe</v>
      </c>
      <c r="U3319">
        <f t="shared" si="53"/>
        <v>36</v>
      </c>
    </row>
    <row r="3320" spans="1:21" ht="37.5" customHeight="1" x14ac:dyDescent="0.25">
      <c r="A3320" s="39">
        <v>45197</v>
      </c>
      <c r="B3320" s="13">
        <v>39</v>
      </c>
      <c r="C3320" t="s">
        <v>3</v>
      </c>
      <c r="D3320" t="s">
        <v>4</v>
      </c>
      <c r="E3320" t="s">
        <v>21</v>
      </c>
      <c r="F3320">
        <v>201320536</v>
      </c>
      <c r="G3320" t="s">
        <v>992</v>
      </c>
      <c r="H3320" t="s">
        <v>17</v>
      </c>
      <c r="I3320">
        <v>0</v>
      </c>
      <c r="J3320">
        <v>0</v>
      </c>
      <c r="K3320">
        <v>0</v>
      </c>
      <c r="L3320">
        <v>0</v>
      </c>
      <c r="M3320">
        <v>0.39</v>
      </c>
      <c r="N3320" s="7" t="e">
        <f>VLOOKUP(F3320,HC!A$6:D$100,3,FALSE)</f>
        <v>#N/A</v>
      </c>
      <c r="O3320" s="7" t="str">
        <f>VLOOKUP(F3320,HC!A$6:D$1000,2,FALSE)</f>
        <v>ibalmigu</v>
      </c>
      <c r="U3320">
        <f t="shared" si="53"/>
        <v>11</v>
      </c>
    </row>
    <row r="3321" spans="1:21" ht="37.5" customHeight="1" x14ac:dyDescent="0.25">
      <c r="A3321" s="39">
        <v>45197</v>
      </c>
      <c r="B3321" s="13">
        <v>39</v>
      </c>
      <c r="C3321" t="s">
        <v>3</v>
      </c>
      <c r="D3321" t="s">
        <v>4</v>
      </c>
      <c r="E3321" t="s">
        <v>5</v>
      </c>
      <c r="F3321">
        <v>201354965</v>
      </c>
      <c r="G3321" t="s">
        <v>1063</v>
      </c>
      <c r="H3321" t="s">
        <v>263</v>
      </c>
      <c r="I3321">
        <v>0</v>
      </c>
      <c r="J3321">
        <v>0</v>
      </c>
      <c r="K3321">
        <v>0</v>
      </c>
      <c r="L3321">
        <v>0</v>
      </c>
      <c r="M3321">
        <v>2.64</v>
      </c>
      <c r="N3321" s="7" t="e">
        <f>VLOOKUP(F3321,HC!A$6:D$100,3,FALSE)</f>
        <v>#N/A</v>
      </c>
      <c r="O3321" s="7" t="str">
        <f>VLOOKUP(F3321,HC!A$6:D$1000,2,FALSE)</f>
        <v>alinejim</v>
      </c>
      <c r="U3321">
        <f t="shared" si="53"/>
        <v>33</v>
      </c>
    </row>
    <row r="3322" spans="1:21" ht="37.5" customHeight="1" x14ac:dyDescent="0.25">
      <c r="A3322" s="39">
        <v>45197</v>
      </c>
      <c r="B3322" s="13">
        <v>39</v>
      </c>
      <c r="C3322" t="s">
        <v>3</v>
      </c>
      <c r="D3322" t="s">
        <v>4</v>
      </c>
      <c r="E3322" t="s">
        <v>5</v>
      </c>
      <c r="F3322">
        <v>201403462</v>
      </c>
      <c r="G3322" t="s">
        <v>1054</v>
      </c>
      <c r="H3322" t="s">
        <v>47</v>
      </c>
      <c r="I3322">
        <v>0</v>
      </c>
      <c r="J3322">
        <v>0</v>
      </c>
      <c r="K3322">
        <v>0</v>
      </c>
      <c r="L3322">
        <v>0</v>
      </c>
      <c r="M3322">
        <v>1.2</v>
      </c>
      <c r="N3322" s="7" t="e">
        <f>VLOOKUP(F3322,HC!A$6:D$100,3,FALSE)</f>
        <v>#N/A</v>
      </c>
      <c r="O3322" s="7" t="str">
        <f>VLOOKUP(F3322,HC!A$6:D$1000,2,FALSE)</f>
        <v>valdojoe</v>
      </c>
      <c r="U3322">
        <f t="shared" si="53"/>
        <v>22</v>
      </c>
    </row>
    <row r="3323" spans="1:21" ht="37.5" customHeight="1" x14ac:dyDescent="0.25">
      <c r="A3323" s="39">
        <v>45197</v>
      </c>
      <c r="B3323" s="13">
        <v>39</v>
      </c>
      <c r="C3323" t="s">
        <v>3</v>
      </c>
      <c r="D3323" t="s">
        <v>4</v>
      </c>
      <c r="E3323" t="s">
        <v>21</v>
      </c>
      <c r="F3323">
        <v>201842039</v>
      </c>
      <c r="G3323" t="s">
        <v>1231</v>
      </c>
      <c r="H3323" t="s">
        <v>49</v>
      </c>
      <c r="I3323">
        <v>0</v>
      </c>
      <c r="J3323">
        <v>0</v>
      </c>
      <c r="K3323">
        <v>0</v>
      </c>
      <c r="L3323">
        <v>0</v>
      </c>
      <c r="M3323">
        <v>0.27</v>
      </c>
      <c r="N3323" s="7" t="e">
        <f>VLOOKUP(F3323,HC!A$6:D$100,3,FALSE)</f>
        <v>#N/A</v>
      </c>
      <c r="O3323" s="7" t="str">
        <f>VLOOKUP(F3323,HC!A$6:D$1000,2,FALSE)</f>
        <v>fantmar</v>
      </c>
      <c r="U3323">
        <f t="shared" si="53"/>
        <v>11</v>
      </c>
    </row>
    <row r="3324" spans="1:21" ht="37.5" customHeight="1" x14ac:dyDescent="0.25">
      <c r="A3324" s="39">
        <v>45197</v>
      </c>
      <c r="B3324" s="13">
        <v>39</v>
      </c>
      <c r="C3324" t="s">
        <v>3</v>
      </c>
      <c r="D3324" t="s">
        <v>4</v>
      </c>
      <c r="E3324" t="s">
        <v>21</v>
      </c>
      <c r="F3324">
        <v>201842064</v>
      </c>
      <c r="G3324" t="s">
        <v>1241</v>
      </c>
      <c r="H3324" t="s">
        <v>17</v>
      </c>
      <c r="I3324">
        <v>0</v>
      </c>
      <c r="J3324">
        <v>0</v>
      </c>
      <c r="K3324">
        <v>0</v>
      </c>
      <c r="L3324">
        <v>0</v>
      </c>
      <c r="M3324">
        <v>1.41</v>
      </c>
      <c r="N3324" s="7" t="e">
        <f>VLOOKUP(F3324,HC!A$6:D$100,3,FALSE)</f>
        <v>#N/A</v>
      </c>
      <c r="O3324" s="7" t="str">
        <f>VLOOKUP(F3324,HC!A$6:D$1000,2,FALSE)</f>
        <v>agriandl</v>
      </c>
      <c r="U3324">
        <f t="shared" si="53"/>
        <v>12</v>
      </c>
    </row>
    <row r="3325" spans="1:21" ht="37.5" customHeight="1" x14ac:dyDescent="0.25">
      <c r="A3325" s="39">
        <v>45197</v>
      </c>
      <c r="B3325" s="13">
        <v>39</v>
      </c>
      <c r="C3325" t="s">
        <v>3</v>
      </c>
      <c r="D3325" t="s">
        <v>4</v>
      </c>
      <c r="E3325" t="s">
        <v>21</v>
      </c>
      <c r="F3325">
        <v>201858789</v>
      </c>
      <c r="G3325" t="s">
        <v>1218</v>
      </c>
      <c r="H3325" t="s">
        <v>17</v>
      </c>
      <c r="I3325">
        <v>0</v>
      </c>
      <c r="J3325">
        <v>0</v>
      </c>
      <c r="K3325">
        <v>0</v>
      </c>
      <c r="L3325">
        <v>0</v>
      </c>
      <c r="M3325">
        <v>0.03</v>
      </c>
      <c r="N3325" s="7" t="e">
        <f>VLOOKUP(F3325,HC!A$6:D$100,3,FALSE)</f>
        <v>#N/A</v>
      </c>
      <c r="O3325" s="7" t="str">
        <f>VLOOKUP(F3325,HC!A$6:D$1000,2,FALSE)</f>
        <v>ignachis</v>
      </c>
      <c r="U3325">
        <f t="shared" si="53"/>
        <v>8</v>
      </c>
    </row>
    <row r="3326" spans="1:21" ht="37.5" customHeight="1" x14ac:dyDescent="0.25">
      <c r="A3326" s="39">
        <v>45197</v>
      </c>
      <c r="B3326" s="13">
        <v>39</v>
      </c>
      <c r="C3326" t="s">
        <v>3</v>
      </c>
      <c r="D3326" t="s">
        <v>4</v>
      </c>
      <c r="E3326" t="s">
        <v>21</v>
      </c>
      <c r="F3326">
        <v>201864225</v>
      </c>
      <c r="G3326" t="s">
        <v>1259</v>
      </c>
      <c r="H3326" t="s">
        <v>49</v>
      </c>
      <c r="I3326">
        <v>0</v>
      </c>
      <c r="J3326">
        <v>0</v>
      </c>
      <c r="K3326">
        <v>0</v>
      </c>
      <c r="L3326">
        <v>0</v>
      </c>
      <c r="M3326">
        <v>0.16</v>
      </c>
      <c r="N3326" s="7" t="e">
        <f>VLOOKUP(F3326,HC!A$6:D$100,3,FALSE)</f>
        <v>#N/A</v>
      </c>
      <c r="O3326" s="7" t="str">
        <f>VLOOKUP(F3326,HC!A$6:D$1000,2,FALSE)</f>
        <v>floreivc</v>
      </c>
      <c r="U3326">
        <f t="shared" si="53"/>
        <v>7</v>
      </c>
    </row>
    <row r="3327" spans="1:21" ht="37.5" customHeight="1" x14ac:dyDescent="0.25">
      <c r="A3327" s="39">
        <v>45197</v>
      </c>
      <c r="B3327" s="13">
        <v>39</v>
      </c>
      <c r="C3327" t="s">
        <v>3</v>
      </c>
      <c r="D3327" t="s">
        <v>4</v>
      </c>
      <c r="E3327" t="s">
        <v>21</v>
      </c>
      <c r="F3327">
        <v>201903097</v>
      </c>
      <c r="G3327" t="s">
        <v>1239</v>
      </c>
      <c r="H3327" t="s">
        <v>17</v>
      </c>
      <c r="I3327">
        <v>0</v>
      </c>
      <c r="J3327">
        <v>0</v>
      </c>
      <c r="K3327">
        <v>0</v>
      </c>
      <c r="L3327">
        <v>0</v>
      </c>
      <c r="M3327">
        <v>0.26</v>
      </c>
      <c r="N3327" s="7" t="e">
        <f>VLOOKUP(F3327,HC!A$6:D$100,3,FALSE)</f>
        <v>#N/A</v>
      </c>
      <c r="O3327" s="7" t="str">
        <f>VLOOKUP(F3327,HC!A$6:D$1000,2,FALSE)</f>
        <v>montoliy</v>
      </c>
      <c r="U3327">
        <f t="shared" si="53"/>
        <v>10</v>
      </c>
    </row>
    <row r="3328" spans="1:21" ht="37.5" customHeight="1" x14ac:dyDescent="0.25">
      <c r="A3328" s="39">
        <v>45197</v>
      </c>
      <c r="B3328" s="13">
        <v>39</v>
      </c>
      <c r="C3328" t="s">
        <v>3</v>
      </c>
      <c r="D3328" t="s">
        <v>4</v>
      </c>
      <c r="E3328" t="s">
        <v>21</v>
      </c>
      <c r="F3328">
        <v>202063545</v>
      </c>
      <c r="G3328" t="s">
        <v>1275</v>
      </c>
      <c r="H3328" t="s">
        <v>17</v>
      </c>
      <c r="I3328">
        <v>0</v>
      </c>
      <c r="J3328">
        <v>0</v>
      </c>
      <c r="K3328">
        <v>0</v>
      </c>
      <c r="L3328">
        <v>0</v>
      </c>
      <c r="M3328">
        <v>0.42</v>
      </c>
      <c r="N3328" s="7" t="e">
        <f>VLOOKUP(F3328,HC!A$6:D$100,3,FALSE)</f>
        <v>#N/A</v>
      </c>
      <c r="O3328" s="7" t="str">
        <f>VLOOKUP(F3328,HC!A$6:D$1000,2,FALSE)</f>
        <v>angarcz</v>
      </c>
      <c r="U3328">
        <f t="shared" si="53"/>
        <v>9</v>
      </c>
    </row>
    <row r="3329" spans="1:21" ht="37.5" customHeight="1" x14ac:dyDescent="0.25">
      <c r="A3329" s="39">
        <v>45198</v>
      </c>
      <c r="B3329" s="13">
        <v>39</v>
      </c>
      <c r="C3329" t="s">
        <v>3</v>
      </c>
      <c r="D3329" t="s">
        <v>4</v>
      </c>
      <c r="E3329" t="s">
        <v>5</v>
      </c>
      <c r="F3329">
        <v>112912752</v>
      </c>
      <c r="G3329" t="s">
        <v>251</v>
      </c>
      <c r="H3329" t="s">
        <v>332</v>
      </c>
      <c r="I3329">
        <v>0</v>
      </c>
      <c r="J3329">
        <v>0</v>
      </c>
      <c r="K3329">
        <v>0</v>
      </c>
      <c r="L3329">
        <v>0</v>
      </c>
      <c r="M3329">
        <v>0.26</v>
      </c>
      <c r="N3329" s="7" t="str">
        <f>VLOOKUP(F3329,HC!A$6:D$100,3,FALSE)</f>
        <v>NF-X1900</v>
      </c>
      <c r="O3329" s="7" t="str">
        <f>VLOOKUP(F3329,HC!A$6:D$1000,2,FALSE)</f>
        <v>valderle</v>
      </c>
      <c r="U3329">
        <f t="shared" si="53"/>
        <v>50</v>
      </c>
    </row>
    <row r="3330" spans="1:21" ht="37.5" customHeight="1" x14ac:dyDescent="0.25">
      <c r="A3330" s="39">
        <v>45198</v>
      </c>
      <c r="B3330" s="13">
        <v>39</v>
      </c>
      <c r="C3330" t="s">
        <v>3</v>
      </c>
      <c r="D3330" t="s">
        <v>4</v>
      </c>
      <c r="E3330" t="s">
        <v>5</v>
      </c>
      <c r="F3330">
        <v>112950784</v>
      </c>
      <c r="G3330" t="s">
        <v>261</v>
      </c>
      <c r="H3330" t="s">
        <v>282</v>
      </c>
      <c r="I3330">
        <v>0</v>
      </c>
      <c r="J3330">
        <v>0</v>
      </c>
      <c r="K3330">
        <v>0</v>
      </c>
      <c r="L3330">
        <v>0</v>
      </c>
      <c r="M3330">
        <v>0.16</v>
      </c>
      <c r="N3330" s="7" t="str">
        <f>VLOOKUP(F3330,HC!A$6:D$100,3,FALSE)</f>
        <v>NF-X1900</v>
      </c>
      <c r="O3330" s="7" t="str">
        <f>VLOOKUP(F3330,HC!A$6:D$1000,2,FALSE)</f>
        <v>sarojast</v>
      </c>
      <c r="U3330">
        <f t="shared" si="53"/>
        <v>33</v>
      </c>
    </row>
    <row r="3331" spans="1:21" ht="37.5" customHeight="1" x14ac:dyDescent="0.25">
      <c r="A3331" s="39">
        <v>45198</v>
      </c>
      <c r="B3331" s="13">
        <v>39</v>
      </c>
      <c r="C3331" t="s">
        <v>3</v>
      </c>
      <c r="D3331" t="s">
        <v>4</v>
      </c>
      <c r="E3331" t="s">
        <v>5</v>
      </c>
      <c r="F3331">
        <v>112972524</v>
      </c>
      <c r="G3331" t="s">
        <v>312</v>
      </c>
      <c r="H3331" t="s">
        <v>14</v>
      </c>
      <c r="I3331">
        <v>0</v>
      </c>
      <c r="J3331">
        <v>0</v>
      </c>
      <c r="K3331">
        <v>0</v>
      </c>
      <c r="L3331">
        <v>0</v>
      </c>
      <c r="M3331">
        <v>1.05</v>
      </c>
      <c r="N3331" s="7" t="str">
        <f>VLOOKUP(F3331,HC!A$6:D$100,3,FALSE)</f>
        <v>DB-X0700</v>
      </c>
      <c r="O3331" s="7" t="str">
        <f>VLOOKUP(F3331,HC!A$6:D$1000,2,FALSE)</f>
        <v>csantibl</v>
      </c>
      <c r="U3331">
        <f t="shared" ref="U3331:U3394" si="54">COUNTIF(O$2:O$4999,O3331)</f>
        <v>17</v>
      </c>
    </row>
    <row r="3332" spans="1:21" ht="37.5" customHeight="1" x14ac:dyDescent="0.25">
      <c r="A3332" s="39">
        <v>45198</v>
      </c>
      <c r="B3332" s="13">
        <v>39</v>
      </c>
      <c r="C3332" t="s">
        <v>3</v>
      </c>
      <c r="D3332" t="s">
        <v>4</v>
      </c>
      <c r="E3332" t="s">
        <v>5</v>
      </c>
      <c r="F3332">
        <v>112976043</v>
      </c>
      <c r="G3332" t="s">
        <v>1162</v>
      </c>
      <c r="H3332" t="s">
        <v>1163</v>
      </c>
      <c r="I3332">
        <v>0</v>
      </c>
      <c r="J3332">
        <v>0</v>
      </c>
      <c r="K3332">
        <v>0</v>
      </c>
      <c r="L3332">
        <v>0</v>
      </c>
      <c r="M3332">
        <v>0.19</v>
      </c>
      <c r="N3332" s="7" t="str">
        <f>VLOOKUP(F3332,HC!A$6:D$100,3,FALSE)</f>
        <v>DE-X1024</v>
      </c>
      <c r="O3332" s="7" t="str">
        <f>VLOOKUP(F3332,HC!A$6:D$1000,2,FALSE)</f>
        <v>ricrivab</v>
      </c>
      <c r="U3332">
        <f t="shared" si="54"/>
        <v>4</v>
      </c>
    </row>
    <row r="3333" spans="1:21" ht="37.5" customHeight="1" x14ac:dyDescent="0.25">
      <c r="A3333" s="39">
        <v>45198</v>
      </c>
      <c r="B3333" s="13">
        <v>39</v>
      </c>
      <c r="C3333" t="s">
        <v>3</v>
      </c>
      <c r="D3333" t="s">
        <v>4</v>
      </c>
      <c r="E3333" t="s">
        <v>21</v>
      </c>
      <c r="F3333">
        <v>113003619</v>
      </c>
      <c r="G3333" t="s">
        <v>1237</v>
      </c>
      <c r="H3333" t="s">
        <v>7</v>
      </c>
      <c r="I3333">
        <v>0</v>
      </c>
      <c r="J3333">
        <v>0</v>
      </c>
      <c r="K3333">
        <v>0</v>
      </c>
      <c r="L3333">
        <v>0</v>
      </c>
      <c r="M3333">
        <v>0.33</v>
      </c>
      <c r="N3333" s="7" t="e">
        <f>VLOOKUP(F3333,HC!A$6:D$100,3,FALSE)</f>
        <v>#N/A</v>
      </c>
      <c r="O3333" s="7" t="e">
        <f>VLOOKUP(F3333,HC!A$6:D$1000,2,FALSE)</f>
        <v>#N/A</v>
      </c>
      <c r="U3333">
        <f t="shared" si="54"/>
        <v>1395</v>
      </c>
    </row>
    <row r="3334" spans="1:21" ht="37.5" customHeight="1" x14ac:dyDescent="0.25">
      <c r="A3334" s="39">
        <v>45198</v>
      </c>
      <c r="B3334" s="13">
        <v>39</v>
      </c>
      <c r="C3334" t="s">
        <v>3</v>
      </c>
      <c r="D3334" t="s">
        <v>4</v>
      </c>
      <c r="E3334" t="s">
        <v>21</v>
      </c>
      <c r="F3334">
        <v>113019078</v>
      </c>
      <c r="G3334" t="s">
        <v>1276</v>
      </c>
      <c r="H3334" t="s">
        <v>459</v>
      </c>
      <c r="I3334">
        <v>0</v>
      </c>
      <c r="J3334">
        <v>0</v>
      </c>
      <c r="K3334">
        <v>0</v>
      </c>
      <c r="L3334">
        <v>0</v>
      </c>
      <c r="M3334">
        <v>0.4</v>
      </c>
      <c r="N3334" s="7" t="e">
        <f>VLOOKUP(F3334,HC!A$6:D$100,3,FALSE)</f>
        <v>#N/A</v>
      </c>
      <c r="O3334" s="7" t="str">
        <f>VLOOKUP(F3334,HC!A$6:D$1000,2,FALSE)</f>
        <v>brojedas</v>
      </c>
      <c r="U3334">
        <f t="shared" si="54"/>
        <v>2</v>
      </c>
    </row>
    <row r="3335" spans="1:21" ht="37.5" customHeight="1" x14ac:dyDescent="0.25">
      <c r="A3335" s="39">
        <v>45198</v>
      </c>
      <c r="B3335" s="13">
        <v>39</v>
      </c>
      <c r="C3335" t="s">
        <v>3</v>
      </c>
      <c r="D3335" t="s">
        <v>4</v>
      </c>
      <c r="E3335" t="s">
        <v>5</v>
      </c>
      <c r="F3335">
        <v>113101453</v>
      </c>
      <c r="G3335" t="s">
        <v>50</v>
      </c>
      <c r="H3335" t="s">
        <v>44</v>
      </c>
      <c r="I3335">
        <v>0</v>
      </c>
      <c r="J3335">
        <v>0</v>
      </c>
      <c r="K3335">
        <v>0</v>
      </c>
      <c r="L3335">
        <v>0</v>
      </c>
      <c r="M3335">
        <v>0.04</v>
      </c>
      <c r="N3335" s="7" t="e">
        <f>VLOOKUP(F3335,HC!A$6:D$100,3,FALSE)</f>
        <v>#N/A</v>
      </c>
      <c r="O3335" s="7" t="str">
        <f>VLOOKUP(F3335,HC!A$6:D$1000,2,FALSE)</f>
        <v>qisgeova</v>
      </c>
      <c r="U3335">
        <f t="shared" si="54"/>
        <v>57</v>
      </c>
    </row>
    <row r="3336" spans="1:21" ht="37.5" customHeight="1" x14ac:dyDescent="0.25">
      <c r="A3336" s="39">
        <v>45198</v>
      </c>
      <c r="B3336" s="13">
        <v>39</v>
      </c>
      <c r="C3336" t="s">
        <v>3</v>
      </c>
      <c r="D3336" t="s">
        <v>4</v>
      </c>
      <c r="E3336" t="s">
        <v>5</v>
      </c>
      <c r="F3336">
        <v>200404250</v>
      </c>
      <c r="G3336" t="s">
        <v>51</v>
      </c>
      <c r="H3336" t="s">
        <v>298</v>
      </c>
      <c r="I3336">
        <v>0</v>
      </c>
      <c r="J3336">
        <v>0</v>
      </c>
      <c r="K3336">
        <v>0</v>
      </c>
      <c r="L3336">
        <v>0</v>
      </c>
      <c r="M3336">
        <v>0.56000000000000005</v>
      </c>
      <c r="N3336" s="7" t="e">
        <f>VLOOKUP(F3336,HC!A$6:D$100,3,FALSE)</f>
        <v>#N/A</v>
      </c>
      <c r="O3336" s="7" t="str">
        <f>VLOOKUP(F3336,HC!A$6:D$1000,2,FALSE)</f>
        <v>xcathurt</v>
      </c>
      <c r="U3336">
        <f t="shared" si="54"/>
        <v>124</v>
      </c>
    </row>
    <row r="3337" spans="1:21" ht="37.5" customHeight="1" x14ac:dyDescent="0.25">
      <c r="A3337" s="39">
        <v>45198</v>
      </c>
      <c r="B3337" s="13">
        <v>39</v>
      </c>
      <c r="C3337" t="s">
        <v>3</v>
      </c>
      <c r="D3337" t="s">
        <v>4</v>
      </c>
      <c r="E3337" t="s">
        <v>5</v>
      </c>
      <c r="F3337">
        <v>200514421</v>
      </c>
      <c r="G3337" t="s">
        <v>301</v>
      </c>
      <c r="H3337" t="s">
        <v>263</v>
      </c>
      <c r="I3337">
        <v>0</v>
      </c>
      <c r="J3337">
        <v>0</v>
      </c>
      <c r="K3337">
        <v>0</v>
      </c>
      <c r="L3337">
        <v>0</v>
      </c>
      <c r="M3337">
        <v>0.19</v>
      </c>
      <c r="N3337" s="7" t="e">
        <f>VLOOKUP(F3337,HC!A$6:D$100,3,FALSE)</f>
        <v>#N/A</v>
      </c>
      <c r="O3337" s="7" t="str">
        <f>VLOOKUP(F3337,HC!A$6:D$1000,2,FALSE)</f>
        <v>padillms</v>
      </c>
      <c r="U3337">
        <f t="shared" si="54"/>
        <v>21</v>
      </c>
    </row>
    <row r="3338" spans="1:21" ht="37.5" customHeight="1" x14ac:dyDescent="0.25">
      <c r="A3338" s="39">
        <v>45198</v>
      </c>
      <c r="B3338" s="13">
        <v>39</v>
      </c>
      <c r="C3338" t="s">
        <v>3</v>
      </c>
      <c r="D3338" t="s">
        <v>4</v>
      </c>
      <c r="E3338" t="s">
        <v>5</v>
      </c>
      <c r="F3338">
        <v>200625528</v>
      </c>
      <c r="G3338" t="s">
        <v>607</v>
      </c>
      <c r="H3338" t="s">
        <v>285</v>
      </c>
      <c r="I3338">
        <v>0</v>
      </c>
      <c r="J3338">
        <v>0</v>
      </c>
      <c r="K3338">
        <v>0</v>
      </c>
      <c r="L3338">
        <v>0</v>
      </c>
      <c r="M3338">
        <v>0.12</v>
      </c>
      <c r="N3338" s="7" t="e">
        <f>VLOOKUP(F3338,HC!A$6:D$100,3,FALSE)</f>
        <v>#N/A</v>
      </c>
      <c r="O3338" s="7" t="str">
        <f>VLOOKUP(F3338,HC!A$6:D$1000,2,FALSE)</f>
        <v>olivlizb</v>
      </c>
      <c r="U3338">
        <f t="shared" si="54"/>
        <v>50</v>
      </c>
    </row>
    <row r="3339" spans="1:21" ht="37.5" customHeight="1" x14ac:dyDescent="0.25">
      <c r="A3339" s="39">
        <v>45198</v>
      </c>
      <c r="B3339" s="13">
        <v>39</v>
      </c>
      <c r="C3339" t="s">
        <v>3</v>
      </c>
      <c r="D3339" t="s">
        <v>4</v>
      </c>
      <c r="E3339" t="s">
        <v>5</v>
      </c>
      <c r="F3339">
        <v>201185299</v>
      </c>
      <c r="G3339" t="s">
        <v>990</v>
      </c>
      <c r="H3339" t="s">
        <v>17</v>
      </c>
      <c r="I3339">
        <v>0</v>
      </c>
      <c r="J3339">
        <v>0</v>
      </c>
      <c r="K3339">
        <v>0</v>
      </c>
      <c r="L3339">
        <v>0</v>
      </c>
      <c r="M3339">
        <v>0.65</v>
      </c>
      <c r="N3339" s="7" t="e">
        <f>VLOOKUP(F3339,HC!A$6:D$100,3,FALSE)</f>
        <v>#N/A</v>
      </c>
      <c r="O3339" s="7" t="str">
        <f>VLOOKUP(F3339,HC!A$6:D$1000,2,FALSE)</f>
        <v>sganoemi</v>
      </c>
      <c r="U3339">
        <f t="shared" si="54"/>
        <v>12</v>
      </c>
    </row>
    <row r="3340" spans="1:21" ht="37.5" customHeight="1" x14ac:dyDescent="0.25">
      <c r="A3340" s="39">
        <v>45198</v>
      </c>
      <c r="B3340" s="13">
        <v>39</v>
      </c>
      <c r="C3340" t="s">
        <v>3</v>
      </c>
      <c r="D3340" t="s">
        <v>4</v>
      </c>
      <c r="E3340" t="s">
        <v>5</v>
      </c>
      <c r="F3340">
        <v>201223730</v>
      </c>
      <c r="G3340" t="s">
        <v>933</v>
      </c>
      <c r="H3340" t="s">
        <v>49</v>
      </c>
      <c r="I3340">
        <v>0</v>
      </c>
      <c r="J3340">
        <v>0</v>
      </c>
      <c r="K3340">
        <v>0</v>
      </c>
      <c r="L3340">
        <v>0</v>
      </c>
      <c r="M3340">
        <v>0.45</v>
      </c>
      <c r="N3340" s="7" t="e">
        <f>VLOOKUP(F3340,HC!A$6:D$100,3,FALSE)</f>
        <v>#N/A</v>
      </c>
      <c r="O3340" s="7" t="str">
        <f>VLOOKUP(F3340,HC!A$6:D$1000,2,FALSE)</f>
        <v>cesarito</v>
      </c>
      <c r="U3340">
        <f t="shared" si="54"/>
        <v>39</v>
      </c>
    </row>
    <row r="3341" spans="1:21" ht="37.5" customHeight="1" x14ac:dyDescent="0.25">
      <c r="A3341" s="39">
        <v>45198</v>
      </c>
      <c r="B3341" s="13">
        <v>39</v>
      </c>
      <c r="C3341" t="s">
        <v>3</v>
      </c>
      <c r="D3341" t="s">
        <v>4</v>
      </c>
      <c r="E3341" t="s">
        <v>5</v>
      </c>
      <c r="F3341">
        <v>201228411</v>
      </c>
      <c r="G3341" t="s">
        <v>938</v>
      </c>
      <c r="H3341" t="s">
        <v>49</v>
      </c>
      <c r="I3341">
        <v>0</v>
      </c>
      <c r="J3341">
        <v>0</v>
      </c>
      <c r="K3341">
        <v>0</v>
      </c>
      <c r="L3341">
        <v>0</v>
      </c>
      <c r="M3341">
        <v>0.45</v>
      </c>
      <c r="N3341" s="7" t="e">
        <f>VLOOKUP(F3341,HC!A$6:D$100,3,FALSE)</f>
        <v>#N/A</v>
      </c>
      <c r="O3341" s="7" t="str">
        <f>VLOOKUP(F3341,HC!A$6:D$1000,2,FALSE)</f>
        <v>jazmiwhe</v>
      </c>
      <c r="U3341">
        <f t="shared" si="54"/>
        <v>36</v>
      </c>
    </row>
    <row r="3342" spans="1:21" ht="37.5" customHeight="1" x14ac:dyDescent="0.25">
      <c r="A3342" s="39">
        <v>45198</v>
      </c>
      <c r="B3342" s="13">
        <v>39</v>
      </c>
      <c r="C3342" t="s">
        <v>3</v>
      </c>
      <c r="D3342" t="s">
        <v>4</v>
      </c>
      <c r="E3342" t="s">
        <v>5</v>
      </c>
      <c r="F3342">
        <v>201345737</v>
      </c>
      <c r="G3342" t="s">
        <v>1083</v>
      </c>
      <c r="H3342" t="s">
        <v>263</v>
      </c>
      <c r="I3342">
        <v>0</v>
      </c>
      <c r="J3342">
        <v>0</v>
      </c>
      <c r="K3342">
        <v>0</v>
      </c>
      <c r="L3342">
        <v>0</v>
      </c>
      <c r="M3342">
        <v>0.14000000000000001</v>
      </c>
      <c r="N3342" s="7" t="e">
        <f>VLOOKUP(F3342,HC!A$6:D$100,3,FALSE)</f>
        <v>#N/A</v>
      </c>
      <c r="O3342" s="7" t="str">
        <f>VLOOKUP(F3342,HC!A$6:D$1000,2,FALSE)</f>
        <v>upacoros</v>
      </c>
      <c r="U3342">
        <f t="shared" si="54"/>
        <v>11</v>
      </c>
    </row>
    <row r="3343" spans="1:21" ht="37.5" customHeight="1" x14ac:dyDescent="0.25">
      <c r="A3343" s="39">
        <v>45198</v>
      </c>
      <c r="B3343" s="13">
        <v>39</v>
      </c>
      <c r="C3343" t="s">
        <v>3</v>
      </c>
      <c r="D3343" t="s">
        <v>4</v>
      </c>
      <c r="E3343" t="s">
        <v>5</v>
      </c>
      <c r="F3343">
        <v>201353166</v>
      </c>
      <c r="G3343" t="s">
        <v>1051</v>
      </c>
      <c r="H3343" t="s">
        <v>263</v>
      </c>
      <c r="I3343">
        <v>0</v>
      </c>
      <c r="J3343">
        <v>0</v>
      </c>
      <c r="K3343">
        <v>0</v>
      </c>
      <c r="L3343">
        <v>0</v>
      </c>
      <c r="M3343">
        <v>0.38</v>
      </c>
      <c r="N3343" s="7" t="e">
        <f>VLOOKUP(F3343,HC!A$6:D$100,3,FALSE)</f>
        <v>#N/A</v>
      </c>
      <c r="O3343" s="7" t="str">
        <f>VLOOKUP(F3343,HC!A$6:D$1000,2,FALSE)</f>
        <v>mamlucia</v>
      </c>
      <c r="U3343">
        <f t="shared" si="54"/>
        <v>7</v>
      </c>
    </row>
    <row r="3344" spans="1:21" ht="37.5" customHeight="1" x14ac:dyDescent="0.25">
      <c r="A3344" s="39">
        <v>45198</v>
      </c>
      <c r="B3344" s="13">
        <v>39</v>
      </c>
      <c r="C3344" t="s">
        <v>3</v>
      </c>
      <c r="D3344" t="s">
        <v>4</v>
      </c>
      <c r="E3344" t="s">
        <v>21</v>
      </c>
      <c r="F3344">
        <v>201408478</v>
      </c>
      <c r="G3344" t="s">
        <v>1110</v>
      </c>
      <c r="H3344" t="s">
        <v>7</v>
      </c>
      <c r="I3344">
        <v>0</v>
      </c>
      <c r="J3344">
        <v>0</v>
      </c>
      <c r="K3344">
        <v>0</v>
      </c>
      <c r="L3344">
        <v>0</v>
      </c>
      <c r="M3344">
        <v>0.04</v>
      </c>
      <c r="N3344" s="7" t="e">
        <f>VLOOKUP(F3344,HC!A$6:D$100,3,FALSE)</f>
        <v>#N/A</v>
      </c>
      <c r="O3344" s="7" t="str">
        <f>VLOOKUP(F3344,HC!A$6:D$1000,2,FALSE)</f>
        <v>dacaldey</v>
      </c>
      <c r="U3344">
        <f t="shared" si="54"/>
        <v>12</v>
      </c>
    </row>
    <row r="3345" spans="1:21" ht="37.5" customHeight="1" x14ac:dyDescent="0.25">
      <c r="A3345" s="39">
        <v>45198</v>
      </c>
      <c r="B3345" s="13">
        <v>39</v>
      </c>
      <c r="C3345" t="s">
        <v>3</v>
      </c>
      <c r="D3345" t="s">
        <v>4</v>
      </c>
      <c r="E3345" t="s">
        <v>21</v>
      </c>
      <c r="F3345">
        <v>201858867</v>
      </c>
      <c r="G3345" t="s">
        <v>1236</v>
      </c>
      <c r="H3345" t="s">
        <v>49</v>
      </c>
      <c r="I3345">
        <v>0</v>
      </c>
      <c r="J3345">
        <v>0</v>
      </c>
      <c r="K3345">
        <v>0</v>
      </c>
      <c r="L3345">
        <v>0</v>
      </c>
      <c r="M3345">
        <v>0.5</v>
      </c>
      <c r="N3345" s="7" t="e">
        <f>VLOOKUP(F3345,HC!A$6:D$100,3,FALSE)</f>
        <v>#N/A</v>
      </c>
      <c r="O3345" s="7" t="str">
        <f>VLOOKUP(F3345,HC!A$6:D$1000,2,FALSE)</f>
        <v>tcruzvel</v>
      </c>
      <c r="U3345">
        <f t="shared" si="54"/>
        <v>17</v>
      </c>
    </row>
    <row r="3346" spans="1:21" ht="37.5" customHeight="1" x14ac:dyDescent="0.25">
      <c r="A3346" s="39">
        <v>45198</v>
      </c>
      <c r="B3346" s="13">
        <v>39</v>
      </c>
      <c r="C3346" t="s">
        <v>3</v>
      </c>
      <c r="D3346" t="s">
        <v>4</v>
      </c>
      <c r="E3346" t="s">
        <v>21</v>
      </c>
      <c r="F3346">
        <v>202081527</v>
      </c>
      <c r="G3346" t="s">
        <v>1273</v>
      </c>
      <c r="H3346" t="s">
        <v>14</v>
      </c>
      <c r="I3346">
        <v>0</v>
      </c>
      <c r="J3346">
        <v>0</v>
      </c>
      <c r="K3346">
        <v>0</v>
      </c>
      <c r="L3346">
        <v>0</v>
      </c>
      <c r="M3346">
        <v>1.02</v>
      </c>
      <c r="N3346" s="7" t="e">
        <f>VLOOKUP(F3346,HC!A$6:D$100,3,FALSE)</f>
        <v>#N/A</v>
      </c>
      <c r="O3346" s="7" t="str">
        <f>VLOOKUP(F3346,HC!A$6:D$1000,2,FALSE)</f>
        <v>efrmartw</v>
      </c>
      <c r="U3346">
        <f t="shared" si="54"/>
        <v>12</v>
      </c>
    </row>
    <row r="3347" spans="1:21" ht="37.5" customHeight="1" x14ac:dyDescent="0.25">
      <c r="A3347" s="39">
        <v>45198</v>
      </c>
      <c r="B3347" s="13">
        <v>39</v>
      </c>
      <c r="C3347" t="s">
        <v>3</v>
      </c>
      <c r="D3347" t="s">
        <v>4</v>
      </c>
      <c r="E3347" t="s">
        <v>21</v>
      </c>
      <c r="F3347">
        <v>202117420</v>
      </c>
      <c r="G3347" t="s">
        <v>1277</v>
      </c>
      <c r="H3347" t="s">
        <v>459</v>
      </c>
      <c r="I3347">
        <v>0</v>
      </c>
      <c r="J3347">
        <v>0</v>
      </c>
      <c r="K3347">
        <v>0</v>
      </c>
      <c r="L3347">
        <v>0</v>
      </c>
      <c r="M3347">
        <v>0.08</v>
      </c>
      <c r="N3347" s="7" t="e">
        <f>VLOOKUP(F3347,HC!A$6:D$100,3,FALSE)</f>
        <v>#N/A</v>
      </c>
      <c r="O3347" s="7" t="str">
        <f>VLOOKUP(F3347,HC!A$6:D$1000,2,FALSE)</f>
        <v>iscerver</v>
      </c>
      <c r="U3347">
        <f t="shared" si="54"/>
        <v>9</v>
      </c>
    </row>
    <row r="3348" spans="1:21" ht="37.5" customHeight="1" x14ac:dyDescent="0.25">
      <c r="A3348" s="39">
        <v>45198</v>
      </c>
      <c r="B3348" s="13">
        <v>39</v>
      </c>
      <c r="C3348" t="s">
        <v>3</v>
      </c>
      <c r="D3348" t="s">
        <v>4</v>
      </c>
      <c r="E3348" t="s">
        <v>21</v>
      </c>
      <c r="F3348">
        <v>202120077</v>
      </c>
      <c r="G3348" t="s">
        <v>1278</v>
      </c>
      <c r="H3348" t="s">
        <v>459</v>
      </c>
      <c r="I3348">
        <v>0</v>
      </c>
      <c r="J3348">
        <v>0</v>
      </c>
      <c r="K3348">
        <v>0</v>
      </c>
      <c r="L3348">
        <v>0</v>
      </c>
      <c r="M3348">
        <v>0.55000000000000004</v>
      </c>
      <c r="N3348" s="7" t="e">
        <f>VLOOKUP(F3348,HC!A$6:D$100,3,FALSE)</f>
        <v>#N/A</v>
      </c>
      <c r="O3348" s="7" t="str">
        <f>VLOOKUP(F3348,HC!A$6:D$1000,2,FALSE)</f>
        <v>mauaguid</v>
      </c>
      <c r="U3348">
        <f t="shared" si="54"/>
        <v>7</v>
      </c>
    </row>
    <row r="3349" spans="1:21" ht="37.5" customHeight="1" x14ac:dyDescent="0.25">
      <c r="A3349" s="39">
        <v>45199</v>
      </c>
      <c r="B3349" s="13">
        <v>39</v>
      </c>
      <c r="C3349" t="s">
        <v>3</v>
      </c>
      <c r="D3349" t="s">
        <v>4</v>
      </c>
      <c r="E3349" t="s">
        <v>5</v>
      </c>
      <c r="F3349">
        <v>112972215</v>
      </c>
      <c r="G3349" t="s">
        <v>984</v>
      </c>
      <c r="H3349" t="s">
        <v>263</v>
      </c>
      <c r="I3349">
        <v>0</v>
      </c>
      <c r="J3349">
        <v>0</v>
      </c>
      <c r="K3349">
        <v>0</v>
      </c>
      <c r="L3349">
        <v>0</v>
      </c>
      <c r="M3349">
        <v>0.46</v>
      </c>
      <c r="N3349" s="7" t="str">
        <f>VLOOKUP(F3349,HC!A$6:D$100,3,FALSE)</f>
        <v>DB-X0700</v>
      </c>
      <c r="O3349" s="7" t="str">
        <f>VLOOKUP(F3349,HC!A$6:D$1000,2,FALSE)</f>
        <v>cruzbana</v>
      </c>
      <c r="U3349">
        <f t="shared" si="54"/>
        <v>16</v>
      </c>
    </row>
    <row r="3350" spans="1:21" ht="37.5" customHeight="1" x14ac:dyDescent="0.25">
      <c r="A3350" s="39">
        <v>45199</v>
      </c>
      <c r="B3350" s="13">
        <v>39</v>
      </c>
      <c r="C3350" t="s">
        <v>3</v>
      </c>
      <c r="D3350" t="s">
        <v>4</v>
      </c>
      <c r="E3350" t="s">
        <v>5</v>
      </c>
      <c r="F3350">
        <v>112973049</v>
      </c>
      <c r="G3350" t="s">
        <v>314</v>
      </c>
      <c r="H3350" t="s">
        <v>285</v>
      </c>
      <c r="I3350">
        <v>0</v>
      </c>
      <c r="J3350">
        <v>0</v>
      </c>
      <c r="K3350">
        <v>0</v>
      </c>
      <c r="L3350">
        <v>0</v>
      </c>
      <c r="M3350">
        <v>0.13</v>
      </c>
      <c r="N3350" s="7" t="str">
        <f>VLOOKUP(F3350,HC!A$6:D$100,3,FALSE)</f>
        <v>DB-X0700</v>
      </c>
      <c r="O3350" s="7" t="str">
        <f>VLOOKUP(F3350,HC!A$6:D$1000,2,FALSE)</f>
        <v>afatimae</v>
      </c>
      <c r="U3350">
        <f t="shared" si="54"/>
        <v>29</v>
      </c>
    </row>
    <row r="3351" spans="1:21" ht="37.5" customHeight="1" x14ac:dyDescent="0.25">
      <c r="A3351" s="39">
        <v>45199</v>
      </c>
      <c r="B3351" s="13">
        <v>39</v>
      </c>
      <c r="C3351" t="s">
        <v>3</v>
      </c>
      <c r="D3351" t="s">
        <v>4</v>
      </c>
      <c r="E3351" t="s">
        <v>21</v>
      </c>
      <c r="F3351">
        <v>113003619</v>
      </c>
      <c r="G3351" t="s">
        <v>1237</v>
      </c>
      <c r="H3351" t="s">
        <v>7</v>
      </c>
      <c r="I3351">
        <v>0</v>
      </c>
      <c r="J3351">
        <v>0</v>
      </c>
      <c r="K3351">
        <v>0</v>
      </c>
      <c r="L3351">
        <v>0</v>
      </c>
      <c r="M3351">
        <v>0.53</v>
      </c>
      <c r="N3351" s="7" t="e">
        <f>VLOOKUP(F3351,HC!A$6:D$100,3,FALSE)</f>
        <v>#N/A</v>
      </c>
      <c r="O3351" s="7" t="e">
        <f>VLOOKUP(F3351,HC!A$6:D$1000,2,FALSE)</f>
        <v>#N/A</v>
      </c>
      <c r="U3351">
        <f t="shared" si="54"/>
        <v>1395</v>
      </c>
    </row>
    <row r="3352" spans="1:21" ht="37.5" customHeight="1" x14ac:dyDescent="0.25">
      <c r="A3352" s="39">
        <v>45199</v>
      </c>
      <c r="B3352" s="13">
        <v>39</v>
      </c>
      <c r="C3352" t="s">
        <v>3</v>
      </c>
      <c r="D3352" t="s">
        <v>4</v>
      </c>
      <c r="E3352" t="s">
        <v>5</v>
      </c>
      <c r="F3352">
        <v>113020476</v>
      </c>
      <c r="G3352" t="s">
        <v>330</v>
      </c>
      <c r="H3352" t="s">
        <v>7</v>
      </c>
      <c r="I3352">
        <v>0</v>
      </c>
      <c r="J3352">
        <v>0</v>
      </c>
      <c r="K3352">
        <v>0</v>
      </c>
      <c r="L3352">
        <v>0</v>
      </c>
      <c r="M3352">
        <v>0.12</v>
      </c>
      <c r="N3352" s="7" t="e">
        <f>VLOOKUP(F3352,HC!A$6:D$100,3,FALSE)</f>
        <v>#N/A</v>
      </c>
      <c r="O3352" s="7" t="str">
        <f>VLOOKUP(F3352,HC!A$6:D$1000,2,FALSE)</f>
        <v>polettpu</v>
      </c>
      <c r="U3352">
        <f t="shared" si="54"/>
        <v>55</v>
      </c>
    </row>
    <row r="3353" spans="1:21" ht="37.5" customHeight="1" x14ac:dyDescent="0.25">
      <c r="A3353" s="39">
        <v>45199</v>
      </c>
      <c r="B3353" s="13">
        <v>39</v>
      </c>
      <c r="C3353" t="s">
        <v>3</v>
      </c>
      <c r="D3353" t="s">
        <v>4</v>
      </c>
      <c r="E3353" t="s">
        <v>5</v>
      </c>
      <c r="F3353">
        <v>113020667</v>
      </c>
      <c r="G3353" t="s">
        <v>380</v>
      </c>
      <c r="H3353" t="s">
        <v>403</v>
      </c>
      <c r="I3353">
        <v>0</v>
      </c>
      <c r="J3353">
        <v>0</v>
      </c>
      <c r="K3353">
        <v>0</v>
      </c>
      <c r="L3353">
        <v>0</v>
      </c>
      <c r="M3353">
        <v>0.11</v>
      </c>
      <c r="N3353" s="7" t="e">
        <f>VLOOKUP(F3353,HC!A$6:D$100,3,FALSE)</f>
        <v>#N/A</v>
      </c>
      <c r="O3353" s="7" t="str">
        <f>VLOOKUP(F3353,HC!A$6:D$1000,2,FALSE)</f>
        <v>mavpauli</v>
      </c>
      <c r="U3353">
        <f t="shared" si="54"/>
        <v>12</v>
      </c>
    </row>
    <row r="3354" spans="1:21" ht="37.5" customHeight="1" x14ac:dyDescent="0.25">
      <c r="A3354" s="39">
        <v>45199</v>
      </c>
      <c r="B3354" s="13">
        <v>39</v>
      </c>
      <c r="C3354" t="s">
        <v>3</v>
      </c>
      <c r="D3354" t="s">
        <v>4</v>
      </c>
      <c r="E3354" t="s">
        <v>5</v>
      </c>
      <c r="F3354">
        <v>200508323</v>
      </c>
      <c r="G3354" t="s">
        <v>1150</v>
      </c>
      <c r="H3354" t="s">
        <v>263</v>
      </c>
      <c r="I3354">
        <v>0</v>
      </c>
      <c r="J3354">
        <v>0</v>
      </c>
      <c r="K3354">
        <v>0</v>
      </c>
      <c r="L3354">
        <v>0</v>
      </c>
      <c r="M3354">
        <v>0.28999999999999998</v>
      </c>
      <c r="N3354" s="7" t="e">
        <f>VLOOKUP(F3354,HC!A$6:D$100,3,FALSE)</f>
        <v>#N/A</v>
      </c>
      <c r="O3354" s="7" t="str">
        <f>VLOOKUP(F3354,HC!A$6:D$1000,2,FALSE)</f>
        <v>espejell</v>
      </c>
      <c r="U3354">
        <f t="shared" si="54"/>
        <v>15</v>
      </c>
    </row>
    <row r="3355" spans="1:21" ht="37.5" customHeight="1" x14ac:dyDescent="0.25">
      <c r="A3355" s="39">
        <v>45199</v>
      </c>
      <c r="B3355" s="13">
        <v>39</v>
      </c>
      <c r="C3355" t="s">
        <v>3</v>
      </c>
      <c r="D3355" t="s">
        <v>4</v>
      </c>
      <c r="E3355" t="s">
        <v>5</v>
      </c>
      <c r="F3355">
        <v>201185299</v>
      </c>
      <c r="G3355" t="s">
        <v>990</v>
      </c>
      <c r="H3355" t="s">
        <v>17</v>
      </c>
      <c r="I3355">
        <v>0</v>
      </c>
      <c r="J3355">
        <v>0</v>
      </c>
      <c r="K3355">
        <v>0</v>
      </c>
      <c r="L3355">
        <v>0</v>
      </c>
      <c r="M3355">
        <v>0.27</v>
      </c>
      <c r="N3355" s="7" t="e">
        <f>VLOOKUP(F3355,HC!A$6:D$100,3,FALSE)</f>
        <v>#N/A</v>
      </c>
      <c r="O3355" s="7" t="str">
        <f>VLOOKUP(F3355,HC!A$6:D$1000,2,FALSE)</f>
        <v>sganoemi</v>
      </c>
      <c r="U3355">
        <f t="shared" si="54"/>
        <v>12</v>
      </c>
    </row>
    <row r="3356" spans="1:21" ht="37.5" customHeight="1" x14ac:dyDescent="0.25">
      <c r="A3356" s="39">
        <v>45199</v>
      </c>
      <c r="B3356" s="13">
        <v>39</v>
      </c>
      <c r="C3356" t="s">
        <v>3</v>
      </c>
      <c r="D3356" t="s">
        <v>4</v>
      </c>
      <c r="E3356" t="s">
        <v>5</v>
      </c>
      <c r="F3356">
        <v>201195215</v>
      </c>
      <c r="G3356" t="s">
        <v>1140</v>
      </c>
      <c r="H3356" t="s">
        <v>263</v>
      </c>
      <c r="I3356">
        <v>0</v>
      </c>
      <c r="J3356">
        <v>0</v>
      </c>
      <c r="K3356">
        <v>0</v>
      </c>
      <c r="L3356">
        <v>0</v>
      </c>
      <c r="M3356">
        <v>0.38</v>
      </c>
      <c r="N3356" s="7" t="e">
        <f>VLOOKUP(F3356,HC!A$6:D$100,3,FALSE)</f>
        <v>#N/A</v>
      </c>
      <c r="O3356" s="7" t="str">
        <f>VLOOKUP(F3356,HC!A$6:D$1000,2,FALSE)</f>
        <v>guzmadaa</v>
      </c>
      <c r="U3356">
        <f t="shared" si="54"/>
        <v>2</v>
      </c>
    </row>
    <row r="3357" spans="1:21" ht="37.5" customHeight="1" x14ac:dyDescent="0.25">
      <c r="A3357" s="39">
        <v>45199</v>
      </c>
      <c r="B3357" s="13">
        <v>39</v>
      </c>
      <c r="C3357" t="s">
        <v>3</v>
      </c>
      <c r="D3357" t="s">
        <v>4</v>
      </c>
      <c r="E3357" t="s">
        <v>5</v>
      </c>
      <c r="F3357">
        <v>201223730</v>
      </c>
      <c r="G3357" t="s">
        <v>933</v>
      </c>
      <c r="H3357" t="s">
        <v>49</v>
      </c>
      <c r="I3357">
        <v>0</v>
      </c>
      <c r="J3357">
        <v>0</v>
      </c>
      <c r="K3357">
        <v>0</v>
      </c>
      <c r="L3357">
        <v>0</v>
      </c>
      <c r="M3357">
        <v>1.4</v>
      </c>
      <c r="N3357" s="7" t="e">
        <f>VLOOKUP(F3357,HC!A$6:D$100,3,FALSE)</f>
        <v>#N/A</v>
      </c>
      <c r="O3357" s="7" t="str">
        <f>VLOOKUP(F3357,HC!A$6:D$1000,2,FALSE)</f>
        <v>cesarito</v>
      </c>
      <c r="U3357">
        <f t="shared" si="54"/>
        <v>39</v>
      </c>
    </row>
    <row r="3358" spans="1:21" ht="37.5" customHeight="1" x14ac:dyDescent="0.25">
      <c r="A3358" s="39">
        <v>45199</v>
      </c>
      <c r="B3358" s="13">
        <v>39</v>
      </c>
      <c r="C3358" t="s">
        <v>3</v>
      </c>
      <c r="D3358" t="s">
        <v>4</v>
      </c>
      <c r="E3358" t="s">
        <v>5</v>
      </c>
      <c r="F3358">
        <v>201228411</v>
      </c>
      <c r="G3358" t="s">
        <v>938</v>
      </c>
      <c r="H3358" t="s">
        <v>49</v>
      </c>
      <c r="I3358">
        <v>0</v>
      </c>
      <c r="J3358">
        <v>0</v>
      </c>
      <c r="K3358">
        <v>0</v>
      </c>
      <c r="L3358">
        <v>0</v>
      </c>
      <c r="M3358">
        <v>1.4</v>
      </c>
      <c r="N3358" s="7" t="e">
        <f>VLOOKUP(F3358,HC!A$6:D$100,3,FALSE)</f>
        <v>#N/A</v>
      </c>
      <c r="O3358" s="7" t="str">
        <f>VLOOKUP(F3358,HC!A$6:D$1000,2,FALSE)</f>
        <v>jazmiwhe</v>
      </c>
      <c r="U3358">
        <f t="shared" si="54"/>
        <v>36</v>
      </c>
    </row>
    <row r="3359" spans="1:21" ht="37.5" customHeight="1" x14ac:dyDescent="0.25">
      <c r="A3359" s="39">
        <v>45199</v>
      </c>
      <c r="B3359" s="13">
        <v>39</v>
      </c>
      <c r="C3359" t="s">
        <v>3</v>
      </c>
      <c r="D3359" t="s">
        <v>4</v>
      </c>
      <c r="E3359" t="s">
        <v>21</v>
      </c>
      <c r="F3359">
        <v>201847940</v>
      </c>
      <c r="G3359" t="s">
        <v>1248</v>
      </c>
      <c r="H3359" t="s">
        <v>17</v>
      </c>
      <c r="I3359">
        <v>0</v>
      </c>
      <c r="J3359">
        <v>0</v>
      </c>
      <c r="K3359">
        <v>0</v>
      </c>
      <c r="L3359">
        <v>0</v>
      </c>
      <c r="M3359">
        <v>0.23</v>
      </c>
      <c r="N3359" s="7" t="e">
        <f>VLOOKUP(F3359,HC!A$6:D$100,3,FALSE)</f>
        <v>#N/A</v>
      </c>
      <c r="O3359" s="7" t="e">
        <f>VLOOKUP(F3359,HC!A$6:D$1000,2,FALSE)</f>
        <v>#N/A</v>
      </c>
      <c r="U3359">
        <f t="shared" si="54"/>
        <v>1395</v>
      </c>
    </row>
    <row r="3360" spans="1:21" ht="37.5" customHeight="1" x14ac:dyDescent="0.25">
      <c r="A3360" s="39">
        <v>45199</v>
      </c>
      <c r="B3360" s="13">
        <v>39</v>
      </c>
      <c r="C3360" t="s">
        <v>3</v>
      </c>
      <c r="D3360" t="s">
        <v>4</v>
      </c>
      <c r="E3360" t="s">
        <v>21</v>
      </c>
      <c r="F3360">
        <v>201906503</v>
      </c>
      <c r="G3360" t="s">
        <v>1228</v>
      </c>
      <c r="H3360" t="s">
        <v>47</v>
      </c>
      <c r="I3360">
        <v>0</v>
      </c>
      <c r="J3360">
        <v>0</v>
      </c>
      <c r="K3360">
        <v>0</v>
      </c>
      <c r="L3360">
        <v>0</v>
      </c>
      <c r="M3360">
        <v>0.27</v>
      </c>
      <c r="N3360" s="7" t="e">
        <f>VLOOKUP(F3360,HC!A$6:D$100,3,FALSE)</f>
        <v>#N/A</v>
      </c>
      <c r="O3360" s="7" t="str">
        <f>VLOOKUP(F3360,HC!A$6:D$1000,2,FALSE)</f>
        <v>mqjennif</v>
      </c>
      <c r="U3360">
        <f t="shared" si="54"/>
        <v>11</v>
      </c>
    </row>
    <row r="3361" spans="1:21" ht="37.5" customHeight="1" x14ac:dyDescent="0.25">
      <c r="A3361" s="39">
        <v>45199</v>
      </c>
      <c r="B3361" s="13">
        <v>39</v>
      </c>
      <c r="C3361" t="s">
        <v>3</v>
      </c>
      <c r="D3361" t="s">
        <v>4</v>
      </c>
      <c r="E3361" t="s">
        <v>21</v>
      </c>
      <c r="F3361">
        <v>202079441</v>
      </c>
      <c r="G3361" t="s">
        <v>1279</v>
      </c>
      <c r="H3361" t="s">
        <v>459</v>
      </c>
      <c r="I3361">
        <v>0</v>
      </c>
      <c r="J3361">
        <v>0</v>
      </c>
      <c r="K3361">
        <v>0</v>
      </c>
      <c r="L3361">
        <v>0</v>
      </c>
      <c r="M3361">
        <v>0.18</v>
      </c>
      <c r="N3361" s="7" t="e">
        <f>VLOOKUP(F3361,HC!A$6:D$100,3,FALSE)</f>
        <v>#N/A</v>
      </c>
      <c r="O3361" s="7" t="str">
        <f>VLOOKUP(F3361,HC!A$6:D$1000,2,FALSE)</f>
        <v>fdaniees</v>
      </c>
      <c r="U3361">
        <f t="shared" si="54"/>
        <v>2</v>
      </c>
    </row>
    <row r="3362" spans="1:21" ht="37.5" customHeight="1" x14ac:dyDescent="0.25">
      <c r="A3362" s="39">
        <v>45199</v>
      </c>
      <c r="B3362" s="13">
        <v>39</v>
      </c>
      <c r="C3362" t="s">
        <v>3</v>
      </c>
      <c r="D3362" t="s">
        <v>4</v>
      </c>
      <c r="E3362" t="s">
        <v>21</v>
      </c>
      <c r="F3362">
        <v>202099229</v>
      </c>
      <c r="G3362" t="s">
        <v>1280</v>
      </c>
      <c r="H3362" t="s">
        <v>459</v>
      </c>
      <c r="I3362">
        <v>0</v>
      </c>
      <c r="J3362">
        <v>0</v>
      </c>
      <c r="K3362">
        <v>0</v>
      </c>
      <c r="L3362">
        <v>0</v>
      </c>
      <c r="M3362">
        <v>0.19</v>
      </c>
      <c r="N3362" s="7" t="e">
        <f>VLOOKUP(F3362,HC!A$6:D$100,3,FALSE)</f>
        <v>#N/A</v>
      </c>
      <c r="O3362" s="7" t="str">
        <f>VLOOKUP(F3362,HC!A$6:D$1000,2,FALSE)</f>
        <v>gaborada</v>
      </c>
      <c r="U3362">
        <f t="shared" si="54"/>
        <v>2</v>
      </c>
    </row>
    <row r="3363" spans="1:21" ht="37.5" customHeight="1" x14ac:dyDescent="0.25">
      <c r="A3363" s="39">
        <v>45199</v>
      </c>
      <c r="B3363" s="13">
        <v>39</v>
      </c>
      <c r="C3363" t="s">
        <v>3</v>
      </c>
      <c r="D3363" t="s">
        <v>4</v>
      </c>
      <c r="E3363" t="s">
        <v>21</v>
      </c>
      <c r="F3363">
        <v>202120077</v>
      </c>
      <c r="G3363" t="s">
        <v>1278</v>
      </c>
      <c r="H3363" t="s">
        <v>459</v>
      </c>
      <c r="I3363">
        <v>0</v>
      </c>
      <c r="J3363">
        <v>0</v>
      </c>
      <c r="K3363">
        <v>0</v>
      </c>
      <c r="L3363">
        <v>0</v>
      </c>
      <c r="M3363">
        <v>0.6</v>
      </c>
      <c r="N3363" s="7" t="e">
        <f>VLOOKUP(F3363,HC!A$6:D$100,3,FALSE)</f>
        <v>#N/A</v>
      </c>
      <c r="O3363" s="7" t="str">
        <f>VLOOKUP(F3363,HC!A$6:D$1000,2,FALSE)</f>
        <v>mauaguid</v>
      </c>
      <c r="U3363">
        <f t="shared" si="54"/>
        <v>7</v>
      </c>
    </row>
    <row r="3364" spans="1:21" ht="37.5" customHeight="1" x14ac:dyDescent="0.25">
      <c r="A3364" s="40">
        <v>45200</v>
      </c>
      <c r="B3364" s="13">
        <v>40</v>
      </c>
      <c r="C3364" t="s">
        <v>3</v>
      </c>
      <c r="D3364" t="s">
        <v>4</v>
      </c>
      <c r="E3364" t="s">
        <v>5</v>
      </c>
      <c r="F3364">
        <v>112950784</v>
      </c>
      <c r="G3364" t="s">
        <v>261</v>
      </c>
      <c r="H3364" t="s">
        <v>282</v>
      </c>
      <c r="I3364">
        <v>0</v>
      </c>
      <c r="J3364">
        <v>0</v>
      </c>
      <c r="K3364">
        <v>0</v>
      </c>
      <c r="L3364">
        <v>0</v>
      </c>
      <c r="M3364">
        <v>0.13</v>
      </c>
      <c r="N3364" s="7" t="str">
        <f>VLOOKUP(F3364,HC!A$6:D$100,3,FALSE)</f>
        <v>NF-X1900</v>
      </c>
      <c r="O3364" s="7" t="str">
        <f>VLOOKUP(F3364,HC!A$6:D$1000,2,FALSE)</f>
        <v>sarojast</v>
      </c>
      <c r="P3364" t="s">
        <v>662</v>
      </c>
      <c r="Q3364" t="s">
        <v>687</v>
      </c>
      <c r="U3364">
        <f t="shared" si="54"/>
        <v>33</v>
      </c>
    </row>
    <row r="3365" spans="1:21" ht="37.5" customHeight="1" x14ac:dyDescent="0.25">
      <c r="A3365" s="40">
        <v>45200</v>
      </c>
      <c r="B3365" s="13">
        <v>40</v>
      </c>
      <c r="C3365" t="s">
        <v>3</v>
      </c>
      <c r="D3365" t="s">
        <v>4</v>
      </c>
      <c r="E3365" t="s">
        <v>5</v>
      </c>
      <c r="F3365">
        <v>113020667</v>
      </c>
      <c r="G3365" t="s">
        <v>380</v>
      </c>
      <c r="H3365" t="s">
        <v>403</v>
      </c>
      <c r="I3365">
        <v>0</v>
      </c>
      <c r="J3365">
        <v>0</v>
      </c>
      <c r="K3365">
        <v>0</v>
      </c>
      <c r="L3365">
        <v>0</v>
      </c>
      <c r="M3365">
        <v>0.06</v>
      </c>
      <c r="N3365" s="7" t="e">
        <f>VLOOKUP(F3365,HC!A$6:D$100,3,FALSE)</f>
        <v>#N/A</v>
      </c>
      <c r="O3365" s="7" t="str">
        <f>VLOOKUP(F3365,HC!A$6:D$1000,2,FALSE)</f>
        <v>mavpauli</v>
      </c>
      <c r="P3365" t="s">
        <v>661</v>
      </c>
      <c r="Q3365" t="s">
        <v>681</v>
      </c>
      <c r="U3365">
        <f t="shared" si="54"/>
        <v>12</v>
      </c>
    </row>
    <row r="3366" spans="1:21" ht="37.5" customHeight="1" x14ac:dyDescent="0.25">
      <c r="A3366" s="40">
        <v>45200</v>
      </c>
      <c r="B3366" s="13">
        <v>40</v>
      </c>
      <c r="C3366" t="s">
        <v>3</v>
      </c>
      <c r="D3366" t="s">
        <v>4</v>
      </c>
      <c r="E3366" t="s">
        <v>5</v>
      </c>
      <c r="F3366">
        <v>200404250</v>
      </c>
      <c r="G3366" t="s">
        <v>51</v>
      </c>
      <c r="H3366" t="s">
        <v>298</v>
      </c>
      <c r="I3366">
        <v>0</v>
      </c>
      <c r="J3366">
        <v>0</v>
      </c>
      <c r="K3366">
        <v>0</v>
      </c>
      <c r="L3366">
        <v>0</v>
      </c>
      <c r="M3366">
        <v>0.46</v>
      </c>
      <c r="N3366" s="7" t="e">
        <f>VLOOKUP(F3366,HC!A$6:D$100,3,FALSE)</f>
        <v>#N/A</v>
      </c>
      <c r="O3366" s="7" t="str">
        <f>VLOOKUP(F3366,HC!A$6:D$1000,2,FALSE)</f>
        <v>xcathurt</v>
      </c>
      <c r="P3366" t="s">
        <v>662</v>
      </c>
      <c r="U3366">
        <f t="shared" si="54"/>
        <v>124</v>
      </c>
    </row>
    <row r="3367" spans="1:21" ht="37.5" customHeight="1" x14ac:dyDescent="0.25">
      <c r="A3367" s="40">
        <v>45200</v>
      </c>
      <c r="B3367" s="13">
        <v>40</v>
      </c>
      <c r="C3367" t="s">
        <v>3</v>
      </c>
      <c r="D3367" t="s">
        <v>4</v>
      </c>
      <c r="E3367" t="s">
        <v>5</v>
      </c>
      <c r="F3367">
        <v>200594806</v>
      </c>
      <c r="G3367" t="s">
        <v>1281</v>
      </c>
      <c r="H3367" t="s">
        <v>44</v>
      </c>
      <c r="I3367">
        <v>0</v>
      </c>
      <c r="J3367">
        <v>0</v>
      </c>
      <c r="K3367">
        <v>0</v>
      </c>
      <c r="L3367">
        <v>0</v>
      </c>
      <c r="M3367">
        <v>0.13</v>
      </c>
      <c r="N3367" s="7" t="e">
        <f>VLOOKUP(F3367,HC!A$6:D$100,3,FALSE)</f>
        <v>#N/A</v>
      </c>
      <c r="O3367" s="7" t="str">
        <f>VLOOKUP(F3367,HC!A$6:D$1000,2,FALSE)</f>
        <v>zjorgedi</v>
      </c>
      <c r="P3367" t="s">
        <v>661</v>
      </c>
      <c r="Q3367" t="s">
        <v>681</v>
      </c>
      <c r="U3367">
        <f t="shared" si="54"/>
        <v>1</v>
      </c>
    </row>
    <row r="3368" spans="1:21" ht="37.5" customHeight="1" x14ac:dyDescent="0.25">
      <c r="A3368" s="40">
        <v>45200</v>
      </c>
      <c r="B3368" s="13">
        <v>40</v>
      </c>
      <c r="C3368" t="s">
        <v>3</v>
      </c>
      <c r="D3368" t="s">
        <v>4</v>
      </c>
      <c r="E3368" t="s">
        <v>5</v>
      </c>
      <c r="F3368">
        <v>201165769</v>
      </c>
      <c r="G3368" t="s">
        <v>903</v>
      </c>
      <c r="H3368" t="s">
        <v>285</v>
      </c>
      <c r="I3368">
        <v>0</v>
      </c>
      <c r="J3368">
        <v>0</v>
      </c>
      <c r="K3368">
        <v>0</v>
      </c>
      <c r="L3368">
        <v>0</v>
      </c>
      <c r="M3368">
        <v>0.28000000000000003</v>
      </c>
      <c r="N3368" s="7" t="e">
        <f>VLOOKUP(F3368,HC!A$6:D$100,3,FALSE)</f>
        <v>#N/A</v>
      </c>
      <c r="O3368" s="7" t="str">
        <f>VLOOKUP(F3368,HC!A$6:D$1000,2,FALSE)</f>
        <v>puenkare</v>
      </c>
      <c r="P3368" t="s">
        <v>664</v>
      </c>
      <c r="U3368">
        <f t="shared" si="54"/>
        <v>19</v>
      </c>
    </row>
    <row r="3369" spans="1:21" ht="37.5" customHeight="1" x14ac:dyDescent="0.25">
      <c r="A3369" s="40">
        <v>45200</v>
      </c>
      <c r="B3369" s="13">
        <v>40</v>
      </c>
      <c r="C3369" t="s">
        <v>3</v>
      </c>
      <c r="D3369" t="s">
        <v>4</v>
      </c>
      <c r="E3369" t="s">
        <v>5</v>
      </c>
      <c r="F3369">
        <v>201379035</v>
      </c>
      <c r="G3369" t="s">
        <v>1282</v>
      </c>
      <c r="H3369" t="s">
        <v>250</v>
      </c>
      <c r="I3369">
        <v>0</v>
      </c>
      <c r="J3369">
        <v>0</v>
      </c>
      <c r="K3369">
        <v>0</v>
      </c>
      <c r="L3369">
        <v>0</v>
      </c>
      <c r="M3369">
        <v>0.61</v>
      </c>
      <c r="N3369" s="7" t="e">
        <f>VLOOKUP(F3369,HC!A$6:D$100,3,FALSE)</f>
        <v>#N/A</v>
      </c>
      <c r="O3369" s="7" t="str">
        <f>VLOOKUP(F3369,HC!A$6:D$1000,2,FALSE)</f>
        <v>casqfern</v>
      </c>
      <c r="P3369" t="s">
        <v>664</v>
      </c>
      <c r="Q3369" t="s">
        <v>711</v>
      </c>
      <c r="U3369">
        <f t="shared" si="54"/>
        <v>1</v>
      </c>
    </row>
    <row r="3370" spans="1:21" ht="37.5" customHeight="1" x14ac:dyDescent="0.25">
      <c r="A3370" s="40">
        <v>45200</v>
      </c>
      <c r="B3370" s="13">
        <v>40</v>
      </c>
      <c r="C3370" t="s">
        <v>3</v>
      </c>
      <c r="D3370" t="s">
        <v>4</v>
      </c>
      <c r="E3370" t="s">
        <v>21</v>
      </c>
      <c r="F3370">
        <v>202070029</v>
      </c>
      <c r="G3370" t="s">
        <v>1283</v>
      </c>
      <c r="H3370" t="s">
        <v>1040</v>
      </c>
      <c r="I3370">
        <v>0</v>
      </c>
      <c r="J3370">
        <v>0</v>
      </c>
      <c r="K3370">
        <v>0</v>
      </c>
      <c r="L3370">
        <v>0</v>
      </c>
      <c r="M3370">
        <v>0.24</v>
      </c>
      <c r="N3370" s="7" t="e">
        <f>VLOOKUP(F3370,HC!A$6:D$100,3,FALSE)</f>
        <v>#N/A</v>
      </c>
      <c r="O3370" s="7" t="e">
        <f>VLOOKUP(F3370,HC!A$6:D$1000,2,FALSE)</f>
        <v>#N/A</v>
      </c>
      <c r="P3370" t="s">
        <v>661</v>
      </c>
      <c r="Q3370" t="s">
        <v>681</v>
      </c>
      <c r="U3370">
        <f t="shared" si="54"/>
        <v>1395</v>
      </c>
    </row>
    <row r="3371" spans="1:21" ht="37.5" customHeight="1" x14ac:dyDescent="0.25">
      <c r="A3371" s="40">
        <v>45201</v>
      </c>
      <c r="B3371" s="13">
        <v>40</v>
      </c>
      <c r="C3371" t="s">
        <v>3</v>
      </c>
      <c r="D3371" t="s">
        <v>4</v>
      </c>
      <c r="E3371" t="s">
        <v>5</v>
      </c>
      <c r="F3371">
        <v>112912203</v>
      </c>
      <c r="G3371" t="s">
        <v>778</v>
      </c>
      <c r="H3371" t="s">
        <v>282</v>
      </c>
      <c r="I3371">
        <v>0</v>
      </c>
      <c r="J3371">
        <v>0</v>
      </c>
      <c r="K3371">
        <v>0</v>
      </c>
      <c r="L3371">
        <v>0</v>
      </c>
      <c r="M3371">
        <v>0.31</v>
      </c>
      <c r="N3371" s="7" t="str">
        <f>VLOOKUP(F3371,HC!A$6:D$100,3,FALSE)</f>
        <v>DA-X0700</v>
      </c>
      <c r="O3371" s="7" t="str">
        <f>VLOOKUP(F3371,HC!A$6:D$1000,2,FALSE)</f>
        <v>omarleoa</v>
      </c>
      <c r="P3371" t="s">
        <v>663</v>
      </c>
      <c r="Q3371" t="s">
        <v>692</v>
      </c>
      <c r="U3371">
        <f t="shared" si="54"/>
        <v>5</v>
      </c>
    </row>
    <row r="3372" spans="1:21" ht="37.5" customHeight="1" x14ac:dyDescent="0.25">
      <c r="A3372" s="40">
        <v>45201</v>
      </c>
      <c r="B3372" s="13">
        <v>40</v>
      </c>
      <c r="C3372" t="s">
        <v>3</v>
      </c>
      <c r="D3372" t="s">
        <v>4</v>
      </c>
      <c r="E3372" t="s">
        <v>5</v>
      </c>
      <c r="F3372">
        <v>112981061</v>
      </c>
      <c r="G3372" t="s">
        <v>264</v>
      </c>
      <c r="H3372" t="s">
        <v>44</v>
      </c>
      <c r="I3372">
        <v>0</v>
      </c>
      <c r="J3372">
        <v>0</v>
      </c>
      <c r="K3372">
        <v>0</v>
      </c>
      <c r="L3372">
        <v>0</v>
      </c>
      <c r="M3372">
        <v>0.21</v>
      </c>
      <c r="N3372" s="7" t="str">
        <f>VLOOKUP(F3372,HC!A$6:D$100,3,FALSE)</f>
        <v>DA-X0700</v>
      </c>
      <c r="O3372" s="7" t="str">
        <f>VLOOKUP(F3372,HC!A$6:D$1000,2,FALSE)</f>
        <v>mclaudol</v>
      </c>
      <c r="P3372" t="s">
        <v>661</v>
      </c>
      <c r="Q3372" t="s">
        <v>681</v>
      </c>
      <c r="U3372">
        <f t="shared" si="54"/>
        <v>44</v>
      </c>
    </row>
    <row r="3373" spans="1:21" ht="37.5" customHeight="1" x14ac:dyDescent="0.25">
      <c r="A3373" s="40">
        <v>45201</v>
      </c>
      <c r="B3373" s="13">
        <v>40</v>
      </c>
      <c r="C3373" t="s">
        <v>3</v>
      </c>
      <c r="D3373" t="s">
        <v>4</v>
      </c>
      <c r="E3373" t="s">
        <v>5</v>
      </c>
      <c r="F3373">
        <v>113014470</v>
      </c>
      <c r="G3373" t="s">
        <v>374</v>
      </c>
      <c r="H3373" t="s">
        <v>44</v>
      </c>
      <c r="I3373">
        <v>0</v>
      </c>
      <c r="J3373">
        <v>0</v>
      </c>
      <c r="K3373">
        <v>0</v>
      </c>
      <c r="L3373">
        <v>0</v>
      </c>
      <c r="M3373">
        <v>0.2</v>
      </c>
      <c r="N3373" s="7" t="e">
        <f>VLOOKUP(F3373,HC!A$6:D$100,3,FALSE)</f>
        <v>#N/A</v>
      </c>
      <c r="O3373" s="7" t="str">
        <f>VLOOKUP(F3373,HC!A$6:D$1000,2,FALSE)</f>
        <v>lupaguin</v>
      </c>
      <c r="P3373" t="s">
        <v>663</v>
      </c>
      <c r="U3373">
        <f t="shared" si="54"/>
        <v>23</v>
      </c>
    </row>
    <row r="3374" spans="1:21" ht="37.5" customHeight="1" x14ac:dyDescent="0.25">
      <c r="A3374" s="40">
        <v>45201</v>
      </c>
      <c r="B3374" s="13">
        <v>40</v>
      </c>
      <c r="C3374" t="s">
        <v>3</v>
      </c>
      <c r="D3374" t="s">
        <v>4</v>
      </c>
      <c r="E3374" t="s">
        <v>5</v>
      </c>
      <c r="F3374">
        <v>113052151</v>
      </c>
      <c r="G3374" t="s">
        <v>482</v>
      </c>
      <c r="H3374" t="s">
        <v>17</v>
      </c>
      <c r="I3374">
        <v>0</v>
      </c>
      <c r="J3374">
        <v>0</v>
      </c>
      <c r="K3374">
        <v>0</v>
      </c>
      <c r="L3374">
        <v>0</v>
      </c>
      <c r="M3374">
        <v>0.16</v>
      </c>
      <c r="N3374" s="7" t="e">
        <f>VLOOKUP(F3374,HC!A$6:D$100,3,FALSE)</f>
        <v>#N/A</v>
      </c>
      <c r="O3374" s="7" t="str">
        <f>VLOOKUP(F3374,HC!A$6:D$1000,2,FALSE)</f>
        <v>nilaurab</v>
      </c>
      <c r="P3374" t="s">
        <v>670</v>
      </c>
      <c r="U3374">
        <f t="shared" si="54"/>
        <v>28</v>
      </c>
    </row>
    <row r="3375" spans="1:21" ht="37.5" customHeight="1" x14ac:dyDescent="0.25">
      <c r="A3375" s="40">
        <v>45201</v>
      </c>
      <c r="B3375" s="13">
        <v>40</v>
      </c>
      <c r="C3375" t="s">
        <v>3</v>
      </c>
      <c r="D3375" t="s">
        <v>4</v>
      </c>
      <c r="E3375" t="s">
        <v>5</v>
      </c>
      <c r="F3375">
        <v>200534675</v>
      </c>
      <c r="G3375" t="s">
        <v>534</v>
      </c>
      <c r="H3375" t="s">
        <v>250</v>
      </c>
      <c r="I3375">
        <v>0</v>
      </c>
      <c r="J3375">
        <v>0</v>
      </c>
      <c r="K3375">
        <v>0</v>
      </c>
      <c r="L3375">
        <v>0</v>
      </c>
      <c r="M3375">
        <v>0.17</v>
      </c>
      <c r="N3375" s="7" t="e">
        <f>VLOOKUP(F3375,HC!A$6:D$100,3,FALSE)</f>
        <v>#N/A</v>
      </c>
      <c r="O3375" s="7" t="str">
        <f>VLOOKUP(F3375,HC!A$6:D$1000,2,FALSE)</f>
        <v>juanpmun</v>
      </c>
      <c r="P3375" t="s">
        <v>664</v>
      </c>
      <c r="Q3375" t="s">
        <v>716</v>
      </c>
      <c r="U3375">
        <f t="shared" si="54"/>
        <v>16</v>
      </c>
    </row>
    <row r="3376" spans="1:21" ht="37.5" customHeight="1" x14ac:dyDescent="0.25">
      <c r="A3376" s="40">
        <v>45201</v>
      </c>
      <c r="B3376" s="13">
        <v>40</v>
      </c>
      <c r="C3376" t="s">
        <v>3</v>
      </c>
      <c r="D3376" t="s">
        <v>4</v>
      </c>
      <c r="E3376" t="s">
        <v>5</v>
      </c>
      <c r="F3376">
        <v>201162225</v>
      </c>
      <c r="G3376" t="s">
        <v>1111</v>
      </c>
      <c r="H3376" t="s">
        <v>285</v>
      </c>
      <c r="I3376">
        <v>0</v>
      </c>
      <c r="J3376">
        <v>0</v>
      </c>
      <c r="K3376">
        <v>0</v>
      </c>
      <c r="L3376">
        <v>0</v>
      </c>
      <c r="M3376">
        <v>0.1</v>
      </c>
      <c r="N3376" s="7" t="e">
        <f>VLOOKUP(F3376,HC!A$6:D$100,3,FALSE)</f>
        <v>#N/A</v>
      </c>
      <c r="O3376" s="7" t="str">
        <f>VLOOKUP(F3376,HC!A$6:D$1000,2,FALSE)</f>
        <v>isracoro</v>
      </c>
      <c r="P3376" t="s">
        <v>661</v>
      </c>
      <c r="Q3376" t="s">
        <v>681</v>
      </c>
      <c r="U3376">
        <f t="shared" si="54"/>
        <v>5</v>
      </c>
    </row>
    <row r="3377" spans="1:21" ht="37.5" customHeight="1" x14ac:dyDescent="0.25">
      <c r="A3377" s="40">
        <v>45201</v>
      </c>
      <c r="B3377" s="13">
        <v>40</v>
      </c>
      <c r="C3377" t="s">
        <v>3</v>
      </c>
      <c r="D3377" t="s">
        <v>4</v>
      </c>
      <c r="E3377" t="s">
        <v>5</v>
      </c>
      <c r="F3377">
        <v>201167501</v>
      </c>
      <c r="G3377" t="s">
        <v>863</v>
      </c>
      <c r="H3377" t="s">
        <v>44</v>
      </c>
      <c r="I3377">
        <v>0</v>
      </c>
      <c r="J3377">
        <v>0</v>
      </c>
      <c r="K3377">
        <v>0</v>
      </c>
      <c r="L3377">
        <v>0</v>
      </c>
      <c r="M3377">
        <v>0.41</v>
      </c>
      <c r="N3377" s="7" t="e">
        <f>VLOOKUP(F3377,HC!A$6:D$100,3,FALSE)</f>
        <v>#N/A</v>
      </c>
      <c r="O3377" s="7" t="str">
        <f>VLOOKUP(F3377,HC!A$6:D$1000,2,FALSE)</f>
        <v>wguanajr</v>
      </c>
      <c r="P3377" t="s">
        <v>664</v>
      </c>
      <c r="Q3377" t="s">
        <v>716</v>
      </c>
      <c r="U3377">
        <f t="shared" si="54"/>
        <v>36</v>
      </c>
    </row>
    <row r="3378" spans="1:21" ht="37.5" customHeight="1" x14ac:dyDescent="0.25">
      <c r="A3378" s="40">
        <v>45201</v>
      </c>
      <c r="B3378" s="13">
        <v>40</v>
      </c>
      <c r="C3378" t="s">
        <v>3</v>
      </c>
      <c r="D3378" t="s">
        <v>4</v>
      </c>
      <c r="E3378" t="s">
        <v>5</v>
      </c>
      <c r="F3378">
        <v>201185299</v>
      </c>
      <c r="G3378" t="s">
        <v>990</v>
      </c>
      <c r="H3378" t="s">
        <v>17</v>
      </c>
      <c r="I3378">
        <v>0</v>
      </c>
      <c r="J3378">
        <v>0</v>
      </c>
      <c r="K3378">
        <v>0</v>
      </c>
      <c r="L3378">
        <v>0</v>
      </c>
      <c r="M3378">
        <v>0.23</v>
      </c>
      <c r="N3378" s="7" t="e">
        <f>VLOOKUP(F3378,HC!A$6:D$100,3,FALSE)</f>
        <v>#N/A</v>
      </c>
      <c r="O3378" s="7" t="str">
        <f>VLOOKUP(F3378,HC!A$6:D$1000,2,FALSE)</f>
        <v>sganoemi</v>
      </c>
      <c r="P3378" t="s">
        <v>661</v>
      </c>
      <c r="Q3378" t="s">
        <v>681</v>
      </c>
      <c r="U3378">
        <f t="shared" si="54"/>
        <v>12</v>
      </c>
    </row>
    <row r="3379" spans="1:21" ht="37.5" customHeight="1" x14ac:dyDescent="0.25">
      <c r="A3379" s="40">
        <v>45201</v>
      </c>
      <c r="B3379" s="13">
        <v>40</v>
      </c>
      <c r="C3379" t="s">
        <v>3</v>
      </c>
      <c r="D3379" t="s">
        <v>4</v>
      </c>
      <c r="E3379" t="s">
        <v>5</v>
      </c>
      <c r="F3379">
        <v>201197964</v>
      </c>
      <c r="G3379" t="s">
        <v>1180</v>
      </c>
      <c r="H3379" t="s">
        <v>298</v>
      </c>
      <c r="I3379">
        <v>0</v>
      </c>
      <c r="J3379">
        <v>0</v>
      </c>
      <c r="K3379">
        <v>0</v>
      </c>
      <c r="L3379">
        <v>0</v>
      </c>
      <c r="M3379">
        <v>0.56999999999999995</v>
      </c>
      <c r="N3379" s="7" t="e">
        <f>VLOOKUP(F3379,HC!A$6:D$100,3,FALSE)</f>
        <v>#N/A</v>
      </c>
      <c r="O3379" s="7" t="str">
        <f>VLOOKUP(F3379,HC!A$6:D$1000,2,FALSE)</f>
        <v>matzquij</v>
      </c>
      <c r="P3379" t="s">
        <v>664</v>
      </c>
      <c r="U3379">
        <f t="shared" si="54"/>
        <v>16</v>
      </c>
    </row>
    <row r="3380" spans="1:21" ht="37.5" customHeight="1" x14ac:dyDescent="0.25">
      <c r="A3380" s="40">
        <v>45201</v>
      </c>
      <c r="B3380" s="13">
        <v>40</v>
      </c>
      <c r="C3380" t="s">
        <v>3</v>
      </c>
      <c r="D3380" t="s">
        <v>4</v>
      </c>
      <c r="E3380" t="s">
        <v>5</v>
      </c>
      <c r="F3380">
        <v>201401219</v>
      </c>
      <c r="G3380" t="s">
        <v>1160</v>
      </c>
      <c r="H3380" t="s">
        <v>1040</v>
      </c>
      <c r="I3380">
        <v>0</v>
      </c>
      <c r="J3380">
        <v>0</v>
      </c>
      <c r="K3380">
        <v>0</v>
      </c>
      <c r="L3380">
        <v>0</v>
      </c>
      <c r="M3380">
        <v>0.22</v>
      </c>
      <c r="N3380" s="7" t="e">
        <f>VLOOKUP(F3380,HC!A$6:D$100,3,FALSE)</f>
        <v>#N/A</v>
      </c>
      <c r="O3380" s="7" t="str">
        <f>VLOOKUP(F3380,HC!A$6:D$1000,2,FALSE)</f>
        <v>namorena</v>
      </c>
      <c r="P3380" t="s">
        <v>661</v>
      </c>
      <c r="Q3380" t="s">
        <v>681</v>
      </c>
      <c r="U3380">
        <f t="shared" si="54"/>
        <v>5</v>
      </c>
    </row>
    <row r="3381" spans="1:21" ht="37.5" customHeight="1" x14ac:dyDescent="0.25">
      <c r="A3381" s="40">
        <v>45201</v>
      </c>
      <c r="B3381" s="13">
        <v>40</v>
      </c>
      <c r="C3381" t="s">
        <v>3</v>
      </c>
      <c r="D3381" t="s">
        <v>4</v>
      </c>
      <c r="E3381" t="s">
        <v>21</v>
      </c>
      <c r="F3381">
        <v>201891076</v>
      </c>
      <c r="G3381" t="s">
        <v>1226</v>
      </c>
      <c r="H3381" t="s">
        <v>298</v>
      </c>
      <c r="I3381">
        <v>0</v>
      </c>
      <c r="J3381">
        <v>0</v>
      </c>
      <c r="K3381">
        <v>0</v>
      </c>
      <c r="L3381">
        <v>0</v>
      </c>
      <c r="M3381">
        <v>0.3</v>
      </c>
      <c r="N3381" s="7" t="e">
        <f>VLOOKUP(F3381,HC!A$6:D$100,3,FALSE)</f>
        <v>#N/A</v>
      </c>
      <c r="O3381" s="7" t="str">
        <f>VLOOKUP(F3381,HC!A$6:D$1000,2,FALSE)</f>
        <v>marmolve</v>
      </c>
      <c r="P3381" t="s">
        <v>661</v>
      </c>
      <c r="Q3381" t="s">
        <v>681</v>
      </c>
      <c r="U3381">
        <f t="shared" si="54"/>
        <v>9</v>
      </c>
    </row>
    <row r="3382" spans="1:21" ht="37.5" customHeight="1" x14ac:dyDescent="0.25">
      <c r="A3382" s="40">
        <v>45201</v>
      </c>
      <c r="B3382" s="13">
        <v>40</v>
      </c>
      <c r="C3382" t="s">
        <v>3</v>
      </c>
      <c r="D3382" t="s">
        <v>4</v>
      </c>
      <c r="E3382" t="s">
        <v>21</v>
      </c>
      <c r="F3382">
        <v>202063545</v>
      </c>
      <c r="G3382" t="s">
        <v>1275</v>
      </c>
      <c r="H3382" t="s">
        <v>17</v>
      </c>
      <c r="I3382">
        <v>0</v>
      </c>
      <c r="J3382">
        <v>0</v>
      </c>
      <c r="K3382">
        <v>0</v>
      </c>
      <c r="L3382">
        <v>0</v>
      </c>
      <c r="M3382">
        <v>0.32</v>
      </c>
      <c r="N3382" s="7" t="e">
        <f>VLOOKUP(F3382,HC!A$6:D$100,3,FALSE)</f>
        <v>#N/A</v>
      </c>
      <c r="O3382" s="7" t="str">
        <f>VLOOKUP(F3382,HC!A$6:D$1000,2,FALSE)</f>
        <v>angarcz</v>
      </c>
      <c r="P3382" t="s">
        <v>664</v>
      </c>
      <c r="Q3382" t="s">
        <v>777</v>
      </c>
      <c r="U3382">
        <f t="shared" si="54"/>
        <v>9</v>
      </c>
    </row>
    <row r="3383" spans="1:21" ht="37.5" customHeight="1" x14ac:dyDescent="0.25">
      <c r="A3383" s="40">
        <v>45201</v>
      </c>
      <c r="B3383" s="13">
        <v>40</v>
      </c>
      <c r="C3383" t="s">
        <v>3</v>
      </c>
      <c r="D3383" t="s">
        <v>4</v>
      </c>
      <c r="E3383" t="s">
        <v>21</v>
      </c>
      <c r="F3383">
        <v>202099144</v>
      </c>
      <c r="G3383" t="s">
        <v>1284</v>
      </c>
      <c r="H3383" t="s">
        <v>17</v>
      </c>
      <c r="I3383">
        <v>0</v>
      </c>
      <c r="J3383">
        <v>0</v>
      </c>
      <c r="K3383">
        <v>0</v>
      </c>
      <c r="L3383">
        <v>0</v>
      </c>
      <c r="M3383">
        <v>0.28000000000000003</v>
      </c>
      <c r="N3383" s="7" t="e">
        <f>VLOOKUP(F3383,HC!A$6:D$100,3,FALSE)</f>
        <v>#N/A</v>
      </c>
      <c r="O3383" s="7" t="str">
        <f>VLOOKUP(F3383,HC!A$6:D$1000,2,FALSE)</f>
        <v>moralriv</v>
      </c>
      <c r="P3383" t="s">
        <v>664</v>
      </c>
      <c r="U3383">
        <f t="shared" si="54"/>
        <v>2</v>
      </c>
    </row>
    <row r="3384" spans="1:21" ht="37.5" customHeight="1" x14ac:dyDescent="0.25">
      <c r="A3384" s="40">
        <v>45202</v>
      </c>
      <c r="B3384" s="13">
        <v>40</v>
      </c>
      <c r="C3384" t="s">
        <v>3</v>
      </c>
      <c r="D3384" t="s">
        <v>4</v>
      </c>
      <c r="E3384" t="s">
        <v>5</v>
      </c>
      <c r="F3384">
        <v>112912203</v>
      </c>
      <c r="G3384" t="s">
        <v>778</v>
      </c>
      <c r="H3384" t="s">
        <v>282</v>
      </c>
      <c r="I3384">
        <v>0</v>
      </c>
      <c r="J3384">
        <v>0</v>
      </c>
      <c r="K3384">
        <v>0</v>
      </c>
      <c r="L3384">
        <v>0</v>
      </c>
      <c r="M3384">
        <v>0.35</v>
      </c>
      <c r="N3384" s="7" t="str">
        <f>VLOOKUP(F3384,HC!A$6:D$100,3,FALSE)</f>
        <v>DA-X0700</v>
      </c>
      <c r="O3384" s="7" t="str">
        <f>VLOOKUP(F3384,HC!A$6:D$1000,2,FALSE)</f>
        <v>omarleoa</v>
      </c>
      <c r="P3384" t="s">
        <v>663</v>
      </c>
      <c r="U3384">
        <f t="shared" si="54"/>
        <v>5</v>
      </c>
    </row>
    <row r="3385" spans="1:21" ht="37.5" customHeight="1" x14ac:dyDescent="0.25">
      <c r="A3385" s="40">
        <v>45202</v>
      </c>
      <c r="B3385" s="13">
        <v>40</v>
      </c>
      <c r="C3385" t="s">
        <v>3</v>
      </c>
      <c r="D3385" t="s">
        <v>4</v>
      </c>
      <c r="E3385" t="s">
        <v>5</v>
      </c>
      <c r="F3385">
        <v>112950797</v>
      </c>
      <c r="G3385" t="s">
        <v>11</v>
      </c>
      <c r="H3385" t="s">
        <v>282</v>
      </c>
      <c r="I3385">
        <v>0</v>
      </c>
      <c r="J3385">
        <v>0</v>
      </c>
      <c r="K3385">
        <v>0</v>
      </c>
      <c r="L3385">
        <v>0</v>
      </c>
      <c r="M3385">
        <v>0.19</v>
      </c>
      <c r="N3385" s="7" t="str">
        <f>VLOOKUP(F3385,HC!A$6:D$100,3,FALSE)</f>
        <v>DA-X0700</v>
      </c>
      <c r="O3385" s="7" t="str">
        <f>VLOOKUP(F3385,HC!A$6:D$1000,2,FALSE)</f>
        <v>hesdenis</v>
      </c>
      <c r="P3385" t="s">
        <v>662</v>
      </c>
      <c r="U3385">
        <f t="shared" si="54"/>
        <v>7</v>
      </c>
    </row>
    <row r="3386" spans="1:21" ht="37.5" customHeight="1" x14ac:dyDescent="0.25">
      <c r="A3386" s="40">
        <v>45202</v>
      </c>
      <c r="B3386" s="13">
        <v>40</v>
      </c>
      <c r="C3386" t="s">
        <v>3</v>
      </c>
      <c r="D3386" t="s">
        <v>4</v>
      </c>
      <c r="E3386" t="s">
        <v>5</v>
      </c>
      <c r="F3386">
        <v>112955736</v>
      </c>
      <c r="G3386" t="s">
        <v>983</v>
      </c>
      <c r="H3386" t="s">
        <v>332</v>
      </c>
      <c r="I3386">
        <v>0</v>
      </c>
      <c r="J3386">
        <v>0</v>
      </c>
      <c r="K3386">
        <v>0</v>
      </c>
      <c r="L3386">
        <v>0</v>
      </c>
      <c r="M3386">
        <v>0.23</v>
      </c>
      <c r="N3386" s="7" t="str">
        <f>VLOOKUP(F3386,HC!A$6:D$100,3,FALSE)</f>
        <v>DA-X0700</v>
      </c>
      <c r="O3386" s="7" t="str">
        <f>VLOOKUP(F3386,HC!A$6:D$1000,2,FALSE)</f>
        <v>cueplalo</v>
      </c>
      <c r="U3386">
        <f t="shared" si="54"/>
        <v>4</v>
      </c>
    </row>
    <row r="3387" spans="1:21" ht="37.5" customHeight="1" x14ac:dyDescent="0.25">
      <c r="A3387" s="40">
        <v>45202</v>
      </c>
      <c r="B3387" s="13">
        <v>40</v>
      </c>
      <c r="C3387" t="s">
        <v>3</v>
      </c>
      <c r="D3387" t="s">
        <v>4</v>
      </c>
      <c r="E3387" t="s">
        <v>5</v>
      </c>
      <c r="F3387">
        <v>112972958</v>
      </c>
      <c r="G3387" t="s">
        <v>441</v>
      </c>
      <c r="H3387" t="s">
        <v>459</v>
      </c>
      <c r="I3387">
        <v>0</v>
      </c>
      <c r="J3387">
        <v>0</v>
      </c>
      <c r="K3387">
        <v>0</v>
      </c>
      <c r="L3387">
        <v>0</v>
      </c>
      <c r="M3387">
        <v>0.04</v>
      </c>
      <c r="N3387" s="7" t="str">
        <f>VLOOKUP(F3387,HC!A$6:D$100,3,FALSE)</f>
        <v>D5-X0700</v>
      </c>
      <c r="O3387" s="7" t="str">
        <f>VLOOKUP(F3387,HC!A$6:D$1000,2,FALSE)</f>
        <v>ugonzgui</v>
      </c>
      <c r="U3387">
        <f t="shared" si="54"/>
        <v>13</v>
      </c>
    </row>
    <row r="3388" spans="1:21" ht="37.5" customHeight="1" x14ac:dyDescent="0.25">
      <c r="A3388" s="40">
        <v>45202</v>
      </c>
      <c r="B3388" s="13">
        <v>40</v>
      </c>
      <c r="C3388" t="s">
        <v>3</v>
      </c>
      <c r="D3388" t="s">
        <v>4</v>
      </c>
      <c r="E3388" t="s">
        <v>5</v>
      </c>
      <c r="F3388">
        <v>112980812</v>
      </c>
      <c r="G3388" t="s">
        <v>324</v>
      </c>
      <c r="H3388" t="s">
        <v>1040</v>
      </c>
      <c r="I3388">
        <v>0</v>
      </c>
      <c r="J3388">
        <v>0</v>
      </c>
      <c r="K3388">
        <v>0</v>
      </c>
      <c r="L3388">
        <v>0</v>
      </c>
      <c r="M3388">
        <v>0.28000000000000003</v>
      </c>
      <c r="N3388" s="7" t="str">
        <f>VLOOKUP(F3388,HC!A$6:D$100,3,FALSE)</f>
        <v>DA-X0700</v>
      </c>
      <c r="O3388" s="7" t="str">
        <f>VLOOKUP(F3388,HC!A$6:D$1000,2,FALSE)</f>
        <v>maryjacp</v>
      </c>
      <c r="P3388" t="s">
        <v>661</v>
      </c>
      <c r="U3388">
        <f t="shared" si="54"/>
        <v>15</v>
      </c>
    </row>
    <row r="3389" spans="1:21" ht="37.5" customHeight="1" x14ac:dyDescent="0.25">
      <c r="A3389" s="40">
        <v>45202</v>
      </c>
      <c r="B3389" s="13">
        <v>40</v>
      </c>
      <c r="C3389" t="s">
        <v>3</v>
      </c>
      <c r="D3389" t="s">
        <v>4</v>
      </c>
      <c r="E3389" t="s">
        <v>5</v>
      </c>
      <c r="F3389">
        <v>113014042</v>
      </c>
      <c r="G3389" t="s">
        <v>329</v>
      </c>
      <c r="H3389" t="s">
        <v>47</v>
      </c>
      <c r="I3389">
        <v>0</v>
      </c>
      <c r="J3389">
        <v>0</v>
      </c>
      <c r="K3389">
        <v>0</v>
      </c>
      <c r="L3389">
        <v>0</v>
      </c>
      <c r="M3389">
        <v>0.28999999999999998</v>
      </c>
      <c r="N3389" s="7" t="e">
        <f>VLOOKUP(F3389,HC!A$6:D$100,3,FALSE)</f>
        <v>#N/A</v>
      </c>
      <c r="O3389" s="7" t="str">
        <f>VLOOKUP(F3389,HC!A$6:D$1000,2,FALSE)</f>
        <v>rfcervan</v>
      </c>
      <c r="P3389" t="s">
        <v>670</v>
      </c>
      <c r="U3389">
        <f t="shared" si="54"/>
        <v>23</v>
      </c>
    </row>
    <row r="3390" spans="1:21" ht="37.5" customHeight="1" x14ac:dyDescent="0.25">
      <c r="A3390" s="40">
        <v>45202</v>
      </c>
      <c r="B3390" s="13">
        <v>40</v>
      </c>
      <c r="C3390" t="s">
        <v>3</v>
      </c>
      <c r="D3390" t="s">
        <v>4</v>
      </c>
      <c r="E3390" t="s">
        <v>5</v>
      </c>
      <c r="F3390">
        <v>113014074</v>
      </c>
      <c r="G3390" t="s">
        <v>1216</v>
      </c>
      <c r="H3390" t="s">
        <v>263</v>
      </c>
      <c r="I3390">
        <v>0</v>
      </c>
      <c r="J3390">
        <v>0</v>
      </c>
      <c r="K3390">
        <v>0</v>
      </c>
      <c r="L3390">
        <v>0</v>
      </c>
      <c r="M3390">
        <v>0.17</v>
      </c>
      <c r="N3390" s="7" t="e">
        <f>VLOOKUP(F3390,HC!A$6:D$100,3,FALSE)</f>
        <v>#N/A</v>
      </c>
      <c r="O3390" s="7" t="e">
        <f>VLOOKUP(F3390,HC!A$6:D$1000,2,FALSE)</f>
        <v>#N/A</v>
      </c>
      <c r="P3390" t="s">
        <v>661</v>
      </c>
      <c r="U3390">
        <f t="shared" si="54"/>
        <v>1395</v>
      </c>
    </row>
    <row r="3391" spans="1:21" ht="37.5" customHeight="1" x14ac:dyDescent="0.25">
      <c r="A3391" s="40">
        <v>45202</v>
      </c>
      <c r="B3391" s="13">
        <v>40</v>
      </c>
      <c r="C3391" t="s">
        <v>3</v>
      </c>
      <c r="D3391" t="s">
        <v>4</v>
      </c>
      <c r="E3391" t="s">
        <v>5</v>
      </c>
      <c r="F3391">
        <v>113020476</v>
      </c>
      <c r="G3391" t="s">
        <v>330</v>
      </c>
      <c r="H3391" t="s">
        <v>7</v>
      </c>
      <c r="I3391">
        <v>0</v>
      </c>
      <c r="J3391">
        <v>0</v>
      </c>
      <c r="K3391">
        <v>0</v>
      </c>
      <c r="L3391">
        <v>0</v>
      </c>
      <c r="M3391">
        <v>0.6</v>
      </c>
      <c r="N3391" s="7" t="e">
        <f>VLOOKUP(F3391,HC!A$6:D$100,3,FALSE)</f>
        <v>#N/A</v>
      </c>
      <c r="O3391" s="7" t="str">
        <f>VLOOKUP(F3391,HC!A$6:D$1000,2,FALSE)</f>
        <v>polettpu</v>
      </c>
      <c r="P3391" t="s">
        <v>665</v>
      </c>
      <c r="U3391">
        <f t="shared" si="54"/>
        <v>55</v>
      </c>
    </row>
    <row r="3392" spans="1:21" ht="37.5" customHeight="1" x14ac:dyDescent="0.25">
      <c r="A3392" s="40">
        <v>45202</v>
      </c>
      <c r="B3392" s="13">
        <v>40</v>
      </c>
      <c r="C3392" t="s">
        <v>3</v>
      </c>
      <c r="D3392" t="s">
        <v>4</v>
      </c>
      <c r="E3392" t="s">
        <v>5</v>
      </c>
      <c r="F3392">
        <v>200404250</v>
      </c>
      <c r="G3392" t="s">
        <v>51</v>
      </c>
      <c r="H3392" t="s">
        <v>298</v>
      </c>
      <c r="I3392">
        <v>0</v>
      </c>
      <c r="J3392">
        <v>0</v>
      </c>
      <c r="K3392">
        <v>0</v>
      </c>
      <c r="L3392">
        <v>0</v>
      </c>
      <c r="M3392">
        <v>1.1599999999999999</v>
      </c>
      <c r="N3392" s="7" t="e">
        <f>VLOOKUP(F3392,HC!A$6:D$100,3,FALSE)</f>
        <v>#N/A</v>
      </c>
      <c r="O3392" s="7" t="str">
        <f>VLOOKUP(F3392,HC!A$6:D$1000,2,FALSE)</f>
        <v>xcathurt</v>
      </c>
      <c r="P3392" t="s">
        <v>662</v>
      </c>
      <c r="U3392">
        <f t="shared" si="54"/>
        <v>124</v>
      </c>
    </row>
    <row r="3393" spans="1:21" ht="37.5" customHeight="1" x14ac:dyDescent="0.25">
      <c r="A3393" s="40">
        <v>45202</v>
      </c>
      <c r="B3393" s="13">
        <v>40</v>
      </c>
      <c r="C3393" t="s">
        <v>3</v>
      </c>
      <c r="D3393" t="s">
        <v>4</v>
      </c>
      <c r="E3393" t="s">
        <v>5</v>
      </c>
      <c r="F3393">
        <v>200625528</v>
      </c>
      <c r="G3393" t="s">
        <v>607</v>
      </c>
      <c r="H3393" t="s">
        <v>285</v>
      </c>
      <c r="I3393">
        <v>0</v>
      </c>
      <c r="J3393">
        <v>0</v>
      </c>
      <c r="K3393">
        <v>0</v>
      </c>
      <c r="L3393">
        <v>0</v>
      </c>
      <c r="M3393">
        <v>0.26</v>
      </c>
      <c r="N3393" s="7" t="e">
        <f>VLOOKUP(F3393,HC!A$6:D$100,3,FALSE)</f>
        <v>#N/A</v>
      </c>
      <c r="O3393" s="7" t="str">
        <f>VLOOKUP(F3393,HC!A$6:D$1000,2,FALSE)</f>
        <v>olivlizb</v>
      </c>
      <c r="P3393" t="s">
        <v>665</v>
      </c>
      <c r="U3393">
        <f t="shared" si="54"/>
        <v>50</v>
      </c>
    </row>
    <row r="3394" spans="1:21" ht="37.5" customHeight="1" x14ac:dyDescent="0.25">
      <c r="A3394" s="40">
        <v>45202</v>
      </c>
      <c r="B3394" s="13">
        <v>40</v>
      </c>
      <c r="C3394" t="s">
        <v>3</v>
      </c>
      <c r="D3394" t="s">
        <v>4</v>
      </c>
      <c r="E3394" t="s">
        <v>5</v>
      </c>
      <c r="F3394">
        <v>201191198</v>
      </c>
      <c r="G3394" t="s">
        <v>974</v>
      </c>
      <c r="H3394" t="s">
        <v>17</v>
      </c>
      <c r="I3394">
        <v>0</v>
      </c>
      <c r="J3394">
        <v>0</v>
      </c>
      <c r="K3394">
        <v>0</v>
      </c>
      <c r="L3394">
        <v>0</v>
      </c>
      <c r="M3394">
        <v>0.08</v>
      </c>
      <c r="N3394" s="7" t="e">
        <f>VLOOKUP(F3394,HC!A$6:D$100,3,FALSE)</f>
        <v>#N/A</v>
      </c>
      <c r="O3394" s="7" t="str">
        <f>VLOOKUP(F3394,HC!A$6:D$1000,2,FALSE)</f>
        <v>mojicemm</v>
      </c>
      <c r="P3394" t="s">
        <v>663</v>
      </c>
      <c r="U3394">
        <f t="shared" si="54"/>
        <v>24</v>
      </c>
    </row>
    <row r="3395" spans="1:21" ht="37.5" customHeight="1" x14ac:dyDescent="0.25">
      <c r="A3395" s="40">
        <v>45202</v>
      </c>
      <c r="B3395" s="13">
        <v>40</v>
      </c>
      <c r="C3395" t="s">
        <v>3</v>
      </c>
      <c r="D3395" t="s">
        <v>4</v>
      </c>
      <c r="E3395" t="s">
        <v>5</v>
      </c>
      <c r="F3395">
        <v>201223730</v>
      </c>
      <c r="G3395" t="s">
        <v>933</v>
      </c>
      <c r="H3395" t="s">
        <v>49</v>
      </c>
      <c r="I3395">
        <v>0</v>
      </c>
      <c r="J3395">
        <v>0</v>
      </c>
      <c r="K3395">
        <v>0</v>
      </c>
      <c r="L3395">
        <v>0</v>
      </c>
      <c r="M3395">
        <v>0.89</v>
      </c>
      <c r="N3395" s="7" t="e">
        <f>VLOOKUP(F3395,HC!A$6:D$100,3,FALSE)</f>
        <v>#N/A</v>
      </c>
      <c r="O3395" s="7" t="str">
        <f>VLOOKUP(F3395,HC!A$6:D$1000,2,FALSE)</f>
        <v>cesarito</v>
      </c>
      <c r="P3395" t="s">
        <v>675</v>
      </c>
      <c r="U3395">
        <f t="shared" ref="U3395:U3458" si="55">COUNTIF(O$2:O$4999,O3395)</f>
        <v>39</v>
      </c>
    </row>
    <row r="3396" spans="1:21" ht="37.5" customHeight="1" x14ac:dyDescent="0.25">
      <c r="A3396" s="40">
        <v>45202</v>
      </c>
      <c r="B3396" s="13">
        <v>40</v>
      </c>
      <c r="C3396" t="s">
        <v>3</v>
      </c>
      <c r="D3396" t="s">
        <v>4</v>
      </c>
      <c r="E3396" t="s">
        <v>5</v>
      </c>
      <c r="F3396">
        <v>201228411</v>
      </c>
      <c r="G3396" t="s">
        <v>938</v>
      </c>
      <c r="H3396" t="s">
        <v>49</v>
      </c>
      <c r="I3396">
        <v>0</v>
      </c>
      <c r="J3396">
        <v>0</v>
      </c>
      <c r="K3396">
        <v>0</v>
      </c>
      <c r="L3396">
        <v>0</v>
      </c>
      <c r="M3396">
        <v>0.86</v>
      </c>
      <c r="N3396" s="7" t="e">
        <f>VLOOKUP(F3396,HC!A$6:D$100,3,FALSE)</f>
        <v>#N/A</v>
      </c>
      <c r="O3396" s="7" t="str">
        <f>VLOOKUP(F3396,HC!A$6:D$1000,2,FALSE)</f>
        <v>jazmiwhe</v>
      </c>
      <c r="P3396" t="s">
        <v>675</v>
      </c>
      <c r="U3396">
        <f t="shared" si="55"/>
        <v>36</v>
      </c>
    </row>
    <row r="3397" spans="1:21" ht="37.5" customHeight="1" x14ac:dyDescent="0.25">
      <c r="A3397" s="40">
        <v>45202</v>
      </c>
      <c r="B3397" s="13">
        <v>40</v>
      </c>
      <c r="C3397" t="s">
        <v>3</v>
      </c>
      <c r="D3397" t="s">
        <v>4</v>
      </c>
      <c r="E3397" t="s">
        <v>5</v>
      </c>
      <c r="F3397">
        <v>201294058</v>
      </c>
      <c r="G3397" t="s">
        <v>985</v>
      </c>
      <c r="H3397" t="s">
        <v>1040</v>
      </c>
      <c r="I3397">
        <v>0</v>
      </c>
      <c r="J3397">
        <v>0</v>
      </c>
      <c r="K3397">
        <v>0</v>
      </c>
      <c r="L3397">
        <v>0</v>
      </c>
      <c r="M3397">
        <v>0.31</v>
      </c>
      <c r="N3397" s="7" t="e">
        <f>VLOOKUP(F3397,HC!A$6:D$100,3,FALSE)</f>
        <v>#N/A</v>
      </c>
      <c r="O3397" s="7" t="str">
        <f>VLOOKUP(F3397,HC!A$6:D$1000,2,FALSE)</f>
        <v>alerikat</v>
      </c>
      <c r="P3397" t="s">
        <v>664</v>
      </c>
      <c r="U3397">
        <f t="shared" si="55"/>
        <v>6</v>
      </c>
    </row>
    <row r="3398" spans="1:21" ht="37.5" customHeight="1" x14ac:dyDescent="0.25">
      <c r="A3398" s="40">
        <v>45202</v>
      </c>
      <c r="B3398" s="13">
        <v>40</v>
      </c>
      <c r="C3398" t="s">
        <v>3</v>
      </c>
      <c r="D3398" t="s">
        <v>4</v>
      </c>
      <c r="E3398" t="s">
        <v>5</v>
      </c>
      <c r="F3398">
        <v>201345737</v>
      </c>
      <c r="G3398" t="s">
        <v>1083</v>
      </c>
      <c r="H3398" t="s">
        <v>263</v>
      </c>
      <c r="I3398">
        <v>0</v>
      </c>
      <c r="J3398">
        <v>0</v>
      </c>
      <c r="K3398">
        <v>0</v>
      </c>
      <c r="L3398">
        <v>0</v>
      </c>
      <c r="M3398">
        <v>0.19</v>
      </c>
      <c r="N3398" s="7" t="e">
        <f>VLOOKUP(F3398,HC!A$6:D$100,3,FALSE)</f>
        <v>#N/A</v>
      </c>
      <c r="O3398" s="7" t="str">
        <f>VLOOKUP(F3398,HC!A$6:D$1000,2,FALSE)</f>
        <v>upacoros</v>
      </c>
      <c r="P3398" t="s">
        <v>663</v>
      </c>
      <c r="U3398">
        <f t="shared" si="55"/>
        <v>11</v>
      </c>
    </row>
    <row r="3399" spans="1:21" ht="37.5" customHeight="1" x14ac:dyDescent="0.25">
      <c r="A3399" s="40">
        <v>45202</v>
      </c>
      <c r="B3399" s="13">
        <v>40</v>
      </c>
      <c r="C3399" t="s">
        <v>3</v>
      </c>
      <c r="D3399" t="s">
        <v>4</v>
      </c>
      <c r="E3399" t="s">
        <v>5</v>
      </c>
      <c r="F3399">
        <v>201396328</v>
      </c>
      <c r="G3399" t="s">
        <v>1171</v>
      </c>
      <c r="H3399" t="s">
        <v>250</v>
      </c>
      <c r="I3399">
        <v>0</v>
      </c>
      <c r="J3399">
        <v>0</v>
      </c>
      <c r="K3399">
        <v>0</v>
      </c>
      <c r="L3399">
        <v>0</v>
      </c>
      <c r="M3399">
        <v>0.12</v>
      </c>
      <c r="N3399" s="7" t="e">
        <f>VLOOKUP(F3399,HC!A$6:D$100,3,FALSE)</f>
        <v>#N/A</v>
      </c>
      <c r="O3399" s="7" t="str">
        <f>VLOOKUP(F3399,HC!A$6:D$1000,2,FALSE)</f>
        <v>nalcanch</v>
      </c>
      <c r="P3399" t="s">
        <v>664</v>
      </c>
      <c r="U3399">
        <f t="shared" si="55"/>
        <v>12</v>
      </c>
    </row>
    <row r="3400" spans="1:21" ht="37.5" customHeight="1" x14ac:dyDescent="0.25">
      <c r="A3400" s="40">
        <v>45202</v>
      </c>
      <c r="B3400" s="13">
        <v>40</v>
      </c>
      <c r="C3400" t="s">
        <v>3</v>
      </c>
      <c r="D3400" t="s">
        <v>4</v>
      </c>
      <c r="E3400" t="s">
        <v>5</v>
      </c>
      <c r="F3400">
        <v>201403462</v>
      </c>
      <c r="G3400" t="s">
        <v>1054</v>
      </c>
      <c r="H3400" t="s">
        <v>47</v>
      </c>
      <c r="I3400">
        <v>0</v>
      </c>
      <c r="J3400">
        <v>0</v>
      </c>
      <c r="K3400">
        <v>0</v>
      </c>
      <c r="L3400">
        <v>0</v>
      </c>
      <c r="M3400">
        <v>0.46</v>
      </c>
      <c r="N3400" s="7" t="e">
        <f>VLOOKUP(F3400,HC!A$6:D$100,3,FALSE)</f>
        <v>#N/A</v>
      </c>
      <c r="O3400" s="7" t="str">
        <f>VLOOKUP(F3400,HC!A$6:D$1000,2,FALSE)</f>
        <v>valdojoe</v>
      </c>
      <c r="P3400" t="s">
        <v>661</v>
      </c>
      <c r="U3400">
        <f t="shared" si="55"/>
        <v>22</v>
      </c>
    </row>
    <row r="3401" spans="1:21" ht="37.5" customHeight="1" x14ac:dyDescent="0.25">
      <c r="A3401" s="40">
        <v>45202</v>
      </c>
      <c r="B3401" s="13">
        <v>40</v>
      </c>
      <c r="C3401" t="s">
        <v>3</v>
      </c>
      <c r="D3401" t="s">
        <v>4</v>
      </c>
      <c r="E3401" t="s">
        <v>21</v>
      </c>
      <c r="F3401">
        <v>201842064</v>
      </c>
      <c r="G3401" t="s">
        <v>1241</v>
      </c>
      <c r="H3401" t="s">
        <v>17</v>
      </c>
      <c r="I3401">
        <v>0</v>
      </c>
      <c r="J3401">
        <v>0</v>
      </c>
      <c r="K3401">
        <v>0</v>
      </c>
      <c r="L3401">
        <v>0</v>
      </c>
      <c r="M3401">
        <v>0.14000000000000001</v>
      </c>
      <c r="N3401" s="7" t="e">
        <f>VLOOKUP(F3401,HC!A$6:D$100,3,FALSE)</f>
        <v>#N/A</v>
      </c>
      <c r="O3401" s="7" t="str">
        <f>VLOOKUP(F3401,HC!A$6:D$1000,2,FALSE)</f>
        <v>agriandl</v>
      </c>
      <c r="P3401" t="s">
        <v>661</v>
      </c>
      <c r="U3401">
        <f t="shared" si="55"/>
        <v>12</v>
      </c>
    </row>
    <row r="3402" spans="1:21" ht="37.5" customHeight="1" x14ac:dyDescent="0.25">
      <c r="A3402" s="40">
        <v>45202</v>
      </c>
      <c r="B3402" s="13">
        <v>40</v>
      </c>
      <c r="C3402" t="s">
        <v>3</v>
      </c>
      <c r="D3402" t="s">
        <v>4</v>
      </c>
      <c r="E3402" t="s">
        <v>21</v>
      </c>
      <c r="F3402">
        <v>201880542</v>
      </c>
      <c r="G3402" t="s">
        <v>1225</v>
      </c>
      <c r="H3402" t="s">
        <v>298</v>
      </c>
      <c r="I3402">
        <v>0</v>
      </c>
      <c r="J3402">
        <v>0</v>
      </c>
      <c r="K3402">
        <v>0</v>
      </c>
      <c r="L3402">
        <v>0</v>
      </c>
      <c r="M3402">
        <v>0.2</v>
      </c>
      <c r="N3402" s="7" t="e">
        <f>VLOOKUP(F3402,HC!A$6:D$100,3,FALSE)</f>
        <v>#N/A</v>
      </c>
      <c r="O3402" s="7" t="str">
        <f>VLOOKUP(F3402,HC!A$6:D$1000,2,FALSE)</f>
        <v>orticorp</v>
      </c>
      <c r="P3402" t="s">
        <v>664</v>
      </c>
      <c r="U3402">
        <f t="shared" si="55"/>
        <v>24</v>
      </c>
    </row>
    <row r="3403" spans="1:21" ht="37.5" customHeight="1" x14ac:dyDescent="0.25">
      <c r="A3403" s="40">
        <v>45202</v>
      </c>
      <c r="B3403" s="13">
        <v>40</v>
      </c>
      <c r="C3403" t="s">
        <v>3</v>
      </c>
      <c r="D3403" t="s">
        <v>4</v>
      </c>
      <c r="E3403" t="s">
        <v>21</v>
      </c>
      <c r="F3403">
        <v>202052420</v>
      </c>
      <c r="G3403" t="s">
        <v>1285</v>
      </c>
      <c r="H3403" t="s">
        <v>14</v>
      </c>
      <c r="I3403">
        <v>0</v>
      </c>
      <c r="J3403">
        <v>0</v>
      </c>
      <c r="K3403">
        <v>0</v>
      </c>
      <c r="L3403">
        <v>0</v>
      </c>
      <c r="M3403">
        <v>0.19</v>
      </c>
      <c r="N3403" s="7" t="e">
        <f>VLOOKUP(F3403,HC!A$6:D$100,3,FALSE)</f>
        <v>#N/A</v>
      </c>
      <c r="O3403" s="7" t="e">
        <f>VLOOKUP(F3403,HC!A$6:D$1000,2,FALSE)</f>
        <v>#N/A</v>
      </c>
      <c r="P3403" t="s">
        <v>661</v>
      </c>
      <c r="U3403">
        <f t="shared" si="55"/>
        <v>1395</v>
      </c>
    </row>
    <row r="3404" spans="1:21" ht="37.5" customHeight="1" x14ac:dyDescent="0.25">
      <c r="A3404" s="40">
        <v>45202</v>
      </c>
      <c r="B3404" s="13">
        <v>40</v>
      </c>
      <c r="C3404" t="s">
        <v>3</v>
      </c>
      <c r="D3404" t="s">
        <v>4</v>
      </c>
      <c r="E3404" t="s">
        <v>21</v>
      </c>
      <c r="F3404">
        <v>202070029</v>
      </c>
      <c r="G3404" t="s">
        <v>1283</v>
      </c>
      <c r="H3404" t="s">
        <v>1040</v>
      </c>
      <c r="I3404">
        <v>0</v>
      </c>
      <c r="J3404">
        <v>0</v>
      </c>
      <c r="K3404">
        <v>0</v>
      </c>
      <c r="L3404">
        <v>0</v>
      </c>
      <c r="M3404">
        <v>0.15</v>
      </c>
      <c r="N3404" s="7" t="e">
        <f>VLOOKUP(F3404,HC!A$6:D$100,3,FALSE)</f>
        <v>#N/A</v>
      </c>
      <c r="O3404" s="7" t="e">
        <f>VLOOKUP(F3404,HC!A$6:D$1000,2,FALSE)</f>
        <v>#N/A</v>
      </c>
      <c r="P3404" t="s">
        <v>664</v>
      </c>
      <c r="U3404">
        <f t="shared" si="55"/>
        <v>1395</v>
      </c>
    </row>
    <row r="3405" spans="1:21" ht="37.5" customHeight="1" x14ac:dyDescent="0.25">
      <c r="A3405" s="40">
        <v>45202</v>
      </c>
      <c r="B3405" s="13">
        <v>40</v>
      </c>
      <c r="C3405" t="s">
        <v>3</v>
      </c>
      <c r="D3405" t="s">
        <v>4</v>
      </c>
      <c r="E3405" t="s">
        <v>21</v>
      </c>
      <c r="F3405">
        <v>202118346</v>
      </c>
      <c r="G3405" t="s">
        <v>1286</v>
      </c>
      <c r="H3405" t="s">
        <v>250</v>
      </c>
      <c r="I3405">
        <v>0</v>
      </c>
      <c r="J3405">
        <v>0</v>
      </c>
      <c r="K3405">
        <v>0</v>
      </c>
      <c r="L3405">
        <v>0</v>
      </c>
      <c r="M3405">
        <v>0.3</v>
      </c>
      <c r="N3405" s="7" t="e">
        <f>VLOOKUP(F3405,HC!A$6:D$100,3,FALSE)</f>
        <v>#N/A</v>
      </c>
      <c r="O3405" s="7" t="str">
        <f>VLOOKUP(F3405,HC!A$6:D$1000,2,FALSE)</f>
        <v>jesponcu</v>
      </c>
      <c r="P3405" t="s">
        <v>661</v>
      </c>
      <c r="U3405">
        <f t="shared" si="55"/>
        <v>5</v>
      </c>
    </row>
    <row r="3406" spans="1:21" ht="37.5" customHeight="1" x14ac:dyDescent="0.25">
      <c r="A3406" s="40">
        <v>45203</v>
      </c>
      <c r="B3406" s="13">
        <v>40</v>
      </c>
      <c r="C3406" t="s">
        <v>3</v>
      </c>
      <c r="D3406" t="s">
        <v>4</v>
      </c>
      <c r="E3406" t="s">
        <v>5</v>
      </c>
      <c r="F3406">
        <v>103427877</v>
      </c>
      <c r="G3406" t="s">
        <v>281</v>
      </c>
      <c r="H3406" t="s">
        <v>47</v>
      </c>
      <c r="I3406">
        <v>0</v>
      </c>
      <c r="J3406">
        <v>0</v>
      </c>
      <c r="K3406">
        <v>0</v>
      </c>
      <c r="L3406">
        <v>0</v>
      </c>
      <c r="M3406">
        <v>0.9</v>
      </c>
      <c r="N3406" s="7" t="e">
        <f>VLOOKUP(F3406,HC!A$6:D$100,3,FALSE)</f>
        <v>#N/A</v>
      </c>
      <c r="O3406" s="7" t="e">
        <f>VLOOKUP(F3406,HC!A$6:D$1000,2,FALSE)</f>
        <v>#N/A</v>
      </c>
      <c r="P3406" t="s">
        <v>666</v>
      </c>
      <c r="U3406">
        <f t="shared" si="55"/>
        <v>1395</v>
      </c>
    </row>
    <row r="3407" spans="1:21" ht="37.5" customHeight="1" x14ac:dyDescent="0.25">
      <c r="A3407" s="40">
        <v>45203</v>
      </c>
      <c r="B3407" s="13">
        <v>40</v>
      </c>
      <c r="C3407" t="s">
        <v>3</v>
      </c>
      <c r="D3407" t="s">
        <v>4</v>
      </c>
      <c r="E3407" t="s">
        <v>5</v>
      </c>
      <c r="F3407">
        <v>112912397</v>
      </c>
      <c r="G3407" t="s">
        <v>489</v>
      </c>
      <c r="H3407" t="s">
        <v>47</v>
      </c>
      <c r="I3407">
        <v>0</v>
      </c>
      <c r="J3407">
        <v>0</v>
      </c>
      <c r="K3407">
        <v>0</v>
      </c>
      <c r="L3407">
        <v>0</v>
      </c>
      <c r="M3407">
        <v>0.15</v>
      </c>
      <c r="N3407" s="7" t="str">
        <f>VLOOKUP(F3407,HC!A$6:D$100,3,FALSE)</f>
        <v>D5-X0700</v>
      </c>
      <c r="O3407" s="7" t="str">
        <f>VLOOKUP(F3407,HC!A$6:D$1000,2,FALSE)</f>
        <v>tjuandne</v>
      </c>
      <c r="U3407">
        <f t="shared" si="55"/>
        <v>5</v>
      </c>
    </row>
    <row r="3408" spans="1:21" ht="37.5" customHeight="1" x14ac:dyDescent="0.25">
      <c r="A3408" s="40">
        <v>45203</v>
      </c>
      <c r="B3408" s="13">
        <v>40</v>
      </c>
      <c r="C3408" t="s">
        <v>3</v>
      </c>
      <c r="D3408" t="s">
        <v>4</v>
      </c>
      <c r="E3408" t="s">
        <v>5</v>
      </c>
      <c r="F3408">
        <v>112971997</v>
      </c>
      <c r="G3408" t="s">
        <v>928</v>
      </c>
      <c r="H3408" t="s">
        <v>14</v>
      </c>
      <c r="I3408">
        <v>0</v>
      </c>
      <c r="J3408">
        <v>0</v>
      </c>
      <c r="K3408">
        <v>0</v>
      </c>
      <c r="L3408">
        <v>0</v>
      </c>
      <c r="M3408">
        <v>0.28000000000000003</v>
      </c>
      <c r="N3408" s="7" t="str">
        <f>VLOOKUP(F3408,HC!A$6:D$100,3,FALSE)</f>
        <v>DA-X0700</v>
      </c>
      <c r="O3408" s="7" t="str">
        <f>VLOOKUP(F3408,HC!A$6:D$1000,2,FALSE)</f>
        <v>cemilini</v>
      </c>
      <c r="P3408" t="s">
        <v>663</v>
      </c>
      <c r="U3408">
        <f t="shared" si="55"/>
        <v>10</v>
      </c>
    </row>
    <row r="3409" spans="1:21" ht="37.5" customHeight="1" x14ac:dyDescent="0.25">
      <c r="A3409" s="40">
        <v>45203</v>
      </c>
      <c r="B3409" s="13">
        <v>40</v>
      </c>
      <c r="C3409" t="s">
        <v>3</v>
      </c>
      <c r="D3409" t="s">
        <v>4</v>
      </c>
      <c r="E3409" t="s">
        <v>5</v>
      </c>
      <c r="F3409">
        <v>112972802</v>
      </c>
      <c r="G3409" t="s">
        <v>1287</v>
      </c>
      <c r="H3409" t="s">
        <v>49</v>
      </c>
      <c r="I3409">
        <v>0</v>
      </c>
      <c r="J3409">
        <v>0</v>
      </c>
      <c r="K3409">
        <v>0</v>
      </c>
      <c r="L3409">
        <v>0</v>
      </c>
      <c r="M3409">
        <v>0.12</v>
      </c>
      <c r="N3409" s="7" t="str">
        <f>VLOOKUP(F3409,HC!A$6:D$100,3,FALSE)</f>
        <v>DB-X0700</v>
      </c>
      <c r="O3409" s="7" t="str">
        <f>VLOOKUP(F3409,HC!A$6:D$1000,2,FALSE)</f>
        <v>fjoseero</v>
      </c>
      <c r="U3409">
        <f t="shared" si="55"/>
        <v>1</v>
      </c>
    </row>
    <row r="3410" spans="1:21" ht="37.5" customHeight="1" x14ac:dyDescent="0.25">
      <c r="A3410" s="40">
        <v>45203</v>
      </c>
      <c r="B3410" s="13">
        <v>40</v>
      </c>
      <c r="C3410" t="s">
        <v>3</v>
      </c>
      <c r="D3410" t="s">
        <v>4</v>
      </c>
      <c r="E3410" t="s">
        <v>21</v>
      </c>
      <c r="F3410">
        <v>113003619</v>
      </c>
      <c r="G3410" t="s">
        <v>1237</v>
      </c>
      <c r="H3410" t="s">
        <v>298</v>
      </c>
      <c r="I3410">
        <v>0</v>
      </c>
      <c r="J3410">
        <v>0</v>
      </c>
      <c r="K3410">
        <v>0</v>
      </c>
      <c r="L3410">
        <v>0</v>
      </c>
      <c r="M3410">
        <v>0.4</v>
      </c>
      <c r="N3410" s="7" t="e">
        <f>VLOOKUP(F3410,HC!A$6:D$100,3,FALSE)</f>
        <v>#N/A</v>
      </c>
      <c r="O3410" s="7" t="e">
        <f>VLOOKUP(F3410,HC!A$6:D$1000,2,FALSE)</f>
        <v>#N/A</v>
      </c>
      <c r="P3410" t="s">
        <v>661</v>
      </c>
      <c r="Q3410" t="s">
        <v>701</v>
      </c>
      <c r="U3410">
        <f t="shared" si="55"/>
        <v>1395</v>
      </c>
    </row>
    <row r="3411" spans="1:21" ht="37.5" customHeight="1" x14ac:dyDescent="0.25">
      <c r="A3411" s="40">
        <v>45203</v>
      </c>
      <c r="B3411" s="13">
        <v>40</v>
      </c>
      <c r="C3411" t="s">
        <v>3</v>
      </c>
      <c r="D3411" t="s">
        <v>4</v>
      </c>
      <c r="E3411" t="s">
        <v>5</v>
      </c>
      <c r="F3411">
        <v>113014073</v>
      </c>
      <c r="G3411" t="s">
        <v>1288</v>
      </c>
      <c r="H3411" t="s">
        <v>403</v>
      </c>
      <c r="I3411">
        <v>0</v>
      </c>
      <c r="J3411">
        <v>0</v>
      </c>
      <c r="K3411">
        <v>0</v>
      </c>
      <c r="L3411">
        <v>0</v>
      </c>
      <c r="M3411">
        <v>0.38</v>
      </c>
      <c r="N3411" s="7" t="e">
        <f>VLOOKUP(F3411,HC!A$6:D$100,3,FALSE)</f>
        <v>#N/A</v>
      </c>
      <c r="O3411" s="7" t="str">
        <f>VLOOKUP(F3411,HC!A$6:D$1000,2,FALSE)</f>
        <v>lirareyj</v>
      </c>
      <c r="P3411" t="s">
        <v>664</v>
      </c>
      <c r="Q3411" t="s">
        <v>708</v>
      </c>
      <c r="U3411">
        <f t="shared" si="55"/>
        <v>1</v>
      </c>
    </row>
    <row r="3412" spans="1:21" ht="37.5" customHeight="1" x14ac:dyDescent="0.25">
      <c r="A3412" s="40">
        <v>45203</v>
      </c>
      <c r="B3412" s="13">
        <v>40</v>
      </c>
      <c r="C3412" t="s">
        <v>3</v>
      </c>
      <c r="D3412" t="s">
        <v>4</v>
      </c>
      <c r="E3412" t="s">
        <v>5</v>
      </c>
      <c r="F3412">
        <v>113014470</v>
      </c>
      <c r="G3412" t="s">
        <v>374</v>
      </c>
      <c r="H3412" t="s">
        <v>44</v>
      </c>
      <c r="I3412">
        <v>0</v>
      </c>
      <c r="J3412">
        <v>0</v>
      </c>
      <c r="K3412">
        <v>0</v>
      </c>
      <c r="L3412">
        <v>0</v>
      </c>
      <c r="M3412">
        <v>0.25</v>
      </c>
      <c r="N3412" s="7" t="e">
        <f>VLOOKUP(F3412,HC!A$6:D$100,3,FALSE)</f>
        <v>#N/A</v>
      </c>
      <c r="O3412" s="7" t="str">
        <f>VLOOKUP(F3412,HC!A$6:D$1000,2,FALSE)</f>
        <v>lupaguin</v>
      </c>
      <c r="P3412" t="s">
        <v>663</v>
      </c>
      <c r="Q3412" t="s">
        <v>692</v>
      </c>
      <c r="U3412">
        <f t="shared" si="55"/>
        <v>23</v>
      </c>
    </row>
    <row r="3413" spans="1:21" ht="37.5" customHeight="1" x14ac:dyDescent="0.25">
      <c r="A3413" s="40">
        <v>45203</v>
      </c>
      <c r="B3413" s="13">
        <v>40</v>
      </c>
      <c r="C3413" t="s">
        <v>3</v>
      </c>
      <c r="D3413" t="s">
        <v>4</v>
      </c>
      <c r="E3413" t="s">
        <v>21</v>
      </c>
      <c r="F3413">
        <v>113019111</v>
      </c>
      <c r="G3413" t="s">
        <v>533</v>
      </c>
      <c r="H3413" t="s">
        <v>282</v>
      </c>
      <c r="I3413">
        <v>0</v>
      </c>
      <c r="J3413">
        <v>0</v>
      </c>
      <c r="K3413">
        <v>0</v>
      </c>
      <c r="L3413">
        <v>0</v>
      </c>
      <c r="M3413">
        <v>0.48</v>
      </c>
      <c r="N3413" s="7" t="e">
        <f>VLOOKUP(F3413,HC!A$6:D$100,3,FALSE)</f>
        <v>#N/A</v>
      </c>
      <c r="O3413" s="7" t="str">
        <f>VLOOKUP(F3413,HC!A$6:D$1000,2,FALSE)</f>
        <v>valdkell</v>
      </c>
      <c r="P3413" t="s">
        <v>664</v>
      </c>
      <c r="Q3413" t="s">
        <v>1397</v>
      </c>
      <c r="R3413" t="s">
        <v>355</v>
      </c>
      <c r="U3413">
        <f t="shared" si="55"/>
        <v>7</v>
      </c>
    </row>
    <row r="3414" spans="1:21" ht="37.5" customHeight="1" x14ac:dyDescent="0.25">
      <c r="A3414" s="40">
        <v>45203</v>
      </c>
      <c r="B3414" s="13">
        <v>40</v>
      </c>
      <c r="C3414" t="s">
        <v>3</v>
      </c>
      <c r="D3414" t="s">
        <v>4</v>
      </c>
      <c r="E3414" t="s">
        <v>5</v>
      </c>
      <c r="F3414">
        <v>201167501</v>
      </c>
      <c r="G3414" t="s">
        <v>863</v>
      </c>
      <c r="H3414" t="s">
        <v>44</v>
      </c>
      <c r="I3414">
        <v>0</v>
      </c>
      <c r="J3414">
        <v>0</v>
      </c>
      <c r="K3414">
        <v>0</v>
      </c>
      <c r="L3414">
        <v>0</v>
      </c>
      <c r="M3414">
        <v>0.08</v>
      </c>
      <c r="N3414" s="7" t="e">
        <f>VLOOKUP(F3414,HC!A$6:D$100,3,FALSE)</f>
        <v>#N/A</v>
      </c>
      <c r="O3414" s="7" t="str">
        <f>VLOOKUP(F3414,HC!A$6:D$1000,2,FALSE)</f>
        <v>wguanajr</v>
      </c>
      <c r="P3414" t="s">
        <v>664</v>
      </c>
      <c r="Q3414" t="s">
        <v>710</v>
      </c>
      <c r="U3414">
        <f t="shared" si="55"/>
        <v>36</v>
      </c>
    </row>
    <row r="3415" spans="1:21" ht="37.5" customHeight="1" x14ac:dyDescent="0.25">
      <c r="A3415" s="40">
        <v>45203</v>
      </c>
      <c r="B3415" s="13">
        <v>40</v>
      </c>
      <c r="C3415" t="s">
        <v>3</v>
      </c>
      <c r="D3415" t="s">
        <v>4</v>
      </c>
      <c r="E3415" t="s">
        <v>5</v>
      </c>
      <c r="F3415">
        <v>201191198</v>
      </c>
      <c r="G3415" t="s">
        <v>974</v>
      </c>
      <c r="H3415" t="s">
        <v>17</v>
      </c>
      <c r="I3415">
        <v>0</v>
      </c>
      <c r="J3415">
        <v>0</v>
      </c>
      <c r="K3415">
        <v>0</v>
      </c>
      <c r="L3415">
        <v>0</v>
      </c>
      <c r="M3415">
        <v>0.14000000000000001</v>
      </c>
      <c r="N3415" s="7" t="e">
        <f>VLOOKUP(F3415,HC!A$6:D$100,3,FALSE)</f>
        <v>#N/A</v>
      </c>
      <c r="O3415" s="7" t="str">
        <f>VLOOKUP(F3415,HC!A$6:D$1000,2,FALSE)</f>
        <v>mojicemm</v>
      </c>
      <c r="P3415" t="s">
        <v>663</v>
      </c>
      <c r="Q3415" t="s">
        <v>692</v>
      </c>
      <c r="U3415">
        <f t="shared" si="55"/>
        <v>24</v>
      </c>
    </row>
    <row r="3416" spans="1:21" ht="37.5" customHeight="1" x14ac:dyDescent="0.25">
      <c r="A3416" s="40">
        <v>45203</v>
      </c>
      <c r="B3416" s="13">
        <v>40</v>
      </c>
      <c r="C3416" t="s">
        <v>3</v>
      </c>
      <c r="D3416" t="s">
        <v>4</v>
      </c>
      <c r="E3416" t="s">
        <v>5</v>
      </c>
      <c r="F3416">
        <v>201191390</v>
      </c>
      <c r="G3416" t="s">
        <v>916</v>
      </c>
      <c r="H3416" t="s">
        <v>298</v>
      </c>
      <c r="I3416">
        <v>0</v>
      </c>
      <c r="J3416">
        <v>0</v>
      </c>
      <c r="K3416">
        <v>0</v>
      </c>
      <c r="L3416">
        <v>0</v>
      </c>
      <c r="M3416">
        <v>0.27</v>
      </c>
      <c r="N3416" s="7" t="e">
        <f>VLOOKUP(F3416,HC!A$6:D$100,3,FALSE)</f>
        <v>#N/A</v>
      </c>
      <c r="O3416" s="7" t="str">
        <f>VLOOKUP(F3416,HC!A$6:D$1000,2,FALSE)</f>
        <v>bgajesus</v>
      </c>
      <c r="P3416" t="s">
        <v>663</v>
      </c>
      <c r="Q3416" t="s">
        <v>692</v>
      </c>
      <c r="U3416">
        <f t="shared" si="55"/>
        <v>37</v>
      </c>
    </row>
    <row r="3417" spans="1:21" ht="37.5" customHeight="1" x14ac:dyDescent="0.25">
      <c r="A3417" s="40">
        <v>45203</v>
      </c>
      <c r="B3417" s="13">
        <v>40</v>
      </c>
      <c r="C3417" t="s">
        <v>3</v>
      </c>
      <c r="D3417" t="s">
        <v>4</v>
      </c>
      <c r="E3417" t="s">
        <v>5</v>
      </c>
      <c r="F3417">
        <v>201300426</v>
      </c>
      <c r="G3417" t="s">
        <v>1124</v>
      </c>
      <c r="H3417" t="s">
        <v>14</v>
      </c>
      <c r="I3417">
        <v>0</v>
      </c>
      <c r="J3417">
        <v>0</v>
      </c>
      <c r="K3417">
        <v>0</v>
      </c>
      <c r="L3417">
        <v>0</v>
      </c>
      <c r="M3417">
        <v>0.45</v>
      </c>
      <c r="N3417" s="7" t="e">
        <f>VLOOKUP(F3417,HC!A$6:D$100,3,FALSE)</f>
        <v>#N/A</v>
      </c>
      <c r="O3417" s="7" t="str">
        <f>VLOOKUP(F3417,HC!A$6:D$1000,2,FALSE)</f>
        <v>adriauli</v>
      </c>
      <c r="P3417" t="s">
        <v>661</v>
      </c>
      <c r="Q3417" t="s">
        <v>681</v>
      </c>
      <c r="U3417">
        <f t="shared" si="55"/>
        <v>5</v>
      </c>
    </row>
    <row r="3418" spans="1:21" ht="37.5" customHeight="1" x14ac:dyDescent="0.25">
      <c r="A3418" s="40">
        <v>45203</v>
      </c>
      <c r="B3418" s="13">
        <v>40</v>
      </c>
      <c r="C3418" t="s">
        <v>3</v>
      </c>
      <c r="D3418" t="s">
        <v>4</v>
      </c>
      <c r="E3418" t="s">
        <v>5</v>
      </c>
      <c r="F3418">
        <v>201396328</v>
      </c>
      <c r="G3418" t="s">
        <v>1171</v>
      </c>
      <c r="H3418" t="s">
        <v>250</v>
      </c>
      <c r="I3418">
        <v>0</v>
      </c>
      <c r="J3418">
        <v>0</v>
      </c>
      <c r="K3418">
        <v>0</v>
      </c>
      <c r="L3418">
        <v>0</v>
      </c>
      <c r="M3418">
        <v>0.3</v>
      </c>
      <c r="N3418" s="7" t="e">
        <f>VLOOKUP(F3418,HC!A$6:D$100,3,FALSE)</f>
        <v>#N/A</v>
      </c>
      <c r="O3418" s="7" t="str">
        <f>VLOOKUP(F3418,HC!A$6:D$1000,2,FALSE)</f>
        <v>nalcanch</v>
      </c>
      <c r="U3418">
        <f t="shared" si="55"/>
        <v>12</v>
      </c>
    </row>
    <row r="3419" spans="1:21" ht="37.5" customHeight="1" x14ac:dyDescent="0.25">
      <c r="A3419" s="40">
        <v>45203</v>
      </c>
      <c r="B3419" s="13">
        <v>40</v>
      </c>
      <c r="C3419" t="s">
        <v>3</v>
      </c>
      <c r="D3419" t="s">
        <v>4</v>
      </c>
      <c r="E3419" t="s">
        <v>21</v>
      </c>
      <c r="F3419">
        <v>201842039</v>
      </c>
      <c r="G3419" t="s">
        <v>1231</v>
      </c>
      <c r="H3419" t="s">
        <v>49</v>
      </c>
      <c r="I3419">
        <v>0</v>
      </c>
      <c r="J3419">
        <v>0</v>
      </c>
      <c r="K3419">
        <v>0</v>
      </c>
      <c r="L3419">
        <v>0</v>
      </c>
      <c r="M3419">
        <v>0.11</v>
      </c>
      <c r="N3419" s="7" t="e">
        <f>VLOOKUP(F3419,HC!A$6:D$100,3,FALSE)</f>
        <v>#N/A</v>
      </c>
      <c r="O3419" s="7" t="str">
        <f>VLOOKUP(F3419,HC!A$6:D$1000,2,FALSE)</f>
        <v>fantmar</v>
      </c>
      <c r="P3419" t="s">
        <v>663</v>
      </c>
      <c r="Q3419" t="s">
        <v>695</v>
      </c>
      <c r="U3419">
        <f t="shared" si="55"/>
        <v>11</v>
      </c>
    </row>
    <row r="3420" spans="1:21" ht="37.5" customHeight="1" x14ac:dyDescent="0.25">
      <c r="A3420" s="40">
        <v>45203</v>
      </c>
      <c r="B3420" s="13">
        <v>40</v>
      </c>
      <c r="C3420" t="s">
        <v>3</v>
      </c>
      <c r="D3420" t="s">
        <v>4</v>
      </c>
      <c r="E3420" t="s">
        <v>21</v>
      </c>
      <c r="F3420">
        <v>201880542</v>
      </c>
      <c r="G3420" t="s">
        <v>1225</v>
      </c>
      <c r="H3420" t="s">
        <v>1040</v>
      </c>
      <c r="I3420">
        <v>0</v>
      </c>
      <c r="J3420">
        <v>0</v>
      </c>
      <c r="K3420">
        <v>0</v>
      </c>
      <c r="L3420">
        <v>0</v>
      </c>
      <c r="M3420">
        <v>0.28999999999999998</v>
      </c>
      <c r="N3420" s="7" t="e">
        <f>VLOOKUP(F3420,HC!A$6:D$100,3,FALSE)</f>
        <v>#N/A</v>
      </c>
      <c r="O3420" s="7" t="str">
        <f>VLOOKUP(F3420,HC!A$6:D$1000,2,FALSE)</f>
        <v>orticorp</v>
      </c>
      <c r="P3420" t="s">
        <v>664</v>
      </c>
      <c r="Q3420" t="s">
        <v>777</v>
      </c>
      <c r="U3420">
        <f t="shared" si="55"/>
        <v>24</v>
      </c>
    </row>
    <row r="3421" spans="1:21" ht="37.5" customHeight="1" x14ac:dyDescent="0.25">
      <c r="A3421" s="40">
        <v>45203</v>
      </c>
      <c r="B3421" s="13">
        <v>40</v>
      </c>
      <c r="C3421" t="s">
        <v>3</v>
      </c>
      <c r="D3421" t="s">
        <v>4</v>
      </c>
      <c r="E3421" t="s">
        <v>21</v>
      </c>
      <c r="F3421">
        <v>201891076</v>
      </c>
      <c r="G3421" t="s">
        <v>1226</v>
      </c>
      <c r="H3421" t="s">
        <v>285</v>
      </c>
      <c r="I3421">
        <v>0</v>
      </c>
      <c r="J3421">
        <v>0</v>
      </c>
      <c r="K3421">
        <v>0</v>
      </c>
      <c r="L3421">
        <v>0</v>
      </c>
      <c r="M3421">
        <v>0.06</v>
      </c>
      <c r="N3421" s="7" t="e">
        <f>VLOOKUP(F3421,HC!A$6:D$100,3,FALSE)</f>
        <v>#N/A</v>
      </c>
      <c r="O3421" s="7" t="str">
        <f>VLOOKUP(F3421,HC!A$6:D$1000,2,FALSE)</f>
        <v>marmolve</v>
      </c>
      <c r="P3421" t="s">
        <v>661</v>
      </c>
      <c r="Q3421" t="s">
        <v>681</v>
      </c>
      <c r="U3421">
        <f t="shared" si="55"/>
        <v>9</v>
      </c>
    </row>
    <row r="3422" spans="1:21" ht="37.5" customHeight="1" x14ac:dyDescent="0.25">
      <c r="A3422" s="40">
        <v>45203</v>
      </c>
      <c r="B3422" s="13">
        <v>40</v>
      </c>
      <c r="C3422" t="s">
        <v>3</v>
      </c>
      <c r="D3422" t="s">
        <v>4</v>
      </c>
      <c r="E3422" t="s">
        <v>21</v>
      </c>
      <c r="F3422">
        <v>202070029</v>
      </c>
      <c r="G3422" t="s">
        <v>1283</v>
      </c>
      <c r="H3422" t="s">
        <v>1040</v>
      </c>
      <c r="I3422">
        <v>0</v>
      </c>
      <c r="J3422">
        <v>0</v>
      </c>
      <c r="K3422">
        <v>0</v>
      </c>
      <c r="L3422">
        <v>0</v>
      </c>
      <c r="M3422">
        <v>0.13</v>
      </c>
      <c r="N3422" s="7" t="e">
        <f>VLOOKUP(F3422,HC!A$6:D$100,3,FALSE)</f>
        <v>#N/A</v>
      </c>
      <c r="O3422" s="7" t="e">
        <f>VLOOKUP(F3422,HC!A$6:D$1000,2,FALSE)</f>
        <v>#N/A</v>
      </c>
      <c r="P3422" t="s">
        <v>664</v>
      </c>
      <c r="Q3422" t="s">
        <v>777</v>
      </c>
      <c r="U3422">
        <f t="shared" si="55"/>
        <v>1395</v>
      </c>
    </row>
    <row r="3423" spans="1:21" ht="37.5" customHeight="1" x14ac:dyDescent="0.25">
      <c r="A3423" s="40">
        <v>45203</v>
      </c>
      <c r="B3423" s="13">
        <v>40</v>
      </c>
      <c r="C3423" t="s">
        <v>3</v>
      </c>
      <c r="D3423" t="s">
        <v>4</v>
      </c>
      <c r="E3423" t="s">
        <v>21</v>
      </c>
      <c r="F3423">
        <v>202081087</v>
      </c>
      <c r="G3423" t="s">
        <v>1289</v>
      </c>
      <c r="H3423" t="s">
        <v>459</v>
      </c>
      <c r="I3423">
        <v>0</v>
      </c>
      <c r="J3423">
        <v>0</v>
      </c>
      <c r="K3423">
        <v>0</v>
      </c>
      <c r="L3423">
        <v>0</v>
      </c>
      <c r="M3423">
        <v>0.25</v>
      </c>
      <c r="N3423" s="7" t="e">
        <f>VLOOKUP(F3423,HC!A$6:D$100,3,FALSE)</f>
        <v>#N/A</v>
      </c>
      <c r="O3423" s="7" t="str">
        <f>VLOOKUP(F3423,HC!A$6:D$1000,2,FALSE)</f>
        <v>rlimarti</v>
      </c>
      <c r="P3423" t="s">
        <v>662</v>
      </c>
      <c r="U3423">
        <f t="shared" si="55"/>
        <v>4</v>
      </c>
    </row>
    <row r="3424" spans="1:21" ht="37.5" customHeight="1" x14ac:dyDescent="0.25">
      <c r="A3424" s="40">
        <v>45203</v>
      </c>
      <c r="B3424" s="13">
        <v>40</v>
      </c>
      <c r="C3424" t="s">
        <v>3</v>
      </c>
      <c r="D3424" t="s">
        <v>4</v>
      </c>
      <c r="E3424" t="s">
        <v>21</v>
      </c>
      <c r="F3424">
        <v>202137341</v>
      </c>
      <c r="G3424" t="s">
        <v>1291</v>
      </c>
      <c r="H3424" t="s">
        <v>250</v>
      </c>
      <c r="I3424">
        <v>0</v>
      </c>
      <c r="J3424">
        <v>0</v>
      </c>
      <c r="K3424">
        <v>0</v>
      </c>
      <c r="L3424">
        <v>0</v>
      </c>
      <c r="M3424">
        <v>0.31</v>
      </c>
      <c r="N3424" s="7" t="e">
        <f>VLOOKUP(F3424,HC!A$6:D$100,3,FALSE)</f>
        <v>#N/A</v>
      </c>
      <c r="O3424" s="7" t="str">
        <f>VLOOKUP(F3424,HC!A$6:D$1000,2,FALSE)</f>
        <v>xedgabra</v>
      </c>
      <c r="P3424" t="s">
        <v>670</v>
      </c>
      <c r="U3424">
        <f t="shared" si="55"/>
        <v>13</v>
      </c>
    </row>
    <row r="3425" spans="1:21" ht="37.5" customHeight="1" x14ac:dyDescent="0.25">
      <c r="A3425" s="40">
        <v>45204</v>
      </c>
      <c r="B3425" s="13">
        <v>40</v>
      </c>
      <c r="C3425" t="s">
        <v>3</v>
      </c>
      <c r="D3425" t="s">
        <v>4</v>
      </c>
      <c r="E3425" t="s">
        <v>5</v>
      </c>
      <c r="F3425">
        <v>112912661</v>
      </c>
      <c r="G3425" t="s">
        <v>782</v>
      </c>
      <c r="H3425" t="s">
        <v>14</v>
      </c>
      <c r="I3425">
        <v>0</v>
      </c>
      <c r="J3425">
        <v>0</v>
      </c>
      <c r="K3425">
        <v>0</v>
      </c>
      <c r="L3425">
        <v>0</v>
      </c>
      <c r="M3425">
        <v>0.2</v>
      </c>
      <c r="N3425" s="7" t="str">
        <f>VLOOKUP(F3425,HC!A$6:D$100,3,FALSE)</f>
        <v>DA-X0700</v>
      </c>
      <c r="O3425" s="7" t="str">
        <f>VLOOKUP(F3425,HC!A$6:D$1000,2,FALSE)</f>
        <v>franmorb</v>
      </c>
      <c r="P3425" t="s">
        <v>663</v>
      </c>
      <c r="Q3425" t="s">
        <v>692</v>
      </c>
      <c r="U3425">
        <f t="shared" si="55"/>
        <v>8</v>
      </c>
    </row>
    <row r="3426" spans="1:21" ht="37.5" customHeight="1" x14ac:dyDescent="0.25">
      <c r="A3426" s="40">
        <v>45204</v>
      </c>
      <c r="B3426" s="13">
        <v>40</v>
      </c>
      <c r="C3426" t="s">
        <v>3</v>
      </c>
      <c r="D3426" t="s">
        <v>4</v>
      </c>
      <c r="E3426" t="s">
        <v>5</v>
      </c>
      <c r="F3426">
        <v>112912983</v>
      </c>
      <c r="G3426" t="s">
        <v>558</v>
      </c>
      <c r="H3426" t="s">
        <v>47</v>
      </c>
      <c r="I3426">
        <v>0</v>
      </c>
      <c r="J3426">
        <v>0</v>
      </c>
      <c r="K3426">
        <v>0</v>
      </c>
      <c r="L3426">
        <v>0</v>
      </c>
      <c r="M3426">
        <v>0.86</v>
      </c>
      <c r="N3426" s="7" t="str">
        <f>VLOOKUP(F3426,HC!A$6:D$100,3,FALSE)</f>
        <v>NF-X1900</v>
      </c>
      <c r="O3426" s="7" t="str">
        <f>VLOOKUP(F3426,HC!A$6:D$1000,2,FALSE)</f>
        <v>wrocirod</v>
      </c>
      <c r="P3426" t="s">
        <v>664</v>
      </c>
      <c r="Q3426" t="s">
        <v>712</v>
      </c>
      <c r="R3426" t="s">
        <v>1261</v>
      </c>
      <c r="U3426">
        <f t="shared" si="55"/>
        <v>16</v>
      </c>
    </row>
    <row r="3427" spans="1:21" ht="37.5" customHeight="1" x14ac:dyDescent="0.25">
      <c r="A3427" s="40">
        <v>45204</v>
      </c>
      <c r="B3427" s="13">
        <v>40</v>
      </c>
      <c r="C3427" t="s">
        <v>3</v>
      </c>
      <c r="D3427" t="s">
        <v>4</v>
      </c>
      <c r="E3427" t="s">
        <v>5</v>
      </c>
      <c r="F3427">
        <v>113003971</v>
      </c>
      <c r="G3427" t="s">
        <v>284</v>
      </c>
      <c r="H3427" t="s">
        <v>49</v>
      </c>
      <c r="I3427">
        <v>0</v>
      </c>
      <c r="J3427">
        <v>0</v>
      </c>
      <c r="K3427">
        <v>0</v>
      </c>
      <c r="L3427">
        <v>0</v>
      </c>
      <c r="M3427">
        <v>0.31</v>
      </c>
      <c r="N3427" s="7" t="e">
        <f>VLOOKUP(F3427,HC!A$6:D$100,3,FALSE)</f>
        <v>#N/A</v>
      </c>
      <c r="O3427" s="7" t="str">
        <f>VLOOKUP(F3427,HC!A$6:D$1000,2,FALSE)</f>
        <v>garamird</v>
      </c>
      <c r="P3427" t="s">
        <v>664</v>
      </c>
      <c r="Q3427" t="s">
        <v>712</v>
      </c>
      <c r="U3427">
        <f t="shared" si="55"/>
        <v>14</v>
      </c>
    </row>
    <row r="3428" spans="1:21" ht="37.5" customHeight="1" x14ac:dyDescent="0.25">
      <c r="A3428" s="40">
        <v>45204</v>
      </c>
      <c r="B3428" s="13">
        <v>40</v>
      </c>
      <c r="C3428" t="s">
        <v>3</v>
      </c>
      <c r="D3428" t="s">
        <v>4</v>
      </c>
      <c r="E3428" t="s">
        <v>5</v>
      </c>
      <c r="F3428">
        <v>113020476</v>
      </c>
      <c r="G3428" t="s">
        <v>330</v>
      </c>
      <c r="H3428" t="s">
        <v>298</v>
      </c>
      <c r="I3428">
        <v>0</v>
      </c>
      <c r="J3428">
        <v>0</v>
      </c>
      <c r="K3428">
        <v>0</v>
      </c>
      <c r="L3428">
        <v>0</v>
      </c>
      <c r="M3428">
        <v>0.15</v>
      </c>
      <c r="N3428" s="7" t="e">
        <f>VLOOKUP(F3428,HC!A$6:D$100,3,FALSE)</f>
        <v>#N/A</v>
      </c>
      <c r="O3428" s="7" t="str">
        <f>VLOOKUP(F3428,HC!A$6:D$1000,2,FALSE)</f>
        <v>polettpu</v>
      </c>
      <c r="P3428" t="s">
        <v>661</v>
      </c>
      <c r="Q3428" t="s">
        <v>700</v>
      </c>
      <c r="U3428">
        <f t="shared" si="55"/>
        <v>55</v>
      </c>
    </row>
    <row r="3429" spans="1:21" ht="37.5" customHeight="1" x14ac:dyDescent="0.25">
      <c r="A3429" s="40">
        <v>45204</v>
      </c>
      <c r="B3429" s="13">
        <v>40</v>
      </c>
      <c r="C3429" t="s">
        <v>3</v>
      </c>
      <c r="D3429" t="s">
        <v>4</v>
      </c>
      <c r="E3429" t="s">
        <v>5</v>
      </c>
      <c r="F3429">
        <v>200464838</v>
      </c>
      <c r="G3429" t="s">
        <v>358</v>
      </c>
      <c r="H3429" t="s">
        <v>298</v>
      </c>
      <c r="I3429">
        <v>0</v>
      </c>
      <c r="J3429">
        <v>0</v>
      </c>
      <c r="K3429">
        <v>0</v>
      </c>
      <c r="L3429">
        <v>0</v>
      </c>
      <c r="M3429">
        <v>0.12</v>
      </c>
      <c r="N3429" s="7" t="e">
        <f>VLOOKUP(F3429,HC!A$6:D$100,3,FALSE)</f>
        <v>#N/A</v>
      </c>
      <c r="O3429" s="7" t="str">
        <f>VLOOKUP(F3429,HC!A$6:D$1000,2,FALSE)</f>
        <v>ortfernj</v>
      </c>
      <c r="P3429" t="s">
        <v>661</v>
      </c>
      <c r="Q3429" t="s">
        <v>681</v>
      </c>
      <c r="U3429">
        <f t="shared" si="55"/>
        <v>9</v>
      </c>
    </row>
    <row r="3430" spans="1:21" ht="37.5" customHeight="1" x14ac:dyDescent="0.25">
      <c r="A3430" s="40">
        <v>45204</v>
      </c>
      <c r="B3430" s="13">
        <v>40</v>
      </c>
      <c r="C3430" t="s">
        <v>3</v>
      </c>
      <c r="D3430" t="s">
        <v>4</v>
      </c>
      <c r="E3430" t="s">
        <v>5</v>
      </c>
      <c r="F3430">
        <v>200574655</v>
      </c>
      <c r="G3430" t="s">
        <v>630</v>
      </c>
      <c r="H3430" t="s">
        <v>49</v>
      </c>
      <c r="I3430">
        <v>0</v>
      </c>
      <c r="J3430">
        <v>0</v>
      </c>
      <c r="K3430">
        <v>0</v>
      </c>
      <c r="L3430">
        <v>0</v>
      </c>
      <c r="M3430">
        <v>1.1599999999999999</v>
      </c>
      <c r="N3430" s="7" t="e">
        <f>VLOOKUP(F3430,HC!A$6:D$100,3,FALSE)</f>
        <v>#N/A</v>
      </c>
      <c r="O3430" s="7" t="str">
        <f>VLOOKUP(F3430,HC!A$6:D$1000,2,FALSE)</f>
        <v>dulceami</v>
      </c>
      <c r="P3430" t="s">
        <v>661</v>
      </c>
      <c r="Q3430" t="s">
        <v>684</v>
      </c>
      <c r="U3430">
        <f t="shared" si="55"/>
        <v>20</v>
      </c>
    </row>
    <row r="3431" spans="1:21" ht="37.5" customHeight="1" x14ac:dyDescent="0.25">
      <c r="A3431" s="40">
        <v>45204</v>
      </c>
      <c r="B3431" s="13">
        <v>40</v>
      </c>
      <c r="C3431" t="s">
        <v>3</v>
      </c>
      <c r="D3431" t="s">
        <v>4</v>
      </c>
      <c r="E3431" t="s">
        <v>5</v>
      </c>
      <c r="F3431">
        <v>201191198</v>
      </c>
      <c r="G3431" t="s">
        <v>974</v>
      </c>
      <c r="H3431" t="s">
        <v>17</v>
      </c>
      <c r="I3431">
        <v>0</v>
      </c>
      <c r="J3431">
        <v>0</v>
      </c>
      <c r="K3431">
        <v>0</v>
      </c>
      <c r="L3431">
        <v>0</v>
      </c>
      <c r="M3431">
        <v>0.73</v>
      </c>
      <c r="N3431" s="7" t="e">
        <f>VLOOKUP(F3431,HC!A$6:D$100,3,FALSE)</f>
        <v>#N/A</v>
      </c>
      <c r="O3431" s="7" t="str">
        <f>VLOOKUP(F3431,HC!A$6:D$1000,2,FALSE)</f>
        <v>mojicemm</v>
      </c>
      <c r="P3431" t="s">
        <v>663</v>
      </c>
      <c r="Q3431" t="s">
        <v>695</v>
      </c>
      <c r="U3431">
        <f t="shared" si="55"/>
        <v>24</v>
      </c>
    </row>
    <row r="3432" spans="1:21" ht="37.5" customHeight="1" x14ac:dyDescent="0.25">
      <c r="A3432" s="40">
        <v>45204</v>
      </c>
      <c r="B3432" s="13">
        <v>40</v>
      </c>
      <c r="C3432" t="s">
        <v>3</v>
      </c>
      <c r="D3432" t="s">
        <v>4</v>
      </c>
      <c r="E3432" t="s">
        <v>5</v>
      </c>
      <c r="F3432">
        <v>201191390</v>
      </c>
      <c r="G3432" t="s">
        <v>916</v>
      </c>
      <c r="H3432" t="s">
        <v>298</v>
      </c>
      <c r="I3432">
        <v>0</v>
      </c>
      <c r="J3432">
        <v>0</v>
      </c>
      <c r="K3432">
        <v>0</v>
      </c>
      <c r="L3432">
        <v>0</v>
      </c>
      <c r="M3432">
        <v>0.15</v>
      </c>
      <c r="N3432" s="7" t="e">
        <f>VLOOKUP(F3432,HC!A$6:D$100,3,FALSE)</f>
        <v>#N/A</v>
      </c>
      <c r="O3432" s="7" t="str">
        <f>VLOOKUP(F3432,HC!A$6:D$1000,2,FALSE)</f>
        <v>bgajesus</v>
      </c>
      <c r="P3432" t="s">
        <v>663</v>
      </c>
      <c r="Q3432" t="s">
        <v>692</v>
      </c>
      <c r="U3432">
        <f t="shared" si="55"/>
        <v>37</v>
      </c>
    </row>
    <row r="3433" spans="1:21" ht="37.5" customHeight="1" x14ac:dyDescent="0.25">
      <c r="A3433" s="40">
        <v>45204</v>
      </c>
      <c r="B3433" s="13">
        <v>40</v>
      </c>
      <c r="C3433" t="s">
        <v>3</v>
      </c>
      <c r="D3433" t="s">
        <v>4</v>
      </c>
      <c r="E3433" t="s">
        <v>5</v>
      </c>
      <c r="F3433">
        <v>201223730</v>
      </c>
      <c r="G3433" t="s">
        <v>933</v>
      </c>
      <c r="H3433" t="s">
        <v>49</v>
      </c>
      <c r="I3433">
        <v>0</v>
      </c>
      <c r="J3433">
        <v>0</v>
      </c>
      <c r="K3433">
        <v>0</v>
      </c>
      <c r="L3433">
        <v>0</v>
      </c>
      <c r="M3433">
        <v>0.7</v>
      </c>
      <c r="N3433" s="7" t="e">
        <f>VLOOKUP(F3433,HC!A$6:D$100,3,FALSE)</f>
        <v>#N/A</v>
      </c>
      <c r="O3433" s="7" t="str">
        <f>VLOOKUP(F3433,HC!A$6:D$1000,2,FALSE)</f>
        <v>cesarito</v>
      </c>
      <c r="P3433" t="s">
        <v>675</v>
      </c>
      <c r="U3433">
        <f t="shared" si="55"/>
        <v>39</v>
      </c>
    </row>
    <row r="3434" spans="1:21" ht="37.5" customHeight="1" x14ac:dyDescent="0.25">
      <c r="A3434" s="40">
        <v>45204</v>
      </c>
      <c r="B3434" s="13">
        <v>40</v>
      </c>
      <c r="C3434" t="s">
        <v>3</v>
      </c>
      <c r="D3434" t="s">
        <v>4</v>
      </c>
      <c r="E3434" t="s">
        <v>5</v>
      </c>
      <c r="F3434">
        <v>201228411</v>
      </c>
      <c r="G3434" t="s">
        <v>938</v>
      </c>
      <c r="H3434" t="s">
        <v>49</v>
      </c>
      <c r="I3434">
        <v>0</v>
      </c>
      <c r="J3434">
        <v>0</v>
      </c>
      <c r="K3434">
        <v>0</v>
      </c>
      <c r="L3434">
        <v>0</v>
      </c>
      <c r="M3434">
        <v>0.71</v>
      </c>
      <c r="N3434" s="7" t="e">
        <f>VLOOKUP(F3434,HC!A$6:D$100,3,FALSE)</f>
        <v>#N/A</v>
      </c>
      <c r="O3434" s="7" t="str">
        <f>VLOOKUP(F3434,HC!A$6:D$1000,2,FALSE)</f>
        <v>jazmiwhe</v>
      </c>
      <c r="P3434" t="s">
        <v>675</v>
      </c>
      <c r="U3434">
        <f t="shared" si="55"/>
        <v>36</v>
      </c>
    </row>
    <row r="3435" spans="1:21" ht="37.5" customHeight="1" x14ac:dyDescent="0.25">
      <c r="A3435" s="40">
        <v>45204</v>
      </c>
      <c r="B3435" s="13">
        <v>40</v>
      </c>
      <c r="C3435" t="s">
        <v>3</v>
      </c>
      <c r="D3435" t="s">
        <v>4</v>
      </c>
      <c r="E3435" t="s">
        <v>21</v>
      </c>
      <c r="F3435">
        <v>201320536</v>
      </c>
      <c r="G3435" t="s">
        <v>992</v>
      </c>
      <c r="H3435" t="s">
        <v>17</v>
      </c>
      <c r="I3435">
        <v>0</v>
      </c>
      <c r="J3435">
        <v>0</v>
      </c>
      <c r="K3435">
        <v>0</v>
      </c>
      <c r="L3435">
        <v>0</v>
      </c>
      <c r="M3435">
        <v>0.03</v>
      </c>
      <c r="N3435" s="7" t="e">
        <f>VLOOKUP(F3435,HC!A$6:D$100,3,FALSE)</f>
        <v>#N/A</v>
      </c>
      <c r="O3435" s="7" t="str">
        <f>VLOOKUP(F3435,HC!A$6:D$1000,2,FALSE)</f>
        <v>ibalmigu</v>
      </c>
      <c r="P3435" t="s">
        <v>663</v>
      </c>
      <c r="Q3435" t="s">
        <v>692</v>
      </c>
      <c r="U3435">
        <f t="shared" si="55"/>
        <v>11</v>
      </c>
    </row>
    <row r="3436" spans="1:21" ht="37.5" customHeight="1" x14ac:dyDescent="0.25">
      <c r="A3436" s="40">
        <v>45204</v>
      </c>
      <c r="B3436" s="13">
        <v>40</v>
      </c>
      <c r="C3436" t="s">
        <v>3</v>
      </c>
      <c r="D3436" t="s">
        <v>4</v>
      </c>
      <c r="E3436" t="s">
        <v>5</v>
      </c>
      <c r="F3436">
        <v>201354965</v>
      </c>
      <c r="G3436" t="s">
        <v>1063</v>
      </c>
      <c r="H3436" t="s">
        <v>263</v>
      </c>
      <c r="I3436">
        <v>0</v>
      </c>
      <c r="J3436">
        <v>0</v>
      </c>
      <c r="K3436">
        <v>0</v>
      </c>
      <c r="L3436">
        <v>0</v>
      </c>
      <c r="M3436">
        <v>0.2</v>
      </c>
      <c r="N3436" s="7" t="e">
        <f>VLOOKUP(F3436,HC!A$6:D$100,3,FALSE)</f>
        <v>#N/A</v>
      </c>
      <c r="O3436" s="7" t="str">
        <f>VLOOKUP(F3436,HC!A$6:D$1000,2,FALSE)</f>
        <v>alinejim</v>
      </c>
      <c r="P3436" t="s">
        <v>664</v>
      </c>
      <c r="Q3436" t="s">
        <v>710</v>
      </c>
      <c r="R3436" t="s">
        <v>1398</v>
      </c>
      <c r="U3436">
        <f t="shared" si="55"/>
        <v>33</v>
      </c>
    </row>
    <row r="3437" spans="1:21" ht="37.5" customHeight="1" x14ac:dyDescent="0.25">
      <c r="A3437" s="40">
        <v>45204</v>
      </c>
      <c r="B3437" s="13">
        <v>40</v>
      </c>
      <c r="C3437" t="s">
        <v>3</v>
      </c>
      <c r="D3437" t="s">
        <v>4</v>
      </c>
      <c r="E3437" t="s">
        <v>5</v>
      </c>
      <c r="F3437">
        <v>201377831</v>
      </c>
      <c r="G3437" t="s">
        <v>1135</v>
      </c>
      <c r="H3437" t="s">
        <v>459</v>
      </c>
      <c r="I3437">
        <v>0</v>
      </c>
      <c r="J3437">
        <v>0</v>
      </c>
      <c r="K3437">
        <v>0</v>
      </c>
      <c r="L3437">
        <v>0</v>
      </c>
      <c r="M3437">
        <v>0.34</v>
      </c>
      <c r="N3437" s="7" t="e">
        <f>VLOOKUP(F3437,HC!A$6:D$100,3,FALSE)</f>
        <v>#N/A</v>
      </c>
      <c r="O3437" s="7" t="e">
        <f>VLOOKUP(F3437,HC!A$6:D$1000,2,FALSE)</f>
        <v>#N/A</v>
      </c>
      <c r="P3437" t="s">
        <v>662</v>
      </c>
      <c r="Q3437" t="s">
        <v>766</v>
      </c>
      <c r="U3437">
        <f t="shared" si="55"/>
        <v>1395</v>
      </c>
    </row>
    <row r="3438" spans="1:21" ht="37.5" customHeight="1" x14ac:dyDescent="0.25">
      <c r="A3438" s="40">
        <v>45204</v>
      </c>
      <c r="B3438" s="13">
        <v>40</v>
      </c>
      <c r="C3438" t="s">
        <v>3</v>
      </c>
      <c r="D3438" t="s">
        <v>4</v>
      </c>
      <c r="E3438" t="s">
        <v>5</v>
      </c>
      <c r="F3438">
        <v>201403462</v>
      </c>
      <c r="G3438" t="s">
        <v>1054</v>
      </c>
      <c r="H3438" t="s">
        <v>47</v>
      </c>
      <c r="I3438">
        <v>0</v>
      </c>
      <c r="J3438">
        <v>0</v>
      </c>
      <c r="K3438">
        <v>0</v>
      </c>
      <c r="L3438">
        <v>0</v>
      </c>
      <c r="M3438">
        <v>0.69</v>
      </c>
      <c r="N3438" s="7" t="e">
        <f>VLOOKUP(F3438,HC!A$6:D$100,3,FALSE)</f>
        <v>#N/A</v>
      </c>
      <c r="O3438" s="7" t="str">
        <f>VLOOKUP(F3438,HC!A$6:D$1000,2,FALSE)</f>
        <v>valdojoe</v>
      </c>
      <c r="P3438" t="s">
        <v>675</v>
      </c>
      <c r="U3438">
        <f t="shared" si="55"/>
        <v>22</v>
      </c>
    </row>
    <row r="3439" spans="1:21" ht="37.5" customHeight="1" x14ac:dyDescent="0.25">
      <c r="A3439" s="40">
        <v>45204</v>
      </c>
      <c r="B3439" s="13">
        <v>40</v>
      </c>
      <c r="C3439" t="s">
        <v>3</v>
      </c>
      <c r="D3439" t="s">
        <v>4</v>
      </c>
      <c r="E3439" t="s">
        <v>21</v>
      </c>
      <c r="F3439">
        <v>201408478</v>
      </c>
      <c r="G3439" t="s">
        <v>1110</v>
      </c>
      <c r="H3439" t="s">
        <v>298</v>
      </c>
      <c r="I3439">
        <v>0</v>
      </c>
      <c r="J3439">
        <v>0</v>
      </c>
      <c r="K3439">
        <v>0</v>
      </c>
      <c r="L3439">
        <v>0</v>
      </c>
      <c r="M3439">
        <v>0.98</v>
      </c>
      <c r="N3439" s="7" t="e">
        <f>VLOOKUP(F3439,HC!A$6:D$100,3,FALSE)</f>
        <v>#N/A</v>
      </c>
      <c r="O3439" s="7" t="str">
        <f>VLOOKUP(F3439,HC!A$6:D$1000,2,FALSE)</f>
        <v>dacaldey</v>
      </c>
      <c r="P3439" t="s">
        <v>661</v>
      </c>
      <c r="Q3439" t="s">
        <v>681</v>
      </c>
      <c r="U3439">
        <f t="shared" si="55"/>
        <v>12</v>
      </c>
    </row>
    <row r="3440" spans="1:21" ht="37.5" customHeight="1" x14ac:dyDescent="0.25">
      <c r="A3440" s="40">
        <v>45204</v>
      </c>
      <c r="B3440" s="13">
        <v>40</v>
      </c>
      <c r="C3440" t="s">
        <v>3</v>
      </c>
      <c r="D3440" t="s">
        <v>4</v>
      </c>
      <c r="E3440" t="s">
        <v>21</v>
      </c>
      <c r="F3440">
        <v>201901910</v>
      </c>
      <c r="G3440" t="s">
        <v>1251</v>
      </c>
      <c r="H3440" t="s">
        <v>17</v>
      </c>
      <c r="I3440">
        <v>0</v>
      </c>
      <c r="J3440">
        <v>0</v>
      </c>
      <c r="K3440">
        <v>0</v>
      </c>
      <c r="L3440">
        <v>0</v>
      </c>
      <c r="M3440">
        <v>0.48</v>
      </c>
      <c r="N3440" s="7" t="e">
        <f>VLOOKUP(F3440,HC!A$6:D$100,3,FALSE)</f>
        <v>#N/A</v>
      </c>
      <c r="O3440" s="7" t="str">
        <f>VLOOKUP(F3440,HC!A$6:D$1000,2,FALSE)</f>
        <v>sfloredw</v>
      </c>
      <c r="P3440" t="s">
        <v>661</v>
      </c>
      <c r="Q3440" t="s">
        <v>684</v>
      </c>
      <c r="U3440">
        <f t="shared" si="55"/>
        <v>8</v>
      </c>
    </row>
    <row r="3441" spans="1:21" ht="37.5" customHeight="1" x14ac:dyDescent="0.25">
      <c r="A3441" s="40">
        <v>45204</v>
      </c>
      <c r="B3441" s="13">
        <v>40</v>
      </c>
      <c r="C3441" t="s">
        <v>3</v>
      </c>
      <c r="D3441" t="s">
        <v>4</v>
      </c>
      <c r="E3441" t="s">
        <v>21</v>
      </c>
      <c r="F3441">
        <v>202063545</v>
      </c>
      <c r="G3441" t="s">
        <v>1275</v>
      </c>
      <c r="H3441" t="s">
        <v>17</v>
      </c>
      <c r="I3441">
        <v>0</v>
      </c>
      <c r="J3441">
        <v>0</v>
      </c>
      <c r="K3441">
        <v>0</v>
      </c>
      <c r="L3441">
        <v>0</v>
      </c>
      <c r="M3441">
        <v>0.1</v>
      </c>
      <c r="N3441" s="7" t="e">
        <f>VLOOKUP(F3441,HC!A$6:D$100,3,FALSE)</f>
        <v>#N/A</v>
      </c>
      <c r="O3441" s="7" t="str">
        <f>VLOOKUP(F3441,HC!A$6:D$1000,2,FALSE)</f>
        <v>angarcz</v>
      </c>
      <c r="P3441" t="s">
        <v>662</v>
      </c>
      <c r="Q3441" t="s">
        <v>687</v>
      </c>
      <c r="U3441">
        <f t="shared" si="55"/>
        <v>9</v>
      </c>
    </row>
    <row r="3442" spans="1:21" ht="37.5" customHeight="1" x14ac:dyDescent="0.25">
      <c r="A3442" s="40">
        <v>45204</v>
      </c>
      <c r="B3442" s="13">
        <v>40</v>
      </c>
      <c r="C3442" t="s">
        <v>3</v>
      </c>
      <c r="D3442" t="s">
        <v>4</v>
      </c>
      <c r="E3442" t="s">
        <v>21</v>
      </c>
      <c r="F3442">
        <v>202081527</v>
      </c>
      <c r="G3442" t="s">
        <v>1273</v>
      </c>
      <c r="H3442" t="s">
        <v>14</v>
      </c>
      <c r="I3442">
        <v>0</v>
      </c>
      <c r="J3442">
        <v>0</v>
      </c>
      <c r="K3442">
        <v>0</v>
      </c>
      <c r="L3442">
        <v>0</v>
      </c>
      <c r="M3442">
        <v>0.32</v>
      </c>
      <c r="N3442" s="7" t="e">
        <f>VLOOKUP(F3442,HC!A$6:D$100,3,FALSE)</f>
        <v>#N/A</v>
      </c>
      <c r="O3442" s="7" t="str">
        <f>VLOOKUP(F3442,HC!A$6:D$1000,2,FALSE)</f>
        <v>efrmartw</v>
      </c>
      <c r="P3442" t="s">
        <v>661</v>
      </c>
      <c r="Q3442" t="s">
        <v>681</v>
      </c>
      <c r="U3442">
        <f t="shared" si="55"/>
        <v>12</v>
      </c>
    </row>
    <row r="3443" spans="1:21" ht="37.5" customHeight="1" x14ac:dyDescent="0.25">
      <c r="A3443" s="40">
        <v>45204</v>
      </c>
      <c r="B3443" s="13">
        <v>40</v>
      </c>
      <c r="C3443" t="s">
        <v>3</v>
      </c>
      <c r="D3443" t="s">
        <v>4</v>
      </c>
      <c r="E3443" t="s">
        <v>21</v>
      </c>
      <c r="F3443">
        <v>202117420</v>
      </c>
      <c r="G3443" t="s">
        <v>1277</v>
      </c>
      <c r="H3443" t="s">
        <v>459</v>
      </c>
      <c r="I3443">
        <v>0</v>
      </c>
      <c r="J3443">
        <v>0</v>
      </c>
      <c r="K3443">
        <v>0</v>
      </c>
      <c r="L3443">
        <v>0</v>
      </c>
      <c r="M3443">
        <v>0.13</v>
      </c>
      <c r="N3443" s="7" t="e">
        <f>VLOOKUP(F3443,HC!A$6:D$100,3,FALSE)</f>
        <v>#N/A</v>
      </c>
      <c r="O3443" s="7" t="str">
        <f>VLOOKUP(F3443,HC!A$6:D$1000,2,FALSE)</f>
        <v>iscerver</v>
      </c>
      <c r="P3443" t="s">
        <v>670</v>
      </c>
      <c r="Q3443" t="s">
        <v>749</v>
      </c>
      <c r="U3443">
        <f t="shared" si="55"/>
        <v>9</v>
      </c>
    </row>
    <row r="3444" spans="1:21" ht="37.5" customHeight="1" x14ac:dyDescent="0.25">
      <c r="A3444" s="40">
        <v>45204</v>
      </c>
      <c r="B3444" s="13">
        <v>40</v>
      </c>
      <c r="C3444" t="s">
        <v>3</v>
      </c>
      <c r="D3444" t="s">
        <v>4</v>
      </c>
      <c r="E3444" t="s">
        <v>21</v>
      </c>
      <c r="F3444">
        <v>202120444</v>
      </c>
      <c r="G3444" t="s">
        <v>1290</v>
      </c>
      <c r="H3444" t="s">
        <v>459</v>
      </c>
      <c r="I3444">
        <v>0</v>
      </c>
      <c r="J3444">
        <v>0</v>
      </c>
      <c r="K3444">
        <v>0</v>
      </c>
      <c r="L3444">
        <v>0</v>
      </c>
      <c r="M3444">
        <v>0.26</v>
      </c>
      <c r="N3444" s="7" t="e">
        <f>VLOOKUP(F3444,HC!A$6:D$100,3,FALSE)</f>
        <v>#N/A</v>
      </c>
      <c r="O3444" s="7" t="str">
        <f>VLOOKUP(F3444,HC!A$6:D$1000,2,FALSE)</f>
        <v>yhernalo</v>
      </c>
      <c r="P3444" t="s">
        <v>665</v>
      </c>
      <c r="Q3444" t="s">
        <v>722</v>
      </c>
      <c r="U3444">
        <f t="shared" si="55"/>
        <v>5</v>
      </c>
    </row>
    <row r="3445" spans="1:21" ht="37.5" customHeight="1" x14ac:dyDescent="0.25">
      <c r="A3445" s="40">
        <v>45204</v>
      </c>
      <c r="B3445" s="13">
        <v>40</v>
      </c>
      <c r="C3445" t="s">
        <v>3</v>
      </c>
      <c r="D3445" t="s">
        <v>4</v>
      </c>
      <c r="E3445" t="s">
        <v>21</v>
      </c>
      <c r="F3445">
        <v>202138120</v>
      </c>
      <c r="G3445" t="s">
        <v>1395</v>
      </c>
      <c r="H3445" t="s">
        <v>49</v>
      </c>
      <c r="I3445">
        <v>0</v>
      </c>
      <c r="J3445">
        <v>0</v>
      </c>
      <c r="K3445">
        <v>0</v>
      </c>
      <c r="L3445">
        <v>0</v>
      </c>
      <c r="M3445">
        <v>1.86</v>
      </c>
      <c r="N3445" s="7" t="e">
        <f>VLOOKUP(F3445,HC!A$6:D$100,3,FALSE)</f>
        <v>#N/A</v>
      </c>
      <c r="O3445" s="7" t="e">
        <f>VLOOKUP(F3445,HC!A$6:D$1000,2,FALSE)</f>
        <v>#N/A</v>
      </c>
      <c r="P3445" t="s">
        <v>664</v>
      </c>
      <c r="Q3445" t="s">
        <v>1399</v>
      </c>
      <c r="R3445" t="s">
        <v>1261</v>
      </c>
      <c r="U3445">
        <f t="shared" si="55"/>
        <v>1395</v>
      </c>
    </row>
    <row r="3446" spans="1:21" ht="37.5" customHeight="1" x14ac:dyDescent="0.25">
      <c r="A3446" s="40">
        <v>45204</v>
      </c>
      <c r="B3446" s="13">
        <v>40</v>
      </c>
      <c r="C3446" t="s">
        <v>3</v>
      </c>
      <c r="D3446" t="s">
        <v>4</v>
      </c>
      <c r="E3446" t="s">
        <v>21</v>
      </c>
      <c r="F3446">
        <v>202173387</v>
      </c>
      <c r="G3446" t="s">
        <v>1396</v>
      </c>
      <c r="H3446" t="s">
        <v>44</v>
      </c>
      <c r="I3446">
        <v>0</v>
      </c>
      <c r="J3446">
        <v>0</v>
      </c>
      <c r="K3446">
        <v>0</v>
      </c>
      <c r="L3446">
        <v>0</v>
      </c>
      <c r="M3446">
        <v>0.17</v>
      </c>
      <c r="N3446" s="7" t="e">
        <f>VLOOKUP(F3446,HC!A$6:D$100,3,FALSE)</f>
        <v>#N/A</v>
      </c>
      <c r="O3446" s="7" t="e">
        <f>VLOOKUP(F3446,HC!A$6:D$1000,2,FALSE)</f>
        <v>#N/A</v>
      </c>
      <c r="P3446" t="s">
        <v>665</v>
      </c>
      <c r="Q3446" t="s">
        <v>722</v>
      </c>
      <c r="U3446">
        <f t="shared" si="55"/>
        <v>1395</v>
      </c>
    </row>
    <row r="3447" spans="1:21" ht="37.5" customHeight="1" x14ac:dyDescent="0.25">
      <c r="A3447" s="40">
        <v>45205</v>
      </c>
      <c r="B3447" s="13">
        <v>40</v>
      </c>
      <c r="C3447" t="s">
        <v>3</v>
      </c>
      <c r="D3447" t="s">
        <v>4</v>
      </c>
      <c r="E3447" t="s">
        <v>5</v>
      </c>
      <c r="F3447">
        <v>112916534</v>
      </c>
      <c r="G3447" t="s">
        <v>425</v>
      </c>
      <c r="H3447" t="s">
        <v>49</v>
      </c>
      <c r="I3447">
        <v>0</v>
      </c>
      <c r="J3447">
        <v>0</v>
      </c>
      <c r="K3447">
        <v>0</v>
      </c>
      <c r="L3447">
        <v>0</v>
      </c>
      <c r="M3447">
        <v>0.17</v>
      </c>
      <c r="N3447" s="7" t="str">
        <f>VLOOKUP(F3447,HC!A$6:D$100,3,FALSE)</f>
        <v>DB-X0700</v>
      </c>
      <c r="O3447" s="7" t="str">
        <f>VLOOKUP(F3447,HC!A$6:D$1000,2,FALSE)</f>
        <v>earelili</v>
      </c>
      <c r="U3447">
        <f t="shared" si="55"/>
        <v>15</v>
      </c>
    </row>
    <row r="3448" spans="1:21" ht="37.5" customHeight="1" x14ac:dyDescent="0.25">
      <c r="A3448" s="40">
        <v>45205</v>
      </c>
      <c r="B3448" s="13">
        <v>40</v>
      </c>
      <c r="C3448" t="s">
        <v>3</v>
      </c>
      <c r="D3448" t="s">
        <v>4</v>
      </c>
      <c r="E3448" t="s">
        <v>5</v>
      </c>
      <c r="F3448">
        <v>112920655</v>
      </c>
      <c r="G3448" t="s">
        <v>509</v>
      </c>
      <c r="H3448" t="s">
        <v>459</v>
      </c>
      <c r="I3448">
        <v>0</v>
      </c>
      <c r="J3448">
        <v>0</v>
      </c>
      <c r="K3448">
        <v>0</v>
      </c>
      <c r="L3448">
        <v>0</v>
      </c>
      <c r="M3448">
        <v>1.06</v>
      </c>
      <c r="N3448" s="7" t="e">
        <f>VLOOKUP(F3448,HC!A$6:D$100,3,FALSE)</f>
        <v>#N/A</v>
      </c>
      <c r="O3448" s="7" t="e">
        <f>VLOOKUP(F3448,HC!A$6:D$1000,2,FALSE)</f>
        <v>#N/A</v>
      </c>
      <c r="P3448" t="s">
        <v>664</v>
      </c>
      <c r="Q3448" t="s">
        <v>1400</v>
      </c>
      <c r="U3448">
        <f t="shared" si="55"/>
        <v>1395</v>
      </c>
    </row>
    <row r="3449" spans="1:21" ht="37.5" customHeight="1" x14ac:dyDescent="0.25">
      <c r="A3449" s="40">
        <v>45205</v>
      </c>
      <c r="B3449" s="13">
        <v>40</v>
      </c>
      <c r="C3449" t="s">
        <v>3</v>
      </c>
      <c r="D3449" t="s">
        <v>4</v>
      </c>
      <c r="E3449" t="s">
        <v>5</v>
      </c>
      <c r="F3449">
        <v>112950784</v>
      </c>
      <c r="G3449" t="s">
        <v>261</v>
      </c>
      <c r="H3449" t="s">
        <v>282</v>
      </c>
      <c r="I3449">
        <v>0</v>
      </c>
      <c r="J3449">
        <v>0</v>
      </c>
      <c r="K3449">
        <v>0</v>
      </c>
      <c r="L3449">
        <v>0</v>
      </c>
      <c r="M3449">
        <v>0.1</v>
      </c>
      <c r="N3449" s="7" t="str">
        <f>VLOOKUP(F3449,HC!A$6:D$100,3,FALSE)</f>
        <v>NF-X1900</v>
      </c>
      <c r="O3449" s="7" t="str">
        <f>VLOOKUP(F3449,HC!A$6:D$1000,2,FALSE)</f>
        <v>sarojast</v>
      </c>
      <c r="P3449" t="s">
        <v>661</v>
      </c>
      <c r="Q3449" t="s">
        <v>681</v>
      </c>
      <c r="U3449">
        <f t="shared" si="55"/>
        <v>33</v>
      </c>
    </row>
    <row r="3450" spans="1:21" ht="37.5" customHeight="1" x14ac:dyDescent="0.25">
      <c r="A3450" s="40">
        <v>45205</v>
      </c>
      <c r="B3450" s="13">
        <v>40</v>
      </c>
      <c r="C3450" t="s">
        <v>3</v>
      </c>
      <c r="D3450" t="s">
        <v>4</v>
      </c>
      <c r="E3450" t="s">
        <v>5</v>
      </c>
      <c r="F3450">
        <v>201211157</v>
      </c>
      <c r="G3450" t="s">
        <v>936</v>
      </c>
      <c r="H3450" t="s">
        <v>47</v>
      </c>
      <c r="I3450">
        <v>0</v>
      </c>
      <c r="J3450">
        <v>0</v>
      </c>
      <c r="K3450">
        <v>0</v>
      </c>
      <c r="L3450">
        <v>0</v>
      </c>
      <c r="M3450">
        <v>0.25</v>
      </c>
      <c r="N3450" s="7" t="e">
        <f>VLOOKUP(F3450,HC!A$6:D$100,3,FALSE)</f>
        <v>#N/A</v>
      </c>
      <c r="O3450" s="7" t="str">
        <f>VLOOKUP(F3450,HC!A$6:D$1000,2,FALSE)</f>
        <v>vargajed</v>
      </c>
      <c r="P3450" t="s">
        <v>661</v>
      </c>
      <c r="Q3450" t="s">
        <v>681</v>
      </c>
      <c r="U3450">
        <f t="shared" si="55"/>
        <v>17</v>
      </c>
    </row>
    <row r="3451" spans="1:21" ht="37.5" customHeight="1" x14ac:dyDescent="0.25">
      <c r="A3451" s="40">
        <v>45205</v>
      </c>
      <c r="B3451" s="13">
        <v>40</v>
      </c>
      <c r="C3451" t="s">
        <v>3</v>
      </c>
      <c r="D3451" t="s">
        <v>4</v>
      </c>
      <c r="E3451" t="s">
        <v>5</v>
      </c>
      <c r="F3451">
        <v>201223730</v>
      </c>
      <c r="G3451" t="s">
        <v>933</v>
      </c>
      <c r="H3451" t="s">
        <v>49</v>
      </c>
      <c r="I3451">
        <v>0</v>
      </c>
      <c r="J3451">
        <v>0</v>
      </c>
      <c r="K3451">
        <v>0</v>
      </c>
      <c r="L3451">
        <v>0</v>
      </c>
      <c r="M3451">
        <v>0.79</v>
      </c>
      <c r="N3451" s="7" t="e">
        <f>VLOOKUP(F3451,HC!A$6:D$100,3,FALSE)</f>
        <v>#N/A</v>
      </c>
      <c r="O3451" s="7" t="str">
        <f>VLOOKUP(F3451,HC!A$6:D$1000,2,FALSE)</f>
        <v>cesarito</v>
      </c>
      <c r="P3451" t="s">
        <v>675</v>
      </c>
      <c r="U3451">
        <f t="shared" si="55"/>
        <v>39</v>
      </c>
    </row>
    <row r="3452" spans="1:21" ht="37.5" customHeight="1" x14ac:dyDescent="0.25">
      <c r="A3452" s="40">
        <v>45205</v>
      </c>
      <c r="B3452" s="13">
        <v>40</v>
      </c>
      <c r="C3452" t="s">
        <v>3</v>
      </c>
      <c r="D3452" t="s">
        <v>4</v>
      </c>
      <c r="E3452" t="s">
        <v>5</v>
      </c>
      <c r="F3452">
        <v>201228411</v>
      </c>
      <c r="G3452" t="s">
        <v>938</v>
      </c>
      <c r="H3452" t="s">
        <v>49</v>
      </c>
      <c r="I3452">
        <v>0</v>
      </c>
      <c r="J3452">
        <v>0</v>
      </c>
      <c r="K3452">
        <v>0</v>
      </c>
      <c r="L3452">
        <v>0</v>
      </c>
      <c r="M3452">
        <v>0.79</v>
      </c>
      <c r="N3452" s="7" t="e">
        <f>VLOOKUP(F3452,HC!A$6:D$100,3,FALSE)</f>
        <v>#N/A</v>
      </c>
      <c r="O3452" s="7" t="str">
        <f>VLOOKUP(F3452,HC!A$6:D$1000,2,FALSE)</f>
        <v>jazmiwhe</v>
      </c>
      <c r="P3452" t="s">
        <v>675</v>
      </c>
      <c r="U3452">
        <f t="shared" si="55"/>
        <v>36</v>
      </c>
    </row>
    <row r="3453" spans="1:21" ht="37.5" customHeight="1" x14ac:dyDescent="0.25">
      <c r="A3453" s="40">
        <v>45205</v>
      </c>
      <c r="B3453" s="13">
        <v>40</v>
      </c>
      <c r="C3453" t="s">
        <v>3</v>
      </c>
      <c r="D3453" t="s">
        <v>4</v>
      </c>
      <c r="E3453" t="s">
        <v>5</v>
      </c>
      <c r="F3453">
        <v>201345737</v>
      </c>
      <c r="G3453" t="s">
        <v>1083</v>
      </c>
      <c r="H3453" t="s">
        <v>403</v>
      </c>
      <c r="I3453">
        <v>0</v>
      </c>
      <c r="J3453">
        <v>0</v>
      </c>
      <c r="K3453">
        <v>0</v>
      </c>
      <c r="L3453">
        <v>0</v>
      </c>
      <c r="M3453">
        <v>0.28000000000000003</v>
      </c>
      <c r="N3453" s="7" t="e">
        <f>VLOOKUP(F3453,HC!A$6:D$100,3,FALSE)</f>
        <v>#N/A</v>
      </c>
      <c r="O3453" s="7" t="str">
        <f>VLOOKUP(F3453,HC!A$6:D$1000,2,FALSE)</f>
        <v>upacoros</v>
      </c>
      <c r="P3453" t="s">
        <v>663</v>
      </c>
      <c r="Q3453" t="s">
        <v>692</v>
      </c>
      <c r="U3453">
        <f t="shared" si="55"/>
        <v>11</v>
      </c>
    </row>
    <row r="3454" spans="1:21" ht="37.5" customHeight="1" x14ac:dyDescent="0.25">
      <c r="A3454" s="40">
        <v>45205</v>
      </c>
      <c r="B3454" s="13">
        <v>40</v>
      </c>
      <c r="C3454" t="s">
        <v>3</v>
      </c>
      <c r="D3454" t="s">
        <v>4</v>
      </c>
      <c r="E3454" t="s">
        <v>5</v>
      </c>
      <c r="F3454">
        <v>201350949</v>
      </c>
      <c r="G3454" t="s">
        <v>1243</v>
      </c>
      <c r="H3454" t="s">
        <v>44</v>
      </c>
      <c r="I3454">
        <v>0</v>
      </c>
      <c r="J3454">
        <v>0</v>
      </c>
      <c r="K3454">
        <v>0</v>
      </c>
      <c r="L3454">
        <v>0</v>
      </c>
      <c r="M3454">
        <v>0.09</v>
      </c>
      <c r="N3454" s="7" t="e">
        <f>VLOOKUP(F3454,HC!A$6:D$100,3,FALSE)</f>
        <v>#N/A</v>
      </c>
      <c r="O3454" s="7" t="str">
        <f>VLOOKUP(F3454,HC!A$6:D$1000,2,FALSE)</f>
        <v>hreyeisa</v>
      </c>
      <c r="P3454" t="s">
        <v>661</v>
      </c>
      <c r="Q3454" t="s">
        <v>681</v>
      </c>
      <c r="U3454">
        <f t="shared" si="55"/>
        <v>5</v>
      </c>
    </row>
    <row r="3455" spans="1:21" ht="37.5" customHeight="1" x14ac:dyDescent="0.25">
      <c r="A3455" s="40">
        <v>45205</v>
      </c>
      <c r="B3455" s="13">
        <v>40</v>
      </c>
      <c r="C3455" t="s">
        <v>3</v>
      </c>
      <c r="D3455" t="s">
        <v>4</v>
      </c>
      <c r="E3455" t="s">
        <v>5</v>
      </c>
      <c r="F3455">
        <v>201403462</v>
      </c>
      <c r="G3455" t="s">
        <v>1054</v>
      </c>
      <c r="H3455" t="s">
        <v>47</v>
      </c>
      <c r="I3455">
        <v>0</v>
      </c>
      <c r="J3455">
        <v>0</v>
      </c>
      <c r="K3455">
        <v>0</v>
      </c>
      <c r="L3455">
        <v>0</v>
      </c>
      <c r="M3455">
        <v>0.64</v>
      </c>
      <c r="N3455" s="7" t="e">
        <f>VLOOKUP(F3455,HC!A$6:D$100,3,FALSE)</f>
        <v>#N/A</v>
      </c>
      <c r="O3455" s="7" t="str">
        <f>VLOOKUP(F3455,HC!A$6:D$1000,2,FALSE)</f>
        <v>valdojoe</v>
      </c>
      <c r="P3455" t="s">
        <v>661</v>
      </c>
      <c r="Q3455" t="s">
        <v>684</v>
      </c>
      <c r="U3455">
        <f t="shared" si="55"/>
        <v>22</v>
      </c>
    </row>
    <row r="3456" spans="1:21" ht="37.5" customHeight="1" x14ac:dyDescent="0.25">
      <c r="A3456" s="40">
        <v>45205</v>
      </c>
      <c r="B3456" s="13">
        <v>40</v>
      </c>
      <c r="C3456" t="s">
        <v>3</v>
      </c>
      <c r="D3456" t="s">
        <v>4</v>
      </c>
      <c r="E3456" t="s">
        <v>21</v>
      </c>
      <c r="F3456">
        <v>201847940</v>
      </c>
      <c r="G3456" t="s">
        <v>1248</v>
      </c>
      <c r="H3456" t="s">
        <v>17</v>
      </c>
      <c r="I3456">
        <v>0</v>
      </c>
      <c r="J3456">
        <v>0</v>
      </c>
      <c r="K3456">
        <v>0</v>
      </c>
      <c r="L3456">
        <v>0</v>
      </c>
      <c r="M3456">
        <v>0.48</v>
      </c>
      <c r="N3456" s="7" t="e">
        <f>VLOOKUP(F3456,HC!A$6:D$100,3,FALSE)</f>
        <v>#N/A</v>
      </c>
      <c r="O3456" s="7" t="e">
        <f>VLOOKUP(F3456,HC!A$6:D$1000,2,FALSE)</f>
        <v>#N/A</v>
      </c>
      <c r="P3456" t="s">
        <v>665</v>
      </c>
      <c r="Q3456" t="s">
        <v>722</v>
      </c>
      <c r="U3456">
        <f t="shared" si="55"/>
        <v>1395</v>
      </c>
    </row>
    <row r="3457" spans="1:21" ht="37.5" customHeight="1" x14ac:dyDescent="0.25">
      <c r="A3457" s="40">
        <v>45205</v>
      </c>
      <c r="B3457" s="13">
        <v>40</v>
      </c>
      <c r="C3457" t="s">
        <v>3</v>
      </c>
      <c r="D3457" t="s">
        <v>4</v>
      </c>
      <c r="E3457" t="s">
        <v>21</v>
      </c>
      <c r="F3457">
        <v>201880542</v>
      </c>
      <c r="G3457" t="s">
        <v>1225</v>
      </c>
      <c r="H3457" t="s">
        <v>1040</v>
      </c>
      <c r="I3457">
        <v>0</v>
      </c>
      <c r="J3457">
        <v>0</v>
      </c>
      <c r="K3457">
        <v>0</v>
      </c>
      <c r="L3457">
        <v>0</v>
      </c>
      <c r="M3457">
        <v>0.18</v>
      </c>
      <c r="N3457" s="7" t="e">
        <f>VLOOKUP(F3457,HC!A$6:D$100,3,FALSE)</f>
        <v>#N/A</v>
      </c>
      <c r="O3457" s="7" t="str">
        <f>VLOOKUP(F3457,HC!A$6:D$1000,2,FALSE)</f>
        <v>orticorp</v>
      </c>
      <c r="P3457" t="s">
        <v>664</v>
      </c>
      <c r="Q3457" t="s">
        <v>777</v>
      </c>
      <c r="U3457">
        <f t="shared" si="55"/>
        <v>24</v>
      </c>
    </row>
    <row r="3458" spans="1:21" ht="37.5" customHeight="1" x14ac:dyDescent="0.25">
      <c r="A3458" s="40">
        <v>45205</v>
      </c>
      <c r="B3458" s="13">
        <v>40</v>
      </c>
      <c r="C3458" t="s">
        <v>3</v>
      </c>
      <c r="D3458" t="s">
        <v>4</v>
      </c>
      <c r="E3458" t="s">
        <v>21</v>
      </c>
      <c r="F3458">
        <v>201901910</v>
      </c>
      <c r="G3458" t="s">
        <v>1251</v>
      </c>
      <c r="H3458" t="s">
        <v>17</v>
      </c>
      <c r="I3458">
        <v>0</v>
      </c>
      <c r="J3458">
        <v>0</v>
      </c>
      <c r="K3458">
        <v>0</v>
      </c>
      <c r="L3458">
        <v>0</v>
      </c>
      <c r="M3458">
        <v>0.61</v>
      </c>
      <c r="N3458" s="7" t="e">
        <f>VLOOKUP(F3458,HC!A$6:D$100,3,FALSE)</f>
        <v>#N/A</v>
      </c>
      <c r="O3458" s="7" t="str">
        <f>VLOOKUP(F3458,HC!A$6:D$1000,2,FALSE)</f>
        <v>sfloredw</v>
      </c>
      <c r="P3458" t="s">
        <v>661</v>
      </c>
      <c r="Q3458" t="s">
        <v>684</v>
      </c>
      <c r="U3458">
        <f t="shared" si="55"/>
        <v>8</v>
      </c>
    </row>
    <row r="3459" spans="1:21" ht="37.5" customHeight="1" x14ac:dyDescent="0.25">
      <c r="A3459" s="40">
        <v>45205</v>
      </c>
      <c r="B3459" s="13">
        <v>40</v>
      </c>
      <c r="C3459" t="s">
        <v>3</v>
      </c>
      <c r="D3459" t="s">
        <v>4</v>
      </c>
      <c r="E3459" t="s">
        <v>21</v>
      </c>
      <c r="F3459">
        <v>202081527</v>
      </c>
      <c r="G3459" t="s">
        <v>1273</v>
      </c>
      <c r="H3459" t="s">
        <v>14</v>
      </c>
      <c r="I3459">
        <v>0</v>
      </c>
      <c r="J3459">
        <v>0</v>
      </c>
      <c r="K3459">
        <v>0</v>
      </c>
      <c r="L3459">
        <v>0</v>
      </c>
      <c r="M3459">
        <v>0.91</v>
      </c>
      <c r="N3459" s="7" t="e">
        <f>VLOOKUP(F3459,HC!A$6:D$100,3,FALSE)</f>
        <v>#N/A</v>
      </c>
      <c r="O3459" s="7" t="str">
        <f>VLOOKUP(F3459,HC!A$6:D$1000,2,FALSE)</f>
        <v>efrmartw</v>
      </c>
      <c r="P3459" t="s">
        <v>664</v>
      </c>
      <c r="Q3459" t="s">
        <v>1400</v>
      </c>
      <c r="R3459" t="s">
        <v>0</v>
      </c>
      <c r="U3459">
        <f t="shared" ref="U3459:U3522" si="56">COUNTIF(O$2:O$4999,O3459)</f>
        <v>12</v>
      </c>
    </row>
    <row r="3460" spans="1:21" ht="37.5" customHeight="1" x14ac:dyDescent="0.25">
      <c r="A3460" s="40">
        <v>45206</v>
      </c>
      <c r="B3460" s="13">
        <v>40</v>
      </c>
      <c r="C3460" t="s">
        <v>3</v>
      </c>
      <c r="D3460" t="s">
        <v>4</v>
      </c>
      <c r="E3460" t="s">
        <v>5</v>
      </c>
      <c r="F3460">
        <v>112971988</v>
      </c>
      <c r="G3460" t="s">
        <v>596</v>
      </c>
      <c r="H3460" t="s">
        <v>459</v>
      </c>
      <c r="I3460">
        <v>0</v>
      </c>
      <c r="J3460">
        <v>0</v>
      </c>
      <c r="K3460">
        <v>0</v>
      </c>
      <c r="L3460">
        <v>0</v>
      </c>
      <c r="M3460">
        <v>0.21</v>
      </c>
      <c r="N3460" s="7" t="str">
        <f>VLOOKUP(F3460,HC!A$6:D$100,3,FALSE)</f>
        <v>DB-X0700</v>
      </c>
      <c r="O3460" s="7" t="str">
        <f>VLOOKUP(F3460,HC!A$6:D$1000,2,FALSE)</f>
        <v>fadtrejo</v>
      </c>
      <c r="P3460" t="s">
        <v>662</v>
      </c>
      <c r="U3460">
        <f t="shared" si="56"/>
        <v>7</v>
      </c>
    </row>
    <row r="3461" spans="1:21" ht="37.5" customHeight="1" x14ac:dyDescent="0.25">
      <c r="A3461" s="40">
        <v>45206</v>
      </c>
      <c r="B3461" s="13">
        <v>40</v>
      </c>
      <c r="C3461" t="s">
        <v>3</v>
      </c>
      <c r="D3461" t="s">
        <v>4</v>
      </c>
      <c r="E3461" t="s">
        <v>5</v>
      </c>
      <c r="F3461">
        <v>113020476</v>
      </c>
      <c r="G3461" t="s">
        <v>330</v>
      </c>
      <c r="H3461" t="s">
        <v>298</v>
      </c>
      <c r="I3461">
        <v>0</v>
      </c>
      <c r="J3461">
        <v>0</v>
      </c>
      <c r="K3461">
        <v>0</v>
      </c>
      <c r="L3461">
        <v>0</v>
      </c>
      <c r="M3461">
        <v>0.28999999999999998</v>
      </c>
      <c r="N3461" s="7" t="e">
        <f>VLOOKUP(F3461,HC!A$6:D$100,3,FALSE)</f>
        <v>#N/A</v>
      </c>
      <c r="O3461" s="7" t="str">
        <f>VLOOKUP(F3461,HC!A$6:D$1000,2,FALSE)</f>
        <v>polettpu</v>
      </c>
      <c r="P3461" t="s">
        <v>661</v>
      </c>
      <c r="U3461">
        <f t="shared" si="56"/>
        <v>55</v>
      </c>
    </row>
    <row r="3462" spans="1:21" ht="37.5" customHeight="1" x14ac:dyDescent="0.25">
      <c r="A3462" s="40">
        <v>45206</v>
      </c>
      <c r="B3462" s="13">
        <v>40</v>
      </c>
      <c r="C3462" t="s">
        <v>3</v>
      </c>
      <c r="D3462" t="s">
        <v>4</v>
      </c>
      <c r="E3462" t="s">
        <v>5</v>
      </c>
      <c r="F3462">
        <v>200508323</v>
      </c>
      <c r="G3462" t="s">
        <v>1150</v>
      </c>
      <c r="H3462" t="s">
        <v>49</v>
      </c>
      <c r="I3462">
        <v>0</v>
      </c>
      <c r="J3462">
        <v>0</v>
      </c>
      <c r="K3462">
        <v>0</v>
      </c>
      <c r="L3462">
        <v>0</v>
      </c>
      <c r="M3462">
        <v>0.16</v>
      </c>
      <c r="N3462" s="7" t="e">
        <f>VLOOKUP(F3462,HC!A$6:D$100,3,FALSE)</f>
        <v>#N/A</v>
      </c>
      <c r="O3462" s="7" t="str">
        <f>VLOOKUP(F3462,HC!A$6:D$1000,2,FALSE)</f>
        <v>espejell</v>
      </c>
      <c r="P3462" t="s">
        <v>661</v>
      </c>
      <c r="Q3462" t="s">
        <v>684</v>
      </c>
      <c r="U3462">
        <f t="shared" si="56"/>
        <v>15</v>
      </c>
    </row>
    <row r="3463" spans="1:21" ht="37.5" customHeight="1" x14ac:dyDescent="0.25">
      <c r="A3463" s="40">
        <v>45206</v>
      </c>
      <c r="B3463" s="13">
        <v>40</v>
      </c>
      <c r="C3463" t="s">
        <v>3</v>
      </c>
      <c r="D3463" t="s">
        <v>4</v>
      </c>
      <c r="E3463" t="s">
        <v>5</v>
      </c>
      <c r="F3463">
        <v>200614224</v>
      </c>
      <c r="G3463" t="s">
        <v>322</v>
      </c>
      <c r="H3463" t="s">
        <v>298</v>
      </c>
      <c r="I3463">
        <v>0</v>
      </c>
      <c r="J3463">
        <v>0</v>
      </c>
      <c r="K3463">
        <v>0</v>
      </c>
      <c r="L3463">
        <v>0</v>
      </c>
      <c r="M3463">
        <v>0.48</v>
      </c>
      <c r="N3463" s="7" t="e">
        <f>VLOOKUP(F3463,HC!A$6:D$100,3,FALSE)</f>
        <v>#N/A</v>
      </c>
      <c r="O3463" s="7" t="e">
        <f>VLOOKUP(F3463,HC!A$6:D$1000,2,FALSE)</f>
        <v>#N/A</v>
      </c>
      <c r="P3463" t="s">
        <v>662</v>
      </c>
      <c r="Q3463" t="s">
        <v>757</v>
      </c>
      <c r="U3463">
        <f t="shared" si="56"/>
        <v>1395</v>
      </c>
    </row>
    <row r="3464" spans="1:21" ht="37.5" customHeight="1" x14ac:dyDescent="0.25">
      <c r="A3464" s="40">
        <v>45206</v>
      </c>
      <c r="B3464" s="13">
        <v>40</v>
      </c>
      <c r="C3464" t="s">
        <v>3</v>
      </c>
      <c r="D3464" t="s">
        <v>4</v>
      </c>
      <c r="E3464" t="s">
        <v>5</v>
      </c>
      <c r="F3464">
        <v>201223730</v>
      </c>
      <c r="G3464" t="s">
        <v>933</v>
      </c>
      <c r="H3464" t="s">
        <v>49</v>
      </c>
      <c r="I3464">
        <v>0</v>
      </c>
      <c r="J3464">
        <v>0</v>
      </c>
      <c r="K3464">
        <v>0</v>
      </c>
      <c r="L3464">
        <v>0</v>
      </c>
      <c r="M3464">
        <v>0.61</v>
      </c>
      <c r="N3464" s="7" t="e">
        <f>VLOOKUP(F3464,HC!A$6:D$100,3,FALSE)</f>
        <v>#N/A</v>
      </c>
      <c r="O3464" s="7" t="str">
        <f>VLOOKUP(F3464,HC!A$6:D$1000,2,FALSE)</f>
        <v>cesarito</v>
      </c>
      <c r="P3464" t="s">
        <v>664</v>
      </c>
      <c r="R3464" t="s">
        <v>632</v>
      </c>
      <c r="U3464">
        <f t="shared" si="56"/>
        <v>39</v>
      </c>
    </row>
    <row r="3465" spans="1:21" ht="37.5" customHeight="1" x14ac:dyDescent="0.25">
      <c r="A3465" s="40">
        <v>45206</v>
      </c>
      <c r="B3465" s="13">
        <v>40</v>
      </c>
      <c r="C3465" t="s">
        <v>3</v>
      </c>
      <c r="D3465" t="s">
        <v>4</v>
      </c>
      <c r="E3465" t="s">
        <v>5</v>
      </c>
      <c r="F3465">
        <v>201228411</v>
      </c>
      <c r="G3465" t="s">
        <v>938</v>
      </c>
      <c r="H3465" t="s">
        <v>49</v>
      </c>
      <c r="I3465">
        <v>0</v>
      </c>
      <c r="J3465">
        <v>0</v>
      </c>
      <c r="K3465">
        <v>0</v>
      </c>
      <c r="L3465">
        <v>0</v>
      </c>
      <c r="M3465">
        <v>1.1299999999999999</v>
      </c>
      <c r="N3465" s="7" t="e">
        <f>VLOOKUP(F3465,HC!A$6:D$100,3,FALSE)</f>
        <v>#N/A</v>
      </c>
      <c r="O3465" s="7" t="str">
        <f>VLOOKUP(F3465,HC!A$6:D$1000,2,FALSE)</f>
        <v>jazmiwhe</v>
      </c>
      <c r="P3465" t="s">
        <v>664</v>
      </c>
      <c r="R3465" t="s">
        <v>632</v>
      </c>
      <c r="U3465">
        <f t="shared" si="56"/>
        <v>36</v>
      </c>
    </row>
    <row r="3466" spans="1:21" ht="37.5" customHeight="1" x14ac:dyDescent="0.25">
      <c r="A3466" s="40">
        <v>45206</v>
      </c>
      <c r="B3466" s="13">
        <v>40</v>
      </c>
      <c r="C3466" t="s">
        <v>3</v>
      </c>
      <c r="D3466" t="s">
        <v>4</v>
      </c>
      <c r="E3466" t="s">
        <v>5</v>
      </c>
      <c r="F3466">
        <v>201403462</v>
      </c>
      <c r="G3466" t="s">
        <v>1054</v>
      </c>
      <c r="H3466" t="s">
        <v>47</v>
      </c>
      <c r="I3466">
        <v>0</v>
      </c>
      <c r="J3466">
        <v>0</v>
      </c>
      <c r="K3466">
        <v>0</v>
      </c>
      <c r="L3466">
        <v>0</v>
      </c>
      <c r="M3466">
        <v>0.67</v>
      </c>
      <c r="N3466" s="7" t="e">
        <f>VLOOKUP(F3466,HC!A$6:D$100,3,FALSE)</f>
        <v>#N/A</v>
      </c>
      <c r="O3466" s="7" t="str">
        <f>VLOOKUP(F3466,HC!A$6:D$1000,2,FALSE)</f>
        <v>valdojoe</v>
      </c>
      <c r="P3466" t="s">
        <v>661</v>
      </c>
      <c r="Q3466" t="s">
        <v>681</v>
      </c>
      <c r="U3466">
        <f t="shared" si="56"/>
        <v>22</v>
      </c>
    </row>
    <row r="3467" spans="1:21" ht="37.5" customHeight="1" x14ac:dyDescent="0.25">
      <c r="A3467" s="40">
        <v>45206</v>
      </c>
      <c r="B3467" s="13">
        <v>40</v>
      </c>
      <c r="C3467" t="s">
        <v>3</v>
      </c>
      <c r="D3467" t="s">
        <v>4</v>
      </c>
      <c r="E3467" t="s">
        <v>21</v>
      </c>
      <c r="F3467">
        <v>201841804</v>
      </c>
      <c r="G3467" t="s">
        <v>1214</v>
      </c>
      <c r="H3467" t="s">
        <v>17</v>
      </c>
      <c r="I3467">
        <v>0</v>
      </c>
      <c r="J3467">
        <v>0</v>
      </c>
      <c r="K3467">
        <v>0</v>
      </c>
      <c r="L3467">
        <v>0</v>
      </c>
      <c r="M3467">
        <v>1.37</v>
      </c>
      <c r="N3467" s="7" t="e">
        <f>VLOOKUP(F3467,HC!A$6:D$100,3,FALSE)</f>
        <v>#N/A</v>
      </c>
      <c r="O3467" s="7" t="str">
        <f>VLOOKUP(F3467,HC!A$6:D$1000,2,FALSE)</f>
        <v>ruizhmic</v>
      </c>
      <c r="P3467" t="s">
        <v>664</v>
      </c>
      <c r="U3467">
        <f t="shared" si="56"/>
        <v>8</v>
      </c>
    </row>
    <row r="3468" spans="1:21" ht="37.5" customHeight="1" x14ac:dyDescent="0.25">
      <c r="A3468" s="40">
        <v>45206</v>
      </c>
      <c r="B3468" s="13">
        <v>40</v>
      </c>
      <c r="C3468" t="s">
        <v>3</v>
      </c>
      <c r="D3468" t="s">
        <v>4</v>
      </c>
      <c r="E3468" t="s">
        <v>21</v>
      </c>
      <c r="F3468">
        <v>201842039</v>
      </c>
      <c r="G3468" t="s">
        <v>1231</v>
      </c>
      <c r="H3468" t="s">
        <v>49</v>
      </c>
      <c r="I3468">
        <v>0</v>
      </c>
      <c r="J3468">
        <v>0</v>
      </c>
      <c r="K3468">
        <v>0</v>
      </c>
      <c r="L3468">
        <v>0</v>
      </c>
      <c r="M3468">
        <v>0.2</v>
      </c>
      <c r="N3468" s="7" t="e">
        <f>VLOOKUP(F3468,HC!A$6:D$100,3,FALSE)</f>
        <v>#N/A</v>
      </c>
      <c r="O3468" s="7" t="str">
        <f>VLOOKUP(F3468,HC!A$6:D$1000,2,FALSE)</f>
        <v>fantmar</v>
      </c>
      <c r="P3468" t="s">
        <v>664</v>
      </c>
      <c r="Q3468" t="s">
        <v>777</v>
      </c>
      <c r="U3468">
        <f t="shared" si="56"/>
        <v>11</v>
      </c>
    </row>
    <row r="3469" spans="1:21" ht="37.5" customHeight="1" x14ac:dyDescent="0.25">
      <c r="A3469" s="40">
        <v>45206</v>
      </c>
      <c r="B3469" s="13">
        <v>40</v>
      </c>
      <c r="C3469" t="s">
        <v>3</v>
      </c>
      <c r="D3469" t="s">
        <v>4</v>
      </c>
      <c r="E3469" t="s">
        <v>21</v>
      </c>
      <c r="F3469">
        <v>201842064</v>
      </c>
      <c r="G3469" t="s">
        <v>1241</v>
      </c>
      <c r="H3469" t="s">
        <v>17</v>
      </c>
      <c r="I3469">
        <v>0</v>
      </c>
      <c r="J3469">
        <v>0</v>
      </c>
      <c r="K3469">
        <v>0</v>
      </c>
      <c r="L3469">
        <v>0</v>
      </c>
      <c r="M3469">
        <v>1.3</v>
      </c>
      <c r="N3469" s="7" t="e">
        <f>VLOOKUP(F3469,HC!A$6:D$100,3,FALSE)</f>
        <v>#N/A</v>
      </c>
      <c r="O3469" s="7" t="str">
        <f>VLOOKUP(F3469,HC!A$6:D$1000,2,FALSE)</f>
        <v>agriandl</v>
      </c>
      <c r="P3469" t="s">
        <v>664</v>
      </c>
      <c r="Q3469" t="s">
        <v>716</v>
      </c>
      <c r="U3469">
        <f t="shared" si="56"/>
        <v>12</v>
      </c>
    </row>
    <row r="3470" spans="1:21" ht="37.5" customHeight="1" x14ac:dyDescent="0.25">
      <c r="A3470" s="40">
        <v>45206</v>
      </c>
      <c r="B3470" s="13">
        <v>40</v>
      </c>
      <c r="C3470" t="s">
        <v>3</v>
      </c>
      <c r="D3470" t="s">
        <v>4</v>
      </c>
      <c r="E3470" t="s">
        <v>21</v>
      </c>
      <c r="F3470">
        <v>201906503</v>
      </c>
      <c r="G3470" t="s">
        <v>1228</v>
      </c>
      <c r="H3470" t="s">
        <v>47</v>
      </c>
      <c r="I3470">
        <v>0</v>
      </c>
      <c r="J3470">
        <v>0</v>
      </c>
      <c r="K3470">
        <v>0</v>
      </c>
      <c r="L3470">
        <v>0</v>
      </c>
      <c r="M3470">
        <v>0.21</v>
      </c>
      <c r="N3470" s="7" t="e">
        <f>VLOOKUP(F3470,HC!A$6:D$100,3,FALSE)</f>
        <v>#N/A</v>
      </c>
      <c r="O3470" s="7" t="str">
        <f>VLOOKUP(F3470,HC!A$6:D$1000,2,FALSE)</f>
        <v>mqjennif</v>
      </c>
      <c r="P3470" t="s">
        <v>665</v>
      </c>
      <c r="Q3470" t="s">
        <v>722</v>
      </c>
      <c r="U3470">
        <f t="shared" si="56"/>
        <v>11</v>
      </c>
    </row>
    <row r="3471" spans="1:21" ht="37.5" customHeight="1" x14ac:dyDescent="0.25">
      <c r="A3471" s="40">
        <v>45206</v>
      </c>
      <c r="B3471" s="13">
        <v>40</v>
      </c>
      <c r="C3471" t="s">
        <v>3</v>
      </c>
      <c r="D3471" t="s">
        <v>4</v>
      </c>
      <c r="E3471" t="s">
        <v>21</v>
      </c>
      <c r="F3471">
        <v>202062181</v>
      </c>
      <c r="G3471" t="s">
        <v>1401</v>
      </c>
      <c r="H3471" t="s">
        <v>17</v>
      </c>
      <c r="I3471">
        <v>0</v>
      </c>
      <c r="J3471">
        <v>0</v>
      </c>
      <c r="K3471">
        <v>0</v>
      </c>
      <c r="L3471">
        <v>0</v>
      </c>
      <c r="M3471">
        <v>0.41</v>
      </c>
      <c r="N3471" s="7" t="e">
        <f>VLOOKUP(F3471,HC!A$6:D$100,3,FALSE)</f>
        <v>#N/A</v>
      </c>
      <c r="O3471" s="7" t="str">
        <f>VLOOKUP(F3471,HC!A$6:D$1000,2,FALSE)</f>
        <v>xlutrejo</v>
      </c>
      <c r="P3471" t="s">
        <v>661</v>
      </c>
      <c r="Q3471" t="s">
        <v>681</v>
      </c>
      <c r="U3471">
        <f t="shared" si="56"/>
        <v>8</v>
      </c>
    </row>
    <row r="3472" spans="1:21" ht="37.5" customHeight="1" x14ac:dyDescent="0.25">
      <c r="A3472" s="40">
        <v>45206</v>
      </c>
      <c r="B3472" s="13">
        <v>40</v>
      </c>
      <c r="C3472" t="s">
        <v>3</v>
      </c>
      <c r="D3472" t="s">
        <v>4</v>
      </c>
      <c r="E3472" t="s">
        <v>21</v>
      </c>
      <c r="F3472">
        <v>202081527</v>
      </c>
      <c r="G3472" t="s">
        <v>1273</v>
      </c>
      <c r="H3472" t="s">
        <v>14</v>
      </c>
      <c r="I3472">
        <v>0</v>
      </c>
      <c r="J3472">
        <v>0</v>
      </c>
      <c r="K3472">
        <v>0</v>
      </c>
      <c r="L3472">
        <v>0</v>
      </c>
      <c r="M3472">
        <v>0.33</v>
      </c>
      <c r="N3472" s="7" t="e">
        <f>VLOOKUP(F3472,HC!A$6:D$100,3,FALSE)</f>
        <v>#N/A</v>
      </c>
      <c r="O3472" s="7" t="str">
        <f>VLOOKUP(F3472,HC!A$6:D$1000,2,FALSE)</f>
        <v>efrmartw</v>
      </c>
      <c r="P3472" t="s">
        <v>664</v>
      </c>
      <c r="Q3472" t="s">
        <v>420</v>
      </c>
      <c r="U3472">
        <f t="shared" si="56"/>
        <v>12</v>
      </c>
    </row>
    <row r="3473" spans="1:21" ht="37.5" customHeight="1" x14ac:dyDescent="0.25">
      <c r="A3473" s="40">
        <v>45206</v>
      </c>
      <c r="B3473" s="13">
        <v>40</v>
      </c>
      <c r="C3473" t="s">
        <v>3</v>
      </c>
      <c r="D3473" t="s">
        <v>4</v>
      </c>
      <c r="E3473" t="s">
        <v>21</v>
      </c>
      <c r="F3473">
        <v>202103139</v>
      </c>
      <c r="G3473" t="s">
        <v>1402</v>
      </c>
      <c r="H3473" t="s">
        <v>298</v>
      </c>
      <c r="I3473">
        <v>0</v>
      </c>
      <c r="J3473">
        <v>0</v>
      </c>
      <c r="K3473">
        <v>0</v>
      </c>
      <c r="L3473">
        <v>0</v>
      </c>
      <c r="M3473">
        <v>1.25</v>
      </c>
      <c r="N3473" s="7" t="e">
        <f>VLOOKUP(F3473,HC!A$6:D$100,3,FALSE)</f>
        <v>#N/A</v>
      </c>
      <c r="O3473" s="7" t="str">
        <f>VLOOKUP(F3473,HC!A$6:D$1000,2,FALSE)</f>
        <v>lunaferz</v>
      </c>
      <c r="P3473" t="s">
        <v>664</v>
      </c>
      <c r="Q3473" t="s">
        <v>420</v>
      </c>
      <c r="U3473">
        <f t="shared" si="56"/>
        <v>2</v>
      </c>
    </row>
    <row r="3474" spans="1:21" ht="37.5" customHeight="1" x14ac:dyDescent="0.25">
      <c r="A3474" s="40">
        <v>45206</v>
      </c>
      <c r="B3474" s="13">
        <v>40</v>
      </c>
      <c r="C3474" t="s">
        <v>3</v>
      </c>
      <c r="D3474" t="s">
        <v>4</v>
      </c>
      <c r="E3474" t="s">
        <v>21</v>
      </c>
      <c r="F3474">
        <v>202120077</v>
      </c>
      <c r="G3474" t="s">
        <v>1278</v>
      </c>
      <c r="H3474" t="s">
        <v>459</v>
      </c>
      <c r="I3474">
        <v>0</v>
      </c>
      <c r="J3474">
        <v>0</v>
      </c>
      <c r="K3474">
        <v>0</v>
      </c>
      <c r="L3474">
        <v>0</v>
      </c>
      <c r="M3474">
        <v>0.48</v>
      </c>
      <c r="N3474" s="7" t="e">
        <f>VLOOKUP(F3474,HC!A$6:D$100,3,FALSE)</f>
        <v>#N/A</v>
      </c>
      <c r="O3474" s="7" t="str">
        <f>VLOOKUP(F3474,HC!A$6:D$1000,2,FALSE)</f>
        <v>mauaguid</v>
      </c>
      <c r="P3474" t="s">
        <v>662</v>
      </c>
      <c r="Q3474" t="s">
        <v>757</v>
      </c>
      <c r="U3474">
        <f t="shared" si="56"/>
        <v>7</v>
      </c>
    </row>
    <row r="3475" spans="1:21" ht="37.5" customHeight="1" x14ac:dyDescent="0.25">
      <c r="A3475" s="40">
        <v>45206</v>
      </c>
      <c r="B3475" s="13">
        <v>40</v>
      </c>
      <c r="C3475" t="s">
        <v>3</v>
      </c>
      <c r="D3475" t="s">
        <v>4</v>
      </c>
      <c r="E3475" t="s">
        <v>21</v>
      </c>
      <c r="F3475" s="18">
        <v>202137109</v>
      </c>
      <c r="G3475" t="s">
        <v>1403</v>
      </c>
      <c r="H3475" t="s">
        <v>14</v>
      </c>
      <c r="I3475">
        <v>0</v>
      </c>
      <c r="J3475">
        <v>0</v>
      </c>
      <c r="K3475">
        <v>0</v>
      </c>
      <c r="L3475">
        <v>0</v>
      </c>
      <c r="M3475">
        <v>1.1499999999999999</v>
      </c>
      <c r="N3475" s="7" t="e">
        <f>VLOOKUP(F3475,HC!A$6:D$100,3,FALSE)</f>
        <v>#N/A</v>
      </c>
      <c r="O3475" s="7" t="e">
        <f>VLOOKUP(F3475,HC!A$6:D$1000,2,FALSE)</f>
        <v>#N/A</v>
      </c>
      <c r="P3475" t="s">
        <v>661</v>
      </c>
      <c r="Q3475" t="s">
        <v>681</v>
      </c>
      <c r="R3475" t="s">
        <v>355</v>
      </c>
      <c r="U3475">
        <f t="shared" si="56"/>
        <v>1395</v>
      </c>
    </row>
    <row r="3476" spans="1:21" ht="37.5" customHeight="1" x14ac:dyDescent="0.25">
      <c r="A3476" s="40">
        <v>45206</v>
      </c>
      <c r="B3476" s="13">
        <v>40</v>
      </c>
      <c r="C3476" t="s">
        <v>3</v>
      </c>
      <c r="D3476" t="s">
        <v>4</v>
      </c>
      <c r="E3476" t="s">
        <v>21</v>
      </c>
      <c r="F3476">
        <v>202175649</v>
      </c>
      <c r="G3476" t="s">
        <v>1404</v>
      </c>
      <c r="H3476" t="s">
        <v>459</v>
      </c>
      <c r="I3476">
        <v>0</v>
      </c>
      <c r="J3476">
        <v>0</v>
      </c>
      <c r="K3476">
        <v>0</v>
      </c>
      <c r="L3476">
        <v>0</v>
      </c>
      <c r="M3476">
        <v>0.16</v>
      </c>
      <c r="N3476" s="7" t="e">
        <f>VLOOKUP(F3476,HC!A$6:D$100,3,FALSE)</f>
        <v>#N/A</v>
      </c>
      <c r="O3476" s="7" t="str">
        <f>VLOOKUP(F3476,HC!A$6:D$1000,2,FALSE)</f>
        <v>galvali</v>
      </c>
      <c r="P3476" t="s">
        <v>662</v>
      </c>
      <c r="Q3476" t="s">
        <v>757</v>
      </c>
      <c r="U3476">
        <f t="shared" si="56"/>
        <v>3</v>
      </c>
    </row>
    <row r="3477" spans="1:21" ht="37.5" customHeight="1" x14ac:dyDescent="0.25">
      <c r="A3477" s="40">
        <v>45207</v>
      </c>
      <c r="B3477" s="13">
        <v>41</v>
      </c>
      <c r="C3477" t="s">
        <v>3</v>
      </c>
      <c r="D3477" t="s">
        <v>4</v>
      </c>
      <c r="E3477" t="s">
        <v>5</v>
      </c>
      <c r="F3477">
        <v>112912506</v>
      </c>
      <c r="G3477" t="s">
        <v>1041</v>
      </c>
      <c r="H3477" t="s">
        <v>332</v>
      </c>
      <c r="I3477">
        <v>0</v>
      </c>
      <c r="J3477">
        <v>0</v>
      </c>
      <c r="K3477">
        <v>0</v>
      </c>
      <c r="L3477">
        <v>0</v>
      </c>
      <c r="M3477">
        <v>0.24</v>
      </c>
      <c r="N3477" s="7" t="str">
        <f>VLOOKUP(F3477,HC!A$6:D$100,3,FALSE)</f>
        <v>DA-X0700</v>
      </c>
      <c r="O3477" s="7" t="str">
        <f>VLOOKUP(F3477,HC!A$6:D$1000,2,FALSE)</f>
        <v>gakjessi</v>
      </c>
      <c r="P3477" t="s">
        <v>664</v>
      </c>
      <c r="Q3477" t="s">
        <v>716</v>
      </c>
      <c r="U3477">
        <f t="shared" si="56"/>
        <v>11</v>
      </c>
    </row>
    <row r="3478" spans="1:21" ht="37.5" customHeight="1" x14ac:dyDescent="0.25">
      <c r="A3478" s="40">
        <v>45207</v>
      </c>
      <c r="B3478" s="13">
        <v>41</v>
      </c>
      <c r="C3478" t="s">
        <v>3</v>
      </c>
      <c r="D3478" t="s">
        <v>4</v>
      </c>
      <c r="E3478" t="s">
        <v>5</v>
      </c>
      <c r="F3478">
        <v>112980844</v>
      </c>
      <c r="G3478" t="s">
        <v>13</v>
      </c>
      <c r="H3478" t="s">
        <v>250</v>
      </c>
      <c r="I3478">
        <v>0</v>
      </c>
      <c r="J3478">
        <v>0</v>
      </c>
      <c r="K3478">
        <v>0</v>
      </c>
      <c r="L3478">
        <v>0</v>
      </c>
      <c r="M3478">
        <v>0.18</v>
      </c>
      <c r="N3478" s="7" t="str">
        <f>VLOOKUP(F3478,HC!A$6:D$100,3,FALSE)</f>
        <v>DA-X0700</v>
      </c>
      <c r="O3478" s="7" t="str">
        <f>VLOOKUP(F3478,HC!A$6:D$1000,2,FALSE)</f>
        <v>samajpad</v>
      </c>
      <c r="P3478" t="s">
        <v>664</v>
      </c>
      <c r="Q3478" t="s">
        <v>711</v>
      </c>
      <c r="U3478">
        <f t="shared" si="56"/>
        <v>20</v>
      </c>
    </row>
    <row r="3479" spans="1:21" ht="37.5" customHeight="1" x14ac:dyDescent="0.25">
      <c r="A3479" s="40">
        <v>45207</v>
      </c>
      <c r="B3479" s="13">
        <v>41</v>
      </c>
      <c r="C3479" t="s">
        <v>3</v>
      </c>
      <c r="D3479" t="s">
        <v>4</v>
      </c>
      <c r="E3479" t="s">
        <v>5</v>
      </c>
      <c r="F3479">
        <v>112981196</v>
      </c>
      <c r="G3479" t="s">
        <v>328</v>
      </c>
      <c r="H3479" t="s">
        <v>285</v>
      </c>
      <c r="I3479">
        <v>0</v>
      </c>
      <c r="J3479">
        <v>0</v>
      </c>
      <c r="K3479">
        <v>0</v>
      </c>
      <c r="L3479">
        <v>0</v>
      </c>
      <c r="M3479">
        <v>0.25</v>
      </c>
      <c r="N3479" s="7" t="e">
        <f>VLOOKUP(F3479,HC!A$6:D$100,3,FALSE)</f>
        <v>#N/A</v>
      </c>
      <c r="O3479" s="7" t="str">
        <f>VLOOKUP(F3479,HC!A$6:D$1000,2,FALSE)</f>
        <v>vandgome</v>
      </c>
      <c r="P3479" t="s">
        <v>665</v>
      </c>
      <c r="Q3479" t="s">
        <v>722</v>
      </c>
      <c r="U3479">
        <f t="shared" si="56"/>
        <v>24</v>
      </c>
    </row>
    <row r="3480" spans="1:21" ht="37.5" customHeight="1" x14ac:dyDescent="0.25">
      <c r="A3480" s="40">
        <v>45207</v>
      </c>
      <c r="B3480" s="13">
        <v>41</v>
      </c>
      <c r="C3480" t="s">
        <v>3</v>
      </c>
      <c r="D3480" t="s">
        <v>4</v>
      </c>
      <c r="E3480" t="s">
        <v>5</v>
      </c>
      <c r="F3480">
        <v>113019001</v>
      </c>
      <c r="G3480" t="s">
        <v>464</v>
      </c>
      <c r="H3480" t="s">
        <v>1040</v>
      </c>
      <c r="I3480">
        <v>0</v>
      </c>
      <c r="J3480">
        <v>0</v>
      </c>
      <c r="K3480">
        <v>0</v>
      </c>
      <c r="L3480">
        <v>0</v>
      </c>
      <c r="M3480">
        <v>0.13</v>
      </c>
      <c r="N3480" s="7" t="e">
        <f>VLOOKUP(F3480,HC!A$6:D$100,3,FALSE)</f>
        <v>#N/A</v>
      </c>
      <c r="O3480" s="7" t="str">
        <f>VLOOKUP(F3480,HC!A$6:D$1000,2,FALSE)</f>
        <v>dolozane</v>
      </c>
      <c r="P3480" t="s">
        <v>661</v>
      </c>
      <c r="Q3480" t="s">
        <v>681</v>
      </c>
      <c r="U3480">
        <f t="shared" si="56"/>
        <v>17</v>
      </c>
    </row>
    <row r="3481" spans="1:21" ht="37.5" customHeight="1" x14ac:dyDescent="0.25">
      <c r="A3481" s="40">
        <v>45207</v>
      </c>
      <c r="B3481" s="13">
        <v>41</v>
      </c>
      <c r="C3481" t="s">
        <v>3</v>
      </c>
      <c r="D3481" t="s">
        <v>4</v>
      </c>
      <c r="E3481" t="s">
        <v>21</v>
      </c>
      <c r="F3481">
        <v>113019111</v>
      </c>
      <c r="G3481" t="s">
        <v>533</v>
      </c>
      <c r="H3481" t="s">
        <v>282</v>
      </c>
      <c r="I3481">
        <v>0</v>
      </c>
      <c r="J3481">
        <v>0</v>
      </c>
      <c r="K3481">
        <v>0</v>
      </c>
      <c r="L3481">
        <v>0</v>
      </c>
      <c r="M3481">
        <v>0.32</v>
      </c>
      <c r="N3481" s="7" t="e">
        <f>VLOOKUP(F3481,HC!A$6:D$100,3,FALSE)</f>
        <v>#N/A</v>
      </c>
      <c r="O3481" s="7" t="str">
        <f>VLOOKUP(F3481,HC!A$6:D$1000,2,FALSE)</f>
        <v>valdkell</v>
      </c>
      <c r="P3481" t="s">
        <v>664</v>
      </c>
      <c r="Q3481" t="s">
        <v>420</v>
      </c>
      <c r="U3481">
        <f t="shared" si="56"/>
        <v>7</v>
      </c>
    </row>
    <row r="3482" spans="1:21" ht="37.5" customHeight="1" x14ac:dyDescent="0.25">
      <c r="A3482" s="40">
        <v>45207</v>
      </c>
      <c r="B3482" s="13">
        <v>41</v>
      </c>
      <c r="C3482" t="s">
        <v>3</v>
      </c>
      <c r="D3482" t="s">
        <v>4</v>
      </c>
      <c r="E3482" t="s">
        <v>5</v>
      </c>
      <c r="F3482">
        <v>201318220</v>
      </c>
      <c r="G3482" t="s">
        <v>1183</v>
      </c>
      <c r="H3482" t="s">
        <v>1040</v>
      </c>
      <c r="I3482">
        <v>0</v>
      </c>
      <c r="J3482">
        <v>0</v>
      </c>
      <c r="K3482">
        <v>0</v>
      </c>
      <c r="L3482">
        <v>0</v>
      </c>
      <c r="M3482">
        <v>0.09</v>
      </c>
      <c r="N3482" s="7" t="e">
        <f>VLOOKUP(F3482,HC!A$6:D$100,3,FALSE)</f>
        <v>#N/A</v>
      </c>
      <c r="O3482" s="7" t="str">
        <f>VLOOKUP(F3482,HC!A$6:D$1000,2,FALSE)</f>
        <v>raufjas</v>
      </c>
      <c r="P3482" t="s">
        <v>670</v>
      </c>
      <c r="U3482">
        <f t="shared" si="56"/>
        <v>11</v>
      </c>
    </row>
    <row r="3483" spans="1:21" ht="37.5" customHeight="1" x14ac:dyDescent="0.25">
      <c r="A3483" s="40">
        <v>45207</v>
      </c>
      <c r="B3483" s="13">
        <v>41</v>
      </c>
      <c r="C3483" t="s">
        <v>3</v>
      </c>
      <c r="D3483" t="s">
        <v>4</v>
      </c>
      <c r="E3483" t="s">
        <v>5</v>
      </c>
      <c r="F3483">
        <v>201390638</v>
      </c>
      <c r="G3483" t="s">
        <v>1256</v>
      </c>
      <c r="H3483" t="s">
        <v>285</v>
      </c>
      <c r="I3483">
        <v>0</v>
      </c>
      <c r="J3483">
        <v>0</v>
      </c>
      <c r="K3483">
        <v>0</v>
      </c>
      <c r="L3483">
        <v>0</v>
      </c>
      <c r="M3483">
        <v>0.52</v>
      </c>
      <c r="N3483" s="7" t="e">
        <f>VLOOKUP(F3483,HC!A$6:D$100,3,FALSE)</f>
        <v>#N/A</v>
      </c>
      <c r="O3483" s="7" t="str">
        <f>VLOOKUP(F3483,HC!A$6:D$1000,2,FALSE)</f>
        <v>furielbe</v>
      </c>
      <c r="P3483" t="s">
        <v>664</v>
      </c>
      <c r="Q3483" t="s">
        <v>777</v>
      </c>
      <c r="U3483">
        <f t="shared" si="56"/>
        <v>4</v>
      </c>
    </row>
    <row r="3484" spans="1:21" ht="37.5" customHeight="1" x14ac:dyDescent="0.25">
      <c r="A3484" s="40">
        <v>45207</v>
      </c>
      <c r="B3484" s="13">
        <v>41</v>
      </c>
      <c r="C3484" t="s">
        <v>3</v>
      </c>
      <c r="D3484" t="s">
        <v>4</v>
      </c>
      <c r="E3484" t="s">
        <v>21</v>
      </c>
      <c r="F3484">
        <v>202070029</v>
      </c>
      <c r="G3484" t="s">
        <v>1283</v>
      </c>
      <c r="H3484" t="s">
        <v>1040</v>
      </c>
      <c r="I3484">
        <v>0</v>
      </c>
      <c r="J3484">
        <v>0</v>
      </c>
      <c r="K3484">
        <v>0</v>
      </c>
      <c r="L3484">
        <v>0</v>
      </c>
      <c r="M3484">
        <v>0.23</v>
      </c>
      <c r="N3484" s="7" t="e">
        <f>VLOOKUP(F3484,HC!A$6:D$100,3,FALSE)</f>
        <v>#N/A</v>
      </c>
      <c r="O3484" s="7" t="e">
        <f>VLOOKUP(F3484,HC!A$6:D$1000,2,FALSE)</f>
        <v>#N/A</v>
      </c>
      <c r="P3484" t="s">
        <v>662</v>
      </c>
      <c r="Q3484" t="s">
        <v>691</v>
      </c>
      <c r="U3484">
        <f t="shared" si="56"/>
        <v>1395</v>
      </c>
    </row>
    <row r="3485" spans="1:21" ht="37.5" customHeight="1" x14ac:dyDescent="0.25">
      <c r="A3485" s="40">
        <v>45207</v>
      </c>
      <c r="B3485" s="13">
        <v>41</v>
      </c>
      <c r="C3485" t="s">
        <v>3</v>
      </c>
      <c r="D3485" t="s">
        <v>4</v>
      </c>
      <c r="E3485" t="s">
        <v>21</v>
      </c>
      <c r="F3485">
        <v>202099137</v>
      </c>
      <c r="G3485" t="s">
        <v>1405</v>
      </c>
      <c r="H3485" t="s">
        <v>17</v>
      </c>
      <c r="I3485">
        <v>0</v>
      </c>
      <c r="J3485">
        <v>0</v>
      </c>
      <c r="K3485">
        <v>0</v>
      </c>
      <c r="L3485">
        <v>0</v>
      </c>
      <c r="M3485">
        <v>0.46</v>
      </c>
      <c r="N3485" s="7" t="e">
        <f>VLOOKUP(F3485,HC!A$6:D$100,3,FALSE)</f>
        <v>#N/A</v>
      </c>
      <c r="O3485" s="7" t="str">
        <f>VLOOKUP(F3485,HC!A$6:D$1000,2,FALSE)</f>
        <v>monttlui</v>
      </c>
      <c r="P3485" t="s">
        <v>664</v>
      </c>
      <c r="Q3485" t="s">
        <v>420</v>
      </c>
      <c r="U3485">
        <f t="shared" si="56"/>
        <v>2</v>
      </c>
    </row>
    <row r="3486" spans="1:21" ht="37.5" customHeight="1" x14ac:dyDescent="0.25">
      <c r="A3486" s="40">
        <v>45208</v>
      </c>
      <c r="B3486" s="13">
        <v>41</v>
      </c>
      <c r="C3486" t="s">
        <v>3</v>
      </c>
      <c r="D3486" t="s">
        <v>4</v>
      </c>
      <c r="E3486" t="s">
        <v>5</v>
      </c>
      <c r="F3486">
        <v>112920664</v>
      </c>
      <c r="G3486" t="s">
        <v>474</v>
      </c>
      <c r="H3486" t="s">
        <v>14</v>
      </c>
      <c r="I3486">
        <v>0</v>
      </c>
      <c r="J3486">
        <v>0</v>
      </c>
      <c r="K3486">
        <v>0</v>
      </c>
      <c r="L3486">
        <v>0</v>
      </c>
      <c r="M3486">
        <v>0.09</v>
      </c>
      <c r="N3486" s="7" t="str">
        <f>VLOOKUP(F3486,HC!A$6:D$100,3,FALSE)</f>
        <v>DA-X0700</v>
      </c>
      <c r="O3486" s="7" t="str">
        <f>VLOOKUP(F3486,HC!A$6:D$1000,2,FALSE)</f>
        <v>samualbg</v>
      </c>
      <c r="P3486" t="s">
        <v>664</v>
      </c>
      <c r="Q3486" t="s">
        <v>777</v>
      </c>
      <c r="U3486">
        <f t="shared" si="56"/>
        <v>7</v>
      </c>
    </row>
    <row r="3487" spans="1:21" ht="37.5" customHeight="1" x14ac:dyDescent="0.25">
      <c r="A3487" s="40">
        <v>45208</v>
      </c>
      <c r="B3487" s="13">
        <v>41</v>
      </c>
      <c r="C3487" t="s">
        <v>3</v>
      </c>
      <c r="D3487" t="s">
        <v>4</v>
      </c>
      <c r="E3487" t="s">
        <v>5</v>
      </c>
      <c r="F3487">
        <v>112950809</v>
      </c>
      <c r="G3487" t="s">
        <v>402</v>
      </c>
      <c r="H3487" t="s">
        <v>332</v>
      </c>
      <c r="I3487">
        <v>0</v>
      </c>
      <c r="J3487">
        <v>0</v>
      </c>
      <c r="K3487">
        <v>0</v>
      </c>
      <c r="L3487">
        <v>0</v>
      </c>
      <c r="M3487">
        <v>0.23</v>
      </c>
      <c r="N3487" s="7" t="str">
        <f>VLOOKUP(F3487,HC!A$6:D$100,3,FALSE)</f>
        <v>DA-X0700</v>
      </c>
      <c r="O3487" s="7" t="str">
        <f>VLOOKUP(F3487,HC!A$6:D$1000,2,FALSE)</f>
        <v>lurochae</v>
      </c>
      <c r="P3487" t="s">
        <v>662</v>
      </c>
      <c r="Q3487" t="s">
        <v>757</v>
      </c>
      <c r="U3487">
        <f t="shared" si="56"/>
        <v>14</v>
      </c>
    </row>
    <row r="3488" spans="1:21" ht="37.5" customHeight="1" x14ac:dyDescent="0.25">
      <c r="A3488" s="40">
        <v>45208</v>
      </c>
      <c r="B3488" s="13">
        <v>41</v>
      </c>
      <c r="C3488" t="s">
        <v>3</v>
      </c>
      <c r="D3488" t="s">
        <v>4</v>
      </c>
      <c r="E3488" t="s">
        <v>5</v>
      </c>
      <c r="F3488">
        <v>113019099</v>
      </c>
      <c r="G3488" t="s">
        <v>1252</v>
      </c>
      <c r="H3488" t="s">
        <v>285</v>
      </c>
      <c r="I3488">
        <v>0</v>
      </c>
      <c r="J3488">
        <v>0</v>
      </c>
      <c r="K3488">
        <v>0</v>
      </c>
      <c r="L3488">
        <v>0</v>
      </c>
      <c r="M3488">
        <v>1.04</v>
      </c>
      <c r="N3488" s="7" t="e">
        <f>VLOOKUP(F3488,HC!A$6:D$100,3,FALSE)</f>
        <v>#N/A</v>
      </c>
      <c r="O3488" s="7" t="str">
        <f>VLOOKUP(F3488,HC!A$6:D$1000,2,FALSE)</f>
        <v>sericrio</v>
      </c>
      <c r="P3488" t="s">
        <v>661</v>
      </c>
      <c r="Q3488" t="s">
        <v>681</v>
      </c>
      <c r="U3488">
        <f t="shared" si="56"/>
        <v>3</v>
      </c>
    </row>
    <row r="3489" spans="1:21" ht="37.5" customHeight="1" x14ac:dyDescent="0.25">
      <c r="A3489" s="40">
        <v>45208</v>
      </c>
      <c r="B3489" s="13">
        <v>41</v>
      </c>
      <c r="C3489" t="s">
        <v>3</v>
      </c>
      <c r="D3489" t="s">
        <v>4</v>
      </c>
      <c r="E3489" t="s">
        <v>5</v>
      </c>
      <c r="F3489">
        <v>201162388</v>
      </c>
      <c r="G3489" t="s">
        <v>1120</v>
      </c>
      <c r="H3489" t="s">
        <v>285</v>
      </c>
      <c r="I3489">
        <v>0</v>
      </c>
      <c r="J3489">
        <v>0</v>
      </c>
      <c r="K3489">
        <v>0</v>
      </c>
      <c r="L3489">
        <v>0</v>
      </c>
      <c r="M3489">
        <v>0.38</v>
      </c>
      <c r="N3489" s="7" t="e">
        <f>VLOOKUP(F3489,HC!A$6:D$100,3,FALSE)</f>
        <v>#N/A</v>
      </c>
      <c r="O3489" s="7" t="str">
        <f>VLOOKUP(F3489,HC!A$6:D$1000,2,FALSE)</f>
        <v>alfrerok</v>
      </c>
      <c r="P3489" t="s">
        <v>661</v>
      </c>
      <c r="Q3489" t="s">
        <v>681</v>
      </c>
      <c r="U3489">
        <f t="shared" si="56"/>
        <v>3</v>
      </c>
    </row>
    <row r="3490" spans="1:21" ht="37.5" customHeight="1" x14ac:dyDescent="0.25">
      <c r="A3490" s="40">
        <v>45208</v>
      </c>
      <c r="B3490" s="13">
        <v>41</v>
      </c>
      <c r="C3490" t="s">
        <v>3</v>
      </c>
      <c r="D3490" t="s">
        <v>4</v>
      </c>
      <c r="E3490" t="s">
        <v>5</v>
      </c>
      <c r="F3490">
        <v>201172306</v>
      </c>
      <c r="G3490" t="s">
        <v>970</v>
      </c>
      <c r="H3490" t="s">
        <v>250</v>
      </c>
      <c r="I3490">
        <v>0</v>
      </c>
      <c r="J3490">
        <v>0</v>
      </c>
      <c r="K3490">
        <v>0</v>
      </c>
      <c r="L3490">
        <v>0</v>
      </c>
      <c r="M3490">
        <v>0.03</v>
      </c>
      <c r="N3490" s="7" t="e">
        <f>VLOOKUP(F3490,HC!A$6:D$100,3,FALSE)</f>
        <v>#N/A</v>
      </c>
      <c r="O3490" s="7" t="str">
        <f>VLOOKUP(F3490,HC!A$6:D$1000,2,FALSE)</f>
        <v>cesarvae</v>
      </c>
      <c r="P3490" t="s">
        <v>661</v>
      </c>
      <c r="Q3490" t="s">
        <v>681</v>
      </c>
      <c r="U3490">
        <f t="shared" si="56"/>
        <v>17</v>
      </c>
    </row>
    <row r="3491" spans="1:21" ht="37.5" customHeight="1" x14ac:dyDescent="0.25">
      <c r="A3491" s="40">
        <v>45208</v>
      </c>
      <c r="B3491" s="13">
        <v>41</v>
      </c>
      <c r="C3491" t="s">
        <v>3</v>
      </c>
      <c r="D3491" t="s">
        <v>4</v>
      </c>
      <c r="E3491" t="s">
        <v>21</v>
      </c>
      <c r="F3491">
        <v>201847876</v>
      </c>
      <c r="G3491" t="s">
        <v>1407</v>
      </c>
      <c r="H3491" t="s">
        <v>1040</v>
      </c>
      <c r="I3491">
        <v>0</v>
      </c>
      <c r="J3491">
        <v>0</v>
      </c>
      <c r="K3491">
        <v>0</v>
      </c>
      <c r="L3491">
        <v>0</v>
      </c>
      <c r="M3491">
        <v>0.39</v>
      </c>
      <c r="N3491" s="7" t="e">
        <f>VLOOKUP(F3491,HC!A$6:D$100,3,FALSE)</f>
        <v>#N/A</v>
      </c>
      <c r="O3491" s="7" t="str">
        <f>VLOOKUP(F3491,HC!A$6:D$1000,2,FALSE)</f>
        <v>ramivchr</v>
      </c>
      <c r="P3491" t="s">
        <v>662</v>
      </c>
      <c r="Q3491" t="s">
        <v>757</v>
      </c>
      <c r="U3491">
        <f t="shared" si="56"/>
        <v>1</v>
      </c>
    </row>
    <row r="3492" spans="1:21" ht="37.5" customHeight="1" x14ac:dyDescent="0.25">
      <c r="A3492" s="40">
        <v>45208</v>
      </c>
      <c r="B3492" s="13">
        <v>41</v>
      </c>
      <c r="C3492" t="s">
        <v>3</v>
      </c>
      <c r="D3492" t="s">
        <v>4</v>
      </c>
      <c r="E3492" t="s">
        <v>21</v>
      </c>
      <c r="F3492">
        <v>202173806</v>
      </c>
      <c r="G3492" t="s">
        <v>1408</v>
      </c>
      <c r="H3492" t="s">
        <v>1040</v>
      </c>
      <c r="I3492">
        <v>0</v>
      </c>
      <c r="J3492">
        <v>0</v>
      </c>
      <c r="K3492">
        <v>0</v>
      </c>
      <c r="L3492">
        <v>0</v>
      </c>
      <c r="M3492">
        <v>0.36</v>
      </c>
      <c r="N3492" s="7" t="e">
        <f>VLOOKUP(F3492,HC!A$6:D$100,3,FALSE)</f>
        <v>#N/A</v>
      </c>
      <c r="O3492" s="7" t="str">
        <f>VLOOKUP(F3492,HC!A$6:D$1000,2,FALSE)</f>
        <v>crurenda</v>
      </c>
      <c r="P3492" t="s">
        <v>662</v>
      </c>
      <c r="Q3492" t="s">
        <v>691</v>
      </c>
      <c r="U3492">
        <f t="shared" si="56"/>
        <v>5</v>
      </c>
    </row>
    <row r="3493" spans="1:21" ht="37.5" customHeight="1" x14ac:dyDescent="0.25">
      <c r="A3493" s="40">
        <v>45209</v>
      </c>
      <c r="B3493" s="13">
        <v>41</v>
      </c>
      <c r="C3493" t="s">
        <v>3</v>
      </c>
      <c r="D3493" t="s">
        <v>4</v>
      </c>
      <c r="E3493" t="s">
        <v>5</v>
      </c>
      <c r="F3493">
        <v>112950784</v>
      </c>
      <c r="G3493" t="s">
        <v>261</v>
      </c>
      <c r="H3493" t="s">
        <v>282</v>
      </c>
      <c r="I3493">
        <v>0</v>
      </c>
      <c r="J3493">
        <v>0</v>
      </c>
      <c r="K3493">
        <v>0</v>
      </c>
      <c r="L3493">
        <v>0</v>
      </c>
      <c r="M3493">
        <v>0.2</v>
      </c>
      <c r="N3493" s="7" t="str">
        <f>VLOOKUP(F3493,HC!A$6:D$100,3,FALSE)</f>
        <v>NF-X1900</v>
      </c>
      <c r="O3493" s="7" t="str">
        <f>VLOOKUP(F3493,HC!A$6:D$1000,2,FALSE)</f>
        <v>sarojast</v>
      </c>
      <c r="U3493">
        <f t="shared" si="56"/>
        <v>33</v>
      </c>
    </row>
    <row r="3494" spans="1:21" ht="37.5" customHeight="1" x14ac:dyDescent="0.25">
      <c r="A3494" s="40">
        <v>45209</v>
      </c>
      <c r="B3494" s="13">
        <v>41</v>
      </c>
      <c r="C3494" t="s">
        <v>3</v>
      </c>
      <c r="D3494" t="s">
        <v>4</v>
      </c>
      <c r="E3494" t="s">
        <v>5</v>
      </c>
      <c r="F3494">
        <v>112950795</v>
      </c>
      <c r="G3494" t="s">
        <v>580</v>
      </c>
      <c r="H3494" t="s">
        <v>282</v>
      </c>
      <c r="I3494">
        <v>0</v>
      </c>
      <c r="J3494">
        <v>0</v>
      </c>
      <c r="K3494">
        <v>0</v>
      </c>
      <c r="L3494">
        <v>0</v>
      </c>
      <c r="M3494">
        <v>0.6</v>
      </c>
      <c r="N3494" s="7" t="str">
        <f>VLOOKUP(F3494,HC!A$6:D$100,3,FALSE)</f>
        <v>DA-X0700</v>
      </c>
      <c r="O3494" s="7" t="str">
        <f>VLOOKUP(F3494,HC!A$6:D$1000,2,FALSE)</f>
        <v>oespiali</v>
      </c>
      <c r="U3494">
        <f t="shared" si="56"/>
        <v>10</v>
      </c>
    </row>
    <row r="3495" spans="1:21" ht="37.5" customHeight="1" x14ac:dyDescent="0.25">
      <c r="A3495" s="40">
        <v>45209</v>
      </c>
      <c r="B3495" s="13">
        <v>41</v>
      </c>
      <c r="C3495" t="s">
        <v>3</v>
      </c>
      <c r="D3495" t="s">
        <v>4</v>
      </c>
      <c r="E3495" t="s">
        <v>5</v>
      </c>
      <c r="F3495">
        <v>113020476</v>
      </c>
      <c r="G3495" t="s">
        <v>330</v>
      </c>
      <c r="H3495" t="s">
        <v>298</v>
      </c>
      <c r="I3495">
        <v>0</v>
      </c>
      <c r="J3495">
        <v>0</v>
      </c>
      <c r="K3495">
        <v>0</v>
      </c>
      <c r="L3495">
        <v>0</v>
      </c>
      <c r="M3495">
        <v>0.1</v>
      </c>
      <c r="N3495" s="7" t="e">
        <f>VLOOKUP(F3495,HC!A$6:D$100,3,FALSE)</f>
        <v>#N/A</v>
      </c>
      <c r="O3495" s="7" t="str">
        <f>VLOOKUP(F3495,HC!A$6:D$1000,2,FALSE)</f>
        <v>polettpu</v>
      </c>
      <c r="U3495">
        <f t="shared" si="56"/>
        <v>55</v>
      </c>
    </row>
    <row r="3496" spans="1:21" ht="37.5" customHeight="1" x14ac:dyDescent="0.25">
      <c r="A3496" s="40">
        <v>45209</v>
      </c>
      <c r="B3496" s="13">
        <v>41</v>
      </c>
      <c r="C3496" t="s">
        <v>3</v>
      </c>
      <c r="D3496" t="s">
        <v>4</v>
      </c>
      <c r="E3496" t="s">
        <v>5</v>
      </c>
      <c r="F3496">
        <v>200534675</v>
      </c>
      <c r="G3496" t="s">
        <v>534</v>
      </c>
      <c r="H3496" t="s">
        <v>250</v>
      </c>
      <c r="I3496">
        <v>0</v>
      </c>
      <c r="J3496">
        <v>0</v>
      </c>
      <c r="K3496">
        <v>0</v>
      </c>
      <c r="L3496">
        <v>0</v>
      </c>
      <c r="M3496">
        <v>0.32</v>
      </c>
      <c r="N3496" s="7" t="e">
        <f>VLOOKUP(F3496,HC!A$6:D$100,3,FALSE)</f>
        <v>#N/A</v>
      </c>
      <c r="O3496" s="7" t="str">
        <f>VLOOKUP(F3496,HC!A$6:D$1000,2,FALSE)</f>
        <v>juanpmun</v>
      </c>
      <c r="U3496">
        <f t="shared" si="56"/>
        <v>16</v>
      </c>
    </row>
    <row r="3497" spans="1:21" ht="37.5" customHeight="1" x14ac:dyDescent="0.25">
      <c r="A3497" s="40">
        <v>45209</v>
      </c>
      <c r="B3497" s="13">
        <v>41</v>
      </c>
      <c r="C3497" t="s">
        <v>3</v>
      </c>
      <c r="D3497" t="s">
        <v>4</v>
      </c>
      <c r="E3497" t="s">
        <v>5</v>
      </c>
      <c r="F3497">
        <v>201341534</v>
      </c>
      <c r="G3497" t="s">
        <v>1181</v>
      </c>
      <c r="H3497" t="s">
        <v>285</v>
      </c>
      <c r="I3497">
        <v>0</v>
      </c>
      <c r="J3497">
        <v>0</v>
      </c>
      <c r="K3497">
        <v>0</v>
      </c>
      <c r="L3497">
        <v>0</v>
      </c>
      <c r="M3497">
        <v>0.03</v>
      </c>
      <c r="N3497" s="7" t="e">
        <f>VLOOKUP(F3497,HC!A$6:D$100,3,FALSE)</f>
        <v>#N/A</v>
      </c>
      <c r="O3497" s="7" t="str">
        <f>VLOOKUP(F3497,HC!A$6:D$1000,2,FALSE)</f>
        <v>beceresm</v>
      </c>
      <c r="U3497">
        <f t="shared" si="56"/>
        <v>10</v>
      </c>
    </row>
    <row r="3498" spans="1:21" ht="37.5" customHeight="1" x14ac:dyDescent="0.25">
      <c r="A3498" s="40">
        <v>45209</v>
      </c>
      <c r="B3498" s="13">
        <v>41</v>
      </c>
      <c r="C3498" t="s">
        <v>3</v>
      </c>
      <c r="D3498" t="s">
        <v>4</v>
      </c>
      <c r="E3498" t="s">
        <v>5</v>
      </c>
      <c r="F3498">
        <v>201350949</v>
      </c>
      <c r="G3498" t="s">
        <v>1243</v>
      </c>
      <c r="H3498" t="s">
        <v>44</v>
      </c>
      <c r="I3498">
        <v>0</v>
      </c>
      <c r="J3498">
        <v>0</v>
      </c>
      <c r="K3498">
        <v>0</v>
      </c>
      <c r="L3498">
        <v>0</v>
      </c>
      <c r="M3498">
        <v>0.18</v>
      </c>
      <c r="N3498" s="7" t="e">
        <f>VLOOKUP(F3498,HC!A$6:D$100,3,FALSE)</f>
        <v>#N/A</v>
      </c>
      <c r="O3498" s="7" t="str">
        <f>VLOOKUP(F3498,HC!A$6:D$1000,2,FALSE)</f>
        <v>hreyeisa</v>
      </c>
      <c r="U3498">
        <f t="shared" si="56"/>
        <v>5</v>
      </c>
    </row>
    <row r="3499" spans="1:21" ht="37.5" customHeight="1" x14ac:dyDescent="0.25">
      <c r="A3499" s="40">
        <v>45209</v>
      </c>
      <c r="B3499" s="13">
        <v>41</v>
      </c>
      <c r="C3499" t="s">
        <v>3</v>
      </c>
      <c r="D3499" t="s">
        <v>4</v>
      </c>
      <c r="E3499" t="s">
        <v>5</v>
      </c>
      <c r="F3499">
        <v>201396328</v>
      </c>
      <c r="G3499" t="s">
        <v>1171</v>
      </c>
      <c r="H3499" t="s">
        <v>250</v>
      </c>
      <c r="I3499">
        <v>0</v>
      </c>
      <c r="J3499">
        <v>0</v>
      </c>
      <c r="K3499">
        <v>0</v>
      </c>
      <c r="L3499">
        <v>0</v>
      </c>
      <c r="M3499">
        <v>0.62</v>
      </c>
      <c r="N3499" s="7" t="e">
        <f>VLOOKUP(F3499,HC!A$6:D$100,3,FALSE)</f>
        <v>#N/A</v>
      </c>
      <c r="O3499" s="7" t="str">
        <f>VLOOKUP(F3499,HC!A$6:D$1000,2,FALSE)</f>
        <v>nalcanch</v>
      </c>
      <c r="U3499">
        <f t="shared" si="56"/>
        <v>12</v>
      </c>
    </row>
    <row r="3500" spans="1:21" ht="37.5" customHeight="1" x14ac:dyDescent="0.25">
      <c r="A3500" s="40">
        <v>45209</v>
      </c>
      <c r="B3500" s="13">
        <v>41</v>
      </c>
      <c r="C3500" t="s">
        <v>3</v>
      </c>
      <c r="D3500" t="s">
        <v>4</v>
      </c>
      <c r="E3500" t="s">
        <v>21</v>
      </c>
      <c r="F3500">
        <v>201858330</v>
      </c>
      <c r="G3500" t="s">
        <v>1409</v>
      </c>
      <c r="H3500" t="s">
        <v>1040</v>
      </c>
      <c r="I3500">
        <v>0</v>
      </c>
      <c r="J3500">
        <v>0</v>
      </c>
      <c r="K3500">
        <v>0</v>
      </c>
      <c r="L3500">
        <v>0</v>
      </c>
      <c r="M3500">
        <v>0.95</v>
      </c>
      <c r="N3500" s="7" t="e">
        <f>VLOOKUP(F3500,HC!A$6:D$100,3,FALSE)</f>
        <v>#N/A</v>
      </c>
      <c r="O3500" s="7" t="str">
        <f>VLOOKUP(F3500,HC!A$6:D$1000,2,FALSE)</f>
        <v>arrwpabl</v>
      </c>
      <c r="U3500">
        <f t="shared" si="56"/>
        <v>6</v>
      </c>
    </row>
    <row r="3501" spans="1:21" ht="37.5" customHeight="1" x14ac:dyDescent="0.25">
      <c r="A3501" s="40">
        <v>45209</v>
      </c>
      <c r="B3501" s="13">
        <v>41</v>
      </c>
      <c r="C3501" t="s">
        <v>3</v>
      </c>
      <c r="D3501" t="s">
        <v>4</v>
      </c>
      <c r="E3501" t="s">
        <v>21</v>
      </c>
      <c r="F3501">
        <v>201858789</v>
      </c>
      <c r="G3501" t="s">
        <v>1218</v>
      </c>
      <c r="H3501" t="s">
        <v>17</v>
      </c>
      <c r="I3501">
        <v>0</v>
      </c>
      <c r="J3501">
        <v>0</v>
      </c>
      <c r="K3501">
        <v>0</v>
      </c>
      <c r="L3501">
        <v>0</v>
      </c>
      <c r="M3501">
        <v>0.13</v>
      </c>
      <c r="N3501" s="7" t="e">
        <f>VLOOKUP(F3501,HC!A$6:D$100,3,FALSE)</f>
        <v>#N/A</v>
      </c>
      <c r="O3501" s="7" t="str">
        <f>VLOOKUP(F3501,HC!A$6:D$1000,2,FALSE)</f>
        <v>ignachis</v>
      </c>
      <c r="U3501">
        <f t="shared" si="56"/>
        <v>8</v>
      </c>
    </row>
    <row r="3502" spans="1:21" ht="37.5" customHeight="1" x14ac:dyDescent="0.25">
      <c r="A3502" s="40">
        <v>45209</v>
      </c>
      <c r="B3502" s="13">
        <v>41</v>
      </c>
      <c r="C3502" t="s">
        <v>3</v>
      </c>
      <c r="D3502" t="s">
        <v>4</v>
      </c>
      <c r="E3502" t="s">
        <v>21</v>
      </c>
      <c r="F3502">
        <v>201864225</v>
      </c>
      <c r="G3502" t="s">
        <v>1259</v>
      </c>
      <c r="H3502" t="s">
        <v>49</v>
      </c>
      <c r="I3502">
        <v>0</v>
      </c>
      <c r="J3502">
        <v>0</v>
      </c>
      <c r="K3502">
        <v>0</v>
      </c>
      <c r="L3502">
        <v>0</v>
      </c>
      <c r="M3502">
        <v>0.28000000000000003</v>
      </c>
      <c r="N3502" s="7" t="e">
        <f>VLOOKUP(F3502,HC!A$6:D$100,3,FALSE)</f>
        <v>#N/A</v>
      </c>
      <c r="O3502" s="7" t="str">
        <f>VLOOKUP(F3502,HC!A$6:D$1000,2,FALSE)</f>
        <v>floreivc</v>
      </c>
      <c r="U3502">
        <f t="shared" si="56"/>
        <v>7</v>
      </c>
    </row>
    <row r="3503" spans="1:21" ht="37.5" customHeight="1" x14ac:dyDescent="0.25">
      <c r="A3503" s="40">
        <v>45209</v>
      </c>
      <c r="B3503" s="13">
        <v>41</v>
      </c>
      <c r="C3503" t="s">
        <v>3</v>
      </c>
      <c r="D3503" t="s">
        <v>4</v>
      </c>
      <c r="E3503" t="s">
        <v>21</v>
      </c>
      <c r="F3503">
        <v>201903097</v>
      </c>
      <c r="G3503" t="s">
        <v>1239</v>
      </c>
      <c r="H3503" t="s">
        <v>17</v>
      </c>
      <c r="I3503">
        <v>0</v>
      </c>
      <c r="J3503">
        <v>0</v>
      </c>
      <c r="K3503">
        <v>0</v>
      </c>
      <c r="L3503">
        <v>0</v>
      </c>
      <c r="M3503">
        <v>0.24</v>
      </c>
      <c r="N3503" s="7" t="e">
        <f>VLOOKUP(F3503,HC!A$6:D$100,3,FALSE)</f>
        <v>#N/A</v>
      </c>
      <c r="O3503" s="7" t="str">
        <f>VLOOKUP(F3503,HC!A$6:D$1000,2,FALSE)</f>
        <v>montoliy</v>
      </c>
      <c r="U3503">
        <f t="shared" si="56"/>
        <v>10</v>
      </c>
    </row>
    <row r="3504" spans="1:21" ht="37.5" customHeight="1" x14ac:dyDescent="0.25">
      <c r="A3504" s="40">
        <v>45209</v>
      </c>
      <c r="B3504" s="13">
        <v>41</v>
      </c>
      <c r="C3504" t="s">
        <v>3</v>
      </c>
      <c r="D3504" t="s">
        <v>4</v>
      </c>
      <c r="E3504" t="s">
        <v>21</v>
      </c>
      <c r="F3504">
        <v>202084638</v>
      </c>
      <c r="G3504" t="s">
        <v>1410</v>
      </c>
      <c r="H3504" t="s">
        <v>17</v>
      </c>
      <c r="I3504">
        <v>0</v>
      </c>
      <c r="J3504">
        <v>0</v>
      </c>
      <c r="K3504">
        <v>0</v>
      </c>
      <c r="L3504">
        <v>0</v>
      </c>
      <c r="M3504">
        <v>0.3</v>
      </c>
      <c r="N3504" s="7" t="e">
        <f>VLOOKUP(F3504,HC!A$6:D$100,3,FALSE)</f>
        <v>#N/A</v>
      </c>
      <c r="O3504" s="7" t="str">
        <f>VLOOKUP(F3504,HC!A$6:D$1000,2,FALSE)</f>
        <v>ehejuan</v>
      </c>
      <c r="U3504">
        <f t="shared" si="56"/>
        <v>2</v>
      </c>
    </row>
    <row r="3505" spans="1:21" ht="37.5" customHeight="1" x14ac:dyDescent="0.25">
      <c r="A3505" s="40">
        <v>45209</v>
      </c>
      <c r="B3505" s="13">
        <v>41</v>
      </c>
      <c r="C3505" t="s">
        <v>3</v>
      </c>
      <c r="D3505" t="s">
        <v>4</v>
      </c>
      <c r="E3505" t="s">
        <v>21</v>
      </c>
      <c r="F3505">
        <v>202099144</v>
      </c>
      <c r="G3505" t="s">
        <v>1284</v>
      </c>
      <c r="H3505" t="s">
        <v>285</v>
      </c>
      <c r="I3505">
        <v>0</v>
      </c>
      <c r="J3505">
        <v>0</v>
      </c>
      <c r="K3505">
        <v>0</v>
      </c>
      <c r="L3505">
        <v>0</v>
      </c>
      <c r="M3505">
        <v>0.23</v>
      </c>
      <c r="N3505" s="7" t="e">
        <f>VLOOKUP(F3505,HC!A$6:D$100,3,FALSE)</f>
        <v>#N/A</v>
      </c>
      <c r="O3505" s="7" t="str">
        <f>VLOOKUP(F3505,HC!A$6:D$1000,2,FALSE)</f>
        <v>moralriv</v>
      </c>
      <c r="U3505">
        <f t="shared" si="56"/>
        <v>2</v>
      </c>
    </row>
    <row r="3506" spans="1:21" ht="37.5" customHeight="1" x14ac:dyDescent="0.25">
      <c r="A3506" s="40">
        <v>45209</v>
      </c>
      <c r="B3506" s="13">
        <v>41</v>
      </c>
      <c r="C3506" t="s">
        <v>3</v>
      </c>
      <c r="D3506" t="s">
        <v>4</v>
      </c>
      <c r="E3506" t="s">
        <v>21</v>
      </c>
      <c r="F3506">
        <v>202130013</v>
      </c>
      <c r="G3506" t="s">
        <v>1411</v>
      </c>
      <c r="H3506" t="s">
        <v>332</v>
      </c>
      <c r="I3506">
        <v>0</v>
      </c>
      <c r="J3506">
        <v>0</v>
      </c>
      <c r="K3506">
        <v>0</v>
      </c>
      <c r="L3506">
        <v>0</v>
      </c>
      <c r="M3506">
        <v>0.9</v>
      </c>
      <c r="N3506" s="7" t="e">
        <f>VLOOKUP(F3506,HC!A$6:D$100,3,FALSE)</f>
        <v>#N/A</v>
      </c>
      <c r="O3506" s="7" t="e">
        <f>VLOOKUP(F3506,HC!A$6:D$1000,2,FALSE)</f>
        <v>#N/A</v>
      </c>
      <c r="U3506">
        <f t="shared" si="56"/>
        <v>1395</v>
      </c>
    </row>
    <row r="3507" spans="1:21" ht="37.5" customHeight="1" x14ac:dyDescent="0.25">
      <c r="A3507" s="40">
        <v>45209</v>
      </c>
      <c r="B3507" s="13">
        <v>41</v>
      </c>
      <c r="C3507" t="s">
        <v>3</v>
      </c>
      <c r="D3507" t="s">
        <v>4</v>
      </c>
      <c r="E3507" t="s">
        <v>21</v>
      </c>
      <c r="F3507">
        <v>202137341</v>
      </c>
      <c r="G3507" t="s">
        <v>1291</v>
      </c>
      <c r="H3507" t="s">
        <v>250</v>
      </c>
      <c r="I3507">
        <v>0</v>
      </c>
      <c r="J3507">
        <v>0</v>
      </c>
      <c r="K3507">
        <v>0</v>
      </c>
      <c r="L3507">
        <v>0</v>
      </c>
      <c r="M3507">
        <v>0.26</v>
      </c>
      <c r="N3507" s="7" t="e">
        <f>VLOOKUP(F3507,HC!A$6:D$100,3,FALSE)</f>
        <v>#N/A</v>
      </c>
      <c r="O3507" s="7" t="str">
        <f>VLOOKUP(F3507,HC!A$6:D$1000,2,FALSE)</f>
        <v>xedgabra</v>
      </c>
      <c r="U3507">
        <f t="shared" si="56"/>
        <v>13</v>
      </c>
    </row>
    <row r="3508" spans="1:21" ht="37.5" customHeight="1" x14ac:dyDescent="0.25">
      <c r="A3508" s="40">
        <v>45209</v>
      </c>
      <c r="B3508" s="13">
        <v>41</v>
      </c>
      <c r="C3508" t="s">
        <v>3</v>
      </c>
      <c r="D3508" t="s">
        <v>4</v>
      </c>
      <c r="E3508" t="s">
        <v>21</v>
      </c>
      <c r="F3508">
        <v>202165242</v>
      </c>
      <c r="G3508" t="s">
        <v>1412</v>
      </c>
      <c r="H3508" t="s">
        <v>403</v>
      </c>
      <c r="I3508">
        <v>0</v>
      </c>
      <c r="J3508">
        <v>0</v>
      </c>
      <c r="K3508">
        <v>0</v>
      </c>
      <c r="L3508">
        <v>0</v>
      </c>
      <c r="M3508">
        <v>0.4</v>
      </c>
      <c r="N3508" s="7" t="e">
        <f>VLOOKUP(F3508,HC!A$6:D$100,3,FALSE)</f>
        <v>#N/A</v>
      </c>
      <c r="O3508" s="7" t="str">
        <f>VLOOKUP(F3508,HC!A$6:D$1000,2,FALSE)</f>
        <v>marcqgon</v>
      </c>
      <c r="U3508">
        <f t="shared" si="56"/>
        <v>21</v>
      </c>
    </row>
    <row r="3509" spans="1:21" ht="37.5" customHeight="1" x14ac:dyDescent="0.25">
      <c r="A3509" s="40">
        <v>45209</v>
      </c>
      <c r="B3509" s="13">
        <v>41</v>
      </c>
      <c r="C3509" t="s">
        <v>3</v>
      </c>
      <c r="D3509" t="s">
        <v>4</v>
      </c>
      <c r="E3509" t="s">
        <v>21</v>
      </c>
      <c r="F3509">
        <v>202173806</v>
      </c>
      <c r="G3509" t="s">
        <v>1408</v>
      </c>
      <c r="H3509" t="s">
        <v>1040</v>
      </c>
      <c r="I3509">
        <v>0</v>
      </c>
      <c r="J3509">
        <v>0</v>
      </c>
      <c r="K3509">
        <v>0</v>
      </c>
      <c r="L3509">
        <v>0</v>
      </c>
      <c r="M3509">
        <v>0.14000000000000001</v>
      </c>
      <c r="N3509" s="7" t="e">
        <f>VLOOKUP(F3509,HC!A$6:D$100,3,FALSE)</f>
        <v>#N/A</v>
      </c>
      <c r="O3509" s="7" t="str">
        <f>VLOOKUP(F3509,HC!A$6:D$1000,2,FALSE)</f>
        <v>crurenda</v>
      </c>
      <c r="U3509">
        <f t="shared" si="56"/>
        <v>5</v>
      </c>
    </row>
    <row r="3510" spans="1:21" ht="37.5" customHeight="1" x14ac:dyDescent="0.25">
      <c r="A3510" s="40">
        <v>45209</v>
      </c>
      <c r="B3510" s="13">
        <v>41</v>
      </c>
      <c r="C3510" t="s">
        <v>3</v>
      </c>
      <c r="D3510" t="s">
        <v>4</v>
      </c>
      <c r="E3510" t="s">
        <v>21</v>
      </c>
      <c r="F3510">
        <v>202188434</v>
      </c>
      <c r="G3510" t="s">
        <v>1413</v>
      </c>
      <c r="H3510" t="s">
        <v>14</v>
      </c>
      <c r="I3510">
        <v>0</v>
      </c>
      <c r="J3510">
        <v>0</v>
      </c>
      <c r="K3510">
        <v>0</v>
      </c>
      <c r="L3510">
        <v>0</v>
      </c>
      <c r="M3510">
        <v>0.34</v>
      </c>
      <c r="N3510" s="7" t="e">
        <f>VLOOKUP(F3510,HC!A$6:D$100,3,FALSE)</f>
        <v>#N/A</v>
      </c>
      <c r="O3510" s="7" t="str">
        <f>VLOOKUP(F3510,HC!A$6:D$1000,2,FALSE)</f>
        <v>aidzariv</v>
      </c>
      <c r="U3510">
        <f t="shared" si="56"/>
        <v>9</v>
      </c>
    </row>
    <row r="3511" spans="1:21" ht="37.5" customHeight="1" x14ac:dyDescent="0.25">
      <c r="A3511" s="40">
        <v>45209</v>
      </c>
      <c r="B3511" s="13">
        <v>41</v>
      </c>
      <c r="C3511" t="s">
        <v>3</v>
      </c>
      <c r="D3511" t="s">
        <v>4</v>
      </c>
      <c r="E3511" t="s">
        <v>21</v>
      </c>
      <c r="F3511">
        <v>202194773</v>
      </c>
      <c r="G3511" t="s">
        <v>1414</v>
      </c>
      <c r="H3511" t="s">
        <v>250</v>
      </c>
      <c r="I3511">
        <v>0</v>
      </c>
      <c r="J3511">
        <v>0</v>
      </c>
      <c r="K3511">
        <v>0</v>
      </c>
      <c r="L3511">
        <v>0</v>
      </c>
      <c r="M3511">
        <v>1.67</v>
      </c>
      <c r="N3511" s="7" t="e">
        <f>VLOOKUP(F3511,HC!A$6:D$100,3,FALSE)</f>
        <v>#N/A</v>
      </c>
      <c r="O3511" s="7" t="str">
        <f>VLOOKUP(F3511,HC!A$6:D$1000,2,FALSE)</f>
        <v>monzorod</v>
      </c>
      <c r="U3511">
        <f t="shared" si="56"/>
        <v>1</v>
      </c>
    </row>
    <row r="3512" spans="1:21" ht="37.5" customHeight="1" x14ac:dyDescent="0.25">
      <c r="A3512" s="40">
        <v>45209</v>
      </c>
      <c r="B3512" s="13">
        <v>41</v>
      </c>
      <c r="C3512" t="s">
        <v>3</v>
      </c>
      <c r="D3512" t="s">
        <v>4</v>
      </c>
      <c r="E3512" t="s">
        <v>21</v>
      </c>
      <c r="F3512">
        <v>202204920</v>
      </c>
      <c r="G3512" t="s">
        <v>1415</v>
      </c>
      <c r="H3512" t="s">
        <v>17</v>
      </c>
      <c r="I3512">
        <v>0</v>
      </c>
      <c r="J3512">
        <v>0</v>
      </c>
      <c r="K3512">
        <v>0</v>
      </c>
      <c r="L3512">
        <v>0</v>
      </c>
      <c r="M3512">
        <v>0.41</v>
      </c>
      <c r="N3512" s="7" t="e">
        <f>VLOOKUP(F3512,HC!A$6:D$100,3,FALSE)</f>
        <v>#N/A</v>
      </c>
      <c r="O3512" s="7" t="str">
        <f>VLOOKUP(F3512,HC!A$6:D$1000,2,FALSE)</f>
        <v>hjuanpaq</v>
      </c>
      <c r="U3512">
        <f t="shared" si="56"/>
        <v>1</v>
      </c>
    </row>
    <row r="3513" spans="1:21" ht="37.5" customHeight="1" x14ac:dyDescent="0.25">
      <c r="A3513" s="40">
        <v>45210</v>
      </c>
      <c r="B3513" s="13">
        <v>41</v>
      </c>
      <c r="C3513" t="s">
        <v>3</v>
      </c>
      <c r="D3513" t="s">
        <v>4</v>
      </c>
      <c r="E3513" t="s">
        <v>5</v>
      </c>
      <c r="F3513">
        <v>112912054</v>
      </c>
      <c r="G3513" t="s">
        <v>333</v>
      </c>
      <c r="H3513" t="s">
        <v>47</v>
      </c>
      <c r="I3513">
        <v>0</v>
      </c>
      <c r="J3513">
        <v>0</v>
      </c>
      <c r="K3513">
        <v>0</v>
      </c>
      <c r="L3513">
        <v>0</v>
      </c>
      <c r="M3513">
        <v>0.23</v>
      </c>
      <c r="N3513" s="7" t="str">
        <f>VLOOKUP(F3513,HC!A$6:D$100,3,FALSE)</f>
        <v>DB-X0700</v>
      </c>
      <c r="O3513" s="7" t="str">
        <f>VLOOKUP(F3513,HC!A$6:D$1000,2,FALSE)</f>
        <v>privejor</v>
      </c>
      <c r="U3513">
        <f t="shared" si="56"/>
        <v>14</v>
      </c>
    </row>
    <row r="3514" spans="1:21" ht="37.5" customHeight="1" x14ac:dyDescent="0.25">
      <c r="A3514" s="40">
        <v>45210</v>
      </c>
      <c r="B3514" s="13">
        <v>41</v>
      </c>
      <c r="C3514" t="s">
        <v>3</v>
      </c>
      <c r="D3514" t="s">
        <v>4</v>
      </c>
      <c r="E3514" t="s">
        <v>5</v>
      </c>
      <c r="F3514">
        <v>112916534</v>
      </c>
      <c r="G3514" t="s">
        <v>425</v>
      </c>
      <c r="H3514" t="s">
        <v>49</v>
      </c>
      <c r="I3514">
        <v>0</v>
      </c>
      <c r="J3514">
        <v>0</v>
      </c>
      <c r="K3514">
        <v>0</v>
      </c>
      <c r="L3514">
        <v>0</v>
      </c>
      <c r="M3514">
        <v>1.2</v>
      </c>
      <c r="N3514" s="7" t="str">
        <f>VLOOKUP(F3514,HC!A$6:D$100,3,FALSE)</f>
        <v>DB-X0700</v>
      </c>
      <c r="O3514" s="7" t="str">
        <f>VLOOKUP(F3514,HC!A$6:D$1000,2,FALSE)</f>
        <v>earelili</v>
      </c>
      <c r="U3514">
        <f t="shared" si="56"/>
        <v>15</v>
      </c>
    </row>
    <row r="3515" spans="1:21" ht="37.5" customHeight="1" x14ac:dyDescent="0.25">
      <c r="A3515" s="40">
        <v>45210</v>
      </c>
      <c r="B3515" s="13">
        <v>41</v>
      </c>
      <c r="C3515" t="s">
        <v>3</v>
      </c>
      <c r="D3515" t="s">
        <v>4</v>
      </c>
      <c r="E3515" t="s">
        <v>5</v>
      </c>
      <c r="F3515">
        <v>112920637</v>
      </c>
      <c r="G3515" t="s">
        <v>426</v>
      </c>
      <c r="H3515" t="s">
        <v>459</v>
      </c>
      <c r="I3515">
        <v>0</v>
      </c>
      <c r="J3515">
        <v>0</v>
      </c>
      <c r="K3515">
        <v>0</v>
      </c>
      <c r="L3515">
        <v>0</v>
      </c>
      <c r="M3515">
        <v>0.26</v>
      </c>
      <c r="N3515" s="7" t="str">
        <f>VLOOKUP(F3515,HC!A$6:D$100,3,FALSE)</f>
        <v>DB-X0700</v>
      </c>
      <c r="O3515" s="7" t="str">
        <f>VLOOKUP(F3515,HC!A$6:D$1000,2,FALSE)</f>
        <v>antonitq</v>
      </c>
      <c r="U3515">
        <f t="shared" si="56"/>
        <v>9</v>
      </c>
    </row>
    <row r="3516" spans="1:21" ht="37.5" customHeight="1" x14ac:dyDescent="0.25">
      <c r="A3516" s="40">
        <v>45210</v>
      </c>
      <c r="B3516" s="13">
        <v>41</v>
      </c>
      <c r="C3516" t="s">
        <v>3</v>
      </c>
      <c r="D3516" t="s">
        <v>4</v>
      </c>
      <c r="E3516" t="s">
        <v>5</v>
      </c>
      <c r="F3516">
        <v>112972524</v>
      </c>
      <c r="G3516" t="s">
        <v>312</v>
      </c>
      <c r="H3516" t="s">
        <v>14</v>
      </c>
      <c r="I3516">
        <v>0</v>
      </c>
      <c r="J3516">
        <v>0</v>
      </c>
      <c r="K3516">
        <v>0</v>
      </c>
      <c r="L3516">
        <v>0</v>
      </c>
      <c r="M3516">
        <v>1.37</v>
      </c>
      <c r="N3516" s="7" t="str">
        <f>VLOOKUP(F3516,HC!A$6:D$100,3,FALSE)</f>
        <v>DB-X0700</v>
      </c>
      <c r="O3516" s="7" t="str">
        <f>VLOOKUP(F3516,HC!A$6:D$1000,2,FALSE)</f>
        <v>csantibl</v>
      </c>
      <c r="U3516">
        <f t="shared" si="56"/>
        <v>17</v>
      </c>
    </row>
    <row r="3517" spans="1:21" ht="37.5" customHeight="1" x14ac:dyDescent="0.25">
      <c r="A3517" s="40">
        <v>45210</v>
      </c>
      <c r="B3517" s="13">
        <v>41</v>
      </c>
      <c r="C3517" t="s">
        <v>3</v>
      </c>
      <c r="D3517" t="s">
        <v>4</v>
      </c>
      <c r="E3517" t="s">
        <v>5</v>
      </c>
      <c r="F3517">
        <v>112980899</v>
      </c>
      <c r="G3517" t="s">
        <v>396</v>
      </c>
      <c r="H3517" t="s">
        <v>332</v>
      </c>
      <c r="I3517">
        <v>0</v>
      </c>
      <c r="J3517">
        <v>0</v>
      </c>
      <c r="K3517">
        <v>0</v>
      </c>
      <c r="L3517">
        <v>0</v>
      </c>
      <c r="M3517">
        <v>0.91</v>
      </c>
      <c r="N3517" s="7" t="str">
        <f>VLOOKUP(F3517,HC!A$6:D$100,3,FALSE)</f>
        <v>NF-X1900</v>
      </c>
      <c r="O3517" s="7" t="str">
        <f>VLOOKUP(F3517,HC!A$6:D$1000,2,FALSE)</f>
        <v>aravilac</v>
      </c>
      <c r="U3517">
        <f t="shared" si="56"/>
        <v>33</v>
      </c>
    </row>
    <row r="3518" spans="1:21" ht="37.5" customHeight="1" x14ac:dyDescent="0.25">
      <c r="A3518" s="40">
        <v>45210</v>
      </c>
      <c r="B3518" s="13">
        <v>41</v>
      </c>
      <c r="C3518" t="s">
        <v>3</v>
      </c>
      <c r="D3518" t="s">
        <v>4</v>
      </c>
      <c r="E3518" t="s">
        <v>5</v>
      </c>
      <c r="F3518">
        <v>113014094</v>
      </c>
      <c r="G3518" t="s">
        <v>463</v>
      </c>
      <c r="H3518" t="s">
        <v>44</v>
      </c>
      <c r="I3518">
        <v>0</v>
      </c>
      <c r="J3518">
        <v>0</v>
      </c>
      <c r="K3518">
        <v>0</v>
      </c>
      <c r="L3518">
        <v>0</v>
      </c>
      <c r="M3518">
        <v>0.42</v>
      </c>
      <c r="N3518" s="7" t="e">
        <f>VLOOKUP(F3518,HC!A$6:D$100,3,FALSE)</f>
        <v>#N/A</v>
      </c>
      <c r="O3518" s="7" t="str">
        <f>VLOOKUP(F3518,HC!A$6:D$1000,2,FALSE)</f>
        <v>erikaadm</v>
      </c>
      <c r="U3518">
        <f t="shared" si="56"/>
        <v>21</v>
      </c>
    </row>
    <row r="3519" spans="1:21" ht="37.5" customHeight="1" x14ac:dyDescent="0.25">
      <c r="A3519" s="40">
        <v>45210</v>
      </c>
      <c r="B3519" s="13">
        <v>41</v>
      </c>
      <c r="C3519" t="s">
        <v>3</v>
      </c>
      <c r="D3519" t="s">
        <v>4</v>
      </c>
      <c r="E3519" t="s">
        <v>5</v>
      </c>
      <c r="F3519">
        <v>113014403</v>
      </c>
      <c r="G3519" t="s">
        <v>373</v>
      </c>
      <c r="H3519" t="s">
        <v>250</v>
      </c>
      <c r="I3519">
        <v>0</v>
      </c>
      <c r="J3519">
        <v>0</v>
      </c>
      <c r="K3519">
        <v>0</v>
      </c>
      <c r="L3519">
        <v>0</v>
      </c>
      <c r="M3519">
        <v>0.79</v>
      </c>
      <c r="N3519" s="7" t="e">
        <f>VLOOKUP(F3519,HC!A$6:D$100,3,FALSE)</f>
        <v>#N/A</v>
      </c>
      <c r="O3519" s="7" t="str">
        <f>VLOOKUP(F3519,HC!A$6:D$1000,2,FALSE)</f>
        <v>wnoraria</v>
      </c>
      <c r="U3519">
        <f t="shared" si="56"/>
        <v>23</v>
      </c>
    </row>
    <row r="3520" spans="1:21" ht="37.5" customHeight="1" x14ac:dyDescent="0.25">
      <c r="A3520" s="40">
        <v>45210</v>
      </c>
      <c r="B3520" s="13">
        <v>41</v>
      </c>
      <c r="C3520" t="s">
        <v>3</v>
      </c>
      <c r="D3520" t="s">
        <v>4</v>
      </c>
      <c r="E3520" t="s">
        <v>5</v>
      </c>
      <c r="F3520">
        <v>200404250</v>
      </c>
      <c r="G3520" t="s">
        <v>51</v>
      </c>
      <c r="H3520" t="s">
        <v>44</v>
      </c>
      <c r="I3520">
        <v>0</v>
      </c>
      <c r="J3520">
        <v>0</v>
      </c>
      <c r="K3520">
        <v>0</v>
      </c>
      <c r="L3520">
        <v>0</v>
      </c>
      <c r="M3520">
        <v>1.65</v>
      </c>
      <c r="N3520" s="7" t="e">
        <f>VLOOKUP(F3520,HC!A$6:D$100,3,FALSE)</f>
        <v>#N/A</v>
      </c>
      <c r="O3520" s="7" t="str">
        <f>VLOOKUP(F3520,HC!A$6:D$1000,2,FALSE)</f>
        <v>xcathurt</v>
      </c>
      <c r="U3520">
        <f t="shared" si="56"/>
        <v>124</v>
      </c>
    </row>
    <row r="3521" spans="1:21" ht="37.5" customHeight="1" x14ac:dyDescent="0.25">
      <c r="A3521" s="40">
        <v>45210</v>
      </c>
      <c r="B3521" s="13">
        <v>41</v>
      </c>
      <c r="C3521" t="s">
        <v>3</v>
      </c>
      <c r="D3521" t="s">
        <v>4</v>
      </c>
      <c r="E3521" t="s">
        <v>5</v>
      </c>
      <c r="F3521">
        <v>201167501</v>
      </c>
      <c r="G3521" t="s">
        <v>863</v>
      </c>
      <c r="H3521" t="s">
        <v>44</v>
      </c>
      <c r="I3521">
        <v>0</v>
      </c>
      <c r="J3521">
        <v>0</v>
      </c>
      <c r="K3521">
        <v>0</v>
      </c>
      <c r="L3521">
        <v>0</v>
      </c>
      <c r="M3521">
        <v>0.23</v>
      </c>
      <c r="N3521" s="7" t="e">
        <f>VLOOKUP(F3521,HC!A$6:D$100,3,FALSE)</f>
        <v>#N/A</v>
      </c>
      <c r="O3521" s="7" t="str">
        <f>VLOOKUP(F3521,HC!A$6:D$1000,2,FALSE)</f>
        <v>wguanajr</v>
      </c>
      <c r="U3521">
        <f t="shared" si="56"/>
        <v>36</v>
      </c>
    </row>
    <row r="3522" spans="1:21" ht="37.5" customHeight="1" x14ac:dyDescent="0.25">
      <c r="A3522" s="40">
        <v>45210</v>
      </c>
      <c r="B3522" s="13">
        <v>41</v>
      </c>
      <c r="C3522" t="s">
        <v>3</v>
      </c>
      <c r="D3522" t="s">
        <v>4</v>
      </c>
      <c r="E3522" t="s">
        <v>5</v>
      </c>
      <c r="F3522">
        <v>201318220</v>
      </c>
      <c r="G3522" t="s">
        <v>1183</v>
      </c>
      <c r="H3522" t="s">
        <v>1040</v>
      </c>
      <c r="I3522">
        <v>0</v>
      </c>
      <c r="J3522">
        <v>0</v>
      </c>
      <c r="K3522">
        <v>0</v>
      </c>
      <c r="L3522">
        <v>0</v>
      </c>
      <c r="M3522">
        <v>1.3</v>
      </c>
      <c r="N3522" s="7" t="e">
        <f>VLOOKUP(F3522,HC!A$6:D$100,3,FALSE)</f>
        <v>#N/A</v>
      </c>
      <c r="O3522" s="7" t="str">
        <f>VLOOKUP(F3522,HC!A$6:D$1000,2,FALSE)</f>
        <v>raufjas</v>
      </c>
      <c r="U3522">
        <f t="shared" si="56"/>
        <v>11</v>
      </c>
    </row>
    <row r="3523" spans="1:21" ht="37.5" customHeight="1" x14ac:dyDescent="0.25">
      <c r="A3523" s="40">
        <v>45210</v>
      </c>
      <c r="B3523" s="13">
        <v>41</v>
      </c>
      <c r="C3523" t="s">
        <v>3</v>
      </c>
      <c r="D3523" t="s">
        <v>4</v>
      </c>
      <c r="E3523" t="s">
        <v>21</v>
      </c>
      <c r="F3523">
        <v>201880542</v>
      </c>
      <c r="G3523" t="s">
        <v>1225</v>
      </c>
      <c r="H3523" t="s">
        <v>1040</v>
      </c>
      <c r="I3523">
        <v>0</v>
      </c>
      <c r="J3523">
        <v>0</v>
      </c>
      <c r="K3523">
        <v>0</v>
      </c>
      <c r="L3523">
        <v>0</v>
      </c>
      <c r="M3523">
        <v>0.24</v>
      </c>
      <c r="N3523" s="7" t="e">
        <f>VLOOKUP(F3523,HC!A$6:D$100,3,FALSE)</f>
        <v>#N/A</v>
      </c>
      <c r="O3523" s="7" t="str">
        <f>VLOOKUP(F3523,HC!A$6:D$1000,2,FALSE)</f>
        <v>orticorp</v>
      </c>
      <c r="U3523">
        <f t="shared" ref="U3523:U3586" si="57">COUNTIF(O$2:O$4999,O3523)</f>
        <v>24</v>
      </c>
    </row>
    <row r="3524" spans="1:21" ht="37.5" customHeight="1" x14ac:dyDescent="0.25">
      <c r="A3524" s="40">
        <v>45210</v>
      </c>
      <c r="B3524" s="13">
        <v>41</v>
      </c>
      <c r="C3524" t="s">
        <v>3</v>
      </c>
      <c r="D3524" t="s">
        <v>4</v>
      </c>
      <c r="E3524" t="s">
        <v>21</v>
      </c>
      <c r="F3524">
        <v>201890790</v>
      </c>
      <c r="G3524" t="s">
        <v>1416</v>
      </c>
      <c r="H3524" t="s">
        <v>285</v>
      </c>
      <c r="I3524">
        <v>0</v>
      </c>
      <c r="J3524">
        <v>0</v>
      </c>
      <c r="K3524">
        <v>0</v>
      </c>
      <c r="L3524">
        <v>0</v>
      </c>
      <c r="M3524">
        <v>0.24</v>
      </c>
      <c r="N3524" s="7" t="e">
        <f>VLOOKUP(F3524,HC!A$6:D$100,3,FALSE)</f>
        <v>#N/A</v>
      </c>
      <c r="O3524" s="7" t="str">
        <f>VLOOKUP(F3524,HC!A$6:D$1000,2,FALSE)</f>
        <v>vicxzuni</v>
      </c>
      <c r="U3524">
        <f t="shared" si="57"/>
        <v>6</v>
      </c>
    </row>
    <row r="3525" spans="1:21" ht="37.5" customHeight="1" x14ac:dyDescent="0.25">
      <c r="A3525" s="40">
        <v>45210</v>
      </c>
      <c r="B3525" s="13">
        <v>41</v>
      </c>
      <c r="C3525" t="s">
        <v>3</v>
      </c>
      <c r="D3525" t="s">
        <v>4</v>
      </c>
      <c r="E3525" t="s">
        <v>21</v>
      </c>
      <c r="F3525">
        <v>201902140</v>
      </c>
      <c r="G3525" t="s">
        <v>1266</v>
      </c>
      <c r="H3525" t="s">
        <v>282</v>
      </c>
      <c r="I3525">
        <v>0</v>
      </c>
      <c r="J3525">
        <v>0</v>
      </c>
      <c r="K3525">
        <v>0</v>
      </c>
      <c r="L3525">
        <v>0</v>
      </c>
      <c r="M3525">
        <v>0.32</v>
      </c>
      <c r="N3525" s="7" t="e">
        <f>VLOOKUP(F3525,HC!A$6:D$100,3,FALSE)</f>
        <v>#N/A</v>
      </c>
      <c r="O3525" s="7" t="str">
        <f>VLOOKUP(F3525,HC!A$6:D$1000,2,FALSE)</f>
        <v>almagarx</v>
      </c>
      <c r="U3525">
        <f t="shared" si="57"/>
        <v>3</v>
      </c>
    </row>
    <row r="3526" spans="1:21" ht="37.5" customHeight="1" x14ac:dyDescent="0.25">
      <c r="A3526" s="40">
        <v>45210</v>
      </c>
      <c r="B3526" s="13">
        <v>41</v>
      </c>
      <c r="C3526" t="s">
        <v>3</v>
      </c>
      <c r="D3526" t="s">
        <v>4</v>
      </c>
      <c r="E3526" t="s">
        <v>21</v>
      </c>
      <c r="F3526">
        <v>202081527</v>
      </c>
      <c r="G3526" t="s">
        <v>1273</v>
      </c>
      <c r="H3526" t="s">
        <v>14</v>
      </c>
      <c r="I3526">
        <v>0</v>
      </c>
      <c r="J3526">
        <v>0</v>
      </c>
      <c r="K3526">
        <v>0</v>
      </c>
      <c r="L3526">
        <v>0</v>
      </c>
      <c r="M3526">
        <v>0.85</v>
      </c>
      <c r="N3526" s="7" t="e">
        <f>VLOOKUP(F3526,HC!A$6:D$100,3,FALSE)</f>
        <v>#N/A</v>
      </c>
      <c r="O3526" s="7" t="str">
        <f>VLOOKUP(F3526,HC!A$6:D$1000,2,FALSE)</f>
        <v>efrmartw</v>
      </c>
      <c r="U3526">
        <f t="shared" si="57"/>
        <v>12</v>
      </c>
    </row>
    <row r="3527" spans="1:21" ht="37.5" customHeight="1" x14ac:dyDescent="0.25">
      <c r="A3527" s="40">
        <v>45210</v>
      </c>
      <c r="B3527" s="13">
        <v>41</v>
      </c>
      <c r="C3527" t="s">
        <v>3</v>
      </c>
      <c r="D3527" t="s">
        <v>4</v>
      </c>
      <c r="E3527" t="s">
        <v>21</v>
      </c>
      <c r="F3527">
        <v>202120417</v>
      </c>
      <c r="G3527" t="s">
        <v>1417</v>
      </c>
      <c r="H3527" t="s">
        <v>459</v>
      </c>
      <c r="I3527">
        <v>0</v>
      </c>
      <c r="J3527">
        <v>0</v>
      </c>
      <c r="K3527">
        <v>0</v>
      </c>
      <c r="L3527">
        <v>0</v>
      </c>
      <c r="M3527">
        <v>0.53</v>
      </c>
      <c r="N3527" s="7" t="e">
        <f>VLOOKUP(F3527,HC!A$6:D$100,3,FALSE)</f>
        <v>#N/A</v>
      </c>
      <c r="O3527" s="7" t="str">
        <f>VLOOKUP(F3527,HC!A$6:D$1000,2,FALSE)</f>
        <v>bhejose</v>
      </c>
      <c r="U3527">
        <f t="shared" si="57"/>
        <v>2</v>
      </c>
    </row>
    <row r="3528" spans="1:21" ht="37.5" customHeight="1" x14ac:dyDescent="0.25">
      <c r="A3528" s="40">
        <v>45210</v>
      </c>
      <c r="B3528" s="13">
        <v>41</v>
      </c>
      <c r="C3528" t="s">
        <v>3</v>
      </c>
      <c r="D3528" t="s">
        <v>4</v>
      </c>
      <c r="E3528" t="s">
        <v>21</v>
      </c>
      <c r="F3528">
        <v>202137341</v>
      </c>
      <c r="G3528" t="s">
        <v>1291</v>
      </c>
      <c r="H3528" t="s">
        <v>250</v>
      </c>
      <c r="I3528">
        <v>0</v>
      </c>
      <c r="J3528">
        <v>0</v>
      </c>
      <c r="K3528">
        <v>0</v>
      </c>
      <c r="L3528">
        <v>0</v>
      </c>
      <c r="M3528">
        <v>0.17</v>
      </c>
      <c r="N3528" s="7" t="e">
        <f>VLOOKUP(F3528,HC!A$6:D$100,3,FALSE)</f>
        <v>#N/A</v>
      </c>
      <c r="O3528" s="7" t="str">
        <f>VLOOKUP(F3528,HC!A$6:D$1000,2,FALSE)</f>
        <v>xedgabra</v>
      </c>
      <c r="U3528">
        <f t="shared" si="57"/>
        <v>13</v>
      </c>
    </row>
    <row r="3529" spans="1:21" ht="37.5" customHeight="1" x14ac:dyDescent="0.25">
      <c r="A3529" s="40">
        <v>45210</v>
      </c>
      <c r="B3529" s="13">
        <v>41</v>
      </c>
      <c r="C3529" t="s">
        <v>3</v>
      </c>
      <c r="D3529" t="s">
        <v>4</v>
      </c>
      <c r="E3529" t="s">
        <v>21</v>
      </c>
      <c r="F3529">
        <v>202188434</v>
      </c>
      <c r="G3529" t="s">
        <v>1413</v>
      </c>
      <c r="H3529" t="s">
        <v>14</v>
      </c>
      <c r="I3529">
        <v>0</v>
      </c>
      <c r="J3529">
        <v>0</v>
      </c>
      <c r="K3529">
        <v>0</v>
      </c>
      <c r="L3529">
        <v>0</v>
      </c>
      <c r="M3529">
        <v>0.31</v>
      </c>
      <c r="N3529" s="7" t="e">
        <f>VLOOKUP(F3529,HC!A$6:D$100,3,FALSE)</f>
        <v>#N/A</v>
      </c>
      <c r="O3529" s="7" t="str">
        <f>VLOOKUP(F3529,HC!A$6:D$1000,2,FALSE)</f>
        <v>aidzariv</v>
      </c>
      <c r="U3529">
        <f t="shared" si="57"/>
        <v>9</v>
      </c>
    </row>
    <row r="3530" spans="1:21" ht="37.5" customHeight="1" x14ac:dyDescent="0.25">
      <c r="A3530" s="40">
        <v>45211</v>
      </c>
      <c r="B3530" s="13">
        <v>41</v>
      </c>
      <c r="C3530" t="s">
        <v>3</v>
      </c>
      <c r="D3530" t="s">
        <v>4</v>
      </c>
      <c r="E3530" t="s">
        <v>21</v>
      </c>
      <c r="F3530">
        <v>107112431</v>
      </c>
      <c r="G3530" t="s">
        <v>1418</v>
      </c>
      <c r="H3530" t="s">
        <v>459</v>
      </c>
      <c r="I3530">
        <v>0</v>
      </c>
      <c r="J3530">
        <v>0</v>
      </c>
      <c r="K3530">
        <v>0</v>
      </c>
      <c r="L3530">
        <v>0</v>
      </c>
      <c r="M3530">
        <v>0.45</v>
      </c>
      <c r="N3530" s="7" t="e">
        <f>VLOOKUP(F3530,HC!A$6:D$100,3,FALSE)</f>
        <v>#N/A</v>
      </c>
      <c r="O3530" s="7" t="e">
        <f>VLOOKUP(F3530,HC!A$6:D$1000,2,FALSE)</f>
        <v>#N/A</v>
      </c>
      <c r="U3530">
        <f t="shared" si="57"/>
        <v>1395</v>
      </c>
    </row>
    <row r="3531" spans="1:21" ht="37.5" customHeight="1" x14ac:dyDescent="0.25">
      <c r="A3531" s="40">
        <v>45211</v>
      </c>
      <c r="B3531" s="13">
        <v>41</v>
      </c>
      <c r="C3531" t="s">
        <v>3</v>
      </c>
      <c r="D3531" t="s">
        <v>4</v>
      </c>
      <c r="E3531" t="s">
        <v>5</v>
      </c>
      <c r="F3531">
        <v>112912054</v>
      </c>
      <c r="G3531" t="s">
        <v>333</v>
      </c>
      <c r="H3531" t="s">
        <v>47</v>
      </c>
      <c r="I3531">
        <v>0</v>
      </c>
      <c r="J3531">
        <v>0</v>
      </c>
      <c r="K3531">
        <v>0</v>
      </c>
      <c r="L3531">
        <v>0</v>
      </c>
      <c r="M3531">
        <v>0.1</v>
      </c>
      <c r="N3531" s="7" t="str">
        <f>VLOOKUP(F3531,HC!A$6:D$100,3,FALSE)</f>
        <v>DB-X0700</v>
      </c>
      <c r="O3531" s="7" t="str">
        <f>VLOOKUP(F3531,HC!A$6:D$1000,2,FALSE)</f>
        <v>privejor</v>
      </c>
      <c r="U3531">
        <f t="shared" si="57"/>
        <v>14</v>
      </c>
    </row>
    <row r="3532" spans="1:21" ht="37.5" customHeight="1" x14ac:dyDescent="0.25">
      <c r="A3532" s="40">
        <v>45211</v>
      </c>
      <c r="B3532" s="13">
        <v>41</v>
      </c>
      <c r="C3532" t="s">
        <v>3</v>
      </c>
      <c r="D3532" t="s">
        <v>4</v>
      </c>
      <c r="E3532" t="s">
        <v>5</v>
      </c>
      <c r="F3532">
        <v>112912209</v>
      </c>
      <c r="G3532" t="s">
        <v>671</v>
      </c>
      <c r="H3532" t="s">
        <v>332</v>
      </c>
      <c r="I3532">
        <v>0</v>
      </c>
      <c r="J3532">
        <v>0</v>
      </c>
      <c r="K3532">
        <v>0</v>
      </c>
      <c r="L3532">
        <v>0</v>
      </c>
      <c r="M3532">
        <v>0.87</v>
      </c>
      <c r="N3532" s="7" t="str">
        <f>VLOOKUP(F3532,HC!A$6:D$100,3,FALSE)</f>
        <v>NF-X1900</v>
      </c>
      <c r="O3532" s="7" t="str">
        <f>VLOOKUP(F3532,HC!A$6:D$1000,2,FALSE)</f>
        <v>moralefs</v>
      </c>
      <c r="U3532">
        <f t="shared" si="57"/>
        <v>11</v>
      </c>
    </row>
    <row r="3533" spans="1:21" ht="37.5" customHeight="1" x14ac:dyDescent="0.25">
      <c r="A3533" s="40">
        <v>45211</v>
      </c>
      <c r="B3533" s="13">
        <v>41</v>
      </c>
      <c r="C3533" t="s">
        <v>3</v>
      </c>
      <c r="D3533" t="s">
        <v>4</v>
      </c>
      <c r="E3533" t="s">
        <v>5</v>
      </c>
      <c r="F3533">
        <v>112916534</v>
      </c>
      <c r="G3533" t="s">
        <v>425</v>
      </c>
      <c r="H3533" t="s">
        <v>49</v>
      </c>
      <c r="I3533">
        <v>0</v>
      </c>
      <c r="J3533">
        <v>0</v>
      </c>
      <c r="K3533">
        <v>0</v>
      </c>
      <c r="L3533">
        <v>0</v>
      </c>
      <c r="M3533">
        <v>0.1</v>
      </c>
      <c r="N3533" s="7" t="str">
        <f>VLOOKUP(F3533,HC!A$6:D$100,3,FALSE)</f>
        <v>DB-X0700</v>
      </c>
      <c r="O3533" s="7" t="str">
        <f>VLOOKUP(F3533,HC!A$6:D$1000,2,FALSE)</f>
        <v>earelili</v>
      </c>
      <c r="U3533">
        <f t="shared" si="57"/>
        <v>15</v>
      </c>
    </row>
    <row r="3534" spans="1:21" ht="37.5" customHeight="1" x14ac:dyDescent="0.25">
      <c r="A3534" s="40">
        <v>45211</v>
      </c>
      <c r="B3534" s="13">
        <v>41</v>
      </c>
      <c r="C3534" t="s">
        <v>3</v>
      </c>
      <c r="D3534" t="s">
        <v>4</v>
      </c>
      <c r="E3534" t="s">
        <v>5</v>
      </c>
      <c r="F3534">
        <v>112920654</v>
      </c>
      <c r="G3534" t="s">
        <v>500</v>
      </c>
      <c r="H3534" t="s">
        <v>14</v>
      </c>
      <c r="I3534">
        <v>0</v>
      </c>
      <c r="J3534">
        <v>0</v>
      </c>
      <c r="K3534">
        <v>0</v>
      </c>
      <c r="L3534">
        <v>0</v>
      </c>
      <c r="M3534">
        <v>0.09</v>
      </c>
      <c r="N3534" s="7" t="str">
        <f>VLOOKUP(F3534,HC!A$6:D$100,3,FALSE)</f>
        <v>DB-X0700</v>
      </c>
      <c r="O3534" s="7" t="str">
        <f>VLOOKUP(F3534,HC!A$6:D$1000,2,FALSE)</f>
        <v>qhojulie</v>
      </c>
      <c r="U3534">
        <f t="shared" si="57"/>
        <v>16</v>
      </c>
    </row>
    <row r="3535" spans="1:21" ht="37.5" customHeight="1" x14ac:dyDescent="0.25">
      <c r="A3535" s="40">
        <v>45211</v>
      </c>
      <c r="B3535" s="13">
        <v>41</v>
      </c>
      <c r="C3535" t="s">
        <v>3</v>
      </c>
      <c r="D3535" t="s">
        <v>4</v>
      </c>
      <c r="E3535" t="s">
        <v>5</v>
      </c>
      <c r="F3535">
        <v>112942473</v>
      </c>
      <c r="G3535" t="s">
        <v>996</v>
      </c>
      <c r="H3535" t="s">
        <v>282</v>
      </c>
      <c r="I3535">
        <v>0</v>
      </c>
      <c r="J3535">
        <v>0</v>
      </c>
      <c r="K3535">
        <v>0</v>
      </c>
      <c r="L3535">
        <v>0</v>
      </c>
      <c r="M3535">
        <v>0.01</v>
      </c>
      <c r="N3535" s="7" t="str">
        <f>VLOOKUP(F3535,HC!A$6:D$100,3,FALSE)</f>
        <v>DC-X0700</v>
      </c>
      <c r="O3535" s="7" t="str">
        <f>VLOOKUP(F3535,HC!A$6:D$1000,2,FALSE)</f>
        <v>hildacec</v>
      </c>
      <c r="U3535">
        <f t="shared" si="57"/>
        <v>6</v>
      </c>
    </row>
    <row r="3536" spans="1:21" ht="37.5" customHeight="1" x14ac:dyDescent="0.25">
      <c r="A3536" s="40">
        <v>45211</v>
      </c>
      <c r="B3536" s="13">
        <v>41</v>
      </c>
      <c r="C3536" t="s">
        <v>3</v>
      </c>
      <c r="D3536" t="s">
        <v>4</v>
      </c>
      <c r="E3536" t="s">
        <v>5</v>
      </c>
      <c r="F3536">
        <v>112951256</v>
      </c>
      <c r="G3536" t="s">
        <v>337</v>
      </c>
      <c r="H3536" t="s">
        <v>459</v>
      </c>
      <c r="I3536">
        <v>0</v>
      </c>
      <c r="J3536">
        <v>0</v>
      </c>
      <c r="K3536">
        <v>0</v>
      </c>
      <c r="L3536">
        <v>0</v>
      </c>
      <c r="M3536">
        <v>1.08</v>
      </c>
      <c r="N3536" s="7" t="str">
        <f>VLOOKUP(F3536,HC!A$6:D$100,3,FALSE)</f>
        <v>DA-X0700</v>
      </c>
      <c r="O3536" s="7" t="str">
        <f>VLOOKUP(F3536,HC!A$6:D$1000,2,FALSE)</f>
        <v>grkatery</v>
      </c>
      <c r="U3536">
        <f t="shared" si="57"/>
        <v>17</v>
      </c>
    </row>
    <row r="3537" spans="1:21" ht="37.5" customHeight="1" x14ac:dyDescent="0.25">
      <c r="A3537" s="40">
        <v>45211</v>
      </c>
      <c r="B3537" s="13">
        <v>41</v>
      </c>
      <c r="C3537" t="s">
        <v>3</v>
      </c>
      <c r="D3537" t="s">
        <v>4</v>
      </c>
      <c r="E3537" t="s">
        <v>5</v>
      </c>
      <c r="F3537">
        <v>112972524</v>
      </c>
      <c r="G3537" t="s">
        <v>312</v>
      </c>
      <c r="H3537" t="s">
        <v>14</v>
      </c>
      <c r="I3537">
        <v>0</v>
      </c>
      <c r="J3537">
        <v>0</v>
      </c>
      <c r="K3537">
        <v>0</v>
      </c>
      <c r="L3537">
        <v>0</v>
      </c>
      <c r="M3537">
        <v>1.08</v>
      </c>
      <c r="N3537" s="7" t="str">
        <f>VLOOKUP(F3537,HC!A$6:D$100,3,FALSE)</f>
        <v>DB-X0700</v>
      </c>
      <c r="O3537" s="7" t="str">
        <f>VLOOKUP(F3537,HC!A$6:D$1000,2,FALSE)</f>
        <v>csantibl</v>
      </c>
      <c r="U3537">
        <f t="shared" si="57"/>
        <v>17</v>
      </c>
    </row>
    <row r="3538" spans="1:21" ht="37.5" customHeight="1" x14ac:dyDescent="0.25">
      <c r="A3538" s="40">
        <v>45211</v>
      </c>
      <c r="B3538" s="13">
        <v>41</v>
      </c>
      <c r="C3538" t="s">
        <v>3</v>
      </c>
      <c r="D3538" t="s">
        <v>4</v>
      </c>
      <c r="E3538" t="s">
        <v>5</v>
      </c>
      <c r="F3538">
        <v>112973049</v>
      </c>
      <c r="G3538" t="s">
        <v>314</v>
      </c>
      <c r="H3538" t="s">
        <v>285</v>
      </c>
      <c r="I3538">
        <v>0</v>
      </c>
      <c r="J3538">
        <v>0</v>
      </c>
      <c r="K3538">
        <v>0</v>
      </c>
      <c r="L3538">
        <v>0</v>
      </c>
      <c r="M3538">
        <v>0.86</v>
      </c>
      <c r="N3538" s="7" t="str">
        <f>VLOOKUP(F3538,HC!A$6:D$100,3,FALSE)</f>
        <v>DB-X0700</v>
      </c>
      <c r="O3538" s="7" t="str">
        <f>VLOOKUP(F3538,HC!A$6:D$1000,2,FALSE)</f>
        <v>afatimae</v>
      </c>
      <c r="U3538">
        <f t="shared" si="57"/>
        <v>29</v>
      </c>
    </row>
    <row r="3539" spans="1:21" ht="37.5" customHeight="1" x14ac:dyDescent="0.25">
      <c r="A3539" s="40">
        <v>45211</v>
      </c>
      <c r="B3539" s="13">
        <v>41</v>
      </c>
      <c r="C3539" t="s">
        <v>3</v>
      </c>
      <c r="D3539" t="s">
        <v>4</v>
      </c>
      <c r="E3539" t="s">
        <v>5</v>
      </c>
      <c r="F3539">
        <v>112976017</v>
      </c>
      <c r="G3539" t="s">
        <v>1269</v>
      </c>
      <c r="H3539" t="s">
        <v>1163</v>
      </c>
      <c r="I3539">
        <v>0</v>
      </c>
      <c r="J3539">
        <v>0</v>
      </c>
      <c r="K3539">
        <v>0</v>
      </c>
      <c r="L3539">
        <v>0</v>
      </c>
      <c r="M3539">
        <v>2.81</v>
      </c>
      <c r="N3539" s="7" t="str">
        <f>VLOOKUP(F3539,HC!A$6:D$100,3,FALSE)</f>
        <v>DB-X0700</v>
      </c>
      <c r="O3539" s="7" t="str">
        <f>VLOOKUP(F3539,HC!A$6:D$1000,2,FALSE)</f>
        <v>baezdiaw</v>
      </c>
      <c r="U3539">
        <f t="shared" si="57"/>
        <v>4</v>
      </c>
    </row>
    <row r="3540" spans="1:21" ht="37.5" customHeight="1" x14ac:dyDescent="0.25">
      <c r="A3540" s="40">
        <v>45211</v>
      </c>
      <c r="B3540" s="13">
        <v>41</v>
      </c>
      <c r="C3540" t="s">
        <v>3</v>
      </c>
      <c r="D3540" t="s">
        <v>4</v>
      </c>
      <c r="E3540" t="s">
        <v>5</v>
      </c>
      <c r="F3540">
        <v>112981014</v>
      </c>
      <c r="G3540" t="s">
        <v>367</v>
      </c>
      <c r="H3540" t="s">
        <v>250</v>
      </c>
      <c r="I3540">
        <v>0</v>
      </c>
      <c r="J3540">
        <v>0</v>
      </c>
      <c r="K3540">
        <v>0</v>
      </c>
      <c r="L3540">
        <v>0</v>
      </c>
      <c r="M3540">
        <v>0.35</v>
      </c>
      <c r="N3540" s="7" t="str">
        <f>VLOOKUP(F3540,HC!A$6:D$100,3,FALSE)</f>
        <v>DJ-X0700</v>
      </c>
      <c r="O3540" s="7" t="str">
        <f>VLOOKUP(F3540,HC!A$6:D$1000,2,FALSE)</f>
        <v>rpabloul</v>
      </c>
      <c r="U3540">
        <f t="shared" si="57"/>
        <v>17</v>
      </c>
    </row>
    <row r="3541" spans="1:21" ht="37.5" customHeight="1" x14ac:dyDescent="0.25">
      <c r="A3541" s="40">
        <v>45211</v>
      </c>
      <c r="B3541" s="13">
        <v>41</v>
      </c>
      <c r="C3541" t="s">
        <v>3</v>
      </c>
      <c r="D3541" t="s">
        <v>4</v>
      </c>
      <c r="E3541" t="s">
        <v>5</v>
      </c>
      <c r="F3541">
        <v>113003971</v>
      </c>
      <c r="G3541" t="s">
        <v>284</v>
      </c>
      <c r="H3541" t="s">
        <v>49</v>
      </c>
      <c r="I3541">
        <v>0</v>
      </c>
      <c r="J3541">
        <v>0</v>
      </c>
      <c r="K3541">
        <v>0</v>
      </c>
      <c r="L3541">
        <v>0</v>
      </c>
      <c r="M3541">
        <v>0.47</v>
      </c>
      <c r="N3541" s="7" t="e">
        <f>VLOOKUP(F3541,HC!A$6:D$100,3,FALSE)</f>
        <v>#N/A</v>
      </c>
      <c r="O3541" s="7" t="str">
        <f>VLOOKUP(F3541,HC!A$6:D$1000,2,FALSE)</f>
        <v>garamird</v>
      </c>
      <c r="U3541">
        <f t="shared" si="57"/>
        <v>14</v>
      </c>
    </row>
    <row r="3542" spans="1:21" ht="37.5" customHeight="1" x14ac:dyDescent="0.25">
      <c r="A3542" s="40">
        <v>45211</v>
      </c>
      <c r="B3542" s="13">
        <v>41</v>
      </c>
      <c r="C3542" t="s">
        <v>3</v>
      </c>
      <c r="D3542" t="s">
        <v>4</v>
      </c>
      <c r="E3542" t="s">
        <v>5</v>
      </c>
      <c r="F3542">
        <v>113020476</v>
      </c>
      <c r="G3542" t="s">
        <v>330</v>
      </c>
      <c r="H3542" t="s">
        <v>298</v>
      </c>
      <c r="I3542">
        <v>0</v>
      </c>
      <c r="J3542">
        <v>0</v>
      </c>
      <c r="K3542">
        <v>0</v>
      </c>
      <c r="L3542">
        <v>0</v>
      </c>
      <c r="M3542">
        <v>0.02</v>
      </c>
      <c r="N3542" s="7" t="e">
        <f>VLOOKUP(F3542,HC!A$6:D$100,3,FALSE)</f>
        <v>#N/A</v>
      </c>
      <c r="O3542" s="7" t="str">
        <f>VLOOKUP(F3542,HC!A$6:D$1000,2,FALSE)</f>
        <v>polettpu</v>
      </c>
      <c r="U3542">
        <f t="shared" si="57"/>
        <v>55</v>
      </c>
    </row>
    <row r="3543" spans="1:21" ht="37.5" customHeight="1" x14ac:dyDescent="0.25">
      <c r="A3543" s="40">
        <v>45211</v>
      </c>
      <c r="B3543" s="13">
        <v>41</v>
      </c>
      <c r="C3543" t="s">
        <v>3</v>
      </c>
      <c r="D3543" t="s">
        <v>4</v>
      </c>
      <c r="E3543" t="s">
        <v>5</v>
      </c>
      <c r="F3543">
        <v>113052151</v>
      </c>
      <c r="G3543" t="s">
        <v>482</v>
      </c>
      <c r="H3543" t="s">
        <v>17</v>
      </c>
      <c r="I3543">
        <v>0</v>
      </c>
      <c r="J3543">
        <v>0</v>
      </c>
      <c r="K3543">
        <v>0</v>
      </c>
      <c r="L3543">
        <v>0</v>
      </c>
      <c r="M3543">
        <v>0.55000000000000004</v>
      </c>
      <c r="N3543" s="7" t="e">
        <f>VLOOKUP(F3543,HC!A$6:D$100,3,FALSE)</f>
        <v>#N/A</v>
      </c>
      <c r="O3543" s="7" t="str">
        <f>VLOOKUP(F3543,HC!A$6:D$1000,2,FALSE)</f>
        <v>nilaurab</v>
      </c>
      <c r="U3543">
        <f t="shared" si="57"/>
        <v>28</v>
      </c>
    </row>
    <row r="3544" spans="1:21" ht="37.5" customHeight="1" x14ac:dyDescent="0.25">
      <c r="A3544" s="40">
        <v>45211</v>
      </c>
      <c r="B3544" s="13">
        <v>41</v>
      </c>
      <c r="C3544" t="s">
        <v>3</v>
      </c>
      <c r="D3544" t="s">
        <v>4</v>
      </c>
      <c r="E3544" t="s">
        <v>5</v>
      </c>
      <c r="F3544">
        <v>200404250</v>
      </c>
      <c r="G3544" t="s">
        <v>51</v>
      </c>
      <c r="H3544" t="s">
        <v>44</v>
      </c>
      <c r="I3544">
        <v>0</v>
      </c>
      <c r="J3544">
        <v>0</v>
      </c>
      <c r="K3544">
        <v>0</v>
      </c>
      <c r="L3544">
        <v>0</v>
      </c>
      <c r="M3544">
        <v>0.42</v>
      </c>
      <c r="N3544" s="7" t="e">
        <f>VLOOKUP(F3544,HC!A$6:D$100,3,FALSE)</f>
        <v>#N/A</v>
      </c>
      <c r="O3544" s="7" t="str">
        <f>VLOOKUP(F3544,HC!A$6:D$1000,2,FALSE)</f>
        <v>xcathurt</v>
      </c>
      <c r="U3544">
        <f t="shared" si="57"/>
        <v>124</v>
      </c>
    </row>
    <row r="3545" spans="1:21" ht="37.5" customHeight="1" x14ac:dyDescent="0.25">
      <c r="A3545" s="40">
        <v>45211</v>
      </c>
      <c r="B3545" s="13">
        <v>41</v>
      </c>
      <c r="C3545" t="s">
        <v>3</v>
      </c>
      <c r="D3545" t="s">
        <v>4</v>
      </c>
      <c r="E3545" t="s">
        <v>5</v>
      </c>
      <c r="F3545">
        <v>200562154</v>
      </c>
      <c r="G3545" t="s">
        <v>437</v>
      </c>
      <c r="H3545" t="s">
        <v>49</v>
      </c>
      <c r="I3545">
        <v>0</v>
      </c>
      <c r="J3545">
        <v>0</v>
      </c>
      <c r="K3545">
        <v>0</v>
      </c>
      <c r="L3545">
        <v>0</v>
      </c>
      <c r="M3545">
        <v>0.11</v>
      </c>
      <c r="N3545" s="7" t="e">
        <f>VLOOKUP(F3545,HC!A$6:D$100,3,FALSE)</f>
        <v>#N/A</v>
      </c>
      <c r="O3545" s="7" t="str">
        <f>VLOOKUP(F3545,HC!A$6:D$1000,2,FALSE)</f>
        <v>reyesmcw</v>
      </c>
      <c r="U3545">
        <f t="shared" si="57"/>
        <v>38</v>
      </c>
    </row>
    <row r="3546" spans="1:21" ht="37.5" customHeight="1" x14ac:dyDescent="0.25">
      <c r="A3546" s="40">
        <v>45211</v>
      </c>
      <c r="B3546" s="13">
        <v>41</v>
      </c>
      <c r="C3546" t="s">
        <v>3</v>
      </c>
      <c r="D3546" t="s">
        <v>4</v>
      </c>
      <c r="E3546" t="s">
        <v>5</v>
      </c>
      <c r="F3546">
        <v>200625528</v>
      </c>
      <c r="G3546" t="s">
        <v>607</v>
      </c>
      <c r="H3546" t="s">
        <v>285</v>
      </c>
      <c r="I3546">
        <v>0</v>
      </c>
      <c r="J3546">
        <v>0</v>
      </c>
      <c r="K3546">
        <v>0</v>
      </c>
      <c r="L3546">
        <v>0</v>
      </c>
      <c r="M3546">
        <v>0.11</v>
      </c>
      <c r="N3546" s="7" t="e">
        <f>VLOOKUP(F3546,HC!A$6:D$100,3,FALSE)</f>
        <v>#N/A</v>
      </c>
      <c r="O3546" s="7" t="str">
        <f>VLOOKUP(F3546,HC!A$6:D$1000,2,FALSE)</f>
        <v>olivlizb</v>
      </c>
      <c r="U3546">
        <f t="shared" si="57"/>
        <v>50</v>
      </c>
    </row>
    <row r="3547" spans="1:21" ht="37.5" customHeight="1" x14ac:dyDescent="0.25">
      <c r="A3547" s="40">
        <v>45211</v>
      </c>
      <c r="B3547" s="13">
        <v>41</v>
      </c>
      <c r="C3547" t="s">
        <v>3</v>
      </c>
      <c r="D3547" t="s">
        <v>4</v>
      </c>
      <c r="E3547" t="s">
        <v>5</v>
      </c>
      <c r="F3547">
        <v>201211157</v>
      </c>
      <c r="G3547" t="s">
        <v>936</v>
      </c>
      <c r="H3547" t="s">
        <v>47</v>
      </c>
      <c r="I3547">
        <v>0</v>
      </c>
      <c r="J3547">
        <v>0</v>
      </c>
      <c r="K3547">
        <v>0</v>
      </c>
      <c r="L3547">
        <v>0</v>
      </c>
      <c r="M3547">
        <v>0.11</v>
      </c>
      <c r="N3547" s="7" t="e">
        <f>VLOOKUP(F3547,HC!A$6:D$100,3,FALSE)</f>
        <v>#N/A</v>
      </c>
      <c r="O3547" s="7" t="str">
        <f>VLOOKUP(F3547,HC!A$6:D$1000,2,FALSE)</f>
        <v>vargajed</v>
      </c>
      <c r="U3547">
        <f t="shared" si="57"/>
        <v>17</v>
      </c>
    </row>
    <row r="3548" spans="1:21" ht="37.5" customHeight="1" x14ac:dyDescent="0.25">
      <c r="A3548" s="40">
        <v>45211</v>
      </c>
      <c r="B3548" s="13">
        <v>41</v>
      </c>
      <c r="C3548" t="s">
        <v>3</v>
      </c>
      <c r="D3548" t="s">
        <v>4</v>
      </c>
      <c r="E3548" t="s">
        <v>5</v>
      </c>
      <c r="F3548">
        <v>201354944</v>
      </c>
      <c r="G3548" t="s">
        <v>1062</v>
      </c>
      <c r="H3548" t="s">
        <v>282</v>
      </c>
      <c r="I3548">
        <v>0</v>
      </c>
      <c r="J3548">
        <v>0</v>
      </c>
      <c r="K3548">
        <v>0</v>
      </c>
      <c r="L3548">
        <v>0</v>
      </c>
      <c r="M3548">
        <v>0.3</v>
      </c>
      <c r="N3548" s="7" t="e">
        <f>VLOOKUP(F3548,HC!A$6:D$100,3,FALSE)</f>
        <v>#N/A</v>
      </c>
      <c r="O3548" s="7" t="str">
        <f>VLOOKUP(F3548,HC!A$6:D$1000,2,FALSE)</f>
        <v>hernghug</v>
      </c>
      <c r="U3548">
        <f t="shared" si="57"/>
        <v>3</v>
      </c>
    </row>
    <row r="3549" spans="1:21" ht="37.5" customHeight="1" x14ac:dyDescent="0.25">
      <c r="A3549" s="40">
        <v>45211</v>
      </c>
      <c r="B3549" s="13">
        <v>41</v>
      </c>
      <c r="C3549" t="s">
        <v>3</v>
      </c>
      <c r="D3549" t="s">
        <v>4</v>
      </c>
      <c r="E3549" t="s">
        <v>21</v>
      </c>
      <c r="F3549">
        <v>201615299</v>
      </c>
      <c r="G3549" t="s">
        <v>1419</v>
      </c>
      <c r="H3549" t="s">
        <v>49</v>
      </c>
      <c r="I3549">
        <v>0</v>
      </c>
      <c r="J3549">
        <v>0</v>
      </c>
      <c r="K3549">
        <v>0</v>
      </c>
      <c r="L3549">
        <v>0</v>
      </c>
      <c r="M3549">
        <v>0.75</v>
      </c>
      <c r="N3549" s="7" t="e">
        <f>VLOOKUP(F3549,HC!A$6:D$100,3,FALSE)</f>
        <v>#N/A</v>
      </c>
      <c r="O3549" s="7" t="e">
        <f>VLOOKUP(F3549,HC!A$6:D$1000,2,FALSE)</f>
        <v>#N/A</v>
      </c>
      <c r="U3549">
        <f t="shared" si="57"/>
        <v>1395</v>
      </c>
    </row>
    <row r="3550" spans="1:21" ht="37.5" customHeight="1" x14ac:dyDescent="0.25">
      <c r="A3550" s="40">
        <v>45211</v>
      </c>
      <c r="B3550" s="13">
        <v>41</v>
      </c>
      <c r="C3550" t="s">
        <v>3</v>
      </c>
      <c r="D3550" t="s">
        <v>4</v>
      </c>
      <c r="E3550" t="s">
        <v>21</v>
      </c>
      <c r="F3550">
        <v>201842064</v>
      </c>
      <c r="G3550" t="s">
        <v>1241</v>
      </c>
      <c r="H3550" t="s">
        <v>17</v>
      </c>
      <c r="I3550">
        <v>0</v>
      </c>
      <c r="J3550">
        <v>0</v>
      </c>
      <c r="K3550">
        <v>0</v>
      </c>
      <c r="L3550">
        <v>0</v>
      </c>
      <c r="M3550">
        <v>0.81</v>
      </c>
      <c r="N3550" s="7" t="e">
        <f>VLOOKUP(F3550,HC!A$6:D$100,3,FALSE)</f>
        <v>#N/A</v>
      </c>
      <c r="O3550" s="7" t="str">
        <f>VLOOKUP(F3550,HC!A$6:D$1000,2,FALSE)</f>
        <v>agriandl</v>
      </c>
      <c r="U3550">
        <f t="shared" si="57"/>
        <v>12</v>
      </c>
    </row>
    <row r="3551" spans="1:21" ht="37.5" customHeight="1" x14ac:dyDescent="0.25">
      <c r="A3551" s="40">
        <v>45211</v>
      </c>
      <c r="B3551" s="13">
        <v>41</v>
      </c>
      <c r="C3551" t="s">
        <v>3</v>
      </c>
      <c r="D3551" t="s">
        <v>4</v>
      </c>
      <c r="E3551" t="s">
        <v>21</v>
      </c>
      <c r="F3551">
        <v>201880542</v>
      </c>
      <c r="G3551" t="s">
        <v>1225</v>
      </c>
      <c r="H3551" t="s">
        <v>1040</v>
      </c>
      <c r="I3551">
        <v>0</v>
      </c>
      <c r="J3551">
        <v>0</v>
      </c>
      <c r="K3551">
        <v>0</v>
      </c>
      <c r="L3551">
        <v>0</v>
      </c>
      <c r="M3551">
        <v>0.66</v>
      </c>
      <c r="N3551" s="7" t="e">
        <f>VLOOKUP(F3551,HC!A$6:D$100,3,FALSE)</f>
        <v>#N/A</v>
      </c>
      <c r="O3551" s="7" t="str">
        <f>VLOOKUP(F3551,HC!A$6:D$1000,2,FALSE)</f>
        <v>orticorp</v>
      </c>
      <c r="U3551">
        <f t="shared" si="57"/>
        <v>24</v>
      </c>
    </row>
    <row r="3552" spans="1:21" ht="37.5" customHeight="1" x14ac:dyDescent="0.25">
      <c r="A3552" s="40">
        <v>45211</v>
      </c>
      <c r="B3552" s="13">
        <v>41</v>
      </c>
      <c r="C3552" t="s">
        <v>3</v>
      </c>
      <c r="D3552" t="s">
        <v>4</v>
      </c>
      <c r="E3552" t="s">
        <v>21</v>
      </c>
      <c r="F3552">
        <v>202081527</v>
      </c>
      <c r="G3552" t="s">
        <v>1273</v>
      </c>
      <c r="H3552" t="s">
        <v>14</v>
      </c>
      <c r="I3552">
        <v>0</v>
      </c>
      <c r="J3552">
        <v>0</v>
      </c>
      <c r="K3552">
        <v>0</v>
      </c>
      <c r="L3552">
        <v>0</v>
      </c>
      <c r="M3552">
        <v>0.03</v>
      </c>
      <c r="N3552" s="7" t="e">
        <f>VLOOKUP(F3552,HC!A$6:D$100,3,FALSE)</f>
        <v>#N/A</v>
      </c>
      <c r="O3552" s="7" t="str">
        <f>VLOOKUP(F3552,HC!A$6:D$1000,2,FALSE)</f>
        <v>efrmartw</v>
      </c>
      <c r="U3552">
        <f t="shared" si="57"/>
        <v>12</v>
      </c>
    </row>
    <row r="3553" spans="1:21" ht="37.5" customHeight="1" x14ac:dyDescent="0.25">
      <c r="A3553" s="40">
        <v>45211</v>
      </c>
      <c r="B3553" s="13">
        <v>41</v>
      </c>
      <c r="C3553" t="s">
        <v>3</v>
      </c>
      <c r="D3553" t="s">
        <v>4</v>
      </c>
      <c r="E3553" t="s">
        <v>21</v>
      </c>
      <c r="F3553">
        <v>202099229</v>
      </c>
      <c r="G3553" t="s">
        <v>1280</v>
      </c>
      <c r="H3553" t="s">
        <v>459</v>
      </c>
      <c r="I3553">
        <v>0</v>
      </c>
      <c r="J3553">
        <v>0</v>
      </c>
      <c r="K3553">
        <v>0</v>
      </c>
      <c r="L3553">
        <v>0</v>
      </c>
      <c r="M3553">
        <v>0.21</v>
      </c>
      <c r="N3553" s="7" t="e">
        <f>VLOOKUP(F3553,HC!A$6:D$100,3,FALSE)</f>
        <v>#N/A</v>
      </c>
      <c r="O3553" s="7" t="str">
        <f>VLOOKUP(F3553,HC!A$6:D$1000,2,FALSE)</f>
        <v>gaborada</v>
      </c>
      <c r="U3553">
        <f t="shared" si="57"/>
        <v>2</v>
      </c>
    </row>
    <row r="3554" spans="1:21" ht="37.5" customHeight="1" x14ac:dyDescent="0.25">
      <c r="A3554" s="40">
        <v>45211</v>
      </c>
      <c r="B3554" s="13">
        <v>41</v>
      </c>
      <c r="C3554" t="s">
        <v>3</v>
      </c>
      <c r="D3554" t="s">
        <v>4</v>
      </c>
      <c r="E3554" t="s">
        <v>21</v>
      </c>
      <c r="F3554">
        <v>202145314</v>
      </c>
      <c r="G3554" t="s">
        <v>1420</v>
      </c>
      <c r="H3554" t="s">
        <v>459</v>
      </c>
      <c r="I3554">
        <v>0</v>
      </c>
      <c r="J3554">
        <v>0</v>
      </c>
      <c r="K3554">
        <v>0</v>
      </c>
      <c r="L3554">
        <v>0</v>
      </c>
      <c r="M3554">
        <v>0.15</v>
      </c>
      <c r="N3554" s="7" t="e">
        <f>VLOOKUP(F3554,HC!A$6:D$100,3,FALSE)</f>
        <v>#N/A</v>
      </c>
      <c r="O3554" s="7" t="str">
        <f>VLOOKUP(F3554,HC!A$6:D$1000,2,FALSE)</f>
        <v>neftalpa</v>
      </c>
      <c r="U3554">
        <f t="shared" si="57"/>
        <v>3</v>
      </c>
    </row>
    <row r="3555" spans="1:21" ht="37.5" customHeight="1" x14ac:dyDescent="0.25">
      <c r="A3555" s="40">
        <v>45211</v>
      </c>
      <c r="B3555" s="13">
        <v>41</v>
      </c>
      <c r="C3555" t="s">
        <v>3</v>
      </c>
      <c r="D3555" t="s">
        <v>4</v>
      </c>
      <c r="E3555" t="s">
        <v>21</v>
      </c>
      <c r="F3555">
        <v>202165242</v>
      </c>
      <c r="G3555" t="s">
        <v>1412</v>
      </c>
      <c r="H3555" t="s">
        <v>403</v>
      </c>
      <c r="I3555">
        <v>0</v>
      </c>
      <c r="J3555">
        <v>0</v>
      </c>
      <c r="K3555">
        <v>0</v>
      </c>
      <c r="L3555">
        <v>0</v>
      </c>
      <c r="M3555">
        <v>0.54</v>
      </c>
      <c r="N3555" s="7" t="e">
        <f>VLOOKUP(F3555,HC!A$6:D$100,3,FALSE)</f>
        <v>#N/A</v>
      </c>
      <c r="O3555" s="7" t="str">
        <f>VLOOKUP(F3555,HC!A$6:D$1000,2,FALSE)</f>
        <v>marcqgon</v>
      </c>
      <c r="U3555">
        <f t="shared" si="57"/>
        <v>21</v>
      </c>
    </row>
    <row r="3556" spans="1:21" ht="37.5" customHeight="1" x14ac:dyDescent="0.25">
      <c r="A3556" s="40">
        <v>45211</v>
      </c>
      <c r="B3556" s="13">
        <v>41</v>
      </c>
      <c r="C3556" t="s">
        <v>3</v>
      </c>
      <c r="D3556" t="s">
        <v>4</v>
      </c>
      <c r="E3556" t="s">
        <v>21</v>
      </c>
      <c r="F3556">
        <v>202175671</v>
      </c>
      <c r="G3556" t="s">
        <v>1421</v>
      </c>
      <c r="H3556" t="s">
        <v>403</v>
      </c>
      <c r="I3556">
        <v>0</v>
      </c>
      <c r="J3556">
        <v>0</v>
      </c>
      <c r="K3556">
        <v>0</v>
      </c>
      <c r="L3556">
        <v>0</v>
      </c>
      <c r="M3556">
        <v>0.34</v>
      </c>
      <c r="N3556" s="7" t="e">
        <f>VLOOKUP(F3556,HC!A$6:D$100,3,FALSE)</f>
        <v>#N/A</v>
      </c>
      <c r="O3556" s="7" t="str">
        <f>VLOOKUP(F3556,HC!A$6:D$1000,2,FALSE)</f>
        <v>laucruzc</v>
      </c>
      <c r="U3556">
        <f t="shared" si="57"/>
        <v>5</v>
      </c>
    </row>
    <row r="3557" spans="1:21" ht="37.5" customHeight="1" x14ac:dyDescent="0.25">
      <c r="A3557" s="40">
        <v>45212</v>
      </c>
      <c r="B3557" s="13">
        <v>41</v>
      </c>
      <c r="C3557" t="s">
        <v>3</v>
      </c>
      <c r="D3557" t="s">
        <v>4</v>
      </c>
      <c r="E3557" t="s">
        <v>5</v>
      </c>
      <c r="F3557">
        <v>112971962</v>
      </c>
      <c r="G3557" t="s">
        <v>338</v>
      </c>
      <c r="H3557" t="s">
        <v>298</v>
      </c>
      <c r="I3557">
        <v>0</v>
      </c>
      <c r="J3557">
        <v>0</v>
      </c>
      <c r="K3557">
        <v>0</v>
      </c>
      <c r="L3557">
        <v>0</v>
      </c>
      <c r="M3557">
        <v>0.21</v>
      </c>
      <c r="N3557" s="7" t="str">
        <f>VLOOKUP(F3557,HC!A$6:D$100,3,FALSE)</f>
        <v>DB-X0700</v>
      </c>
      <c r="O3557" s="7" t="str">
        <f>VLOOKUP(F3557,HC!A$6:D$1000,2,FALSE)</f>
        <v>creyesal</v>
      </c>
      <c r="U3557">
        <f t="shared" si="57"/>
        <v>38</v>
      </c>
    </row>
    <row r="3558" spans="1:21" ht="37.5" customHeight="1" x14ac:dyDescent="0.25">
      <c r="A3558" s="40">
        <v>45212</v>
      </c>
      <c r="B3558" s="13">
        <v>41</v>
      </c>
      <c r="C3558" t="s">
        <v>3</v>
      </c>
      <c r="D3558" t="s">
        <v>4</v>
      </c>
      <c r="E3558" t="s">
        <v>5</v>
      </c>
      <c r="F3558">
        <v>112972958</v>
      </c>
      <c r="G3558" t="s">
        <v>441</v>
      </c>
      <c r="H3558" t="s">
        <v>459</v>
      </c>
      <c r="I3558">
        <v>0</v>
      </c>
      <c r="J3558">
        <v>0</v>
      </c>
      <c r="K3558">
        <v>0</v>
      </c>
      <c r="L3558">
        <v>0</v>
      </c>
      <c r="M3558">
        <v>0.97</v>
      </c>
      <c r="N3558" s="7" t="str">
        <f>VLOOKUP(F3558,HC!A$6:D$100,3,FALSE)</f>
        <v>D5-X0700</v>
      </c>
      <c r="O3558" s="7" t="str">
        <f>VLOOKUP(F3558,HC!A$6:D$1000,2,FALSE)</f>
        <v>ugonzgui</v>
      </c>
      <c r="U3558">
        <f t="shared" si="57"/>
        <v>13</v>
      </c>
    </row>
    <row r="3559" spans="1:21" ht="37.5" customHeight="1" x14ac:dyDescent="0.25">
      <c r="A3559" s="40">
        <v>45212</v>
      </c>
      <c r="B3559" s="13">
        <v>41</v>
      </c>
      <c r="C3559" t="s">
        <v>3</v>
      </c>
      <c r="D3559" t="s">
        <v>4</v>
      </c>
      <c r="E3559" t="s">
        <v>5</v>
      </c>
      <c r="F3559">
        <v>112973049</v>
      </c>
      <c r="G3559" t="s">
        <v>314</v>
      </c>
      <c r="H3559" t="s">
        <v>285</v>
      </c>
      <c r="I3559">
        <v>0</v>
      </c>
      <c r="J3559">
        <v>0</v>
      </c>
      <c r="K3559">
        <v>0</v>
      </c>
      <c r="L3559">
        <v>0</v>
      </c>
      <c r="M3559">
        <v>0.21</v>
      </c>
      <c r="N3559" s="7" t="str">
        <f>VLOOKUP(F3559,HC!A$6:D$100,3,FALSE)</f>
        <v>DB-X0700</v>
      </c>
      <c r="O3559" s="7" t="str">
        <f>VLOOKUP(F3559,HC!A$6:D$1000,2,FALSE)</f>
        <v>afatimae</v>
      </c>
      <c r="U3559">
        <f t="shared" si="57"/>
        <v>29</v>
      </c>
    </row>
    <row r="3560" spans="1:21" ht="37.5" customHeight="1" x14ac:dyDescent="0.25">
      <c r="A3560" s="40">
        <v>45212</v>
      </c>
      <c r="B3560" s="13">
        <v>41</v>
      </c>
      <c r="C3560" t="s">
        <v>3</v>
      </c>
      <c r="D3560" t="s">
        <v>4</v>
      </c>
      <c r="E3560" t="s">
        <v>5</v>
      </c>
      <c r="F3560">
        <v>112976043</v>
      </c>
      <c r="G3560" t="s">
        <v>1162</v>
      </c>
      <c r="H3560" t="s">
        <v>1163</v>
      </c>
      <c r="I3560">
        <v>0</v>
      </c>
      <c r="J3560">
        <v>0</v>
      </c>
      <c r="K3560">
        <v>0</v>
      </c>
      <c r="L3560">
        <v>0</v>
      </c>
      <c r="M3560">
        <v>0.12</v>
      </c>
      <c r="N3560" s="7" t="str">
        <f>VLOOKUP(F3560,HC!A$6:D$100,3,FALSE)</f>
        <v>DE-X1024</v>
      </c>
      <c r="O3560" s="7" t="str">
        <f>VLOOKUP(F3560,HC!A$6:D$1000,2,FALSE)</f>
        <v>ricrivab</v>
      </c>
      <c r="U3560">
        <f t="shared" si="57"/>
        <v>4</v>
      </c>
    </row>
    <row r="3561" spans="1:21" ht="37.5" customHeight="1" x14ac:dyDescent="0.25">
      <c r="A3561" s="40">
        <v>45212</v>
      </c>
      <c r="B3561" s="13">
        <v>41</v>
      </c>
      <c r="C3561" t="s">
        <v>3</v>
      </c>
      <c r="D3561" t="s">
        <v>4</v>
      </c>
      <c r="E3561" t="s">
        <v>5</v>
      </c>
      <c r="F3561">
        <v>200562154</v>
      </c>
      <c r="G3561" t="s">
        <v>437</v>
      </c>
      <c r="H3561" t="s">
        <v>49</v>
      </c>
      <c r="I3561">
        <v>0</v>
      </c>
      <c r="J3561">
        <v>0</v>
      </c>
      <c r="K3561">
        <v>0</v>
      </c>
      <c r="L3561">
        <v>0</v>
      </c>
      <c r="M3561">
        <v>0.25</v>
      </c>
      <c r="N3561" s="7" t="e">
        <f>VLOOKUP(F3561,HC!A$6:D$100,3,FALSE)</f>
        <v>#N/A</v>
      </c>
      <c r="O3561" s="7" t="str">
        <f>VLOOKUP(F3561,HC!A$6:D$1000,2,FALSE)</f>
        <v>reyesmcw</v>
      </c>
      <c r="U3561">
        <f t="shared" si="57"/>
        <v>38</v>
      </c>
    </row>
    <row r="3562" spans="1:21" ht="37.5" customHeight="1" x14ac:dyDescent="0.25">
      <c r="A3562" s="40">
        <v>45212</v>
      </c>
      <c r="B3562" s="13">
        <v>41</v>
      </c>
      <c r="C3562" t="s">
        <v>3</v>
      </c>
      <c r="D3562" t="s">
        <v>4</v>
      </c>
      <c r="E3562" t="s">
        <v>5</v>
      </c>
      <c r="F3562">
        <v>201185299</v>
      </c>
      <c r="G3562" t="s">
        <v>990</v>
      </c>
      <c r="H3562" t="s">
        <v>17</v>
      </c>
      <c r="I3562">
        <v>0</v>
      </c>
      <c r="J3562">
        <v>0</v>
      </c>
      <c r="K3562">
        <v>0</v>
      </c>
      <c r="L3562">
        <v>0</v>
      </c>
      <c r="M3562">
        <v>0.7</v>
      </c>
      <c r="N3562" s="7" t="e">
        <f>VLOOKUP(F3562,HC!A$6:D$100,3,FALSE)</f>
        <v>#N/A</v>
      </c>
      <c r="O3562" s="7" t="str">
        <f>VLOOKUP(F3562,HC!A$6:D$1000,2,FALSE)</f>
        <v>sganoemi</v>
      </c>
      <c r="U3562">
        <f t="shared" si="57"/>
        <v>12</v>
      </c>
    </row>
    <row r="3563" spans="1:21" ht="37.5" customHeight="1" x14ac:dyDescent="0.25">
      <c r="A3563" s="40">
        <v>45212</v>
      </c>
      <c r="B3563" s="13">
        <v>41</v>
      </c>
      <c r="C3563" t="s">
        <v>3</v>
      </c>
      <c r="D3563" t="s">
        <v>4</v>
      </c>
      <c r="E3563" t="s">
        <v>5</v>
      </c>
      <c r="F3563">
        <v>201191198</v>
      </c>
      <c r="G3563" t="s">
        <v>974</v>
      </c>
      <c r="H3563" t="s">
        <v>17</v>
      </c>
      <c r="I3563">
        <v>0</v>
      </c>
      <c r="J3563">
        <v>0</v>
      </c>
      <c r="K3563">
        <v>0</v>
      </c>
      <c r="L3563">
        <v>0</v>
      </c>
      <c r="M3563">
        <v>0.23</v>
      </c>
      <c r="N3563" s="7" t="e">
        <f>VLOOKUP(F3563,HC!A$6:D$100,3,FALSE)</f>
        <v>#N/A</v>
      </c>
      <c r="O3563" s="7" t="str">
        <f>VLOOKUP(F3563,HC!A$6:D$1000,2,FALSE)</f>
        <v>mojicemm</v>
      </c>
      <c r="U3563">
        <f t="shared" si="57"/>
        <v>24</v>
      </c>
    </row>
    <row r="3564" spans="1:21" ht="37.5" customHeight="1" x14ac:dyDescent="0.25">
      <c r="A3564" s="40">
        <v>45212</v>
      </c>
      <c r="B3564" s="13">
        <v>41</v>
      </c>
      <c r="C3564" t="s">
        <v>3</v>
      </c>
      <c r="D3564" t="s">
        <v>4</v>
      </c>
      <c r="E3564" t="s">
        <v>5</v>
      </c>
      <c r="F3564">
        <v>201211157</v>
      </c>
      <c r="G3564" t="s">
        <v>936</v>
      </c>
      <c r="H3564" t="s">
        <v>47</v>
      </c>
      <c r="I3564">
        <v>0</v>
      </c>
      <c r="J3564">
        <v>0</v>
      </c>
      <c r="K3564">
        <v>0</v>
      </c>
      <c r="L3564">
        <v>0</v>
      </c>
      <c r="M3564">
        <v>0.41</v>
      </c>
      <c r="N3564" s="7" t="e">
        <f>VLOOKUP(F3564,HC!A$6:D$100,3,FALSE)</f>
        <v>#N/A</v>
      </c>
      <c r="O3564" s="7" t="str">
        <f>VLOOKUP(F3564,HC!A$6:D$1000,2,FALSE)</f>
        <v>vargajed</v>
      </c>
      <c r="U3564">
        <f t="shared" si="57"/>
        <v>17</v>
      </c>
    </row>
    <row r="3565" spans="1:21" ht="37.5" customHeight="1" x14ac:dyDescent="0.25">
      <c r="A3565" s="40">
        <v>45212</v>
      </c>
      <c r="B3565" s="13">
        <v>41</v>
      </c>
      <c r="C3565" t="s">
        <v>3</v>
      </c>
      <c r="D3565" t="s">
        <v>4</v>
      </c>
      <c r="E3565" t="s">
        <v>5</v>
      </c>
      <c r="F3565">
        <v>201223730</v>
      </c>
      <c r="G3565" t="s">
        <v>933</v>
      </c>
      <c r="H3565" t="s">
        <v>49</v>
      </c>
      <c r="I3565">
        <v>0</v>
      </c>
      <c r="J3565">
        <v>0</v>
      </c>
      <c r="K3565">
        <v>0</v>
      </c>
      <c r="L3565">
        <v>0</v>
      </c>
      <c r="M3565">
        <v>0.6</v>
      </c>
      <c r="N3565" s="7" t="e">
        <f>VLOOKUP(F3565,HC!A$6:D$100,3,FALSE)</f>
        <v>#N/A</v>
      </c>
      <c r="O3565" s="7" t="str">
        <f>VLOOKUP(F3565,HC!A$6:D$1000,2,FALSE)</f>
        <v>cesarito</v>
      </c>
      <c r="U3565">
        <f t="shared" si="57"/>
        <v>39</v>
      </c>
    </row>
    <row r="3566" spans="1:21" ht="37.5" customHeight="1" x14ac:dyDescent="0.25">
      <c r="A3566" s="40">
        <v>45212</v>
      </c>
      <c r="B3566" s="13">
        <v>41</v>
      </c>
      <c r="C3566" t="s">
        <v>3</v>
      </c>
      <c r="D3566" t="s">
        <v>4</v>
      </c>
      <c r="E3566" t="s">
        <v>5</v>
      </c>
      <c r="F3566">
        <v>201228411</v>
      </c>
      <c r="G3566" t="s">
        <v>938</v>
      </c>
      <c r="H3566" t="s">
        <v>49</v>
      </c>
      <c r="I3566">
        <v>0</v>
      </c>
      <c r="J3566">
        <v>0</v>
      </c>
      <c r="K3566">
        <v>0</v>
      </c>
      <c r="L3566">
        <v>0</v>
      </c>
      <c r="M3566">
        <v>0.57999999999999996</v>
      </c>
      <c r="N3566" s="7" t="e">
        <f>VLOOKUP(F3566,HC!A$6:D$100,3,FALSE)</f>
        <v>#N/A</v>
      </c>
      <c r="O3566" s="7" t="str">
        <f>VLOOKUP(F3566,HC!A$6:D$1000,2,FALSE)</f>
        <v>jazmiwhe</v>
      </c>
      <c r="U3566">
        <f t="shared" si="57"/>
        <v>36</v>
      </c>
    </row>
    <row r="3567" spans="1:21" ht="37.5" customHeight="1" x14ac:dyDescent="0.25">
      <c r="A3567" s="40">
        <v>45212</v>
      </c>
      <c r="B3567" s="13">
        <v>41</v>
      </c>
      <c r="C3567" t="s">
        <v>3</v>
      </c>
      <c r="D3567" t="s">
        <v>4</v>
      </c>
      <c r="E3567" t="s">
        <v>5</v>
      </c>
      <c r="F3567">
        <v>201350949</v>
      </c>
      <c r="G3567" t="s">
        <v>1243</v>
      </c>
      <c r="H3567" t="s">
        <v>44</v>
      </c>
      <c r="I3567">
        <v>0</v>
      </c>
      <c r="J3567">
        <v>0</v>
      </c>
      <c r="K3567">
        <v>0</v>
      </c>
      <c r="L3567">
        <v>0</v>
      </c>
      <c r="M3567">
        <v>0.08</v>
      </c>
      <c r="N3567" s="7" t="e">
        <f>VLOOKUP(F3567,HC!A$6:D$100,3,FALSE)</f>
        <v>#N/A</v>
      </c>
      <c r="O3567" s="7" t="str">
        <f>VLOOKUP(F3567,HC!A$6:D$1000,2,FALSE)</f>
        <v>hreyeisa</v>
      </c>
      <c r="U3567">
        <f t="shared" si="57"/>
        <v>5</v>
      </c>
    </row>
    <row r="3568" spans="1:21" ht="37.5" customHeight="1" x14ac:dyDescent="0.25">
      <c r="A3568" s="40">
        <v>45212</v>
      </c>
      <c r="B3568" s="13">
        <v>41</v>
      </c>
      <c r="C3568" t="s">
        <v>3</v>
      </c>
      <c r="D3568" t="s">
        <v>4</v>
      </c>
      <c r="E3568" t="s">
        <v>5</v>
      </c>
      <c r="F3568">
        <v>201353166</v>
      </c>
      <c r="G3568" t="s">
        <v>1051</v>
      </c>
      <c r="H3568" t="s">
        <v>49</v>
      </c>
      <c r="I3568">
        <v>0</v>
      </c>
      <c r="J3568">
        <v>0</v>
      </c>
      <c r="K3568">
        <v>0</v>
      </c>
      <c r="L3568">
        <v>0</v>
      </c>
      <c r="M3568">
        <v>0.23</v>
      </c>
      <c r="N3568" s="7" t="e">
        <f>VLOOKUP(F3568,HC!A$6:D$100,3,FALSE)</f>
        <v>#N/A</v>
      </c>
      <c r="O3568" s="7" t="str">
        <f>VLOOKUP(F3568,HC!A$6:D$1000,2,FALSE)</f>
        <v>mamlucia</v>
      </c>
      <c r="U3568">
        <f t="shared" si="57"/>
        <v>7</v>
      </c>
    </row>
    <row r="3569" spans="1:21" ht="37.5" customHeight="1" x14ac:dyDescent="0.25">
      <c r="A3569" s="40">
        <v>45212</v>
      </c>
      <c r="B3569" s="13">
        <v>41</v>
      </c>
      <c r="C3569" t="s">
        <v>3</v>
      </c>
      <c r="D3569" t="s">
        <v>4</v>
      </c>
      <c r="E3569" t="s">
        <v>21</v>
      </c>
      <c r="F3569">
        <v>201842064</v>
      </c>
      <c r="G3569" t="s">
        <v>1241</v>
      </c>
      <c r="H3569" t="s">
        <v>17</v>
      </c>
      <c r="I3569">
        <v>0</v>
      </c>
      <c r="J3569">
        <v>0</v>
      </c>
      <c r="K3569">
        <v>0</v>
      </c>
      <c r="L3569">
        <v>0</v>
      </c>
      <c r="M3569">
        <v>0.2</v>
      </c>
      <c r="N3569" s="7" t="e">
        <f>VLOOKUP(F3569,HC!A$6:D$100,3,FALSE)</f>
        <v>#N/A</v>
      </c>
      <c r="O3569" s="7" t="str">
        <f>VLOOKUP(F3569,HC!A$6:D$1000,2,FALSE)</f>
        <v>agriandl</v>
      </c>
      <c r="U3569">
        <f t="shared" si="57"/>
        <v>12</v>
      </c>
    </row>
    <row r="3570" spans="1:21" ht="37.5" customHeight="1" x14ac:dyDescent="0.25">
      <c r="A3570" s="40">
        <v>45212</v>
      </c>
      <c r="B3570" s="13">
        <v>41</v>
      </c>
      <c r="C3570" t="s">
        <v>3</v>
      </c>
      <c r="D3570" t="s">
        <v>4</v>
      </c>
      <c r="E3570" t="s">
        <v>21</v>
      </c>
      <c r="F3570">
        <v>201901967</v>
      </c>
      <c r="G3570" t="s">
        <v>1238</v>
      </c>
      <c r="H3570" t="s">
        <v>47</v>
      </c>
      <c r="I3570">
        <v>0</v>
      </c>
      <c r="J3570">
        <v>0</v>
      </c>
      <c r="K3570">
        <v>0</v>
      </c>
      <c r="L3570">
        <v>0</v>
      </c>
      <c r="M3570">
        <v>0.62</v>
      </c>
      <c r="N3570" s="7" t="e">
        <f>VLOOKUP(F3570,HC!A$6:D$100,3,FALSE)</f>
        <v>#N/A</v>
      </c>
      <c r="O3570" s="7" t="str">
        <f>VLOOKUP(F3570,HC!A$6:D$1000,2,FALSE)</f>
        <v>ndomindi</v>
      </c>
      <c r="U3570">
        <f t="shared" si="57"/>
        <v>7</v>
      </c>
    </row>
    <row r="3571" spans="1:21" ht="37.5" customHeight="1" x14ac:dyDescent="0.25">
      <c r="A3571" s="40">
        <v>45212</v>
      </c>
      <c r="B3571" s="13">
        <v>41</v>
      </c>
      <c r="C3571" t="s">
        <v>3</v>
      </c>
      <c r="D3571" t="s">
        <v>4</v>
      </c>
      <c r="E3571" t="s">
        <v>21</v>
      </c>
      <c r="F3571">
        <v>202079441</v>
      </c>
      <c r="G3571" t="s">
        <v>1279</v>
      </c>
      <c r="H3571" t="s">
        <v>459</v>
      </c>
      <c r="I3571">
        <v>0</v>
      </c>
      <c r="J3571">
        <v>0</v>
      </c>
      <c r="K3571">
        <v>0</v>
      </c>
      <c r="L3571">
        <v>0</v>
      </c>
      <c r="M3571">
        <v>0.76</v>
      </c>
      <c r="N3571" s="7" t="e">
        <f>VLOOKUP(F3571,HC!A$6:D$100,3,FALSE)</f>
        <v>#N/A</v>
      </c>
      <c r="O3571" s="7" t="str">
        <f>VLOOKUP(F3571,HC!A$6:D$1000,2,FALSE)</f>
        <v>fdaniees</v>
      </c>
      <c r="U3571">
        <f t="shared" si="57"/>
        <v>2</v>
      </c>
    </row>
    <row r="3572" spans="1:21" ht="37.5" customHeight="1" x14ac:dyDescent="0.25">
      <c r="A3572" s="40">
        <v>45212</v>
      </c>
      <c r="B3572" s="13">
        <v>41</v>
      </c>
      <c r="C3572" t="s">
        <v>3</v>
      </c>
      <c r="D3572" t="s">
        <v>4</v>
      </c>
      <c r="E3572" t="s">
        <v>21</v>
      </c>
      <c r="F3572">
        <v>202137099</v>
      </c>
      <c r="G3572" t="s">
        <v>1422</v>
      </c>
      <c r="H3572" t="s">
        <v>459</v>
      </c>
      <c r="I3572">
        <v>0</v>
      </c>
      <c r="J3572">
        <v>0</v>
      </c>
      <c r="K3572">
        <v>0</v>
      </c>
      <c r="L3572">
        <v>0</v>
      </c>
      <c r="M3572">
        <v>0.08</v>
      </c>
      <c r="N3572" s="7" t="e">
        <f>VLOOKUP(F3572,HC!A$6:D$100,3,FALSE)</f>
        <v>#N/A</v>
      </c>
      <c r="O3572" s="7" t="str">
        <f>VLOOKUP(F3572,HC!A$6:D$1000,2,FALSE)</f>
        <v>ivanlfue</v>
      </c>
      <c r="U3572">
        <f t="shared" si="57"/>
        <v>2</v>
      </c>
    </row>
    <row r="3573" spans="1:21" ht="37.5" customHeight="1" x14ac:dyDescent="0.25">
      <c r="A3573" s="40">
        <v>45212</v>
      </c>
      <c r="B3573" s="13">
        <v>41</v>
      </c>
      <c r="C3573" t="s">
        <v>3</v>
      </c>
      <c r="D3573" t="s">
        <v>4</v>
      </c>
      <c r="E3573" t="s">
        <v>21</v>
      </c>
      <c r="F3573">
        <v>202137149</v>
      </c>
      <c r="G3573" t="s">
        <v>1423</v>
      </c>
      <c r="H3573" t="s">
        <v>403</v>
      </c>
      <c r="I3573">
        <v>0</v>
      </c>
      <c r="J3573">
        <v>0</v>
      </c>
      <c r="K3573">
        <v>0</v>
      </c>
      <c r="L3573">
        <v>0</v>
      </c>
      <c r="M3573">
        <v>0.3</v>
      </c>
      <c r="N3573" s="7" t="e">
        <f>VLOOKUP(F3573,HC!A$6:D$100,3,FALSE)</f>
        <v>#N/A</v>
      </c>
      <c r="O3573" s="7" t="str">
        <f>VLOOKUP(F3573,HC!A$6:D$1000,2,FALSE)</f>
        <v>caudicar</v>
      </c>
      <c r="U3573">
        <f t="shared" si="57"/>
        <v>3</v>
      </c>
    </row>
    <row r="3574" spans="1:21" ht="37.5" customHeight="1" x14ac:dyDescent="0.25">
      <c r="A3574" s="40">
        <v>45212</v>
      </c>
      <c r="B3574" s="13">
        <v>41</v>
      </c>
      <c r="C3574" t="s">
        <v>3</v>
      </c>
      <c r="D3574" t="s">
        <v>4</v>
      </c>
      <c r="E3574" t="s">
        <v>21</v>
      </c>
      <c r="F3574">
        <v>202137341</v>
      </c>
      <c r="G3574" t="s">
        <v>1291</v>
      </c>
      <c r="H3574" t="s">
        <v>250</v>
      </c>
      <c r="I3574">
        <v>0</v>
      </c>
      <c r="J3574">
        <v>0</v>
      </c>
      <c r="K3574">
        <v>0</v>
      </c>
      <c r="L3574">
        <v>0</v>
      </c>
      <c r="M3574">
        <v>0.26</v>
      </c>
      <c r="N3574" s="7" t="e">
        <f>VLOOKUP(F3574,HC!A$6:D$100,3,FALSE)</f>
        <v>#N/A</v>
      </c>
      <c r="O3574" s="7" t="str">
        <f>VLOOKUP(F3574,HC!A$6:D$1000,2,FALSE)</f>
        <v>xedgabra</v>
      </c>
      <c r="U3574">
        <f t="shared" si="57"/>
        <v>13</v>
      </c>
    </row>
    <row r="3575" spans="1:21" ht="37.5" customHeight="1" x14ac:dyDescent="0.25">
      <c r="A3575" s="40">
        <v>45212</v>
      </c>
      <c r="B3575" s="13">
        <v>41</v>
      </c>
      <c r="C3575" t="s">
        <v>3</v>
      </c>
      <c r="D3575" t="s">
        <v>4</v>
      </c>
      <c r="E3575" t="s">
        <v>21</v>
      </c>
      <c r="F3575">
        <v>202185231</v>
      </c>
      <c r="G3575" t="s">
        <v>1424</v>
      </c>
      <c r="H3575" t="s">
        <v>285</v>
      </c>
      <c r="I3575">
        <v>0</v>
      </c>
      <c r="J3575">
        <v>0</v>
      </c>
      <c r="K3575">
        <v>0</v>
      </c>
      <c r="L3575">
        <v>0</v>
      </c>
      <c r="M3575">
        <v>0.2</v>
      </c>
      <c r="N3575" s="7" t="e">
        <f>VLOOKUP(F3575,HC!A$6:D$100,3,FALSE)</f>
        <v>#N/A</v>
      </c>
      <c r="O3575" s="7" t="str">
        <f>VLOOKUP(F3575,HC!A$6:D$1000,2,FALSE)</f>
        <v>davazquq</v>
      </c>
      <c r="U3575">
        <f t="shared" si="57"/>
        <v>7</v>
      </c>
    </row>
    <row r="3576" spans="1:21" ht="37.5" customHeight="1" x14ac:dyDescent="0.25">
      <c r="A3576" s="40">
        <v>45213</v>
      </c>
      <c r="B3576" s="13">
        <v>41</v>
      </c>
      <c r="C3576" t="s">
        <v>3</v>
      </c>
      <c r="D3576" t="s">
        <v>4</v>
      </c>
      <c r="E3576" t="s">
        <v>5</v>
      </c>
      <c r="F3576">
        <v>112971962</v>
      </c>
      <c r="G3576" t="s">
        <v>338</v>
      </c>
      <c r="H3576" t="s">
        <v>298</v>
      </c>
      <c r="I3576">
        <v>0</v>
      </c>
      <c r="J3576">
        <v>0</v>
      </c>
      <c r="K3576">
        <v>0</v>
      </c>
      <c r="L3576">
        <v>0</v>
      </c>
      <c r="M3576">
        <v>0.39</v>
      </c>
      <c r="N3576" s="7" t="str">
        <f>VLOOKUP(F3576,HC!A$6:D$100,3,FALSE)</f>
        <v>DB-X0700</v>
      </c>
      <c r="O3576" s="7" t="str">
        <f>VLOOKUP(F3576,HC!A$6:D$1000,2,FALSE)</f>
        <v>creyesal</v>
      </c>
      <c r="P3576" t="s">
        <v>664</v>
      </c>
      <c r="Q3576" t="s">
        <v>420</v>
      </c>
      <c r="U3576">
        <f t="shared" si="57"/>
        <v>38</v>
      </c>
    </row>
    <row r="3577" spans="1:21" ht="37.5" customHeight="1" x14ac:dyDescent="0.25">
      <c r="A3577" s="40">
        <v>45213</v>
      </c>
      <c r="B3577" s="13">
        <v>41</v>
      </c>
      <c r="C3577" t="s">
        <v>3</v>
      </c>
      <c r="D3577" t="s">
        <v>4</v>
      </c>
      <c r="E3577" t="s">
        <v>5</v>
      </c>
      <c r="F3577">
        <v>112972958</v>
      </c>
      <c r="G3577" t="s">
        <v>441</v>
      </c>
      <c r="H3577" t="s">
        <v>459</v>
      </c>
      <c r="I3577">
        <v>0</v>
      </c>
      <c r="J3577">
        <v>0</v>
      </c>
      <c r="K3577">
        <v>0</v>
      </c>
      <c r="L3577">
        <v>0</v>
      </c>
      <c r="M3577">
        <v>0.36</v>
      </c>
      <c r="N3577" s="7" t="str">
        <f>VLOOKUP(F3577,HC!A$6:D$100,3,FALSE)</f>
        <v>D5-X0700</v>
      </c>
      <c r="O3577" s="7" t="str">
        <f>VLOOKUP(F3577,HC!A$6:D$1000,2,FALSE)</f>
        <v>ugonzgui</v>
      </c>
      <c r="P3577" t="s">
        <v>661</v>
      </c>
      <c r="Q3577" t="s">
        <v>681</v>
      </c>
      <c r="U3577">
        <f t="shared" si="57"/>
        <v>13</v>
      </c>
    </row>
    <row r="3578" spans="1:21" ht="37.5" customHeight="1" x14ac:dyDescent="0.25">
      <c r="A3578" s="40">
        <v>45213</v>
      </c>
      <c r="B3578" s="13">
        <v>41</v>
      </c>
      <c r="C3578" t="s">
        <v>3</v>
      </c>
      <c r="D3578" t="s">
        <v>4</v>
      </c>
      <c r="E3578" t="s">
        <v>5</v>
      </c>
      <c r="F3578">
        <v>113020476</v>
      </c>
      <c r="G3578" t="s">
        <v>330</v>
      </c>
      <c r="H3578" t="s">
        <v>298</v>
      </c>
      <c r="I3578">
        <v>0</v>
      </c>
      <c r="J3578">
        <v>0</v>
      </c>
      <c r="K3578">
        <v>0</v>
      </c>
      <c r="L3578">
        <v>0</v>
      </c>
      <c r="M3578">
        <v>0.67</v>
      </c>
      <c r="N3578" s="7" t="e">
        <f>VLOOKUP(F3578,HC!A$6:D$100,3,FALSE)</f>
        <v>#N/A</v>
      </c>
      <c r="O3578" s="7" t="str">
        <f>VLOOKUP(F3578,HC!A$6:D$1000,2,FALSE)</f>
        <v>polettpu</v>
      </c>
      <c r="P3578" t="s">
        <v>661</v>
      </c>
      <c r="Q3578" t="s">
        <v>681</v>
      </c>
      <c r="U3578">
        <f t="shared" si="57"/>
        <v>55</v>
      </c>
    </row>
    <row r="3579" spans="1:21" ht="37.5" customHeight="1" x14ac:dyDescent="0.25">
      <c r="A3579" s="40">
        <v>45213</v>
      </c>
      <c r="B3579" s="13">
        <v>41</v>
      </c>
      <c r="C3579" t="s">
        <v>3</v>
      </c>
      <c r="D3579" t="s">
        <v>4</v>
      </c>
      <c r="E3579" t="s">
        <v>5</v>
      </c>
      <c r="F3579">
        <v>113138338</v>
      </c>
      <c r="G3579" t="s">
        <v>398</v>
      </c>
      <c r="H3579" t="s">
        <v>459</v>
      </c>
      <c r="I3579">
        <v>0</v>
      </c>
      <c r="J3579">
        <v>0</v>
      </c>
      <c r="K3579">
        <v>0</v>
      </c>
      <c r="L3579">
        <v>0</v>
      </c>
      <c r="M3579">
        <v>0.62</v>
      </c>
      <c r="N3579" s="7" t="e">
        <f>VLOOKUP(F3579,HC!A$6:D$100,3,FALSE)</f>
        <v>#N/A</v>
      </c>
      <c r="O3579" s="7" t="str">
        <f>VLOOKUP(F3579,HC!A$6:D$1000,2,FALSE)</f>
        <v>cescornh</v>
      </c>
      <c r="P3579" t="s">
        <v>661</v>
      </c>
      <c r="Q3579" t="s">
        <v>681</v>
      </c>
      <c r="U3579">
        <f t="shared" si="57"/>
        <v>10</v>
      </c>
    </row>
    <row r="3580" spans="1:21" ht="37.5" customHeight="1" x14ac:dyDescent="0.25">
      <c r="A3580" s="40">
        <v>45213</v>
      </c>
      <c r="B3580" s="13">
        <v>41</v>
      </c>
      <c r="C3580" t="s">
        <v>3</v>
      </c>
      <c r="D3580" t="s">
        <v>4</v>
      </c>
      <c r="E3580" t="s">
        <v>5</v>
      </c>
      <c r="F3580">
        <v>201185299</v>
      </c>
      <c r="G3580" t="s">
        <v>990</v>
      </c>
      <c r="H3580" t="s">
        <v>17</v>
      </c>
      <c r="I3580">
        <v>0</v>
      </c>
      <c r="J3580">
        <v>0</v>
      </c>
      <c r="K3580">
        <v>0</v>
      </c>
      <c r="L3580">
        <v>0</v>
      </c>
      <c r="M3580">
        <v>0.3</v>
      </c>
      <c r="N3580" s="7" t="e">
        <f>VLOOKUP(F3580,HC!A$6:D$100,3,FALSE)</f>
        <v>#N/A</v>
      </c>
      <c r="O3580" s="7" t="str">
        <f>VLOOKUP(F3580,HC!A$6:D$1000,2,FALSE)</f>
        <v>sganoemi</v>
      </c>
      <c r="P3580" t="s">
        <v>662</v>
      </c>
      <c r="Q3580" t="s">
        <v>469</v>
      </c>
      <c r="U3580">
        <f t="shared" si="57"/>
        <v>12</v>
      </c>
    </row>
    <row r="3581" spans="1:21" ht="37.5" customHeight="1" x14ac:dyDescent="0.25">
      <c r="A3581" s="40">
        <v>45213</v>
      </c>
      <c r="B3581" s="13">
        <v>41</v>
      </c>
      <c r="C3581" t="s">
        <v>3</v>
      </c>
      <c r="D3581" t="s">
        <v>4</v>
      </c>
      <c r="E3581" t="s">
        <v>5</v>
      </c>
      <c r="F3581">
        <v>201191390</v>
      </c>
      <c r="G3581" t="s">
        <v>916</v>
      </c>
      <c r="H3581" t="s">
        <v>298</v>
      </c>
      <c r="I3581">
        <v>0</v>
      </c>
      <c r="J3581">
        <v>0</v>
      </c>
      <c r="K3581">
        <v>0</v>
      </c>
      <c r="L3581">
        <v>0</v>
      </c>
      <c r="M3581">
        <v>0.08</v>
      </c>
      <c r="N3581" s="7" t="e">
        <f>VLOOKUP(F3581,HC!A$6:D$100,3,FALSE)</f>
        <v>#N/A</v>
      </c>
      <c r="O3581" s="7" t="str">
        <f>VLOOKUP(F3581,HC!A$6:D$1000,2,FALSE)</f>
        <v>bgajesus</v>
      </c>
      <c r="P3581" t="s">
        <v>663</v>
      </c>
      <c r="U3581">
        <f t="shared" si="57"/>
        <v>37</v>
      </c>
    </row>
    <row r="3582" spans="1:21" ht="37.5" customHeight="1" x14ac:dyDescent="0.25">
      <c r="A3582" s="40">
        <v>45213</v>
      </c>
      <c r="B3582" s="13">
        <v>41</v>
      </c>
      <c r="C3582" t="s">
        <v>3</v>
      </c>
      <c r="D3582" t="s">
        <v>4</v>
      </c>
      <c r="E3582" t="s">
        <v>5</v>
      </c>
      <c r="F3582">
        <v>201198922</v>
      </c>
      <c r="G3582" t="s">
        <v>1141</v>
      </c>
      <c r="H3582" t="s">
        <v>403</v>
      </c>
      <c r="I3582">
        <v>0</v>
      </c>
      <c r="J3582">
        <v>0</v>
      </c>
      <c r="K3582">
        <v>0</v>
      </c>
      <c r="L3582">
        <v>0</v>
      </c>
      <c r="M3582">
        <v>0.17</v>
      </c>
      <c r="N3582" s="7" t="e">
        <f>VLOOKUP(F3582,HC!A$6:D$100,3,FALSE)</f>
        <v>#N/A</v>
      </c>
      <c r="O3582" s="7" t="str">
        <f>VLOOKUP(F3582,HC!A$6:D$1000,2,FALSE)</f>
        <v>mendejoy</v>
      </c>
      <c r="P3582" t="s">
        <v>661</v>
      </c>
      <c r="Q3582" t="s">
        <v>700</v>
      </c>
      <c r="U3582">
        <f t="shared" si="57"/>
        <v>14</v>
      </c>
    </row>
    <row r="3583" spans="1:21" ht="37.5" customHeight="1" x14ac:dyDescent="0.25">
      <c r="A3583" s="40">
        <v>45213</v>
      </c>
      <c r="B3583" s="13">
        <v>41</v>
      </c>
      <c r="C3583" t="s">
        <v>3</v>
      </c>
      <c r="D3583" t="s">
        <v>4</v>
      </c>
      <c r="E3583" t="s">
        <v>5</v>
      </c>
      <c r="F3583">
        <v>201211157</v>
      </c>
      <c r="G3583" t="s">
        <v>936</v>
      </c>
      <c r="H3583" t="s">
        <v>47</v>
      </c>
      <c r="I3583">
        <v>0</v>
      </c>
      <c r="J3583">
        <v>0</v>
      </c>
      <c r="K3583">
        <v>0</v>
      </c>
      <c r="L3583">
        <v>0</v>
      </c>
      <c r="M3583">
        <v>0.69</v>
      </c>
      <c r="N3583" s="7" t="e">
        <f>VLOOKUP(F3583,HC!A$6:D$100,3,FALSE)</f>
        <v>#N/A</v>
      </c>
      <c r="O3583" s="7" t="str">
        <f>VLOOKUP(F3583,HC!A$6:D$1000,2,FALSE)</f>
        <v>vargajed</v>
      </c>
      <c r="P3583" t="s">
        <v>664</v>
      </c>
      <c r="Q3583" t="s">
        <v>711</v>
      </c>
      <c r="U3583">
        <f t="shared" si="57"/>
        <v>17</v>
      </c>
    </row>
    <row r="3584" spans="1:21" ht="37.5" customHeight="1" x14ac:dyDescent="0.25">
      <c r="A3584" s="40">
        <v>45213</v>
      </c>
      <c r="B3584" s="13">
        <v>41</v>
      </c>
      <c r="C3584" t="s">
        <v>3</v>
      </c>
      <c r="D3584" t="s">
        <v>4</v>
      </c>
      <c r="E3584" t="s">
        <v>5</v>
      </c>
      <c r="F3584">
        <v>201223730</v>
      </c>
      <c r="G3584" t="s">
        <v>933</v>
      </c>
      <c r="H3584" t="s">
        <v>49</v>
      </c>
      <c r="I3584">
        <v>0</v>
      </c>
      <c r="J3584">
        <v>0</v>
      </c>
      <c r="K3584">
        <v>0</v>
      </c>
      <c r="L3584">
        <v>0</v>
      </c>
      <c r="M3584">
        <v>1.06</v>
      </c>
      <c r="N3584" s="7" t="e">
        <f>VLOOKUP(F3584,HC!A$6:D$100,3,FALSE)</f>
        <v>#N/A</v>
      </c>
      <c r="O3584" s="7" t="str">
        <f>VLOOKUP(F3584,HC!A$6:D$1000,2,FALSE)</f>
        <v>cesarito</v>
      </c>
      <c r="P3584" t="s">
        <v>664</v>
      </c>
      <c r="R3584" t="s">
        <v>632</v>
      </c>
      <c r="U3584">
        <f t="shared" si="57"/>
        <v>39</v>
      </c>
    </row>
    <row r="3585" spans="1:21" ht="37.5" customHeight="1" x14ac:dyDescent="0.25">
      <c r="A3585" s="40">
        <v>45213</v>
      </c>
      <c r="B3585" s="13">
        <v>41</v>
      </c>
      <c r="C3585" t="s">
        <v>3</v>
      </c>
      <c r="D3585" t="s">
        <v>4</v>
      </c>
      <c r="E3585" t="s">
        <v>5</v>
      </c>
      <c r="F3585">
        <v>201228411</v>
      </c>
      <c r="G3585" t="s">
        <v>938</v>
      </c>
      <c r="H3585" t="s">
        <v>49</v>
      </c>
      <c r="I3585">
        <v>0</v>
      </c>
      <c r="J3585">
        <v>0</v>
      </c>
      <c r="K3585">
        <v>0</v>
      </c>
      <c r="L3585">
        <v>0</v>
      </c>
      <c r="M3585">
        <v>1.0900000000000001</v>
      </c>
      <c r="N3585" s="7" t="e">
        <f>VLOOKUP(F3585,HC!A$6:D$100,3,FALSE)</f>
        <v>#N/A</v>
      </c>
      <c r="O3585" s="7" t="str">
        <f>VLOOKUP(F3585,HC!A$6:D$1000,2,FALSE)</f>
        <v>jazmiwhe</v>
      </c>
      <c r="P3585" t="s">
        <v>664</v>
      </c>
      <c r="R3585" t="s">
        <v>632</v>
      </c>
      <c r="U3585">
        <f t="shared" si="57"/>
        <v>36</v>
      </c>
    </row>
    <row r="3586" spans="1:21" ht="37.5" customHeight="1" x14ac:dyDescent="0.25">
      <c r="A3586" s="40">
        <v>45213</v>
      </c>
      <c r="B3586" s="13">
        <v>41</v>
      </c>
      <c r="C3586" t="s">
        <v>3</v>
      </c>
      <c r="D3586" t="s">
        <v>4</v>
      </c>
      <c r="E3586" t="s">
        <v>5</v>
      </c>
      <c r="F3586">
        <v>201354965</v>
      </c>
      <c r="G3586" t="s">
        <v>1063</v>
      </c>
      <c r="H3586" t="s">
        <v>285</v>
      </c>
      <c r="I3586">
        <v>0</v>
      </c>
      <c r="J3586">
        <v>0</v>
      </c>
      <c r="K3586">
        <v>0</v>
      </c>
      <c r="L3586">
        <v>0</v>
      </c>
      <c r="M3586">
        <v>0.08</v>
      </c>
      <c r="N3586" s="7" t="e">
        <f>VLOOKUP(F3586,HC!A$6:D$100,3,FALSE)</f>
        <v>#N/A</v>
      </c>
      <c r="O3586" s="7" t="str">
        <f>VLOOKUP(F3586,HC!A$6:D$1000,2,FALSE)</f>
        <v>alinejim</v>
      </c>
      <c r="P3586" t="s">
        <v>670</v>
      </c>
      <c r="Q3586" t="s">
        <v>803</v>
      </c>
      <c r="U3586">
        <f t="shared" si="57"/>
        <v>33</v>
      </c>
    </row>
    <row r="3587" spans="1:21" ht="37.5" customHeight="1" x14ac:dyDescent="0.25">
      <c r="A3587" s="40">
        <v>45213</v>
      </c>
      <c r="B3587" s="13">
        <v>41</v>
      </c>
      <c r="C3587" t="s">
        <v>3</v>
      </c>
      <c r="D3587" t="s">
        <v>4</v>
      </c>
      <c r="E3587" t="s">
        <v>21</v>
      </c>
      <c r="F3587">
        <v>201873948</v>
      </c>
      <c r="G3587" t="s">
        <v>1425</v>
      </c>
      <c r="H3587" t="s">
        <v>9</v>
      </c>
      <c r="I3587">
        <v>0</v>
      </c>
      <c r="J3587">
        <v>0</v>
      </c>
      <c r="K3587">
        <v>0</v>
      </c>
      <c r="L3587">
        <v>0</v>
      </c>
      <c r="M3587">
        <v>0.01</v>
      </c>
      <c r="N3587" s="7" t="e">
        <f>VLOOKUP(F3587,HC!A$6:D$100,3,FALSE)</f>
        <v>#N/A</v>
      </c>
      <c r="O3587" s="7" t="e">
        <f>VLOOKUP(F3587,HC!A$6:D$1000,2,FALSE)</f>
        <v>#N/A</v>
      </c>
      <c r="P3587" t="s">
        <v>661</v>
      </c>
      <c r="Q3587" t="s">
        <v>681</v>
      </c>
      <c r="U3587">
        <f t="shared" ref="U3587:U3650" si="58">COUNTIF(O$2:O$4999,O3587)</f>
        <v>1395</v>
      </c>
    </row>
    <row r="3588" spans="1:21" ht="37.5" customHeight="1" x14ac:dyDescent="0.25">
      <c r="A3588" s="40">
        <v>45213</v>
      </c>
      <c r="B3588" s="13">
        <v>41</v>
      </c>
      <c r="C3588" t="s">
        <v>3</v>
      </c>
      <c r="D3588" t="s">
        <v>4</v>
      </c>
      <c r="E3588" t="s">
        <v>21</v>
      </c>
      <c r="F3588">
        <v>202068111</v>
      </c>
      <c r="G3588" t="s">
        <v>1426</v>
      </c>
      <c r="H3588" t="s">
        <v>459</v>
      </c>
      <c r="I3588">
        <v>0</v>
      </c>
      <c r="J3588">
        <v>0</v>
      </c>
      <c r="K3588">
        <v>0</v>
      </c>
      <c r="L3588">
        <v>0</v>
      </c>
      <c r="M3588">
        <v>0.22</v>
      </c>
      <c r="N3588" s="7" t="e">
        <f>VLOOKUP(F3588,HC!A$6:D$100,3,FALSE)</f>
        <v>#N/A</v>
      </c>
      <c r="O3588" s="7" t="str">
        <f>VLOOKUP(F3588,HC!A$6:D$1000,2,FALSE)</f>
        <v>ismcpere</v>
      </c>
      <c r="P3588" s="7" t="s">
        <v>670</v>
      </c>
      <c r="Q3588" s="7" t="s">
        <v>784</v>
      </c>
      <c r="R3588" t="s">
        <v>1438</v>
      </c>
      <c r="U3588">
        <f t="shared" si="58"/>
        <v>2</v>
      </c>
    </row>
    <row r="3589" spans="1:21" ht="37.5" customHeight="1" x14ac:dyDescent="0.25">
      <c r="A3589" s="40">
        <v>45213</v>
      </c>
      <c r="B3589" s="13">
        <v>41</v>
      </c>
      <c r="C3589" t="s">
        <v>3</v>
      </c>
      <c r="D3589" t="s">
        <v>4</v>
      </c>
      <c r="E3589" t="s">
        <v>21</v>
      </c>
      <c r="F3589">
        <v>202078459</v>
      </c>
      <c r="G3589" t="s">
        <v>1427</v>
      </c>
      <c r="H3589" t="s">
        <v>459</v>
      </c>
      <c r="I3589">
        <v>0</v>
      </c>
      <c r="J3589">
        <v>0</v>
      </c>
      <c r="K3589">
        <v>0</v>
      </c>
      <c r="L3589">
        <v>0</v>
      </c>
      <c r="M3589">
        <v>0.17</v>
      </c>
      <c r="N3589" s="7" t="e">
        <f>VLOOKUP(F3589,HC!A$6:D$100,3,FALSE)</f>
        <v>#N/A</v>
      </c>
      <c r="O3589" s="7" t="str">
        <f>VLOOKUP(F3589,HC!A$6:D$1000,2,FALSE)</f>
        <v>anperezk</v>
      </c>
      <c r="P3589" t="s">
        <v>665</v>
      </c>
      <c r="Q3589" t="s">
        <v>722</v>
      </c>
      <c r="U3589">
        <f t="shared" si="58"/>
        <v>1</v>
      </c>
    </row>
    <row r="3590" spans="1:21" ht="37.5" customHeight="1" x14ac:dyDescent="0.25">
      <c r="A3590" s="40">
        <v>45213</v>
      </c>
      <c r="B3590" s="13">
        <v>41</v>
      </c>
      <c r="C3590" t="s">
        <v>3</v>
      </c>
      <c r="D3590" t="s">
        <v>4</v>
      </c>
      <c r="E3590" t="s">
        <v>21</v>
      </c>
      <c r="F3590">
        <v>202137099</v>
      </c>
      <c r="G3590" t="s">
        <v>1422</v>
      </c>
      <c r="H3590" t="s">
        <v>459</v>
      </c>
      <c r="I3590">
        <v>0</v>
      </c>
      <c r="J3590">
        <v>0</v>
      </c>
      <c r="K3590">
        <v>0</v>
      </c>
      <c r="L3590">
        <v>0</v>
      </c>
      <c r="M3590">
        <v>0.37</v>
      </c>
      <c r="N3590" s="7" t="e">
        <f>VLOOKUP(F3590,HC!A$6:D$100,3,FALSE)</f>
        <v>#N/A</v>
      </c>
      <c r="O3590" s="7" t="str">
        <f>VLOOKUP(F3590,HC!A$6:D$1000,2,FALSE)</f>
        <v>ivanlfue</v>
      </c>
      <c r="P3590" t="s">
        <v>663</v>
      </c>
      <c r="Q3590" t="s">
        <v>637</v>
      </c>
      <c r="U3590">
        <f t="shared" si="58"/>
        <v>2</v>
      </c>
    </row>
    <row r="3591" spans="1:21" ht="37.5" customHeight="1" x14ac:dyDescent="0.25">
      <c r="A3591" s="40">
        <v>45214</v>
      </c>
      <c r="B3591" s="13">
        <v>42</v>
      </c>
      <c r="C3591" t="s">
        <v>3</v>
      </c>
      <c r="D3591" t="s">
        <v>4</v>
      </c>
      <c r="E3591" t="s">
        <v>5</v>
      </c>
      <c r="F3591">
        <v>112950784</v>
      </c>
      <c r="G3591" t="s">
        <v>261</v>
      </c>
      <c r="H3591" t="s">
        <v>282</v>
      </c>
      <c r="I3591">
        <v>0</v>
      </c>
      <c r="J3591">
        <v>0</v>
      </c>
      <c r="K3591">
        <v>0</v>
      </c>
      <c r="L3591">
        <v>0</v>
      </c>
      <c r="M3591">
        <v>0.22</v>
      </c>
      <c r="N3591" s="7" t="str">
        <f>VLOOKUP(F3591,HC!A$6:D$100,3,FALSE)</f>
        <v>NF-X1900</v>
      </c>
      <c r="O3591" s="7" t="str">
        <f>VLOOKUP(F3591,HC!A$6:D$1000,2,FALSE)</f>
        <v>sarojast</v>
      </c>
      <c r="P3591" t="s">
        <v>661</v>
      </c>
      <c r="Q3591" t="s">
        <v>681</v>
      </c>
      <c r="U3591">
        <f t="shared" si="58"/>
        <v>33</v>
      </c>
    </row>
    <row r="3592" spans="1:21" ht="37.5" customHeight="1" x14ac:dyDescent="0.25">
      <c r="A3592" s="40">
        <v>45214</v>
      </c>
      <c r="B3592" s="13">
        <v>42</v>
      </c>
      <c r="C3592" t="s">
        <v>3</v>
      </c>
      <c r="D3592" t="s">
        <v>4</v>
      </c>
      <c r="E3592" t="s">
        <v>5</v>
      </c>
      <c r="F3592">
        <v>112951256</v>
      </c>
      <c r="G3592" t="s">
        <v>337</v>
      </c>
      <c r="H3592" t="s">
        <v>459</v>
      </c>
      <c r="I3592">
        <v>0</v>
      </c>
      <c r="J3592">
        <v>0</v>
      </c>
      <c r="K3592">
        <v>0</v>
      </c>
      <c r="L3592">
        <v>0</v>
      </c>
      <c r="M3592">
        <v>7.32</v>
      </c>
      <c r="N3592" s="7" t="str">
        <f>VLOOKUP(F3592,HC!A$6:D$100,3,FALSE)</f>
        <v>DA-X0700</v>
      </c>
      <c r="O3592" s="7" t="str">
        <f>VLOOKUP(F3592,HC!A$6:D$1000,2,FALSE)</f>
        <v>grkatery</v>
      </c>
      <c r="P3592" t="s">
        <v>665</v>
      </c>
      <c r="Q3592" t="s">
        <v>722</v>
      </c>
      <c r="U3592">
        <f t="shared" si="58"/>
        <v>17</v>
      </c>
    </row>
    <row r="3593" spans="1:21" ht="37.5" customHeight="1" x14ac:dyDescent="0.25">
      <c r="A3593" s="40">
        <v>45214</v>
      </c>
      <c r="B3593" s="13">
        <v>42</v>
      </c>
      <c r="C3593" t="s">
        <v>3</v>
      </c>
      <c r="D3593" t="s">
        <v>4</v>
      </c>
      <c r="E3593" t="s">
        <v>5</v>
      </c>
      <c r="F3593">
        <v>113019031</v>
      </c>
      <c r="G3593" t="s">
        <v>1233</v>
      </c>
      <c r="H3593" t="s">
        <v>44</v>
      </c>
      <c r="I3593">
        <v>0</v>
      </c>
      <c r="J3593">
        <v>0</v>
      </c>
      <c r="K3593">
        <v>0</v>
      </c>
      <c r="L3593">
        <v>0</v>
      </c>
      <c r="M3593">
        <v>0.25</v>
      </c>
      <c r="N3593" s="7" t="e">
        <f>VLOOKUP(F3593,HC!A$6:D$100,3,FALSE)</f>
        <v>#N/A</v>
      </c>
      <c r="O3593" s="7" t="str">
        <f>VLOOKUP(F3593,HC!A$6:D$1000,2,FALSE)</f>
        <v>vermauri</v>
      </c>
      <c r="P3593" t="s">
        <v>664</v>
      </c>
      <c r="Q3593" t="s">
        <v>420</v>
      </c>
      <c r="U3593">
        <f t="shared" si="58"/>
        <v>3</v>
      </c>
    </row>
    <row r="3594" spans="1:21" ht="37.5" customHeight="1" x14ac:dyDescent="0.25">
      <c r="A3594" s="40">
        <v>45214</v>
      </c>
      <c r="B3594" s="13">
        <v>42</v>
      </c>
      <c r="C3594" t="s">
        <v>3</v>
      </c>
      <c r="D3594" t="s">
        <v>4</v>
      </c>
      <c r="E3594" t="s">
        <v>5</v>
      </c>
      <c r="F3594">
        <v>200615315</v>
      </c>
      <c r="G3594" t="s">
        <v>1119</v>
      </c>
      <c r="H3594" t="s">
        <v>1040</v>
      </c>
      <c r="I3594">
        <v>0</v>
      </c>
      <c r="J3594">
        <v>0</v>
      </c>
      <c r="K3594">
        <v>0</v>
      </c>
      <c r="L3594">
        <v>0</v>
      </c>
      <c r="M3594">
        <v>0.76</v>
      </c>
      <c r="N3594" s="7" t="e">
        <f>VLOOKUP(F3594,HC!A$6:D$100,3,FALSE)</f>
        <v>#N/A</v>
      </c>
      <c r="O3594" s="7" t="str">
        <f>VLOOKUP(F3594,HC!A$6:D$1000,2,FALSE)</f>
        <v>gascfdan</v>
      </c>
      <c r="P3594" t="s">
        <v>663</v>
      </c>
      <c r="Q3594" t="s">
        <v>637</v>
      </c>
      <c r="U3594">
        <f t="shared" si="58"/>
        <v>4</v>
      </c>
    </row>
    <row r="3595" spans="1:21" ht="37.5" customHeight="1" x14ac:dyDescent="0.25">
      <c r="A3595" s="40">
        <v>45214</v>
      </c>
      <c r="B3595" s="13">
        <v>42</v>
      </c>
      <c r="C3595" t="s">
        <v>3</v>
      </c>
      <c r="D3595" t="s">
        <v>4</v>
      </c>
      <c r="E3595" t="s">
        <v>5</v>
      </c>
      <c r="F3595">
        <v>201345774</v>
      </c>
      <c r="G3595" t="s">
        <v>1070</v>
      </c>
      <c r="H3595" t="s">
        <v>44</v>
      </c>
      <c r="I3595">
        <v>0</v>
      </c>
      <c r="J3595">
        <v>0</v>
      </c>
      <c r="K3595">
        <v>0</v>
      </c>
      <c r="L3595">
        <v>0</v>
      </c>
      <c r="M3595">
        <v>0.32</v>
      </c>
      <c r="N3595" s="7" t="e">
        <f>VLOOKUP(F3595,HC!A$6:D$100,3,FALSE)</f>
        <v>#N/A</v>
      </c>
      <c r="O3595" s="7" t="str">
        <f>VLOOKUP(F3595,HC!A$6:D$1000,2,FALSE)</f>
        <v>jonquija</v>
      </c>
      <c r="P3595" t="s">
        <v>664</v>
      </c>
      <c r="Q3595" t="s">
        <v>420</v>
      </c>
      <c r="U3595">
        <f t="shared" si="58"/>
        <v>19</v>
      </c>
    </row>
    <row r="3596" spans="1:21" ht="37.5" customHeight="1" x14ac:dyDescent="0.25">
      <c r="A3596" s="40">
        <v>45214</v>
      </c>
      <c r="B3596" s="13">
        <v>42</v>
      </c>
      <c r="C3596" t="s">
        <v>3</v>
      </c>
      <c r="D3596" t="s">
        <v>4</v>
      </c>
      <c r="E3596" t="s">
        <v>21</v>
      </c>
      <c r="F3596">
        <v>201890790</v>
      </c>
      <c r="G3596" t="s">
        <v>1416</v>
      </c>
      <c r="H3596" t="s">
        <v>285</v>
      </c>
      <c r="I3596">
        <v>0</v>
      </c>
      <c r="J3596">
        <v>0</v>
      </c>
      <c r="K3596">
        <v>0</v>
      </c>
      <c r="L3596">
        <v>0</v>
      </c>
      <c r="M3596">
        <v>0.16</v>
      </c>
      <c r="N3596" s="7" t="e">
        <f>VLOOKUP(F3596,HC!A$6:D$100,3,FALSE)</f>
        <v>#N/A</v>
      </c>
      <c r="O3596" s="7" t="str">
        <f>VLOOKUP(F3596,HC!A$6:D$1000,2,FALSE)</f>
        <v>vicxzuni</v>
      </c>
      <c r="P3596" t="s">
        <v>662</v>
      </c>
      <c r="Q3596" t="s">
        <v>469</v>
      </c>
      <c r="U3596">
        <f t="shared" si="58"/>
        <v>6</v>
      </c>
    </row>
    <row r="3597" spans="1:21" ht="37.5" customHeight="1" x14ac:dyDescent="0.25">
      <c r="A3597" s="40">
        <v>45214</v>
      </c>
      <c r="B3597" s="13">
        <v>42</v>
      </c>
      <c r="C3597" t="s">
        <v>3</v>
      </c>
      <c r="D3597" t="s">
        <v>4</v>
      </c>
      <c r="E3597" t="s">
        <v>21</v>
      </c>
      <c r="F3597">
        <v>202068119</v>
      </c>
      <c r="G3597" t="s">
        <v>1428</v>
      </c>
      <c r="H3597" t="s">
        <v>459</v>
      </c>
      <c r="I3597">
        <v>0</v>
      </c>
      <c r="J3597">
        <v>0</v>
      </c>
      <c r="K3597">
        <v>0</v>
      </c>
      <c r="L3597">
        <v>0</v>
      </c>
      <c r="M3597">
        <v>0.02</v>
      </c>
      <c r="N3597" s="7" t="e">
        <f>VLOOKUP(F3597,HC!A$6:D$100,3,FALSE)</f>
        <v>#N/A</v>
      </c>
      <c r="O3597" s="7" t="str">
        <f>VLOOKUP(F3597,HC!A$6:D$1000,2,FALSE)</f>
        <v>casosaul</v>
      </c>
      <c r="P3597" t="s">
        <v>664</v>
      </c>
      <c r="Q3597" t="s">
        <v>420</v>
      </c>
      <c r="U3597">
        <f t="shared" si="58"/>
        <v>5</v>
      </c>
    </row>
    <row r="3598" spans="1:21" ht="37.5" customHeight="1" x14ac:dyDescent="0.25">
      <c r="A3598" s="40">
        <v>45214</v>
      </c>
      <c r="B3598" s="13">
        <v>42</v>
      </c>
      <c r="C3598" t="s">
        <v>3</v>
      </c>
      <c r="D3598" t="s">
        <v>4</v>
      </c>
      <c r="E3598" t="s">
        <v>21</v>
      </c>
      <c r="F3598">
        <v>202129214</v>
      </c>
      <c r="G3598" t="s">
        <v>1429</v>
      </c>
      <c r="H3598" t="s">
        <v>282</v>
      </c>
      <c r="I3598">
        <v>0</v>
      </c>
      <c r="J3598">
        <v>0</v>
      </c>
      <c r="K3598">
        <v>0</v>
      </c>
      <c r="L3598">
        <v>0</v>
      </c>
      <c r="M3598">
        <v>0.55000000000000004</v>
      </c>
      <c r="N3598" s="7" t="e">
        <f>VLOOKUP(F3598,HC!A$6:D$100,3,FALSE)</f>
        <v>#N/A</v>
      </c>
      <c r="O3598" s="7" t="str">
        <f>VLOOKUP(F3598,HC!A$6:D$1000,2,FALSE)</f>
        <v>isafzuni</v>
      </c>
      <c r="P3598" t="s">
        <v>664</v>
      </c>
      <c r="Q3598" t="s">
        <v>420</v>
      </c>
      <c r="U3598">
        <f t="shared" si="58"/>
        <v>8</v>
      </c>
    </row>
    <row r="3599" spans="1:21" ht="37.5" customHeight="1" x14ac:dyDescent="0.25">
      <c r="A3599" s="40">
        <v>45214</v>
      </c>
      <c r="B3599" s="13">
        <v>42</v>
      </c>
      <c r="C3599" t="s">
        <v>3</v>
      </c>
      <c r="D3599" t="s">
        <v>4</v>
      </c>
      <c r="E3599" t="s">
        <v>21</v>
      </c>
      <c r="F3599">
        <v>202137757</v>
      </c>
      <c r="G3599" t="s">
        <v>1430</v>
      </c>
      <c r="H3599" t="s">
        <v>282</v>
      </c>
      <c r="I3599">
        <v>0</v>
      </c>
      <c r="J3599">
        <v>0</v>
      </c>
      <c r="K3599">
        <v>0</v>
      </c>
      <c r="L3599">
        <v>0</v>
      </c>
      <c r="M3599">
        <v>0.25</v>
      </c>
      <c r="N3599" s="7" t="e">
        <f>VLOOKUP(F3599,HC!A$6:D$100,3,FALSE)</f>
        <v>#N/A</v>
      </c>
      <c r="O3599" s="7" t="str">
        <f>VLOOKUP(F3599,HC!A$6:D$1000,2,FALSE)</f>
        <v>danibbar</v>
      </c>
      <c r="P3599" t="s">
        <v>662</v>
      </c>
      <c r="Q3599" t="s">
        <v>1439</v>
      </c>
      <c r="U3599">
        <f t="shared" si="58"/>
        <v>2</v>
      </c>
    </row>
    <row r="3600" spans="1:21" ht="37.5" customHeight="1" x14ac:dyDescent="0.25">
      <c r="A3600" s="40">
        <v>45214</v>
      </c>
      <c r="B3600" s="13">
        <v>42</v>
      </c>
      <c r="C3600" t="s">
        <v>3</v>
      </c>
      <c r="D3600" t="s">
        <v>4</v>
      </c>
      <c r="E3600" t="s">
        <v>21</v>
      </c>
      <c r="F3600">
        <v>202173806</v>
      </c>
      <c r="G3600" t="s">
        <v>1408</v>
      </c>
      <c r="H3600" t="s">
        <v>1040</v>
      </c>
      <c r="I3600">
        <v>0</v>
      </c>
      <c r="J3600">
        <v>0</v>
      </c>
      <c r="K3600">
        <v>0</v>
      </c>
      <c r="L3600">
        <v>0</v>
      </c>
      <c r="M3600">
        <v>0.17</v>
      </c>
      <c r="N3600" s="7" t="e">
        <f>VLOOKUP(F3600,HC!A$6:D$100,3,FALSE)</f>
        <v>#N/A</v>
      </c>
      <c r="O3600" s="7" t="str">
        <f>VLOOKUP(F3600,HC!A$6:D$1000,2,FALSE)</f>
        <v>crurenda</v>
      </c>
      <c r="P3600" t="s">
        <v>662</v>
      </c>
      <c r="Q3600" t="s">
        <v>1440</v>
      </c>
      <c r="U3600">
        <f t="shared" si="58"/>
        <v>5</v>
      </c>
    </row>
    <row r="3601" spans="1:21" ht="37.5" customHeight="1" x14ac:dyDescent="0.25">
      <c r="A3601" s="40">
        <v>45214</v>
      </c>
      <c r="B3601" s="13">
        <v>42</v>
      </c>
      <c r="C3601" t="s">
        <v>3</v>
      </c>
      <c r="D3601" t="s">
        <v>4</v>
      </c>
      <c r="E3601" t="s">
        <v>21</v>
      </c>
      <c r="F3601">
        <v>202173886</v>
      </c>
      <c r="G3601" t="s">
        <v>1431</v>
      </c>
      <c r="H3601" t="s">
        <v>14</v>
      </c>
      <c r="I3601">
        <v>0</v>
      </c>
      <c r="J3601">
        <v>0</v>
      </c>
      <c r="K3601">
        <v>0</v>
      </c>
      <c r="L3601">
        <v>0</v>
      </c>
      <c r="M3601">
        <v>0.56000000000000005</v>
      </c>
      <c r="N3601" s="7" t="e">
        <f>VLOOKUP(F3601,HC!A$6:D$100,3,FALSE)</f>
        <v>#N/A</v>
      </c>
      <c r="O3601" s="7" t="str">
        <f>VLOOKUP(F3601,HC!A$6:D$1000,2,FALSE)</f>
        <v>heenriqv</v>
      </c>
      <c r="P3601" t="s">
        <v>661</v>
      </c>
      <c r="Q3601" t="s">
        <v>681</v>
      </c>
      <c r="U3601">
        <f t="shared" si="58"/>
        <v>1</v>
      </c>
    </row>
    <row r="3602" spans="1:21" ht="37.5" customHeight="1" x14ac:dyDescent="0.25">
      <c r="A3602" s="40">
        <v>45214</v>
      </c>
      <c r="B3602" s="13">
        <v>42</v>
      </c>
      <c r="C3602" t="s">
        <v>3</v>
      </c>
      <c r="D3602" t="s">
        <v>4</v>
      </c>
      <c r="E3602" t="s">
        <v>21</v>
      </c>
      <c r="F3602">
        <v>202194928</v>
      </c>
      <c r="G3602" t="s">
        <v>1432</v>
      </c>
      <c r="H3602" t="s">
        <v>250</v>
      </c>
      <c r="I3602">
        <v>0</v>
      </c>
      <c r="J3602">
        <v>0</v>
      </c>
      <c r="K3602">
        <v>0</v>
      </c>
      <c r="L3602">
        <v>0</v>
      </c>
      <c r="M3602">
        <v>0.18</v>
      </c>
      <c r="N3602" s="7" t="e">
        <f>VLOOKUP(F3602,HC!A$6:D$100,3,FALSE)</f>
        <v>#N/A</v>
      </c>
      <c r="O3602" s="7" t="str">
        <f>VLOOKUP(F3602,HC!A$6:D$1000,2,FALSE)</f>
        <v>gajosemr</v>
      </c>
      <c r="P3602" t="s">
        <v>661</v>
      </c>
      <c r="Q3602" t="s">
        <v>681</v>
      </c>
      <c r="U3602">
        <f t="shared" si="58"/>
        <v>3</v>
      </c>
    </row>
    <row r="3603" spans="1:21" ht="37.5" customHeight="1" x14ac:dyDescent="0.25">
      <c r="A3603" s="40">
        <v>45215</v>
      </c>
      <c r="B3603" s="13">
        <v>42</v>
      </c>
      <c r="C3603" t="s">
        <v>3</v>
      </c>
      <c r="D3603" t="s">
        <v>4</v>
      </c>
      <c r="E3603" t="s">
        <v>5</v>
      </c>
      <c r="F3603">
        <v>112951256</v>
      </c>
      <c r="G3603" t="s">
        <v>337</v>
      </c>
      <c r="H3603" t="s">
        <v>459</v>
      </c>
      <c r="I3603">
        <v>0</v>
      </c>
      <c r="J3603">
        <v>0</v>
      </c>
      <c r="K3603">
        <v>0</v>
      </c>
      <c r="L3603">
        <v>0</v>
      </c>
      <c r="M3603">
        <v>24</v>
      </c>
      <c r="N3603" s="7" t="str">
        <f>VLOOKUP(F3603,HC!A$6:D$100,3,FALSE)</f>
        <v>DA-X0700</v>
      </c>
      <c r="O3603" s="7" t="str">
        <f>VLOOKUP(F3603,HC!A$6:D$1000,2,FALSE)</f>
        <v>grkatery</v>
      </c>
      <c r="P3603" t="s">
        <v>665</v>
      </c>
      <c r="Q3603" t="s">
        <v>722</v>
      </c>
      <c r="U3603">
        <f t="shared" si="58"/>
        <v>17</v>
      </c>
    </row>
    <row r="3604" spans="1:21" ht="37.5" customHeight="1" x14ac:dyDescent="0.25">
      <c r="A3604" s="40">
        <v>45215</v>
      </c>
      <c r="B3604" s="13">
        <v>42</v>
      </c>
      <c r="C3604" t="s">
        <v>3</v>
      </c>
      <c r="D3604" t="s">
        <v>4</v>
      </c>
      <c r="E3604" t="s">
        <v>5</v>
      </c>
      <c r="F3604">
        <v>112980899</v>
      </c>
      <c r="G3604" t="s">
        <v>396</v>
      </c>
      <c r="H3604" t="s">
        <v>332</v>
      </c>
      <c r="I3604">
        <v>0</v>
      </c>
      <c r="J3604">
        <v>0</v>
      </c>
      <c r="K3604">
        <v>0</v>
      </c>
      <c r="L3604">
        <v>0</v>
      </c>
      <c r="M3604">
        <v>0.31</v>
      </c>
      <c r="N3604" s="7" t="str">
        <f>VLOOKUP(F3604,HC!A$6:D$100,3,FALSE)</f>
        <v>NF-X1900</v>
      </c>
      <c r="O3604" s="7" t="str">
        <f>VLOOKUP(F3604,HC!A$6:D$1000,2,FALSE)</f>
        <v>aravilac</v>
      </c>
      <c r="P3604" t="s">
        <v>661</v>
      </c>
      <c r="Q3604" t="s">
        <v>681</v>
      </c>
      <c r="U3604">
        <f t="shared" si="58"/>
        <v>33</v>
      </c>
    </row>
    <row r="3605" spans="1:21" ht="37.5" customHeight="1" x14ac:dyDescent="0.25">
      <c r="A3605" s="40">
        <v>45215</v>
      </c>
      <c r="B3605" s="13">
        <v>42</v>
      </c>
      <c r="C3605" t="s">
        <v>3</v>
      </c>
      <c r="D3605" t="s">
        <v>4</v>
      </c>
      <c r="E3605" t="s">
        <v>5</v>
      </c>
      <c r="F3605">
        <v>113014078</v>
      </c>
      <c r="G3605" t="s">
        <v>567</v>
      </c>
      <c r="H3605" t="s">
        <v>1040</v>
      </c>
      <c r="I3605">
        <v>0</v>
      </c>
      <c r="J3605">
        <v>0</v>
      </c>
      <c r="K3605">
        <v>0</v>
      </c>
      <c r="L3605">
        <v>0</v>
      </c>
      <c r="M3605">
        <v>0.22</v>
      </c>
      <c r="N3605" s="7" t="e">
        <f>VLOOKUP(F3605,HC!A$6:D$100,3,FALSE)</f>
        <v>#N/A</v>
      </c>
      <c r="O3605" s="7" t="str">
        <f>VLOOKUP(F3605,HC!A$6:D$1000,2,FALSE)</f>
        <v>dnaldair</v>
      </c>
      <c r="P3605" t="s">
        <v>664</v>
      </c>
      <c r="Q3605" t="s">
        <v>420</v>
      </c>
      <c r="U3605">
        <f t="shared" si="58"/>
        <v>14</v>
      </c>
    </row>
    <row r="3606" spans="1:21" ht="37.5" customHeight="1" x14ac:dyDescent="0.25">
      <c r="A3606" s="40">
        <v>45215</v>
      </c>
      <c r="B3606" s="13">
        <v>42</v>
      </c>
      <c r="C3606" t="s">
        <v>3</v>
      </c>
      <c r="D3606" t="s">
        <v>4</v>
      </c>
      <c r="E3606" t="s">
        <v>5</v>
      </c>
      <c r="F3606">
        <v>200404250</v>
      </c>
      <c r="G3606" t="s">
        <v>51</v>
      </c>
      <c r="H3606" t="s">
        <v>44</v>
      </c>
      <c r="I3606">
        <v>0</v>
      </c>
      <c r="J3606">
        <v>0</v>
      </c>
      <c r="K3606">
        <v>0</v>
      </c>
      <c r="L3606">
        <v>0</v>
      </c>
      <c r="M3606">
        <v>0.63</v>
      </c>
      <c r="N3606" s="7" t="e">
        <f>VLOOKUP(F3606,HC!A$6:D$100,3,FALSE)</f>
        <v>#N/A</v>
      </c>
      <c r="O3606" s="7" t="str">
        <f>VLOOKUP(F3606,HC!A$6:D$1000,2,FALSE)</f>
        <v>xcathurt</v>
      </c>
      <c r="P3606" t="s">
        <v>662</v>
      </c>
      <c r="R3606" t="s">
        <v>680</v>
      </c>
      <c r="U3606">
        <f t="shared" si="58"/>
        <v>124</v>
      </c>
    </row>
    <row r="3607" spans="1:21" ht="37.5" customHeight="1" x14ac:dyDescent="0.25">
      <c r="A3607" s="40">
        <v>45215</v>
      </c>
      <c r="B3607" s="13">
        <v>42</v>
      </c>
      <c r="C3607" t="s">
        <v>3</v>
      </c>
      <c r="D3607" t="s">
        <v>4</v>
      </c>
      <c r="E3607" t="s">
        <v>5</v>
      </c>
      <c r="F3607">
        <v>200562154</v>
      </c>
      <c r="G3607" t="s">
        <v>437</v>
      </c>
      <c r="H3607" t="s">
        <v>49</v>
      </c>
      <c r="I3607">
        <v>0</v>
      </c>
      <c r="J3607">
        <v>0</v>
      </c>
      <c r="K3607">
        <v>0</v>
      </c>
      <c r="L3607">
        <v>0</v>
      </c>
      <c r="M3607">
        <v>0.25</v>
      </c>
      <c r="N3607" s="7" t="e">
        <f>VLOOKUP(F3607,HC!A$6:D$100,3,FALSE)</f>
        <v>#N/A</v>
      </c>
      <c r="O3607" s="7" t="str">
        <f>VLOOKUP(F3607,HC!A$6:D$1000,2,FALSE)</f>
        <v>reyesmcw</v>
      </c>
      <c r="P3607" t="s">
        <v>663</v>
      </c>
      <c r="U3607">
        <f t="shared" si="58"/>
        <v>38</v>
      </c>
    </row>
    <row r="3608" spans="1:21" ht="37.5" customHeight="1" x14ac:dyDescent="0.25">
      <c r="A3608" s="40">
        <v>45215</v>
      </c>
      <c r="B3608" s="13">
        <v>42</v>
      </c>
      <c r="C3608" t="s">
        <v>3</v>
      </c>
      <c r="D3608" t="s">
        <v>4</v>
      </c>
      <c r="E3608" t="s">
        <v>5</v>
      </c>
      <c r="F3608">
        <v>200570729</v>
      </c>
      <c r="G3608" t="s">
        <v>679</v>
      </c>
      <c r="H3608" t="s">
        <v>285</v>
      </c>
      <c r="I3608">
        <v>0</v>
      </c>
      <c r="J3608">
        <v>0</v>
      </c>
      <c r="K3608">
        <v>0</v>
      </c>
      <c r="L3608">
        <v>0</v>
      </c>
      <c r="M3608">
        <v>0.57999999999999996</v>
      </c>
      <c r="N3608" s="7" t="e">
        <f>VLOOKUP(F3608,HC!A$6:D$100,3,FALSE)</f>
        <v>#N/A</v>
      </c>
      <c r="O3608" s="7" t="str">
        <f>VLOOKUP(F3608,HC!A$6:D$1000,2,FALSE)</f>
        <v>srodcaro</v>
      </c>
      <c r="P3608" t="s">
        <v>661</v>
      </c>
      <c r="Q3608" t="s">
        <v>681</v>
      </c>
      <c r="U3608">
        <f t="shared" si="58"/>
        <v>8</v>
      </c>
    </row>
    <row r="3609" spans="1:21" ht="37.5" customHeight="1" x14ac:dyDescent="0.25">
      <c r="A3609" s="40">
        <v>45215</v>
      </c>
      <c r="B3609" s="13">
        <v>42</v>
      </c>
      <c r="C3609" t="s">
        <v>3</v>
      </c>
      <c r="D3609" t="s">
        <v>4</v>
      </c>
      <c r="E3609" t="s">
        <v>5</v>
      </c>
      <c r="F3609">
        <v>200615315</v>
      </c>
      <c r="G3609" t="s">
        <v>1119</v>
      </c>
      <c r="H3609" t="s">
        <v>1040</v>
      </c>
      <c r="I3609">
        <v>0</v>
      </c>
      <c r="J3609">
        <v>0</v>
      </c>
      <c r="K3609">
        <v>0</v>
      </c>
      <c r="L3609">
        <v>0</v>
      </c>
      <c r="M3609">
        <v>0.26</v>
      </c>
      <c r="N3609" s="7" t="e">
        <f>VLOOKUP(F3609,HC!A$6:D$100,3,FALSE)</f>
        <v>#N/A</v>
      </c>
      <c r="O3609" s="7" t="str">
        <f>VLOOKUP(F3609,HC!A$6:D$1000,2,FALSE)</f>
        <v>gascfdan</v>
      </c>
      <c r="P3609" t="s">
        <v>663</v>
      </c>
      <c r="Q3609" t="s">
        <v>637</v>
      </c>
      <c r="U3609">
        <f t="shared" si="58"/>
        <v>4</v>
      </c>
    </row>
    <row r="3610" spans="1:21" ht="37.5" customHeight="1" x14ac:dyDescent="0.25">
      <c r="A3610" s="40">
        <v>45215</v>
      </c>
      <c r="B3610" s="13">
        <v>42</v>
      </c>
      <c r="C3610" t="s">
        <v>3</v>
      </c>
      <c r="D3610" t="s">
        <v>4</v>
      </c>
      <c r="E3610" t="s">
        <v>5</v>
      </c>
      <c r="F3610">
        <v>200625528</v>
      </c>
      <c r="G3610" t="s">
        <v>607</v>
      </c>
      <c r="H3610" t="s">
        <v>285</v>
      </c>
      <c r="I3610">
        <v>0</v>
      </c>
      <c r="J3610">
        <v>0</v>
      </c>
      <c r="K3610">
        <v>0</v>
      </c>
      <c r="L3610">
        <v>0</v>
      </c>
      <c r="M3610">
        <v>0.09</v>
      </c>
      <c r="N3610" s="7" t="e">
        <f>VLOOKUP(F3610,HC!A$6:D$100,3,FALSE)</f>
        <v>#N/A</v>
      </c>
      <c r="O3610" s="7" t="str">
        <f>VLOOKUP(F3610,HC!A$6:D$1000,2,FALSE)</f>
        <v>olivlizb</v>
      </c>
      <c r="P3610" t="s">
        <v>1441</v>
      </c>
      <c r="Q3610" t="s">
        <v>681</v>
      </c>
      <c r="U3610">
        <f t="shared" si="58"/>
        <v>50</v>
      </c>
    </row>
    <row r="3611" spans="1:21" ht="37.5" customHeight="1" x14ac:dyDescent="0.25">
      <c r="A3611" s="40">
        <v>45215</v>
      </c>
      <c r="B3611" s="13">
        <v>42</v>
      </c>
      <c r="C3611" t="s">
        <v>3</v>
      </c>
      <c r="D3611" t="s">
        <v>4</v>
      </c>
      <c r="E3611" t="s">
        <v>5</v>
      </c>
      <c r="F3611">
        <v>201172306</v>
      </c>
      <c r="G3611" t="s">
        <v>970</v>
      </c>
      <c r="H3611" t="s">
        <v>250</v>
      </c>
      <c r="I3611">
        <v>0</v>
      </c>
      <c r="J3611">
        <v>0</v>
      </c>
      <c r="K3611">
        <v>0</v>
      </c>
      <c r="L3611">
        <v>0</v>
      </c>
      <c r="M3611">
        <v>0.04</v>
      </c>
      <c r="N3611" s="7" t="e">
        <f>VLOOKUP(F3611,HC!A$6:D$100,3,FALSE)</f>
        <v>#N/A</v>
      </c>
      <c r="O3611" s="7" t="str">
        <f>VLOOKUP(F3611,HC!A$6:D$1000,2,FALSE)</f>
        <v>cesarvae</v>
      </c>
      <c r="P3611" t="s">
        <v>662</v>
      </c>
      <c r="Q3611" t="s">
        <v>469</v>
      </c>
      <c r="U3611">
        <f t="shared" si="58"/>
        <v>17</v>
      </c>
    </row>
    <row r="3612" spans="1:21" ht="37.5" customHeight="1" x14ac:dyDescent="0.25">
      <c r="A3612" s="40">
        <v>45215</v>
      </c>
      <c r="B3612" s="13">
        <v>42</v>
      </c>
      <c r="C3612" t="s">
        <v>3</v>
      </c>
      <c r="D3612" t="s">
        <v>4</v>
      </c>
      <c r="E3612" t="s">
        <v>5</v>
      </c>
      <c r="F3612">
        <v>201186777</v>
      </c>
      <c r="G3612" t="s">
        <v>856</v>
      </c>
      <c r="H3612" t="s">
        <v>285</v>
      </c>
      <c r="I3612">
        <v>0</v>
      </c>
      <c r="J3612">
        <v>0</v>
      </c>
      <c r="K3612">
        <v>0</v>
      </c>
      <c r="L3612">
        <v>0</v>
      </c>
      <c r="M3612">
        <v>0.94</v>
      </c>
      <c r="N3612" s="7" t="e">
        <f>VLOOKUP(F3612,HC!A$6:D$100,3,FALSE)</f>
        <v>#N/A</v>
      </c>
      <c r="O3612" s="7" t="str">
        <f>VLOOKUP(F3612,HC!A$6:D$1000,2,FALSE)</f>
        <v>bemonzon</v>
      </c>
      <c r="P3612" t="s">
        <v>664</v>
      </c>
      <c r="Q3612" t="s">
        <v>420</v>
      </c>
      <c r="U3612">
        <f t="shared" si="58"/>
        <v>15</v>
      </c>
    </row>
    <row r="3613" spans="1:21" ht="37.5" customHeight="1" x14ac:dyDescent="0.25">
      <c r="A3613" s="40">
        <v>45215</v>
      </c>
      <c r="B3613" s="13">
        <v>42</v>
      </c>
      <c r="C3613" t="s">
        <v>3</v>
      </c>
      <c r="D3613" t="s">
        <v>4</v>
      </c>
      <c r="E3613" t="s">
        <v>5</v>
      </c>
      <c r="F3613">
        <v>201341534</v>
      </c>
      <c r="G3613" t="s">
        <v>1181</v>
      </c>
      <c r="H3613" t="s">
        <v>285</v>
      </c>
      <c r="I3613">
        <v>0</v>
      </c>
      <c r="J3613">
        <v>0</v>
      </c>
      <c r="K3613">
        <v>0</v>
      </c>
      <c r="L3613">
        <v>0</v>
      </c>
      <c r="M3613">
        <v>0.18</v>
      </c>
      <c r="N3613" s="7" t="e">
        <f>VLOOKUP(F3613,HC!A$6:D$100,3,FALSE)</f>
        <v>#N/A</v>
      </c>
      <c r="O3613" s="7" t="str">
        <f>VLOOKUP(F3613,HC!A$6:D$1000,2,FALSE)</f>
        <v>beceresm</v>
      </c>
      <c r="P3613" t="s">
        <v>663</v>
      </c>
      <c r="Q3613" t="s">
        <v>637</v>
      </c>
      <c r="U3613">
        <f t="shared" si="58"/>
        <v>10</v>
      </c>
    </row>
    <row r="3614" spans="1:21" ht="37.5" customHeight="1" x14ac:dyDescent="0.25">
      <c r="A3614" s="40">
        <v>45215</v>
      </c>
      <c r="B3614" s="13">
        <v>42</v>
      </c>
      <c r="C3614" t="s">
        <v>3</v>
      </c>
      <c r="D3614" t="s">
        <v>4</v>
      </c>
      <c r="E3614" t="s">
        <v>21</v>
      </c>
      <c r="F3614">
        <v>201848180</v>
      </c>
      <c r="G3614" t="s">
        <v>1433</v>
      </c>
      <c r="H3614" t="s">
        <v>285</v>
      </c>
      <c r="I3614">
        <v>0</v>
      </c>
      <c r="J3614">
        <v>0</v>
      </c>
      <c r="K3614">
        <v>0</v>
      </c>
      <c r="L3614">
        <v>0</v>
      </c>
      <c r="M3614">
        <v>1.26</v>
      </c>
      <c r="N3614" s="7" t="e">
        <f>VLOOKUP(F3614,HC!A$6:D$100,3,FALSE)</f>
        <v>#N/A</v>
      </c>
      <c r="O3614" s="7" t="str">
        <f>VLOOKUP(F3614,HC!A$6:D$1000,2,FALSE)</f>
        <v>ljackpac</v>
      </c>
      <c r="P3614" t="s">
        <v>661</v>
      </c>
      <c r="Q3614" t="s">
        <v>681</v>
      </c>
      <c r="U3614">
        <f t="shared" si="58"/>
        <v>3</v>
      </c>
    </row>
    <row r="3615" spans="1:21" ht="37.5" customHeight="1" x14ac:dyDescent="0.25">
      <c r="A3615" s="40">
        <v>45215</v>
      </c>
      <c r="B3615" s="13">
        <v>42</v>
      </c>
      <c r="C3615" t="s">
        <v>3</v>
      </c>
      <c r="D3615" t="s">
        <v>4</v>
      </c>
      <c r="E3615" t="s">
        <v>21</v>
      </c>
      <c r="F3615">
        <v>201858330</v>
      </c>
      <c r="G3615" t="s">
        <v>1409</v>
      </c>
      <c r="H3615" t="s">
        <v>1040</v>
      </c>
      <c r="I3615">
        <v>0</v>
      </c>
      <c r="J3615">
        <v>0</v>
      </c>
      <c r="K3615">
        <v>0</v>
      </c>
      <c r="L3615">
        <v>0</v>
      </c>
      <c r="M3615">
        <v>0.27</v>
      </c>
      <c r="N3615" s="7" t="e">
        <f>VLOOKUP(F3615,HC!A$6:D$100,3,FALSE)</f>
        <v>#N/A</v>
      </c>
      <c r="O3615" s="7" t="str">
        <f>VLOOKUP(F3615,HC!A$6:D$1000,2,FALSE)</f>
        <v>arrwpabl</v>
      </c>
      <c r="P3615" t="s">
        <v>661</v>
      </c>
      <c r="Q3615" t="s">
        <v>681</v>
      </c>
      <c r="U3615">
        <f t="shared" si="58"/>
        <v>6</v>
      </c>
    </row>
    <row r="3616" spans="1:21" ht="37.5" customHeight="1" x14ac:dyDescent="0.25">
      <c r="A3616" s="40">
        <v>45215</v>
      </c>
      <c r="B3616" s="13">
        <v>42</v>
      </c>
      <c r="C3616" t="s">
        <v>3</v>
      </c>
      <c r="D3616" t="s">
        <v>4</v>
      </c>
      <c r="E3616" t="s">
        <v>21</v>
      </c>
      <c r="F3616">
        <v>201902140</v>
      </c>
      <c r="G3616" t="s">
        <v>1266</v>
      </c>
      <c r="H3616" t="s">
        <v>282</v>
      </c>
      <c r="I3616">
        <v>0</v>
      </c>
      <c r="J3616">
        <v>0</v>
      </c>
      <c r="K3616">
        <v>0</v>
      </c>
      <c r="L3616">
        <v>0</v>
      </c>
      <c r="M3616">
        <v>0.44</v>
      </c>
      <c r="N3616" s="7" t="e">
        <f>VLOOKUP(F3616,HC!A$6:D$100,3,FALSE)</f>
        <v>#N/A</v>
      </c>
      <c r="O3616" s="7" t="str">
        <f>VLOOKUP(F3616,HC!A$6:D$1000,2,FALSE)</f>
        <v>almagarx</v>
      </c>
      <c r="P3616" t="s">
        <v>664</v>
      </c>
      <c r="Q3616" t="s">
        <v>716</v>
      </c>
      <c r="U3616">
        <f t="shared" si="58"/>
        <v>3</v>
      </c>
    </row>
    <row r="3617" spans="1:21" ht="37.5" customHeight="1" x14ac:dyDescent="0.25">
      <c r="A3617" s="40">
        <v>45215</v>
      </c>
      <c r="B3617" s="13">
        <v>42</v>
      </c>
      <c r="C3617" t="s">
        <v>3</v>
      </c>
      <c r="D3617" t="s">
        <v>4</v>
      </c>
      <c r="E3617" t="s">
        <v>21</v>
      </c>
      <c r="F3617">
        <v>202063545</v>
      </c>
      <c r="G3617" t="s">
        <v>1275</v>
      </c>
      <c r="H3617" t="s">
        <v>559</v>
      </c>
      <c r="I3617">
        <v>0</v>
      </c>
      <c r="J3617">
        <v>0</v>
      </c>
      <c r="K3617">
        <v>0</v>
      </c>
      <c r="L3617">
        <v>0</v>
      </c>
      <c r="M3617">
        <v>0.71</v>
      </c>
      <c r="N3617" s="7" t="e">
        <f>VLOOKUP(F3617,HC!A$6:D$100,3,FALSE)</f>
        <v>#N/A</v>
      </c>
      <c r="O3617" s="7" t="str">
        <f>VLOOKUP(F3617,HC!A$6:D$1000,2,FALSE)</f>
        <v>angarcz</v>
      </c>
      <c r="P3617" t="s">
        <v>664</v>
      </c>
      <c r="Q3617" t="s">
        <v>777</v>
      </c>
      <c r="U3617">
        <f t="shared" si="58"/>
        <v>9</v>
      </c>
    </row>
    <row r="3618" spans="1:21" ht="37.5" customHeight="1" x14ac:dyDescent="0.25">
      <c r="A3618" s="40">
        <v>45215</v>
      </c>
      <c r="B3618" s="13">
        <v>42</v>
      </c>
      <c r="C3618" t="s">
        <v>3</v>
      </c>
      <c r="D3618" t="s">
        <v>4</v>
      </c>
      <c r="E3618" t="s">
        <v>21</v>
      </c>
      <c r="F3618">
        <v>202129214</v>
      </c>
      <c r="G3618" t="s">
        <v>1429</v>
      </c>
      <c r="H3618" t="s">
        <v>282</v>
      </c>
      <c r="I3618">
        <v>0</v>
      </c>
      <c r="J3618">
        <v>0</v>
      </c>
      <c r="K3618">
        <v>0</v>
      </c>
      <c r="L3618">
        <v>0</v>
      </c>
      <c r="M3618">
        <v>0.8</v>
      </c>
      <c r="N3618" s="7" t="e">
        <f>VLOOKUP(F3618,HC!A$6:D$100,3,FALSE)</f>
        <v>#N/A</v>
      </c>
      <c r="O3618" s="7" t="str">
        <f>VLOOKUP(F3618,HC!A$6:D$1000,2,FALSE)</f>
        <v>isafzuni</v>
      </c>
      <c r="P3618" t="s">
        <v>664</v>
      </c>
      <c r="Q3618" t="s">
        <v>420</v>
      </c>
      <c r="U3618">
        <f t="shared" si="58"/>
        <v>8</v>
      </c>
    </row>
    <row r="3619" spans="1:21" ht="37.5" customHeight="1" x14ac:dyDescent="0.25">
      <c r="A3619" s="40">
        <v>45215</v>
      </c>
      <c r="B3619" s="13">
        <v>42</v>
      </c>
      <c r="C3619" t="s">
        <v>3</v>
      </c>
      <c r="D3619" t="s">
        <v>4</v>
      </c>
      <c r="E3619" t="s">
        <v>21</v>
      </c>
      <c r="F3619">
        <v>202130113</v>
      </c>
      <c r="G3619" t="s">
        <v>1434</v>
      </c>
      <c r="H3619" t="s">
        <v>282</v>
      </c>
      <c r="I3619">
        <v>0</v>
      </c>
      <c r="J3619">
        <v>0</v>
      </c>
      <c r="K3619">
        <v>0</v>
      </c>
      <c r="L3619">
        <v>0</v>
      </c>
      <c r="M3619">
        <v>0.28000000000000003</v>
      </c>
      <c r="N3619" s="7" t="e">
        <f>VLOOKUP(F3619,HC!A$6:D$100,3,FALSE)</f>
        <v>#N/A</v>
      </c>
      <c r="O3619" s="7" t="str">
        <f>VLOOKUP(F3619,HC!A$6:D$1000,2,FALSE)</f>
        <v>tanirang</v>
      </c>
      <c r="P3619" t="s">
        <v>661</v>
      </c>
      <c r="Q3619" t="s">
        <v>681</v>
      </c>
      <c r="U3619">
        <f t="shared" si="58"/>
        <v>5</v>
      </c>
    </row>
    <row r="3620" spans="1:21" ht="37.5" customHeight="1" x14ac:dyDescent="0.25">
      <c r="A3620" s="40">
        <v>45215</v>
      </c>
      <c r="B3620" s="13">
        <v>42</v>
      </c>
      <c r="C3620" t="s">
        <v>3</v>
      </c>
      <c r="D3620" t="s">
        <v>4</v>
      </c>
      <c r="E3620" t="s">
        <v>21</v>
      </c>
      <c r="F3620">
        <v>202166026</v>
      </c>
      <c r="G3620" t="s">
        <v>1435</v>
      </c>
      <c r="H3620" t="s">
        <v>1040</v>
      </c>
      <c r="I3620">
        <v>0</v>
      </c>
      <c r="J3620">
        <v>0</v>
      </c>
      <c r="K3620">
        <v>0</v>
      </c>
      <c r="L3620">
        <v>0</v>
      </c>
      <c r="M3620">
        <v>0.8</v>
      </c>
      <c r="N3620" s="7" t="e">
        <f>VLOOKUP(F3620,HC!A$6:D$100,3,FALSE)</f>
        <v>#N/A</v>
      </c>
      <c r="O3620" s="7" t="e">
        <f>VLOOKUP(F3620,HC!A$6:D$1000,2,FALSE)</f>
        <v>#N/A</v>
      </c>
      <c r="P3620" t="s">
        <v>661</v>
      </c>
      <c r="Q3620" t="s">
        <v>681</v>
      </c>
      <c r="U3620">
        <f t="shared" si="58"/>
        <v>1395</v>
      </c>
    </row>
    <row r="3621" spans="1:21" ht="37.5" customHeight="1" x14ac:dyDescent="0.25">
      <c r="A3621" s="40">
        <v>45215</v>
      </c>
      <c r="B3621" s="13">
        <v>42</v>
      </c>
      <c r="C3621" t="s">
        <v>3</v>
      </c>
      <c r="D3621" t="s">
        <v>4</v>
      </c>
      <c r="E3621" t="s">
        <v>21</v>
      </c>
      <c r="F3621">
        <v>202188434</v>
      </c>
      <c r="G3621" t="s">
        <v>1413</v>
      </c>
      <c r="H3621" t="s">
        <v>14</v>
      </c>
      <c r="I3621">
        <v>0</v>
      </c>
      <c r="J3621">
        <v>0</v>
      </c>
      <c r="K3621">
        <v>0</v>
      </c>
      <c r="L3621">
        <v>0</v>
      </c>
      <c r="M3621">
        <v>0.61</v>
      </c>
      <c r="N3621" s="7" t="e">
        <f>VLOOKUP(F3621,HC!A$6:D$100,3,FALSE)</f>
        <v>#N/A</v>
      </c>
      <c r="O3621" s="7" t="str">
        <f>VLOOKUP(F3621,HC!A$6:D$1000,2,FALSE)</f>
        <v>aidzariv</v>
      </c>
      <c r="P3621" t="s">
        <v>664</v>
      </c>
      <c r="Q3621" t="s">
        <v>716</v>
      </c>
      <c r="U3621">
        <f t="shared" si="58"/>
        <v>9</v>
      </c>
    </row>
    <row r="3622" spans="1:21" ht="37.5" customHeight="1" x14ac:dyDescent="0.25">
      <c r="A3622" s="40">
        <v>45215</v>
      </c>
      <c r="B3622" s="13">
        <v>42</v>
      </c>
      <c r="C3622" t="s">
        <v>3</v>
      </c>
      <c r="D3622" t="s">
        <v>4</v>
      </c>
      <c r="E3622" t="s">
        <v>21</v>
      </c>
      <c r="F3622">
        <v>202219678</v>
      </c>
      <c r="G3622" t="s">
        <v>1436</v>
      </c>
      <c r="H3622" t="s">
        <v>250</v>
      </c>
      <c r="I3622">
        <v>0</v>
      </c>
      <c r="J3622">
        <v>0</v>
      </c>
      <c r="K3622">
        <v>0</v>
      </c>
      <c r="L3622">
        <v>0</v>
      </c>
      <c r="M3622">
        <v>0.09</v>
      </c>
      <c r="N3622" s="7" t="e">
        <f>VLOOKUP(F3622,HC!A$6:D$100,3,FALSE)</f>
        <v>#N/A</v>
      </c>
      <c r="O3622" s="7" t="str">
        <f>VLOOKUP(F3622,HC!A$6:D$1000,2,FALSE)</f>
        <v>cihernaf</v>
      </c>
      <c r="P3622" t="s">
        <v>661</v>
      </c>
      <c r="Q3622" t="s">
        <v>681</v>
      </c>
      <c r="U3622">
        <f t="shared" si="58"/>
        <v>4</v>
      </c>
    </row>
    <row r="3623" spans="1:21" ht="37.5" customHeight="1" x14ac:dyDescent="0.25">
      <c r="A3623" s="40">
        <v>45215</v>
      </c>
      <c r="B3623" s="13">
        <v>42</v>
      </c>
      <c r="C3623" t="s">
        <v>3</v>
      </c>
      <c r="D3623" t="s">
        <v>4</v>
      </c>
      <c r="E3623" t="s">
        <v>21</v>
      </c>
      <c r="F3623">
        <v>202246652</v>
      </c>
      <c r="G3623" t="s">
        <v>1437</v>
      </c>
      <c r="H3623" t="s">
        <v>285</v>
      </c>
      <c r="I3623">
        <v>0</v>
      </c>
      <c r="J3623">
        <v>0</v>
      </c>
      <c r="K3623">
        <v>0</v>
      </c>
      <c r="L3623">
        <v>0</v>
      </c>
      <c r="M3623">
        <v>0.46</v>
      </c>
      <c r="N3623" s="7" t="e">
        <f>VLOOKUP(F3623,HC!A$6:D$100,3,FALSE)</f>
        <v>#N/A</v>
      </c>
      <c r="O3623" s="7" t="str">
        <f>VLOOKUP(F3623,HC!A$6:D$1000,2,FALSE)</f>
        <v>honojadm</v>
      </c>
      <c r="P3623" t="s">
        <v>664</v>
      </c>
      <c r="Q3623" t="s">
        <v>716</v>
      </c>
      <c r="U3623">
        <f t="shared" si="58"/>
        <v>2</v>
      </c>
    </row>
    <row r="3624" spans="1:21" ht="37.5" customHeight="1" x14ac:dyDescent="0.25">
      <c r="A3624" s="40">
        <v>45216</v>
      </c>
      <c r="B3624" s="13">
        <v>42</v>
      </c>
      <c r="C3624" t="s">
        <v>3</v>
      </c>
      <c r="D3624" t="s">
        <v>4</v>
      </c>
      <c r="E3624" t="s">
        <v>5</v>
      </c>
      <c r="F3624">
        <v>112971962</v>
      </c>
      <c r="G3624" t="s">
        <v>338</v>
      </c>
      <c r="H3624" t="s">
        <v>298</v>
      </c>
      <c r="I3624">
        <v>0</v>
      </c>
      <c r="J3624">
        <v>0</v>
      </c>
      <c r="K3624">
        <v>0</v>
      </c>
      <c r="L3624">
        <v>0</v>
      </c>
      <c r="M3624">
        <v>0.22</v>
      </c>
      <c r="N3624" s="7" t="str">
        <f>VLOOKUP(F3624,HC!A$6:D$100,3,FALSE)</f>
        <v>DB-X0700</v>
      </c>
      <c r="O3624" s="7" t="str">
        <f>VLOOKUP(F3624,HC!A$6:D$1000,2,FALSE)</f>
        <v>creyesal</v>
      </c>
      <c r="P3624" t="s">
        <v>664</v>
      </c>
      <c r="Q3624" t="s">
        <v>420</v>
      </c>
      <c r="U3624">
        <f t="shared" si="58"/>
        <v>38</v>
      </c>
    </row>
    <row r="3625" spans="1:21" ht="37.5" customHeight="1" x14ac:dyDescent="0.25">
      <c r="A3625" s="40">
        <v>45216</v>
      </c>
      <c r="B3625" s="13">
        <v>42</v>
      </c>
      <c r="C3625" t="s">
        <v>3</v>
      </c>
      <c r="D3625" t="s">
        <v>4</v>
      </c>
      <c r="E3625" t="s">
        <v>5</v>
      </c>
      <c r="F3625">
        <v>112981061</v>
      </c>
      <c r="G3625" t="s">
        <v>264</v>
      </c>
      <c r="H3625" t="s">
        <v>49</v>
      </c>
      <c r="I3625">
        <v>0</v>
      </c>
      <c r="J3625">
        <v>0</v>
      </c>
      <c r="K3625">
        <v>0</v>
      </c>
      <c r="L3625">
        <v>0</v>
      </c>
      <c r="M3625">
        <v>0.19</v>
      </c>
      <c r="N3625" s="7" t="str">
        <f>VLOOKUP(F3625,HC!A$6:D$100,3,FALSE)</f>
        <v>DA-X0700</v>
      </c>
      <c r="O3625" s="7" t="str">
        <f>VLOOKUP(F3625,HC!A$6:D$1000,2,FALSE)</f>
        <v>mclaudol</v>
      </c>
      <c r="P3625" t="s">
        <v>661</v>
      </c>
      <c r="Q3625" t="s">
        <v>681</v>
      </c>
      <c r="U3625">
        <f t="shared" si="58"/>
        <v>44</v>
      </c>
    </row>
    <row r="3626" spans="1:21" ht="37.5" customHeight="1" x14ac:dyDescent="0.25">
      <c r="A3626" s="40">
        <v>45216</v>
      </c>
      <c r="B3626" s="13">
        <v>42</v>
      </c>
      <c r="C3626" t="s">
        <v>3</v>
      </c>
      <c r="D3626" t="s">
        <v>4</v>
      </c>
      <c r="E3626" t="s">
        <v>5</v>
      </c>
      <c r="F3626">
        <v>113014078</v>
      </c>
      <c r="G3626" t="s">
        <v>567</v>
      </c>
      <c r="H3626" t="s">
        <v>1040</v>
      </c>
      <c r="I3626">
        <v>0</v>
      </c>
      <c r="J3626">
        <v>0</v>
      </c>
      <c r="K3626">
        <v>0</v>
      </c>
      <c r="L3626">
        <v>0</v>
      </c>
      <c r="M3626">
        <v>0.23</v>
      </c>
      <c r="N3626" s="7" t="e">
        <f>VLOOKUP(F3626,HC!A$6:D$100,3,FALSE)</f>
        <v>#N/A</v>
      </c>
      <c r="O3626" s="7" t="str">
        <f>VLOOKUP(F3626,HC!A$6:D$1000,2,FALSE)</f>
        <v>dnaldair</v>
      </c>
      <c r="P3626" t="s">
        <v>664</v>
      </c>
      <c r="Q3626" t="s">
        <v>420</v>
      </c>
      <c r="U3626">
        <f t="shared" si="58"/>
        <v>14</v>
      </c>
    </row>
    <row r="3627" spans="1:21" ht="37.5" customHeight="1" x14ac:dyDescent="0.25">
      <c r="A3627" s="40">
        <v>45216</v>
      </c>
      <c r="B3627" s="13">
        <v>42</v>
      </c>
      <c r="C3627" t="s">
        <v>3</v>
      </c>
      <c r="D3627" t="s">
        <v>4</v>
      </c>
      <c r="E3627" t="s">
        <v>5</v>
      </c>
      <c r="F3627">
        <v>113019001</v>
      </c>
      <c r="G3627" t="s">
        <v>464</v>
      </c>
      <c r="H3627" t="s">
        <v>1040</v>
      </c>
      <c r="I3627">
        <v>0</v>
      </c>
      <c r="J3627">
        <v>0</v>
      </c>
      <c r="K3627">
        <v>0</v>
      </c>
      <c r="L3627">
        <v>0</v>
      </c>
      <c r="M3627">
        <v>0.04</v>
      </c>
      <c r="N3627" s="7" t="e">
        <f>VLOOKUP(F3627,HC!A$6:D$100,3,FALSE)</f>
        <v>#N/A</v>
      </c>
      <c r="O3627" s="7" t="str">
        <f>VLOOKUP(F3627,HC!A$6:D$1000,2,FALSE)</f>
        <v>dolozane</v>
      </c>
      <c r="P3627" t="s">
        <v>664</v>
      </c>
      <c r="Q3627" t="s">
        <v>420</v>
      </c>
      <c r="U3627">
        <f t="shared" si="58"/>
        <v>17</v>
      </c>
    </row>
    <row r="3628" spans="1:21" ht="37.5" customHeight="1" x14ac:dyDescent="0.25">
      <c r="A3628" s="40">
        <v>45216</v>
      </c>
      <c r="B3628" s="13">
        <v>42</v>
      </c>
      <c r="C3628" t="s">
        <v>3</v>
      </c>
      <c r="D3628" t="s">
        <v>4</v>
      </c>
      <c r="E3628" t="s">
        <v>5</v>
      </c>
      <c r="F3628">
        <v>200562154</v>
      </c>
      <c r="G3628" t="s">
        <v>437</v>
      </c>
      <c r="H3628" t="s">
        <v>285</v>
      </c>
      <c r="I3628">
        <v>0</v>
      </c>
      <c r="J3628">
        <v>0</v>
      </c>
      <c r="K3628">
        <v>0</v>
      </c>
      <c r="L3628">
        <v>0</v>
      </c>
      <c r="M3628">
        <v>0.08</v>
      </c>
      <c r="N3628" s="7" t="e">
        <f>VLOOKUP(F3628,HC!A$6:D$100,3,FALSE)</f>
        <v>#N/A</v>
      </c>
      <c r="O3628" s="7" t="str">
        <f>VLOOKUP(F3628,HC!A$6:D$1000,2,FALSE)</f>
        <v>reyesmcw</v>
      </c>
      <c r="P3628" t="s">
        <v>663</v>
      </c>
      <c r="Q3628" t="s">
        <v>692</v>
      </c>
      <c r="U3628">
        <f t="shared" si="58"/>
        <v>38</v>
      </c>
    </row>
    <row r="3629" spans="1:21" ht="37.5" customHeight="1" x14ac:dyDescent="0.25">
      <c r="A3629" s="40">
        <v>45216</v>
      </c>
      <c r="B3629" s="13">
        <v>42</v>
      </c>
      <c r="C3629" t="s">
        <v>3</v>
      </c>
      <c r="D3629" t="s">
        <v>4</v>
      </c>
      <c r="E3629" t="s">
        <v>5</v>
      </c>
      <c r="F3629">
        <v>201166890</v>
      </c>
      <c r="G3629" t="s">
        <v>998</v>
      </c>
      <c r="H3629" t="s">
        <v>250</v>
      </c>
      <c r="I3629">
        <v>0</v>
      </c>
      <c r="J3629">
        <v>0</v>
      </c>
      <c r="K3629">
        <v>0</v>
      </c>
      <c r="L3629">
        <v>0</v>
      </c>
      <c r="M3629">
        <v>0.03</v>
      </c>
      <c r="N3629" s="7" t="e">
        <f>VLOOKUP(F3629,HC!A$6:D$100,3,FALSE)</f>
        <v>#N/A</v>
      </c>
      <c r="O3629" s="7" t="str">
        <f>VLOOKUP(F3629,HC!A$6:D$1000,2,FALSE)</f>
        <v>lcabadan</v>
      </c>
      <c r="P3629" t="s">
        <v>661</v>
      </c>
      <c r="Q3629" t="s">
        <v>681</v>
      </c>
      <c r="U3629">
        <f t="shared" si="58"/>
        <v>24</v>
      </c>
    </row>
    <row r="3630" spans="1:21" ht="37.5" customHeight="1" x14ac:dyDescent="0.25">
      <c r="A3630" s="40">
        <v>45216</v>
      </c>
      <c r="B3630" s="13">
        <v>42</v>
      </c>
      <c r="C3630" t="s">
        <v>3</v>
      </c>
      <c r="D3630" t="s">
        <v>4</v>
      </c>
      <c r="E3630" t="s">
        <v>5</v>
      </c>
      <c r="F3630">
        <v>201185299</v>
      </c>
      <c r="G3630" t="s">
        <v>990</v>
      </c>
      <c r="H3630" t="s">
        <v>285</v>
      </c>
      <c r="I3630">
        <v>0</v>
      </c>
      <c r="J3630">
        <v>0</v>
      </c>
      <c r="K3630">
        <v>0</v>
      </c>
      <c r="L3630">
        <v>0</v>
      </c>
      <c r="M3630">
        <v>0.28999999999999998</v>
      </c>
      <c r="N3630" s="7" t="e">
        <f>VLOOKUP(F3630,HC!A$6:D$100,3,FALSE)</f>
        <v>#N/A</v>
      </c>
      <c r="O3630" s="7" t="str">
        <f>VLOOKUP(F3630,HC!A$6:D$1000,2,FALSE)</f>
        <v>sganoemi</v>
      </c>
      <c r="P3630" t="s">
        <v>661</v>
      </c>
      <c r="Q3630" t="s">
        <v>681</v>
      </c>
      <c r="U3630">
        <f t="shared" si="58"/>
        <v>12</v>
      </c>
    </row>
    <row r="3631" spans="1:21" ht="37.5" customHeight="1" x14ac:dyDescent="0.25">
      <c r="A3631" s="40">
        <v>45216</v>
      </c>
      <c r="B3631" s="13">
        <v>42</v>
      </c>
      <c r="C3631" t="s">
        <v>3</v>
      </c>
      <c r="D3631" t="s">
        <v>4</v>
      </c>
      <c r="E3631" t="s">
        <v>5</v>
      </c>
      <c r="F3631">
        <v>201186777</v>
      </c>
      <c r="G3631" t="s">
        <v>856</v>
      </c>
      <c r="H3631" t="s">
        <v>1040</v>
      </c>
      <c r="I3631">
        <v>0</v>
      </c>
      <c r="J3631">
        <v>0</v>
      </c>
      <c r="K3631">
        <v>0</v>
      </c>
      <c r="L3631">
        <v>0</v>
      </c>
      <c r="M3631">
        <v>0.2</v>
      </c>
      <c r="N3631" s="7" t="e">
        <f>VLOOKUP(F3631,HC!A$6:D$100,3,FALSE)</f>
        <v>#N/A</v>
      </c>
      <c r="O3631" s="7" t="str">
        <f>VLOOKUP(F3631,HC!A$6:D$1000,2,FALSE)</f>
        <v>bemonzon</v>
      </c>
      <c r="P3631" t="s">
        <v>664</v>
      </c>
      <c r="Q3631" t="s">
        <v>420</v>
      </c>
      <c r="U3631">
        <f t="shared" si="58"/>
        <v>15</v>
      </c>
    </row>
    <row r="3632" spans="1:21" ht="37.5" customHeight="1" x14ac:dyDescent="0.25">
      <c r="A3632" s="40">
        <v>45216</v>
      </c>
      <c r="B3632" s="13">
        <v>42</v>
      </c>
      <c r="C3632" t="s">
        <v>3</v>
      </c>
      <c r="D3632" t="s">
        <v>4</v>
      </c>
      <c r="E3632" t="s">
        <v>5</v>
      </c>
      <c r="F3632">
        <v>201191198</v>
      </c>
      <c r="G3632" t="s">
        <v>974</v>
      </c>
      <c r="H3632" t="s">
        <v>285</v>
      </c>
      <c r="I3632">
        <v>0</v>
      </c>
      <c r="J3632">
        <v>0</v>
      </c>
      <c r="K3632">
        <v>0</v>
      </c>
      <c r="L3632">
        <v>0</v>
      </c>
      <c r="M3632">
        <v>0.1</v>
      </c>
      <c r="N3632" s="7" t="e">
        <f>VLOOKUP(F3632,HC!A$6:D$100,3,FALSE)</f>
        <v>#N/A</v>
      </c>
      <c r="O3632" s="7" t="str">
        <f>VLOOKUP(F3632,HC!A$6:D$1000,2,FALSE)</f>
        <v>mojicemm</v>
      </c>
      <c r="P3632" t="s">
        <v>662</v>
      </c>
      <c r="Q3632" t="s">
        <v>469</v>
      </c>
      <c r="U3632">
        <f t="shared" si="58"/>
        <v>24</v>
      </c>
    </row>
    <row r="3633" spans="1:21" ht="37.5" customHeight="1" x14ac:dyDescent="0.25">
      <c r="A3633" s="40">
        <v>45216</v>
      </c>
      <c r="B3633" s="13">
        <v>42</v>
      </c>
      <c r="C3633" t="s">
        <v>3</v>
      </c>
      <c r="D3633" t="s">
        <v>4</v>
      </c>
      <c r="E3633" t="s">
        <v>5</v>
      </c>
      <c r="F3633">
        <v>201219500</v>
      </c>
      <c r="G3633" t="s">
        <v>937</v>
      </c>
      <c r="H3633" t="s">
        <v>285</v>
      </c>
      <c r="I3633">
        <v>0</v>
      </c>
      <c r="J3633">
        <v>0</v>
      </c>
      <c r="K3633">
        <v>0</v>
      </c>
      <c r="L3633">
        <v>0</v>
      </c>
      <c r="M3633">
        <v>0.11</v>
      </c>
      <c r="N3633" s="7" t="e">
        <f>VLOOKUP(F3633,HC!A$6:D$100,3,FALSE)</f>
        <v>#N/A</v>
      </c>
      <c r="O3633" s="7" t="str">
        <f>VLOOKUP(F3633,HC!A$6:D$1000,2,FALSE)</f>
        <v>ramsmazy</v>
      </c>
      <c r="P3633" t="s">
        <v>663</v>
      </c>
      <c r="Q3633" t="s">
        <v>705</v>
      </c>
      <c r="U3633">
        <f t="shared" si="58"/>
        <v>12</v>
      </c>
    </row>
    <row r="3634" spans="1:21" ht="37.5" customHeight="1" x14ac:dyDescent="0.25">
      <c r="A3634" s="40">
        <v>45216</v>
      </c>
      <c r="B3634" s="13">
        <v>42</v>
      </c>
      <c r="C3634" t="s">
        <v>3</v>
      </c>
      <c r="D3634" t="s">
        <v>4</v>
      </c>
      <c r="E3634" t="s">
        <v>5</v>
      </c>
      <c r="F3634">
        <v>201350949</v>
      </c>
      <c r="G3634" t="s">
        <v>1243</v>
      </c>
      <c r="H3634" t="s">
        <v>49</v>
      </c>
      <c r="I3634">
        <v>0</v>
      </c>
      <c r="J3634">
        <v>0</v>
      </c>
      <c r="K3634">
        <v>0</v>
      </c>
      <c r="L3634">
        <v>0</v>
      </c>
      <c r="M3634">
        <v>0.26</v>
      </c>
      <c r="N3634" s="7" t="e">
        <f>VLOOKUP(F3634,HC!A$6:D$100,3,FALSE)</f>
        <v>#N/A</v>
      </c>
      <c r="O3634" s="7" t="str">
        <f>VLOOKUP(F3634,HC!A$6:D$1000,2,FALSE)</f>
        <v>hreyeisa</v>
      </c>
      <c r="P3634" t="s">
        <v>664</v>
      </c>
      <c r="Q3634" t="s">
        <v>420</v>
      </c>
      <c r="U3634">
        <f t="shared" si="58"/>
        <v>5</v>
      </c>
    </row>
    <row r="3635" spans="1:21" ht="37.5" customHeight="1" x14ac:dyDescent="0.25">
      <c r="A3635" s="40">
        <v>45216</v>
      </c>
      <c r="B3635" s="13">
        <v>42</v>
      </c>
      <c r="C3635" t="s">
        <v>3</v>
      </c>
      <c r="D3635" t="s">
        <v>4</v>
      </c>
      <c r="E3635" t="s">
        <v>5</v>
      </c>
      <c r="F3635">
        <v>201396328</v>
      </c>
      <c r="G3635" t="s">
        <v>1171</v>
      </c>
      <c r="H3635" t="s">
        <v>250</v>
      </c>
      <c r="I3635">
        <v>0</v>
      </c>
      <c r="J3635">
        <v>0</v>
      </c>
      <c r="K3635">
        <v>0</v>
      </c>
      <c r="L3635">
        <v>0</v>
      </c>
      <c r="M3635">
        <v>0.39</v>
      </c>
      <c r="N3635" s="7" t="e">
        <f>VLOOKUP(F3635,HC!A$6:D$100,3,FALSE)</f>
        <v>#N/A</v>
      </c>
      <c r="O3635" s="7" t="str">
        <f>VLOOKUP(F3635,HC!A$6:D$1000,2,FALSE)</f>
        <v>nalcanch</v>
      </c>
      <c r="P3635" t="s">
        <v>661</v>
      </c>
      <c r="Q3635" t="s">
        <v>701</v>
      </c>
      <c r="U3635">
        <f t="shared" si="58"/>
        <v>12</v>
      </c>
    </row>
    <row r="3636" spans="1:21" ht="37.5" customHeight="1" x14ac:dyDescent="0.25">
      <c r="A3636" s="40">
        <v>45216</v>
      </c>
      <c r="B3636" s="13">
        <v>42</v>
      </c>
      <c r="C3636" t="s">
        <v>3</v>
      </c>
      <c r="D3636" t="s">
        <v>4</v>
      </c>
      <c r="E3636" t="s">
        <v>21</v>
      </c>
      <c r="F3636">
        <v>201880542</v>
      </c>
      <c r="G3636" t="s">
        <v>1225</v>
      </c>
      <c r="H3636" t="s">
        <v>1040</v>
      </c>
      <c r="I3636">
        <v>0</v>
      </c>
      <c r="J3636">
        <v>0</v>
      </c>
      <c r="K3636">
        <v>0</v>
      </c>
      <c r="L3636">
        <v>0</v>
      </c>
      <c r="M3636">
        <v>0.53</v>
      </c>
      <c r="N3636" s="7" t="e">
        <f>VLOOKUP(F3636,HC!A$6:D$100,3,FALSE)</f>
        <v>#N/A</v>
      </c>
      <c r="O3636" s="7" t="str">
        <f>VLOOKUP(F3636,HC!A$6:D$1000,2,FALSE)</f>
        <v>orticorp</v>
      </c>
      <c r="P3636" t="s">
        <v>664</v>
      </c>
      <c r="Q3636" t="s">
        <v>777</v>
      </c>
      <c r="U3636">
        <f t="shared" si="58"/>
        <v>24</v>
      </c>
    </row>
    <row r="3637" spans="1:21" ht="37.5" customHeight="1" x14ac:dyDescent="0.25">
      <c r="A3637" s="40">
        <v>45216</v>
      </c>
      <c r="B3637" s="13">
        <v>42</v>
      </c>
      <c r="C3637" t="s">
        <v>3</v>
      </c>
      <c r="D3637" t="s">
        <v>4</v>
      </c>
      <c r="E3637" t="s">
        <v>21</v>
      </c>
      <c r="F3637">
        <v>202052420</v>
      </c>
      <c r="G3637" t="s">
        <v>1285</v>
      </c>
      <c r="H3637" t="s">
        <v>14</v>
      </c>
      <c r="I3637">
        <v>0</v>
      </c>
      <c r="J3637">
        <v>0</v>
      </c>
      <c r="K3637">
        <v>0</v>
      </c>
      <c r="L3637">
        <v>0</v>
      </c>
      <c r="M3637">
        <v>1.49</v>
      </c>
      <c r="N3637" s="7" t="e">
        <f>VLOOKUP(F3637,HC!A$6:D$100,3,FALSE)</f>
        <v>#N/A</v>
      </c>
      <c r="O3637" s="7" t="e">
        <f>VLOOKUP(F3637,HC!A$6:D$1000,2,FALSE)</f>
        <v>#N/A</v>
      </c>
      <c r="P3637" t="s">
        <v>664</v>
      </c>
      <c r="Q3637" t="s">
        <v>762</v>
      </c>
      <c r="R3637" t="s">
        <v>0</v>
      </c>
      <c r="U3637">
        <f t="shared" si="58"/>
        <v>1395</v>
      </c>
    </row>
    <row r="3638" spans="1:21" ht="37.5" customHeight="1" x14ac:dyDescent="0.25">
      <c r="A3638" s="40">
        <v>45216</v>
      </c>
      <c r="B3638" s="13">
        <v>42</v>
      </c>
      <c r="C3638" t="s">
        <v>3</v>
      </c>
      <c r="D3638" t="s">
        <v>4</v>
      </c>
      <c r="E3638" t="s">
        <v>21</v>
      </c>
      <c r="F3638">
        <v>202062181</v>
      </c>
      <c r="G3638" t="s">
        <v>1401</v>
      </c>
      <c r="H3638" t="s">
        <v>250</v>
      </c>
      <c r="I3638">
        <v>0</v>
      </c>
      <c r="J3638">
        <v>0</v>
      </c>
      <c r="K3638">
        <v>0</v>
      </c>
      <c r="L3638">
        <v>0</v>
      </c>
      <c r="M3638">
        <v>0.3</v>
      </c>
      <c r="N3638" s="7" t="e">
        <f>VLOOKUP(F3638,HC!A$6:D$100,3,FALSE)</f>
        <v>#N/A</v>
      </c>
      <c r="O3638" s="7" t="str">
        <f>VLOOKUP(F3638,HC!A$6:D$1000,2,FALSE)</f>
        <v>xlutrejo</v>
      </c>
      <c r="P3638" t="s">
        <v>661</v>
      </c>
      <c r="Q3638" t="s">
        <v>681</v>
      </c>
      <c r="U3638">
        <f t="shared" si="58"/>
        <v>8</v>
      </c>
    </row>
    <row r="3639" spans="1:21" ht="37.5" customHeight="1" x14ac:dyDescent="0.25">
      <c r="A3639" s="40">
        <v>45216</v>
      </c>
      <c r="B3639" s="13">
        <v>42</v>
      </c>
      <c r="C3639" t="s">
        <v>3</v>
      </c>
      <c r="D3639" t="s">
        <v>4</v>
      </c>
      <c r="E3639" t="s">
        <v>21</v>
      </c>
      <c r="F3639">
        <v>202118479</v>
      </c>
      <c r="G3639" t="s">
        <v>1442</v>
      </c>
      <c r="H3639" t="s">
        <v>459</v>
      </c>
      <c r="I3639">
        <v>0</v>
      </c>
      <c r="J3639">
        <v>0</v>
      </c>
      <c r="K3639">
        <v>0</v>
      </c>
      <c r="L3639">
        <v>0</v>
      </c>
      <c r="M3639">
        <v>0.4</v>
      </c>
      <c r="N3639" s="7" t="e">
        <f>VLOOKUP(F3639,HC!A$6:D$100,3,FALSE)</f>
        <v>#N/A</v>
      </c>
      <c r="O3639" s="7" t="str">
        <f>VLOOKUP(F3639,HC!A$6:D$1000,2,FALSE)</f>
        <v>aaronlra</v>
      </c>
      <c r="P3639" t="s">
        <v>662</v>
      </c>
      <c r="Q3639" t="s">
        <v>469</v>
      </c>
      <c r="U3639">
        <f t="shared" si="58"/>
        <v>1</v>
      </c>
    </row>
    <row r="3640" spans="1:21" ht="37.5" customHeight="1" x14ac:dyDescent="0.25">
      <c r="A3640" s="40">
        <v>45216</v>
      </c>
      <c r="B3640" s="13">
        <v>42</v>
      </c>
      <c r="C3640" t="s">
        <v>3</v>
      </c>
      <c r="D3640" t="s">
        <v>4</v>
      </c>
      <c r="E3640" t="s">
        <v>21</v>
      </c>
      <c r="F3640">
        <v>202137341</v>
      </c>
      <c r="G3640" t="s">
        <v>1291</v>
      </c>
      <c r="H3640" t="s">
        <v>250</v>
      </c>
      <c r="I3640">
        <v>0</v>
      </c>
      <c r="J3640">
        <v>0</v>
      </c>
      <c r="K3640">
        <v>0</v>
      </c>
      <c r="L3640">
        <v>0</v>
      </c>
      <c r="M3640">
        <v>0.19</v>
      </c>
      <c r="N3640" s="7" t="e">
        <f>VLOOKUP(F3640,HC!A$6:D$100,3,FALSE)</f>
        <v>#N/A</v>
      </c>
      <c r="O3640" s="7" t="str">
        <f>VLOOKUP(F3640,HC!A$6:D$1000,2,FALSE)</f>
        <v>xedgabra</v>
      </c>
      <c r="P3640" t="s">
        <v>661</v>
      </c>
      <c r="Q3640" t="s">
        <v>535</v>
      </c>
      <c r="U3640">
        <f t="shared" si="58"/>
        <v>13</v>
      </c>
    </row>
    <row r="3641" spans="1:21" ht="37.5" customHeight="1" x14ac:dyDescent="0.25">
      <c r="A3641" s="40">
        <v>45216</v>
      </c>
      <c r="B3641" s="13">
        <v>42</v>
      </c>
      <c r="C3641" t="s">
        <v>3</v>
      </c>
      <c r="D3641" t="s">
        <v>4</v>
      </c>
      <c r="E3641" t="s">
        <v>21</v>
      </c>
      <c r="F3641">
        <v>202165242</v>
      </c>
      <c r="G3641" t="s">
        <v>1412</v>
      </c>
      <c r="H3641" t="s">
        <v>403</v>
      </c>
      <c r="I3641">
        <v>0</v>
      </c>
      <c r="J3641">
        <v>0</v>
      </c>
      <c r="K3641">
        <v>0</v>
      </c>
      <c r="L3641">
        <v>0</v>
      </c>
      <c r="M3641">
        <v>0.72</v>
      </c>
      <c r="N3641" s="7" t="e">
        <f>VLOOKUP(F3641,HC!A$6:D$100,3,FALSE)</f>
        <v>#N/A</v>
      </c>
      <c r="O3641" s="7" t="str">
        <f>VLOOKUP(F3641,HC!A$6:D$1000,2,FALSE)</f>
        <v>marcqgon</v>
      </c>
      <c r="P3641" t="s">
        <v>663</v>
      </c>
      <c r="Q3641" t="s">
        <v>705</v>
      </c>
      <c r="U3641">
        <f t="shared" si="58"/>
        <v>21</v>
      </c>
    </row>
    <row r="3642" spans="1:21" ht="37.5" customHeight="1" x14ac:dyDescent="0.25">
      <c r="A3642" s="40">
        <v>45216</v>
      </c>
      <c r="B3642" s="13">
        <v>42</v>
      </c>
      <c r="C3642" t="s">
        <v>3</v>
      </c>
      <c r="D3642" t="s">
        <v>4</v>
      </c>
      <c r="E3642" t="s">
        <v>21</v>
      </c>
      <c r="F3642">
        <v>202167195</v>
      </c>
      <c r="G3642" t="s">
        <v>1443</v>
      </c>
      <c r="H3642" t="s">
        <v>1040</v>
      </c>
      <c r="I3642">
        <v>0</v>
      </c>
      <c r="J3642">
        <v>0</v>
      </c>
      <c r="K3642">
        <v>0</v>
      </c>
      <c r="L3642">
        <v>0</v>
      </c>
      <c r="M3642">
        <v>0.18</v>
      </c>
      <c r="N3642" s="7" t="e">
        <f>VLOOKUP(F3642,HC!A$6:D$100,3,FALSE)</f>
        <v>#N/A</v>
      </c>
      <c r="O3642" s="7" t="e">
        <f>VLOOKUP(F3642,HC!A$6:D$1000,2,FALSE)</f>
        <v>#N/A</v>
      </c>
      <c r="P3642" t="s">
        <v>661</v>
      </c>
      <c r="Q3642" t="s">
        <v>681</v>
      </c>
      <c r="U3642">
        <f t="shared" si="58"/>
        <v>1395</v>
      </c>
    </row>
    <row r="3643" spans="1:21" ht="37.5" customHeight="1" x14ac:dyDescent="0.25">
      <c r="A3643" s="40">
        <v>45216</v>
      </c>
      <c r="B3643" s="13">
        <v>42</v>
      </c>
      <c r="C3643" t="s">
        <v>3</v>
      </c>
      <c r="D3643" t="s">
        <v>4</v>
      </c>
      <c r="E3643" t="s">
        <v>21</v>
      </c>
      <c r="F3643">
        <v>202185991</v>
      </c>
      <c r="G3643" t="s">
        <v>1444</v>
      </c>
      <c r="H3643" t="s">
        <v>1040</v>
      </c>
      <c r="I3643">
        <v>0</v>
      </c>
      <c r="J3643">
        <v>0</v>
      </c>
      <c r="K3643">
        <v>0</v>
      </c>
      <c r="L3643">
        <v>0</v>
      </c>
      <c r="M3643">
        <v>0.34</v>
      </c>
      <c r="N3643" s="7" t="e">
        <f>VLOOKUP(F3643,HC!A$6:D$100,3,FALSE)</f>
        <v>#N/A</v>
      </c>
      <c r="O3643" s="7" t="str">
        <f>VLOOKUP(F3643,HC!A$6:D$1000,2,FALSE)</f>
        <v>vaziandr</v>
      </c>
      <c r="P3643" t="s">
        <v>662</v>
      </c>
      <c r="Q3643" t="s">
        <v>469</v>
      </c>
      <c r="U3643">
        <f t="shared" si="58"/>
        <v>4</v>
      </c>
    </row>
    <row r="3644" spans="1:21" ht="37.5" customHeight="1" x14ac:dyDescent="0.25">
      <c r="A3644" s="40">
        <v>45216</v>
      </c>
      <c r="B3644" s="13">
        <v>42</v>
      </c>
      <c r="C3644" t="s">
        <v>3</v>
      </c>
      <c r="D3644" t="s">
        <v>4</v>
      </c>
      <c r="E3644" t="s">
        <v>21</v>
      </c>
      <c r="F3644">
        <v>202188991</v>
      </c>
      <c r="G3644" t="s">
        <v>1445</v>
      </c>
      <c r="H3644" t="s">
        <v>1040</v>
      </c>
      <c r="I3644">
        <v>0</v>
      </c>
      <c r="J3644">
        <v>0</v>
      </c>
      <c r="K3644">
        <v>0</v>
      </c>
      <c r="L3644">
        <v>0</v>
      </c>
      <c r="M3644">
        <v>0.41</v>
      </c>
      <c r="N3644" s="7" t="e">
        <f>VLOOKUP(F3644,HC!A$6:D$100,3,FALSE)</f>
        <v>#N/A</v>
      </c>
      <c r="O3644" s="7" t="str">
        <f>VLOOKUP(F3644,HC!A$6:D$1000,2,FALSE)</f>
        <v>sjimesau</v>
      </c>
      <c r="P3644" t="s">
        <v>661</v>
      </c>
      <c r="Q3644" t="s">
        <v>681</v>
      </c>
      <c r="U3644">
        <f t="shared" si="58"/>
        <v>4</v>
      </c>
    </row>
    <row r="3645" spans="1:21" ht="37.5" customHeight="1" x14ac:dyDescent="0.25">
      <c r="A3645" s="40">
        <v>45216</v>
      </c>
      <c r="B3645" s="13">
        <v>42</v>
      </c>
      <c r="C3645" t="s">
        <v>3</v>
      </c>
      <c r="D3645" t="s">
        <v>4</v>
      </c>
      <c r="E3645" t="s">
        <v>21</v>
      </c>
      <c r="F3645">
        <v>202228011</v>
      </c>
      <c r="G3645" t="s">
        <v>1446</v>
      </c>
      <c r="H3645" t="s">
        <v>7</v>
      </c>
      <c r="I3645">
        <v>0</v>
      </c>
      <c r="J3645">
        <v>0</v>
      </c>
      <c r="K3645">
        <v>0</v>
      </c>
      <c r="L3645">
        <v>0</v>
      </c>
      <c r="M3645">
        <v>0.17</v>
      </c>
      <c r="N3645" s="7" t="e">
        <f>VLOOKUP(F3645,HC!A$6:D$100,3,FALSE)</f>
        <v>#N/A</v>
      </c>
      <c r="O3645" s="7" t="str">
        <f>VLOOKUP(F3645,HC!A$6:D$1000,2,FALSE)</f>
        <v>caccarde</v>
      </c>
      <c r="P3645" t="s">
        <v>664</v>
      </c>
      <c r="Q3645" t="s">
        <v>420</v>
      </c>
      <c r="U3645">
        <f t="shared" si="58"/>
        <v>1</v>
      </c>
    </row>
    <row r="3646" spans="1:21" ht="37.5" customHeight="1" x14ac:dyDescent="0.25">
      <c r="A3646" s="40">
        <v>45216</v>
      </c>
      <c r="B3646" s="13">
        <v>42</v>
      </c>
      <c r="C3646" t="s">
        <v>3</v>
      </c>
      <c r="D3646" t="s">
        <v>4</v>
      </c>
      <c r="E3646" t="s">
        <v>21</v>
      </c>
      <c r="F3646">
        <v>202236342</v>
      </c>
      <c r="G3646" t="s">
        <v>1447</v>
      </c>
      <c r="H3646" t="s">
        <v>282</v>
      </c>
      <c r="I3646">
        <v>0</v>
      </c>
      <c r="J3646">
        <v>0</v>
      </c>
      <c r="K3646">
        <v>0</v>
      </c>
      <c r="L3646">
        <v>0</v>
      </c>
      <c r="M3646">
        <v>0.81</v>
      </c>
      <c r="N3646" s="7" t="e">
        <f>VLOOKUP(F3646,HC!A$6:D$100,3,FALSE)</f>
        <v>#N/A</v>
      </c>
      <c r="O3646" s="7" t="str">
        <f>VLOOKUP(F3646,HC!A$6:D$1000,2,FALSE)</f>
        <v>miafunes</v>
      </c>
      <c r="P3646" t="s">
        <v>662</v>
      </c>
      <c r="Q3646" t="s">
        <v>469</v>
      </c>
      <c r="U3646">
        <f t="shared" si="58"/>
        <v>2</v>
      </c>
    </row>
    <row r="3647" spans="1:21" ht="37.5" customHeight="1" x14ac:dyDescent="0.25">
      <c r="A3647" s="40">
        <v>45216</v>
      </c>
      <c r="B3647" s="13">
        <v>42</v>
      </c>
      <c r="C3647" t="s">
        <v>3</v>
      </c>
      <c r="D3647" t="s">
        <v>4</v>
      </c>
      <c r="E3647" t="s">
        <v>21</v>
      </c>
      <c r="F3647">
        <v>202250181</v>
      </c>
      <c r="G3647" t="s">
        <v>1448</v>
      </c>
      <c r="H3647" t="s">
        <v>49</v>
      </c>
      <c r="I3647">
        <v>0</v>
      </c>
      <c r="J3647">
        <v>0</v>
      </c>
      <c r="K3647">
        <v>0</v>
      </c>
      <c r="L3647">
        <v>0</v>
      </c>
      <c r="M3647">
        <v>0.21</v>
      </c>
      <c r="N3647" s="7" t="e">
        <f>VLOOKUP(F3647,HC!A$6:D$100,3,FALSE)</f>
        <v>#N/A</v>
      </c>
      <c r="O3647" s="7" t="str">
        <f>VLOOKUP(F3647,HC!A$6:D$1000,2,FALSE)</f>
        <v>samuhgut</v>
      </c>
      <c r="P3647" t="s">
        <v>661</v>
      </c>
      <c r="Q3647" t="s">
        <v>681</v>
      </c>
      <c r="U3647">
        <f t="shared" si="58"/>
        <v>2</v>
      </c>
    </row>
    <row r="3648" spans="1:21" ht="37.5" customHeight="1" x14ac:dyDescent="0.25">
      <c r="A3648" s="40">
        <v>45217</v>
      </c>
      <c r="B3648" s="13">
        <v>42</v>
      </c>
      <c r="C3648" t="s">
        <v>3</v>
      </c>
      <c r="D3648" t="s">
        <v>4</v>
      </c>
      <c r="E3648" t="s">
        <v>5</v>
      </c>
      <c r="F3648">
        <v>113014560</v>
      </c>
      <c r="G3648" t="s">
        <v>599</v>
      </c>
      <c r="H3648" t="s">
        <v>298</v>
      </c>
      <c r="I3648">
        <v>0</v>
      </c>
      <c r="J3648">
        <v>0</v>
      </c>
      <c r="K3648">
        <v>0</v>
      </c>
      <c r="L3648">
        <v>0</v>
      </c>
      <c r="M3648">
        <v>0.57999999999999996</v>
      </c>
      <c r="N3648" s="7" t="e">
        <f>VLOOKUP(F3648,HC!A$6:D$100,3,FALSE)</f>
        <v>#N/A</v>
      </c>
      <c r="O3648" s="7" t="str">
        <f>VLOOKUP(F3648,HC!A$6:D$1000,2,FALSE)</f>
        <v>zlopamer</v>
      </c>
      <c r="P3648" t="s">
        <v>664</v>
      </c>
      <c r="Q3648" t="s">
        <v>762</v>
      </c>
      <c r="R3648" t="s">
        <v>1213</v>
      </c>
      <c r="U3648">
        <f t="shared" si="58"/>
        <v>15</v>
      </c>
    </row>
    <row r="3649" spans="1:21" ht="37.5" customHeight="1" x14ac:dyDescent="0.25">
      <c r="A3649" s="40">
        <v>45217</v>
      </c>
      <c r="B3649" s="13">
        <v>42</v>
      </c>
      <c r="C3649" t="s">
        <v>3</v>
      </c>
      <c r="D3649" t="s">
        <v>4</v>
      </c>
      <c r="E3649" t="s">
        <v>5</v>
      </c>
      <c r="F3649">
        <v>113020667</v>
      </c>
      <c r="G3649" t="s">
        <v>380</v>
      </c>
      <c r="H3649" t="s">
        <v>403</v>
      </c>
      <c r="I3649">
        <v>0</v>
      </c>
      <c r="J3649">
        <v>0</v>
      </c>
      <c r="K3649">
        <v>0</v>
      </c>
      <c r="L3649">
        <v>0</v>
      </c>
      <c r="M3649">
        <v>0.93</v>
      </c>
      <c r="N3649" s="7" t="e">
        <f>VLOOKUP(F3649,HC!A$6:D$100,3,FALSE)</f>
        <v>#N/A</v>
      </c>
      <c r="O3649" s="7" t="str">
        <f>VLOOKUP(F3649,HC!A$6:D$1000,2,FALSE)</f>
        <v>mavpauli</v>
      </c>
      <c r="P3649" t="s">
        <v>662</v>
      </c>
      <c r="Q3649" t="s">
        <v>418</v>
      </c>
      <c r="U3649">
        <f t="shared" si="58"/>
        <v>12</v>
      </c>
    </row>
    <row r="3650" spans="1:21" ht="37.5" customHeight="1" x14ac:dyDescent="0.25">
      <c r="A3650" s="40">
        <v>45217</v>
      </c>
      <c r="B3650" s="13">
        <v>42</v>
      </c>
      <c r="C3650" t="s">
        <v>3</v>
      </c>
      <c r="D3650" t="s">
        <v>4</v>
      </c>
      <c r="E3650" t="s">
        <v>5</v>
      </c>
      <c r="F3650">
        <v>200508323</v>
      </c>
      <c r="G3650" t="s">
        <v>1150</v>
      </c>
      <c r="H3650" t="s">
        <v>298</v>
      </c>
      <c r="I3650">
        <v>0</v>
      </c>
      <c r="J3650">
        <v>0</v>
      </c>
      <c r="K3650">
        <v>0</v>
      </c>
      <c r="L3650">
        <v>0</v>
      </c>
      <c r="M3650">
        <v>0.27</v>
      </c>
      <c r="N3650" s="7" t="e">
        <f>VLOOKUP(F3650,HC!A$6:D$100,3,FALSE)</f>
        <v>#N/A</v>
      </c>
      <c r="O3650" s="7" t="str">
        <f>VLOOKUP(F3650,HC!A$6:D$1000,2,FALSE)</f>
        <v>espejell</v>
      </c>
      <c r="P3650" t="s">
        <v>661</v>
      </c>
      <c r="Q3650" t="s">
        <v>1453</v>
      </c>
      <c r="U3650">
        <f t="shared" si="58"/>
        <v>15</v>
      </c>
    </row>
    <row r="3651" spans="1:21" ht="37.5" customHeight="1" x14ac:dyDescent="0.25">
      <c r="A3651" s="40">
        <v>45217</v>
      </c>
      <c r="B3651" s="13">
        <v>42</v>
      </c>
      <c r="C3651" t="s">
        <v>3</v>
      </c>
      <c r="D3651" t="s">
        <v>4</v>
      </c>
      <c r="E3651" t="s">
        <v>5</v>
      </c>
      <c r="F3651">
        <v>200534675</v>
      </c>
      <c r="G3651" t="s">
        <v>534</v>
      </c>
      <c r="H3651" t="s">
        <v>250</v>
      </c>
      <c r="I3651">
        <v>0</v>
      </c>
      <c r="J3651">
        <v>0</v>
      </c>
      <c r="K3651">
        <v>0</v>
      </c>
      <c r="L3651">
        <v>0</v>
      </c>
      <c r="M3651">
        <v>0.33</v>
      </c>
      <c r="N3651" s="7" t="e">
        <f>VLOOKUP(F3651,HC!A$6:D$100,3,FALSE)</f>
        <v>#N/A</v>
      </c>
      <c r="O3651" s="7" t="str">
        <f>VLOOKUP(F3651,HC!A$6:D$1000,2,FALSE)</f>
        <v>juanpmun</v>
      </c>
      <c r="P3651" t="s">
        <v>661</v>
      </c>
      <c r="Q3651" t="s">
        <v>681</v>
      </c>
      <c r="U3651">
        <f t="shared" ref="U3651:U3714" si="59">COUNTIF(O$2:O$4999,O3651)</f>
        <v>16</v>
      </c>
    </row>
    <row r="3652" spans="1:21" ht="37.5" customHeight="1" x14ac:dyDescent="0.25">
      <c r="A3652" s="40">
        <v>45217</v>
      </c>
      <c r="B3652" s="13">
        <v>42</v>
      </c>
      <c r="C3652" t="s">
        <v>3</v>
      </c>
      <c r="D3652" t="s">
        <v>4</v>
      </c>
      <c r="E3652" t="s">
        <v>5</v>
      </c>
      <c r="F3652">
        <v>200562303</v>
      </c>
      <c r="G3652" t="s">
        <v>629</v>
      </c>
      <c r="H3652" t="s">
        <v>49</v>
      </c>
      <c r="I3652">
        <v>0</v>
      </c>
      <c r="J3652">
        <v>0</v>
      </c>
      <c r="K3652">
        <v>0</v>
      </c>
      <c r="L3652">
        <v>0</v>
      </c>
      <c r="M3652">
        <v>0.24</v>
      </c>
      <c r="N3652" s="7" t="e">
        <f>VLOOKUP(F3652,HC!A$6:D$100,3,FALSE)</f>
        <v>#N/A</v>
      </c>
      <c r="O3652" s="7" t="str">
        <f>VLOOKUP(F3652,HC!A$6:D$1000,2,FALSE)</f>
        <v>hejorgea</v>
      </c>
      <c r="P3652" t="s">
        <v>663</v>
      </c>
      <c r="Q3652" t="s">
        <v>692</v>
      </c>
      <c r="U3652">
        <f t="shared" si="59"/>
        <v>7</v>
      </c>
    </row>
    <row r="3653" spans="1:21" ht="37.5" customHeight="1" x14ac:dyDescent="0.25">
      <c r="A3653" s="40">
        <v>45217</v>
      </c>
      <c r="B3653" s="13">
        <v>42</v>
      </c>
      <c r="C3653" t="s">
        <v>3</v>
      </c>
      <c r="D3653" t="s">
        <v>4</v>
      </c>
      <c r="E3653" t="s">
        <v>5</v>
      </c>
      <c r="F3653">
        <v>201167501</v>
      </c>
      <c r="G3653" t="s">
        <v>863</v>
      </c>
      <c r="H3653" t="s">
        <v>49</v>
      </c>
      <c r="I3653">
        <v>0</v>
      </c>
      <c r="J3653">
        <v>0</v>
      </c>
      <c r="K3653">
        <v>0</v>
      </c>
      <c r="L3653">
        <v>0</v>
      </c>
      <c r="M3653">
        <v>0.27</v>
      </c>
      <c r="N3653" s="7" t="e">
        <f>VLOOKUP(F3653,HC!A$6:D$100,3,FALSE)</f>
        <v>#N/A</v>
      </c>
      <c r="O3653" s="7" t="str">
        <f>VLOOKUP(F3653,HC!A$6:D$1000,2,FALSE)</f>
        <v>wguanajr</v>
      </c>
      <c r="P3653" t="s">
        <v>664</v>
      </c>
      <c r="Q3653" t="s">
        <v>453</v>
      </c>
      <c r="U3653">
        <f t="shared" si="59"/>
        <v>36</v>
      </c>
    </row>
    <row r="3654" spans="1:21" ht="37.5" customHeight="1" x14ac:dyDescent="0.25">
      <c r="A3654" s="40">
        <v>45217</v>
      </c>
      <c r="B3654" s="13">
        <v>42</v>
      </c>
      <c r="C3654" t="s">
        <v>3</v>
      </c>
      <c r="D3654" t="s">
        <v>4</v>
      </c>
      <c r="E3654" t="s">
        <v>5</v>
      </c>
      <c r="F3654">
        <v>201172306</v>
      </c>
      <c r="G3654" t="s">
        <v>970</v>
      </c>
      <c r="H3654" t="s">
        <v>250</v>
      </c>
      <c r="I3654">
        <v>0</v>
      </c>
      <c r="J3654">
        <v>0</v>
      </c>
      <c r="K3654">
        <v>0</v>
      </c>
      <c r="L3654">
        <v>0</v>
      </c>
      <c r="M3654">
        <v>0.19</v>
      </c>
      <c r="N3654" s="7" t="e">
        <f>VLOOKUP(F3654,HC!A$6:D$100,3,FALSE)</f>
        <v>#N/A</v>
      </c>
      <c r="O3654" s="7" t="str">
        <f>VLOOKUP(F3654,HC!A$6:D$1000,2,FALSE)</f>
        <v>cesarvae</v>
      </c>
      <c r="P3654" t="s">
        <v>664</v>
      </c>
      <c r="Q3654" t="s">
        <v>711</v>
      </c>
      <c r="U3654">
        <f t="shared" si="59"/>
        <v>17</v>
      </c>
    </row>
    <row r="3655" spans="1:21" ht="37.5" customHeight="1" x14ac:dyDescent="0.25">
      <c r="A3655" s="40">
        <v>45217</v>
      </c>
      <c r="B3655" s="13">
        <v>42</v>
      </c>
      <c r="C3655" t="s">
        <v>3</v>
      </c>
      <c r="D3655" t="s">
        <v>4</v>
      </c>
      <c r="E3655" t="s">
        <v>5</v>
      </c>
      <c r="F3655">
        <v>201172412</v>
      </c>
      <c r="G3655" t="s">
        <v>986</v>
      </c>
      <c r="H3655" t="s">
        <v>49</v>
      </c>
      <c r="I3655">
        <v>0</v>
      </c>
      <c r="J3655">
        <v>0</v>
      </c>
      <c r="K3655">
        <v>0</v>
      </c>
      <c r="L3655">
        <v>0</v>
      </c>
      <c r="M3655">
        <v>0.1</v>
      </c>
      <c r="N3655" s="7" t="e">
        <f>VLOOKUP(F3655,HC!A$6:D$100,3,FALSE)</f>
        <v>#N/A</v>
      </c>
      <c r="O3655" s="7" t="str">
        <f>VLOOKUP(F3655,HC!A$6:D$1000,2,FALSE)</f>
        <v>adrpcast</v>
      </c>
      <c r="P3655" t="s">
        <v>661</v>
      </c>
      <c r="Q3655" t="s">
        <v>681</v>
      </c>
      <c r="U3655">
        <f t="shared" si="59"/>
        <v>6</v>
      </c>
    </row>
    <row r="3656" spans="1:21" ht="37.5" customHeight="1" x14ac:dyDescent="0.25">
      <c r="A3656" s="40">
        <v>45217</v>
      </c>
      <c r="B3656" s="13">
        <v>42</v>
      </c>
      <c r="C3656" t="s">
        <v>3</v>
      </c>
      <c r="D3656" t="s">
        <v>4</v>
      </c>
      <c r="E3656" t="s">
        <v>5</v>
      </c>
      <c r="F3656">
        <v>201295429</v>
      </c>
      <c r="G3656" t="s">
        <v>1097</v>
      </c>
      <c r="H3656" t="s">
        <v>403</v>
      </c>
      <c r="I3656">
        <v>0</v>
      </c>
      <c r="J3656">
        <v>0</v>
      </c>
      <c r="K3656">
        <v>0</v>
      </c>
      <c r="L3656">
        <v>0</v>
      </c>
      <c r="M3656">
        <v>0.48</v>
      </c>
      <c r="N3656" s="7" t="e">
        <f>VLOOKUP(F3656,HC!A$6:D$100,3,FALSE)</f>
        <v>#N/A</v>
      </c>
      <c r="O3656" s="7" t="str">
        <f>VLOOKUP(F3656,HC!A$6:D$1000,2,FALSE)</f>
        <v>mireljes</v>
      </c>
      <c r="P3656" t="s">
        <v>663</v>
      </c>
      <c r="Q3656" t="s">
        <v>692</v>
      </c>
      <c r="U3656">
        <f t="shared" si="59"/>
        <v>9</v>
      </c>
    </row>
    <row r="3657" spans="1:21" ht="37.5" customHeight="1" x14ac:dyDescent="0.25">
      <c r="A3657" s="40">
        <v>45217</v>
      </c>
      <c r="B3657" s="13">
        <v>42</v>
      </c>
      <c r="C3657" t="s">
        <v>3</v>
      </c>
      <c r="D3657" t="s">
        <v>4</v>
      </c>
      <c r="E3657" t="s">
        <v>5</v>
      </c>
      <c r="F3657">
        <v>201354965</v>
      </c>
      <c r="G3657" t="s">
        <v>1063</v>
      </c>
      <c r="H3657" t="s">
        <v>285</v>
      </c>
      <c r="I3657">
        <v>0</v>
      </c>
      <c r="J3657">
        <v>0</v>
      </c>
      <c r="K3657">
        <v>0</v>
      </c>
      <c r="L3657">
        <v>0</v>
      </c>
      <c r="M3657">
        <v>0.18</v>
      </c>
      <c r="N3657" s="7" t="e">
        <f>VLOOKUP(F3657,HC!A$6:D$100,3,FALSE)</f>
        <v>#N/A</v>
      </c>
      <c r="O3657" s="7" t="str">
        <f>VLOOKUP(F3657,HC!A$6:D$1000,2,FALSE)</f>
        <v>alinejim</v>
      </c>
      <c r="P3657" t="s">
        <v>661</v>
      </c>
      <c r="Q3657" t="s">
        <v>681</v>
      </c>
      <c r="U3657">
        <f t="shared" si="59"/>
        <v>33</v>
      </c>
    </row>
    <row r="3658" spans="1:21" ht="37.5" customHeight="1" x14ac:dyDescent="0.25">
      <c r="A3658" s="40">
        <v>45217</v>
      </c>
      <c r="B3658" s="13">
        <v>42</v>
      </c>
      <c r="C3658" t="s">
        <v>3</v>
      </c>
      <c r="D3658" t="s">
        <v>4</v>
      </c>
      <c r="E3658" t="s">
        <v>21</v>
      </c>
      <c r="F3658">
        <v>201880542</v>
      </c>
      <c r="G3658" t="s">
        <v>1225</v>
      </c>
      <c r="H3658" t="s">
        <v>1040</v>
      </c>
      <c r="I3658">
        <v>0</v>
      </c>
      <c r="J3658">
        <v>0</v>
      </c>
      <c r="K3658">
        <v>0</v>
      </c>
      <c r="L3658">
        <v>0</v>
      </c>
      <c r="M3658">
        <v>0.34</v>
      </c>
      <c r="N3658" s="7" t="e">
        <f>VLOOKUP(F3658,HC!A$6:D$100,3,FALSE)</f>
        <v>#N/A</v>
      </c>
      <c r="O3658" s="7" t="str">
        <f>VLOOKUP(F3658,HC!A$6:D$1000,2,FALSE)</f>
        <v>orticorp</v>
      </c>
      <c r="P3658" t="s">
        <v>664</v>
      </c>
      <c r="Q3658" t="s">
        <v>711</v>
      </c>
      <c r="U3658">
        <f t="shared" si="59"/>
        <v>24</v>
      </c>
    </row>
    <row r="3659" spans="1:21" ht="37.5" customHeight="1" x14ac:dyDescent="0.25">
      <c r="A3659" s="40">
        <v>45217</v>
      </c>
      <c r="B3659" s="13">
        <v>42</v>
      </c>
      <c r="C3659" t="s">
        <v>3</v>
      </c>
      <c r="D3659" t="s">
        <v>4</v>
      </c>
      <c r="E3659" t="s">
        <v>21</v>
      </c>
      <c r="F3659">
        <v>202052420</v>
      </c>
      <c r="G3659" t="s">
        <v>1285</v>
      </c>
      <c r="H3659" t="s">
        <v>14</v>
      </c>
      <c r="I3659">
        <v>0</v>
      </c>
      <c r="J3659">
        <v>0</v>
      </c>
      <c r="K3659">
        <v>0</v>
      </c>
      <c r="L3659">
        <v>0</v>
      </c>
      <c r="M3659">
        <v>0.68</v>
      </c>
      <c r="N3659" s="7" t="e">
        <f>VLOOKUP(F3659,HC!A$6:D$100,3,FALSE)</f>
        <v>#N/A</v>
      </c>
      <c r="O3659" s="7" t="e">
        <f>VLOOKUP(F3659,HC!A$6:D$1000,2,FALSE)</f>
        <v>#N/A</v>
      </c>
      <c r="P3659" t="s">
        <v>663</v>
      </c>
      <c r="Q3659" t="s">
        <v>692</v>
      </c>
      <c r="U3659">
        <f t="shared" si="59"/>
        <v>1395</v>
      </c>
    </row>
    <row r="3660" spans="1:21" ht="37.5" customHeight="1" x14ac:dyDescent="0.25">
      <c r="A3660" s="40">
        <v>45217</v>
      </c>
      <c r="B3660" s="13">
        <v>42</v>
      </c>
      <c r="C3660" t="s">
        <v>3</v>
      </c>
      <c r="D3660" t="s">
        <v>4</v>
      </c>
      <c r="E3660" t="s">
        <v>21</v>
      </c>
      <c r="F3660">
        <v>202081527</v>
      </c>
      <c r="G3660" t="s">
        <v>1273</v>
      </c>
      <c r="H3660" t="s">
        <v>14</v>
      </c>
      <c r="I3660">
        <v>0</v>
      </c>
      <c r="J3660">
        <v>0</v>
      </c>
      <c r="K3660">
        <v>0</v>
      </c>
      <c r="L3660">
        <v>0</v>
      </c>
      <c r="M3660">
        <v>0.2</v>
      </c>
      <c r="N3660" s="7" t="e">
        <f>VLOOKUP(F3660,HC!A$6:D$100,3,FALSE)</f>
        <v>#N/A</v>
      </c>
      <c r="O3660" s="7" t="str">
        <f>VLOOKUP(F3660,HC!A$6:D$1000,2,FALSE)</f>
        <v>efrmartw</v>
      </c>
      <c r="P3660" t="s">
        <v>661</v>
      </c>
      <c r="Q3660" t="s">
        <v>681</v>
      </c>
      <c r="U3660">
        <f t="shared" si="59"/>
        <v>12</v>
      </c>
    </row>
    <row r="3661" spans="1:21" ht="37.5" customHeight="1" x14ac:dyDescent="0.25">
      <c r="A3661" s="40">
        <v>45217</v>
      </c>
      <c r="B3661" s="13">
        <v>42</v>
      </c>
      <c r="C3661" t="s">
        <v>3</v>
      </c>
      <c r="D3661" t="s">
        <v>4</v>
      </c>
      <c r="E3661" t="s">
        <v>21</v>
      </c>
      <c r="F3661">
        <v>202120444</v>
      </c>
      <c r="G3661" t="s">
        <v>1290</v>
      </c>
      <c r="H3661" t="s">
        <v>459</v>
      </c>
      <c r="I3661">
        <v>0</v>
      </c>
      <c r="J3661">
        <v>0</v>
      </c>
      <c r="K3661">
        <v>0</v>
      </c>
      <c r="L3661">
        <v>0</v>
      </c>
      <c r="M3661">
        <v>0.63</v>
      </c>
      <c r="N3661" s="7" t="e">
        <f>VLOOKUP(F3661,HC!A$6:D$100,3,FALSE)</f>
        <v>#N/A</v>
      </c>
      <c r="O3661" s="7" t="str">
        <f>VLOOKUP(F3661,HC!A$6:D$1000,2,FALSE)</f>
        <v>yhernalo</v>
      </c>
      <c r="P3661" t="s">
        <v>661</v>
      </c>
      <c r="Q3661" t="s">
        <v>681</v>
      </c>
      <c r="U3661">
        <f t="shared" si="59"/>
        <v>5</v>
      </c>
    </row>
    <row r="3662" spans="1:21" ht="37.5" customHeight="1" x14ac:dyDescent="0.25">
      <c r="A3662" s="40">
        <v>45217</v>
      </c>
      <c r="B3662" s="13">
        <v>42</v>
      </c>
      <c r="C3662" t="s">
        <v>3</v>
      </c>
      <c r="D3662" t="s">
        <v>4</v>
      </c>
      <c r="E3662" t="s">
        <v>21</v>
      </c>
      <c r="F3662">
        <v>202129214</v>
      </c>
      <c r="G3662" t="s">
        <v>1429</v>
      </c>
      <c r="H3662" t="s">
        <v>7</v>
      </c>
      <c r="I3662">
        <v>0</v>
      </c>
      <c r="J3662">
        <v>0</v>
      </c>
      <c r="K3662">
        <v>0</v>
      </c>
      <c r="L3662">
        <v>0</v>
      </c>
      <c r="M3662">
        <v>0.28000000000000003</v>
      </c>
      <c r="N3662" s="7" t="e">
        <f>VLOOKUP(F3662,HC!A$6:D$100,3,FALSE)</f>
        <v>#N/A</v>
      </c>
      <c r="O3662" s="7" t="str">
        <f>VLOOKUP(F3662,HC!A$6:D$1000,2,FALSE)</f>
        <v>isafzuni</v>
      </c>
      <c r="P3662" t="s">
        <v>664</v>
      </c>
      <c r="Q3662" t="s">
        <v>420</v>
      </c>
      <c r="U3662">
        <f t="shared" si="59"/>
        <v>8</v>
      </c>
    </row>
    <row r="3663" spans="1:21" ht="37.5" customHeight="1" x14ac:dyDescent="0.25">
      <c r="A3663" s="40">
        <v>45217</v>
      </c>
      <c r="B3663" s="13">
        <v>42</v>
      </c>
      <c r="C3663" t="s">
        <v>3</v>
      </c>
      <c r="D3663" t="s">
        <v>4</v>
      </c>
      <c r="E3663" t="s">
        <v>21</v>
      </c>
      <c r="F3663">
        <v>202137341</v>
      </c>
      <c r="G3663" t="s">
        <v>1291</v>
      </c>
      <c r="H3663" t="s">
        <v>250</v>
      </c>
      <c r="I3663">
        <v>0</v>
      </c>
      <c r="J3663">
        <v>0</v>
      </c>
      <c r="K3663">
        <v>0</v>
      </c>
      <c r="L3663">
        <v>0</v>
      </c>
      <c r="M3663">
        <v>0.16</v>
      </c>
      <c r="N3663" s="7" t="e">
        <f>VLOOKUP(F3663,HC!A$6:D$100,3,FALSE)</f>
        <v>#N/A</v>
      </c>
      <c r="O3663" s="7" t="str">
        <f>VLOOKUP(F3663,HC!A$6:D$1000,2,FALSE)</f>
        <v>xedgabra</v>
      </c>
      <c r="P3663" t="s">
        <v>661</v>
      </c>
      <c r="Q3663" t="s">
        <v>775</v>
      </c>
      <c r="U3663">
        <f t="shared" si="59"/>
        <v>13</v>
      </c>
    </row>
    <row r="3664" spans="1:21" ht="37.5" customHeight="1" x14ac:dyDescent="0.25">
      <c r="A3664" s="40">
        <v>45217</v>
      </c>
      <c r="B3664" s="13">
        <v>42</v>
      </c>
      <c r="C3664" t="s">
        <v>3</v>
      </c>
      <c r="D3664" t="s">
        <v>4</v>
      </c>
      <c r="E3664" t="s">
        <v>21</v>
      </c>
      <c r="F3664">
        <v>202188434</v>
      </c>
      <c r="G3664" t="s">
        <v>1413</v>
      </c>
      <c r="H3664" t="s">
        <v>14</v>
      </c>
      <c r="I3664">
        <v>0</v>
      </c>
      <c r="J3664">
        <v>0</v>
      </c>
      <c r="K3664">
        <v>0</v>
      </c>
      <c r="L3664">
        <v>0</v>
      </c>
      <c r="M3664">
        <v>1.03</v>
      </c>
      <c r="N3664" s="7" t="e">
        <f>VLOOKUP(F3664,HC!A$6:D$100,3,FALSE)</f>
        <v>#N/A</v>
      </c>
      <c r="O3664" s="7" t="str">
        <f>VLOOKUP(F3664,HC!A$6:D$1000,2,FALSE)</f>
        <v>aidzariv</v>
      </c>
      <c r="P3664" t="s">
        <v>664</v>
      </c>
      <c r="Q3664" t="s">
        <v>420</v>
      </c>
      <c r="U3664">
        <f t="shared" si="59"/>
        <v>9</v>
      </c>
    </row>
    <row r="3665" spans="1:21" ht="37.5" customHeight="1" x14ac:dyDescent="0.25">
      <c r="A3665" s="40">
        <v>45217</v>
      </c>
      <c r="B3665" s="13">
        <v>42</v>
      </c>
      <c r="C3665" t="s">
        <v>3</v>
      </c>
      <c r="D3665" t="s">
        <v>4</v>
      </c>
      <c r="E3665" t="s">
        <v>21</v>
      </c>
      <c r="F3665">
        <v>202219678</v>
      </c>
      <c r="G3665" t="s">
        <v>1436</v>
      </c>
      <c r="H3665" t="s">
        <v>250</v>
      </c>
      <c r="I3665">
        <v>0</v>
      </c>
      <c r="J3665">
        <v>0</v>
      </c>
      <c r="K3665">
        <v>0</v>
      </c>
      <c r="L3665">
        <v>0</v>
      </c>
      <c r="M3665">
        <v>1.05</v>
      </c>
      <c r="N3665" s="7" t="e">
        <f>VLOOKUP(F3665,HC!A$6:D$100,3,FALSE)</f>
        <v>#N/A</v>
      </c>
      <c r="O3665" s="7" t="str">
        <f>VLOOKUP(F3665,HC!A$6:D$1000,2,FALSE)</f>
        <v>cihernaf</v>
      </c>
      <c r="P3665" t="s">
        <v>661</v>
      </c>
      <c r="Q3665" t="s">
        <v>681</v>
      </c>
      <c r="U3665">
        <f t="shared" si="59"/>
        <v>4</v>
      </c>
    </row>
    <row r="3666" spans="1:21" ht="37.5" customHeight="1" x14ac:dyDescent="0.25">
      <c r="A3666" s="40">
        <v>45217</v>
      </c>
      <c r="B3666" s="13">
        <v>42</v>
      </c>
      <c r="C3666" t="s">
        <v>3</v>
      </c>
      <c r="D3666" t="s">
        <v>4</v>
      </c>
      <c r="E3666" t="s">
        <v>21</v>
      </c>
      <c r="F3666">
        <v>202245845</v>
      </c>
      <c r="G3666" t="s">
        <v>1450</v>
      </c>
      <c r="H3666" t="s">
        <v>250</v>
      </c>
      <c r="I3666">
        <v>0</v>
      </c>
      <c r="J3666">
        <v>0</v>
      </c>
      <c r="K3666">
        <v>0</v>
      </c>
      <c r="L3666">
        <v>0</v>
      </c>
      <c r="M3666">
        <v>0.25</v>
      </c>
      <c r="N3666" s="7" t="e">
        <f>VLOOKUP(F3666,HC!A$6:D$100,3,FALSE)</f>
        <v>#N/A</v>
      </c>
      <c r="O3666" s="7" t="str">
        <f>VLOOKUP(F3666,HC!A$6:D$1000,2,FALSE)</f>
        <v>cangmedi</v>
      </c>
      <c r="P3666" t="s">
        <v>664</v>
      </c>
      <c r="Q3666" t="s">
        <v>453</v>
      </c>
      <c r="U3666">
        <f t="shared" si="59"/>
        <v>5</v>
      </c>
    </row>
    <row r="3667" spans="1:21" ht="37.5" customHeight="1" x14ac:dyDescent="0.25">
      <c r="A3667" s="40">
        <v>45217</v>
      </c>
      <c r="B3667" s="13">
        <v>42</v>
      </c>
      <c r="C3667" t="s">
        <v>3</v>
      </c>
      <c r="D3667" t="s">
        <v>4</v>
      </c>
      <c r="E3667" t="s">
        <v>21</v>
      </c>
      <c r="F3667">
        <v>202265858</v>
      </c>
      <c r="G3667" t="s">
        <v>1451</v>
      </c>
      <c r="H3667" t="s">
        <v>49</v>
      </c>
      <c r="I3667">
        <v>0</v>
      </c>
      <c r="J3667">
        <v>0</v>
      </c>
      <c r="K3667">
        <v>0</v>
      </c>
      <c r="L3667">
        <v>0</v>
      </c>
      <c r="M3667">
        <v>0.83</v>
      </c>
      <c r="N3667" s="7" t="e">
        <f>VLOOKUP(F3667,HC!A$6:D$100,3,FALSE)</f>
        <v>#N/A</v>
      </c>
      <c r="O3667" s="7" t="str">
        <f>VLOOKUP(F3667,HC!A$6:D$1000,2,FALSE)</f>
        <v>nalesalm</v>
      </c>
      <c r="P3667" t="s">
        <v>665</v>
      </c>
      <c r="Q3667" t="s">
        <v>722</v>
      </c>
      <c r="U3667">
        <f t="shared" si="59"/>
        <v>6</v>
      </c>
    </row>
    <row r="3668" spans="1:21" ht="37.5" customHeight="1" x14ac:dyDescent="0.25">
      <c r="A3668" s="40">
        <v>45217</v>
      </c>
      <c r="B3668" s="13">
        <v>42</v>
      </c>
      <c r="C3668" t="s">
        <v>3</v>
      </c>
      <c r="D3668" t="s">
        <v>4</v>
      </c>
      <c r="E3668" t="s">
        <v>21</v>
      </c>
      <c r="F3668">
        <v>202287922</v>
      </c>
      <c r="G3668" t="s">
        <v>1452</v>
      </c>
      <c r="H3668" t="s">
        <v>332</v>
      </c>
      <c r="I3668">
        <v>0</v>
      </c>
      <c r="J3668">
        <v>0</v>
      </c>
      <c r="K3668">
        <v>0</v>
      </c>
      <c r="L3668">
        <v>0</v>
      </c>
      <c r="M3668">
        <v>0.52</v>
      </c>
      <c r="N3668" s="7" t="e">
        <f>VLOOKUP(F3668,HC!A$6:D$100,3,FALSE)</f>
        <v>#N/A</v>
      </c>
      <c r="O3668" s="7" t="str">
        <f>VLOOKUP(F3668,HC!A$6:D$1000,2,FALSE)</f>
        <v>gemandra</v>
      </c>
      <c r="P3668" t="s">
        <v>663</v>
      </c>
      <c r="Q3668" t="s">
        <v>695</v>
      </c>
      <c r="U3668">
        <f t="shared" si="59"/>
        <v>8</v>
      </c>
    </row>
    <row r="3669" spans="1:21" ht="37.5" customHeight="1" x14ac:dyDescent="0.25">
      <c r="A3669" s="40">
        <v>45218</v>
      </c>
      <c r="B3669" s="13">
        <v>42</v>
      </c>
      <c r="C3669" t="s">
        <v>3</v>
      </c>
      <c r="D3669" t="s">
        <v>4</v>
      </c>
      <c r="E3669" t="s">
        <v>5</v>
      </c>
      <c r="F3669">
        <v>112972958</v>
      </c>
      <c r="G3669" t="s">
        <v>441</v>
      </c>
      <c r="H3669" t="s">
        <v>282</v>
      </c>
      <c r="I3669">
        <v>0</v>
      </c>
      <c r="J3669">
        <v>0</v>
      </c>
      <c r="K3669">
        <v>0</v>
      </c>
      <c r="L3669">
        <v>0</v>
      </c>
      <c r="M3669">
        <v>0.63</v>
      </c>
      <c r="N3669" s="7" t="str">
        <f>VLOOKUP(F3669,HC!A$6:D$100,3,FALSE)</f>
        <v>D5-X0700</v>
      </c>
      <c r="O3669" s="7" t="str">
        <f>VLOOKUP(F3669,HC!A$6:D$1000,2,FALSE)</f>
        <v>ugonzgui</v>
      </c>
      <c r="P3669" t="s">
        <v>663</v>
      </c>
      <c r="Q3669" t="s">
        <v>692</v>
      </c>
      <c r="U3669">
        <f t="shared" si="59"/>
        <v>13</v>
      </c>
    </row>
    <row r="3670" spans="1:21" ht="37.5" customHeight="1" x14ac:dyDescent="0.25">
      <c r="A3670" s="40">
        <v>45218</v>
      </c>
      <c r="B3670" s="13">
        <v>42</v>
      </c>
      <c r="C3670" t="s">
        <v>3</v>
      </c>
      <c r="D3670" t="s">
        <v>4</v>
      </c>
      <c r="E3670" t="s">
        <v>5</v>
      </c>
      <c r="F3670">
        <v>112981061</v>
      </c>
      <c r="G3670" t="s">
        <v>264</v>
      </c>
      <c r="H3670" t="s">
        <v>49</v>
      </c>
      <c r="I3670">
        <v>0</v>
      </c>
      <c r="J3670">
        <v>0</v>
      </c>
      <c r="K3670">
        <v>0</v>
      </c>
      <c r="L3670">
        <v>0</v>
      </c>
      <c r="M3670">
        <v>0.43</v>
      </c>
      <c r="N3670" s="7" t="str">
        <f>VLOOKUP(F3670,HC!A$6:D$100,3,FALSE)</f>
        <v>DA-X0700</v>
      </c>
      <c r="O3670" s="7" t="str">
        <f>VLOOKUP(F3670,HC!A$6:D$1000,2,FALSE)</f>
        <v>mclaudol</v>
      </c>
      <c r="P3670" t="s">
        <v>664</v>
      </c>
      <c r="Q3670" t="s">
        <v>762</v>
      </c>
      <c r="R3670" t="s">
        <v>1213</v>
      </c>
      <c r="U3670">
        <f t="shared" si="59"/>
        <v>44</v>
      </c>
    </row>
    <row r="3671" spans="1:21" ht="37.5" customHeight="1" x14ac:dyDescent="0.25">
      <c r="A3671" s="40">
        <v>45218</v>
      </c>
      <c r="B3671" s="13">
        <v>42</v>
      </c>
      <c r="C3671" t="s">
        <v>3</v>
      </c>
      <c r="D3671" t="s">
        <v>4</v>
      </c>
      <c r="E3671" t="s">
        <v>5</v>
      </c>
      <c r="F3671">
        <v>200464838</v>
      </c>
      <c r="G3671" t="s">
        <v>358</v>
      </c>
      <c r="H3671" t="s">
        <v>298</v>
      </c>
      <c r="I3671">
        <v>0</v>
      </c>
      <c r="J3671">
        <v>0</v>
      </c>
      <c r="K3671">
        <v>0</v>
      </c>
      <c r="L3671">
        <v>0</v>
      </c>
      <c r="M3671">
        <v>0.09</v>
      </c>
      <c r="N3671" s="7" t="e">
        <f>VLOOKUP(F3671,HC!A$6:D$100,3,FALSE)</f>
        <v>#N/A</v>
      </c>
      <c r="O3671" s="7" t="str">
        <f>VLOOKUP(F3671,HC!A$6:D$1000,2,FALSE)</f>
        <v>ortfernj</v>
      </c>
      <c r="P3671" t="s">
        <v>661</v>
      </c>
      <c r="Q3671" t="s">
        <v>681</v>
      </c>
      <c r="U3671">
        <f t="shared" si="59"/>
        <v>9</v>
      </c>
    </row>
    <row r="3672" spans="1:21" ht="37.5" customHeight="1" x14ac:dyDescent="0.25">
      <c r="A3672" s="40">
        <v>45218</v>
      </c>
      <c r="B3672" s="13">
        <v>42</v>
      </c>
      <c r="C3672" t="s">
        <v>3</v>
      </c>
      <c r="D3672" t="s">
        <v>4</v>
      </c>
      <c r="E3672" t="s">
        <v>5</v>
      </c>
      <c r="F3672">
        <v>200562154</v>
      </c>
      <c r="G3672" t="s">
        <v>437</v>
      </c>
      <c r="H3672" t="s">
        <v>285</v>
      </c>
      <c r="I3672">
        <v>0</v>
      </c>
      <c r="J3672">
        <v>0</v>
      </c>
      <c r="K3672">
        <v>0</v>
      </c>
      <c r="L3672">
        <v>0</v>
      </c>
      <c r="M3672">
        <v>0.17</v>
      </c>
      <c r="N3672" s="7" t="e">
        <f>VLOOKUP(F3672,HC!A$6:D$100,3,FALSE)</f>
        <v>#N/A</v>
      </c>
      <c r="O3672" s="7" t="str">
        <f>VLOOKUP(F3672,HC!A$6:D$1000,2,FALSE)</f>
        <v>reyesmcw</v>
      </c>
      <c r="P3672" t="s">
        <v>663</v>
      </c>
      <c r="Q3672" t="s">
        <v>692</v>
      </c>
      <c r="U3672">
        <f t="shared" si="59"/>
        <v>38</v>
      </c>
    </row>
    <row r="3673" spans="1:21" ht="37.5" customHeight="1" x14ac:dyDescent="0.25">
      <c r="A3673" s="40">
        <v>45218</v>
      </c>
      <c r="B3673" s="13">
        <v>42</v>
      </c>
      <c r="C3673" t="s">
        <v>3</v>
      </c>
      <c r="D3673" t="s">
        <v>4</v>
      </c>
      <c r="E3673" t="s">
        <v>5</v>
      </c>
      <c r="F3673">
        <v>200563038</v>
      </c>
      <c r="G3673" t="s">
        <v>949</v>
      </c>
      <c r="H3673" t="s">
        <v>403</v>
      </c>
      <c r="I3673">
        <v>0</v>
      </c>
      <c r="J3673">
        <v>0</v>
      </c>
      <c r="K3673">
        <v>0</v>
      </c>
      <c r="L3673">
        <v>0</v>
      </c>
      <c r="M3673">
        <v>0.97</v>
      </c>
      <c r="N3673" s="7" t="e">
        <f>VLOOKUP(F3673,HC!A$6:D$100,3,FALSE)</f>
        <v>#N/A</v>
      </c>
      <c r="O3673" s="7" t="str">
        <f>VLOOKUP(F3673,HC!A$6:D$1000,2,FALSE)</f>
        <v>ariaszee</v>
      </c>
      <c r="P3673" t="s">
        <v>664</v>
      </c>
      <c r="Q3673" t="s">
        <v>711</v>
      </c>
      <c r="U3673">
        <f t="shared" si="59"/>
        <v>9</v>
      </c>
    </row>
    <row r="3674" spans="1:21" ht="37.5" customHeight="1" x14ac:dyDescent="0.25">
      <c r="A3674" s="40">
        <v>45218</v>
      </c>
      <c r="B3674" s="13">
        <v>42</v>
      </c>
      <c r="C3674" t="s">
        <v>3</v>
      </c>
      <c r="D3674" t="s">
        <v>4</v>
      </c>
      <c r="E3674" t="s">
        <v>5</v>
      </c>
      <c r="F3674">
        <v>201165769</v>
      </c>
      <c r="G3674" t="s">
        <v>903</v>
      </c>
      <c r="H3674" t="s">
        <v>1040</v>
      </c>
      <c r="I3674">
        <v>0</v>
      </c>
      <c r="J3674">
        <v>0</v>
      </c>
      <c r="K3674">
        <v>0</v>
      </c>
      <c r="L3674">
        <v>0</v>
      </c>
      <c r="M3674">
        <v>0.13</v>
      </c>
      <c r="N3674" s="7" t="e">
        <f>VLOOKUP(F3674,HC!A$6:D$100,3,FALSE)</f>
        <v>#N/A</v>
      </c>
      <c r="O3674" s="7" t="str">
        <f>VLOOKUP(F3674,HC!A$6:D$1000,2,FALSE)</f>
        <v>puenkare</v>
      </c>
      <c r="P3674" t="s">
        <v>663</v>
      </c>
      <c r="Q3674" t="s">
        <v>692</v>
      </c>
      <c r="U3674">
        <f t="shared" si="59"/>
        <v>19</v>
      </c>
    </row>
    <row r="3675" spans="1:21" ht="37.5" customHeight="1" x14ac:dyDescent="0.25">
      <c r="A3675" s="40">
        <v>45218</v>
      </c>
      <c r="B3675" s="13">
        <v>42</v>
      </c>
      <c r="C3675" t="s">
        <v>3</v>
      </c>
      <c r="D3675" t="s">
        <v>4</v>
      </c>
      <c r="E3675" t="s">
        <v>5</v>
      </c>
      <c r="F3675">
        <v>201406984</v>
      </c>
      <c r="G3675" t="s">
        <v>1217</v>
      </c>
      <c r="H3675" t="s">
        <v>282</v>
      </c>
      <c r="I3675">
        <v>0</v>
      </c>
      <c r="J3675">
        <v>0</v>
      </c>
      <c r="K3675">
        <v>0</v>
      </c>
      <c r="L3675">
        <v>0</v>
      </c>
      <c r="M3675">
        <v>0.02</v>
      </c>
      <c r="N3675" s="7" t="e">
        <f>VLOOKUP(F3675,HC!A$6:D$100,3,FALSE)</f>
        <v>#N/A</v>
      </c>
      <c r="O3675" s="7" t="str">
        <f>VLOOKUP(F3675,HC!A$6:D$1000,2,FALSE)</f>
        <v>dmisaelp</v>
      </c>
      <c r="P3675" t="s">
        <v>663</v>
      </c>
      <c r="Q3675" t="s">
        <v>692</v>
      </c>
      <c r="U3675">
        <f t="shared" si="59"/>
        <v>3</v>
      </c>
    </row>
    <row r="3676" spans="1:21" ht="37.5" customHeight="1" x14ac:dyDescent="0.25">
      <c r="A3676" s="40">
        <v>45218</v>
      </c>
      <c r="B3676" s="13">
        <v>42</v>
      </c>
      <c r="C3676" t="s">
        <v>3</v>
      </c>
      <c r="D3676" t="s">
        <v>4</v>
      </c>
      <c r="E3676" t="s">
        <v>21</v>
      </c>
      <c r="F3676">
        <v>201858867</v>
      </c>
      <c r="G3676" t="s">
        <v>1236</v>
      </c>
      <c r="H3676" t="s">
        <v>285</v>
      </c>
      <c r="I3676">
        <v>0</v>
      </c>
      <c r="J3676">
        <v>0</v>
      </c>
      <c r="K3676">
        <v>0</v>
      </c>
      <c r="L3676">
        <v>0</v>
      </c>
      <c r="M3676">
        <v>0.33</v>
      </c>
      <c r="N3676" s="7" t="e">
        <f>VLOOKUP(F3676,HC!A$6:D$100,3,FALSE)</f>
        <v>#N/A</v>
      </c>
      <c r="O3676" s="7" t="str">
        <f>VLOOKUP(F3676,HC!A$6:D$1000,2,FALSE)</f>
        <v>tcruzvel</v>
      </c>
      <c r="P3676" t="s">
        <v>661</v>
      </c>
      <c r="Q3676" t="s">
        <v>681</v>
      </c>
      <c r="U3676">
        <f t="shared" si="59"/>
        <v>17</v>
      </c>
    </row>
    <row r="3677" spans="1:21" ht="37.5" customHeight="1" x14ac:dyDescent="0.25">
      <c r="A3677" s="40">
        <v>45218</v>
      </c>
      <c r="B3677" s="13">
        <v>42</v>
      </c>
      <c r="C3677" t="s">
        <v>3</v>
      </c>
      <c r="D3677" t="s">
        <v>4</v>
      </c>
      <c r="E3677" t="s">
        <v>21</v>
      </c>
      <c r="F3677">
        <v>201864225</v>
      </c>
      <c r="G3677" t="s">
        <v>1259</v>
      </c>
      <c r="H3677" t="s">
        <v>285</v>
      </c>
      <c r="I3677">
        <v>0</v>
      </c>
      <c r="J3677">
        <v>0</v>
      </c>
      <c r="K3677">
        <v>0</v>
      </c>
      <c r="L3677">
        <v>0</v>
      </c>
      <c r="M3677">
        <v>0.74</v>
      </c>
      <c r="N3677" s="7" t="e">
        <f>VLOOKUP(F3677,HC!A$6:D$100,3,FALSE)</f>
        <v>#N/A</v>
      </c>
      <c r="O3677" s="7" t="str">
        <f>VLOOKUP(F3677,HC!A$6:D$1000,2,FALSE)</f>
        <v>floreivc</v>
      </c>
      <c r="P3677" t="s">
        <v>663</v>
      </c>
      <c r="Q3677" t="s">
        <v>692</v>
      </c>
      <c r="U3677">
        <f t="shared" si="59"/>
        <v>7</v>
      </c>
    </row>
    <row r="3678" spans="1:21" ht="37.5" customHeight="1" x14ac:dyDescent="0.25">
      <c r="A3678" s="40">
        <v>45218</v>
      </c>
      <c r="B3678" s="13">
        <v>42</v>
      </c>
      <c r="C3678" t="s">
        <v>3</v>
      </c>
      <c r="D3678" t="s">
        <v>4</v>
      </c>
      <c r="E3678" t="s">
        <v>21</v>
      </c>
      <c r="F3678">
        <v>201873948</v>
      </c>
      <c r="G3678" t="s">
        <v>1425</v>
      </c>
      <c r="H3678" t="s">
        <v>9</v>
      </c>
      <c r="I3678">
        <v>0</v>
      </c>
      <c r="J3678">
        <v>0</v>
      </c>
      <c r="K3678">
        <v>0</v>
      </c>
      <c r="L3678">
        <v>0</v>
      </c>
      <c r="M3678">
        <v>0.49</v>
      </c>
      <c r="N3678" s="7" t="e">
        <f>VLOOKUP(F3678,HC!A$6:D$100,3,FALSE)</f>
        <v>#N/A</v>
      </c>
      <c r="O3678" s="7" t="e">
        <f>VLOOKUP(F3678,HC!A$6:D$1000,2,FALSE)</f>
        <v>#N/A</v>
      </c>
      <c r="P3678" t="s">
        <v>664</v>
      </c>
      <c r="Q3678" t="s">
        <v>453</v>
      </c>
      <c r="U3678">
        <f t="shared" si="59"/>
        <v>1395</v>
      </c>
    </row>
    <row r="3679" spans="1:21" ht="37.5" customHeight="1" x14ac:dyDescent="0.25">
      <c r="A3679" s="40">
        <v>45218</v>
      </c>
      <c r="B3679" s="13">
        <v>42</v>
      </c>
      <c r="C3679" t="s">
        <v>3</v>
      </c>
      <c r="D3679" t="s">
        <v>4</v>
      </c>
      <c r="E3679" t="s">
        <v>21</v>
      </c>
      <c r="F3679">
        <v>202068119</v>
      </c>
      <c r="G3679" t="s">
        <v>1428</v>
      </c>
      <c r="H3679" t="s">
        <v>9</v>
      </c>
      <c r="I3679">
        <v>0</v>
      </c>
      <c r="J3679">
        <v>0</v>
      </c>
      <c r="K3679">
        <v>0</v>
      </c>
      <c r="L3679">
        <v>0</v>
      </c>
      <c r="M3679">
        <v>7.0000000000000007E-2</v>
      </c>
      <c r="N3679" s="7" t="e">
        <f>VLOOKUP(F3679,HC!A$6:D$100,3,FALSE)</f>
        <v>#N/A</v>
      </c>
      <c r="O3679" s="7" t="str">
        <f>VLOOKUP(F3679,HC!A$6:D$1000,2,FALSE)</f>
        <v>casosaul</v>
      </c>
      <c r="P3679" t="s">
        <v>661</v>
      </c>
      <c r="Q3679" t="s">
        <v>681</v>
      </c>
      <c r="U3679">
        <f t="shared" si="59"/>
        <v>5</v>
      </c>
    </row>
    <row r="3680" spans="1:21" ht="37.5" customHeight="1" x14ac:dyDescent="0.25">
      <c r="A3680" s="40">
        <v>45218</v>
      </c>
      <c r="B3680" s="13">
        <v>42</v>
      </c>
      <c r="C3680" t="s">
        <v>3</v>
      </c>
      <c r="D3680" t="s">
        <v>4</v>
      </c>
      <c r="E3680" t="s">
        <v>21</v>
      </c>
      <c r="F3680">
        <v>202120077</v>
      </c>
      <c r="G3680" t="s">
        <v>1278</v>
      </c>
      <c r="H3680" t="s">
        <v>459</v>
      </c>
      <c r="I3680">
        <v>0</v>
      </c>
      <c r="J3680">
        <v>0</v>
      </c>
      <c r="K3680">
        <v>0</v>
      </c>
      <c r="L3680">
        <v>0</v>
      </c>
      <c r="M3680">
        <v>0.16</v>
      </c>
      <c r="N3680" s="7" t="e">
        <f>VLOOKUP(F3680,HC!A$6:D$100,3,FALSE)</f>
        <v>#N/A</v>
      </c>
      <c r="O3680" s="7" t="str">
        <f>VLOOKUP(F3680,HC!A$6:D$1000,2,FALSE)</f>
        <v>mauaguid</v>
      </c>
      <c r="P3680" t="s">
        <v>663</v>
      </c>
      <c r="Q3680" t="s">
        <v>695</v>
      </c>
      <c r="U3680">
        <f t="shared" si="59"/>
        <v>7</v>
      </c>
    </row>
    <row r="3681" spans="1:21" ht="37.5" customHeight="1" x14ac:dyDescent="0.25">
      <c r="A3681" s="40">
        <v>45218</v>
      </c>
      <c r="B3681" s="13">
        <v>42</v>
      </c>
      <c r="C3681" t="s">
        <v>3</v>
      </c>
      <c r="D3681" t="s">
        <v>4</v>
      </c>
      <c r="E3681" t="s">
        <v>21</v>
      </c>
      <c r="F3681">
        <v>202165242</v>
      </c>
      <c r="G3681" t="s">
        <v>1412</v>
      </c>
      <c r="H3681" t="s">
        <v>403</v>
      </c>
      <c r="I3681">
        <v>0</v>
      </c>
      <c r="J3681">
        <v>0</v>
      </c>
      <c r="K3681">
        <v>0</v>
      </c>
      <c r="L3681">
        <v>0</v>
      </c>
      <c r="M3681">
        <v>1.29</v>
      </c>
      <c r="N3681" s="7" t="e">
        <f>VLOOKUP(F3681,HC!A$6:D$100,3,FALSE)</f>
        <v>#N/A</v>
      </c>
      <c r="O3681" s="7" t="str">
        <f>VLOOKUP(F3681,HC!A$6:D$1000,2,FALSE)</f>
        <v>marcqgon</v>
      </c>
      <c r="P3681" t="s">
        <v>675</v>
      </c>
      <c r="U3681">
        <f t="shared" si="59"/>
        <v>21</v>
      </c>
    </row>
    <row r="3682" spans="1:21" ht="37.5" customHeight="1" x14ac:dyDescent="0.25">
      <c r="A3682" s="40">
        <v>45218</v>
      </c>
      <c r="B3682" s="13">
        <v>42</v>
      </c>
      <c r="C3682" t="s">
        <v>3</v>
      </c>
      <c r="D3682" t="s">
        <v>4</v>
      </c>
      <c r="E3682" t="s">
        <v>21</v>
      </c>
      <c r="F3682">
        <v>202266131</v>
      </c>
      <c r="G3682" t="s">
        <v>1454</v>
      </c>
      <c r="H3682" t="s">
        <v>49</v>
      </c>
      <c r="I3682">
        <v>0</v>
      </c>
      <c r="J3682">
        <v>0</v>
      </c>
      <c r="K3682">
        <v>0</v>
      </c>
      <c r="L3682">
        <v>0</v>
      </c>
      <c r="M3682">
        <v>0.16</v>
      </c>
      <c r="N3682" s="7" t="e">
        <f>VLOOKUP(F3682,HC!A$6:D$100,3,FALSE)</f>
        <v>#N/A</v>
      </c>
      <c r="O3682" s="7" t="str">
        <f>VLOOKUP(F3682,HC!A$6:D$1000,2,FALSE)</f>
        <v>gguadia</v>
      </c>
      <c r="U3682">
        <f t="shared" si="59"/>
        <v>5</v>
      </c>
    </row>
    <row r="3683" spans="1:21" ht="37.5" customHeight="1" x14ac:dyDescent="0.25">
      <c r="A3683" s="40">
        <v>45218</v>
      </c>
      <c r="B3683" s="13">
        <v>42</v>
      </c>
      <c r="C3683" t="s">
        <v>3</v>
      </c>
      <c r="D3683" t="s">
        <v>4</v>
      </c>
      <c r="E3683" t="s">
        <v>21</v>
      </c>
      <c r="F3683">
        <v>202274001</v>
      </c>
      <c r="G3683" t="s">
        <v>1455</v>
      </c>
      <c r="H3683" t="s">
        <v>403</v>
      </c>
      <c r="I3683">
        <v>0</v>
      </c>
      <c r="J3683">
        <v>0</v>
      </c>
      <c r="K3683">
        <v>0</v>
      </c>
      <c r="L3683">
        <v>0</v>
      </c>
      <c r="M3683">
        <v>1.66</v>
      </c>
      <c r="N3683" s="7" t="e">
        <f>VLOOKUP(F3683,HC!A$6:D$100,3,FALSE)</f>
        <v>#N/A</v>
      </c>
      <c r="O3683" s="7" t="str">
        <f>VLOOKUP(F3683,HC!A$6:D$1000,2,FALSE)</f>
        <v>esmecrey</v>
      </c>
      <c r="U3683">
        <f t="shared" si="59"/>
        <v>4</v>
      </c>
    </row>
    <row r="3684" spans="1:21" ht="37.5" customHeight="1" x14ac:dyDescent="0.25">
      <c r="A3684" s="40">
        <v>45219</v>
      </c>
      <c r="B3684" s="13">
        <v>42</v>
      </c>
      <c r="C3684" t="s">
        <v>3</v>
      </c>
      <c r="D3684" t="s">
        <v>4</v>
      </c>
      <c r="E3684" t="s">
        <v>21</v>
      </c>
      <c r="F3684">
        <v>202282620</v>
      </c>
      <c r="G3684" t="s">
        <v>1456</v>
      </c>
      <c r="H3684" t="s">
        <v>332</v>
      </c>
      <c r="I3684">
        <v>0</v>
      </c>
      <c r="J3684">
        <v>0</v>
      </c>
      <c r="K3684">
        <v>0</v>
      </c>
      <c r="L3684">
        <v>0</v>
      </c>
      <c r="M3684">
        <v>0.34</v>
      </c>
      <c r="N3684" s="7" t="e">
        <f>VLOOKUP(F3684,HC!A$6:D$100,3,FALSE)</f>
        <v>#N/A</v>
      </c>
      <c r="O3684" s="7" t="str">
        <f>VLOOKUP(F3684,HC!A$6:D$1000,2,FALSE)</f>
        <v>eoaup</v>
      </c>
      <c r="U3684">
        <f t="shared" si="59"/>
        <v>1</v>
      </c>
    </row>
    <row r="3685" spans="1:21" ht="37.5" customHeight="1" x14ac:dyDescent="0.25">
      <c r="A3685" s="40">
        <v>45219</v>
      </c>
      <c r="B3685" s="13">
        <v>42</v>
      </c>
      <c r="C3685" t="s">
        <v>3</v>
      </c>
      <c r="D3685" t="s">
        <v>4</v>
      </c>
      <c r="E3685" t="s">
        <v>5</v>
      </c>
      <c r="F3685">
        <v>112950784</v>
      </c>
      <c r="G3685" t="s">
        <v>261</v>
      </c>
      <c r="H3685" t="s">
        <v>282</v>
      </c>
      <c r="I3685">
        <v>0</v>
      </c>
      <c r="J3685">
        <v>0</v>
      </c>
      <c r="K3685">
        <v>0</v>
      </c>
      <c r="L3685">
        <v>0</v>
      </c>
      <c r="M3685">
        <v>0.1</v>
      </c>
      <c r="N3685" s="7" t="str">
        <f>VLOOKUP(F3685,HC!A$6:D$100,3,FALSE)</f>
        <v>NF-X1900</v>
      </c>
      <c r="O3685" s="7" t="str">
        <f>VLOOKUP(F3685,HC!A$6:D$1000,2,FALSE)</f>
        <v>sarojast</v>
      </c>
      <c r="P3685" t="s">
        <v>662</v>
      </c>
      <c r="Q3685" t="s">
        <v>515</v>
      </c>
      <c r="U3685">
        <f t="shared" si="59"/>
        <v>33</v>
      </c>
    </row>
    <row r="3686" spans="1:21" ht="37.5" customHeight="1" x14ac:dyDescent="0.25">
      <c r="A3686" s="40">
        <v>45219</v>
      </c>
      <c r="B3686" s="13">
        <v>42</v>
      </c>
      <c r="C3686" t="s">
        <v>3</v>
      </c>
      <c r="D3686" t="s">
        <v>4</v>
      </c>
      <c r="E3686" t="s">
        <v>5</v>
      </c>
      <c r="F3686">
        <v>112972524</v>
      </c>
      <c r="G3686" t="s">
        <v>312</v>
      </c>
      <c r="H3686" t="s">
        <v>14</v>
      </c>
      <c r="I3686">
        <v>0</v>
      </c>
      <c r="J3686">
        <v>0</v>
      </c>
      <c r="K3686">
        <v>0</v>
      </c>
      <c r="L3686">
        <v>0</v>
      </c>
      <c r="M3686">
        <v>0.41</v>
      </c>
      <c r="N3686" s="7" t="str">
        <f>VLOOKUP(F3686,HC!A$6:D$100,3,FALSE)</f>
        <v>DB-X0700</v>
      </c>
      <c r="O3686" s="7" t="str">
        <f>VLOOKUP(F3686,HC!A$6:D$1000,2,FALSE)</f>
        <v>csantibl</v>
      </c>
      <c r="P3686" t="s">
        <v>664</v>
      </c>
      <c r="Q3686" t="s">
        <v>420</v>
      </c>
      <c r="U3686">
        <f t="shared" si="59"/>
        <v>17</v>
      </c>
    </row>
    <row r="3687" spans="1:21" ht="37.5" customHeight="1" x14ac:dyDescent="0.25">
      <c r="A3687" s="40">
        <v>45219</v>
      </c>
      <c r="B3687" s="13">
        <v>42</v>
      </c>
      <c r="C3687" t="s">
        <v>3</v>
      </c>
      <c r="D3687" t="s">
        <v>4</v>
      </c>
      <c r="E3687" t="s">
        <v>21</v>
      </c>
      <c r="F3687">
        <v>113014081</v>
      </c>
      <c r="G3687" t="s">
        <v>267</v>
      </c>
      <c r="H3687" t="s">
        <v>9</v>
      </c>
      <c r="I3687">
        <v>0</v>
      </c>
      <c r="J3687">
        <v>0</v>
      </c>
      <c r="K3687">
        <v>0</v>
      </c>
      <c r="L3687">
        <v>0</v>
      </c>
      <c r="M3687">
        <v>0.94</v>
      </c>
      <c r="N3687" s="7" t="e">
        <f>VLOOKUP(F3687,HC!A$6:D$100,3,FALSE)</f>
        <v>#N/A</v>
      </c>
      <c r="O3687" s="7" t="str">
        <f>VLOOKUP(F3687,HC!A$6:D$1000,2,FALSE)</f>
        <v>fraugene</v>
      </c>
      <c r="P3687" t="s">
        <v>664</v>
      </c>
      <c r="Q3687" t="s">
        <v>420</v>
      </c>
      <c r="U3687">
        <f t="shared" si="59"/>
        <v>32</v>
      </c>
    </row>
    <row r="3688" spans="1:21" ht="37.5" customHeight="1" x14ac:dyDescent="0.25">
      <c r="A3688" s="40">
        <v>45219</v>
      </c>
      <c r="B3688" s="13">
        <v>42</v>
      </c>
      <c r="C3688" t="s">
        <v>3</v>
      </c>
      <c r="D3688" t="s">
        <v>4</v>
      </c>
      <c r="E3688" t="s">
        <v>5</v>
      </c>
      <c r="F3688">
        <v>113020476</v>
      </c>
      <c r="G3688" t="s">
        <v>330</v>
      </c>
      <c r="H3688" t="s">
        <v>298</v>
      </c>
      <c r="I3688">
        <v>0</v>
      </c>
      <c r="J3688">
        <v>0</v>
      </c>
      <c r="K3688">
        <v>0</v>
      </c>
      <c r="L3688">
        <v>0</v>
      </c>
      <c r="M3688">
        <v>0.45</v>
      </c>
      <c r="N3688" s="7" t="e">
        <f>VLOOKUP(F3688,HC!A$6:D$100,3,FALSE)</f>
        <v>#N/A</v>
      </c>
      <c r="O3688" s="7" t="str">
        <f>VLOOKUP(F3688,HC!A$6:D$1000,2,FALSE)</f>
        <v>polettpu</v>
      </c>
      <c r="P3688" t="s">
        <v>661</v>
      </c>
      <c r="Q3688" t="s">
        <v>467</v>
      </c>
      <c r="U3688">
        <f t="shared" si="59"/>
        <v>55</v>
      </c>
    </row>
    <row r="3689" spans="1:21" ht="37.5" customHeight="1" x14ac:dyDescent="0.25">
      <c r="A3689" s="40">
        <v>45219</v>
      </c>
      <c r="B3689" s="13">
        <v>42</v>
      </c>
      <c r="C3689" t="s">
        <v>3</v>
      </c>
      <c r="D3689" t="s">
        <v>4</v>
      </c>
      <c r="E3689" t="s">
        <v>5</v>
      </c>
      <c r="F3689">
        <v>201211157</v>
      </c>
      <c r="G3689" t="s">
        <v>936</v>
      </c>
      <c r="H3689" t="s">
        <v>282</v>
      </c>
      <c r="I3689">
        <v>0</v>
      </c>
      <c r="J3689">
        <v>0</v>
      </c>
      <c r="K3689">
        <v>0</v>
      </c>
      <c r="L3689">
        <v>0</v>
      </c>
      <c r="M3689">
        <v>0.45</v>
      </c>
      <c r="N3689" s="7" t="e">
        <f>VLOOKUP(F3689,HC!A$6:D$100,3,FALSE)</f>
        <v>#N/A</v>
      </c>
      <c r="O3689" s="7" t="str">
        <f>VLOOKUP(F3689,HC!A$6:D$1000,2,FALSE)</f>
        <v>vargajed</v>
      </c>
      <c r="P3689" t="s">
        <v>670</v>
      </c>
      <c r="Q3689" t="s">
        <v>1460</v>
      </c>
      <c r="U3689">
        <f t="shared" si="59"/>
        <v>17</v>
      </c>
    </row>
    <row r="3690" spans="1:21" ht="37.5" customHeight="1" x14ac:dyDescent="0.25">
      <c r="A3690" s="40">
        <v>45219</v>
      </c>
      <c r="B3690" s="13">
        <v>42</v>
      </c>
      <c r="C3690" t="s">
        <v>3</v>
      </c>
      <c r="D3690" t="s">
        <v>4</v>
      </c>
      <c r="E3690" t="s">
        <v>5</v>
      </c>
      <c r="F3690">
        <v>201223730</v>
      </c>
      <c r="G3690" t="s">
        <v>933</v>
      </c>
      <c r="H3690" t="s">
        <v>298</v>
      </c>
      <c r="I3690">
        <v>0</v>
      </c>
      <c r="J3690">
        <v>0</v>
      </c>
      <c r="K3690">
        <v>0</v>
      </c>
      <c r="L3690">
        <v>0</v>
      </c>
      <c r="M3690">
        <v>1.2</v>
      </c>
      <c r="N3690" s="7" t="e">
        <f>VLOOKUP(F3690,HC!A$6:D$100,3,FALSE)</f>
        <v>#N/A</v>
      </c>
      <c r="O3690" s="7" t="str">
        <f>VLOOKUP(F3690,HC!A$6:D$1000,2,FALSE)</f>
        <v>cesarito</v>
      </c>
      <c r="P3690" t="s">
        <v>675</v>
      </c>
      <c r="U3690">
        <f t="shared" si="59"/>
        <v>39</v>
      </c>
    </row>
    <row r="3691" spans="1:21" ht="37.5" customHeight="1" x14ac:dyDescent="0.25">
      <c r="A3691" s="40">
        <v>45219</v>
      </c>
      <c r="B3691" s="13">
        <v>42</v>
      </c>
      <c r="C3691" t="s">
        <v>3</v>
      </c>
      <c r="D3691" t="s">
        <v>4</v>
      </c>
      <c r="E3691" t="s">
        <v>5</v>
      </c>
      <c r="F3691">
        <v>201228411</v>
      </c>
      <c r="G3691" t="s">
        <v>938</v>
      </c>
      <c r="H3691" t="s">
        <v>298</v>
      </c>
      <c r="I3691">
        <v>0</v>
      </c>
      <c r="J3691">
        <v>0</v>
      </c>
      <c r="K3691">
        <v>0</v>
      </c>
      <c r="L3691">
        <v>0</v>
      </c>
      <c r="M3691">
        <v>1.37</v>
      </c>
      <c r="N3691" s="7" t="e">
        <f>VLOOKUP(F3691,HC!A$6:D$100,3,FALSE)</f>
        <v>#N/A</v>
      </c>
      <c r="O3691" s="7" t="str">
        <f>VLOOKUP(F3691,HC!A$6:D$1000,2,FALSE)</f>
        <v>jazmiwhe</v>
      </c>
      <c r="P3691" t="s">
        <v>675</v>
      </c>
      <c r="U3691">
        <f t="shared" si="59"/>
        <v>36</v>
      </c>
    </row>
    <row r="3692" spans="1:21" ht="37.5" customHeight="1" x14ac:dyDescent="0.25">
      <c r="A3692" s="40">
        <v>45219</v>
      </c>
      <c r="B3692" s="13">
        <v>42</v>
      </c>
      <c r="C3692" t="s">
        <v>3</v>
      </c>
      <c r="D3692" t="s">
        <v>4</v>
      </c>
      <c r="E3692" t="s">
        <v>21</v>
      </c>
      <c r="F3692">
        <v>201906503</v>
      </c>
      <c r="G3692" t="s">
        <v>1228</v>
      </c>
      <c r="H3692" t="s">
        <v>9</v>
      </c>
      <c r="I3692">
        <v>0</v>
      </c>
      <c r="J3692">
        <v>0</v>
      </c>
      <c r="K3692">
        <v>0</v>
      </c>
      <c r="L3692">
        <v>0</v>
      </c>
      <c r="M3692">
        <v>0.15</v>
      </c>
      <c r="N3692" s="7" t="e">
        <f>VLOOKUP(F3692,HC!A$6:D$100,3,FALSE)</f>
        <v>#N/A</v>
      </c>
      <c r="O3692" s="7" t="str">
        <f>VLOOKUP(F3692,HC!A$6:D$1000,2,FALSE)</f>
        <v>mqjennif</v>
      </c>
      <c r="P3692" t="s">
        <v>662</v>
      </c>
      <c r="Q3692" t="s">
        <v>687</v>
      </c>
      <c r="U3692">
        <f t="shared" si="59"/>
        <v>11</v>
      </c>
    </row>
    <row r="3693" spans="1:21" ht="37.5" customHeight="1" x14ac:dyDescent="0.25">
      <c r="A3693" s="40">
        <v>45219</v>
      </c>
      <c r="B3693" s="13">
        <v>42</v>
      </c>
      <c r="C3693" t="s">
        <v>3</v>
      </c>
      <c r="D3693" t="s">
        <v>4</v>
      </c>
      <c r="E3693" t="s">
        <v>21</v>
      </c>
      <c r="F3693">
        <v>202068119</v>
      </c>
      <c r="G3693" t="s">
        <v>1428</v>
      </c>
      <c r="H3693" t="s">
        <v>9</v>
      </c>
      <c r="I3693">
        <v>0</v>
      </c>
      <c r="J3693">
        <v>0</v>
      </c>
      <c r="K3693">
        <v>0</v>
      </c>
      <c r="L3693">
        <v>0</v>
      </c>
      <c r="M3693">
        <v>0.02</v>
      </c>
      <c r="N3693" s="7" t="e">
        <f>VLOOKUP(F3693,HC!A$6:D$100,3,FALSE)</f>
        <v>#N/A</v>
      </c>
      <c r="O3693" s="7" t="str">
        <f>VLOOKUP(F3693,HC!A$6:D$1000,2,FALSE)</f>
        <v>casosaul</v>
      </c>
      <c r="P3693" t="s">
        <v>661</v>
      </c>
      <c r="Q3693" t="s">
        <v>775</v>
      </c>
      <c r="U3693">
        <f t="shared" si="59"/>
        <v>5</v>
      </c>
    </row>
    <row r="3694" spans="1:21" ht="37.5" customHeight="1" x14ac:dyDescent="0.25">
      <c r="A3694" s="40">
        <v>45219</v>
      </c>
      <c r="B3694" s="13">
        <v>42</v>
      </c>
      <c r="C3694" t="s">
        <v>3</v>
      </c>
      <c r="D3694" t="s">
        <v>4</v>
      </c>
      <c r="E3694" t="s">
        <v>21</v>
      </c>
      <c r="F3694">
        <v>202081527</v>
      </c>
      <c r="G3694" t="s">
        <v>1273</v>
      </c>
      <c r="H3694" t="s">
        <v>14</v>
      </c>
      <c r="I3694">
        <v>0</v>
      </c>
      <c r="J3694">
        <v>0</v>
      </c>
      <c r="K3694">
        <v>0</v>
      </c>
      <c r="L3694">
        <v>0</v>
      </c>
      <c r="M3694">
        <v>0.56000000000000005</v>
      </c>
      <c r="N3694" s="7" t="e">
        <f>VLOOKUP(F3694,HC!A$6:D$100,3,FALSE)</f>
        <v>#N/A</v>
      </c>
      <c r="O3694" s="7" t="str">
        <f>VLOOKUP(F3694,HC!A$6:D$1000,2,FALSE)</f>
        <v>efrmartw</v>
      </c>
      <c r="P3694" t="s">
        <v>661</v>
      </c>
      <c r="Q3694" t="s">
        <v>681</v>
      </c>
      <c r="U3694">
        <f t="shared" si="59"/>
        <v>12</v>
      </c>
    </row>
    <row r="3695" spans="1:21" ht="37.5" customHeight="1" x14ac:dyDescent="0.25">
      <c r="A3695" s="40">
        <v>45219</v>
      </c>
      <c r="B3695" s="13">
        <v>42</v>
      </c>
      <c r="C3695" t="s">
        <v>3</v>
      </c>
      <c r="D3695" t="s">
        <v>4</v>
      </c>
      <c r="E3695" t="s">
        <v>21</v>
      </c>
      <c r="F3695">
        <v>202165242</v>
      </c>
      <c r="G3695" t="s">
        <v>1412</v>
      </c>
      <c r="H3695" t="s">
        <v>403</v>
      </c>
      <c r="I3695">
        <v>0</v>
      </c>
      <c r="J3695">
        <v>0</v>
      </c>
      <c r="K3695">
        <v>0</v>
      </c>
      <c r="L3695">
        <v>0</v>
      </c>
      <c r="M3695">
        <v>0.72</v>
      </c>
      <c r="N3695" s="7" t="e">
        <f>VLOOKUP(F3695,HC!A$6:D$100,3,FALSE)</f>
        <v>#N/A</v>
      </c>
      <c r="O3695" s="7" t="str">
        <f>VLOOKUP(F3695,HC!A$6:D$1000,2,FALSE)</f>
        <v>marcqgon</v>
      </c>
      <c r="P3695" t="s">
        <v>675</v>
      </c>
      <c r="U3695">
        <f t="shared" si="59"/>
        <v>21</v>
      </c>
    </row>
    <row r="3696" spans="1:21" ht="37.5" customHeight="1" x14ac:dyDescent="0.25">
      <c r="A3696" s="40">
        <v>45219</v>
      </c>
      <c r="B3696" s="13">
        <v>42</v>
      </c>
      <c r="C3696" t="s">
        <v>3</v>
      </c>
      <c r="D3696" t="s">
        <v>4</v>
      </c>
      <c r="E3696" t="s">
        <v>21</v>
      </c>
      <c r="F3696">
        <v>202185231</v>
      </c>
      <c r="G3696" t="s">
        <v>1424</v>
      </c>
      <c r="H3696" t="s">
        <v>285</v>
      </c>
      <c r="I3696">
        <v>0</v>
      </c>
      <c r="J3696">
        <v>0</v>
      </c>
      <c r="K3696">
        <v>0</v>
      </c>
      <c r="L3696">
        <v>0</v>
      </c>
      <c r="M3696">
        <v>0.12</v>
      </c>
      <c r="N3696" s="7" t="e">
        <f>VLOOKUP(F3696,HC!A$6:D$100,3,FALSE)</f>
        <v>#N/A</v>
      </c>
      <c r="O3696" s="7" t="str">
        <f>VLOOKUP(F3696,HC!A$6:D$1000,2,FALSE)</f>
        <v>davazquq</v>
      </c>
      <c r="U3696">
        <f t="shared" si="59"/>
        <v>7</v>
      </c>
    </row>
    <row r="3697" spans="1:21" ht="37.5" customHeight="1" x14ac:dyDescent="0.25">
      <c r="A3697" s="40">
        <v>45219</v>
      </c>
      <c r="B3697" s="13">
        <v>42</v>
      </c>
      <c r="C3697" t="s">
        <v>3</v>
      </c>
      <c r="D3697" t="s">
        <v>4</v>
      </c>
      <c r="E3697" t="s">
        <v>21</v>
      </c>
      <c r="F3697">
        <v>202189084</v>
      </c>
      <c r="G3697" t="s">
        <v>1457</v>
      </c>
      <c r="H3697" t="s">
        <v>1040</v>
      </c>
      <c r="I3697">
        <v>0</v>
      </c>
      <c r="J3697">
        <v>0</v>
      </c>
      <c r="K3697">
        <v>0</v>
      </c>
      <c r="L3697">
        <v>0</v>
      </c>
      <c r="M3697">
        <v>0.11</v>
      </c>
      <c r="N3697" s="7" t="e">
        <f>VLOOKUP(F3697,HC!A$6:D$100,3,FALSE)</f>
        <v>#N/A</v>
      </c>
      <c r="O3697" s="7" t="str">
        <f>VLOOKUP(F3697,HC!A$6:D$1000,2,FALSE)</f>
        <v>zusebast</v>
      </c>
      <c r="U3697">
        <f t="shared" si="59"/>
        <v>1</v>
      </c>
    </row>
    <row r="3698" spans="1:21" ht="37.5" customHeight="1" x14ac:dyDescent="0.25">
      <c r="A3698" s="40">
        <v>45219</v>
      </c>
      <c r="B3698" s="13">
        <v>42</v>
      </c>
      <c r="C3698" t="s">
        <v>3</v>
      </c>
      <c r="D3698" t="s">
        <v>4</v>
      </c>
      <c r="E3698" t="s">
        <v>21</v>
      </c>
      <c r="F3698">
        <v>202189809</v>
      </c>
      <c r="G3698" t="s">
        <v>1458</v>
      </c>
      <c r="H3698" t="s">
        <v>285</v>
      </c>
      <c r="I3698">
        <v>0</v>
      </c>
      <c r="J3698">
        <v>0</v>
      </c>
      <c r="K3698">
        <v>0</v>
      </c>
      <c r="L3698">
        <v>0</v>
      </c>
      <c r="M3698">
        <v>1.1299999999999999</v>
      </c>
      <c r="N3698" s="7" t="e">
        <f>VLOOKUP(F3698,HC!A$6:D$100,3,FALSE)</f>
        <v>#N/A</v>
      </c>
      <c r="O3698" s="7" t="str">
        <f>VLOOKUP(F3698,HC!A$6:D$1000,2,FALSE)</f>
        <v>pmarilun</v>
      </c>
      <c r="P3698" t="s">
        <v>670</v>
      </c>
      <c r="Q3698" t="s">
        <v>749</v>
      </c>
      <c r="U3698">
        <f t="shared" si="59"/>
        <v>4</v>
      </c>
    </row>
    <row r="3699" spans="1:21" ht="37.5" customHeight="1" x14ac:dyDescent="0.25">
      <c r="A3699" s="40">
        <v>45219</v>
      </c>
      <c r="B3699" s="13">
        <v>42</v>
      </c>
      <c r="C3699" t="s">
        <v>3</v>
      </c>
      <c r="D3699" t="s">
        <v>4</v>
      </c>
      <c r="E3699" t="s">
        <v>21</v>
      </c>
      <c r="F3699">
        <v>202309038</v>
      </c>
      <c r="G3699" t="s">
        <v>1459</v>
      </c>
      <c r="H3699" t="s">
        <v>282</v>
      </c>
      <c r="I3699">
        <v>0</v>
      </c>
      <c r="J3699">
        <v>0</v>
      </c>
      <c r="K3699">
        <v>0</v>
      </c>
      <c r="L3699">
        <v>0</v>
      </c>
      <c r="M3699">
        <v>0.15</v>
      </c>
      <c r="N3699" s="7" t="e">
        <f>VLOOKUP(F3699,HC!A$6:D$100,3,FALSE)</f>
        <v>#N/A</v>
      </c>
      <c r="O3699" s="7" t="str">
        <f>VLOOKUP(F3699,HC!A$6:D$1000,2,FALSE)</f>
        <v>dantonse</v>
      </c>
      <c r="U3699">
        <f t="shared" si="59"/>
        <v>1</v>
      </c>
    </row>
    <row r="3700" spans="1:21" ht="37.5" customHeight="1" x14ac:dyDescent="0.25">
      <c r="A3700" s="40">
        <v>45220</v>
      </c>
      <c r="B3700" s="13">
        <v>42</v>
      </c>
      <c r="C3700" t="s">
        <v>3</v>
      </c>
      <c r="D3700" t="s">
        <v>4</v>
      </c>
      <c r="E3700" t="s">
        <v>5</v>
      </c>
      <c r="F3700">
        <v>112971962</v>
      </c>
      <c r="G3700" t="s">
        <v>338</v>
      </c>
      <c r="H3700" t="s">
        <v>298</v>
      </c>
      <c r="I3700">
        <v>0</v>
      </c>
      <c r="J3700">
        <v>0</v>
      </c>
      <c r="K3700">
        <v>0</v>
      </c>
      <c r="L3700">
        <v>0</v>
      </c>
      <c r="M3700">
        <v>0.34</v>
      </c>
      <c r="N3700" s="7" t="str">
        <f>VLOOKUP(F3700,HC!A$6:D$100,3,FALSE)</f>
        <v>DB-X0700</v>
      </c>
      <c r="O3700" s="7" t="str">
        <f>VLOOKUP(F3700,HC!A$6:D$1000,2,FALSE)</f>
        <v>creyesal</v>
      </c>
      <c r="P3700" t="s">
        <v>664</v>
      </c>
      <c r="Q3700" t="s">
        <v>420</v>
      </c>
      <c r="U3700">
        <f t="shared" si="59"/>
        <v>38</v>
      </c>
    </row>
    <row r="3701" spans="1:21" ht="37.5" customHeight="1" x14ac:dyDescent="0.25">
      <c r="A3701" s="40">
        <v>45220</v>
      </c>
      <c r="B3701" s="13">
        <v>42</v>
      </c>
      <c r="C3701" t="s">
        <v>3</v>
      </c>
      <c r="D3701" t="s">
        <v>4</v>
      </c>
      <c r="E3701" t="s">
        <v>5</v>
      </c>
      <c r="F3701">
        <v>112972215</v>
      </c>
      <c r="G3701" t="s">
        <v>984</v>
      </c>
      <c r="H3701" t="s">
        <v>298</v>
      </c>
      <c r="I3701">
        <v>0</v>
      </c>
      <c r="J3701">
        <v>0</v>
      </c>
      <c r="K3701">
        <v>0</v>
      </c>
      <c r="L3701">
        <v>0</v>
      </c>
      <c r="M3701">
        <v>1.19</v>
      </c>
      <c r="N3701" s="7" t="str">
        <f>VLOOKUP(F3701,HC!A$6:D$100,3,FALSE)</f>
        <v>DB-X0700</v>
      </c>
      <c r="O3701" s="7" t="str">
        <f>VLOOKUP(F3701,HC!A$6:D$1000,2,FALSE)</f>
        <v>cruzbana</v>
      </c>
      <c r="P3701" t="s">
        <v>661</v>
      </c>
      <c r="Q3701" t="s">
        <v>681</v>
      </c>
      <c r="U3701">
        <f t="shared" si="59"/>
        <v>16</v>
      </c>
    </row>
    <row r="3702" spans="1:21" ht="37.5" customHeight="1" x14ac:dyDescent="0.25">
      <c r="A3702" s="40">
        <v>45220</v>
      </c>
      <c r="B3702" s="13">
        <v>42</v>
      </c>
      <c r="C3702" t="s">
        <v>3</v>
      </c>
      <c r="D3702" t="s">
        <v>4</v>
      </c>
      <c r="E3702" t="s">
        <v>5</v>
      </c>
      <c r="F3702">
        <v>113003510</v>
      </c>
      <c r="G3702" t="s">
        <v>913</v>
      </c>
      <c r="H3702" t="s">
        <v>403</v>
      </c>
      <c r="I3702">
        <v>0</v>
      </c>
      <c r="J3702">
        <v>0</v>
      </c>
      <c r="K3702">
        <v>0</v>
      </c>
      <c r="L3702">
        <v>0</v>
      </c>
      <c r="M3702">
        <v>0.11</v>
      </c>
      <c r="N3702" s="7" t="e">
        <f>VLOOKUP(F3702,HC!A$6:D$100,3,FALSE)</f>
        <v>#N/A</v>
      </c>
      <c r="O3702" s="7" t="str">
        <f>VLOOKUP(F3702,HC!A$6:D$1000,2,FALSE)</f>
        <v>nperezmc</v>
      </c>
      <c r="P3702" t="s">
        <v>664</v>
      </c>
      <c r="Q3702" t="s">
        <v>777</v>
      </c>
      <c r="U3702">
        <f t="shared" si="59"/>
        <v>12</v>
      </c>
    </row>
    <row r="3703" spans="1:21" ht="37.5" customHeight="1" x14ac:dyDescent="0.25">
      <c r="A3703" s="40">
        <v>45220</v>
      </c>
      <c r="B3703" s="13">
        <v>42</v>
      </c>
      <c r="C3703" t="s">
        <v>3</v>
      </c>
      <c r="D3703" t="s">
        <v>4</v>
      </c>
      <c r="E3703" t="s">
        <v>21</v>
      </c>
      <c r="F3703">
        <v>113014081</v>
      </c>
      <c r="G3703" t="s">
        <v>267</v>
      </c>
      <c r="H3703" t="s">
        <v>9</v>
      </c>
      <c r="I3703">
        <v>0</v>
      </c>
      <c r="J3703">
        <v>0</v>
      </c>
      <c r="K3703">
        <v>0</v>
      </c>
      <c r="L3703">
        <v>0</v>
      </c>
      <c r="M3703">
        <v>0.61</v>
      </c>
      <c r="N3703" s="7" t="e">
        <f>VLOOKUP(F3703,HC!A$6:D$100,3,FALSE)</f>
        <v>#N/A</v>
      </c>
      <c r="O3703" s="7" t="str">
        <f>VLOOKUP(F3703,HC!A$6:D$1000,2,FALSE)</f>
        <v>fraugene</v>
      </c>
      <c r="P3703" t="s">
        <v>664</v>
      </c>
      <c r="Q3703" t="s">
        <v>420</v>
      </c>
      <c r="U3703">
        <f t="shared" si="59"/>
        <v>32</v>
      </c>
    </row>
    <row r="3704" spans="1:21" ht="37.5" customHeight="1" x14ac:dyDescent="0.25">
      <c r="A3704" s="40">
        <v>45220</v>
      </c>
      <c r="B3704" s="13">
        <v>42</v>
      </c>
      <c r="C3704" t="s">
        <v>3</v>
      </c>
      <c r="D3704" t="s">
        <v>4</v>
      </c>
      <c r="E3704" t="s">
        <v>5</v>
      </c>
      <c r="F3704">
        <v>113014560</v>
      </c>
      <c r="G3704" t="s">
        <v>599</v>
      </c>
      <c r="H3704" t="s">
        <v>298</v>
      </c>
      <c r="I3704">
        <v>0</v>
      </c>
      <c r="J3704">
        <v>0</v>
      </c>
      <c r="K3704">
        <v>0</v>
      </c>
      <c r="L3704">
        <v>0</v>
      </c>
      <c r="M3704">
        <v>1.72</v>
      </c>
      <c r="N3704" s="7" t="e">
        <f>VLOOKUP(F3704,HC!A$6:D$100,3,FALSE)</f>
        <v>#N/A</v>
      </c>
      <c r="O3704" s="7" t="str">
        <f>VLOOKUP(F3704,HC!A$6:D$1000,2,FALSE)</f>
        <v>zlopamer</v>
      </c>
      <c r="P3704" t="s">
        <v>662</v>
      </c>
      <c r="Q3704" t="s">
        <v>418</v>
      </c>
      <c r="U3704">
        <f t="shared" si="59"/>
        <v>15</v>
      </c>
    </row>
    <row r="3705" spans="1:21" ht="37.5" customHeight="1" x14ac:dyDescent="0.25">
      <c r="A3705" s="40">
        <v>45220</v>
      </c>
      <c r="B3705" s="13">
        <v>42</v>
      </c>
      <c r="C3705" t="s">
        <v>3</v>
      </c>
      <c r="D3705" t="s">
        <v>4</v>
      </c>
      <c r="E3705" t="s">
        <v>5</v>
      </c>
      <c r="F3705">
        <v>113101262</v>
      </c>
      <c r="G3705" t="s">
        <v>642</v>
      </c>
      <c r="H3705" t="s">
        <v>298</v>
      </c>
      <c r="I3705">
        <v>0</v>
      </c>
      <c r="J3705">
        <v>0</v>
      </c>
      <c r="K3705">
        <v>0</v>
      </c>
      <c r="L3705">
        <v>0</v>
      </c>
      <c r="M3705">
        <v>0.86</v>
      </c>
      <c r="N3705" s="7" t="e">
        <f>VLOOKUP(F3705,HC!A$6:D$100,3,FALSE)</f>
        <v>#N/A</v>
      </c>
      <c r="O3705" s="7" t="str">
        <f>VLOOKUP(F3705,HC!A$6:D$1000,2,FALSE)</f>
        <v>cetinocr</v>
      </c>
      <c r="P3705" t="s">
        <v>664</v>
      </c>
      <c r="Q3705" t="s">
        <v>711</v>
      </c>
      <c r="U3705">
        <f t="shared" si="59"/>
        <v>6</v>
      </c>
    </row>
    <row r="3706" spans="1:21" ht="37.5" customHeight="1" x14ac:dyDescent="0.25">
      <c r="A3706" s="40">
        <v>45220</v>
      </c>
      <c r="B3706" s="13">
        <v>42</v>
      </c>
      <c r="C3706" t="s">
        <v>3</v>
      </c>
      <c r="D3706" t="s">
        <v>4</v>
      </c>
      <c r="E3706" t="s">
        <v>5</v>
      </c>
      <c r="F3706">
        <v>200562154</v>
      </c>
      <c r="G3706" t="s">
        <v>437</v>
      </c>
      <c r="H3706" t="s">
        <v>285</v>
      </c>
      <c r="I3706">
        <v>0</v>
      </c>
      <c r="J3706">
        <v>0</v>
      </c>
      <c r="K3706">
        <v>0</v>
      </c>
      <c r="L3706">
        <v>0</v>
      </c>
      <c r="M3706">
        <v>0.15</v>
      </c>
      <c r="N3706" s="7" t="e">
        <f>VLOOKUP(F3706,HC!A$6:D$100,3,FALSE)</f>
        <v>#N/A</v>
      </c>
      <c r="O3706" s="7" t="str">
        <f>VLOOKUP(F3706,HC!A$6:D$1000,2,FALSE)</f>
        <v>reyesmcw</v>
      </c>
      <c r="P3706" t="s">
        <v>663</v>
      </c>
      <c r="Q3706" t="s">
        <v>692</v>
      </c>
      <c r="U3706">
        <f t="shared" si="59"/>
        <v>38</v>
      </c>
    </row>
    <row r="3707" spans="1:21" ht="37.5" customHeight="1" x14ac:dyDescent="0.25">
      <c r="A3707" s="40">
        <v>45220</v>
      </c>
      <c r="B3707" s="13">
        <v>42</v>
      </c>
      <c r="C3707" t="s">
        <v>3</v>
      </c>
      <c r="D3707" t="s">
        <v>4</v>
      </c>
      <c r="E3707" t="s">
        <v>5</v>
      </c>
      <c r="F3707">
        <v>200574655</v>
      </c>
      <c r="G3707" t="s">
        <v>630</v>
      </c>
      <c r="H3707" t="s">
        <v>298</v>
      </c>
      <c r="I3707">
        <v>0</v>
      </c>
      <c r="J3707">
        <v>0</v>
      </c>
      <c r="K3707">
        <v>0</v>
      </c>
      <c r="L3707">
        <v>0</v>
      </c>
      <c r="M3707">
        <v>0.15</v>
      </c>
      <c r="N3707" s="7" t="e">
        <f>VLOOKUP(F3707,HC!A$6:D$100,3,FALSE)</f>
        <v>#N/A</v>
      </c>
      <c r="O3707" s="7" t="str">
        <f>VLOOKUP(F3707,HC!A$6:D$1000,2,FALSE)</f>
        <v>dulceami</v>
      </c>
      <c r="P3707" t="s">
        <v>661</v>
      </c>
      <c r="Q3707" t="s">
        <v>681</v>
      </c>
      <c r="U3707">
        <f t="shared" si="59"/>
        <v>20</v>
      </c>
    </row>
    <row r="3708" spans="1:21" ht="37.5" customHeight="1" x14ac:dyDescent="0.25">
      <c r="A3708" s="40">
        <v>45220</v>
      </c>
      <c r="B3708" s="13">
        <v>42</v>
      </c>
      <c r="C3708" t="s">
        <v>3</v>
      </c>
      <c r="D3708" t="s">
        <v>4</v>
      </c>
      <c r="E3708" t="s">
        <v>5</v>
      </c>
      <c r="F3708">
        <v>201223730</v>
      </c>
      <c r="G3708" t="s">
        <v>933</v>
      </c>
      <c r="H3708" t="s">
        <v>298</v>
      </c>
      <c r="I3708">
        <v>0</v>
      </c>
      <c r="J3708">
        <v>0</v>
      </c>
      <c r="K3708">
        <v>0</v>
      </c>
      <c r="L3708">
        <v>0</v>
      </c>
      <c r="M3708">
        <v>0.47</v>
      </c>
      <c r="N3708" s="7" t="e">
        <f>VLOOKUP(F3708,HC!A$6:D$100,3,FALSE)</f>
        <v>#N/A</v>
      </c>
      <c r="O3708" s="7" t="str">
        <f>VLOOKUP(F3708,HC!A$6:D$1000,2,FALSE)</f>
        <v>cesarito</v>
      </c>
      <c r="P3708" t="s">
        <v>675</v>
      </c>
      <c r="Q3708" t="s">
        <v>632</v>
      </c>
      <c r="U3708">
        <f t="shared" si="59"/>
        <v>39</v>
      </c>
    </row>
    <row r="3709" spans="1:21" ht="37.5" customHeight="1" x14ac:dyDescent="0.25">
      <c r="A3709" s="40">
        <v>45220</v>
      </c>
      <c r="B3709" s="13">
        <v>42</v>
      </c>
      <c r="C3709" t="s">
        <v>3</v>
      </c>
      <c r="D3709" t="s">
        <v>4</v>
      </c>
      <c r="E3709" t="s">
        <v>5</v>
      </c>
      <c r="F3709">
        <v>201228411</v>
      </c>
      <c r="G3709" t="s">
        <v>938</v>
      </c>
      <c r="H3709" t="s">
        <v>298</v>
      </c>
      <c r="I3709">
        <v>0</v>
      </c>
      <c r="J3709">
        <v>0</v>
      </c>
      <c r="K3709">
        <v>0</v>
      </c>
      <c r="L3709">
        <v>0</v>
      </c>
      <c r="M3709">
        <v>1.46</v>
      </c>
      <c r="N3709" s="7" t="e">
        <f>VLOOKUP(F3709,HC!A$6:D$100,3,FALSE)</f>
        <v>#N/A</v>
      </c>
      <c r="O3709" s="7" t="str">
        <f>VLOOKUP(F3709,HC!A$6:D$1000,2,FALSE)</f>
        <v>jazmiwhe</v>
      </c>
      <c r="P3709" t="s">
        <v>675</v>
      </c>
      <c r="Q3709" t="s">
        <v>632</v>
      </c>
      <c r="U3709">
        <f t="shared" si="59"/>
        <v>36</v>
      </c>
    </row>
    <row r="3710" spans="1:21" ht="37.5" customHeight="1" x14ac:dyDescent="0.25">
      <c r="A3710" s="40">
        <v>45220</v>
      </c>
      <c r="B3710" s="13">
        <v>42</v>
      </c>
      <c r="C3710" t="s">
        <v>3</v>
      </c>
      <c r="D3710" t="s">
        <v>4</v>
      </c>
      <c r="E3710" t="s">
        <v>21</v>
      </c>
      <c r="F3710">
        <v>201906503</v>
      </c>
      <c r="G3710" t="s">
        <v>1228</v>
      </c>
      <c r="H3710" t="s">
        <v>9</v>
      </c>
      <c r="I3710">
        <v>0</v>
      </c>
      <c r="J3710">
        <v>0</v>
      </c>
      <c r="K3710">
        <v>0</v>
      </c>
      <c r="L3710">
        <v>0</v>
      </c>
      <c r="M3710">
        <v>0.16</v>
      </c>
      <c r="N3710" s="7" t="e">
        <f>VLOOKUP(F3710,HC!A$6:D$100,3,FALSE)</f>
        <v>#N/A</v>
      </c>
      <c r="O3710" s="7" t="str">
        <f>VLOOKUP(F3710,HC!A$6:D$1000,2,FALSE)</f>
        <v>mqjennif</v>
      </c>
      <c r="P3710" t="s">
        <v>661</v>
      </c>
      <c r="Q3710" t="s">
        <v>681</v>
      </c>
      <c r="U3710">
        <f t="shared" si="59"/>
        <v>11</v>
      </c>
    </row>
    <row r="3711" spans="1:21" ht="37.5" customHeight="1" x14ac:dyDescent="0.25">
      <c r="A3711" s="40">
        <v>45220</v>
      </c>
      <c r="B3711" s="13">
        <v>42</v>
      </c>
      <c r="C3711" t="s">
        <v>3</v>
      </c>
      <c r="D3711" t="s">
        <v>4</v>
      </c>
      <c r="E3711" t="s">
        <v>21</v>
      </c>
      <c r="F3711">
        <v>202165242</v>
      </c>
      <c r="G3711" t="s">
        <v>1412</v>
      </c>
      <c r="H3711" t="s">
        <v>403</v>
      </c>
      <c r="I3711">
        <v>0</v>
      </c>
      <c r="J3711">
        <v>0</v>
      </c>
      <c r="K3711">
        <v>0</v>
      </c>
      <c r="L3711">
        <v>0</v>
      </c>
      <c r="M3711">
        <v>0.24</v>
      </c>
      <c r="N3711" s="7" t="e">
        <f>VLOOKUP(F3711,HC!A$6:D$100,3,FALSE)</f>
        <v>#N/A</v>
      </c>
      <c r="O3711" s="7" t="str">
        <f>VLOOKUP(F3711,HC!A$6:D$1000,2,FALSE)</f>
        <v>marcqgon</v>
      </c>
      <c r="P3711" t="s">
        <v>664</v>
      </c>
      <c r="Q3711" t="s">
        <v>1463</v>
      </c>
      <c r="U3711">
        <f t="shared" si="59"/>
        <v>21</v>
      </c>
    </row>
    <row r="3712" spans="1:21" ht="37.5" customHeight="1" x14ac:dyDescent="0.25">
      <c r="A3712" s="40">
        <v>45220</v>
      </c>
      <c r="B3712" s="13">
        <v>42</v>
      </c>
      <c r="C3712" t="s">
        <v>3</v>
      </c>
      <c r="D3712" t="s">
        <v>4</v>
      </c>
      <c r="E3712" t="s">
        <v>21</v>
      </c>
      <c r="F3712">
        <v>202189809</v>
      </c>
      <c r="G3712" t="s">
        <v>1458</v>
      </c>
      <c r="H3712" t="s">
        <v>285</v>
      </c>
      <c r="I3712">
        <v>0</v>
      </c>
      <c r="J3712">
        <v>0</v>
      </c>
      <c r="K3712">
        <v>0</v>
      </c>
      <c r="L3712">
        <v>0</v>
      </c>
      <c r="M3712">
        <v>0.7</v>
      </c>
      <c r="N3712" s="7" t="e">
        <f>VLOOKUP(F3712,HC!A$6:D$100,3,FALSE)</f>
        <v>#N/A</v>
      </c>
      <c r="O3712" s="7" t="str">
        <f>VLOOKUP(F3712,HC!A$6:D$1000,2,FALSE)</f>
        <v>pmarilun</v>
      </c>
      <c r="P3712" t="s">
        <v>670</v>
      </c>
      <c r="Q3712" t="s">
        <v>1464</v>
      </c>
      <c r="U3712">
        <f t="shared" si="59"/>
        <v>4</v>
      </c>
    </row>
    <row r="3713" spans="1:21" ht="37.5" customHeight="1" x14ac:dyDescent="0.25">
      <c r="A3713" s="40">
        <v>45220</v>
      </c>
      <c r="B3713" s="13">
        <v>42</v>
      </c>
      <c r="C3713" t="s">
        <v>3</v>
      </c>
      <c r="D3713" t="s">
        <v>4</v>
      </c>
      <c r="E3713" t="s">
        <v>21</v>
      </c>
      <c r="F3713">
        <v>202235589</v>
      </c>
      <c r="G3713" t="s">
        <v>1461</v>
      </c>
      <c r="H3713" t="s">
        <v>298</v>
      </c>
      <c r="I3713">
        <v>0</v>
      </c>
      <c r="J3713">
        <v>0</v>
      </c>
      <c r="K3713">
        <v>0</v>
      </c>
      <c r="L3713">
        <v>0</v>
      </c>
      <c r="M3713">
        <v>0.28000000000000003</v>
      </c>
      <c r="N3713" s="7" t="e">
        <f>VLOOKUP(F3713,HC!A$6:D$100,3,FALSE)</f>
        <v>#N/A</v>
      </c>
      <c r="O3713" s="7" t="str">
        <f>VLOOKUP(F3713,HC!A$6:D$1000,2,FALSE)</f>
        <v>fatimci</v>
      </c>
      <c r="P3713" t="s">
        <v>668</v>
      </c>
      <c r="Q3713" t="s">
        <v>1465</v>
      </c>
      <c r="U3713">
        <f t="shared" si="59"/>
        <v>3</v>
      </c>
    </row>
    <row r="3714" spans="1:21" ht="37.5" customHeight="1" x14ac:dyDescent="0.25">
      <c r="A3714" s="40">
        <v>45220</v>
      </c>
      <c r="B3714" s="13">
        <v>42</v>
      </c>
      <c r="C3714" t="s">
        <v>3</v>
      </c>
      <c r="D3714" t="s">
        <v>4</v>
      </c>
      <c r="E3714" t="s">
        <v>21</v>
      </c>
      <c r="F3714">
        <v>202279474</v>
      </c>
      <c r="G3714" t="s">
        <v>1462</v>
      </c>
      <c r="H3714" t="s">
        <v>403</v>
      </c>
      <c r="I3714">
        <v>0</v>
      </c>
      <c r="J3714">
        <v>0</v>
      </c>
      <c r="K3714">
        <v>0</v>
      </c>
      <c r="L3714">
        <v>0</v>
      </c>
      <c r="M3714">
        <v>0.13</v>
      </c>
      <c r="N3714" s="7" t="e">
        <f>VLOOKUP(F3714,HC!A$6:D$100,3,FALSE)</f>
        <v>#N/A</v>
      </c>
      <c r="O3714" s="7" t="str">
        <f>VLOOKUP(F3714,HC!A$6:D$1000,2,FALSE)</f>
        <v>torrmafe</v>
      </c>
      <c r="P3714" t="s">
        <v>669</v>
      </c>
      <c r="Q3714" t="s">
        <v>739</v>
      </c>
      <c r="U3714">
        <f t="shared" si="59"/>
        <v>2</v>
      </c>
    </row>
    <row r="3715" spans="1:21" ht="37.5" customHeight="1" x14ac:dyDescent="0.25">
      <c r="A3715" s="40">
        <v>45221</v>
      </c>
      <c r="B3715" s="13">
        <v>43</v>
      </c>
      <c r="C3715" t="s">
        <v>3</v>
      </c>
      <c r="D3715" t="s">
        <v>4</v>
      </c>
      <c r="E3715" t="s">
        <v>5</v>
      </c>
      <c r="F3715">
        <v>112912050</v>
      </c>
      <c r="G3715" t="s">
        <v>624</v>
      </c>
      <c r="H3715" t="s">
        <v>7</v>
      </c>
      <c r="I3715">
        <v>0</v>
      </c>
      <c r="J3715">
        <v>0</v>
      </c>
      <c r="K3715">
        <v>0</v>
      </c>
      <c r="L3715">
        <v>0</v>
      </c>
      <c r="M3715">
        <v>0.14000000000000001</v>
      </c>
      <c r="N3715" s="7" t="str">
        <f>VLOOKUP(F3715,HC!A$6:D$100,3,FALSE)</f>
        <v>DA-X0700</v>
      </c>
      <c r="O3715" s="7" t="str">
        <f>VLOOKUP(F3715,HC!A$6:D$1000,2,FALSE)</f>
        <v>shernadt</v>
      </c>
      <c r="P3715" t="s">
        <v>664</v>
      </c>
      <c r="Q3715" t="s">
        <v>777</v>
      </c>
      <c r="U3715">
        <f t="shared" ref="U3715:U3778" si="60">COUNTIF(O$2:O$4999,O3715)</f>
        <v>4</v>
      </c>
    </row>
    <row r="3716" spans="1:21" ht="37.5" customHeight="1" x14ac:dyDescent="0.25">
      <c r="A3716" s="40">
        <v>45221</v>
      </c>
      <c r="B3716" s="13">
        <v>43</v>
      </c>
      <c r="C3716" t="s">
        <v>3</v>
      </c>
      <c r="D3716" t="s">
        <v>4</v>
      </c>
      <c r="E3716" t="s">
        <v>5</v>
      </c>
      <c r="F3716">
        <v>112950818</v>
      </c>
      <c r="G3716" t="s">
        <v>779</v>
      </c>
      <c r="H3716" t="s">
        <v>7</v>
      </c>
      <c r="I3716">
        <v>0</v>
      </c>
      <c r="J3716">
        <v>0</v>
      </c>
      <c r="K3716">
        <v>0</v>
      </c>
      <c r="L3716">
        <v>0</v>
      </c>
      <c r="M3716">
        <v>0.26</v>
      </c>
      <c r="N3716" s="7" t="str">
        <f>VLOOKUP(F3716,HC!A$6:D$100,3,FALSE)</f>
        <v>DA-X0700</v>
      </c>
      <c r="O3716" s="7" t="str">
        <f>VLOOKUP(F3716,HC!A$6:D$1000,2,FALSE)</f>
        <v>xedithsa</v>
      </c>
      <c r="P3716" t="s">
        <v>664</v>
      </c>
      <c r="Q3716" t="s">
        <v>420</v>
      </c>
      <c r="U3716">
        <f t="shared" si="60"/>
        <v>4</v>
      </c>
    </row>
    <row r="3717" spans="1:21" ht="37.5" customHeight="1" x14ac:dyDescent="0.25">
      <c r="A3717" s="40">
        <v>45221</v>
      </c>
      <c r="B3717" s="13">
        <v>43</v>
      </c>
      <c r="C3717" t="s">
        <v>3</v>
      </c>
      <c r="D3717" t="s">
        <v>4</v>
      </c>
      <c r="E3717" t="s">
        <v>5</v>
      </c>
      <c r="F3717">
        <v>112981061</v>
      </c>
      <c r="G3717" t="s">
        <v>264</v>
      </c>
      <c r="H3717" t="s">
        <v>49</v>
      </c>
      <c r="I3717">
        <v>0</v>
      </c>
      <c r="J3717">
        <v>0</v>
      </c>
      <c r="K3717">
        <v>0</v>
      </c>
      <c r="L3717">
        <v>0</v>
      </c>
      <c r="M3717">
        <v>0.47</v>
      </c>
      <c r="N3717" s="7" t="str">
        <f>VLOOKUP(F3717,HC!A$6:D$100,3,FALSE)</f>
        <v>DA-X0700</v>
      </c>
      <c r="O3717" s="7" t="str">
        <f>VLOOKUP(F3717,HC!A$6:D$1000,2,FALSE)</f>
        <v>mclaudol</v>
      </c>
      <c r="P3717" t="s">
        <v>665</v>
      </c>
      <c r="Q3717" t="s">
        <v>722</v>
      </c>
      <c r="U3717">
        <f t="shared" si="60"/>
        <v>44</v>
      </c>
    </row>
    <row r="3718" spans="1:21" ht="37.5" customHeight="1" x14ac:dyDescent="0.25">
      <c r="A3718" s="40">
        <v>45221</v>
      </c>
      <c r="B3718" s="13">
        <v>43</v>
      </c>
      <c r="C3718" t="s">
        <v>3</v>
      </c>
      <c r="D3718" t="s">
        <v>4</v>
      </c>
      <c r="E3718" t="s">
        <v>5</v>
      </c>
      <c r="F3718">
        <v>201162225</v>
      </c>
      <c r="G3718" t="s">
        <v>1111</v>
      </c>
      <c r="H3718" t="s">
        <v>1040</v>
      </c>
      <c r="I3718">
        <v>0</v>
      </c>
      <c r="J3718">
        <v>0</v>
      </c>
      <c r="K3718">
        <v>0</v>
      </c>
      <c r="L3718">
        <v>0</v>
      </c>
      <c r="M3718">
        <v>0.08</v>
      </c>
      <c r="N3718" s="7" t="e">
        <f>VLOOKUP(F3718,HC!A$6:D$100,3,FALSE)</f>
        <v>#N/A</v>
      </c>
      <c r="O3718" s="7" t="str">
        <f>VLOOKUP(F3718,HC!A$6:D$1000,2,FALSE)</f>
        <v>isracoro</v>
      </c>
      <c r="P3718" t="s">
        <v>663</v>
      </c>
      <c r="Q3718" t="s">
        <v>692</v>
      </c>
      <c r="U3718">
        <f t="shared" si="60"/>
        <v>5</v>
      </c>
    </row>
    <row r="3719" spans="1:21" ht="37.5" customHeight="1" x14ac:dyDescent="0.25">
      <c r="A3719" s="40">
        <v>45221</v>
      </c>
      <c r="B3719" s="13">
        <v>43</v>
      </c>
      <c r="C3719" t="s">
        <v>3</v>
      </c>
      <c r="D3719" t="s">
        <v>4</v>
      </c>
      <c r="E3719" t="s">
        <v>5</v>
      </c>
      <c r="F3719">
        <v>201360639</v>
      </c>
      <c r="G3719" t="s">
        <v>1142</v>
      </c>
      <c r="H3719" t="s">
        <v>9</v>
      </c>
      <c r="I3719">
        <v>0</v>
      </c>
      <c r="J3719">
        <v>0</v>
      </c>
      <c r="K3719">
        <v>0</v>
      </c>
      <c r="L3719">
        <v>0</v>
      </c>
      <c r="M3719">
        <v>0.45</v>
      </c>
      <c r="N3719" s="7" t="e">
        <f>VLOOKUP(F3719,HC!A$6:D$100,3,FALSE)</f>
        <v>#N/A</v>
      </c>
      <c r="O3719" s="7" t="str">
        <f>VLOOKUP(F3719,HC!A$6:D$1000,2,FALSE)</f>
        <v>riveoyae</v>
      </c>
      <c r="P3719" t="s">
        <v>661</v>
      </c>
      <c r="Q3719" t="s">
        <v>681</v>
      </c>
      <c r="U3719">
        <f t="shared" si="60"/>
        <v>6</v>
      </c>
    </row>
    <row r="3720" spans="1:21" ht="37.5" customHeight="1" x14ac:dyDescent="0.25">
      <c r="A3720" s="40">
        <v>45221</v>
      </c>
      <c r="B3720" s="13">
        <v>43</v>
      </c>
      <c r="C3720" t="s">
        <v>3</v>
      </c>
      <c r="D3720" t="s">
        <v>4</v>
      </c>
      <c r="E3720" t="s">
        <v>21</v>
      </c>
      <c r="F3720">
        <v>201408478</v>
      </c>
      <c r="G3720" t="s">
        <v>1110</v>
      </c>
      <c r="H3720" t="s">
        <v>298</v>
      </c>
      <c r="I3720">
        <v>0</v>
      </c>
      <c r="J3720">
        <v>0</v>
      </c>
      <c r="K3720">
        <v>0</v>
      </c>
      <c r="L3720">
        <v>0</v>
      </c>
      <c r="M3720">
        <v>7.0000000000000007E-2</v>
      </c>
      <c r="N3720" s="7" t="e">
        <f>VLOOKUP(F3720,HC!A$6:D$100,3,FALSE)</f>
        <v>#N/A</v>
      </c>
      <c r="O3720" s="7" t="str">
        <f>VLOOKUP(F3720,HC!A$6:D$1000,2,FALSE)</f>
        <v>dacaldey</v>
      </c>
      <c r="P3720" t="s">
        <v>661</v>
      </c>
      <c r="Q3720" t="s">
        <v>705</v>
      </c>
      <c r="U3720">
        <f t="shared" si="60"/>
        <v>12</v>
      </c>
    </row>
    <row r="3721" spans="1:21" ht="37.5" customHeight="1" x14ac:dyDescent="0.25">
      <c r="A3721" s="40">
        <v>45221</v>
      </c>
      <c r="B3721" s="13">
        <v>43</v>
      </c>
      <c r="C3721" t="s">
        <v>3</v>
      </c>
      <c r="D3721" t="s">
        <v>4</v>
      </c>
      <c r="E3721" t="s">
        <v>21</v>
      </c>
      <c r="F3721">
        <v>201858330</v>
      </c>
      <c r="G3721" t="s">
        <v>1409</v>
      </c>
      <c r="H3721" t="s">
        <v>1040</v>
      </c>
      <c r="I3721">
        <v>0</v>
      </c>
      <c r="J3721">
        <v>0</v>
      </c>
      <c r="K3721">
        <v>0</v>
      </c>
      <c r="L3721">
        <v>0</v>
      </c>
      <c r="M3721">
        <v>0.13</v>
      </c>
      <c r="N3721" s="7" t="e">
        <f>VLOOKUP(F3721,HC!A$6:D$100,3,FALSE)</f>
        <v>#N/A</v>
      </c>
      <c r="O3721" s="7" t="str">
        <f>VLOOKUP(F3721,HC!A$6:D$1000,2,FALSE)</f>
        <v>arrwpabl</v>
      </c>
      <c r="P3721" t="s">
        <v>662</v>
      </c>
      <c r="Q3721" t="s">
        <v>1440</v>
      </c>
      <c r="U3721">
        <f t="shared" si="60"/>
        <v>6</v>
      </c>
    </row>
    <row r="3722" spans="1:21" ht="37.5" customHeight="1" x14ac:dyDescent="0.25">
      <c r="A3722" s="40">
        <v>45221</v>
      </c>
      <c r="B3722" s="13">
        <v>43</v>
      </c>
      <c r="C3722" t="s">
        <v>3</v>
      </c>
      <c r="D3722" t="s">
        <v>4</v>
      </c>
      <c r="E3722" t="s">
        <v>21</v>
      </c>
      <c r="F3722">
        <v>202052420</v>
      </c>
      <c r="G3722" t="s">
        <v>1285</v>
      </c>
      <c r="H3722" t="s">
        <v>14</v>
      </c>
      <c r="I3722">
        <v>0</v>
      </c>
      <c r="J3722">
        <v>0</v>
      </c>
      <c r="K3722">
        <v>0</v>
      </c>
      <c r="L3722">
        <v>0</v>
      </c>
      <c r="M3722">
        <v>0.2</v>
      </c>
      <c r="N3722" s="7" t="e">
        <f>VLOOKUP(F3722,HC!A$6:D$100,3,FALSE)</f>
        <v>#N/A</v>
      </c>
      <c r="O3722" s="7" t="e">
        <f>VLOOKUP(F3722,HC!A$6:D$1000,2,FALSE)</f>
        <v>#N/A</v>
      </c>
      <c r="P3722" t="s">
        <v>664</v>
      </c>
      <c r="Q3722" t="s">
        <v>711</v>
      </c>
      <c r="U3722">
        <f t="shared" si="60"/>
        <v>1395</v>
      </c>
    </row>
    <row r="3723" spans="1:21" ht="37.5" customHeight="1" x14ac:dyDescent="0.25">
      <c r="A3723" s="40">
        <v>45221</v>
      </c>
      <c r="B3723" s="13">
        <v>43</v>
      </c>
      <c r="C3723" t="s">
        <v>3</v>
      </c>
      <c r="D3723" t="s">
        <v>4</v>
      </c>
      <c r="E3723" t="s">
        <v>21</v>
      </c>
      <c r="F3723">
        <v>202099137</v>
      </c>
      <c r="G3723" t="s">
        <v>1405</v>
      </c>
      <c r="H3723" t="s">
        <v>49</v>
      </c>
      <c r="I3723">
        <v>0</v>
      </c>
      <c r="J3723">
        <v>0</v>
      </c>
      <c r="K3723">
        <v>0</v>
      </c>
      <c r="L3723">
        <v>0</v>
      </c>
      <c r="M3723">
        <v>0.17</v>
      </c>
      <c r="N3723" s="7" t="e">
        <f>VLOOKUP(F3723,HC!A$6:D$100,3,FALSE)</f>
        <v>#N/A</v>
      </c>
      <c r="O3723" s="7" t="str">
        <f>VLOOKUP(F3723,HC!A$6:D$1000,2,FALSE)</f>
        <v>monttlui</v>
      </c>
      <c r="P3723" t="s">
        <v>664</v>
      </c>
      <c r="Q3723" t="s">
        <v>711</v>
      </c>
      <c r="U3723">
        <f t="shared" si="60"/>
        <v>2</v>
      </c>
    </row>
    <row r="3724" spans="1:21" ht="37.5" customHeight="1" x14ac:dyDescent="0.25">
      <c r="A3724" s="40">
        <v>45221</v>
      </c>
      <c r="B3724" s="13">
        <v>43</v>
      </c>
      <c r="C3724" t="s">
        <v>3</v>
      </c>
      <c r="D3724" t="s">
        <v>4</v>
      </c>
      <c r="E3724" t="s">
        <v>21</v>
      </c>
      <c r="F3724">
        <v>202130113</v>
      </c>
      <c r="G3724" t="s">
        <v>1434</v>
      </c>
      <c r="H3724" t="s">
        <v>332</v>
      </c>
      <c r="I3724">
        <v>0</v>
      </c>
      <c r="J3724">
        <v>0</v>
      </c>
      <c r="K3724">
        <v>0</v>
      </c>
      <c r="L3724">
        <v>0</v>
      </c>
      <c r="M3724">
        <v>0.21</v>
      </c>
      <c r="N3724" s="7" t="e">
        <f>VLOOKUP(F3724,HC!A$6:D$100,3,FALSE)</f>
        <v>#N/A</v>
      </c>
      <c r="O3724" s="7" t="str">
        <f>VLOOKUP(F3724,HC!A$6:D$1000,2,FALSE)</f>
        <v>tanirang</v>
      </c>
      <c r="P3724" t="s">
        <v>664</v>
      </c>
      <c r="Q3724" t="s">
        <v>681</v>
      </c>
      <c r="U3724">
        <f t="shared" si="60"/>
        <v>5</v>
      </c>
    </row>
    <row r="3725" spans="1:21" ht="37.5" customHeight="1" x14ac:dyDescent="0.25">
      <c r="A3725" s="40">
        <v>45221</v>
      </c>
      <c r="B3725" s="13">
        <v>43</v>
      </c>
      <c r="C3725" t="s">
        <v>3</v>
      </c>
      <c r="D3725" t="s">
        <v>4</v>
      </c>
      <c r="E3725" t="s">
        <v>21</v>
      </c>
      <c r="F3725">
        <v>202173806</v>
      </c>
      <c r="G3725" t="s">
        <v>1408</v>
      </c>
      <c r="H3725" t="s">
        <v>1040</v>
      </c>
      <c r="I3725">
        <v>0</v>
      </c>
      <c r="J3725">
        <v>0</v>
      </c>
      <c r="K3725">
        <v>0</v>
      </c>
      <c r="L3725">
        <v>0</v>
      </c>
      <c r="M3725">
        <v>0.13</v>
      </c>
      <c r="N3725" s="7" t="e">
        <f>VLOOKUP(F3725,HC!A$6:D$100,3,FALSE)</f>
        <v>#N/A</v>
      </c>
      <c r="O3725" s="7" t="str">
        <f>VLOOKUP(F3725,HC!A$6:D$1000,2,FALSE)</f>
        <v>crurenda</v>
      </c>
      <c r="P3725" t="s">
        <v>661</v>
      </c>
      <c r="Q3725" t="s">
        <v>681</v>
      </c>
      <c r="U3725">
        <f t="shared" si="60"/>
        <v>5</v>
      </c>
    </row>
    <row r="3726" spans="1:21" ht="37.5" customHeight="1" x14ac:dyDescent="0.25">
      <c r="A3726" s="40">
        <v>45221</v>
      </c>
      <c r="B3726" s="13">
        <v>43</v>
      </c>
      <c r="C3726" t="s">
        <v>3</v>
      </c>
      <c r="D3726" t="s">
        <v>4</v>
      </c>
      <c r="E3726" t="s">
        <v>21</v>
      </c>
      <c r="F3726">
        <v>202245845</v>
      </c>
      <c r="G3726" t="s">
        <v>1450</v>
      </c>
      <c r="H3726" t="s">
        <v>250</v>
      </c>
      <c r="I3726">
        <v>0</v>
      </c>
      <c r="J3726">
        <v>0</v>
      </c>
      <c r="K3726">
        <v>0</v>
      </c>
      <c r="L3726">
        <v>0</v>
      </c>
      <c r="M3726">
        <v>0.13</v>
      </c>
      <c r="N3726" s="7" t="e">
        <f>VLOOKUP(F3726,HC!A$6:D$100,3,FALSE)</f>
        <v>#N/A</v>
      </c>
      <c r="O3726" s="7" t="str">
        <f>VLOOKUP(F3726,HC!A$6:D$1000,2,FALSE)</f>
        <v>cangmedi</v>
      </c>
      <c r="P3726" t="s">
        <v>664</v>
      </c>
      <c r="Q3726" t="s">
        <v>716</v>
      </c>
      <c r="U3726">
        <f t="shared" si="60"/>
        <v>5</v>
      </c>
    </row>
    <row r="3727" spans="1:21" ht="37.5" customHeight="1" x14ac:dyDescent="0.25">
      <c r="A3727" s="40">
        <v>45222</v>
      </c>
      <c r="B3727" s="13">
        <v>43</v>
      </c>
      <c r="C3727" t="s">
        <v>3</v>
      </c>
      <c r="D3727" t="s">
        <v>4</v>
      </c>
      <c r="E3727" t="s">
        <v>5</v>
      </c>
      <c r="F3727">
        <v>112912752</v>
      </c>
      <c r="G3727" t="s">
        <v>251</v>
      </c>
      <c r="H3727" t="s">
        <v>9</v>
      </c>
      <c r="I3727">
        <v>0</v>
      </c>
      <c r="J3727">
        <v>0</v>
      </c>
      <c r="K3727">
        <v>0</v>
      </c>
      <c r="L3727">
        <v>0</v>
      </c>
      <c r="M3727">
        <v>0.18</v>
      </c>
      <c r="N3727" s="7" t="str">
        <f>VLOOKUP(F3727,HC!A$6:D$100,3,FALSE)</f>
        <v>NF-X1900</v>
      </c>
      <c r="O3727" s="7" t="str">
        <f>VLOOKUP(F3727,HC!A$6:D$1000,2,FALSE)</f>
        <v>valderle</v>
      </c>
      <c r="P3727" t="s">
        <v>664</v>
      </c>
      <c r="Q3727" t="s">
        <v>420</v>
      </c>
      <c r="U3727">
        <f t="shared" si="60"/>
        <v>50</v>
      </c>
    </row>
    <row r="3728" spans="1:21" ht="37.5" customHeight="1" x14ac:dyDescent="0.25">
      <c r="A3728" s="40">
        <v>45222</v>
      </c>
      <c r="B3728" s="13">
        <v>43</v>
      </c>
      <c r="C3728" t="s">
        <v>3</v>
      </c>
      <c r="D3728" t="s">
        <v>4</v>
      </c>
      <c r="E3728" t="s">
        <v>5</v>
      </c>
      <c r="F3728">
        <v>112950800</v>
      </c>
      <c r="G3728" t="s">
        <v>457</v>
      </c>
      <c r="H3728" t="s">
        <v>9</v>
      </c>
      <c r="I3728">
        <v>0</v>
      </c>
      <c r="J3728">
        <v>0</v>
      </c>
      <c r="K3728">
        <v>0</v>
      </c>
      <c r="L3728">
        <v>0</v>
      </c>
      <c r="M3728">
        <v>0.34</v>
      </c>
      <c r="N3728" s="7" t="str">
        <f>VLOOKUP(F3728,HC!A$6:D$100,3,FALSE)</f>
        <v>NF-X1900</v>
      </c>
      <c r="O3728" s="7" t="str">
        <f>VLOOKUP(F3728,HC!A$6:D$1000,2,FALSE)</f>
        <v>virimuni</v>
      </c>
      <c r="P3728" t="s">
        <v>665</v>
      </c>
      <c r="Q3728" t="s">
        <v>722</v>
      </c>
      <c r="U3728">
        <f t="shared" si="60"/>
        <v>10</v>
      </c>
    </row>
    <row r="3729" spans="1:21" ht="37.5" customHeight="1" x14ac:dyDescent="0.25">
      <c r="A3729" s="40">
        <v>45222</v>
      </c>
      <c r="B3729" s="13">
        <v>43</v>
      </c>
      <c r="C3729" t="s">
        <v>3</v>
      </c>
      <c r="D3729" t="s">
        <v>4</v>
      </c>
      <c r="E3729" t="s">
        <v>5</v>
      </c>
      <c r="F3729">
        <v>113014470</v>
      </c>
      <c r="G3729" t="s">
        <v>374</v>
      </c>
      <c r="H3729" t="s">
        <v>49</v>
      </c>
      <c r="I3729">
        <v>0</v>
      </c>
      <c r="J3729">
        <v>0</v>
      </c>
      <c r="K3729">
        <v>0</v>
      </c>
      <c r="L3729">
        <v>0</v>
      </c>
      <c r="M3729">
        <v>0.11</v>
      </c>
      <c r="N3729" s="7" t="e">
        <f>VLOOKUP(F3729,HC!A$6:D$100,3,FALSE)</f>
        <v>#N/A</v>
      </c>
      <c r="O3729" s="7" t="str">
        <f>VLOOKUP(F3729,HC!A$6:D$1000,2,FALSE)</f>
        <v>lupaguin</v>
      </c>
      <c r="P3729" t="s">
        <v>669</v>
      </c>
      <c r="Q3729" t="s">
        <v>739</v>
      </c>
      <c r="U3729">
        <f t="shared" si="60"/>
        <v>23</v>
      </c>
    </row>
    <row r="3730" spans="1:21" ht="37.5" customHeight="1" x14ac:dyDescent="0.25">
      <c r="A3730" s="40">
        <v>45222</v>
      </c>
      <c r="B3730" s="13">
        <v>43</v>
      </c>
      <c r="C3730" t="s">
        <v>3</v>
      </c>
      <c r="D3730" t="s">
        <v>4</v>
      </c>
      <c r="E3730" t="s">
        <v>5</v>
      </c>
      <c r="F3730">
        <v>200534675</v>
      </c>
      <c r="G3730" t="s">
        <v>534</v>
      </c>
      <c r="H3730" t="s">
        <v>250</v>
      </c>
      <c r="I3730">
        <v>0</v>
      </c>
      <c r="J3730">
        <v>0</v>
      </c>
      <c r="K3730">
        <v>0</v>
      </c>
      <c r="L3730">
        <v>0</v>
      </c>
      <c r="M3730">
        <v>0.19</v>
      </c>
      <c r="N3730" s="7" t="e">
        <f>VLOOKUP(F3730,HC!A$6:D$100,3,FALSE)</f>
        <v>#N/A</v>
      </c>
      <c r="O3730" s="7" t="str">
        <f>VLOOKUP(F3730,HC!A$6:D$1000,2,FALSE)</f>
        <v>juanpmun</v>
      </c>
      <c r="P3730" t="s">
        <v>661</v>
      </c>
      <c r="Q3730" t="s">
        <v>681</v>
      </c>
      <c r="U3730">
        <f t="shared" si="60"/>
        <v>16</v>
      </c>
    </row>
    <row r="3731" spans="1:21" ht="37.5" customHeight="1" x14ac:dyDescent="0.25">
      <c r="A3731" s="40">
        <v>45222</v>
      </c>
      <c r="B3731" s="13">
        <v>43</v>
      </c>
      <c r="C3731" t="s">
        <v>3</v>
      </c>
      <c r="D3731" t="s">
        <v>4</v>
      </c>
      <c r="E3731" t="s">
        <v>5</v>
      </c>
      <c r="F3731">
        <v>200562154</v>
      </c>
      <c r="G3731" t="s">
        <v>437</v>
      </c>
      <c r="H3731" t="s">
        <v>285</v>
      </c>
      <c r="I3731">
        <v>0</v>
      </c>
      <c r="J3731">
        <v>0</v>
      </c>
      <c r="K3731">
        <v>0</v>
      </c>
      <c r="L3731">
        <v>0</v>
      </c>
      <c r="M3731">
        <v>0.13</v>
      </c>
      <c r="N3731" s="7" t="e">
        <f>VLOOKUP(F3731,HC!A$6:D$100,3,FALSE)</f>
        <v>#N/A</v>
      </c>
      <c r="O3731" s="7" t="str">
        <f>VLOOKUP(F3731,HC!A$6:D$1000,2,FALSE)</f>
        <v>reyesmcw</v>
      </c>
      <c r="P3731" t="s">
        <v>663</v>
      </c>
      <c r="Q3731" t="s">
        <v>692</v>
      </c>
      <c r="U3731">
        <f t="shared" si="60"/>
        <v>38</v>
      </c>
    </row>
    <row r="3732" spans="1:21" ht="37.5" customHeight="1" x14ac:dyDescent="0.25">
      <c r="A3732" s="40">
        <v>45222</v>
      </c>
      <c r="B3732" s="13">
        <v>43</v>
      </c>
      <c r="C3732" t="s">
        <v>3</v>
      </c>
      <c r="D3732" t="s">
        <v>4</v>
      </c>
      <c r="E3732" t="s">
        <v>5</v>
      </c>
      <c r="F3732">
        <v>201186777</v>
      </c>
      <c r="G3732" t="s">
        <v>856</v>
      </c>
      <c r="H3732" t="s">
        <v>1040</v>
      </c>
      <c r="I3732">
        <v>0</v>
      </c>
      <c r="J3732">
        <v>0</v>
      </c>
      <c r="K3732">
        <v>0</v>
      </c>
      <c r="L3732">
        <v>0</v>
      </c>
      <c r="M3732">
        <v>0.75</v>
      </c>
      <c r="N3732" s="7" t="e">
        <f>VLOOKUP(F3732,HC!A$6:D$100,3,FALSE)</f>
        <v>#N/A</v>
      </c>
      <c r="O3732" s="7" t="str">
        <f>VLOOKUP(F3732,HC!A$6:D$1000,2,FALSE)</f>
        <v>bemonzon</v>
      </c>
      <c r="P3732" t="s">
        <v>661</v>
      </c>
      <c r="Q3732" t="s">
        <v>681</v>
      </c>
      <c r="U3732">
        <f t="shared" si="60"/>
        <v>15</v>
      </c>
    </row>
    <row r="3733" spans="1:21" ht="37.5" customHeight="1" x14ac:dyDescent="0.25">
      <c r="A3733" s="40">
        <v>45222</v>
      </c>
      <c r="B3733" s="13">
        <v>43</v>
      </c>
      <c r="C3733" t="s">
        <v>3</v>
      </c>
      <c r="D3733" t="s">
        <v>4</v>
      </c>
      <c r="E3733" t="s">
        <v>5</v>
      </c>
      <c r="F3733">
        <v>201197964</v>
      </c>
      <c r="G3733" t="s">
        <v>1180</v>
      </c>
      <c r="H3733" t="s">
        <v>250</v>
      </c>
      <c r="I3733">
        <v>0</v>
      </c>
      <c r="J3733">
        <v>0</v>
      </c>
      <c r="K3733">
        <v>0</v>
      </c>
      <c r="L3733">
        <v>0</v>
      </c>
      <c r="M3733">
        <v>0.71</v>
      </c>
      <c r="N3733" s="7" t="e">
        <f>VLOOKUP(F3733,HC!A$6:D$100,3,FALSE)</f>
        <v>#N/A</v>
      </c>
      <c r="O3733" s="7" t="str">
        <f>VLOOKUP(F3733,HC!A$6:D$1000,2,FALSE)</f>
        <v>matzquij</v>
      </c>
      <c r="P3733" t="s">
        <v>663</v>
      </c>
      <c r="Q3733" t="s">
        <v>692</v>
      </c>
      <c r="U3733">
        <f t="shared" si="60"/>
        <v>16</v>
      </c>
    </row>
    <row r="3734" spans="1:21" ht="37.5" customHeight="1" x14ac:dyDescent="0.25">
      <c r="A3734" s="40">
        <v>45222</v>
      </c>
      <c r="B3734" s="13">
        <v>43</v>
      </c>
      <c r="C3734" t="s">
        <v>3</v>
      </c>
      <c r="D3734" t="s">
        <v>4</v>
      </c>
      <c r="E3734" t="s">
        <v>5</v>
      </c>
      <c r="F3734">
        <v>201345774</v>
      </c>
      <c r="G3734" t="s">
        <v>1070</v>
      </c>
      <c r="H3734" t="s">
        <v>49</v>
      </c>
      <c r="I3734">
        <v>0</v>
      </c>
      <c r="J3734">
        <v>0</v>
      </c>
      <c r="K3734">
        <v>0</v>
      </c>
      <c r="L3734">
        <v>0</v>
      </c>
      <c r="M3734">
        <v>1.26</v>
      </c>
      <c r="N3734" s="7" t="e">
        <f>VLOOKUP(F3734,HC!A$6:D$100,3,FALSE)</f>
        <v>#N/A</v>
      </c>
      <c r="O3734" s="7" t="str">
        <f>VLOOKUP(F3734,HC!A$6:D$1000,2,FALSE)</f>
        <v>jonquija</v>
      </c>
      <c r="P3734" t="s">
        <v>664</v>
      </c>
      <c r="Q3734" t="s">
        <v>1479</v>
      </c>
      <c r="R3734" t="s">
        <v>0</v>
      </c>
      <c r="U3734">
        <f t="shared" si="60"/>
        <v>19</v>
      </c>
    </row>
    <row r="3735" spans="1:21" ht="37.5" customHeight="1" x14ac:dyDescent="0.25">
      <c r="A3735" s="40">
        <v>45222</v>
      </c>
      <c r="B3735" s="13">
        <v>43</v>
      </c>
      <c r="C3735" t="s">
        <v>3</v>
      </c>
      <c r="D3735" t="s">
        <v>4</v>
      </c>
      <c r="E3735" t="s">
        <v>5</v>
      </c>
      <c r="F3735">
        <v>201353085</v>
      </c>
      <c r="G3735" t="s">
        <v>1466</v>
      </c>
      <c r="H3735" t="s">
        <v>250</v>
      </c>
      <c r="I3735">
        <v>0</v>
      </c>
      <c r="J3735">
        <v>0</v>
      </c>
      <c r="K3735">
        <v>0</v>
      </c>
      <c r="L3735">
        <v>0</v>
      </c>
      <c r="M3735">
        <v>0.21</v>
      </c>
      <c r="N3735" s="7" t="e">
        <f>VLOOKUP(F3735,HC!A$6:D$100,3,FALSE)</f>
        <v>#N/A</v>
      </c>
      <c r="O3735" s="7" t="str">
        <f>VLOOKUP(F3735,HC!A$6:D$1000,2,FALSE)</f>
        <v>lelvgarc</v>
      </c>
      <c r="P3735" t="s">
        <v>663</v>
      </c>
      <c r="Q3735" t="s">
        <v>692</v>
      </c>
      <c r="U3735">
        <f t="shared" si="60"/>
        <v>5</v>
      </c>
    </row>
    <row r="3736" spans="1:21" ht="37.5" customHeight="1" x14ac:dyDescent="0.25">
      <c r="A3736" s="40">
        <v>45222</v>
      </c>
      <c r="B3736" s="13">
        <v>43</v>
      </c>
      <c r="C3736" t="s">
        <v>3</v>
      </c>
      <c r="D3736" t="s">
        <v>4</v>
      </c>
      <c r="E3736" t="s">
        <v>5</v>
      </c>
      <c r="F3736">
        <v>201353328</v>
      </c>
      <c r="G3736" t="s">
        <v>1176</v>
      </c>
      <c r="H3736" t="s">
        <v>7</v>
      </c>
      <c r="I3736">
        <v>0</v>
      </c>
      <c r="J3736">
        <v>0</v>
      </c>
      <c r="K3736">
        <v>0</v>
      </c>
      <c r="L3736">
        <v>0</v>
      </c>
      <c r="M3736">
        <v>0.37</v>
      </c>
      <c r="N3736" s="7" t="e">
        <f>VLOOKUP(F3736,HC!A$6:D$100,3,FALSE)</f>
        <v>#N/A</v>
      </c>
      <c r="O3736" s="7" t="str">
        <f>VLOOKUP(F3736,HC!A$6:D$1000,2,FALSE)</f>
        <v>zairamen</v>
      </c>
      <c r="P3736" t="s">
        <v>661</v>
      </c>
      <c r="Q3736" t="s">
        <v>681</v>
      </c>
      <c r="U3736">
        <f t="shared" si="60"/>
        <v>4</v>
      </c>
    </row>
    <row r="3737" spans="1:21" ht="37.5" customHeight="1" x14ac:dyDescent="0.25">
      <c r="A3737" s="40">
        <v>45222</v>
      </c>
      <c r="B3737" s="13">
        <v>43</v>
      </c>
      <c r="C3737" t="s">
        <v>3</v>
      </c>
      <c r="D3737" t="s">
        <v>4</v>
      </c>
      <c r="E3737" t="s">
        <v>5</v>
      </c>
      <c r="F3737">
        <v>201378452</v>
      </c>
      <c r="G3737" t="s">
        <v>1173</v>
      </c>
      <c r="H3737" t="s">
        <v>1040</v>
      </c>
      <c r="I3737">
        <v>0</v>
      </c>
      <c r="J3737">
        <v>0</v>
      </c>
      <c r="K3737">
        <v>0</v>
      </c>
      <c r="L3737">
        <v>0</v>
      </c>
      <c r="M3737">
        <v>0.08</v>
      </c>
      <c r="N3737" s="7" t="e">
        <f>VLOOKUP(F3737,HC!A$6:D$100,3,FALSE)</f>
        <v>#N/A</v>
      </c>
      <c r="O3737" s="7" t="str">
        <f>VLOOKUP(F3737,HC!A$6:D$1000,2,FALSE)</f>
        <v>omhperez</v>
      </c>
      <c r="P3737" t="s">
        <v>661</v>
      </c>
      <c r="Q3737" t="s">
        <v>681</v>
      </c>
      <c r="U3737">
        <f t="shared" si="60"/>
        <v>9</v>
      </c>
    </row>
    <row r="3738" spans="1:21" ht="37.5" customHeight="1" x14ac:dyDescent="0.25">
      <c r="A3738" s="40">
        <v>45222</v>
      </c>
      <c r="B3738" s="13">
        <v>43</v>
      </c>
      <c r="C3738" t="s">
        <v>3</v>
      </c>
      <c r="D3738" t="s">
        <v>4</v>
      </c>
      <c r="E3738" t="s">
        <v>21</v>
      </c>
      <c r="F3738">
        <v>201858867</v>
      </c>
      <c r="G3738" t="s">
        <v>1236</v>
      </c>
      <c r="H3738" t="s">
        <v>285</v>
      </c>
      <c r="I3738">
        <v>0</v>
      </c>
      <c r="J3738">
        <v>0</v>
      </c>
      <c r="K3738">
        <v>0</v>
      </c>
      <c r="L3738">
        <v>0</v>
      </c>
      <c r="M3738">
        <v>0.23</v>
      </c>
      <c r="N3738" s="7" t="e">
        <f>VLOOKUP(F3738,HC!A$6:D$100,3,FALSE)</f>
        <v>#N/A</v>
      </c>
      <c r="O3738" s="7" t="str">
        <f>VLOOKUP(F3738,HC!A$6:D$1000,2,FALSE)</f>
        <v>tcruzvel</v>
      </c>
      <c r="P3738" t="s">
        <v>670</v>
      </c>
      <c r="Q3738" t="s">
        <v>477</v>
      </c>
      <c r="U3738">
        <f t="shared" si="60"/>
        <v>17</v>
      </c>
    </row>
    <row r="3739" spans="1:21" ht="37.5" customHeight="1" x14ac:dyDescent="0.25">
      <c r="A3739" s="40">
        <v>45222</v>
      </c>
      <c r="B3739" s="13">
        <v>43</v>
      </c>
      <c r="C3739" t="s">
        <v>3</v>
      </c>
      <c r="D3739" t="s">
        <v>4</v>
      </c>
      <c r="E3739" t="s">
        <v>21</v>
      </c>
      <c r="F3739">
        <v>202137341</v>
      </c>
      <c r="G3739" t="s">
        <v>1291</v>
      </c>
      <c r="H3739" t="s">
        <v>250</v>
      </c>
      <c r="I3739">
        <v>0</v>
      </c>
      <c r="J3739">
        <v>0</v>
      </c>
      <c r="K3739">
        <v>0</v>
      </c>
      <c r="L3739">
        <v>0</v>
      </c>
      <c r="M3739">
        <v>0.15</v>
      </c>
      <c r="N3739" s="7" t="e">
        <f>VLOOKUP(F3739,HC!A$6:D$100,3,FALSE)</f>
        <v>#N/A</v>
      </c>
      <c r="O3739" s="7" t="str">
        <f>VLOOKUP(F3739,HC!A$6:D$1000,2,FALSE)</f>
        <v>xedgabra</v>
      </c>
      <c r="P3739" t="s">
        <v>661</v>
      </c>
      <c r="Q3739" t="s">
        <v>535</v>
      </c>
      <c r="U3739">
        <f t="shared" si="60"/>
        <v>13</v>
      </c>
    </row>
    <row r="3740" spans="1:21" ht="37.5" customHeight="1" x14ac:dyDescent="0.25">
      <c r="A3740" s="40">
        <v>45222</v>
      </c>
      <c r="B3740" s="13">
        <v>43</v>
      </c>
      <c r="C3740" t="s">
        <v>3</v>
      </c>
      <c r="D3740" t="s">
        <v>4</v>
      </c>
      <c r="E3740" t="s">
        <v>21</v>
      </c>
      <c r="F3740">
        <v>202159583</v>
      </c>
      <c r="G3740" t="s">
        <v>1467</v>
      </c>
      <c r="H3740" t="s">
        <v>49</v>
      </c>
      <c r="I3740">
        <v>0</v>
      </c>
      <c r="J3740">
        <v>0</v>
      </c>
      <c r="K3740">
        <v>0</v>
      </c>
      <c r="L3740">
        <v>0</v>
      </c>
      <c r="M3740">
        <v>0.15</v>
      </c>
      <c r="N3740" s="7" t="e">
        <f>VLOOKUP(F3740,HC!A$6:D$100,3,FALSE)</f>
        <v>#N/A</v>
      </c>
      <c r="O3740" s="7" t="str">
        <f>VLOOKUP(F3740,HC!A$6:D$1000,2,FALSE)</f>
        <v>laoswaln</v>
      </c>
      <c r="P3740" t="s">
        <v>661</v>
      </c>
      <c r="Q3740" t="s">
        <v>535</v>
      </c>
      <c r="U3740">
        <f t="shared" si="60"/>
        <v>1</v>
      </c>
    </row>
    <row r="3741" spans="1:21" ht="37.5" customHeight="1" x14ac:dyDescent="0.25">
      <c r="A3741" s="40">
        <v>45222</v>
      </c>
      <c r="B3741" s="13">
        <v>43</v>
      </c>
      <c r="C3741" t="s">
        <v>3</v>
      </c>
      <c r="D3741" t="s">
        <v>4</v>
      </c>
      <c r="E3741" t="s">
        <v>21</v>
      </c>
      <c r="F3741">
        <v>202167308</v>
      </c>
      <c r="G3741" t="s">
        <v>1468</v>
      </c>
      <c r="H3741" t="s">
        <v>1040</v>
      </c>
      <c r="I3741">
        <v>0</v>
      </c>
      <c r="J3741">
        <v>0</v>
      </c>
      <c r="K3741">
        <v>0</v>
      </c>
      <c r="L3741">
        <v>0</v>
      </c>
      <c r="M3741">
        <v>0.11</v>
      </c>
      <c r="N3741" s="7" t="e">
        <f>VLOOKUP(F3741,HC!A$6:D$100,3,FALSE)</f>
        <v>#N/A</v>
      </c>
      <c r="O3741" s="7" t="str">
        <f>VLOOKUP(F3741,HC!A$6:D$1000,2,FALSE)</f>
        <v>cjalcoce</v>
      </c>
      <c r="P3741" t="s">
        <v>664</v>
      </c>
      <c r="Q3741" t="s">
        <v>716</v>
      </c>
      <c r="U3741">
        <f t="shared" si="60"/>
        <v>3</v>
      </c>
    </row>
    <row r="3742" spans="1:21" ht="37.5" customHeight="1" x14ac:dyDescent="0.25">
      <c r="A3742" s="40">
        <v>45222</v>
      </c>
      <c r="B3742" s="13">
        <v>43</v>
      </c>
      <c r="C3742" t="s">
        <v>3</v>
      </c>
      <c r="D3742" t="s">
        <v>4</v>
      </c>
      <c r="E3742" t="s">
        <v>21</v>
      </c>
      <c r="F3742">
        <v>202175649</v>
      </c>
      <c r="G3742" t="s">
        <v>1404</v>
      </c>
      <c r="H3742" t="s">
        <v>282</v>
      </c>
      <c r="I3742">
        <v>0</v>
      </c>
      <c r="J3742">
        <v>0</v>
      </c>
      <c r="K3742">
        <v>0</v>
      </c>
      <c r="L3742">
        <v>0</v>
      </c>
      <c r="M3742">
        <v>0.46</v>
      </c>
      <c r="N3742" s="7" t="e">
        <f>VLOOKUP(F3742,HC!A$6:D$100,3,FALSE)</f>
        <v>#N/A</v>
      </c>
      <c r="O3742" s="7" t="str">
        <f>VLOOKUP(F3742,HC!A$6:D$1000,2,FALSE)</f>
        <v>galvali</v>
      </c>
      <c r="P3742" t="s">
        <v>667</v>
      </c>
      <c r="Q3742" t="s">
        <v>306</v>
      </c>
      <c r="U3742">
        <f t="shared" si="60"/>
        <v>3</v>
      </c>
    </row>
    <row r="3743" spans="1:21" ht="37.5" customHeight="1" x14ac:dyDescent="0.25">
      <c r="A3743" s="40">
        <v>45222</v>
      </c>
      <c r="B3743" s="13">
        <v>43</v>
      </c>
      <c r="C3743" t="s">
        <v>3</v>
      </c>
      <c r="D3743" t="s">
        <v>4</v>
      </c>
      <c r="E3743" t="s">
        <v>21</v>
      </c>
      <c r="F3743">
        <v>202185991</v>
      </c>
      <c r="G3743" t="s">
        <v>1444</v>
      </c>
      <c r="H3743" t="s">
        <v>1040</v>
      </c>
      <c r="I3743">
        <v>0</v>
      </c>
      <c r="J3743">
        <v>0</v>
      </c>
      <c r="K3743">
        <v>0</v>
      </c>
      <c r="L3743">
        <v>0</v>
      </c>
      <c r="M3743">
        <v>0.13</v>
      </c>
      <c r="N3743" s="7" t="e">
        <f>VLOOKUP(F3743,HC!A$6:D$100,3,FALSE)</f>
        <v>#N/A</v>
      </c>
      <c r="O3743" s="7" t="str">
        <f>VLOOKUP(F3743,HC!A$6:D$1000,2,FALSE)</f>
        <v>vaziandr</v>
      </c>
      <c r="P3743" t="s">
        <v>664</v>
      </c>
      <c r="Q3743" t="s">
        <v>716</v>
      </c>
      <c r="U3743">
        <f t="shared" si="60"/>
        <v>4</v>
      </c>
    </row>
    <row r="3744" spans="1:21" ht="37.5" customHeight="1" x14ac:dyDescent="0.25">
      <c r="A3744" s="40">
        <v>45222</v>
      </c>
      <c r="B3744" s="13">
        <v>43</v>
      </c>
      <c r="C3744" t="s">
        <v>3</v>
      </c>
      <c r="D3744" t="s">
        <v>4</v>
      </c>
      <c r="E3744" t="s">
        <v>21</v>
      </c>
      <c r="F3744">
        <v>202246652</v>
      </c>
      <c r="G3744" t="s">
        <v>1437</v>
      </c>
      <c r="H3744" t="s">
        <v>49</v>
      </c>
      <c r="I3744">
        <v>0</v>
      </c>
      <c r="J3744">
        <v>0</v>
      </c>
      <c r="K3744">
        <v>0</v>
      </c>
      <c r="L3744">
        <v>0</v>
      </c>
      <c r="M3744">
        <v>0.33</v>
      </c>
      <c r="N3744" s="7" t="e">
        <f>VLOOKUP(F3744,HC!A$6:D$100,3,FALSE)</f>
        <v>#N/A</v>
      </c>
      <c r="O3744" s="7" t="str">
        <f>VLOOKUP(F3744,HC!A$6:D$1000,2,FALSE)</f>
        <v>honojadm</v>
      </c>
      <c r="P3744" t="s">
        <v>664</v>
      </c>
      <c r="Q3744" t="s">
        <v>716</v>
      </c>
      <c r="U3744">
        <f t="shared" si="60"/>
        <v>2</v>
      </c>
    </row>
    <row r="3745" spans="1:21" ht="37.5" customHeight="1" x14ac:dyDescent="0.25">
      <c r="A3745" s="40">
        <v>45222</v>
      </c>
      <c r="B3745" s="13">
        <v>43</v>
      </c>
      <c r="C3745" t="s">
        <v>3</v>
      </c>
      <c r="D3745" t="s">
        <v>4</v>
      </c>
      <c r="E3745" t="s">
        <v>21</v>
      </c>
      <c r="F3745">
        <v>202323538</v>
      </c>
      <c r="G3745" t="s">
        <v>1469</v>
      </c>
      <c r="H3745" t="s">
        <v>7</v>
      </c>
      <c r="I3745">
        <v>0</v>
      </c>
      <c r="J3745">
        <v>0</v>
      </c>
      <c r="K3745">
        <v>0</v>
      </c>
      <c r="L3745">
        <v>0</v>
      </c>
      <c r="M3745">
        <v>0.3</v>
      </c>
      <c r="N3745" s="7" t="e">
        <f>VLOOKUP(F3745,HC!A$6:D$100,3,FALSE)</f>
        <v>#N/A</v>
      </c>
      <c r="O3745" s="7" t="str">
        <f>VLOOKUP(F3745,HC!A$6:D$1000,2,FALSE)</f>
        <v>sanmild</v>
      </c>
      <c r="P3745" t="s">
        <v>664</v>
      </c>
      <c r="Q3745" t="s">
        <v>711</v>
      </c>
      <c r="U3745">
        <f t="shared" si="60"/>
        <v>1</v>
      </c>
    </row>
    <row r="3746" spans="1:21" ht="37.5" customHeight="1" x14ac:dyDescent="0.25">
      <c r="A3746" s="40">
        <v>45223</v>
      </c>
      <c r="B3746" s="13">
        <v>43</v>
      </c>
      <c r="C3746" t="s">
        <v>3</v>
      </c>
      <c r="D3746" t="s">
        <v>4</v>
      </c>
      <c r="E3746" t="s">
        <v>5</v>
      </c>
      <c r="F3746">
        <v>112920666</v>
      </c>
      <c r="G3746" t="s">
        <v>252</v>
      </c>
      <c r="H3746" t="s">
        <v>282</v>
      </c>
      <c r="I3746">
        <v>0</v>
      </c>
      <c r="J3746">
        <v>0</v>
      </c>
      <c r="K3746">
        <v>0</v>
      </c>
      <c r="L3746">
        <v>0</v>
      </c>
      <c r="M3746">
        <v>7.0000000000000007E-2</v>
      </c>
      <c r="N3746" s="7" t="str">
        <f>VLOOKUP(F3746,HC!A$6:D$100,3,FALSE)</f>
        <v>D5-X0700</v>
      </c>
      <c r="O3746" s="7" t="str">
        <f>VLOOKUP(F3746,HC!A$6:D$1000,2,FALSE)</f>
        <v>jorochai</v>
      </c>
      <c r="P3746" t="s">
        <v>664</v>
      </c>
      <c r="Q3746" t="s">
        <v>420</v>
      </c>
      <c r="U3746">
        <f t="shared" si="60"/>
        <v>19</v>
      </c>
    </row>
    <row r="3747" spans="1:21" ht="37.5" customHeight="1" x14ac:dyDescent="0.25">
      <c r="A3747" s="40">
        <v>45223</v>
      </c>
      <c r="B3747" s="13">
        <v>43</v>
      </c>
      <c r="C3747" t="s">
        <v>3</v>
      </c>
      <c r="D3747" t="s">
        <v>4</v>
      </c>
      <c r="E3747" t="s">
        <v>5</v>
      </c>
      <c r="F3747">
        <v>112972798</v>
      </c>
      <c r="G3747" t="s">
        <v>1470</v>
      </c>
      <c r="H3747" t="s">
        <v>282</v>
      </c>
      <c r="I3747">
        <v>0</v>
      </c>
      <c r="J3747">
        <v>0</v>
      </c>
      <c r="K3747">
        <v>0</v>
      </c>
      <c r="L3747">
        <v>0</v>
      </c>
      <c r="M3747">
        <v>0.46</v>
      </c>
      <c r="N3747" s="7" t="str">
        <f>VLOOKUP(F3747,HC!A$6:D$100,3,FALSE)</f>
        <v>D5-X0700</v>
      </c>
      <c r="O3747" s="7" t="str">
        <f>VLOOKUP(F3747,HC!A$6:D$1000,2,FALSE)</f>
        <v>aladriav</v>
      </c>
      <c r="P3747" t="s">
        <v>664</v>
      </c>
      <c r="Q3747" t="s">
        <v>716</v>
      </c>
      <c r="U3747">
        <f t="shared" si="60"/>
        <v>1</v>
      </c>
    </row>
    <row r="3748" spans="1:21" ht="37.5" customHeight="1" x14ac:dyDescent="0.25">
      <c r="A3748" s="40">
        <v>45223</v>
      </c>
      <c r="B3748" s="13">
        <v>43</v>
      </c>
      <c r="C3748" t="s">
        <v>3</v>
      </c>
      <c r="D3748" t="s">
        <v>4</v>
      </c>
      <c r="E3748" t="s">
        <v>5</v>
      </c>
      <c r="F3748">
        <v>112981061</v>
      </c>
      <c r="G3748" t="s">
        <v>264</v>
      </c>
      <c r="H3748" t="s">
        <v>49</v>
      </c>
      <c r="I3748">
        <v>0</v>
      </c>
      <c r="J3748">
        <v>0</v>
      </c>
      <c r="K3748">
        <v>0</v>
      </c>
      <c r="L3748">
        <v>0</v>
      </c>
      <c r="M3748">
        <v>0.12</v>
      </c>
      <c r="N3748" s="7" t="str">
        <f>VLOOKUP(F3748,HC!A$6:D$100,3,FALSE)</f>
        <v>DA-X0700</v>
      </c>
      <c r="O3748" s="7" t="str">
        <f>VLOOKUP(F3748,HC!A$6:D$1000,2,FALSE)</f>
        <v>mclaudol</v>
      </c>
      <c r="P3748" t="s">
        <v>664</v>
      </c>
      <c r="Q3748" t="s">
        <v>420</v>
      </c>
      <c r="U3748">
        <f t="shared" si="60"/>
        <v>44</v>
      </c>
    </row>
    <row r="3749" spans="1:21" ht="37.5" customHeight="1" x14ac:dyDescent="0.25">
      <c r="A3749" s="40">
        <v>45223</v>
      </c>
      <c r="B3749" s="13">
        <v>43</v>
      </c>
      <c r="C3749" t="s">
        <v>3</v>
      </c>
      <c r="D3749" t="s">
        <v>4</v>
      </c>
      <c r="E3749" t="s">
        <v>5</v>
      </c>
      <c r="F3749">
        <v>113014592</v>
      </c>
      <c r="G3749" t="s">
        <v>967</v>
      </c>
      <c r="H3749" t="s">
        <v>49</v>
      </c>
      <c r="I3749">
        <v>0</v>
      </c>
      <c r="J3749">
        <v>0</v>
      </c>
      <c r="K3749">
        <v>0</v>
      </c>
      <c r="L3749">
        <v>0</v>
      </c>
      <c r="M3749">
        <v>0.36</v>
      </c>
      <c r="N3749" s="7" t="e">
        <f>VLOOKUP(F3749,HC!A$6:D$100,3,FALSE)</f>
        <v>#N/A</v>
      </c>
      <c r="O3749" s="7" t="str">
        <f>VLOOKUP(F3749,HC!A$6:D$1000,2,FALSE)</f>
        <v>brepicaz</v>
      </c>
      <c r="P3749" t="s">
        <v>662</v>
      </c>
      <c r="Q3749" t="s">
        <v>1440</v>
      </c>
      <c r="U3749">
        <f t="shared" si="60"/>
        <v>6</v>
      </c>
    </row>
    <row r="3750" spans="1:21" ht="37.5" customHeight="1" x14ac:dyDescent="0.25">
      <c r="A3750" s="40">
        <v>45223</v>
      </c>
      <c r="B3750" s="13">
        <v>43</v>
      </c>
      <c r="C3750" t="s">
        <v>3</v>
      </c>
      <c r="D3750" t="s">
        <v>4</v>
      </c>
      <c r="E3750" t="s">
        <v>5</v>
      </c>
      <c r="F3750">
        <v>200404250</v>
      </c>
      <c r="G3750" t="s">
        <v>51</v>
      </c>
      <c r="H3750" t="s">
        <v>49</v>
      </c>
      <c r="I3750">
        <v>0</v>
      </c>
      <c r="J3750">
        <v>0</v>
      </c>
      <c r="K3750">
        <v>0</v>
      </c>
      <c r="L3750">
        <v>0</v>
      </c>
      <c r="M3750">
        <v>1.48</v>
      </c>
      <c r="N3750" s="7" t="e">
        <f>VLOOKUP(F3750,HC!A$6:D$100,3,FALSE)</f>
        <v>#N/A</v>
      </c>
      <c r="O3750" s="7" t="str">
        <f>VLOOKUP(F3750,HC!A$6:D$1000,2,FALSE)</f>
        <v>xcathurt</v>
      </c>
      <c r="P3750" t="s">
        <v>664</v>
      </c>
      <c r="Q3750" t="s">
        <v>1480</v>
      </c>
      <c r="R3750" t="s">
        <v>0</v>
      </c>
      <c r="U3750">
        <f t="shared" si="60"/>
        <v>124</v>
      </c>
    </row>
    <row r="3751" spans="1:21" ht="37.5" customHeight="1" x14ac:dyDescent="0.25">
      <c r="A3751" s="40">
        <v>45223</v>
      </c>
      <c r="B3751" s="13">
        <v>43</v>
      </c>
      <c r="C3751" t="s">
        <v>3</v>
      </c>
      <c r="D3751" t="s">
        <v>4</v>
      </c>
      <c r="E3751" t="s">
        <v>5</v>
      </c>
      <c r="F3751">
        <v>200625528</v>
      </c>
      <c r="G3751" t="s">
        <v>607</v>
      </c>
      <c r="H3751" t="s">
        <v>1040</v>
      </c>
      <c r="I3751">
        <v>0</v>
      </c>
      <c r="J3751">
        <v>0</v>
      </c>
      <c r="K3751">
        <v>0</v>
      </c>
      <c r="L3751">
        <v>0</v>
      </c>
      <c r="M3751">
        <v>0.45</v>
      </c>
      <c r="N3751" s="7" t="e">
        <f>VLOOKUP(F3751,HC!A$6:D$100,3,FALSE)</f>
        <v>#N/A</v>
      </c>
      <c r="O3751" s="7" t="str">
        <f>VLOOKUP(F3751,HC!A$6:D$1000,2,FALSE)</f>
        <v>olivlizb</v>
      </c>
      <c r="P3751" t="s">
        <v>665</v>
      </c>
      <c r="Q3751" t="s">
        <v>722</v>
      </c>
      <c r="U3751">
        <f t="shared" si="60"/>
        <v>50</v>
      </c>
    </row>
    <row r="3752" spans="1:21" ht="37.5" customHeight="1" x14ac:dyDescent="0.25">
      <c r="A3752" s="40">
        <v>45223</v>
      </c>
      <c r="B3752" s="13">
        <v>43</v>
      </c>
      <c r="C3752" t="s">
        <v>3</v>
      </c>
      <c r="D3752" t="s">
        <v>4</v>
      </c>
      <c r="E3752" t="s">
        <v>5</v>
      </c>
      <c r="F3752">
        <v>201167501</v>
      </c>
      <c r="G3752" t="s">
        <v>863</v>
      </c>
      <c r="H3752" t="s">
        <v>49</v>
      </c>
      <c r="I3752">
        <v>0</v>
      </c>
      <c r="J3752">
        <v>0</v>
      </c>
      <c r="K3752">
        <v>0</v>
      </c>
      <c r="L3752">
        <v>0</v>
      </c>
      <c r="M3752">
        <v>0.25</v>
      </c>
      <c r="N3752" s="7" t="e">
        <f>VLOOKUP(F3752,HC!A$6:D$100,3,FALSE)</f>
        <v>#N/A</v>
      </c>
      <c r="O3752" s="7" t="str">
        <f>VLOOKUP(F3752,HC!A$6:D$1000,2,FALSE)</f>
        <v>wguanajr</v>
      </c>
      <c r="P3752" t="s">
        <v>664</v>
      </c>
      <c r="Q3752" t="s">
        <v>716</v>
      </c>
      <c r="U3752">
        <f t="shared" si="60"/>
        <v>36</v>
      </c>
    </row>
    <row r="3753" spans="1:21" ht="37.5" customHeight="1" x14ac:dyDescent="0.25">
      <c r="A3753" s="40">
        <v>45223</v>
      </c>
      <c r="B3753" s="13">
        <v>43</v>
      </c>
      <c r="C3753" t="s">
        <v>3</v>
      </c>
      <c r="D3753" t="s">
        <v>4</v>
      </c>
      <c r="E3753" t="s">
        <v>5</v>
      </c>
      <c r="F3753">
        <v>201191198</v>
      </c>
      <c r="G3753" t="s">
        <v>974</v>
      </c>
      <c r="H3753" t="s">
        <v>285</v>
      </c>
      <c r="I3753">
        <v>0</v>
      </c>
      <c r="J3753">
        <v>0</v>
      </c>
      <c r="K3753">
        <v>0</v>
      </c>
      <c r="L3753">
        <v>0</v>
      </c>
      <c r="M3753">
        <v>1.75</v>
      </c>
      <c r="N3753" s="7" t="e">
        <f>VLOOKUP(F3753,HC!A$6:D$100,3,FALSE)</f>
        <v>#N/A</v>
      </c>
      <c r="O3753" s="7" t="str">
        <f>VLOOKUP(F3753,HC!A$6:D$1000,2,FALSE)</f>
        <v>mojicemm</v>
      </c>
      <c r="P3753" t="s">
        <v>661</v>
      </c>
      <c r="Q3753" t="s">
        <v>681</v>
      </c>
      <c r="U3753">
        <f t="shared" si="60"/>
        <v>24</v>
      </c>
    </row>
    <row r="3754" spans="1:21" ht="37.5" customHeight="1" x14ac:dyDescent="0.25">
      <c r="A3754" s="40">
        <v>45223</v>
      </c>
      <c r="B3754" s="13">
        <v>43</v>
      </c>
      <c r="C3754" t="s">
        <v>3</v>
      </c>
      <c r="D3754" t="s">
        <v>4</v>
      </c>
      <c r="E3754" t="s">
        <v>5</v>
      </c>
      <c r="F3754">
        <v>201197964</v>
      </c>
      <c r="G3754" t="s">
        <v>1180</v>
      </c>
      <c r="H3754" t="s">
        <v>250</v>
      </c>
      <c r="I3754">
        <v>0</v>
      </c>
      <c r="J3754">
        <v>0</v>
      </c>
      <c r="K3754">
        <v>0</v>
      </c>
      <c r="L3754">
        <v>0</v>
      </c>
      <c r="M3754">
        <v>0.73</v>
      </c>
      <c r="N3754" s="7" t="e">
        <f>VLOOKUP(F3754,HC!A$6:D$100,3,FALSE)</f>
        <v>#N/A</v>
      </c>
      <c r="O3754" s="7" t="str">
        <f>VLOOKUP(F3754,HC!A$6:D$1000,2,FALSE)</f>
        <v>matzquij</v>
      </c>
      <c r="P3754" t="s">
        <v>663</v>
      </c>
      <c r="Q3754" t="s">
        <v>692</v>
      </c>
      <c r="U3754">
        <f t="shared" si="60"/>
        <v>16</v>
      </c>
    </row>
    <row r="3755" spans="1:21" ht="37.5" customHeight="1" x14ac:dyDescent="0.25">
      <c r="A3755" s="40">
        <v>45223</v>
      </c>
      <c r="B3755" s="13">
        <v>43</v>
      </c>
      <c r="C3755" t="s">
        <v>3</v>
      </c>
      <c r="D3755" t="s">
        <v>4</v>
      </c>
      <c r="E3755" t="s">
        <v>5</v>
      </c>
      <c r="F3755">
        <v>201345774</v>
      </c>
      <c r="G3755" t="s">
        <v>1070</v>
      </c>
      <c r="H3755" t="s">
        <v>49</v>
      </c>
      <c r="I3755">
        <v>0</v>
      </c>
      <c r="J3755">
        <v>0</v>
      </c>
      <c r="K3755">
        <v>0</v>
      </c>
      <c r="L3755">
        <v>0</v>
      </c>
      <c r="M3755">
        <v>0.22</v>
      </c>
      <c r="N3755" s="7" t="e">
        <f>VLOOKUP(F3755,HC!A$6:D$100,3,FALSE)</f>
        <v>#N/A</v>
      </c>
      <c r="O3755" s="7" t="str">
        <f>VLOOKUP(F3755,HC!A$6:D$1000,2,FALSE)</f>
        <v>jonquija</v>
      </c>
      <c r="P3755" t="s">
        <v>661</v>
      </c>
      <c r="Q3755" t="s">
        <v>681</v>
      </c>
      <c r="U3755">
        <f t="shared" si="60"/>
        <v>19</v>
      </c>
    </row>
    <row r="3756" spans="1:21" ht="37.5" customHeight="1" x14ac:dyDescent="0.25">
      <c r="A3756" s="40">
        <v>45223</v>
      </c>
      <c r="B3756" s="13">
        <v>43</v>
      </c>
      <c r="C3756" t="s">
        <v>3</v>
      </c>
      <c r="D3756" t="s">
        <v>4</v>
      </c>
      <c r="E3756" t="s">
        <v>5</v>
      </c>
      <c r="F3756">
        <v>201378542</v>
      </c>
      <c r="G3756" t="s">
        <v>1164</v>
      </c>
      <c r="H3756" t="s">
        <v>1040</v>
      </c>
      <c r="I3756">
        <v>0</v>
      </c>
      <c r="J3756">
        <v>0</v>
      </c>
      <c r="K3756">
        <v>0</v>
      </c>
      <c r="L3756">
        <v>0</v>
      </c>
      <c r="M3756">
        <v>0.32</v>
      </c>
      <c r="N3756" s="7" t="e">
        <f>VLOOKUP(F3756,HC!A$6:D$100,3,FALSE)</f>
        <v>#N/A</v>
      </c>
      <c r="O3756" s="7" t="str">
        <f>VLOOKUP(F3756,HC!A$6:D$1000,2,FALSE)</f>
        <v>tcontree</v>
      </c>
      <c r="P3756" t="s">
        <v>664</v>
      </c>
      <c r="Q3756" t="s">
        <v>711</v>
      </c>
      <c r="U3756">
        <f t="shared" si="60"/>
        <v>9</v>
      </c>
    </row>
    <row r="3757" spans="1:21" ht="37.5" customHeight="1" x14ac:dyDescent="0.25">
      <c r="A3757" s="40">
        <v>45223</v>
      </c>
      <c r="B3757" s="13">
        <v>43</v>
      </c>
      <c r="C3757" t="s">
        <v>3</v>
      </c>
      <c r="D3757" t="s">
        <v>4</v>
      </c>
      <c r="E3757" t="s">
        <v>21</v>
      </c>
      <c r="F3757">
        <v>201858867</v>
      </c>
      <c r="G3757" t="s">
        <v>1236</v>
      </c>
      <c r="H3757" t="s">
        <v>285</v>
      </c>
      <c r="I3757">
        <v>0</v>
      </c>
      <c r="J3757">
        <v>0</v>
      </c>
      <c r="K3757">
        <v>0</v>
      </c>
      <c r="L3757">
        <v>0</v>
      </c>
      <c r="M3757">
        <v>0.14000000000000001</v>
      </c>
      <c r="N3757" s="7" t="e">
        <f>VLOOKUP(F3757,HC!A$6:D$100,3,FALSE)</f>
        <v>#N/A</v>
      </c>
      <c r="O3757" s="7" t="str">
        <f>VLOOKUP(F3757,HC!A$6:D$1000,2,FALSE)</f>
        <v>tcruzvel</v>
      </c>
      <c r="P3757" t="s">
        <v>662</v>
      </c>
      <c r="Q3757" t="s">
        <v>1440</v>
      </c>
      <c r="U3757">
        <f t="shared" si="60"/>
        <v>17</v>
      </c>
    </row>
    <row r="3758" spans="1:21" ht="37.5" customHeight="1" x14ac:dyDescent="0.25">
      <c r="A3758" s="40">
        <v>45223</v>
      </c>
      <c r="B3758" s="13">
        <v>43</v>
      </c>
      <c r="C3758" t="s">
        <v>3</v>
      </c>
      <c r="D3758" t="s">
        <v>4</v>
      </c>
      <c r="E3758" t="s">
        <v>21</v>
      </c>
      <c r="F3758">
        <v>201891076</v>
      </c>
      <c r="G3758" t="s">
        <v>1226</v>
      </c>
      <c r="H3758" t="s">
        <v>49</v>
      </c>
      <c r="I3758">
        <v>0</v>
      </c>
      <c r="J3758">
        <v>0</v>
      </c>
      <c r="K3758">
        <v>0</v>
      </c>
      <c r="L3758">
        <v>0</v>
      </c>
      <c r="M3758">
        <v>0.84</v>
      </c>
      <c r="N3758" s="7" t="e">
        <f>VLOOKUP(F3758,HC!A$6:D$100,3,FALSE)</f>
        <v>#N/A</v>
      </c>
      <c r="O3758" s="7" t="str">
        <f>VLOOKUP(F3758,HC!A$6:D$1000,2,FALSE)</f>
        <v>marmolve</v>
      </c>
      <c r="P3758" t="s">
        <v>664</v>
      </c>
      <c r="Q3758" t="s">
        <v>420</v>
      </c>
      <c r="R3758" t="s">
        <v>0</v>
      </c>
      <c r="U3758">
        <f t="shared" si="60"/>
        <v>9</v>
      </c>
    </row>
    <row r="3759" spans="1:21" ht="37.5" customHeight="1" x14ac:dyDescent="0.25">
      <c r="A3759" s="40">
        <v>45223</v>
      </c>
      <c r="B3759" s="13">
        <v>43</v>
      </c>
      <c r="C3759" t="s">
        <v>3</v>
      </c>
      <c r="D3759" t="s">
        <v>4</v>
      </c>
      <c r="E3759" t="s">
        <v>21</v>
      </c>
      <c r="F3759">
        <v>201901910</v>
      </c>
      <c r="G3759" t="s">
        <v>1251</v>
      </c>
      <c r="H3759" t="s">
        <v>285</v>
      </c>
      <c r="I3759">
        <v>0</v>
      </c>
      <c r="J3759">
        <v>0</v>
      </c>
      <c r="K3759">
        <v>0</v>
      </c>
      <c r="L3759">
        <v>0</v>
      </c>
      <c r="M3759">
        <v>0.43</v>
      </c>
      <c r="N3759" s="7" t="e">
        <f>VLOOKUP(F3759,HC!A$6:D$100,3,FALSE)</f>
        <v>#N/A</v>
      </c>
      <c r="O3759" s="7" t="str">
        <f>VLOOKUP(F3759,HC!A$6:D$1000,2,FALSE)</f>
        <v>sfloredw</v>
      </c>
      <c r="P3759" t="s">
        <v>661</v>
      </c>
      <c r="Q3759" t="s">
        <v>681</v>
      </c>
      <c r="U3759">
        <f t="shared" si="60"/>
        <v>8</v>
      </c>
    </row>
    <row r="3760" spans="1:21" ht="37.5" customHeight="1" x14ac:dyDescent="0.25">
      <c r="A3760" s="40">
        <v>45223</v>
      </c>
      <c r="B3760" s="13">
        <v>43</v>
      </c>
      <c r="C3760" t="s">
        <v>3</v>
      </c>
      <c r="D3760" t="s">
        <v>4</v>
      </c>
      <c r="E3760" t="s">
        <v>21</v>
      </c>
      <c r="F3760">
        <v>202129214</v>
      </c>
      <c r="G3760" t="s">
        <v>1429</v>
      </c>
      <c r="H3760" t="s">
        <v>1471</v>
      </c>
      <c r="I3760">
        <v>0</v>
      </c>
      <c r="J3760">
        <v>0</v>
      </c>
      <c r="K3760">
        <v>0</v>
      </c>
      <c r="L3760">
        <v>0</v>
      </c>
      <c r="M3760">
        <v>2.17</v>
      </c>
      <c r="N3760" s="7" t="e">
        <f>VLOOKUP(F3760,HC!A$6:D$100,3,FALSE)</f>
        <v>#N/A</v>
      </c>
      <c r="O3760" s="7" t="str">
        <f>VLOOKUP(F3760,HC!A$6:D$1000,2,FALSE)</f>
        <v>isafzuni</v>
      </c>
      <c r="P3760" t="s">
        <v>664</v>
      </c>
      <c r="Q3760" t="s">
        <v>420</v>
      </c>
      <c r="R3760" t="s">
        <v>1093</v>
      </c>
      <c r="U3760">
        <f t="shared" si="60"/>
        <v>8</v>
      </c>
    </row>
    <row r="3761" spans="1:21" ht="37.5" customHeight="1" x14ac:dyDescent="0.25">
      <c r="A3761" s="40">
        <v>45223</v>
      </c>
      <c r="B3761" s="13">
        <v>43</v>
      </c>
      <c r="C3761" t="s">
        <v>3</v>
      </c>
      <c r="D3761" t="s">
        <v>4</v>
      </c>
      <c r="E3761" t="s">
        <v>21</v>
      </c>
      <c r="F3761">
        <v>202130113</v>
      </c>
      <c r="G3761" t="s">
        <v>1434</v>
      </c>
      <c r="H3761" t="s">
        <v>332</v>
      </c>
      <c r="I3761">
        <v>0</v>
      </c>
      <c r="J3761">
        <v>0</v>
      </c>
      <c r="K3761">
        <v>0</v>
      </c>
      <c r="L3761">
        <v>0</v>
      </c>
      <c r="M3761">
        <v>0.23</v>
      </c>
      <c r="N3761" s="7" t="e">
        <f>VLOOKUP(F3761,HC!A$6:D$100,3,FALSE)</f>
        <v>#N/A</v>
      </c>
      <c r="O3761" s="7" t="str">
        <f>VLOOKUP(F3761,HC!A$6:D$1000,2,FALSE)</f>
        <v>tanirang</v>
      </c>
      <c r="P3761" t="s">
        <v>661</v>
      </c>
      <c r="Q3761" t="s">
        <v>681</v>
      </c>
      <c r="U3761">
        <f t="shared" si="60"/>
        <v>5</v>
      </c>
    </row>
    <row r="3762" spans="1:21" ht="37.5" customHeight="1" x14ac:dyDescent="0.25">
      <c r="A3762" s="40">
        <v>45223</v>
      </c>
      <c r="B3762" s="13">
        <v>43</v>
      </c>
      <c r="C3762" t="s">
        <v>3</v>
      </c>
      <c r="D3762" t="s">
        <v>4</v>
      </c>
      <c r="E3762" t="s">
        <v>21</v>
      </c>
      <c r="F3762">
        <v>202163986</v>
      </c>
      <c r="G3762" t="s">
        <v>1472</v>
      </c>
      <c r="H3762" t="s">
        <v>250</v>
      </c>
      <c r="I3762">
        <v>0</v>
      </c>
      <c r="J3762">
        <v>0</v>
      </c>
      <c r="K3762">
        <v>0</v>
      </c>
      <c r="L3762">
        <v>0</v>
      </c>
      <c r="M3762">
        <v>0.15</v>
      </c>
      <c r="N3762" s="7" t="e">
        <f>VLOOKUP(F3762,HC!A$6:D$100,3,FALSE)</f>
        <v>#N/A</v>
      </c>
      <c r="O3762" s="7" t="str">
        <f>VLOOKUP(F3762,HC!A$6:D$1000,2,FALSE)</f>
        <v>franhjos</v>
      </c>
      <c r="P3762" t="s">
        <v>663</v>
      </c>
      <c r="Q3762" t="s">
        <v>692</v>
      </c>
      <c r="U3762">
        <f t="shared" si="60"/>
        <v>2</v>
      </c>
    </row>
    <row r="3763" spans="1:21" ht="37.5" customHeight="1" x14ac:dyDescent="0.25">
      <c r="A3763" s="40">
        <v>45223</v>
      </c>
      <c r="B3763" s="13">
        <v>43</v>
      </c>
      <c r="C3763" t="s">
        <v>3</v>
      </c>
      <c r="D3763" t="s">
        <v>4</v>
      </c>
      <c r="E3763" t="s">
        <v>21</v>
      </c>
      <c r="F3763">
        <v>202165242</v>
      </c>
      <c r="G3763" t="s">
        <v>1412</v>
      </c>
      <c r="H3763" t="s">
        <v>403</v>
      </c>
      <c r="I3763">
        <v>0</v>
      </c>
      <c r="J3763">
        <v>0</v>
      </c>
      <c r="K3763">
        <v>0</v>
      </c>
      <c r="L3763">
        <v>0</v>
      </c>
      <c r="M3763">
        <v>1.36</v>
      </c>
      <c r="N3763" s="7" t="e">
        <f>VLOOKUP(F3763,HC!A$6:D$100,3,FALSE)</f>
        <v>#N/A</v>
      </c>
      <c r="O3763" s="7" t="str">
        <f>VLOOKUP(F3763,HC!A$6:D$1000,2,FALSE)</f>
        <v>marcqgon</v>
      </c>
      <c r="P3763" t="s">
        <v>664</v>
      </c>
      <c r="Q3763" t="s">
        <v>1481</v>
      </c>
      <c r="R3763" t="s">
        <v>632</v>
      </c>
      <c r="U3763">
        <f t="shared" si="60"/>
        <v>21</v>
      </c>
    </row>
    <row r="3764" spans="1:21" ht="37.5" customHeight="1" x14ac:dyDescent="0.25">
      <c r="A3764" s="40">
        <v>45223</v>
      </c>
      <c r="B3764" s="13">
        <v>43</v>
      </c>
      <c r="C3764" t="s">
        <v>3</v>
      </c>
      <c r="D3764" t="s">
        <v>4</v>
      </c>
      <c r="E3764" t="s">
        <v>21</v>
      </c>
      <c r="F3764">
        <v>202225896</v>
      </c>
      <c r="G3764" t="s">
        <v>1473</v>
      </c>
      <c r="H3764" t="s">
        <v>250</v>
      </c>
      <c r="I3764">
        <v>0</v>
      </c>
      <c r="J3764">
        <v>0</v>
      </c>
      <c r="K3764">
        <v>0</v>
      </c>
      <c r="L3764">
        <v>0</v>
      </c>
      <c r="M3764">
        <v>1.65</v>
      </c>
      <c r="N3764" s="7" t="e">
        <f>VLOOKUP(F3764,HC!A$6:D$100,3,FALSE)</f>
        <v>#N/A</v>
      </c>
      <c r="O3764" s="7" t="str">
        <f>VLOOKUP(F3764,HC!A$6:D$1000,2,FALSE)</f>
        <v>reymjosu</v>
      </c>
      <c r="P3764" t="s">
        <v>661</v>
      </c>
      <c r="Q3764" t="s">
        <v>684</v>
      </c>
      <c r="U3764">
        <f t="shared" si="60"/>
        <v>3</v>
      </c>
    </row>
    <row r="3765" spans="1:21" ht="37.5" customHeight="1" x14ac:dyDescent="0.25">
      <c r="A3765" s="40">
        <v>45223</v>
      </c>
      <c r="B3765" s="13">
        <v>43</v>
      </c>
      <c r="C3765" t="s">
        <v>3</v>
      </c>
      <c r="D3765" t="s">
        <v>4</v>
      </c>
      <c r="E3765" t="s">
        <v>21</v>
      </c>
      <c r="F3765">
        <v>202226099</v>
      </c>
      <c r="G3765" t="s">
        <v>1474</v>
      </c>
      <c r="H3765" t="s">
        <v>282</v>
      </c>
      <c r="I3765">
        <v>0</v>
      </c>
      <c r="J3765">
        <v>0</v>
      </c>
      <c r="K3765">
        <v>0</v>
      </c>
      <c r="L3765">
        <v>0</v>
      </c>
      <c r="M3765">
        <v>0.38</v>
      </c>
      <c r="N3765" s="7" t="e">
        <f>VLOOKUP(F3765,HC!A$6:D$100,3,FALSE)</f>
        <v>#N/A</v>
      </c>
      <c r="O3765" s="7" t="str">
        <f>VLOOKUP(F3765,HC!A$6:D$1000,2,FALSE)</f>
        <v>barbywlu</v>
      </c>
      <c r="P3765" t="s">
        <v>661</v>
      </c>
      <c r="Q3765" t="s">
        <v>681</v>
      </c>
      <c r="U3765">
        <f t="shared" si="60"/>
        <v>2</v>
      </c>
    </row>
    <row r="3766" spans="1:21" ht="37.5" customHeight="1" x14ac:dyDescent="0.25">
      <c r="A3766" s="40">
        <v>45223</v>
      </c>
      <c r="B3766" s="13">
        <v>43</v>
      </c>
      <c r="C3766" t="s">
        <v>3</v>
      </c>
      <c r="D3766" t="s">
        <v>4</v>
      </c>
      <c r="E3766" t="s">
        <v>21</v>
      </c>
      <c r="F3766">
        <v>202250323</v>
      </c>
      <c r="G3766" t="s">
        <v>1475</v>
      </c>
      <c r="H3766" t="s">
        <v>49</v>
      </c>
      <c r="I3766">
        <v>0</v>
      </c>
      <c r="J3766">
        <v>0</v>
      </c>
      <c r="K3766">
        <v>0</v>
      </c>
      <c r="L3766">
        <v>0</v>
      </c>
      <c r="M3766">
        <v>0.11</v>
      </c>
      <c r="N3766" s="7" t="e">
        <f>VLOOKUP(F3766,HC!A$6:D$100,3,FALSE)</f>
        <v>#N/A</v>
      </c>
      <c r="O3766" s="7" t="str">
        <f>VLOOKUP(F3766,HC!A$6:D$1000,2,FALSE)</f>
        <v>soledesq</v>
      </c>
      <c r="P3766" t="s">
        <v>665</v>
      </c>
      <c r="Q3766" t="s">
        <v>722</v>
      </c>
      <c r="U3766">
        <f t="shared" si="60"/>
        <v>4</v>
      </c>
    </row>
    <row r="3767" spans="1:21" ht="37.5" customHeight="1" x14ac:dyDescent="0.25">
      <c r="A3767" s="40">
        <v>45223</v>
      </c>
      <c r="B3767" s="13">
        <v>43</v>
      </c>
      <c r="C3767" t="s">
        <v>3</v>
      </c>
      <c r="D3767" t="s">
        <v>4</v>
      </c>
      <c r="E3767" t="s">
        <v>21</v>
      </c>
      <c r="F3767">
        <v>202265921</v>
      </c>
      <c r="G3767" t="s">
        <v>1476</v>
      </c>
      <c r="H3767" t="s">
        <v>250</v>
      </c>
      <c r="I3767">
        <v>0</v>
      </c>
      <c r="J3767">
        <v>0</v>
      </c>
      <c r="K3767">
        <v>0</v>
      </c>
      <c r="L3767">
        <v>0</v>
      </c>
      <c r="M3767">
        <v>0.18</v>
      </c>
      <c r="N3767" s="7" t="e">
        <f>VLOOKUP(F3767,HC!A$6:D$100,3,FALSE)</f>
        <v>#N/A</v>
      </c>
      <c r="O3767" s="7" t="str">
        <f>VLOOKUP(F3767,HC!A$6:D$1000,2,FALSE)</f>
        <v>mauperea</v>
      </c>
      <c r="P3767" t="s">
        <v>661</v>
      </c>
      <c r="Q3767" t="s">
        <v>681</v>
      </c>
      <c r="U3767">
        <f t="shared" si="60"/>
        <v>3</v>
      </c>
    </row>
    <row r="3768" spans="1:21" ht="37.5" customHeight="1" x14ac:dyDescent="0.25">
      <c r="A3768" s="40">
        <v>45223</v>
      </c>
      <c r="B3768" s="13">
        <v>43</v>
      </c>
      <c r="C3768" t="s">
        <v>3</v>
      </c>
      <c r="D3768" t="s">
        <v>4</v>
      </c>
      <c r="E3768" t="s">
        <v>21</v>
      </c>
      <c r="F3768">
        <v>202273970</v>
      </c>
      <c r="G3768" t="s">
        <v>1477</v>
      </c>
      <c r="H3768" t="s">
        <v>282</v>
      </c>
      <c r="I3768">
        <v>0</v>
      </c>
      <c r="J3768">
        <v>0</v>
      </c>
      <c r="K3768">
        <v>0</v>
      </c>
      <c r="L3768">
        <v>0</v>
      </c>
      <c r="M3768">
        <v>0.26</v>
      </c>
      <c r="N3768" s="7" t="e">
        <f>VLOOKUP(F3768,HC!A$6:D$100,3,FALSE)</f>
        <v>#N/A</v>
      </c>
      <c r="O3768" s="7" t="str">
        <f>VLOOKUP(F3768,HC!A$6:D$1000,2,FALSE)</f>
        <v>jafemedi</v>
      </c>
      <c r="P3768" t="s">
        <v>667</v>
      </c>
      <c r="R3768" t="s">
        <v>1482</v>
      </c>
      <c r="U3768">
        <f t="shared" si="60"/>
        <v>3</v>
      </c>
    </row>
    <row r="3769" spans="1:21" ht="37.5" customHeight="1" x14ac:dyDescent="0.25">
      <c r="A3769" s="40">
        <v>45223</v>
      </c>
      <c r="B3769" s="13">
        <v>43</v>
      </c>
      <c r="C3769" t="s">
        <v>3</v>
      </c>
      <c r="D3769" t="s">
        <v>4</v>
      </c>
      <c r="E3769" t="s">
        <v>21</v>
      </c>
      <c r="F3769">
        <v>202329948</v>
      </c>
      <c r="G3769" t="s">
        <v>1478</v>
      </c>
      <c r="H3769" t="s">
        <v>285</v>
      </c>
      <c r="I3769">
        <v>0</v>
      </c>
      <c r="J3769">
        <v>0</v>
      </c>
      <c r="K3769">
        <v>0</v>
      </c>
      <c r="L3769">
        <v>0</v>
      </c>
      <c r="M3769">
        <v>3.54</v>
      </c>
      <c r="N3769" s="7" t="e">
        <f>VLOOKUP(F3769,HC!A$6:D$100,3,FALSE)</f>
        <v>#N/A</v>
      </c>
      <c r="O3769" s="7" t="e">
        <f>VLOOKUP(F3769,HC!A$6:D$1000,2,FALSE)</f>
        <v>#N/A</v>
      </c>
      <c r="P3769" t="s">
        <v>661</v>
      </c>
      <c r="Q3769" t="s">
        <v>681</v>
      </c>
      <c r="U3769">
        <f t="shared" si="60"/>
        <v>1395</v>
      </c>
    </row>
    <row r="3770" spans="1:21" ht="37.5" customHeight="1" x14ac:dyDescent="0.25">
      <c r="A3770" s="40">
        <v>45224</v>
      </c>
      <c r="B3770" s="13">
        <v>43</v>
      </c>
      <c r="C3770" t="s">
        <v>3</v>
      </c>
      <c r="D3770" t="s">
        <v>4</v>
      </c>
      <c r="E3770" t="s">
        <v>5</v>
      </c>
      <c r="F3770">
        <v>103427877</v>
      </c>
      <c r="G3770" t="s">
        <v>281</v>
      </c>
      <c r="H3770" t="s">
        <v>459</v>
      </c>
      <c r="I3770">
        <v>0</v>
      </c>
      <c r="J3770">
        <v>0</v>
      </c>
      <c r="K3770">
        <v>0</v>
      </c>
      <c r="L3770">
        <v>0</v>
      </c>
      <c r="M3770">
        <v>0.78</v>
      </c>
      <c r="N3770" s="7" t="e">
        <f>VLOOKUP(F3770,HC!A$6:D$100,3,FALSE)</f>
        <v>#N/A</v>
      </c>
      <c r="O3770" s="7" t="e">
        <f>VLOOKUP(F3770,HC!A$6:D$1000,2,FALSE)</f>
        <v>#N/A</v>
      </c>
      <c r="P3770" t="s">
        <v>666</v>
      </c>
      <c r="R3770" t="s">
        <v>1781</v>
      </c>
      <c r="U3770">
        <f t="shared" si="60"/>
        <v>1395</v>
      </c>
    </row>
    <row r="3771" spans="1:21" ht="37.5" customHeight="1" x14ac:dyDescent="0.25">
      <c r="A3771" s="40">
        <v>45224</v>
      </c>
      <c r="B3771" s="13">
        <v>43</v>
      </c>
      <c r="C3771" t="s">
        <v>3</v>
      </c>
      <c r="D3771" t="s">
        <v>4</v>
      </c>
      <c r="E3771" t="s">
        <v>21</v>
      </c>
      <c r="F3771">
        <v>112971933</v>
      </c>
      <c r="G3771" t="s">
        <v>1696</v>
      </c>
      <c r="H3771" t="s">
        <v>14</v>
      </c>
      <c r="I3771">
        <v>0</v>
      </c>
      <c r="J3771">
        <v>0</v>
      </c>
      <c r="K3771">
        <v>0</v>
      </c>
      <c r="L3771">
        <v>0</v>
      </c>
      <c r="M3771">
        <v>0.33</v>
      </c>
      <c r="N3771" s="7" t="str">
        <f>VLOOKUP(F3771,HC!A$6:D$100,3,FALSE)</f>
        <v>DB-X0700</v>
      </c>
      <c r="O3771" s="7" t="str">
        <f>VLOOKUP(F3771,HC!A$6:D$1000,2,FALSE)</f>
        <v>rodchrif</v>
      </c>
      <c r="P3771" t="s">
        <v>663</v>
      </c>
      <c r="Q3771" t="s">
        <v>705</v>
      </c>
      <c r="U3771">
        <f t="shared" si="60"/>
        <v>2</v>
      </c>
    </row>
    <row r="3772" spans="1:21" ht="37.5" customHeight="1" x14ac:dyDescent="0.25">
      <c r="A3772" s="40">
        <v>45224</v>
      </c>
      <c r="B3772" s="13">
        <v>43</v>
      </c>
      <c r="C3772" t="s">
        <v>3</v>
      </c>
      <c r="D3772" t="s">
        <v>4</v>
      </c>
      <c r="E3772" t="s">
        <v>5</v>
      </c>
      <c r="F3772">
        <v>113014094</v>
      </c>
      <c r="G3772" t="s">
        <v>463</v>
      </c>
      <c r="H3772" t="s">
        <v>49</v>
      </c>
      <c r="I3772">
        <v>0</v>
      </c>
      <c r="J3772">
        <v>0</v>
      </c>
      <c r="K3772">
        <v>0</v>
      </c>
      <c r="L3772">
        <v>0</v>
      </c>
      <c r="M3772">
        <v>0.09</v>
      </c>
      <c r="N3772" s="7" t="e">
        <f>VLOOKUP(F3772,HC!A$6:D$100,3,FALSE)</f>
        <v>#N/A</v>
      </c>
      <c r="O3772" s="7" t="str">
        <f>VLOOKUP(F3772,HC!A$6:D$1000,2,FALSE)</f>
        <v>erikaadm</v>
      </c>
      <c r="P3772" t="s">
        <v>661</v>
      </c>
      <c r="Q3772" t="s">
        <v>681</v>
      </c>
      <c r="U3772">
        <f t="shared" si="60"/>
        <v>21</v>
      </c>
    </row>
    <row r="3773" spans="1:21" ht="37.5" customHeight="1" x14ac:dyDescent="0.25">
      <c r="A3773" s="40">
        <v>45224</v>
      </c>
      <c r="B3773" s="13">
        <v>43</v>
      </c>
      <c r="C3773" t="s">
        <v>3</v>
      </c>
      <c r="D3773" t="s">
        <v>4</v>
      </c>
      <c r="E3773" t="s">
        <v>5</v>
      </c>
      <c r="F3773">
        <v>113101453</v>
      </c>
      <c r="G3773" t="s">
        <v>50</v>
      </c>
      <c r="H3773" t="s">
        <v>49</v>
      </c>
      <c r="I3773">
        <v>0</v>
      </c>
      <c r="J3773">
        <v>0</v>
      </c>
      <c r="K3773">
        <v>0</v>
      </c>
      <c r="L3773">
        <v>0</v>
      </c>
      <c r="M3773">
        <v>0.27</v>
      </c>
      <c r="N3773" s="7" t="e">
        <f>VLOOKUP(F3773,HC!A$6:D$100,3,FALSE)</f>
        <v>#N/A</v>
      </c>
      <c r="O3773" s="7" t="str">
        <f>VLOOKUP(F3773,HC!A$6:D$1000,2,FALSE)</f>
        <v>qisgeova</v>
      </c>
      <c r="P3773" t="s">
        <v>664</v>
      </c>
      <c r="Q3773" t="s">
        <v>420</v>
      </c>
      <c r="U3773">
        <f t="shared" si="60"/>
        <v>57</v>
      </c>
    </row>
    <row r="3774" spans="1:21" ht="37.5" customHeight="1" x14ac:dyDescent="0.25">
      <c r="A3774" s="40">
        <v>45224</v>
      </c>
      <c r="B3774" s="13">
        <v>43</v>
      </c>
      <c r="C3774" t="s">
        <v>3</v>
      </c>
      <c r="D3774" t="s">
        <v>4</v>
      </c>
      <c r="E3774" t="s">
        <v>5</v>
      </c>
      <c r="F3774">
        <v>201167501</v>
      </c>
      <c r="G3774" t="s">
        <v>863</v>
      </c>
      <c r="H3774" t="s">
        <v>49</v>
      </c>
      <c r="I3774">
        <v>0</v>
      </c>
      <c r="J3774">
        <v>0</v>
      </c>
      <c r="K3774">
        <v>0</v>
      </c>
      <c r="L3774">
        <v>0</v>
      </c>
      <c r="M3774">
        <v>0.96</v>
      </c>
      <c r="N3774" s="7" t="e">
        <f>VLOOKUP(F3774,HC!A$6:D$100,3,FALSE)</f>
        <v>#N/A</v>
      </c>
      <c r="O3774" s="7" t="str">
        <f>VLOOKUP(F3774,HC!A$6:D$1000,2,FALSE)</f>
        <v>wguanajr</v>
      </c>
      <c r="P3774" t="s">
        <v>670</v>
      </c>
      <c r="Q3774" t="s">
        <v>1782</v>
      </c>
      <c r="U3774">
        <f t="shared" si="60"/>
        <v>36</v>
      </c>
    </row>
    <row r="3775" spans="1:21" ht="37.5" customHeight="1" x14ac:dyDescent="0.25">
      <c r="A3775" s="40">
        <v>45224</v>
      </c>
      <c r="B3775" s="13">
        <v>43</v>
      </c>
      <c r="C3775" t="s">
        <v>3</v>
      </c>
      <c r="D3775" t="s">
        <v>4</v>
      </c>
      <c r="E3775" t="s">
        <v>5</v>
      </c>
      <c r="F3775">
        <v>201191217</v>
      </c>
      <c r="G3775" t="s">
        <v>1121</v>
      </c>
      <c r="H3775" t="s">
        <v>1040</v>
      </c>
      <c r="I3775">
        <v>0</v>
      </c>
      <c r="J3775">
        <v>0</v>
      </c>
      <c r="K3775">
        <v>0</v>
      </c>
      <c r="L3775">
        <v>0</v>
      </c>
      <c r="M3775">
        <v>0.22</v>
      </c>
      <c r="N3775" s="7" t="e">
        <f>VLOOKUP(F3775,HC!A$6:D$100,3,FALSE)</f>
        <v>#N/A</v>
      </c>
      <c r="O3775" s="7" t="str">
        <f>VLOOKUP(F3775,HC!A$6:D$1000,2,FALSE)</f>
        <v>duesteba</v>
      </c>
      <c r="P3775" t="s">
        <v>661</v>
      </c>
      <c r="Q3775" t="s">
        <v>681</v>
      </c>
      <c r="U3775">
        <f t="shared" si="60"/>
        <v>2</v>
      </c>
    </row>
    <row r="3776" spans="1:21" ht="37.5" customHeight="1" x14ac:dyDescent="0.25">
      <c r="A3776" s="40">
        <v>45224</v>
      </c>
      <c r="B3776" s="13">
        <v>43</v>
      </c>
      <c r="C3776" t="s">
        <v>3</v>
      </c>
      <c r="D3776" t="s">
        <v>4</v>
      </c>
      <c r="E3776" t="s">
        <v>5</v>
      </c>
      <c r="F3776">
        <v>201223730</v>
      </c>
      <c r="G3776" t="s">
        <v>933</v>
      </c>
      <c r="H3776" t="s">
        <v>298</v>
      </c>
      <c r="I3776">
        <v>0</v>
      </c>
      <c r="J3776">
        <v>0</v>
      </c>
      <c r="K3776">
        <v>0</v>
      </c>
      <c r="L3776">
        <v>0</v>
      </c>
      <c r="M3776">
        <v>0.49</v>
      </c>
      <c r="N3776" s="7" t="e">
        <f>VLOOKUP(F3776,HC!A$6:D$100,3,FALSE)</f>
        <v>#N/A</v>
      </c>
      <c r="O3776" s="7" t="str">
        <f>VLOOKUP(F3776,HC!A$6:D$1000,2,FALSE)</f>
        <v>cesarito</v>
      </c>
      <c r="P3776" t="s">
        <v>664</v>
      </c>
      <c r="Q3776" t="s">
        <v>1783</v>
      </c>
      <c r="R3776" t="s">
        <v>632</v>
      </c>
      <c r="U3776">
        <f t="shared" si="60"/>
        <v>39</v>
      </c>
    </row>
    <row r="3777" spans="1:21" ht="37.5" customHeight="1" x14ac:dyDescent="0.25">
      <c r="A3777" s="40">
        <v>45224</v>
      </c>
      <c r="B3777" s="13">
        <v>43</v>
      </c>
      <c r="C3777" t="s">
        <v>3</v>
      </c>
      <c r="D3777" t="s">
        <v>4</v>
      </c>
      <c r="E3777" t="s">
        <v>5</v>
      </c>
      <c r="F3777">
        <v>201228411</v>
      </c>
      <c r="G3777" t="s">
        <v>938</v>
      </c>
      <c r="H3777" t="s">
        <v>298</v>
      </c>
      <c r="I3777">
        <v>0</v>
      </c>
      <c r="J3777">
        <v>0</v>
      </c>
      <c r="K3777">
        <v>0</v>
      </c>
      <c r="L3777">
        <v>0</v>
      </c>
      <c r="M3777">
        <v>0.67</v>
      </c>
      <c r="N3777" s="7" t="e">
        <f>VLOOKUP(F3777,HC!A$6:D$100,3,FALSE)</f>
        <v>#N/A</v>
      </c>
      <c r="O3777" s="7" t="str">
        <f>VLOOKUP(F3777,HC!A$6:D$1000,2,FALSE)</f>
        <v>jazmiwhe</v>
      </c>
      <c r="P3777" t="s">
        <v>664</v>
      </c>
      <c r="Q3777" t="s">
        <v>1783</v>
      </c>
      <c r="R3777" t="s">
        <v>632</v>
      </c>
      <c r="U3777">
        <f t="shared" si="60"/>
        <v>36</v>
      </c>
    </row>
    <row r="3778" spans="1:21" ht="37.5" customHeight="1" x14ac:dyDescent="0.25">
      <c r="A3778" s="40">
        <v>45224</v>
      </c>
      <c r="B3778" s="13">
        <v>43</v>
      </c>
      <c r="C3778" t="s">
        <v>3</v>
      </c>
      <c r="D3778" t="s">
        <v>4</v>
      </c>
      <c r="E3778" t="s">
        <v>5</v>
      </c>
      <c r="F3778">
        <v>201295429</v>
      </c>
      <c r="G3778" t="s">
        <v>1097</v>
      </c>
      <c r="H3778" t="s">
        <v>403</v>
      </c>
      <c r="I3778">
        <v>0</v>
      </c>
      <c r="J3778">
        <v>0</v>
      </c>
      <c r="K3778">
        <v>0</v>
      </c>
      <c r="L3778">
        <v>0</v>
      </c>
      <c r="M3778">
        <v>7.0000000000000007E-2</v>
      </c>
      <c r="N3778" s="7" t="e">
        <f>VLOOKUP(F3778,HC!A$6:D$100,3,FALSE)</f>
        <v>#N/A</v>
      </c>
      <c r="O3778" s="7" t="str">
        <f>VLOOKUP(F3778,HC!A$6:D$1000,2,FALSE)</f>
        <v>mireljes</v>
      </c>
      <c r="P3778" t="s">
        <v>669</v>
      </c>
      <c r="Q3778" t="s">
        <v>739</v>
      </c>
      <c r="U3778">
        <f t="shared" si="60"/>
        <v>9</v>
      </c>
    </row>
    <row r="3779" spans="1:21" ht="37.5" customHeight="1" x14ac:dyDescent="0.25">
      <c r="A3779" s="40">
        <v>45224</v>
      </c>
      <c r="B3779" s="13">
        <v>43</v>
      </c>
      <c r="C3779" t="s">
        <v>3</v>
      </c>
      <c r="D3779" t="s">
        <v>4</v>
      </c>
      <c r="E3779" t="s">
        <v>5</v>
      </c>
      <c r="F3779">
        <v>201295559</v>
      </c>
      <c r="G3779" t="s">
        <v>1158</v>
      </c>
      <c r="H3779" t="s">
        <v>403</v>
      </c>
      <c r="I3779">
        <v>0</v>
      </c>
      <c r="J3779">
        <v>0</v>
      </c>
      <c r="K3779">
        <v>0</v>
      </c>
      <c r="L3779">
        <v>0</v>
      </c>
      <c r="M3779">
        <v>0.21</v>
      </c>
      <c r="N3779" s="7" t="e">
        <f>VLOOKUP(F3779,HC!A$6:D$100,3,FALSE)</f>
        <v>#N/A</v>
      </c>
      <c r="O3779" s="7" t="str">
        <f>VLOOKUP(F3779,HC!A$6:D$1000,2,FALSE)</f>
        <v>maflorr</v>
      </c>
      <c r="P3779" t="s">
        <v>664</v>
      </c>
      <c r="Q3779" t="s">
        <v>420</v>
      </c>
      <c r="U3779">
        <f t="shared" ref="U3779:U3842" si="61">COUNTIF(O$2:O$4999,O3779)</f>
        <v>3</v>
      </c>
    </row>
    <row r="3780" spans="1:21" ht="37.5" customHeight="1" x14ac:dyDescent="0.25">
      <c r="A3780" s="40">
        <v>45224</v>
      </c>
      <c r="B3780" s="13">
        <v>43</v>
      </c>
      <c r="C3780" t="s">
        <v>3</v>
      </c>
      <c r="D3780" t="s">
        <v>4</v>
      </c>
      <c r="E3780" t="s">
        <v>21</v>
      </c>
      <c r="F3780">
        <v>201320536</v>
      </c>
      <c r="G3780" t="s">
        <v>992</v>
      </c>
      <c r="H3780" t="s">
        <v>285</v>
      </c>
      <c r="I3780">
        <v>0</v>
      </c>
      <c r="J3780">
        <v>0</v>
      </c>
      <c r="K3780">
        <v>0</v>
      </c>
      <c r="L3780">
        <v>0</v>
      </c>
      <c r="M3780">
        <v>0.02</v>
      </c>
      <c r="N3780" s="7" t="e">
        <f>VLOOKUP(F3780,HC!A$6:D$100,3,FALSE)</f>
        <v>#N/A</v>
      </c>
      <c r="O3780" s="7" t="str">
        <f>VLOOKUP(F3780,HC!A$6:D$1000,2,FALSE)</f>
        <v>ibalmigu</v>
      </c>
      <c r="P3780" t="s">
        <v>663</v>
      </c>
      <c r="Q3780" t="s">
        <v>420</v>
      </c>
      <c r="U3780">
        <f t="shared" si="61"/>
        <v>11</v>
      </c>
    </row>
    <row r="3781" spans="1:21" ht="37.5" customHeight="1" x14ac:dyDescent="0.25">
      <c r="A3781" s="40">
        <v>45224</v>
      </c>
      <c r="B3781" s="13">
        <v>43</v>
      </c>
      <c r="C3781" t="s">
        <v>3</v>
      </c>
      <c r="D3781" t="s">
        <v>4</v>
      </c>
      <c r="E3781" t="s">
        <v>5</v>
      </c>
      <c r="F3781">
        <v>201345774</v>
      </c>
      <c r="G3781" t="s">
        <v>1070</v>
      </c>
      <c r="H3781" t="s">
        <v>49</v>
      </c>
      <c r="I3781">
        <v>0</v>
      </c>
      <c r="J3781">
        <v>0</v>
      </c>
      <c r="K3781">
        <v>0</v>
      </c>
      <c r="L3781">
        <v>0</v>
      </c>
      <c r="M3781">
        <v>0.43</v>
      </c>
      <c r="N3781" s="7" t="e">
        <f>VLOOKUP(F3781,HC!A$6:D$100,3,FALSE)</f>
        <v>#N/A</v>
      </c>
      <c r="O3781" s="7" t="str">
        <f>VLOOKUP(F3781,HC!A$6:D$1000,2,FALSE)</f>
        <v>jonquija</v>
      </c>
      <c r="P3781" t="s">
        <v>661</v>
      </c>
      <c r="Q3781" t="s">
        <v>681</v>
      </c>
      <c r="U3781">
        <f t="shared" si="61"/>
        <v>19</v>
      </c>
    </row>
    <row r="3782" spans="1:21" ht="37.5" customHeight="1" x14ac:dyDescent="0.25">
      <c r="A3782" s="40">
        <v>45224</v>
      </c>
      <c r="B3782" s="13">
        <v>43</v>
      </c>
      <c r="C3782" t="s">
        <v>3</v>
      </c>
      <c r="D3782" t="s">
        <v>4</v>
      </c>
      <c r="E3782" t="s">
        <v>21</v>
      </c>
      <c r="F3782">
        <v>201880542</v>
      </c>
      <c r="G3782" t="s">
        <v>1225</v>
      </c>
      <c r="H3782" t="s">
        <v>1040</v>
      </c>
      <c r="I3782">
        <v>0</v>
      </c>
      <c r="J3782">
        <v>0</v>
      </c>
      <c r="K3782">
        <v>0</v>
      </c>
      <c r="L3782">
        <v>0</v>
      </c>
      <c r="M3782">
        <v>0.43</v>
      </c>
      <c r="N3782" s="7" t="e">
        <f>VLOOKUP(F3782,HC!A$6:D$100,3,FALSE)</f>
        <v>#N/A</v>
      </c>
      <c r="O3782" s="7" t="str">
        <f>VLOOKUP(F3782,HC!A$6:D$1000,2,FALSE)</f>
        <v>orticorp</v>
      </c>
      <c r="P3782" t="s">
        <v>664</v>
      </c>
      <c r="Q3782" t="s">
        <v>420</v>
      </c>
      <c r="R3782" t="s">
        <v>1784</v>
      </c>
      <c r="U3782">
        <f t="shared" si="61"/>
        <v>24</v>
      </c>
    </row>
    <row r="3783" spans="1:21" ht="37.5" customHeight="1" x14ac:dyDescent="0.25">
      <c r="A3783" s="40">
        <v>45224</v>
      </c>
      <c r="B3783" s="13">
        <v>43</v>
      </c>
      <c r="C3783" t="s">
        <v>3</v>
      </c>
      <c r="D3783" t="s">
        <v>4</v>
      </c>
      <c r="E3783" t="s">
        <v>21</v>
      </c>
      <c r="F3783">
        <v>201882567</v>
      </c>
      <c r="G3783" t="s">
        <v>1265</v>
      </c>
      <c r="H3783" t="s">
        <v>49</v>
      </c>
      <c r="I3783">
        <v>0</v>
      </c>
      <c r="J3783">
        <v>0</v>
      </c>
      <c r="K3783">
        <v>0</v>
      </c>
      <c r="L3783">
        <v>0</v>
      </c>
      <c r="M3783">
        <v>0.2</v>
      </c>
      <c r="N3783" s="7" t="e">
        <f>VLOOKUP(F3783,HC!A$6:D$100,3,FALSE)</f>
        <v>#N/A</v>
      </c>
      <c r="O3783" s="7" t="str">
        <f>VLOOKUP(F3783,HC!A$6:D$1000,2,FALSE)</f>
        <v>valtsalv</v>
      </c>
      <c r="P3783" t="s">
        <v>664</v>
      </c>
      <c r="Q3783" t="s">
        <v>711</v>
      </c>
      <c r="U3783">
        <f t="shared" si="61"/>
        <v>5</v>
      </c>
    </row>
    <row r="3784" spans="1:21" ht="37.5" customHeight="1" x14ac:dyDescent="0.25">
      <c r="A3784" s="40">
        <v>45224</v>
      </c>
      <c r="B3784" s="13">
        <v>43</v>
      </c>
      <c r="C3784" t="s">
        <v>3</v>
      </c>
      <c r="D3784" t="s">
        <v>4</v>
      </c>
      <c r="E3784" t="s">
        <v>21</v>
      </c>
      <c r="F3784">
        <v>201890790</v>
      </c>
      <c r="G3784" t="s">
        <v>1416</v>
      </c>
      <c r="H3784" t="s">
        <v>49</v>
      </c>
      <c r="I3784">
        <v>0</v>
      </c>
      <c r="J3784">
        <v>0</v>
      </c>
      <c r="K3784">
        <v>0</v>
      </c>
      <c r="L3784">
        <v>0</v>
      </c>
      <c r="M3784">
        <v>0.26</v>
      </c>
      <c r="N3784" s="7" t="e">
        <f>VLOOKUP(F3784,HC!A$6:D$100,3,FALSE)</f>
        <v>#N/A</v>
      </c>
      <c r="O3784" s="7" t="str">
        <f>VLOOKUP(F3784,HC!A$6:D$1000,2,FALSE)</f>
        <v>vicxzuni</v>
      </c>
      <c r="P3784" t="s">
        <v>664</v>
      </c>
      <c r="Q3784" t="s">
        <v>420</v>
      </c>
      <c r="R3784" t="s">
        <v>1785</v>
      </c>
      <c r="U3784">
        <f t="shared" si="61"/>
        <v>6</v>
      </c>
    </row>
    <row r="3785" spans="1:21" ht="37.5" customHeight="1" x14ac:dyDescent="0.25">
      <c r="A3785" s="40">
        <v>45224</v>
      </c>
      <c r="B3785" s="13">
        <v>43</v>
      </c>
      <c r="C3785" t="s">
        <v>3</v>
      </c>
      <c r="D3785" t="s">
        <v>4</v>
      </c>
      <c r="E3785" t="s">
        <v>21</v>
      </c>
      <c r="F3785">
        <v>201892022</v>
      </c>
      <c r="G3785" t="s">
        <v>1697</v>
      </c>
      <c r="H3785" t="s">
        <v>1471</v>
      </c>
      <c r="I3785">
        <v>0</v>
      </c>
      <c r="J3785">
        <v>0</v>
      </c>
      <c r="K3785">
        <v>0</v>
      </c>
      <c r="L3785">
        <v>0</v>
      </c>
      <c r="M3785">
        <v>0.66</v>
      </c>
      <c r="N3785" s="7" t="e">
        <f>VLOOKUP(F3785,HC!A$6:D$100,3,FALSE)</f>
        <v>#N/A</v>
      </c>
      <c r="O3785" s="7" t="str">
        <f>VLOOKUP(F3785,HC!A$6:D$1000,2,FALSE)</f>
        <v>karlawsi</v>
      </c>
      <c r="P3785" t="s">
        <v>661</v>
      </c>
      <c r="Q3785" t="s">
        <v>681</v>
      </c>
      <c r="U3785">
        <f t="shared" si="61"/>
        <v>1</v>
      </c>
    </row>
    <row r="3786" spans="1:21" ht="37.5" customHeight="1" x14ac:dyDescent="0.25">
      <c r="A3786" s="40">
        <v>45224</v>
      </c>
      <c r="B3786" s="13">
        <v>43</v>
      </c>
      <c r="C3786" t="s">
        <v>3</v>
      </c>
      <c r="D3786" t="s">
        <v>4</v>
      </c>
      <c r="E3786" t="s">
        <v>21</v>
      </c>
      <c r="F3786">
        <v>201901967</v>
      </c>
      <c r="G3786" t="s">
        <v>1238</v>
      </c>
      <c r="H3786" t="s">
        <v>1471</v>
      </c>
      <c r="I3786">
        <v>0</v>
      </c>
      <c r="J3786">
        <v>0</v>
      </c>
      <c r="K3786">
        <v>0</v>
      </c>
      <c r="L3786">
        <v>0</v>
      </c>
      <c r="M3786">
        <v>0.16</v>
      </c>
      <c r="N3786" s="7" t="e">
        <f>VLOOKUP(F3786,HC!A$6:D$100,3,FALSE)</f>
        <v>#N/A</v>
      </c>
      <c r="O3786" s="7" t="str">
        <f>VLOOKUP(F3786,HC!A$6:D$1000,2,FALSE)</f>
        <v>ndomindi</v>
      </c>
      <c r="P3786" t="s">
        <v>661</v>
      </c>
      <c r="Q3786" t="s">
        <v>681</v>
      </c>
      <c r="U3786">
        <f t="shared" si="61"/>
        <v>7</v>
      </c>
    </row>
    <row r="3787" spans="1:21" ht="37.5" customHeight="1" x14ac:dyDescent="0.25">
      <c r="A3787" s="40">
        <v>45224</v>
      </c>
      <c r="B3787" s="13">
        <v>43</v>
      </c>
      <c r="C3787" t="s">
        <v>3</v>
      </c>
      <c r="D3787" t="s">
        <v>4</v>
      </c>
      <c r="E3787" t="s">
        <v>21</v>
      </c>
      <c r="F3787">
        <v>202103139</v>
      </c>
      <c r="G3787" t="s">
        <v>1402</v>
      </c>
      <c r="H3787" t="s">
        <v>298</v>
      </c>
      <c r="I3787">
        <v>0</v>
      </c>
      <c r="J3787">
        <v>0</v>
      </c>
      <c r="K3787">
        <v>0</v>
      </c>
      <c r="L3787">
        <v>0</v>
      </c>
      <c r="M3787">
        <v>0.27</v>
      </c>
      <c r="N3787" s="7" t="e">
        <f>VLOOKUP(F3787,HC!A$6:D$100,3,FALSE)</f>
        <v>#N/A</v>
      </c>
      <c r="O3787" s="7" t="str">
        <f>VLOOKUP(F3787,HC!A$6:D$1000,2,FALSE)</f>
        <v>lunaferz</v>
      </c>
      <c r="P3787" t="s">
        <v>664</v>
      </c>
      <c r="Q3787" t="s">
        <v>420</v>
      </c>
      <c r="U3787">
        <f t="shared" si="61"/>
        <v>2</v>
      </c>
    </row>
    <row r="3788" spans="1:21" ht="37.5" customHeight="1" x14ac:dyDescent="0.25">
      <c r="A3788" s="40">
        <v>45224</v>
      </c>
      <c r="B3788" s="13">
        <v>43</v>
      </c>
      <c r="C3788" t="s">
        <v>3</v>
      </c>
      <c r="D3788" t="s">
        <v>4</v>
      </c>
      <c r="E3788" t="s">
        <v>21</v>
      </c>
      <c r="F3788">
        <v>202117420</v>
      </c>
      <c r="G3788" t="s">
        <v>1277</v>
      </c>
      <c r="H3788" t="s">
        <v>1471</v>
      </c>
      <c r="I3788">
        <v>0</v>
      </c>
      <c r="J3788">
        <v>0</v>
      </c>
      <c r="K3788">
        <v>0</v>
      </c>
      <c r="L3788">
        <v>0</v>
      </c>
      <c r="M3788">
        <v>0.21</v>
      </c>
      <c r="N3788" s="7" t="e">
        <f>VLOOKUP(F3788,HC!A$6:D$100,3,FALSE)</f>
        <v>#N/A</v>
      </c>
      <c r="O3788" s="7" t="str">
        <f>VLOOKUP(F3788,HC!A$6:D$1000,2,FALSE)</f>
        <v>iscerver</v>
      </c>
      <c r="P3788" t="s">
        <v>664</v>
      </c>
      <c r="Q3788" s="7" t="s">
        <v>708</v>
      </c>
      <c r="R3788" t="s">
        <v>813</v>
      </c>
      <c r="U3788">
        <f t="shared" si="61"/>
        <v>9</v>
      </c>
    </row>
    <row r="3789" spans="1:21" ht="37.5" customHeight="1" x14ac:dyDescent="0.25">
      <c r="A3789" s="40">
        <v>45224</v>
      </c>
      <c r="B3789" s="13">
        <v>43</v>
      </c>
      <c r="C3789" t="s">
        <v>3</v>
      </c>
      <c r="D3789" t="s">
        <v>4</v>
      </c>
      <c r="E3789" t="s">
        <v>21</v>
      </c>
      <c r="F3789">
        <v>202213411</v>
      </c>
      <c r="G3789" t="s">
        <v>1698</v>
      </c>
      <c r="H3789" t="s">
        <v>250</v>
      </c>
      <c r="I3789">
        <v>0</v>
      </c>
      <c r="J3789">
        <v>0</v>
      </c>
      <c r="K3789">
        <v>0</v>
      </c>
      <c r="L3789">
        <v>0</v>
      </c>
      <c r="M3789">
        <v>0.95</v>
      </c>
      <c r="N3789" s="7" t="e">
        <f>VLOOKUP(F3789,HC!A$6:D$100,3,FALSE)</f>
        <v>#N/A</v>
      </c>
      <c r="O3789" s="7" t="str">
        <f>VLOOKUP(F3789,HC!A$6:D$1000,2,FALSE)</f>
        <v>uveljose</v>
      </c>
      <c r="P3789" t="s">
        <v>661</v>
      </c>
      <c r="Q3789" t="s">
        <v>684</v>
      </c>
      <c r="U3789">
        <f t="shared" si="61"/>
        <v>1</v>
      </c>
    </row>
    <row r="3790" spans="1:21" ht="37.5" customHeight="1" x14ac:dyDescent="0.25">
      <c r="A3790" s="40">
        <v>45224</v>
      </c>
      <c r="B3790" s="13">
        <v>43</v>
      </c>
      <c r="C3790" t="s">
        <v>3</v>
      </c>
      <c r="D3790" t="s">
        <v>4</v>
      </c>
      <c r="E3790" t="s">
        <v>21</v>
      </c>
      <c r="F3790">
        <v>202287922</v>
      </c>
      <c r="G3790" t="s">
        <v>1452</v>
      </c>
      <c r="H3790" t="s">
        <v>9</v>
      </c>
      <c r="I3790">
        <v>0</v>
      </c>
      <c r="J3790">
        <v>0</v>
      </c>
      <c r="K3790">
        <v>0</v>
      </c>
      <c r="L3790">
        <v>0</v>
      </c>
      <c r="M3790">
        <v>0.23</v>
      </c>
      <c r="N3790" s="7" t="e">
        <f>VLOOKUP(F3790,HC!A$6:D$100,3,FALSE)</f>
        <v>#N/A</v>
      </c>
      <c r="O3790" s="7" t="str">
        <f>VLOOKUP(F3790,HC!A$6:D$1000,2,FALSE)</f>
        <v>gemandra</v>
      </c>
      <c r="P3790" t="s">
        <v>666</v>
      </c>
      <c r="Q3790" t="s">
        <v>1786</v>
      </c>
      <c r="R3790" t="s">
        <v>2</v>
      </c>
      <c r="U3790">
        <f t="shared" si="61"/>
        <v>8</v>
      </c>
    </row>
    <row r="3791" spans="1:21" ht="37.5" customHeight="1" x14ac:dyDescent="0.25">
      <c r="A3791" s="40">
        <v>45225</v>
      </c>
      <c r="B3791" s="13">
        <v>43</v>
      </c>
      <c r="C3791" t="s">
        <v>3</v>
      </c>
      <c r="D3791" t="s">
        <v>4</v>
      </c>
      <c r="E3791" t="s">
        <v>5</v>
      </c>
      <c r="F3791">
        <v>112912054</v>
      </c>
      <c r="G3791" t="s">
        <v>333</v>
      </c>
      <c r="H3791" t="s">
        <v>9</v>
      </c>
      <c r="I3791">
        <v>0</v>
      </c>
      <c r="J3791">
        <v>0</v>
      </c>
      <c r="K3791">
        <v>0</v>
      </c>
      <c r="L3791">
        <v>0</v>
      </c>
      <c r="M3791">
        <v>0.19</v>
      </c>
      <c r="N3791" s="7" t="str">
        <f>VLOOKUP(F3791,HC!A$6:D$100,3,FALSE)</f>
        <v>DB-X0700</v>
      </c>
      <c r="O3791" s="7" t="str">
        <f>VLOOKUP(F3791,HC!A$6:D$1000,2,FALSE)</f>
        <v>privejor</v>
      </c>
      <c r="P3791" t="s">
        <v>661</v>
      </c>
      <c r="Q3791" t="s">
        <v>681</v>
      </c>
      <c r="U3791">
        <f t="shared" si="61"/>
        <v>14</v>
      </c>
    </row>
    <row r="3792" spans="1:21" ht="37.5" customHeight="1" x14ac:dyDescent="0.25">
      <c r="A3792" s="40">
        <v>45225</v>
      </c>
      <c r="B3792" s="13">
        <v>43</v>
      </c>
      <c r="C3792" t="s">
        <v>3</v>
      </c>
      <c r="D3792" t="s">
        <v>4</v>
      </c>
      <c r="E3792" t="s">
        <v>21</v>
      </c>
      <c r="F3792">
        <v>112971933</v>
      </c>
      <c r="G3792" t="s">
        <v>1696</v>
      </c>
      <c r="H3792" t="s">
        <v>14</v>
      </c>
      <c r="I3792">
        <v>0</v>
      </c>
      <c r="J3792">
        <v>0</v>
      </c>
      <c r="K3792">
        <v>0</v>
      </c>
      <c r="L3792">
        <v>0</v>
      </c>
      <c r="M3792">
        <v>0.44</v>
      </c>
      <c r="N3792" s="7" t="str">
        <f>VLOOKUP(F3792,HC!A$6:D$100,3,FALSE)</f>
        <v>DB-X0700</v>
      </c>
      <c r="O3792" s="7" t="str">
        <f>VLOOKUP(F3792,HC!A$6:D$1000,2,FALSE)</f>
        <v>rodchrif</v>
      </c>
      <c r="P3792" t="s">
        <v>663</v>
      </c>
      <c r="Q3792" t="s">
        <v>495</v>
      </c>
      <c r="U3792">
        <f t="shared" si="61"/>
        <v>2</v>
      </c>
    </row>
    <row r="3793" spans="1:21" ht="37.5" customHeight="1" x14ac:dyDescent="0.25">
      <c r="A3793" s="40">
        <v>45225</v>
      </c>
      <c r="B3793" s="13">
        <v>43</v>
      </c>
      <c r="C3793" t="s">
        <v>3</v>
      </c>
      <c r="D3793" t="s">
        <v>4</v>
      </c>
      <c r="E3793" t="s">
        <v>5</v>
      </c>
      <c r="F3793">
        <v>112971962</v>
      </c>
      <c r="G3793" t="s">
        <v>338</v>
      </c>
      <c r="H3793" t="s">
        <v>298</v>
      </c>
      <c r="I3793">
        <v>0</v>
      </c>
      <c r="J3793">
        <v>0</v>
      </c>
      <c r="K3793">
        <v>0</v>
      </c>
      <c r="L3793">
        <v>0</v>
      </c>
      <c r="M3793">
        <v>0.79</v>
      </c>
      <c r="N3793" s="7" t="str">
        <f>VLOOKUP(F3793,HC!A$6:D$100,3,FALSE)</f>
        <v>DB-X0700</v>
      </c>
      <c r="O3793" s="7" t="str">
        <f>VLOOKUP(F3793,HC!A$6:D$1000,2,FALSE)</f>
        <v>creyesal</v>
      </c>
      <c r="P3793" t="s">
        <v>664</v>
      </c>
      <c r="Q3793" t="s">
        <v>1481</v>
      </c>
      <c r="U3793">
        <f t="shared" si="61"/>
        <v>38</v>
      </c>
    </row>
    <row r="3794" spans="1:21" ht="37.5" customHeight="1" x14ac:dyDescent="0.25">
      <c r="A3794" s="40">
        <v>45225</v>
      </c>
      <c r="B3794" s="13">
        <v>43</v>
      </c>
      <c r="C3794" t="s">
        <v>3</v>
      </c>
      <c r="D3794" t="s">
        <v>4</v>
      </c>
      <c r="E3794" t="s">
        <v>5</v>
      </c>
      <c r="F3794">
        <v>112973049</v>
      </c>
      <c r="G3794" t="s">
        <v>314</v>
      </c>
      <c r="H3794" t="s">
        <v>285</v>
      </c>
      <c r="I3794">
        <v>0</v>
      </c>
      <c r="J3794">
        <v>0</v>
      </c>
      <c r="K3794">
        <v>0</v>
      </c>
      <c r="L3794">
        <v>0</v>
      </c>
      <c r="M3794">
        <v>0.71</v>
      </c>
      <c r="N3794" s="7" t="str">
        <f>VLOOKUP(F3794,HC!A$6:D$100,3,FALSE)</f>
        <v>DB-X0700</v>
      </c>
      <c r="O3794" s="7" t="str">
        <f>VLOOKUP(F3794,HC!A$6:D$1000,2,FALSE)</f>
        <v>afatimae</v>
      </c>
      <c r="P3794" t="s">
        <v>661</v>
      </c>
      <c r="Q3794" t="s">
        <v>681</v>
      </c>
      <c r="U3794">
        <f t="shared" si="61"/>
        <v>29</v>
      </c>
    </row>
    <row r="3795" spans="1:21" ht="37.5" customHeight="1" x14ac:dyDescent="0.25">
      <c r="A3795" s="40">
        <v>45225</v>
      </c>
      <c r="B3795" s="13">
        <v>43</v>
      </c>
      <c r="C3795" t="s">
        <v>3</v>
      </c>
      <c r="D3795" t="s">
        <v>4</v>
      </c>
      <c r="E3795" t="s">
        <v>21</v>
      </c>
      <c r="F3795">
        <v>113014081</v>
      </c>
      <c r="G3795" t="s">
        <v>267</v>
      </c>
      <c r="H3795" t="s">
        <v>9</v>
      </c>
      <c r="I3795">
        <v>0</v>
      </c>
      <c r="J3795">
        <v>0</v>
      </c>
      <c r="K3795">
        <v>0</v>
      </c>
      <c r="L3795">
        <v>0</v>
      </c>
      <c r="M3795">
        <v>0.2</v>
      </c>
      <c r="N3795" s="7" t="e">
        <f>VLOOKUP(F3795,HC!A$6:D$100,3,FALSE)</f>
        <v>#N/A</v>
      </c>
      <c r="O3795" s="7" t="str">
        <f>VLOOKUP(F3795,HC!A$6:D$1000,2,FALSE)</f>
        <v>fraugene</v>
      </c>
      <c r="P3795" t="s">
        <v>664</v>
      </c>
      <c r="Q3795" t="s">
        <v>716</v>
      </c>
      <c r="U3795">
        <f t="shared" si="61"/>
        <v>32</v>
      </c>
    </row>
    <row r="3796" spans="1:21" ht="37.5" customHeight="1" x14ac:dyDescent="0.25">
      <c r="A3796" s="40">
        <v>45225</v>
      </c>
      <c r="B3796" s="13">
        <v>43</v>
      </c>
      <c r="C3796" t="s">
        <v>3</v>
      </c>
      <c r="D3796" t="s">
        <v>4</v>
      </c>
      <c r="E3796" t="s">
        <v>5</v>
      </c>
      <c r="F3796">
        <v>200514421</v>
      </c>
      <c r="G3796" t="s">
        <v>301</v>
      </c>
      <c r="H3796" t="s">
        <v>403</v>
      </c>
      <c r="I3796">
        <v>0</v>
      </c>
      <c r="J3796">
        <v>0</v>
      </c>
      <c r="K3796">
        <v>0</v>
      </c>
      <c r="L3796">
        <v>0</v>
      </c>
      <c r="M3796">
        <v>0.2</v>
      </c>
      <c r="N3796" s="7" t="e">
        <f>VLOOKUP(F3796,HC!A$6:D$100,3,FALSE)</f>
        <v>#N/A</v>
      </c>
      <c r="O3796" s="7" t="str">
        <f>VLOOKUP(F3796,HC!A$6:D$1000,2,FALSE)</f>
        <v>padillms</v>
      </c>
      <c r="P3796" t="s">
        <v>663</v>
      </c>
      <c r="R3796" t="s">
        <v>1787</v>
      </c>
      <c r="U3796">
        <f t="shared" si="61"/>
        <v>21</v>
      </c>
    </row>
    <row r="3797" spans="1:21" ht="37.5" customHeight="1" x14ac:dyDescent="0.25">
      <c r="A3797" s="40">
        <v>45225</v>
      </c>
      <c r="B3797" s="13">
        <v>43</v>
      </c>
      <c r="C3797" t="s">
        <v>3</v>
      </c>
      <c r="D3797" t="s">
        <v>4</v>
      </c>
      <c r="E3797" t="s">
        <v>5</v>
      </c>
      <c r="F3797">
        <v>201185653</v>
      </c>
      <c r="G3797" t="s">
        <v>987</v>
      </c>
      <c r="H3797" t="s">
        <v>285</v>
      </c>
      <c r="I3797">
        <v>0</v>
      </c>
      <c r="J3797">
        <v>0</v>
      </c>
      <c r="K3797">
        <v>0</v>
      </c>
      <c r="L3797">
        <v>0</v>
      </c>
      <c r="M3797">
        <v>0.17</v>
      </c>
      <c r="N3797" s="7" t="e">
        <f>VLOOKUP(F3797,HC!A$6:D$100,3,FALSE)</f>
        <v>#N/A</v>
      </c>
      <c r="O3797" s="7" t="str">
        <f>VLOOKUP(F3797,HC!A$6:D$1000,2,FALSE)</f>
        <v>luisamin</v>
      </c>
      <c r="P3797" t="s">
        <v>661</v>
      </c>
      <c r="Q3797" t="s">
        <v>681</v>
      </c>
      <c r="U3797">
        <f t="shared" si="61"/>
        <v>8</v>
      </c>
    </row>
    <row r="3798" spans="1:21" ht="37.5" customHeight="1" x14ac:dyDescent="0.25">
      <c r="A3798" s="40">
        <v>45225</v>
      </c>
      <c r="B3798" s="13">
        <v>43</v>
      </c>
      <c r="C3798" t="s">
        <v>3</v>
      </c>
      <c r="D3798" t="s">
        <v>4</v>
      </c>
      <c r="E3798" t="s">
        <v>5</v>
      </c>
      <c r="F3798">
        <v>201191198</v>
      </c>
      <c r="G3798" t="s">
        <v>974</v>
      </c>
      <c r="H3798" t="s">
        <v>285</v>
      </c>
      <c r="I3798">
        <v>0</v>
      </c>
      <c r="J3798">
        <v>0</v>
      </c>
      <c r="K3798">
        <v>0</v>
      </c>
      <c r="L3798">
        <v>0</v>
      </c>
      <c r="M3798">
        <v>1.07</v>
      </c>
      <c r="N3798" s="7" t="e">
        <f>VLOOKUP(F3798,HC!A$6:D$100,3,FALSE)</f>
        <v>#N/A</v>
      </c>
      <c r="O3798" s="7" t="str">
        <f>VLOOKUP(F3798,HC!A$6:D$1000,2,FALSE)</f>
        <v>mojicemm</v>
      </c>
      <c r="R3798" t="s">
        <v>1788</v>
      </c>
      <c r="U3798">
        <f t="shared" si="61"/>
        <v>24</v>
      </c>
    </row>
    <row r="3799" spans="1:21" ht="37.5" customHeight="1" x14ac:dyDescent="0.25">
      <c r="A3799" s="40">
        <v>45225</v>
      </c>
      <c r="B3799" s="13">
        <v>43</v>
      </c>
      <c r="C3799" t="s">
        <v>3</v>
      </c>
      <c r="D3799" t="s">
        <v>4</v>
      </c>
      <c r="E3799" t="s">
        <v>5</v>
      </c>
      <c r="F3799">
        <v>201191390</v>
      </c>
      <c r="G3799" t="s">
        <v>916</v>
      </c>
      <c r="H3799" t="s">
        <v>298</v>
      </c>
      <c r="I3799">
        <v>0</v>
      </c>
      <c r="J3799">
        <v>0</v>
      </c>
      <c r="K3799">
        <v>0</v>
      </c>
      <c r="L3799">
        <v>0</v>
      </c>
      <c r="M3799">
        <v>1.07</v>
      </c>
      <c r="N3799" s="7" t="e">
        <f>VLOOKUP(F3799,HC!A$6:D$100,3,FALSE)</f>
        <v>#N/A</v>
      </c>
      <c r="O3799" s="7" t="str">
        <f>VLOOKUP(F3799,HC!A$6:D$1000,2,FALSE)</f>
        <v>bgajesus</v>
      </c>
      <c r="P3799" t="s">
        <v>668</v>
      </c>
      <c r="Q3799" t="s">
        <v>1465</v>
      </c>
      <c r="U3799">
        <f t="shared" si="61"/>
        <v>37</v>
      </c>
    </row>
    <row r="3800" spans="1:21" ht="37.5" customHeight="1" x14ac:dyDescent="0.25">
      <c r="A3800" s="40">
        <v>45225</v>
      </c>
      <c r="B3800" s="13">
        <v>43</v>
      </c>
      <c r="C3800" t="s">
        <v>3</v>
      </c>
      <c r="D3800" t="s">
        <v>4</v>
      </c>
      <c r="E3800" t="s">
        <v>5</v>
      </c>
      <c r="F3800">
        <v>201353085</v>
      </c>
      <c r="G3800" t="s">
        <v>1466</v>
      </c>
      <c r="H3800" t="s">
        <v>250</v>
      </c>
      <c r="I3800">
        <v>0</v>
      </c>
      <c r="J3800">
        <v>0</v>
      </c>
      <c r="K3800">
        <v>0</v>
      </c>
      <c r="L3800">
        <v>0</v>
      </c>
      <c r="M3800">
        <v>0.22</v>
      </c>
      <c r="N3800" s="7" t="e">
        <f>VLOOKUP(F3800,HC!A$6:D$100,3,FALSE)</f>
        <v>#N/A</v>
      </c>
      <c r="O3800" s="7" t="str">
        <f>VLOOKUP(F3800,HC!A$6:D$1000,2,FALSE)</f>
        <v>lelvgarc</v>
      </c>
      <c r="P3800" t="s">
        <v>661</v>
      </c>
      <c r="Q3800" t="s">
        <v>681</v>
      </c>
      <c r="U3800">
        <f t="shared" si="61"/>
        <v>5</v>
      </c>
    </row>
    <row r="3801" spans="1:21" ht="37.5" customHeight="1" x14ac:dyDescent="0.25">
      <c r="A3801" s="40">
        <v>45225</v>
      </c>
      <c r="B3801" s="13">
        <v>43</v>
      </c>
      <c r="C3801" t="s">
        <v>3</v>
      </c>
      <c r="D3801" t="s">
        <v>4</v>
      </c>
      <c r="E3801" t="s">
        <v>21</v>
      </c>
      <c r="F3801">
        <v>201835860</v>
      </c>
      <c r="G3801" t="s">
        <v>1699</v>
      </c>
      <c r="H3801" t="s">
        <v>298</v>
      </c>
      <c r="I3801">
        <v>0</v>
      </c>
      <c r="J3801">
        <v>0</v>
      </c>
      <c r="K3801">
        <v>0</v>
      </c>
      <c r="L3801">
        <v>0</v>
      </c>
      <c r="M3801">
        <v>0.6</v>
      </c>
      <c r="N3801" s="7" t="e">
        <f>VLOOKUP(F3801,HC!A$6:D$100,3,FALSE)</f>
        <v>#N/A</v>
      </c>
      <c r="O3801" s="7" t="str">
        <f>VLOOKUP(F3801,HC!A$6:D$1000,2,FALSE)</f>
        <v>urroscae</v>
      </c>
      <c r="P3801" t="s">
        <v>661</v>
      </c>
      <c r="Q3801" t="s">
        <v>681</v>
      </c>
      <c r="U3801">
        <f t="shared" si="61"/>
        <v>1</v>
      </c>
    </row>
    <row r="3802" spans="1:21" ht="37.5" customHeight="1" x14ac:dyDescent="0.25">
      <c r="A3802" s="40">
        <v>45225</v>
      </c>
      <c r="B3802" s="13">
        <v>43</v>
      </c>
      <c r="C3802" t="s">
        <v>3</v>
      </c>
      <c r="D3802" t="s">
        <v>4</v>
      </c>
      <c r="E3802" t="s">
        <v>21</v>
      </c>
      <c r="F3802">
        <v>202062181</v>
      </c>
      <c r="G3802" t="s">
        <v>1401</v>
      </c>
      <c r="H3802" t="s">
        <v>250</v>
      </c>
      <c r="I3802">
        <v>0</v>
      </c>
      <c r="J3802">
        <v>0</v>
      </c>
      <c r="K3802">
        <v>0</v>
      </c>
      <c r="L3802">
        <v>0</v>
      </c>
      <c r="M3802">
        <v>0.24</v>
      </c>
      <c r="N3802" s="7" t="e">
        <f>VLOOKUP(F3802,HC!A$6:D$100,3,FALSE)</f>
        <v>#N/A</v>
      </c>
      <c r="O3802" s="7" t="str">
        <f>VLOOKUP(F3802,HC!A$6:D$1000,2,FALSE)</f>
        <v>xlutrejo</v>
      </c>
      <c r="P3802" t="s">
        <v>661</v>
      </c>
      <c r="Q3802" t="s">
        <v>681</v>
      </c>
      <c r="U3802">
        <f t="shared" si="61"/>
        <v>8</v>
      </c>
    </row>
    <row r="3803" spans="1:21" ht="37.5" customHeight="1" x14ac:dyDescent="0.25">
      <c r="A3803" s="40">
        <v>45225</v>
      </c>
      <c r="B3803" s="13">
        <v>43</v>
      </c>
      <c r="C3803" t="s">
        <v>3</v>
      </c>
      <c r="D3803" t="s">
        <v>4</v>
      </c>
      <c r="E3803" t="s">
        <v>21</v>
      </c>
      <c r="F3803">
        <v>202081087</v>
      </c>
      <c r="G3803" t="s">
        <v>1289</v>
      </c>
      <c r="H3803" t="s">
        <v>459</v>
      </c>
      <c r="I3803">
        <v>0</v>
      </c>
      <c r="J3803">
        <v>0</v>
      </c>
      <c r="K3803">
        <v>0</v>
      </c>
      <c r="L3803">
        <v>0</v>
      </c>
      <c r="M3803">
        <v>0.23</v>
      </c>
      <c r="N3803" s="7" t="e">
        <f>VLOOKUP(F3803,HC!A$6:D$100,3,FALSE)</f>
        <v>#N/A</v>
      </c>
      <c r="O3803" s="7" t="str">
        <f>VLOOKUP(F3803,HC!A$6:D$1000,2,FALSE)</f>
        <v>rlimarti</v>
      </c>
      <c r="P3803" t="s">
        <v>664</v>
      </c>
      <c r="Q3803" t="s">
        <v>420</v>
      </c>
      <c r="U3803">
        <f t="shared" si="61"/>
        <v>4</v>
      </c>
    </row>
    <row r="3804" spans="1:21" ht="37.5" customHeight="1" x14ac:dyDescent="0.25">
      <c r="A3804" s="40">
        <v>45225</v>
      </c>
      <c r="B3804" s="13">
        <v>43</v>
      </c>
      <c r="C3804" t="s">
        <v>3</v>
      </c>
      <c r="D3804" t="s">
        <v>4</v>
      </c>
      <c r="E3804" t="s">
        <v>21</v>
      </c>
      <c r="F3804">
        <v>202084638</v>
      </c>
      <c r="G3804" t="s">
        <v>1410</v>
      </c>
      <c r="H3804" t="s">
        <v>49</v>
      </c>
      <c r="I3804">
        <v>0</v>
      </c>
      <c r="J3804">
        <v>0</v>
      </c>
      <c r="K3804">
        <v>0</v>
      </c>
      <c r="L3804">
        <v>0</v>
      </c>
      <c r="M3804">
        <v>0.82</v>
      </c>
      <c r="N3804" s="7" t="e">
        <f>VLOOKUP(F3804,HC!A$6:D$100,3,FALSE)</f>
        <v>#N/A</v>
      </c>
      <c r="O3804" s="7" t="str">
        <f>VLOOKUP(F3804,HC!A$6:D$1000,2,FALSE)</f>
        <v>ehejuan</v>
      </c>
      <c r="P3804" t="s">
        <v>664</v>
      </c>
      <c r="Q3804" t="s">
        <v>469</v>
      </c>
      <c r="U3804">
        <f t="shared" si="61"/>
        <v>2</v>
      </c>
    </row>
    <row r="3805" spans="1:21" ht="37.5" customHeight="1" x14ac:dyDescent="0.25">
      <c r="A3805" s="40">
        <v>45225</v>
      </c>
      <c r="B3805" s="13">
        <v>43</v>
      </c>
      <c r="C3805" t="s">
        <v>3</v>
      </c>
      <c r="D3805" t="s">
        <v>4</v>
      </c>
      <c r="E3805" t="s">
        <v>21</v>
      </c>
      <c r="F3805">
        <v>202117420</v>
      </c>
      <c r="G3805" t="s">
        <v>1277</v>
      </c>
      <c r="H3805" t="s">
        <v>1471</v>
      </c>
      <c r="I3805">
        <v>0</v>
      </c>
      <c r="J3805">
        <v>0</v>
      </c>
      <c r="K3805">
        <v>0</v>
      </c>
      <c r="L3805">
        <v>0</v>
      </c>
      <c r="M3805">
        <v>0.18</v>
      </c>
      <c r="N3805" s="7" t="e">
        <f>VLOOKUP(F3805,HC!A$6:D$100,3,FALSE)</f>
        <v>#N/A</v>
      </c>
      <c r="O3805" s="7" t="str">
        <f>VLOOKUP(F3805,HC!A$6:D$1000,2,FALSE)</f>
        <v>iscerver</v>
      </c>
      <c r="P3805" t="s">
        <v>664</v>
      </c>
      <c r="Q3805" t="s">
        <v>420</v>
      </c>
      <c r="U3805">
        <f t="shared" si="61"/>
        <v>9</v>
      </c>
    </row>
    <row r="3806" spans="1:21" ht="37.5" customHeight="1" x14ac:dyDescent="0.25">
      <c r="A3806" s="40">
        <v>45225</v>
      </c>
      <c r="B3806" s="13">
        <v>43</v>
      </c>
      <c r="C3806" t="s">
        <v>3</v>
      </c>
      <c r="D3806" t="s">
        <v>4</v>
      </c>
      <c r="E3806" t="s">
        <v>21</v>
      </c>
      <c r="F3806">
        <v>202120444</v>
      </c>
      <c r="G3806" t="s">
        <v>1290</v>
      </c>
      <c r="H3806" t="s">
        <v>459</v>
      </c>
      <c r="I3806">
        <v>0</v>
      </c>
      <c r="J3806">
        <v>0</v>
      </c>
      <c r="K3806">
        <v>0</v>
      </c>
      <c r="L3806">
        <v>0</v>
      </c>
      <c r="M3806">
        <v>0.47</v>
      </c>
      <c r="N3806" s="7" t="e">
        <f>VLOOKUP(F3806,HC!A$6:D$100,3,FALSE)</f>
        <v>#N/A</v>
      </c>
      <c r="O3806" s="7" t="str">
        <f>VLOOKUP(F3806,HC!A$6:D$1000,2,FALSE)</f>
        <v>yhernalo</v>
      </c>
      <c r="P3806" t="s">
        <v>662</v>
      </c>
      <c r="Q3806" t="s">
        <v>418</v>
      </c>
      <c r="U3806">
        <f t="shared" si="61"/>
        <v>5</v>
      </c>
    </row>
    <row r="3807" spans="1:21" ht="37.5" customHeight="1" x14ac:dyDescent="0.25">
      <c r="A3807" s="40">
        <v>45225</v>
      </c>
      <c r="B3807" s="13">
        <v>43</v>
      </c>
      <c r="C3807" t="s">
        <v>3</v>
      </c>
      <c r="D3807" t="s">
        <v>4</v>
      </c>
      <c r="E3807" t="s">
        <v>21</v>
      </c>
      <c r="F3807">
        <v>202165115</v>
      </c>
      <c r="G3807" t="s">
        <v>1700</v>
      </c>
      <c r="H3807" t="s">
        <v>403</v>
      </c>
      <c r="I3807">
        <v>0</v>
      </c>
      <c r="J3807">
        <v>0</v>
      </c>
      <c r="K3807">
        <v>0</v>
      </c>
      <c r="L3807">
        <v>0</v>
      </c>
      <c r="M3807">
        <v>0.36</v>
      </c>
      <c r="N3807" s="7" t="e">
        <f>VLOOKUP(F3807,HC!A$6:D$100,3,FALSE)</f>
        <v>#N/A</v>
      </c>
      <c r="O3807" s="7" t="str">
        <f>VLOOKUP(F3807,HC!A$6:D$1000,2,FALSE)</f>
        <v>giogberm</v>
      </c>
      <c r="P3807" t="s">
        <v>664</v>
      </c>
      <c r="Q3807" t="s">
        <v>716</v>
      </c>
      <c r="U3807">
        <f t="shared" si="61"/>
        <v>2</v>
      </c>
    </row>
    <row r="3808" spans="1:21" ht="37.5" customHeight="1" x14ac:dyDescent="0.25">
      <c r="A3808" s="40">
        <v>45225</v>
      </c>
      <c r="B3808" s="13">
        <v>43</v>
      </c>
      <c r="C3808" t="s">
        <v>3</v>
      </c>
      <c r="D3808" t="s">
        <v>4</v>
      </c>
      <c r="E3808" t="s">
        <v>21</v>
      </c>
      <c r="F3808">
        <v>202165242</v>
      </c>
      <c r="G3808" t="s">
        <v>1412</v>
      </c>
      <c r="H3808" t="s">
        <v>403</v>
      </c>
      <c r="I3808">
        <v>0</v>
      </c>
      <c r="J3808">
        <v>0</v>
      </c>
      <c r="K3808">
        <v>0</v>
      </c>
      <c r="L3808">
        <v>0</v>
      </c>
      <c r="M3808">
        <v>1.32</v>
      </c>
      <c r="N3808" s="7" t="e">
        <f>VLOOKUP(F3808,HC!A$6:D$100,3,FALSE)</f>
        <v>#N/A</v>
      </c>
      <c r="O3808" s="7" t="str">
        <f>VLOOKUP(F3808,HC!A$6:D$1000,2,FALSE)</f>
        <v>marcqgon</v>
      </c>
      <c r="P3808" t="s">
        <v>664</v>
      </c>
      <c r="Q3808" t="s">
        <v>420</v>
      </c>
      <c r="U3808">
        <f t="shared" si="61"/>
        <v>21</v>
      </c>
    </row>
    <row r="3809" spans="1:21" ht="37.5" customHeight="1" x14ac:dyDescent="0.25">
      <c r="A3809" s="40">
        <v>45225</v>
      </c>
      <c r="B3809" s="13">
        <v>43</v>
      </c>
      <c r="C3809" t="s">
        <v>3</v>
      </c>
      <c r="D3809" t="s">
        <v>4</v>
      </c>
      <c r="E3809" t="s">
        <v>21</v>
      </c>
      <c r="F3809">
        <v>202185231</v>
      </c>
      <c r="G3809" t="s">
        <v>1424</v>
      </c>
      <c r="H3809" t="s">
        <v>285</v>
      </c>
      <c r="I3809">
        <v>0</v>
      </c>
      <c r="J3809">
        <v>0</v>
      </c>
      <c r="K3809">
        <v>0</v>
      </c>
      <c r="L3809">
        <v>0</v>
      </c>
      <c r="M3809">
        <v>0.36</v>
      </c>
      <c r="N3809" s="7" t="e">
        <f>VLOOKUP(F3809,HC!A$6:D$100,3,FALSE)</f>
        <v>#N/A</v>
      </c>
      <c r="O3809" s="7" t="str">
        <f>VLOOKUP(F3809,HC!A$6:D$1000,2,FALSE)</f>
        <v>davazquq</v>
      </c>
      <c r="P3809" t="s">
        <v>661</v>
      </c>
      <c r="Q3809" t="s">
        <v>681</v>
      </c>
      <c r="U3809">
        <f t="shared" si="61"/>
        <v>7</v>
      </c>
    </row>
    <row r="3810" spans="1:21" ht="37.5" customHeight="1" x14ac:dyDescent="0.25">
      <c r="A3810" s="40">
        <v>45225</v>
      </c>
      <c r="B3810" s="13">
        <v>43</v>
      </c>
      <c r="C3810" t="s">
        <v>3</v>
      </c>
      <c r="D3810" t="s">
        <v>4</v>
      </c>
      <c r="E3810" t="s">
        <v>21</v>
      </c>
      <c r="F3810">
        <v>202238732</v>
      </c>
      <c r="G3810" t="s">
        <v>1701</v>
      </c>
      <c r="H3810" t="s">
        <v>282</v>
      </c>
      <c r="I3810">
        <v>0</v>
      </c>
      <c r="J3810">
        <v>0</v>
      </c>
      <c r="K3810">
        <v>0</v>
      </c>
      <c r="L3810">
        <v>0</v>
      </c>
      <c r="M3810">
        <v>0.4</v>
      </c>
      <c r="N3810" s="7" t="e">
        <f>VLOOKUP(F3810,HC!A$6:D$100,3,FALSE)</f>
        <v>#N/A</v>
      </c>
      <c r="O3810" s="7" t="str">
        <f>VLOOKUP(F3810,HC!A$6:D$1000,2,FALSE)</f>
        <v>wdianapo</v>
      </c>
      <c r="P3810" t="s">
        <v>668</v>
      </c>
      <c r="Q3810" t="s">
        <v>1465</v>
      </c>
      <c r="U3810">
        <f t="shared" si="61"/>
        <v>1</v>
      </c>
    </row>
    <row r="3811" spans="1:21" ht="37.5" customHeight="1" x14ac:dyDescent="0.25">
      <c r="A3811" s="40">
        <v>45225</v>
      </c>
      <c r="B3811" s="13">
        <v>43</v>
      </c>
      <c r="C3811" t="s">
        <v>3</v>
      </c>
      <c r="D3811" t="s">
        <v>4</v>
      </c>
      <c r="E3811" t="s">
        <v>21</v>
      </c>
      <c r="F3811">
        <v>202287945</v>
      </c>
      <c r="G3811" t="s">
        <v>1702</v>
      </c>
      <c r="H3811" t="s">
        <v>282</v>
      </c>
      <c r="I3811">
        <v>0</v>
      </c>
      <c r="J3811">
        <v>0</v>
      </c>
      <c r="K3811">
        <v>0</v>
      </c>
      <c r="L3811">
        <v>0</v>
      </c>
      <c r="M3811">
        <v>0.3</v>
      </c>
      <c r="N3811" s="7" t="e">
        <f>VLOOKUP(F3811,HC!A$6:D$100,3,FALSE)</f>
        <v>#N/A</v>
      </c>
      <c r="O3811" s="7" t="str">
        <f>VLOOKUP(F3811,HC!A$6:D$1000,2,FALSE)</f>
        <v>ricblara</v>
      </c>
      <c r="P3811" t="s">
        <v>661</v>
      </c>
      <c r="Q3811" t="s">
        <v>681</v>
      </c>
      <c r="U3811">
        <f t="shared" si="61"/>
        <v>1</v>
      </c>
    </row>
    <row r="3812" spans="1:21" ht="37.5" customHeight="1" x14ac:dyDescent="0.25">
      <c r="A3812" s="40">
        <v>45225</v>
      </c>
      <c r="B3812" s="13">
        <v>43</v>
      </c>
      <c r="C3812" t="s">
        <v>3</v>
      </c>
      <c r="D3812" t="s">
        <v>4</v>
      </c>
      <c r="E3812" t="s">
        <v>21</v>
      </c>
      <c r="F3812">
        <v>202291384</v>
      </c>
      <c r="G3812" t="s">
        <v>1703</v>
      </c>
      <c r="H3812" t="s">
        <v>298</v>
      </c>
      <c r="I3812">
        <v>0</v>
      </c>
      <c r="J3812">
        <v>0</v>
      </c>
      <c r="K3812">
        <v>0</v>
      </c>
      <c r="L3812">
        <v>0</v>
      </c>
      <c r="M3812">
        <v>0.19</v>
      </c>
      <c r="N3812" s="7" t="e">
        <f>VLOOKUP(F3812,HC!A$6:D$100,3,FALSE)</f>
        <v>#N/A</v>
      </c>
      <c r="O3812" s="7" t="str">
        <f>VLOOKUP(F3812,HC!A$6:D$1000,2,FALSE)</f>
        <v>servelaj</v>
      </c>
      <c r="P3812" t="s">
        <v>662</v>
      </c>
      <c r="Q3812" t="s">
        <v>469</v>
      </c>
      <c r="U3812">
        <f t="shared" si="61"/>
        <v>6</v>
      </c>
    </row>
    <row r="3813" spans="1:21" ht="37.5" customHeight="1" x14ac:dyDescent="0.25">
      <c r="A3813" s="40">
        <v>45225</v>
      </c>
      <c r="B3813" s="13">
        <v>43</v>
      </c>
      <c r="C3813" t="s">
        <v>3</v>
      </c>
      <c r="D3813" t="s">
        <v>4</v>
      </c>
      <c r="E3813" t="s">
        <v>21</v>
      </c>
      <c r="F3813">
        <v>202304940</v>
      </c>
      <c r="G3813" t="s">
        <v>1704</v>
      </c>
      <c r="H3813" t="s">
        <v>250</v>
      </c>
      <c r="I3813">
        <v>0</v>
      </c>
      <c r="J3813">
        <v>0</v>
      </c>
      <c r="K3813">
        <v>0</v>
      </c>
      <c r="L3813">
        <v>0</v>
      </c>
      <c r="M3813">
        <v>1.01</v>
      </c>
      <c r="N3813" s="7" t="e">
        <f>VLOOKUP(F3813,HC!A$6:D$100,3,FALSE)</f>
        <v>#N/A</v>
      </c>
      <c r="O3813" s="7" t="str">
        <f>VLOOKUP(F3813,HC!A$6:D$1000,2,FALSE)</f>
        <v>jaslilyz</v>
      </c>
      <c r="P3813" t="s">
        <v>666</v>
      </c>
      <c r="R3813" t="s">
        <v>1480</v>
      </c>
      <c r="U3813">
        <f t="shared" si="61"/>
        <v>4</v>
      </c>
    </row>
    <row r="3814" spans="1:21" ht="37.5" customHeight="1" x14ac:dyDescent="0.25">
      <c r="A3814" s="40">
        <v>45225</v>
      </c>
      <c r="B3814" s="13">
        <v>43</v>
      </c>
      <c r="C3814" t="s">
        <v>3</v>
      </c>
      <c r="D3814" t="s">
        <v>4</v>
      </c>
      <c r="E3814" t="s">
        <v>21</v>
      </c>
      <c r="F3814">
        <v>202334920</v>
      </c>
      <c r="G3814" t="s">
        <v>1705</v>
      </c>
      <c r="H3814" t="s">
        <v>285</v>
      </c>
      <c r="I3814">
        <v>0</v>
      </c>
      <c r="J3814">
        <v>0</v>
      </c>
      <c r="K3814">
        <v>0</v>
      </c>
      <c r="L3814">
        <v>0</v>
      </c>
      <c r="M3814">
        <v>1.1200000000000001</v>
      </c>
      <c r="N3814" s="7" t="e">
        <f>VLOOKUP(F3814,HC!A$6:D$100,3,FALSE)</f>
        <v>#N/A</v>
      </c>
      <c r="O3814" s="7" t="str">
        <f>VLOOKUP(F3814,HC!A$6:D$1000,2,FALSE)</f>
        <v>uroramir</v>
      </c>
      <c r="P3814" t="s">
        <v>661</v>
      </c>
      <c r="Q3814" t="s">
        <v>681</v>
      </c>
      <c r="U3814">
        <f t="shared" si="61"/>
        <v>5</v>
      </c>
    </row>
    <row r="3815" spans="1:21" ht="37.5" customHeight="1" x14ac:dyDescent="0.25">
      <c r="A3815" s="40">
        <v>45225</v>
      </c>
      <c r="B3815" s="13">
        <v>43</v>
      </c>
      <c r="C3815" t="s">
        <v>3</v>
      </c>
      <c r="D3815" t="s">
        <v>4</v>
      </c>
      <c r="E3815" t="s">
        <v>21</v>
      </c>
      <c r="F3815">
        <v>202369419</v>
      </c>
      <c r="G3815" t="s">
        <v>1706</v>
      </c>
      <c r="H3815" t="s">
        <v>298</v>
      </c>
      <c r="I3815">
        <v>0</v>
      </c>
      <c r="J3815">
        <v>0</v>
      </c>
      <c r="K3815">
        <v>0</v>
      </c>
      <c r="L3815">
        <v>0</v>
      </c>
      <c r="M3815">
        <v>0.14000000000000001</v>
      </c>
      <c r="N3815" s="7" t="e">
        <f>VLOOKUP(F3815,HC!A$6:D$100,3,FALSE)</f>
        <v>#N/A</v>
      </c>
      <c r="O3815" s="7" t="str">
        <f>VLOOKUP(F3815,HC!A$6:D$1000,2,FALSE)</f>
        <v>afabianx</v>
      </c>
      <c r="P3815" t="s">
        <v>661</v>
      </c>
      <c r="Q3815" t="s">
        <v>681</v>
      </c>
      <c r="U3815">
        <f t="shared" si="61"/>
        <v>5</v>
      </c>
    </row>
    <row r="3816" spans="1:21" ht="37.5" customHeight="1" x14ac:dyDescent="0.25">
      <c r="A3816" s="40">
        <v>45225</v>
      </c>
      <c r="B3816" s="13">
        <v>43</v>
      </c>
      <c r="C3816" t="s">
        <v>3</v>
      </c>
      <c r="D3816" t="s">
        <v>438</v>
      </c>
      <c r="E3816" t="s">
        <v>21</v>
      </c>
      <c r="F3816">
        <v>202129214</v>
      </c>
      <c r="G3816" t="s">
        <v>1429</v>
      </c>
      <c r="H3816" t="s">
        <v>1471</v>
      </c>
      <c r="I3816">
        <v>0</v>
      </c>
      <c r="J3816">
        <v>0</v>
      </c>
      <c r="K3816">
        <v>0</v>
      </c>
      <c r="L3816">
        <v>0</v>
      </c>
      <c r="M3816">
        <v>1.35</v>
      </c>
      <c r="N3816" s="7" t="e">
        <f>VLOOKUP(F3816,HC!A$6:D$100,3,FALSE)</f>
        <v>#N/A</v>
      </c>
      <c r="O3816" s="7" t="str">
        <f>VLOOKUP(F3816,HC!A$6:D$1000,2,FALSE)</f>
        <v>isafzuni</v>
      </c>
      <c r="R3816" t="s">
        <v>496</v>
      </c>
      <c r="U3816">
        <f t="shared" si="61"/>
        <v>8</v>
      </c>
    </row>
    <row r="3817" spans="1:21" ht="37.5" customHeight="1" x14ac:dyDescent="0.25">
      <c r="A3817" s="40">
        <v>45226</v>
      </c>
      <c r="B3817" s="13">
        <v>43</v>
      </c>
      <c r="C3817" t="s">
        <v>3</v>
      </c>
      <c r="D3817" t="s">
        <v>4</v>
      </c>
      <c r="E3817" t="s">
        <v>5</v>
      </c>
      <c r="F3817">
        <v>112971962</v>
      </c>
      <c r="G3817" t="s">
        <v>338</v>
      </c>
      <c r="H3817" t="s">
        <v>298</v>
      </c>
      <c r="I3817">
        <v>0</v>
      </c>
      <c r="J3817">
        <v>0</v>
      </c>
      <c r="K3817">
        <v>0</v>
      </c>
      <c r="L3817">
        <v>0</v>
      </c>
      <c r="M3817">
        <v>0.55000000000000004</v>
      </c>
      <c r="N3817" s="7" t="str">
        <f>VLOOKUP(F3817,HC!A$6:D$100,3,FALSE)</f>
        <v>DB-X0700</v>
      </c>
      <c r="O3817" s="7" t="str">
        <f>VLOOKUP(F3817,HC!A$6:D$1000,2,FALSE)</f>
        <v>creyesal</v>
      </c>
      <c r="P3817" t="s">
        <v>661</v>
      </c>
      <c r="Q3817" t="s">
        <v>681</v>
      </c>
      <c r="U3817">
        <f t="shared" si="61"/>
        <v>38</v>
      </c>
    </row>
    <row r="3818" spans="1:21" ht="37.5" customHeight="1" x14ac:dyDescent="0.25">
      <c r="A3818" s="40">
        <v>45226</v>
      </c>
      <c r="B3818" s="13">
        <v>43</v>
      </c>
      <c r="C3818" t="s">
        <v>3</v>
      </c>
      <c r="D3818" t="s">
        <v>4</v>
      </c>
      <c r="E3818" t="s">
        <v>5</v>
      </c>
      <c r="F3818">
        <v>112973049</v>
      </c>
      <c r="G3818" t="s">
        <v>314</v>
      </c>
      <c r="H3818" t="s">
        <v>285</v>
      </c>
      <c r="I3818">
        <v>0</v>
      </c>
      <c r="J3818">
        <v>0</v>
      </c>
      <c r="K3818">
        <v>0</v>
      </c>
      <c r="L3818">
        <v>0</v>
      </c>
      <c r="M3818">
        <v>0.99</v>
      </c>
      <c r="N3818" s="7" t="str">
        <f>VLOOKUP(F3818,HC!A$6:D$100,3,FALSE)</f>
        <v>DB-X0700</v>
      </c>
      <c r="O3818" s="7" t="str">
        <f>VLOOKUP(F3818,HC!A$6:D$1000,2,FALSE)</f>
        <v>afatimae</v>
      </c>
      <c r="P3818" t="s">
        <v>661</v>
      </c>
      <c r="Q3818" t="s">
        <v>681</v>
      </c>
      <c r="U3818">
        <f t="shared" si="61"/>
        <v>29</v>
      </c>
    </row>
    <row r="3819" spans="1:21" ht="37.5" customHeight="1" x14ac:dyDescent="0.25">
      <c r="A3819" s="40">
        <v>45226</v>
      </c>
      <c r="B3819" s="13">
        <v>43</v>
      </c>
      <c r="C3819" t="s">
        <v>3</v>
      </c>
      <c r="D3819" t="s">
        <v>4</v>
      </c>
      <c r="E3819" t="s">
        <v>5</v>
      </c>
      <c r="F3819">
        <v>112980812</v>
      </c>
      <c r="G3819" t="s">
        <v>324</v>
      </c>
      <c r="H3819" t="s">
        <v>1040</v>
      </c>
      <c r="I3819">
        <v>0</v>
      </c>
      <c r="J3819">
        <v>0</v>
      </c>
      <c r="K3819">
        <v>0</v>
      </c>
      <c r="L3819">
        <v>0</v>
      </c>
      <c r="M3819">
        <v>1.19</v>
      </c>
      <c r="N3819" s="7" t="str">
        <f>VLOOKUP(F3819,HC!A$6:D$100,3,FALSE)</f>
        <v>DA-X0700</v>
      </c>
      <c r="O3819" s="7" t="str">
        <f>VLOOKUP(F3819,HC!A$6:D$1000,2,FALSE)</f>
        <v>maryjacp</v>
      </c>
      <c r="P3819" t="s">
        <v>670</v>
      </c>
      <c r="R3819" t="s">
        <v>803</v>
      </c>
      <c r="U3819">
        <f t="shared" si="61"/>
        <v>15</v>
      </c>
    </row>
    <row r="3820" spans="1:21" ht="37.5" customHeight="1" x14ac:dyDescent="0.25">
      <c r="A3820" s="40">
        <v>45226</v>
      </c>
      <c r="B3820" s="13">
        <v>43</v>
      </c>
      <c r="C3820" t="s">
        <v>3</v>
      </c>
      <c r="D3820" t="s">
        <v>4</v>
      </c>
      <c r="E3820" t="s">
        <v>5</v>
      </c>
      <c r="F3820">
        <v>113003656</v>
      </c>
      <c r="G3820" t="s">
        <v>297</v>
      </c>
      <c r="H3820" t="s">
        <v>403</v>
      </c>
      <c r="I3820">
        <v>0</v>
      </c>
      <c r="J3820">
        <v>0</v>
      </c>
      <c r="K3820">
        <v>0</v>
      </c>
      <c r="L3820">
        <v>0</v>
      </c>
      <c r="M3820">
        <v>0.69</v>
      </c>
      <c r="N3820" s="7" t="e">
        <f>VLOOKUP(F3820,HC!A$6:D$100,3,FALSE)</f>
        <v>#N/A</v>
      </c>
      <c r="O3820" s="7" t="str">
        <f>VLOOKUP(F3820,HC!A$6:D$1000,2,FALSE)</f>
        <v>uargoten</v>
      </c>
      <c r="P3820" t="s">
        <v>663</v>
      </c>
      <c r="Q3820" t="s">
        <v>692</v>
      </c>
      <c r="U3820">
        <f t="shared" si="61"/>
        <v>8</v>
      </c>
    </row>
    <row r="3821" spans="1:21" ht="37.5" customHeight="1" x14ac:dyDescent="0.25">
      <c r="A3821" s="40">
        <v>45226</v>
      </c>
      <c r="B3821" s="13">
        <v>43</v>
      </c>
      <c r="C3821" t="s">
        <v>3</v>
      </c>
      <c r="D3821" t="s">
        <v>4</v>
      </c>
      <c r="E3821" t="s">
        <v>21</v>
      </c>
      <c r="F3821">
        <v>113014081</v>
      </c>
      <c r="G3821" t="s">
        <v>267</v>
      </c>
      <c r="H3821" t="s">
        <v>9</v>
      </c>
      <c r="I3821">
        <v>0</v>
      </c>
      <c r="J3821">
        <v>0</v>
      </c>
      <c r="K3821">
        <v>0</v>
      </c>
      <c r="L3821">
        <v>0</v>
      </c>
      <c r="M3821">
        <v>1.57</v>
      </c>
      <c r="N3821" s="7" t="e">
        <f>VLOOKUP(F3821,HC!A$6:D$100,3,FALSE)</f>
        <v>#N/A</v>
      </c>
      <c r="O3821" s="7" t="str">
        <f>VLOOKUP(F3821,HC!A$6:D$1000,2,FALSE)</f>
        <v>fraugene</v>
      </c>
      <c r="P3821" t="s">
        <v>664</v>
      </c>
      <c r="Q3821" t="s">
        <v>716</v>
      </c>
      <c r="U3821">
        <f t="shared" si="61"/>
        <v>32</v>
      </c>
    </row>
    <row r="3822" spans="1:21" ht="37.5" customHeight="1" x14ac:dyDescent="0.25">
      <c r="A3822" s="40">
        <v>45226</v>
      </c>
      <c r="B3822" s="13">
        <v>43</v>
      </c>
      <c r="C3822" t="s">
        <v>3</v>
      </c>
      <c r="D3822" t="s">
        <v>4</v>
      </c>
      <c r="E3822" t="s">
        <v>21</v>
      </c>
      <c r="F3822">
        <v>200609384</v>
      </c>
      <c r="G3822" t="s">
        <v>1707</v>
      </c>
      <c r="H3822" t="s">
        <v>285</v>
      </c>
      <c r="I3822">
        <v>0</v>
      </c>
      <c r="J3822">
        <v>0</v>
      </c>
      <c r="K3822">
        <v>0</v>
      </c>
      <c r="L3822">
        <v>0</v>
      </c>
      <c r="M3822">
        <v>0.08</v>
      </c>
      <c r="N3822" s="7" t="e">
        <f>VLOOKUP(F3822,HC!A$6:D$100,3,FALSE)</f>
        <v>#N/A</v>
      </c>
      <c r="O3822" s="7" t="str">
        <f>VLOOKUP(F3822,HC!A$6:D$1000,2,FALSE)</f>
        <v>ohergise</v>
      </c>
      <c r="P3822" t="s">
        <v>663</v>
      </c>
      <c r="Q3822" t="s">
        <v>420</v>
      </c>
      <c r="U3822">
        <f t="shared" si="61"/>
        <v>2</v>
      </c>
    </row>
    <row r="3823" spans="1:21" ht="37.5" customHeight="1" x14ac:dyDescent="0.25">
      <c r="A3823" s="40">
        <v>45226</v>
      </c>
      <c r="B3823" s="13">
        <v>43</v>
      </c>
      <c r="C3823" t="s">
        <v>3</v>
      </c>
      <c r="D3823" t="s">
        <v>4</v>
      </c>
      <c r="E3823" t="s">
        <v>5</v>
      </c>
      <c r="F3823">
        <v>201191390</v>
      </c>
      <c r="G3823" t="s">
        <v>916</v>
      </c>
      <c r="H3823" t="s">
        <v>298</v>
      </c>
      <c r="I3823">
        <v>0</v>
      </c>
      <c r="J3823">
        <v>0</v>
      </c>
      <c r="K3823">
        <v>0</v>
      </c>
      <c r="L3823">
        <v>0</v>
      </c>
      <c r="M3823">
        <v>0.77</v>
      </c>
      <c r="N3823" s="7" t="e">
        <f>VLOOKUP(F3823,HC!A$6:D$100,3,FALSE)</f>
        <v>#N/A</v>
      </c>
      <c r="O3823" s="7" t="str">
        <f>VLOOKUP(F3823,HC!A$6:D$1000,2,FALSE)</f>
        <v>bgajesus</v>
      </c>
      <c r="P3823" t="s">
        <v>661</v>
      </c>
      <c r="Q3823" t="s">
        <v>681</v>
      </c>
      <c r="U3823">
        <f t="shared" si="61"/>
        <v>37</v>
      </c>
    </row>
    <row r="3824" spans="1:21" ht="37.5" customHeight="1" x14ac:dyDescent="0.25">
      <c r="A3824" s="40">
        <v>45226</v>
      </c>
      <c r="B3824" s="13">
        <v>43</v>
      </c>
      <c r="C3824" t="s">
        <v>3</v>
      </c>
      <c r="D3824" t="s">
        <v>4</v>
      </c>
      <c r="E3824" t="s">
        <v>21</v>
      </c>
      <c r="F3824">
        <v>201221772</v>
      </c>
      <c r="G3824" t="s">
        <v>1708</v>
      </c>
      <c r="H3824" t="s">
        <v>403</v>
      </c>
      <c r="I3824">
        <v>0</v>
      </c>
      <c r="J3824">
        <v>0</v>
      </c>
      <c r="K3824">
        <v>0</v>
      </c>
      <c r="L3824">
        <v>0</v>
      </c>
      <c r="M3824">
        <v>1.62</v>
      </c>
      <c r="N3824" s="7" t="e">
        <f>VLOOKUP(F3824,HC!A$6:D$100,3,FALSE)</f>
        <v>#N/A</v>
      </c>
      <c r="O3824" s="7" t="str">
        <f>VLOOKUP(F3824,HC!A$6:D$1000,2,FALSE)</f>
        <v>godariah</v>
      </c>
      <c r="P3824" t="s">
        <v>664</v>
      </c>
      <c r="Q3824" t="s">
        <v>777</v>
      </c>
      <c r="U3824">
        <f t="shared" si="61"/>
        <v>2</v>
      </c>
    </row>
    <row r="3825" spans="1:21" ht="37.5" customHeight="1" x14ac:dyDescent="0.25">
      <c r="A3825" s="40">
        <v>45226</v>
      </c>
      <c r="B3825" s="13">
        <v>43</v>
      </c>
      <c r="C3825" t="s">
        <v>3</v>
      </c>
      <c r="D3825" t="s">
        <v>4</v>
      </c>
      <c r="E3825" t="s">
        <v>5</v>
      </c>
      <c r="F3825">
        <v>201294058</v>
      </c>
      <c r="G3825" t="s">
        <v>985</v>
      </c>
      <c r="H3825" t="s">
        <v>1040</v>
      </c>
      <c r="I3825">
        <v>0</v>
      </c>
      <c r="J3825">
        <v>0</v>
      </c>
      <c r="K3825">
        <v>0</v>
      </c>
      <c r="L3825">
        <v>0</v>
      </c>
      <c r="M3825">
        <v>0.24</v>
      </c>
      <c r="N3825" s="7" t="e">
        <f>VLOOKUP(F3825,HC!A$6:D$100,3,FALSE)</f>
        <v>#N/A</v>
      </c>
      <c r="O3825" s="7" t="str">
        <f>VLOOKUP(F3825,HC!A$6:D$1000,2,FALSE)</f>
        <v>alerikat</v>
      </c>
      <c r="P3825" t="s">
        <v>661</v>
      </c>
      <c r="Q3825" t="s">
        <v>681</v>
      </c>
      <c r="U3825">
        <f t="shared" si="61"/>
        <v>6</v>
      </c>
    </row>
    <row r="3826" spans="1:21" ht="37.5" customHeight="1" x14ac:dyDescent="0.25">
      <c r="A3826" s="40">
        <v>45226</v>
      </c>
      <c r="B3826" s="13">
        <v>43</v>
      </c>
      <c r="C3826" t="s">
        <v>3</v>
      </c>
      <c r="D3826" t="s">
        <v>4</v>
      </c>
      <c r="E3826" t="s">
        <v>21</v>
      </c>
      <c r="F3826">
        <v>201858867</v>
      </c>
      <c r="G3826" t="s">
        <v>1236</v>
      </c>
      <c r="H3826" t="s">
        <v>285</v>
      </c>
      <c r="I3826">
        <v>0</v>
      </c>
      <c r="J3826">
        <v>0</v>
      </c>
      <c r="K3826">
        <v>0</v>
      </c>
      <c r="L3826">
        <v>0</v>
      </c>
      <c r="M3826">
        <v>0.76</v>
      </c>
      <c r="N3826" s="7" t="e">
        <f>VLOOKUP(F3826,HC!A$6:D$100,3,FALSE)</f>
        <v>#N/A</v>
      </c>
      <c r="O3826" s="7" t="str">
        <f>VLOOKUP(F3826,HC!A$6:D$1000,2,FALSE)</f>
        <v>tcruzvel</v>
      </c>
      <c r="P3826" t="s">
        <v>662</v>
      </c>
      <c r="Q3826" t="s">
        <v>1406</v>
      </c>
      <c r="U3826">
        <f t="shared" si="61"/>
        <v>17</v>
      </c>
    </row>
    <row r="3827" spans="1:21" ht="37.5" customHeight="1" x14ac:dyDescent="0.25">
      <c r="A3827" s="40">
        <v>45226</v>
      </c>
      <c r="B3827" s="13">
        <v>43</v>
      </c>
      <c r="C3827" t="s">
        <v>3</v>
      </c>
      <c r="D3827" t="s">
        <v>4</v>
      </c>
      <c r="E3827" t="s">
        <v>21</v>
      </c>
      <c r="F3827">
        <v>201903097</v>
      </c>
      <c r="G3827" t="s">
        <v>1239</v>
      </c>
      <c r="H3827" t="s">
        <v>285</v>
      </c>
      <c r="I3827">
        <v>0</v>
      </c>
      <c r="J3827">
        <v>0</v>
      </c>
      <c r="K3827">
        <v>0</v>
      </c>
      <c r="L3827">
        <v>0</v>
      </c>
      <c r="M3827">
        <v>0.69</v>
      </c>
      <c r="N3827" s="7" t="e">
        <f>VLOOKUP(F3827,HC!A$6:D$100,3,FALSE)</f>
        <v>#N/A</v>
      </c>
      <c r="O3827" s="7" t="str">
        <f>VLOOKUP(F3827,HC!A$6:D$1000,2,FALSE)</f>
        <v>montoliy</v>
      </c>
      <c r="P3827" t="s">
        <v>665</v>
      </c>
      <c r="Q3827" t="s">
        <v>722</v>
      </c>
      <c r="U3827">
        <f t="shared" si="61"/>
        <v>10</v>
      </c>
    </row>
    <row r="3828" spans="1:21" ht="37.5" customHeight="1" x14ac:dyDescent="0.25">
      <c r="A3828" s="40">
        <v>45226</v>
      </c>
      <c r="B3828" s="13">
        <v>43</v>
      </c>
      <c r="C3828" t="s">
        <v>3</v>
      </c>
      <c r="D3828" t="s">
        <v>4</v>
      </c>
      <c r="E3828" t="s">
        <v>21</v>
      </c>
      <c r="F3828">
        <v>202117420</v>
      </c>
      <c r="G3828" t="s">
        <v>1277</v>
      </c>
      <c r="H3828" t="s">
        <v>1471</v>
      </c>
      <c r="I3828">
        <v>0</v>
      </c>
      <c r="J3828">
        <v>0</v>
      </c>
      <c r="K3828">
        <v>0</v>
      </c>
      <c r="L3828">
        <v>0</v>
      </c>
      <c r="M3828">
        <v>0.34</v>
      </c>
      <c r="N3828" s="7" t="e">
        <f>VLOOKUP(F3828,HC!A$6:D$100,3,FALSE)</f>
        <v>#N/A</v>
      </c>
      <c r="O3828" s="7" t="str">
        <f>VLOOKUP(F3828,HC!A$6:D$1000,2,FALSE)</f>
        <v>iscerver</v>
      </c>
      <c r="P3828" t="s">
        <v>664</v>
      </c>
      <c r="Q3828" t="s">
        <v>420</v>
      </c>
      <c r="U3828">
        <f t="shared" si="61"/>
        <v>9</v>
      </c>
    </row>
    <row r="3829" spans="1:21" ht="37.5" customHeight="1" x14ac:dyDescent="0.25">
      <c r="A3829" s="40">
        <v>45226</v>
      </c>
      <c r="B3829" s="13">
        <v>43</v>
      </c>
      <c r="C3829" t="s">
        <v>3</v>
      </c>
      <c r="D3829" t="s">
        <v>4</v>
      </c>
      <c r="E3829" t="s">
        <v>21</v>
      </c>
      <c r="F3829">
        <v>202120077</v>
      </c>
      <c r="G3829" t="s">
        <v>1278</v>
      </c>
      <c r="H3829" t="s">
        <v>459</v>
      </c>
      <c r="I3829">
        <v>0</v>
      </c>
      <c r="J3829">
        <v>0</v>
      </c>
      <c r="K3829">
        <v>0</v>
      </c>
      <c r="L3829">
        <v>0</v>
      </c>
      <c r="M3829">
        <v>0.25</v>
      </c>
      <c r="N3829" s="7" t="e">
        <f>VLOOKUP(F3829,HC!A$6:D$100,3,FALSE)</f>
        <v>#N/A</v>
      </c>
      <c r="O3829" s="7" t="str">
        <f>VLOOKUP(F3829,HC!A$6:D$1000,2,FALSE)</f>
        <v>mauaguid</v>
      </c>
      <c r="P3829" t="s">
        <v>661</v>
      </c>
      <c r="Q3829" t="s">
        <v>681</v>
      </c>
      <c r="U3829">
        <f t="shared" si="61"/>
        <v>7</v>
      </c>
    </row>
    <row r="3830" spans="1:21" ht="37.5" customHeight="1" x14ac:dyDescent="0.25">
      <c r="A3830" s="40">
        <v>45226</v>
      </c>
      <c r="B3830" s="13">
        <v>43</v>
      </c>
      <c r="C3830" t="s">
        <v>3</v>
      </c>
      <c r="D3830" t="s">
        <v>4</v>
      </c>
      <c r="E3830" t="s">
        <v>21</v>
      </c>
      <c r="F3830">
        <v>202120444</v>
      </c>
      <c r="G3830" t="s">
        <v>1290</v>
      </c>
      <c r="H3830" t="s">
        <v>459</v>
      </c>
      <c r="I3830">
        <v>0</v>
      </c>
      <c r="J3830">
        <v>0</v>
      </c>
      <c r="K3830">
        <v>0</v>
      </c>
      <c r="L3830">
        <v>0</v>
      </c>
      <c r="M3830">
        <v>17.03</v>
      </c>
      <c r="N3830" s="7" t="e">
        <f>VLOOKUP(F3830,HC!A$6:D$100,3,FALSE)</f>
        <v>#N/A</v>
      </c>
      <c r="O3830" s="7" t="str">
        <f>VLOOKUP(F3830,HC!A$6:D$1000,2,FALSE)</f>
        <v>yhernalo</v>
      </c>
      <c r="P3830" t="s">
        <v>664</v>
      </c>
      <c r="Q3830" t="s">
        <v>420</v>
      </c>
      <c r="U3830">
        <f t="shared" si="61"/>
        <v>5</v>
      </c>
    </row>
    <row r="3831" spans="1:21" ht="37.5" customHeight="1" x14ac:dyDescent="0.25">
      <c r="A3831" s="40">
        <v>45226</v>
      </c>
      <c r="B3831" s="13">
        <v>43</v>
      </c>
      <c r="C3831" t="s">
        <v>3</v>
      </c>
      <c r="D3831" t="s">
        <v>4</v>
      </c>
      <c r="E3831" t="s">
        <v>21</v>
      </c>
      <c r="F3831">
        <v>202129214</v>
      </c>
      <c r="G3831" t="s">
        <v>1429</v>
      </c>
      <c r="H3831" t="s">
        <v>1471</v>
      </c>
      <c r="I3831">
        <v>0</v>
      </c>
      <c r="J3831">
        <v>0</v>
      </c>
      <c r="K3831">
        <v>0</v>
      </c>
      <c r="L3831">
        <v>0</v>
      </c>
      <c r="M3831">
        <v>1.98</v>
      </c>
      <c r="N3831" s="7" t="e">
        <f>VLOOKUP(F3831,HC!A$6:D$100,3,FALSE)</f>
        <v>#N/A</v>
      </c>
      <c r="O3831" s="7" t="str">
        <f>VLOOKUP(F3831,HC!A$6:D$1000,2,FALSE)</f>
        <v>isafzuni</v>
      </c>
      <c r="R3831" t="s">
        <v>1781</v>
      </c>
      <c r="U3831">
        <f t="shared" si="61"/>
        <v>8</v>
      </c>
    </row>
    <row r="3832" spans="1:21" ht="37.5" customHeight="1" x14ac:dyDescent="0.25">
      <c r="A3832" s="40">
        <v>45226</v>
      </c>
      <c r="B3832" s="13">
        <v>43</v>
      </c>
      <c r="C3832" t="s">
        <v>3</v>
      </c>
      <c r="D3832" t="s">
        <v>4</v>
      </c>
      <c r="E3832" t="s">
        <v>21</v>
      </c>
      <c r="F3832">
        <v>202133678</v>
      </c>
      <c r="G3832" t="s">
        <v>1709</v>
      </c>
      <c r="H3832" t="s">
        <v>282</v>
      </c>
      <c r="I3832">
        <v>0</v>
      </c>
      <c r="J3832">
        <v>0</v>
      </c>
      <c r="K3832">
        <v>0</v>
      </c>
      <c r="L3832">
        <v>0</v>
      </c>
      <c r="M3832">
        <v>0.44</v>
      </c>
      <c r="N3832" s="7" t="e">
        <f>VLOOKUP(F3832,HC!A$6:D$100,3,FALSE)</f>
        <v>#N/A</v>
      </c>
      <c r="O3832" s="7" t="str">
        <f>VLOOKUP(F3832,HC!A$6:D$1000,2,FALSE)</f>
        <v>sdanieq</v>
      </c>
      <c r="P3832" t="s">
        <v>661</v>
      </c>
      <c r="Q3832" t="s">
        <v>681</v>
      </c>
      <c r="U3832">
        <f t="shared" si="61"/>
        <v>2</v>
      </c>
    </row>
    <row r="3833" spans="1:21" ht="37.5" customHeight="1" x14ac:dyDescent="0.25">
      <c r="A3833" s="40">
        <v>45226</v>
      </c>
      <c r="B3833" s="13">
        <v>43</v>
      </c>
      <c r="C3833" t="s">
        <v>3</v>
      </c>
      <c r="D3833" t="s">
        <v>4</v>
      </c>
      <c r="E3833" t="s">
        <v>21</v>
      </c>
      <c r="F3833">
        <v>202137341</v>
      </c>
      <c r="G3833" t="s">
        <v>1291</v>
      </c>
      <c r="H3833" t="s">
        <v>250</v>
      </c>
      <c r="I3833">
        <v>0</v>
      </c>
      <c r="J3833">
        <v>0</v>
      </c>
      <c r="K3833">
        <v>0</v>
      </c>
      <c r="L3833">
        <v>0</v>
      </c>
      <c r="M3833">
        <v>0.11</v>
      </c>
      <c r="N3833" s="7" t="e">
        <f>VLOOKUP(F3833,HC!A$6:D$100,3,FALSE)</f>
        <v>#N/A</v>
      </c>
      <c r="O3833" s="7" t="str">
        <f>VLOOKUP(F3833,HC!A$6:D$1000,2,FALSE)</f>
        <v>xedgabra</v>
      </c>
      <c r="P3833" t="s">
        <v>661</v>
      </c>
      <c r="Q3833" t="s">
        <v>830</v>
      </c>
      <c r="U3833">
        <f t="shared" si="61"/>
        <v>13</v>
      </c>
    </row>
    <row r="3834" spans="1:21" ht="37.5" customHeight="1" x14ac:dyDescent="0.25">
      <c r="A3834" s="40">
        <v>45226</v>
      </c>
      <c r="B3834" s="13">
        <v>43</v>
      </c>
      <c r="C3834" t="s">
        <v>3</v>
      </c>
      <c r="D3834" t="s">
        <v>4</v>
      </c>
      <c r="E3834" t="s">
        <v>21</v>
      </c>
      <c r="F3834">
        <v>202159550</v>
      </c>
      <c r="G3834" t="s">
        <v>1710</v>
      </c>
      <c r="H3834" t="s">
        <v>285</v>
      </c>
      <c r="I3834">
        <v>0</v>
      </c>
      <c r="J3834">
        <v>0</v>
      </c>
      <c r="K3834">
        <v>0</v>
      </c>
      <c r="L3834">
        <v>0</v>
      </c>
      <c r="M3834">
        <v>0.28000000000000003</v>
      </c>
      <c r="N3834" s="7" t="e">
        <f>VLOOKUP(F3834,HC!A$6:D$100,3,FALSE)</f>
        <v>#N/A</v>
      </c>
      <c r="O3834" s="7" t="str">
        <f>VLOOKUP(F3834,HC!A$6:D$1000,2,FALSE)</f>
        <v>eisabmor</v>
      </c>
      <c r="P3834" t="s">
        <v>662</v>
      </c>
      <c r="Q3834" t="s">
        <v>469</v>
      </c>
      <c r="U3834">
        <f t="shared" si="61"/>
        <v>4</v>
      </c>
    </row>
    <row r="3835" spans="1:21" ht="37.5" customHeight="1" x14ac:dyDescent="0.25">
      <c r="A3835" s="40">
        <v>45226</v>
      </c>
      <c r="B3835" s="13">
        <v>43</v>
      </c>
      <c r="C3835" t="s">
        <v>3</v>
      </c>
      <c r="D3835" t="s">
        <v>4</v>
      </c>
      <c r="E3835" t="s">
        <v>21</v>
      </c>
      <c r="F3835">
        <v>202165242</v>
      </c>
      <c r="G3835" t="s">
        <v>1412</v>
      </c>
      <c r="H3835" t="s">
        <v>403</v>
      </c>
      <c r="I3835">
        <v>0</v>
      </c>
      <c r="J3835">
        <v>0</v>
      </c>
      <c r="K3835">
        <v>0</v>
      </c>
      <c r="L3835">
        <v>0</v>
      </c>
      <c r="M3835">
        <v>1.03</v>
      </c>
      <c r="N3835" s="7" t="e">
        <f>VLOOKUP(F3835,HC!A$6:D$100,3,FALSE)</f>
        <v>#N/A</v>
      </c>
      <c r="O3835" s="7" t="str">
        <f>VLOOKUP(F3835,HC!A$6:D$1000,2,FALSE)</f>
        <v>marcqgon</v>
      </c>
      <c r="P3835" t="s">
        <v>664</v>
      </c>
      <c r="Q3835" t="s">
        <v>1789</v>
      </c>
      <c r="R3835" t="s">
        <v>632</v>
      </c>
      <c r="U3835">
        <f t="shared" si="61"/>
        <v>21</v>
      </c>
    </row>
    <row r="3836" spans="1:21" ht="37.5" customHeight="1" x14ac:dyDescent="0.25">
      <c r="A3836" s="40">
        <v>45226</v>
      </c>
      <c r="B3836" s="13">
        <v>43</v>
      </c>
      <c r="C3836" t="s">
        <v>3</v>
      </c>
      <c r="D3836" t="s">
        <v>4</v>
      </c>
      <c r="E3836" t="s">
        <v>21</v>
      </c>
      <c r="F3836">
        <v>202166026</v>
      </c>
      <c r="G3836" t="s">
        <v>1435</v>
      </c>
      <c r="H3836" t="s">
        <v>1040</v>
      </c>
      <c r="I3836">
        <v>0</v>
      </c>
      <c r="J3836">
        <v>0</v>
      </c>
      <c r="K3836">
        <v>0</v>
      </c>
      <c r="L3836">
        <v>0</v>
      </c>
      <c r="M3836">
        <v>1.08</v>
      </c>
      <c r="N3836" s="7" t="e">
        <f>VLOOKUP(F3836,HC!A$6:D$100,3,FALSE)</f>
        <v>#N/A</v>
      </c>
      <c r="O3836" s="7" t="e">
        <f>VLOOKUP(F3836,HC!A$6:D$1000,2,FALSE)</f>
        <v>#N/A</v>
      </c>
      <c r="P3836" t="s">
        <v>662</v>
      </c>
      <c r="Q3836" s="7" t="s">
        <v>691</v>
      </c>
      <c r="U3836">
        <f t="shared" si="61"/>
        <v>1395</v>
      </c>
    </row>
    <row r="3837" spans="1:21" ht="37.5" customHeight="1" x14ac:dyDescent="0.25">
      <c r="A3837" s="40">
        <v>45226</v>
      </c>
      <c r="B3837" s="13">
        <v>43</v>
      </c>
      <c r="C3837" t="s">
        <v>3</v>
      </c>
      <c r="D3837" t="s">
        <v>4</v>
      </c>
      <c r="E3837" t="s">
        <v>21</v>
      </c>
      <c r="F3837">
        <v>202167572</v>
      </c>
      <c r="G3837" t="s">
        <v>1711</v>
      </c>
      <c r="H3837" t="s">
        <v>285</v>
      </c>
      <c r="I3837">
        <v>0</v>
      </c>
      <c r="J3837">
        <v>0</v>
      </c>
      <c r="K3837">
        <v>0</v>
      </c>
      <c r="L3837">
        <v>0</v>
      </c>
      <c r="M3837">
        <v>0.61</v>
      </c>
      <c r="N3837" s="7" t="e">
        <f>VLOOKUP(F3837,HC!A$6:D$100,3,FALSE)</f>
        <v>#N/A</v>
      </c>
      <c r="O3837" s="7" t="str">
        <f>VLOOKUP(F3837,HC!A$6:D$1000,2,FALSE)</f>
        <v>anacastf</v>
      </c>
      <c r="P3837" t="s">
        <v>661</v>
      </c>
      <c r="Q3837" t="s">
        <v>681</v>
      </c>
      <c r="U3837">
        <f t="shared" si="61"/>
        <v>1</v>
      </c>
    </row>
    <row r="3838" spans="1:21" ht="37.5" customHeight="1" x14ac:dyDescent="0.25">
      <c r="A3838" s="40">
        <v>45226</v>
      </c>
      <c r="B3838" s="13">
        <v>43</v>
      </c>
      <c r="C3838" t="s">
        <v>3</v>
      </c>
      <c r="D3838" t="s">
        <v>4</v>
      </c>
      <c r="E3838" t="s">
        <v>21</v>
      </c>
      <c r="F3838">
        <v>202209099</v>
      </c>
      <c r="G3838" t="s">
        <v>1712</v>
      </c>
      <c r="H3838" t="s">
        <v>285</v>
      </c>
      <c r="I3838">
        <v>0</v>
      </c>
      <c r="J3838">
        <v>0</v>
      </c>
      <c r="K3838">
        <v>0</v>
      </c>
      <c r="L3838">
        <v>0</v>
      </c>
      <c r="M3838">
        <v>1.61</v>
      </c>
      <c r="N3838" s="7" t="e">
        <f>VLOOKUP(F3838,HC!A$6:D$100,3,FALSE)</f>
        <v>#N/A</v>
      </c>
      <c r="O3838" s="7" t="str">
        <f>VLOOKUP(F3838,HC!A$6:D$1000,2,FALSE)</f>
        <v>vargaul</v>
      </c>
      <c r="P3838" t="s">
        <v>664</v>
      </c>
      <c r="Q3838" t="s">
        <v>716</v>
      </c>
      <c r="U3838">
        <f t="shared" si="61"/>
        <v>2</v>
      </c>
    </row>
    <row r="3839" spans="1:21" ht="37.5" customHeight="1" x14ac:dyDescent="0.25">
      <c r="A3839" s="40">
        <v>45226</v>
      </c>
      <c r="B3839" s="13">
        <v>43</v>
      </c>
      <c r="C3839" t="s">
        <v>3</v>
      </c>
      <c r="D3839" t="s">
        <v>4</v>
      </c>
      <c r="E3839" t="s">
        <v>21</v>
      </c>
      <c r="F3839">
        <v>202227928</v>
      </c>
      <c r="G3839" t="s">
        <v>1713</v>
      </c>
      <c r="H3839" t="s">
        <v>298</v>
      </c>
      <c r="I3839">
        <v>0</v>
      </c>
      <c r="J3839">
        <v>0</v>
      </c>
      <c r="K3839">
        <v>0</v>
      </c>
      <c r="L3839">
        <v>0</v>
      </c>
      <c r="M3839">
        <v>0.88</v>
      </c>
      <c r="N3839" s="7" t="e">
        <f>VLOOKUP(F3839,HC!A$6:D$100,3,FALSE)</f>
        <v>#N/A</v>
      </c>
      <c r="O3839" s="7" t="str">
        <f>VLOOKUP(F3839,HC!A$6:D$1000,2,FALSE)</f>
        <v>fpablmar</v>
      </c>
      <c r="P3839" t="s">
        <v>661</v>
      </c>
      <c r="Q3839" t="s">
        <v>681</v>
      </c>
      <c r="U3839">
        <f t="shared" si="61"/>
        <v>2</v>
      </c>
    </row>
    <row r="3840" spans="1:21" ht="37.5" customHeight="1" x14ac:dyDescent="0.25">
      <c r="A3840" s="40">
        <v>45226</v>
      </c>
      <c r="B3840" s="13">
        <v>43</v>
      </c>
      <c r="C3840" t="s">
        <v>3</v>
      </c>
      <c r="D3840" t="s">
        <v>4</v>
      </c>
      <c r="E3840" t="s">
        <v>21</v>
      </c>
      <c r="F3840">
        <v>202235589</v>
      </c>
      <c r="G3840" t="s">
        <v>1461</v>
      </c>
      <c r="H3840" t="s">
        <v>298</v>
      </c>
      <c r="I3840">
        <v>0</v>
      </c>
      <c r="J3840">
        <v>0</v>
      </c>
      <c r="K3840">
        <v>0</v>
      </c>
      <c r="L3840">
        <v>0</v>
      </c>
      <c r="M3840">
        <v>0.33</v>
      </c>
      <c r="N3840" s="7" t="e">
        <f>VLOOKUP(F3840,HC!A$6:D$100,3,FALSE)</f>
        <v>#N/A</v>
      </c>
      <c r="O3840" s="7" t="str">
        <f>VLOOKUP(F3840,HC!A$6:D$1000,2,FALSE)</f>
        <v>fatimci</v>
      </c>
      <c r="P3840" t="s">
        <v>668</v>
      </c>
      <c r="Q3840" t="s">
        <v>1465</v>
      </c>
      <c r="U3840">
        <f t="shared" si="61"/>
        <v>3</v>
      </c>
    </row>
    <row r="3841" spans="1:21" ht="37.5" customHeight="1" x14ac:dyDescent="0.25">
      <c r="A3841" s="40">
        <v>45226</v>
      </c>
      <c r="B3841" s="13">
        <v>43</v>
      </c>
      <c r="C3841" t="s">
        <v>3</v>
      </c>
      <c r="D3841" t="s">
        <v>4</v>
      </c>
      <c r="E3841" t="s">
        <v>21</v>
      </c>
      <c r="F3841">
        <v>202291219</v>
      </c>
      <c r="G3841" t="s">
        <v>1714</v>
      </c>
      <c r="H3841" t="s">
        <v>285</v>
      </c>
      <c r="I3841">
        <v>0</v>
      </c>
      <c r="J3841">
        <v>0</v>
      </c>
      <c r="K3841">
        <v>0</v>
      </c>
      <c r="L3841">
        <v>0</v>
      </c>
      <c r="M3841">
        <v>0.24</v>
      </c>
      <c r="N3841" s="7" t="e">
        <f>VLOOKUP(F3841,HC!A$6:D$100,3,FALSE)</f>
        <v>#N/A</v>
      </c>
      <c r="O3841" s="7" t="str">
        <f>VLOOKUP(F3841,HC!A$6:D$1000,2,FALSE)</f>
        <v>yaguicar</v>
      </c>
      <c r="P3841" t="s">
        <v>662</v>
      </c>
      <c r="Q3841" t="s">
        <v>1440</v>
      </c>
      <c r="U3841">
        <f t="shared" si="61"/>
        <v>3</v>
      </c>
    </row>
    <row r="3842" spans="1:21" ht="37.5" customHeight="1" x14ac:dyDescent="0.25">
      <c r="A3842" s="40">
        <v>45226</v>
      </c>
      <c r="B3842" s="13">
        <v>43</v>
      </c>
      <c r="C3842" t="s">
        <v>3</v>
      </c>
      <c r="D3842" t="s">
        <v>4</v>
      </c>
      <c r="E3842" t="s">
        <v>21</v>
      </c>
      <c r="F3842">
        <v>202291384</v>
      </c>
      <c r="G3842" t="s">
        <v>1703</v>
      </c>
      <c r="H3842" t="s">
        <v>298</v>
      </c>
      <c r="I3842">
        <v>0</v>
      </c>
      <c r="J3842">
        <v>0</v>
      </c>
      <c r="K3842">
        <v>0</v>
      </c>
      <c r="L3842">
        <v>0</v>
      </c>
      <c r="M3842">
        <v>0.49</v>
      </c>
      <c r="N3842" s="7" t="e">
        <f>VLOOKUP(F3842,HC!A$6:D$100,3,FALSE)</f>
        <v>#N/A</v>
      </c>
      <c r="O3842" s="7" t="str">
        <f>VLOOKUP(F3842,HC!A$6:D$1000,2,FALSE)</f>
        <v>servelaj</v>
      </c>
      <c r="P3842" t="s">
        <v>661</v>
      </c>
      <c r="Q3842" t="s">
        <v>681</v>
      </c>
      <c r="U3842">
        <f t="shared" si="61"/>
        <v>6</v>
      </c>
    </row>
    <row r="3843" spans="1:21" ht="37.5" customHeight="1" x14ac:dyDescent="0.25">
      <c r="A3843" s="40">
        <v>45226</v>
      </c>
      <c r="B3843" s="13">
        <v>43</v>
      </c>
      <c r="C3843" t="s">
        <v>3</v>
      </c>
      <c r="D3843" t="s">
        <v>4</v>
      </c>
      <c r="E3843" t="s">
        <v>21</v>
      </c>
      <c r="F3843">
        <v>202291460</v>
      </c>
      <c r="G3843" t="s">
        <v>1715</v>
      </c>
      <c r="H3843" t="s">
        <v>49</v>
      </c>
      <c r="I3843">
        <v>0</v>
      </c>
      <c r="J3843">
        <v>0</v>
      </c>
      <c r="K3843">
        <v>0</v>
      </c>
      <c r="L3843">
        <v>0</v>
      </c>
      <c r="M3843">
        <v>0.47</v>
      </c>
      <c r="N3843" s="7" t="e">
        <f>VLOOKUP(F3843,HC!A$6:D$100,3,FALSE)</f>
        <v>#N/A</v>
      </c>
      <c r="O3843" s="7" t="str">
        <f>VLOOKUP(F3843,HC!A$6:D$1000,2,FALSE)</f>
        <v>anaornev</v>
      </c>
      <c r="P3843" t="s">
        <v>664</v>
      </c>
      <c r="Q3843" t="s">
        <v>420</v>
      </c>
      <c r="U3843">
        <f t="shared" ref="U3843:U3906" si="62">COUNTIF(O$2:O$4999,O3843)</f>
        <v>3</v>
      </c>
    </row>
    <row r="3844" spans="1:21" ht="37.5" customHeight="1" x14ac:dyDescent="0.25">
      <c r="A3844" s="40">
        <v>45226</v>
      </c>
      <c r="B3844" s="13">
        <v>43</v>
      </c>
      <c r="C3844" t="s">
        <v>3</v>
      </c>
      <c r="D3844" t="s">
        <v>4</v>
      </c>
      <c r="E3844" t="s">
        <v>21</v>
      </c>
      <c r="F3844">
        <v>202341246</v>
      </c>
      <c r="G3844" t="s">
        <v>1716</v>
      </c>
      <c r="H3844" t="s">
        <v>298</v>
      </c>
      <c r="I3844">
        <v>0</v>
      </c>
      <c r="J3844">
        <v>0</v>
      </c>
      <c r="K3844">
        <v>0</v>
      </c>
      <c r="L3844">
        <v>0</v>
      </c>
      <c r="M3844">
        <v>7.95</v>
      </c>
      <c r="N3844" s="7" t="e">
        <f>VLOOKUP(F3844,HC!A$6:D$100,3,FALSE)</f>
        <v>#N/A</v>
      </c>
      <c r="O3844" s="7" t="str">
        <f>VLOOKUP(F3844,HC!A$6:D$1000,2,FALSE)</f>
        <v>sofiawlo</v>
      </c>
      <c r="P3844" t="s">
        <v>661</v>
      </c>
      <c r="Q3844" t="s">
        <v>681</v>
      </c>
      <c r="U3844">
        <f t="shared" si="62"/>
        <v>3</v>
      </c>
    </row>
    <row r="3845" spans="1:21" ht="37.5" customHeight="1" x14ac:dyDescent="0.25">
      <c r="A3845" s="40">
        <v>45226</v>
      </c>
      <c r="B3845" s="13">
        <v>43</v>
      </c>
      <c r="C3845" t="s">
        <v>3</v>
      </c>
      <c r="D3845" t="s">
        <v>4</v>
      </c>
      <c r="E3845" t="s">
        <v>21</v>
      </c>
      <c r="F3845">
        <v>202353921</v>
      </c>
      <c r="G3845" t="s">
        <v>1717</v>
      </c>
      <c r="H3845" t="s">
        <v>49</v>
      </c>
      <c r="I3845">
        <v>0</v>
      </c>
      <c r="J3845">
        <v>0</v>
      </c>
      <c r="K3845">
        <v>0</v>
      </c>
      <c r="L3845">
        <v>0</v>
      </c>
      <c r="M3845">
        <v>0.25</v>
      </c>
      <c r="N3845" s="7" t="e">
        <f>VLOOKUP(F3845,HC!A$6:D$100,3,FALSE)</f>
        <v>#N/A</v>
      </c>
      <c r="O3845" s="7" t="str">
        <f>VLOOKUP(F3845,HC!A$6:D$1000,2,FALSE)</f>
        <v>lindinoe</v>
      </c>
      <c r="P3845" t="s">
        <v>668</v>
      </c>
      <c r="Q3845" t="s">
        <v>1465</v>
      </c>
      <c r="U3845">
        <f t="shared" si="62"/>
        <v>12</v>
      </c>
    </row>
    <row r="3846" spans="1:21" ht="37.5" customHeight="1" x14ac:dyDescent="0.25">
      <c r="A3846" s="40">
        <v>45227</v>
      </c>
      <c r="B3846" s="13">
        <v>43</v>
      </c>
      <c r="C3846" t="s">
        <v>3</v>
      </c>
      <c r="D3846" t="s">
        <v>4</v>
      </c>
      <c r="E3846" t="s">
        <v>5</v>
      </c>
      <c r="F3846">
        <v>112971962</v>
      </c>
      <c r="G3846" t="s">
        <v>338</v>
      </c>
      <c r="H3846" t="s">
        <v>298</v>
      </c>
      <c r="I3846">
        <v>0</v>
      </c>
      <c r="J3846">
        <v>0</v>
      </c>
      <c r="K3846">
        <v>0</v>
      </c>
      <c r="L3846">
        <v>0</v>
      </c>
      <c r="M3846">
        <v>0.64</v>
      </c>
      <c r="N3846" s="7" t="str">
        <f>VLOOKUP(F3846,HC!A$6:D$100,3,FALSE)</f>
        <v>DB-X0700</v>
      </c>
      <c r="O3846" s="7" t="str">
        <f>VLOOKUP(F3846,HC!A$6:D$1000,2,FALSE)</f>
        <v>creyesal</v>
      </c>
      <c r="P3846" t="s">
        <v>661</v>
      </c>
      <c r="Q3846" t="s">
        <v>681</v>
      </c>
      <c r="U3846">
        <f t="shared" si="62"/>
        <v>38</v>
      </c>
    </row>
    <row r="3847" spans="1:21" ht="37.5" customHeight="1" x14ac:dyDescent="0.25">
      <c r="A3847" s="40">
        <v>45227</v>
      </c>
      <c r="B3847" s="13">
        <v>43</v>
      </c>
      <c r="C3847" t="s">
        <v>3</v>
      </c>
      <c r="D3847" t="s">
        <v>4</v>
      </c>
      <c r="E3847" t="s">
        <v>5</v>
      </c>
      <c r="F3847">
        <v>112972215</v>
      </c>
      <c r="G3847" t="s">
        <v>984</v>
      </c>
      <c r="H3847" t="s">
        <v>298</v>
      </c>
      <c r="I3847">
        <v>0</v>
      </c>
      <c r="J3847">
        <v>0</v>
      </c>
      <c r="K3847">
        <v>0</v>
      </c>
      <c r="L3847">
        <v>0</v>
      </c>
      <c r="M3847">
        <v>0.28000000000000003</v>
      </c>
      <c r="N3847" s="7" t="str">
        <f>VLOOKUP(F3847,HC!A$6:D$100,3,FALSE)</f>
        <v>DB-X0700</v>
      </c>
      <c r="O3847" s="7" t="str">
        <f>VLOOKUP(F3847,HC!A$6:D$1000,2,FALSE)</f>
        <v>cruzbana</v>
      </c>
      <c r="U3847">
        <f t="shared" si="62"/>
        <v>16</v>
      </c>
    </row>
    <row r="3848" spans="1:21" ht="37.5" customHeight="1" x14ac:dyDescent="0.25">
      <c r="A3848" s="40">
        <v>45227</v>
      </c>
      <c r="B3848" s="13">
        <v>43</v>
      </c>
      <c r="C3848" t="s">
        <v>3</v>
      </c>
      <c r="D3848" t="s">
        <v>4</v>
      </c>
      <c r="E3848" t="s">
        <v>5</v>
      </c>
      <c r="F3848">
        <v>112973049</v>
      </c>
      <c r="G3848" t="s">
        <v>314</v>
      </c>
      <c r="H3848" t="s">
        <v>285</v>
      </c>
      <c r="I3848">
        <v>0</v>
      </c>
      <c r="J3848">
        <v>0</v>
      </c>
      <c r="K3848">
        <v>0</v>
      </c>
      <c r="L3848">
        <v>0</v>
      </c>
      <c r="M3848">
        <v>0.15</v>
      </c>
      <c r="N3848" s="7" t="str">
        <f>VLOOKUP(F3848,HC!A$6:D$100,3,FALSE)</f>
        <v>DB-X0700</v>
      </c>
      <c r="O3848" s="7" t="str">
        <f>VLOOKUP(F3848,HC!A$6:D$1000,2,FALSE)</f>
        <v>afatimae</v>
      </c>
      <c r="U3848">
        <f t="shared" si="62"/>
        <v>29</v>
      </c>
    </row>
    <row r="3849" spans="1:21" ht="37.5" customHeight="1" x14ac:dyDescent="0.25">
      <c r="A3849" s="40">
        <v>45227</v>
      </c>
      <c r="B3849" s="13">
        <v>43</v>
      </c>
      <c r="C3849" t="s">
        <v>3</v>
      </c>
      <c r="D3849" t="s">
        <v>4</v>
      </c>
      <c r="E3849" t="s">
        <v>5</v>
      </c>
      <c r="F3849">
        <v>113003510</v>
      </c>
      <c r="G3849" t="s">
        <v>913</v>
      </c>
      <c r="H3849" t="s">
        <v>403</v>
      </c>
      <c r="I3849">
        <v>0</v>
      </c>
      <c r="J3849">
        <v>0</v>
      </c>
      <c r="K3849">
        <v>0</v>
      </c>
      <c r="L3849">
        <v>0</v>
      </c>
      <c r="M3849">
        <v>0.26</v>
      </c>
      <c r="N3849" s="7" t="e">
        <f>VLOOKUP(F3849,HC!A$6:D$100,3,FALSE)</f>
        <v>#N/A</v>
      </c>
      <c r="O3849" s="7" t="str">
        <f>VLOOKUP(F3849,HC!A$6:D$1000,2,FALSE)</f>
        <v>nperezmc</v>
      </c>
      <c r="U3849">
        <f t="shared" si="62"/>
        <v>12</v>
      </c>
    </row>
    <row r="3850" spans="1:21" ht="37.5" customHeight="1" x14ac:dyDescent="0.25">
      <c r="A3850" s="40">
        <v>45227</v>
      </c>
      <c r="B3850" s="13">
        <v>43</v>
      </c>
      <c r="C3850" t="s">
        <v>3</v>
      </c>
      <c r="D3850" t="s">
        <v>4</v>
      </c>
      <c r="E3850" t="s">
        <v>5</v>
      </c>
      <c r="F3850">
        <v>201219500</v>
      </c>
      <c r="G3850" t="s">
        <v>937</v>
      </c>
      <c r="H3850" t="s">
        <v>285</v>
      </c>
      <c r="I3850">
        <v>0</v>
      </c>
      <c r="J3850">
        <v>0</v>
      </c>
      <c r="K3850">
        <v>0</v>
      </c>
      <c r="L3850">
        <v>0</v>
      </c>
      <c r="M3850">
        <v>1.17</v>
      </c>
      <c r="N3850" s="7" t="e">
        <f>VLOOKUP(F3850,HC!A$6:D$100,3,FALSE)</f>
        <v>#N/A</v>
      </c>
      <c r="O3850" s="7" t="str">
        <f>VLOOKUP(F3850,HC!A$6:D$1000,2,FALSE)</f>
        <v>ramsmazy</v>
      </c>
      <c r="U3850">
        <f t="shared" si="62"/>
        <v>12</v>
      </c>
    </row>
    <row r="3851" spans="1:21" ht="37.5" customHeight="1" x14ac:dyDescent="0.25">
      <c r="A3851" s="40">
        <v>45227</v>
      </c>
      <c r="B3851" s="13">
        <v>43</v>
      </c>
      <c r="C3851" t="s">
        <v>3</v>
      </c>
      <c r="D3851" t="s">
        <v>4</v>
      </c>
      <c r="E3851" t="s">
        <v>21</v>
      </c>
      <c r="F3851">
        <v>201320536</v>
      </c>
      <c r="G3851" t="s">
        <v>992</v>
      </c>
      <c r="H3851" t="s">
        <v>285</v>
      </c>
      <c r="I3851">
        <v>0</v>
      </c>
      <c r="J3851">
        <v>0</v>
      </c>
      <c r="K3851">
        <v>0</v>
      </c>
      <c r="L3851">
        <v>0</v>
      </c>
      <c r="M3851">
        <v>0.28999999999999998</v>
      </c>
      <c r="N3851" s="7" t="e">
        <f>VLOOKUP(F3851,HC!A$6:D$100,3,FALSE)</f>
        <v>#N/A</v>
      </c>
      <c r="O3851" s="7" t="str">
        <f>VLOOKUP(F3851,HC!A$6:D$1000,2,FALSE)</f>
        <v>ibalmigu</v>
      </c>
      <c r="U3851">
        <f t="shared" si="62"/>
        <v>11</v>
      </c>
    </row>
    <row r="3852" spans="1:21" ht="37.5" customHeight="1" x14ac:dyDescent="0.25">
      <c r="A3852" s="40">
        <v>45227</v>
      </c>
      <c r="B3852" s="13">
        <v>43</v>
      </c>
      <c r="C3852" t="s">
        <v>3</v>
      </c>
      <c r="D3852" t="s">
        <v>4</v>
      </c>
      <c r="E3852" t="s">
        <v>21</v>
      </c>
      <c r="F3852">
        <v>201842064</v>
      </c>
      <c r="G3852" t="s">
        <v>1241</v>
      </c>
      <c r="H3852" t="s">
        <v>285</v>
      </c>
      <c r="I3852">
        <v>0</v>
      </c>
      <c r="J3852">
        <v>0</v>
      </c>
      <c r="K3852">
        <v>0</v>
      </c>
      <c r="L3852">
        <v>0</v>
      </c>
      <c r="M3852">
        <v>0.67</v>
      </c>
      <c r="N3852" s="7" t="e">
        <f>VLOOKUP(F3852,HC!A$6:D$100,3,FALSE)</f>
        <v>#N/A</v>
      </c>
      <c r="O3852" s="7" t="str">
        <f>VLOOKUP(F3852,HC!A$6:D$1000,2,FALSE)</f>
        <v>agriandl</v>
      </c>
      <c r="U3852">
        <f t="shared" si="62"/>
        <v>12</v>
      </c>
    </row>
    <row r="3853" spans="1:21" ht="37.5" customHeight="1" x14ac:dyDescent="0.25">
      <c r="A3853" s="40">
        <v>45227</v>
      </c>
      <c r="B3853" s="13">
        <v>43</v>
      </c>
      <c r="C3853" t="s">
        <v>3</v>
      </c>
      <c r="D3853" t="s">
        <v>4</v>
      </c>
      <c r="E3853" t="s">
        <v>21</v>
      </c>
      <c r="F3853">
        <v>201903097</v>
      </c>
      <c r="G3853" t="s">
        <v>1239</v>
      </c>
      <c r="H3853" t="s">
        <v>285</v>
      </c>
      <c r="I3853">
        <v>0</v>
      </c>
      <c r="J3853">
        <v>0</v>
      </c>
      <c r="K3853">
        <v>0</v>
      </c>
      <c r="L3853">
        <v>0</v>
      </c>
      <c r="M3853">
        <v>0.21</v>
      </c>
      <c r="N3853" s="7" t="e">
        <f>VLOOKUP(F3853,HC!A$6:D$100,3,FALSE)</f>
        <v>#N/A</v>
      </c>
      <c r="O3853" s="7" t="str">
        <f>VLOOKUP(F3853,HC!A$6:D$1000,2,FALSE)</f>
        <v>montoliy</v>
      </c>
      <c r="U3853">
        <f t="shared" si="62"/>
        <v>10</v>
      </c>
    </row>
    <row r="3854" spans="1:21" ht="37.5" customHeight="1" x14ac:dyDescent="0.25">
      <c r="A3854" s="40">
        <v>45227</v>
      </c>
      <c r="B3854" s="13">
        <v>43</v>
      </c>
      <c r="C3854" t="s">
        <v>3</v>
      </c>
      <c r="D3854" t="s">
        <v>4</v>
      </c>
      <c r="E3854" t="s">
        <v>21</v>
      </c>
      <c r="F3854">
        <v>202081527</v>
      </c>
      <c r="G3854" t="s">
        <v>1273</v>
      </c>
      <c r="H3854" t="s">
        <v>14</v>
      </c>
      <c r="I3854">
        <v>0</v>
      </c>
      <c r="J3854">
        <v>0</v>
      </c>
      <c r="K3854">
        <v>0</v>
      </c>
      <c r="L3854">
        <v>0</v>
      </c>
      <c r="M3854">
        <v>0.15</v>
      </c>
      <c r="N3854" s="7" t="e">
        <f>VLOOKUP(F3854,HC!A$6:D$100,3,FALSE)</f>
        <v>#N/A</v>
      </c>
      <c r="O3854" s="7" t="str">
        <f>VLOOKUP(F3854,HC!A$6:D$1000,2,FALSE)</f>
        <v>efrmartw</v>
      </c>
      <c r="U3854">
        <f t="shared" si="62"/>
        <v>12</v>
      </c>
    </row>
    <row r="3855" spans="1:21" ht="37.5" customHeight="1" x14ac:dyDescent="0.25">
      <c r="A3855" s="40">
        <v>45227</v>
      </c>
      <c r="B3855" s="13">
        <v>43</v>
      </c>
      <c r="C3855" t="s">
        <v>3</v>
      </c>
      <c r="D3855" t="s">
        <v>4</v>
      </c>
      <c r="E3855" t="s">
        <v>21</v>
      </c>
      <c r="F3855">
        <v>202117751</v>
      </c>
      <c r="G3855" t="s">
        <v>1718</v>
      </c>
      <c r="H3855" t="s">
        <v>332</v>
      </c>
      <c r="I3855">
        <v>0</v>
      </c>
      <c r="J3855">
        <v>0</v>
      </c>
      <c r="K3855">
        <v>0</v>
      </c>
      <c r="L3855">
        <v>0</v>
      </c>
      <c r="M3855">
        <v>0.75</v>
      </c>
      <c r="N3855" s="7" t="e">
        <f>VLOOKUP(F3855,HC!A$6:D$100,3,FALSE)</f>
        <v>#N/A</v>
      </c>
      <c r="O3855" s="7" t="str">
        <f>VLOOKUP(F3855,HC!A$6:D$1000,2,FALSE)</f>
        <v>romejhon</v>
      </c>
      <c r="U3855">
        <f t="shared" si="62"/>
        <v>2</v>
      </c>
    </row>
    <row r="3856" spans="1:21" ht="37.5" customHeight="1" x14ac:dyDescent="0.25">
      <c r="A3856" s="40">
        <v>45227</v>
      </c>
      <c r="B3856" s="13">
        <v>43</v>
      </c>
      <c r="C3856" t="s">
        <v>3</v>
      </c>
      <c r="D3856" t="s">
        <v>4</v>
      </c>
      <c r="E3856" t="s">
        <v>21</v>
      </c>
      <c r="F3856">
        <v>202118504</v>
      </c>
      <c r="G3856" t="s">
        <v>1719</v>
      </c>
      <c r="H3856" t="s">
        <v>1720</v>
      </c>
      <c r="I3856">
        <v>0</v>
      </c>
      <c r="J3856">
        <v>0</v>
      </c>
      <c r="K3856">
        <v>0</v>
      </c>
      <c r="L3856">
        <v>0</v>
      </c>
      <c r="M3856">
        <v>0.06</v>
      </c>
      <c r="N3856" s="7" t="e">
        <f>VLOOKUP(F3856,HC!A$6:D$100,3,FALSE)</f>
        <v>#N/A</v>
      </c>
      <c r="O3856" s="7" t="str">
        <f>VLOOKUP(F3856,HC!A$6:D$1000,2,FALSE)</f>
        <v>guerialv</v>
      </c>
      <c r="U3856">
        <f t="shared" si="62"/>
        <v>2</v>
      </c>
    </row>
    <row r="3857" spans="1:21" ht="37.5" customHeight="1" x14ac:dyDescent="0.25">
      <c r="A3857" s="40">
        <v>45227</v>
      </c>
      <c r="B3857" s="13">
        <v>43</v>
      </c>
      <c r="C3857" t="s">
        <v>3</v>
      </c>
      <c r="D3857" t="s">
        <v>4</v>
      </c>
      <c r="E3857" t="s">
        <v>21</v>
      </c>
      <c r="F3857">
        <v>202120444</v>
      </c>
      <c r="G3857" t="s">
        <v>1290</v>
      </c>
      <c r="H3857" t="s">
        <v>332</v>
      </c>
      <c r="I3857">
        <v>0</v>
      </c>
      <c r="J3857">
        <v>0</v>
      </c>
      <c r="K3857">
        <v>0</v>
      </c>
      <c r="L3857">
        <v>0</v>
      </c>
      <c r="M3857">
        <v>7.09</v>
      </c>
      <c r="N3857" s="7" t="e">
        <f>VLOOKUP(F3857,HC!A$6:D$100,3,FALSE)</f>
        <v>#N/A</v>
      </c>
      <c r="O3857" s="7" t="str">
        <f>VLOOKUP(F3857,HC!A$6:D$1000,2,FALSE)</f>
        <v>yhernalo</v>
      </c>
      <c r="U3857">
        <f t="shared" si="62"/>
        <v>5</v>
      </c>
    </row>
    <row r="3858" spans="1:21" ht="37.5" customHeight="1" x14ac:dyDescent="0.25">
      <c r="A3858" s="40">
        <v>45227</v>
      </c>
      <c r="B3858" s="13">
        <v>43</v>
      </c>
      <c r="C3858" t="s">
        <v>3</v>
      </c>
      <c r="D3858" t="s">
        <v>4</v>
      </c>
      <c r="E3858" t="s">
        <v>21</v>
      </c>
      <c r="F3858">
        <v>202165242</v>
      </c>
      <c r="G3858" t="s">
        <v>1412</v>
      </c>
      <c r="H3858" t="s">
        <v>403</v>
      </c>
      <c r="I3858">
        <v>0</v>
      </c>
      <c r="J3858">
        <v>0</v>
      </c>
      <c r="K3858">
        <v>0</v>
      </c>
      <c r="L3858">
        <v>0</v>
      </c>
      <c r="M3858">
        <v>0.06</v>
      </c>
      <c r="N3858" s="7" t="e">
        <f>VLOOKUP(F3858,HC!A$6:D$100,3,FALSE)</f>
        <v>#N/A</v>
      </c>
      <c r="O3858" s="7" t="str">
        <f>VLOOKUP(F3858,HC!A$6:D$1000,2,FALSE)</f>
        <v>marcqgon</v>
      </c>
      <c r="U3858">
        <f t="shared" si="62"/>
        <v>21</v>
      </c>
    </row>
    <row r="3859" spans="1:21" ht="37.5" customHeight="1" x14ac:dyDescent="0.25">
      <c r="A3859" s="40">
        <v>45227</v>
      </c>
      <c r="B3859" s="13">
        <v>43</v>
      </c>
      <c r="C3859" t="s">
        <v>3</v>
      </c>
      <c r="D3859" t="s">
        <v>4</v>
      </c>
      <c r="E3859" t="s">
        <v>21</v>
      </c>
      <c r="F3859">
        <v>202175671</v>
      </c>
      <c r="G3859" t="s">
        <v>1421</v>
      </c>
      <c r="H3859" t="s">
        <v>403</v>
      </c>
      <c r="I3859">
        <v>0</v>
      </c>
      <c r="J3859">
        <v>0</v>
      </c>
      <c r="K3859">
        <v>0</v>
      </c>
      <c r="L3859">
        <v>0</v>
      </c>
      <c r="M3859">
        <v>0.41</v>
      </c>
      <c r="N3859" s="7" t="e">
        <f>VLOOKUP(F3859,HC!A$6:D$100,3,FALSE)</f>
        <v>#N/A</v>
      </c>
      <c r="O3859" s="7" t="str">
        <f>VLOOKUP(F3859,HC!A$6:D$1000,2,FALSE)</f>
        <v>laucruzc</v>
      </c>
      <c r="U3859">
        <f t="shared" si="62"/>
        <v>5</v>
      </c>
    </row>
    <row r="3860" spans="1:21" ht="37.5" customHeight="1" x14ac:dyDescent="0.25">
      <c r="A3860" s="40">
        <v>45227</v>
      </c>
      <c r="B3860" s="13">
        <v>43</v>
      </c>
      <c r="C3860" t="s">
        <v>3</v>
      </c>
      <c r="D3860" t="s">
        <v>4</v>
      </c>
      <c r="E3860" t="s">
        <v>21</v>
      </c>
      <c r="F3860">
        <v>202219558</v>
      </c>
      <c r="G3860" t="s">
        <v>1721</v>
      </c>
      <c r="H3860" t="s">
        <v>403</v>
      </c>
      <c r="I3860">
        <v>0</v>
      </c>
      <c r="J3860">
        <v>0</v>
      </c>
      <c r="K3860">
        <v>0</v>
      </c>
      <c r="L3860">
        <v>0</v>
      </c>
      <c r="M3860">
        <v>0.55000000000000004</v>
      </c>
      <c r="N3860" s="7" t="e">
        <f>VLOOKUP(F3860,HC!A$6:D$100,3,FALSE)</f>
        <v>#N/A</v>
      </c>
      <c r="O3860" s="7" t="str">
        <f>VLOOKUP(F3860,HC!A$6:D$1000,2,FALSE)</f>
        <v>ricaqcor</v>
      </c>
      <c r="U3860">
        <f t="shared" si="62"/>
        <v>3</v>
      </c>
    </row>
    <row r="3861" spans="1:21" ht="37.5" customHeight="1" x14ac:dyDescent="0.25">
      <c r="A3861" s="40">
        <v>45227</v>
      </c>
      <c r="B3861" s="13">
        <v>43</v>
      </c>
      <c r="C3861" t="s">
        <v>3</v>
      </c>
      <c r="D3861" t="s">
        <v>4</v>
      </c>
      <c r="E3861" t="s">
        <v>21</v>
      </c>
      <c r="F3861">
        <v>202235589</v>
      </c>
      <c r="G3861" t="s">
        <v>1461</v>
      </c>
      <c r="H3861" t="s">
        <v>298</v>
      </c>
      <c r="I3861">
        <v>0</v>
      </c>
      <c r="J3861">
        <v>0</v>
      </c>
      <c r="K3861">
        <v>0</v>
      </c>
      <c r="L3861">
        <v>0</v>
      </c>
      <c r="M3861">
        <v>0</v>
      </c>
      <c r="N3861" s="7" t="e">
        <f>VLOOKUP(F3861,HC!A$6:D$100,3,FALSE)</f>
        <v>#N/A</v>
      </c>
      <c r="O3861" s="7" t="str">
        <f>VLOOKUP(F3861,HC!A$6:D$1000,2,FALSE)</f>
        <v>fatimci</v>
      </c>
      <c r="U3861">
        <f t="shared" si="62"/>
        <v>3</v>
      </c>
    </row>
    <row r="3862" spans="1:21" ht="37.5" customHeight="1" x14ac:dyDescent="0.25">
      <c r="A3862" s="40">
        <v>45227</v>
      </c>
      <c r="B3862" s="13">
        <v>43</v>
      </c>
      <c r="C3862" t="s">
        <v>3</v>
      </c>
      <c r="D3862" t="s">
        <v>4</v>
      </c>
      <c r="E3862" t="s">
        <v>21</v>
      </c>
      <c r="F3862">
        <v>202291384</v>
      </c>
      <c r="G3862" t="s">
        <v>1703</v>
      </c>
      <c r="H3862" t="s">
        <v>298</v>
      </c>
      <c r="I3862">
        <v>0</v>
      </c>
      <c r="J3862">
        <v>0</v>
      </c>
      <c r="K3862">
        <v>0</v>
      </c>
      <c r="L3862">
        <v>0</v>
      </c>
      <c r="M3862">
        <v>3.04</v>
      </c>
      <c r="N3862" s="7" t="e">
        <f>VLOOKUP(F3862,HC!A$6:D$100,3,FALSE)</f>
        <v>#N/A</v>
      </c>
      <c r="O3862" s="7" t="str">
        <f>VLOOKUP(F3862,HC!A$6:D$1000,2,FALSE)</f>
        <v>servelaj</v>
      </c>
      <c r="U3862">
        <f t="shared" si="62"/>
        <v>6</v>
      </c>
    </row>
    <row r="3863" spans="1:21" ht="37.5" customHeight="1" x14ac:dyDescent="0.25">
      <c r="A3863" s="40">
        <v>45227</v>
      </c>
      <c r="B3863" s="13">
        <v>43</v>
      </c>
      <c r="C3863" t="s">
        <v>3</v>
      </c>
      <c r="D3863" t="s">
        <v>4</v>
      </c>
      <c r="E3863" t="s">
        <v>21</v>
      </c>
      <c r="F3863">
        <v>202341246</v>
      </c>
      <c r="G3863" t="s">
        <v>1716</v>
      </c>
      <c r="H3863" t="s">
        <v>298</v>
      </c>
      <c r="I3863">
        <v>0</v>
      </c>
      <c r="J3863">
        <v>0</v>
      </c>
      <c r="K3863">
        <v>0</v>
      </c>
      <c r="L3863">
        <v>0</v>
      </c>
      <c r="M3863">
        <v>1.97</v>
      </c>
      <c r="N3863" s="7" t="e">
        <f>VLOOKUP(F3863,HC!A$6:D$100,3,FALSE)</f>
        <v>#N/A</v>
      </c>
      <c r="O3863" s="7" t="str">
        <f>VLOOKUP(F3863,HC!A$6:D$1000,2,FALSE)</f>
        <v>sofiawlo</v>
      </c>
      <c r="U3863">
        <f t="shared" si="62"/>
        <v>3</v>
      </c>
    </row>
    <row r="3864" spans="1:21" ht="37.5" customHeight="1" x14ac:dyDescent="0.25">
      <c r="A3864" s="40">
        <v>45227</v>
      </c>
      <c r="B3864" s="13">
        <v>43</v>
      </c>
      <c r="C3864" t="s">
        <v>3</v>
      </c>
      <c r="D3864" t="s">
        <v>4</v>
      </c>
      <c r="E3864" t="s">
        <v>21</v>
      </c>
      <c r="F3864">
        <v>202353921</v>
      </c>
      <c r="G3864" t="s">
        <v>1717</v>
      </c>
      <c r="H3864" t="s">
        <v>49</v>
      </c>
      <c r="I3864">
        <v>0</v>
      </c>
      <c r="J3864">
        <v>0</v>
      </c>
      <c r="K3864">
        <v>0</v>
      </c>
      <c r="L3864">
        <v>0</v>
      </c>
      <c r="M3864">
        <v>0.19</v>
      </c>
      <c r="N3864" s="7" t="e">
        <f>VLOOKUP(F3864,HC!A$6:D$100,3,FALSE)</f>
        <v>#N/A</v>
      </c>
      <c r="O3864" s="7" t="str">
        <f>VLOOKUP(F3864,HC!A$6:D$1000,2,FALSE)</f>
        <v>lindinoe</v>
      </c>
      <c r="U3864">
        <f t="shared" si="62"/>
        <v>12</v>
      </c>
    </row>
    <row r="3865" spans="1:21" ht="37.5" customHeight="1" x14ac:dyDescent="0.25">
      <c r="A3865" s="40">
        <v>45227</v>
      </c>
      <c r="B3865" s="13">
        <v>43</v>
      </c>
      <c r="C3865" t="s">
        <v>3</v>
      </c>
      <c r="D3865" t="s">
        <v>4</v>
      </c>
      <c r="E3865" t="s">
        <v>21</v>
      </c>
      <c r="F3865">
        <v>202369419</v>
      </c>
      <c r="G3865" t="s">
        <v>1706</v>
      </c>
      <c r="H3865" t="s">
        <v>298</v>
      </c>
      <c r="I3865">
        <v>0</v>
      </c>
      <c r="J3865">
        <v>0</v>
      </c>
      <c r="K3865">
        <v>0</v>
      </c>
      <c r="L3865">
        <v>0</v>
      </c>
      <c r="M3865">
        <v>0.63</v>
      </c>
      <c r="N3865" s="7" t="e">
        <f>VLOOKUP(F3865,HC!A$6:D$100,3,FALSE)</f>
        <v>#N/A</v>
      </c>
      <c r="O3865" s="7" t="str">
        <f>VLOOKUP(F3865,HC!A$6:D$1000,2,FALSE)</f>
        <v>afabianx</v>
      </c>
      <c r="U3865">
        <f t="shared" si="62"/>
        <v>5</v>
      </c>
    </row>
    <row r="3866" spans="1:21" ht="37.5" customHeight="1" x14ac:dyDescent="0.25">
      <c r="A3866" s="40">
        <v>45228</v>
      </c>
      <c r="B3866" s="13">
        <v>44</v>
      </c>
      <c r="C3866" t="s">
        <v>3</v>
      </c>
      <c r="D3866" t="s">
        <v>4</v>
      </c>
      <c r="E3866" t="s">
        <v>5</v>
      </c>
      <c r="F3866">
        <v>112981014</v>
      </c>
      <c r="G3866" t="s">
        <v>367</v>
      </c>
      <c r="H3866" t="s">
        <v>250</v>
      </c>
      <c r="I3866">
        <v>0</v>
      </c>
      <c r="J3866">
        <v>0</v>
      </c>
      <c r="K3866">
        <v>0</v>
      </c>
      <c r="L3866">
        <v>0</v>
      </c>
      <c r="M3866">
        <v>0.84</v>
      </c>
      <c r="N3866" s="7" t="str">
        <f>VLOOKUP(F3866,HC!A$6:D$100,3,FALSE)</f>
        <v>DJ-X0700</v>
      </c>
      <c r="O3866" s="7" t="str">
        <f>VLOOKUP(F3866,HC!A$6:D$1000,2,FALSE)</f>
        <v>rpabloul</v>
      </c>
      <c r="U3866">
        <f t="shared" si="62"/>
        <v>17</v>
      </c>
    </row>
    <row r="3867" spans="1:21" ht="37.5" customHeight="1" x14ac:dyDescent="0.25">
      <c r="A3867" s="40">
        <v>45228</v>
      </c>
      <c r="B3867" s="13">
        <v>44</v>
      </c>
      <c r="C3867" t="s">
        <v>3</v>
      </c>
      <c r="D3867" t="s">
        <v>4</v>
      </c>
      <c r="E3867" t="s">
        <v>5</v>
      </c>
      <c r="F3867">
        <v>112981061</v>
      </c>
      <c r="G3867" t="s">
        <v>264</v>
      </c>
      <c r="H3867" t="s">
        <v>49</v>
      </c>
      <c r="I3867">
        <v>0</v>
      </c>
      <c r="J3867">
        <v>0</v>
      </c>
      <c r="K3867">
        <v>0</v>
      </c>
      <c r="L3867">
        <v>0</v>
      </c>
      <c r="M3867">
        <v>0.28000000000000003</v>
      </c>
      <c r="N3867" s="7" t="str">
        <f>VLOOKUP(F3867,HC!A$6:D$100,3,FALSE)</f>
        <v>DA-X0700</v>
      </c>
      <c r="O3867" s="7" t="str">
        <f>VLOOKUP(F3867,HC!A$6:D$1000,2,FALSE)</f>
        <v>mclaudol</v>
      </c>
      <c r="U3867">
        <f t="shared" si="62"/>
        <v>44</v>
      </c>
    </row>
    <row r="3868" spans="1:21" ht="37.5" customHeight="1" x14ac:dyDescent="0.25">
      <c r="A3868" s="40">
        <v>45228</v>
      </c>
      <c r="B3868" s="13">
        <v>44</v>
      </c>
      <c r="C3868" t="s">
        <v>3</v>
      </c>
      <c r="D3868" t="s">
        <v>4</v>
      </c>
      <c r="E3868" t="s">
        <v>5</v>
      </c>
      <c r="F3868">
        <v>200404250</v>
      </c>
      <c r="G3868" t="s">
        <v>51</v>
      </c>
      <c r="H3868" t="s">
        <v>49</v>
      </c>
      <c r="I3868">
        <v>0</v>
      </c>
      <c r="J3868">
        <v>0</v>
      </c>
      <c r="K3868">
        <v>0</v>
      </c>
      <c r="L3868">
        <v>0</v>
      </c>
      <c r="M3868">
        <v>0.26</v>
      </c>
      <c r="N3868" s="7" t="e">
        <f>VLOOKUP(F3868,HC!A$6:D$100,3,FALSE)</f>
        <v>#N/A</v>
      </c>
      <c r="O3868" s="7" t="str">
        <f>VLOOKUP(F3868,HC!A$6:D$1000,2,FALSE)</f>
        <v>xcathurt</v>
      </c>
      <c r="U3868">
        <f t="shared" si="62"/>
        <v>124</v>
      </c>
    </row>
    <row r="3869" spans="1:21" ht="37.5" customHeight="1" x14ac:dyDescent="0.25">
      <c r="A3869" s="40">
        <v>45228</v>
      </c>
      <c r="B3869" s="13">
        <v>44</v>
      </c>
      <c r="C3869" t="s">
        <v>3</v>
      </c>
      <c r="D3869" t="s">
        <v>4</v>
      </c>
      <c r="E3869" t="s">
        <v>5</v>
      </c>
      <c r="F3869">
        <v>201353085</v>
      </c>
      <c r="G3869" t="s">
        <v>1466</v>
      </c>
      <c r="H3869" t="s">
        <v>250</v>
      </c>
      <c r="I3869">
        <v>0</v>
      </c>
      <c r="J3869">
        <v>0</v>
      </c>
      <c r="K3869">
        <v>0</v>
      </c>
      <c r="L3869">
        <v>0</v>
      </c>
      <c r="M3869">
        <v>0.14000000000000001</v>
      </c>
      <c r="N3869" s="7" t="e">
        <f>VLOOKUP(F3869,HC!A$6:D$100,3,FALSE)</f>
        <v>#N/A</v>
      </c>
      <c r="O3869" s="7" t="str">
        <f>VLOOKUP(F3869,HC!A$6:D$1000,2,FALSE)</f>
        <v>lelvgarc</v>
      </c>
      <c r="U3869">
        <f t="shared" si="62"/>
        <v>5</v>
      </c>
    </row>
    <row r="3870" spans="1:21" ht="37.5" customHeight="1" x14ac:dyDescent="0.25">
      <c r="A3870" s="40">
        <v>45228</v>
      </c>
      <c r="B3870" s="13">
        <v>44</v>
      </c>
      <c r="C3870" t="s">
        <v>3</v>
      </c>
      <c r="D3870" t="s">
        <v>4</v>
      </c>
      <c r="E3870" t="s">
        <v>21</v>
      </c>
      <c r="F3870">
        <v>201880542</v>
      </c>
      <c r="G3870" t="s">
        <v>1225</v>
      </c>
      <c r="H3870" t="s">
        <v>1040</v>
      </c>
      <c r="I3870">
        <v>0</v>
      </c>
      <c r="J3870">
        <v>0</v>
      </c>
      <c r="K3870">
        <v>0</v>
      </c>
      <c r="L3870">
        <v>0</v>
      </c>
      <c r="M3870">
        <v>0.26</v>
      </c>
      <c r="N3870" s="7" t="e">
        <f>VLOOKUP(F3870,HC!A$6:D$100,3,FALSE)</f>
        <v>#N/A</v>
      </c>
      <c r="O3870" s="7" t="str">
        <f>VLOOKUP(F3870,HC!A$6:D$1000,2,FALSE)</f>
        <v>orticorp</v>
      </c>
      <c r="U3870">
        <f t="shared" si="62"/>
        <v>24</v>
      </c>
    </row>
    <row r="3871" spans="1:21" ht="37.5" customHeight="1" x14ac:dyDescent="0.25">
      <c r="A3871" s="40">
        <v>45228</v>
      </c>
      <c r="B3871" s="13">
        <v>44</v>
      </c>
      <c r="C3871" t="s">
        <v>3</v>
      </c>
      <c r="D3871" t="s">
        <v>4</v>
      </c>
      <c r="E3871" t="s">
        <v>21</v>
      </c>
      <c r="F3871">
        <v>202063545</v>
      </c>
      <c r="G3871" t="s">
        <v>1275</v>
      </c>
      <c r="H3871" t="s">
        <v>250</v>
      </c>
      <c r="I3871">
        <v>0</v>
      </c>
      <c r="J3871">
        <v>0</v>
      </c>
      <c r="K3871">
        <v>0</v>
      </c>
      <c r="L3871">
        <v>0</v>
      </c>
      <c r="M3871">
        <v>1.49</v>
      </c>
      <c r="N3871" s="7" t="e">
        <f>VLOOKUP(F3871,HC!A$6:D$100,3,FALSE)</f>
        <v>#N/A</v>
      </c>
      <c r="O3871" s="7" t="str">
        <f>VLOOKUP(F3871,HC!A$6:D$1000,2,FALSE)</f>
        <v>angarcz</v>
      </c>
      <c r="U3871">
        <f t="shared" si="62"/>
        <v>9</v>
      </c>
    </row>
    <row r="3872" spans="1:21" ht="37.5" customHeight="1" x14ac:dyDescent="0.25">
      <c r="A3872" s="40">
        <v>45228</v>
      </c>
      <c r="B3872" s="13">
        <v>44</v>
      </c>
      <c r="C3872" t="s">
        <v>3</v>
      </c>
      <c r="D3872" t="s">
        <v>4</v>
      </c>
      <c r="E3872" t="s">
        <v>21</v>
      </c>
      <c r="F3872">
        <v>202118346</v>
      </c>
      <c r="G3872" t="s">
        <v>1286</v>
      </c>
      <c r="H3872" t="s">
        <v>250</v>
      </c>
      <c r="I3872">
        <v>0</v>
      </c>
      <c r="J3872">
        <v>0</v>
      </c>
      <c r="K3872">
        <v>0</v>
      </c>
      <c r="L3872">
        <v>0</v>
      </c>
      <c r="M3872">
        <v>0.89</v>
      </c>
      <c r="N3872" s="7" t="e">
        <f>VLOOKUP(F3872,HC!A$6:D$100,3,FALSE)</f>
        <v>#N/A</v>
      </c>
      <c r="O3872" s="7" t="str">
        <f>VLOOKUP(F3872,HC!A$6:D$1000,2,FALSE)</f>
        <v>jesponcu</v>
      </c>
      <c r="U3872">
        <f t="shared" si="62"/>
        <v>5</v>
      </c>
    </row>
    <row r="3873" spans="1:21" ht="37.5" customHeight="1" x14ac:dyDescent="0.25">
      <c r="A3873" s="40">
        <v>45228</v>
      </c>
      <c r="B3873" s="13">
        <v>44</v>
      </c>
      <c r="C3873" t="s">
        <v>3</v>
      </c>
      <c r="D3873" t="s">
        <v>4</v>
      </c>
      <c r="E3873" t="s">
        <v>21</v>
      </c>
      <c r="F3873">
        <v>202137341</v>
      </c>
      <c r="G3873" t="s">
        <v>1291</v>
      </c>
      <c r="H3873" t="s">
        <v>250</v>
      </c>
      <c r="I3873">
        <v>0</v>
      </c>
      <c r="J3873">
        <v>0</v>
      </c>
      <c r="K3873">
        <v>0</v>
      </c>
      <c r="L3873">
        <v>0</v>
      </c>
      <c r="M3873">
        <v>7.0000000000000007E-2</v>
      </c>
      <c r="N3873" s="7" t="e">
        <f>VLOOKUP(F3873,HC!A$6:D$100,3,FALSE)</f>
        <v>#N/A</v>
      </c>
      <c r="O3873" s="7" t="str">
        <f>VLOOKUP(F3873,HC!A$6:D$1000,2,FALSE)</f>
        <v>xedgabra</v>
      </c>
      <c r="U3873">
        <f t="shared" si="62"/>
        <v>13</v>
      </c>
    </row>
    <row r="3874" spans="1:21" ht="37.5" customHeight="1" x14ac:dyDescent="0.25">
      <c r="A3874" s="40">
        <v>45228</v>
      </c>
      <c r="B3874" s="13">
        <v>44</v>
      </c>
      <c r="C3874" t="s">
        <v>3</v>
      </c>
      <c r="D3874" t="s">
        <v>4</v>
      </c>
      <c r="E3874" t="s">
        <v>21</v>
      </c>
      <c r="F3874">
        <v>202137757</v>
      </c>
      <c r="G3874" t="s">
        <v>1430</v>
      </c>
      <c r="H3874" t="s">
        <v>7</v>
      </c>
      <c r="I3874">
        <v>0</v>
      </c>
      <c r="J3874">
        <v>0</v>
      </c>
      <c r="K3874">
        <v>0</v>
      </c>
      <c r="L3874">
        <v>0</v>
      </c>
      <c r="M3874">
        <v>0.98</v>
      </c>
      <c r="N3874" s="7" t="e">
        <f>VLOOKUP(F3874,HC!A$6:D$100,3,FALSE)</f>
        <v>#N/A</v>
      </c>
      <c r="O3874" s="7" t="str">
        <f>VLOOKUP(F3874,HC!A$6:D$1000,2,FALSE)</f>
        <v>danibbar</v>
      </c>
      <c r="U3874">
        <f t="shared" si="62"/>
        <v>2</v>
      </c>
    </row>
    <row r="3875" spans="1:21" ht="37.5" customHeight="1" x14ac:dyDescent="0.25">
      <c r="A3875" s="40">
        <v>45228</v>
      </c>
      <c r="B3875" s="13">
        <v>44</v>
      </c>
      <c r="C3875" t="s">
        <v>3</v>
      </c>
      <c r="D3875" t="s">
        <v>4</v>
      </c>
      <c r="E3875" t="s">
        <v>21</v>
      </c>
      <c r="F3875">
        <v>202265858</v>
      </c>
      <c r="G3875" t="s">
        <v>1451</v>
      </c>
      <c r="H3875" t="s">
        <v>49</v>
      </c>
      <c r="I3875">
        <v>0</v>
      </c>
      <c r="J3875">
        <v>0</v>
      </c>
      <c r="K3875">
        <v>0</v>
      </c>
      <c r="L3875">
        <v>0</v>
      </c>
      <c r="M3875">
        <v>0.44</v>
      </c>
      <c r="N3875" s="7" t="e">
        <f>VLOOKUP(F3875,HC!A$6:D$100,3,FALSE)</f>
        <v>#N/A</v>
      </c>
      <c r="O3875" s="7" t="str">
        <f>VLOOKUP(F3875,HC!A$6:D$1000,2,FALSE)</f>
        <v>nalesalm</v>
      </c>
      <c r="U3875">
        <f t="shared" si="62"/>
        <v>6</v>
      </c>
    </row>
    <row r="3876" spans="1:21" ht="37.5" customHeight="1" x14ac:dyDescent="0.25">
      <c r="A3876" s="40">
        <v>45228</v>
      </c>
      <c r="B3876" s="13">
        <v>44</v>
      </c>
      <c r="C3876" t="s">
        <v>3</v>
      </c>
      <c r="D3876" t="s">
        <v>4</v>
      </c>
      <c r="E3876" t="s">
        <v>21</v>
      </c>
      <c r="F3876">
        <v>202291188</v>
      </c>
      <c r="G3876" t="s">
        <v>1722</v>
      </c>
      <c r="H3876" t="s">
        <v>7</v>
      </c>
      <c r="I3876">
        <v>0</v>
      </c>
      <c r="J3876">
        <v>0</v>
      </c>
      <c r="K3876">
        <v>0</v>
      </c>
      <c r="L3876">
        <v>0</v>
      </c>
      <c r="M3876">
        <v>2.14</v>
      </c>
      <c r="N3876" s="7" t="e">
        <f>VLOOKUP(F3876,HC!A$6:D$100,3,FALSE)</f>
        <v>#N/A</v>
      </c>
      <c r="O3876" s="7" t="str">
        <f>VLOOKUP(F3876,HC!A$6:D$1000,2,FALSE)</f>
        <v>alvqfern</v>
      </c>
      <c r="U3876">
        <f t="shared" si="62"/>
        <v>4</v>
      </c>
    </row>
    <row r="3877" spans="1:21" ht="37.5" customHeight="1" x14ac:dyDescent="0.25">
      <c r="A3877" s="40">
        <v>45228</v>
      </c>
      <c r="B3877" s="13">
        <v>44</v>
      </c>
      <c r="C3877" t="s">
        <v>3</v>
      </c>
      <c r="D3877" t="s">
        <v>4</v>
      </c>
      <c r="E3877" t="s">
        <v>21</v>
      </c>
      <c r="F3877">
        <v>202329407</v>
      </c>
      <c r="G3877" t="s">
        <v>1723</v>
      </c>
      <c r="H3877" t="s">
        <v>7</v>
      </c>
      <c r="I3877">
        <v>0</v>
      </c>
      <c r="J3877">
        <v>0</v>
      </c>
      <c r="K3877">
        <v>0</v>
      </c>
      <c r="L3877">
        <v>0</v>
      </c>
      <c r="M3877">
        <v>0.41</v>
      </c>
      <c r="N3877" s="7" t="e">
        <f>VLOOKUP(F3877,HC!A$6:D$100,3,FALSE)</f>
        <v>#N/A</v>
      </c>
      <c r="O3877" s="7" t="str">
        <f>VLOOKUP(F3877,HC!A$6:D$1000,2,FALSE)</f>
        <v>omedesan</v>
      </c>
      <c r="U3877">
        <f t="shared" si="62"/>
        <v>3</v>
      </c>
    </row>
    <row r="3878" spans="1:21" ht="37.5" customHeight="1" x14ac:dyDescent="0.25">
      <c r="A3878" s="40">
        <v>45228</v>
      </c>
      <c r="B3878" s="13">
        <v>44</v>
      </c>
      <c r="C3878" t="s">
        <v>3</v>
      </c>
      <c r="D3878" t="s">
        <v>4</v>
      </c>
      <c r="E3878" t="s">
        <v>21</v>
      </c>
      <c r="F3878">
        <v>202334621</v>
      </c>
      <c r="G3878" t="s">
        <v>1724</v>
      </c>
      <c r="H3878" t="s">
        <v>250</v>
      </c>
      <c r="I3878">
        <v>0</v>
      </c>
      <c r="J3878">
        <v>0</v>
      </c>
      <c r="K3878">
        <v>0</v>
      </c>
      <c r="L3878">
        <v>0</v>
      </c>
      <c r="M3878">
        <v>0.56999999999999995</v>
      </c>
      <c r="N3878" s="7" t="e">
        <f>VLOOKUP(F3878,HC!A$6:D$100,3,FALSE)</f>
        <v>#N/A</v>
      </c>
      <c r="O3878" s="7" t="str">
        <f>VLOOKUP(F3878,HC!A$6:D$1000,2,FALSE)</f>
        <v>tkarlram</v>
      </c>
      <c r="U3878">
        <f t="shared" si="62"/>
        <v>8</v>
      </c>
    </row>
    <row r="3879" spans="1:21" ht="37.5" customHeight="1" x14ac:dyDescent="0.25">
      <c r="A3879" s="40">
        <v>45228</v>
      </c>
      <c r="B3879" s="13">
        <v>44</v>
      </c>
      <c r="C3879" t="s">
        <v>3</v>
      </c>
      <c r="D3879" t="s">
        <v>4</v>
      </c>
      <c r="E3879" t="s">
        <v>21</v>
      </c>
      <c r="F3879">
        <v>202385714</v>
      </c>
      <c r="G3879" t="s">
        <v>1725</v>
      </c>
      <c r="H3879" t="s">
        <v>250</v>
      </c>
      <c r="I3879">
        <v>0</v>
      </c>
      <c r="J3879">
        <v>0</v>
      </c>
      <c r="K3879">
        <v>0</v>
      </c>
      <c r="L3879">
        <v>0</v>
      </c>
      <c r="M3879">
        <v>0.32</v>
      </c>
      <c r="N3879" s="7" t="e">
        <f>VLOOKUP(F3879,HC!A$6:D$100,3,FALSE)</f>
        <v>#N/A</v>
      </c>
      <c r="O3879" s="7" t="str">
        <f>VLOOKUP(F3879,HC!A$6:D$1000,2,FALSE)</f>
        <v>wedgaoje</v>
      </c>
      <c r="U3879">
        <f t="shared" si="62"/>
        <v>1</v>
      </c>
    </row>
    <row r="3880" spans="1:21" ht="37.5" customHeight="1" x14ac:dyDescent="0.25">
      <c r="A3880" s="40">
        <v>45229</v>
      </c>
      <c r="B3880" s="13">
        <v>44</v>
      </c>
      <c r="C3880" t="s">
        <v>3</v>
      </c>
      <c r="D3880" t="s">
        <v>4</v>
      </c>
      <c r="E3880" t="s">
        <v>5</v>
      </c>
      <c r="F3880">
        <v>112950809</v>
      </c>
      <c r="G3880" t="s">
        <v>402</v>
      </c>
      <c r="H3880" t="s">
        <v>7</v>
      </c>
      <c r="I3880">
        <v>0</v>
      </c>
      <c r="J3880">
        <v>0</v>
      </c>
      <c r="K3880">
        <v>0</v>
      </c>
      <c r="L3880">
        <v>0</v>
      </c>
      <c r="M3880">
        <v>0.93</v>
      </c>
      <c r="N3880" s="7" t="str">
        <f>VLOOKUP(F3880,HC!A$6:D$100,3,FALSE)</f>
        <v>DA-X0700</v>
      </c>
      <c r="O3880" s="7" t="str">
        <f>VLOOKUP(F3880,HC!A$6:D$1000,2,FALSE)</f>
        <v>lurochae</v>
      </c>
      <c r="U3880">
        <f t="shared" si="62"/>
        <v>14</v>
      </c>
    </row>
    <row r="3881" spans="1:21" ht="37.5" customHeight="1" x14ac:dyDescent="0.25">
      <c r="A3881" s="40">
        <v>45229</v>
      </c>
      <c r="B3881" s="13">
        <v>44</v>
      </c>
      <c r="C3881" t="s">
        <v>3</v>
      </c>
      <c r="D3881" t="s">
        <v>4</v>
      </c>
      <c r="E3881" t="s">
        <v>5</v>
      </c>
      <c r="F3881">
        <v>112976014</v>
      </c>
      <c r="G3881" t="s">
        <v>677</v>
      </c>
      <c r="H3881" t="s">
        <v>7</v>
      </c>
      <c r="I3881">
        <v>0</v>
      </c>
      <c r="J3881">
        <v>0</v>
      </c>
      <c r="K3881">
        <v>0</v>
      </c>
      <c r="L3881">
        <v>0</v>
      </c>
      <c r="M3881">
        <v>0.87</v>
      </c>
      <c r="N3881" s="7" t="str">
        <f>VLOOKUP(F3881,HC!A$6:D$100,3,FALSE)</f>
        <v>DA-X0700</v>
      </c>
      <c r="O3881" s="7" t="str">
        <f>VLOOKUP(F3881,HC!A$6:D$1000,2,FALSE)</f>
        <v>carhriva</v>
      </c>
      <c r="U3881">
        <f t="shared" si="62"/>
        <v>2</v>
      </c>
    </row>
    <row r="3882" spans="1:21" ht="37.5" customHeight="1" x14ac:dyDescent="0.25">
      <c r="A3882" s="40">
        <v>45229</v>
      </c>
      <c r="B3882" s="13">
        <v>44</v>
      </c>
      <c r="C3882" t="s">
        <v>3</v>
      </c>
      <c r="D3882" t="s">
        <v>4</v>
      </c>
      <c r="E3882" t="s">
        <v>5</v>
      </c>
      <c r="F3882">
        <v>112981061</v>
      </c>
      <c r="G3882" t="s">
        <v>264</v>
      </c>
      <c r="H3882" t="s">
        <v>49</v>
      </c>
      <c r="I3882">
        <v>0</v>
      </c>
      <c r="J3882">
        <v>0</v>
      </c>
      <c r="K3882">
        <v>0</v>
      </c>
      <c r="L3882">
        <v>0</v>
      </c>
      <c r="M3882">
        <v>1.25</v>
      </c>
      <c r="N3882" s="7" t="str">
        <f>VLOOKUP(F3882,HC!A$6:D$100,3,FALSE)</f>
        <v>DA-X0700</v>
      </c>
      <c r="O3882" s="7" t="str">
        <f>VLOOKUP(F3882,HC!A$6:D$1000,2,FALSE)</f>
        <v>mclaudol</v>
      </c>
      <c r="U3882">
        <f t="shared" si="62"/>
        <v>44</v>
      </c>
    </row>
    <row r="3883" spans="1:21" ht="37.5" customHeight="1" x14ac:dyDescent="0.25">
      <c r="A3883" s="40">
        <v>45229</v>
      </c>
      <c r="B3883" s="13">
        <v>44</v>
      </c>
      <c r="C3883" t="s">
        <v>3</v>
      </c>
      <c r="D3883" t="s">
        <v>4</v>
      </c>
      <c r="E3883" t="s">
        <v>5</v>
      </c>
      <c r="F3883">
        <v>200404250</v>
      </c>
      <c r="G3883" t="s">
        <v>51</v>
      </c>
      <c r="H3883" t="s">
        <v>49</v>
      </c>
      <c r="I3883">
        <v>0</v>
      </c>
      <c r="J3883">
        <v>0</v>
      </c>
      <c r="K3883">
        <v>0</v>
      </c>
      <c r="L3883">
        <v>0</v>
      </c>
      <c r="M3883">
        <v>0.92</v>
      </c>
      <c r="N3883" s="7" t="e">
        <f>VLOOKUP(F3883,HC!A$6:D$100,3,FALSE)</f>
        <v>#N/A</v>
      </c>
      <c r="O3883" s="7" t="str">
        <f>VLOOKUP(F3883,HC!A$6:D$1000,2,FALSE)</f>
        <v>xcathurt</v>
      </c>
      <c r="U3883">
        <f t="shared" si="62"/>
        <v>124</v>
      </c>
    </row>
    <row r="3884" spans="1:21" ht="37.5" customHeight="1" x14ac:dyDescent="0.25">
      <c r="A3884" s="40">
        <v>45229</v>
      </c>
      <c r="B3884" s="13">
        <v>44</v>
      </c>
      <c r="C3884" t="s">
        <v>3</v>
      </c>
      <c r="D3884" t="s">
        <v>4</v>
      </c>
      <c r="E3884" t="s">
        <v>5</v>
      </c>
      <c r="F3884">
        <v>201167501</v>
      </c>
      <c r="G3884" t="s">
        <v>863</v>
      </c>
      <c r="H3884" t="s">
        <v>49</v>
      </c>
      <c r="I3884">
        <v>0</v>
      </c>
      <c r="J3884">
        <v>0</v>
      </c>
      <c r="K3884">
        <v>0</v>
      </c>
      <c r="L3884">
        <v>0</v>
      </c>
      <c r="M3884">
        <v>0.38</v>
      </c>
      <c r="N3884" s="7" t="e">
        <f>VLOOKUP(F3884,HC!A$6:D$100,3,FALSE)</f>
        <v>#N/A</v>
      </c>
      <c r="O3884" s="7" t="str">
        <f>VLOOKUP(F3884,HC!A$6:D$1000,2,FALSE)</f>
        <v>wguanajr</v>
      </c>
      <c r="U3884">
        <f t="shared" si="62"/>
        <v>36</v>
      </c>
    </row>
    <row r="3885" spans="1:21" ht="37.5" customHeight="1" x14ac:dyDescent="0.25">
      <c r="A3885" s="40">
        <v>45229</v>
      </c>
      <c r="B3885" s="13">
        <v>44</v>
      </c>
      <c r="C3885" t="s">
        <v>3</v>
      </c>
      <c r="D3885" t="s">
        <v>4</v>
      </c>
      <c r="E3885" t="s">
        <v>5</v>
      </c>
      <c r="F3885">
        <v>201172306</v>
      </c>
      <c r="G3885" t="s">
        <v>970</v>
      </c>
      <c r="H3885" t="s">
        <v>250</v>
      </c>
      <c r="I3885">
        <v>0</v>
      </c>
      <c r="J3885">
        <v>0</v>
      </c>
      <c r="K3885">
        <v>0</v>
      </c>
      <c r="L3885">
        <v>0</v>
      </c>
      <c r="M3885">
        <v>0.08</v>
      </c>
      <c r="N3885" s="7" t="e">
        <f>VLOOKUP(F3885,HC!A$6:D$100,3,FALSE)</f>
        <v>#N/A</v>
      </c>
      <c r="O3885" s="7" t="str">
        <f>VLOOKUP(F3885,HC!A$6:D$1000,2,FALSE)</f>
        <v>cesarvae</v>
      </c>
      <c r="U3885">
        <f t="shared" si="62"/>
        <v>17</v>
      </c>
    </row>
    <row r="3886" spans="1:21" ht="37.5" customHeight="1" x14ac:dyDescent="0.25">
      <c r="A3886" s="40">
        <v>45229</v>
      </c>
      <c r="B3886" s="13">
        <v>44</v>
      </c>
      <c r="C3886" t="s">
        <v>3</v>
      </c>
      <c r="D3886" t="s">
        <v>4</v>
      </c>
      <c r="E3886" t="s">
        <v>5</v>
      </c>
      <c r="F3886">
        <v>201197964</v>
      </c>
      <c r="G3886" t="s">
        <v>1180</v>
      </c>
      <c r="H3886" t="s">
        <v>250</v>
      </c>
      <c r="I3886">
        <v>0</v>
      </c>
      <c r="J3886">
        <v>0</v>
      </c>
      <c r="K3886">
        <v>0</v>
      </c>
      <c r="L3886">
        <v>0</v>
      </c>
      <c r="M3886">
        <v>0.38</v>
      </c>
      <c r="N3886" s="7" t="e">
        <f>VLOOKUP(F3886,HC!A$6:D$100,3,FALSE)</f>
        <v>#N/A</v>
      </c>
      <c r="O3886" s="7" t="str">
        <f>VLOOKUP(F3886,HC!A$6:D$1000,2,FALSE)</f>
        <v>matzquij</v>
      </c>
      <c r="U3886">
        <f t="shared" si="62"/>
        <v>16</v>
      </c>
    </row>
    <row r="3887" spans="1:21" ht="37.5" customHeight="1" x14ac:dyDescent="0.25">
      <c r="A3887" s="40">
        <v>45229</v>
      </c>
      <c r="B3887" s="13">
        <v>44</v>
      </c>
      <c r="C3887" t="s">
        <v>3</v>
      </c>
      <c r="D3887" t="s">
        <v>4</v>
      </c>
      <c r="E3887" t="s">
        <v>21</v>
      </c>
      <c r="F3887">
        <v>202063545</v>
      </c>
      <c r="G3887" t="s">
        <v>1275</v>
      </c>
      <c r="H3887" t="s">
        <v>250</v>
      </c>
      <c r="I3887">
        <v>0</v>
      </c>
      <c r="J3887">
        <v>0</v>
      </c>
      <c r="K3887">
        <v>0</v>
      </c>
      <c r="L3887">
        <v>0</v>
      </c>
      <c r="M3887">
        <v>0</v>
      </c>
      <c r="N3887" s="7" t="e">
        <f>VLOOKUP(F3887,HC!A$6:D$100,3,FALSE)</f>
        <v>#N/A</v>
      </c>
      <c r="O3887" s="7" t="str">
        <f>VLOOKUP(F3887,HC!A$6:D$1000,2,FALSE)</f>
        <v>angarcz</v>
      </c>
      <c r="U3887">
        <f t="shared" si="62"/>
        <v>9</v>
      </c>
    </row>
    <row r="3888" spans="1:21" ht="37.5" customHeight="1" x14ac:dyDescent="0.25">
      <c r="A3888" s="40">
        <v>45229</v>
      </c>
      <c r="B3888" s="13">
        <v>44</v>
      </c>
      <c r="C3888" t="s">
        <v>3</v>
      </c>
      <c r="D3888" t="s">
        <v>4</v>
      </c>
      <c r="E3888" t="s">
        <v>21</v>
      </c>
      <c r="F3888">
        <v>202063602</v>
      </c>
      <c r="G3888" t="s">
        <v>1726</v>
      </c>
      <c r="H3888" t="s">
        <v>14</v>
      </c>
      <c r="I3888">
        <v>0</v>
      </c>
      <c r="J3888">
        <v>0</v>
      </c>
      <c r="K3888">
        <v>0</v>
      </c>
      <c r="L3888">
        <v>0</v>
      </c>
      <c r="M3888">
        <v>0.32</v>
      </c>
      <c r="N3888" s="7" t="e">
        <f>VLOOKUP(F3888,HC!A$6:D$100,3,FALSE)</f>
        <v>#N/A</v>
      </c>
      <c r="O3888" s="7" t="str">
        <f>VLOOKUP(F3888,HC!A$6:D$1000,2,FALSE)</f>
        <v>voctavij</v>
      </c>
      <c r="U3888">
        <f t="shared" si="62"/>
        <v>1</v>
      </c>
    </row>
    <row r="3889" spans="1:21" ht="37.5" customHeight="1" x14ac:dyDescent="0.25">
      <c r="A3889" s="40">
        <v>45229</v>
      </c>
      <c r="B3889" s="13">
        <v>44</v>
      </c>
      <c r="C3889" t="s">
        <v>3</v>
      </c>
      <c r="D3889" t="s">
        <v>4</v>
      </c>
      <c r="E3889" t="s">
        <v>21</v>
      </c>
      <c r="F3889">
        <v>202188434</v>
      </c>
      <c r="G3889" t="s">
        <v>1413</v>
      </c>
      <c r="H3889" t="s">
        <v>14</v>
      </c>
      <c r="I3889">
        <v>0</v>
      </c>
      <c r="J3889">
        <v>0</v>
      </c>
      <c r="K3889">
        <v>0</v>
      </c>
      <c r="L3889">
        <v>0</v>
      </c>
      <c r="M3889">
        <v>0.87</v>
      </c>
      <c r="N3889" s="7" t="e">
        <f>VLOOKUP(F3889,HC!A$6:D$100,3,FALSE)</f>
        <v>#N/A</v>
      </c>
      <c r="O3889" s="7" t="str">
        <f>VLOOKUP(F3889,HC!A$6:D$1000,2,FALSE)</f>
        <v>aidzariv</v>
      </c>
      <c r="U3889">
        <f t="shared" si="62"/>
        <v>9</v>
      </c>
    </row>
    <row r="3890" spans="1:21" ht="37.5" customHeight="1" x14ac:dyDescent="0.25">
      <c r="A3890" s="40">
        <v>45229</v>
      </c>
      <c r="B3890" s="13">
        <v>44</v>
      </c>
      <c r="C3890" t="s">
        <v>3</v>
      </c>
      <c r="D3890" t="s">
        <v>4</v>
      </c>
      <c r="E3890" t="s">
        <v>21</v>
      </c>
      <c r="F3890">
        <v>202188991</v>
      </c>
      <c r="G3890" t="s">
        <v>1445</v>
      </c>
      <c r="H3890" t="s">
        <v>1040</v>
      </c>
      <c r="I3890">
        <v>0</v>
      </c>
      <c r="J3890">
        <v>0</v>
      </c>
      <c r="K3890">
        <v>0</v>
      </c>
      <c r="L3890">
        <v>0</v>
      </c>
      <c r="M3890">
        <v>0.42</v>
      </c>
      <c r="N3890" s="7" t="e">
        <f>VLOOKUP(F3890,HC!A$6:D$100,3,FALSE)</f>
        <v>#N/A</v>
      </c>
      <c r="O3890" s="7" t="str">
        <f>VLOOKUP(F3890,HC!A$6:D$1000,2,FALSE)</f>
        <v>sjimesau</v>
      </c>
      <c r="U3890">
        <f t="shared" si="62"/>
        <v>4</v>
      </c>
    </row>
    <row r="3891" spans="1:21" ht="37.5" customHeight="1" x14ac:dyDescent="0.25">
      <c r="A3891" s="40">
        <v>45229</v>
      </c>
      <c r="B3891" s="13">
        <v>44</v>
      </c>
      <c r="C3891" t="s">
        <v>3</v>
      </c>
      <c r="D3891" t="s">
        <v>4</v>
      </c>
      <c r="E3891" t="s">
        <v>21</v>
      </c>
      <c r="F3891">
        <v>202249806</v>
      </c>
      <c r="G3891" t="s">
        <v>1727</v>
      </c>
      <c r="H3891" t="s">
        <v>250</v>
      </c>
      <c r="I3891">
        <v>0</v>
      </c>
      <c r="J3891">
        <v>0</v>
      </c>
      <c r="K3891">
        <v>0</v>
      </c>
      <c r="L3891">
        <v>0</v>
      </c>
      <c r="M3891">
        <v>0.32</v>
      </c>
      <c r="N3891" s="7" t="e">
        <f>VLOOKUP(F3891,HC!A$6:D$100,3,FALSE)</f>
        <v>#N/A</v>
      </c>
      <c r="O3891" s="7" t="str">
        <f>VLOOKUP(F3891,HC!A$6:D$1000,2,FALSE)</f>
        <v>valtinsa</v>
      </c>
      <c r="U3891">
        <f t="shared" si="62"/>
        <v>2</v>
      </c>
    </row>
    <row r="3892" spans="1:21" ht="37.5" customHeight="1" x14ac:dyDescent="0.25">
      <c r="A3892" s="40">
        <v>45229</v>
      </c>
      <c r="B3892" s="13">
        <v>44</v>
      </c>
      <c r="C3892" t="s">
        <v>3</v>
      </c>
      <c r="D3892" t="s">
        <v>4</v>
      </c>
      <c r="E3892" t="s">
        <v>21</v>
      </c>
      <c r="F3892">
        <v>202250323</v>
      </c>
      <c r="G3892" t="s">
        <v>1475</v>
      </c>
      <c r="H3892" t="s">
        <v>49</v>
      </c>
      <c r="I3892">
        <v>0</v>
      </c>
      <c r="J3892">
        <v>0</v>
      </c>
      <c r="K3892">
        <v>0</v>
      </c>
      <c r="L3892">
        <v>0</v>
      </c>
      <c r="M3892">
        <v>0.21</v>
      </c>
      <c r="N3892" s="7" t="e">
        <f>VLOOKUP(F3892,HC!A$6:D$100,3,FALSE)</f>
        <v>#N/A</v>
      </c>
      <c r="O3892" s="7" t="str">
        <f>VLOOKUP(F3892,HC!A$6:D$1000,2,FALSE)</f>
        <v>soledesq</v>
      </c>
      <c r="U3892">
        <f t="shared" si="62"/>
        <v>4</v>
      </c>
    </row>
    <row r="3893" spans="1:21" ht="37.5" customHeight="1" x14ac:dyDescent="0.25">
      <c r="A3893" s="40">
        <v>45229</v>
      </c>
      <c r="B3893" s="13">
        <v>44</v>
      </c>
      <c r="C3893" t="s">
        <v>3</v>
      </c>
      <c r="D3893" t="s">
        <v>4</v>
      </c>
      <c r="E3893" t="s">
        <v>21</v>
      </c>
      <c r="F3893">
        <v>202266131</v>
      </c>
      <c r="G3893" t="s">
        <v>1454</v>
      </c>
      <c r="H3893" t="s">
        <v>49</v>
      </c>
      <c r="I3893">
        <v>0</v>
      </c>
      <c r="J3893">
        <v>0</v>
      </c>
      <c r="K3893">
        <v>0</v>
      </c>
      <c r="L3893">
        <v>0</v>
      </c>
      <c r="M3893">
        <v>0.38</v>
      </c>
      <c r="N3893" s="7" t="e">
        <f>VLOOKUP(F3893,HC!A$6:D$100,3,FALSE)</f>
        <v>#N/A</v>
      </c>
      <c r="O3893" s="7" t="str">
        <f>VLOOKUP(F3893,HC!A$6:D$1000,2,FALSE)</f>
        <v>gguadia</v>
      </c>
      <c r="U3893">
        <f t="shared" si="62"/>
        <v>5</v>
      </c>
    </row>
    <row r="3894" spans="1:21" ht="37.5" customHeight="1" x14ac:dyDescent="0.25">
      <c r="A3894" s="40">
        <v>45229</v>
      </c>
      <c r="B3894" s="13">
        <v>44</v>
      </c>
      <c r="C3894" t="s">
        <v>3</v>
      </c>
      <c r="D3894" t="s">
        <v>4</v>
      </c>
      <c r="E3894" t="s">
        <v>21</v>
      </c>
      <c r="F3894">
        <v>202273994</v>
      </c>
      <c r="G3894" t="s">
        <v>1728</v>
      </c>
      <c r="H3894" t="s">
        <v>49</v>
      </c>
      <c r="I3894">
        <v>0</v>
      </c>
      <c r="J3894">
        <v>0</v>
      </c>
      <c r="K3894">
        <v>0</v>
      </c>
      <c r="L3894">
        <v>0</v>
      </c>
      <c r="M3894">
        <v>0.5</v>
      </c>
      <c r="N3894" s="7" t="e">
        <f>VLOOKUP(F3894,HC!A$6:D$100,3,FALSE)</f>
        <v>#N/A</v>
      </c>
      <c r="O3894" s="7" t="str">
        <f>VLOOKUP(F3894,HC!A$6:D$1000,2,FALSE)</f>
        <v>adfvilla</v>
      </c>
      <c r="U3894">
        <f t="shared" si="62"/>
        <v>2</v>
      </c>
    </row>
    <row r="3895" spans="1:21" ht="37.5" customHeight="1" x14ac:dyDescent="0.25">
      <c r="A3895" s="40">
        <v>45229</v>
      </c>
      <c r="B3895" s="13">
        <v>44</v>
      </c>
      <c r="C3895" t="s">
        <v>3</v>
      </c>
      <c r="D3895" t="s">
        <v>4</v>
      </c>
      <c r="E3895" t="s">
        <v>21</v>
      </c>
      <c r="F3895">
        <v>202283406</v>
      </c>
      <c r="G3895" t="s">
        <v>1729</v>
      </c>
      <c r="H3895" t="s">
        <v>250</v>
      </c>
      <c r="I3895">
        <v>0</v>
      </c>
      <c r="J3895">
        <v>0</v>
      </c>
      <c r="K3895">
        <v>0</v>
      </c>
      <c r="L3895">
        <v>0</v>
      </c>
      <c r="M3895">
        <v>0.13</v>
      </c>
      <c r="N3895" s="7" t="e">
        <f>VLOOKUP(F3895,HC!A$6:D$100,3,FALSE)</f>
        <v>#N/A</v>
      </c>
      <c r="O3895" s="7" t="str">
        <f>VLOOKUP(F3895,HC!A$6:D$1000,2,FALSE)</f>
        <v>iangevaz</v>
      </c>
      <c r="U3895">
        <f t="shared" si="62"/>
        <v>3</v>
      </c>
    </row>
    <row r="3896" spans="1:21" ht="37.5" customHeight="1" x14ac:dyDescent="0.25">
      <c r="A3896" s="40">
        <v>45229</v>
      </c>
      <c r="B3896" s="13">
        <v>44</v>
      </c>
      <c r="C3896" t="s">
        <v>3</v>
      </c>
      <c r="D3896" t="s">
        <v>4</v>
      </c>
      <c r="E3896" t="s">
        <v>21</v>
      </c>
      <c r="F3896">
        <v>202287922</v>
      </c>
      <c r="G3896" t="s">
        <v>1452</v>
      </c>
      <c r="H3896" t="s">
        <v>7</v>
      </c>
      <c r="I3896">
        <v>0</v>
      </c>
      <c r="J3896">
        <v>0</v>
      </c>
      <c r="K3896">
        <v>0</v>
      </c>
      <c r="L3896">
        <v>0</v>
      </c>
      <c r="M3896">
        <v>0.36</v>
      </c>
      <c r="N3896" s="7" t="e">
        <f>VLOOKUP(F3896,HC!A$6:D$100,3,FALSE)</f>
        <v>#N/A</v>
      </c>
      <c r="O3896" s="7" t="str">
        <f>VLOOKUP(F3896,HC!A$6:D$1000,2,FALSE)</f>
        <v>gemandra</v>
      </c>
      <c r="U3896">
        <f t="shared" si="62"/>
        <v>8</v>
      </c>
    </row>
    <row r="3897" spans="1:21" ht="37.5" customHeight="1" x14ac:dyDescent="0.25">
      <c r="A3897" s="40">
        <v>45229</v>
      </c>
      <c r="B3897" s="13">
        <v>44</v>
      </c>
      <c r="C3897" t="s">
        <v>3</v>
      </c>
      <c r="D3897" t="s">
        <v>4</v>
      </c>
      <c r="E3897" t="s">
        <v>21</v>
      </c>
      <c r="F3897">
        <v>202291208</v>
      </c>
      <c r="G3897" t="s">
        <v>1730</v>
      </c>
      <c r="H3897" t="s">
        <v>1040</v>
      </c>
      <c r="I3897">
        <v>0</v>
      </c>
      <c r="J3897">
        <v>0</v>
      </c>
      <c r="K3897">
        <v>0</v>
      </c>
      <c r="L3897">
        <v>0</v>
      </c>
      <c r="M3897">
        <v>0.08</v>
      </c>
      <c r="N3897" s="7" t="e">
        <f>VLOOKUP(F3897,HC!A$6:D$100,3,FALSE)</f>
        <v>#N/A</v>
      </c>
      <c r="O3897" s="7" t="str">
        <f>VLOOKUP(F3897,HC!A$6:D$1000,2,FALSE)</f>
        <v>qperequi</v>
      </c>
      <c r="U3897">
        <f t="shared" si="62"/>
        <v>2</v>
      </c>
    </row>
    <row r="3898" spans="1:21" ht="37.5" customHeight="1" x14ac:dyDescent="0.25">
      <c r="A3898" s="40">
        <v>45229</v>
      </c>
      <c r="B3898" s="13">
        <v>44</v>
      </c>
      <c r="C3898" t="s">
        <v>3</v>
      </c>
      <c r="D3898" t="s">
        <v>4</v>
      </c>
      <c r="E3898" t="s">
        <v>21</v>
      </c>
      <c r="F3898">
        <v>202291254</v>
      </c>
      <c r="G3898" t="s">
        <v>1731</v>
      </c>
      <c r="H3898" t="s">
        <v>49</v>
      </c>
      <c r="I3898">
        <v>0</v>
      </c>
      <c r="J3898">
        <v>0</v>
      </c>
      <c r="K3898">
        <v>0</v>
      </c>
      <c r="L3898">
        <v>0</v>
      </c>
      <c r="M3898">
        <v>0.54</v>
      </c>
      <c r="N3898" s="7" t="e">
        <f>VLOOKUP(F3898,HC!A$6:D$100,3,FALSE)</f>
        <v>#N/A</v>
      </c>
      <c r="O3898" s="7" t="str">
        <f>VLOOKUP(F3898,HC!A$6:D$1000,2,FALSE)</f>
        <v>edcastrs</v>
      </c>
      <c r="U3898">
        <f t="shared" si="62"/>
        <v>1</v>
      </c>
    </row>
    <row r="3899" spans="1:21" ht="37.5" customHeight="1" x14ac:dyDescent="0.25">
      <c r="A3899" s="40">
        <v>45230</v>
      </c>
      <c r="B3899" s="13">
        <v>44</v>
      </c>
      <c r="C3899" t="s">
        <v>3</v>
      </c>
      <c r="D3899" t="s">
        <v>4</v>
      </c>
      <c r="E3899" t="s">
        <v>5</v>
      </c>
      <c r="F3899">
        <v>112920666</v>
      </c>
      <c r="G3899" t="s">
        <v>252</v>
      </c>
      <c r="H3899" t="s">
        <v>1471</v>
      </c>
      <c r="I3899">
        <v>0</v>
      </c>
      <c r="J3899">
        <v>0</v>
      </c>
      <c r="K3899">
        <v>0</v>
      </c>
      <c r="L3899">
        <v>0</v>
      </c>
      <c r="M3899">
        <v>0.72</v>
      </c>
      <c r="N3899" s="7" t="str">
        <f>VLOOKUP(F3899,HC!A$6:D$100,3,FALSE)</f>
        <v>D5-X0700</v>
      </c>
      <c r="O3899" s="7" t="str">
        <f>VLOOKUP(F3899,HC!A$6:D$1000,2,FALSE)</f>
        <v>jorochai</v>
      </c>
      <c r="U3899">
        <f t="shared" si="62"/>
        <v>19</v>
      </c>
    </row>
    <row r="3900" spans="1:21" ht="37.5" customHeight="1" x14ac:dyDescent="0.25">
      <c r="A3900" s="40">
        <v>45230</v>
      </c>
      <c r="B3900" s="13">
        <v>44</v>
      </c>
      <c r="C3900" t="s">
        <v>3</v>
      </c>
      <c r="D3900" t="s">
        <v>4</v>
      </c>
      <c r="E3900" t="s">
        <v>5</v>
      </c>
      <c r="F3900">
        <v>112950809</v>
      </c>
      <c r="G3900" t="s">
        <v>402</v>
      </c>
      <c r="H3900" t="s">
        <v>7</v>
      </c>
      <c r="I3900">
        <v>0</v>
      </c>
      <c r="J3900">
        <v>0</v>
      </c>
      <c r="K3900">
        <v>0</v>
      </c>
      <c r="L3900">
        <v>0</v>
      </c>
      <c r="M3900">
        <v>1.1299999999999999</v>
      </c>
      <c r="N3900" s="7" t="str">
        <f>VLOOKUP(F3900,HC!A$6:D$100,3,FALSE)</f>
        <v>DA-X0700</v>
      </c>
      <c r="O3900" s="7" t="str">
        <f>VLOOKUP(F3900,HC!A$6:D$1000,2,FALSE)</f>
        <v>lurochae</v>
      </c>
      <c r="U3900">
        <f t="shared" si="62"/>
        <v>14</v>
      </c>
    </row>
    <row r="3901" spans="1:21" ht="37.5" customHeight="1" x14ac:dyDescent="0.25">
      <c r="A3901" s="40">
        <v>45230</v>
      </c>
      <c r="B3901" s="13">
        <v>44</v>
      </c>
      <c r="C3901" t="s">
        <v>3</v>
      </c>
      <c r="D3901" t="s">
        <v>4</v>
      </c>
      <c r="E3901" t="s">
        <v>5</v>
      </c>
      <c r="F3901">
        <v>113020476</v>
      </c>
      <c r="G3901" t="s">
        <v>330</v>
      </c>
      <c r="H3901" t="s">
        <v>298</v>
      </c>
      <c r="I3901">
        <v>0</v>
      </c>
      <c r="J3901">
        <v>0</v>
      </c>
      <c r="K3901">
        <v>0</v>
      </c>
      <c r="L3901">
        <v>0</v>
      </c>
      <c r="M3901">
        <v>0.54</v>
      </c>
      <c r="N3901" s="7" t="e">
        <f>VLOOKUP(F3901,HC!A$6:D$100,3,FALSE)</f>
        <v>#N/A</v>
      </c>
      <c r="O3901" s="7" t="str">
        <f>VLOOKUP(F3901,HC!A$6:D$1000,2,FALSE)</f>
        <v>polettpu</v>
      </c>
      <c r="U3901">
        <f t="shared" si="62"/>
        <v>55</v>
      </c>
    </row>
    <row r="3902" spans="1:21" ht="37.5" customHeight="1" x14ac:dyDescent="0.25">
      <c r="A3902" s="40">
        <v>45230</v>
      </c>
      <c r="B3902" s="13">
        <v>44</v>
      </c>
      <c r="C3902" t="s">
        <v>3</v>
      </c>
      <c r="D3902" t="s">
        <v>4</v>
      </c>
      <c r="E3902" t="s">
        <v>5</v>
      </c>
      <c r="F3902">
        <v>113044620</v>
      </c>
      <c r="G3902" t="s">
        <v>470</v>
      </c>
      <c r="H3902" t="s">
        <v>49</v>
      </c>
      <c r="I3902">
        <v>0</v>
      </c>
      <c r="J3902">
        <v>0</v>
      </c>
      <c r="K3902">
        <v>0</v>
      </c>
      <c r="L3902">
        <v>0</v>
      </c>
      <c r="M3902">
        <v>0.25</v>
      </c>
      <c r="N3902" s="7" t="e">
        <f>VLOOKUP(F3902,HC!A$6:D$100,3,FALSE)</f>
        <v>#N/A</v>
      </c>
      <c r="O3902" s="7" t="str">
        <f>VLOOKUP(F3902,HC!A$6:D$1000,2,FALSE)</f>
        <v>aldojasw</v>
      </c>
      <c r="U3902">
        <f t="shared" si="62"/>
        <v>11</v>
      </c>
    </row>
    <row r="3903" spans="1:21" ht="37.5" customHeight="1" x14ac:dyDescent="0.25">
      <c r="A3903" s="40">
        <v>45230</v>
      </c>
      <c r="B3903" s="13">
        <v>44</v>
      </c>
      <c r="C3903" t="s">
        <v>3</v>
      </c>
      <c r="D3903" t="s">
        <v>4</v>
      </c>
      <c r="E3903" t="s">
        <v>5</v>
      </c>
      <c r="F3903">
        <v>200404250</v>
      </c>
      <c r="G3903" t="s">
        <v>51</v>
      </c>
      <c r="H3903" t="s">
        <v>49</v>
      </c>
      <c r="I3903">
        <v>0</v>
      </c>
      <c r="J3903">
        <v>0</v>
      </c>
      <c r="K3903">
        <v>0</v>
      </c>
      <c r="L3903">
        <v>0</v>
      </c>
      <c r="M3903">
        <v>0.46</v>
      </c>
      <c r="N3903" s="7" t="e">
        <f>VLOOKUP(F3903,HC!A$6:D$100,3,FALSE)</f>
        <v>#N/A</v>
      </c>
      <c r="O3903" s="7" t="str">
        <f>VLOOKUP(F3903,HC!A$6:D$1000,2,FALSE)</f>
        <v>xcathurt</v>
      </c>
      <c r="U3903">
        <f t="shared" si="62"/>
        <v>124</v>
      </c>
    </row>
    <row r="3904" spans="1:21" ht="37.5" customHeight="1" x14ac:dyDescent="0.25">
      <c r="A3904" s="40">
        <v>45230</v>
      </c>
      <c r="B3904" s="13">
        <v>44</v>
      </c>
      <c r="C3904" t="s">
        <v>3</v>
      </c>
      <c r="D3904" t="s">
        <v>4</v>
      </c>
      <c r="E3904" t="s">
        <v>5</v>
      </c>
      <c r="F3904">
        <v>200594875</v>
      </c>
      <c r="G3904" t="s">
        <v>528</v>
      </c>
      <c r="H3904" t="s">
        <v>1040</v>
      </c>
      <c r="I3904">
        <v>0</v>
      </c>
      <c r="J3904">
        <v>0</v>
      </c>
      <c r="K3904">
        <v>0</v>
      </c>
      <c r="L3904">
        <v>0</v>
      </c>
      <c r="M3904">
        <v>0.59</v>
      </c>
      <c r="N3904" s="7" t="e">
        <f>VLOOKUP(F3904,HC!A$6:D$100,3,FALSE)</f>
        <v>#N/A</v>
      </c>
      <c r="O3904" s="7" t="str">
        <f>VLOOKUP(F3904,HC!A$6:D$1000,2,FALSE)</f>
        <v>jwmaldon</v>
      </c>
      <c r="U3904">
        <f t="shared" si="62"/>
        <v>7</v>
      </c>
    </row>
    <row r="3905" spans="1:21" ht="37.5" customHeight="1" x14ac:dyDescent="0.25">
      <c r="A3905" s="40">
        <v>45230</v>
      </c>
      <c r="B3905" s="13">
        <v>44</v>
      </c>
      <c r="C3905" t="s">
        <v>3</v>
      </c>
      <c r="D3905" t="s">
        <v>4</v>
      </c>
      <c r="E3905" t="s">
        <v>5</v>
      </c>
      <c r="F3905">
        <v>200625528</v>
      </c>
      <c r="G3905" t="s">
        <v>607</v>
      </c>
      <c r="H3905" t="s">
        <v>1040</v>
      </c>
      <c r="I3905">
        <v>0</v>
      </c>
      <c r="J3905">
        <v>0</v>
      </c>
      <c r="K3905">
        <v>0</v>
      </c>
      <c r="L3905">
        <v>0</v>
      </c>
      <c r="M3905">
        <v>0.08</v>
      </c>
      <c r="N3905" s="7" t="e">
        <f>VLOOKUP(F3905,HC!A$6:D$100,3,FALSE)</f>
        <v>#N/A</v>
      </c>
      <c r="O3905" s="7" t="str">
        <f>VLOOKUP(F3905,HC!A$6:D$1000,2,FALSE)</f>
        <v>olivlizb</v>
      </c>
      <c r="U3905">
        <f t="shared" si="62"/>
        <v>50</v>
      </c>
    </row>
    <row r="3906" spans="1:21" ht="37.5" customHeight="1" x14ac:dyDescent="0.25">
      <c r="A3906" s="40">
        <v>45230</v>
      </c>
      <c r="B3906" s="13">
        <v>44</v>
      </c>
      <c r="C3906" t="s">
        <v>3</v>
      </c>
      <c r="D3906" t="s">
        <v>4</v>
      </c>
      <c r="E3906" t="s">
        <v>5</v>
      </c>
      <c r="F3906">
        <v>201167501</v>
      </c>
      <c r="G3906" t="s">
        <v>863</v>
      </c>
      <c r="H3906" t="s">
        <v>49</v>
      </c>
      <c r="I3906">
        <v>0</v>
      </c>
      <c r="J3906">
        <v>0</v>
      </c>
      <c r="K3906">
        <v>0</v>
      </c>
      <c r="L3906">
        <v>0</v>
      </c>
      <c r="M3906">
        <v>0.32</v>
      </c>
      <c r="N3906" s="7" t="e">
        <f>VLOOKUP(F3906,HC!A$6:D$100,3,FALSE)</f>
        <v>#N/A</v>
      </c>
      <c r="O3906" s="7" t="str">
        <f>VLOOKUP(F3906,HC!A$6:D$1000,2,FALSE)</f>
        <v>wguanajr</v>
      </c>
      <c r="U3906">
        <f t="shared" si="62"/>
        <v>36</v>
      </c>
    </row>
    <row r="3907" spans="1:21" ht="37.5" customHeight="1" x14ac:dyDescent="0.25">
      <c r="A3907" s="40">
        <v>45230</v>
      </c>
      <c r="B3907" s="13">
        <v>44</v>
      </c>
      <c r="C3907" t="s">
        <v>3</v>
      </c>
      <c r="D3907" t="s">
        <v>4</v>
      </c>
      <c r="E3907" t="s">
        <v>5</v>
      </c>
      <c r="F3907">
        <v>201172412</v>
      </c>
      <c r="G3907" t="s">
        <v>986</v>
      </c>
      <c r="H3907" t="s">
        <v>49</v>
      </c>
      <c r="I3907">
        <v>0</v>
      </c>
      <c r="J3907">
        <v>0</v>
      </c>
      <c r="K3907">
        <v>0</v>
      </c>
      <c r="L3907">
        <v>0</v>
      </c>
      <c r="M3907">
        <v>0.13</v>
      </c>
      <c r="N3907" s="7" t="e">
        <f>VLOOKUP(F3907,HC!A$6:D$100,3,FALSE)</f>
        <v>#N/A</v>
      </c>
      <c r="O3907" s="7" t="str">
        <f>VLOOKUP(F3907,HC!A$6:D$1000,2,FALSE)</f>
        <v>adrpcast</v>
      </c>
      <c r="U3907">
        <f t="shared" ref="U3907:U3970" si="63">COUNTIF(O$2:O$4999,O3907)</f>
        <v>6</v>
      </c>
    </row>
    <row r="3908" spans="1:21" ht="37.5" customHeight="1" x14ac:dyDescent="0.25">
      <c r="A3908" s="40">
        <v>45230</v>
      </c>
      <c r="B3908" s="13">
        <v>44</v>
      </c>
      <c r="C3908" t="s">
        <v>3</v>
      </c>
      <c r="D3908" t="s">
        <v>4</v>
      </c>
      <c r="E3908" t="s">
        <v>5</v>
      </c>
      <c r="F3908">
        <v>201197964</v>
      </c>
      <c r="G3908" t="s">
        <v>1180</v>
      </c>
      <c r="H3908" t="s">
        <v>250</v>
      </c>
      <c r="I3908">
        <v>0</v>
      </c>
      <c r="J3908">
        <v>0</v>
      </c>
      <c r="K3908">
        <v>0</v>
      </c>
      <c r="L3908">
        <v>0</v>
      </c>
      <c r="M3908">
        <v>0.31</v>
      </c>
      <c r="N3908" s="7" t="e">
        <f>VLOOKUP(F3908,HC!A$6:D$100,3,FALSE)</f>
        <v>#N/A</v>
      </c>
      <c r="O3908" s="7" t="str">
        <f>VLOOKUP(F3908,HC!A$6:D$1000,2,FALSE)</f>
        <v>matzquij</v>
      </c>
      <c r="U3908">
        <f t="shared" si="63"/>
        <v>16</v>
      </c>
    </row>
    <row r="3909" spans="1:21" ht="37.5" customHeight="1" x14ac:dyDescent="0.25">
      <c r="A3909" s="40">
        <v>45230</v>
      </c>
      <c r="B3909" s="13">
        <v>44</v>
      </c>
      <c r="C3909" t="s">
        <v>3</v>
      </c>
      <c r="D3909" t="s">
        <v>4</v>
      </c>
      <c r="E3909" t="s">
        <v>5</v>
      </c>
      <c r="F3909">
        <v>201345774</v>
      </c>
      <c r="G3909" t="s">
        <v>1070</v>
      </c>
      <c r="H3909" t="s">
        <v>49</v>
      </c>
      <c r="I3909">
        <v>0</v>
      </c>
      <c r="J3909">
        <v>0</v>
      </c>
      <c r="K3909">
        <v>0</v>
      </c>
      <c r="L3909">
        <v>0</v>
      </c>
      <c r="M3909">
        <v>0.41</v>
      </c>
      <c r="N3909" s="7" t="e">
        <f>VLOOKUP(F3909,HC!A$6:D$100,3,FALSE)</f>
        <v>#N/A</v>
      </c>
      <c r="O3909" s="7" t="str">
        <f>VLOOKUP(F3909,HC!A$6:D$1000,2,FALSE)</f>
        <v>jonquija</v>
      </c>
      <c r="U3909">
        <f t="shared" si="63"/>
        <v>19</v>
      </c>
    </row>
    <row r="3910" spans="1:21" ht="37.5" customHeight="1" x14ac:dyDescent="0.25">
      <c r="A3910" s="40">
        <v>45230</v>
      </c>
      <c r="B3910" s="13">
        <v>44</v>
      </c>
      <c r="C3910" t="s">
        <v>3</v>
      </c>
      <c r="D3910" t="s">
        <v>4</v>
      </c>
      <c r="E3910" t="s">
        <v>5</v>
      </c>
      <c r="F3910">
        <v>201353085</v>
      </c>
      <c r="G3910" t="s">
        <v>1466</v>
      </c>
      <c r="H3910" t="s">
        <v>250</v>
      </c>
      <c r="I3910">
        <v>0</v>
      </c>
      <c r="J3910">
        <v>0</v>
      </c>
      <c r="K3910">
        <v>0</v>
      </c>
      <c r="L3910">
        <v>0</v>
      </c>
      <c r="M3910">
        <v>0.08</v>
      </c>
      <c r="N3910" s="7" t="e">
        <f>VLOOKUP(F3910,HC!A$6:D$100,3,FALSE)</f>
        <v>#N/A</v>
      </c>
      <c r="O3910" s="7" t="str">
        <f>VLOOKUP(F3910,HC!A$6:D$1000,2,FALSE)</f>
        <v>lelvgarc</v>
      </c>
      <c r="U3910">
        <f t="shared" si="63"/>
        <v>5</v>
      </c>
    </row>
    <row r="3911" spans="1:21" ht="37.5" customHeight="1" x14ac:dyDescent="0.25">
      <c r="A3911" s="40">
        <v>45230</v>
      </c>
      <c r="B3911" s="13">
        <v>44</v>
      </c>
      <c r="C3911" t="s">
        <v>3</v>
      </c>
      <c r="D3911" t="s">
        <v>4</v>
      </c>
      <c r="E3911" t="s">
        <v>5</v>
      </c>
      <c r="F3911">
        <v>201402212</v>
      </c>
      <c r="G3911" t="s">
        <v>1131</v>
      </c>
      <c r="H3911" t="s">
        <v>250</v>
      </c>
      <c r="I3911">
        <v>0</v>
      </c>
      <c r="J3911">
        <v>0</v>
      </c>
      <c r="K3911">
        <v>0</v>
      </c>
      <c r="L3911">
        <v>0</v>
      </c>
      <c r="M3911">
        <v>0.46</v>
      </c>
      <c r="N3911" s="7" t="e">
        <f>VLOOKUP(F3911,HC!A$6:D$100,3,FALSE)</f>
        <v>#N/A</v>
      </c>
      <c r="O3911" s="7" t="str">
        <f>VLOOKUP(F3911,HC!A$6:D$1000,2,FALSE)</f>
        <v>karlpadr</v>
      </c>
      <c r="U3911">
        <f t="shared" si="63"/>
        <v>5</v>
      </c>
    </row>
    <row r="3912" spans="1:21" ht="37.5" customHeight="1" x14ac:dyDescent="0.25">
      <c r="A3912" s="40">
        <v>45230</v>
      </c>
      <c r="B3912" s="13">
        <v>44</v>
      </c>
      <c r="C3912" t="s">
        <v>3</v>
      </c>
      <c r="D3912" t="s">
        <v>4</v>
      </c>
      <c r="E3912" t="s">
        <v>21</v>
      </c>
      <c r="F3912">
        <v>201842039</v>
      </c>
      <c r="G3912" t="s">
        <v>1231</v>
      </c>
      <c r="H3912" t="s">
        <v>285</v>
      </c>
      <c r="I3912">
        <v>0</v>
      </c>
      <c r="J3912">
        <v>0</v>
      </c>
      <c r="K3912">
        <v>0</v>
      </c>
      <c r="L3912">
        <v>0</v>
      </c>
      <c r="M3912">
        <v>0.25</v>
      </c>
      <c r="N3912" s="7" t="e">
        <f>VLOOKUP(F3912,HC!A$6:D$100,3,FALSE)</f>
        <v>#N/A</v>
      </c>
      <c r="O3912" s="7" t="str">
        <f>VLOOKUP(F3912,HC!A$6:D$1000,2,FALSE)</f>
        <v>fantmar</v>
      </c>
      <c r="U3912">
        <f t="shared" si="63"/>
        <v>11</v>
      </c>
    </row>
    <row r="3913" spans="1:21" ht="37.5" customHeight="1" x14ac:dyDescent="0.25">
      <c r="A3913" s="40">
        <v>45230</v>
      </c>
      <c r="B3913" s="13">
        <v>44</v>
      </c>
      <c r="C3913" t="s">
        <v>3</v>
      </c>
      <c r="D3913" t="s">
        <v>4</v>
      </c>
      <c r="E3913" t="s">
        <v>21</v>
      </c>
      <c r="F3913">
        <v>201848180</v>
      </c>
      <c r="G3913" t="s">
        <v>1433</v>
      </c>
      <c r="H3913" t="s">
        <v>49</v>
      </c>
      <c r="I3913">
        <v>0</v>
      </c>
      <c r="J3913">
        <v>0</v>
      </c>
      <c r="K3913">
        <v>0</v>
      </c>
      <c r="L3913">
        <v>0</v>
      </c>
      <c r="M3913">
        <v>0.47</v>
      </c>
      <c r="N3913" s="7" t="e">
        <f>VLOOKUP(F3913,HC!A$6:D$100,3,FALSE)</f>
        <v>#N/A</v>
      </c>
      <c r="O3913" s="7" t="str">
        <f>VLOOKUP(F3913,HC!A$6:D$1000,2,FALSE)</f>
        <v>ljackpac</v>
      </c>
      <c r="U3913">
        <f t="shared" si="63"/>
        <v>3</v>
      </c>
    </row>
    <row r="3914" spans="1:21" ht="37.5" customHeight="1" x14ac:dyDescent="0.25">
      <c r="A3914" s="40">
        <v>45230</v>
      </c>
      <c r="B3914" s="13">
        <v>44</v>
      </c>
      <c r="C3914" t="s">
        <v>3</v>
      </c>
      <c r="D3914" t="s">
        <v>4</v>
      </c>
      <c r="E3914" t="s">
        <v>21</v>
      </c>
      <c r="F3914">
        <v>201880542</v>
      </c>
      <c r="G3914" t="s">
        <v>1225</v>
      </c>
      <c r="H3914" t="s">
        <v>1040</v>
      </c>
      <c r="I3914">
        <v>0</v>
      </c>
      <c r="J3914">
        <v>0</v>
      </c>
      <c r="K3914">
        <v>0</v>
      </c>
      <c r="L3914">
        <v>0</v>
      </c>
      <c r="M3914">
        <v>4.5</v>
      </c>
      <c r="N3914" s="7" t="e">
        <f>VLOOKUP(F3914,HC!A$6:D$100,3,FALSE)</f>
        <v>#N/A</v>
      </c>
      <c r="O3914" s="7" t="str">
        <f>VLOOKUP(F3914,HC!A$6:D$1000,2,FALSE)</f>
        <v>orticorp</v>
      </c>
      <c r="U3914">
        <f t="shared" si="63"/>
        <v>24</v>
      </c>
    </row>
    <row r="3915" spans="1:21" ht="37.5" customHeight="1" x14ac:dyDescent="0.25">
      <c r="A3915" s="40">
        <v>45230</v>
      </c>
      <c r="B3915" s="13">
        <v>44</v>
      </c>
      <c r="C3915" t="s">
        <v>3</v>
      </c>
      <c r="D3915" t="s">
        <v>4</v>
      </c>
      <c r="E3915" t="s">
        <v>21</v>
      </c>
      <c r="F3915">
        <v>202062181</v>
      </c>
      <c r="G3915" t="s">
        <v>1401</v>
      </c>
      <c r="H3915" t="s">
        <v>250</v>
      </c>
      <c r="I3915">
        <v>0</v>
      </c>
      <c r="J3915">
        <v>0</v>
      </c>
      <c r="K3915">
        <v>0</v>
      </c>
      <c r="L3915">
        <v>0</v>
      </c>
      <c r="M3915">
        <v>0.55000000000000004</v>
      </c>
      <c r="N3915" s="7" t="e">
        <f>VLOOKUP(F3915,HC!A$6:D$100,3,FALSE)</f>
        <v>#N/A</v>
      </c>
      <c r="O3915" s="7" t="str">
        <f>VLOOKUP(F3915,HC!A$6:D$1000,2,FALSE)</f>
        <v>xlutrejo</v>
      </c>
      <c r="U3915">
        <f t="shared" si="63"/>
        <v>8</v>
      </c>
    </row>
    <row r="3916" spans="1:21" ht="37.5" customHeight="1" x14ac:dyDescent="0.25">
      <c r="A3916" s="40">
        <v>45230</v>
      </c>
      <c r="B3916" s="13">
        <v>44</v>
      </c>
      <c r="C3916" t="s">
        <v>3</v>
      </c>
      <c r="D3916" t="s">
        <v>4</v>
      </c>
      <c r="E3916" t="s">
        <v>21</v>
      </c>
      <c r="F3916">
        <v>202129193</v>
      </c>
      <c r="G3916" t="s">
        <v>1732</v>
      </c>
      <c r="H3916" t="s">
        <v>7</v>
      </c>
      <c r="I3916">
        <v>0</v>
      </c>
      <c r="J3916">
        <v>0</v>
      </c>
      <c r="K3916">
        <v>0</v>
      </c>
      <c r="L3916">
        <v>0</v>
      </c>
      <c r="M3916">
        <v>1.1100000000000001</v>
      </c>
      <c r="N3916" s="7" t="e">
        <f>VLOOKUP(F3916,HC!A$6:D$100,3,FALSE)</f>
        <v>#N/A</v>
      </c>
      <c r="O3916" s="7" t="str">
        <f>VLOOKUP(F3916,HC!A$6:D$1000,2,FALSE)</f>
        <v>herngang</v>
      </c>
      <c r="U3916">
        <f t="shared" si="63"/>
        <v>5</v>
      </c>
    </row>
    <row r="3917" spans="1:21" ht="37.5" customHeight="1" x14ac:dyDescent="0.25">
      <c r="A3917" s="40">
        <v>45230</v>
      </c>
      <c r="B3917" s="13">
        <v>44</v>
      </c>
      <c r="C3917" t="s">
        <v>3</v>
      </c>
      <c r="D3917" t="s">
        <v>4</v>
      </c>
      <c r="E3917" t="s">
        <v>21</v>
      </c>
      <c r="F3917">
        <v>202129214</v>
      </c>
      <c r="G3917" t="s">
        <v>1429</v>
      </c>
      <c r="H3917" t="s">
        <v>1471</v>
      </c>
      <c r="I3917">
        <v>0</v>
      </c>
      <c r="J3917">
        <v>0</v>
      </c>
      <c r="K3917">
        <v>0</v>
      </c>
      <c r="L3917">
        <v>0</v>
      </c>
      <c r="M3917">
        <v>0.22</v>
      </c>
      <c r="N3917" s="7" t="e">
        <f>VLOOKUP(F3917,HC!A$6:D$100,3,FALSE)</f>
        <v>#N/A</v>
      </c>
      <c r="O3917" s="7" t="str">
        <f>VLOOKUP(F3917,HC!A$6:D$1000,2,FALSE)</f>
        <v>isafzuni</v>
      </c>
      <c r="U3917">
        <f t="shared" si="63"/>
        <v>8</v>
      </c>
    </row>
    <row r="3918" spans="1:21" ht="37.5" customHeight="1" x14ac:dyDescent="0.25">
      <c r="A3918" s="40">
        <v>45230</v>
      </c>
      <c r="B3918" s="13">
        <v>44</v>
      </c>
      <c r="C3918" t="s">
        <v>3</v>
      </c>
      <c r="D3918" t="s">
        <v>4</v>
      </c>
      <c r="E3918" t="s">
        <v>21</v>
      </c>
      <c r="F3918">
        <v>202165115</v>
      </c>
      <c r="G3918" t="s">
        <v>1700</v>
      </c>
      <c r="H3918" t="s">
        <v>403</v>
      </c>
      <c r="I3918">
        <v>0</v>
      </c>
      <c r="J3918">
        <v>0</v>
      </c>
      <c r="K3918">
        <v>0</v>
      </c>
      <c r="L3918">
        <v>0</v>
      </c>
      <c r="M3918">
        <v>0.83</v>
      </c>
      <c r="N3918" s="7" t="e">
        <f>VLOOKUP(F3918,HC!A$6:D$100,3,FALSE)</f>
        <v>#N/A</v>
      </c>
      <c r="O3918" s="7" t="str">
        <f>VLOOKUP(F3918,HC!A$6:D$1000,2,FALSE)</f>
        <v>giogberm</v>
      </c>
      <c r="U3918">
        <f t="shared" si="63"/>
        <v>2</v>
      </c>
    </row>
    <row r="3919" spans="1:21" ht="37.5" customHeight="1" x14ac:dyDescent="0.25">
      <c r="A3919" s="40">
        <v>45230</v>
      </c>
      <c r="B3919" s="13">
        <v>44</v>
      </c>
      <c r="C3919" t="s">
        <v>3</v>
      </c>
      <c r="D3919" t="s">
        <v>4</v>
      </c>
      <c r="E3919" t="s">
        <v>21</v>
      </c>
      <c r="F3919">
        <v>202165242</v>
      </c>
      <c r="G3919" t="s">
        <v>1412</v>
      </c>
      <c r="H3919" t="s">
        <v>403</v>
      </c>
      <c r="I3919">
        <v>0</v>
      </c>
      <c r="J3919">
        <v>0</v>
      </c>
      <c r="K3919">
        <v>0</v>
      </c>
      <c r="L3919">
        <v>0</v>
      </c>
      <c r="M3919">
        <v>1.55</v>
      </c>
      <c r="N3919" s="7" t="e">
        <f>VLOOKUP(F3919,HC!A$6:D$100,3,FALSE)</f>
        <v>#N/A</v>
      </c>
      <c r="O3919" s="7" t="str">
        <f>VLOOKUP(F3919,HC!A$6:D$1000,2,FALSE)</f>
        <v>marcqgon</v>
      </c>
      <c r="U3919">
        <f t="shared" si="63"/>
        <v>21</v>
      </c>
    </row>
    <row r="3920" spans="1:21" ht="37.5" customHeight="1" x14ac:dyDescent="0.25">
      <c r="A3920" s="40">
        <v>45230</v>
      </c>
      <c r="B3920" s="13">
        <v>44</v>
      </c>
      <c r="C3920" t="s">
        <v>3</v>
      </c>
      <c r="D3920" t="s">
        <v>4</v>
      </c>
      <c r="E3920" t="s">
        <v>21</v>
      </c>
      <c r="F3920">
        <v>202188434</v>
      </c>
      <c r="G3920" t="s">
        <v>1413</v>
      </c>
      <c r="H3920" t="s">
        <v>14</v>
      </c>
      <c r="I3920">
        <v>0</v>
      </c>
      <c r="J3920">
        <v>0</v>
      </c>
      <c r="K3920">
        <v>0</v>
      </c>
      <c r="L3920">
        <v>0</v>
      </c>
      <c r="M3920">
        <v>0.22</v>
      </c>
      <c r="N3920" s="7" t="e">
        <f>VLOOKUP(F3920,HC!A$6:D$100,3,FALSE)</f>
        <v>#N/A</v>
      </c>
      <c r="O3920" s="7" t="str">
        <f>VLOOKUP(F3920,HC!A$6:D$1000,2,FALSE)</f>
        <v>aidzariv</v>
      </c>
      <c r="U3920">
        <f t="shared" si="63"/>
        <v>9</v>
      </c>
    </row>
    <row r="3921" spans="1:21" ht="37.5" customHeight="1" x14ac:dyDescent="0.25">
      <c r="A3921" s="40">
        <v>45230</v>
      </c>
      <c r="B3921" s="13">
        <v>44</v>
      </c>
      <c r="C3921" t="s">
        <v>3</v>
      </c>
      <c r="D3921" t="s">
        <v>4</v>
      </c>
      <c r="E3921" t="s">
        <v>21</v>
      </c>
      <c r="F3921">
        <v>202225896</v>
      </c>
      <c r="G3921" t="s">
        <v>1473</v>
      </c>
      <c r="H3921" t="s">
        <v>250</v>
      </c>
      <c r="I3921">
        <v>0</v>
      </c>
      <c r="J3921">
        <v>0</v>
      </c>
      <c r="K3921">
        <v>0</v>
      </c>
      <c r="L3921">
        <v>0</v>
      </c>
      <c r="M3921">
        <v>0.77</v>
      </c>
      <c r="N3921" s="7" t="e">
        <f>VLOOKUP(F3921,HC!A$6:D$100,3,FALSE)</f>
        <v>#N/A</v>
      </c>
      <c r="O3921" s="7" t="str">
        <f>VLOOKUP(F3921,HC!A$6:D$1000,2,FALSE)</f>
        <v>reymjosu</v>
      </c>
      <c r="U3921">
        <f t="shared" si="63"/>
        <v>3</v>
      </c>
    </row>
    <row r="3922" spans="1:21" ht="37.5" customHeight="1" x14ac:dyDescent="0.25">
      <c r="A3922" s="40">
        <v>45230</v>
      </c>
      <c r="B3922" s="13">
        <v>44</v>
      </c>
      <c r="C3922" t="s">
        <v>3</v>
      </c>
      <c r="D3922" t="s">
        <v>4</v>
      </c>
      <c r="E3922" t="s">
        <v>21</v>
      </c>
      <c r="F3922">
        <v>202226202</v>
      </c>
      <c r="G3922" t="s">
        <v>1733</v>
      </c>
      <c r="H3922" t="s">
        <v>250</v>
      </c>
      <c r="I3922">
        <v>0</v>
      </c>
      <c r="J3922">
        <v>0</v>
      </c>
      <c r="K3922">
        <v>0</v>
      </c>
      <c r="L3922">
        <v>0</v>
      </c>
      <c r="M3922">
        <v>0.23</v>
      </c>
      <c r="N3922" s="7" t="e">
        <f>VLOOKUP(F3922,HC!A$6:D$100,3,FALSE)</f>
        <v>#N/A</v>
      </c>
      <c r="O3922" s="7" t="str">
        <f>VLOOKUP(F3922,HC!A$6:D$1000,2,FALSE)</f>
        <v>naymoren</v>
      </c>
      <c r="U3922">
        <f t="shared" si="63"/>
        <v>2</v>
      </c>
    </row>
    <row r="3923" spans="1:21" ht="37.5" customHeight="1" x14ac:dyDescent="0.25">
      <c r="A3923" s="40">
        <v>45230</v>
      </c>
      <c r="B3923" s="13">
        <v>44</v>
      </c>
      <c r="C3923" t="s">
        <v>3</v>
      </c>
      <c r="D3923" t="s">
        <v>4</v>
      </c>
      <c r="E3923" t="s">
        <v>21</v>
      </c>
      <c r="F3923">
        <v>202229509</v>
      </c>
      <c r="G3923" t="s">
        <v>1734</v>
      </c>
      <c r="H3923" t="s">
        <v>403</v>
      </c>
      <c r="I3923">
        <v>0</v>
      </c>
      <c r="J3923">
        <v>0</v>
      </c>
      <c r="K3923">
        <v>0</v>
      </c>
      <c r="L3923">
        <v>0</v>
      </c>
      <c r="M3923">
        <v>0.2</v>
      </c>
      <c r="N3923" s="7" t="e">
        <f>VLOOKUP(F3923,HC!A$6:D$100,3,FALSE)</f>
        <v>#N/A</v>
      </c>
      <c r="O3923" s="7" t="str">
        <f>VLOOKUP(F3923,HC!A$6:D$1000,2,FALSE)</f>
        <v>victokba</v>
      </c>
      <c r="U3923">
        <f t="shared" si="63"/>
        <v>1</v>
      </c>
    </row>
    <row r="3924" spans="1:21" ht="37.5" customHeight="1" x14ac:dyDescent="0.25">
      <c r="A3924" s="40">
        <v>45230</v>
      </c>
      <c r="B3924" s="13">
        <v>44</v>
      </c>
      <c r="C3924" t="s">
        <v>3</v>
      </c>
      <c r="D3924" t="s">
        <v>4</v>
      </c>
      <c r="E3924" t="s">
        <v>21</v>
      </c>
      <c r="F3924">
        <v>202237281</v>
      </c>
      <c r="G3924" t="s">
        <v>1735</v>
      </c>
      <c r="H3924" t="s">
        <v>282</v>
      </c>
      <c r="I3924">
        <v>0</v>
      </c>
      <c r="J3924">
        <v>0</v>
      </c>
      <c r="K3924">
        <v>0</v>
      </c>
      <c r="L3924">
        <v>0</v>
      </c>
      <c r="M3924">
        <v>0.28999999999999998</v>
      </c>
      <c r="N3924" s="7" t="e">
        <f>VLOOKUP(F3924,HC!A$6:D$100,3,FALSE)</f>
        <v>#N/A</v>
      </c>
      <c r="O3924" s="7" t="str">
        <f>VLOOKUP(F3924,HC!A$6:D$1000,2,FALSE)</f>
        <v>dmarbelm</v>
      </c>
      <c r="U3924">
        <f t="shared" si="63"/>
        <v>1</v>
      </c>
    </row>
    <row r="3925" spans="1:21" ht="37.5" customHeight="1" x14ac:dyDescent="0.25">
      <c r="A3925" s="40">
        <v>45230</v>
      </c>
      <c r="B3925" s="13">
        <v>44</v>
      </c>
      <c r="C3925" t="s">
        <v>3</v>
      </c>
      <c r="D3925" t="s">
        <v>4</v>
      </c>
      <c r="E3925" t="s">
        <v>21</v>
      </c>
      <c r="F3925">
        <v>202266131</v>
      </c>
      <c r="G3925" t="s">
        <v>1454</v>
      </c>
      <c r="H3925" t="s">
        <v>49</v>
      </c>
      <c r="I3925">
        <v>0</v>
      </c>
      <c r="J3925">
        <v>0</v>
      </c>
      <c r="K3925">
        <v>0</v>
      </c>
      <c r="L3925">
        <v>0</v>
      </c>
      <c r="M3925">
        <v>0.04</v>
      </c>
      <c r="N3925" s="7" t="e">
        <f>VLOOKUP(F3925,HC!A$6:D$100,3,FALSE)</f>
        <v>#N/A</v>
      </c>
      <c r="O3925" s="7" t="str">
        <f>VLOOKUP(F3925,HC!A$6:D$1000,2,FALSE)</f>
        <v>gguadia</v>
      </c>
      <c r="U3925">
        <f t="shared" si="63"/>
        <v>5</v>
      </c>
    </row>
    <row r="3926" spans="1:21" ht="37.5" customHeight="1" x14ac:dyDescent="0.25">
      <c r="A3926" s="40">
        <v>45230</v>
      </c>
      <c r="B3926" s="13">
        <v>44</v>
      </c>
      <c r="C3926" t="s">
        <v>3</v>
      </c>
      <c r="D3926" t="s">
        <v>4</v>
      </c>
      <c r="E3926" t="s">
        <v>21</v>
      </c>
      <c r="F3926">
        <v>202273994</v>
      </c>
      <c r="G3926" t="s">
        <v>1728</v>
      </c>
      <c r="H3926" t="s">
        <v>49</v>
      </c>
      <c r="I3926">
        <v>0</v>
      </c>
      <c r="J3926">
        <v>0</v>
      </c>
      <c r="K3926">
        <v>0</v>
      </c>
      <c r="L3926">
        <v>0</v>
      </c>
      <c r="M3926">
        <v>0.14000000000000001</v>
      </c>
      <c r="N3926" s="7" t="e">
        <f>VLOOKUP(F3926,HC!A$6:D$100,3,FALSE)</f>
        <v>#N/A</v>
      </c>
      <c r="O3926" s="7" t="str">
        <f>VLOOKUP(F3926,HC!A$6:D$1000,2,FALSE)</f>
        <v>adfvilla</v>
      </c>
      <c r="U3926">
        <f t="shared" si="63"/>
        <v>2</v>
      </c>
    </row>
    <row r="3927" spans="1:21" ht="37.5" customHeight="1" x14ac:dyDescent="0.25">
      <c r="A3927" s="40">
        <v>45230</v>
      </c>
      <c r="B3927" s="13">
        <v>44</v>
      </c>
      <c r="C3927" t="s">
        <v>3</v>
      </c>
      <c r="D3927" t="s">
        <v>4</v>
      </c>
      <c r="E3927" t="s">
        <v>21</v>
      </c>
      <c r="F3927">
        <v>202334621</v>
      </c>
      <c r="G3927" t="s">
        <v>1724</v>
      </c>
      <c r="H3927" t="s">
        <v>250</v>
      </c>
      <c r="I3927">
        <v>0</v>
      </c>
      <c r="J3927">
        <v>0</v>
      </c>
      <c r="K3927">
        <v>0</v>
      </c>
      <c r="L3927">
        <v>0</v>
      </c>
      <c r="M3927">
        <v>0.74</v>
      </c>
      <c r="N3927" s="7" t="e">
        <f>VLOOKUP(F3927,HC!A$6:D$100,3,FALSE)</f>
        <v>#N/A</v>
      </c>
      <c r="O3927" s="7" t="str">
        <f>VLOOKUP(F3927,HC!A$6:D$1000,2,FALSE)</f>
        <v>tkarlram</v>
      </c>
      <c r="U3927">
        <f t="shared" si="63"/>
        <v>8</v>
      </c>
    </row>
    <row r="3928" spans="1:21" ht="37.5" customHeight="1" x14ac:dyDescent="0.25">
      <c r="A3928" s="40">
        <v>45230</v>
      </c>
      <c r="B3928" s="13">
        <v>44</v>
      </c>
      <c r="C3928" t="s">
        <v>3</v>
      </c>
      <c r="D3928" t="s">
        <v>4</v>
      </c>
      <c r="E3928" t="s">
        <v>21</v>
      </c>
      <c r="F3928">
        <v>202334751</v>
      </c>
      <c r="G3928" t="s">
        <v>1736</v>
      </c>
      <c r="H3928" t="s">
        <v>7</v>
      </c>
      <c r="I3928">
        <v>0</v>
      </c>
      <c r="J3928">
        <v>0</v>
      </c>
      <c r="K3928">
        <v>0</v>
      </c>
      <c r="L3928">
        <v>0</v>
      </c>
      <c r="M3928">
        <v>0.43</v>
      </c>
      <c r="N3928" s="7" t="e">
        <f>VLOOKUP(F3928,HC!A$6:D$100,3,FALSE)</f>
        <v>#N/A</v>
      </c>
      <c r="O3928" s="7" t="str">
        <f>VLOOKUP(F3928,HC!A$6:D$1000,2,FALSE)</f>
        <v>luzmmarq</v>
      </c>
      <c r="U3928">
        <f t="shared" si="63"/>
        <v>2</v>
      </c>
    </row>
    <row r="3929" spans="1:21" ht="37.5" customHeight="1" x14ac:dyDescent="0.25">
      <c r="A3929" s="40">
        <v>45230</v>
      </c>
      <c r="B3929" s="13">
        <v>44</v>
      </c>
      <c r="C3929" t="s">
        <v>3</v>
      </c>
      <c r="D3929" t="s">
        <v>4</v>
      </c>
      <c r="E3929" t="s">
        <v>21</v>
      </c>
      <c r="F3929">
        <v>202334920</v>
      </c>
      <c r="G3929" t="s">
        <v>1705</v>
      </c>
      <c r="H3929" t="s">
        <v>285</v>
      </c>
      <c r="I3929">
        <v>0</v>
      </c>
      <c r="J3929">
        <v>0</v>
      </c>
      <c r="K3929">
        <v>0</v>
      </c>
      <c r="L3929">
        <v>0</v>
      </c>
      <c r="M3929">
        <v>0.44</v>
      </c>
      <c r="N3929" s="7" t="e">
        <f>VLOOKUP(F3929,HC!A$6:D$100,3,FALSE)</f>
        <v>#N/A</v>
      </c>
      <c r="O3929" s="7" t="str">
        <f>VLOOKUP(F3929,HC!A$6:D$1000,2,FALSE)</f>
        <v>uroramir</v>
      </c>
      <c r="U3929">
        <f t="shared" si="63"/>
        <v>5</v>
      </c>
    </row>
    <row r="3930" spans="1:21" ht="37.5" customHeight="1" x14ac:dyDescent="0.25">
      <c r="A3930" s="23">
        <v>45231</v>
      </c>
      <c r="B3930" s="13">
        <v>44</v>
      </c>
      <c r="C3930" t="s">
        <v>3</v>
      </c>
      <c r="D3930" t="s">
        <v>4</v>
      </c>
      <c r="E3930" t="s">
        <v>5</v>
      </c>
      <c r="F3930">
        <v>112912511</v>
      </c>
      <c r="G3930" t="s">
        <v>1155</v>
      </c>
      <c r="H3930" t="s">
        <v>403</v>
      </c>
      <c r="I3930">
        <v>0</v>
      </c>
      <c r="J3930">
        <v>0</v>
      </c>
      <c r="K3930">
        <v>0</v>
      </c>
      <c r="L3930">
        <v>0</v>
      </c>
      <c r="M3930">
        <v>0.5</v>
      </c>
      <c r="N3930" s="7" t="str">
        <f>VLOOKUP(F3930,HC!A$6:D$100,3,FALSE)</f>
        <v>DB-X0700</v>
      </c>
      <c r="O3930" s="7" t="str">
        <f>VLOOKUP(F3930,HC!A$6:D$1000,2,FALSE)</f>
        <v>sergelor</v>
      </c>
      <c r="U3930">
        <f t="shared" si="63"/>
        <v>4</v>
      </c>
    </row>
    <row r="3931" spans="1:21" ht="37.5" customHeight="1" x14ac:dyDescent="0.25">
      <c r="A3931" s="23">
        <v>45231</v>
      </c>
      <c r="B3931" s="13">
        <v>44</v>
      </c>
      <c r="C3931" t="s">
        <v>3</v>
      </c>
      <c r="D3931" t="s">
        <v>4</v>
      </c>
      <c r="E3931" t="s">
        <v>5</v>
      </c>
      <c r="F3931">
        <v>112912752</v>
      </c>
      <c r="G3931" t="s">
        <v>251</v>
      </c>
      <c r="H3931" t="s">
        <v>332</v>
      </c>
      <c r="I3931">
        <v>0</v>
      </c>
      <c r="J3931">
        <v>0</v>
      </c>
      <c r="K3931">
        <v>0</v>
      </c>
      <c r="L3931">
        <v>0</v>
      </c>
      <c r="M3931">
        <v>0.36</v>
      </c>
      <c r="N3931" s="7" t="str">
        <f>VLOOKUP(F3931,HC!A$6:D$100,3,FALSE)</f>
        <v>NF-X1900</v>
      </c>
      <c r="O3931" s="7" t="str">
        <f>VLOOKUP(F3931,HC!A$6:D$1000,2,FALSE)</f>
        <v>valderle</v>
      </c>
      <c r="U3931">
        <f t="shared" si="63"/>
        <v>50</v>
      </c>
    </row>
    <row r="3932" spans="1:21" ht="37.5" customHeight="1" x14ac:dyDescent="0.25">
      <c r="A3932" s="23">
        <v>45231</v>
      </c>
      <c r="B3932" s="13">
        <v>44</v>
      </c>
      <c r="C3932" t="s">
        <v>3</v>
      </c>
      <c r="D3932" t="s">
        <v>4</v>
      </c>
      <c r="E3932" t="s">
        <v>5</v>
      </c>
      <c r="F3932">
        <v>112950784</v>
      </c>
      <c r="G3932" t="s">
        <v>261</v>
      </c>
      <c r="H3932" t="s">
        <v>332</v>
      </c>
      <c r="I3932">
        <v>0</v>
      </c>
      <c r="J3932">
        <v>0</v>
      </c>
      <c r="K3932">
        <v>0</v>
      </c>
      <c r="L3932">
        <v>0</v>
      </c>
      <c r="M3932">
        <v>0.13</v>
      </c>
      <c r="N3932" s="7" t="str">
        <f>VLOOKUP(F3932,HC!A$6:D$100,3,FALSE)</f>
        <v>NF-X1900</v>
      </c>
      <c r="O3932" s="7" t="str">
        <f>VLOOKUP(F3932,HC!A$6:D$1000,2,FALSE)</f>
        <v>sarojast</v>
      </c>
      <c r="U3932">
        <f t="shared" si="63"/>
        <v>33</v>
      </c>
    </row>
    <row r="3933" spans="1:21" ht="37.5" customHeight="1" x14ac:dyDescent="0.25">
      <c r="A3933" s="23">
        <v>45231</v>
      </c>
      <c r="B3933" s="13">
        <v>44</v>
      </c>
      <c r="C3933" t="s">
        <v>3</v>
      </c>
      <c r="D3933" t="s">
        <v>4</v>
      </c>
      <c r="E3933" t="s">
        <v>5</v>
      </c>
      <c r="F3933">
        <v>112971988</v>
      </c>
      <c r="G3933" t="s">
        <v>596</v>
      </c>
      <c r="H3933" t="s">
        <v>1720</v>
      </c>
      <c r="I3933">
        <v>0</v>
      </c>
      <c r="J3933">
        <v>0</v>
      </c>
      <c r="K3933">
        <v>0</v>
      </c>
      <c r="L3933">
        <v>0</v>
      </c>
      <c r="M3933">
        <v>0.5</v>
      </c>
      <c r="N3933" s="7" t="str">
        <f>VLOOKUP(F3933,HC!A$6:D$100,3,FALSE)</f>
        <v>DB-X0700</v>
      </c>
      <c r="O3933" s="7" t="str">
        <f>VLOOKUP(F3933,HC!A$6:D$1000,2,FALSE)</f>
        <v>fadtrejo</v>
      </c>
      <c r="U3933">
        <f t="shared" si="63"/>
        <v>7</v>
      </c>
    </row>
    <row r="3934" spans="1:21" ht="37.5" customHeight="1" x14ac:dyDescent="0.25">
      <c r="A3934" s="23">
        <v>45231</v>
      </c>
      <c r="B3934" s="13">
        <v>44</v>
      </c>
      <c r="C3934" t="s">
        <v>3</v>
      </c>
      <c r="D3934" t="s">
        <v>4</v>
      </c>
      <c r="E3934" t="s">
        <v>5</v>
      </c>
      <c r="F3934">
        <v>200463510</v>
      </c>
      <c r="G3934" t="s">
        <v>502</v>
      </c>
      <c r="H3934" t="s">
        <v>298</v>
      </c>
      <c r="I3934">
        <v>0</v>
      </c>
      <c r="J3934">
        <v>0</v>
      </c>
      <c r="K3934">
        <v>0</v>
      </c>
      <c r="L3934">
        <v>0</v>
      </c>
      <c r="M3934">
        <v>0.76</v>
      </c>
      <c r="N3934" s="7" t="e">
        <f>VLOOKUP(F3934,HC!A$6:D$100,3,FALSE)</f>
        <v>#N/A</v>
      </c>
      <c r="O3934" s="7" t="str">
        <f>VLOOKUP(F3934,HC!A$6:D$1000,2,FALSE)</f>
        <v>rodrmacj</v>
      </c>
      <c r="U3934">
        <f t="shared" si="63"/>
        <v>4</v>
      </c>
    </row>
    <row r="3935" spans="1:21" ht="37.5" customHeight="1" x14ac:dyDescent="0.25">
      <c r="A3935" s="23">
        <v>45231</v>
      </c>
      <c r="B3935" s="13">
        <v>44</v>
      </c>
      <c r="C3935" t="s">
        <v>3</v>
      </c>
      <c r="D3935" t="s">
        <v>4</v>
      </c>
      <c r="E3935" t="s">
        <v>5</v>
      </c>
      <c r="F3935">
        <v>200508323</v>
      </c>
      <c r="G3935" t="s">
        <v>1150</v>
      </c>
      <c r="H3935" t="s">
        <v>298</v>
      </c>
      <c r="I3935">
        <v>0</v>
      </c>
      <c r="J3935">
        <v>0</v>
      </c>
      <c r="K3935">
        <v>0</v>
      </c>
      <c r="L3935">
        <v>0</v>
      </c>
      <c r="M3935">
        <v>0.4</v>
      </c>
      <c r="N3935" s="7" t="e">
        <f>VLOOKUP(F3935,HC!A$6:D$100,3,FALSE)</f>
        <v>#N/A</v>
      </c>
      <c r="O3935" s="7" t="str">
        <f>VLOOKUP(F3935,HC!A$6:D$1000,2,FALSE)</f>
        <v>espejell</v>
      </c>
      <c r="U3935">
        <f t="shared" si="63"/>
        <v>15</v>
      </c>
    </row>
    <row r="3936" spans="1:21" ht="37.5" customHeight="1" x14ac:dyDescent="0.25">
      <c r="A3936" s="23">
        <v>45231</v>
      </c>
      <c r="B3936" s="13">
        <v>44</v>
      </c>
      <c r="C3936" t="s">
        <v>3</v>
      </c>
      <c r="D3936" t="s">
        <v>4</v>
      </c>
      <c r="E3936" t="s">
        <v>5</v>
      </c>
      <c r="F3936">
        <v>200625528</v>
      </c>
      <c r="G3936" t="s">
        <v>607</v>
      </c>
      <c r="H3936" t="s">
        <v>1040</v>
      </c>
      <c r="I3936">
        <v>0</v>
      </c>
      <c r="J3936">
        <v>0</v>
      </c>
      <c r="K3936">
        <v>0</v>
      </c>
      <c r="L3936">
        <v>0</v>
      </c>
      <c r="M3936">
        <v>0.1</v>
      </c>
      <c r="N3936" s="7" t="e">
        <f>VLOOKUP(F3936,HC!A$6:D$100,3,FALSE)</f>
        <v>#N/A</v>
      </c>
      <c r="O3936" s="7" t="str">
        <f>VLOOKUP(F3936,HC!A$6:D$1000,2,FALSE)</f>
        <v>olivlizb</v>
      </c>
      <c r="U3936">
        <f t="shared" si="63"/>
        <v>50</v>
      </c>
    </row>
    <row r="3937" spans="1:21" ht="37.5" customHeight="1" x14ac:dyDescent="0.25">
      <c r="A3937" s="23">
        <v>45231</v>
      </c>
      <c r="B3937" s="13">
        <v>44</v>
      </c>
      <c r="C3937" t="s">
        <v>3</v>
      </c>
      <c r="D3937" t="s">
        <v>4</v>
      </c>
      <c r="E3937" t="s">
        <v>5</v>
      </c>
      <c r="F3937">
        <v>201166890</v>
      </c>
      <c r="G3937" t="s">
        <v>998</v>
      </c>
      <c r="H3937" t="s">
        <v>250</v>
      </c>
      <c r="I3937">
        <v>0</v>
      </c>
      <c r="J3937">
        <v>0</v>
      </c>
      <c r="K3937">
        <v>0</v>
      </c>
      <c r="L3937">
        <v>0</v>
      </c>
      <c r="M3937">
        <v>0.63</v>
      </c>
      <c r="N3937" s="7" t="e">
        <f>VLOOKUP(F3937,HC!A$6:D$100,3,FALSE)</f>
        <v>#N/A</v>
      </c>
      <c r="O3937" s="7" t="str">
        <f>VLOOKUP(F3937,HC!A$6:D$1000,2,FALSE)</f>
        <v>lcabadan</v>
      </c>
      <c r="U3937">
        <f t="shared" si="63"/>
        <v>24</v>
      </c>
    </row>
    <row r="3938" spans="1:21" ht="37.5" customHeight="1" x14ac:dyDescent="0.25">
      <c r="A3938" s="23">
        <v>45231</v>
      </c>
      <c r="B3938" s="13">
        <v>44</v>
      </c>
      <c r="C3938" t="s">
        <v>3</v>
      </c>
      <c r="D3938" t="s">
        <v>4</v>
      </c>
      <c r="E3938" t="s">
        <v>5</v>
      </c>
      <c r="F3938">
        <v>201197964</v>
      </c>
      <c r="G3938" t="s">
        <v>1180</v>
      </c>
      <c r="H3938" t="s">
        <v>250</v>
      </c>
      <c r="I3938">
        <v>0</v>
      </c>
      <c r="J3938">
        <v>0</v>
      </c>
      <c r="K3938">
        <v>0</v>
      </c>
      <c r="L3938">
        <v>0</v>
      </c>
      <c r="M3938">
        <v>0.48</v>
      </c>
      <c r="N3938" s="7" t="e">
        <f>VLOOKUP(F3938,HC!A$6:D$100,3,FALSE)</f>
        <v>#N/A</v>
      </c>
      <c r="O3938" s="7" t="str">
        <f>VLOOKUP(F3938,HC!A$6:D$1000,2,FALSE)</f>
        <v>matzquij</v>
      </c>
      <c r="U3938">
        <f t="shared" si="63"/>
        <v>16</v>
      </c>
    </row>
    <row r="3939" spans="1:21" ht="37.5" customHeight="1" x14ac:dyDescent="0.25">
      <c r="A3939" s="23">
        <v>45231</v>
      </c>
      <c r="B3939" s="13">
        <v>44</v>
      </c>
      <c r="C3939" t="s">
        <v>3</v>
      </c>
      <c r="D3939" t="s">
        <v>4</v>
      </c>
      <c r="E3939" t="s">
        <v>5</v>
      </c>
      <c r="F3939">
        <v>201341534</v>
      </c>
      <c r="G3939" t="s">
        <v>1181</v>
      </c>
      <c r="H3939" t="s">
        <v>1040</v>
      </c>
      <c r="I3939">
        <v>0</v>
      </c>
      <c r="J3939">
        <v>0</v>
      </c>
      <c r="K3939">
        <v>0</v>
      </c>
      <c r="L3939">
        <v>0</v>
      </c>
      <c r="M3939">
        <v>0.12</v>
      </c>
      <c r="N3939" s="7" t="e">
        <f>VLOOKUP(F3939,HC!A$6:D$100,3,FALSE)</f>
        <v>#N/A</v>
      </c>
      <c r="O3939" s="7" t="str">
        <f>VLOOKUP(F3939,HC!A$6:D$1000,2,FALSE)</f>
        <v>beceresm</v>
      </c>
      <c r="U3939">
        <f t="shared" si="63"/>
        <v>10</v>
      </c>
    </row>
    <row r="3940" spans="1:21" ht="37.5" customHeight="1" x14ac:dyDescent="0.25">
      <c r="A3940" s="23">
        <v>45231</v>
      </c>
      <c r="B3940" s="13">
        <v>44</v>
      </c>
      <c r="C3940" t="s">
        <v>3</v>
      </c>
      <c r="D3940" t="s">
        <v>4</v>
      </c>
      <c r="E3940" t="s">
        <v>5</v>
      </c>
      <c r="F3940">
        <v>201386201</v>
      </c>
      <c r="G3940" t="s">
        <v>1167</v>
      </c>
      <c r="H3940" t="s">
        <v>1040</v>
      </c>
      <c r="I3940">
        <v>0</v>
      </c>
      <c r="J3940">
        <v>0</v>
      </c>
      <c r="K3940">
        <v>0</v>
      </c>
      <c r="L3940">
        <v>0</v>
      </c>
      <c r="M3940">
        <v>0.31</v>
      </c>
      <c r="N3940" s="7" t="e">
        <f>VLOOKUP(F3940,HC!A$6:D$100,3,FALSE)</f>
        <v>#N/A</v>
      </c>
      <c r="O3940" s="7" t="str">
        <f>VLOOKUP(F3940,HC!A$6:D$1000,2,FALSE)</f>
        <v>castjanr</v>
      </c>
      <c r="U3940">
        <f t="shared" si="63"/>
        <v>11</v>
      </c>
    </row>
    <row r="3941" spans="1:21" ht="37.5" customHeight="1" x14ac:dyDescent="0.25">
      <c r="A3941" s="23">
        <v>45231</v>
      </c>
      <c r="B3941" s="13">
        <v>44</v>
      </c>
      <c r="C3941" t="s">
        <v>3</v>
      </c>
      <c r="D3941" t="s">
        <v>4</v>
      </c>
      <c r="E3941" t="s">
        <v>21</v>
      </c>
      <c r="F3941">
        <v>201837318</v>
      </c>
      <c r="G3941" t="s">
        <v>1737</v>
      </c>
      <c r="H3941" t="s">
        <v>1040</v>
      </c>
      <c r="I3941">
        <v>0</v>
      </c>
      <c r="J3941">
        <v>0</v>
      </c>
      <c r="K3941">
        <v>0</v>
      </c>
      <c r="L3941">
        <v>0</v>
      </c>
      <c r="M3941">
        <v>0.28000000000000003</v>
      </c>
      <c r="N3941" s="7" t="e">
        <f>VLOOKUP(F3941,HC!A$6:D$100,3,FALSE)</f>
        <v>#N/A</v>
      </c>
      <c r="O3941" s="7" t="str">
        <f>VLOOKUP(F3941,HC!A$6:D$1000,2,FALSE)</f>
        <v>ecymauri</v>
      </c>
      <c r="U3941">
        <f t="shared" si="63"/>
        <v>1</v>
      </c>
    </row>
    <row r="3942" spans="1:21" ht="37.5" customHeight="1" x14ac:dyDescent="0.25">
      <c r="A3942" s="23">
        <v>45231</v>
      </c>
      <c r="B3942" s="13">
        <v>44</v>
      </c>
      <c r="C3942" t="s">
        <v>3</v>
      </c>
      <c r="D3942" t="s">
        <v>4</v>
      </c>
      <c r="E3942" t="s">
        <v>21</v>
      </c>
      <c r="F3942">
        <v>201880542</v>
      </c>
      <c r="G3942" t="s">
        <v>1225</v>
      </c>
      <c r="H3942" t="s">
        <v>1040</v>
      </c>
      <c r="I3942">
        <v>0</v>
      </c>
      <c r="J3942">
        <v>0</v>
      </c>
      <c r="K3942">
        <v>0</v>
      </c>
      <c r="L3942">
        <v>0</v>
      </c>
      <c r="M3942">
        <v>2.61</v>
      </c>
      <c r="N3942" s="7" t="e">
        <f>VLOOKUP(F3942,HC!A$6:D$100,3,FALSE)</f>
        <v>#N/A</v>
      </c>
      <c r="O3942" s="7" t="str">
        <f>VLOOKUP(F3942,HC!A$6:D$1000,2,FALSE)</f>
        <v>orticorp</v>
      </c>
      <c r="U3942">
        <f t="shared" si="63"/>
        <v>24</v>
      </c>
    </row>
    <row r="3943" spans="1:21" ht="37.5" customHeight="1" x14ac:dyDescent="0.25">
      <c r="A3943" s="23">
        <v>45231</v>
      </c>
      <c r="B3943" s="13">
        <v>44</v>
      </c>
      <c r="C3943" t="s">
        <v>3</v>
      </c>
      <c r="D3943" t="s">
        <v>4</v>
      </c>
      <c r="E3943" t="s">
        <v>21</v>
      </c>
      <c r="F3943">
        <v>201906503</v>
      </c>
      <c r="G3943" t="s">
        <v>1228</v>
      </c>
      <c r="H3943" t="s">
        <v>1720</v>
      </c>
      <c r="I3943">
        <v>0</v>
      </c>
      <c r="J3943">
        <v>0</v>
      </c>
      <c r="K3943">
        <v>0</v>
      </c>
      <c r="L3943">
        <v>0</v>
      </c>
      <c r="M3943">
        <v>0.16</v>
      </c>
      <c r="N3943" s="7" t="e">
        <f>VLOOKUP(F3943,HC!A$6:D$100,3,FALSE)</f>
        <v>#N/A</v>
      </c>
      <c r="O3943" s="7" t="str">
        <f>VLOOKUP(F3943,HC!A$6:D$1000,2,FALSE)</f>
        <v>mqjennif</v>
      </c>
      <c r="U3943">
        <f t="shared" si="63"/>
        <v>11</v>
      </c>
    </row>
    <row r="3944" spans="1:21" ht="37.5" customHeight="1" x14ac:dyDescent="0.25">
      <c r="A3944" s="23">
        <v>45231</v>
      </c>
      <c r="B3944" s="13">
        <v>44</v>
      </c>
      <c r="C3944" t="s">
        <v>3</v>
      </c>
      <c r="D3944" t="s">
        <v>4</v>
      </c>
      <c r="E3944" t="s">
        <v>21</v>
      </c>
      <c r="F3944">
        <v>202117751</v>
      </c>
      <c r="G3944" t="s">
        <v>1718</v>
      </c>
      <c r="H3944" t="s">
        <v>332</v>
      </c>
      <c r="I3944">
        <v>0</v>
      </c>
      <c r="J3944">
        <v>0</v>
      </c>
      <c r="K3944">
        <v>0</v>
      </c>
      <c r="L3944">
        <v>0</v>
      </c>
      <c r="M3944">
        <v>0.22</v>
      </c>
      <c r="N3944" s="7" t="e">
        <f>VLOOKUP(F3944,HC!A$6:D$100,3,FALSE)</f>
        <v>#N/A</v>
      </c>
      <c r="O3944" s="7" t="str">
        <f>VLOOKUP(F3944,HC!A$6:D$1000,2,FALSE)</f>
        <v>romejhon</v>
      </c>
      <c r="U3944">
        <f t="shared" si="63"/>
        <v>2</v>
      </c>
    </row>
    <row r="3945" spans="1:21" ht="37.5" customHeight="1" x14ac:dyDescent="0.25">
      <c r="A3945" s="23">
        <v>45231</v>
      </c>
      <c r="B3945" s="13">
        <v>44</v>
      </c>
      <c r="C3945" t="s">
        <v>3</v>
      </c>
      <c r="D3945" t="s">
        <v>4</v>
      </c>
      <c r="E3945" t="s">
        <v>21</v>
      </c>
      <c r="F3945">
        <v>202130113</v>
      </c>
      <c r="G3945" t="s">
        <v>1434</v>
      </c>
      <c r="H3945" t="s">
        <v>7</v>
      </c>
      <c r="I3945">
        <v>0</v>
      </c>
      <c r="J3945">
        <v>0</v>
      </c>
      <c r="K3945">
        <v>0</v>
      </c>
      <c r="L3945">
        <v>0</v>
      </c>
      <c r="M3945">
        <v>0.14000000000000001</v>
      </c>
      <c r="N3945" s="7" t="e">
        <f>VLOOKUP(F3945,HC!A$6:D$100,3,FALSE)</f>
        <v>#N/A</v>
      </c>
      <c r="O3945" s="7" t="str">
        <f>VLOOKUP(F3945,HC!A$6:D$1000,2,FALSE)</f>
        <v>tanirang</v>
      </c>
      <c r="U3945">
        <f t="shared" si="63"/>
        <v>5</v>
      </c>
    </row>
    <row r="3946" spans="1:21" ht="37.5" customHeight="1" x14ac:dyDescent="0.25">
      <c r="A3946" s="23">
        <v>45231</v>
      </c>
      <c r="B3946" s="13">
        <v>44</v>
      </c>
      <c r="C3946" t="s">
        <v>3</v>
      </c>
      <c r="D3946" t="s">
        <v>4</v>
      </c>
      <c r="E3946" t="s">
        <v>21</v>
      </c>
      <c r="F3946">
        <v>202137341</v>
      </c>
      <c r="G3946" t="s">
        <v>1291</v>
      </c>
      <c r="H3946" t="s">
        <v>250</v>
      </c>
      <c r="I3946">
        <v>0</v>
      </c>
      <c r="J3946">
        <v>0</v>
      </c>
      <c r="K3946">
        <v>0</v>
      </c>
      <c r="L3946">
        <v>0</v>
      </c>
      <c r="M3946">
        <v>0.11</v>
      </c>
      <c r="N3946" s="7" t="e">
        <f>VLOOKUP(F3946,HC!A$6:D$100,3,FALSE)</f>
        <v>#N/A</v>
      </c>
      <c r="O3946" s="7" t="str">
        <f>VLOOKUP(F3946,HC!A$6:D$1000,2,FALSE)</f>
        <v>xedgabra</v>
      </c>
      <c r="U3946">
        <f t="shared" si="63"/>
        <v>13</v>
      </c>
    </row>
    <row r="3947" spans="1:21" ht="37.5" customHeight="1" x14ac:dyDescent="0.25">
      <c r="A3947" s="23">
        <v>45231</v>
      </c>
      <c r="B3947" s="13">
        <v>44</v>
      </c>
      <c r="C3947" t="s">
        <v>3</v>
      </c>
      <c r="D3947" t="s">
        <v>4</v>
      </c>
      <c r="E3947" t="s">
        <v>21</v>
      </c>
      <c r="F3947">
        <v>202145314</v>
      </c>
      <c r="G3947" t="s">
        <v>1420</v>
      </c>
      <c r="H3947" t="s">
        <v>332</v>
      </c>
      <c r="I3947">
        <v>0</v>
      </c>
      <c r="J3947">
        <v>0</v>
      </c>
      <c r="K3947">
        <v>0</v>
      </c>
      <c r="L3947">
        <v>0</v>
      </c>
      <c r="M3947">
        <v>0.25</v>
      </c>
      <c r="N3947" s="7" t="e">
        <f>VLOOKUP(F3947,HC!A$6:D$100,3,FALSE)</f>
        <v>#N/A</v>
      </c>
      <c r="O3947" s="7" t="str">
        <f>VLOOKUP(F3947,HC!A$6:D$1000,2,FALSE)</f>
        <v>neftalpa</v>
      </c>
      <c r="U3947">
        <f t="shared" si="63"/>
        <v>3</v>
      </c>
    </row>
    <row r="3948" spans="1:21" ht="37.5" customHeight="1" x14ac:dyDescent="0.25">
      <c r="A3948" s="23">
        <v>45231</v>
      </c>
      <c r="B3948" s="13">
        <v>44</v>
      </c>
      <c r="C3948" t="s">
        <v>3</v>
      </c>
      <c r="D3948" t="s">
        <v>4</v>
      </c>
      <c r="E3948" t="s">
        <v>21</v>
      </c>
      <c r="F3948">
        <v>202173806</v>
      </c>
      <c r="G3948" t="s">
        <v>1408</v>
      </c>
      <c r="H3948" t="s">
        <v>1040</v>
      </c>
      <c r="I3948">
        <v>0</v>
      </c>
      <c r="J3948">
        <v>0</v>
      </c>
      <c r="K3948">
        <v>0</v>
      </c>
      <c r="L3948">
        <v>0</v>
      </c>
      <c r="M3948">
        <v>0.99</v>
      </c>
      <c r="N3948" s="7" t="e">
        <f>VLOOKUP(F3948,HC!A$6:D$100,3,FALSE)</f>
        <v>#N/A</v>
      </c>
      <c r="O3948" s="7" t="str">
        <f>VLOOKUP(F3948,HC!A$6:D$1000,2,FALSE)</f>
        <v>crurenda</v>
      </c>
      <c r="U3948">
        <f t="shared" si="63"/>
        <v>5</v>
      </c>
    </row>
    <row r="3949" spans="1:21" ht="37.5" customHeight="1" x14ac:dyDescent="0.25">
      <c r="A3949" s="23">
        <v>45231</v>
      </c>
      <c r="B3949" s="13">
        <v>44</v>
      </c>
      <c r="C3949" t="s">
        <v>3</v>
      </c>
      <c r="D3949" t="s">
        <v>4</v>
      </c>
      <c r="E3949" t="s">
        <v>21</v>
      </c>
      <c r="F3949">
        <v>202185991</v>
      </c>
      <c r="G3949" t="s">
        <v>1444</v>
      </c>
      <c r="H3949" t="s">
        <v>1040</v>
      </c>
      <c r="I3949">
        <v>0</v>
      </c>
      <c r="J3949">
        <v>0</v>
      </c>
      <c r="K3949">
        <v>0</v>
      </c>
      <c r="L3949">
        <v>0</v>
      </c>
      <c r="M3949">
        <v>0.27</v>
      </c>
      <c r="N3949" s="7" t="e">
        <f>VLOOKUP(F3949,HC!A$6:D$100,3,FALSE)</f>
        <v>#N/A</v>
      </c>
      <c r="O3949" s="7" t="str">
        <f>VLOOKUP(F3949,HC!A$6:D$1000,2,FALSE)</f>
        <v>vaziandr</v>
      </c>
      <c r="U3949">
        <f t="shared" si="63"/>
        <v>4</v>
      </c>
    </row>
    <row r="3950" spans="1:21" ht="37.5" customHeight="1" x14ac:dyDescent="0.25">
      <c r="A3950" s="23">
        <v>45231</v>
      </c>
      <c r="B3950" s="13">
        <v>44</v>
      </c>
      <c r="C3950" t="s">
        <v>3</v>
      </c>
      <c r="D3950" t="s">
        <v>4</v>
      </c>
      <c r="E3950" t="s">
        <v>21</v>
      </c>
      <c r="F3950">
        <v>202194885</v>
      </c>
      <c r="G3950" t="s">
        <v>1738</v>
      </c>
      <c r="H3950" t="s">
        <v>285</v>
      </c>
      <c r="I3950">
        <v>0</v>
      </c>
      <c r="J3950">
        <v>0</v>
      </c>
      <c r="K3950">
        <v>0</v>
      </c>
      <c r="L3950">
        <v>0</v>
      </c>
      <c r="M3950">
        <v>0.34</v>
      </c>
      <c r="N3950" s="7" t="e">
        <f>VLOOKUP(F3950,HC!A$6:D$100,3,FALSE)</f>
        <v>#N/A</v>
      </c>
      <c r="O3950" s="7" t="str">
        <f>VLOOKUP(F3950,HC!A$6:D$1000,2,FALSE)</f>
        <v>bermisrq</v>
      </c>
      <c r="U3950">
        <f t="shared" si="63"/>
        <v>6</v>
      </c>
    </row>
    <row r="3951" spans="1:21" ht="37.5" customHeight="1" x14ac:dyDescent="0.25">
      <c r="A3951" s="23">
        <v>45231</v>
      </c>
      <c r="B3951" s="13">
        <v>44</v>
      </c>
      <c r="C3951" t="s">
        <v>3</v>
      </c>
      <c r="D3951" t="s">
        <v>4</v>
      </c>
      <c r="E3951" t="s">
        <v>21</v>
      </c>
      <c r="F3951">
        <v>202225994</v>
      </c>
      <c r="G3951" t="s">
        <v>1739</v>
      </c>
      <c r="H3951" t="s">
        <v>250</v>
      </c>
      <c r="I3951">
        <v>0</v>
      </c>
      <c r="J3951">
        <v>0</v>
      </c>
      <c r="K3951">
        <v>0</v>
      </c>
      <c r="L3951">
        <v>0</v>
      </c>
      <c r="M3951">
        <v>1.04</v>
      </c>
      <c r="N3951" s="7" t="e">
        <f>VLOOKUP(F3951,HC!A$6:D$100,3,FALSE)</f>
        <v>#N/A</v>
      </c>
      <c r="O3951" s="7" t="str">
        <f>VLOOKUP(F3951,HC!A$6:D$1000,2,FALSE)</f>
        <v>jaureyiv</v>
      </c>
      <c r="U3951">
        <f t="shared" si="63"/>
        <v>4</v>
      </c>
    </row>
    <row r="3952" spans="1:21" ht="37.5" customHeight="1" x14ac:dyDescent="0.25">
      <c r="A3952" s="23">
        <v>45231</v>
      </c>
      <c r="B3952" s="13">
        <v>44</v>
      </c>
      <c r="C3952" t="s">
        <v>3</v>
      </c>
      <c r="D3952" t="s">
        <v>4</v>
      </c>
      <c r="E3952" t="s">
        <v>21</v>
      </c>
      <c r="F3952">
        <v>202227928</v>
      </c>
      <c r="G3952" t="s">
        <v>1713</v>
      </c>
      <c r="H3952" t="s">
        <v>298</v>
      </c>
      <c r="I3952">
        <v>0</v>
      </c>
      <c r="J3952">
        <v>0</v>
      </c>
      <c r="K3952">
        <v>0</v>
      </c>
      <c r="L3952">
        <v>0</v>
      </c>
      <c r="M3952">
        <v>0.22</v>
      </c>
      <c r="N3952" s="7" t="e">
        <f>VLOOKUP(F3952,HC!A$6:D$100,3,FALSE)</f>
        <v>#N/A</v>
      </c>
      <c r="O3952" s="7" t="str">
        <f>VLOOKUP(F3952,HC!A$6:D$1000,2,FALSE)</f>
        <v>fpablmar</v>
      </c>
      <c r="U3952">
        <f t="shared" si="63"/>
        <v>2</v>
      </c>
    </row>
    <row r="3953" spans="1:21" ht="37.5" customHeight="1" x14ac:dyDescent="0.25">
      <c r="A3953" s="23">
        <v>45231</v>
      </c>
      <c r="B3953" s="13">
        <v>44</v>
      </c>
      <c r="C3953" t="s">
        <v>3</v>
      </c>
      <c r="D3953" t="s">
        <v>4</v>
      </c>
      <c r="E3953" t="s">
        <v>21</v>
      </c>
      <c r="F3953">
        <v>202247877</v>
      </c>
      <c r="G3953" t="s">
        <v>1740</v>
      </c>
      <c r="H3953" t="s">
        <v>250</v>
      </c>
      <c r="I3953">
        <v>0</v>
      </c>
      <c r="J3953">
        <v>0</v>
      </c>
      <c r="K3953">
        <v>0</v>
      </c>
      <c r="L3953">
        <v>0</v>
      </c>
      <c r="M3953">
        <v>0.44</v>
      </c>
      <c r="N3953" s="7" t="e">
        <f>VLOOKUP(F3953,HC!A$6:D$100,3,FALSE)</f>
        <v>#N/A</v>
      </c>
      <c r="O3953" s="7" t="str">
        <f>VLOOKUP(F3953,HC!A$6:D$1000,2,FALSE)</f>
        <v>musantib</v>
      </c>
      <c r="U3953">
        <f t="shared" si="63"/>
        <v>1</v>
      </c>
    </row>
    <row r="3954" spans="1:21" ht="37.5" customHeight="1" x14ac:dyDescent="0.25">
      <c r="A3954" s="23">
        <v>45231</v>
      </c>
      <c r="B3954" s="13">
        <v>44</v>
      </c>
      <c r="C3954" t="s">
        <v>3</v>
      </c>
      <c r="D3954" t="s">
        <v>4</v>
      </c>
      <c r="E3954" t="s">
        <v>21</v>
      </c>
      <c r="F3954">
        <v>202254886</v>
      </c>
      <c r="G3954" t="s">
        <v>1741</v>
      </c>
      <c r="H3954" t="s">
        <v>403</v>
      </c>
      <c r="I3954">
        <v>0</v>
      </c>
      <c r="J3954">
        <v>0</v>
      </c>
      <c r="K3954">
        <v>0</v>
      </c>
      <c r="L3954">
        <v>0</v>
      </c>
      <c r="M3954">
        <v>2.67</v>
      </c>
      <c r="N3954" s="7" t="e">
        <f>VLOOKUP(F3954,HC!A$6:D$100,3,FALSE)</f>
        <v>#N/A</v>
      </c>
      <c r="O3954" s="7" t="str">
        <f>VLOOKUP(F3954,HC!A$6:D$1000,2,FALSE)</f>
        <v>xmenjare</v>
      </c>
      <c r="U3954">
        <f t="shared" si="63"/>
        <v>5</v>
      </c>
    </row>
    <row r="3955" spans="1:21" ht="37.5" customHeight="1" x14ac:dyDescent="0.25">
      <c r="A3955" s="23">
        <v>45231</v>
      </c>
      <c r="B3955" s="13">
        <v>44</v>
      </c>
      <c r="C3955" t="s">
        <v>3</v>
      </c>
      <c r="D3955" t="s">
        <v>4</v>
      </c>
      <c r="E3955" t="s">
        <v>21</v>
      </c>
      <c r="F3955">
        <v>202288018</v>
      </c>
      <c r="G3955" t="s">
        <v>1742</v>
      </c>
      <c r="H3955" t="s">
        <v>332</v>
      </c>
      <c r="I3955">
        <v>0</v>
      </c>
      <c r="J3955">
        <v>0</v>
      </c>
      <c r="K3955">
        <v>0</v>
      </c>
      <c r="L3955">
        <v>0</v>
      </c>
      <c r="M3955">
        <v>0.49</v>
      </c>
      <c r="N3955" s="7" t="e">
        <f>VLOOKUP(F3955,HC!A$6:D$100,3,FALSE)</f>
        <v>#N/A</v>
      </c>
      <c r="O3955" s="7" t="str">
        <f>VLOOKUP(F3955,HC!A$6:D$1000,2,FALSE)</f>
        <v>legallek</v>
      </c>
      <c r="U3955">
        <f t="shared" si="63"/>
        <v>1</v>
      </c>
    </row>
    <row r="3956" spans="1:21" ht="37.5" customHeight="1" x14ac:dyDescent="0.25">
      <c r="A3956" s="23">
        <v>45231</v>
      </c>
      <c r="B3956" s="13">
        <v>44</v>
      </c>
      <c r="C3956" t="s">
        <v>3</v>
      </c>
      <c r="D3956" t="s">
        <v>4</v>
      </c>
      <c r="E3956" t="s">
        <v>21</v>
      </c>
      <c r="F3956">
        <v>202308885</v>
      </c>
      <c r="G3956" t="s">
        <v>1743</v>
      </c>
      <c r="H3956" t="s">
        <v>263</v>
      </c>
      <c r="I3956">
        <v>0</v>
      </c>
      <c r="J3956">
        <v>0</v>
      </c>
      <c r="K3956">
        <v>0</v>
      </c>
      <c r="L3956">
        <v>0</v>
      </c>
      <c r="M3956">
        <v>0.18</v>
      </c>
      <c r="N3956" s="7" t="e">
        <f>VLOOKUP(F3956,HC!A$6:D$100,3,FALSE)</f>
        <v>#N/A</v>
      </c>
      <c r="O3956" s="7" t="str">
        <f>VLOOKUP(F3956,HC!A$6:D$1000,2,FALSE)</f>
        <v>aderikas</v>
      </c>
      <c r="U3956">
        <f t="shared" si="63"/>
        <v>2</v>
      </c>
    </row>
    <row r="3957" spans="1:21" ht="37.5" customHeight="1" x14ac:dyDescent="0.25">
      <c r="A3957" s="23">
        <v>45231</v>
      </c>
      <c r="B3957" s="13">
        <v>44</v>
      </c>
      <c r="C3957" t="s">
        <v>3</v>
      </c>
      <c r="D3957" t="s">
        <v>4</v>
      </c>
      <c r="E3957" t="s">
        <v>21</v>
      </c>
      <c r="F3957">
        <v>202329548</v>
      </c>
      <c r="G3957" t="s">
        <v>1744</v>
      </c>
      <c r="H3957" t="s">
        <v>7</v>
      </c>
      <c r="I3957">
        <v>0</v>
      </c>
      <c r="J3957">
        <v>0</v>
      </c>
      <c r="K3957">
        <v>0</v>
      </c>
      <c r="L3957">
        <v>0</v>
      </c>
      <c r="M3957">
        <v>0.93</v>
      </c>
      <c r="N3957" s="7" t="e">
        <f>VLOOKUP(F3957,HC!A$6:D$100,3,FALSE)</f>
        <v>#N/A</v>
      </c>
      <c r="O3957" s="7" t="str">
        <f>VLOOKUP(F3957,HC!A$6:D$1000,2,FALSE)</f>
        <v>kgushern</v>
      </c>
      <c r="U3957">
        <f t="shared" si="63"/>
        <v>1</v>
      </c>
    </row>
    <row r="3958" spans="1:21" ht="37.5" customHeight="1" x14ac:dyDescent="0.25">
      <c r="A3958" s="23">
        <v>45231</v>
      </c>
      <c r="B3958" s="13">
        <v>44</v>
      </c>
      <c r="C3958" t="s">
        <v>3</v>
      </c>
      <c r="D3958" t="s">
        <v>4</v>
      </c>
      <c r="E3958" t="s">
        <v>21</v>
      </c>
      <c r="F3958">
        <v>202334866</v>
      </c>
      <c r="G3958" t="s">
        <v>1745</v>
      </c>
      <c r="H3958" t="s">
        <v>7</v>
      </c>
      <c r="I3958">
        <v>0</v>
      </c>
      <c r="J3958">
        <v>0</v>
      </c>
      <c r="K3958">
        <v>0</v>
      </c>
      <c r="L3958">
        <v>0</v>
      </c>
      <c r="M3958">
        <v>2.0699999999999998</v>
      </c>
      <c r="N3958" s="7" t="e">
        <f>VLOOKUP(F3958,HC!A$6:D$100,3,FALSE)</f>
        <v>#N/A</v>
      </c>
      <c r="O3958" s="7" t="str">
        <f>VLOOKUP(F3958,HC!A$6:D$1000,2,FALSE)</f>
        <v>villwkel</v>
      </c>
      <c r="U3958">
        <f t="shared" si="63"/>
        <v>2</v>
      </c>
    </row>
    <row r="3959" spans="1:21" ht="37.5" customHeight="1" x14ac:dyDescent="0.25">
      <c r="A3959" s="23">
        <v>45231</v>
      </c>
      <c r="B3959" s="13">
        <v>44</v>
      </c>
      <c r="C3959" t="s">
        <v>3</v>
      </c>
      <c r="D3959" t="s">
        <v>4</v>
      </c>
      <c r="E3959" t="s">
        <v>21</v>
      </c>
      <c r="F3959">
        <v>202408362</v>
      </c>
      <c r="G3959" t="s">
        <v>1746</v>
      </c>
      <c r="H3959" t="s">
        <v>282</v>
      </c>
      <c r="I3959">
        <v>0</v>
      </c>
      <c r="J3959">
        <v>0</v>
      </c>
      <c r="K3959">
        <v>0</v>
      </c>
      <c r="L3959">
        <v>0</v>
      </c>
      <c r="M3959">
        <v>0.33</v>
      </c>
      <c r="N3959" s="7" t="e">
        <f>VLOOKUP(F3959,HC!A$6:D$100,3,FALSE)</f>
        <v>#N/A</v>
      </c>
      <c r="O3959" s="7" t="str">
        <f>VLOOKUP(F3959,HC!A$6:D$1000,2,FALSE)</f>
        <v>alhepaz</v>
      </c>
      <c r="U3959">
        <f t="shared" si="63"/>
        <v>2</v>
      </c>
    </row>
    <row r="3960" spans="1:21" ht="37.5" customHeight="1" x14ac:dyDescent="0.25">
      <c r="A3960" s="23">
        <v>45231</v>
      </c>
      <c r="B3960" s="13">
        <v>44</v>
      </c>
      <c r="C3960" t="s">
        <v>3</v>
      </c>
      <c r="D3960" t="s">
        <v>4</v>
      </c>
      <c r="E3960" t="s">
        <v>21</v>
      </c>
      <c r="F3960">
        <v>202409832</v>
      </c>
      <c r="G3960" t="s">
        <v>1747</v>
      </c>
      <c r="H3960" t="s">
        <v>14</v>
      </c>
      <c r="I3960">
        <v>0</v>
      </c>
      <c r="J3960">
        <v>0</v>
      </c>
      <c r="K3960">
        <v>0</v>
      </c>
      <c r="L3960">
        <v>0</v>
      </c>
      <c r="M3960">
        <v>0.23</v>
      </c>
      <c r="N3960" s="7" t="e">
        <f>VLOOKUP(F3960,HC!A$6:D$100,3,FALSE)</f>
        <v>#N/A</v>
      </c>
      <c r="O3960" s="7" t="str">
        <f>VLOOKUP(F3960,HC!A$6:D$1000,2,FALSE)</f>
        <v>lmartive</v>
      </c>
      <c r="U3960">
        <f t="shared" si="63"/>
        <v>1</v>
      </c>
    </row>
    <row r="3961" spans="1:21" ht="37.5" customHeight="1" x14ac:dyDescent="0.25">
      <c r="A3961" s="23">
        <v>45231</v>
      </c>
      <c r="B3961" s="13">
        <v>44</v>
      </c>
      <c r="C3961" t="s">
        <v>3</v>
      </c>
      <c r="D3961" t="s">
        <v>4</v>
      </c>
      <c r="E3961" t="s">
        <v>21</v>
      </c>
      <c r="F3961">
        <v>202410548</v>
      </c>
      <c r="G3961" t="s">
        <v>1748</v>
      </c>
      <c r="H3961" t="s">
        <v>282</v>
      </c>
      <c r="I3961">
        <v>0</v>
      </c>
      <c r="J3961">
        <v>0</v>
      </c>
      <c r="K3961">
        <v>0</v>
      </c>
      <c r="L3961">
        <v>0</v>
      </c>
      <c r="M3961">
        <v>0.16</v>
      </c>
      <c r="N3961" s="7" t="e">
        <f>VLOOKUP(F3961,HC!A$6:D$100,3,FALSE)</f>
        <v>#N/A</v>
      </c>
      <c r="O3961" s="7" t="str">
        <f>VLOOKUP(F3961,HC!A$6:D$1000,2,FALSE)</f>
        <v>cehramir</v>
      </c>
      <c r="U3961">
        <f t="shared" si="63"/>
        <v>1</v>
      </c>
    </row>
    <row r="3962" spans="1:21" ht="37.5" customHeight="1" x14ac:dyDescent="0.25">
      <c r="A3962" s="23">
        <v>45231</v>
      </c>
      <c r="B3962" s="13">
        <v>44</v>
      </c>
      <c r="C3962" t="s">
        <v>3</v>
      </c>
      <c r="D3962" t="s">
        <v>4</v>
      </c>
      <c r="E3962" t="s">
        <v>21</v>
      </c>
      <c r="F3962">
        <v>202442798</v>
      </c>
      <c r="G3962" t="s">
        <v>1749</v>
      </c>
      <c r="H3962" t="s">
        <v>282</v>
      </c>
      <c r="I3962">
        <v>0</v>
      </c>
      <c r="J3962">
        <v>0</v>
      </c>
      <c r="K3962">
        <v>0</v>
      </c>
      <c r="L3962">
        <v>0</v>
      </c>
      <c r="M3962">
        <v>0.04</v>
      </c>
      <c r="N3962" s="7" t="e">
        <f>VLOOKUP(F3962,HC!A$6:D$100,3,FALSE)</f>
        <v>#N/A</v>
      </c>
      <c r="O3962" s="7" t="str">
        <f>VLOOKUP(F3962,HC!A$6:D$1000,2,FALSE)</f>
        <v>loredose</v>
      </c>
      <c r="U3962">
        <f t="shared" si="63"/>
        <v>3</v>
      </c>
    </row>
    <row r="3963" spans="1:21" ht="37.5" customHeight="1" x14ac:dyDescent="0.25">
      <c r="A3963" s="23">
        <v>45232</v>
      </c>
      <c r="B3963" s="13">
        <v>44</v>
      </c>
      <c r="C3963" t="s">
        <v>3</v>
      </c>
      <c r="D3963" t="s">
        <v>4</v>
      </c>
      <c r="E3963" t="s">
        <v>5</v>
      </c>
      <c r="F3963">
        <v>112912983</v>
      </c>
      <c r="G3963" t="s">
        <v>558</v>
      </c>
      <c r="H3963" t="s">
        <v>332</v>
      </c>
      <c r="I3963">
        <v>0</v>
      </c>
      <c r="J3963">
        <v>0</v>
      </c>
      <c r="K3963">
        <v>0</v>
      </c>
      <c r="L3963">
        <v>0</v>
      </c>
      <c r="M3963">
        <v>0.09</v>
      </c>
      <c r="N3963" s="7" t="str">
        <f>VLOOKUP(F3963,HC!A$6:D$100,3,FALSE)</f>
        <v>NF-X1900</v>
      </c>
      <c r="O3963" s="7" t="str">
        <f>VLOOKUP(F3963,HC!A$6:D$1000,2,FALSE)</f>
        <v>wrocirod</v>
      </c>
      <c r="U3963">
        <f t="shared" si="63"/>
        <v>16</v>
      </c>
    </row>
    <row r="3964" spans="1:21" ht="37.5" customHeight="1" x14ac:dyDescent="0.25">
      <c r="A3964" s="23">
        <v>45232</v>
      </c>
      <c r="B3964" s="13">
        <v>44</v>
      </c>
      <c r="C3964" t="s">
        <v>3</v>
      </c>
      <c r="D3964" t="s">
        <v>4</v>
      </c>
      <c r="E3964" t="s">
        <v>5</v>
      </c>
      <c r="F3964">
        <v>112971988</v>
      </c>
      <c r="G3964" t="s">
        <v>596</v>
      </c>
      <c r="H3964" t="s">
        <v>1720</v>
      </c>
      <c r="I3964">
        <v>0</v>
      </c>
      <c r="J3964">
        <v>0</v>
      </c>
      <c r="K3964">
        <v>0</v>
      </c>
      <c r="L3964">
        <v>0</v>
      </c>
      <c r="M3964">
        <v>0.74</v>
      </c>
      <c r="N3964" s="7" t="str">
        <f>VLOOKUP(F3964,HC!A$6:D$100,3,FALSE)</f>
        <v>DB-X0700</v>
      </c>
      <c r="O3964" s="7" t="str">
        <f>VLOOKUP(F3964,HC!A$6:D$1000,2,FALSE)</f>
        <v>fadtrejo</v>
      </c>
      <c r="U3964">
        <f t="shared" si="63"/>
        <v>7</v>
      </c>
    </row>
    <row r="3965" spans="1:21" ht="37.5" customHeight="1" x14ac:dyDescent="0.25">
      <c r="A3965" s="23">
        <v>45232</v>
      </c>
      <c r="B3965" s="13">
        <v>44</v>
      </c>
      <c r="C3965" t="s">
        <v>3</v>
      </c>
      <c r="D3965" t="s">
        <v>4</v>
      </c>
      <c r="E3965" t="s">
        <v>5</v>
      </c>
      <c r="F3965">
        <v>113020476</v>
      </c>
      <c r="G3965" t="s">
        <v>330</v>
      </c>
      <c r="H3965" t="s">
        <v>298</v>
      </c>
      <c r="I3965">
        <v>0</v>
      </c>
      <c r="J3965">
        <v>0</v>
      </c>
      <c r="K3965">
        <v>0</v>
      </c>
      <c r="L3965">
        <v>0</v>
      </c>
      <c r="M3965">
        <v>0.37</v>
      </c>
      <c r="N3965" s="7" t="e">
        <f>VLOOKUP(F3965,HC!A$6:D$100,3,FALSE)</f>
        <v>#N/A</v>
      </c>
      <c r="O3965" s="7" t="str">
        <f>VLOOKUP(F3965,HC!A$6:D$1000,2,FALSE)</f>
        <v>polettpu</v>
      </c>
      <c r="U3965">
        <f t="shared" si="63"/>
        <v>55</v>
      </c>
    </row>
    <row r="3966" spans="1:21" ht="37.5" customHeight="1" x14ac:dyDescent="0.25">
      <c r="A3966" s="23">
        <v>45232</v>
      </c>
      <c r="B3966" s="13">
        <v>44</v>
      </c>
      <c r="C3966" t="s">
        <v>3</v>
      </c>
      <c r="D3966" t="s">
        <v>4</v>
      </c>
      <c r="E3966" t="s">
        <v>5</v>
      </c>
      <c r="F3966">
        <v>113138338</v>
      </c>
      <c r="G3966" t="s">
        <v>398</v>
      </c>
      <c r="H3966" t="s">
        <v>332</v>
      </c>
      <c r="I3966">
        <v>0</v>
      </c>
      <c r="J3966">
        <v>0</v>
      </c>
      <c r="K3966">
        <v>0</v>
      </c>
      <c r="L3966">
        <v>0</v>
      </c>
      <c r="M3966">
        <v>0.64</v>
      </c>
      <c r="N3966" s="7" t="e">
        <f>VLOOKUP(F3966,HC!A$6:D$100,3,FALSE)</f>
        <v>#N/A</v>
      </c>
      <c r="O3966" s="7" t="str">
        <f>VLOOKUP(F3966,HC!A$6:D$1000,2,FALSE)</f>
        <v>cescornh</v>
      </c>
      <c r="U3966">
        <f t="shared" si="63"/>
        <v>10</v>
      </c>
    </row>
    <row r="3967" spans="1:21" ht="37.5" customHeight="1" x14ac:dyDescent="0.25">
      <c r="A3967" s="23">
        <v>45232</v>
      </c>
      <c r="B3967" s="13">
        <v>44</v>
      </c>
      <c r="C3967" t="s">
        <v>3</v>
      </c>
      <c r="D3967" t="s">
        <v>4</v>
      </c>
      <c r="E3967" t="s">
        <v>5</v>
      </c>
      <c r="F3967">
        <v>201167388</v>
      </c>
      <c r="G3967" t="s">
        <v>1096</v>
      </c>
      <c r="H3967" t="s">
        <v>298</v>
      </c>
      <c r="I3967">
        <v>0</v>
      </c>
      <c r="J3967">
        <v>0</v>
      </c>
      <c r="K3967">
        <v>0</v>
      </c>
      <c r="L3967">
        <v>0</v>
      </c>
      <c r="M3967">
        <v>0.32</v>
      </c>
      <c r="N3967" s="7" t="e">
        <f>VLOOKUP(F3967,HC!A$6:D$100,3,FALSE)</f>
        <v>#N/A</v>
      </c>
      <c r="O3967" s="7" t="str">
        <f>VLOOKUP(F3967,HC!A$6:D$1000,2,FALSE)</f>
        <v>naguirro</v>
      </c>
      <c r="U3967">
        <f t="shared" si="63"/>
        <v>7</v>
      </c>
    </row>
    <row r="3968" spans="1:21" ht="37.5" customHeight="1" x14ac:dyDescent="0.25">
      <c r="A3968" s="23">
        <v>45232</v>
      </c>
      <c r="B3968" s="13">
        <v>44</v>
      </c>
      <c r="C3968" t="s">
        <v>3</v>
      </c>
      <c r="D3968" t="s">
        <v>4</v>
      </c>
      <c r="E3968" t="s">
        <v>5</v>
      </c>
      <c r="F3968">
        <v>201223730</v>
      </c>
      <c r="G3968" t="s">
        <v>933</v>
      </c>
      <c r="H3968" t="s">
        <v>298</v>
      </c>
      <c r="I3968">
        <v>0</v>
      </c>
      <c r="J3968">
        <v>0</v>
      </c>
      <c r="K3968">
        <v>0</v>
      </c>
      <c r="L3968">
        <v>0</v>
      </c>
      <c r="M3968">
        <v>1.06</v>
      </c>
      <c r="N3968" s="7" t="e">
        <f>VLOOKUP(F3968,HC!A$6:D$100,3,FALSE)</f>
        <v>#N/A</v>
      </c>
      <c r="O3968" s="7" t="str">
        <f>VLOOKUP(F3968,HC!A$6:D$1000,2,FALSE)</f>
        <v>cesarito</v>
      </c>
      <c r="U3968">
        <f t="shared" si="63"/>
        <v>39</v>
      </c>
    </row>
    <row r="3969" spans="1:21" ht="37.5" customHeight="1" x14ac:dyDescent="0.25">
      <c r="A3969" s="23">
        <v>45232</v>
      </c>
      <c r="B3969" s="13">
        <v>44</v>
      </c>
      <c r="C3969" t="s">
        <v>3</v>
      </c>
      <c r="D3969" t="s">
        <v>4</v>
      </c>
      <c r="E3969" t="s">
        <v>5</v>
      </c>
      <c r="F3969">
        <v>201228411</v>
      </c>
      <c r="G3969" t="s">
        <v>938</v>
      </c>
      <c r="H3969" t="s">
        <v>298</v>
      </c>
      <c r="I3969">
        <v>0</v>
      </c>
      <c r="J3969">
        <v>0</v>
      </c>
      <c r="K3969">
        <v>0</v>
      </c>
      <c r="L3969">
        <v>0</v>
      </c>
      <c r="M3969">
        <v>1.1399999999999999</v>
      </c>
      <c r="N3969" s="7" t="e">
        <f>VLOOKUP(F3969,HC!A$6:D$100,3,FALSE)</f>
        <v>#N/A</v>
      </c>
      <c r="O3969" s="7" t="str">
        <f>VLOOKUP(F3969,HC!A$6:D$1000,2,FALSE)</f>
        <v>jazmiwhe</v>
      </c>
      <c r="U3969">
        <f t="shared" si="63"/>
        <v>36</v>
      </c>
    </row>
    <row r="3970" spans="1:21" ht="37.5" customHeight="1" x14ac:dyDescent="0.25">
      <c r="A3970" s="23">
        <v>45232</v>
      </c>
      <c r="B3970" s="13">
        <v>44</v>
      </c>
      <c r="C3970" t="s">
        <v>3</v>
      </c>
      <c r="D3970" t="s">
        <v>4</v>
      </c>
      <c r="E3970" t="s">
        <v>5</v>
      </c>
      <c r="F3970">
        <v>201353234</v>
      </c>
      <c r="G3970" t="s">
        <v>1168</v>
      </c>
      <c r="H3970" t="s">
        <v>1720</v>
      </c>
      <c r="I3970">
        <v>0</v>
      </c>
      <c r="J3970">
        <v>0</v>
      </c>
      <c r="K3970">
        <v>0</v>
      </c>
      <c r="L3970">
        <v>0</v>
      </c>
      <c r="M3970">
        <v>0.41</v>
      </c>
      <c r="N3970" s="7" t="e">
        <f>VLOOKUP(F3970,HC!A$6:D$100,3,FALSE)</f>
        <v>#N/A</v>
      </c>
      <c r="O3970" s="7" t="str">
        <f>VLOOKUP(F3970,HC!A$6:D$1000,2,FALSE)</f>
        <v>paeramon</v>
      </c>
      <c r="U3970">
        <f t="shared" si="63"/>
        <v>6</v>
      </c>
    </row>
    <row r="3971" spans="1:21" ht="37.5" customHeight="1" x14ac:dyDescent="0.25">
      <c r="A3971" s="23">
        <v>45232</v>
      </c>
      <c r="B3971" s="13">
        <v>44</v>
      </c>
      <c r="C3971" t="s">
        <v>3</v>
      </c>
      <c r="D3971" t="s">
        <v>4</v>
      </c>
      <c r="E3971" t="s">
        <v>21</v>
      </c>
      <c r="F3971">
        <v>201408478</v>
      </c>
      <c r="G3971" t="s">
        <v>1110</v>
      </c>
      <c r="H3971" t="s">
        <v>298</v>
      </c>
      <c r="I3971">
        <v>0</v>
      </c>
      <c r="J3971">
        <v>0</v>
      </c>
      <c r="K3971">
        <v>0</v>
      </c>
      <c r="L3971">
        <v>0</v>
      </c>
      <c r="M3971">
        <v>0.32</v>
      </c>
      <c r="N3971" s="7" t="e">
        <f>VLOOKUP(F3971,HC!A$6:D$100,3,FALSE)</f>
        <v>#N/A</v>
      </c>
      <c r="O3971" s="7" t="str">
        <f>VLOOKUP(F3971,HC!A$6:D$1000,2,FALSE)</f>
        <v>dacaldey</v>
      </c>
      <c r="U3971">
        <f t="shared" ref="U3971:U4034" si="64">COUNTIF(O$2:O$4999,O3971)</f>
        <v>12</v>
      </c>
    </row>
    <row r="3972" spans="1:21" ht="37.5" customHeight="1" x14ac:dyDescent="0.25">
      <c r="A3972" s="23">
        <v>45232</v>
      </c>
      <c r="B3972" s="13">
        <v>44</v>
      </c>
      <c r="C3972" t="s">
        <v>3</v>
      </c>
      <c r="D3972" t="s">
        <v>4</v>
      </c>
      <c r="E3972" t="s">
        <v>21</v>
      </c>
      <c r="F3972">
        <v>201842064</v>
      </c>
      <c r="G3972" t="s">
        <v>1241</v>
      </c>
      <c r="H3972" t="s">
        <v>285</v>
      </c>
      <c r="I3972">
        <v>0</v>
      </c>
      <c r="J3972">
        <v>0</v>
      </c>
      <c r="K3972">
        <v>0</v>
      </c>
      <c r="L3972">
        <v>0</v>
      </c>
      <c r="M3972">
        <v>0.46</v>
      </c>
      <c r="N3972" s="7" t="e">
        <f>VLOOKUP(F3972,HC!A$6:D$100,3,FALSE)</f>
        <v>#N/A</v>
      </c>
      <c r="O3972" s="7" t="str">
        <f>VLOOKUP(F3972,HC!A$6:D$1000,2,FALSE)</f>
        <v>agriandl</v>
      </c>
      <c r="U3972">
        <f t="shared" si="64"/>
        <v>12</v>
      </c>
    </row>
    <row r="3973" spans="1:21" ht="37.5" customHeight="1" x14ac:dyDescent="0.25">
      <c r="A3973" s="23">
        <v>45232</v>
      </c>
      <c r="B3973" s="13">
        <v>44</v>
      </c>
      <c r="C3973" t="s">
        <v>3</v>
      </c>
      <c r="D3973" t="s">
        <v>4</v>
      </c>
      <c r="E3973" t="s">
        <v>21</v>
      </c>
      <c r="F3973">
        <v>202062181</v>
      </c>
      <c r="G3973" t="s">
        <v>1401</v>
      </c>
      <c r="H3973" t="s">
        <v>250</v>
      </c>
      <c r="I3973">
        <v>0</v>
      </c>
      <c r="J3973">
        <v>0</v>
      </c>
      <c r="K3973">
        <v>0</v>
      </c>
      <c r="L3973">
        <v>0</v>
      </c>
      <c r="M3973">
        <v>0.11</v>
      </c>
      <c r="N3973" s="7" t="e">
        <f>VLOOKUP(F3973,HC!A$6:D$100,3,FALSE)</f>
        <v>#N/A</v>
      </c>
      <c r="O3973" s="7" t="str">
        <f>VLOOKUP(F3973,HC!A$6:D$1000,2,FALSE)</f>
        <v>xlutrejo</v>
      </c>
      <c r="U3973">
        <f t="shared" si="64"/>
        <v>8</v>
      </c>
    </row>
    <row r="3974" spans="1:21" ht="37.5" customHeight="1" x14ac:dyDescent="0.25">
      <c r="A3974" s="23">
        <v>45232</v>
      </c>
      <c r="B3974" s="13">
        <v>44</v>
      </c>
      <c r="C3974" t="s">
        <v>3</v>
      </c>
      <c r="D3974" t="s">
        <v>4</v>
      </c>
      <c r="E3974" t="s">
        <v>21</v>
      </c>
      <c r="F3974">
        <v>202129214</v>
      </c>
      <c r="G3974" t="s">
        <v>1429</v>
      </c>
      <c r="H3974" t="s">
        <v>1471</v>
      </c>
      <c r="I3974">
        <v>0</v>
      </c>
      <c r="J3974">
        <v>0</v>
      </c>
      <c r="K3974">
        <v>0</v>
      </c>
      <c r="L3974">
        <v>0</v>
      </c>
      <c r="M3974">
        <v>0.33</v>
      </c>
      <c r="N3974" s="7" t="e">
        <f>VLOOKUP(F3974,HC!A$6:D$100,3,FALSE)</f>
        <v>#N/A</v>
      </c>
      <c r="O3974" s="7" t="str">
        <f>VLOOKUP(F3974,HC!A$6:D$1000,2,FALSE)</f>
        <v>isafzuni</v>
      </c>
      <c r="U3974">
        <f t="shared" si="64"/>
        <v>8</v>
      </c>
    </row>
    <row r="3975" spans="1:21" ht="37.5" customHeight="1" x14ac:dyDescent="0.25">
      <c r="A3975" s="23">
        <v>45232</v>
      </c>
      <c r="B3975" s="13">
        <v>44</v>
      </c>
      <c r="C3975" t="s">
        <v>3</v>
      </c>
      <c r="D3975" t="s">
        <v>4</v>
      </c>
      <c r="E3975" t="s">
        <v>21</v>
      </c>
      <c r="F3975">
        <v>202147405</v>
      </c>
      <c r="G3975" t="s">
        <v>1750</v>
      </c>
      <c r="H3975" t="s">
        <v>1471</v>
      </c>
      <c r="I3975">
        <v>0</v>
      </c>
      <c r="J3975">
        <v>0</v>
      </c>
      <c r="K3975">
        <v>0</v>
      </c>
      <c r="L3975">
        <v>0</v>
      </c>
      <c r="M3975">
        <v>0.42</v>
      </c>
      <c r="N3975" s="7" t="e">
        <f>VLOOKUP(F3975,HC!A$6:D$100,3,FALSE)</f>
        <v>#N/A</v>
      </c>
      <c r="O3975" s="7" t="str">
        <f>VLOOKUP(F3975,HC!A$6:D$1000,2,FALSE)</f>
        <v>hperandy</v>
      </c>
      <c r="U3975">
        <f t="shared" si="64"/>
        <v>1</v>
      </c>
    </row>
    <row r="3976" spans="1:21" ht="37.5" customHeight="1" x14ac:dyDescent="0.25">
      <c r="A3976" s="23">
        <v>45232</v>
      </c>
      <c r="B3976" s="13">
        <v>44</v>
      </c>
      <c r="C3976" t="s">
        <v>3</v>
      </c>
      <c r="D3976" t="s">
        <v>4</v>
      </c>
      <c r="E3976" t="s">
        <v>21</v>
      </c>
      <c r="F3976">
        <v>202165242</v>
      </c>
      <c r="G3976" t="s">
        <v>1412</v>
      </c>
      <c r="H3976" t="s">
        <v>403</v>
      </c>
      <c r="I3976">
        <v>0</v>
      </c>
      <c r="J3976">
        <v>0</v>
      </c>
      <c r="K3976">
        <v>0</v>
      </c>
      <c r="L3976">
        <v>0</v>
      </c>
      <c r="M3976">
        <v>0.22</v>
      </c>
      <c r="N3976" s="7" t="e">
        <f>VLOOKUP(F3976,HC!A$6:D$100,3,FALSE)</f>
        <v>#N/A</v>
      </c>
      <c r="O3976" s="7" t="str">
        <f>VLOOKUP(F3976,HC!A$6:D$1000,2,FALSE)</f>
        <v>marcqgon</v>
      </c>
      <c r="U3976">
        <f t="shared" si="64"/>
        <v>21</v>
      </c>
    </row>
    <row r="3977" spans="1:21" ht="37.5" customHeight="1" x14ac:dyDescent="0.25">
      <c r="A3977" s="23">
        <v>45232</v>
      </c>
      <c r="B3977" s="13">
        <v>44</v>
      </c>
      <c r="C3977" t="s">
        <v>3</v>
      </c>
      <c r="D3977" t="s">
        <v>4</v>
      </c>
      <c r="E3977" t="s">
        <v>21</v>
      </c>
      <c r="F3977">
        <v>202173223</v>
      </c>
      <c r="G3977" t="s">
        <v>1751</v>
      </c>
      <c r="H3977" t="s">
        <v>250</v>
      </c>
      <c r="I3977">
        <v>0</v>
      </c>
      <c r="J3977">
        <v>0</v>
      </c>
      <c r="K3977">
        <v>0</v>
      </c>
      <c r="L3977">
        <v>0</v>
      </c>
      <c r="M3977">
        <v>0.69</v>
      </c>
      <c r="N3977" s="7" t="e">
        <f>VLOOKUP(F3977,HC!A$6:D$100,3,FALSE)</f>
        <v>#N/A</v>
      </c>
      <c r="O3977" s="7" t="str">
        <f>VLOOKUP(F3977,HC!A$6:D$1000,2,FALSE)</f>
        <v>yitzeare</v>
      </c>
      <c r="U3977">
        <f t="shared" si="64"/>
        <v>1</v>
      </c>
    </row>
    <row r="3978" spans="1:21" ht="37.5" customHeight="1" x14ac:dyDescent="0.25">
      <c r="A3978" s="23">
        <v>45232</v>
      </c>
      <c r="B3978" s="13">
        <v>44</v>
      </c>
      <c r="C3978" t="s">
        <v>3</v>
      </c>
      <c r="D3978" t="s">
        <v>4</v>
      </c>
      <c r="E3978" t="s">
        <v>21</v>
      </c>
      <c r="F3978">
        <v>202185231</v>
      </c>
      <c r="G3978" t="s">
        <v>1424</v>
      </c>
      <c r="H3978" t="s">
        <v>285</v>
      </c>
      <c r="I3978">
        <v>0</v>
      </c>
      <c r="J3978">
        <v>0</v>
      </c>
      <c r="K3978">
        <v>0</v>
      </c>
      <c r="L3978">
        <v>0</v>
      </c>
      <c r="M3978">
        <v>0.28000000000000003</v>
      </c>
      <c r="N3978" s="7" t="e">
        <f>VLOOKUP(F3978,HC!A$6:D$100,3,FALSE)</f>
        <v>#N/A</v>
      </c>
      <c r="O3978" s="7" t="str">
        <f>VLOOKUP(F3978,HC!A$6:D$1000,2,FALSE)</f>
        <v>davazquq</v>
      </c>
      <c r="U3978">
        <f t="shared" si="64"/>
        <v>7</v>
      </c>
    </row>
    <row r="3979" spans="1:21" ht="37.5" customHeight="1" x14ac:dyDescent="0.25">
      <c r="A3979" s="23">
        <v>45232</v>
      </c>
      <c r="B3979" s="13">
        <v>44</v>
      </c>
      <c r="C3979" t="s">
        <v>3</v>
      </c>
      <c r="D3979" t="s">
        <v>4</v>
      </c>
      <c r="E3979" t="s">
        <v>21</v>
      </c>
      <c r="F3979">
        <v>202226099</v>
      </c>
      <c r="G3979" t="s">
        <v>1474</v>
      </c>
      <c r="H3979" t="s">
        <v>332</v>
      </c>
      <c r="I3979">
        <v>0</v>
      </c>
      <c r="J3979">
        <v>0</v>
      </c>
      <c r="K3979">
        <v>0</v>
      </c>
      <c r="L3979">
        <v>0</v>
      </c>
      <c r="M3979">
        <v>0.23</v>
      </c>
      <c r="N3979" s="7" t="e">
        <f>VLOOKUP(F3979,HC!A$6:D$100,3,FALSE)</f>
        <v>#N/A</v>
      </c>
      <c r="O3979" s="7" t="str">
        <f>VLOOKUP(F3979,HC!A$6:D$1000,2,FALSE)</f>
        <v>barbywlu</v>
      </c>
      <c r="U3979">
        <f t="shared" si="64"/>
        <v>2</v>
      </c>
    </row>
    <row r="3980" spans="1:21" ht="37.5" customHeight="1" x14ac:dyDescent="0.25">
      <c r="A3980" s="23">
        <v>45232</v>
      </c>
      <c r="B3980" s="13">
        <v>44</v>
      </c>
      <c r="C3980" t="s">
        <v>3</v>
      </c>
      <c r="D3980" t="s">
        <v>4</v>
      </c>
      <c r="E3980" t="s">
        <v>21</v>
      </c>
      <c r="F3980">
        <v>202250181</v>
      </c>
      <c r="G3980" t="s">
        <v>1448</v>
      </c>
      <c r="H3980" t="s">
        <v>49</v>
      </c>
      <c r="I3980">
        <v>0</v>
      </c>
      <c r="J3980">
        <v>0</v>
      </c>
      <c r="K3980">
        <v>0</v>
      </c>
      <c r="L3980">
        <v>0</v>
      </c>
      <c r="M3980">
        <v>0.26</v>
      </c>
      <c r="N3980" s="7" t="e">
        <f>VLOOKUP(F3980,HC!A$6:D$100,3,FALSE)</f>
        <v>#N/A</v>
      </c>
      <c r="O3980" s="7" t="str">
        <f>VLOOKUP(F3980,HC!A$6:D$1000,2,FALSE)</f>
        <v>samuhgut</v>
      </c>
      <c r="U3980">
        <f t="shared" si="64"/>
        <v>2</v>
      </c>
    </row>
    <row r="3981" spans="1:21" ht="37.5" customHeight="1" x14ac:dyDescent="0.25">
      <c r="A3981" s="23">
        <v>45232</v>
      </c>
      <c r="B3981" s="13">
        <v>44</v>
      </c>
      <c r="C3981" t="s">
        <v>3</v>
      </c>
      <c r="D3981" t="s">
        <v>4</v>
      </c>
      <c r="E3981" t="s">
        <v>21</v>
      </c>
      <c r="F3981">
        <v>202282459</v>
      </c>
      <c r="G3981" t="s">
        <v>1752</v>
      </c>
      <c r="H3981" t="s">
        <v>298</v>
      </c>
      <c r="I3981">
        <v>0</v>
      </c>
      <c r="J3981">
        <v>0</v>
      </c>
      <c r="K3981">
        <v>0</v>
      </c>
      <c r="L3981">
        <v>0</v>
      </c>
      <c r="M3981">
        <v>0.19</v>
      </c>
      <c r="N3981" s="7" t="e">
        <f>VLOOKUP(F3981,HC!A$6:D$100,3,FALSE)</f>
        <v>#N/A</v>
      </c>
      <c r="O3981" s="7" t="str">
        <f>VLOOKUP(F3981,HC!A$6:D$1000,2,FALSE)</f>
        <v>velazalr</v>
      </c>
      <c r="U3981">
        <f t="shared" si="64"/>
        <v>2</v>
      </c>
    </row>
    <row r="3982" spans="1:21" ht="37.5" customHeight="1" x14ac:dyDescent="0.25">
      <c r="A3982" s="23">
        <v>45232</v>
      </c>
      <c r="B3982" s="13">
        <v>44</v>
      </c>
      <c r="C3982" t="s">
        <v>3</v>
      </c>
      <c r="D3982" t="s">
        <v>4</v>
      </c>
      <c r="E3982" t="s">
        <v>21</v>
      </c>
      <c r="F3982">
        <v>202291384</v>
      </c>
      <c r="G3982" t="s">
        <v>1703</v>
      </c>
      <c r="H3982" t="s">
        <v>298</v>
      </c>
      <c r="I3982">
        <v>0</v>
      </c>
      <c r="J3982">
        <v>0</v>
      </c>
      <c r="K3982">
        <v>0</v>
      </c>
      <c r="L3982">
        <v>0</v>
      </c>
      <c r="M3982">
        <v>2.68</v>
      </c>
      <c r="N3982" s="7" t="e">
        <f>VLOOKUP(F3982,HC!A$6:D$100,3,FALSE)</f>
        <v>#N/A</v>
      </c>
      <c r="O3982" s="7" t="str">
        <f>VLOOKUP(F3982,HC!A$6:D$1000,2,FALSE)</f>
        <v>servelaj</v>
      </c>
      <c r="U3982">
        <f t="shared" si="64"/>
        <v>6</v>
      </c>
    </row>
    <row r="3983" spans="1:21" ht="37.5" customHeight="1" x14ac:dyDescent="0.25">
      <c r="A3983" s="23">
        <v>45232</v>
      </c>
      <c r="B3983" s="13">
        <v>44</v>
      </c>
      <c r="C3983" t="s">
        <v>3</v>
      </c>
      <c r="D3983" t="s">
        <v>4</v>
      </c>
      <c r="E3983" t="s">
        <v>21</v>
      </c>
      <c r="F3983">
        <v>202323975</v>
      </c>
      <c r="G3983" t="s">
        <v>1753</v>
      </c>
      <c r="H3983" t="s">
        <v>285</v>
      </c>
      <c r="I3983">
        <v>0</v>
      </c>
      <c r="J3983">
        <v>0</v>
      </c>
      <c r="K3983">
        <v>0</v>
      </c>
      <c r="L3983">
        <v>0</v>
      </c>
      <c r="M3983">
        <v>0.46</v>
      </c>
      <c r="N3983" s="7" t="e">
        <f>VLOOKUP(F3983,HC!A$6:D$100,3,FALSE)</f>
        <v>#N/A</v>
      </c>
      <c r="O3983" s="7" t="str">
        <f>VLOOKUP(F3983,HC!A$6:D$1000,2,FALSE)</f>
        <v>alhernk</v>
      </c>
      <c r="U3983">
        <f t="shared" si="64"/>
        <v>4</v>
      </c>
    </row>
    <row r="3984" spans="1:21" ht="37.5" customHeight="1" x14ac:dyDescent="0.25">
      <c r="A3984" s="23">
        <v>45232</v>
      </c>
      <c r="B3984" s="13">
        <v>44</v>
      </c>
      <c r="C3984" t="s">
        <v>3</v>
      </c>
      <c r="D3984" t="s">
        <v>4</v>
      </c>
      <c r="E3984" t="s">
        <v>21</v>
      </c>
      <c r="F3984">
        <v>202334621</v>
      </c>
      <c r="G3984" t="s">
        <v>1724</v>
      </c>
      <c r="H3984" t="s">
        <v>250</v>
      </c>
      <c r="I3984">
        <v>0</v>
      </c>
      <c r="J3984">
        <v>0</v>
      </c>
      <c r="K3984">
        <v>0</v>
      </c>
      <c r="L3984">
        <v>0</v>
      </c>
      <c r="M3984">
        <v>0.15</v>
      </c>
      <c r="N3984" s="7" t="e">
        <f>VLOOKUP(F3984,HC!A$6:D$100,3,FALSE)</f>
        <v>#N/A</v>
      </c>
      <c r="O3984" s="7" t="str">
        <f>VLOOKUP(F3984,HC!A$6:D$1000,2,FALSE)</f>
        <v>tkarlram</v>
      </c>
      <c r="U3984">
        <f t="shared" si="64"/>
        <v>8</v>
      </c>
    </row>
    <row r="3985" spans="1:21" ht="37.5" customHeight="1" x14ac:dyDescent="0.25">
      <c r="A3985" s="23">
        <v>45232</v>
      </c>
      <c r="B3985" s="13">
        <v>44</v>
      </c>
      <c r="C3985" t="s">
        <v>3</v>
      </c>
      <c r="D3985" t="s">
        <v>4</v>
      </c>
      <c r="E3985" t="s">
        <v>21</v>
      </c>
      <c r="F3985">
        <v>202334920</v>
      </c>
      <c r="G3985" t="s">
        <v>1705</v>
      </c>
      <c r="H3985" t="s">
        <v>285</v>
      </c>
      <c r="I3985">
        <v>0</v>
      </c>
      <c r="J3985">
        <v>0</v>
      </c>
      <c r="K3985">
        <v>0</v>
      </c>
      <c r="L3985">
        <v>0</v>
      </c>
      <c r="M3985">
        <v>0.62</v>
      </c>
      <c r="N3985" s="7" t="e">
        <f>VLOOKUP(F3985,HC!A$6:D$100,3,FALSE)</f>
        <v>#N/A</v>
      </c>
      <c r="O3985" s="7" t="str">
        <f>VLOOKUP(F3985,HC!A$6:D$1000,2,FALSE)</f>
        <v>uroramir</v>
      </c>
      <c r="U3985">
        <f t="shared" si="64"/>
        <v>5</v>
      </c>
    </row>
    <row r="3986" spans="1:21" ht="37.5" customHeight="1" x14ac:dyDescent="0.25">
      <c r="A3986" s="23">
        <v>45232</v>
      </c>
      <c r="B3986" s="13">
        <v>44</v>
      </c>
      <c r="C3986" t="s">
        <v>3</v>
      </c>
      <c r="D3986" t="s">
        <v>4</v>
      </c>
      <c r="E3986" t="s">
        <v>21</v>
      </c>
      <c r="F3986">
        <v>202353921</v>
      </c>
      <c r="G3986" t="s">
        <v>1717</v>
      </c>
      <c r="H3986" t="s">
        <v>49</v>
      </c>
      <c r="I3986">
        <v>0</v>
      </c>
      <c r="J3986">
        <v>0</v>
      </c>
      <c r="K3986">
        <v>0</v>
      </c>
      <c r="L3986">
        <v>0</v>
      </c>
      <c r="M3986">
        <v>0.2</v>
      </c>
      <c r="N3986" s="7" t="e">
        <f>VLOOKUP(F3986,HC!A$6:D$100,3,FALSE)</f>
        <v>#N/A</v>
      </c>
      <c r="O3986" s="7" t="str">
        <f>VLOOKUP(F3986,HC!A$6:D$1000,2,FALSE)</f>
        <v>lindinoe</v>
      </c>
      <c r="U3986">
        <f t="shared" si="64"/>
        <v>12</v>
      </c>
    </row>
    <row r="3987" spans="1:21" ht="37.5" customHeight="1" x14ac:dyDescent="0.25">
      <c r="A3987" s="23">
        <v>45232</v>
      </c>
      <c r="B3987" s="13">
        <v>44</v>
      </c>
      <c r="C3987" t="s">
        <v>3</v>
      </c>
      <c r="D3987" t="s">
        <v>4</v>
      </c>
      <c r="E3987" t="s">
        <v>21</v>
      </c>
      <c r="F3987">
        <v>202417687</v>
      </c>
      <c r="G3987" t="s">
        <v>1754</v>
      </c>
      <c r="H3987" t="s">
        <v>1471</v>
      </c>
      <c r="I3987">
        <v>0</v>
      </c>
      <c r="J3987">
        <v>0</v>
      </c>
      <c r="K3987">
        <v>0</v>
      </c>
      <c r="L3987">
        <v>0</v>
      </c>
      <c r="M3987">
        <v>0.31</v>
      </c>
      <c r="N3987" s="7" t="e">
        <f>VLOOKUP(F3987,HC!A$6:D$100,3,FALSE)</f>
        <v>#N/A</v>
      </c>
      <c r="O3987" s="7" t="str">
        <f>VLOOKUP(F3987,HC!A$6:D$1000,2,FALSE)</f>
        <v>cordoedt</v>
      </c>
      <c r="U3987">
        <f t="shared" si="64"/>
        <v>4</v>
      </c>
    </row>
    <row r="3988" spans="1:21" ht="37.5" customHeight="1" x14ac:dyDescent="0.25">
      <c r="A3988" s="23">
        <v>45232</v>
      </c>
      <c r="B3988" s="13">
        <v>44</v>
      </c>
      <c r="C3988" t="s">
        <v>3</v>
      </c>
      <c r="D3988" t="s">
        <v>4</v>
      </c>
      <c r="E3988" t="s">
        <v>21</v>
      </c>
      <c r="F3988">
        <v>202435705</v>
      </c>
      <c r="G3988" t="s">
        <v>1755</v>
      </c>
      <c r="H3988" t="s">
        <v>459</v>
      </c>
      <c r="I3988">
        <v>0</v>
      </c>
      <c r="J3988">
        <v>0</v>
      </c>
      <c r="K3988">
        <v>0</v>
      </c>
      <c r="L3988">
        <v>0</v>
      </c>
      <c r="M3988">
        <v>0.62</v>
      </c>
      <c r="N3988" s="7" t="e">
        <f>VLOOKUP(F3988,HC!A$6:D$100,3,FALSE)</f>
        <v>#N/A</v>
      </c>
      <c r="O3988" s="7" t="str">
        <f>VLOOKUP(F3988,HC!A$6:D$1000,2,FALSE)</f>
        <v>ilaoblab</v>
      </c>
      <c r="U3988">
        <f t="shared" si="64"/>
        <v>1</v>
      </c>
    </row>
    <row r="3989" spans="1:21" ht="37.5" customHeight="1" x14ac:dyDescent="0.25">
      <c r="A3989" s="23">
        <v>45233</v>
      </c>
      <c r="B3989" s="13">
        <v>44</v>
      </c>
      <c r="C3989" t="s">
        <v>3</v>
      </c>
      <c r="D3989" t="s">
        <v>4</v>
      </c>
      <c r="E3989" t="s">
        <v>5</v>
      </c>
      <c r="F3989">
        <v>112972215</v>
      </c>
      <c r="G3989" t="s">
        <v>984</v>
      </c>
      <c r="H3989" t="s">
        <v>298</v>
      </c>
      <c r="I3989">
        <v>0</v>
      </c>
      <c r="J3989">
        <v>0</v>
      </c>
      <c r="K3989">
        <v>0</v>
      </c>
      <c r="L3989">
        <v>0</v>
      </c>
      <c r="M3989">
        <v>0.34</v>
      </c>
      <c r="N3989" s="7" t="str">
        <f>VLOOKUP(F3989,HC!A$6:D$100,3,FALSE)</f>
        <v>DB-X0700</v>
      </c>
      <c r="O3989" s="7" t="str">
        <f>VLOOKUP(F3989,HC!A$6:D$1000,2,FALSE)</f>
        <v>cruzbana</v>
      </c>
      <c r="U3989">
        <f t="shared" si="64"/>
        <v>16</v>
      </c>
    </row>
    <row r="3990" spans="1:21" ht="37.5" customHeight="1" x14ac:dyDescent="0.25">
      <c r="A3990" s="23">
        <v>45233</v>
      </c>
      <c r="B3990" s="13">
        <v>44</v>
      </c>
      <c r="C3990" t="s">
        <v>3</v>
      </c>
      <c r="D3990" t="s">
        <v>4</v>
      </c>
      <c r="E3990" t="s">
        <v>5</v>
      </c>
      <c r="F3990">
        <v>113014560</v>
      </c>
      <c r="G3990" t="s">
        <v>599</v>
      </c>
      <c r="H3990" t="s">
        <v>298</v>
      </c>
      <c r="I3990">
        <v>0</v>
      </c>
      <c r="J3990">
        <v>0</v>
      </c>
      <c r="K3990">
        <v>0</v>
      </c>
      <c r="L3990">
        <v>0</v>
      </c>
      <c r="M3990">
        <v>0.04</v>
      </c>
      <c r="N3990" s="7" t="e">
        <f>VLOOKUP(F3990,HC!A$6:D$100,3,FALSE)</f>
        <v>#N/A</v>
      </c>
      <c r="O3990" s="7" t="str">
        <f>VLOOKUP(F3990,HC!A$6:D$1000,2,FALSE)</f>
        <v>zlopamer</v>
      </c>
      <c r="U3990">
        <f t="shared" si="64"/>
        <v>15</v>
      </c>
    </row>
    <row r="3991" spans="1:21" ht="37.5" customHeight="1" x14ac:dyDescent="0.25">
      <c r="A3991" s="23">
        <v>45233</v>
      </c>
      <c r="B3991" s="13">
        <v>44</v>
      </c>
      <c r="C3991" t="s">
        <v>3</v>
      </c>
      <c r="D3991" t="s">
        <v>4</v>
      </c>
      <c r="E3991" t="s">
        <v>5</v>
      </c>
      <c r="F3991">
        <v>113020476</v>
      </c>
      <c r="G3991" t="s">
        <v>330</v>
      </c>
      <c r="H3991" t="s">
        <v>298</v>
      </c>
      <c r="I3991">
        <v>0</v>
      </c>
      <c r="J3991">
        <v>0</v>
      </c>
      <c r="K3991">
        <v>0</v>
      </c>
      <c r="L3991">
        <v>0</v>
      </c>
      <c r="M3991">
        <v>0.62</v>
      </c>
      <c r="N3991" s="7" t="e">
        <f>VLOOKUP(F3991,HC!A$6:D$100,3,FALSE)</f>
        <v>#N/A</v>
      </c>
      <c r="O3991" s="7" t="str">
        <f>VLOOKUP(F3991,HC!A$6:D$1000,2,FALSE)</f>
        <v>polettpu</v>
      </c>
      <c r="U3991">
        <f t="shared" si="64"/>
        <v>55</v>
      </c>
    </row>
    <row r="3992" spans="1:21" ht="37.5" customHeight="1" x14ac:dyDescent="0.25">
      <c r="A3992" s="23">
        <v>45233</v>
      </c>
      <c r="B3992" s="13">
        <v>44</v>
      </c>
      <c r="C3992" t="s">
        <v>3</v>
      </c>
      <c r="D3992" t="s">
        <v>4</v>
      </c>
      <c r="E3992" t="s">
        <v>5</v>
      </c>
      <c r="F3992">
        <v>113052151</v>
      </c>
      <c r="G3992" t="s">
        <v>482</v>
      </c>
      <c r="H3992" t="s">
        <v>285</v>
      </c>
      <c r="I3992">
        <v>0</v>
      </c>
      <c r="J3992">
        <v>0</v>
      </c>
      <c r="K3992">
        <v>0</v>
      </c>
      <c r="L3992">
        <v>0</v>
      </c>
      <c r="M3992">
        <v>0.39</v>
      </c>
      <c r="N3992" s="7" t="e">
        <f>VLOOKUP(F3992,HC!A$6:D$100,3,FALSE)</f>
        <v>#N/A</v>
      </c>
      <c r="O3992" s="7" t="str">
        <f>VLOOKUP(F3992,HC!A$6:D$1000,2,FALSE)</f>
        <v>nilaurab</v>
      </c>
      <c r="U3992">
        <f t="shared" si="64"/>
        <v>28</v>
      </c>
    </row>
    <row r="3993" spans="1:21" ht="37.5" customHeight="1" x14ac:dyDescent="0.25">
      <c r="A3993" s="23">
        <v>45233</v>
      </c>
      <c r="B3993" s="13">
        <v>44</v>
      </c>
      <c r="C3993" t="s">
        <v>3</v>
      </c>
      <c r="D3993" t="s">
        <v>4</v>
      </c>
      <c r="E3993" t="s">
        <v>5</v>
      </c>
      <c r="F3993">
        <v>200508315</v>
      </c>
      <c r="G3993" t="s">
        <v>428</v>
      </c>
      <c r="H3993" t="s">
        <v>298</v>
      </c>
      <c r="I3993">
        <v>0</v>
      </c>
      <c r="J3993">
        <v>0</v>
      </c>
      <c r="K3993">
        <v>0</v>
      </c>
      <c r="L3993">
        <v>0</v>
      </c>
      <c r="M3993">
        <v>0.49</v>
      </c>
      <c r="N3993" s="7" t="e">
        <f>VLOOKUP(F3993,HC!A$6:D$100,3,FALSE)</f>
        <v>#N/A</v>
      </c>
      <c r="O3993" s="7" t="str">
        <f>VLOOKUP(F3993,HC!A$6:D$1000,2,FALSE)</f>
        <v>taldaher</v>
      </c>
      <c r="U3993">
        <f t="shared" si="64"/>
        <v>18</v>
      </c>
    </row>
    <row r="3994" spans="1:21" ht="37.5" customHeight="1" x14ac:dyDescent="0.25">
      <c r="A3994" s="23">
        <v>45233</v>
      </c>
      <c r="B3994" s="13">
        <v>44</v>
      </c>
      <c r="C3994" t="s">
        <v>3</v>
      </c>
      <c r="D3994" t="s">
        <v>4</v>
      </c>
      <c r="E3994" t="s">
        <v>5</v>
      </c>
      <c r="F3994">
        <v>200508323</v>
      </c>
      <c r="G3994" t="s">
        <v>1150</v>
      </c>
      <c r="H3994" t="s">
        <v>298</v>
      </c>
      <c r="I3994">
        <v>0</v>
      </c>
      <c r="J3994">
        <v>0</v>
      </c>
      <c r="K3994">
        <v>0</v>
      </c>
      <c r="L3994">
        <v>0</v>
      </c>
      <c r="M3994">
        <v>0.16</v>
      </c>
      <c r="N3994" s="7" t="e">
        <f>VLOOKUP(F3994,HC!A$6:D$100,3,FALSE)</f>
        <v>#N/A</v>
      </c>
      <c r="O3994" s="7" t="str">
        <f>VLOOKUP(F3994,HC!A$6:D$1000,2,FALSE)</f>
        <v>espejell</v>
      </c>
      <c r="U3994">
        <f t="shared" si="64"/>
        <v>15</v>
      </c>
    </row>
    <row r="3995" spans="1:21" ht="37.5" customHeight="1" x14ac:dyDescent="0.25">
      <c r="A3995" s="23">
        <v>45233</v>
      </c>
      <c r="B3995" s="13">
        <v>44</v>
      </c>
      <c r="C3995" t="s">
        <v>3</v>
      </c>
      <c r="D3995" t="s">
        <v>4</v>
      </c>
      <c r="E3995" t="s">
        <v>5</v>
      </c>
      <c r="F3995">
        <v>201185299</v>
      </c>
      <c r="G3995" t="s">
        <v>990</v>
      </c>
      <c r="H3995" t="s">
        <v>285</v>
      </c>
      <c r="I3995">
        <v>0</v>
      </c>
      <c r="J3995">
        <v>0</v>
      </c>
      <c r="K3995">
        <v>0</v>
      </c>
      <c r="L3995">
        <v>0</v>
      </c>
      <c r="M3995">
        <v>0.18</v>
      </c>
      <c r="N3995" s="7" t="e">
        <f>VLOOKUP(F3995,HC!A$6:D$100,3,FALSE)</f>
        <v>#N/A</v>
      </c>
      <c r="O3995" s="7" t="str">
        <f>VLOOKUP(F3995,HC!A$6:D$1000,2,FALSE)</f>
        <v>sganoemi</v>
      </c>
      <c r="U3995">
        <f t="shared" si="64"/>
        <v>12</v>
      </c>
    </row>
    <row r="3996" spans="1:21" ht="37.5" customHeight="1" x14ac:dyDescent="0.25">
      <c r="A3996" s="23">
        <v>45233</v>
      </c>
      <c r="B3996" s="13">
        <v>44</v>
      </c>
      <c r="C3996" t="s">
        <v>3</v>
      </c>
      <c r="D3996" t="s">
        <v>4</v>
      </c>
      <c r="E3996" t="s">
        <v>5</v>
      </c>
      <c r="F3996">
        <v>201191198</v>
      </c>
      <c r="G3996" t="s">
        <v>974</v>
      </c>
      <c r="H3996" t="s">
        <v>285</v>
      </c>
      <c r="I3996">
        <v>0</v>
      </c>
      <c r="J3996">
        <v>0</v>
      </c>
      <c r="K3996">
        <v>0</v>
      </c>
      <c r="L3996">
        <v>0</v>
      </c>
      <c r="M3996">
        <v>0.99</v>
      </c>
      <c r="N3996" s="7" t="e">
        <f>VLOOKUP(F3996,HC!A$6:D$100,3,FALSE)</f>
        <v>#N/A</v>
      </c>
      <c r="O3996" s="7" t="str">
        <f>VLOOKUP(F3996,HC!A$6:D$1000,2,FALSE)</f>
        <v>mojicemm</v>
      </c>
      <c r="U3996">
        <f t="shared" si="64"/>
        <v>24</v>
      </c>
    </row>
    <row r="3997" spans="1:21" ht="37.5" customHeight="1" x14ac:dyDescent="0.25">
      <c r="A3997" s="23">
        <v>45233</v>
      </c>
      <c r="B3997" s="13">
        <v>44</v>
      </c>
      <c r="C3997" t="s">
        <v>3</v>
      </c>
      <c r="D3997" t="s">
        <v>4</v>
      </c>
      <c r="E3997" t="s">
        <v>5</v>
      </c>
      <c r="F3997">
        <v>201191390</v>
      </c>
      <c r="G3997" t="s">
        <v>916</v>
      </c>
      <c r="H3997" t="s">
        <v>298</v>
      </c>
      <c r="I3997">
        <v>0</v>
      </c>
      <c r="J3997">
        <v>0</v>
      </c>
      <c r="K3997">
        <v>0</v>
      </c>
      <c r="L3997">
        <v>0</v>
      </c>
      <c r="M3997">
        <v>1.02</v>
      </c>
      <c r="N3997" s="7" t="e">
        <f>VLOOKUP(F3997,HC!A$6:D$100,3,FALSE)</f>
        <v>#N/A</v>
      </c>
      <c r="O3997" s="7" t="str">
        <f>VLOOKUP(F3997,HC!A$6:D$1000,2,FALSE)</f>
        <v>bgajesus</v>
      </c>
      <c r="U3997">
        <f t="shared" si="64"/>
        <v>37</v>
      </c>
    </row>
    <row r="3998" spans="1:21" ht="37.5" customHeight="1" x14ac:dyDescent="0.25">
      <c r="A3998" s="23">
        <v>45233</v>
      </c>
      <c r="B3998" s="13">
        <v>44</v>
      </c>
      <c r="C3998" t="s">
        <v>3</v>
      </c>
      <c r="D3998" t="s">
        <v>4</v>
      </c>
      <c r="E3998" t="s">
        <v>5</v>
      </c>
      <c r="F3998">
        <v>201223730</v>
      </c>
      <c r="G3998" t="s">
        <v>933</v>
      </c>
      <c r="H3998" t="s">
        <v>298</v>
      </c>
      <c r="I3998">
        <v>0</v>
      </c>
      <c r="J3998">
        <v>0</v>
      </c>
      <c r="K3998">
        <v>0</v>
      </c>
      <c r="L3998">
        <v>0</v>
      </c>
      <c r="M3998">
        <v>0.69</v>
      </c>
      <c r="N3998" s="7" t="e">
        <f>VLOOKUP(F3998,HC!A$6:D$100,3,FALSE)</f>
        <v>#N/A</v>
      </c>
      <c r="O3998" s="7" t="str">
        <f>VLOOKUP(F3998,HC!A$6:D$1000,2,FALSE)</f>
        <v>cesarito</v>
      </c>
      <c r="U3998">
        <f t="shared" si="64"/>
        <v>39</v>
      </c>
    </row>
    <row r="3999" spans="1:21" ht="37.5" customHeight="1" x14ac:dyDescent="0.25">
      <c r="A3999" s="23">
        <v>45233</v>
      </c>
      <c r="B3999" s="13">
        <v>44</v>
      </c>
      <c r="C3999" t="s">
        <v>3</v>
      </c>
      <c r="D3999" t="s">
        <v>4</v>
      </c>
      <c r="E3999" t="s">
        <v>5</v>
      </c>
      <c r="F3999">
        <v>201228411</v>
      </c>
      <c r="G3999" t="s">
        <v>938</v>
      </c>
      <c r="H3999" t="s">
        <v>298</v>
      </c>
      <c r="I3999">
        <v>0</v>
      </c>
      <c r="J3999">
        <v>0</v>
      </c>
      <c r="K3999">
        <v>0</v>
      </c>
      <c r="L3999">
        <v>0</v>
      </c>
      <c r="M3999">
        <v>0.68</v>
      </c>
      <c r="N3999" s="7" t="e">
        <f>VLOOKUP(F3999,HC!A$6:D$100,3,FALSE)</f>
        <v>#N/A</v>
      </c>
      <c r="O3999" s="7" t="str">
        <f>VLOOKUP(F3999,HC!A$6:D$1000,2,FALSE)</f>
        <v>jazmiwhe</v>
      </c>
      <c r="U3999">
        <f t="shared" si="64"/>
        <v>36</v>
      </c>
    </row>
    <row r="4000" spans="1:21" ht="37.5" customHeight="1" x14ac:dyDescent="0.25">
      <c r="A4000" s="23">
        <v>45233</v>
      </c>
      <c r="B4000" s="13">
        <v>44</v>
      </c>
      <c r="C4000" t="s">
        <v>3</v>
      </c>
      <c r="D4000" t="s">
        <v>4</v>
      </c>
      <c r="E4000" t="s">
        <v>5</v>
      </c>
      <c r="F4000">
        <v>201353234</v>
      </c>
      <c r="G4000" t="s">
        <v>1168</v>
      </c>
      <c r="H4000" t="s">
        <v>1720</v>
      </c>
      <c r="I4000">
        <v>0</v>
      </c>
      <c r="J4000">
        <v>0</v>
      </c>
      <c r="K4000">
        <v>0</v>
      </c>
      <c r="L4000">
        <v>0</v>
      </c>
      <c r="M4000">
        <v>0.19</v>
      </c>
      <c r="N4000" s="7" t="e">
        <f>VLOOKUP(F4000,HC!A$6:D$100,3,FALSE)</f>
        <v>#N/A</v>
      </c>
      <c r="O4000" s="7" t="str">
        <f>VLOOKUP(F4000,HC!A$6:D$1000,2,FALSE)</f>
        <v>paeramon</v>
      </c>
      <c r="U4000">
        <f t="shared" si="64"/>
        <v>6</v>
      </c>
    </row>
    <row r="4001" spans="1:21" ht="37.5" customHeight="1" x14ac:dyDescent="0.25">
      <c r="A4001" s="23">
        <v>45233</v>
      </c>
      <c r="B4001" s="13">
        <v>44</v>
      </c>
      <c r="C4001" t="s">
        <v>3</v>
      </c>
      <c r="D4001" t="s">
        <v>4</v>
      </c>
      <c r="E4001" t="s">
        <v>21</v>
      </c>
      <c r="F4001">
        <v>201365023</v>
      </c>
      <c r="G4001" t="s">
        <v>1756</v>
      </c>
      <c r="H4001" t="s">
        <v>298</v>
      </c>
      <c r="I4001">
        <v>0</v>
      </c>
      <c r="J4001">
        <v>0</v>
      </c>
      <c r="K4001">
        <v>0</v>
      </c>
      <c r="L4001">
        <v>0</v>
      </c>
      <c r="M4001">
        <v>1.98</v>
      </c>
      <c r="N4001" s="7" t="e">
        <f>VLOOKUP(F4001,HC!A$6:D$100,3,FALSE)</f>
        <v>#N/A</v>
      </c>
      <c r="O4001" s="7" t="str">
        <f>VLOOKUP(F4001,HC!A$6:D$1000,2,FALSE)</f>
        <v>varacent</v>
      </c>
      <c r="U4001">
        <f t="shared" si="64"/>
        <v>5</v>
      </c>
    </row>
    <row r="4002" spans="1:21" ht="37.5" customHeight="1" x14ac:dyDescent="0.25">
      <c r="A4002" s="23">
        <v>45233</v>
      </c>
      <c r="B4002" s="13">
        <v>44</v>
      </c>
      <c r="C4002" t="s">
        <v>3</v>
      </c>
      <c r="D4002" t="s">
        <v>4</v>
      </c>
      <c r="E4002" t="s">
        <v>21</v>
      </c>
      <c r="F4002">
        <v>201408478</v>
      </c>
      <c r="G4002" t="s">
        <v>1110</v>
      </c>
      <c r="H4002" t="s">
        <v>298</v>
      </c>
      <c r="I4002">
        <v>0</v>
      </c>
      <c r="J4002">
        <v>0</v>
      </c>
      <c r="K4002">
        <v>0</v>
      </c>
      <c r="L4002">
        <v>0</v>
      </c>
      <c r="M4002">
        <v>0.75</v>
      </c>
      <c r="N4002" s="7" t="e">
        <f>VLOOKUP(F4002,HC!A$6:D$100,3,FALSE)</f>
        <v>#N/A</v>
      </c>
      <c r="O4002" s="7" t="str">
        <f>VLOOKUP(F4002,HC!A$6:D$1000,2,FALSE)</f>
        <v>dacaldey</v>
      </c>
      <c r="U4002">
        <f t="shared" si="64"/>
        <v>12</v>
      </c>
    </row>
    <row r="4003" spans="1:21" ht="37.5" customHeight="1" x14ac:dyDescent="0.25">
      <c r="A4003" s="23">
        <v>45233</v>
      </c>
      <c r="B4003" s="13">
        <v>44</v>
      </c>
      <c r="C4003" t="s">
        <v>3</v>
      </c>
      <c r="D4003" t="s">
        <v>4</v>
      </c>
      <c r="E4003" t="s">
        <v>21</v>
      </c>
      <c r="F4003">
        <v>201842039</v>
      </c>
      <c r="G4003" t="s">
        <v>1231</v>
      </c>
      <c r="H4003" t="s">
        <v>285</v>
      </c>
      <c r="I4003">
        <v>0</v>
      </c>
      <c r="J4003">
        <v>0</v>
      </c>
      <c r="K4003">
        <v>0</v>
      </c>
      <c r="L4003">
        <v>0</v>
      </c>
      <c r="M4003">
        <v>0.16</v>
      </c>
      <c r="N4003" s="7" t="e">
        <f>VLOOKUP(F4003,HC!A$6:D$100,3,FALSE)</f>
        <v>#N/A</v>
      </c>
      <c r="O4003" s="7" t="str">
        <f>VLOOKUP(F4003,HC!A$6:D$1000,2,FALSE)</f>
        <v>fantmar</v>
      </c>
      <c r="U4003">
        <f t="shared" si="64"/>
        <v>11</v>
      </c>
    </row>
    <row r="4004" spans="1:21" ht="37.5" customHeight="1" x14ac:dyDescent="0.25">
      <c r="A4004" s="23">
        <v>45233</v>
      </c>
      <c r="B4004" s="13">
        <v>44</v>
      </c>
      <c r="C4004" t="s">
        <v>3</v>
      </c>
      <c r="D4004" t="s">
        <v>4</v>
      </c>
      <c r="E4004" t="s">
        <v>21</v>
      </c>
      <c r="F4004">
        <v>201842064</v>
      </c>
      <c r="G4004" t="s">
        <v>1241</v>
      </c>
      <c r="H4004" t="s">
        <v>285</v>
      </c>
      <c r="I4004">
        <v>0</v>
      </c>
      <c r="J4004">
        <v>0</v>
      </c>
      <c r="K4004">
        <v>0</v>
      </c>
      <c r="L4004">
        <v>0</v>
      </c>
      <c r="M4004">
        <v>0.3</v>
      </c>
      <c r="N4004" s="7" t="e">
        <f>VLOOKUP(F4004,HC!A$6:D$100,3,FALSE)</f>
        <v>#N/A</v>
      </c>
      <c r="O4004" s="7" t="str">
        <f>VLOOKUP(F4004,HC!A$6:D$1000,2,FALSE)</f>
        <v>agriandl</v>
      </c>
      <c r="U4004">
        <f t="shared" si="64"/>
        <v>12</v>
      </c>
    </row>
    <row r="4005" spans="1:21" ht="37.5" customHeight="1" x14ac:dyDescent="0.25">
      <c r="A4005" s="23">
        <v>45233</v>
      </c>
      <c r="B4005" s="13">
        <v>44</v>
      </c>
      <c r="C4005" t="s">
        <v>3</v>
      </c>
      <c r="D4005" t="s">
        <v>4</v>
      </c>
      <c r="E4005" t="s">
        <v>21</v>
      </c>
      <c r="F4005">
        <v>201858867</v>
      </c>
      <c r="G4005" t="s">
        <v>1236</v>
      </c>
      <c r="H4005" t="s">
        <v>285</v>
      </c>
      <c r="I4005">
        <v>0</v>
      </c>
      <c r="J4005">
        <v>0</v>
      </c>
      <c r="K4005">
        <v>0</v>
      </c>
      <c r="L4005">
        <v>0</v>
      </c>
      <c r="M4005">
        <v>0.39</v>
      </c>
      <c r="N4005" s="7" t="e">
        <f>VLOOKUP(F4005,HC!A$6:D$100,3,FALSE)</f>
        <v>#N/A</v>
      </c>
      <c r="O4005" s="7" t="str">
        <f>VLOOKUP(F4005,HC!A$6:D$1000,2,FALSE)</f>
        <v>tcruzvel</v>
      </c>
      <c r="U4005">
        <f t="shared" si="64"/>
        <v>17</v>
      </c>
    </row>
    <row r="4006" spans="1:21" ht="37.5" customHeight="1" x14ac:dyDescent="0.25">
      <c r="A4006" s="23">
        <v>45233</v>
      </c>
      <c r="B4006" s="13">
        <v>44</v>
      </c>
      <c r="C4006" t="s">
        <v>3</v>
      </c>
      <c r="D4006" t="s">
        <v>4</v>
      </c>
      <c r="E4006" t="s">
        <v>21</v>
      </c>
      <c r="F4006">
        <v>201903097</v>
      </c>
      <c r="G4006" t="s">
        <v>1239</v>
      </c>
      <c r="H4006" t="s">
        <v>285</v>
      </c>
      <c r="I4006">
        <v>0</v>
      </c>
      <c r="J4006">
        <v>0</v>
      </c>
      <c r="K4006">
        <v>0</v>
      </c>
      <c r="L4006">
        <v>0</v>
      </c>
      <c r="M4006">
        <v>0.3</v>
      </c>
      <c r="N4006" s="7" t="e">
        <f>VLOOKUP(F4006,HC!A$6:D$100,3,FALSE)</f>
        <v>#N/A</v>
      </c>
      <c r="O4006" s="7" t="str">
        <f>VLOOKUP(F4006,HC!A$6:D$1000,2,FALSE)</f>
        <v>montoliy</v>
      </c>
      <c r="U4006">
        <f t="shared" si="64"/>
        <v>10</v>
      </c>
    </row>
    <row r="4007" spans="1:21" ht="37.5" customHeight="1" x14ac:dyDescent="0.25">
      <c r="A4007" s="23">
        <v>45233</v>
      </c>
      <c r="B4007" s="13">
        <v>44</v>
      </c>
      <c r="C4007" t="s">
        <v>3</v>
      </c>
      <c r="D4007" t="s">
        <v>4</v>
      </c>
      <c r="E4007" t="s">
        <v>21</v>
      </c>
      <c r="F4007">
        <v>201908189</v>
      </c>
      <c r="G4007" t="s">
        <v>1230</v>
      </c>
      <c r="H4007" t="s">
        <v>285</v>
      </c>
      <c r="I4007">
        <v>0</v>
      </c>
      <c r="J4007">
        <v>0</v>
      </c>
      <c r="K4007">
        <v>0</v>
      </c>
      <c r="L4007">
        <v>0</v>
      </c>
      <c r="M4007">
        <v>0.2</v>
      </c>
      <c r="N4007" s="7" t="e">
        <f>VLOOKUP(F4007,HC!A$6:D$100,3,FALSE)</f>
        <v>#N/A</v>
      </c>
      <c r="O4007" s="7" t="str">
        <f>VLOOKUP(F4007,HC!A$6:D$1000,2,FALSE)</f>
        <v>cmartif</v>
      </c>
      <c r="U4007">
        <f t="shared" si="64"/>
        <v>7</v>
      </c>
    </row>
    <row r="4008" spans="1:21" ht="37.5" customHeight="1" x14ac:dyDescent="0.25">
      <c r="A4008" s="23">
        <v>45233</v>
      </c>
      <c r="B4008" s="13">
        <v>44</v>
      </c>
      <c r="C4008" t="s">
        <v>3</v>
      </c>
      <c r="D4008" t="s">
        <v>4</v>
      </c>
      <c r="E4008" t="s">
        <v>21</v>
      </c>
      <c r="F4008">
        <v>202117420</v>
      </c>
      <c r="G4008" t="s">
        <v>1277</v>
      </c>
      <c r="H4008" t="s">
        <v>1471</v>
      </c>
      <c r="I4008">
        <v>0</v>
      </c>
      <c r="J4008">
        <v>0</v>
      </c>
      <c r="K4008">
        <v>0</v>
      </c>
      <c r="L4008">
        <v>0</v>
      </c>
      <c r="M4008">
        <v>0.74</v>
      </c>
      <c r="N4008" s="7" t="e">
        <f>VLOOKUP(F4008,HC!A$6:D$100,3,FALSE)</f>
        <v>#N/A</v>
      </c>
      <c r="O4008" s="7" t="str">
        <f>VLOOKUP(F4008,HC!A$6:D$1000,2,FALSE)</f>
        <v>iscerver</v>
      </c>
      <c r="U4008">
        <f t="shared" si="64"/>
        <v>9</v>
      </c>
    </row>
    <row r="4009" spans="1:21" ht="37.5" customHeight="1" x14ac:dyDescent="0.25">
      <c r="A4009" s="23">
        <v>45233</v>
      </c>
      <c r="B4009" s="13">
        <v>44</v>
      </c>
      <c r="C4009" t="s">
        <v>3</v>
      </c>
      <c r="D4009" t="s">
        <v>4</v>
      </c>
      <c r="E4009" t="s">
        <v>21</v>
      </c>
      <c r="F4009">
        <v>202189809</v>
      </c>
      <c r="G4009" t="s">
        <v>1458</v>
      </c>
      <c r="H4009" t="s">
        <v>285</v>
      </c>
      <c r="I4009">
        <v>0</v>
      </c>
      <c r="J4009">
        <v>0</v>
      </c>
      <c r="K4009">
        <v>0</v>
      </c>
      <c r="L4009">
        <v>0</v>
      </c>
      <c r="M4009">
        <v>0.22</v>
      </c>
      <c r="N4009" s="7" t="e">
        <f>VLOOKUP(F4009,HC!A$6:D$100,3,FALSE)</f>
        <v>#N/A</v>
      </c>
      <c r="O4009" s="7" t="str">
        <f>VLOOKUP(F4009,HC!A$6:D$1000,2,FALSE)</f>
        <v>pmarilun</v>
      </c>
      <c r="U4009">
        <f t="shared" si="64"/>
        <v>4</v>
      </c>
    </row>
    <row r="4010" spans="1:21" ht="37.5" customHeight="1" x14ac:dyDescent="0.25">
      <c r="A4010" s="23">
        <v>45233</v>
      </c>
      <c r="B4010" s="13">
        <v>44</v>
      </c>
      <c r="C4010" t="s">
        <v>3</v>
      </c>
      <c r="D4010" t="s">
        <v>4</v>
      </c>
      <c r="E4010" t="s">
        <v>21</v>
      </c>
      <c r="F4010">
        <v>202194885</v>
      </c>
      <c r="G4010" t="s">
        <v>1738</v>
      </c>
      <c r="H4010" t="s">
        <v>285</v>
      </c>
      <c r="I4010">
        <v>0</v>
      </c>
      <c r="J4010">
        <v>0</v>
      </c>
      <c r="K4010">
        <v>0</v>
      </c>
      <c r="L4010">
        <v>0</v>
      </c>
      <c r="M4010">
        <v>1.87</v>
      </c>
      <c r="N4010" s="7" t="e">
        <f>VLOOKUP(F4010,HC!A$6:D$100,3,FALSE)</f>
        <v>#N/A</v>
      </c>
      <c r="O4010" s="7" t="str">
        <f>VLOOKUP(F4010,HC!A$6:D$1000,2,FALSE)</f>
        <v>bermisrq</v>
      </c>
      <c r="U4010">
        <f t="shared" si="64"/>
        <v>6</v>
      </c>
    </row>
    <row r="4011" spans="1:21" ht="37.5" customHeight="1" x14ac:dyDescent="0.25">
      <c r="A4011" s="23">
        <v>45233</v>
      </c>
      <c r="B4011" s="13">
        <v>44</v>
      </c>
      <c r="C4011" t="s">
        <v>3</v>
      </c>
      <c r="D4011" t="s">
        <v>4</v>
      </c>
      <c r="E4011" t="s">
        <v>21</v>
      </c>
      <c r="F4011">
        <v>202246028</v>
      </c>
      <c r="G4011" t="s">
        <v>1757</v>
      </c>
      <c r="H4011" t="s">
        <v>403</v>
      </c>
      <c r="I4011">
        <v>0</v>
      </c>
      <c r="J4011">
        <v>0</v>
      </c>
      <c r="K4011">
        <v>0</v>
      </c>
      <c r="L4011">
        <v>0</v>
      </c>
      <c r="M4011">
        <v>0.66</v>
      </c>
      <c r="N4011" s="7" t="e">
        <f>VLOOKUP(F4011,HC!A$6:D$100,3,FALSE)</f>
        <v>#N/A</v>
      </c>
      <c r="O4011" s="7" t="str">
        <f>VLOOKUP(F4011,HC!A$6:D$1000,2,FALSE)</f>
        <v>garcrodv</v>
      </c>
      <c r="U4011">
        <f t="shared" si="64"/>
        <v>2</v>
      </c>
    </row>
    <row r="4012" spans="1:21" ht="37.5" customHeight="1" x14ac:dyDescent="0.25">
      <c r="A4012" s="23">
        <v>45233</v>
      </c>
      <c r="B4012" s="13">
        <v>44</v>
      </c>
      <c r="C4012" t="s">
        <v>3</v>
      </c>
      <c r="D4012" t="s">
        <v>4</v>
      </c>
      <c r="E4012" t="s">
        <v>21</v>
      </c>
      <c r="F4012">
        <v>202253745</v>
      </c>
      <c r="G4012" t="s">
        <v>1758</v>
      </c>
      <c r="H4012" t="s">
        <v>332</v>
      </c>
      <c r="I4012">
        <v>0</v>
      </c>
      <c r="J4012">
        <v>0</v>
      </c>
      <c r="K4012">
        <v>0</v>
      </c>
      <c r="L4012">
        <v>0</v>
      </c>
      <c r="M4012">
        <v>0.18</v>
      </c>
      <c r="N4012" s="7" t="e">
        <f>VLOOKUP(F4012,HC!A$6:D$100,3,FALSE)</f>
        <v>#N/A</v>
      </c>
      <c r="O4012" s="7" t="str">
        <f>VLOOKUP(F4012,HC!A$6:D$1000,2,FALSE)</f>
        <v>rodrisga</v>
      </c>
      <c r="U4012">
        <f t="shared" si="64"/>
        <v>1</v>
      </c>
    </row>
    <row r="4013" spans="1:21" ht="37.5" customHeight="1" x14ac:dyDescent="0.25">
      <c r="A4013" s="23">
        <v>45233</v>
      </c>
      <c r="B4013" s="13">
        <v>44</v>
      </c>
      <c r="C4013" t="s">
        <v>3</v>
      </c>
      <c r="D4013" t="s">
        <v>4</v>
      </c>
      <c r="E4013" t="s">
        <v>21</v>
      </c>
      <c r="F4013">
        <v>202289699</v>
      </c>
      <c r="G4013" t="s">
        <v>1759</v>
      </c>
      <c r="H4013" t="s">
        <v>49</v>
      </c>
      <c r="I4013">
        <v>0</v>
      </c>
      <c r="J4013">
        <v>0</v>
      </c>
      <c r="K4013">
        <v>0</v>
      </c>
      <c r="L4013">
        <v>0</v>
      </c>
      <c r="M4013">
        <v>0.16</v>
      </c>
      <c r="N4013" s="7" t="e">
        <f>VLOOKUP(F4013,HC!A$6:D$100,3,FALSE)</f>
        <v>#N/A</v>
      </c>
      <c r="O4013" s="7" t="str">
        <f>VLOOKUP(F4013,HC!A$6:D$1000,2,FALSE)</f>
        <v>hiselara</v>
      </c>
      <c r="U4013">
        <f t="shared" si="64"/>
        <v>2</v>
      </c>
    </row>
    <row r="4014" spans="1:21" ht="37.5" customHeight="1" x14ac:dyDescent="0.25">
      <c r="A4014" s="23">
        <v>45233</v>
      </c>
      <c r="B4014" s="13">
        <v>44</v>
      </c>
      <c r="C4014" t="s">
        <v>3</v>
      </c>
      <c r="D4014" t="s">
        <v>4</v>
      </c>
      <c r="E4014" t="s">
        <v>21</v>
      </c>
      <c r="F4014">
        <v>202291219</v>
      </c>
      <c r="G4014" t="s">
        <v>1714</v>
      </c>
      <c r="H4014" t="s">
        <v>285</v>
      </c>
      <c r="I4014">
        <v>0</v>
      </c>
      <c r="J4014">
        <v>0</v>
      </c>
      <c r="K4014">
        <v>0</v>
      </c>
      <c r="L4014">
        <v>0</v>
      </c>
      <c r="M4014">
        <v>0.7</v>
      </c>
      <c r="N4014" s="7" t="e">
        <f>VLOOKUP(F4014,HC!A$6:D$100,3,FALSE)</f>
        <v>#N/A</v>
      </c>
      <c r="O4014" s="7" t="str">
        <f>VLOOKUP(F4014,HC!A$6:D$1000,2,FALSE)</f>
        <v>yaguicar</v>
      </c>
      <c r="U4014">
        <f t="shared" si="64"/>
        <v>3</v>
      </c>
    </row>
    <row r="4015" spans="1:21" ht="37.5" customHeight="1" x14ac:dyDescent="0.25">
      <c r="A4015" s="23">
        <v>45233</v>
      </c>
      <c r="B4015" s="13">
        <v>44</v>
      </c>
      <c r="C4015" t="s">
        <v>3</v>
      </c>
      <c r="D4015" t="s">
        <v>4</v>
      </c>
      <c r="E4015" t="s">
        <v>21</v>
      </c>
      <c r="F4015">
        <v>202291384</v>
      </c>
      <c r="G4015" t="s">
        <v>1703</v>
      </c>
      <c r="H4015" t="s">
        <v>298</v>
      </c>
      <c r="I4015">
        <v>0</v>
      </c>
      <c r="J4015">
        <v>0</v>
      </c>
      <c r="K4015">
        <v>0</v>
      </c>
      <c r="L4015">
        <v>0</v>
      </c>
      <c r="M4015">
        <v>0.14000000000000001</v>
      </c>
      <c r="N4015" s="7" t="e">
        <f>VLOOKUP(F4015,HC!A$6:D$100,3,FALSE)</f>
        <v>#N/A</v>
      </c>
      <c r="O4015" s="7" t="str">
        <f>VLOOKUP(F4015,HC!A$6:D$1000,2,FALSE)</f>
        <v>servelaj</v>
      </c>
      <c r="U4015">
        <f t="shared" si="64"/>
        <v>6</v>
      </c>
    </row>
    <row r="4016" spans="1:21" ht="37.5" customHeight="1" x14ac:dyDescent="0.25">
      <c r="A4016" s="23">
        <v>45233</v>
      </c>
      <c r="B4016" s="13">
        <v>44</v>
      </c>
      <c r="C4016" t="s">
        <v>3</v>
      </c>
      <c r="D4016" t="s">
        <v>4</v>
      </c>
      <c r="E4016" t="s">
        <v>21</v>
      </c>
      <c r="F4016">
        <v>202291460</v>
      </c>
      <c r="G4016" t="s">
        <v>1715</v>
      </c>
      <c r="H4016" t="s">
        <v>49</v>
      </c>
      <c r="I4016">
        <v>0</v>
      </c>
      <c r="J4016">
        <v>0</v>
      </c>
      <c r="K4016">
        <v>0</v>
      </c>
      <c r="L4016">
        <v>0</v>
      </c>
      <c r="M4016">
        <v>0.32</v>
      </c>
      <c r="N4016" s="7" t="e">
        <f>VLOOKUP(F4016,HC!A$6:D$100,3,FALSE)</f>
        <v>#N/A</v>
      </c>
      <c r="O4016" s="7" t="str">
        <f>VLOOKUP(F4016,HC!A$6:D$1000,2,FALSE)</f>
        <v>anaornev</v>
      </c>
      <c r="U4016">
        <f t="shared" si="64"/>
        <v>3</v>
      </c>
    </row>
    <row r="4017" spans="1:21" ht="37.5" customHeight="1" x14ac:dyDescent="0.25">
      <c r="A4017" s="23">
        <v>45233</v>
      </c>
      <c r="B4017" s="13">
        <v>44</v>
      </c>
      <c r="C4017" t="s">
        <v>3</v>
      </c>
      <c r="D4017" t="s">
        <v>4</v>
      </c>
      <c r="E4017" t="s">
        <v>21</v>
      </c>
      <c r="F4017">
        <v>202308885</v>
      </c>
      <c r="G4017" t="s">
        <v>1743</v>
      </c>
      <c r="H4017" t="s">
        <v>263</v>
      </c>
      <c r="I4017">
        <v>0</v>
      </c>
      <c r="J4017">
        <v>0</v>
      </c>
      <c r="K4017">
        <v>0</v>
      </c>
      <c r="L4017">
        <v>0</v>
      </c>
      <c r="M4017">
        <v>0.45</v>
      </c>
      <c r="N4017" s="7" t="e">
        <f>VLOOKUP(F4017,HC!A$6:D$100,3,FALSE)</f>
        <v>#N/A</v>
      </c>
      <c r="O4017" s="7" t="str">
        <f>VLOOKUP(F4017,HC!A$6:D$1000,2,FALSE)</f>
        <v>aderikas</v>
      </c>
      <c r="U4017">
        <f t="shared" si="64"/>
        <v>2</v>
      </c>
    </row>
    <row r="4018" spans="1:21" ht="37.5" customHeight="1" x14ac:dyDescent="0.25">
      <c r="A4018" s="23">
        <v>45233</v>
      </c>
      <c r="B4018" s="13">
        <v>44</v>
      </c>
      <c r="C4018" t="s">
        <v>3</v>
      </c>
      <c r="D4018" t="s">
        <v>4</v>
      </c>
      <c r="E4018" t="s">
        <v>21</v>
      </c>
      <c r="F4018">
        <v>202334620</v>
      </c>
      <c r="G4018" t="s">
        <v>1760</v>
      </c>
      <c r="H4018" t="s">
        <v>285</v>
      </c>
      <c r="I4018">
        <v>0</v>
      </c>
      <c r="J4018">
        <v>0</v>
      </c>
      <c r="K4018">
        <v>0</v>
      </c>
      <c r="L4018">
        <v>0</v>
      </c>
      <c r="M4018">
        <v>0.37</v>
      </c>
      <c r="N4018" s="7" t="e">
        <f>VLOOKUP(F4018,HC!A$6:D$100,3,FALSE)</f>
        <v>#N/A</v>
      </c>
      <c r="O4018" s="7" t="str">
        <f>VLOOKUP(F4018,HC!A$6:D$1000,2,FALSE)</f>
        <v>veraaled</v>
      </c>
      <c r="U4018">
        <f t="shared" si="64"/>
        <v>2</v>
      </c>
    </row>
    <row r="4019" spans="1:21" ht="37.5" customHeight="1" x14ac:dyDescent="0.25">
      <c r="A4019" s="23">
        <v>45233</v>
      </c>
      <c r="B4019" s="13">
        <v>44</v>
      </c>
      <c r="C4019" t="s">
        <v>3</v>
      </c>
      <c r="D4019" t="s">
        <v>4</v>
      </c>
      <c r="E4019" t="s">
        <v>21</v>
      </c>
      <c r="F4019">
        <v>202334920</v>
      </c>
      <c r="G4019" t="s">
        <v>1705</v>
      </c>
      <c r="H4019" t="s">
        <v>285</v>
      </c>
      <c r="I4019">
        <v>0</v>
      </c>
      <c r="J4019">
        <v>0</v>
      </c>
      <c r="K4019">
        <v>0</v>
      </c>
      <c r="L4019">
        <v>0</v>
      </c>
      <c r="M4019">
        <v>0.19</v>
      </c>
      <c r="N4019" s="7" t="e">
        <f>VLOOKUP(F4019,HC!A$6:D$100,3,FALSE)</f>
        <v>#N/A</v>
      </c>
      <c r="O4019" s="7" t="str">
        <f>VLOOKUP(F4019,HC!A$6:D$1000,2,FALSE)</f>
        <v>uroramir</v>
      </c>
      <c r="U4019">
        <f t="shared" si="64"/>
        <v>5</v>
      </c>
    </row>
    <row r="4020" spans="1:21" ht="37.5" customHeight="1" x14ac:dyDescent="0.25">
      <c r="A4020" s="23">
        <v>45233</v>
      </c>
      <c r="B4020" s="13">
        <v>44</v>
      </c>
      <c r="C4020" t="s">
        <v>3</v>
      </c>
      <c r="D4020" t="s">
        <v>4</v>
      </c>
      <c r="E4020" t="s">
        <v>21</v>
      </c>
      <c r="F4020">
        <v>202353921</v>
      </c>
      <c r="G4020" t="s">
        <v>1717</v>
      </c>
      <c r="H4020" t="s">
        <v>49</v>
      </c>
      <c r="I4020">
        <v>0</v>
      </c>
      <c r="J4020">
        <v>0</v>
      </c>
      <c r="K4020">
        <v>0</v>
      </c>
      <c r="L4020">
        <v>0</v>
      </c>
      <c r="M4020">
        <v>0.15</v>
      </c>
      <c r="N4020" s="7" t="e">
        <f>VLOOKUP(F4020,HC!A$6:D$100,3,FALSE)</f>
        <v>#N/A</v>
      </c>
      <c r="O4020" s="7" t="str">
        <f>VLOOKUP(F4020,HC!A$6:D$1000,2,FALSE)</f>
        <v>lindinoe</v>
      </c>
      <c r="U4020">
        <f t="shared" si="64"/>
        <v>12</v>
      </c>
    </row>
    <row r="4021" spans="1:21" ht="37.5" customHeight="1" x14ac:dyDescent="0.25">
      <c r="A4021" s="23">
        <v>45233</v>
      </c>
      <c r="B4021" s="13">
        <v>44</v>
      </c>
      <c r="C4021" t="s">
        <v>3</v>
      </c>
      <c r="D4021" t="s">
        <v>438</v>
      </c>
      <c r="E4021" t="s">
        <v>21</v>
      </c>
      <c r="F4021">
        <v>201365023</v>
      </c>
      <c r="G4021" t="s">
        <v>1756</v>
      </c>
      <c r="H4021" t="s">
        <v>298</v>
      </c>
      <c r="I4021">
        <v>0</v>
      </c>
      <c r="J4021">
        <v>0</v>
      </c>
      <c r="K4021">
        <v>0</v>
      </c>
      <c r="L4021">
        <v>0</v>
      </c>
      <c r="M4021">
        <v>2.5</v>
      </c>
      <c r="N4021" s="7" t="e">
        <f>VLOOKUP(F4021,HC!A$6:D$100,3,FALSE)</f>
        <v>#N/A</v>
      </c>
      <c r="O4021" s="7" t="str">
        <f>VLOOKUP(F4021,HC!A$6:D$1000,2,FALSE)</f>
        <v>varacent</v>
      </c>
      <c r="U4021">
        <f t="shared" si="64"/>
        <v>5</v>
      </c>
    </row>
    <row r="4022" spans="1:21" ht="37.5" customHeight="1" x14ac:dyDescent="0.25">
      <c r="A4022" s="23">
        <v>45234</v>
      </c>
      <c r="B4022" s="13">
        <v>44</v>
      </c>
      <c r="C4022" t="s">
        <v>3</v>
      </c>
      <c r="D4022" t="s">
        <v>4</v>
      </c>
      <c r="E4022" t="s">
        <v>21</v>
      </c>
      <c r="F4022">
        <v>113014081</v>
      </c>
      <c r="G4022" t="s">
        <v>267</v>
      </c>
      <c r="H4022" t="s">
        <v>1720</v>
      </c>
      <c r="I4022">
        <v>0</v>
      </c>
      <c r="J4022">
        <v>0</v>
      </c>
      <c r="K4022">
        <v>0</v>
      </c>
      <c r="L4022">
        <v>0</v>
      </c>
      <c r="M4022">
        <v>0.34</v>
      </c>
      <c r="N4022" s="7" t="e">
        <f>VLOOKUP(F4022,HC!A$6:D$100,3,FALSE)</f>
        <v>#N/A</v>
      </c>
      <c r="O4022" s="7" t="str">
        <f>VLOOKUP(F4022,HC!A$6:D$1000,2,FALSE)</f>
        <v>fraugene</v>
      </c>
      <c r="U4022">
        <f t="shared" si="64"/>
        <v>32</v>
      </c>
    </row>
    <row r="4023" spans="1:21" ht="37.5" customHeight="1" x14ac:dyDescent="0.25">
      <c r="A4023" s="23">
        <v>45234</v>
      </c>
      <c r="B4023" s="13">
        <v>44</v>
      </c>
      <c r="C4023" t="s">
        <v>3</v>
      </c>
      <c r="D4023" t="s">
        <v>4</v>
      </c>
      <c r="E4023" t="s">
        <v>5</v>
      </c>
      <c r="F4023">
        <v>113020476</v>
      </c>
      <c r="G4023" t="s">
        <v>330</v>
      </c>
      <c r="H4023" t="s">
        <v>298</v>
      </c>
      <c r="I4023">
        <v>0</v>
      </c>
      <c r="J4023">
        <v>0</v>
      </c>
      <c r="K4023">
        <v>0</v>
      </c>
      <c r="L4023">
        <v>0</v>
      </c>
      <c r="M4023">
        <v>0.31</v>
      </c>
      <c r="N4023" s="7" t="e">
        <f>VLOOKUP(F4023,HC!A$6:D$100,3,FALSE)</f>
        <v>#N/A</v>
      </c>
      <c r="O4023" s="7" t="str">
        <f>VLOOKUP(F4023,HC!A$6:D$1000,2,FALSE)</f>
        <v>polettpu</v>
      </c>
      <c r="U4023">
        <f t="shared" si="64"/>
        <v>55</v>
      </c>
    </row>
    <row r="4024" spans="1:21" ht="37.5" customHeight="1" x14ac:dyDescent="0.25">
      <c r="A4024" s="23">
        <v>45234</v>
      </c>
      <c r="B4024" s="13">
        <v>44</v>
      </c>
      <c r="C4024" t="s">
        <v>3</v>
      </c>
      <c r="D4024" t="s">
        <v>4</v>
      </c>
      <c r="E4024" t="s">
        <v>5</v>
      </c>
      <c r="F4024">
        <v>200508323</v>
      </c>
      <c r="G4024" t="s">
        <v>1150</v>
      </c>
      <c r="H4024" t="s">
        <v>298</v>
      </c>
      <c r="I4024">
        <v>0</v>
      </c>
      <c r="J4024">
        <v>0</v>
      </c>
      <c r="K4024">
        <v>0</v>
      </c>
      <c r="L4024">
        <v>0</v>
      </c>
      <c r="M4024">
        <v>0.1</v>
      </c>
      <c r="N4024" s="7" t="e">
        <f>VLOOKUP(F4024,HC!A$6:D$100,3,FALSE)</f>
        <v>#N/A</v>
      </c>
      <c r="O4024" s="7" t="str">
        <f>VLOOKUP(F4024,HC!A$6:D$1000,2,FALSE)</f>
        <v>espejell</v>
      </c>
      <c r="U4024">
        <f t="shared" si="64"/>
        <v>15</v>
      </c>
    </row>
    <row r="4025" spans="1:21" ht="37.5" customHeight="1" x14ac:dyDescent="0.25">
      <c r="A4025" s="23">
        <v>45234</v>
      </c>
      <c r="B4025" s="13">
        <v>44</v>
      </c>
      <c r="C4025" t="s">
        <v>3</v>
      </c>
      <c r="D4025" t="s">
        <v>4</v>
      </c>
      <c r="E4025" t="s">
        <v>5</v>
      </c>
      <c r="F4025">
        <v>201167388</v>
      </c>
      <c r="G4025" t="s">
        <v>1096</v>
      </c>
      <c r="H4025" t="s">
        <v>298</v>
      </c>
      <c r="I4025">
        <v>0</v>
      </c>
      <c r="J4025">
        <v>0</v>
      </c>
      <c r="K4025">
        <v>0</v>
      </c>
      <c r="L4025">
        <v>0</v>
      </c>
      <c r="M4025">
        <v>0.14000000000000001</v>
      </c>
      <c r="N4025" s="7" t="e">
        <f>VLOOKUP(F4025,HC!A$6:D$100,3,FALSE)</f>
        <v>#N/A</v>
      </c>
      <c r="O4025" s="7" t="str">
        <f>VLOOKUP(F4025,HC!A$6:D$1000,2,FALSE)</f>
        <v>naguirro</v>
      </c>
      <c r="U4025">
        <f t="shared" si="64"/>
        <v>7</v>
      </c>
    </row>
    <row r="4026" spans="1:21" ht="37.5" customHeight="1" x14ac:dyDescent="0.25">
      <c r="A4026" s="23">
        <v>45234</v>
      </c>
      <c r="B4026" s="13">
        <v>44</v>
      </c>
      <c r="C4026" t="s">
        <v>3</v>
      </c>
      <c r="D4026" t="s">
        <v>4</v>
      </c>
      <c r="E4026" t="s">
        <v>5</v>
      </c>
      <c r="F4026">
        <v>201223730</v>
      </c>
      <c r="G4026" t="s">
        <v>933</v>
      </c>
      <c r="H4026" t="s">
        <v>298</v>
      </c>
      <c r="I4026">
        <v>0</v>
      </c>
      <c r="J4026">
        <v>0</v>
      </c>
      <c r="K4026">
        <v>0</v>
      </c>
      <c r="L4026">
        <v>0</v>
      </c>
      <c r="M4026">
        <v>1.42</v>
      </c>
      <c r="N4026" s="7" t="e">
        <f>VLOOKUP(F4026,HC!A$6:D$100,3,FALSE)</f>
        <v>#N/A</v>
      </c>
      <c r="O4026" s="7" t="str">
        <f>VLOOKUP(F4026,HC!A$6:D$1000,2,FALSE)</f>
        <v>cesarito</v>
      </c>
      <c r="U4026">
        <f t="shared" si="64"/>
        <v>39</v>
      </c>
    </row>
    <row r="4027" spans="1:21" ht="37.5" customHeight="1" x14ac:dyDescent="0.25">
      <c r="A4027" s="23">
        <v>45234</v>
      </c>
      <c r="B4027" s="13">
        <v>44</v>
      </c>
      <c r="C4027" t="s">
        <v>3</v>
      </c>
      <c r="D4027" t="s">
        <v>4</v>
      </c>
      <c r="E4027" t="s">
        <v>5</v>
      </c>
      <c r="F4027">
        <v>201228411</v>
      </c>
      <c r="G4027" t="s">
        <v>938</v>
      </c>
      <c r="H4027" t="s">
        <v>298</v>
      </c>
      <c r="I4027">
        <v>0</v>
      </c>
      <c r="J4027">
        <v>0</v>
      </c>
      <c r="K4027">
        <v>0</v>
      </c>
      <c r="L4027">
        <v>0</v>
      </c>
      <c r="M4027">
        <v>1.44</v>
      </c>
      <c r="N4027" s="7" t="e">
        <f>VLOOKUP(F4027,HC!A$6:D$100,3,FALSE)</f>
        <v>#N/A</v>
      </c>
      <c r="O4027" s="7" t="str">
        <f>VLOOKUP(F4027,HC!A$6:D$1000,2,FALSE)</f>
        <v>jazmiwhe</v>
      </c>
      <c r="U4027">
        <f t="shared" si="64"/>
        <v>36</v>
      </c>
    </row>
    <row r="4028" spans="1:21" ht="37.5" customHeight="1" x14ac:dyDescent="0.25">
      <c r="A4028" s="23">
        <v>45234</v>
      </c>
      <c r="B4028" s="13">
        <v>44</v>
      </c>
      <c r="C4028" t="s">
        <v>3</v>
      </c>
      <c r="D4028" t="s">
        <v>4</v>
      </c>
      <c r="E4028" t="s">
        <v>21</v>
      </c>
      <c r="F4028">
        <v>201294217</v>
      </c>
      <c r="G4028" t="s">
        <v>1042</v>
      </c>
      <c r="H4028" t="s">
        <v>459</v>
      </c>
      <c r="I4028">
        <v>0</v>
      </c>
      <c r="J4028">
        <v>0</v>
      </c>
      <c r="K4028">
        <v>0</v>
      </c>
      <c r="L4028">
        <v>0</v>
      </c>
      <c r="M4028">
        <v>0.72</v>
      </c>
      <c r="N4028" s="7" t="e">
        <f>VLOOKUP(F4028,HC!A$6:D$100,3,FALSE)</f>
        <v>#N/A</v>
      </c>
      <c r="O4028" s="7" t="str">
        <f>VLOOKUP(F4028,HC!A$6:D$1000,2,FALSE)</f>
        <v>montebib</v>
      </c>
      <c r="U4028">
        <f t="shared" si="64"/>
        <v>5</v>
      </c>
    </row>
    <row r="4029" spans="1:21" ht="37.5" customHeight="1" x14ac:dyDescent="0.25">
      <c r="A4029" s="23">
        <v>45234</v>
      </c>
      <c r="B4029" s="13">
        <v>44</v>
      </c>
      <c r="C4029" t="s">
        <v>3</v>
      </c>
      <c r="D4029" t="s">
        <v>4</v>
      </c>
      <c r="E4029" t="s">
        <v>21</v>
      </c>
      <c r="F4029">
        <v>201320536</v>
      </c>
      <c r="G4029" t="s">
        <v>992</v>
      </c>
      <c r="H4029" t="s">
        <v>285</v>
      </c>
      <c r="I4029">
        <v>0</v>
      </c>
      <c r="J4029">
        <v>0</v>
      </c>
      <c r="K4029">
        <v>0</v>
      </c>
      <c r="L4029">
        <v>0</v>
      </c>
      <c r="M4029">
        <v>0.64</v>
      </c>
      <c r="N4029" s="7" t="e">
        <f>VLOOKUP(F4029,HC!A$6:D$100,3,FALSE)</f>
        <v>#N/A</v>
      </c>
      <c r="O4029" s="7" t="str">
        <f>VLOOKUP(F4029,HC!A$6:D$1000,2,FALSE)</f>
        <v>ibalmigu</v>
      </c>
      <c r="U4029">
        <f t="shared" si="64"/>
        <v>11</v>
      </c>
    </row>
    <row r="4030" spans="1:21" ht="37.5" customHeight="1" x14ac:dyDescent="0.25">
      <c r="A4030" s="23">
        <v>45234</v>
      </c>
      <c r="B4030" s="13">
        <v>44</v>
      </c>
      <c r="C4030" t="s">
        <v>3</v>
      </c>
      <c r="D4030" t="s">
        <v>4</v>
      </c>
      <c r="E4030" t="s">
        <v>5</v>
      </c>
      <c r="F4030">
        <v>201353234</v>
      </c>
      <c r="G4030" t="s">
        <v>1168</v>
      </c>
      <c r="H4030" t="s">
        <v>1720</v>
      </c>
      <c r="I4030">
        <v>0</v>
      </c>
      <c r="J4030">
        <v>0</v>
      </c>
      <c r="K4030">
        <v>0</v>
      </c>
      <c r="L4030">
        <v>0</v>
      </c>
      <c r="M4030">
        <v>0.52</v>
      </c>
      <c r="N4030" s="7" t="e">
        <f>VLOOKUP(F4030,HC!A$6:D$100,3,FALSE)</f>
        <v>#N/A</v>
      </c>
      <c r="O4030" s="7" t="str">
        <f>VLOOKUP(F4030,HC!A$6:D$1000,2,FALSE)</f>
        <v>paeramon</v>
      </c>
      <c r="U4030">
        <f t="shared" si="64"/>
        <v>6</v>
      </c>
    </row>
    <row r="4031" spans="1:21" ht="37.5" customHeight="1" x14ac:dyDescent="0.25">
      <c r="A4031" s="23">
        <v>45234</v>
      </c>
      <c r="B4031" s="13">
        <v>44</v>
      </c>
      <c r="C4031" t="s">
        <v>3</v>
      </c>
      <c r="D4031" t="s">
        <v>4</v>
      </c>
      <c r="E4031" t="s">
        <v>21</v>
      </c>
      <c r="F4031">
        <v>201365023</v>
      </c>
      <c r="G4031" t="s">
        <v>1756</v>
      </c>
      <c r="H4031" t="s">
        <v>298</v>
      </c>
      <c r="I4031">
        <v>0</v>
      </c>
      <c r="J4031">
        <v>0</v>
      </c>
      <c r="K4031">
        <v>0</v>
      </c>
      <c r="L4031">
        <v>0</v>
      </c>
      <c r="M4031">
        <v>0.68</v>
      </c>
      <c r="N4031" s="7" t="e">
        <f>VLOOKUP(F4031,HC!A$6:D$100,3,FALSE)</f>
        <v>#N/A</v>
      </c>
      <c r="O4031" s="7" t="str">
        <f>VLOOKUP(F4031,HC!A$6:D$1000,2,FALSE)</f>
        <v>varacent</v>
      </c>
      <c r="U4031">
        <f t="shared" si="64"/>
        <v>5</v>
      </c>
    </row>
    <row r="4032" spans="1:21" ht="37.5" customHeight="1" x14ac:dyDescent="0.25">
      <c r="A4032" s="23">
        <v>45234</v>
      </c>
      <c r="B4032" s="13">
        <v>44</v>
      </c>
      <c r="C4032" t="s">
        <v>3</v>
      </c>
      <c r="D4032" t="s">
        <v>4</v>
      </c>
      <c r="E4032" t="s">
        <v>21</v>
      </c>
      <c r="F4032">
        <v>201858867</v>
      </c>
      <c r="G4032" t="s">
        <v>1236</v>
      </c>
      <c r="H4032" t="s">
        <v>285</v>
      </c>
      <c r="I4032">
        <v>0</v>
      </c>
      <c r="J4032">
        <v>0</v>
      </c>
      <c r="K4032">
        <v>0</v>
      </c>
      <c r="L4032">
        <v>0</v>
      </c>
      <c r="M4032">
        <v>0.49</v>
      </c>
      <c r="N4032" s="7" t="e">
        <f>VLOOKUP(F4032,HC!A$6:D$100,3,FALSE)</f>
        <v>#N/A</v>
      </c>
      <c r="O4032" s="7" t="str">
        <f>VLOOKUP(F4032,HC!A$6:D$1000,2,FALSE)</f>
        <v>tcruzvel</v>
      </c>
      <c r="U4032">
        <f t="shared" si="64"/>
        <v>17</v>
      </c>
    </row>
    <row r="4033" spans="1:21" ht="37.5" customHeight="1" x14ac:dyDescent="0.25">
      <c r="A4033" s="23">
        <v>45234</v>
      </c>
      <c r="B4033" s="13">
        <v>44</v>
      </c>
      <c r="C4033" t="s">
        <v>3</v>
      </c>
      <c r="D4033" t="s">
        <v>4</v>
      </c>
      <c r="E4033" t="s">
        <v>21</v>
      </c>
      <c r="F4033">
        <v>202165242</v>
      </c>
      <c r="G4033" t="s">
        <v>1412</v>
      </c>
      <c r="H4033" t="s">
        <v>403</v>
      </c>
      <c r="I4033">
        <v>0</v>
      </c>
      <c r="J4033">
        <v>0</v>
      </c>
      <c r="K4033">
        <v>0</v>
      </c>
      <c r="L4033">
        <v>0</v>
      </c>
      <c r="M4033">
        <v>0.64</v>
      </c>
      <c r="N4033" s="7" t="e">
        <f>VLOOKUP(F4033,HC!A$6:D$100,3,FALSE)</f>
        <v>#N/A</v>
      </c>
      <c r="O4033" s="7" t="str">
        <f>VLOOKUP(F4033,HC!A$6:D$1000,2,FALSE)</f>
        <v>marcqgon</v>
      </c>
      <c r="U4033">
        <f t="shared" si="64"/>
        <v>21</v>
      </c>
    </row>
    <row r="4034" spans="1:21" ht="37.5" customHeight="1" x14ac:dyDescent="0.25">
      <c r="A4034" s="23">
        <v>45234</v>
      </c>
      <c r="B4034" s="13">
        <v>44</v>
      </c>
      <c r="C4034" t="s">
        <v>3</v>
      </c>
      <c r="D4034" t="s">
        <v>4</v>
      </c>
      <c r="E4034" t="s">
        <v>21</v>
      </c>
      <c r="F4034">
        <v>202165417</v>
      </c>
      <c r="G4034" t="s">
        <v>1761</v>
      </c>
      <c r="H4034" t="s">
        <v>298</v>
      </c>
      <c r="I4034">
        <v>0</v>
      </c>
      <c r="J4034">
        <v>0</v>
      </c>
      <c r="K4034">
        <v>0</v>
      </c>
      <c r="L4034">
        <v>0</v>
      </c>
      <c r="M4034">
        <v>0.05</v>
      </c>
      <c r="N4034" s="7" t="e">
        <f>VLOOKUP(F4034,HC!A$6:D$100,3,FALSE)</f>
        <v>#N/A</v>
      </c>
      <c r="O4034" s="7" t="str">
        <f>VLOOKUP(F4034,HC!A$6:D$1000,2,FALSE)</f>
        <v>gonzmorw</v>
      </c>
      <c r="U4034">
        <f t="shared" si="64"/>
        <v>4</v>
      </c>
    </row>
    <row r="4035" spans="1:21" ht="37.5" customHeight="1" x14ac:dyDescent="0.25">
      <c r="A4035" s="23">
        <v>45234</v>
      </c>
      <c r="B4035" s="13">
        <v>44</v>
      </c>
      <c r="C4035" t="s">
        <v>3</v>
      </c>
      <c r="D4035" t="s">
        <v>4</v>
      </c>
      <c r="E4035" t="s">
        <v>21</v>
      </c>
      <c r="F4035">
        <v>202175671</v>
      </c>
      <c r="G4035" t="s">
        <v>1421</v>
      </c>
      <c r="H4035" t="s">
        <v>403</v>
      </c>
      <c r="I4035">
        <v>0</v>
      </c>
      <c r="J4035">
        <v>0</v>
      </c>
      <c r="K4035">
        <v>0</v>
      </c>
      <c r="L4035">
        <v>0</v>
      </c>
      <c r="M4035">
        <v>0.3</v>
      </c>
      <c r="N4035" s="7" t="e">
        <f>VLOOKUP(F4035,HC!A$6:D$100,3,FALSE)</f>
        <v>#N/A</v>
      </c>
      <c r="O4035" s="7" t="str">
        <f>VLOOKUP(F4035,HC!A$6:D$1000,2,FALSE)</f>
        <v>laucruzc</v>
      </c>
      <c r="U4035">
        <f t="shared" ref="U4035:U4098" si="65">COUNTIF(O$2:O$4999,O4035)</f>
        <v>5</v>
      </c>
    </row>
    <row r="4036" spans="1:21" ht="37.5" customHeight="1" x14ac:dyDescent="0.25">
      <c r="A4036" s="23">
        <v>45234</v>
      </c>
      <c r="B4036" s="13">
        <v>44</v>
      </c>
      <c r="C4036" t="s">
        <v>3</v>
      </c>
      <c r="D4036" t="s">
        <v>4</v>
      </c>
      <c r="E4036" t="s">
        <v>21</v>
      </c>
      <c r="F4036">
        <v>202185231</v>
      </c>
      <c r="G4036" t="s">
        <v>1424</v>
      </c>
      <c r="H4036" t="s">
        <v>285</v>
      </c>
      <c r="I4036">
        <v>0</v>
      </c>
      <c r="J4036">
        <v>0</v>
      </c>
      <c r="K4036">
        <v>0</v>
      </c>
      <c r="L4036">
        <v>0</v>
      </c>
      <c r="M4036">
        <v>1.46</v>
      </c>
      <c r="N4036" s="7" t="e">
        <f>VLOOKUP(F4036,HC!A$6:D$100,3,FALSE)</f>
        <v>#N/A</v>
      </c>
      <c r="O4036" s="7" t="str">
        <f>VLOOKUP(F4036,HC!A$6:D$1000,2,FALSE)</f>
        <v>davazquq</v>
      </c>
      <c r="U4036">
        <f t="shared" si="65"/>
        <v>7</v>
      </c>
    </row>
    <row r="4037" spans="1:21" ht="37.5" customHeight="1" x14ac:dyDescent="0.25">
      <c r="A4037" s="23">
        <v>45234</v>
      </c>
      <c r="B4037" s="13">
        <v>44</v>
      </c>
      <c r="C4037" t="s">
        <v>3</v>
      </c>
      <c r="D4037" t="s">
        <v>4</v>
      </c>
      <c r="E4037" t="s">
        <v>21</v>
      </c>
      <c r="F4037">
        <v>202219558</v>
      </c>
      <c r="G4037" t="s">
        <v>1721</v>
      </c>
      <c r="H4037" t="s">
        <v>403</v>
      </c>
      <c r="I4037">
        <v>0</v>
      </c>
      <c r="J4037">
        <v>0</v>
      </c>
      <c r="K4037">
        <v>0</v>
      </c>
      <c r="L4037">
        <v>0</v>
      </c>
      <c r="M4037">
        <v>0.13</v>
      </c>
      <c r="N4037" s="7" t="e">
        <f>VLOOKUP(F4037,HC!A$6:D$100,3,FALSE)</f>
        <v>#N/A</v>
      </c>
      <c r="O4037" s="7" t="str">
        <f>VLOOKUP(F4037,HC!A$6:D$1000,2,FALSE)</f>
        <v>ricaqcor</v>
      </c>
      <c r="U4037">
        <f t="shared" si="65"/>
        <v>3</v>
      </c>
    </row>
    <row r="4038" spans="1:21" ht="37.5" customHeight="1" x14ac:dyDescent="0.25">
      <c r="A4038" s="23">
        <v>45234</v>
      </c>
      <c r="B4038" s="13">
        <v>44</v>
      </c>
      <c r="C4038" t="s">
        <v>3</v>
      </c>
      <c r="D4038" t="s">
        <v>4</v>
      </c>
      <c r="E4038" t="s">
        <v>21</v>
      </c>
      <c r="F4038">
        <v>202246028</v>
      </c>
      <c r="G4038" t="s">
        <v>1757</v>
      </c>
      <c r="H4038" t="s">
        <v>403</v>
      </c>
      <c r="I4038">
        <v>0</v>
      </c>
      <c r="J4038">
        <v>0</v>
      </c>
      <c r="K4038">
        <v>0</v>
      </c>
      <c r="L4038">
        <v>0</v>
      </c>
      <c r="M4038">
        <v>0.69</v>
      </c>
      <c r="N4038" s="7" t="e">
        <f>VLOOKUP(F4038,HC!A$6:D$100,3,FALSE)</f>
        <v>#N/A</v>
      </c>
      <c r="O4038" s="7" t="str">
        <f>VLOOKUP(F4038,HC!A$6:D$1000,2,FALSE)</f>
        <v>garcrodv</v>
      </c>
      <c r="U4038">
        <f t="shared" si="65"/>
        <v>2</v>
      </c>
    </row>
    <row r="4039" spans="1:21" ht="37.5" customHeight="1" x14ac:dyDescent="0.25">
      <c r="A4039" s="23">
        <v>45234</v>
      </c>
      <c r="B4039" s="13">
        <v>44</v>
      </c>
      <c r="C4039" t="s">
        <v>3</v>
      </c>
      <c r="D4039" t="s">
        <v>4</v>
      </c>
      <c r="E4039" t="s">
        <v>21</v>
      </c>
      <c r="F4039">
        <v>202341246</v>
      </c>
      <c r="G4039" t="s">
        <v>1716</v>
      </c>
      <c r="H4039" t="s">
        <v>298</v>
      </c>
      <c r="I4039">
        <v>0</v>
      </c>
      <c r="J4039">
        <v>0</v>
      </c>
      <c r="K4039">
        <v>0</v>
      </c>
      <c r="L4039">
        <v>0</v>
      </c>
      <c r="M4039">
        <v>0.09</v>
      </c>
      <c r="N4039" s="7" t="e">
        <f>VLOOKUP(F4039,HC!A$6:D$100,3,FALSE)</f>
        <v>#N/A</v>
      </c>
      <c r="O4039" s="7" t="str">
        <f>VLOOKUP(F4039,HC!A$6:D$1000,2,FALSE)</f>
        <v>sofiawlo</v>
      </c>
      <c r="U4039">
        <f t="shared" si="65"/>
        <v>3</v>
      </c>
    </row>
    <row r="4040" spans="1:21" ht="37.5" customHeight="1" x14ac:dyDescent="0.25">
      <c r="A4040" s="23">
        <v>45234</v>
      </c>
      <c r="B4040" s="13">
        <v>44</v>
      </c>
      <c r="C4040" t="s">
        <v>3</v>
      </c>
      <c r="D4040" t="s">
        <v>4</v>
      </c>
      <c r="E4040" t="s">
        <v>21</v>
      </c>
      <c r="F4040">
        <v>202353810</v>
      </c>
      <c r="G4040" t="s">
        <v>1762</v>
      </c>
      <c r="H4040" t="s">
        <v>49</v>
      </c>
      <c r="I4040">
        <v>0</v>
      </c>
      <c r="J4040">
        <v>0</v>
      </c>
      <c r="K4040">
        <v>0</v>
      </c>
      <c r="L4040">
        <v>0</v>
      </c>
      <c r="M4040">
        <v>0.35</v>
      </c>
      <c r="N4040" s="7" t="e">
        <f>VLOOKUP(F4040,HC!A$6:D$100,3,FALSE)</f>
        <v>#N/A</v>
      </c>
      <c r="O4040" s="7" t="str">
        <f>VLOOKUP(F4040,HC!A$6:D$1000,2,FALSE)</f>
        <v>ylutruji</v>
      </c>
      <c r="U4040">
        <f t="shared" si="65"/>
        <v>1</v>
      </c>
    </row>
    <row r="4041" spans="1:21" ht="37.5" customHeight="1" x14ac:dyDescent="0.25">
      <c r="A4041" s="23">
        <v>45234</v>
      </c>
      <c r="B4041" s="13">
        <v>44</v>
      </c>
      <c r="C4041" t="s">
        <v>3</v>
      </c>
      <c r="D4041" t="s">
        <v>4</v>
      </c>
      <c r="E4041" t="s">
        <v>21</v>
      </c>
      <c r="F4041">
        <v>202353921</v>
      </c>
      <c r="G4041" t="s">
        <v>1717</v>
      </c>
      <c r="H4041" t="s">
        <v>49</v>
      </c>
      <c r="I4041">
        <v>0</v>
      </c>
      <c r="J4041">
        <v>0</v>
      </c>
      <c r="K4041">
        <v>0</v>
      </c>
      <c r="L4041">
        <v>0</v>
      </c>
      <c r="M4041">
        <v>0.35</v>
      </c>
      <c r="N4041" s="7" t="e">
        <f>VLOOKUP(F4041,HC!A$6:D$100,3,FALSE)</f>
        <v>#N/A</v>
      </c>
      <c r="O4041" s="7" t="str">
        <f>VLOOKUP(F4041,HC!A$6:D$1000,2,FALSE)</f>
        <v>lindinoe</v>
      </c>
      <c r="U4041">
        <f t="shared" si="65"/>
        <v>12</v>
      </c>
    </row>
    <row r="4042" spans="1:21" ht="37.5" customHeight="1" x14ac:dyDescent="0.25">
      <c r="A4042" s="23">
        <v>45234</v>
      </c>
      <c r="B4042" s="13">
        <v>44</v>
      </c>
      <c r="C4042" t="s">
        <v>3</v>
      </c>
      <c r="D4042" t="s">
        <v>4</v>
      </c>
      <c r="E4042" t="s">
        <v>21</v>
      </c>
      <c r="F4042">
        <v>202369419</v>
      </c>
      <c r="G4042" t="s">
        <v>1706</v>
      </c>
      <c r="H4042" t="s">
        <v>298</v>
      </c>
      <c r="I4042">
        <v>0</v>
      </c>
      <c r="J4042">
        <v>0</v>
      </c>
      <c r="K4042">
        <v>0</v>
      </c>
      <c r="L4042">
        <v>0</v>
      </c>
      <c r="M4042">
        <v>0.09</v>
      </c>
      <c r="N4042" s="7" t="e">
        <f>VLOOKUP(F4042,HC!A$6:D$100,3,FALSE)</f>
        <v>#N/A</v>
      </c>
      <c r="O4042" s="7" t="str">
        <f>VLOOKUP(F4042,HC!A$6:D$1000,2,FALSE)</f>
        <v>afabianx</v>
      </c>
      <c r="U4042">
        <f t="shared" si="65"/>
        <v>5</v>
      </c>
    </row>
    <row r="4043" spans="1:21" ht="37.5" customHeight="1" x14ac:dyDescent="0.25">
      <c r="A4043" s="23">
        <v>45234</v>
      </c>
      <c r="B4043" s="13">
        <v>44</v>
      </c>
      <c r="C4043" t="s">
        <v>3</v>
      </c>
      <c r="D4043" t="s">
        <v>4</v>
      </c>
      <c r="E4043" t="s">
        <v>21</v>
      </c>
      <c r="F4043">
        <v>202369438</v>
      </c>
      <c r="G4043" t="s">
        <v>1763</v>
      </c>
      <c r="H4043" t="s">
        <v>298</v>
      </c>
      <c r="I4043">
        <v>0</v>
      </c>
      <c r="J4043">
        <v>0</v>
      </c>
      <c r="K4043">
        <v>0</v>
      </c>
      <c r="L4043">
        <v>0</v>
      </c>
      <c r="M4043">
        <v>0.23</v>
      </c>
      <c r="N4043" s="7" t="e">
        <f>VLOOKUP(F4043,HC!A$6:D$100,3,FALSE)</f>
        <v>#N/A</v>
      </c>
      <c r="O4043" s="7" t="str">
        <f>VLOOKUP(F4043,HC!A$6:D$1000,2,FALSE)</f>
        <v>uarandar</v>
      </c>
      <c r="U4043">
        <f t="shared" si="65"/>
        <v>1</v>
      </c>
    </row>
    <row r="4044" spans="1:21" ht="37.5" customHeight="1" x14ac:dyDescent="0.25">
      <c r="A4044" s="23">
        <v>45234</v>
      </c>
      <c r="B4044" s="13">
        <v>44</v>
      </c>
      <c r="C4044" t="s">
        <v>3</v>
      </c>
      <c r="D4044" t="s">
        <v>4</v>
      </c>
      <c r="E4044" t="s">
        <v>21</v>
      </c>
      <c r="F4044">
        <v>202396758</v>
      </c>
      <c r="G4044" t="s">
        <v>1764</v>
      </c>
      <c r="H4044" t="s">
        <v>459</v>
      </c>
      <c r="I4044">
        <v>0</v>
      </c>
      <c r="J4044">
        <v>0</v>
      </c>
      <c r="K4044">
        <v>0</v>
      </c>
      <c r="L4044">
        <v>0</v>
      </c>
      <c r="M4044">
        <v>0.21</v>
      </c>
      <c r="N4044" s="7" t="e">
        <f>VLOOKUP(F4044,HC!A$6:D$100,3,FALSE)</f>
        <v>#N/A</v>
      </c>
      <c r="O4044" s="7" t="str">
        <f>VLOOKUP(F4044,HC!A$6:D$1000,2,FALSE)</f>
        <v>njosmack</v>
      </c>
      <c r="U4044">
        <f t="shared" si="65"/>
        <v>1</v>
      </c>
    </row>
    <row r="4045" spans="1:21" ht="37.5" customHeight="1" x14ac:dyDescent="0.25">
      <c r="A4045" s="23">
        <v>45234</v>
      </c>
      <c r="B4045" s="13">
        <v>44</v>
      </c>
      <c r="C4045" t="s">
        <v>3</v>
      </c>
      <c r="D4045" t="s">
        <v>4</v>
      </c>
      <c r="E4045" t="s">
        <v>21</v>
      </c>
      <c r="F4045">
        <v>202410680</v>
      </c>
      <c r="G4045" t="s">
        <v>1765</v>
      </c>
      <c r="H4045" t="s">
        <v>459</v>
      </c>
      <c r="I4045">
        <v>0</v>
      </c>
      <c r="J4045">
        <v>0</v>
      </c>
      <c r="K4045">
        <v>0</v>
      </c>
      <c r="L4045">
        <v>0</v>
      </c>
      <c r="M4045">
        <v>0.75</v>
      </c>
      <c r="N4045" s="7" t="e">
        <f>VLOOKUP(F4045,HC!A$6:D$100,3,FALSE)</f>
        <v>#N/A</v>
      </c>
      <c r="O4045" s="7" t="str">
        <f>VLOOKUP(F4045,HC!A$6:D$1000,2,FALSE)</f>
        <v>rremilia</v>
      </c>
      <c r="U4045">
        <f t="shared" si="65"/>
        <v>1</v>
      </c>
    </row>
    <row r="4046" spans="1:21" ht="37.5" customHeight="1" x14ac:dyDescent="0.25">
      <c r="A4046" s="23">
        <v>45234</v>
      </c>
      <c r="B4046" s="13">
        <v>44</v>
      </c>
      <c r="C4046" t="s">
        <v>3</v>
      </c>
      <c r="D4046" t="s">
        <v>1224</v>
      </c>
      <c r="E4046" t="s">
        <v>21</v>
      </c>
      <c r="F4046">
        <v>202165417</v>
      </c>
      <c r="G4046" t="s">
        <v>1761</v>
      </c>
      <c r="H4046" t="s">
        <v>298</v>
      </c>
      <c r="I4046">
        <v>0</v>
      </c>
      <c r="J4046">
        <v>0</v>
      </c>
      <c r="K4046">
        <v>0</v>
      </c>
      <c r="L4046">
        <v>0</v>
      </c>
      <c r="M4046">
        <v>0.25</v>
      </c>
      <c r="N4046" s="7" t="e">
        <f>VLOOKUP(F4046,HC!A$6:D$100,3,FALSE)</f>
        <v>#N/A</v>
      </c>
      <c r="O4046" s="7" t="str">
        <f>VLOOKUP(F4046,HC!A$6:D$1000,2,FALSE)</f>
        <v>gonzmorw</v>
      </c>
      <c r="U4046">
        <f t="shared" si="65"/>
        <v>4</v>
      </c>
    </row>
    <row r="4047" spans="1:21" ht="37.5" customHeight="1" x14ac:dyDescent="0.25">
      <c r="A4047" s="23">
        <v>45235</v>
      </c>
      <c r="B4047" s="13">
        <v>45</v>
      </c>
      <c r="C4047" t="s">
        <v>3</v>
      </c>
      <c r="D4047" t="s">
        <v>4</v>
      </c>
      <c r="E4047" t="s">
        <v>5</v>
      </c>
      <c r="F4047">
        <v>112912506</v>
      </c>
      <c r="G4047" t="s">
        <v>1041</v>
      </c>
      <c r="H4047" t="s">
        <v>7</v>
      </c>
      <c r="I4047">
        <v>0</v>
      </c>
      <c r="J4047">
        <v>0</v>
      </c>
      <c r="K4047">
        <v>0</v>
      </c>
      <c r="L4047">
        <v>0</v>
      </c>
      <c r="M4047">
        <v>0.16</v>
      </c>
      <c r="N4047" s="7" t="str">
        <f>VLOOKUP(F4047,HC!A$6:D$100,3,FALSE)</f>
        <v>DA-X0700</v>
      </c>
      <c r="O4047" s="7" t="str">
        <f>VLOOKUP(F4047,HC!A$6:D$1000,2,FALSE)</f>
        <v>gakjessi</v>
      </c>
      <c r="U4047">
        <f t="shared" si="65"/>
        <v>11</v>
      </c>
    </row>
    <row r="4048" spans="1:21" ht="37.5" customHeight="1" x14ac:dyDescent="0.25">
      <c r="A4048" s="23">
        <v>45235</v>
      </c>
      <c r="B4048" s="13">
        <v>45</v>
      </c>
      <c r="C4048" t="s">
        <v>3</v>
      </c>
      <c r="D4048" t="s">
        <v>4</v>
      </c>
      <c r="E4048" t="s">
        <v>5</v>
      </c>
      <c r="F4048">
        <v>112980812</v>
      </c>
      <c r="G4048" t="s">
        <v>324</v>
      </c>
      <c r="H4048" t="s">
        <v>1040</v>
      </c>
      <c r="I4048">
        <v>0</v>
      </c>
      <c r="J4048">
        <v>0</v>
      </c>
      <c r="K4048">
        <v>0</v>
      </c>
      <c r="L4048">
        <v>0</v>
      </c>
      <c r="M4048">
        <v>0.19</v>
      </c>
      <c r="N4048" s="7" t="str">
        <f>VLOOKUP(F4048,HC!A$6:D$100,3,FALSE)</f>
        <v>DA-X0700</v>
      </c>
      <c r="O4048" s="7" t="str">
        <f>VLOOKUP(F4048,HC!A$6:D$1000,2,FALSE)</f>
        <v>maryjacp</v>
      </c>
      <c r="U4048">
        <f t="shared" si="65"/>
        <v>15</v>
      </c>
    </row>
    <row r="4049" spans="1:21" ht="37.5" customHeight="1" x14ac:dyDescent="0.25">
      <c r="A4049" s="23">
        <v>45235</v>
      </c>
      <c r="B4049" s="13">
        <v>45</v>
      </c>
      <c r="C4049" t="s">
        <v>3</v>
      </c>
      <c r="D4049" t="s">
        <v>4</v>
      </c>
      <c r="E4049" t="s">
        <v>5</v>
      </c>
      <c r="F4049">
        <v>113014078</v>
      </c>
      <c r="G4049" t="s">
        <v>567</v>
      </c>
      <c r="H4049" t="s">
        <v>1040</v>
      </c>
      <c r="I4049">
        <v>0</v>
      </c>
      <c r="J4049">
        <v>0</v>
      </c>
      <c r="K4049">
        <v>0</v>
      </c>
      <c r="L4049">
        <v>0</v>
      </c>
      <c r="M4049">
        <v>0.68</v>
      </c>
      <c r="N4049" s="7" t="e">
        <f>VLOOKUP(F4049,HC!A$6:D$100,3,FALSE)</f>
        <v>#N/A</v>
      </c>
      <c r="O4049" s="7" t="str">
        <f>VLOOKUP(F4049,HC!A$6:D$1000,2,FALSE)</f>
        <v>dnaldair</v>
      </c>
      <c r="U4049">
        <f t="shared" si="65"/>
        <v>14</v>
      </c>
    </row>
    <row r="4050" spans="1:21" ht="37.5" customHeight="1" x14ac:dyDescent="0.25">
      <c r="A4050" s="23">
        <v>45235</v>
      </c>
      <c r="B4050" s="13">
        <v>45</v>
      </c>
      <c r="C4050" t="s">
        <v>3</v>
      </c>
      <c r="D4050" t="s">
        <v>4</v>
      </c>
      <c r="E4050" t="s">
        <v>5</v>
      </c>
      <c r="F4050">
        <v>113020463</v>
      </c>
      <c r="G4050" t="s">
        <v>321</v>
      </c>
      <c r="H4050" t="s">
        <v>49</v>
      </c>
      <c r="I4050">
        <v>0</v>
      </c>
      <c r="J4050">
        <v>0</v>
      </c>
      <c r="K4050">
        <v>0</v>
      </c>
      <c r="L4050">
        <v>0</v>
      </c>
      <c r="M4050">
        <v>0.37</v>
      </c>
      <c r="N4050" s="7" t="e">
        <f>VLOOKUP(F4050,HC!A$6:D$100,3,FALSE)</f>
        <v>#N/A</v>
      </c>
      <c r="O4050" s="7" t="str">
        <f>VLOOKUP(F4050,HC!A$6:D$1000,2,FALSE)</f>
        <v>myriamav</v>
      </c>
      <c r="U4050">
        <f t="shared" si="65"/>
        <v>24</v>
      </c>
    </row>
    <row r="4051" spans="1:21" ht="37.5" customHeight="1" x14ac:dyDescent="0.25">
      <c r="A4051" s="23">
        <v>45235</v>
      </c>
      <c r="B4051" s="13">
        <v>45</v>
      </c>
      <c r="C4051" t="s">
        <v>3</v>
      </c>
      <c r="D4051" t="s">
        <v>4</v>
      </c>
      <c r="E4051" t="s">
        <v>5</v>
      </c>
      <c r="F4051">
        <v>113101453</v>
      </c>
      <c r="G4051" t="s">
        <v>50</v>
      </c>
      <c r="H4051" t="s">
        <v>49</v>
      </c>
      <c r="I4051">
        <v>0</v>
      </c>
      <c r="J4051">
        <v>0</v>
      </c>
      <c r="K4051">
        <v>0</v>
      </c>
      <c r="L4051">
        <v>0</v>
      </c>
      <c r="M4051">
        <v>0.41</v>
      </c>
      <c r="N4051" s="7" t="e">
        <f>VLOOKUP(F4051,HC!A$6:D$100,3,FALSE)</f>
        <v>#N/A</v>
      </c>
      <c r="O4051" s="7" t="str">
        <f>VLOOKUP(F4051,HC!A$6:D$1000,2,FALSE)</f>
        <v>qisgeova</v>
      </c>
      <c r="U4051">
        <f t="shared" si="65"/>
        <v>57</v>
      </c>
    </row>
    <row r="4052" spans="1:21" ht="37.5" customHeight="1" x14ac:dyDescent="0.25">
      <c r="A4052" s="23">
        <v>45235</v>
      </c>
      <c r="B4052" s="13">
        <v>45</v>
      </c>
      <c r="C4052" t="s">
        <v>3</v>
      </c>
      <c r="D4052" t="s">
        <v>4</v>
      </c>
      <c r="E4052" t="s">
        <v>5</v>
      </c>
      <c r="F4052">
        <v>200534675</v>
      </c>
      <c r="G4052" t="s">
        <v>534</v>
      </c>
      <c r="H4052" t="s">
        <v>250</v>
      </c>
      <c r="I4052">
        <v>0</v>
      </c>
      <c r="J4052">
        <v>0</v>
      </c>
      <c r="K4052">
        <v>0</v>
      </c>
      <c r="L4052">
        <v>0</v>
      </c>
      <c r="M4052">
        <v>0.19</v>
      </c>
      <c r="N4052" s="7" t="e">
        <f>VLOOKUP(F4052,HC!A$6:D$100,3,FALSE)</f>
        <v>#N/A</v>
      </c>
      <c r="O4052" s="7" t="str">
        <f>VLOOKUP(F4052,HC!A$6:D$1000,2,FALSE)</f>
        <v>juanpmun</v>
      </c>
      <c r="U4052">
        <f t="shared" si="65"/>
        <v>16</v>
      </c>
    </row>
    <row r="4053" spans="1:21" ht="37.5" customHeight="1" x14ac:dyDescent="0.25">
      <c r="A4053" s="23">
        <v>45235</v>
      </c>
      <c r="B4053" s="13">
        <v>45</v>
      </c>
      <c r="C4053" t="s">
        <v>3</v>
      </c>
      <c r="D4053" t="s">
        <v>4</v>
      </c>
      <c r="E4053" t="s">
        <v>5</v>
      </c>
      <c r="F4053">
        <v>200574345</v>
      </c>
      <c r="G4053" t="s">
        <v>476</v>
      </c>
      <c r="H4053" t="s">
        <v>49</v>
      </c>
      <c r="I4053">
        <v>0</v>
      </c>
      <c r="J4053">
        <v>0</v>
      </c>
      <c r="K4053">
        <v>0</v>
      </c>
      <c r="L4053">
        <v>0</v>
      </c>
      <c r="M4053">
        <v>0.43</v>
      </c>
      <c r="N4053" s="7" t="e">
        <f>VLOOKUP(F4053,HC!A$6:D$100,3,FALSE)</f>
        <v>#N/A</v>
      </c>
      <c r="O4053" s="7" t="str">
        <f>VLOOKUP(F4053,HC!A$6:D$1000,2,FALSE)</f>
        <v>contrexj</v>
      </c>
      <c r="U4053">
        <f t="shared" si="65"/>
        <v>17</v>
      </c>
    </row>
    <row r="4054" spans="1:21" ht="37.5" customHeight="1" x14ac:dyDescent="0.25">
      <c r="A4054" s="23">
        <v>45235</v>
      </c>
      <c r="B4054" s="13">
        <v>45</v>
      </c>
      <c r="C4054" t="s">
        <v>3</v>
      </c>
      <c r="D4054" t="s">
        <v>4</v>
      </c>
      <c r="E4054" t="s">
        <v>5</v>
      </c>
      <c r="F4054">
        <v>200625528</v>
      </c>
      <c r="G4054" t="s">
        <v>607</v>
      </c>
      <c r="H4054" t="s">
        <v>1040</v>
      </c>
      <c r="I4054">
        <v>0</v>
      </c>
      <c r="J4054">
        <v>0</v>
      </c>
      <c r="K4054">
        <v>0</v>
      </c>
      <c r="L4054">
        <v>0</v>
      </c>
      <c r="M4054">
        <v>0.25</v>
      </c>
      <c r="N4054" s="7" t="e">
        <f>VLOOKUP(F4054,HC!A$6:D$100,3,FALSE)</f>
        <v>#N/A</v>
      </c>
      <c r="O4054" s="7" t="str">
        <f>VLOOKUP(F4054,HC!A$6:D$1000,2,FALSE)</f>
        <v>olivlizb</v>
      </c>
      <c r="U4054">
        <f t="shared" si="65"/>
        <v>50</v>
      </c>
    </row>
    <row r="4055" spans="1:21" ht="37.5" customHeight="1" x14ac:dyDescent="0.25">
      <c r="A4055" s="23">
        <v>45235</v>
      </c>
      <c r="B4055" s="13">
        <v>45</v>
      </c>
      <c r="C4055" t="s">
        <v>3</v>
      </c>
      <c r="D4055" t="s">
        <v>4</v>
      </c>
      <c r="E4055" t="s">
        <v>5</v>
      </c>
      <c r="F4055">
        <v>201162477</v>
      </c>
      <c r="G4055" t="s">
        <v>1244</v>
      </c>
      <c r="H4055" t="s">
        <v>1040</v>
      </c>
      <c r="I4055">
        <v>0</v>
      </c>
      <c r="J4055">
        <v>0</v>
      </c>
      <c r="K4055">
        <v>0</v>
      </c>
      <c r="L4055">
        <v>0</v>
      </c>
      <c r="M4055">
        <v>0.03</v>
      </c>
      <c r="N4055" s="7" t="e">
        <f>VLOOKUP(F4055,HC!A$6:D$100,3,FALSE)</f>
        <v>#N/A</v>
      </c>
      <c r="O4055" s="7" t="str">
        <f>VLOOKUP(F4055,HC!A$6:D$1000,2,FALSE)</f>
        <v>victonay</v>
      </c>
      <c r="U4055">
        <f t="shared" si="65"/>
        <v>4</v>
      </c>
    </row>
    <row r="4056" spans="1:21" ht="37.5" customHeight="1" x14ac:dyDescent="0.25">
      <c r="A4056" s="23">
        <v>45235</v>
      </c>
      <c r="B4056" s="13">
        <v>45</v>
      </c>
      <c r="C4056" t="s">
        <v>3</v>
      </c>
      <c r="D4056" t="s">
        <v>4</v>
      </c>
      <c r="E4056" t="s">
        <v>5</v>
      </c>
      <c r="F4056">
        <v>201165769</v>
      </c>
      <c r="G4056" t="s">
        <v>903</v>
      </c>
      <c r="H4056" t="s">
        <v>1040</v>
      </c>
      <c r="I4056">
        <v>0</v>
      </c>
      <c r="J4056">
        <v>0</v>
      </c>
      <c r="K4056">
        <v>0</v>
      </c>
      <c r="L4056">
        <v>0</v>
      </c>
      <c r="M4056">
        <v>1.03</v>
      </c>
      <c r="N4056" s="7" t="e">
        <f>VLOOKUP(F4056,HC!A$6:D$100,3,FALSE)</f>
        <v>#N/A</v>
      </c>
      <c r="O4056" s="7" t="str">
        <f>VLOOKUP(F4056,HC!A$6:D$1000,2,FALSE)</f>
        <v>puenkare</v>
      </c>
      <c r="U4056">
        <f t="shared" si="65"/>
        <v>19</v>
      </c>
    </row>
    <row r="4057" spans="1:21" ht="37.5" customHeight="1" x14ac:dyDescent="0.25">
      <c r="A4057" s="23">
        <v>45235</v>
      </c>
      <c r="B4057" s="13">
        <v>45</v>
      </c>
      <c r="C4057" t="s">
        <v>3</v>
      </c>
      <c r="D4057" t="s">
        <v>4</v>
      </c>
      <c r="E4057" t="s">
        <v>5</v>
      </c>
      <c r="F4057">
        <v>201166890</v>
      </c>
      <c r="G4057" t="s">
        <v>998</v>
      </c>
      <c r="H4057" t="s">
        <v>250</v>
      </c>
      <c r="I4057">
        <v>0</v>
      </c>
      <c r="J4057">
        <v>0</v>
      </c>
      <c r="K4057">
        <v>0</v>
      </c>
      <c r="L4057">
        <v>0</v>
      </c>
      <c r="M4057">
        <v>0.19</v>
      </c>
      <c r="N4057" s="7" t="e">
        <f>VLOOKUP(F4057,HC!A$6:D$100,3,FALSE)</f>
        <v>#N/A</v>
      </c>
      <c r="O4057" s="7" t="str">
        <f>VLOOKUP(F4057,HC!A$6:D$1000,2,FALSE)</f>
        <v>lcabadan</v>
      </c>
      <c r="U4057">
        <f t="shared" si="65"/>
        <v>24</v>
      </c>
    </row>
    <row r="4058" spans="1:21" ht="37.5" customHeight="1" x14ac:dyDescent="0.25">
      <c r="A4058" s="23">
        <v>45235</v>
      </c>
      <c r="B4058" s="13">
        <v>45</v>
      </c>
      <c r="C4058" t="s">
        <v>3</v>
      </c>
      <c r="D4058" t="s">
        <v>4</v>
      </c>
      <c r="E4058" t="s">
        <v>5</v>
      </c>
      <c r="F4058">
        <v>201197964</v>
      </c>
      <c r="G4058" t="s">
        <v>1180</v>
      </c>
      <c r="H4058" t="s">
        <v>250</v>
      </c>
      <c r="I4058">
        <v>0</v>
      </c>
      <c r="J4058">
        <v>0</v>
      </c>
      <c r="K4058">
        <v>0</v>
      </c>
      <c r="L4058">
        <v>0</v>
      </c>
      <c r="M4058">
        <v>0.37</v>
      </c>
      <c r="N4058" s="7" t="e">
        <f>VLOOKUP(F4058,HC!A$6:D$100,3,FALSE)</f>
        <v>#N/A</v>
      </c>
      <c r="O4058" s="7" t="str">
        <f>VLOOKUP(F4058,HC!A$6:D$1000,2,FALSE)</f>
        <v>matzquij</v>
      </c>
      <c r="U4058">
        <f t="shared" si="65"/>
        <v>16</v>
      </c>
    </row>
    <row r="4059" spans="1:21" ht="37.5" customHeight="1" x14ac:dyDescent="0.25">
      <c r="A4059" s="23">
        <v>45235</v>
      </c>
      <c r="B4059" s="13">
        <v>45</v>
      </c>
      <c r="C4059" t="s">
        <v>3</v>
      </c>
      <c r="D4059" t="s">
        <v>4</v>
      </c>
      <c r="E4059" t="s">
        <v>5</v>
      </c>
      <c r="F4059">
        <v>201345774</v>
      </c>
      <c r="G4059" t="s">
        <v>1070</v>
      </c>
      <c r="H4059" t="s">
        <v>49</v>
      </c>
      <c r="I4059">
        <v>0</v>
      </c>
      <c r="J4059">
        <v>0</v>
      </c>
      <c r="K4059">
        <v>0</v>
      </c>
      <c r="L4059">
        <v>0</v>
      </c>
      <c r="M4059">
        <v>0.35</v>
      </c>
      <c r="N4059" s="7" t="e">
        <f>VLOOKUP(F4059,HC!A$6:D$100,3,FALSE)</f>
        <v>#N/A</v>
      </c>
      <c r="O4059" s="7" t="str">
        <f>VLOOKUP(F4059,HC!A$6:D$1000,2,FALSE)</f>
        <v>jonquija</v>
      </c>
      <c r="U4059">
        <f t="shared" si="65"/>
        <v>19</v>
      </c>
    </row>
    <row r="4060" spans="1:21" ht="37.5" customHeight="1" x14ac:dyDescent="0.25">
      <c r="A4060" s="23">
        <v>45235</v>
      </c>
      <c r="B4060" s="13">
        <v>45</v>
      </c>
      <c r="C4060" t="s">
        <v>3</v>
      </c>
      <c r="D4060" t="s">
        <v>4</v>
      </c>
      <c r="E4060" t="s">
        <v>5</v>
      </c>
      <c r="F4060">
        <v>201390638</v>
      </c>
      <c r="G4060" t="s">
        <v>1256</v>
      </c>
      <c r="H4060" t="s">
        <v>49</v>
      </c>
      <c r="I4060">
        <v>0</v>
      </c>
      <c r="J4060">
        <v>0</v>
      </c>
      <c r="K4060">
        <v>0</v>
      </c>
      <c r="L4060">
        <v>0</v>
      </c>
      <c r="M4060">
        <v>0.28999999999999998</v>
      </c>
      <c r="N4060" s="7" t="e">
        <f>VLOOKUP(F4060,HC!A$6:D$100,3,FALSE)</f>
        <v>#N/A</v>
      </c>
      <c r="O4060" s="7" t="str">
        <f>VLOOKUP(F4060,HC!A$6:D$1000,2,FALSE)</f>
        <v>furielbe</v>
      </c>
      <c r="U4060">
        <f t="shared" si="65"/>
        <v>4</v>
      </c>
    </row>
    <row r="4061" spans="1:21" ht="37.5" customHeight="1" x14ac:dyDescent="0.25">
      <c r="A4061" s="23">
        <v>45235</v>
      </c>
      <c r="B4061" s="13">
        <v>45</v>
      </c>
      <c r="C4061" t="s">
        <v>3</v>
      </c>
      <c r="D4061" t="s">
        <v>4</v>
      </c>
      <c r="E4061" t="s">
        <v>21</v>
      </c>
      <c r="F4061">
        <v>202129193</v>
      </c>
      <c r="G4061" t="s">
        <v>1732</v>
      </c>
      <c r="H4061" t="s">
        <v>7</v>
      </c>
      <c r="I4061">
        <v>0</v>
      </c>
      <c r="J4061">
        <v>0</v>
      </c>
      <c r="K4061">
        <v>0</v>
      </c>
      <c r="L4061">
        <v>0</v>
      </c>
      <c r="M4061">
        <v>0.51</v>
      </c>
      <c r="N4061" s="7" t="e">
        <f>VLOOKUP(F4061,HC!A$6:D$100,3,FALSE)</f>
        <v>#N/A</v>
      </c>
      <c r="O4061" s="7" t="str">
        <f>VLOOKUP(F4061,HC!A$6:D$1000,2,FALSE)</f>
        <v>herngang</v>
      </c>
      <c r="U4061">
        <f t="shared" si="65"/>
        <v>5</v>
      </c>
    </row>
    <row r="4062" spans="1:21" ht="37.5" customHeight="1" x14ac:dyDescent="0.25">
      <c r="A4062" s="23">
        <v>45235</v>
      </c>
      <c r="B4062" s="13">
        <v>45</v>
      </c>
      <c r="C4062" t="s">
        <v>3</v>
      </c>
      <c r="D4062" t="s">
        <v>4</v>
      </c>
      <c r="E4062" t="s">
        <v>21</v>
      </c>
      <c r="F4062">
        <v>202219678</v>
      </c>
      <c r="G4062" t="s">
        <v>1436</v>
      </c>
      <c r="H4062" t="s">
        <v>250</v>
      </c>
      <c r="I4062">
        <v>0</v>
      </c>
      <c r="J4062">
        <v>0</v>
      </c>
      <c r="K4062">
        <v>0</v>
      </c>
      <c r="L4062">
        <v>0</v>
      </c>
      <c r="M4062">
        <v>0.22</v>
      </c>
      <c r="N4062" s="7" t="e">
        <f>VLOOKUP(F4062,HC!A$6:D$100,3,FALSE)</f>
        <v>#N/A</v>
      </c>
      <c r="O4062" s="7" t="str">
        <f>VLOOKUP(F4062,HC!A$6:D$1000,2,FALSE)</f>
        <v>cihernaf</v>
      </c>
      <c r="U4062">
        <f t="shared" si="65"/>
        <v>4</v>
      </c>
    </row>
    <row r="4063" spans="1:21" ht="37.5" customHeight="1" x14ac:dyDescent="0.25">
      <c r="A4063" s="23">
        <v>45235</v>
      </c>
      <c r="B4063" s="13">
        <v>45</v>
      </c>
      <c r="C4063" t="s">
        <v>3</v>
      </c>
      <c r="D4063" t="s">
        <v>4</v>
      </c>
      <c r="E4063" t="s">
        <v>21</v>
      </c>
      <c r="F4063">
        <v>202265870</v>
      </c>
      <c r="G4063" t="s">
        <v>1766</v>
      </c>
      <c r="H4063" t="s">
        <v>49</v>
      </c>
      <c r="I4063">
        <v>0</v>
      </c>
      <c r="J4063">
        <v>0</v>
      </c>
      <c r="K4063">
        <v>0</v>
      </c>
      <c r="L4063">
        <v>0</v>
      </c>
      <c r="M4063">
        <v>0.3</v>
      </c>
      <c r="N4063" s="7" t="e">
        <f>VLOOKUP(F4063,HC!A$6:D$100,3,FALSE)</f>
        <v>#N/A</v>
      </c>
      <c r="O4063" s="7" t="str">
        <f>VLOOKUP(F4063,HC!A$6:D$1000,2,FALSE)</f>
        <v>falexahi</v>
      </c>
      <c r="U4063">
        <f t="shared" si="65"/>
        <v>3</v>
      </c>
    </row>
    <row r="4064" spans="1:21" ht="37.5" customHeight="1" x14ac:dyDescent="0.25">
      <c r="A4064" s="23">
        <v>45235</v>
      </c>
      <c r="B4064" s="13">
        <v>45</v>
      </c>
      <c r="C4064" t="s">
        <v>3</v>
      </c>
      <c r="D4064" t="s">
        <v>4</v>
      </c>
      <c r="E4064" t="s">
        <v>21</v>
      </c>
      <c r="F4064">
        <v>202364552</v>
      </c>
      <c r="G4064" t="s">
        <v>1767</v>
      </c>
      <c r="H4064" t="s">
        <v>459</v>
      </c>
      <c r="I4064">
        <v>0</v>
      </c>
      <c r="J4064">
        <v>0</v>
      </c>
      <c r="K4064">
        <v>0</v>
      </c>
      <c r="L4064">
        <v>0</v>
      </c>
      <c r="M4064">
        <v>1.1200000000000001</v>
      </c>
      <c r="N4064" s="7" t="e">
        <f>VLOOKUP(F4064,HC!A$6:D$100,3,FALSE)</f>
        <v>#N/A</v>
      </c>
      <c r="O4064" s="7" t="str">
        <f>VLOOKUP(F4064,HC!A$6:D$1000,2,FALSE)</f>
        <v>roapolot</v>
      </c>
      <c r="U4064">
        <f t="shared" si="65"/>
        <v>4</v>
      </c>
    </row>
    <row r="4065" spans="1:21" ht="37.5" customHeight="1" x14ac:dyDescent="0.25">
      <c r="A4065" s="23">
        <v>45235</v>
      </c>
      <c r="B4065" s="13">
        <v>45</v>
      </c>
      <c r="C4065" t="s">
        <v>3</v>
      </c>
      <c r="D4065" t="s">
        <v>4</v>
      </c>
      <c r="E4065" t="s">
        <v>21</v>
      </c>
      <c r="F4065">
        <v>202442794</v>
      </c>
      <c r="G4065" t="s">
        <v>1768</v>
      </c>
      <c r="H4065" t="s">
        <v>14</v>
      </c>
      <c r="I4065">
        <v>0</v>
      </c>
      <c r="J4065">
        <v>0</v>
      </c>
      <c r="K4065">
        <v>0</v>
      </c>
      <c r="L4065">
        <v>0</v>
      </c>
      <c r="M4065">
        <v>0.28000000000000003</v>
      </c>
      <c r="N4065" s="7" t="e">
        <f>VLOOKUP(F4065,HC!A$6:D$100,3,FALSE)</f>
        <v>#N/A</v>
      </c>
      <c r="O4065" s="7" t="str">
        <f>VLOOKUP(F4065,HC!A$6:D$1000,2,FALSE)</f>
        <v>jflogonz</v>
      </c>
      <c r="U4065">
        <f t="shared" si="65"/>
        <v>1</v>
      </c>
    </row>
    <row r="4066" spans="1:21" ht="37.5" customHeight="1" x14ac:dyDescent="0.25">
      <c r="A4066" s="23">
        <v>45235</v>
      </c>
      <c r="B4066" s="13">
        <v>45</v>
      </c>
      <c r="C4066" t="s">
        <v>3</v>
      </c>
      <c r="D4066" t="s">
        <v>4</v>
      </c>
      <c r="E4066" t="s">
        <v>21</v>
      </c>
      <c r="F4066">
        <v>202513042</v>
      </c>
      <c r="G4066" t="s">
        <v>1769</v>
      </c>
      <c r="H4066" t="s">
        <v>7</v>
      </c>
      <c r="I4066">
        <v>0</v>
      </c>
      <c r="J4066">
        <v>0</v>
      </c>
      <c r="K4066">
        <v>0</v>
      </c>
      <c r="L4066">
        <v>0</v>
      </c>
      <c r="M4066">
        <v>0.45</v>
      </c>
      <c r="N4066" s="7" t="e">
        <f>VLOOKUP(F4066,HC!A$6:D$100,3,FALSE)</f>
        <v>#N/A</v>
      </c>
      <c r="O4066" s="7" t="str">
        <f>VLOOKUP(F4066,HC!A$6:D$1000,2,FALSE)</f>
        <v>maryragu</v>
      </c>
      <c r="U4066">
        <f t="shared" si="65"/>
        <v>1</v>
      </c>
    </row>
    <row r="4067" spans="1:21" ht="37.5" customHeight="1" x14ac:dyDescent="0.25">
      <c r="A4067" s="23">
        <v>45236</v>
      </c>
      <c r="B4067" s="13">
        <v>45</v>
      </c>
      <c r="C4067" t="s">
        <v>3</v>
      </c>
      <c r="D4067" t="s">
        <v>4</v>
      </c>
      <c r="E4067" t="s">
        <v>5</v>
      </c>
      <c r="F4067">
        <v>103979960</v>
      </c>
      <c r="G4067" t="s">
        <v>372</v>
      </c>
      <c r="H4067" t="s">
        <v>49</v>
      </c>
      <c r="I4067">
        <v>0</v>
      </c>
      <c r="J4067">
        <v>0</v>
      </c>
      <c r="K4067">
        <v>0</v>
      </c>
      <c r="L4067">
        <v>0</v>
      </c>
      <c r="M4067">
        <v>0.03</v>
      </c>
      <c r="N4067" s="7" t="e">
        <f>VLOOKUP(F4067,HC!A$6:D$100,3,FALSE)</f>
        <v>#N/A</v>
      </c>
      <c r="O4067" s="7" t="e">
        <f>VLOOKUP(F4067,HC!A$6:D$1000,2,FALSE)</f>
        <v>#N/A</v>
      </c>
      <c r="U4067">
        <f t="shared" si="65"/>
        <v>1395</v>
      </c>
    </row>
    <row r="4068" spans="1:21" ht="37.5" customHeight="1" x14ac:dyDescent="0.25">
      <c r="A4068" s="23">
        <v>45236</v>
      </c>
      <c r="B4068" s="13">
        <v>45</v>
      </c>
      <c r="C4068" t="s">
        <v>3</v>
      </c>
      <c r="D4068" t="s">
        <v>4</v>
      </c>
      <c r="E4068" t="s">
        <v>5</v>
      </c>
      <c r="F4068">
        <v>112912506</v>
      </c>
      <c r="G4068" t="s">
        <v>1041</v>
      </c>
      <c r="H4068" t="s">
        <v>7</v>
      </c>
      <c r="I4068">
        <v>0</v>
      </c>
      <c r="J4068">
        <v>0</v>
      </c>
      <c r="K4068">
        <v>0</v>
      </c>
      <c r="L4068">
        <v>0</v>
      </c>
      <c r="M4068">
        <v>0.03</v>
      </c>
      <c r="N4068" s="7" t="str">
        <f>VLOOKUP(F4068,HC!A$6:D$100,3,FALSE)</f>
        <v>DA-X0700</v>
      </c>
      <c r="O4068" s="7" t="str">
        <f>VLOOKUP(F4068,HC!A$6:D$1000,2,FALSE)</f>
        <v>gakjessi</v>
      </c>
      <c r="U4068">
        <f t="shared" si="65"/>
        <v>11</v>
      </c>
    </row>
    <row r="4069" spans="1:21" ht="37.5" customHeight="1" x14ac:dyDescent="0.25">
      <c r="A4069" s="23">
        <v>45236</v>
      </c>
      <c r="B4069" s="13">
        <v>45</v>
      </c>
      <c r="C4069" t="s">
        <v>3</v>
      </c>
      <c r="D4069" t="s">
        <v>4</v>
      </c>
      <c r="E4069" t="s">
        <v>5</v>
      </c>
      <c r="F4069">
        <v>112981196</v>
      </c>
      <c r="G4069" t="s">
        <v>328</v>
      </c>
      <c r="H4069" t="s">
        <v>1040</v>
      </c>
      <c r="I4069">
        <v>0</v>
      </c>
      <c r="J4069">
        <v>0</v>
      </c>
      <c r="K4069">
        <v>0</v>
      </c>
      <c r="L4069">
        <v>0</v>
      </c>
      <c r="M4069">
        <v>0.18</v>
      </c>
      <c r="N4069" s="7" t="e">
        <f>VLOOKUP(F4069,HC!A$6:D$100,3,FALSE)</f>
        <v>#N/A</v>
      </c>
      <c r="O4069" s="7" t="str">
        <f>VLOOKUP(F4069,HC!A$6:D$1000,2,FALSE)</f>
        <v>vandgome</v>
      </c>
      <c r="U4069">
        <f t="shared" si="65"/>
        <v>24</v>
      </c>
    </row>
    <row r="4070" spans="1:21" ht="37.5" customHeight="1" x14ac:dyDescent="0.25">
      <c r="A4070" s="23">
        <v>45236</v>
      </c>
      <c r="B4070" s="13">
        <v>45</v>
      </c>
      <c r="C4070" t="s">
        <v>3</v>
      </c>
      <c r="D4070" t="s">
        <v>4</v>
      </c>
      <c r="E4070" t="s">
        <v>5</v>
      </c>
      <c r="F4070">
        <v>113044763</v>
      </c>
      <c r="G4070" t="s">
        <v>553</v>
      </c>
      <c r="H4070" t="s">
        <v>403</v>
      </c>
      <c r="I4070">
        <v>0</v>
      </c>
      <c r="J4070">
        <v>0</v>
      </c>
      <c r="K4070">
        <v>0</v>
      </c>
      <c r="L4070">
        <v>0</v>
      </c>
      <c r="M4070">
        <v>0.14000000000000001</v>
      </c>
      <c r="N4070" s="7" t="e">
        <f>VLOOKUP(F4070,HC!A$6:D$100,3,FALSE)</f>
        <v>#N/A</v>
      </c>
      <c r="O4070" s="7" t="str">
        <f>VLOOKUP(F4070,HC!A$6:D$1000,2,FALSE)</f>
        <v>urbistep</v>
      </c>
      <c r="U4070">
        <f t="shared" si="65"/>
        <v>6</v>
      </c>
    </row>
    <row r="4071" spans="1:21" ht="37.5" customHeight="1" x14ac:dyDescent="0.25">
      <c r="A4071" s="23">
        <v>45236</v>
      </c>
      <c r="B4071" s="13">
        <v>45</v>
      </c>
      <c r="C4071" t="s">
        <v>3</v>
      </c>
      <c r="D4071" t="s">
        <v>4</v>
      </c>
      <c r="E4071" t="s">
        <v>5</v>
      </c>
      <c r="F4071">
        <v>200563038</v>
      </c>
      <c r="G4071" t="s">
        <v>949</v>
      </c>
      <c r="H4071" t="s">
        <v>403</v>
      </c>
      <c r="I4071">
        <v>0</v>
      </c>
      <c r="J4071">
        <v>0</v>
      </c>
      <c r="K4071">
        <v>0</v>
      </c>
      <c r="L4071">
        <v>0</v>
      </c>
      <c r="M4071">
        <v>0.34</v>
      </c>
      <c r="N4071" s="7" t="e">
        <f>VLOOKUP(F4071,HC!A$6:D$100,3,FALSE)</f>
        <v>#N/A</v>
      </c>
      <c r="O4071" s="7" t="str">
        <f>VLOOKUP(F4071,HC!A$6:D$1000,2,FALSE)</f>
        <v>ariaszee</v>
      </c>
      <c r="U4071">
        <f t="shared" si="65"/>
        <v>9</v>
      </c>
    </row>
    <row r="4072" spans="1:21" ht="37.5" customHeight="1" x14ac:dyDescent="0.25">
      <c r="A4072" s="23">
        <v>45236</v>
      </c>
      <c r="B4072" s="13">
        <v>45</v>
      </c>
      <c r="C4072" t="s">
        <v>3</v>
      </c>
      <c r="D4072" t="s">
        <v>4</v>
      </c>
      <c r="E4072" t="s">
        <v>5</v>
      </c>
      <c r="F4072">
        <v>200574345</v>
      </c>
      <c r="G4072" t="s">
        <v>476</v>
      </c>
      <c r="H4072" t="s">
        <v>49</v>
      </c>
      <c r="I4072">
        <v>0</v>
      </c>
      <c r="J4072">
        <v>0</v>
      </c>
      <c r="K4072">
        <v>0</v>
      </c>
      <c r="L4072">
        <v>0</v>
      </c>
      <c r="M4072">
        <v>1.1299999999999999</v>
      </c>
      <c r="N4072" s="7" t="e">
        <f>VLOOKUP(F4072,HC!A$6:D$100,3,FALSE)</f>
        <v>#N/A</v>
      </c>
      <c r="O4072" s="7" t="str">
        <f>VLOOKUP(F4072,HC!A$6:D$1000,2,FALSE)</f>
        <v>contrexj</v>
      </c>
      <c r="U4072">
        <f t="shared" si="65"/>
        <v>17</v>
      </c>
    </row>
    <row r="4073" spans="1:21" ht="37.5" customHeight="1" x14ac:dyDescent="0.25">
      <c r="A4073" s="23">
        <v>45236</v>
      </c>
      <c r="B4073" s="13">
        <v>45</v>
      </c>
      <c r="C4073" t="s">
        <v>3</v>
      </c>
      <c r="D4073" t="s">
        <v>4</v>
      </c>
      <c r="E4073" t="s">
        <v>5</v>
      </c>
      <c r="F4073">
        <v>201197964</v>
      </c>
      <c r="G4073" t="s">
        <v>1180</v>
      </c>
      <c r="H4073" t="s">
        <v>250</v>
      </c>
      <c r="I4073">
        <v>0</v>
      </c>
      <c r="J4073">
        <v>0</v>
      </c>
      <c r="K4073">
        <v>0</v>
      </c>
      <c r="L4073">
        <v>0</v>
      </c>
      <c r="M4073">
        <v>0.24</v>
      </c>
      <c r="N4073" s="7" t="e">
        <f>VLOOKUP(F4073,HC!A$6:D$100,3,FALSE)</f>
        <v>#N/A</v>
      </c>
      <c r="O4073" s="7" t="str">
        <f>VLOOKUP(F4073,HC!A$6:D$1000,2,FALSE)</f>
        <v>matzquij</v>
      </c>
      <c r="U4073">
        <f t="shared" si="65"/>
        <v>16</v>
      </c>
    </row>
    <row r="4074" spans="1:21" ht="37.5" customHeight="1" x14ac:dyDescent="0.25">
      <c r="A4074" s="23">
        <v>45236</v>
      </c>
      <c r="B4074" s="13">
        <v>45</v>
      </c>
      <c r="C4074" t="s">
        <v>3</v>
      </c>
      <c r="D4074" t="s">
        <v>4</v>
      </c>
      <c r="E4074" t="s">
        <v>5</v>
      </c>
      <c r="F4074">
        <v>201386201</v>
      </c>
      <c r="G4074" t="s">
        <v>1167</v>
      </c>
      <c r="H4074" t="s">
        <v>1040</v>
      </c>
      <c r="I4074">
        <v>0</v>
      </c>
      <c r="J4074">
        <v>0</v>
      </c>
      <c r="K4074">
        <v>0</v>
      </c>
      <c r="L4074">
        <v>0</v>
      </c>
      <c r="M4074">
        <v>0.64</v>
      </c>
      <c r="N4074" s="7" t="e">
        <f>VLOOKUP(F4074,HC!A$6:D$100,3,FALSE)</f>
        <v>#N/A</v>
      </c>
      <c r="O4074" s="7" t="str">
        <f>VLOOKUP(F4074,HC!A$6:D$1000,2,FALSE)</f>
        <v>castjanr</v>
      </c>
      <c r="U4074">
        <f t="shared" si="65"/>
        <v>11</v>
      </c>
    </row>
    <row r="4075" spans="1:21" ht="37.5" customHeight="1" x14ac:dyDescent="0.25">
      <c r="A4075" s="23">
        <v>45236</v>
      </c>
      <c r="B4075" s="13">
        <v>45</v>
      </c>
      <c r="C4075" t="s">
        <v>3</v>
      </c>
      <c r="D4075" t="s">
        <v>4</v>
      </c>
      <c r="E4075" t="s">
        <v>5</v>
      </c>
      <c r="F4075">
        <v>201841831</v>
      </c>
      <c r="G4075" t="s">
        <v>1771</v>
      </c>
      <c r="H4075" t="s">
        <v>285</v>
      </c>
      <c r="I4075">
        <v>0</v>
      </c>
      <c r="J4075">
        <v>0</v>
      </c>
      <c r="K4075">
        <v>0</v>
      </c>
      <c r="L4075">
        <v>0</v>
      </c>
      <c r="M4075">
        <v>0.12</v>
      </c>
      <c r="N4075" s="7" t="e">
        <f>VLOOKUP(F4075,HC!A$6:D$100,3,FALSE)</f>
        <v>#N/A</v>
      </c>
      <c r="O4075" s="7" t="str">
        <f>VLOOKUP(F4075,HC!A$6:D$1000,2,FALSE)</f>
        <v>hurtcisi</v>
      </c>
      <c r="U4075">
        <f t="shared" si="65"/>
        <v>1</v>
      </c>
    </row>
    <row r="4076" spans="1:21" ht="37.5" customHeight="1" x14ac:dyDescent="0.25">
      <c r="A4076" s="23">
        <v>45236</v>
      </c>
      <c r="B4076" s="13">
        <v>45</v>
      </c>
      <c r="C4076" t="s">
        <v>3</v>
      </c>
      <c r="D4076" t="s">
        <v>4</v>
      </c>
      <c r="E4076" t="s">
        <v>5</v>
      </c>
      <c r="F4076">
        <v>201858605</v>
      </c>
      <c r="G4076" t="s">
        <v>1772</v>
      </c>
      <c r="H4076" t="s">
        <v>1040</v>
      </c>
      <c r="I4076">
        <v>0</v>
      </c>
      <c r="J4076">
        <v>0</v>
      </c>
      <c r="K4076">
        <v>0</v>
      </c>
      <c r="L4076">
        <v>0</v>
      </c>
      <c r="M4076">
        <v>0.28000000000000003</v>
      </c>
      <c r="N4076" s="7" t="e">
        <f>VLOOKUP(F4076,HC!A$6:D$100,3,FALSE)</f>
        <v>#N/A</v>
      </c>
      <c r="O4076" s="7" t="str">
        <f>VLOOKUP(F4076,HC!A$6:D$1000,2,FALSE)</f>
        <v>bmoremma</v>
      </c>
      <c r="U4076">
        <f t="shared" si="65"/>
        <v>1</v>
      </c>
    </row>
    <row r="4077" spans="1:21" ht="37.5" customHeight="1" x14ac:dyDescent="0.25">
      <c r="A4077" s="23">
        <v>45236</v>
      </c>
      <c r="B4077" s="13">
        <v>45</v>
      </c>
      <c r="C4077" t="s">
        <v>3</v>
      </c>
      <c r="D4077" t="s">
        <v>4</v>
      </c>
      <c r="E4077" t="s">
        <v>21</v>
      </c>
      <c r="F4077">
        <v>201880542</v>
      </c>
      <c r="G4077" t="s">
        <v>1225</v>
      </c>
      <c r="H4077" t="s">
        <v>1040</v>
      </c>
      <c r="I4077">
        <v>0</v>
      </c>
      <c r="J4077">
        <v>0</v>
      </c>
      <c r="K4077">
        <v>0</v>
      </c>
      <c r="L4077">
        <v>0</v>
      </c>
      <c r="M4077">
        <v>0.78</v>
      </c>
      <c r="N4077" s="7" t="e">
        <f>VLOOKUP(F4077,HC!A$6:D$100,3,FALSE)</f>
        <v>#N/A</v>
      </c>
      <c r="O4077" s="7" t="str">
        <f>VLOOKUP(F4077,HC!A$6:D$1000,2,FALSE)</f>
        <v>orticorp</v>
      </c>
      <c r="U4077">
        <f t="shared" si="65"/>
        <v>24</v>
      </c>
    </row>
    <row r="4078" spans="1:21" ht="37.5" customHeight="1" x14ac:dyDescent="0.25">
      <c r="A4078" s="23">
        <v>45236</v>
      </c>
      <c r="B4078" s="13">
        <v>45</v>
      </c>
      <c r="C4078" t="s">
        <v>3</v>
      </c>
      <c r="D4078" t="s">
        <v>4</v>
      </c>
      <c r="E4078" t="s">
        <v>21</v>
      </c>
      <c r="F4078">
        <v>201890790</v>
      </c>
      <c r="G4078" t="s">
        <v>1416</v>
      </c>
      <c r="H4078" t="s">
        <v>49</v>
      </c>
      <c r="I4078">
        <v>0</v>
      </c>
      <c r="J4078">
        <v>0</v>
      </c>
      <c r="K4078">
        <v>0</v>
      </c>
      <c r="L4078">
        <v>0</v>
      </c>
      <c r="M4078">
        <v>0.17</v>
      </c>
      <c r="N4078" s="7" t="e">
        <f>VLOOKUP(F4078,HC!A$6:D$100,3,FALSE)</f>
        <v>#N/A</v>
      </c>
      <c r="O4078" s="7" t="str">
        <f>VLOOKUP(F4078,HC!A$6:D$1000,2,FALSE)</f>
        <v>vicxzuni</v>
      </c>
      <c r="U4078">
        <f t="shared" si="65"/>
        <v>6</v>
      </c>
    </row>
    <row r="4079" spans="1:21" ht="37.5" customHeight="1" x14ac:dyDescent="0.25">
      <c r="A4079" s="23">
        <v>45236</v>
      </c>
      <c r="B4079" s="13">
        <v>45</v>
      </c>
      <c r="C4079" t="s">
        <v>3</v>
      </c>
      <c r="D4079" t="s">
        <v>4</v>
      </c>
      <c r="E4079" t="s">
        <v>21</v>
      </c>
      <c r="F4079">
        <v>202063545</v>
      </c>
      <c r="G4079" t="s">
        <v>1275</v>
      </c>
      <c r="H4079" t="s">
        <v>250</v>
      </c>
      <c r="I4079">
        <v>0</v>
      </c>
      <c r="J4079">
        <v>0</v>
      </c>
      <c r="K4079">
        <v>0</v>
      </c>
      <c r="L4079">
        <v>0</v>
      </c>
      <c r="M4079">
        <v>0.8</v>
      </c>
      <c r="N4079" s="7" t="e">
        <f>VLOOKUP(F4079,HC!A$6:D$100,3,FALSE)</f>
        <v>#N/A</v>
      </c>
      <c r="O4079" s="7" t="str">
        <f>VLOOKUP(F4079,HC!A$6:D$1000,2,FALSE)</f>
        <v>angarcz</v>
      </c>
      <c r="U4079">
        <f t="shared" si="65"/>
        <v>9</v>
      </c>
    </row>
    <row r="4080" spans="1:21" ht="37.5" customHeight="1" x14ac:dyDescent="0.25">
      <c r="A4080" s="23">
        <v>45236</v>
      </c>
      <c r="B4080" s="13">
        <v>45</v>
      </c>
      <c r="C4080" t="s">
        <v>3</v>
      </c>
      <c r="D4080" t="s">
        <v>4</v>
      </c>
      <c r="E4080" t="s">
        <v>21</v>
      </c>
      <c r="F4080">
        <v>202137341</v>
      </c>
      <c r="G4080" t="s">
        <v>1291</v>
      </c>
      <c r="H4080" t="s">
        <v>250</v>
      </c>
      <c r="I4080">
        <v>0</v>
      </c>
      <c r="J4080">
        <v>0</v>
      </c>
      <c r="K4080">
        <v>0</v>
      </c>
      <c r="L4080">
        <v>0</v>
      </c>
      <c r="M4080">
        <v>0.34</v>
      </c>
      <c r="N4080" s="7" t="e">
        <f>VLOOKUP(F4080,HC!A$6:D$100,3,FALSE)</f>
        <v>#N/A</v>
      </c>
      <c r="O4080" s="7" t="str">
        <f>VLOOKUP(F4080,HC!A$6:D$1000,2,FALSE)</f>
        <v>xedgabra</v>
      </c>
      <c r="U4080">
        <f t="shared" si="65"/>
        <v>13</v>
      </c>
    </row>
    <row r="4081" spans="1:21" ht="37.5" customHeight="1" x14ac:dyDescent="0.25">
      <c r="A4081" s="23">
        <v>45236</v>
      </c>
      <c r="B4081" s="13">
        <v>45</v>
      </c>
      <c r="C4081" t="s">
        <v>3</v>
      </c>
      <c r="D4081" t="s">
        <v>4</v>
      </c>
      <c r="E4081" t="s">
        <v>21</v>
      </c>
      <c r="F4081">
        <v>202185991</v>
      </c>
      <c r="G4081" t="s">
        <v>1444</v>
      </c>
      <c r="H4081" t="s">
        <v>1040</v>
      </c>
      <c r="I4081">
        <v>0</v>
      </c>
      <c r="J4081">
        <v>0</v>
      </c>
      <c r="K4081">
        <v>0</v>
      </c>
      <c r="L4081">
        <v>0</v>
      </c>
      <c r="M4081">
        <v>0.22</v>
      </c>
      <c r="N4081" s="7" t="e">
        <f>VLOOKUP(F4081,HC!A$6:D$100,3,FALSE)</f>
        <v>#N/A</v>
      </c>
      <c r="O4081" s="7" t="str">
        <f>VLOOKUP(F4081,HC!A$6:D$1000,2,FALSE)</f>
        <v>vaziandr</v>
      </c>
      <c r="U4081">
        <f t="shared" si="65"/>
        <v>4</v>
      </c>
    </row>
    <row r="4082" spans="1:21" ht="37.5" customHeight="1" x14ac:dyDescent="0.25">
      <c r="A4082" s="23">
        <v>45236</v>
      </c>
      <c r="B4082" s="13">
        <v>45</v>
      </c>
      <c r="C4082" t="s">
        <v>3</v>
      </c>
      <c r="D4082" t="s">
        <v>4</v>
      </c>
      <c r="E4082" t="s">
        <v>21</v>
      </c>
      <c r="F4082">
        <v>202206867</v>
      </c>
      <c r="G4082" t="s">
        <v>1773</v>
      </c>
      <c r="H4082" t="s">
        <v>250</v>
      </c>
      <c r="I4082">
        <v>0</v>
      </c>
      <c r="J4082">
        <v>0</v>
      </c>
      <c r="K4082">
        <v>0</v>
      </c>
      <c r="L4082">
        <v>0</v>
      </c>
      <c r="M4082">
        <v>0.1</v>
      </c>
      <c r="N4082" s="7" t="e">
        <f>VLOOKUP(F4082,HC!A$6:D$100,3,FALSE)</f>
        <v>#N/A</v>
      </c>
      <c r="O4082" s="7" t="str">
        <f>VLOOKUP(F4082,HC!A$6:D$1000,2,FALSE)</f>
        <v>toledoev</v>
      </c>
      <c r="U4082">
        <f t="shared" si="65"/>
        <v>2</v>
      </c>
    </row>
    <row r="4083" spans="1:21" ht="37.5" customHeight="1" x14ac:dyDescent="0.25">
      <c r="A4083" s="23">
        <v>45236</v>
      </c>
      <c r="B4083" s="13">
        <v>45</v>
      </c>
      <c r="C4083" t="s">
        <v>3</v>
      </c>
      <c r="D4083" t="s">
        <v>4</v>
      </c>
      <c r="E4083" t="s">
        <v>21</v>
      </c>
      <c r="F4083">
        <v>202225896</v>
      </c>
      <c r="G4083" t="s">
        <v>1473</v>
      </c>
      <c r="H4083" t="s">
        <v>250</v>
      </c>
      <c r="I4083">
        <v>0</v>
      </c>
      <c r="J4083">
        <v>0</v>
      </c>
      <c r="K4083">
        <v>0</v>
      </c>
      <c r="L4083">
        <v>0</v>
      </c>
      <c r="M4083">
        <v>0.23</v>
      </c>
      <c r="N4083" s="7" t="e">
        <f>VLOOKUP(F4083,HC!A$6:D$100,3,FALSE)</f>
        <v>#N/A</v>
      </c>
      <c r="O4083" s="7" t="str">
        <f>VLOOKUP(F4083,HC!A$6:D$1000,2,FALSE)</f>
        <v>reymjosu</v>
      </c>
      <c r="U4083">
        <f t="shared" si="65"/>
        <v>3</v>
      </c>
    </row>
    <row r="4084" spans="1:21" ht="37.5" customHeight="1" x14ac:dyDescent="0.25">
      <c r="A4084" s="23">
        <v>45236</v>
      </c>
      <c r="B4084" s="13">
        <v>45</v>
      </c>
      <c r="C4084" t="s">
        <v>3</v>
      </c>
      <c r="D4084" t="s">
        <v>4</v>
      </c>
      <c r="E4084" t="s">
        <v>21</v>
      </c>
      <c r="F4084">
        <v>202250323</v>
      </c>
      <c r="G4084" t="s">
        <v>1475</v>
      </c>
      <c r="H4084" t="s">
        <v>49</v>
      </c>
      <c r="I4084">
        <v>0</v>
      </c>
      <c r="J4084">
        <v>0</v>
      </c>
      <c r="K4084">
        <v>0</v>
      </c>
      <c r="L4084">
        <v>0</v>
      </c>
      <c r="M4084">
        <v>0.69</v>
      </c>
      <c r="N4084" s="7" t="e">
        <f>VLOOKUP(F4084,HC!A$6:D$100,3,FALSE)</f>
        <v>#N/A</v>
      </c>
      <c r="O4084" s="7" t="str">
        <f>VLOOKUP(F4084,HC!A$6:D$1000,2,FALSE)</f>
        <v>soledesq</v>
      </c>
      <c r="U4084">
        <f t="shared" si="65"/>
        <v>4</v>
      </c>
    </row>
    <row r="4085" spans="1:21" ht="37.5" customHeight="1" x14ac:dyDescent="0.25">
      <c r="A4085" s="23">
        <v>45236</v>
      </c>
      <c r="B4085" s="13">
        <v>45</v>
      </c>
      <c r="C4085" t="s">
        <v>3</v>
      </c>
      <c r="D4085" t="s">
        <v>4</v>
      </c>
      <c r="E4085" t="s">
        <v>21</v>
      </c>
      <c r="F4085">
        <v>202265858</v>
      </c>
      <c r="G4085" t="s">
        <v>1451</v>
      </c>
      <c r="H4085" t="s">
        <v>49</v>
      </c>
      <c r="I4085">
        <v>0</v>
      </c>
      <c r="J4085">
        <v>0</v>
      </c>
      <c r="K4085">
        <v>0</v>
      </c>
      <c r="L4085">
        <v>0</v>
      </c>
      <c r="M4085">
        <v>0.19</v>
      </c>
      <c r="N4085" s="7" t="e">
        <f>VLOOKUP(F4085,HC!A$6:D$100,3,FALSE)</f>
        <v>#N/A</v>
      </c>
      <c r="O4085" s="7" t="str">
        <f>VLOOKUP(F4085,HC!A$6:D$1000,2,FALSE)</f>
        <v>nalesalm</v>
      </c>
      <c r="U4085">
        <f t="shared" si="65"/>
        <v>6</v>
      </c>
    </row>
    <row r="4086" spans="1:21" ht="37.5" customHeight="1" x14ac:dyDescent="0.25">
      <c r="A4086" s="23">
        <v>45236</v>
      </c>
      <c r="B4086" s="13">
        <v>45</v>
      </c>
      <c r="C4086" t="s">
        <v>3</v>
      </c>
      <c r="D4086" t="s">
        <v>4</v>
      </c>
      <c r="E4086" t="s">
        <v>21</v>
      </c>
      <c r="F4086">
        <v>202283406</v>
      </c>
      <c r="G4086" t="s">
        <v>1729</v>
      </c>
      <c r="H4086" t="s">
        <v>250</v>
      </c>
      <c r="I4086">
        <v>0</v>
      </c>
      <c r="J4086">
        <v>0</v>
      </c>
      <c r="K4086">
        <v>0</v>
      </c>
      <c r="L4086">
        <v>0</v>
      </c>
      <c r="M4086">
        <v>0.12</v>
      </c>
      <c r="N4086" s="7" t="e">
        <f>VLOOKUP(F4086,HC!A$6:D$100,3,FALSE)</f>
        <v>#N/A</v>
      </c>
      <c r="O4086" s="7" t="str">
        <f>VLOOKUP(F4086,HC!A$6:D$1000,2,FALSE)</f>
        <v>iangevaz</v>
      </c>
      <c r="U4086">
        <f t="shared" si="65"/>
        <v>3</v>
      </c>
    </row>
    <row r="4087" spans="1:21" ht="37.5" customHeight="1" x14ac:dyDescent="0.25">
      <c r="A4087" s="23">
        <v>45236</v>
      </c>
      <c r="B4087" s="13">
        <v>45</v>
      </c>
      <c r="C4087" t="s">
        <v>3</v>
      </c>
      <c r="D4087" t="s">
        <v>4</v>
      </c>
      <c r="E4087" t="s">
        <v>21</v>
      </c>
      <c r="F4087">
        <v>202287922</v>
      </c>
      <c r="G4087" t="s">
        <v>1452</v>
      </c>
      <c r="H4087" t="s">
        <v>7</v>
      </c>
      <c r="I4087">
        <v>0</v>
      </c>
      <c r="J4087">
        <v>0</v>
      </c>
      <c r="K4087">
        <v>0</v>
      </c>
      <c r="L4087">
        <v>0</v>
      </c>
      <c r="M4087">
        <v>0.23</v>
      </c>
      <c r="N4087" s="7" t="e">
        <f>VLOOKUP(F4087,HC!A$6:D$100,3,FALSE)</f>
        <v>#N/A</v>
      </c>
      <c r="O4087" s="7" t="str">
        <f>VLOOKUP(F4087,HC!A$6:D$1000,2,FALSE)</f>
        <v>gemandra</v>
      </c>
      <c r="U4087">
        <f t="shared" si="65"/>
        <v>8</v>
      </c>
    </row>
    <row r="4088" spans="1:21" ht="37.5" customHeight="1" x14ac:dyDescent="0.25">
      <c r="A4088" s="23">
        <v>45236</v>
      </c>
      <c r="B4088" s="13">
        <v>45</v>
      </c>
      <c r="C4088" t="s">
        <v>3</v>
      </c>
      <c r="D4088" t="s">
        <v>4</v>
      </c>
      <c r="E4088" t="s">
        <v>21</v>
      </c>
      <c r="F4088">
        <v>202291188</v>
      </c>
      <c r="G4088" t="s">
        <v>1722</v>
      </c>
      <c r="H4088" t="s">
        <v>7</v>
      </c>
      <c r="I4088">
        <v>0</v>
      </c>
      <c r="J4088">
        <v>0</v>
      </c>
      <c r="K4088">
        <v>0</v>
      </c>
      <c r="L4088">
        <v>0</v>
      </c>
      <c r="M4088">
        <v>0.9</v>
      </c>
      <c r="N4088" s="7" t="e">
        <f>VLOOKUP(F4088,HC!A$6:D$100,3,FALSE)</f>
        <v>#N/A</v>
      </c>
      <c r="O4088" s="7" t="str">
        <f>VLOOKUP(F4088,HC!A$6:D$1000,2,FALSE)</f>
        <v>alvqfern</v>
      </c>
      <c r="U4088">
        <f t="shared" si="65"/>
        <v>4</v>
      </c>
    </row>
    <row r="4089" spans="1:21" ht="37.5" customHeight="1" x14ac:dyDescent="0.25">
      <c r="A4089" s="23">
        <v>45236</v>
      </c>
      <c r="B4089" s="13">
        <v>45</v>
      </c>
      <c r="C4089" t="s">
        <v>3</v>
      </c>
      <c r="D4089" t="s">
        <v>4</v>
      </c>
      <c r="E4089" t="s">
        <v>21</v>
      </c>
      <c r="F4089">
        <v>202334621</v>
      </c>
      <c r="G4089" t="s">
        <v>1724</v>
      </c>
      <c r="H4089" t="s">
        <v>250</v>
      </c>
      <c r="I4089">
        <v>0</v>
      </c>
      <c r="J4089">
        <v>0</v>
      </c>
      <c r="K4089">
        <v>0</v>
      </c>
      <c r="L4089">
        <v>0</v>
      </c>
      <c r="M4089">
        <v>0.21</v>
      </c>
      <c r="N4089" s="7" t="e">
        <f>VLOOKUP(F4089,HC!A$6:D$100,3,FALSE)</f>
        <v>#N/A</v>
      </c>
      <c r="O4089" s="7" t="str">
        <f>VLOOKUP(F4089,HC!A$6:D$1000,2,FALSE)</f>
        <v>tkarlram</v>
      </c>
      <c r="U4089">
        <f t="shared" si="65"/>
        <v>8</v>
      </c>
    </row>
    <row r="4090" spans="1:21" ht="37.5" customHeight="1" x14ac:dyDescent="0.25">
      <c r="A4090" s="23">
        <v>45236</v>
      </c>
      <c r="B4090" s="13">
        <v>45</v>
      </c>
      <c r="C4090" t="s">
        <v>3</v>
      </c>
      <c r="D4090" t="s">
        <v>4</v>
      </c>
      <c r="E4090" t="s">
        <v>21</v>
      </c>
      <c r="F4090">
        <v>202334866</v>
      </c>
      <c r="G4090" t="s">
        <v>1745</v>
      </c>
      <c r="H4090" t="s">
        <v>7</v>
      </c>
      <c r="I4090">
        <v>0</v>
      </c>
      <c r="J4090">
        <v>0</v>
      </c>
      <c r="K4090">
        <v>0</v>
      </c>
      <c r="L4090">
        <v>0</v>
      </c>
      <c r="M4090">
        <v>0.25</v>
      </c>
      <c r="N4090" s="7" t="e">
        <f>VLOOKUP(F4090,HC!A$6:D$100,3,FALSE)</f>
        <v>#N/A</v>
      </c>
      <c r="O4090" s="7" t="str">
        <f>VLOOKUP(F4090,HC!A$6:D$1000,2,FALSE)</f>
        <v>villwkel</v>
      </c>
      <c r="U4090">
        <f t="shared" si="65"/>
        <v>2</v>
      </c>
    </row>
    <row r="4091" spans="1:21" ht="37.5" customHeight="1" x14ac:dyDescent="0.25">
      <c r="A4091" s="23">
        <v>45236</v>
      </c>
      <c r="B4091" s="13">
        <v>45</v>
      </c>
      <c r="C4091" t="s">
        <v>3</v>
      </c>
      <c r="D4091" t="s">
        <v>4</v>
      </c>
      <c r="E4091" t="s">
        <v>21</v>
      </c>
      <c r="F4091">
        <v>202353921</v>
      </c>
      <c r="G4091" t="s">
        <v>1717</v>
      </c>
      <c r="H4091" t="s">
        <v>49</v>
      </c>
      <c r="I4091">
        <v>0</v>
      </c>
      <c r="J4091">
        <v>0</v>
      </c>
      <c r="K4091">
        <v>0</v>
      </c>
      <c r="L4091">
        <v>0</v>
      </c>
      <c r="M4091">
        <v>0.16</v>
      </c>
      <c r="N4091" s="7" t="e">
        <f>VLOOKUP(F4091,HC!A$6:D$100,3,FALSE)</f>
        <v>#N/A</v>
      </c>
      <c r="O4091" s="7" t="str">
        <f>VLOOKUP(F4091,HC!A$6:D$1000,2,FALSE)</f>
        <v>lindinoe</v>
      </c>
      <c r="U4091">
        <f t="shared" si="65"/>
        <v>12</v>
      </c>
    </row>
    <row r="4092" spans="1:21" ht="37.5" customHeight="1" x14ac:dyDescent="0.25">
      <c r="A4092" s="23">
        <v>45236</v>
      </c>
      <c r="B4092" s="13">
        <v>45</v>
      </c>
      <c r="C4092" t="s">
        <v>3</v>
      </c>
      <c r="D4092" t="s">
        <v>4</v>
      </c>
      <c r="E4092" t="s">
        <v>21</v>
      </c>
      <c r="F4092">
        <v>202437991</v>
      </c>
      <c r="G4092" t="s">
        <v>1774</v>
      </c>
      <c r="H4092" t="s">
        <v>7</v>
      </c>
      <c r="I4092">
        <v>0</v>
      </c>
      <c r="J4092">
        <v>0</v>
      </c>
      <c r="K4092">
        <v>0</v>
      </c>
      <c r="L4092">
        <v>0</v>
      </c>
      <c r="M4092">
        <v>0.32</v>
      </c>
      <c r="N4092" s="7" t="e">
        <f>VLOOKUP(F4092,HC!A$6:D$100,3,FALSE)</f>
        <v>#N/A</v>
      </c>
      <c r="O4092" s="7" t="str">
        <f>VLOOKUP(F4092,HC!A$6:D$1000,2,FALSE)</f>
        <v>crisgvil</v>
      </c>
      <c r="U4092">
        <f t="shared" si="65"/>
        <v>2</v>
      </c>
    </row>
    <row r="4093" spans="1:21" ht="37.5" customHeight="1" x14ac:dyDescent="0.25">
      <c r="A4093" s="23">
        <v>45236</v>
      </c>
      <c r="B4093" s="13">
        <v>45</v>
      </c>
      <c r="C4093" t="s">
        <v>3</v>
      </c>
      <c r="D4093" t="s">
        <v>4</v>
      </c>
      <c r="E4093" t="s">
        <v>21</v>
      </c>
      <c r="F4093">
        <v>202479908</v>
      </c>
      <c r="G4093" t="s">
        <v>1775</v>
      </c>
      <c r="H4093" t="s">
        <v>332</v>
      </c>
      <c r="I4093">
        <v>0</v>
      </c>
      <c r="J4093">
        <v>0</v>
      </c>
      <c r="K4093">
        <v>0</v>
      </c>
      <c r="L4093">
        <v>0</v>
      </c>
      <c r="M4093">
        <v>0.23</v>
      </c>
      <c r="N4093" s="7" t="e">
        <f>VLOOKUP(F4093,HC!A$6:D$100,3,FALSE)</f>
        <v>#N/A</v>
      </c>
      <c r="O4093" s="7" t="str">
        <f>VLOOKUP(F4093,HC!A$6:D$1000,2,FALSE)</f>
        <v>jmadiana</v>
      </c>
      <c r="U4093">
        <f t="shared" si="65"/>
        <v>3</v>
      </c>
    </row>
    <row r="4094" spans="1:21" ht="37.5" customHeight="1" x14ac:dyDescent="0.25">
      <c r="A4094" s="23">
        <v>45236</v>
      </c>
      <c r="B4094" s="13">
        <v>45</v>
      </c>
      <c r="C4094" t="s">
        <v>3</v>
      </c>
      <c r="D4094" t="s">
        <v>4</v>
      </c>
      <c r="E4094" t="s">
        <v>21</v>
      </c>
      <c r="F4094">
        <v>202484094</v>
      </c>
      <c r="G4094" t="s">
        <v>1776</v>
      </c>
      <c r="H4094" t="s">
        <v>332</v>
      </c>
      <c r="I4094">
        <v>0</v>
      </c>
      <c r="J4094">
        <v>0</v>
      </c>
      <c r="K4094">
        <v>0</v>
      </c>
      <c r="L4094">
        <v>0</v>
      </c>
      <c r="M4094">
        <v>0.09</v>
      </c>
      <c r="N4094" s="7" t="e">
        <f>VLOOKUP(F4094,HC!A$6:D$100,3,FALSE)</f>
        <v>#N/A</v>
      </c>
      <c r="O4094" s="7" t="str">
        <f>VLOOKUP(F4094,HC!A$6:D$1000,2,FALSE)</f>
        <v>rgonzand</v>
      </c>
      <c r="U4094">
        <f t="shared" si="65"/>
        <v>1</v>
      </c>
    </row>
    <row r="4095" spans="1:21" ht="37.5" customHeight="1" x14ac:dyDescent="0.25">
      <c r="A4095" s="23">
        <v>45236</v>
      </c>
      <c r="B4095" s="13">
        <v>45</v>
      </c>
      <c r="C4095" t="s">
        <v>3</v>
      </c>
      <c r="D4095" t="s">
        <v>4</v>
      </c>
      <c r="E4095" t="s">
        <v>21</v>
      </c>
      <c r="F4095">
        <v>202484145</v>
      </c>
      <c r="G4095" t="s">
        <v>1777</v>
      </c>
      <c r="H4095" t="s">
        <v>7</v>
      </c>
      <c r="I4095">
        <v>0</v>
      </c>
      <c r="J4095">
        <v>0</v>
      </c>
      <c r="K4095">
        <v>0</v>
      </c>
      <c r="L4095">
        <v>0</v>
      </c>
      <c r="M4095">
        <v>0.62</v>
      </c>
      <c r="N4095" s="7" t="e">
        <f>VLOOKUP(F4095,HC!A$6:D$100,3,FALSE)</f>
        <v>#N/A</v>
      </c>
      <c r="O4095" s="7" t="str">
        <f>VLOOKUP(F4095,HC!A$6:D$1000,2,FALSE)</f>
        <v>camisusa</v>
      </c>
      <c r="U4095">
        <f t="shared" si="65"/>
        <v>1</v>
      </c>
    </row>
    <row r="4096" spans="1:21" ht="37.5" customHeight="1" x14ac:dyDescent="0.25">
      <c r="A4096" s="23">
        <v>45236</v>
      </c>
      <c r="B4096" s="13">
        <v>45</v>
      </c>
      <c r="C4096" t="s">
        <v>3</v>
      </c>
      <c r="D4096" t="s">
        <v>4</v>
      </c>
      <c r="E4096" t="s">
        <v>21</v>
      </c>
      <c r="F4096">
        <v>202507047</v>
      </c>
      <c r="G4096" t="s">
        <v>1778</v>
      </c>
      <c r="H4096" t="s">
        <v>7</v>
      </c>
      <c r="I4096">
        <v>0</v>
      </c>
      <c r="J4096">
        <v>0</v>
      </c>
      <c r="K4096">
        <v>0</v>
      </c>
      <c r="L4096">
        <v>0</v>
      </c>
      <c r="M4096">
        <v>0.2</v>
      </c>
      <c r="N4096" s="7" t="e">
        <f>VLOOKUP(F4096,HC!A$6:D$100,3,FALSE)</f>
        <v>#N/A</v>
      </c>
      <c r="O4096" s="7" t="str">
        <f>VLOOKUP(F4096,HC!A$6:D$1000,2,FALSE)</f>
        <v>martcjes</v>
      </c>
      <c r="U4096">
        <f t="shared" si="65"/>
        <v>3</v>
      </c>
    </row>
    <row r="4097" spans="1:21" ht="37.5" customHeight="1" x14ac:dyDescent="0.25">
      <c r="A4097" s="23">
        <v>45236</v>
      </c>
      <c r="B4097" s="13">
        <v>45</v>
      </c>
      <c r="C4097" t="s">
        <v>3</v>
      </c>
      <c r="D4097" t="s">
        <v>4</v>
      </c>
      <c r="E4097" t="s">
        <v>21</v>
      </c>
      <c r="F4097">
        <v>202510583</v>
      </c>
      <c r="G4097" t="s">
        <v>1779</v>
      </c>
      <c r="H4097" t="s">
        <v>7</v>
      </c>
      <c r="I4097">
        <v>0</v>
      </c>
      <c r="J4097">
        <v>0</v>
      </c>
      <c r="K4097">
        <v>0</v>
      </c>
      <c r="L4097">
        <v>0</v>
      </c>
      <c r="M4097">
        <v>0.04</v>
      </c>
      <c r="N4097" s="7" t="e">
        <f>VLOOKUP(F4097,HC!A$6:D$100,3,FALSE)</f>
        <v>#N/A</v>
      </c>
      <c r="O4097" s="7" t="str">
        <f>VLOOKUP(F4097,HC!A$6:D$1000,2,FALSE)</f>
        <v>jifjuanc</v>
      </c>
      <c r="U4097">
        <f t="shared" si="65"/>
        <v>2</v>
      </c>
    </row>
    <row r="4098" spans="1:21" ht="37.5" customHeight="1" x14ac:dyDescent="0.25">
      <c r="A4098" s="23">
        <v>45237</v>
      </c>
      <c r="B4098" s="13">
        <v>45</v>
      </c>
      <c r="C4098" t="s">
        <v>3</v>
      </c>
      <c r="D4098" t="s">
        <v>4</v>
      </c>
      <c r="E4098" t="s">
        <v>5</v>
      </c>
      <c r="F4098">
        <v>112912752</v>
      </c>
      <c r="G4098" t="s">
        <v>251</v>
      </c>
      <c r="H4098" t="s">
        <v>332</v>
      </c>
      <c r="I4098">
        <v>0</v>
      </c>
      <c r="J4098">
        <v>0</v>
      </c>
      <c r="K4098">
        <v>0</v>
      </c>
      <c r="L4098">
        <v>0</v>
      </c>
      <c r="M4098">
        <v>0.62</v>
      </c>
      <c r="N4098" s="7" t="str">
        <f>VLOOKUP(F4098,HC!A$6:D$100,3,FALSE)</f>
        <v>NF-X1900</v>
      </c>
      <c r="O4098" s="7" t="str">
        <f>VLOOKUP(F4098,HC!A$6:D$1000,2,FALSE)</f>
        <v>valderle</v>
      </c>
      <c r="U4098">
        <f t="shared" si="65"/>
        <v>50</v>
      </c>
    </row>
    <row r="4099" spans="1:21" ht="37.5" customHeight="1" x14ac:dyDescent="0.25">
      <c r="A4099" s="23">
        <v>45237</v>
      </c>
      <c r="B4099" s="13">
        <v>45</v>
      </c>
      <c r="C4099" t="s">
        <v>3</v>
      </c>
      <c r="D4099" t="s">
        <v>4</v>
      </c>
      <c r="E4099" t="s">
        <v>5</v>
      </c>
      <c r="F4099">
        <v>112980899</v>
      </c>
      <c r="G4099" t="s">
        <v>396</v>
      </c>
      <c r="H4099" t="s">
        <v>332</v>
      </c>
      <c r="I4099">
        <v>0</v>
      </c>
      <c r="J4099">
        <v>0</v>
      </c>
      <c r="K4099">
        <v>0</v>
      </c>
      <c r="L4099">
        <v>0</v>
      </c>
      <c r="M4099">
        <v>0.18</v>
      </c>
      <c r="N4099" s="7" t="str">
        <f>VLOOKUP(F4099,HC!A$6:D$100,3,FALSE)</f>
        <v>NF-X1900</v>
      </c>
      <c r="O4099" s="7" t="str">
        <f>VLOOKUP(F4099,HC!A$6:D$1000,2,FALSE)</f>
        <v>aravilac</v>
      </c>
      <c r="U4099">
        <f t="shared" ref="U4099:U4162" si="66">COUNTIF(O$2:O$4999,O4099)</f>
        <v>33</v>
      </c>
    </row>
    <row r="4100" spans="1:21" ht="37.5" customHeight="1" x14ac:dyDescent="0.25">
      <c r="A4100" s="23">
        <v>45237</v>
      </c>
      <c r="B4100" s="13">
        <v>45</v>
      </c>
      <c r="C4100" t="s">
        <v>3</v>
      </c>
      <c r="D4100" t="s">
        <v>4</v>
      </c>
      <c r="E4100" t="s">
        <v>5</v>
      </c>
      <c r="F4100">
        <v>112981194</v>
      </c>
      <c r="G4100" t="s">
        <v>540</v>
      </c>
      <c r="H4100" t="s">
        <v>332</v>
      </c>
      <c r="I4100">
        <v>0</v>
      </c>
      <c r="J4100">
        <v>0</v>
      </c>
      <c r="K4100">
        <v>0</v>
      </c>
      <c r="L4100">
        <v>0</v>
      </c>
      <c r="M4100">
        <v>0.18</v>
      </c>
      <c r="N4100" s="7" t="str">
        <f>VLOOKUP(F4100,HC!A$6:D$100,3,FALSE)</f>
        <v>NF-X1900</v>
      </c>
      <c r="O4100" s="7" t="str">
        <f>VLOOKUP(F4100,HC!A$6:D$1000,2,FALSE)</f>
        <v>csandrak</v>
      </c>
      <c r="U4100">
        <f t="shared" si="66"/>
        <v>8</v>
      </c>
    </row>
    <row r="4101" spans="1:21" ht="37.5" customHeight="1" x14ac:dyDescent="0.25">
      <c r="A4101" s="23">
        <v>45237</v>
      </c>
      <c r="B4101" s="13">
        <v>45</v>
      </c>
      <c r="C4101" t="s">
        <v>3</v>
      </c>
      <c r="D4101" t="s">
        <v>4</v>
      </c>
      <c r="E4101" t="s">
        <v>5</v>
      </c>
      <c r="F4101">
        <v>200404250</v>
      </c>
      <c r="G4101" t="s">
        <v>51</v>
      </c>
      <c r="H4101" t="s">
        <v>49</v>
      </c>
      <c r="I4101">
        <v>0</v>
      </c>
      <c r="J4101">
        <v>0</v>
      </c>
      <c r="K4101">
        <v>0</v>
      </c>
      <c r="L4101">
        <v>0</v>
      </c>
      <c r="M4101">
        <v>0.11</v>
      </c>
      <c r="N4101" s="7" t="e">
        <f>VLOOKUP(F4101,HC!A$6:D$100,3,FALSE)</f>
        <v>#N/A</v>
      </c>
      <c r="O4101" s="7" t="str">
        <f>VLOOKUP(F4101,HC!A$6:D$1000,2,FALSE)</f>
        <v>xcathurt</v>
      </c>
      <c r="U4101">
        <f t="shared" si="66"/>
        <v>124</v>
      </c>
    </row>
    <row r="4102" spans="1:21" ht="37.5" customHeight="1" x14ac:dyDescent="0.25">
      <c r="A4102" s="23">
        <v>45237</v>
      </c>
      <c r="B4102" s="13">
        <v>45</v>
      </c>
      <c r="C4102" t="s">
        <v>3</v>
      </c>
      <c r="D4102" t="s">
        <v>4</v>
      </c>
      <c r="E4102" t="s">
        <v>5</v>
      </c>
      <c r="F4102">
        <v>200625528</v>
      </c>
      <c r="G4102" t="s">
        <v>607</v>
      </c>
      <c r="H4102" t="s">
        <v>1040</v>
      </c>
      <c r="I4102">
        <v>0</v>
      </c>
      <c r="J4102">
        <v>0</v>
      </c>
      <c r="K4102">
        <v>0</v>
      </c>
      <c r="L4102">
        <v>0</v>
      </c>
      <c r="M4102">
        <v>0.9</v>
      </c>
      <c r="N4102" s="7" t="e">
        <f>VLOOKUP(F4102,HC!A$6:D$100,3,FALSE)</f>
        <v>#N/A</v>
      </c>
      <c r="O4102" s="7" t="str">
        <f>VLOOKUP(F4102,HC!A$6:D$1000,2,FALSE)</f>
        <v>olivlizb</v>
      </c>
      <c r="U4102">
        <f t="shared" si="66"/>
        <v>50</v>
      </c>
    </row>
    <row r="4103" spans="1:21" ht="37.5" customHeight="1" x14ac:dyDescent="0.25">
      <c r="A4103" s="23">
        <v>45237</v>
      </c>
      <c r="B4103" s="13">
        <v>45</v>
      </c>
      <c r="C4103" t="s">
        <v>3</v>
      </c>
      <c r="D4103" t="s">
        <v>4</v>
      </c>
      <c r="E4103" t="s">
        <v>5</v>
      </c>
      <c r="F4103">
        <v>201167501</v>
      </c>
      <c r="G4103" t="s">
        <v>863</v>
      </c>
      <c r="H4103" t="s">
        <v>49</v>
      </c>
      <c r="I4103">
        <v>0</v>
      </c>
      <c r="J4103">
        <v>0</v>
      </c>
      <c r="K4103">
        <v>0</v>
      </c>
      <c r="L4103">
        <v>0</v>
      </c>
      <c r="M4103">
        <v>0.85</v>
      </c>
      <c r="N4103" s="7" t="e">
        <f>VLOOKUP(F4103,HC!A$6:D$100,3,FALSE)</f>
        <v>#N/A</v>
      </c>
      <c r="O4103" s="7" t="str">
        <f>VLOOKUP(F4103,HC!A$6:D$1000,2,FALSE)</f>
        <v>wguanajr</v>
      </c>
      <c r="U4103">
        <f t="shared" si="66"/>
        <v>36</v>
      </c>
    </row>
    <row r="4104" spans="1:21" ht="37.5" customHeight="1" x14ac:dyDescent="0.25">
      <c r="A4104" s="23">
        <v>45237</v>
      </c>
      <c r="B4104" s="13">
        <v>45</v>
      </c>
      <c r="C4104" t="s">
        <v>3</v>
      </c>
      <c r="D4104" t="s">
        <v>4</v>
      </c>
      <c r="E4104" t="s">
        <v>5</v>
      </c>
      <c r="F4104">
        <v>201191198</v>
      </c>
      <c r="G4104" t="s">
        <v>974</v>
      </c>
      <c r="H4104" t="s">
        <v>285</v>
      </c>
      <c r="I4104">
        <v>0</v>
      </c>
      <c r="J4104">
        <v>0</v>
      </c>
      <c r="K4104">
        <v>0</v>
      </c>
      <c r="L4104">
        <v>0</v>
      </c>
      <c r="M4104">
        <v>0.01</v>
      </c>
      <c r="N4104" s="7" t="e">
        <f>VLOOKUP(F4104,HC!A$6:D$100,3,FALSE)</f>
        <v>#N/A</v>
      </c>
      <c r="O4104" s="7" t="str">
        <f>VLOOKUP(F4104,HC!A$6:D$1000,2,FALSE)</f>
        <v>mojicemm</v>
      </c>
      <c r="U4104">
        <f t="shared" si="66"/>
        <v>24</v>
      </c>
    </row>
    <row r="4105" spans="1:21" ht="37.5" customHeight="1" x14ac:dyDescent="0.25">
      <c r="A4105" s="23">
        <v>45237</v>
      </c>
      <c r="B4105" s="13">
        <v>45</v>
      </c>
      <c r="C4105" t="s">
        <v>3</v>
      </c>
      <c r="D4105" t="s">
        <v>4</v>
      </c>
      <c r="E4105" t="s">
        <v>5</v>
      </c>
      <c r="F4105">
        <v>201197964</v>
      </c>
      <c r="G4105" t="s">
        <v>1180</v>
      </c>
      <c r="H4105" t="s">
        <v>250</v>
      </c>
      <c r="I4105">
        <v>0</v>
      </c>
      <c r="J4105">
        <v>0</v>
      </c>
      <c r="K4105">
        <v>0</v>
      </c>
      <c r="L4105">
        <v>0</v>
      </c>
      <c r="M4105">
        <v>0.04</v>
      </c>
      <c r="N4105" s="7" t="e">
        <f>VLOOKUP(F4105,HC!A$6:D$100,3,FALSE)</f>
        <v>#N/A</v>
      </c>
      <c r="O4105" s="7" t="str">
        <f>VLOOKUP(F4105,HC!A$6:D$1000,2,FALSE)</f>
        <v>matzquij</v>
      </c>
      <c r="U4105">
        <f t="shared" si="66"/>
        <v>16</v>
      </c>
    </row>
    <row r="4106" spans="1:21" ht="37.5" customHeight="1" x14ac:dyDescent="0.25">
      <c r="A4106" s="23">
        <v>45237</v>
      </c>
      <c r="B4106" s="13">
        <v>45</v>
      </c>
      <c r="C4106" t="s">
        <v>3</v>
      </c>
      <c r="D4106" t="s">
        <v>4</v>
      </c>
      <c r="E4106" t="s">
        <v>5</v>
      </c>
      <c r="F4106">
        <v>201202093</v>
      </c>
      <c r="G4106" t="s">
        <v>479</v>
      </c>
      <c r="H4106" t="s">
        <v>1394</v>
      </c>
      <c r="I4106">
        <v>0</v>
      </c>
      <c r="J4106">
        <v>0</v>
      </c>
      <c r="K4106">
        <v>0</v>
      </c>
      <c r="L4106">
        <v>0</v>
      </c>
      <c r="M4106">
        <v>7.0000000000000007E-2</v>
      </c>
      <c r="N4106" s="7" t="e">
        <f>VLOOKUP(F4106,HC!A$6:D$100,3,FALSE)</f>
        <v>#N/A</v>
      </c>
      <c r="O4106" s="7" t="str">
        <f>VLOOKUP(F4106,HC!A$6:D$1000,2,FALSE)</f>
        <v>eliorten</v>
      </c>
      <c r="U4106">
        <f t="shared" si="66"/>
        <v>12</v>
      </c>
    </row>
    <row r="4107" spans="1:21" ht="37.5" customHeight="1" x14ac:dyDescent="0.25">
      <c r="A4107" s="23">
        <v>45237</v>
      </c>
      <c r="B4107" s="13">
        <v>45</v>
      </c>
      <c r="C4107" t="s">
        <v>3</v>
      </c>
      <c r="D4107" t="s">
        <v>4</v>
      </c>
      <c r="E4107" t="s">
        <v>5</v>
      </c>
      <c r="F4107">
        <v>201842039</v>
      </c>
      <c r="G4107" t="s">
        <v>1231</v>
      </c>
      <c r="H4107" t="s">
        <v>285</v>
      </c>
      <c r="I4107">
        <v>0</v>
      </c>
      <c r="J4107">
        <v>0</v>
      </c>
      <c r="K4107">
        <v>0</v>
      </c>
      <c r="L4107">
        <v>0</v>
      </c>
      <c r="M4107">
        <v>0.14000000000000001</v>
      </c>
      <c r="N4107" s="7" t="e">
        <f>VLOOKUP(F4107,HC!A$6:D$100,3,FALSE)</f>
        <v>#N/A</v>
      </c>
      <c r="O4107" s="7" t="str">
        <f>VLOOKUP(F4107,HC!A$6:D$1000,2,FALSE)</f>
        <v>fantmar</v>
      </c>
      <c r="U4107">
        <f t="shared" si="66"/>
        <v>11</v>
      </c>
    </row>
    <row r="4108" spans="1:21" ht="37.5" customHeight="1" x14ac:dyDescent="0.25">
      <c r="A4108" s="23">
        <v>45237</v>
      </c>
      <c r="B4108" s="13">
        <v>45</v>
      </c>
      <c r="C4108" t="s">
        <v>3</v>
      </c>
      <c r="D4108" t="s">
        <v>4</v>
      </c>
      <c r="E4108" t="s">
        <v>5</v>
      </c>
      <c r="F4108">
        <v>201858330</v>
      </c>
      <c r="G4108" t="s">
        <v>1409</v>
      </c>
      <c r="H4108" t="s">
        <v>1040</v>
      </c>
      <c r="I4108">
        <v>0</v>
      </c>
      <c r="J4108">
        <v>0</v>
      </c>
      <c r="K4108">
        <v>0</v>
      </c>
      <c r="L4108">
        <v>0</v>
      </c>
      <c r="M4108">
        <v>0.17</v>
      </c>
      <c r="N4108" s="7" t="e">
        <f>VLOOKUP(F4108,HC!A$6:D$100,3,FALSE)</f>
        <v>#N/A</v>
      </c>
      <c r="O4108" s="7" t="str">
        <f>VLOOKUP(F4108,HC!A$6:D$1000,2,FALSE)</f>
        <v>arrwpabl</v>
      </c>
      <c r="U4108">
        <f t="shared" si="66"/>
        <v>6</v>
      </c>
    </row>
    <row r="4109" spans="1:21" ht="37.5" customHeight="1" x14ac:dyDescent="0.25">
      <c r="A4109" s="23">
        <v>45237</v>
      </c>
      <c r="B4109" s="13">
        <v>45</v>
      </c>
      <c r="C4109" t="s">
        <v>3</v>
      </c>
      <c r="D4109" t="s">
        <v>4</v>
      </c>
      <c r="E4109" t="s">
        <v>21</v>
      </c>
      <c r="F4109">
        <v>202130113</v>
      </c>
      <c r="G4109" t="s">
        <v>1434</v>
      </c>
      <c r="H4109" t="s">
        <v>7</v>
      </c>
      <c r="I4109">
        <v>0</v>
      </c>
      <c r="J4109">
        <v>0</v>
      </c>
      <c r="K4109">
        <v>0</v>
      </c>
      <c r="L4109">
        <v>0</v>
      </c>
      <c r="M4109">
        <v>0.28000000000000003</v>
      </c>
      <c r="N4109" s="7" t="e">
        <f>VLOOKUP(F4109,HC!A$6:D$100,3,FALSE)</f>
        <v>#N/A</v>
      </c>
      <c r="O4109" s="7" t="str">
        <f>VLOOKUP(F4109,HC!A$6:D$1000,2,FALSE)</f>
        <v>tanirang</v>
      </c>
      <c r="U4109">
        <f t="shared" si="66"/>
        <v>5</v>
      </c>
    </row>
    <row r="4110" spans="1:21" ht="37.5" customHeight="1" x14ac:dyDescent="0.25">
      <c r="A4110" s="23">
        <v>45237</v>
      </c>
      <c r="B4110" s="13">
        <v>45</v>
      </c>
      <c r="C4110" t="s">
        <v>3</v>
      </c>
      <c r="D4110" t="s">
        <v>4</v>
      </c>
      <c r="E4110" t="s">
        <v>21</v>
      </c>
      <c r="F4110">
        <v>202163986</v>
      </c>
      <c r="G4110" t="s">
        <v>1472</v>
      </c>
      <c r="H4110" t="s">
        <v>250</v>
      </c>
      <c r="I4110">
        <v>0</v>
      </c>
      <c r="J4110">
        <v>0</v>
      </c>
      <c r="K4110">
        <v>0</v>
      </c>
      <c r="L4110">
        <v>0</v>
      </c>
      <c r="M4110">
        <v>0.18</v>
      </c>
      <c r="N4110" s="7" t="e">
        <f>VLOOKUP(F4110,HC!A$6:D$100,3,FALSE)</f>
        <v>#N/A</v>
      </c>
      <c r="O4110" s="7" t="str">
        <f>VLOOKUP(F4110,HC!A$6:D$1000,2,FALSE)</f>
        <v>franhjos</v>
      </c>
      <c r="U4110">
        <f t="shared" si="66"/>
        <v>2</v>
      </c>
    </row>
    <row r="4111" spans="1:21" ht="37.5" customHeight="1" x14ac:dyDescent="0.25">
      <c r="A4111" s="23">
        <v>45237</v>
      </c>
      <c r="B4111" s="13">
        <v>45</v>
      </c>
      <c r="C4111" t="s">
        <v>3</v>
      </c>
      <c r="D4111" t="s">
        <v>4</v>
      </c>
      <c r="E4111" t="s">
        <v>21</v>
      </c>
      <c r="F4111">
        <v>202165242</v>
      </c>
      <c r="G4111" t="s">
        <v>1412</v>
      </c>
      <c r="H4111" t="s">
        <v>403</v>
      </c>
      <c r="I4111">
        <v>0</v>
      </c>
      <c r="J4111">
        <v>0</v>
      </c>
      <c r="K4111">
        <v>0</v>
      </c>
      <c r="L4111">
        <v>0</v>
      </c>
      <c r="M4111">
        <v>0.21</v>
      </c>
      <c r="N4111" s="7" t="e">
        <f>VLOOKUP(F4111,HC!A$6:D$100,3,FALSE)</f>
        <v>#N/A</v>
      </c>
      <c r="O4111" s="7" t="str">
        <f>VLOOKUP(F4111,HC!A$6:D$1000,2,FALSE)</f>
        <v>marcqgon</v>
      </c>
      <c r="U4111">
        <f t="shared" si="66"/>
        <v>21</v>
      </c>
    </row>
    <row r="4112" spans="1:21" ht="37.5" customHeight="1" x14ac:dyDescent="0.25">
      <c r="A4112" s="23">
        <v>45237</v>
      </c>
      <c r="B4112" s="13">
        <v>45</v>
      </c>
      <c r="C4112" t="s">
        <v>3</v>
      </c>
      <c r="D4112" t="s">
        <v>4</v>
      </c>
      <c r="E4112" t="s">
        <v>21</v>
      </c>
      <c r="F4112">
        <v>202166757</v>
      </c>
      <c r="G4112" t="s">
        <v>1790</v>
      </c>
      <c r="H4112" t="s">
        <v>14</v>
      </c>
      <c r="I4112">
        <v>0</v>
      </c>
      <c r="J4112">
        <v>0</v>
      </c>
      <c r="K4112">
        <v>0</v>
      </c>
      <c r="L4112">
        <v>0</v>
      </c>
      <c r="M4112">
        <v>0.67</v>
      </c>
      <c r="N4112" s="7" t="e">
        <f>VLOOKUP(F4112,HC!A$6:D$100,3,FALSE)</f>
        <v>#N/A</v>
      </c>
      <c r="O4112" s="7" t="str">
        <f>VLOOKUP(F4112,HC!A$6:D$1000,2,FALSE)</f>
        <v>corteax</v>
      </c>
      <c r="U4112">
        <f t="shared" si="66"/>
        <v>3</v>
      </c>
    </row>
    <row r="4113" spans="1:21" ht="37.5" customHeight="1" x14ac:dyDescent="0.25">
      <c r="A4113" s="23">
        <v>45237</v>
      </c>
      <c r="B4113" s="13">
        <v>45</v>
      </c>
      <c r="C4113" t="s">
        <v>3</v>
      </c>
      <c r="D4113" t="s">
        <v>4</v>
      </c>
      <c r="E4113" t="s">
        <v>21</v>
      </c>
      <c r="F4113">
        <v>202167361</v>
      </c>
      <c r="G4113" t="s">
        <v>1791</v>
      </c>
      <c r="H4113" t="s">
        <v>1040</v>
      </c>
      <c r="I4113">
        <v>0</v>
      </c>
      <c r="J4113">
        <v>0</v>
      </c>
      <c r="K4113">
        <v>0</v>
      </c>
      <c r="L4113">
        <v>0</v>
      </c>
      <c r="M4113">
        <v>0.22</v>
      </c>
      <c r="N4113" s="7" t="e">
        <f>VLOOKUP(F4113,HC!A$6:D$100,3,FALSE)</f>
        <v>#N/A</v>
      </c>
      <c r="O4113" s="7" t="str">
        <f>VLOOKUP(F4113,HC!A$6:D$1000,2,FALSE)</f>
        <v>gifridae</v>
      </c>
      <c r="U4113">
        <f t="shared" si="66"/>
        <v>2</v>
      </c>
    </row>
    <row r="4114" spans="1:21" ht="37.5" customHeight="1" x14ac:dyDescent="0.25">
      <c r="A4114" s="23">
        <v>45237</v>
      </c>
      <c r="B4114" s="13">
        <v>45</v>
      </c>
      <c r="C4114" t="s">
        <v>3</v>
      </c>
      <c r="D4114" t="s">
        <v>4</v>
      </c>
      <c r="E4114" t="s">
        <v>21</v>
      </c>
      <c r="F4114">
        <v>202236342</v>
      </c>
      <c r="G4114" t="s">
        <v>1447</v>
      </c>
      <c r="H4114" t="s">
        <v>332</v>
      </c>
      <c r="I4114">
        <v>0</v>
      </c>
      <c r="J4114">
        <v>0</v>
      </c>
      <c r="K4114">
        <v>0</v>
      </c>
      <c r="L4114">
        <v>0</v>
      </c>
      <c r="M4114">
        <v>0.24</v>
      </c>
      <c r="N4114" s="7" t="e">
        <f>VLOOKUP(F4114,HC!A$6:D$100,3,FALSE)</f>
        <v>#N/A</v>
      </c>
      <c r="O4114" s="7" t="str">
        <f>VLOOKUP(F4114,HC!A$6:D$1000,2,FALSE)</f>
        <v>miafunes</v>
      </c>
      <c r="U4114">
        <f t="shared" si="66"/>
        <v>2</v>
      </c>
    </row>
    <row r="4115" spans="1:21" ht="37.5" customHeight="1" x14ac:dyDescent="0.25">
      <c r="A4115" s="23">
        <v>45237</v>
      </c>
      <c r="B4115" s="13">
        <v>45</v>
      </c>
      <c r="C4115" t="s">
        <v>3</v>
      </c>
      <c r="D4115" t="s">
        <v>4</v>
      </c>
      <c r="E4115" t="s">
        <v>21</v>
      </c>
      <c r="F4115">
        <v>202245845</v>
      </c>
      <c r="G4115" t="s">
        <v>1450</v>
      </c>
      <c r="H4115" t="s">
        <v>250</v>
      </c>
      <c r="I4115">
        <v>0</v>
      </c>
      <c r="J4115">
        <v>0</v>
      </c>
      <c r="K4115">
        <v>0</v>
      </c>
      <c r="L4115">
        <v>0</v>
      </c>
      <c r="M4115">
        <v>0.18</v>
      </c>
      <c r="N4115" s="7" t="e">
        <f>VLOOKUP(F4115,HC!A$6:D$100,3,FALSE)</f>
        <v>#N/A</v>
      </c>
      <c r="O4115" s="7" t="str">
        <f>VLOOKUP(F4115,HC!A$6:D$1000,2,FALSE)</f>
        <v>cangmedi</v>
      </c>
      <c r="U4115">
        <f t="shared" si="66"/>
        <v>5</v>
      </c>
    </row>
    <row r="4116" spans="1:21" ht="37.5" customHeight="1" x14ac:dyDescent="0.25">
      <c r="A4116" s="23">
        <v>45237</v>
      </c>
      <c r="B4116" s="13">
        <v>45</v>
      </c>
      <c r="C4116" t="s">
        <v>3</v>
      </c>
      <c r="D4116" t="s">
        <v>4</v>
      </c>
      <c r="E4116" t="s">
        <v>21</v>
      </c>
      <c r="F4116">
        <v>202253767</v>
      </c>
      <c r="G4116" t="s">
        <v>1792</v>
      </c>
      <c r="H4116" t="s">
        <v>332</v>
      </c>
      <c r="I4116">
        <v>0</v>
      </c>
      <c r="J4116">
        <v>0</v>
      </c>
      <c r="K4116">
        <v>0</v>
      </c>
      <c r="L4116">
        <v>0</v>
      </c>
      <c r="M4116">
        <v>7.0000000000000007E-2</v>
      </c>
      <c r="N4116" s="7" t="e">
        <f>VLOOKUP(F4116,HC!A$6:D$100,3,FALSE)</f>
        <v>#N/A</v>
      </c>
      <c r="O4116" s="7" t="str">
        <f>VLOOKUP(F4116,HC!A$6:D$1000,2,FALSE)</f>
        <v>jromefra</v>
      </c>
      <c r="U4116">
        <f t="shared" si="66"/>
        <v>4</v>
      </c>
    </row>
    <row r="4117" spans="1:21" ht="37.5" customHeight="1" x14ac:dyDescent="0.25">
      <c r="A4117" s="23">
        <v>45237</v>
      </c>
      <c r="B4117" s="13">
        <v>45</v>
      </c>
      <c r="C4117" t="s">
        <v>3</v>
      </c>
      <c r="D4117" t="s">
        <v>4</v>
      </c>
      <c r="E4117" t="s">
        <v>21</v>
      </c>
      <c r="F4117">
        <v>202266131</v>
      </c>
      <c r="G4117" t="s">
        <v>1454</v>
      </c>
      <c r="H4117" t="s">
        <v>49</v>
      </c>
      <c r="I4117">
        <v>0</v>
      </c>
      <c r="J4117">
        <v>0</v>
      </c>
      <c r="K4117">
        <v>0</v>
      </c>
      <c r="L4117">
        <v>0</v>
      </c>
      <c r="M4117">
        <v>0.18</v>
      </c>
      <c r="N4117" s="7" t="e">
        <f>VLOOKUP(F4117,HC!A$6:D$100,3,FALSE)</f>
        <v>#N/A</v>
      </c>
      <c r="O4117" s="7" t="str">
        <f>VLOOKUP(F4117,HC!A$6:D$1000,2,FALSE)</f>
        <v>gguadia</v>
      </c>
      <c r="U4117">
        <f t="shared" si="66"/>
        <v>5</v>
      </c>
    </row>
    <row r="4118" spans="1:21" ht="37.5" customHeight="1" x14ac:dyDescent="0.25">
      <c r="A4118" s="23">
        <v>45237</v>
      </c>
      <c r="B4118" s="13">
        <v>45</v>
      </c>
      <c r="C4118" t="s">
        <v>3</v>
      </c>
      <c r="D4118" t="s">
        <v>4</v>
      </c>
      <c r="E4118" t="s">
        <v>21</v>
      </c>
      <c r="F4118">
        <v>202273970</v>
      </c>
      <c r="G4118" t="s">
        <v>1477</v>
      </c>
      <c r="H4118" t="s">
        <v>332</v>
      </c>
      <c r="I4118">
        <v>0</v>
      </c>
      <c r="J4118">
        <v>0</v>
      </c>
      <c r="K4118">
        <v>0</v>
      </c>
      <c r="L4118">
        <v>0</v>
      </c>
      <c r="M4118">
        <v>0.21</v>
      </c>
      <c r="N4118" s="7" t="e">
        <f>VLOOKUP(F4118,HC!A$6:D$100,3,FALSE)</f>
        <v>#N/A</v>
      </c>
      <c r="O4118" s="7" t="str">
        <f>VLOOKUP(F4118,HC!A$6:D$1000,2,FALSE)</f>
        <v>jafemedi</v>
      </c>
      <c r="U4118">
        <f t="shared" si="66"/>
        <v>3</v>
      </c>
    </row>
    <row r="4119" spans="1:21" ht="37.5" customHeight="1" x14ac:dyDescent="0.25">
      <c r="A4119" s="23">
        <v>45237</v>
      </c>
      <c r="B4119" s="13">
        <v>45</v>
      </c>
      <c r="C4119" t="s">
        <v>3</v>
      </c>
      <c r="D4119" t="s">
        <v>4</v>
      </c>
      <c r="E4119" t="s">
        <v>21</v>
      </c>
      <c r="F4119">
        <v>202291188</v>
      </c>
      <c r="G4119" t="s">
        <v>1722</v>
      </c>
      <c r="H4119" t="s">
        <v>7</v>
      </c>
      <c r="I4119">
        <v>0</v>
      </c>
      <c r="J4119">
        <v>0</v>
      </c>
      <c r="K4119">
        <v>0</v>
      </c>
      <c r="L4119">
        <v>0</v>
      </c>
      <c r="M4119">
        <v>0.23</v>
      </c>
      <c r="N4119" s="7" t="e">
        <f>VLOOKUP(F4119,HC!A$6:D$100,3,FALSE)</f>
        <v>#N/A</v>
      </c>
      <c r="O4119" s="7" t="str">
        <f>VLOOKUP(F4119,HC!A$6:D$1000,2,FALSE)</f>
        <v>alvqfern</v>
      </c>
      <c r="U4119">
        <f t="shared" si="66"/>
        <v>4</v>
      </c>
    </row>
    <row r="4120" spans="1:21" ht="37.5" customHeight="1" x14ac:dyDescent="0.25">
      <c r="A4120" s="23">
        <v>45237</v>
      </c>
      <c r="B4120" s="13">
        <v>45</v>
      </c>
      <c r="C4120" t="s">
        <v>3</v>
      </c>
      <c r="D4120" t="s">
        <v>4</v>
      </c>
      <c r="E4120" t="s">
        <v>21</v>
      </c>
      <c r="F4120">
        <v>202291208</v>
      </c>
      <c r="G4120" t="s">
        <v>1730</v>
      </c>
      <c r="H4120" t="s">
        <v>1040</v>
      </c>
      <c r="I4120">
        <v>0</v>
      </c>
      <c r="J4120">
        <v>0</v>
      </c>
      <c r="K4120">
        <v>0</v>
      </c>
      <c r="L4120">
        <v>0</v>
      </c>
      <c r="M4120">
        <v>0.28000000000000003</v>
      </c>
      <c r="N4120" s="7" t="e">
        <f>VLOOKUP(F4120,HC!A$6:D$100,3,FALSE)</f>
        <v>#N/A</v>
      </c>
      <c r="O4120" s="7" t="str">
        <f>VLOOKUP(F4120,HC!A$6:D$1000,2,FALSE)</f>
        <v>qperequi</v>
      </c>
      <c r="U4120">
        <f t="shared" si="66"/>
        <v>2</v>
      </c>
    </row>
    <row r="4121" spans="1:21" ht="37.5" customHeight="1" x14ac:dyDescent="0.25">
      <c r="A4121" s="23">
        <v>45237</v>
      </c>
      <c r="B4121" s="13">
        <v>45</v>
      </c>
      <c r="C4121" t="s">
        <v>3</v>
      </c>
      <c r="D4121" t="s">
        <v>4</v>
      </c>
      <c r="E4121" t="s">
        <v>21</v>
      </c>
      <c r="F4121">
        <v>202291219</v>
      </c>
      <c r="G4121" t="s">
        <v>1714</v>
      </c>
      <c r="H4121" t="s">
        <v>285</v>
      </c>
      <c r="I4121">
        <v>0</v>
      </c>
      <c r="J4121">
        <v>0</v>
      </c>
      <c r="K4121">
        <v>0</v>
      </c>
      <c r="L4121">
        <v>0</v>
      </c>
      <c r="M4121">
        <v>0.12</v>
      </c>
      <c r="N4121" s="7" t="e">
        <f>VLOOKUP(F4121,HC!A$6:D$100,3,FALSE)</f>
        <v>#N/A</v>
      </c>
      <c r="O4121" s="7" t="str">
        <f>VLOOKUP(F4121,HC!A$6:D$1000,2,FALSE)</f>
        <v>yaguicar</v>
      </c>
      <c r="U4121">
        <f t="shared" si="66"/>
        <v>3</v>
      </c>
    </row>
    <row r="4122" spans="1:21" ht="37.5" customHeight="1" x14ac:dyDescent="0.25">
      <c r="A4122" s="23">
        <v>45237</v>
      </c>
      <c r="B4122" s="13">
        <v>45</v>
      </c>
      <c r="C4122" t="s">
        <v>3</v>
      </c>
      <c r="D4122" t="s">
        <v>4</v>
      </c>
      <c r="E4122" t="s">
        <v>21</v>
      </c>
      <c r="F4122">
        <v>202323975</v>
      </c>
      <c r="G4122" t="s">
        <v>1753</v>
      </c>
      <c r="H4122" t="s">
        <v>285</v>
      </c>
      <c r="I4122">
        <v>0</v>
      </c>
      <c r="J4122">
        <v>0</v>
      </c>
      <c r="K4122">
        <v>0</v>
      </c>
      <c r="L4122">
        <v>0</v>
      </c>
      <c r="M4122">
        <v>0.24</v>
      </c>
      <c r="N4122" s="7" t="e">
        <f>VLOOKUP(F4122,HC!A$6:D$100,3,FALSE)</f>
        <v>#N/A</v>
      </c>
      <c r="O4122" s="7" t="str">
        <f>VLOOKUP(F4122,HC!A$6:D$1000,2,FALSE)</f>
        <v>alhernk</v>
      </c>
      <c r="U4122">
        <f t="shared" si="66"/>
        <v>4</v>
      </c>
    </row>
    <row r="4123" spans="1:21" ht="37.5" customHeight="1" x14ac:dyDescent="0.25">
      <c r="A4123" s="23">
        <v>45237</v>
      </c>
      <c r="B4123" s="13">
        <v>45</v>
      </c>
      <c r="C4123" t="s">
        <v>3</v>
      </c>
      <c r="D4123" t="s">
        <v>4</v>
      </c>
      <c r="E4123" t="s">
        <v>21</v>
      </c>
      <c r="F4123">
        <v>202334621</v>
      </c>
      <c r="G4123" t="s">
        <v>1724</v>
      </c>
      <c r="H4123" t="s">
        <v>250</v>
      </c>
      <c r="I4123">
        <v>0</v>
      </c>
      <c r="J4123">
        <v>0</v>
      </c>
      <c r="K4123">
        <v>0</v>
      </c>
      <c r="L4123">
        <v>0</v>
      </c>
      <c r="M4123">
        <v>0.23</v>
      </c>
      <c r="N4123" s="7" t="e">
        <f>VLOOKUP(F4123,HC!A$6:D$100,3,FALSE)</f>
        <v>#N/A</v>
      </c>
      <c r="O4123" s="7" t="str">
        <f>VLOOKUP(F4123,HC!A$6:D$1000,2,FALSE)</f>
        <v>tkarlram</v>
      </c>
      <c r="U4123">
        <f t="shared" si="66"/>
        <v>8</v>
      </c>
    </row>
    <row r="4124" spans="1:21" ht="37.5" customHeight="1" x14ac:dyDescent="0.25">
      <c r="A4124" s="23">
        <v>45237</v>
      </c>
      <c r="B4124" s="13">
        <v>45</v>
      </c>
      <c r="C4124" t="s">
        <v>3</v>
      </c>
      <c r="D4124" t="s">
        <v>4</v>
      </c>
      <c r="E4124" t="s">
        <v>21</v>
      </c>
      <c r="F4124">
        <v>202334920</v>
      </c>
      <c r="G4124" t="s">
        <v>1705</v>
      </c>
      <c r="H4124" t="s">
        <v>285</v>
      </c>
      <c r="I4124">
        <v>0</v>
      </c>
      <c r="J4124">
        <v>0</v>
      </c>
      <c r="K4124">
        <v>0</v>
      </c>
      <c r="L4124">
        <v>0</v>
      </c>
      <c r="M4124">
        <v>0.47</v>
      </c>
      <c r="N4124" s="7" t="e">
        <f>VLOOKUP(F4124,HC!A$6:D$100,3,FALSE)</f>
        <v>#N/A</v>
      </c>
      <c r="O4124" s="7" t="str">
        <f>VLOOKUP(F4124,HC!A$6:D$1000,2,FALSE)</f>
        <v>uroramir</v>
      </c>
      <c r="U4124">
        <f t="shared" si="66"/>
        <v>5</v>
      </c>
    </row>
    <row r="4125" spans="1:21" ht="37.5" customHeight="1" x14ac:dyDescent="0.25">
      <c r="A4125" s="23">
        <v>45237</v>
      </c>
      <c r="B4125" s="13">
        <v>45</v>
      </c>
      <c r="C4125" t="s">
        <v>3</v>
      </c>
      <c r="D4125" t="s">
        <v>4</v>
      </c>
      <c r="E4125" t="s">
        <v>21</v>
      </c>
      <c r="F4125">
        <v>202368491</v>
      </c>
      <c r="G4125" t="s">
        <v>1793</v>
      </c>
      <c r="H4125" t="s">
        <v>332</v>
      </c>
      <c r="I4125">
        <v>0</v>
      </c>
      <c r="J4125">
        <v>0</v>
      </c>
      <c r="K4125">
        <v>0</v>
      </c>
      <c r="L4125">
        <v>0</v>
      </c>
      <c r="M4125">
        <v>0.26</v>
      </c>
      <c r="N4125" s="7" t="e">
        <f>VLOOKUP(F4125,HC!A$6:D$100,3,FALSE)</f>
        <v>#N/A</v>
      </c>
      <c r="O4125" s="7" t="str">
        <f>VLOOKUP(F4125,HC!A$6:D$1000,2,FALSE)</f>
        <v>yahcollh</v>
      </c>
      <c r="U4125">
        <f t="shared" si="66"/>
        <v>1</v>
      </c>
    </row>
    <row r="4126" spans="1:21" ht="37.5" customHeight="1" x14ac:dyDescent="0.25">
      <c r="A4126" s="23">
        <v>45237</v>
      </c>
      <c r="B4126" s="13">
        <v>45</v>
      </c>
      <c r="C4126" t="s">
        <v>3</v>
      </c>
      <c r="D4126" t="s">
        <v>4</v>
      </c>
      <c r="E4126" t="s">
        <v>21</v>
      </c>
      <c r="F4126">
        <v>202442798</v>
      </c>
      <c r="G4126" t="s">
        <v>1749</v>
      </c>
      <c r="H4126" t="s">
        <v>282</v>
      </c>
      <c r="I4126">
        <v>0</v>
      </c>
      <c r="J4126">
        <v>0</v>
      </c>
      <c r="K4126">
        <v>0</v>
      </c>
      <c r="L4126">
        <v>0</v>
      </c>
      <c r="M4126">
        <v>0.18</v>
      </c>
      <c r="N4126" s="7" t="e">
        <f>VLOOKUP(F4126,HC!A$6:D$100,3,FALSE)</f>
        <v>#N/A</v>
      </c>
      <c r="O4126" s="7" t="str">
        <f>VLOOKUP(F4126,HC!A$6:D$1000,2,FALSE)</f>
        <v>loredose</v>
      </c>
      <c r="U4126">
        <f t="shared" si="66"/>
        <v>3</v>
      </c>
    </row>
    <row r="4127" spans="1:21" ht="37.5" customHeight="1" x14ac:dyDescent="0.25">
      <c r="A4127" s="23">
        <v>45237</v>
      </c>
      <c r="B4127" s="13">
        <v>45</v>
      </c>
      <c r="C4127" t="s">
        <v>3</v>
      </c>
      <c r="D4127" t="s">
        <v>4</v>
      </c>
      <c r="E4127" t="s">
        <v>21</v>
      </c>
      <c r="F4127">
        <v>202479923</v>
      </c>
      <c r="G4127" t="s">
        <v>1794</v>
      </c>
      <c r="H4127" t="s">
        <v>332</v>
      </c>
      <c r="I4127">
        <v>0</v>
      </c>
      <c r="J4127">
        <v>0</v>
      </c>
      <c r="K4127">
        <v>0</v>
      </c>
      <c r="L4127">
        <v>0</v>
      </c>
      <c r="M4127">
        <v>0.41</v>
      </c>
      <c r="N4127" s="7" t="e">
        <f>VLOOKUP(F4127,HC!A$6:D$100,3,FALSE)</f>
        <v>#N/A</v>
      </c>
      <c r="O4127" s="7" t="str">
        <f>VLOOKUP(F4127,HC!A$6:D$1000,2,FALSE)</f>
        <v>arredgre</v>
      </c>
      <c r="U4127">
        <f t="shared" si="66"/>
        <v>4</v>
      </c>
    </row>
    <row r="4128" spans="1:21" ht="37.5" customHeight="1" x14ac:dyDescent="0.25">
      <c r="A4128" s="23">
        <v>45237</v>
      </c>
      <c r="B4128" s="13">
        <v>45</v>
      </c>
      <c r="C4128" t="s">
        <v>3</v>
      </c>
      <c r="D4128" t="s">
        <v>4</v>
      </c>
      <c r="E4128" t="s">
        <v>21</v>
      </c>
      <c r="F4128">
        <v>202484082</v>
      </c>
      <c r="G4128" t="s">
        <v>1795</v>
      </c>
      <c r="H4128" t="s">
        <v>1040</v>
      </c>
      <c r="I4128">
        <v>0</v>
      </c>
      <c r="J4128">
        <v>0</v>
      </c>
      <c r="K4128">
        <v>0</v>
      </c>
      <c r="L4128">
        <v>0</v>
      </c>
      <c r="M4128">
        <v>0.48</v>
      </c>
      <c r="N4128" s="7" t="e">
        <f>VLOOKUP(F4128,HC!A$6:D$100,3,FALSE)</f>
        <v>#N/A</v>
      </c>
      <c r="O4128" s="7" t="str">
        <f>VLOOKUP(F4128,HC!A$6:D$1000,2,FALSE)</f>
        <v>silvcart</v>
      </c>
      <c r="U4128">
        <f t="shared" si="66"/>
        <v>2</v>
      </c>
    </row>
    <row r="4129" spans="1:21" ht="37.5" customHeight="1" x14ac:dyDescent="0.25">
      <c r="A4129" s="23">
        <v>45237</v>
      </c>
      <c r="B4129" s="13">
        <v>45</v>
      </c>
      <c r="C4129" t="s">
        <v>3</v>
      </c>
      <c r="D4129" t="s">
        <v>4</v>
      </c>
      <c r="E4129" t="s">
        <v>21</v>
      </c>
      <c r="F4129">
        <v>202507047</v>
      </c>
      <c r="G4129" t="s">
        <v>1778</v>
      </c>
      <c r="H4129" t="s">
        <v>7</v>
      </c>
      <c r="I4129">
        <v>0</v>
      </c>
      <c r="J4129">
        <v>0</v>
      </c>
      <c r="K4129">
        <v>0</v>
      </c>
      <c r="L4129">
        <v>0</v>
      </c>
      <c r="M4129">
        <v>1.87</v>
      </c>
      <c r="N4129" s="7" t="e">
        <f>VLOOKUP(F4129,HC!A$6:D$100,3,FALSE)</f>
        <v>#N/A</v>
      </c>
      <c r="O4129" s="7" t="str">
        <f>VLOOKUP(F4129,HC!A$6:D$1000,2,FALSE)</f>
        <v>martcjes</v>
      </c>
      <c r="U4129">
        <f t="shared" si="66"/>
        <v>3</v>
      </c>
    </row>
    <row r="4130" spans="1:21" ht="37.5" customHeight="1" x14ac:dyDescent="0.25">
      <c r="A4130" s="23">
        <v>45238</v>
      </c>
      <c r="B4130" s="13">
        <v>45</v>
      </c>
      <c r="C4130" t="s">
        <v>3</v>
      </c>
      <c r="D4130" t="s">
        <v>4</v>
      </c>
      <c r="E4130" t="s">
        <v>5</v>
      </c>
      <c r="F4130">
        <v>112912752</v>
      </c>
      <c r="G4130" t="s">
        <v>251</v>
      </c>
      <c r="H4130" t="s">
        <v>332</v>
      </c>
      <c r="I4130">
        <v>0</v>
      </c>
      <c r="J4130">
        <v>0</v>
      </c>
      <c r="K4130">
        <v>0</v>
      </c>
      <c r="L4130">
        <v>0</v>
      </c>
      <c r="M4130">
        <v>0.12</v>
      </c>
      <c r="N4130" s="7" t="str">
        <f>VLOOKUP(F4130,HC!A$6:D$100,3,FALSE)</f>
        <v>NF-X1900</v>
      </c>
      <c r="O4130" s="7" t="str">
        <f>VLOOKUP(F4130,HC!A$6:D$1000,2,FALSE)</f>
        <v>valderle</v>
      </c>
      <c r="U4130">
        <f t="shared" si="66"/>
        <v>50</v>
      </c>
    </row>
    <row r="4131" spans="1:21" ht="37.5" customHeight="1" x14ac:dyDescent="0.25">
      <c r="A4131" s="23">
        <v>45238</v>
      </c>
      <c r="B4131" s="13">
        <v>45</v>
      </c>
      <c r="C4131" t="s">
        <v>3</v>
      </c>
      <c r="D4131" t="s">
        <v>4</v>
      </c>
      <c r="E4131" t="s">
        <v>5</v>
      </c>
      <c r="F4131">
        <v>112976017</v>
      </c>
      <c r="G4131" t="s">
        <v>1269</v>
      </c>
      <c r="H4131" t="s">
        <v>1163</v>
      </c>
      <c r="I4131">
        <v>0</v>
      </c>
      <c r="J4131">
        <v>0</v>
      </c>
      <c r="K4131">
        <v>0</v>
      </c>
      <c r="L4131">
        <v>0</v>
      </c>
      <c r="M4131">
        <v>0.02</v>
      </c>
      <c r="N4131" s="7" t="str">
        <f>VLOOKUP(F4131,HC!A$6:D$100,3,FALSE)</f>
        <v>DB-X0700</v>
      </c>
      <c r="O4131" s="7" t="str">
        <f>VLOOKUP(F4131,HC!A$6:D$1000,2,FALSE)</f>
        <v>baezdiaw</v>
      </c>
      <c r="U4131">
        <f t="shared" si="66"/>
        <v>4</v>
      </c>
    </row>
    <row r="4132" spans="1:21" ht="37.5" customHeight="1" x14ac:dyDescent="0.25">
      <c r="A4132" s="23">
        <v>45238</v>
      </c>
      <c r="B4132" s="13">
        <v>45</v>
      </c>
      <c r="C4132" t="s">
        <v>3</v>
      </c>
      <c r="D4132" t="s">
        <v>4</v>
      </c>
      <c r="E4132" t="s">
        <v>5</v>
      </c>
      <c r="F4132">
        <v>112980812</v>
      </c>
      <c r="G4132" t="s">
        <v>324</v>
      </c>
      <c r="H4132" t="s">
        <v>1040</v>
      </c>
      <c r="I4132">
        <v>0</v>
      </c>
      <c r="J4132">
        <v>0</v>
      </c>
      <c r="K4132">
        <v>0</v>
      </c>
      <c r="L4132">
        <v>0</v>
      </c>
      <c r="M4132">
        <v>1.54</v>
      </c>
      <c r="N4132" s="7" t="str">
        <f>VLOOKUP(F4132,HC!A$6:D$100,3,FALSE)</f>
        <v>DA-X0700</v>
      </c>
      <c r="O4132" s="7" t="str">
        <f>VLOOKUP(F4132,HC!A$6:D$1000,2,FALSE)</f>
        <v>maryjacp</v>
      </c>
      <c r="U4132">
        <f t="shared" si="66"/>
        <v>15</v>
      </c>
    </row>
    <row r="4133" spans="1:21" ht="37.5" customHeight="1" x14ac:dyDescent="0.25">
      <c r="A4133" s="23">
        <v>45238</v>
      </c>
      <c r="B4133" s="13">
        <v>45</v>
      </c>
      <c r="C4133" t="s">
        <v>3</v>
      </c>
      <c r="D4133" t="s">
        <v>4</v>
      </c>
      <c r="E4133" t="s">
        <v>5</v>
      </c>
      <c r="F4133">
        <v>113014078</v>
      </c>
      <c r="G4133" t="s">
        <v>567</v>
      </c>
      <c r="H4133" t="s">
        <v>1040</v>
      </c>
      <c r="I4133">
        <v>0</v>
      </c>
      <c r="J4133">
        <v>0</v>
      </c>
      <c r="K4133">
        <v>0</v>
      </c>
      <c r="L4133">
        <v>0</v>
      </c>
      <c r="M4133">
        <v>0.19</v>
      </c>
      <c r="N4133" s="7" t="e">
        <f>VLOOKUP(F4133,HC!A$6:D$100,3,FALSE)</f>
        <v>#N/A</v>
      </c>
      <c r="O4133" s="7" t="str">
        <f>VLOOKUP(F4133,HC!A$6:D$1000,2,FALSE)</f>
        <v>dnaldair</v>
      </c>
      <c r="U4133">
        <f t="shared" si="66"/>
        <v>14</v>
      </c>
    </row>
    <row r="4134" spans="1:21" ht="37.5" customHeight="1" x14ac:dyDescent="0.25">
      <c r="A4134" s="23">
        <v>45238</v>
      </c>
      <c r="B4134" s="13">
        <v>45</v>
      </c>
      <c r="C4134" t="s">
        <v>3</v>
      </c>
      <c r="D4134" t="s">
        <v>4</v>
      </c>
      <c r="E4134" t="s">
        <v>5</v>
      </c>
      <c r="F4134">
        <v>113014094</v>
      </c>
      <c r="G4134" t="s">
        <v>463</v>
      </c>
      <c r="H4134" t="s">
        <v>49</v>
      </c>
      <c r="I4134">
        <v>0</v>
      </c>
      <c r="J4134">
        <v>0</v>
      </c>
      <c r="K4134">
        <v>0</v>
      </c>
      <c r="L4134">
        <v>0</v>
      </c>
      <c r="M4134">
        <v>0.26</v>
      </c>
      <c r="N4134" s="7" t="e">
        <f>VLOOKUP(F4134,HC!A$6:D$100,3,FALSE)</f>
        <v>#N/A</v>
      </c>
      <c r="O4134" s="7" t="str">
        <f>VLOOKUP(F4134,HC!A$6:D$1000,2,FALSE)</f>
        <v>erikaadm</v>
      </c>
      <c r="U4134">
        <f t="shared" si="66"/>
        <v>21</v>
      </c>
    </row>
    <row r="4135" spans="1:21" ht="37.5" customHeight="1" x14ac:dyDescent="0.25">
      <c r="A4135" s="23">
        <v>45238</v>
      </c>
      <c r="B4135" s="13">
        <v>45</v>
      </c>
      <c r="C4135" t="s">
        <v>3</v>
      </c>
      <c r="D4135" t="s">
        <v>4</v>
      </c>
      <c r="E4135" t="s">
        <v>21</v>
      </c>
      <c r="F4135">
        <v>113019078</v>
      </c>
      <c r="G4135" t="s">
        <v>1276</v>
      </c>
      <c r="H4135" t="s">
        <v>1720</v>
      </c>
      <c r="I4135">
        <v>0</v>
      </c>
      <c r="J4135">
        <v>0</v>
      </c>
      <c r="K4135">
        <v>0</v>
      </c>
      <c r="L4135">
        <v>0</v>
      </c>
      <c r="M4135">
        <v>1.68</v>
      </c>
      <c r="N4135" s="7" t="e">
        <f>VLOOKUP(F4135,HC!A$6:D$100,3,FALSE)</f>
        <v>#N/A</v>
      </c>
      <c r="O4135" s="7" t="str">
        <f>VLOOKUP(F4135,HC!A$6:D$1000,2,FALSE)</f>
        <v>brojedas</v>
      </c>
      <c r="U4135">
        <f t="shared" si="66"/>
        <v>2</v>
      </c>
    </row>
    <row r="4136" spans="1:21" ht="37.5" customHeight="1" x14ac:dyDescent="0.25">
      <c r="A4136" s="23">
        <v>45238</v>
      </c>
      <c r="B4136" s="13">
        <v>45</v>
      </c>
      <c r="C4136" t="s">
        <v>3</v>
      </c>
      <c r="D4136" t="s">
        <v>4</v>
      </c>
      <c r="E4136" t="s">
        <v>5</v>
      </c>
      <c r="F4136">
        <v>200508323</v>
      </c>
      <c r="G4136" t="s">
        <v>1150</v>
      </c>
      <c r="H4136" t="s">
        <v>298</v>
      </c>
      <c r="I4136">
        <v>0</v>
      </c>
      <c r="J4136">
        <v>0</v>
      </c>
      <c r="K4136">
        <v>0</v>
      </c>
      <c r="L4136">
        <v>0</v>
      </c>
      <c r="M4136">
        <v>0.15</v>
      </c>
      <c r="N4136" s="7" t="e">
        <f>VLOOKUP(F4136,HC!A$6:D$100,3,FALSE)</f>
        <v>#N/A</v>
      </c>
      <c r="O4136" s="7" t="str">
        <f>VLOOKUP(F4136,HC!A$6:D$1000,2,FALSE)</f>
        <v>espejell</v>
      </c>
      <c r="U4136">
        <f t="shared" si="66"/>
        <v>15</v>
      </c>
    </row>
    <row r="4137" spans="1:21" ht="37.5" customHeight="1" x14ac:dyDescent="0.25">
      <c r="A4137" s="23">
        <v>45238</v>
      </c>
      <c r="B4137" s="13">
        <v>45</v>
      </c>
      <c r="C4137" t="s">
        <v>3</v>
      </c>
      <c r="D4137" t="s">
        <v>4</v>
      </c>
      <c r="E4137" t="s">
        <v>5</v>
      </c>
      <c r="F4137">
        <v>201167501</v>
      </c>
      <c r="G4137" t="s">
        <v>863</v>
      </c>
      <c r="H4137" t="s">
        <v>49</v>
      </c>
      <c r="I4137">
        <v>0</v>
      </c>
      <c r="J4137">
        <v>0</v>
      </c>
      <c r="K4137">
        <v>0</v>
      </c>
      <c r="L4137">
        <v>0</v>
      </c>
      <c r="M4137">
        <v>0.28999999999999998</v>
      </c>
      <c r="N4137" s="7" t="e">
        <f>VLOOKUP(F4137,HC!A$6:D$100,3,FALSE)</f>
        <v>#N/A</v>
      </c>
      <c r="O4137" s="7" t="str">
        <f>VLOOKUP(F4137,HC!A$6:D$1000,2,FALSE)</f>
        <v>wguanajr</v>
      </c>
      <c r="U4137">
        <f t="shared" si="66"/>
        <v>36</v>
      </c>
    </row>
    <row r="4138" spans="1:21" ht="37.5" customHeight="1" x14ac:dyDescent="0.25">
      <c r="A4138" s="23">
        <v>45238</v>
      </c>
      <c r="B4138" s="13">
        <v>45</v>
      </c>
      <c r="C4138" t="s">
        <v>3</v>
      </c>
      <c r="D4138" t="s">
        <v>4</v>
      </c>
      <c r="E4138" t="s">
        <v>5</v>
      </c>
      <c r="F4138">
        <v>201202093</v>
      </c>
      <c r="G4138" t="s">
        <v>479</v>
      </c>
      <c r="H4138" t="s">
        <v>1394</v>
      </c>
      <c r="I4138">
        <v>0</v>
      </c>
      <c r="J4138">
        <v>0</v>
      </c>
      <c r="K4138">
        <v>0</v>
      </c>
      <c r="L4138">
        <v>0</v>
      </c>
      <c r="M4138">
        <v>0.23</v>
      </c>
      <c r="N4138" s="7" t="e">
        <f>VLOOKUP(F4138,HC!A$6:D$100,3,FALSE)</f>
        <v>#N/A</v>
      </c>
      <c r="O4138" s="7" t="str">
        <f>VLOOKUP(F4138,HC!A$6:D$1000,2,FALSE)</f>
        <v>eliorten</v>
      </c>
      <c r="U4138">
        <f t="shared" si="66"/>
        <v>12</v>
      </c>
    </row>
    <row r="4139" spans="1:21" ht="37.5" customHeight="1" x14ac:dyDescent="0.25">
      <c r="A4139" s="23">
        <v>45238</v>
      </c>
      <c r="B4139" s="13">
        <v>45</v>
      </c>
      <c r="C4139" t="s">
        <v>3</v>
      </c>
      <c r="D4139" t="s">
        <v>4</v>
      </c>
      <c r="E4139" t="s">
        <v>5</v>
      </c>
      <c r="F4139">
        <v>201345774</v>
      </c>
      <c r="G4139" t="s">
        <v>1070</v>
      </c>
      <c r="H4139" t="s">
        <v>49</v>
      </c>
      <c r="I4139">
        <v>0</v>
      </c>
      <c r="J4139">
        <v>0</v>
      </c>
      <c r="K4139">
        <v>0</v>
      </c>
      <c r="L4139">
        <v>0</v>
      </c>
      <c r="M4139">
        <v>0.28999999999999998</v>
      </c>
      <c r="N4139" s="7" t="e">
        <f>VLOOKUP(F4139,HC!A$6:D$100,3,FALSE)</f>
        <v>#N/A</v>
      </c>
      <c r="O4139" s="7" t="str">
        <f>VLOOKUP(F4139,HC!A$6:D$1000,2,FALSE)</f>
        <v>jonquija</v>
      </c>
      <c r="U4139">
        <f t="shared" si="66"/>
        <v>19</v>
      </c>
    </row>
    <row r="4140" spans="1:21" ht="37.5" customHeight="1" x14ac:dyDescent="0.25">
      <c r="A4140" s="23">
        <v>45238</v>
      </c>
      <c r="B4140" s="13">
        <v>45</v>
      </c>
      <c r="C4140" t="s">
        <v>3</v>
      </c>
      <c r="D4140" t="s">
        <v>4</v>
      </c>
      <c r="E4140" t="s">
        <v>5</v>
      </c>
      <c r="F4140">
        <v>201353234</v>
      </c>
      <c r="G4140" t="s">
        <v>1168</v>
      </c>
      <c r="H4140" t="s">
        <v>1720</v>
      </c>
      <c r="I4140">
        <v>0</v>
      </c>
      <c r="J4140">
        <v>0</v>
      </c>
      <c r="K4140">
        <v>0</v>
      </c>
      <c r="L4140">
        <v>0</v>
      </c>
      <c r="M4140">
        <v>0.79</v>
      </c>
      <c r="N4140" s="7" t="e">
        <f>VLOOKUP(F4140,HC!A$6:D$100,3,FALSE)</f>
        <v>#N/A</v>
      </c>
      <c r="O4140" s="7" t="str">
        <f>VLOOKUP(F4140,HC!A$6:D$1000,2,FALSE)</f>
        <v>paeramon</v>
      </c>
      <c r="U4140">
        <f t="shared" si="66"/>
        <v>6</v>
      </c>
    </row>
    <row r="4141" spans="1:21" ht="37.5" customHeight="1" x14ac:dyDescent="0.25">
      <c r="A4141" s="23">
        <v>45238</v>
      </c>
      <c r="B4141" s="13">
        <v>45</v>
      </c>
      <c r="C4141" t="s">
        <v>3</v>
      </c>
      <c r="D4141" t="s">
        <v>4</v>
      </c>
      <c r="E4141" t="s">
        <v>5</v>
      </c>
      <c r="F4141">
        <v>201378452</v>
      </c>
      <c r="G4141" t="s">
        <v>1173</v>
      </c>
      <c r="H4141" t="s">
        <v>1040</v>
      </c>
      <c r="I4141">
        <v>0</v>
      </c>
      <c r="J4141">
        <v>0</v>
      </c>
      <c r="K4141">
        <v>0</v>
      </c>
      <c r="L4141">
        <v>0</v>
      </c>
      <c r="M4141">
        <v>0.25</v>
      </c>
      <c r="N4141" s="7" t="e">
        <f>VLOOKUP(F4141,HC!A$6:D$100,3,FALSE)</f>
        <v>#N/A</v>
      </c>
      <c r="O4141" s="7" t="str">
        <f>VLOOKUP(F4141,HC!A$6:D$1000,2,FALSE)</f>
        <v>omhperez</v>
      </c>
      <c r="U4141">
        <f t="shared" si="66"/>
        <v>9</v>
      </c>
    </row>
    <row r="4142" spans="1:21" ht="37.5" customHeight="1" x14ac:dyDescent="0.25">
      <c r="A4142" s="23">
        <v>45238</v>
      </c>
      <c r="B4142" s="13">
        <v>45</v>
      </c>
      <c r="C4142" t="s">
        <v>3</v>
      </c>
      <c r="D4142" t="s">
        <v>4</v>
      </c>
      <c r="E4142" t="s">
        <v>5</v>
      </c>
      <c r="F4142">
        <v>201396328</v>
      </c>
      <c r="G4142" t="s">
        <v>1171</v>
      </c>
      <c r="H4142" t="s">
        <v>250</v>
      </c>
      <c r="I4142">
        <v>0</v>
      </c>
      <c r="J4142">
        <v>0</v>
      </c>
      <c r="K4142">
        <v>0</v>
      </c>
      <c r="L4142">
        <v>0</v>
      </c>
      <c r="M4142">
        <v>0.12</v>
      </c>
      <c r="N4142" s="7" t="e">
        <f>VLOOKUP(F4142,HC!A$6:D$100,3,FALSE)</f>
        <v>#N/A</v>
      </c>
      <c r="O4142" s="7" t="str">
        <f>VLOOKUP(F4142,HC!A$6:D$1000,2,FALSE)</f>
        <v>nalcanch</v>
      </c>
      <c r="U4142">
        <f t="shared" si="66"/>
        <v>12</v>
      </c>
    </row>
    <row r="4143" spans="1:21" ht="37.5" customHeight="1" x14ac:dyDescent="0.25">
      <c r="A4143" s="23">
        <v>45238</v>
      </c>
      <c r="B4143" s="13">
        <v>45</v>
      </c>
      <c r="C4143" t="s">
        <v>3</v>
      </c>
      <c r="D4143" t="s">
        <v>4</v>
      </c>
      <c r="E4143" t="s">
        <v>5</v>
      </c>
      <c r="F4143">
        <v>201858330</v>
      </c>
      <c r="G4143" t="s">
        <v>1409</v>
      </c>
      <c r="H4143" t="s">
        <v>1040</v>
      </c>
      <c r="I4143">
        <v>0</v>
      </c>
      <c r="J4143">
        <v>0</v>
      </c>
      <c r="K4143">
        <v>0</v>
      </c>
      <c r="L4143">
        <v>0</v>
      </c>
      <c r="M4143">
        <v>0.32</v>
      </c>
      <c r="N4143" s="7" t="e">
        <f>VLOOKUP(F4143,HC!A$6:D$100,3,FALSE)</f>
        <v>#N/A</v>
      </c>
      <c r="O4143" s="7" t="str">
        <f>VLOOKUP(F4143,HC!A$6:D$1000,2,FALSE)</f>
        <v>arrwpabl</v>
      </c>
      <c r="U4143">
        <f t="shared" si="66"/>
        <v>6</v>
      </c>
    </row>
    <row r="4144" spans="1:21" ht="37.5" customHeight="1" x14ac:dyDescent="0.25">
      <c r="A4144" s="23">
        <v>45238</v>
      </c>
      <c r="B4144" s="13">
        <v>45</v>
      </c>
      <c r="C4144" t="s">
        <v>3</v>
      </c>
      <c r="D4144" t="s">
        <v>4</v>
      </c>
      <c r="E4144" t="s">
        <v>21</v>
      </c>
      <c r="F4144">
        <v>201880542</v>
      </c>
      <c r="G4144" t="s">
        <v>1225</v>
      </c>
      <c r="H4144" t="s">
        <v>1040</v>
      </c>
      <c r="I4144">
        <v>0</v>
      </c>
      <c r="J4144">
        <v>0</v>
      </c>
      <c r="K4144">
        <v>0</v>
      </c>
      <c r="L4144">
        <v>0</v>
      </c>
      <c r="M4144">
        <v>0.1</v>
      </c>
      <c r="N4144" s="7" t="e">
        <f>VLOOKUP(F4144,HC!A$6:D$100,3,FALSE)</f>
        <v>#N/A</v>
      </c>
      <c r="O4144" s="7" t="str">
        <f>VLOOKUP(F4144,HC!A$6:D$1000,2,FALSE)</f>
        <v>orticorp</v>
      </c>
      <c r="U4144">
        <f t="shared" si="66"/>
        <v>24</v>
      </c>
    </row>
    <row r="4145" spans="1:21" ht="37.5" customHeight="1" x14ac:dyDescent="0.25">
      <c r="A4145" s="23">
        <v>45238</v>
      </c>
      <c r="B4145" s="13">
        <v>45</v>
      </c>
      <c r="C4145" t="s">
        <v>3</v>
      </c>
      <c r="D4145" t="s">
        <v>4</v>
      </c>
      <c r="E4145" t="s">
        <v>21</v>
      </c>
      <c r="F4145">
        <v>201901967</v>
      </c>
      <c r="G4145" t="s">
        <v>1238</v>
      </c>
      <c r="H4145" t="s">
        <v>1720</v>
      </c>
      <c r="I4145">
        <v>0</v>
      </c>
      <c r="J4145">
        <v>0</v>
      </c>
      <c r="K4145">
        <v>0</v>
      </c>
      <c r="L4145">
        <v>0</v>
      </c>
      <c r="M4145">
        <v>0.23</v>
      </c>
      <c r="N4145" s="7" t="e">
        <f>VLOOKUP(F4145,HC!A$6:D$100,3,FALSE)</f>
        <v>#N/A</v>
      </c>
      <c r="O4145" s="7" t="str">
        <f>VLOOKUP(F4145,HC!A$6:D$1000,2,FALSE)</f>
        <v>ndomindi</v>
      </c>
      <c r="U4145">
        <f t="shared" si="66"/>
        <v>7</v>
      </c>
    </row>
    <row r="4146" spans="1:21" ht="37.5" customHeight="1" x14ac:dyDescent="0.25">
      <c r="A4146" s="23">
        <v>45238</v>
      </c>
      <c r="B4146" s="13">
        <v>45</v>
      </c>
      <c r="C4146" t="s">
        <v>3</v>
      </c>
      <c r="D4146" t="s">
        <v>4</v>
      </c>
      <c r="E4146" t="s">
        <v>21</v>
      </c>
      <c r="F4146">
        <v>202118504</v>
      </c>
      <c r="G4146" t="s">
        <v>1719</v>
      </c>
      <c r="H4146" t="s">
        <v>1720</v>
      </c>
      <c r="I4146">
        <v>0</v>
      </c>
      <c r="J4146">
        <v>0</v>
      </c>
      <c r="K4146">
        <v>0</v>
      </c>
      <c r="L4146">
        <v>0</v>
      </c>
      <c r="M4146">
        <v>0.12</v>
      </c>
      <c r="N4146" s="7" t="e">
        <f>VLOOKUP(F4146,HC!A$6:D$100,3,FALSE)</f>
        <v>#N/A</v>
      </c>
      <c r="O4146" s="7" t="str">
        <f>VLOOKUP(F4146,HC!A$6:D$1000,2,FALSE)</f>
        <v>guerialv</v>
      </c>
      <c r="U4146">
        <f t="shared" si="66"/>
        <v>2</v>
      </c>
    </row>
    <row r="4147" spans="1:21" ht="37.5" customHeight="1" x14ac:dyDescent="0.25">
      <c r="A4147" s="23">
        <v>45238</v>
      </c>
      <c r="B4147" s="13">
        <v>45</v>
      </c>
      <c r="C4147" t="s">
        <v>3</v>
      </c>
      <c r="D4147" t="s">
        <v>4</v>
      </c>
      <c r="E4147" t="s">
        <v>21</v>
      </c>
      <c r="F4147">
        <v>202166757</v>
      </c>
      <c r="G4147" t="s">
        <v>1790</v>
      </c>
      <c r="H4147" t="s">
        <v>14</v>
      </c>
      <c r="I4147">
        <v>0</v>
      </c>
      <c r="J4147">
        <v>0</v>
      </c>
      <c r="K4147">
        <v>0</v>
      </c>
      <c r="L4147">
        <v>0</v>
      </c>
      <c r="M4147">
        <v>0.32</v>
      </c>
      <c r="N4147" s="7" t="e">
        <f>VLOOKUP(F4147,HC!A$6:D$100,3,FALSE)</f>
        <v>#N/A</v>
      </c>
      <c r="O4147" s="7" t="str">
        <f>VLOOKUP(F4147,HC!A$6:D$1000,2,FALSE)</f>
        <v>corteax</v>
      </c>
      <c r="U4147">
        <f t="shared" si="66"/>
        <v>3</v>
      </c>
    </row>
    <row r="4148" spans="1:21" ht="37.5" customHeight="1" x14ac:dyDescent="0.25">
      <c r="A4148" s="23">
        <v>45238</v>
      </c>
      <c r="B4148" s="13">
        <v>45</v>
      </c>
      <c r="C4148" t="s">
        <v>3</v>
      </c>
      <c r="D4148" t="s">
        <v>4</v>
      </c>
      <c r="E4148" t="s">
        <v>21</v>
      </c>
      <c r="F4148">
        <v>202206867</v>
      </c>
      <c r="G4148" t="s">
        <v>1773</v>
      </c>
      <c r="H4148" t="s">
        <v>250</v>
      </c>
      <c r="I4148">
        <v>0</v>
      </c>
      <c r="J4148">
        <v>0</v>
      </c>
      <c r="K4148">
        <v>0</v>
      </c>
      <c r="L4148">
        <v>0</v>
      </c>
      <c r="M4148">
        <v>0.19</v>
      </c>
      <c r="N4148" s="7" t="e">
        <f>VLOOKUP(F4148,HC!A$6:D$100,3,FALSE)</f>
        <v>#N/A</v>
      </c>
      <c r="O4148" s="7" t="str">
        <f>VLOOKUP(F4148,HC!A$6:D$1000,2,FALSE)</f>
        <v>toledoev</v>
      </c>
      <c r="U4148">
        <f t="shared" si="66"/>
        <v>2</v>
      </c>
    </row>
    <row r="4149" spans="1:21" ht="37.5" customHeight="1" x14ac:dyDescent="0.25">
      <c r="A4149" s="23">
        <v>45238</v>
      </c>
      <c r="B4149" s="13">
        <v>45</v>
      </c>
      <c r="C4149" t="s">
        <v>3</v>
      </c>
      <c r="D4149" t="s">
        <v>4</v>
      </c>
      <c r="E4149" t="s">
        <v>21</v>
      </c>
      <c r="F4149">
        <v>202209099</v>
      </c>
      <c r="G4149" t="s">
        <v>1712</v>
      </c>
      <c r="H4149" t="s">
        <v>285</v>
      </c>
      <c r="I4149">
        <v>0</v>
      </c>
      <c r="J4149">
        <v>0</v>
      </c>
      <c r="K4149">
        <v>0</v>
      </c>
      <c r="L4149">
        <v>0</v>
      </c>
      <c r="M4149">
        <v>0.27</v>
      </c>
      <c r="N4149" s="7" t="e">
        <f>VLOOKUP(F4149,HC!A$6:D$100,3,FALSE)</f>
        <v>#N/A</v>
      </c>
      <c r="O4149" s="7" t="str">
        <f>VLOOKUP(F4149,HC!A$6:D$1000,2,FALSE)</f>
        <v>vargaul</v>
      </c>
      <c r="U4149">
        <f t="shared" si="66"/>
        <v>2</v>
      </c>
    </row>
    <row r="4150" spans="1:21" ht="37.5" customHeight="1" x14ac:dyDescent="0.25">
      <c r="A4150" s="23">
        <v>45238</v>
      </c>
      <c r="B4150" s="13">
        <v>45</v>
      </c>
      <c r="C4150" t="s">
        <v>3</v>
      </c>
      <c r="D4150" t="s">
        <v>4</v>
      </c>
      <c r="E4150" t="s">
        <v>21</v>
      </c>
      <c r="F4150">
        <v>202235770</v>
      </c>
      <c r="G4150" t="s">
        <v>2003</v>
      </c>
      <c r="H4150" t="s">
        <v>1040</v>
      </c>
      <c r="I4150">
        <v>0</v>
      </c>
      <c r="J4150">
        <v>0</v>
      </c>
      <c r="K4150">
        <v>0</v>
      </c>
      <c r="L4150">
        <v>0</v>
      </c>
      <c r="M4150">
        <v>0.23</v>
      </c>
      <c r="N4150" s="7" t="e">
        <f>VLOOKUP(F4150,HC!A$6:D$100,3,FALSE)</f>
        <v>#N/A</v>
      </c>
      <c r="O4150" s="7" t="str">
        <f>VLOOKUP(F4150,HC!A$6:D$1000,2,FALSE)</f>
        <v>jgutierq</v>
      </c>
      <c r="U4150">
        <f t="shared" si="66"/>
        <v>1</v>
      </c>
    </row>
    <row r="4151" spans="1:21" ht="37.5" customHeight="1" x14ac:dyDescent="0.25">
      <c r="A4151" s="23">
        <v>45238</v>
      </c>
      <c r="B4151" s="13">
        <v>45</v>
      </c>
      <c r="C4151" t="s">
        <v>3</v>
      </c>
      <c r="D4151" t="s">
        <v>4</v>
      </c>
      <c r="E4151" t="s">
        <v>21</v>
      </c>
      <c r="F4151">
        <v>202245845</v>
      </c>
      <c r="G4151" t="s">
        <v>1450</v>
      </c>
      <c r="H4151" t="s">
        <v>250</v>
      </c>
      <c r="I4151">
        <v>0</v>
      </c>
      <c r="J4151">
        <v>0</v>
      </c>
      <c r="K4151">
        <v>0</v>
      </c>
      <c r="L4151">
        <v>0</v>
      </c>
      <c r="M4151">
        <v>0.99</v>
      </c>
      <c r="N4151" s="7" t="e">
        <f>VLOOKUP(F4151,HC!A$6:D$100,3,FALSE)</f>
        <v>#N/A</v>
      </c>
      <c r="O4151" s="7" t="str">
        <f>VLOOKUP(F4151,HC!A$6:D$1000,2,FALSE)</f>
        <v>cangmedi</v>
      </c>
      <c r="U4151">
        <f t="shared" si="66"/>
        <v>5</v>
      </c>
    </row>
    <row r="4152" spans="1:21" ht="37.5" customHeight="1" x14ac:dyDescent="0.25">
      <c r="A4152" s="23">
        <v>45238</v>
      </c>
      <c r="B4152" s="13">
        <v>45</v>
      </c>
      <c r="C4152" t="s">
        <v>3</v>
      </c>
      <c r="D4152" t="s">
        <v>4</v>
      </c>
      <c r="E4152" t="s">
        <v>21</v>
      </c>
      <c r="F4152">
        <v>202250323</v>
      </c>
      <c r="G4152" t="s">
        <v>1475</v>
      </c>
      <c r="H4152" t="s">
        <v>49</v>
      </c>
      <c r="I4152">
        <v>0</v>
      </c>
      <c r="J4152">
        <v>0</v>
      </c>
      <c r="K4152">
        <v>0</v>
      </c>
      <c r="L4152">
        <v>0</v>
      </c>
      <c r="M4152">
        <v>0.46</v>
      </c>
      <c r="N4152" s="7" t="e">
        <f>VLOOKUP(F4152,HC!A$6:D$100,3,FALSE)</f>
        <v>#N/A</v>
      </c>
      <c r="O4152" s="7" t="str">
        <f>VLOOKUP(F4152,HC!A$6:D$1000,2,FALSE)</f>
        <v>soledesq</v>
      </c>
      <c r="U4152">
        <f t="shared" si="66"/>
        <v>4</v>
      </c>
    </row>
    <row r="4153" spans="1:21" ht="37.5" customHeight="1" x14ac:dyDescent="0.25">
      <c r="A4153" s="23">
        <v>45238</v>
      </c>
      <c r="B4153" s="13">
        <v>45</v>
      </c>
      <c r="C4153" t="s">
        <v>3</v>
      </c>
      <c r="D4153" t="s">
        <v>4</v>
      </c>
      <c r="E4153" t="s">
        <v>21</v>
      </c>
      <c r="F4153">
        <v>202253767</v>
      </c>
      <c r="G4153" t="s">
        <v>1792</v>
      </c>
      <c r="H4153" t="s">
        <v>332</v>
      </c>
      <c r="I4153">
        <v>0</v>
      </c>
      <c r="J4153">
        <v>0</v>
      </c>
      <c r="K4153">
        <v>0</v>
      </c>
      <c r="L4153">
        <v>0</v>
      </c>
      <c r="M4153">
        <v>0.09</v>
      </c>
      <c r="N4153" s="7" t="e">
        <f>VLOOKUP(F4153,HC!A$6:D$100,3,FALSE)</f>
        <v>#N/A</v>
      </c>
      <c r="O4153" s="7" t="str">
        <f>VLOOKUP(F4153,HC!A$6:D$1000,2,FALSE)</f>
        <v>jromefra</v>
      </c>
      <c r="U4153">
        <f t="shared" si="66"/>
        <v>4</v>
      </c>
    </row>
    <row r="4154" spans="1:21" ht="37.5" customHeight="1" x14ac:dyDescent="0.25">
      <c r="A4154" s="23">
        <v>45238</v>
      </c>
      <c r="B4154" s="13">
        <v>45</v>
      </c>
      <c r="C4154" t="s">
        <v>3</v>
      </c>
      <c r="D4154" t="s">
        <v>4</v>
      </c>
      <c r="E4154" t="s">
        <v>21</v>
      </c>
      <c r="F4154">
        <v>202282409</v>
      </c>
      <c r="G4154" t="s">
        <v>2004</v>
      </c>
      <c r="H4154" t="s">
        <v>298</v>
      </c>
      <c r="I4154">
        <v>0</v>
      </c>
      <c r="J4154">
        <v>0</v>
      </c>
      <c r="K4154">
        <v>0</v>
      </c>
      <c r="L4154">
        <v>0</v>
      </c>
      <c r="M4154">
        <v>1.0900000000000001</v>
      </c>
      <c r="N4154" s="7" t="e">
        <f>VLOOKUP(F4154,HC!A$6:D$100,3,FALSE)</f>
        <v>#N/A</v>
      </c>
      <c r="O4154" s="7" t="str">
        <f>VLOOKUP(F4154,HC!A$6:D$1000,2,FALSE)</f>
        <v>rodrnisa</v>
      </c>
      <c r="U4154">
        <f t="shared" si="66"/>
        <v>1</v>
      </c>
    </row>
    <row r="4155" spans="1:21" ht="37.5" customHeight="1" x14ac:dyDescent="0.25">
      <c r="A4155" s="23">
        <v>45238</v>
      </c>
      <c r="B4155" s="13">
        <v>45</v>
      </c>
      <c r="C4155" t="s">
        <v>3</v>
      </c>
      <c r="D4155" t="s">
        <v>4</v>
      </c>
      <c r="E4155" t="s">
        <v>21</v>
      </c>
      <c r="F4155">
        <v>202282538</v>
      </c>
      <c r="G4155" t="s">
        <v>2005</v>
      </c>
      <c r="H4155" t="s">
        <v>1040</v>
      </c>
      <c r="I4155">
        <v>0</v>
      </c>
      <c r="J4155">
        <v>0</v>
      </c>
      <c r="K4155">
        <v>0</v>
      </c>
      <c r="L4155">
        <v>0</v>
      </c>
      <c r="M4155">
        <v>0.17</v>
      </c>
      <c r="N4155" s="7" t="e">
        <f>VLOOKUP(F4155,HC!A$6:D$100,3,FALSE)</f>
        <v>#N/A</v>
      </c>
      <c r="O4155" s="7" t="str">
        <f>VLOOKUP(F4155,HC!A$6:D$1000,2,FALSE)</f>
        <v>atchibli</v>
      </c>
      <c r="U4155">
        <f t="shared" si="66"/>
        <v>1</v>
      </c>
    </row>
    <row r="4156" spans="1:21" ht="37.5" customHeight="1" x14ac:dyDescent="0.25">
      <c r="A4156" s="23">
        <v>45238</v>
      </c>
      <c r="B4156" s="13">
        <v>45</v>
      </c>
      <c r="C4156" t="s">
        <v>3</v>
      </c>
      <c r="D4156" t="s">
        <v>4</v>
      </c>
      <c r="E4156" t="s">
        <v>21</v>
      </c>
      <c r="F4156">
        <v>202370186</v>
      </c>
      <c r="G4156" t="s">
        <v>2006</v>
      </c>
      <c r="H4156" t="s">
        <v>298</v>
      </c>
      <c r="I4156">
        <v>0</v>
      </c>
      <c r="J4156">
        <v>0</v>
      </c>
      <c r="K4156">
        <v>0</v>
      </c>
      <c r="L4156">
        <v>0</v>
      </c>
      <c r="M4156">
        <v>0.2</v>
      </c>
      <c r="N4156" s="7" t="e">
        <f>VLOOKUP(F4156,HC!A$6:D$100,3,FALSE)</f>
        <v>#N/A</v>
      </c>
      <c r="O4156" s="7" t="str">
        <f>VLOOKUP(F4156,HC!A$6:D$1000,2,FALSE)</f>
        <v>imontbar</v>
      </c>
      <c r="U4156">
        <f t="shared" si="66"/>
        <v>2</v>
      </c>
    </row>
    <row r="4157" spans="1:21" ht="37.5" customHeight="1" x14ac:dyDescent="0.25">
      <c r="A4157" s="23">
        <v>45238</v>
      </c>
      <c r="B4157" s="13">
        <v>45</v>
      </c>
      <c r="C4157" t="s">
        <v>3</v>
      </c>
      <c r="D4157" t="s">
        <v>4</v>
      </c>
      <c r="E4157" t="s">
        <v>21</v>
      </c>
      <c r="F4157">
        <v>202437991</v>
      </c>
      <c r="G4157" t="s">
        <v>1774</v>
      </c>
      <c r="H4157" t="s">
        <v>7</v>
      </c>
      <c r="I4157">
        <v>0</v>
      </c>
      <c r="J4157">
        <v>0</v>
      </c>
      <c r="K4157">
        <v>0</v>
      </c>
      <c r="L4157">
        <v>0</v>
      </c>
      <c r="M4157">
        <v>0.46</v>
      </c>
      <c r="N4157" s="7" t="e">
        <f>VLOOKUP(F4157,HC!A$6:D$100,3,FALSE)</f>
        <v>#N/A</v>
      </c>
      <c r="O4157" s="7" t="str">
        <f>VLOOKUP(F4157,HC!A$6:D$1000,2,FALSE)</f>
        <v>crisgvil</v>
      </c>
      <c r="U4157">
        <f t="shared" si="66"/>
        <v>2</v>
      </c>
    </row>
    <row r="4158" spans="1:21" ht="37.5" customHeight="1" x14ac:dyDescent="0.25">
      <c r="A4158" s="23">
        <v>45238</v>
      </c>
      <c r="B4158" s="13">
        <v>45</v>
      </c>
      <c r="C4158" t="s">
        <v>3</v>
      </c>
      <c r="D4158" t="s">
        <v>4</v>
      </c>
      <c r="E4158" t="s">
        <v>21</v>
      </c>
      <c r="F4158">
        <v>202442798</v>
      </c>
      <c r="G4158" t="s">
        <v>1749</v>
      </c>
      <c r="H4158" t="s">
        <v>282</v>
      </c>
      <c r="I4158">
        <v>0</v>
      </c>
      <c r="J4158">
        <v>0</v>
      </c>
      <c r="K4158">
        <v>0</v>
      </c>
      <c r="L4158">
        <v>0</v>
      </c>
      <c r="M4158">
        <v>0.13</v>
      </c>
      <c r="N4158" s="7" t="e">
        <f>VLOOKUP(F4158,HC!A$6:D$100,3,FALSE)</f>
        <v>#N/A</v>
      </c>
      <c r="O4158" s="7" t="str">
        <f>VLOOKUP(F4158,HC!A$6:D$1000,2,FALSE)</f>
        <v>loredose</v>
      </c>
      <c r="U4158">
        <f t="shared" si="66"/>
        <v>3</v>
      </c>
    </row>
    <row r="4159" spans="1:21" ht="37.5" customHeight="1" x14ac:dyDescent="0.25">
      <c r="A4159" s="23">
        <v>45238</v>
      </c>
      <c r="B4159" s="13">
        <v>45</v>
      </c>
      <c r="C4159" t="s">
        <v>3</v>
      </c>
      <c r="D4159" t="s">
        <v>4</v>
      </c>
      <c r="E4159" t="s">
        <v>21</v>
      </c>
      <c r="F4159">
        <v>202484082</v>
      </c>
      <c r="G4159" t="s">
        <v>1795</v>
      </c>
      <c r="H4159" t="s">
        <v>1040</v>
      </c>
      <c r="I4159">
        <v>0</v>
      </c>
      <c r="J4159">
        <v>0</v>
      </c>
      <c r="K4159">
        <v>0</v>
      </c>
      <c r="L4159">
        <v>0</v>
      </c>
      <c r="M4159">
        <v>0.16</v>
      </c>
      <c r="N4159" s="7" t="e">
        <f>VLOOKUP(F4159,HC!A$6:D$100,3,FALSE)</f>
        <v>#N/A</v>
      </c>
      <c r="O4159" s="7" t="str">
        <f>VLOOKUP(F4159,HC!A$6:D$1000,2,FALSE)</f>
        <v>silvcart</v>
      </c>
      <c r="U4159">
        <f t="shared" si="66"/>
        <v>2</v>
      </c>
    </row>
    <row r="4160" spans="1:21" ht="37.5" customHeight="1" x14ac:dyDescent="0.25">
      <c r="A4160" s="23">
        <v>45238</v>
      </c>
      <c r="B4160" s="13">
        <v>45</v>
      </c>
      <c r="C4160" t="s">
        <v>3</v>
      </c>
      <c r="D4160" t="s">
        <v>4</v>
      </c>
      <c r="E4160" t="s">
        <v>21</v>
      </c>
      <c r="F4160">
        <v>202518715</v>
      </c>
      <c r="G4160" t="s">
        <v>2007</v>
      </c>
      <c r="H4160" t="s">
        <v>332</v>
      </c>
      <c r="I4160">
        <v>0</v>
      </c>
      <c r="J4160">
        <v>0</v>
      </c>
      <c r="K4160">
        <v>0</v>
      </c>
      <c r="L4160">
        <v>0</v>
      </c>
      <c r="M4160">
        <v>0.27</v>
      </c>
      <c r="N4160" s="7" t="e">
        <f>VLOOKUP(F4160,HC!A$6:D$100,3,FALSE)</f>
        <v>#N/A</v>
      </c>
      <c r="O4160" s="7" t="str">
        <f>VLOOKUP(F4160,HC!A$6:D$1000,2,FALSE)</f>
        <v>sandceci</v>
      </c>
      <c r="U4160">
        <f t="shared" si="66"/>
        <v>2</v>
      </c>
    </row>
    <row r="4161" spans="1:21" ht="37.5" customHeight="1" x14ac:dyDescent="0.25">
      <c r="A4161" s="23">
        <v>45238</v>
      </c>
      <c r="B4161" s="13">
        <v>45</v>
      </c>
      <c r="C4161" t="s">
        <v>3</v>
      </c>
      <c r="D4161" t="s">
        <v>4</v>
      </c>
      <c r="E4161" t="s">
        <v>21</v>
      </c>
      <c r="F4161">
        <v>202518724</v>
      </c>
      <c r="G4161" t="s">
        <v>2008</v>
      </c>
      <c r="H4161" t="s">
        <v>332</v>
      </c>
      <c r="I4161">
        <v>0</v>
      </c>
      <c r="J4161">
        <v>0</v>
      </c>
      <c r="K4161">
        <v>0</v>
      </c>
      <c r="L4161">
        <v>0</v>
      </c>
      <c r="M4161">
        <v>0.22</v>
      </c>
      <c r="N4161" s="7" t="e">
        <f>VLOOKUP(F4161,HC!A$6:D$100,3,FALSE)</f>
        <v>#N/A</v>
      </c>
      <c r="O4161" s="7" t="str">
        <f>VLOOKUP(F4161,HC!A$6:D$1000,2,FALSE)</f>
        <v>lozornio</v>
      </c>
      <c r="U4161">
        <f t="shared" si="66"/>
        <v>1</v>
      </c>
    </row>
    <row r="4162" spans="1:21" ht="37.5" customHeight="1" x14ac:dyDescent="0.25">
      <c r="A4162" s="23">
        <v>45239</v>
      </c>
      <c r="B4162" s="13">
        <v>45</v>
      </c>
      <c r="C4162" t="s">
        <v>3</v>
      </c>
      <c r="D4162" t="s">
        <v>4</v>
      </c>
      <c r="E4162" t="s">
        <v>5</v>
      </c>
      <c r="F4162">
        <v>112920666</v>
      </c>
      <c r="G4162" t="s">
        <v>252</v>
      </c>
      <c r="H4162" t="s">
        <v>1471</v>
      </c>
      <c r="I4162">
        <v>0</v>
      </c>
      <c r="J4162">
        <v>0</v>
      </c>
      <c r="K4162">
        <v>0</v>
      </c>
      <c r="L4162">
        <v>0</v>
      </c>
      <c r="M4162">
        <v>0.16</v>
      </c>
      <c r="N4162" s="7" t="str">
        <f>VLOOKUP(F4162,HC!A$6:D$100,3,FALSE)</f>
        <v>D5-X0700</v>
      </c>
      <c r="O4162" s="7" t="str">
        <f>VLOOKUP(F4162,HC!A$6:D$1000,2,FALSE)</f>
        <v>jorochai</v>
      </c>
      <c r="U4162">
        <f t="shared" si="66"/>
        <v>19</v>
      </c>
    </row>
    <row r="4163" spans="1:21" ht="37.5" customHeight="1" x14ac:dyDescent="0.25">
      <c r="A4163" s="23">
        <v>45239</v>
      </c>
      <c r="B4163" s="13">
        <v>45</v>
      </c>
      <c r="C4163" t="s">
        <v>3</v>
      </c>
      <c r="D4163" t="s">
        <v>4</v>
      </c>
      <c r="E4163" t="s">
        <v>5</v>
      </c>
      <c r="F4163">
        <v>113004099</v>
      </c>
      <c r="G4163" t="s">
        <v>542</v>
      </c>
      <c r="H4163" t="s">
        <v>298</v>
      </c>
      <c r="I4163">
        <v>0</v>
      </c>
      <c r="J4163">
        <v>0</v>
      </c>
      <c r="K4163">
        <v>0</v>
      </c>
      <c r="L4163">
        <v>0</v>
      </c>
      <c r="M4163">
        <v>0.13</v>
      </c>
      <c r="N4163" s="7" t="e">
        <f>VLOOKUP(F4163,HC!A$6:D$100,3,FALSE)</f>
        <v>#N/A</v>
      </c>
      <c r="O4163" s="7" t="str">
        <f>VLOOKUP(F4163,HC!A$6:D$1000,2,FALSE)</f>
        <v>partilum</v>
      </c>
      <c r="U4163">
        <f t="shared" ref="U4163:U4192" si="67">COUNTIF(O$2:O$4999,O4163)</f>
        <v>8</v>
      </c>
    </row>
    <row r="4164" spans="1:21" ht="37.5" customHeight="1" x14ac:dyDescent="0.25">
      <c r="A4164" s="23">
        <v>45239</v>
      </c>
      <c r="B4164" s="13">
        <v>45</v>
      </c>
      <c r="C4164" t="s">
        <v>3</v>
      </c>
      <c r="D4164" t="s">
        <v>4</v>
      </c>
      <c r="E4164" t="s">
        <v>5</v>
      </c>
      <c r="F4164">
        <v>113014042</v>
      </c>
      <c r="G4164" t="s">
        <v>329</v>
      </c>
      <c r="H4164" t="s">
        <v>1471</v>
      </c>
      <c r="I4164">
        <v>0</v>
      </c>
      <c r="J4164">
        <v>0</v>
      </c>
      <c r="K4164">
        <v>0</v>
      </c>
      <c r="L4164">
        <v>0</v>
      </c>
      <c r="M4164">
        <v>0.26</v>
      </c>
      <c r="N4164" s="7" t="e">
        <f>VLOOKUP(F4164,HC!A$6:D$100,3,FALSE)</f>
        <v>#N/A</v>
      </c>
      <c r="O4164" s="7" t="str">
        <f>VLOOKUP(F4164,HC!A$6:D$1000,2,FALSE)</f>
        <v>rfcervan</v>
      </c>
      <c r="U4164">
        <f t="shared" si="67"/>
        <v>23</v>
      </c>
    </row>
    <row r="4165" spans="1:21" ht="37.5" customHeight="1" x14ac:dyDescent="0.25">
      <c r="A4165" s="23">
        <v>45239</v>
      </c>
      <c r="B4165" s="13">
        <v>45</v>
      </c>
      <c r="C4165" t="s">
        <v>3</v>
      </c>
      <c r="D4165" t="s">
        <v>4</v>
      </c>
      <c r="E4165" t="s">
        <v>5</v>
      </c>
      <c r="F4165">
        <v>113014092</v>
      </c>
      <c r="G4165" t="s">
        <v>552</v>
      </c>
      <c r="H4165" t="s">
        <v>298</v>
      </c>
      <c r="I4165">
        <v>0</v>
      </c>
      <c r="J4165">
        <v>0</v>
      </c>
      <c r="K4165">
        <v>0</v>
      </c>
      <c r="L4165">
        <v>0</v>
      </c>
      <c r="M4165">
        <v>0.23</v>
      </c>
      <c r="N4165" s="7" t="e">
        <f>VLOOKUP(F4165,HC!A$6:D$100,3,FALSE)</f>
        <v>#N/A</v>
      </c>
      <c r="O4165" s="7" t="str">
        <f>VLOOKUP(F4165,HC!A$6:D$1000,2,FALSE)</f>
        <v>rsanccri</v>
      </c>
      <c r="U4165">
        <f t="shared" si="67"/>
        <v>11</v>
      </c>
    </row>
    <row r="4166" spans="1:21" ht="37.5" customHeight="1" x14ac:dyDescent="0.25">
      <c r="A4166" s="23">
        <v>45239</v>
      </c>
      <c r="B4166" s="13">
        <v>45</v>
      </c>
      <c r="C4166" t="s">
        <v>3</v>
      </c>
      <c r="D4166" t="s">
        <v>4</v>
      </c>
      <c r="E4166" t="s">
        <v>5</v>
      </c>
      <c r="F4166">
        <v>113020476</v>
      </c>
      <c r="G4166" t="s">
        <v>330</v>
      </c>
      <c r="H4166" t="s">
        <v>298</v>
      </c>
      <c r="I4166">
        <v>0</v>
      </c>
      <c r="J4166">
        <v>0</v>
      </c>
      <c r="K4166">
        <v>0</v>
      </c>
      <c r="L4166">
        <v>0</v>
      </c>
      <c r="M4166">
        <v>0.18</v>
      </c>
      <c r="N4166" s="7" t="e">
        <f>VLOOKUP(F4166,HC!A$6:D$100,3,FALSE)</f>
        <v>#N/A</v>
      </c>
      <c r="O4166" s="7" t="str">
        <f>VLOOKUP(F4166,HC!A$6:D$1000,2,FALSE)</f>
        <v>polettpu</v>
      </c>
      <c r="U4166">
        <f t="shared" si="67"/>
        <v>55</v>
      </c>
    </row>
    <row r="4167" spans="1:21" ht="37.5" customHeight="1" x14ac:dyDescent="0.25">
      <c r="A4167" s="23">
        <v>45239</v>
      </c>
      <c r="B4167" s="13">
        <v>45</v>
      </c>
      <c r="C4167" t="s">
        <v>3</v>
      </c>
      <c r="D4167" t="s">
        <v>4</v>
      </c>
      <c r="E4167" t="s">
        <v>5</v>
      </c>
      <c r="F4167">
        <v>201159033</v>
      </c>
      <c r="G4167" t="s">
        <v>1154</v>
      </c>
      <c r="H4167" t="s">
        <v>285</v>
      </c>
      <c r="I4167">
        <v>0</v>
      </c>
      <c r="J4167">
        <v>0</v>
      </c>
      <c r="K4167">
        <v>0</v>
      </c>
      <c r="L4167">
        <v>0</v>
      </c>
      <c r="M4167">
        <v>0.62</v>
      </c>
      <c r="N4167" s="7" t="e">
        <f>VLOOKUP(F4167,HC!A$6:D$100,3,FALSE)</f>
        <v>#N/A</v>
      </c>
      <c r="O4167" s="7" t="str">
        <f>VLOOKUP(F4167,HC!A$6:D$1000,2,FALSE)</f>
        <v>monsarru</v>
      </c>
      <c r="U4167">
        <f t="shared" si="67"/>
        <v>7</v>
      </c>
    </row>
    <row r="4168" spans="1:21" ht="37.5" customHeight="1" x14ac:dyDescent="0.25">
      <c r="A4168" s="23">
        <v>45239</v>
      </c>
      <c r="B4168" s="13">
        <v>45</v>
      </c>
      <c r="C4168" t="s">
        <v>3</v>
      </c>
      <c r="D4168" t="s">
        <v>4</v>
      </c>
      <c r="E4168" t="s">
        <v>5</v>
      </c>
      <c r="F4168">
        <v>201185299</v>
      </c>
      <c r="G4168" t="s">
        <v>990</v>
      </c>
      <c r="H4168" t="s">
        <v>285</v>
      </c>
      <c r="I4168">
        <v>0</v>
      </c>
      <c r="J4168">
        <v>0</v>
      </c>
      <c r="K4168">
        <v>0</v>
      </c>
      <c r="L4168">
        <v>0</v>
      </c>
      <c r="M4168">
        <v>0.18</v>
      </c>
      <c r="N4168" s="7" t="e">
        <f>VLOOKUP(F4168,HC!A$6:D$100,3,FALSE)</f>
        <v>#N/A</v>
      </c>
      <c r="O4168" s="7" t="str">
        <f>VLOOKUP(F4168,HC!A$6:D$1000,2,FALSE)</f>
        <v>sganoemi</v>
      </c>
      <c r="U4168">
        <f t="shared" si="67"/>
        <v>12</v>
      </c>
    </row>
    <row r="4169" spans="1:21" ht="37.5" customHeight="1" x14ac:dyDescent="0.25">
      <c r="A4169" s="23">
        <v>45239</v>
      </c>
      <c r="B4169" s="13">
        <v>45</v>
      </c>
      <c r="C4169" t="s">
        <v>3</v>
      </c>
      <c r="D4169" t="s">
        <v>4</v>
      </c>
      <c r="E4169" t="s">
        <v>5</v>
      </c>
      <c r="F4169">
        <v>201353166</v>
      </c>
      <c r="G4169" t="s">
        <v>1051</v>
      </c>
      <c r="H4169" t="s">
        <v>298</v>
      </c>
      <c r="I4169">
        <v>0</v>
      </c>
      <c r="J4169">
        <v>0</v>
      </c>
      <c r="K4169">
        <v>0</v>
      </c>
      <c r="L4169">
        <v>0</v>
      </c>
      <c r="M4169">
        <v>0.14000000000000001</v>
      </c>
      <c r="N4169" s="7" t="e">
        <f>VLOOKUP(F4169,HC!A$6:D$100,3,FALSE)</f>
        <v>#N/A</v>
      </c>
      <c r="O4169" s="7" t="str">
        <f>VLOOKUP(F4169,HC!A$6:D$1000,2,FALSE)</f>
        <v>mamlucia</v>
      </c>
      <c r="U4169">
        <f t="shared" si="67"/>
        <v>7</v>
      </c>
    </row>
    <row r="4170" spans="1:21" ht="37.5" customHeight="1" x14ac:dyDescent="0.25">
      <c r="A4170" s="23">
        <v>45239</v>
      </c>
      <c r="B4170" s="13">
        <v>45</v>
      </c>
      <c r="C4170" t="s">
        <v>3</v>
      </c>
      <c r="D4170" t="s">
        <v>4</v>
      </c>
      <c r="E4170" t="s">
        <v>21</v>
      </c>
      <c r="F4170">
        <v>201365023</v>
      </c>
      <c r="G4170" t="s">
        <v>1756</v>
      </c>
      <c r="H4170" t="s">
        <v>298</v>
      </c>
      <c r="I4170">
        <v>0</v>
      </c>
      <c r="J4170">
        <v>0</v>
      </c>
      <c r="K4170">
        <v>0</v>
      </c>
      <c r="L4170">
        <v>0</v>
      </c>
      <c r="M4170">
        <v>0.3</v>
      </c>
      <c r="N4170" s="7" t="e">
        <f>VLOOKUP(F4170,HC!A$6:D$100,3,FALSE)</f>
        <v>#N/A</v>
      </c>
      <c r="O4170" s="7" t="str">
        <f>VLOOKUP(F4170,HC!A$6:D$1000,2,FALSE)</f>
        <v>varacent</v>
      </c>
      <c r="U4170">
        <f t="shared" si="67"/>
        <v>5</v>
      </c>
    </row>
    <row r="4171" spans="1:21" ht="37.5" customHeight="1" x14ac:dyDescent="0.25">
      <c r="A4171" s="23">
        <v>45239</v>
      </c>
      <c r="B4171" s="13">
        <v>45</v>
      </c>
      <c r="C4171" t="s">
        <v>3</v>
      </c>
      <c r="D4171" t="s">
        <v>4</v>
      </c>
      <c r="E4171" t="s">
        <v>5</v>
      </c>
      <c r="F4171">
        <v>201408478</v>
      </c>
      <c r="G4171" t="s">
        <v>1110</v>
      </c>
      <c r="H4171" t="s">
        <v>298</v>
      </c>
      <c r="I4171">
        <v>0</v>
      </c>
      <c r="J4171">
        <v>0</v>
      </c>
      <c r="K4171">
        <v>0</v>
      </c>
      <c r="L4171">
        <v>0</v>
      </c>
      <c r="M4171">
        <v>0.25</v>
      </c>
      <c r="N4171" s="7" t="e">
        <f>VLOOKUP(F4171,HC!A$6:D$100,3,FALSE)</f>
        <v>#N/A</v>
      </c>
      <c r="O4171" s="7" t="str">
        <f>VLOOKUP(F4171,HC!A$6:D$1000,2,FALSE)</f>
        <v>dacaldey</v>
      </c>
      <c r="U4171">
        <f t="shared" si="67"/>
        <v>12</v>
      </c>
    </row>
    <row r="4172" spans="1:21" ht="37.5" customHeight="1" x14ac:dyDescent="0.25">
      <c r="A4172" s="23">
        <v>45239</v>
      </c>
      <c r="B4172" s="13">
        <v>45</v>
      </c>
      <c r="C4172" t="s">
        <v>3</v>
      </c>
      <c r="D4172" t="s">
        <v>4</v>
      </c>
      <c r="E4172" t="s">
        <v>5</v>
      </c>
      <c r="F4172">
        <v>201858867</v>
      </c>
      <c r="G4172" t="s">
        <v>1236</v>
      </c>
      <c r="H4172" t="s">
        <v>285</v>
      </c>
      <c r="I4172">
        <v>0</v>
      </c>
      <c r="J4172">
        <v>0</v>
      </c>
      <c r="K4172">
        <v>0</v>
      </c>
      <c r="L4172">
        <v>0</v>
      </c>
      <c r="M4172">
        <v>0.56999999999999995</v>
      </c>
      <c r="N4172" s="7" t="e">
        <f>VLOOKUP(F4172,HC!A$6:D$100,3,FALSE)</f>
        <v>#N/A</v>
      </c>
      <c r="O4172" s="7" t="str">
        <f>VLOOKUP(F4172,HC!A$6:D$1000,2,FALSE)</f>
        <v>tcruzvel</v>
      </c>
      <c r="U4172">
        <f t="shared" si="67"/>
        <v>17</v>
      </c>
    </row>
    <row r="4173" spans="1:21" ht="37.5" customHeight="1" x14ac:dyDescent="0.25">
      <c r="A4173" s="23">
        <v>45239</v>
      </c>
      <c r="B4173" s="13">
        <v>45</v>
      </c>
      <c r="C4173" t="s">
        <v>3</v>
      </c>
      <c r="D4173" t="s">
        <v>4</v>
      </c>
      <c r="E4173" t="s">
        <v>21</v>
      </c>
      <c r="F4173">
        <v>201901910</v>
      </c>
      <c r="G4173" t="s">
        <v>1251</v>
      </c>
      <c r="H4173" t="s">
        <v>285</v>
      </c>
      <c r="I4173">
        <v>0</v>
      </c>
      <c r="J4173">
        <v>0</v>
      </c>
      <c r="K4173">
        <v>0</v>
      </c>
      <c r="L4173">
        <v>0</v>
      </c>
      <c r="M4173">
        <v>0.25</v>
      </c>
      <c r="N4173" s="7" t="e">
        <f>VLOOKUP(F4173,HC!A$6:D$100,3,FALSE)</f>
        <v>#N/A</v>
      </c>
      <c r="O4173" s="7" t="str">
        <f>VLOOKUP(F4173,HC!A$6:D$1000,2,FALSE)</f>
        <v>sfloredw</v>
      </c>
      <c r="U4173">
        <f t="shared" si="67"/>
        <v>8</v>
      </c>
    </row>
    <row r="4174" spans="1:21" ht="37.5" customHeight="1" x14ac:dyDescent="0.25">
      <c r="A4174" s="23">
        <v>45239</v>
      </c>
      <c r="B4174" s="13">
        <v>45</v>
      </c>
      <c r="C4174" t="s">
        <v>3</v>
      </c>
      <c r="D4174" t="s">
        <v>4</v>
      </c>
      <c r="E4174" t="s">
        <v>21</v>
      </c>
      <c r="F4174">
        <v>201903097</v>
      </c>
      <c r="G4174" t="s">
        <v>1239</v>
      </c>
      <c r="H4174" t="s">
        <v>285</v>
      </c>
      <c r="I4174">
        <v>0</v>
      </c>
      <c r="J4174">
        <v>0</v>
      </c>
      <c r="K4174">
        <v>0</v>
      </c>
      <c r="L4174">
        <v>0</v>
      </c>
      <c r="M4174">
        <v>0.33</v>
      </c>
      <c r="N4174" s="7" t="e">
        <f>VLOOKUP(F4174,HC!A$6:D$100,3,FALSE)</f>
        <v>#N/A</v>
      </c>
      <c r="O4174" s="7" t="str">
        <f>VLOOKUP(F4174,HC!A$6:D$1000,2,FALSE)</f>
        <v>montoliy</v>
      </c>
      <c r="U4174">
        <f t="shared" si="67"/>
        <v>10</v>
      </c>
    </row>
    <row r="4175" spans="1:21" ht="37.5" customHeight="1" x14ac:dyDescent="0.25">
      <c r="A4175" s="23">
        <v>45239</v>
      </c>
      <c r="B4175" s="13">
        <v>45</v>
      </c>
      <c r="C4175" t="s">
        <v>3</v>
      </c>
      <c r="D4175" t="s">
        <v>4</v>
      </c>
      <c r="E4175" t="s">
        <v>21</v>
      </c>
      <c r="F4175">
        <v>202068119</v>
      </c>
      <c r="G4175" t="s">
        <v>1428</v>
      </c>
      <c r="H4175" t="s">
        <v>1471</v>
      </c>
      <c r="I4175">
        <v>0</v>
      </c>
      <c r="J4175">
        <v>0</v>
      </c>
      <c r="K4175">
        <v>0</v>
      </c>
      <c r="L4175">
        <v>0</v>
      </c>
      <c r="M4175">
        <v>0.17</v>
      </c>
      <c r="N4175" s="7" t="e">
        <f>VLOOKUP(F4175,HC!A$6:D$100,3,FALSE)</f>
        <v>#N/A</v>
      </c>
      <c r="O4175" s="7" t="str">
        <f>VLOOKUP(F4175,HC!A$6:D$1000,2,FALSE)</f>
        <v>casosaul</v>
      </c>
      <c r="U4175">
        <f t="shared" si="67"/>
        <v>5</v>
      </c>
    </row>
    <row r="4176" spans="1:21" ht="37.5" customHeight="1" x14ac:dyDescent="0.25">
      <c r="A4176" s="23">
        <v>45239</v>
      </c>
      <c r="B4176" s="13">
        <v>45</v>
      </c>
      <c r="C4176" t="s">
        <v>3</v>
      </c>
      <c r="D4176" t="s">
        <v>4</v>
      </c>
      <c r="E4176" t="s">
        <v>21</v>
      </c>
      <c r="F4176">
        <v>202081087</v>
      </c>
      <c r="G4176" t="s">
        <v>1289</v>
      </c>
      <c r="H4176" t="s">
        <v>1720</v>
      </c>
      <c r="I4176">
        <v>0</v>
      </c>
      <c r="J4176">
        <v>0</v>
      </c>
      <c r="K4176">
        <v>0</v>
      </c>
      <c r="L4176">
        <v>0</v>
      </c>
      <c r="M4176">
        <v>0.2</v>
      </c>
      <c r="N4176" s="7" t="e">
        <f>VLOOKUP(F4176,HC!A$6:D$100,3,FALSE)</f>
        <v>#N/A</v>
      </c>
      <c r="O4176" s="7" t="str">
        <f>VLOOKUP(F4176,HC!A$6:D$1000,2,FALSE)</f>
        <v>rlimarti</v>
      </c>
      <c r="U4176">
        <f t="shared" si="67"/>
        <v>4</v>
      </c>
    </row>
    <row r="4177" spans="1:21" ht="37.5" customHeight="1" x14ac:dyDescent="0.25">
      <c r="A4177" s="23">
        <v>45239</v>
      </c>
      <c r="B4177" s="13">
        <v>45</v>
      </c>
      <c r="C4177" t="s">
        <v>3</v>
      </c>
      <c r="D4177" t="s">
        <v>4</v>
      </c>
      <c r="E4177" t="s">
        <v>21</v>
      </c>
      <c r="F4177">
        <v>202081527</v>
      </c>
      <c r="G4177" t="s">
        <v>1273</v>
      </c>
      <c r="H4177" t="s">
        <v>14</v>
      </c>
      <c r="I4177">
        <v>0</v>
      </c>
      <c r="J4177">
        <v>0</v>
      </c>
      <c r="K4177">
        <v>0</v>
      </c>
      <c r="L4177">
        <v>0</v>
      </c>
      <c r="M4177">
        <v>0.26</v>
      </c>
      <c r="N4177" s="7" t="e">
        <f>VLOOKUP(F4177,HC!A$6:D$100,3,FALSE)</f>
        <v>#N/A</v>
      </c>
      <c r="O4177" s="7" t="str">
        <f>VLOOKUP(F4177,HC!A$6:D$1000,2,FALSE)</f>
        <v>efrmartw</v>
      </c>
      <c r="U4177">
        <f t="shared" si="67"/>
        <v>12</v>
      </c>
    </row>
    <row r="4178" spans="1:21" ht="37.5" customHeight="1" x14ac:dyDescent="0.25">
      <c r="A4178" s="23">
        <v>45239</v>
      </c>
      <c r="B4178" s="13">
        <v>45</v>
      </c>
      <c r="C4178" t="s">
        <v>3</v>
      </c>
      <c r="D4178" t="s">
        <v>4</v>
      </c>
      <c r="E4178" t="s">
        <v>21</v>
      </c>
      <c r="F4178">
        <v>202165242</v>
      </c>
      <c r="G4178" t="s">
        <v>1412</v>
      </c>
      <c r="H4178" t="s">
        <v>403</v>
      </c>
      <c r="I4178">
        <v>0</v>
      </c>
      <c r="J4178">
        <v>0</v>
      </c>
      <c r="K4178">
        <v>0</v>
      </c>
      <c r="L4178">
        <v>0</v>
      </c>
      <c r="M4178">
        <v>0.13</v>
      </c>
      <c r="N4178" s="7" t="e">
        <f>VLOOKUP(F4178,HC!A$6:D$100,3,FALSE)</f>
        <v>#N/A</v>
      </c>
      <c r="O4178" s="7" t="str">
        <f>VLOOKUP(F4178,HC!A$6:D$1000,2,FALSE)</f>
        <v>marcqgon</v>
      </c>
      <c r="U4178">
        <f t="shared" si="67"/>
        <v>21</v>
      </c>
    </row>
    <row r="4179" spans="1:21" ht="37.5" customHeight="1" x14ac:dyDescent="0.25">
      <c r="A4179" s="23">
        <v>45239</v>
      </c>
      <c r="B4179" s="13">
        <v>45</v>
      </c>
      <c r="C4179" t="s">
        <v>3</v>
      </c>
      <c r="D4179" t="s">
        <v>4</v>
      </c>
      <c r="E4179" t="s">
        <v>21</v>
      </c>
      <c r="F4179">
        <v>202165417</v>
      </c>
      <c r="G4179" t="s">
        <v>1761</v>
      </c>
      <c r="H4179" t="s">
        <v>298</v>
      </c>
      <c r="I4179">
        <v>0</v>
      </c>
      <c r="J4179">
        <v>0</v>
      </c>
      <c r="K4179">
        <v>0</v>
      </c>
      <c r="L4179">
        <v>0</v>
      </c>
      <c r="M4179">
        <v>1.01</v>
      </c>
      <c r="N4179" s="7" t="e">
        <f>VLOOKUP(F4179,HC!A$6:D$100,3,FALSE)</f>
        <v>#N/A</v>
      </c>
      <c r="O4179" s="7" t="str">
        <f>VLOOKUP(F4179,HC!A$6:D$1000,2,FALSE)</f>
        <v>gonzmorw</v>
      </c>
      <c r="U4179">
        <f t="shared" si="67"/>
        <v>4</v>
      </c>
    </row>
    <row r="4180" spans="1:21" ht="37.5" customHeight="1" x14ac:dyDescent="0.25">
      <c r="A4180" s="23">
        <v>45239</v>
      </c>
      <c r="B4180" s="13">
        <v>45</v>
      </c>
      <c r="C4180" t="s">
        <v>3</v>
      </c>
      <c r="D4180" t="s">
        <v>4</v>
      </c>
      <c r="E4180" t="s">
        <v>21</v>
      </c>
      <c r="F4180">
        <v>202206014</v>
      </c>
      <c r="G4180" t="s">
        <v>2010</v>
      </c>
      <c r="H4180" t="s">
        <v>285</v>
      </c>
      <c r="I4180">
        <v>0</v>
      </c>
      <c r="J4180">
        <v>0</v>
      </c>
      <c r="K4180">
        <v>0</v>
      </c>
      <c r="L4180">
        <v>0</v>
      </c>
      <c r="M4180">
        <v>1.34</v>
      </c>
      <c r="N4180" s="7" t="e">
        <f>VLOOKUP(F4180,HC!A$6:D$100,3,FALSE)</f>
        <v>#N/A</v>
      </c>
      <c r="O4180" s="7" t="str">
        <f>VLOOKUP(F4180,HC!A$6:D$1000,2,FALSE)</f>
        <v>jcuellka</v>
      </c>
      <c r="U4180">
        <f t="shared" si="67"/>
        <v>2</v>
      </c>
    </row>
    <row r="4181" spans="1:21" ht="37.5" customHeight="1" x14ac:dyDescent="0.25">
      <c r="A4181" s="23">
        <v>45239</v>
      </c>
      <c r="B4181" s="13">
        <v>45</v>
      </c>
      <c r="C4181" t="s">
        <v>3</v>
      </c>
      <c r="D4181" t="s">
        <v>4</v>
      </c>
      <c r="E4181" t="s">
        <v>21</v>
      </c>
      <c r="F4181">
        <v>202253767</v>
      </c>
      <c r="G4181" t="s">
        <v>1792</v>
      </c>
      <c r="H4181" t="s">
        <v>332</v>
      </c>
      <c r="I4181">
        <v>0</v>
      </c>
      <c r="J4181">
        <v>0</v>
      </c>
      <c r="K4181">
        <v>0</v>
      </c>
      <c r="L4181">
        <v>0</v>
      </c>
      <c r="M4181">
        <v>0.24</v>
      </c>
      <c r="N4181" s="7" t="e">
        <f>VLOOKUP(F4181,HC!A$6:D$100,3,FALSE)</f>
        <v>#N/A</v>
      </c>
      <c r="O4181" s="7" t="str">
        <f>VLOOKUP(F4181,HC!A$6:D$1000,2,FALSE)</f>
        <v>jromefra</v>
      </c>
      <c r="U4181">
        <f t="shared" si="67"/>
        <v>4</v>
      </c>
    </row>
    <row r="4182" spans="1:21" ht="37.5" customHeight="1" x14ac:dyDescent="0.25">
      <c r="A4182" s="23">
        <v>45239</v>
      </c>
      <c r="B4182" s="13">
        <v>45</v>
      </c>
      <c r="C4182" t="s">
        <v>3</v>
      </c>
      <c r="D4182" t="s">
        <v>4</v>
      </c>
      <c r="E4182" t="s">
        <v>21</v>
      </c>
      <c r="F4182">
        <v>202265877</v>
      </c>
      <c r="G4182" t="s">
        <v>2011</v>
      </c>
      <c r="H4182" t="s">
        <v>459</v>
      </c>
      <c r="I4182">
        <v>0</v>
      </c>
      <c r="J4182">
        <v>0</v>
      </c>
      <c r="K4182">
        <v>0</v>
      </c>
      <c r="L4182">
        <v>0</v>
      </c>
      <c r="M4182">
        <v>0.25</v>
      </c>
      <c r="N4182" s="7" t="e">
        <f>VLOOKUP(F4182,HC!A$6:D$100,3,FALSE)</f>
        <v>#N/A</v>
      </c>
      <c r="O4182" s="7" t="str">
        <f>VLOOKUP(F4182,HC!A$6:D$1000,2,FALSE)</f>
        <v>fiorelor</v>
      </c>
      <c r="U4182">
        <f t="shared" si="67"/>
        <v>1</v>
      </c>
    </row>
    <row r="4183" spans="1:21" ht="37.5" customHeight="1" x14ac:dyDescent="0.25">
      <c r="A4183" s="23">
        <v>45239</v>
      </c>
      <c r="B4183" s="13">
        <v>45</v>
      </c>
      <c r="C4183" t="s">
        <v>3</v>
      </c>
      <c r="D4183" t="s">
        <v>4</v>
      </c>
      <c r="E4183" t="s">
        <v>21</v>
      </c>
      <c r="F4183">
        <v>202266131</v>
      </c>
      <c r="G4183" t="s">
        <v>1454</v>
      </c>
      <c r="H4183" t="s">
        <v>49</v>
      </c>
      <c r="I4183">
        <v>0</v>
      </c>
      <c r="J4183">
        <v>0</v>
      </c>
      <c r="K4183">
        <v>0</v>
      </c>
      <c r="L4183">
        <v>0</v>
      </c>
      <c r="M4183">
        <v>0.33</v>
      </c>
      <c r="N4183" s="7" t="e">
        <f>VLOOKUP(F4183,HC!A$6:D$100,3,FALSE)</f>
        <v>#N/A</v>
      </c>
      <c r="O4183" s="7" t="str">
        <f>VLOOKUP(F4183,HC!A$6:D$1000,2,FALSE)</f>
        <v>gguadia</v>
      </c>
      <c r="U4183">
        <f t="shared" si="67"/>
        <v>5</v>
      </c>
    </row>
    <row r="4184" spans="1:21" ht="37.5" customHeight="1" x14ac:dyDescent="0.25">
      <c r="A4184" s="23">
        <v>45239</v>
      </c>
      <c r="B4184" s="13">
        <v>45</v>
      </c>
      <c r="C4184" t="s">
        <v>3</v>
      </c>
      <c r="D4184" t="s">
        <v>4</v>
      </c>
      <c r="E4184" t="s">
        <v>21</v>
      </c>
      <c r="F4184">
        <v>202304940</v>
      </c>
      <c r="G4184" t="s">
        <v>1704</v>
      </c>
      <c r="H4184" t="s">
        <v>250</v>
      </c>
      <c r="I4184">
        <v>0</v>
      </c>
      <c r="J4184">
        <v>0</v>
      </c>
      <c r="K4184">
        <v>0</v>
      </c>
      <c r="L4184">
        <v>0</v>
      </c>
      <c r="M4184">
        <v>0.16</v>
      </c>
      <c r="N4184" s="7" t="e">
        <f>VLOOKUP(F4184,HC!A$6:D$100,3,FALSE)</f>
        <v>#N/A</v>
      </c>
      <c r="O4184" s="7" t="str">
        <f>VLOOKUP(F4184,HC!A$6:D$1000,2,FALSE)</f>
        <v>jaslilyz</v>
      </c>
      <c r="U4184">
        <f t="shared" si="67"/>
        <v>4</v>
      </c>
    </row>
    <row r="4185" spans="1:21" ht="37.5" customHeight="1" x14ac:dyDescent="0.25">
      <c r="A4185" s="23">
        <v>45239</v>
      </c>
      <c r="B4185" s="13">
        <v>45</v>
      </c>
      <c r="C4185" t="s">
        <v>3</v>
      </c>
      <c r="D4185" t="s">
        <v>4</v>
      </c>
      <c r="E4185" t="s">
        <v>21</v>
      </c>
      <c r="F4185">
        <v>202334621</v>
      </c>
      <c r="G4185" t="s">
        <v>1724</v>
      </c>
      <c r="H4185" t="s">
        <v>250</v>
      </c>
      <c r="I4185">
        <v>0</v>
      </c>
      <c r="J4185">
        <v>0</v>
      </c>
      <c r="K4185">
        <v>0</v>
      </c>
      <c r="L4185">
        <v>0</v>
      </c>
      <c r="M4185">
        <v>0.15</v>
      </c>
      <c r="N4185" s="7" t="e">
        <f>VLOOKUP(F4185,HC!A$6:D$100,3,FALSE)</f>
        <v>#N/A</v>
      </c>
      <c r="O4185" s="7" t="str">
        <f>VLOOKUP(F4185,HC!A$6:D$1000,2,FALSE)</f>
        <v>tkarlram</v>
      </c>
      <c r="U4185">
        <f t="shared" si="67"/>
        <v>8</v>
      </c>
    </row>
    <row r="4186" spans="1:21" ht="37.5" customHeight="1" x14ac:dyDescent="0.25">
      <c r="A4186" s="23">
        <v>45239</v>
      </c>
      <c r="B4186" s="13">
        <v>45</v>
      </c>
      <c r="C4186" t="s">
        <v>3</v>
      </c>
      <c r="D4186" t="s">
        <v>4</v>
      </c>
      <c r="E4186" t="s">
        <v>21</v>
      </c>
      <c r="F4186">
        <v>202353921</v>
      </c>
      <c r="G4186" t="s">
        <v>1717</v>
      </c>
      <c r="H4186" t="s">
        <v>49</v>
      </c>
      <c r="I4186">
        <v>0</v>
      </c>
      <c r="J4186">
        <v>0</v>
      </c>
      <c r="K4186">
        <v>0</v>
      </c>
      <c r="L4186">
        <v>0</v>
      </c>
      <c r="M4186">
        <v>0.12</v>
      </c>
      <c r="N4186" s="7" t="e">
        <f>VLOOKUP(F4186,HC!A$6:D$100,3,FALSE)</f>
        <v>#N/A</v>
      </c>
      <c r="O4186" s="7" t="str">
        <f>VLOOKUP(F4186,HC!A$6:D$1000,2,FALSE)</f>
        <v>lindinoe</v>
      </c>
      <c r="U4186">
        <f t="shared" si="67"/>
        <v>12</v>
      </c>
    </row>
    <row r="4187" spans="1:21" ht="37.5" customHeight="1" x14ac:dyDescent="0.25">
      <c r="A4187" s="23">
        <v>45239</v>
      </c>
      <c r="B4187" s="13">
        <v>45</v>
      </c>
      <c r="C4187" t="s">
        <v>3</v>
      </c>
      <c r="D4187" t="s">
        <v>4</v>
      </c>
      <c r="E4187" t="s">
        <v>21</v>
      </c>
      <c r="F4187">
        <v>202354007</v>
      </c>
      <c r="G4187" t="s">
        <v>2012</v>
      </c>
      <c r="H4187" t="s">
        <v>285</v>
      </c>
      <c r="I4187">
        <v>0</v>
      </c>
      <c r="J4187">
        <v>0</v>
      </c>
      <c r="K4187">
        <v>0</v>
      </c>
      <c r="L4187">
        <v>0</v>
      </c>
      <c r="M4187">
        <v>0.16</v>
      </c>
      <c r="N4187" s="7" t="e">
        <f>VLOOKUP(F4187,HC!A$6:D$100,3,FALSE)</f>
        <v>#N/A</v>
      </c>
      <c r="O4187" s="7" t="str">
        <f>VLOOKUP(F4187,HC!A$6:D$1000,2,FALSE)</f>
        <v>ecarkari</v>
      </c>
      <c r="U4187">
        <f t="shared" si="67"/>
        <v>1</v>
      </c>
    </row>
    <row r="4188" spans="1:21" ht="37.5" customHeight="1" x14ac:dyDescent="0.25">
      <c r="A4188" s="23">
        <v>45239</v>
      </c>
      <c r="B4188" s="13">
        <v>45</v>
      </c>
      <c r="C4188" t="s">
        <v>3</v>
      </c>
      <c r="D4188" t="s">
        <v>4</v>
      </c>
      <c r="E4188" t="s">
        <v>21</v>
      </c>
      <c r="F4188">
        <v>202370186</v>
      </c>
      <c r="G4188" t="s">
        <v>2006</v>
      </c>
      <c r="H4188" t="s">
        <v>298</v>
      </c>
      <c r="I4188">
        <v>0</v>
      </c>
      <c r="J4188">
        <v>0</v>
      </c>
      <c r="K4188">
        <v>0</v>
      </c>
      <c r="L4188">
        <v>0</v>
      </c>
      <c r="M4188">
        <v>0.87</v>
      </c>
      <c r="N4188" s="7" t="e">
        <f>VLOOKUP(F4188,HC!A$6:D$100,3,FALSE)</f>
        <v>#N/A</v>
      </c>
      <c r="O4188" s="7" t="str">
        <f>VLOOKUP(F4188,HC!A$6:D$1000,2,FALSE)</f>
        <v>imontbar</v>
      </c>
      <c r="U4188">
        <f t="shared" si="67"/>
        <v>2</v>
      </c>
    </row>
    <row r="4189" spans="1:21" ht="37.5" customHeight="1" x14ac:dyDescent="0.25">
      <c r="A4189" s="23">
        <v>45239</v>
      </c>
      <c r="B4189" s="13">
        <v>45</v>
      </c>
      <c r="C4189" t="s">
        <v>3</v>
      </c>
      <c r="D4189" t="s">
        <v>4</v>
      </c>
      <c r="E4189" t="s">
        <v>21</v>
      </c>
      <c r="F4189">
        <v>202410665</v>
      </c>
      <c r="G4189" t="s">
        <v>2013</v>
      </c>
      <c r="H4189" t="s">
        <v>459</v>
      </c>
      <c r="I4189">
        <v>0</v>
      </c>
      <c r="J4189">
        <v>0</v>
      </c>
      <c r="K4189">
        <v>0</v>
      </c>
      <c r="L4189">
        <v>0</v>
      </c>
      <c r="M4189">
        <v>1.1000000000000001</v>
      </c>
      <c r="N4189" s="7" t="e">
        <f>VLOOKUP(F4189,HC!A$6:D$100,3,FALSE)</f>
        <v>#N/A</v>
      </c>
      <c r="O4189" s="7" t="str">
        <f>VLOOKUP(F4189,HC!A$6:D$1000,2,FALSE)</f>
        <v>erosvald</v>
      </c>
      <c r="U4189">
        <f t="shared" si="67"/>
        <v>2</v>
      </c>
    </row>
    <row r="4190" spans="1:21" ht="37.5" customHeight="1" x14ac:dyDescent="0.25">
      <c r="A4190" s="23">
        <v>45239</v>
      </c>
      <c r="B4190" s="13">
        <v>45</v>
      </c>
      <c r="C4190" t="s">
        <v>3</v>
      </c>
      <c r="D4190" t="s">
        <v>4</v>
      </c>
      <c r="E4190" t="s">
        <v>21</v>
      </c>
      <c r="F4190">
        <v>202410739</v>
      </c>
      <c r="G4190" t="s">
        <v>2014</v>
      </c>
      <c r="H4190" t="s">
        <v>332</v>
      </c>
      <c r="I4190">
        <v>0</v>
      </c>
      <c r="J4190">
        <v>0</v>
      </c>
      <c r="K4190">
        <v>0</v>
      </c>
      <c r="L4190">
        <v>0</v>
      </c>
      <c r="M4190">
        <v>0.26</v>
      </c>
      <c r="N4190" s="7" t="e">
        <f>VLOOKUP(F4190,HC!A$6:D$100,3,FALSE)</f>
        <v>#N/A</v>
      </c>
      <c r="O4190" s="7" t="str">
        <f>VLOOKUP(F4190,HC!A$6:D$1000,2,FALSE)</f>
        <v>carmoher</v>
      </c>
      <c r="U4190">
        <f t="shared" si="67"/>
        <v>1</v>
      </c>
    </row>
    <row r="4191" spans="1:21" ht="37.5" customHeight="1" x14ac:dyDescent="0.25">
      <c r="A4191" s="23">
        <v>45239</v>
      </c>
      <c r="B4191" s="13">
        <v>45</v>
      </c>
      <c r="C4191" t="s">
        <v>3</v>
      </c>
      <c r="D4191" t="s">
        <v>4</v>
      </c>
      <c r="E4191" t="s">
        <v>21</v>
      </c>
      <c r="F4191">
        <v>202417927</v>
      </c>
      <c r="G4191" t="s">
        <v>2015</v>
      </c>
      <c r="H4191" t="s">
        <v>459</v>
      </c>
      <c r="I4191">
        <v>0</v>
      </c>
      <c r="J4191">
        <v>0</v>
      </c>
      <c r="K4191">
        <v>0</v>
      </c>
      <c r="L4191">
        <v>0</v>
      </c>
      <c r="M4191">
        <v>0.15</v>
      </c>
      <c r="N4191" s="7" t="e">
        <f>VLOOKUP(F4191,HC!A$6:D$100,3,FALSE)</f>
        <v>#N/A</v>
      </c>
      <c r="O4191" s="7" t="str">
        <f>VLOOKUP(F4191,HC!A$6:D$1000,2,FALSE)</f>
        <v>jazvaldi</v>
      </c>
      <c r="U4191">
        <f t="shared" si="67"/>
        <v>4</v>
      </c>
    </row>
    <row r="4192" spans="1:21" ht="37.5" customHeight="1" x14ac:dyDescent="0.25">
      <c r="A4192" s="23">
        <v>45239</v>
      </c>
      <c r="B4192" s="13">
        <v>45</v>
      </c>
      <c r="C4192" t="s">
        <v>3</v>
      </c>
      <c r="D4192" t="s">
        <v>4</v>
      </c>
      <c r="E4192" t="s">
        <v>21</v>
      </c>
      <c r="F4192">
        <v>202479923</v>
      </c>
      <c r="G4192" t="s">
        <v>1794</v>
      </c>
      <c r="H4192" t="s">
        <v>332</v>
      </c>
      <c r="I4192">
        <v>0</v>
      </c>
      <c r="J4192">
        <v>0</v>
      </c>
      <c r="K4192">
        <v>0</v>
      </c>
      <c r="L4192">
        <v>0</v>
      </c>
      <c r="M4192">
        <v>0.56999999999999995</v>
      </c>
      <c r="N4192" s="7" t="e">
        <f>VLOOKUP(F4192,HC!A$6:D$100,3,FALSE)</f>
        <v>#N/A</v>
      </c>
      <c r="O4192" s="7" t="str">
        <f>VLOOKUP(F4192,HC!A$6:D$1000,2,FALSE)</f>
        <v>arredgre</v>
      </c>
      <c r="U4192">
        <f t="shared" si="67"/>
        <v>4</v>
      </c>
    </row>
    <row r="4193" spans="1:15" ht="37.5" customHeight="1" x14ac:dyDescent="0.25">
      <c r="A4193" s="23">
        <v>45240</v>
      </c>
      <c r="B4193" s="13">
        <v>45</v>
      </c>
      <c r="C4193" t="s">
        <v>3</v>
      </c>
      <c r="D4193" t="s">
        <v>4</v>
      </c>
      <c r="E4193" t="s">
        <v>5</v>
      </c>
      <c r="F4193">
        <v>112916534</v>
      </c>
      <c r="G4193" t="s">
        <v>425</v>
      </c>
      <c r="H4193" t="s">
        <v>298</v>
      </c>
      <c r="I4193">
        <v>0</v>
      </c>
      <c r="J4193">
        <v>0</v>
      </c>
      <c r="K4193">
        <v>0</v>
      </c>
      <c r="L4193">
        <v>0</v>
      </c>
      <c r="M4193">
        <v>0.37</v>
      </c>
      <c r="N4193" s="7" t="str">
        <f>VLOOKUP(F4193,HC!A$6:D$100,3,FALSE)</f>
        <v>DB-X0700</v>
      </c>
      <c r="O4193" s="7" t="str">
        <f>VLOOKUP(F4193,HC!A$6:D$1000,2,FALSE)</f>
        <v>earelili</v>
      </c>
    </row>
    <row r="4194" spans="1:15" ht="37.5" customHeight="1" x14ac:dyDescent="0.25">
      <c r="A4194" s="23">
        <v>45240</v>
      </c>
      <c r="B4194" s="13">
        <v>45</v>
      </c>
      <c r="C4194" t="s">
        <v>3</v>
      </c>
      <c r="D4194" t="s">
        <v>4</v>
      </c>
      <c r="E4194" t="s">
        <v>5</v>
      </c>
      <c r="F4194">
        <v>112920666</v>
      </c>
      <c r="G4194" t="s">
        <v>252</v>
      </c>
      <c r="H4194" t="s">
        <v>1471</v>
      </c>
      <c r="I4194">
        <v>0</v>
      </c>
      <c r="J4194">
        <v>0</v>
      </c>
      <c r="K4194">
        <v>0</v>
      </c>
      <c r="L4194">
        <v>0</v>
      </c>
      <c r="M4194">
        <v>0.95</v>
      </c>
      <c r="N4194" s="7" t="str">
        <f>VLOOKUP(F4194,HC!A$6:D$100,3,FALSE)</f>
        <v>D5-X0700</v>
      </c>
      <c r="O4194" s="7" t="str">
        <f>VLOOKUP(F4194,HC!A$6:D$1000,2,FALSE)</f>
        <v>jorochai</v>
      </c>
    </row>
    <row r="4195" spans="1:15" ht="37.5" customHeight="1" x14ac:dyDescent="0.25">
      <c r="A4195" s="23">
        <v>45240</v>
      </c>
      <c r="B4195" s="13">
        <v>45</v>
      </c>
      <c r="C4195" t="s">
        <v>3</v>
      </c>
      <c r="D4195" t="s">
        <v>4</v>
      </c>
      <c r="E4195" t="s">
        <v>5</v>
      </c>
      <c r="F4195">
        <v>112972194</v>
      </c>
      <c r="G4195" t="s">
        <v>448</v>
      </c>
      <c r="H4195" t="s">
        <v>1720</v>
      </c>
      <c r="I4195">
        <v>0</v>
      </c>
      <c r="J4195">
        <v>0</v>
      </c>
      <c r="K4195">
        <v>0</v>
      </c>
      <c r="L4195">
        <v>0</v>
      </c>
      <c r="M4195">
        <v>0.11</v>
      </c>
      <c r="N4195" s="7" t="str">
        <f>VLOOKUP(F4195,HC!A$6:D$100,3,FALSE)</f>
        <v>DB-X0700</v>
      </c>
      <c r="O4195" s="7" t="str">
        <f>VLOOKUP(F4195,HC!A$6:D$1000,2,FALSE)</f>
        <v>velaangl</v>
      </c>
    </row>
    <row r="4196" spans="1:15" ht="37.5" customHeight="1" x14ac:dyDescent="0.25">
      <c r="A4196" s="23">
        <v>45240</v>
      </c>
      <c r="B4196" s="13">
        <v>45</v>
      </c>
      <c r="C4196" t="s">
        <v>3</v>
      </c>
      <c r="D4196" t="s">
        <v>4</v>
      </c>
      <c r="E4196" t="s">
        <v>5</v>
      </c>
      <c r="F4196">
        <v>113020476</v>
      </c>
      <c r="G4196" t="s">
        <v>330</v>
      </c>
      <c r="H4196" t="s">
        <v>298</v>
      </c>
      <c r="I4196">
        <v>0</v>
      </c>
      <c r="J4196">
        <v>0</v>
      </c>
      <c r="K4196">
        <v>0</v>
      </c>
      <c r="L4196">
        <v>0</v>
      </c>
      <c r="M4196">
        <v>0.17</v>
      </c>
      <c r="N4196" s="7" t="e">
        <f>VLOOKUP(F4196,HC!A$6:D$100,3,FALSE)</f>
        <v>#N/A</v>
      </c>
      <c r="O4196" s="7" t="str">
        <f>VLOOKUP(F4196,HC!A$6:D$1000,2,FALSE)</f>
        <v>polettpu</v>
      </c>
    </row>
    <row r="4197" spans="1:15" ht="37.5" customHeight="1" x14ac:dyDescent="0.25">
      <c r="A4197" s="23">
        <v>45240</v>
      </c>
      <c r="B4197" s="13">
        <v>45</v>
      </c>
      <c r="C4197" t="s">
        <v>3</v>
      </c>
      <c r="D4197" t="s">
        <v>4</v>
      </c>
      <c r="E4197" t="s">
        <v>5</v>
      </c>
      <c r="F4197">
        <v>200508323</v>
      </c>
      <c r="G4197" t="s">
        <v>1150</v>
      </c>
      <c r="H4197" t="s">
        <v>298</v>
      </c>
      <c r="I4197">
        <v>0</v>
      </c>
      <c r="J4197">
        <v>0</v>
      </c>
      <c r="K4197">
        <v>0</v>
      </c>
      <c r="L4197">
        <v>0</v>
      </c>
      <c r="M4197">
        <v>0.16</v>
      </c>
      <c r="N4197" s="7" t="e">
        <f>VLOOKUP(F4197,HC!A$6:D$100,3,FALSE)</f>
        <v>#N/A</v>
      </c>
      <c r="O4197" s="7" t="str">
        <f>VLOOKUP(F4197,HC!A$6:D$1000,2,FALSE)</f>
        <v>espejell</v>
      </c>
    </row>
    <row r="4198" spans="1:15" ht="37.5" customHeight="1" x14ac:dyDescent="0.25">
      <c r="A4198" s="23">
        <v>45240</v>
      </c>
      <c r="B4198" s="13">
        <v>45</v>
      </c>
      <c r="C4198" t="s">
        <v>3</v>
      </c>
      <c r="D4198" t="s">
        <v>4</v>
      </c>
      <c r="E4198" t="s">
        <v>5</v>
      </c>
      <c r="F4198">
        <v>201185653</v>
      </c>
      <c r="G4198" t="s">
        <v>987</v>
      </c>
      <c r="H4198" t="s">
        <v>285</v>
      </c>
      <c r="I4198">
        <v>0</v>
      </c>
      <c r="J4198">
        <v>0</v>
      </c>
      <c r="K4198">
        <v>0</v>
      </c>
      <c r="L4198">
        <v>0</v>
      </c>
      <c r="M4198">
        <v>0.4</v>
      </c>
      <c r="N4198" s="7" t="e">
        <f>VLOOKUP(F4198,HC!A$6:D$100,3,FALSE)</f>
        <v>#N/A</v>
      </c>
      <c r="O4198" s="7" t="str">
        <f>VLOOKUP(F4198,HC!A$6:D$1000,2,FALSE)</f>
        <v>luisamin</v>
      </c>
    </row>
    <row r="4199" spans="1:15" ht="37.5" customHeight="1" x14ac:dyDescent="0.25">
      <c r="A4199" s="23">
        <v>45240</v>
      </c>
      <c r="B4199" s="13">
        <v>45</v>
      </c>
      <c r="C4199" t="s">
        <v>3</v>
      </c>
      <c r="D4199" t="s">
        <v>4</v>
      </c>
      <c r="E4199" t="s">
        <v>5</v>
      </c>
      <c r="F4199">
        <v>201219500</v>
      </c>
      <c r="G4199" t="s">
        <v>937</v>
      </c>
      <c r="H4199" t="s">
        <v>285</v>
      </c>
      <c r="I4199">
        <v>0</v>
      </c>
      <c r="J4199">
        <v>0</v>
      </c>
      <c r="K4199">
        <v>0</v>
      </c>
      <c r="L4199">
        <v>0</v>
      </c>
      <c r="M4199">
        <v>0.18</v>
      </c>
      <c r="N4199" s="7" t="e">
        <f>VLOOKUP(F4199,HC!A$6:D$100,3,FALSE)</f>
        <v>#N/A</v>
      </c>
      <c r="O4199" s="7" t="str">
        <f>VLOOKUP(F4199,HC!A$6:D$1000,2,FALSE)</f>
        <v>ramsmazy</v>
      </c>
    </row>
    <row r="4200" spans="1:15" ht="37.5" customHeight="1" x14ac:dyDescent="0.25">
      <c r="A4200" s="23">
        <v>45240</v>
      </c>
      <c r="B4200" s="13">
        <v>45</v>
      </c>
      <c r="C4200" t="s">
        <v>3</v>
      </c>
      <c r="D4200" t="s">
        <v>4</v>
      </c>
      <c r="E4200" t="s">
        <v>5</v>
      </c>
      <c r="F4200">
        <v>201223730</v>
      </c>
      <c r="G4200" t="s">
        <v>933</v>
      </c>
      <c r="H4200" t="s">
        <v>298</v>
      </c>
      <c r="I4200">
        <v>0</v>
      </c>
      <c r="J4200">
        <v>0</v>
      </c>
      <c r="K4200">
        <v>0</v>
      </c>
      <c r="L4200">
        <v>0</v>
      </c>
      <c r="M4200">
        <v>1.07</v>
      </c>
      <c r="N4200" s="7" t="e">
        <f>VLOOKUP(F4200,HC!A$6:D$100,3,FALSE)</f>
        <v>#N/A</v>
      </c>
      <c r="O4200" s="7" t="str">
        <f>VLOOKUP(F4200,HC!A$6:D$1000,2,FALSE)</f>
        <v>cesarito</v>
      </c>
    </row>
    <row r="4201" spans="1:15" ht="37.5" customHeight="1" x14ac:dyDescent="0.25">
      <c r="A4201" s="23">
        <v>45240</v>
      </c>
      <c r="B4201" s="13">
        <v>45</v>
      </c>
      <c r="C4201" t="s">
        <v>3</v>
      </c>
      <c r="D4201" t="s">
        <v>4</v>
      </c>
      <c r="E4201" t="s">
        <v>5</v>
      </c>
      <c r="F4201">
        <v>201228411</v>
      </c>
      <c r="G4201" t="s">
        <v>938</v>
      </c>
      <c r="H4201" t="s">
        <v>298</v>
      </c>
      <c r="I4201">
        <v>0</v>
      </c>
      <c r="J4201">
        <v>0</v>
      </c>
      <c r="K4201">
        <v>0</v>
      </c>
      <c r="L4201">
        <v>0</v>
      </c>
      <c r="M4201">
        <v>1.1100000000000001</v>
      </c>
      <c r="N4201" s="7" t="e">
        <f>VLOOKUP(F4201,HC!A$6:D$100,3,FALSE)</f>
        <v>#N/A</v>
      </c>
      <c r="O4201" s="7" t="str">
        <f>VLOOKUP(F4201,HC!A$6:D$1000,2,FALSE)</f>
        <v>jazmiwhe</v>
      </c>
    </row>
    <row r="4202" spans="1:15" ht="37.5" customHeight="1" x14ac:dyDescent="0.25">
      <c r="A4202" s="23">
        <v>45240</v>
      </c>
      <c r="B4202" s="13">
        <v>45</v>
      </c>
      <c r="C4202" t="s">
        <v>3</v>
      </c>
      <c r="D4202" t="s">
        <v>4</v>
      </c>
      <c r="E4202" t="s">
        <v>5</v>
      </c>
      <c r="F4202">
        <v>201320536</v>
      </c>
      <c r="G4202" t="s">
        <v>992</v>
      </c>
      <c r="H4202" t="s">
        <v>285</v>
      </c>
      <c r="I4202">
        <v>0</v>
      </c>
      <c r="J4202">
        <v>0</v>
      </c>
      <c r="K4202">
        <v>0</v>
      </c>
      <c r="L4202">
        <v>0</v>
      </c>
      <c r="M4202">
        <v>0.12</v>
      </c>
      <c r="N4202" s="7" t="e">
        <f>VLOOKUP(F4202,HC!A$6:D$100,3,FALSE)</f>
        <v>#N/A</v>
      </c>
      <c r="O4202" s="7" t="str">
        <f>VLOOKUP(F4202,HC!A$6:D$1000,2,FALSE)</f>
        <v>ibalmigu</v>
      </c>
    </row>
    <row r="4203" spans="1:15" ht="37.5" customHeight="1" x14ac:dyDescent="0.25">
      <c r="A4203" s="23">
        <v>45240</v>
      </c>
      <c r="B4203" s="13">
        <v>45</v>
      </c>
      <c r="C4203" t="s">
        <v>3</v>
      </c>
      <c r="D4203" t="s">
        <v>4</v>
      </c>
      <c r="E4203" t="s">
        <v>5</v>
      </c>
      <c r="F4203">
        <v>201842039</v>
      </c>
      <c r="G4203" t="s">
        <v>1231</v>
      </c>
      <c r="H4203" t="s">
        <v>285</v>
      </c>
      <c r="I4203">
        <v>0</v>
      </c>
      <c r="J4203">
        <v>0</v>
      </c>
      <c r="K4203">
        <v>0</v>
      </c>
      <c r="L4203">
        <v>0</v>
      </c>
      <c r="M4203">
        <v>2.09</v>
      </c>
      <c r="N4203" s="7" t="e">
        <f>VLOOKUP(F4203,HC!A$6:D$100,3,FALSE)</f>
        <v>#N/A</v>
      </c>
      <c r="O4203" s="7" t="str">
        <f>VLOOKUP(F4203,HC!A$6:D$1000,2,FALSE)</f>
        <v>fantmar</v>
      </c>
    </row>
    <row r="4204" spans="1:15" ht="37.5" customHeight="1" x14ac:dyDescent="0.25">
      <c r="A4204" s="23">
        <v>45240</v>
      </c>
      <c r="B4204" s="13">
        <v>45</v>
      </c>
      <c r="C4204" t="s">
        <v>3</v>
      </c>
      <c r="D4204" t="s">
        <v>4</v>
      </c>
      <c r="E4204" t="s">
        <v>5</v>
      </c>
      <c r="F4204">
        <v>201858867</v>
      </c>
      <c r="G4204" t="s">
        <v>1236</v>
      </c>
      <c r="H4204" t="s">
        <v>285</v>
      </c>
      <c r="I4204">
        <v>0</v>
      </c>
      <c r="J4204">
        <v>0</v>
      </c>
      <c r="K4204">
        <v>0</v>
      </c>
      <c r="L4204">
        <v>0</v>
      </c>
      <c r="M4204">
        <v>0.63</v>
      </c>
      <c r="N4204" s="7" t="e">
        <f>VLOOKUP(F4204,HC!A$6:D$100,3,FALSE)</f>
        <v>#N/A</v>
      </c>
      <c r="O4204" s="7" t="str">
        <f>VLOOKUP(F4204,HC!A$6:D$1000,2,FALSE)</f>
        <v>tcruzvel</v>
      </c>
    </row>
    <row r="4205" spans="1:15" ht="37.5" customHeight="1" x14ac:dyDescent="0.25">
      <c r="A4205" s="23">
        <v>45240</v>
      </c>
      <c r="B4205" s="13">
        <v>45</v>
      </c>
      <c r="C4205" t="s">
        <v>3</v>
      </c>
      <c r="D4205" t="s">
        <v>4</v>
      </c>
      <c r="E4205" t="s">
        <v>5</v>
      </c>
      <c r="F4205">
        <v>201901910</v>
      </c>
      <c r="G4205" t="s">
        <v>1251</v>
      </c>
      <c r="H4205" t="s">
        <v>285</v>
      </c>
      <c r="I4205">
        <v>0</v>
      </c>
      <c r="J4205">
        <v>0</v>
      </c>
      <c r="K4205">
        <v>0</v>
      </c>
      <c r="L4205">
        <v>0</v>
      </c>
      <c r="M4205">
        <v>0.08</v>
      </c>
      <c r="N4205" s="7" t="e">
        <f>VLOOKUP(F4205,HC!A$6:D$100,3,FALSE)</f>
        <v>#N/A</v>
      </c>
      <c r="O4205" s="7" t="str">
        <f>VLOOKUP(F4205,HC!A$6:D$1000,2,FALSE)</f>
        <v>sfloredw</v>
      </c>
    </row>
    <row r="4206" spans="1:15" ht="37.5" customHeight="1" x14ac:dyDescent="0.25">
      <c r="A4206" s="23">
        <v>45240</v>
      </c>
      <c r="B4206" s="13">
        <v>45</v>
      </c>
      <c r="C4206" t="s">
        <v>3</v>
      </c>
      <c r="D4206" t="s">
        <v>4</v>
      </c>
      <c r="E4206" t="s">
        <v>21</v>
      </c>
      <c r="F4206">
        <v>202081527</v>
      </c>
      <c r="G4206" t="s">
        <v>1273</v>
      </c>
      <c r="H4206" t="s">
        <v>14</v>
      </c>
      <c r="I4206">
        <v>0</v>
      </c>
      <c r="J4206">
        <v>0</v>
      </c>
      <c r="K4206">
        <v>0</v>
      </c>
      <c r="L4206">
        <v>0</v>
      </c>
      <c r="M4206">
        <v>1.63</v>
      </c>
      <c r="N4206" s="7" t="e">
        <f>VLOOKUP(F4206,HC!A$6:D$100,3,FALSE)</f>
        <v>#N/A</v>
      </c>
      <c r="O4206" s="7" t="str">
        <f>VLOOKUP(F4206,HC!A$6:D$1000,2,FALSE)</f>
        <v>efrmartw</v>
      </c>
    </row>
    <row r="4207" spans="1:15" ht="37.5" customHeight="1" x14ac:dyDescent="0.25">
      <c r="A4207" s="23">
        <v>45240</v>
      </c>
      <c r="B4207" s="13">
        <v>45</v>
      </c>
      <c r="C4207" t="s">
        <v>3</v>
      </c>
      <c r="D4207" t="s">
        <v>4</v>
      </c>
      <c r="E4207" t="s">
        <v>21</v>
      </c>
      <c r="F4207">
        <v>202120077</v>
      </c>
      <c r="G4207" t="s">
        <v>1278</v>
      </c>
      <c r="H4207" t="s">
        <v>1720</v>
      </c>
      <c r="I4207">
        <v>0</v>
      </c>
      <c r="J4207">
        <v>0</v>
      </c>
      <c r="K4207">
        <v>0</v>
      </c>
      <c r="L4207">
        <v>0</v>
      </c>
      <c r="M4207">
        <v>0.2</v>
      </c>
      <c r="N4207" s="7" t="e">
        <f>VLOOKUP(F4207,HC!A$6:D$100,3,FALSE)</f>
        <v>#N/A</v>
      </c>
      <c r="O4207" s="7" t="str">
        <f>VLOOKUP(F4207,HC!A$6:D$1000,2,FALSE)</f>
        <v>mauaguid</v>
      </c>
    </row>
    <row r="4208" spans="1:15" ht="37.5" customHeight="1" x14ac:dyDescent="0.25">
      <c r="A4208" s="23">
        <v>45240</v>
      </c>
      <c r="B4208" s="13">
        <v>45</v>
      </c>
      <c r="C4208" t="s">
        <v>3</v>
      </c>
      <c r="D4208" t="s">
        <v>4</v>
      </c>
      <c r="E4208" t="s">
        <v>21</v>
      </c>
      <c r="F4208">
        <v>202159550</v>
      </c>
      <c r="G4208" t="s">
        <v>1710</v>
      </c>
      <c r="H4208" t="s">
        <v>285</v>
      </c>
      <c r="I4208">
        <v>0</v>
      </c>
      <c r="J4208">
        <v>0</v>
      </c>
      <c r="K4208">
        <v>0</v>
      </c>
      <c r="L4208">
        <v>0</v>
      </c>
      <c r="M4208">
        <v>0.13</v>
      </c>
      <c r="N4208" s="7" t="e">
        <f>VLOOKUP(F4208,HC!A$6:D$100,3,FALSE)</f>
        <v>#N/A</v>
      </c>
      <c r="O4208" s="7" t="str">
        <f>VLOOKUP(F4208,HC!A$6:D$1000,2,FALSE)</f>
        <v>eisabmor</v>
      </c>
    </row>
    <row r="4209" spans="1:15" ht="37.5" customHeight="1" x14ac:dyDescent="0.25">
      <c r="A4209" s="23">
        <v>45240</v>
      </c>
      <c r="B4209" s="13">
        <v>45</v>
      </c>
      <c r="C4209" t="s">
        <v>3</v>
      </c>
      <c r="D4209" t="s">
        <v>4</v>
      </c>
      <c r="E4209" t="s">
        <v>21</v>
      </c>
      <c r="F4209">
        <v>202165242</v>
      </c>
      <c r="G4209" t="s">
        <v>1412</v>
      </c>
      <c r="H4209" t="s">
        <v>403</v>
      </c>
      <c r="I4209">
        <v>0</v>
      </c>
      <c r="J4209">
        <v>0</v>
      </c>
      <c r="K4209">
        <v>0</v>
      </c>
      <c r="L4209">
        <v>0</v>
      </c>
      <c r="M4209">
        <v>0.88</v>
      </c>
      <c r="N4209" s="7" t="e">
        <f>VLOOKUP(F4209,HC!A$6:D$100,3,FALSE)</f>
        <v>#N/A</v>
      </c>
      <c r="O4209" s="7" t="str">
        <f>VLOOKUP(F4209,HC!A$6:D$1000,2,FALSE)</f>
        <v>marcqgon</v>
      </c>
    </row>
    <row r="4210" spans="1:15" ht="37.5" customHeight="1" x14ac:dyDescent="0.25">
      <c r="A4210" s="23">
        <v>45240</v>
      </c>
      <c r="B4210" s="13">
        <v>45</v>
      </c>
      <c r="C4210" t="s">
        <v>3</v>
      </c>
      <c r="D4210" t="s">
        <v>4</v>
      </c>
      <c r="E4210" t="s">
        <v>21</v>
      </c>
      <c r="F4210">
        <v>202174029</v>
      </c>
      <c r="G4210" t="s">
        <v>2016</v>
      </c>
      <c r="H4210" t="s">
        <v>1471</v>
      </c>
      <c r="I4210">
        <v>0</v>
      </c>
      <c r="J4210">
        <v>0</v>
      </c>
      <c r="K4210">
        <v>0</v>
      </c>
      <c r="L4210">
        <v>0</v>
      </c>
      <c r="M4210">
        <v>0.81</v>
      </c>
      <c r="N4210" s="7" t="e">
        <f>VLOOKUP(F4210,HC!A$6:D$100,3,FALSE)</f>
        <v>#N/A</v>
      </c>
      <c r="O4210" s="7" t="str">
        <f>VLOOKUP(F4210,HC!A$6:D$1000,2,FALSE)</f>
        <v>abetocor</v>
      </c>
    </row>
    <row r="4211" spans="1:15" ht="37.5" customHeight="1" x14ac:dyDescent="0.25">
      <c r="A4211" s="23">
        <v>45240</v>
      </c>
      <c r="B4211" s="13">
        <v>45</v>
      </c>
      <c r="C4211" t="s">
        <v>3</v>
      </c>
      <c r="D4211" t="s">
        <v>4</v>
      </c>
      <c r="E4211" t="s">
        <v>21</v>
      </c>
      <c r="F4211">
        <v>202185231</v>
      </c>
      <c r="G4211" t="s">
        <v>1424</v>
      </c>
      <c r="H4211" t="s">
        <v>285</v>
      </c>
      <c r="I4211">
        <v>0</v>
      </c>
      <c r="J4211">
        <v>0</v>
      </c>
      <c r="K4211">
        <v>0</v>
      </c>
      <c r="L4211">
        <v>0</v>
      </c>
      <c r="M4211">
        <v>0.17</v>
      </c>
      <c r="N4211" s="7" t="e">
        <f>VLOOKUP(F4211,HC!A$6:D$100,3,FALSE)</f>
        <v>#N/A</v>
      </c>
      <c r="O4211" s="7" t="str">
        <f>VLOOKUP(F4211,HC!A$6:D$1000,2,FALSE)</f>
        <v>davazquq</v>
      </c>
    </row>
    <row r="4212" spans="1:15" ht="37.5" customHeight="1" x14ac:dyDescent="0.25">
      <c r="A4212" s="23">
        <v>45240</v>
      </c>
      <c r="B4212" s="13">
        <v>45</v>
      </c>
      <c r="C4212" t="s">
        <v>3</v>
      </c>
      <c r="D4212" t="s">
        <v>4</v>
      </c>
      <c r="E4212" t="s">
        <v>21</v>
      </c>
      <c r="F4212">
        <v>202194885</v>
      </c>
      <c r="G4212" t="s">
        <v>1738</v>
      </c>
      <c r="H4212" t="s">
        <v>285</v>
      </c>
      <c r="I4212">
        <v>0</v>
      </c>
      <c r="J4212">
        <v>0</v>
      </c>
      <c r="K4212">
        <v>0</v>
      </c>
      <c r="L4212">
        <v>0</v>
      </c>
      <c r="M4212">
        <v>0.19</v>
      </c>
      <c r="N4212" s="7" t="e">
        <f>VLOOKUP(F4212,HC!A$6:D$100,3,FALSE)</f>
        <v>#N/A</v>
      </c>
      <c r="O4212" s="7" t="str">
        <f>VLOOKUP(F4212,HC!A$6:D$1000,2,FALSE)</f>
        <v>bermisrq</v>
      </c>
    </row>
    <row r="4213" spans="1:15" ht="37.5" customHeight="1" x14ac:dyDescent="0.25">
      <c r="A4213" s="23">
        <v>45240</v>
      </c>
      <c r="B4213" s="13">
        <v>45</v>
      </c>
      <c r="C4213" t="s">
        <v>3</v>
      </c>
      <c r="D4213" t="s">
        <v>4</v>
      </c>
      <c r="E4213" t="s">
        <v>21</v>
      </c>
      <c r="F4213">
        <v>202195532</v>
      </c>
      <c r="G4213" t="s">
        <v>2017</v>
      </c>
      <c r="H4213" t="s">
        <v>285</v>
      </c>
      <c r="I4213">
        <v>0</v>
      </c>
      <c r="J4213">
        <v>0</v>
      </c>
      <c r="K4213">
        <v>0</v>
      </c>
      <c r="L4213">
        <v>0</v>
      </c>
      <c r="M4213">
        <v>1.04</v>
      </c>
      <c r="N4213" s="7" t="e">
        <f>VLOOKUP(F4213,HC!A$6:D$100,3,FALSE)</f>
        <v>#N/A</v>
      </c>
      <c r="O4213" s="7" t="str">
        <f>VLOOKUP(F4213,HC!A$6:D$1000,2,FALSE)</f>
        <v>ricobran</v>
      </c>
    </row>
    <row r="4214" spans="1:15" ht="37.5" customHeight="1" x14ac:dyDescent="0.25">
      <c r="A4214" s="23">
        <v>45240</v>
      </c>
      <c r="B4214" s="13">
        <v>45</v>
      </c>
      <c r="C4214" t="s">
        <v>3</v>
      </c>
      <c r="D4214" t="s">
        <v>4</v>
      </c>
      <c r="E4214" t="s">
        <v>21</v>
      </c>
      <c r="F4214">
        <v>202238583</v>
      </c>
      <c r="G4214" t="s">
        <v>2018</v>
      </c>
      <c r="H4214" t="s">
        <v>403</v>
      </c>
      <c r="I4214">
        <v>0</v>
      </c>
      <c r="J4214">
        <v>0</v>
      </c>
      <c r="K4214">
        <v>0</v>
      </c>
      <c r="L4214">
        <v>0</v>
      </c>
      <c r="M4214">
        <v>0.2</v>
      </c>
      <c r="N4214" s="7" t="e">
        <f>VLOOKUP(F4214,HC!A$6:D$100,3,FALSE)</f>
        <v>#N/A</v>
      </c>
      <c r="O4214" s="7" t="str">
        <f>VLOOKUP(F4214,HC!A$6:D$1000,2,FALSE)</f>
        <v>chicangj</v>
      </c>
    </row>
    <row r="4215" spans="1:15" ht="37.5" customHeight="1" x14ac:dyDescent="0.25">
      <c r="A4215" s="23">
        <v>45240</v>
      </c>
      <c r="B4215" s="13">
        <v>45</v>
      </c>
      <c r="C4215" t="s">
        <v>3</v>
      </c>
      <c r="D4215" t="s">
        <v>4</v>
      </c>
      <c r="E4215" t="s">
        <v>21</v>
      </c>
      <c r="F4215">
        <v>202254886</v>
      </c>
      <c r="G4215" t="s">
        <v>1741</v>
      </c>
      <c r="H4215" t="s">
        <v>403</v>
      </c>
      <c r="I4215">
        <v>0</v>
      </c>
      <c r="J4215">
        <v>0</v>
      </c>
      <c r="K4215">
        <v>0</v>
      </c>
      <c r="L4215">
        <v>0</v>
      </c>
      <c r="M4215">
        <v>0.45</v>
      </c>
      <c r="N4215" s="7" t="e">
        <f>VLOOKUP(F4215,HC!A$6:D$100,3,FALSE)</f>
        <v>#N/A</v>
      </c>
      <c r="O4215" s="7" t="str">
        <f>VLOOKUP(F4215,HC!A$6:D$1000,2,FALSE)</f>
        <v>xmenjare</v>
      </c>
    </row>
    <row r="4216" spans="1:15" ht="37.5" customHeight="1" x14ac:dyDescent="0.25">
      <c r="A4216" s="23">
        <v>45240</v>
      </c>
      <c r="B4216" s="13">
        <v>45</v>
      </c>
      <c r="C4216" t="s">
        <v>3</v>
      </c>
      <c r="D4216" t="s">
        <v>4</v>
      </c>
      <c r="E4216" t="s">
        <v>21</v>
      </c>
      <c r="F4216">
        <v>202265859</v>
      </c>
      <c r="G4216" t="s">
        <v>2019</v>
      </c>
      <c r="H4216" t="s">
        <v>459</v>
      </c>
      <c r="I4216">
        <v>0</v>
      </c>
      <c r="J4216">
        <v>0</v>
      </c>
      <c r="K4216">
        <v>0</v>
      </c>
      <c r="L4216">
        <v>0</v>
      </c>
      <c r="M4216">
        <v>0.52</v>
      </c>
      <c r="N4216" s="7" t="e">
        <f>VLOOKUP(F4216,HC!A$6:D$100,3,FALSE)</f>
        <v>#N/A</v>
      </c>
      <c r="O4216" s="7" t="str">
        <f>VLOOKUP(F4216,HC!A$6:D$1000,2,FALSE)</f>
        <v>tadeovel</v>
      </c>
    </row>
    <row r="4217" spans="1:15" ht="37.5" customHeight="1" x14ac:dyDescent="0.25">
      <c r="A4217" s="23">
        <v>45240</v>
      </c>
      <c r="B4217" s="13">
        <v>45</v>
      </c>
      <c r="C4217" t="s">
        <v>3</v>
      </c>
      <c r="D4217" t="s">
        <v>4</v>
      </c>
      <c r="E4217" t="s">
        <v>21</v>
      </c>
      <c r="F4217">
        <v>202364552</v>
      </c>
      <c r="G4217" t="s">
        <v>1767</v>
      </c>
      <c r="H4217" t="s">
        <v>459</v>
      </c>
      <c r="I4217">
        <v>0</v>
      </c>
      <c r="J4217">
        <v>0</v>
      </c>
      <c r="K4217">
        <v>0</v>
      </c>
      <c r="L4217">
        <v>0</v>
      </c>
      <c r="M4217">
        <v>0.2</v>
      </c>
      <c r="N4217" s="7" t="e">
        <f>VLOOKUP(F4217,HC!A$6:D$100,3,FALSE)</f>
        <v>#N/A</v>
      </c>
      <c r="O4217" s="7" t="str">
        <f>VLOOKUP(F4217,HC!A$6:D$1000,2,FALSE)</f>
        <v>roapolot</v>
      </c>
    </row>
    <row r="4218" spans="1:15" ht="37.5" customHeight="1" x14ac:dyDescent="0.25">
      <c r="A4218" s="23">
        <v>45240</v>
      </c>
      <c r="B4218" s="13">
        <v>45</v>
      </c>
      <c r="C4218" t="s">
        <v>3</v>
      </c>
      <c r="D4218" t="s">
        <v>4</v>
      </c>
      <c r="E4218" t="s">
        <v>21</v>
      </c>
      <c r="F4218">
        <v>202417687</v>
      </c>
      <c r="G4218" t="s">
        <v>1754</v>
      </c>
      <c r="H4218" t="s">
        <v>1471</v>
      </c>
      <c r="I4218">
        <v>0</v>
      </c>
      <c r="J4218">
        <v>0</v>
      </c>
      <c r="K4218">
        <v>0</v>
      </c>
      <c r="L4218">
        <v>0</v>
      </c>
      <c r="M4218">
        <v>1.21</v>
      </c>
      <c r="N4218" s="7" t="e">
        <f>VLOOKUP(F4218,HC!A$6:D$100,3,FALSE)</f>
        <v>#N/A</v>
      </c>
      <c r="O4218" s="7" t="str">
        <f>VLOOKUP(F4218,HC!A$6:D$1000,2,FALSE)</f>
        <v>cordoedt</v>
      </c>
    </row>
    <row r="4219" spans="1:15" ht="37.5" customHeight="1" x14ac:dyDescent="0.25">
      <c r="A4219" s="23">
        <v>45240</v>
      </c>
      <c r="B4219" s="13">
        <v>45</v>
      </c>
      <c r="C4219" t="s">
        <v>3</v>
      </c>
      <c r="D4219" t="s">
        <v>4</v>
      </c>
      <c r="E4219" t="s">
        <v>21</v>
      </c>
      <c r="F4219">
        <v>202417927</v>
      </c>
      <c r="G4219" t="s">
        <v>2015</v>
      </c>
      <c r="H4219" t="s">
        <v>459</v>
      </c>
      <c r="I4219">
        <v>0</v>
      </c>
      <c r="J4219">
        <v>0</v>
      </c>
      <c r="K4219">
        <v>0</v>
      </c>
      <c r="L4219">
        <v>0</v>
      </c>
      <c r="M4219">
        <v>0.28999999999999998</v>
      </c>
      <c r="N4219" s="7" t="e">
        <f>VLOOKUP(F4219,HC!A$6:D$100,3,FALSE)</f>
        <v>#N/A</v>
      </c>
      <c r="O4219" s="7" t="str">
        <f>VLOOKUP(F4219,HC!A$6:D$1000,2,FALSE)</f>
        <v>jazvaldi</v>
      </c>
    </row>
    <row r="4220" spans="1:15" ht="37.5" customHeight="1" x14ac:dyDescent="0.25">
      <c r="A4220" s="23">
        <v>45240</v>
      </c>
      <c r="B4220" s="13">
        <v>45</v>
      </c>
      <c r="C4220" t="s">
        <v>3</v>
      </c>
      <c r="D4220" t="s">
        <v>4</v>
      </c>
      <c r="E4220" t="s">
        <v>21</v>
      </c>
      <c r="F4220">
        <v>202421453</v>
      </c>
      <c r="G4220" t="s">
        <v>2020</v>
      </c>
      <c r="H4220" t="s">
        <v>459</v>
      </c>
      <c r="I4220">
        <v>0</v>
      </c>
      <c r="J4220">
        <v>0</v>
      </c>
      <c r="K4220">
        <v>0</v>
      </c>
      <c r="L4220">
        <v>0</v>
      </c>
      <c r="M4220">
        <v>0.36</v>
      </c>
      <c r="N4220" s="7" t="e">
        <f>VLOOKUP(F4220,HC!A$6:D$100,3,FALSE)</f>
        <v>#N/A</v>
      </c>
      <c r="O4220" s="7" t="str">
        <f>VLOOKUP(F4220,HC!A$6:D$1000,2,FALSE)</f>
        <v>chejserg</v>
      </c>
    </row>
    <row r="4221" spans="1:15" ht="37.5" customHeight="1" x14ac:dyDescent="0.25">
      <c r="A4221" s="23">
        <v>45241</v>
      </c>
      <c r="B4221" s="13">
        <v>45</v>
      </c>
      <c r="C4221" t="s">
        <v>3</v>
      </c>
      <c r="D4221" t="s">
        <v>4</v>
      </c>
      <c r="E4221" t="s">
        <v>5</v>
      </c>
      <c r="F4221">
        <v>112972194</v>
      </c>
      <c r="G4221" t="s">
        <v>448</v>
      </c>
      <c r="H4221" t="s">
        <v>1720</v>
      </c>
      <c r="I4221">
        <v>0</v>
      </c>
      <c r="J4221">
        <v>0</v>
      </c>
      <c r="K4221">
        <v>0</v>
      </c>
      <c r="L4221">
        <v>0</v>
      </c>
      <c r="M4221">
        <v>0.1</v>
      </c>
      <c r="N4221" s="7" t="str">
        <f>VLOOKUP(F4221,HC!A$6:D$100,3,FALSE)</f>
        <v>DB-X0700</v>
      </c>
      <c r="O4221" s="7" t="str">
        <f>VLOOKUP(F4221,HC!A$6:D$1000,2,FALSE)</f>
        <v>velaangl</v>
      </c>
    </row>
    <row r="4222" spans="1:15" ht="37.5" customHeight="1" x14ac:dyDescent="0.25">
      <c r="A4222" s="23">
        <v>45241</v>
      </c>
      <c r="B4222" s="13">
        <v>45</v>
      </c>
      <c r="C4222" t="s">
        <v>3</v>
      </c>
      <c r="D4222" t="s">
        <v>4</v>
      </c>
      <c r="E4222" t="s">
        <v>5</v>
      </c>
      <c r="F4222">
        <v>112972524</v>
      </c>
      <c r="G4222" t="s">
        <v>312</v>
      </c>
      <c r="H4222" t="s">
        <v>14</v>
      </c>
      <c r="I4222">
        <v>0</v>
      </c>
      <c r="J4222">
        <v>0</v>
      </c>
      <c r="K4222">
        <v>0</v>
      </c>
      <c r="L4222">
        <v>0</v>
      </c>
      <c r="M4222">
        <v>0.62</v>
      </c>
      <c r="N4222" s="7" t="str">
        <f>VLOOKUP(F4222,HC!A$6:D$100,3,FALSE)</f>
        <v>DB-X0700</v>
      </c>
      <c r="O4222" s="7" t="str">
        <f>VLOOKUP(F4222,HC!A$6:D$1000,2,FALSE)</f>
        <v>csantibl</v>
      </c>
    </row>
    <row r="4223" spans="1:15" ht="37.5" customHeight="1" x14ac:dyDescent="0.25">
      <c r="A4223" s="23">
        <v>45241</v>
      </c>
      <c r="B4223" s="13">
        <v>45</v>
      </c>
      <c r="C4223" t="s">
        <v>3</v>
      </c>
      <c r="D4223" t="s">
        <v>4</v>
      </c>
      <c r="E4223" t="s">
        <v>5</v>
      </c>
      <c r="F4223">
        <v>113014042</v>
      </c>
      <c r="G4223" t="s">
        <v>329</v>
      </c>
      <c r="H4223" t="s">
        <v>1471</v>
      </c>
      <c r="I4223">
        <v>0</v>
      </c>
      <c r="J4223">
        <v>0</v>
      </c>
      <c r="K4223">
        <v>0</v>
      </c>
      <c r="L4223">
        <v>0</v>
      </c>
      <c r="M4223">
        <v>0.17</v>
      </c>
      <c r="N4223" s="7" t="e">
        <f>VLOOKUP(F4223,HC!A$6:D$100,3,FALSE)</f>
        <v>#N/A</v>
      </c>
      <c r="O4223" s="7" t="str">
        <f>VLOOKUP(F4223,HC!A$6:D$1000,2,FALSE)</f>
        <v>rfcervan</v>
      </c>
    </row>
    <row r="4224" spans="1:15" ht="37.5" customHeight="1" x14ac:dyDescent="0.25">
      <c r="A4224" s="23">
        <v>45241</v>
      </c>
      <c r="B4224" s="13">
        <v>45</v>
      </c>
      <c r="C4224" t="s">
        <v>3</v>
      </c>
      <c r="D4224" t="s">
        <v>4</v>
      </c>
      <c r="E4224" t="s">
        <v>5</v>
      </c>
      <c r="F4224">
        <v>113014092</v>
      </c>
      <c r="G4224" t="s">
        <v>552</v>
      </c>
      <c r="H4224" t="s">
        <v>298</v>
      </c>
      <c r="I4224">
        <v>0</v>
      </c>
      <c r="J4224">
        <v>0</v>
      </c>
      <c r="K4224">
        <v>0</v>
      </c>
      <c r="L4224">
        <v>0</v>
      </c>
      <c r="M4224">
        <v>0.92</v>
      </c>
      <c r="N4224" s="7" t="e">
        <f>VLOOKUP(F4224,HC!A$6:D$100,3,FALSE)</f>
        <v>#N/A</v>
      </c>
      <c r="O4224" s="7" t="str">
        <f>VLOOKUP(F4224,HC!A$6:D$1000,2,FALSE)</f>
        <v>rsanccri</v>
      </c>
    </row>
    <row r="4225" spans="1:16" ht="37.5" customHeight="1" x14ac:dyDescent="0.25">
      <c r="A4225" s="23">
        <v>45241</v>
      </c>
      <c r="B4225" s="13">
        <v>45</v>
      </c>
      <c r="C4225" t="s">
        <v>3</v>
      </c>
      <c r="D4225" t="s">
        <v>4</v>
      </c>
      <c r="E4225" t="s">
        <v>5</v>
      </c>
      <c r="F4225">
        <v>113020476</v>
      </c>
      <c r="G4225" t="s">
        <v>330</v>
      </c>
      <c r="H4225" t="s">
        <v>298</v>
      </c>
      <c r="I4225">
        <v>0</v>
      </c>
      <c r="J4225">
        <v>0</v>
      </c>
      <c r="K4225">
        <v>0</v>
      </c>
      <c r="L4225">
        <v>0</v>
      </c>
      <c r="M4225">
        <v>0.56000000000000005</v>
      </c>
      <c r="N4225" s="7" t="e">
        <f>VLOOKUP(F4225,HC!A$6:D$100,3,FALSE)</f>
        <v>#N/A</v>
      </c>
      <c r="O4225" s="7" t="str">
        <f>VLOOKUP(F4225,HC!A$6:D$1000,2,FALSE)</f>
        <v>polettpu</v>
      </c>
    </row>
    <row r="4226" spans="1:16" ht="37.5" customHeight="1" x14ac:dyDescent="0.25">
      <c r="A4226" s="23">
        <v>45241</v>
      </c>
      <c r="B4226" s="13">
        <v>45</v>
      </c>
      <c r="C4226" t="s">
        <v>3</v>
      </c>
      <c r="D4226" t="s">
        <v>4</v>
      </c>
      <c r="E4226" t="s">
        <v>5</v>
      </c>
      <c r="F4226">
        <v>113052151</v>
      </c>
      <c r="G4226" t="s">
        <v>482</v>
      </c>
      <c r="H4226" t="s">
        <v>285</v>
      </c>
      <c r="I4226">
        <v>0</v>
      </c>
      <c r="J4226">
        <v>0</v>
      </c>
      <c r="K4226">
        <v>0</v>
      </c>
      <c r="L4226">
        <v>0</v>
      </c>
      <c r="M4226">
        <v>0.41</v>
      </c>
      <c r="N4226" s="7" t="e">
        <f>VLOOKUP(F4226,HC!A$6:D$100,3,FALSE)</f>
        <v>#N/A</v>
      </c>
      <c r="O4226" s="7" t="str">
        <f>VLOOKUP(F4226,HC!A$6:D$1000,2,FALSE)</f>
        <v>nilaurab</v>
      </c>
    </row>
    <row r="4227" spans="1:16" ht="37.5" customHeight="1" x14ac:dyDescent="0.25">
      <c r="A4227" s="23">
        <v>45241</v>
      </c>
      <c r="B4227" s="13">
        <v>45</v>
      </c>
      <c r="C4227" t="s">
        <v>3</v>
      </c>
      <c r="D4227" t="s">
        <v>4</v>
      </c>
      <c r="E4227" t="s">
        <v>5</v>
      </c>
      <c r="F4227">
        <v>113103540</v>
      </c>
      <c r="G4227" t="s">
        <v>854</v>
      </c>
      <c r="H4227" t="s">
        <v>403</v>
      </c>
      <c r="I4227">
        <v>0</v>
      </c>
      <c r="J4227">
        <v>0</v>
      </c>
      <c r="K4227">
        <v>0</v>
      </c>
      <c r="L4227">
        <v>0</v>
      </c>
      <c r="M4227">
        <v>0.06</v>
      </c>
      <c r="N4227" s="7" t="e">
        <f>VLOOKUP(F4227,HC!A$6:D$100,3,FALSE)</f>
        <v>#N/A</v>
      </c>
      <c r="O4227" s="7" t="str">
        <f>VLOOKUP(F4227,HC!A$6:D$1000,2,FALSE)</f>
        <v>delgadax</v>
      </c>
    </row>
    <row r="4228" spans="1:16" ht="37.5" customHeight="1" x14ac:dyDescent="0.25">
      <c r="A4228" s="23">
        <v>45241</v>
      </c>
      <c r="B4228" s="13">
        <v>45</v>
      </c>
      <c r="C4228" t="s">
        <v>3</v>
      </c>
      <c r="D4228" t="s">
        <v>4</v>
      </c>
      <c r="E4228" t="s">
        <v>5</v>
      </c>
      <c r="F4228">
        <v>200508323</v>
      </c>
      <c r="G4228" t="s">
        <v>1150</v>
      </c>
      <c r="H4228" t="s">
        <v>298</v>
      </c>
      <c r="I4228">
        <v>0</v>
      </c>
      <c r="J4228">
        <v>0</v>
      </c>
      <c r="K4228">
        <v>0</v>
      </c>
      <c r="L4228">
        <v>0</v>
      </c>
      <c r="M4228">
        <v>0.2</v>
      </c>
      <c r="N4228" s="7" t="e">
        <f>VLOOKUP(F4228,HC!A$6:D$100,3,FALSE)</f>
        <v>#N/A</v>
      </c>
      <c r="O4228" s="7" t="str">
        <f>VLOOKUP(F4228,HC!A$6:D$1000,2,FALSE)</f>
        <v>espejell</v>
      </c>
    </row>
    <row r="4229" spans="1:16" ht="37.5" customHeight="1" x14ac:dyDescent="0.25">
      <c r="A4229" s="23">
        <v>45241</v>
      </c>
      <c r="B4229" s="13">
        <v>45</v>
      </c>
      <c r="C4229" t="s">
        <v>3</v>
      </c>
      <c r="D4229" t="s">
        <v>4</v>
      </c>
      <c r="E4229" t="s">
        <v>5</v>
      </c>
      <c r="F4229">
        <v>200563038</v>
      </c>
      <c r="G4229" t="s">
        <v>949</v>
      </c>
      <c r="H4229" t="s">
        <v>403</v>
      </c>
      <c r="I4229">
        <v>0</v>
      </c>
      <c r="J4229">
        <v>0</v>
      </c>
      <c r="K4229">
        <v>0</v>
      </c>
      <c r="L4229">
        <v>0</v>
      </c>
      <c r="M4229">
        <v>0.13</v>
      </c>
      <c r="N4229" s="7" t="e">
        <f>VLOOKUP(F4229,HC!A$6:D$100,3,FALSE)</f>
        <v>#N/A</v>
      </c>
      <c r="O4229" s="7" t="str">
        <f>VLOOKUP(F4229,HC!A$6:D$1000,2,FALSE)</f>
        <v>ariaszee</v>
      </c>
    </row>
    <row r="4230" spans="1:16" ht="37.5" customHeight="1" x14ac:dyDescent="0.25">
      <c r="A4230" s="23">
        <v>45241</v>
      </c>
      <c r="B4230" s="13">
        <v>45</v>
      </c>
      <c r="C4230" t="s">
        <v>3</v>
      </c>
      <c r="D4230" t="s">
        <v>4</v>
      </c>
      <c r="E4230" t="s">
        <v>5</v>
      </c>
      <c r="F4230">
        <v>201191198</v>
      </c>
      <c r="G4230" t="s">
        <v>974</v>
      </c>
      <c r="H4230" t="s">
        <v>285</v>
      </c>
      <c r="I4230">
        <v>0</v>
      </c>
      <c r="J4230">
        <v>0</v>
      </c>
      <c r="K4230">
        <v>0</v>
      </c>
      <c r="L4230">
        <v>0</v>
      </c>
      <c r="M4230">
        <v>1.5</v>
      </c>
      <c r="N4230" s="7" t="e">
        <f>VLOOKUP(F4230,HC!A$6:D$100,3,FALSE)</f>
        <v>#N/A</v>
      </c>
      <c r="O4230" s="7" t="str">
        <f>VLOOKUP(F4230,HC!A$6:D$1000,2,FALSE)</f>
        <v>mojicemm</v>
      </c>
      <c r="P4230" t="s">
        <v>661</v>
      </c>
    </row>
    <row r="4231" spans="1:16" ht="37.5" customHeight="1" x14ac:dyDescent="0.25">
      <c r="A4231" s="23">
        <v>45241</v>
      </c>
      <c r="B4231" s="13">
        <v>45</v>
      </c>
      <c r="C4231" t="s">
        <v>3</v>
      </c>
      <c r="D4231" t="s">
        <v>4</v>
      </c>
      <c r="E4231" t="s">
        <v>5</v>
      </c>
      <c r="F4231">
        <v>201223730</v>
      </c>
      <c r="G4231" t="s">
        <v>933</v>
      </c>
      <c r="H4231" t="s">
        <v>298</v>
      </c>
      <c r="I4231">
        <v>0</v>
      </c>
      <c r="J4231">
        <v>0</v>
      </c>
      <c r="K4231">
        <v>0</v>
      </c>
      <c r="L4231">
        <v>0</v>
      </c>
      <c r="M4231">
        <v>0.75</v>
      </c>
      <c r="N4231" s="7" t="e">
        <f>VLOOKUP(F4231,HC!A$6:D$100,3,FALSE)</f>
        <v>#N/A</v>
      </c>
      <c r="O4231" s="7" t="str">
        <f>VLOOKUP(F4231,HC!A$6:D$1000,2,FALSE)</f>
        <v>cesarito</v>
      </c>
    </row>
    <row r="4232" spans="1:16" ht="37.5" customHeight="1" x14ac:dyDescent="0.25">
      <c r="A4232" s="23">
        <v>45241</v>
      </c>
      <c r="B4232" s="13">
        <v>45</v>
      </c>
      <c r="C4232" t="s">
        <v>3</v>
      </c>
      <c r="D4232" t="s">
        <v>4</v>
      </c>
      <c r="E4232" t="s">
        <v>5</v>
      </c>
      <c r="F4232">
        <v>201228411</v>
      </c>
      <c r="G4232" t="s">
        <v>938</v>
      </c>
      <c r="H4232" t="s">
        <v>298</v>
      </c>
      <c r="I4232">
        <v>0</v>
      </c>
      <c r="J4232">
        <v>0</v>
      </c>
      <c r="K4232">
        <v>0</v>
      </c>
      <c r="L4232">
        <v>0</v>
      </c>
      <c r="M4232">
        <v>0.75</v>
      </c>
      <c r="N4232" s="7" t="e">
        <f>VLOOKUP(F4232,HC!A$6:D$100,3,FALSE)</f>
        <v>#N/A</v>
      </c>
      <c r="O4232" s="7" t="str">
        <f>VLOOKUP(F4232,HC!A$6:D$1000,2,FALSE)</f>
        <v>jazmiwhe</v>
      </c>
    </row>
    <row r="4233" spans="1:16" ht="37.5" customHeight="1" x14ac:dyDescent="0.25">
      <c r="A4233" s="23">
        <v>45241</v>
      </c>
      <c r="B4233" s="13">
        <v>45</v>
      </c>
      <c r="C4233" t="s">
        <v>3</v>
      </c>
      <c r="D4233" t="s">
        <v>4</v>
      </c>
      <c r="E4233" t="s">
        <v>5</v>
      </c>
      <c r="F4233">
        <v>201295429</v>
      </c>
      <c r="G4233" t="s">
        <v>1097</v>
      </c>
      <c r="H4233" t="s">
        <v>403</v>
      </c>
      <c r="I4233">
        <v>0</v>
      </c>
      <c r="J4233">
        <v>0</v>
      </c>
      <c r="K4233">
        <v>0</v>
      </c>
      <c r="L4233">
        <v>0</v>
      </c>
      <c r="M4233">
        <v>0.5</v>
      </c>
      <c r="N4233" s="7" t="e">
        <f>VLOOKUP(F4233,HC!A$6:D$100,3,FALSE)</f>
        <v>#N/A</v>
      </c>
      <c r="O4233" s="7" t="str">
        <f>VLOOKUP(F4233,HC!A$6:D$1000,2,FALSE)</f>
        <v>mireljes</v>
      </c>
    </row>
    <row r="4234" spans="1:16" ht="37.5" customHeight="1" x14ac:dyDescent="0.25">
      <c r="A4234" s="23">
        <v>45241</v>
      </c>
      <c r="B4234" s="13">
        <v>45</v>
      </c>
      <c r="C4234" t="s">
        <v>3</v>
      </c>
      <c r="D4234" t="s">
        <v>4</v>
      </c>
      <c r="E4234" t="s">
        <v>5</v>
      </c>
      <c r="F4234">
        <v>201345737</v>
      </c>
      <c r="G4234" t="s">
        <v>1083</v>
      </c>
      <c r="H4234" t="s">
        <v>403</v>
      </c>
      <c r="I4234">
        <v>0</v>
      </c>
      <c r="J4234">
        <v>0</v>
      </c>
      <c r="K4234">
        <v>0</v>
      </c>
      <c r="L4234">
        <v>0</v>
      </c>
      <c r="M4234">
        <v>0.51</v>
      </c>
      <c r="N4234" s="7" t="e">
        <f>VLOOKUP(F4234,HC!A$6:D$100,3,FALSE)</f>
        <v>#N/A</v>
      </c>
      <c r="O4234" s="7" t="str">
        <f>VLOOKUP(F4234,HC!A$6:D$1000,2,FALSE)</f>
        <v>upacoros</v>
      </c>
    </row>
    <row r="4235" spans="1:16" ht="37.5" customHeight="1" x14ac:dyDescent="0.25">
      <c r="A4235" s="23">
        <v>45241</v>
      </c>
      <c r="B4235" s="13">
        <v>45</v>
      </c>
      <c r="C4235" t="s">
        <v>3</v>
      </c>
      <c r="D4235" t="s">
        <v>4</v>
      </c>
      <c r="E4235" t="s">
        <v>5</v>
      </c>
      <c r="F4235">
        <v>201403462</v>
      </c>
      <c r="G4235" t="s">
        <v>1054</v>
      </c>
      <c r="H4235" t="s">
        <v>1471</v>
      </c>
      <c r="I4235">
        <v>0</v>
      </c>
      <c r="J4235">
        <v>0</v>
      </c>
      <c r="K4235">
        <v>0</v>
      </c>
      <c r="L4235">
        <v>0</v>
      </c>
      <c r="M4235">
        <v>0.62</v>
      </c>
      <c r="N4235" s="7" t="e">
        <f>VLOOKUP(F4235,HC!A$6:D$100,3,FALSE)</f>
        <v>#N/A</v>
      </c>
      <c r="O4235" s="7" t="str">
        <f>VLOOKUP(F4235,HC!A$6:D$1000,2,FALSE)</f>
        <v>valdojoe</v>
      </c>
    </row>
    <row r="4236" spans="1:16" ht="37.5" customHeight="1" x14ac:dyDescent="0.25">
      <c r="A4236" s="23">
        <v>45241</v>
      </c>
      <c r="B4236" s="13">
        <v>45</v>
      </c>
      <c r="C4236" t="s">
        <v>3</v>
      </c>
      <c r="D4236" t="s">
        <v>4</v>
      </c>
      <c r="E4236" t="s">
        <v>5</v>
      </c>
      <c r="F4236">
        <v>201842039</v>
      </c>
      <c r="G4236" t="s">
        <v>1231</v>
      </c>
      <c r="H4236" t="s">
        <v>285</v>
      </c>
      <c r="I4236">
        <v>0</v>
      </c>
      <c r="J4236">
        <v>0</v>
      </c>
      <c r="K4236">
        <v>0</v>
      </c>
      <c r="L4236">
        <v>0</v>
      </c>
      <c r="M4236">
        <v>0.16</v>
      </c>
      <c r="N4236" s="7" t="e">
        <f>VLOOKUP(F4236,HC!A$6:D$100,3,FALSE)</f>
        <v>#N/A</v>
      </c>
      <c r="O4236" s="7" t="str">
        <f>VLOOKUP(F4236,HC!A$6:D$1000,2,FALSE)</f>
        <v>fantmar</v>
      </c>
    </row>
    <row r="4237" spans="1:16" ht="37.5" customHeight="1" x14ac:dyDescent="0.25">
      <c r="A4237" s="23">
        <v>45241</v>
      </c>
      <c r="B4237" s="13">
        <v>45</v>
      </c>
      <c r="C4237" t="s">
        <v>3</v>
      </c>
      <c r="D4237" t="s">
        <v>4</v>
      </c>
      <c r="E4237" t="s">
        <v>5</v>
      </c>
      <c r="F4237">
        <v>201858789</v>
      </c>
      <c r="G4237" t="s">
        <v>1218</v>
      </c>
      <c r="H4237" t="s">
        <v>285</v>
      </c>
      <c r="I4237">
        <v>0</v>
      </c>
      <c r="J4237">
        <v>0</v>
      </c>
      <c r="K4237">
        <v>0</v>
      </c>
      <c r="L4237">
        <v>0</v>
      </c>
      <c r="M4237">
        <v>0.39</v>
      </c>
      <c r="N4237" s="7" t="e">
        <f>VLOOKUP(F4237,HC!A$6:D$100,3,FALSE)</f>
        <v>#N/A</v>
      </c>
      <c r="O4237" s="7" t="str">
        <f>VLOOKUP(F4237,HC!A$6:D$1000,2,FALSE)</f>
        <v>ignachis</v>
      </c>
    </row>
    <row r="4238" spans="1:16" ht="37.5" customHeight="1" x14ac:dyDescent="0.25">
      <c r="A4238" s="23">
        <v>45241</v>
      </c>
      <c r="B4238" s="13">
        <v>45</v>
      </c>
      <c r="C4238" t="s">
        <v>3</v>
      </c>
      <c r="D4238" t="s">
        <v>4</v>
      </c>
      <c r="E4238" t="s">
        <v>5</v>
      </c>
      <c r="F4238">
        <v>201864225</v>
      </c>
      <c r="G4238" t="s">
        <v>1259</v>
      </c>
      <c r="H4238" t="s">
        <v>285</v>
      </c>
      <c r="I4238">
        <v>0</v>
      </c>
      <c r="J4238">
        <v>0</v>
      </c>
      <c r="K4238">
        <v>0</v>
      </c>
      <c r="L4238">
        <v>0</v>
      </c>
      <c r="M4238">
        <v>0.14000000000000001</v>
      </c>
      <c r="N4238" s="7" t="e">
        <f>VLOOKUP(F4238,HC!A$6:D$100,3,FALSE)</f>
        <v>#N/A</v>
      </c>
      <c r="O4238" s="7" t="str">
        <f>VLOOKUP(F4238,HC!A$6:D$1000,2,FALSE)</f>
        <v>floreivc</v>
      </c>
    </row>
    <row r="4239" spans="1:16" ht="37.5" customHeight="1" x14ac:dyDescent="0.25">
      <c r="A4239" s="23">
        <v>45241</v>
      </c>
      <c r="B4239" s="13">
        <v>45</v>
      </c>
      <c r="C4239" t="s">
        <v>3</v>
      </c>
      <c r="D4239" t="s">
        <v>4</v>
      </c>
      <c r="E4239" t="s">
        <v>21</v>
      </c>
      <c r="F4239">
        <v>202133678</v>
      </c>
      <c r="G4239" t="s">
        <v>1709</v>
      </c>
      <c r="H4239" t="s">
        <v>298</v>
      </c>
      <c r="I4239">
        <v>0</v>
      </c>
      <c r="J4239">
        <v>0</v>
      </c>
      <c r="K4239">
        <v>0</v>
      </c>
      <c r="L4239">
        <v>0</v>
      </c>
      <c r="M4239">
        <v>0.51</v>
      </c>
      <c r="N4239" s="7" t="e">
        <f>VLOOKUP(F4239,HC!A$6:D$100,3,FALSE)</f>
        <v>#N/A</v>
      </c>
      <c r="O4239" s="7" t="str">
        <f>VLOOKUP(F4239,HC!A$6:D$1000,2,FALSE)</f>
        <v>sdanieq</v>
      </c>
    </row>
    <row r="4240" spans="1:16" ht="37.5" customHeight="1" x14ac:dyDescent="0.25">
      <c r="A4240" s="23">
        <v>45241</v>
      </c>
      <c r="B4240" s="13">
        <v>45</v>
      </c>
      <c r="C4240" t="s">
        <v>3</v>
      </c>
      <c r="D4240" t="s">
        <v>4</v>
      </c>
      <c r="E4240" t="s">
        <v>21</v>
      </c>
      <c r="F4240">
        <v>202137022</v>
      </c>
      <c r="G4240" t="s">
        <v>2021</v>
      </c>
      <c r="H4240" t="s">
        <v>459</v>
      </c>
      <c r="I4240">
        <v>0</v>
      </c>
      <c r="J4240">
        <v>0</v>
      </c>
      <c r="K4240">
        <v>0</v>
      </c>
      <c r="L4240">
        <v>0</v>
      </c>
      <c r="M4240">
        <v>0.23</v>
      </c>
      <c r="N4240" s="7" t="e">
        <f>VLOOKUP(F4240,HC!A$6:D$100,3,FALSE)</f>
        <v>#N/A</v>
      </c>
      <c r="O4240" s="7" t="str">
        <f>VLOOKUP(F4240,HC!A$6:D$1000,2,FALSE)</f>
        <v>jbrensan</v>
      </c>
    </row>
    <row r="4241" spans="1:15" ht="37.5" customHeight="1" x14ac:dyDescent="0.25">
      <c r="A4241" s="23">
        <v>45241</v>
      </c>
      <c r="B4241" s="13">
        <v>45</v>
      </c>
      <c r="C4241" t="s">
        <v>3</v>
      </c>
      <c r="D4241" t="s">
        <v>4</v>
      </c>
      <c r="E4241" t="s">
        <v>21</v>
      </c>
      <c r="F4241">
        <v>202137149</v>
      </c>
      <c r="G4241" t="s">
        <v>1423</v>
      </c>
      <c r="H4241" t="s">
        <v>403</v>
      </c>
      <c r="I4241">
        <v>0</v>
      </c>
      <c r="J4241">
        <v>0</v>
      </c>
      <c r="K4241">
        <v>0</v>
      </c>
      <c r="L4241">
        <v>0</v>
      </c>
      <c r="M4241">
        <v>0.32</v>
      </c>
      <c r="N4241" s="7" t="e">
        <f>VLOOKUP(F4241,HC!A$6:D$100,3,FALSE)</f>
        <v>#N/A</v>
      </c>
      <c r="O4241" s="7" t="str">
        <f>VLOOKUP(F4241,HC!A$6:D$1000,2,FALSE)</f>
        <v>caudicar</v>
      </c>
    </row>
    <row r="4242" spans="1:15" ht="37.5" customHeight="1" x14ac:dyDescent="0.25">
      <c r="A4242" s="23">
        <v>45241</v>
      </c>
      <c r="B4242" s="13">
        <v>45</v>
      </c>
      <c r="C4242" t="s">
        <v>3</v>
      </c>
      <c r="D4242" t="s">
        <v>4</v>
      </c>
      <c r="E4242" t="s">
        <v>21</v>
      </c>
      <c r="F4242">
        <v>202165242</v>
      </c>
      <c r="G4242" t="s">
        <v>1412</v>
      </c>
      <c r="H4242" t="s">
        <v>403</v>
      </c>
      <c r="I4242">
        <v>0</v>
      </c>
      <c r="J4242">
        <v>0</v>
      </c>
      <c r="K4242">
        <v>0</v>
      </c>
      <c r="L4242">
        <v>0</v>
      </c>
      <c r="M4242">
        <v>0.04</v>
      </c>
      <c r="N4242" s="7" t="e">
        <f>VLOOKUP(F4242,HC!A$6:D$100,3,FALSE)</f>
        <v>#N/A</v>
      </c>
      <c r="O4242" s="7" t="str">
        <f>VLOOKUP(F4242,HC!A$6:D$1000,2,FALSE)</f>
        <v>marcqgon</v>
      </c>
    </row>
    <row r="4243" spans="1:15" ht="37.5" customHeight="1" x14ac:dyDescent="0.25">
      <c r="A4243" s="23">
        <v>45241</v>
      </c>
      <c r="B4243" s="13">
        <v>45</v>
      </c>
      <c r="C4243" t="s">
        <v>3</v>
      </c>
      <c r="D4243" t="s">
        <v>4</v>
      </c>
      <c r="E4243" t="s">
        <v>21</v>
      </c>
      <c r="F4243">
        <v>202165417</v>
      </c>
      <c r="G4243" t="s">
        <v>1761</v>
      </c>
      <c r="H4243" t="s">
        <v>298</v>
      </c>
      <c r="I4243">
        <v>0</v>
      </c>
      <c r="J4243">
        <v>0</v>
      </c>
      <c r="K4243">
        <v>0</v>
      </c>
      <c r="L4243">
        <v>0</v>
      </c>
      <c r="M4243">
        <v>0.19</v>
      </c>
      <c r="N4243" s="7" t="e">
        <f>VLOOKUP(F4243,HC!A$6:D$100,3,FALSE)</f>
        <v>#N/A</v>
      </c>
      <c r="O4243" s="7" t="str">
        <f>VLOOKUP(F4243,HC!A$6:D$1000,2,FALSE)</f>
        <v>gonzmorw</v>
      </c>
    </row>
    <row r="4244" spans="1:15" ht="37.5" customHeight="1" x14ac:dyDescent="0.25">
      <c r="A4244" s="23">
        <v>45241</v>
      </c>
      <c r="B4244" s="13">
        <v>45</v>
      </c>
      <c r="C4244" t="s">
        <v>3</v>
      </c>
      <c r="D4244" t="s">
        <v>4</v>
      </c>
      <c r="E4244" t="s">
        <v>21</v>
      </c>
      <c r="F4244">
        <v>202185231</v>
      </c>
      <c r="G4244" t="s">
        <v>1424</v>
      </c>
      <c r="H4244" t="s">
        <v>285</v>
      </c>
      <c r="I4244">
        <v>0</v>
      </c>
      <c r="J4244">
        <v>0</v>
      </c>
      <c r="K4244">
        <v>0</v>
      </c>
      <c r="L4244">
        <v>0</v>
      </c>
      <c r="M4244">
        <v>0.34</v>
      </c>
      <c r="N4244" s="7" t="e">
        <f>VLOOKUP(F4244,HC!A$6:D$100,3,FALSE)</f>
        <v>#N/A</v>
      </c>
      <c r="O4244" s="7" t="str">
        <f>VLOOKUP(F4244,HC!A$6:D$1000,2,FALSE)</f>
        <v>davazquq</v>
      </c>
    </row>
    <row r="4245" spans="1:15" ht="37.5" customHeight="1" x14ac:dyDescent="0.25">
      <c r="A4245" s="23">
        <v>45241</v>
      </c>
      <c r="B4245" s="13">
        <v>45</v>
      </c>
      <c r="C4245" t="s">
        <v>3</v>
      </c>
      <c r="D4245" t="s">
        <v>4</v>
      </c>
      <c r="E4245" t="s">
        <v>21</v>
      </c>
      <c r="F4245">
        <v>202194885</v>
      </c>
      <c r="G4245" t="s">
        <v>1738</v>
      </c>
      <c r="H4245" t="s">
        <v>285</v>
      </c>
      <c r="I4245">
        <v>0</v>
      </c>
      <c r="J4245">
        <v>0</v>
      </c>
      <c r="K4245">
        <v>0</v>
      </c>
      <c r="L4245">
        <v>0</v>
      </c>
      <c r="M4245">
        <v>0.96</v>
      </c>
      <c r="N4245" s="7" t="e">
        <f>VLOOKUP(F4245,HC!A$6:D$100,3,FALSE)</f>
        <v>#N/A</v>
      </c>
      <c r="O4245" s="7" t="str">
        <f>VLOOKUP(F4245,HC!A$6:D$1000,2,FALSE)</f>
        <v>bermisrq</v>
      </c>
    </row>
    <row r="4246" spans="1:15" ht="37.5" customHeight="1" x14ac:dyDescent="0.25">
      <c r="A4246" s="23">
        <v>45241</v>
      </c>
      <c r="B4246" s="13">
        <v>45</v>
      </c>
      <c r="C4246" t="s">
        <v>3</v>
      </c>
      <c r="D4246" t="s">
        <v>4</v>
      </c>
      <c r="E4246" t="s">
        <v>21</v>
      </c>
      <c r="F4246">
        <v>202219546</v>
      </c>
      <c r="G4246" t="s">
        <v>2022</v>
      </c>
      <c r="H4246" t="s">
        <v>403</v>
      </c>
      <c r="I4246">
        <v>0</v>
      </c>
      <c r="J4246">
        <v>0</v>
      </c>
      <c r="K4246">
        <v>0</v>
      </c>
      <c r="L4246">
        <v>0</v>
      </c>
      <c r="M4246">
        <v>0.26</v>
      </c>
      <c r="N4246" s="7" t="e">
        <f>VLOOKUP(F4246,HC!A$6:D$100,3,FALSE)</f>
        <v>#N/A</v>
      </c>
      <c r="O4246" s="7" t="str">
        <f>VLOOKUP(F4246,HC!A$6:D$1000,2,FALSE)</f>
        <v>eanespi</v>
      </c>
    </row>
    <row r="4247" spans="1:15" ht="37.5" customHeight="1" x14ac:dyDescent="0.25">
      <c r="A4247" s="23">
        <v>45241</v>
      </c>
      <c r="B4247" s="13">
        <v>45</v>
      </c>
      <c r="C4247" t="s">
        <v>3</v>
      </c>
      <c r="D4247" t="s">
        <v>4</v>
      </c>
      <c r="E4247" t="s">
        <v>21</v>
      </c>
      <c r="F4247">
        <v>202274001</v>
      </c>
      <c r="G4247" t="s">
        <v>1455</v>
      </c>
      <c r="H4247" t="s">
        <v>403</v>
      </c>
      <c r="I4247">
        <v>0</v>
      </c>
      <c r="J4247">
        <v>0</v>
      </c>
      <c r="K4247">
        <v>0</v>
      </c>
      <c r="L4247">
        <v>0</v>
      </c>
      <c r="M4247">
        <v>0.34</v>
      </c>
      <c r="N4247" s="7" t="e">
        <f>VLOOKUP(F4247,HC!A$6:D$100,3,FALSE)</f>
        <v>#N/A</v>
      </c>
      <c r="O4247" s="7" t="str">
        <f>VLOOKUP(F4247,HC!A$6:D$1000,2,FALSE)</f>
        <v>esmecrey</v>
      </c>
    </row>
    <row r="4248" spans="1:15" ht="37.5" customHeight="1" x14ac:dyDescent="0.25">
      <c r="A4248" s="23">
        <v>45241</v>
      </c>
      <c r="B4248" s="13">
        <v>45</v>
      </c>
      <c r="C4248" t="s">
        <v>3</v>
      </c>
      <c r="D4248" t="s">
        <v>4</v>
      </c>
      <c r="E4248" t="s">
        <v>21</v>
      </c>
      <c r="F4248">
        <v>202282801</v>
      </c>
      <c r="G4248" t="s">
        <v>2023</v>
      </c>
      <c r="H4248" t="s">
        <v>459</v>
      </c>
      <c r="I4248">
        <v>0</v>
      </c>
      <c r="J4248">
        <v>0</v>
      </c>
      <c r="K4248">
        <v>0</v>
      </c>
      <c r="L4248">
        <v>0</v>
      </c>
      <c r="M4248">
        <v>0.15</v>
      </c>
      <c r="N4248" s="7" t="e">
        <f>VLOOKUP(F4248,HC!A$6:D$100,3,FALSE)</f>
        <v>#N/A</v>
      </c>
      <c r="O4248" s="7" t="str">
        <f>VLOOKUP(F4248,HC!A$6:D$1000,2,FALSE)</f>
        <v>cflorfer</v>
      </c>
    </row>
    <row r="4249" spans="1:15" ht="37.5" customHeight="1" x14ac:dyDescent="0.25">
      <c r="A4249" s="23">
        <v>45241</v>
      </c>
      <c r="B4249" s="13">
        <v>45</v>
      </c>
      <c r="C4249" t="s">
        <v>3</v>
      </c>
      <c r="D4249" t="s">
        <v>4</v>
      </c>
      <c r="E4249" t="s">
        <v>21</v>
      </c>
      <c r="F4249">
        <v>202353921</v>
      </c>
      <c r="G4249" t="s">
        <v>1717</v>
      </c>
      <c r="H4249" t="s">
        <v>49</v>
      </c>
      <c r="I4249">
        <v>0</v>
      </c>
      <c r="J4249">
        <v>0</v>
      </c>
      <c r="K4249">
        <v>0</v>
      </c>
      <c r="L4249">
        <v>0</v>
      </c>
      <c r="M4249">
        <v>0.18</v>
      </c>
      <c r="N4249" s="7" t="e">
        <f>VLOOKUP(F4249,HC!A$6:D$100,3,FALSE)</f>
        <v>#N/A</v>
      </c>
      <c r="O4249" s="7" t="str">
        <f>VLOOKUP(F4249,HC!A$6:D$1000,2,FALSE)</f>
        <v>lindinoe</v>
      </c>
    </row>
    <row r="4250" spans="1:15" ht="37.5" customHeight="1" x14ac:dyDescent="0.25">
      <c r="A4250" s="23">
        <v>45241</v>
      </c>
      <c r="B4250" s="13">
        <v>45</v>
      </c>
      <c r="C4250" t="s">
        <v>3</v>
      </c>
      <c r="D4250" t="s">
        <v>4</v>
      </c>
      <c r="E4250" t="s">
        <v>21</v>
      </c>
      <c r="F4250">
        <v>202373445</v>
      </c>
      <c r="G4250" t="s">
        <v>2024</v>
      </c>
      <c r="H4250" t="s">
        <v>285</v>
      </c>
      <c r="I4250">
        <v>0</v>
      </c>
      <c r="J4250">
        <v>0</v>
      </c>
      <c r="K4250">
        <v>0</v>
      </c>
      <c r="L4250">
        <v>0</v>
      </c>
      <c r="M4250">
        <v>0.7</v>
      </c>
      <c r="N4250" s="7" t="e">
        <f>VLOOKUP(F4250,HC!A$6:D$100,3,FALSE)</f>
        <v>#N/A</v>
      </c>
      <c r="O4250" s="7" t="str">
        <f>VLOOKUP(F4250,HC!A$6:D$1000,2,FALSE)</f>
        <v>cearandr</v>
      </c>
    </row>
    <row r="4251" spans="1:15" ht="37.5" customHeight="1" x14ac:dyDescent="0.25">
      <c r="A4251" s="23">
        <v>45241</v>
      </c>
      <c r="B4251" s="13">
        <v>45</v>
      </c>
      <c r="C4251" t="s">
        <v>3</v>
      </c>
      <c r="D4251" t="s">
        <v>4</v>
      </c>
      <c r="E4251" t="s">
        <v>21</v>
      </c>
      <c r="F4251">
        <v>202408077</v>
      </c>
      <c r="G4251" t="s">
        <v>2025</v>
      </c>
      <c r="H4251" t="s">
        <v>403</v>
      </c>
      <c r="I4251">
        <v>0</v>
      </c>
      <c r="J4251">
        <v>0</v>
      </c>
      <c r="K4251">
        <v>0</v>
      </c>
      <c r="L4251">
        <v>0</v>
      </c>
      <c r="M4251">
        <v>0.18</v>
      </c>
      <c r="N4251" s="7" t="e">
        <f>VLOOKUP(F4251,HC!A$6:D$100,3,FALSE)</f>
        <v>#N/A</v>
      </c>
      <c r="O4251" s="7" t="str">
        <f>VLOOKUP(F4251,HC!A$6:D$1000,2,FALSE)</f>
        <v>kroszuni</v>
      </c>
    </row>
    <row r="4252" spans="1:15" ht="37.5" customHeight="1" x14ac:dyDescent="0.25">
      <c r="A4252" s="23">
        <v>45241</v>
      </c>
      <c r="B4252" s="13">
        <v>45</v>
      </c>
      <c r="C4252" t="s">
        <v>3</v>
      </c>
      <c r="D4252" t="s">
        <v>4</v>
      </c>
      <c r="E4252" t="s">
        <v>21</v>
      </c>
      <c r="F4252">
        <v>202408564</v>
      </c>
      <c r="G4252" t="s">
        <v>2026</v>
      </c>
      <c r="H4252" t="s">
        <v>403</v>
      </c>
      <c r="I4252">
        <v>0</v>
      </c>
      <c r="J4252">
        <v>0</v>
      </c>
      <c r="K4252">
        <v>0</v>
      </c>
      <c r="L4252">
        <v>0</v>
      </c>
      <c r="M4252">
        <v>0.18</v>
      </c>
      <c r="N4252" s="7" t="e">
        <f>VLOOKUP(F4252,HC!A$6:D$100,3,FALSE)</f>
        <v>#N/A</v>
      </c>
      <c r="O4252" s="7" t="str">
        <f>VLOOKUP(F4252,HC!A$6:D$1000,2,FALSE)</f>
        <v>xmanricr</v>
      </c>
    </row>
    <row r="4253" spans="1:15" ht="37.5" customHeight="1" x14ac:dyDescent="0.25">
      <c r="A4253" s="23">
        <v>45241</v>
      </c>
      <c r="B4253" s="13">
        <v>45</v>
      </c>
      <c r="C4253" t="s">
        <v>3</v>
      </c>
      <c r="D4253" t="s">
        <v>4</v>
      </c>
      <c r="E4253" t="s">
        <v>21</v>
      </c>
      <c r="F4253">
        <v>202417370</v>
      </c>
      <c r="G4253" t="s">
        <v>2027</v>
      </c>
      <c r="H4253" t="s">
        <v>459</v>
      </c>
      <c r="I4253">
        <v>0</v>
      </c>
      <c r="J4253">
        <v>0</v>
      </c>
      <c r="K4253">
        <v>0</v>
      </c>
      <c r="L4253">
        <v>0</v>
      </c>
      <c r="M4253">
        <v>0.67</v>
      </c>
      <c r="N4253" s="7" t="e">
        <f>VLOOKUP(F4253,HC!A$6:D$100,3,FALSE)</f>
        <v>#N/A</v>
      </c>
      <c r="O4253" s="7" t="str">
        <f>VLOOKUP(F4253,HC!A$6:D$1000,2,FALSE)</f>
        <v>rherenri</v>
      </c>
    </row>
    <row r="4254" spans="1:15" ht="37.5" customHeight="1" x14ac:dyDescent="0.25">
      <c r="A4254" s="23">
        <v>45241</v>
      </c>
      <c r="B4254" s="13">
        <v>45</v>
      </c>
      <c r="C4254" t="s">
        <v>3</v>
      </c>
      <c r="D4254" t="s">
        <v>4</v>
      </c>
      <c r="E4254" t="s">
        <v>21</v>
      </c>
      <c r="F4254">
        <v>202421453</v>
      </c>
      <c r="G4254" t="s">
        <v>2020</v>
      </c>
      <c r="H4254" t="s">
        <v>459</v>
      </c>
      <c r="I4254">
        <v>0</v>
      </c>
      <c r="J4254">
        <v>0</v>
      </c>
      <c r="K4254">
        <v>0</v>
      </c>
      <c r="L4254">
        <v>0</v>
      </c>
      <c r="M4254">
        <v>0.28000000000000003</v>
      </c>
      <c r="N4254" s="7" t="e">
        <f>VLOOKUP(F4254,HC!A$6:D$100,3,FALSE)</f>
        <v>#N/A</v>
      </c>
      <c r="O4254" s="7" t="str">
        <f>VLOOKUP(F4254,HC!A$6:D$1000,2,FALSE)</f>
        <v>chejserg</v>
      </c>
    </row>
    <row r="4255" spans="1:15" ht="37.5" customHeight="1" x14ac:dyDescent="0.25">
      <c r="A4255" s="23">
        <v>45242</v>
      </c>
      <c r="B4255" s="13">
        <v>46</v>
      </c>
      <c r="C4255" t="s">
        <v>3</v>
      </c>
      <c r="D4255" t="s">
        <v>4</v>
      </c>
      <c r="E4255" t="s">
        <v>21</v>
      </c>
      <c r="F4255">
        <v>112912984</v>
      </c>
      <c r="G4255" t="s">
        <v>2028</v>
      </c>
      <c r="H4255" t="s">
        <v>282</v>
      </c>
      <c r="I4255">
        <v>0</v>
      </c>
      <c r="J4255">
        <v>0</v>
      </c>
      <c r="K4255">
        <v>0</v>
      </c>
      <c r="L4255">
        <v>0</v>
      </c>
      <c r="M4255">
        <v>0.11</v>
      </c>
      <c r="N4255" s="7" t="str">
        <f>VLOOKUP(F4255,HC!A$6:D$100,3,FALSE)</f>
        <v>DJ-X0700</v>
      </c>
      <c r="O4255" s="7" t="str">
        <f>VLOOKUP(F4255,HC!A$6:D$1000,2,FALSE)</f>
        <v>ortizdui</v>
      </c>
    </row>
    <row r="4256" spans="1:15" ht="37.5" customHeight="1" x14ac:dyDescent="0.25">
      <c r="A4256" s="23">
        <v>45242</v>
      </c>
      <c r="B4256" s="13">
        <v>46</v>
      </c>
      <c r="C4256" t="s">
        <v>3</v>
      </c>
      <c r="D4256" t="s">
        <v>4</v>
      </c>
      <c r="E4256" t="s">
        <v>5</v>
      </c>
      <c r="F4256">
        <v>112920654</v>
      </c>
      <c r="G4256" t="s">
        <v>500</v>
      </c>
      <c r="H4256" t="s">
        <v>14</v>
      </c>
      <c r="I4256">
        <v>0</v>
      </c>
      <c r="J4256">
        <v>0</v>
      </c>
      <c r="K4256">
        <v>0</v>
      </c>
      <c r="L4256">
        <v>0</v>
      </c>
      <c r="M4256">
        <v>0.04</v>
      </c>
      <c r="N4256" s="7" t="str">
        <f>VLOOKUP(F4256,HC!A$6:D$100,3,FALSE)</f>
        <v>DB-X0700</v>
      </c>
      <c r="O4256" s="7" t="str">
        <f>VLOOKUP(F4256,HC!A$6:D$1000,2,FALSE)</f>
        <v>qhojulie</v>
      </c>
    </row>
    <row r="4257" spans="1:15" ht="37.5" customHeight="1" x14ac:dyDescent="0.25">
      <c r="A4257" s="23">
        <v>45242</v>
      </c>
      <c r="B4257" s="13">
        <v>46</v>
      </c>
      <c r="C4257" t="s">
        <v>3</v>
      </c>
      <c r="D4257" t="s">
        <v>4</v>
      </c>
      <c r="E4257" t="s">
        <v>5</v>
      </c>
      <c r="F4257">
        <v>112981014</v>
      </c>
      <c r="G4257" t="s">
        <v>367</v>
      </c>
      <c r="H4257" t="s">
        <v>263</v>
      </c>
      <c r="I4257">
        <v>0</v>
      </c>
      <c r="J4257">
        <v>0</v>
      </c>
      <c r="K4257">
        <v>0</v>
      </c>
      <c r="L4257">
        <v>0</v>
      </c>
      <c r="M4257">
        <v>0.25</v>
      </c>
      <c r="N4257" s="7" t="str">
        <f>VLOOKUP(F4257,HC!A$6:D$100,3,FALSE)</f>
        <v>DJ-X0700</v>
      </c>
      <c r="O4257" s="7" t="str">
        <f>VLOOKUP(F4257,HC!A$6:D$1000,2,FALSE)</f>
        <v>rpabloul</v>
      </c>
    </row>
    <row r="4258" spans="1:15" ht="37.5" customHeight="1" x14ac:dyDescent="0.25">
      <c r="A4258" s="23">
        <v>45242</v>
      </c>
      <c r="B4258" s="13">
        <v>46</v>
      </c>
      <c r="C4258" t="s">
        <v>3</v>
      </c>
      <c r="D4258" t="s">
        <v>4</v>
      </c>
      <c r="E4258" t="s">
        <v>5</v>
      </c>
      <c r="F4258">
        <v>113101453</v>
      </c>
      <c r="G4258" t="s">
        <v>50</v>
      </c>
      <c r="H4258" t="s">
        <v>49</v>
      </c>
      <c r="I4258">
        <v>0</v>
      </c>
      <c r="J4258">
        <v>0</v>
      </c>
      <c r="K4258">
        <v>0</v>
      </c>
      <c r="L4258">
        <v>0</v>
      </c>
      <c r="M4258">
        <v>0.15</v>
      </c>
      <c r="N4258" s="7" t="e">
        <f>VLOOKUP(F4258,HC!A$6:D$100,3,FALSE)</f>
        <v>#N/A</v>
      </c>
      <c r="O4258" s="7" t="str">
        <f>VLOOKUP(F4258,HC!A$6:D$1000,2,FALSE)</f>
        <v>qisgeova</v>
      </c>
    </row>
    <row r="4259" spans="1:15" ht="37.5" customHeight="1" x14ac:dyDescent="0.25">
      <c r="A4259" s="23">
        <v>45242</v>
      </c>
      <c r="B4259" s="13">
        <v>46</v>
      </c>
      <c r="C4259" t="s">
        <v>3</v>
      </c>
      <c r="D4259" t="s">
        <v>4</v>
      </c>
      <c r="E4259" t="s">
        <v>5</v>
      </c>
      <c r="F4259">
        <v>200564895</v>
      </c>
      <c r="G4259" t="s">
        <v>520</v>
      </c>
      <c r="H4259" t="s">
        <v>49</v>
      </c>
      <c r="I4259">
        <v>0</v>
      </c>
      <c r="J4259">
        <v>0</v>
      </c>
      <c r="K4259">
        <v>0</v>
      </c>
      <c r="L4259">
        <v>0</v>
      </c>
      <c r="M4259">
        <v>0.1</v>
      </c>
      <c r="N4259" s="7" t="e">
        <f>VLOOKUP(F4259,HC!A$6:D$100,3,FALSE)</f>
        <v>#N/A</v>
      </c>
      <c r="O4259" s="7" t="str">
        <f>VLOOKUP(F4259,HC!A$6:D$1000,2,FALSE)</f>
        <v>hmendobr</v>
      </c>
    </row>
    <row r="4260" spans="1:15" ht="37.5" customHeight="1" x14ac:dyDescent="0.25">
      <c r="A4260" s="23">
        <v>45242</v>
      </c>
      <c r="B4260" s="13">
        <v>46</v>
      </c>
      <c r="C4260" t="s">
        <v>3</v>
      </c>
      <c r="D4260" t="s">
        <v>4</v>
      </c>
      <c r="E4260" t="s">
        <v>5</v>
      </c>
      <c r="F4260">
        <v>200625528</v>
      </c>
      <c r="G4260" t="s">
        <v>607</v>
      </c>
      <c r="H4260" t="s">
        <v>1040</v>
      </c>
      <c r="I4260">
        <v>0</v>
      </c>
      <c r="J4260">
        <v>0</v>
      </c>
      <c r="K4260">
        <v>0</v>
      </c>
      <c r="L4260">
        <v>0</v>
      </c>
      <c r="M4260">
        <v>0.12</v>
      </c>
      <c r="N4260" s="7" t="e">
        <f>VLOOKUP(F4260,HC!A$6:D$100,3,FALSE)</f>
        <v>#N/A</v>
      </c>
      <c r="O4260" s="7" t="str">
        <f>VLOOKUP(F4260,HC!A$6:D$1000,2,FALSE)</f>
        <v>olivlizb</v>
      </c>
    </row>
    <row r="4261" spans="1:15" ht="37.5" customHeight="1" x14ac:dyDescent="0.25">
      <c r="A4261" s="23">
        <v>45242</v>
      </c>
      <c r="B4261" s="13">
        <v>46</v>
      </c>
      <c r="C4261" t="s">
        <v>3</v>
      </c>
      <c r="D4261" t="s">
        <v>4</v>
      </c>
      <c r="E4261" t="s">
        <v>5</v>
      </c>
      <c r="F4261">
        <v>201197964</v>
      </c>
      <c r="G4261" t="s">
        <v>1180</v>
      </c>
      <c r="H4261" t="s">
        <v>250</v>
      </c>
      <c r="I4261">
        <v>0</v>
      </c>
      <c r="J4261">
        <v>0</v>
      </c>
      <c r="K4261">
        <v>0</v>
      </c>
      <c r="L4261">
        <v>0</v>
      </c>
      <c r="M4261">
        <v>0.74</v>
      </c>
      <c r="N4261" s="7" t="e">
        <f>VLOOKUP(F4261,HC!A$6:D$100,3,FALSE)</f>
        <v>#N/A</v>
      </c>
      <c r="O4261" s="7" t="str">
        <f>VLOOKUP(F4261,HC!A$6:D$1000,2,FALSE)</f>
        <v>matzquij</v>
      </c>
    </row>
    <row r="4262" spans="1:15" ht="37.5" customHeight="1" x14ac:dyDescent="0.25">
      <c r="A4262" s="23">
        <v>45242</v>
      </c>
      <c r="B4262" s="13">
        <v>46</v>
      </c>
      <c r="C4262" t="s">
        <v>3</v>
      </c>
      <c r="D4262" t="s">
        <v>4</v>
      </c>
      <c r="E4262" t="s">
        <v>5</v>
      </c>
      <c r="F4262">
        <v>201300426</v>
      </c>
      <c r="G4262" t="s">
        <v>1124</v>
      </c>
      <c r="H4262" t="s">
        <v>14</v>
      </c>
      <c r="I4262">
        <v>0</v>
      </c>
      <c r="J4262">
        <v>0</v>
      </c>
      <c r="K4262">
        <v>0</v>
      </c>
      <c r="L4262">
        <v>0</v>
      </c>
      <c r="M4262">
        <v>0.57999999999999996</v>
      </c>
      <c r="N4262" s="7" t="e">
        <f>VLOOKUP(F4262,HC!A$6:D$100,3,FALSE)</f>
        <v>#N/A</v>
      </c>
      <c r="O4262" s="7" t="str">
        <f>VLOOKUP(F4262,HC!A$6:D$1000,2,FALSE)</f>
        <v>adriauli</v>
      </c>
    </row>
    <row r="4263" spans="1:15" ht="37.5" customHeight="1" x14ac:dyDescent="0.25">
      <c r="A4263" s="23">
        <v>45242</v>
      </c>
      <c r="B4263" s="13">
        <v>46</v>
      </c>
      <c r="C4263" t="s">
        <v>3</v>
      </c>
      <c r="D4263" t="s">
        <v>4</v>
      </c>
      <c r="E4263" t="s">
        <v>5</v>
      </c>
      <c r="F4263">
        <v>201353085</v>
      </c>
      <c r="G4263" t="s">
        <v>1466</v>
      </c>
      <c r="H4263" t="s">
        <v>263</v>
      </c>
      <c r="I4263">
        <v>0</v>
      </c>
      <c r="J4263">
        <v>0</v>
      </c>
      <c r="K4263">
        <v>0</v>
      </c>
      <c r="L4263">
        <v>0</v>
      </c>
      <c r="M4263">
        <v>0.2</v>
      </c>
      <c r="N4263" s="7" t="e">
        <f>VLOOKUP(F4263,HC!A$6:D$100,3,FALSE)</f>
        <v>#N/A</v>
      </c>
      <c r="O4263" s="7" t="str">
        <f>VLOOKUP(F4263,HC!A$6:D$1000,2,FALSE)</f>
        <v>lelvgarc</v>
      </c>
    </row>
    <row r="4264" spans="1:15" ht="37.5" customHeight="1" x14ac:dyDescent="0.25">
      <c r="A4264" s="23">
        <v>45242</v>
      </c>
      <c r="B4264" s="13">
        <v>46</v>
      </c>
      <c r="C4264" t="s">
        <v>3</v>
      </c>
      <c r="D4264" t="s">
        <v>4</v>
      </c>
      <c r="E4264" t="s">
        <v>5</v>
      </c>
      <c r="F4264">
        <v>201390638</v>
      </c>
      <c r="G4264" t="s">
        <v>1256</v>
      </c>
      <c r="H4264" t="s">
        <v>49</v>
      </c>
      <c r="I4264">
        <v>0</v>
      </c>
      <c r="J4264">
        <v>0</v>
      </c>
      <c r="K4264">
        <v>0</v>
      </c>
      <c r="L4264">
        <v>0</v>
      </c>
      <c r="M4264">
        <v>0.53</v>
      </c>
      <c r="N4264" s="7" t="e">
        <f>VLOOKUP(F4264,HC!A$6:D$100,3,FALSE)</f>
        <v>#N/A</v>
      </c>
      <c r="O4264" s="7" t="str">
        <f>VLOOKUP(F4264,HC!A$6:D$1000,2,FALSE)</f>
        <v>furielbe</v>
      </c>
    </row>
    <row r="4265" spans="1:15" ht="37.5" customHeight="1" x14ac:dyDescent="0.25">
      <c r="A4265" s="23">
        <v>45242</v>
      </c>
      <c r="B4265" s="13">
        <v>46</v>
      </c>
      <c r="C4265" t="s">
        <v>3</v>
      </c>
      <c r="D4265" t="s">
        <v>4</v>
      </c>
      <c r="E4265" t="s">
        <v>5</v>
      </c>
      <c r="F4265">
        <v>201890790</v>
      </c>
      <c r="G4265" t="s">
        <v>1416</v>
      </c>
      <c r="H4265" t="s">
        <v>49</v>
      </c>
      <c r="I4265">
        <v>0</v>
      </c>
      <c r="J4265">
        <v>0</v>
      </c>
      <c r="K4265">
        <v>0</v>
      </c>
      <c r="L4265">
        <v>0</v>
      </c>
      <c r="M4265">
        <v>0.26</v>
      </c>
      <c r="N4265" s="7" t="e">
        <f>VLOOKUP(F4265,HC!A$6:D$100,3,FALSE)</f>
        <v>#N/A</v>
      </c>
      <c r="O4265" s="7" t="str">
        <f>VLOOKUP(F4265,HC!A$6:D$1000,2,FALSE)</f>
        <v>vicxzuni</v>
      </c>
    </row>
    <row r="4266" spans="1:15" ht="37.5" customHeight="1" x14ac:dyDescent="0.25">
      <c r="A4266" s="23">
        <v>45242</v>
      </c>
      <c r="B4266" s="13">
        <v>46</v>
      </c>
      <c r="C4266" t="s">
        <v>3</v>
      </c>
      <c r="D4266" t="s">
        <v>4</v>
      </c>
      <c r="E4266" t="s">
        <v>21</v>
      </c>
      <c r="F4266">
        <v>201901324</v>
      </c>
      <c r="G4266" t="s">
        <v>1219</v>
      </c>
      <c r="H4266" t="s">
        <v>7</v>
      </c>
      <c r="I4266">
        <v>0</v>
      </c>
      <c r="J4266">
        <v>0</v>
      </c>
      <c r="K4266">
        <v>0</v>
      </c>
      <c r="L4266">
        <v>0</v>
      </c>
      <c r="M4266">
        <v>0.25</v>
      </c>
      <c r="N4266" s="7" t="e">
        <f>VLOOKUP(F4266,HC!A$6:D$100,3,FALSE)</f>
        <v>#N/A</v>
      </c>
      <c r="O4266" s="7" t="str">
        <f>VLOOKUP(F4266,HC!A$6:D$1000,2,FALSE)</f>
        <v>velpalej</v>
      </c>
    </row>
    <row r="4267" spans="1:15" ht="37.5" customHeight="1" x14ac:dyDescent="0.25">
      <c r="A4267" s="23">
        <v>45242</v>
      </c>
      <c r="B4267" s="13">
        <v>46</v>
      </c>
      <c r="C4267" t="s">
        <v>3</v>
      </c>
      <c r="D4267" t="s">
        <v>4</v>
      </c>
      <c r="E4267" t="s">
        <v>21</v>
      </c>
      <c r="F4267">
        <v>202167308</v>
      </c>
      <c r="G4267" t="s">
        <v>1468</v>
      </c>
      <c r="H4267" t="s">
        <v>1040</v>
      </c>
      <c r="I4267">
        <v>0</v>
      </c>
      <c r="J4267">
        <v>0</v>
      </c>
      <c r="K4267">
        <v>0</v>
      </c>
      <c r="L4267">
        <v>0</v>
      </c>
      <c r="M4267">
        <v>0.82</v>
      </c>
      <c r="N4267" s="7" t="e">
        <f>VLOOKUP(F4267,HC!A$6:D$100,3,FALSE)</f>
        <v>#N/A</v>
      </c>
      <c r="O4267" s="7" t="str">
        <f>VLOOKUP(F4267,HC!A$6:D$1000,2,FALSE)</f>
        <v>cjalcoce</v>
      </c>
    </row>
    <row r="4268" spans="1:15" ht="37.5" customHeight="1" x14ac:dyDescent="0.25">
      <c r="A4268" s="23">
        <v>45242</v>
      </c>
      <c r="B4268" s="13">
        <v>46</v>
      </c>
      <c r="C4268" t="s">
        <v>3</v>
      </c>
      <c r="D4268" t="s">
        <v>4</v>
      </c>
      <c r="E4268" t="s">
        <v>21</v>
      </c>
      <c r="F4268">
        <v>202176797</v>
      </c>
      <c r="G4268" t="s">
        <v>2029</v>
      </c>
      <c r="H4268" t="s">
        <v>1040</v>
      </c>
      <c r="I4268">
        <v>0</v>
      </c>
      <c r="J4268">
        <v>0</v>
      </c>
      <c r="K4268">
        <v>0</v>
      </c>
      <c r="L4268">
        <v>0</v>
      </c>
      <c r="M4268">
        <v>0.21</v>
      </c>
      <c r="N4268" s="7" t="e">
        <f>VLOOKUP(F4268,HC!A$6:D$100,3,FALSE)</f>
        <v>#N/A</v>
      </c>
      <c r="O4268" s="7" t="str">
        <f>VLOOKUP(F4268,HC!A$6:D$1000,2,FALSE)</f>
        <v>veducast</v>
      </c>
    </row>
    <row r="4269" spans="1:15" ht="37.5" customHeight="1" x14ac:dyDescent="0.25">
      <c r="A4269" s="23">
        <v>45242</v>
      </c>
      <c r="B4269" s="13">
        <v>46</v>
      </c>
      <c r="C4269" t="s">
        <v>3</v>
      </c>
      <c r="D4269" t="s">
        <v>4</v>
      </c>
      <c r="E4269" t="s">
        <v>21</v>
      </c>
      <c r="F4269">
        <v>202188434</v>
      </c>
      <c r="G4269" t="s">
        <v>1413</v>
      </c>
      <c r="H4269" t="s">
        <v>14</v>
      </c>
      <c r="I4269">
        <v>0</v>
      </c>
      <c r="J4269">
        <v>0</v>
      </c>
      <c r="K4269">
        <v>0</v>
      </c>
      <c r="L4269">
        <v>0</v>
      </c>
      <c r="M4269">
        <v>0.59</v>
      </c>
      <c r="N4269" s="7" t="e">
        <f>VLOOKUP(F4269,HC!A$6:D$100,3,FALSE)</f>
        <v>#N/A</v>
      </c>
      <c r="O4269" s="7" t="str">
        <f>VLOOKUP(F4269,HC!A$6:D$1000,2,FALSE)</f>
        <v>aidzariv</v>
      </c>
    </row>
    <row r="4270" spans="1:15" ht="37.5" customHeight="1" x14ac:dyDescent="0.25">
      <c r="A4270" s="23">
        <v>45242</v>
      </c>
      <c r="B4270" s="13">
        <v>46</v>
      </c>
      <c r="C4270" t="s">
        <v>3</v>
      </c>
      <c r="D4270" t="s">
        <v>4</v>
      </c>
      <c r="E4270" t="s">
        <v>21</v>
      </c>
      <c r="F4270">
        <v>202219678</v>
      </c>
      <c r="G4270" t="s">
        <v>1436</v>
      </c>
      <c r="H4270" t="s">
        <v>250</v>
      </c>
      <c r="I4270">
        <v>0</v>
      </c>
      <c r="J4270">
        <v>0</v>
      </c>
      <c r="K4270">
        <v>0</v>
      </c>
      <c r="L4270">
        <v>0</v>
      </c>
      <c r="M4270">
        <v>1.02</v>
      </c>
      <c r="N4270" s="7" t="e">
        <f>VLOOKUP(F4270,HC!A$6:D$100,3,FALSE)</f>
        <v>#N/A</v>
      </c>
      <c r="O4270" s="7" t="str">
        <f>VLOOKUP(F4270,HC!A$6:D$1000,2,FALSE)</f>
        <v>cihernaf</v>
      </c>
    </row>
    <row r="4271" spans="1:15" ht="37.5" customHeight="1" x14ac:dyDescent="0.25">
      <c r="A4271" s="23">
        <v>45242</v>
      </c>
      <c r="B4271" s="13">
        <v>46</v>
      </c>
      <c r="C4271" t="s">
        <v>3</v>
      </c>
      <c r="D4271" t="s">
        <v>4</v>
      </c>
      <c r="E4271" t="s">
        <v>21</v>
      </c>
      <c r="F4271">
        <v>202235929</v>
      </c>
      <c r="G4271" t="s">
        <v>2030</v>
      </c>
      <c r="H4271" t="s">
        <v>282</v>
      </c>
      <c r="I4271">
        <v>0</v>
      </c>
      <c r="J4271">
        <v>0</v>
      </c>
      <c r="K4271">
        <v>0</v>
      </c>
      <c r="L4271">
        <v>0</v>
      </c>
      <c r="M4271">
        <v>0.62</v>
      </c>
      <c r="N4271" s="7" t="e">
        <f>VLOOKUP(F4271,HC!A$6:D$100,3,FALSE)</f>
        <v>#N/A</v>
      </c>
      <c r="O4271" s="7" t="str">
        <f>VLOOKUP(F4271,HC!A$6:D$1000,2,FALSE)</f>
        <v>meyville</v>
      </c>
    </row>
    <row r="4272" spans="1:15" ht="37.5" customHeight="1" x14ac:dyDescent="0.25">
      <c r="A4272" s="23">
        <v>45242</v>
      </c>
      <c r="B4272" s="13">
        <v>46</v>
      </c>
      <c r="C4272" t="s">
        <v>3</v>
      </c>
      <c r="D4272" t="s">
        <v>4</v>
      </c>
      <c r="E4272" t="s">
        <v>21</v>
      </c>
      <c r="F4272">
        <v>202308823</v>
      </c>
      <c r="G4272" t="s">
        <v>2031</v>
      </c>
      <c r="H4272" t="s">
        <v>250</v>
      </c>
      <c r="I4272">
        <v>0</v>
      </c>
      <c r="J4272">
        <v>0</v>
      </c>
      <c r="K4272">
        <v>0</v>
      </c>
      <c r="L4272">
        <v>0</v>
      </c>
      <c r="M4272">
        <v>0.25</v>
      </c>
      <c r="N4272" s="7" t="e">
        <f>VLOOKUP(F4272,HC!A$6:D$100,3,FALSE)</f>
        <v>#N/A</v>
      </c>
      <c r="O4272" s="7" t="str">
        <f>VLOOKUP(F4272,HC!A$6:D$1000,2,FALSE)</f>
        <v>peroberp</v>
      </c>
    </row>
    <row r="4273" spans="1:15" ht="37.5" customHeight="1" x14ac:dyDescent="0.25">
      <c r="A4273" s="23">
        <v>45242</v>
      </c>
      <c r="B4273" s="13">
        <v>46</v>
      </c>
      <c r="C4273" t="s">
        <v>3</v>
      </c>
      <c r="D4273" t="s">
        <v>4</v>
      </c>
      <c r="E4273" t="s">
        <v>21</v>
      </c>
      <c r="F4273">
        <v>202350464</v>
      </c>
      <c r="G4273" t="s">
        <v>2032</v>
      </c>
      <c r="H4273" t="s">
        <v>7</v>
      </c>
      <c r="I4273">
        <v>0</v>
      </c>
      <c r="J4273">
        <v>0</v>
      </c>
      <c r="K4273">
        <v>0</v>
      </c>
      <c r="L4273">
        <v>0</v>
      </c>
      <c r="M4273">
        <v>0.15</v>
      </c>
      <c r="N4273" s="7" t="e">
        <f>VLOOKUP(F4273,HC!A$6:D$100,3,FALSE)</f>
        <v>#N/A</v>
      </c>
      <c r="O4273" s="7" t="str">
        <f>VLOOKUP(F4273,HC!A$6:D$1000,2,FALSE)</f>
        <v>gapjosel</v>
      </c>
    </row>
    <row r="4274" spans="1:15" ht="37.5" customHeight="1" x14ac:dyDescent="0.25">
      <c r="A4274" s="23">
        <v>45242</v>
      </c>
      <c r="B4274" s="13">
        <v>46</v>
      </c>
      <c r="C4274" t="s">
        <v>3</v>
      </c>
      <c r="D4274" t="s">
        <v>4</v>
      </c>
      <c r="E4274" t="s">
        <v>21</v>
      </c>
      <c r="F4274">
        <v>202364552</v>
      </c>
      <c r="G4274" t="s">
        <v>1767</v>
      </c>
      <c r="H4274" t="s">
        <v>459</v>
      </c>
      <c r="I4274">
        <v>0</v>
      </c>
      <c r="J4274">
        <v>0</v>
      </c>
      <c r="K4274">
        <v>0</v>
      </c>
      <c r="L4274">
        <v>0</v>
      </c>
      <c r="M4274">
        <v>1.73</v>
      </c>
      <c r="N4274" s="7" t="e">
        <f>VLOOKUP(F4274,HC!A$6:D$100,3,FALSE)</f>
        <v>#N/A</v>
      </c>
      <c r="O4274" s="7" t="str">
        <f>VLOOKUP(F4274,HC!A$6:D$1000,2,FALSE)</f>
        <v>roapolot</v>
      </c>
    </row>
    <row r="4275" spans="1:15" ht="37.5" customHeight="1" x14ac:dyDescent="0.25">
      <c r="A4275" s="23">
        <v>45242</v>
      </c>
      <c r="B4275" s="13">
        <v>46</v>
      </c>
      <c r="C4275" t="s">
        <v>3</v>
      </c>
      <c r="D4275" t="s">
        <v>4</v>
      </c>
      <c r="E4275" t="s">
        <v>21</v>
      </c>
      <c r="F4275">
        <v>202480064</v>
      </c>
      <c r="G4275" t="s">
        <v>2033</v>
      </c>
      <c r="H4275" t="s">
        <v>332</v>
      </c>
      <c r="I4275">
        <v>0</v>
      </c>
      <c r="J4275">
        <v>0</v>
      </c>
      <c r="K4275">
        <v>0</v>
      </c>
      <c r="L4275">
        <v>0</v>
      </c>
      <c r="M4275">
        <v>0.16</v>
      </c>
      <c r="N4275" s="7" t="e">
        <f>VLOOKUP(F4275,HC!A$6:D$100,3,FALSE)</f>
        <v>#N/A</v>
      </c>
      <c r="O4275" s="7" t="str">
        <f>VLOOKUP(F4275,HC!A$6:D$1000,2,FALSE)</f>
        <v>hcesarda</v>
      </c>
    </row>
    <row r="4276" spans="1:15" ht="37.5" customHeight="1" x14ac:dyDescent="0.25">
      <c r="A4276" s="23">
        <v>45243</v>
      </c>
      <c r="B4276" s="13">
        <v>46</v>
      </c>
      <c r="C4276" t="s">
        <v>3</v>
      </c>
      <c r="D4276" t="s">
        <v>4</v>
      </c>
      <c r="E4276" t="s">
        <v>5</v>
      </c>
      <c r="F4276">
        <v>113014078</v>
      </c>
      <c r="G4276" t="s">
        <v>567</v>
      </c>
      <c r="H4276" t="s">
        <v>1040</v>
      </c>
      <c r="I4276">
        <v>0</v>
      </c>
      <c r="J4276">
        <v>0</v>
      </c>
      <c r="K4276">
        <v>0</v>
      </c>
      <c r="L4276">
        <v>0</v>
      </c>
      <c r="M4276">
        <v>0.12</v>
      </c>
      <c r="N4276" s="7" t="e">
        <f>VLOOKUP(F4276,HC!A$6:D$100,3,FALSE)</f>
        <v>#N/A</v>
      </c>
      <c r="O4276" s="7" t="str">
        <f>VLOOKUP(F4276,HC!A$6:D$1000,2,FALSE)</f>
        <v>dnaldair</v>
      </c>
    </row>
    <row r="4277" spans="1:15" ht="37.5" customHeight="1" x14ac:dyDescent="0.25">
      <c r="A4277" s="23">
        <v>45243</v>
      </c>
      <c r="B4277" s="13">
        <v>46</v>
      </c>
      <c r="C4277" t="s">
        <v>3</v>
      </c>
      <c r="D4277" t="s">
        <v>4</v>
      </c>
      <c r="E4277" t="s">
        <v>5</v>
      </c>
      <c r="F4277">
        <v>113019099</v>
      </c>
      <c r="G4277" t="s">
        <v>1252</v>
      </c>
      <c r="H4277" t="s">
        <v>285</v>
      </c>
      <c r="I4277">
        <v>0</v>
      </c>
      <c r="J4277">
        <v>0</v>
      </c>
      <c r="K4277">
        <v>0</v>
      </c>
      <c r="L4277">
        <v>0</v>
      </c>
      <c r="M4277">
        <v>0.1</v>
      </c>
      <c r="N4277" s="7" t="e">
        <f>VLOOKUP(F4277,HC!A$6:D$100,3,FALSE)</f>
        <v>#N/A</v>
      </c>
      <c r="O4277" s="7" t="str">
        <f>VLOOKUP(F4277,HC!A$6:D$1000,2,FALSE)</f>
        <v>sericrio</v>
      </c>
    </row>
    <row r="4278" spans="1:15" ht="37.5" customHeight="1" x14ac:dyDescent="0.25">
      <c r="A4278" s="23">
        <v>45243</v>
      </c>
      <c r="B4278" s="13">
        <v>46</v>
      </c>
      <c r="C4278" t="s">
        <v>3</v>
      </c>
      <c r="D4278" t="s">
        <v>4</v>
      </c>
      <c r="E4278" t="s">
        <v>5</v>
      </c>
      <c r="F4278">
        <v>113101453</v>
      </c>
      <c r="G4278" t="s">
        <v>50</v>
      </c>
      <c r="H4278" t="s">
        <v>49</v>
      </c>
      <c r="I4278">
        <v>0</v>
      </c>
      <c r="J4278">
        <v>0</v>
      </c>
      <c r="K4278">
        <v>0</v>
      </c>
      <c r="L4278">
        <v>0</v>
      </c>
      <c r="M4278">
        <v>0.15</v>
      </c>
      <c r="N4278" s="7" t="e">
        <f>VLOOKUP(F4278,HC!A$6:D$100,3,FALSE)</f>
        <v>#N/A</v>
      </c>
      <c r="O4278" s="7" t="str">
        <f>VLOOKUP(F4278,HC!A$6:D$1000,2,FALSE)</f>
        <v>qisgeova</v>
      </c>
    </row>
    <row r="4279" spans="1:15" ht="37.5" customHeight="1" x14ac:dyDescent="0.25">
      <c r="A4279" s="23">
        <v>45243</v>
      </c>
      <c r="B4279" s="13">
        <v>46</v>
      </c>
      <c r="C4279" t="s">
        <v>3</v>
      </c>
      <c r="D4279" t="s">
        <v>4</v>
      </c>
      <c r="E4279" t="s">
        <v>5</v>
      </c>
      <c r="F4279">
        <v>200562303</v>
      </c>
      <c r="G4279" t="s">
        <v>629</v>
      </c>
      <c r="H4279" t="s">
        <v>49</v>
      </c>
      <c r="I4279">
        <v>0</v>
      </c>
      <c r="J4279">
        <v>0</v>
      </c>
      <c r="K4279">
        <v>0</v>
      </c>
      <c r="L4279">
        <v>0</v>
      </c>
      <c r="M4279">
        <v>0.28000000000000003</v>
      </c>
      <c r="N4279" s="7" t="e">
        <f>VLOOKUP(F4279,HC!A$6:D$100,3,FALSE)</f>
        <v>#N/A</v>
      </c>
      <c r="O4279" s="7" t="str">
        <f>VLOOKUP(F4279,HC!A$6:D$1000,2,FALSE)</f>
        <v>hejorgea</v>
      </c>
    </row>
    <row r="4280" spans="1:15" ht="37.5" customHeight="1" x14ac:dyDescent="0.25">
      <c r="A4280" s="23">
        <v>45243</v>
      </c>
      <c r="B4280" s="13">
        <v>46</v>
      </c>
      <c r="C4280" t="s">
        <v>3</v>
      </c>
      <c r="D4280" t="s">
        <v>4</v>
      </c>
      <c r="E4280" t="s">
        <v>5</v>
      </c>
      <c r="F4280">
        <v>200570729</v>
      </c>
      <c r="G4280" t="s">
        <v>679</v>
      </c>
      <c r="H4280" t="s">
        <v>263</v>
      </c>
      <c r="I4280">
        <v>0</v>
      </c>
      <c r="J4280">
        <v>0</v>
      </c>
      <c r="K4280">
        <v>0</v>
      </c>
      <c r="L4280">
        <v>0</v>
      </c>
      <c r="M4280">
        <v>0.04</v>
      </c>
      <c r="N4280" s="7" t="e">
        <f>VLOOKUP(F4280,HC!A$6:D$100,3,FALSE)</f>
        <v>#N/A</v>
      </c>
      <c r="O4280" s="7" t="str">
        <f>VLOOKUP(F4280,HC!A$6:D$1000,2,FALSE)</f>
        <v>srodcaro</v>
      </c>
    </row>
    <row r="4281" spans="1:15" ht="37.5" customHeight="1" x14ac:dyDescent="0.25">
      <c r="A4281" s="23">
        <v>45243</v>
      </c>
      <c r="B4281" s="13">
        <v>46</v>
      </c>
      <c r="C4281" t="s">
        <v>3</v>
      </c>
      <c r="D4281" t="s">
        <v>4</v>
      </c>
      <c r="E4281" t="s">
        <v>5</v>
      </c>
      <c r="F4281">
        <v>201202093</v>
      </c>
      <c r="G4281" t="s">
        <v>479</v>
      </c>
      <c r="H4281" t="s">
        <v>298</v>
      </c>
      <c r="I4281">
        <v>0</v>
      </c>
      <c r="J4281">
        <v>0</v>
      </c>
      <c r="K4281">
        <v>0</v>
      </c>
      <c r="L4281">
        <v>0</v>
      </c>
      <c r="M4281">
        <v>0.42</v>
      </c>
      <c r="N4281" s="7" t="e">
        <f>VLOOKUP(F4281,HC!A$6:D$100,3,FALSE)</f>
        <v>#N/A</v>
      </c>
      <c r="O4281" s="7" t="str">
        <f>VLOOKUP(F4281,HC!A$6:D$1000,2,FALSE)</f>
        <v>eliorten</v>
      </c>
    </row>
    <row r="4282" spans="1:15" ht="37.5" customHeight="1" x14ac:dyDescent="0.25">
      <c r="A4282" s="23">
        <v>45243</v>
      </c>
      <c r="B4282" s="13">
        <v>46</v>
      </c>
      <c r="C4282" t="s">
        <v>3</v>
      </c>
      <c r="D4282" t="s">
        <v>4</v>
      </c>
      <c r="E4282" t="s">
        <v>5</v>
      </c>
      <c r="F4282">
        <v>201320536</v>
      </c>
      <c r="G4282" t="s">
        <v>992</v>
      </c>
      <c r="H4282" t="s">
        <v>285</v>
      </c>
      <c r="I4282">
        <v>0</v>
      </c>
      <c r="J4282">
        <v>0</v>
      </c>
      <c r="K4282">
        <v>0</v>
      </c>
      <c r="L4282">
        <v>0</v>
      </c>
      <c r="M4282">
        <v>0.53</v>
      </c>
      <c r="N4282" s="7" t="e">
        <f>VLOOKUP(F4282,HC!A$6:D$100,3,FALSE)</f>
        <v>#N/A</v>
      </c>
      <c r="O4282" s="7" t="str">
        <f>VLOOKUP(F4282,HC!A$6:D$1000,2,FALSE)</f>
        <v>ibalmigu</v>
      </c>
    </row>
    <row r="4283" spans="1:15" ht="37.5" customHeight="1" x14ac:dyDescent="0.25">
      <c r="A4283" s="23">
        <v>45243</v>
      </c>
      <c r="B4283" s="13">
        <v>46</v>
      </c>
      <c r="C4283" t="s">
        <v>3</v>
      </c>
      <c r="D4283" t="s">
        <v>4</v>
      </c>
      <c r="E4283" t="s">
        <v>5</v>
      </c>
      <c r="F4283">
        <v>201402212</v>
      </c>
      <c r="G4283" t="s">
        <v>1131</v>
      </c>
      <c r="H4283" t="s">
        <v>250</v>
      </c>
      <c r="I4283">
        <v>0</v>
      </c>
      <c r="J4283">
        <v>0</v>
      </c>
      <c r="K4283">
        <v>0</v>
      </c>
      <c r="L4283">
        <v>0</v>
      </c>
      <c r="M4283">
        <v>0.25</v>
      </c>
      <c r="N4283" s="7" t="e">
        <f>VLOOKUP(F4283,HC!A$6:D$100,3,FALSE)</f>
        <v>#N/A</v>
      </c>
      <c r="O4283" s="7" t="str">
        <f>VLOOKUP(F4283,HC!A$6:D$1000,2,FALSE)</f>
        <v>karlpadr</v>
      </c>
    </row>
    <row r="4284" spans="1:15" ht="37.5" customHeight="1" x14ac:dyDescent="0.25">
      <c r="A4284" s="23">
        <v>45243</v>
      </c>
      <c r="B4284" s="13">
        <v>46</v>
      </c>
      <c r="C4284" t="s">
        <v>3</v>
      </c>
      <c r="D4284" t="s">
        <v>4</v>
      </c>
      <c r="E4284" t="s">
        <v>5</v>
      </c>
      <c r="F4284">
        <v>201841804</v>
      </c>
      <c r="G4284" t="s">
        <v>1214</v>
      </c>
      <c r="H4284" t="s">
        <v>285</v>
      </c>
      <c r="I4284">
        <v>0</v>
      </c>
      <c r="J4284">
        <v>0</v>
      </c>
      <c r="K4284">
        <v>0</v>
      </c>
      <c r="L4284">
        <v>0</v>
      </c>
      <c r="M4284">
        <v>0.75</v>
      </c>
      <c r="N4284" s="7" t="e">
        <f>VLOOKUP(F4284,HC!A$6:D$100,3,FALSE)</f>
        <v>#N/A</v>
      </c>
      <c r="O4284" s="7" t="str">
        <f>VLOOKUP(F4284,HC!A$6:D$1000,2,FALSE)</f>
        <v>ruizhmic</v>
      </c>
    </row>
    <row r="4285" spans="1:15" ht="37.5" customHeight="1" x14ac:dyDescent="0.25">
      <c r="A4285" s="23">
        <v>45243</v>
      </c>
      <c r="B4285" s="13">
        <v>46</v>
      </c>
      <c r="C4285" t="s">
        <v>3</v>
      </c>
      <c r="D4285" t="s">
        <v>4</v>
      </c>
      <c r="E4285" t="s">
        <v>5</v>
      </c>
      <c r="F4285">
        <v>201848180</v>
      </c>
      <c r="G4285" t="s">
        <v>1433</v>
      </c>
      <c r="H4285" t="s">
        <v>49</v>
      </c>
      <c r="I4285">
        <v>0</v>
      </c>
      <c r="J4285">
        <v>0</v>
      </c>
      <c r="K4285">
        <v>0</v>
      </c>
      <c r="L4285">
        <v>0</v>
      </c>
      <c r="M4285">
        <v>0.04</v>
      </c>
      <c r="N4285" s="7" t="e">
        <f>VLOOKUP(F4285,HC!A$6:D$100,3,FALSE)</f>
        <v>#N/A</v>
      </c>
      <c r="O4285" s="7" t="str">
        <f>VLOOKUP(F4285,HC!A$6:D$1000,2,FALSE)</f>
        <v>ljackpac</v>
      </c>
    </row>
    <row r="4286" spans="1:15" ht="37.5" customHeight="1" x14ac:dyDescent="0.25">
      <c r="A4286" s="23">
        <v>45243</v>
      </c>
      <c r="B4286" s="13">
        <v>46</v>
      </c>
      <c r="C4286" t="s">
        <v>3</v>
      </c>
      <c r="D4286" t="s">
        <v>4</v>
      </c>
      <c r="E4286" t="s">
        <v>5</v>
      </c>
      <c r="F4286">
        <v>201858330</v>
      </c>
      <c r="G4286" t="s">
        <v>1409</v>
      </c>
      <c r="H4286" t="s">
        <v>1040</v>
      </c>
      <c r="I4286">
        <v>0</v>
      </c>
      <c r="J4286">
        <v>0</v>
      </c>
      <c r="K4286">
        <v>0</v>
      </c>
      <c r="L4286">
        <v>0</v>
      </c>
      <c r="M4286">
        <v>0.15</v>
      </c>
      <c r="N4286" s="7" t="e">
        <f>VLOOKUP(F4286,HC!A$6:D$100,3,FALSE)</f>
        <v>#N/A</v>
      </c>
      <c r="O4286" s="7" t="str">
        <f>VLOOKUP(F4286,HC!A$6:D$1000,2,FALSE)</f>
        <v>arrwpabl</v>
      </c>
    </row>
    <row r="4287" spans="1:15" ht="37.5" customHeight="1" x14ac:dyDescent="0.25">
      <c r="A4287" s="23">
        <v>45243</v>
      </c>
      <c r="B4287" s="13">
        <v>46</v>
      </c>
      <c r="C4287" t="s">
        <v>3</v>
      </c>
      <c r="D4287" t="s">
        <v>4</v>
      </c>
      <c r="E4287" t="s">
        <v>21</v>
      </c>
      <c r="F4287">
        <v>201901324</v>
      </c>
      <c r="G4287" t="s">
        <v>1219</v>
      </c>
      <c r="H4287" t="s">
        <v>7</v>
      </c>
      <c r="I4287">
        <v>0</v>
      </c>
      <c r="J4287">
        <v>0</v>
      </c>
      <c r="K4287">
        <v>0</v>
      </c>
      <c r="L4287">
        <v>0</v>
      </c>
      <c r="M4287">
        <v>0.45</v>
      </c>
      <c r="N4287" s="7" t="e">
        <f>VLOOKUP(F4287,HC!A$6:D$100,3,FALSE)</f>
        <v>#N/A</v>
      </c>
      <c r="O4287" s="7" t="str">
        <f>VLOOKUP(F4287,HC!A$6:D$1000,2,FALSE)</f>
        <v>velpalej</v>
      </c>
    </row>
    <row r="4288" spans="1:15" ht="37.5" customHeight="1" x14ac:dyDescent="0.25">
      <c r="A4288" s="23">
        <v>45243</v>
      </c>
      <c r="B4288" s="13">
        <v>46</v>
      </c>
      <c r="C4288" t="s">
        <v>3</v>
      </c>
      <c r="D4288" t="s">
        <v>4</v>
      </c>
      <c r="E4288" t="s">
        <v>21</v>
      </c>
      <c r="F4288">
        <v>202173728</v>
      </c>
      <c r="G4288" t="s">
        <v>2034</v>
      </c>
      <c r="H4288" t="s">
        <v>1471</v>
      </c>
      <c r="I4288">
        <v>0</v>
      </c>
      <c r="J4288">
        <v>0</v>
      </c>
      <c r="K4288">
        <v>0</v>
      </c>
      <c r="L4288">
        <v>0</v>
      </c>
      <c r="M4288">
        <v>0.03</v>
      </c>
      <c r="N4288" s="7" t="e">
        <f>VLOOKUP(F4288,HC!A$6:D$100,3,FALSE)</f>
        <v>#N/A</v>
      </c>
      <c r="O4288" s="7" t="str">
        <f>VLOOKUP(F4288,HC!A$6:D$1000,2,FALSE)</f>
        <v>perlcobx</v>
      </c>
    </row>
    <row r="4289" spans="1:15" ht="37.5" customHeight="1" x14ac:dyDescent="0.25">
      <c r="A4289" s="23">
        <v>45243</v>
      </c>
      <c r="B4289" s="13">
        <v>46</v>
      </c>
      <c r="C4289" t="s">
        <v>3</v>
      </c>
      <c r="D4289" t="s">
        <v>4</v>
      </c>
      <c r="E4289" t="s">
        <v>21</v>
      </c>
      <c r="F4289">
        <v>202186227</v>
      </c>
      <c r="G4289" t="s">
        <v>2035</v>
      </c>
      <c r="H4289" t="s">
        <v>1040</v>
      </c>
      <c r="I4289">
        <v>0</v>
      </c>
      <c r="J4289">
        <v>0</v>
      </c>
      <c r="K4289">
        <v>0</v>
      </c>
      <c r="L4289">
        <v>0</v>
      </c>
      <c r="M4289">
        <v>0.46</v>
      </c>
      <c r="N4289" s="7" t="e">
        <f>VLOOKUP(F4289,HC!A$6:D$100,3,FALSE)</f>
        <v>#N/A</v>
      </c>
      <c r="O4289" s="7" t="str">
        <f>VLOOKUP(F4289,HC!A$6:D$1000,2,FALSE)</f>
        <v>agkarenw</v>
      </c>
    </row>
    <row r="4290" spans="1:15" ht="37.5" customHeight="1" x14ac:dyDescent="0.25">
      <c r="A4290" s="23">
        <v>45243</v>
      </c>
      <c r="B4290" s="13">
        <v>46</v>
      </c>
      <c r="C4290" t="s">
        <v>3</v>
      </c>
      <c r="D4290" t="s">
        <v>4</v>
      </c>
      <c r="E4290" t="s">
        <v>21</v>
      </c>
      <c r="F4290">
        <v>202188434</v>
      </c>
      <c r="G4290" t="s">
        <v>1413</v>
      </c>
      <c r="H4290" t="s">
        <v>1040</v>
      </c>
      <c r="I4290">
        <v>0</v>
      </c>
      <c r="J4290">
        <v>0</v>
      </c>
      <c r="K4290">
        <v>0</v>
      </c>
      <c r="L4290">
        <v>0</v>
      </c>
      <c r="M4290">
        <v>0.28000000000000003</v>
      </c>
      <c r="N4290" s="7" t="e">
        <f>VLOOKUP(F4290,HC!A$6:D$100,3,FALSE)</f>
        <v>#N/A</v>
      </c>
      <c r="O4290" s="7" t="str">
        <f>VLOOKUP(F4290,HC!A$6:D$1000,2,FALSE)</f>
        <v>aidzariv</v>
      </c>
    </row>
    <row r="4291" spans="1:15" ht="37.5" customHeight="1" x14ac:dyDescent="0.25">
      <c r="A4291" s="23">
        <v>45243</v>
      </c>
      <c r="B4291" s="13">
        <v>46</v>
      </c>
      <c r="C4291" t="s">
        <v>3</v>
      </c>
      <c r="D4291" t="s">
        <v>4</v>
      </c>
      <c r="E4291" t="s">
        <v>21</v>
      </c>
      <c r="F4291">
        <v>202189809</v>
      </c>
      <c r="G4291" t="s">
        <v>1458</v>
      </c>
      <c r="H4291" t="s">
        <v>285</v>
      </c>
      <c r="I4291">
        <v>0</v>
      </c>
      <c r="J4291">
        <v>0</v>
      </c>
      <c r="K4291">
        <v>0</v>
      </c>
      <c r="L4291">
        <v>0</v>
      </c>
      <c r="M4291">
        <v>0.79</v>
      </c>
      <c r="N4291" s="7" t="e">
        <f>VLOOKUP(F4291,HC!A$6:D$100,3,FALSE)</f>
        <v>#N/A</v>
      </c>
      <c r="O4291" s="7" t="str">
        <f>VLOOKUP(F4291,HC!A$6:D$1000,2,FALSE)</f>
        <v>pmarilun</v>
      </c>
    </row>
    <row r="4292" spans="1:15" ht="37.5" customHeight="1" x14ac:dyDescent="0.25">
      <c r="A4292" s="23">
        <v>45243</v>
      </c>
      <c r="B4292" s="13">
        <v>46</v>
      </c>
      <c r="C4292" t="s">
        <v>3</v>
      </c>
      <c r="D4292" t="s">
        <v>4</v>
      </c>
      <c r="E4292" t="s">
        <v>21</v>
      </c>
      <c r="F4292">
        <v>202225994</v>
      </c>
      <c r="G4292" t="s">
        <v>1739</v>
      </c>
      <c r="H4292" t="s">
        <v>250</v>
      </c>
      <c r="I4292">
        <v>0</v>
      </c>
      <c r="J4292">
        <v>0</v>
      </c>
      <c r="K4292">
        <v>0</v>
      </c>
      <c r="L4292">
        <v>0</v>
      </c>
      <c r="M4292">
        <v>0.06</v>
      </c>
      <c r="N4292" s="7" t="e">
        <f>VLOOKUP(F4292,HC!A$6:D$100,3,FALSE)</f>
        <v>#N/A</v>
      </c>
      <c r="O4292" s="7" t="str">
        <f>VLOOKUP(F4292,HC!A$6:D$1000,2,FALSE)</f>
        <v>jaureyiv</v>
      </c>
    </row>
    <row r="4293" spans="1:15" ht="37.5" customHeight="1" x14ac:dyDescent="0.25">
      <c r="A4293" s="23">
        <v>45243</v>
      </c>
      <c r="B4293" s="13">
        <v>46</v>
      </c>
      <c r="C4293" t="s">
        <v>3</v>
      </c>
      <c r="D4293" t="s">
        <v>4</v>
      </c>
      <c r="E4293" t="s">
        <v>21</v>
      </c>
      <c r="F4293">
        <v>202253584</v>
      </c>
      <c r="G4293" t="s">
        <v>2036</v>
      </c>
      <c r="H4293" t="s">
        <v>250</v>
      </c>
      <c r="I4293">
        <v>0</v>
      </c>
      <c r="J4293">
        <v>0</v>
      </c>
      <c r="K4293">
        <v>0</v>
      </c>
      <c r="L4293">
        <v>0</v>
      </c>
      <c r="M4293">
        <v>0.27</v>
      </c>
      <c r="N4293" s="7" t="e">
        <f>VLOOKUP(F4293,HC!A$6:D$100,3,FALSE)</f>
        <v>#N/A</v>
      </c>
      <c r="O4293" s="7" t="str">
        <f>VLOOKUP(F4293,HC!A$6:D$1000,2,FALSE)</f>
        <v>alanarmr</v>
      </c>
    </row>
    <row r="4294" spans="1:15" ht="37.5" customHeight="1" x14ac:dyDescent="0.25">
      <c r="A4294" s="23">
        <v>45243</v>
      </c>
      <c r="B4294" s="13">
        <v>46</v>
      </c>
      <c r="C4294" t="s">
        <v>3</v>
      </c>
      <c r="D4294" t="s">
        <v>4</v>
      </c>
      <c r="E4294" t="s">
        <v>21</v>
      </c>
      <c r="F4294">
        <v>202265858</v>
      </c>
      <c r="G4294" t="s">
        <v>1451</v>
      </c>
      <c r="H4294" t="s">
        <v>49</v>
      </c>
      <c r="I4294">
        <v>0</v>
      </c>
      <c r="J4294">
        <v>0</v>
      </c>
      <c r="K4294">
        <v>0</v>
      </c>
      <c r="L4294">
        <v>0</v>
      </c>
      <c r="M4294">
        <v>0.38</v>
      </c>
      <c r="N4294" s="7" t="e">
        <f>VLOOKUP(F4294,HC!A$6:D$100,3,FALSE)</f>
        <v>#N/A</v>
      </c>
      <c r="O4294" s="7" t="str">
        <f>VLOOKUP(F4294,HC!A$6:D$1000,2,FALSE)</f>
        <v>nalesalm</v>
      </c>
    </row>
    <row r="4295" spans="1:15" ht="37.5" customHeight="1" x14ac:dyDescent="0.25">
      <c r="A4295" s="23">
        <v>45243</v>
      </c>
      <c r="B4295" s="13">
        <v>46</v>
      </c>
      <c r="C4295" t="s">
        <v>3</v>
      </c>
      <c r="D4295" t="s">
        <v>4</v>
      </c>
      <c r="E4295" t="s">
        <v>21</v>
      </c>
      <c r="F4295">
        <v>202265870</v>
      </c>
      <c r="G4295" t="s">
        <v>1766</v>
      </c>
      <c r="H4295" t="s">
        <v>49</v>
      </c>
      <c r="I4295">
        <v>0</v>
      </c>
      <c r="J4295">
        <v>0</v>
      </c>
      <c r="K4295">
        <v>0</v>
      </c>
      <c r="L4295">
        <v>0</v>
      </c>
      <c r="M4295">
        <v>0.42</v>
      </c>
      <c r="N4295" s="7" t="e">
        <f>VLOOKUP(F4295,HC!A$6:D$100,3,FALSE)</f>
        <v>#N/A</v>
      </c>
      <c r="O4295" s="7" t="str">
        <f>VLOOKUP(F4295,HC!A$6:D$1000,2,FALSE)</f>
        <v>falexahi</v>
      </c>
    </row>
    <row r="4296" spans="1:15" ht="37.5" customHeight="1" x14ac:dyDescent="0.25">
      <c r="A4296" s="23">
        <v>45243</v>
      </c>
      <c r="B4296" s="13">
        <v>46</v>
      </c>
      <c r="C4296" t="s">
        <v>3</v>
      </c>
      <c r="D4296" t="s">
        <v>4</v>
      </c>
      <c r="E4296" t="s">
        <v>21</v>
      </c>
      <c r="F4296">
        <v>202304940</v>
      </c>
      <c r="G4296" t="s">
        <v>1704</v>
      </c>
      <c r="H4296" t="s">
        <v>263</v>
      </c>
      <c r="I4296">
        <v>0</v>
      </c>
      <c r="J4296">
        <v>0</v>
      </c>
      <c r="K4296">
        <v>0</v>
      </c>
      <c r="L4296">
        <v>0</v>
      </c>
      <c r="M4296">
        <v>0.28000000000000003</v>
      </c>
      <c r="N4296" s="7" t="e">
        <f>VLOOKUP(F4296,HC!A$6:D$100,3,FALSE)</f>
        <v>#N/A</v>
      </c>
      <c r="O4296" s="7" t="str">
        <f>VLOOKUP(F4296,HC!A$6:D$1000,2,FALSE)</f>
        <v>jaslilyz</v>
      </c>
    </row>
    <row r="4297" spans="1:15" ht="37.5" customHeight="1" x14ac:dyDescent="0.25">
      <c r="A4297" s="23">
        <v>45243</v>
      </c>
      <c r="B4297" s="13">
        <v>46</v>
      </c>
      <c r="C4297" t="s">
        <v>3</v>
      </c>
      <c r="D4297" t="s">
        <v>4</v>
      </c>
      <c r="E4297" t="s">
        <v>21</v>
      </c>
      <c r="F4297">
        <v>202334621</v>
      </c>
      <c r="G4297" t="s">
        <v>1724</v>
      </c>
      <c r="H4297" t="s">
        <v>263</v>
      </c>
      <c r="I4297">
        <v>0</v>
      </c>
      <c r="J4297">
        <v>0</v>
      </c>
      <c r="K4297">
        <v>0</v>
      </c>
      <c r="L4297">
        <v>0</v>
      </c>
      <c r="M4297">
        <v>0.14000000000000001</v>
      </c>
      <c r="N4297" s="7" t="e">
        <f>VLOOKUP(F4297,HC!A$6:D$100,3,FALSE)</f>
        <v>#N/A</v>
      </c>
      <c r="O4297" s="7" t="str">
        <f>VLOOKUP(F4297,HC!A$6:D$1000,2,FALSE)</f>
        <v>tkarlram</v>
      </c>
    </row>
    <row r="4298" spans="1:15" ht="37.5" customHeight="1" x14ac:dyDescent="0.25">
      <c r="A4298" s="23">
        <v>45243</v>
      </c>
      <c r="B4298" s="13">
        <v>46</v>
      </c>
      <c r="C4298" t="s">
        <v>3</v>
      </c>
      <c r="D4298" t="s">
        <v>4</v>
      </c>
      <c r="E4298" t="s">
        <v>21</v>
      </c>
      <c r="F4298">
        <v>202385959</v>
      </c>
      <c r="G4298" t="s">
        <v>2037</v>
      </c>
      <c r="H4298" t="s">
        <v>1471</v>
      </c>
      <c r="I4298">
        <v>0</v>
      </c>
      <c r="J4298">
        <v>0</v>
      </c>
      <c r="K4298">
        <v>0</v>
      </c>
      <c r="L4298">
        <v>0</v>
      </c>
      <c r="M4298">
        <v>0.28000000000000003</v>
      </c>
      <c r="N4298" s="7" t="e">
        <f>VLOOKUP(F4298,HC!A$6:D$100,3,FALSE)</f>
        <v>#N/A</v>
      </c>
      <c r="O4298" s="7" t="str">
        <f>VLOOKUP(F4298,HC!A$6:D$1000,2,FALSE)</f>
        <v>teradeni</v>
      </c>
    </row>
    <row r="4299" spans="1:15" ht="37.5" customHeight="1" x14ac:dyDescent="0.25">
      <c r="A4299" s="23">
        <v>45243</v>
      </c>
      <c r="B4299" s="13">
        <v>46</v>
      </c>
      <c r="C4299" t="s">
        <v>3</v>
      </c>
      <c r="D4299" t="s">
        <v>4</v>
      </c>
      <c r="E4299" t="s">
        <v>21</v>
      </c>
      <c r="F4299">
        <v>202417687</v>
      </c>
      <c r="G4299" t="s">
        <v>1754</v>
      </c>
      <c r="H4299" t="s">
        <v>1471</v>
      </c>
      <c r="I4299">
        <v>0</v>
      </c>
      <c r="J4299">
        <v>0</v>
      </c>
      <c r="K4299">
        <v>0</v>
      </c>
      <c r="L4299">
        <v>0</v>
      </c>
      <c r="M4299">
        <v>0.2</v>
      </c>
      <c r="N4299" s="7" t="e">
        <f>VLOOKUP(F4299,HC!A$6:D$100,3,FALSE)</f>
        <v>#N/A</v>
      </c>
      <c r="O4299" s="7" t="str">
        <f>VLOOKUP(F4299,HC!A$6:D$1000,2,FALSE)</f>
        <v>cordoedt</v>
      </c>
    </row>
    <row r="4300" spans="1:15" ht="37.5" customHeight="1" x14ac:dyDescent="0.25">
      <c r="A4300" s="23">
        <v>45243</v>
      </c>
      <c r="B4300" s="13">
        <v>46</v>
      </c>
      <c r="C4300" t="s">
        <v>3</v>
      </c>
      <c r="D4300" t="s">
        <v>4</v>
      </c>
      <c r="E4300" t="s">
        <v>21</v>
      </c>
      <c r="F4300">
        <v>202421791</v>
      </c>
      <c r="G4300" t="s">
        <v>2038</v>
      </c>
      <c r="H4300" t="s">
        <v>282</v>
      </c>
      <c r="I4300">
        <v>0</v>
      </c>
      <c r="J4300">
        <v>0</v>
      </c>
      <c r="K4300">
        <v>0</v>
      </c>
      <c r="L4300">
        <v>0</v>
      </c>
      <c r="M4300">
        <v>0.04</v>
      </c>
      <c r="N4300" s="7" t="e">
        <f>VLOOKUP(F4300,HC!A$6:D$100,3,FALSE)</f>
        <v>#N/A</v>
      </c>
      <c r="O4300" s="7" t="str">
        <f>VLOOKUP(F4300,HC!A$6:D$1000,2,FALSE)</f>
        <v>ramsesua</v>
      </c>
    </row>
    <row r="4301" spans="1:15" ht="37.5" customHeight="1" x14ac:dyDescent="0.25">
      <c r="A4301" s="23">
        <v>45243</v>
      </c>
      <c r="B4301" s="13">
        <v>46</v>
      </c>
      <c r="C4301" t="s">
        <v>3</v>
      </c>
      <c r="D4301" t="s">
        <v>4</v>
      </c>
      <c r="E4301" t="s">
        <v>21</v>
      </c>
      <c r="F4301">
        <v>202479908</v>
      </c>
      <c r="G4301" t="s">
        <v>1775</v>
      </c>
      <c r="H4301" t="s">
        <v>332</v>
      </c>
      <c r="I4301">
        <v>0</v>
      </c>
      <c r="J4301">
        <v>0</v>
      </c>
      <c r="K4301">
        <v>0</v>
      </c>
      <c r="L4301">
        <v>0</v>
      </c>
      <c r="M4301">
        <v>0.81</v>
      </c>
      <c r="N4301" s="7" t="e">
        <f>VLOOKUP(F4301,HC!A$6:D$100,3,FALSE)</f>
        <v>#N/A</v>
      </c>
      <c r="O4301" s="7" t="str">
        <f>VLOOKUP(F4301,HC!A$6:D$1000,2,FALSE)</f>
        <v>jmadiana</v>
      </c>
    </row>
    <row r="4302" spans="1:15" ht="37.5" customHeight="1" x14ac:dyDescent="0.25">
      <c r="A4302" s="23">
        <v>45243</v>
      </c>
      <c r="B4302" s="13">
        <v>46</v>
      </c>
      <c r="C4302" t="s">
        <v>3</v>
      </c>
      <c r="D4302" t="s">
        <v>4</v>
      </c>
      <c r="E4302" t="s">
        <v>21</v>
      </c>
      <c r="F4302">
        <v>202479923</v>
      </c>
      <c r="G4302" t="s">
        <v>1794</v>
      </c>
      <c r="H4302" t="s">
        <v>332</v>
      </c>
      <c r="I4302">
        <v>0</v>
      </c>
      <c r="J4302">
        <v>0</v>
      </c>
      <c r="K4302">
        <v>0</v>
      </c>
      <c r="L4302">
        <v>0</v>
      </c>
      <c r="M4302">
        <v>0.97</v>
      </c>
      <c r="N4302" s="7" t="e">
        <f>VLOOKUP(F4302,HC!A$6:D$100,3,FALSE)</f>
        <v>#N/A</v>
      </c>
      <c r="O4302" s="7" t="str">
        <f>VLOOKUP(F4302,HC!A$6:D$1000,2,FALSE)</f>
        <v>arredgre</v>
      </c>
    </row>
    <row r="4303" spans="1:15" ht="37.5" customHeight="1" x14ac:dyDescent="0.25">
      <c r="A4303" s="23">
        <v>45243</v>
      </c>
      <c r="B4303" s="13">
        <v>46</v>
      </c>
      <c r="C4303" t="s">
        <v>3</v>
      </c>
      <c r="D4303" t="s">
        <v>4</v>
      </c>
      <c r="E4303" t="s">
        <v>21</v>
      </c>
      <c r="F4303">
        <v>202480098</v>
      </c>
      <c r="G4303" t="s">
        <v>2039</v>
      </c>
      <c r="H4303" t="s">
        <v>1040</v>
      </c>
      <c r="I4303">
        <v>0</v>
      </c>
      <c r="J4303">
        <v>0</v>
      </c>
      <c r="K4303">
        <v>0</v>
      </c>
      <c r="L4303">
        <v>0</v>
      </c>
      <c r="M4303">
        <v>0.6</v>
      </c>
      <c r="N4303" s="7" t="e">
        <f>VLOOKUP(F4303,HC!A$6:D$100,3,FALSE)</f>
        <v>#N/A</v>
      </c>
      <c r="O4303" s="7" t="str">
        <f>VLOOKUP(F4303,HC!A$6:D$1000,2,FALSE)</f>
        <v>uibarale</v>
      </c>
    </row>
    <row r="4304" spans="1:15" ht="37.5" customHeight="1" x14ac:dyDescent="0.25">
      <c r="A4304" s="23">
        <v>45243</v>
      </c>
      <c r="B4304" s="13">
        <v>46</v>
      </c>
      <c r="C4304" t="s">
        <v>3</v>
      </c>
      <c r="D4304" t="s">
        <v>4</v>
      </c>
      <c r="E4304" t="s">
        <v>21</v>
      </c>
      <c r="F4304">
        <v>202518716</v>
      </c>
      <c r="G4304" t="s">
        <v>2040</v>
      </c>
      <c r="H4304" t="s">
        <v>332</v>
      </c>
      <c r="I4304">
        <v>0</v>
      </c>
      <c r="J4304">
        <v>0</v>
      </c>
      <c r="K4304">
        <v>0</v>
      </c>
      <c r="L4304">
        <v>0</v>
      </c>
      <c r="M4304">
        <v>0.32</v>
      </c>
      <c r="N4304" s="7" t="e">
        <f>VLOOKUP(F4304,HC!A$6:D$100,3,FALSE)</f>
        <v>#N/A</v>
      </c>
      <c r="O4304" s="7" t="str">
        <f>VLOOKUP(F4304,HC!A$6:D$1000,2,FALSE)</f>
        <v>patrarau</v>
      </c>
    </row>
    <row r="4305" spans="1:15" ht="37.5" customHeight="1" x14ac:dyDescent="0.25">
      <c r="A4305" s="23">
        <v>45244</v>
      </c>
      <c r="B4305" s="13">
        <v>46</v>
      </c>
      <c r="C4305" t="s">
        <v>3</v>
      </c>
      <c r="D4305" t="s">
        <v>4</v>
      </c>
      <c r="E4305" t="s">
        <v>5</v>
      </c>
      <c r="F4305">
        <v>112912661</v>
      </c>
      <c r="G4305" t="s">
        <v>782</v>
      </c>
      <c r="H4305" t="s">
        <v>14</v>
      </c>
      <c r="I4305">
        <v>0</v>
      </c>
      <c r="J4305">
        <v>0</v>
      </c>
      <c r="K4305">
        <v>0</v>
      </c>
      <c r="L4305">
        <v>0</v>
      </c>
      <c r="M4305">
        <v>0.27</v>
      </c>
      <c r="N4305" s="7" t="str">
        <f>VLOOKUP(F4305,HC!A$6:D$100,3,FALSE)</f>
        <v>DA-X0700</v>
      </c>
      <c r="O4305" s="7" t="str">
        <f>VLOOKUP(F4305,HC!A$6:D$1000,2,FALSE)</f>
        <v>franmorb</v>
      </c>
    </row>
    <row r="4306" spans="1:15" ht="37.5" customHeight="1" x14ac:dyDescent="0.25">
      <c r="A4306" s="23">
        <v>45244</v>
      </c>
      <c r="B4306" s="13">
        <v>46</v>
      </c>
      <c r="C4306" t="s">
        <v>3</v>
      </c>
      <c r="D4306" t="s">
        <v>4</v>
      </c>
      <c r="E4306" t="s">
        <v>5</v>
      </c>
      <c r="F4306">
        <v>112912752</v>
      </c>
      <c r="G4306" t="s">
        <v>251</v>
      </c>
      <c r="H4306" t="s">
        <v>332</v>
      </c>
      <c r="I4306">
        <v>0</v>
      </c>
      <c r="J4306">
        <v>0</v>
      </c>
      <c r="K4306">
        <v>0</v>
      </c>
      <c r="L4306">
        <v>0</v>
      </c>
      <c r="M4306">
        <v>0.4</v>
      </c>
      <c r="N4306" s="7" t="str">
        <f>VLOOKUP(F4306,HC!A$6:D$100,3,FALSE)</f>
        <v>NF-X1900</v>
      </c>
      <c r="O4306" s="7" t="str">
        <f>VLOOKUP(F4306,HC!A$6:D$1000,2,FALSE)</f>
        <v>valderle</v>
      </c>
    </row>
    <row r="4307" spans="1:15" ht="37.5" customHeight="1" x14ac:dyDescent="0.25">
      <c r="A4307" s="23">
        <v>45244</v>
      </c>
      <c r="B4307" s="13">
        <v>46</v>
      </c>
      <c r="C4307" t="s">
        <v>3</v>
      </c>
      <c r="D4307" t="s">
        <v>4</v>
      </c>
      <c r="E4307" t="s">
        <v>5</v>
      </c>
      <c r="F4307">
        <v>112950795</v>
      </c>
      <c r="G4307" t="s">
        <v>580</v>
      </c>
      <c r="H4307" t="s">
        <v>7</v>
      </c>
      <c r="I4307">
        <v>0</v>
      </c>
      <c r="J4307">
        <v>0</v>
      </c>
      <c r="K4307">
        <v>0</v>
      </c>
      <c r="L4307">
        <v>0</v>
      </c>
      <c r="M4307">
        <v>0.31</v>
      </c>
      <c r="N4307" s="7" t="str">
        <f>VLOOKUP(F4307,HC!A$6:D$100,3,FALSE)</f>
        <v>DA-X0700</v>
      </c>
      <c r="O4307" s="7" t="str">
        <f>VLOOKUP(F4307,HC!A$6:D$1000,2,FALSE)</f>
        <v>oespiali</v>
      </c>
    </row>
    <row r="4308" spans="1:15" ht="37.5" customHeight="1" x14ac:dyDescent="0.25">
      <c r="A4308" s="23">
        <v>45244</v>
      </c>
      <c r="B4308" s="13">
        <v>46</v>
      </c>
      <c r="C4308" t="s">
        <v>3</v>
      </c>
      <c r="D4308" t="s">
        <v>4</v>
      </c>
      <c r="E4308" t="s">
        <v>5</v>
      </c>
      <c r="F4308">
        <v>112980899</v>
      </c>
      <c r="G4308" t="s">
        <v>396</v>
      </c>
      <c r="H4308" t="s">
        <v>332</v>
      </c>
      <c r="I4308">
        <v>0</v>
      </c>
      <c r="J4308">
        <v>0</v>
      </c>
      <c r="K4308">
        <v>0</v>
      </c>
      <c r="L4308">
        <v>0</v>
      </c>
      <c r="M4308">
        <v>0.4</v>
      </c>
      <c r="N4308" s="7" t="str">
        <f>VLOOKUP(F4308,HC!A$6:D$100,3,FALSE)</f>
        <v>NF-X1900</v>
      </c>
      <c r="O4308" s="7" t="str">
        <f>VLOOKUP(F4308,HC!A$6:D$1000,2,FALSE)</f>
        <v>aravilac</v>
      </c>
    </row>
    <row r="4309" spans="1:15" ht="37.5" customHeight="1" x14ac:dyDescent="0.25">
      <c r="A4309" s="23">
        <v>45244</v>
      </c>
      <c r="B4309" s="13">
        <v>46</v>
      </c>
      <c r="C4309" t="s">
        <v>3</v>
      </c>
      <c r="D4309" t="s">
        <v>4</v>
      </c>
      <c r="E4309" t="s">
        <v>5</v>
      </c>
      <c r="F4309">
        <v>112981014</v>
      </c>
      <c r="G4309" t="s">
        <v>367</v>
      </c>
      <c r="H4309" t="s">
        <v>263</v>
      </c>
      <c r="I4309">
        <v>0</v>
      </c>
      <c r="J4309">
        <v>0</v>
      </c>
      <c r="K4309">
        <v>0</v>
      </c>
      <c r="L4309">
        <v>0</v>
      </c>
      <c r="M4309">
        <v>0.34</v>
      </c>
      <c r="N4309" s="7" t="str">
        <f>VLOOKUP(F4309,HC!A$6:D$100,3,FALSE)</f>
        <v>DJ-X0700</v>
      </c>
      <c r="O4309" s="7" t="str">
        <f>VLOOKUP(F4309,HC!A$6:D$1000,2,FALSE)</f>
        <v>rpabloul</v>
      </c>
    </row>
    <row r="4310" spans="1:15" ht="37.5" customHeight="1" x14ac:dyDescent="0.25">
      <c r="A4310" s="23">
        <v>45244</v>
      </c>
      <c r="B4310" s="13">
        <v>46</v>
      </c>
      <c r="C4310" t="s">
        <v>3</v>
      </c>
      <c r="D4310" t="s">
        <v>4</v>
      </c>
      <c r="E4310" t="s">
        <v>5</v>
      </c>
      <c r="F4310">
        <v>113014078</v>
      </c>
      <c r="G4310" t="s">
        <v>567</v>
      </c>
      <c r="H4310" t="s">
        <v>1040</v>
      </c>
      <c r="I4310">
        <v>0</v>
      </c>
      <c r="J4310">
        <v>0</v>
      </c>
      <c r="K4310">
        <v>0</v>
      </c>
      <c r="L4310">
        <v>0</v>
      </c>
      <c r="M4310">
        <v>0.17</v>
      </c>
      <c r="N4310" s="7" t="e">
        <f>VLOOKUP(F4310,HC!A$6:D$100,3,FALSE)</f>
        <v>#N/A</v>
      </c>
      <c r="O4310" s="7" t="str">
        <f>VLOOKUP(F4310,HC!A$6:D$1000,2,FALSE)</f>
        <v>dnaldair</v>
      </c>
    </row>
    <row r="4311" spans="1:15" ht="37.5" customHeight="1" x14ac:dyDescent="0.25">
      <c r="A4311" s="23">
        <v>45244</v>
      </c>
      <c r="B4311" s="13">
        <v>46</v>
      </c>
      <c r="C4311" t="s">
        <v>3</v>
      </c>
      <c r="D4311" t="s">
        <v>4</v>
      </c>
      <c r="E4311" t="s">
        <v>5</v>
      </c>
      <c r="F4311">
        <v>113014094</v>
      </c>
      <c r="G4311" t="s">
        <v>463</v>
      </c>
      <c r="H4311" t="s">
        <v>49</v>
      </c>
      <c r="I4311">
        <v>0</v>
      </c>
      <c r="J4311">
        <v>0</v>
      </c>
      <c r="K4311">
        <v>0</v>
      </c>
      <c r="L4311">
        <v>0</v>
      </c>
      <c r="M4311">
        <v>0.19</v>
      </c>
      <c r="N4311" s="7" t="e">
        <f>VLOOKUP(F4311,HC!A$6:D$100,3,FALSE)</f>
        <v>#N/A</v>
      </c>
      <c r="O4311" s="7" t="str">
        <f>VLOOKUP(F4311,HC!A$6:D$1000,2,FALSE)</f>
        <v>erikaadm</v>
      </c>
    </row>
    <row r="4312" spans="1:15" ht="37.5" customHeight="1" x14ac:dyDescent="0.25">
      <c r="A4312" s="23">
        <v>45244</v>
      </c>
      <c r="B4312" s="13">
        <v>46</v>
      </c>
      <c r="C4312" t="s">
        <v>3</v>
      </c>
      <c r="D4312" t="s">
        <v>4</v>
      </c>
      <c r="E4312" t="s">
        <v>5</v>
      </c>
      <c r="F4312">
        <v>113019001</v>
      </c>
      <c r="G4312" t="s">
        <v>464</v>
      </c>
      <c r="H4312" t="s">
        <v>1040</v>
      </c>
      <c r="I4312">
        <v>0</v>
      </c>
      <c r="J4312">
        <v>0</v>
      </c>
      <c r="K4312">
        <v>0</v>
      </c>
      <c r="L4312">
        <v>0</v>
      </c>
      <c r="M4312">
        <v>7.0000000000000007E-2</v>
      </c>
      <c r="N4312" s="7" t="e">
        <f>VLOOKUP(F4312,HC!A$6:D$100,3,FALSE)</f>
        <v>#N/A</v>
      </c>
      <c r="O4312" s="7" t="str">
        <f>VLOOKUP(F4312,HC!A$6:D$1000,2,FALSE)</f>
        <v>dolozane</v>
      </c>
    </row>
    <row r="4313" spans="1:15" ht="37.5" customHeight="1" x14ac:dyDescent="0.25">
      <c r="A4313" s="23">
        <v>45244</v>
      </c>
      <c r="B4313" s="13">
        <v>46</v>
      </c>
      <c r="C4313" t="s">
        <v>3</v>
      </c>
      <c r="D4313" t="s">
        <v>4</v>
      </c>
      <c r="E4313" t="s">
        <v>5</v>
      </c>
      <c r="F4313">
        <v>113020463</v>
      </c>
      <c r="G4313" t="s">
        <v>321</v>
      </c>
      <c r="H4313" t="s">
        <v>49</v>
      </c>
      <c r="I4313">
        <v>0</v>
      </c>
      <c r="J4313">
        <v>0</v>
      </c>
      <c r="K4313">
        <v>0</v>
      </c>
      <c r="L4313">
        <v>0</v>
      </c>
      <c r="M4313">
        <v>0.48</v>
      </c>
      <c r="N4313" s="7" t="e">
        <f>VLOOKUP(F4313,HC!A$6:D$100,3,FALSE)</f>
        <v>#N/A</v>
      </c>
      <c r="O4313" s="7" t="str">
        <f>VLOOKUP(F4313,HC!A$6:D$1000,2,FALSE)</f>
        <v>myriamav</v>
      </c>
    </row>
    <row r="4314" spans="1:15" ht="37.5" customHeight="1" x14ac:dyDescent="0.25">
      <c r="A4314" s="23">
        <v>45244</v>
      </c>
      <c r="B4314" s="13">
        <v>46</v>
      </c>
      <c r="C4314" t="s">
        <v>3</v>
      </c>
      <c r="D4314" t="s">
        <v>4</v>
      </c>
      <c r="E4314" t="s">
        <v>5</v>
      </c>
      <c r="F4314">
        <v>200534675</v>
      </c>
      <c r="G4314" t="s">
        <v>534</v>
      </c>
      <c r="H4314" t="s">
        <v>250</v>
      </c>
      <c r="I4314">
        <v>0</v>
      </c>
      <c r="J4314">
        <v>0</v>
      </c>
      <c r="K4314">
        <v>0</v>
      </c>
      <c r="L4314">
        <v>0</v>
      </c>
      <c r="M4314">
        <v>0.41</v>
      </c>
      <c r="N4314" s="7" t="e">
        <f>VLOOKUP(F4314,HC!A$6:D$100,3,FALSE)</f>
        <v>#N/A</v>
      </c>
      <c r="O4314" s="7" t="str">
        <f>VLOOKUP(F4314,HC!A$6:D$1000,2,FALSE)</f>
        <v>juanpmun</v>
      </c>
    </row>
    <row r="4315" spans="1:15" ht="37.5" customHeight="1" x14ac:dyDescent="0.25">
      <c r="A4315" s="23">
        <v>45244</v>
      </c>
      <c r="B4315" s="13">
        <v>46</v>
      </c>
      <c r="C4315" t="s">
        <v>3</v>
      </c>
      <c r="D4315" t="s">
        <v>4</v>
      </c>
      <c r="E4315" t="s">
        <v>5</v>
      </c>
      <c r="F4315">
        <v>200562303</v>
      </c>
      <c r="G4315" t="s">
        <v>629</v>
      </c>
      <c r="H4315" t="s">
        <v>49</v>
      </c>
      <c r="I4315">
        <v>0</v>
      </c>
      <c r="J4315">
        <v>0</v>
      </c>
      <c r="K4315">
        <v>0</v>
      </c>
      <c r="L4315">
        <v>0</v>
      </c>
      <c r="M4315">
        <v>0.46</v>
      </c>
      <c r="N4315" s="7" t="e">
        <f>VLOOKUP(F4315,HC!A$6:D$100,3,FALSE)</f>
        <v>#N/A</v>
      </c>
      <c r="O4315" s="7" t="str">
        <f>VLOOKUP(F4315,HC!A$6:D$1000,2,FALSE)</f>
        <v>hejorgea</v>
      </c>
    </row>
    <row r="4316" spans="1:15" ht="37.5" customHeight="1" x14ac:dyDescent="0.25">
      <c r="A4316" s="23">
        <v>45244</v>
      </c>
      <c r="B4316" s="13">
        <v>46</v>
      </c>
      <c r="C4316" t="s">
        <v>3</v>
      </c>
      <c r="D4316" t="s">
        <v>4</v>
      </c>
      <c r="E4316" t="s">
        <v>5</v>
      </c>
      <c r="F4316">
        <v>201159033</v>
      </c>
      <c r="G4316" t="s">
        <v>1154</v>
      </c>
      <c r="H4316" t="s">
        <v>285</v>
      </c>
      <c r="I4316">
        <v>0</v>
      </c>
      <c r="J4316">
        <v>0</v>
      </c>
      <c r="K4316">
        <v>0</v>
      </c>
      <c r="L4316">
        <v>0</v>
      </c>
      <c r="M4316">
        <v>0.12</v>
      </c>
      <c r="N4316" s="7" t="e">
        <f>VLOOKUP(F4316,HC!A$6:D$100,3,FALSE)</f>
        <v>#N/A</v>
      </c>
      <c r="O4316" s="7" t="str">
        <f>VLOOKUP(F4316,HC!A$6:D$1000,2,FALSE)</f>
        <v>monsarru</v>
      </c>
    </row>
    <row r="4317" spans="1:15" ht="37.5" customHeight="1" x14ac:dyDescent="0.25">
      <c r="A4317" s="23">
        <v>45244</v>
      </c>
      <c r="B4317" s="13">
        <v>46</v>
      </c>
      <c r="C4317" t="s">
        <v>3</v>
      </c>
      <c r="D4317" t="s">
        <v>4</v>
      </c>
      <c r="E4317" t="s">
        <v>5</v>
      </c>
      <c r="F4317">
        <v>201167501</v>
      </c>
      <c r="G4317" t="s">
        <v>863</v>
      </c>
      <c r="H4317" t="s">
        <v>49</v>
      </c>
      <c r="I4317">
        <v>0</v>
      </c>
      <c r="J4317">
        <v>0</v>
      </c>
      <c r="K4317">
        <v>0</v>
      </c>
      <c r="L4317">
        <v>0</v>
      </c>
      <c r="M4317">
        <v>0.17</v>
      </c>
      <c r="N4317" s="7" t="e">
        <f>VLOOKUP(F4317,HC!A$6:D$100,3,FALSE)</f>
        <v>#N/A</v>
      </c>
      <c r="O4317" s="7" t="str">
        <f>VLOOKUP(F4317,HC!A$6:D$1000,2,FALSE)</f>
        <v>wguanajr</v>
      </c>
    </row>
    <row r="4318" spans="1:15" ht="37.5" customHeight="1" x14ac:dyDescent="0.25">
      <c r="A4318" s="23">
        <v>45244</v>
      </c>
      <c r="B4318" s="13">
        <v>46</v>
      </c>
      <c r="C4318" t="s">
        <v>3</v>
      </c>
      <c r="D4318" t="s">
        <v>4</v>
      </c>
      <c r="E4318" t="s">
        <v>5</v>
      </c>
      <c r="F4318">
        <v>201318220</v>
      </c>
      <c r="G4318" t="s">
        <v>1183</v>
      </c>
      <c r="H4318" t="s">
        <v>1040</v>
      </c>
      <c r="I4318">
        <v>0</v>
      </c>
      <c r="J4318">
        <v>0</v>
      </c>
      <c r="K4318">
        <v>0</v>
      </c>
      <c r="L4318">
        <v>0</v>
      </c>
      <c r="M4318">
        <v>0.53</v>
      </c>
      <c r="N4318" s="7" t="e">
        <f>VLOOKUP(F4318,HC!A$6:D$100,3,FALSE)</f>
        <v>#N/A</v>
      </c>
      <c r="O4318" s="7" t="str">
        <f>VLOOKUP(F4318,HC!A$6:D$1000,2,FALSE)</f>
        <v>raufjas</v>
      </c>
    </row>
    <row r="4319" spans="1:15" ht="37.5" customHeight="1" x14ac:dyDescent="0.25">
      <c r="A4319" s="23">
        <v>45244</v>
      </c>
      <c r="B4319" s="13">
        <v>46</v>
      </c>
      <c r="C4319" t="s">
        <v>3</v>
      </c>
      <c r="D4319" t="s">
        <v>4</v>
      </c>
      <c r="E4319" t="s">
        <v>5</v>
      </c>
      <c r="F4319">
        <v>201842039</v>
      </c>
      <c r="G4319" t="s">
        <v>1231</v>
      </c>
      <c r="H4319" t="s">
        <v>285</v>
      </c>
      <c r="I4319">
        <v>0</v>
      </c>
      <c r="J4319">
        <v>0</v>
      </c>
      <c r="K4319">
        <v>0</v>
      </c>
      <c r="L4319">
        <v>0</v>
      </c>
      <c r="M4319">
        <v>0.32</v>
      </c>
      <c r="N4319" s="7" t="e">
        <f>VLOOKUP(F4319,HC!A$6:D$100,3,FALSE)</f>
        <v>#N/A</v>
      </c>
      <c r="O4319" s="7" t="str">
        <f>VLOOKUP(F4319,HC!A$6:D$1000,2,FALSE)</f>
        <v>fantmar</v>
      </c>
    </row>
    <row r="4320" spans="1:15" ht="37.5" customHeight="1" x14ac:dyDescent="0.25">
      <c r="A4320" s="23">
        <v>45244</v>
      </c>
      <c r="B4320" s="13">
        <v>46</v>
      </c>
      <c r="C4320" t="s">
        <v>3</v>
      </c>
      <c r="D4320" t="s">
        <v>4</v>
      </c>
      <c r="E4320" t="s">
        <v>5</v>
      </c>
      <c r="F4320">
        <v>201858867</v>
      </c>
      <c r="G4320" t="s">
        <v>1236</v>
      </c>
      <c r="H4320" t="s">
        <v>285</v>
      </c>
      <c r="I4320">
        <v>0</v>
      </c>
      <c r="J4320">
        <v>0</v>
      </c>
      <c r="K4320">
        <v>0</v>
      </c>
      <c r="L4320">
        <v>0</v>
      </c>
      <c r="M4320">
        <v>0.48</v>
      </c>
      <c r="N4320" s="7" t="e">
        <f>VLOOKUP(F4320,HC!A$6:D$100,3,FALSE)</f>
        <v>#N/A</v>
      </c>
      <c r="O4320" s="7" t="str">
        <f>VLOOKUP(F4320,HC!A$6:D$1000,2,FALSE)</f>
        <v>tcruzvel</v>
      </c>
    </row>
    <row r="4321" spans="1:15" ht="37.5" customHeight="1" x14ac:dyDescent="0.25">
      <c r="A4321" s="23">
        <v>45244</v>
      </c>
      <c r="B4321" s="13">
        <v>46</v>
      </c>
      <c r="C4321" t="s">
        <v>3</v>
      </c>
      <c r="D4321" t="s">
        <v>4</v>
      </c>
      <c r="E4321" t="s">
        <v>5</v>
      </c>
      <c r="F4321">
        <v>201864225</v>
      </c>
      <c r="G4321" t="s">
        <v>1259</v>
      </c>
      <c r="H4321" t="s">
        <v>285</v>
      </c>
      <c r="I4321">
        <v>0</v>
      </c>
      <c r="J4321">
        <v>0</v>
      </c>
      <c r="K4321">
        <v>0</v>
      </c>
      <c r="L4321">
        <v>0</v>
      </c>
      <c r="M4321">
        <v>0.28999999999999998</v>
      </c>
      <c r="N4321" s="7" t="e">
        <f>VLOOKUP(F4321,HC!A$6:D$100,3,FALSE)</f>
        <v>#N/A</v>
      </c>
      <c r="O4321" s="7" t="str">
        <f>VLOOKUP(F4321,HC!A$6:D$1000,2,FALSE)</f>
        <v>floreivc</v>
      </c>
    </row>
    <row r="4322" spans="1:15" ht="37.5" customHeight="1" x14ac:dyDescent="0.25">
      <c r="A4322" s="23">
        <v>45244</v>
      </c>
      <c r="B4322" s="13">
        <v>46</v>
      </c>
      <c r="C4322" t="s">
        <v>3</v>
      </c>
      <c r="D4322" t="s">
        <v>4</v>
      </c>
      <c r="E4322" t="s">
        <v>21</v>
      </c>
      <c r="F4322">
        <v>202080758</v>
      </c>
      <c r="G4322" t="s">
        <v>2041</v>
      </c>
      <c r="H4322" t="s">
        <v>7</v>
      </c>
      <c r="I4322">
        <v>0</v>
      </c>
      <c r="J4322">
        <v>0</v>
      </c>
      <c r="K4322">
        <v>0</v>
      </c>
      <c r="L4322">
        <v>0</v>
      </c>
      <c r="M4322">
        <v>0.02</v>
      </c>
      <c r="N4322" s="7" t="e">
        <f>VLOOKUP(F4322,HC!A$6:D$100,3,FALSE)</f>
        <v>#N/A</v>
      </c>
      <c r="O4322" s="7" t="str">
        <f>VLOOKUP(F4322,HC!A$6:D$1000,2,FALSE)</f>
        <v>clcenteu</v>
      </c>
    </row>
    <row r="4323" spans="1:15" ht="37.5" customHeight="1" x14ac:dyDescent="0.25">
      <c r="A4323" s="23">
        <v>45244</v>
      </c>
      <c r="B4323" s="13">
        <v>46</v>
      </c>
      <c r="C4323" t="s">
        <v>3</v>
      </c>
      <c r="D4323" t="s">
        <v>4</v>
      </c>
      <c r="E4323" t="s">
        <v>21</v>
      </c>
      <c r="F4323">
        <v>202165242</v>
      </c>
      <c r="G4323" t="s">
        <v>1412</v>
      </c>
      <c r="H4323" t="s">
        <v>403</v>
      </c>
      <c r="I4323">
        <v>0</v>
      </c>
      <c r="J4323">
        <v>0</v>
      </c>
      <c r="K4323">
        <v>0</v>
      </c>
      <c r="L4323">
        <v>0</v>
      </c>
      <c r="M4323">
        <v>0.18</v>
      </c>
      <c r="N4323" s="7" t="e">
        <f>VLOOKUP(F4323,HC!A$6:D$100,3,FALSE)</f>
        <v>#N/A</v>
      </c>
      <c r="O4323" s="7" t="str">
        <f>VLOOKUP(F4323,HC!A$6:D$1000,2,FALSE)</f>
        <v>marcqgon</v>
      </c>
    </row>
    <row r="4324" spans="1:15" ht="37.5" customHeight="1" x14ac:dyDescent="0.25">
      <c r="A4324" s="23">
        <v>45244</v>
      </c>
      <c r="B4324" s="13">
        <v>46</v>
      </c>
      <c r="C4324" t="s">
        <v>3</v>
      </c>
      <c r="D4324" t="s">
        <v>4</v>
      </c>
      <c r="E4324" t="s">
        <v>21</v>
      </c>
      <c r="F4324">
        <v>202167361</v>
      </c>
      <c r="G4324" t="s">
        <v>1791</v>
      </c>
      <c r="H4324" t="s">
        <v>1040</v>
      </c>
      <c r="I4324">
        <v>0</v>
      </c>
      <c r="J4324">
        <v>0</v>
      </c>
      <c r="K4324">
        <v>0</v>
      </c>
      <c r="L4324">
        <v>0</v>
      </c>
      <c r="M4324">
        <v>0.15</v>
      </c>
      <c r="N4324" s="7" t="e">
        <f>VLOOKUP(F4324,HC!A$6:D$100,3,FALSE)</f>
        <v>#N/A</v>
      </c>
      <c r="O4324" s="7" t="str">
        <f>VLOOKUP(F4324,HC!A$6:D$1000,2,FALSE)</f>
        <v>gifridae</v>
      </c>
    </row>
    <row r="4325" spans="1:15" ht="37.5" customHeight="1" x14ac:dyDescent="0.25">
      <c r="A4325" s="23">
        <v>45244</v>
      </c>
      <c r="B4325" s="13">
        <v>46</v>
      </c>
      <c r="C4325" t="s">
        <v>3</v>
      </c>
      <c r="D4325" t="s">
        <v>4</v>
      </c>
      <c r="E4325" t="s">
        <v>21</v>
      </c>
      <c r="F4325">
        <v>202175835</v>
      </c>
      <c r="G4325" t="s">
        <v>2042</v>
      </c>
      <c r="H4325" t="s">
        <v>403</v>
      </c>
      <c r="I4325">
        <v>0</v>
      </c>
      <c r="J4325">
        <v>0</v>
      </c>
      <c r="K4325">
        <v>0</v>
      </c>
      <c r="L4325">
        <v>0</v>
      </c>
      <c r="M4325">
        <v>0.28999999999999998</v>
      </c>
      <c r="N4325" s="7" t="e">
        <f>VLOOKUP(F4325,HC!A$6:D$100,3,FALSE)</f>
        <v>#N/A</v>
      </c>
      <c r="O4325" s="7" t="str">
        <f>VLOOKUP(F4325,HC!A$6:D$1000,2,FALSE)</f>
        <v>gonzaoab</v>
      </c>
    </row>
    <row r="4326" spans="1:15" ht="37.5" customHeight="1" x14ac:dyDescent="0.25">
      <c r="A4326" s="23">
        <v>45244</v>
      </c>
      <c r="B4326" s="13">
        <v>46</v>
      </c>
      <c r="C4326" t="s">
        <v>3</v>
      </c>
      <c r="D4326" t="s">
        <v>4</v>
      </c>
      <c r="E4326" t="s">
        <v>21</v>
      </c>
      <c r="F4326">
        <v>202185222</v>
      </c>
      <c r="G4326" t="s">
        <v>2043</v>
      </c>
      <c r="H4326" t="s">
        <v>14</v>
      </c>
      <c r="I4326">
        <v>0</v>
      </c>
      <c r="J4326">
        <v>0</v>
      </c>
      <c r="K4326">
        <v>0</v>
      </c>
      <c r="L4326">
        <v>0</v>
      </c>
      <c r="M4326">
        <v>0.68</v>
      </c>
      <c r="N4326" s="7" t="e">
        <f>VLOOKUP(F4326,HC!A$6:D$100,3,FALSE)</f>
        <v>#N/A</v>
      </c>
      <c r="O4326" s="7" t="str">
        <f>VLOOKUP(F4326,HC!A$6:D$1000,2,FALSE)</f>
        <v>jalejaja</v>
      </c>
    </row>
    <row r="4327" spans="1:15" ht="37.5" customHeight="1" x14ac:dyDescent="0.25">
      <c r="A4327" s="23">
        <v>45244</v>
      </c>
      <c r="B4327" s="13">
        <v>46</v>
      </c>
      <c r="C4327" t="s">
        <v>3</v>
      </c>
      <c r="D4327" t="s">
        <v>4</v>
      </c>
      <c r="E4327" t="s">
        <v>21</v>
      </c>
      <c r="F4327">
        <v>202188434</v>
      </c>
      <c r="G4327" t="s">
        <v>1413</v>
      </c>
      <c r="H4327" t="s">
        <v>1040</v>
      </c>
      <c r="I4327">
        <v>0</v>
      </c>
      <c r="J4327">
        <v>0</v>
      </c>
      <c r="K4327">
        <v>0</v>
      </c>
      <c r="L4327">
        <v>0</v>
      </c>
      <c r="M4327">
        <v>1.47</v>
      </c>
      <c r="N4327" s="7" t="e">
        <f>VLOOKUP(F4327,HC!A$6:D$100,3,FALSE)</f>
        <v>#N/A</v>
      </c>
      <c r="O4327" s="7" t="str">
        <f>VLOOKUP(F4327,HC!A$6:D$1000,2,FALSE)</f>
        <v>aidzariv</v>
      </c>
    </row>
    <row r="4328" spans="1:15" ht="37.5" customHeight="1" x14ac:dyDescent="0.25">
      <c r="A4328" s="23">
        <v>45244</v>
      </c>
      <c r="B4328" s="13">
        <v>46</v>
      </c>
      <c r="C4328" t="s">
        <v>3</v>
      </c>
      <c r="D4328" t="s">
        <v>4</v>
      </c>
      <c r="E4328" t="s">
        <v>21</v>
      </c>
      <c r="F4328">
        <v>202188991</v>
      </c>
      <c r="G4328" t="s">
        <v>1445</v>
      </c>
      <c r="H4328" t="s">
        <v>1040</v>
      </c>
      <c r="I4328">
        <v>0</v>
      </c>
      <c r="J4328">
        <v>0</v>
      </c>
      <c r="K4328">
        <v>0</v>
      </c>
      <c r="L4328">
        <v>0</v>
      </c>
      <c r="M4328">
        <v>0.25</v>
      </c>
      <c r="N4328" s="7" t="e">
        <f>VLOOKUP(F4328,HC!A$6:D$100,3,FALSE)</f>
        <v>#N/A</v>
      </c>
      <c r="O4328" s="7" t="str">
        <f>VLOOKUP(F4328,HC!A$6:D$1000,2,FALSE)</f>
        <v>sjimesau</v>
      </c>
    </row>
    <row r="4329" spans="1:15" ht="37.5" customHeight="1" x14ac:dyDescent="0.25">
      <c r="A4329" s="23">
        <v>45244</v>
      </c>
      <c r="B4329" s="13">
        <v>46</v>
      </c>
      <c r="C4329" t="s">
        <v>3</v>
      </c>
      <c r="D4329" t="s">
        <v>4</v>
      </c>
      <c r="E4329" t="s">
        <v>21</v>
      </c>
      <c r="F4329">
        <v>202189092</v>
      </c>
      <c r="G4329" t="s">
        <v>2044</v>
      </c>
      <c r="H4329" t="s">
        <v>403</v>
      </c>
      <c r="I4329">
        <v>0</v>
      </c>
      <c r="J4329">
        <v>0</v>
      </c>
      <c r="K4329">
        <v>0</v>
      </c>
      <c r="L4329">
        <v>0</v>
      </c>
      <c r="M4329">
        <v>0.12</v>
      </c>
      <c r="N4329" s="7" t="e">
        <f>VLOOKUP(F4329,HC!A$6:D$100,3,FALSE)</f>
        <v>#N/A</v>
      </c>
      <c r="O4329" s="7" t="str">
        <f>VLOOKUP(F4329,HC!A$6:D$1000,2,FALSE)</f>
        <v>lgabrica</v>
      </c>
    </row>
    <row r="4330" spans="1:15" ht="37.5" customHeight="1" x14ac:dyDescent="0.25">
      <c r="A4330" s="23">
        <v>45244</v>
      </c>
      <c r="B4330" s="13">
        <v>46</v>
      </c>
      <c r="C4330" t="s">
        <v>3</v>
      </c>
      <c r="D4330" t="s">
        <v>4</v>
      </c>
      <c r="E4330" t="s">
        <v>21</v>
      </c>
      <c r="F4330">
        <v>202194973</v>
      </c>
      <c r="G4330" t="s">
        <v>2045</v>
      </c>
      <c r="H4330" t="s">
        <v>49</v>
      </c>
      <c r="I4330">
        <v>0</v>
      </c>
      <c r="J4330">
        <v>0</v>
      </c>
      <c r="K4330">
        <v>0</v>
      </c>
      <c r="L4330">
        <v>0</v>
      </c>
      <c r="M4330">
        <v>0.23</v>
      </c>
      <c r="N4330" s="7" t="e">
        <f>VLOOKUP(F4330,HC!A$6:D$100,3,FALSE)</f>
        <v>#N/A</v>
      </c>
      <c r="O4330" s="7" t="str">
        <f>VLOOKUP(F4330,HC!A$6:D$1000,2,FALSE)</f>
        <v>huerblan</v>
      </c>
    </row>
    <row r="4331" spans="1:15" ht="37.5" customHeight="1" x14ac:dyDescent="0.25">
      <c r="A4331" s="23">
        <v>45244</v>
      </c>
      <c r="B4331" s="13">
        <v>46</v>
      </c>
      <c r="C4331" t="s">
        <v>3</v>
      </c>
      <c r="D4331" t="s">
        <v>4</v>
      </c>
      <c r="E4331" t="s">
        <v>21</v>
      </c>
      <c r="F4331">
        <v>202225994</v>
      </c>
      <c r="G4331" t="s">
        <v>1739</v>
      </c>
      <c r="H4331" t="s">
        <v>250</v>
      </c>
      <c r="I4331">
        <v>0</v>
      </c>
      <c r="J4331">
        <v>0</v>
      </c>
      <c r="K4331">
        <v>0</v>
      </c>
      <c r="L4331">
        <v>0</v>
      </c>
      <c r="M4331">
        <v>0.13</v>
      </c>
      <c r="N4331" s="7" t="e">
        <f>VLOOKUP(F4331,HC!A$6:D$100,3,FALSE)</f>
        <v>#N/A</v>
      </c>
      <c r="O4331" s="7" t="str">
        <f>VLOOKUP(F4331,HC!A$6:D$1000,2,FALSE)</f>
        <v>jaureyiv</v>
      </c>
    </row>
    <row r="4332" spans="1:15" ht="37.5" customHeight="1" x14ac:dyDescent="0.25">
      <c r="A4332" s="23">
        <v>45244</v>
      </c>
      <c r="B4332" s="13">
        <v>46</v>
      </c>
      <c r="C4332" t="s">
        <v>3</v>
      </c>
      <c r="D4332" t="s">
        <v>4</v>
      </c>
      <c r="E4332" t="s">
        <v>21</v>
      </c>
      <c r="F4332">
        <v>202237267</v>
      </c>
      <c r="G4332" t="s">
        <v>2046</v>
      </c>
      <c r="H4332" t="s">
        <v>282</v>
      </c>
      <c r="I4332">
        <v>0</v>
      </c>
      <c r="J4332">
        <v>0</v>
      </c>
      <c r="K4332">
        <v>0</v>
      </c>
      <c r="L4332">
        <v>0</v>
      </c>
      <c r="M4332">
        <v>0.18</v>
      </c>
      <c r="N4332" s="7" t="e">
        <f>VLOOKUP(F4332,HC!A$6:D$100,3,FALSE)</f>
        <v>#N/A</v>
      </c>
      <c r="O4332" s="7" t="str">
        <f>VLOOKUP(F4332,HC!A$6:D$1000,2,FALSE)</f>
        <v>abrahlma</v>
      </c>
    </row>
    <row r="4333" spans="1:15" ht="37.5" customHeight="1" x14ac:dyDescent="0.25">
      <c r="A4333" s="23">
        <v>45244</v>
      </c>
      <c r="B4333" s="13">
        <v>46</v>
      </c>
      <c r="C4333" t="s">
        <v>3</v>
      </c>
      <c r="D4333" t="s">
        <v>4</v>
      </c>
      <c r="E4333" t="s">
        <v>21</v>
      </c>
      <c r="F4333">
        <v>202237290</v>
      </c>
      <c r="G4333" t="s">
        <v>2047</v>
      </c>
      <c r="H4333" t="s">
        <v>282</v>
      </c>
      <c r="I4333">
        <v>0</v>
      </c>
      <c r="J4333">
        <v>0</v>
      </c>
      <c r="K4333">
        <v>0</v>
      </c>
      <c r="L4333">
        <v>0</v>
      </c>
      <c r="M4333">
        <v>0.25</v>
      </c>
      <c r="N4333" s="7" t="e">
        <f>VLOOKUP(F4333,HC!A$6:D$100,3,FALSE)</f>
        <v>#N/A</v>
      </c>
      <c r="O4333" s="7" t="str">
        <f>VLOOKUP(F4333,HC!A$6:D$1000,2,FALSE)</f>
        <v>quiropat</v>
      </c>
    </row>
    <row r="4334" spans="1:15" ht="37.5" customHeight="1" x14ac:dyDescent="0.25">
      <c r="A4334" s="23">
        <v>45244</v>
      </c>
      <c r="B4334" s="13">
        <v>46</v>
      </c>
      <c r="C4334" t="s">
        <v>3</v>
      </c>
      <c r="D4334" t="s">
        <v>4</v>
      </c>
      <c r="E4334" t="s">
        <v>21</v>
      </c>
      <c r="F4334">
        <v>202249806</v>
      </c>
      <c r="G4334" t="s">
        <v>1727</v>
      </c>
      <c r="H4334" t="s">
        <v>250</v>
      </c>
      <c r="I4334">
        <v>0</v>
      </c>
      <c r="J4334">
        <v>0</v>
      </c>
      <c r="K4334">
        <v>0</v>
      </c>
      <c r="L4334">
        <v>0</v>
      </c>
      <c r="M4334">
        <v>0.11</v>
      </c>
      <c r="N4334" s="7" t="e">
        <f>VLOOKUP(F4334,HC!A$6:D$100,3,FALSE)</f>
        <v>#N/A</v>
      </c>
      <c r="O4334" s="7" t="str">
        <f>VLOOKUP(F4334,HC!A$6:D$1000,2,FALSE)</f>
        <v>valtinsa</v>
      </c>
    </row>
    <row r="4335" spans="1:15" ht="37.5" customHeight="1" x14ac:dyDescent="0.25">
      <c r="A4335" s="23">
        <v>45244</v>
      </c>
      <c r="B4335" s="13">
        <v>46</v>
      </c>
      <c r="C4335" t="s">
        <v>3</v>
      </c>
      <c r="D4335" t="s">
        <v>4</v>
      </c>
      <c r="E4335" t="s">
        <v>21</v>
      </c>
      <c r="F4335">
        <v>202265858</v>
      </c>
      <c r="G4335" t="s">
        <v>1451</v>
      </c>
      <c r="H4335" t="s">
        <v>49</v>
      </c>
      <c r="I4335">
        <v>0</v>
      </c>
      <c r="J4335">
        <v>0</v>
      </c>
      <c r="K4335">
        <v>0</v>
      </c>
      <c r="L4335">
        <v>0</v>
      </c>
      <c r="M4335">
        <v>0.27</v>
      </c>
      <c r="N4335" s="7" t="e">
        <f>VLOOKUP(F4335,HC!A$6:D$100,3,FALSE)</f>
        <v>#N/A</v>
      </c>
      <c r="O4335" s="7" t="str">
        <f>VLOOKUP(F4335,HC!A$6:D$1000,2,FALSE)</f>
        <v>nalesalm</v>
      </c>
    </row>
    <row r="4336" spans="1:15" ht="37.5" customHeight="1" x14ac:dyDescent="0.25">
      <c r="A4336" s="23">
        <v>45244</v>
      </c>
      <c r="B4336" s="13">
        <v>46</v>
      </c>
      <c r="C4336" t="s">
        <v>3</v>
      </c>
      <c r="D4336" t="s">
        <v>4</v>
      </c>
      <c r="E4336" t="s">
        <v>21</v>
      </c>
      <c r="F4336">
        <v>202283406</v>
      </c>
      <c r="G4336" t="s">
        <v>1729</v>
      </c>
      <c r="H4336" t="s">
        <v>250</v>
      </c>
      <c r="I4336">
        <v>0</v>
      </c>
      <c r="J4336">
        <v>0</v>
      </c>
      <c r="K4336">
        <v>0</v>
      </c>
      <c r="L4336">
        <v>0</v>
      </c>
      <c r="M4336">
        <v>0.09</v>
      </c>
      <c r="N4336" s="7" t="e">
        <f>VLOOKUP(F4336,HC!A$6:D$100,3,FALSE)</f>
        <v>#N/A</v>
      </c>
      <c r="O4336" s="7" t="str">
        <f>VLOOKUP(F4336,HC!A$6:D$1000,2,FALSE)</f>
        <v>iangevaz</v>
      </c>
    </row>
    <row r="4337" spans="1:16" ht="37.5" customHeight="1" x14ac:dyDescent="0.25">
      <c r="A4337" s="23">
        <v>45244</v>
      </c>
      <c r="B4337" s="13">
        <v>46</v>
      </c>
      <c r="C4337" t="s">
        <v>3</v>
      </c>
      <c r="D4337" t="s">
        <v>4</v>
      </c>
      <c r="E4337" t="s">
        <v>21</v>
      </c>
      <c r="F4337">
        <v>202287922</v>
      </c>
      <c r="G4337" t="s">
        <v>1452</v>
      </c>
      <c r="H4337" t="s">
        <v>263</v>
      </c>
      <c r="I4337">
        <v>0</v>
      </c>
      <c r="J4337">
        <v>0</v>
      </c>
      <c r="K4337">
        <v>0</v>
      </c>
      <c r="L4337">
        <v>0</v>
      </c>
      <c r="M4337">
        <v>0.34</v>
      </c>
      <c r="N4337" s="7" t="e">
        <f>VLOOKUP(F4337,HC!A$6:D$100,3,FALSE)</f>
        <v>#N/A</v>
      </c>
      <c r="O4337" s="7" t="str">
        <f>VLOOKUP(F4337,HC!A$6:D$1000,2,FALSE)</f>
        <v>gemandra</v>
      </c>
    </row>
    <row r="4338" spans="1:16" ht="37.5" customHeight="1" x14ac:dyDescent="0.25">
      <c r="A4338" s="23">
        <v>45244</v>
      </c>
      <c r="B4338" s="13">
        <v>46</v>
      </c>
      <c r="C4338" t="s">
        <v>3</v>
      </c>
      <c r="D4338" t="s">
        <v>4</v>
      </c>
      <c r="E4338" t="s">
        <v>21</v>
      </c>
      <c r="F4338">
        <v>202323890</v>
      </c>
      <c r="G4338" t="s">
        <v>2048</v>
      </c>
      <c r="H4338" t="s">
        <v>250</v>
      </c>
      <c r="I4338">
        <v>0</v>
      </c>
      <c r="J4338">
        <v>0</v>
      </c>
      <c r="K4338">
        <v>0</v>
      </c>
      <c r="L4338">
        <v>0</v>
      </c>
      <c r="M4338">
        <v>0.36</v>
      </c>
      <c r="N4338" s="7" t="e">
        <f>VLOOKUP(F4338,HC!A$6:D$100,3,FALSE)</f>
        <v>#N/A</v>
      </c>
      <c r="O4338" s="7" t="str">
        <f>VLOOKUP(F4338,HC!A$6:D$1000,2,FALSE)</f>
        <v>castilpw</v>
      </c>
    </row>
    <row r="4339" spans="1:16" ht="37.5" customHeight="1" x14ac:dyDescent="0.25">
      <c r="A4339" s="23">
        <v>45244</v>
      </c>
      <c r="B4339" s="13">
        <v>46</v>
      </c>
      <c r="C4339" t="s">
        <v>3</v>
      </c>
      <c r="D4339" t="s">
        <v>4</v>
      </c>
      <c r="E4339" t="s">
        <v>21</v>
      </c>
      <c r="F4339">
        <v>202323975</v>
      </c>
      <c r="G4339" t="s">
        <v>1753</v>
      </c>
      <c r="H4339" t="s">
        <v>285</v>
      </c>
      <c r="I4339">
        <v>0</v>
      </c>
      <c r="J4339">
        <v>0</v>
      </c>
      <c r="K4339">
        <v>0</v>
      </c>
      <c r="L4339">
        <v>0</v>
      </c>
      <c r="M4339">
        <v>0.32</v>
      </c>
      <c r="N4339" s="7" t="e">
        <f>VLOOKUP(F4339,HC!A$6:D$100,3,FALSE)</f>
        <v>#N/A</v>
      </c>
      <c r="O4339" s="7" t="str">
        <f>VLOOKUP(F4339,HC!A$6:D$1000,2,FALSE)</f>
        <v>alhernk</v>
      </c>
    </row>
    <row r="4340" spans="1:16" ht="37.5" customHeight="1" x14ac:dyDescent="0.25">
      <c r="A4340" s="23">
        <v>45244</v>
      </c>
      <c r="B4340" s="13">
        <v>46</v>
      </c>
      <c r="C4340" t="s">
        <v>3</v>
      </c>
      <c r="D4340" t="s">
        <v>4</v>
      </c>
      <c r="E4340" t="s">
        <v>21</v>
      </c>
      <c r="F4340">
        <v>202329407</v>
      </c>
      <c r="G4340" t="s">
        <v>1723</v>
      </c>
      <c r="H4340" t="s">
        <v>7</v>
      </c>
      <c r="I4340">
        <v>0</v>
      </c>
      <c r="J4340">
        <v>0</v>
      </c>
      <c r="K4340">
        <v>0</v>
      </c>
      <c r="L4340">
        <v>0</v>
      </c>
      <c r="M4340">
        <v>0.3</v>
      </c>
      <c r="N4340" s="7" t="e">
        <f>VLOOKUP(F4340,HC!A$6:D$100,3,FALSE)</f>
        <v>#N/A</v>
      </c>
      <c r="O4340" s="7" t="str">
        <f>VLOOKUP(F4340,HC!A$6:D$1000,2,FALSE)</f>
        <v>omedesan</v>
      </c>
    </row>
    <row r="4341" spans="1:16" ht="37.5" customHeight="1" x14ac:dyDescent="0.25">
      <c r="A4341" s="23">
        <v>45244</v>
      </c>
      <c r="B4341" s="13">
        <v>46</v>
      </c>
      <c r="C4341" t="s">
        <v>3</v>
      </c>
      <c r="D4341" t="s">
        <v>4</v>
      </c>
      <c r="E4341" t="s">
        <v>21</v>
      </c>
      <c r="F4341">
        <v>202334620</v>
      </c>
      <c r="G4341" t="s">
        <v>1760</v>
      </c>
      <c r="H4341" t="s">
        <v>285</v>
      </c>
      <c r="I4341">
        <v>0</v>
      </c>
      <c r="J4341">
        <v>0</v>
      </c>
      <c r="K4341">
        <v>0</v>
      </c>
      <c r="L4341">
        <v>0</v>
      </c>
      <c r="M4341">
        <v>0.21</v>
      </c>
      <c r="N4341" s="7" t="e">
        <f>VLOOKUP(F4341,HC!A$6:D$100,3,FALSE)</f>
        <v>#N/A</v>
      </c>
      <c r="O4341" s="7" t="str">
        <f>VLOOKUP(F4341,HC!A$6:D$1000,2,FALSE)</f>
        <v>veraaled</v>
      </c>
    </row>
    <row r="4342" spans="1:16" ht="37.5" customHeight="1" x14ac:dyDescent="0.25">
      <c r="A4342" s="23">
        <v>45244</v>
      </c>
      <c r="B4342" s="13">
        <v>46</v>
      </c>
      <c r="C4342" t="s">
        <v>3</v>
      </c>
      <c r="D4342" t="s">
        <v>4</v>
      </c>
      <c r="E4342" t="s">
        <v>21</v>
      </c>
      <c r="F4342">
        <v>202389824</v>
      </c>
      <c r="G4342" t="s">
        <v>2049</v>
      </c>
      <c r="H4342" t="s">
        <v>263</v>
      </c>
      <c r="I4342">
        <v>0</v>
      </c>
      <c r="J4342">
        <v>0</v>
      </c>
      <c r="K4342">
        <v>0</v>
      </c>
      <c r="L4342">
        <v>0</v>
      </c>
      <c r="M4342">
        <v>0.19</v>
      </c>
      <c r="N4342" s="7" t="e">
        <f>VLOOKUP(F4342,HC!A$6:D$100,3,FALSE)</f>
        <v>#N/A</v>
      </c>
      <c r="O4342" s="7" t="str">
        <f>VLOOKUP(F4342,HC!A$6:D$1000,2,FALSE)</f>
        <v>ernsbrit</v>
      </c>
    </row>
    <row r="4343" spans="1:16" ht="37.5" customHeight="1" x14ac:dyDescent="0.25">
      <c r="A4343" s="23">
        <v>45244</v>
      </c>
      <c r="B4343" s="13">
        <v>46</v>
      </c>
      <c r="C4343" t="s">
        <v>3</v>
      </c>
      <c r="D4343" t="s">
        <v>4</v>
      </c>
      <c r="E4343" t="s">
        <v>21</v>
      </c>
      <c r="F4343">
        <v>202490913</v>
      </c>
      <c r="G4343" t="s">
        <v>2050</v>
      </c>
      <c r="H4343" t="s">
        <v>7</v>
      </c>
      <c r="I4343">
        <v>0</v>
      </c>
      <c r="J4343">
        <v>0</v>
      </c>
      <c r="K4343">
        <v>0</v>
      </c>
      <c r="L4343">
        <v>0</v>
      </c>
      <c r="M4343">
        <v>0.28999999999999998</v>
      </c>
      <c r="N4343" s="7" t="e">
        <f>VLOOKUP(F4343,HC!A$6:D$100,3,FALSE)</f>
        <v>#N/A</v>
      </c>
      <c r="O4343" s="7" t="str">
        <f>VLOOKUP(F4343,HC!A$6:D$1000,2,FALSE)</f>
        <v>valadfri</v>
      </c>
    </row>
    <row r="4344" spans="1:16" ht="37.5" customHeight="1" x14ac:dyDescent="0.25">
      <c r="A4344" s="23">
        <v>45244</v>
      </c>
      <c r="B4344" s="13">
        <v>46</v>
      </c>
      <c r="C4344" t="s">
        <v>3</v>
      </c>
      <c r="D4344" t="s">
        <v>4</v>
      </c>
      <c r="E4344" t="s">
        <v>21</v>
      </c>
      <c r="F4344">
        <v>202518714</v>
      </c>
      <c r="G4344" t="s">
        <v>2051</v>
      </c>
      <c r="H4344" t="s">
        <v>7</v>
      </c>
      <c r="I4344">
        <v>0</v>
      </c>
      <c r="J4344">
        <v>0</v>
      </c>
      <c r="K4344">
        <v>0</v>
      </c>
      <c r="L4344">
        <v>0</v>
      </c>
      <c r="M4344">
        <v>7.0000000000000007E-2</v>
      </c>
      <c r="N4344" s="7" t="e">
        <f>VLOOKUP(F4344,HC!A$6:D$100,3,FALSE)</f>
        <v>#N/A</v>
      </c>
      <c r="O4344" s="7" t="str">
        <f>VLOOKUP(F4344,HC!A$6:D$1000,2,FALSE)</f>
        <v>jeurrutj</v>
      </c>
    </row>
    <row r="4345" spans="1:16" ht="37.5" customHeight="1" x14ac:dyDescent="0.25">
      <c r="A4345" s="23">
        <v>45245</v>
      </c>
      <c r="B4345" s="13">
        <v>46</v>
      </c>
      <c r="C4345" t="s">
        <v>2077</v>
      </c>
      <c r="D4345" t="s">
        <v>4</v>
      </c>
      <c r="E4345" t="s">
        <v>5</v>
      </c>
      <c r="F4345">
        <v>112950795</v>
      </c>
      <c r="G4345" t="s">
        <v>580</v>
      </c>
      <c r="H4345" t="s">
        <v>7</v>
      </c>
      <c r="I4345">
        <v>0</v>
      </c>
      <c r="J4345">
        <v>0</v>
      </c>
      <c r="K4345">
        <v>0</v>
      </c>
      <c r="L4345">
        <v>0</v>
      </c>
      <c r="M4345">
        <v>0.19</v>
      </c>
      <c r="N4345" s="7" t="str">
        <f>VLOOKUP(F4345,HC!A$6:D$100,3,FALSE)</f>
        <v>DA-X0700</v>
      </c>
      <c r="O4345" s="7" t="str">
        <f>VLOOKUP(F4345,HC!A$6:D$1000,2,FALSE)</f>
        <v>oespiali</v>
      </c>
      <c r="P4345" t="s">
        <v>666</v>
      </c>
    </row>
    <row r="4346" spans="1:16" ht="37.5" customHeight="1" x14ac:dyDescent="0.25">
      <c r="A4346" s="23">
        <v>45245</v>
      </c>
      <c r="B4346" s="13">
        <v>46</v>
      </c>
      <c r="C4346" t="s">
        <v>3</v>
      </c>
      <c r="D4346" t="s">
        <v>4</v>
      </c>
      <c r="E4346" t="s">
        <v>5</v>
      </c>
      <c r="F4346">
        <v>112981013</v>
      </c>
      <c r="G4346" t="s">
        <v>283</v>
      </c>
      <c r="H4346" t="s">
        <v>250</v>
      </c>
      <c r="I4346">
        <v>0</v>
      </c>
      <c r="J4346">
        <v>0</v>
      </c>
      <c r="K4346">
        <v>0</v>
      </c>
      <c r="L4346">
        <v>0</v>
      </c>
      <c r="M4346">
        <v>0.19</v>
      </c>
      <c r="N4346" s="7" t="str">
        <f>VLOOKUP(F4346,HC!A$6:D$100,3,FALSE)</f>
        <v>DA-X0700</v>
      </c>
      <c r="O4346" s="7" t="str">
        <f>VLOOKUP(F4346,HC!A$6:D$1000,2,FALSE)</f>
        <v>normaelo</v>
      </c>
      <c r="P4346" t="s">
        <v>663</v>
      </c>
    </row>
    <row r="4347" spans="1:16" ht="37.5" customHeight="1" x14ac:dyDescent="0.25">
      <c r="A4347" s="23">
        <v>45245</v>
      </c>
      <c r="B4347" s="13">
        <v>46</v>
      </c>
      <c r="C4347" t="s">
        <v>3</v>
      </c>
      <c r="D4347" t="s">
        <v>4</v>
      </c>
      <c r="E4347" t="s">
        <v>5</v>
      </c>
      <c r="F4347">
        <v>113014078</v>
      </c>
      <c r="G4347" t="s">
        <v>567</v>
      </c>
      <c r="H4347" t="s">
        <v>1040</v>
      </c>
      <c r="I4347">
        <v>0</v>
      </c>
      <c r="J4347">
        <v>0</v>
      </c>
      <c r="K4347">
        <v>0</v>
      </c>
      <c r="L4347">
        <v>0</v>
      </c>
      <c r="M4347">
        <v>1.18</v>
      </c>
      <c r="N4347" s="7" t="e">
        <f>VLOOKUP(F4347,HC!A$6:D$100,3,FALSE)</f>
        <v>#N/A</v>
      </c>
      <c r="O4347" s="7" t="str">
        <f>VLOOKUP(F4347,HC!A$6:D$1000,2,FALSE)</f>
        <v>dnaldair</v>
      </c>
      <c r="P4347" t="s">
        <v>664</v>
      </c>
    </row>
    <row r="4348" spans="1:16" ht="37.5" customHeight="1" x14ac:dyDescent="0.25">
      <c r="A4348" s="23">
        <v>45245</v>
      </c>
      <c r="B4348" s="13">
        <v>46</v>
      </c>
      <c r="C4348" t="s">
        <v>3</v>
      </c>
      <c r="D4348" t="s">
        <v>4</v>
      </c>
      <c r="E4348" t="s">
        <v>5</v>
      </c>
      <c r="F4348">
        <v>113014094</v>
      </c>
      <c r="G4348" t="s">
        <v>463</v>
      </c>
      <c r="H4348" t="s">
        <v>49</v>
      </c>
      <c r="I4348">
        <v>0</v>
      </c>
      <c r="J4348">
        <v>0</v>
      </c>
      <c r="K4348">
        <v>0</v>
      </c>
      <c r="L4348">
        <v>0</v>
      </c>
      <c r="M4348">
        <v>0.19</v>
      </c>
      <c r="N4348" s="7" t="e">
        <f>VLOOKUP(F4348,HC!A$6:D$100,3,FALSE)</f>
        <v>#N/A</v>
      </c>
      <c r="O4348" s="7" t="str">
        <f>VLOOKUP(F4348,HC!A$6:D$1000,2,FALSE)</f>
        <v>erikaadm</v>
      </c>
      <c r="P4348" t="s">
        <v>665</v>
      </c>
    </row>
    <row r="4349" spans="1:16" ht="37.5" customHeight="1" x14ac:dyDescent="0.25">
      <c r="A4349" s="23">
        <v>45245</v>
      </c>
      <c r="B4349" s="13">
        <v>46</v>
      </c>
      <c r="C4349" t="s">
        <v>3</v>
      </c>
      <c r="D4349" t="s">
        <v>4</v>
      </c>
      <c r="E4349" t="s">
        <v>5</v>
      </c>
      <c r="F4349">
        <v>113014560</v>
      </c>
      <c r="G4349" t="s">
        <v>599</v>
      </c>
      <c r="H4349" t="s">
        <v>298</v>
      </c>
      <c r="I4349">
        <v>0</v>
      </c>
      <c r="J4349">
        <v>0</v>
      </c>
      <c r="K4349">
        <v>0</v>
      </c>
      <c r="L4349">
        <v>0</v>
      </c>
      <c r="M4349">
        <v>0.33</v>
      </c>
      <c r="N4349" s="7" t="e">
        <f>VLOOKUP(F4349,HC!A$6:D$100,3,FALSE)</f>
        <v>#N/A</v>
      </c>
      <c r="O4349" s="7" t="str">
        <f>VLOOKUP(F4349,HC!A$6:D$1000,2,FALSE)</f>
        <v>zlopamer</v>
      </c>
      <c r="P4349" t="s">
        <v>663</v>
      </c>
    </row>
    <row r="4350" spans="1:16" ht="37.5" customHeight="1" x14ac:dyDescent="0.25">
      <c r="A4350" s="23">
        <v>45245</v>
      </c>
      <c r="B4350" s="13">
        <v>46</v>
      </c>
      <c r="C4350" t="s">
        <v>3</v>
      </c>
      <c r="D4350" t="s">
        <v>4</v>
      </c>
      <c r="E4350" t="s">
        <v>5</v>
      </c>
      <c r="F4350">
        <v>200404250</v>
      </c>
      <c r="G4350" t="s">
        <v>51</v>
      </c>
      <c r="H4350" t="s">
        <v>49</v>
      </c>
      <c r="I4350">
        <v>0</v>
      </c>
      <c r="J4350">
        <v>0</v>
      </c>
      <c r="K4350">
        <v>0</v>
      </c>
      <c r="L4350">
        <v>0</v>
      </c>
      <c r="M4350">
        <v>0.33</v>
      </c>
      <c r="N4350" s="7" t="e">
        <f>VLOOKUP(F4350,HC!A$6:D$100,3,FALSE)</f>
        <v>#N/A</v>
      </c>
      <c r="O4350" s="7" t="str">
        <f>VLOOKUP(F4350,HC!A$6:D$1000,2,FALSE)</f>
        <v>xcathurt</v>
      </c>
      <c r="P4350" t="s">
        <v>662</v>
      </c>
    </row>
    <row r="4351" spans="1:16" ht="37.5" customHeight="1" x14ac:dyDescent="0.25">
      <c r="A4351" s="23">
        <v>45245</v>
      </c>
      <c r="B4351" s="13">
        <v>46</v>
      </c>
      <c r="C4351" t="s">
        <v>3</v>
      </c>
      <c r="D4351" t="s">
        <v>4</v>
      </c>
      <c r="E4351" t="s">
        <v>5</v>
      </c>
      <c r="F4351">
        <v>200508323</v>
      </c>
      <c r="G4351" t="s">
        <v>1150</v>
      </c>
      <c r="H4351" t="s">
        <v>298</v>
      </c>
      <c r="I4351">
        <v>0</v>
      </c>
      <c r="J4351">
        <v>0</v>
      </c>
      <c r="K4351">
        <v>0</v>
      </c>
      <c r="L4351">
        <v>0</v>
      </c>
      <c r="M4351">
        <v>0.13</v>
      </c>
      <c r="N4351" s="7" t="e">
        <f>VLOOKUP(F4351,HC!A$6:D$100,3,FALSE)</f>
        <v>#N/A</v>
      </c>
      <c r="O4351" s="7" t="str">
        <f>VLOOKUP(F4351,HC!A$6:D$1000,2,FALSE)</f>
        <v>espejell</v>
      </c>
      <c r="P4351" t="s">
        <v>661</v>
      </c>
    </row>
    <row r="4352" spans="1:16" ht="37.5" customHeight="1" x14ac:dyDescent="0.25">
      <c r="A4352" s="23">
        <v>45245</v>
      </c>
      <c r="B4352" s="13">
        <v>46</v>
      </c>
      <c r="C4352" t="s">
        <v>3</v>
      </c>
      <c r="D4352" t="s">
        <v>4</v>
      </c>
      <c r="E4352" t="s">
        <v>5</v>
      </c>
      <c r="F4352">
        <v>200564895</v>
      </c>
      <c r="G4352" t="s">
        <v>520</v>
      </c>
      <c r="H4352" t="s">
        <v>49</v>
      </c>
      <c r="I4352">
        <v>0</v>
      </c>
      <c r="J4352">
        <v>0</v>
      </c>
      <c r="K4352">
        <v>0</v>
      </c>
      <c r="L4352">
        <v>0</v>
      </c>
      <c r="M4352">
        <v>0.16</v>
      </c>
      <c r="N4352" s="7" t="e">
        <f>VLOOKUP(F4352,HC!A$6:D$100,3,FALSE)</f>
        <v>#N/A</v>
      </c>
      <c r="O4352" s="7" t="str">
        <f>VLOOKUP(F4352,HC!A$6:D$1000,2,FALSE)</f>
        <v>hmendobr</v>
      </c>
      <c r="P4352" t="s">
        <v>664</v>
      </c>
    </row>
    <row r="4353" spans="1:16" ht="37.5" customHeight="1" x14ac:dyDescent="0.25">
      <c r="A4353" s="23">
        <v>45245</v>
      </c>
      <c r="B4353" s="13">
        <v>46</v>
      </c>
      <c r="C4353" t="s">
        <v>3</v>
      </c>
      <c r="D4353" t="s">
        <v>4</v>
      </c>
      <c r="E4353" t="s">
        <v>5</v>
      </c>
      <c r="F4353">
        <v>200574345</v>
      </c>
      <c r="G4353" t="s">
        <v>476</v>
      </c>
      <c r="H4353" t="s">
        <v>49</v>
      </c>
      <c r="I4353">
        <v>0</v>
      </c>
      <c r="J4353">
        <v>0</v>
      </c>
      <c r="K4353">
        <v>0</v>
      </c>
      <c r="L4353">
        <v>0</v>
      </c>
      <c r="M4353">
        <v>0.67</v>
      </c>
      <c r="N4353" s="7" t="e">
        <f>VLOOKUP(F4353,HC!A$6:D$100,3,FALSE)</f>
        <v>#N/A</v>
      </c>
      <c r="O4353" s="7" t="str">
        <f>VLOOKUP(F4353,HC!A$6:D$1000,2,FALSE)</f>
        <v>contrexj</v>
      </c>
      <c r="P4353" t="s">
        <v>661</v>
      </c>
    </row>
    <row r="4354" spans="1:16" ht="37.5" customHeight="1" x14ac:dyDescent="0.25">
      <c r="A4354" s="23">
        <v>45245</v>
      </c>
      <c r="B4354" s="13">
        <v>46</v>
      </c>
      <c r="C4354" t="s">
        <v>3</v>
      </c>
      <c r="D4354" t="s">
        <v>4</v>
      </c>
      <c r="E4354" t="s">
        <v>5</v>
      </c>
      <c r="F4354">
        <v>201167501</v>
      </c>
      <c r="G4354" t="s">
        <v>863</v>
      </c>
      <c r="H4354" t="s">
        <v>49</v>
      </c>
      <c r="I4354">
        <v>0</v>
      </c>
      <c r="J4354">
        <v>0</v>
      </c>
      <c r="K4354">
        <v>0</v>
      </c>
      <c r="L4354">
        <v>0</v>
      </c>
      <c r="M4354">
        <v>0.19</v>
      </c>
      <c r="N4354" s="7" t="e">
        <f>VLOOKUP(F4354,HC!A$6:D$100,3,FALSE)</f>
        <v>#N/A</v>
      </c>
      <c r="O4354" s="7" t="str">
        <f>VLOOKUP(F4354,HC!A$6:D$1000,2,FALSE)</f>
        <v>wguanajr</v>
      </c>
      <c r="P4354" t="s">
        <v>661</v>
      </c>
    </row>
    <row r="4355" spans="1:16" ht="37.5" customHeight="1" x14ac:dyDescent="0.25">
      <c r="A4355" s="23">
        <v>45245</v>
      </c>
      <c r="B4355" s="13">
        <v>46</v>
      </c>
      <c r="C4355" t="s">
        <v>3</v>
      </c>
      <c r="D4355" t="s">
        <v>4</v>
      </c>
      <c r="E4355" t="s">
        <v>5</v>
      </c>
      <c r="F4355">
        <v>201198922</v>
      </c>
      <c r="G4355" t="s">
        <v>1141</v>
      </c>
      <c r="H4355" t="s">
        <v>403</v>
      </c>
      <c r="I4355">
        <v>0</v>
      </c>
      <c r="J4355">
        <v>0</v>
      </c>
      <c r="K4355">
        <v>0</v>
      </c>
      <c r="L4355">
        <v>0</v>
      </c>
      <c r="M4355">
        <v>0.26</v>
      </c>
      <c r="N4355" s="7" t="e">
        <f>VLOOKUP(F4355,HC!A$6:D$100,3,FALSE)</f>
        <v>#N/A</v>
      </c>
      <c r="O4355" s="7" t="str">
        <f>VLOOKUP(F4355,HC!A$6:D$1000,2,FALSE)</f>
        <v>mendejoy</v>
      </c>
      <c r="P4355" t="s">
        <v>675</v>
      </c>
    </row>
    <row r="4356" spans="1:16" ht="37.5" customHeight="1" x14ac:dyDescent="0.25">
      <c r="A4356" s="23">
        <v>45245</v>
      </c>
      <c r="B4356" s="13">
        <v>46</v>
      </c>
      <c r="C4356" t="s">
        <v>3</v>
      </c>
      <c r="D4356" t="s">
        <v>4</v>
      </c>
      <c r="E4356" t="s">
        <v>5</v>
      </c>
      <c r="F4356">
        <v>201341534</v>
      </c>
      <c r="G4356" t="s">
        <v>1181</v>
      </c>
      <c r="H4356" t="s">
        <v>1040</v>
      </c>
      <c r="I4356">
        <v>0</v>
      </c>
      <c r="J4356">
        <v>0</v>
      </c>
      <c r="K4356">
        <v>0</v>
      </c>
      <c r="L4356">
        <v>0</v>
      </c>
      <c r="M4356">
        <v>0.18</v>
      </c>
      <c r="N4356" s="7" t="e">
        <f>VLOOKUP(F4356,HC!A$6:D$100,3,FALSE)</f>
        <v>#N/A</v>
      </c>
      <c r="O4356" s="7" t="str">
        <f>VLOOKUP(F4356,HC!A$6:D$1000,2,FALSE)</f>
        <v>beceresm</v>
      </c>
      <c r="P4356" t="s">
        <v>661</v>
      </c>
    </row>
    <row r="4357" spans="1:16" ht="37.5" customHeight="1" x14ac:dyDescent="0.25">
      <c r="A4357" s="23">
        <v>45245</v>
      </c>
      <c r="B4357" s="13">
        <v>46</v>
      </c>
      <c r="C4357" t="s">
        <v>3</v>
      </c>
      <c r="D4357" t="s">
        <v>4</v>
      </c>
      <c r="E4357" t="s">
        <v>5</v>
      </c>
      <c r="F4357">
        <v>201354965</v>
      </c>
      <c r="G4357" t="s">
        <v>1063</v>
      </c>
      <c r="H4357" t="s">
        <v>285</v>
      </c>
      <c r="I4357">
        <v>0</v>
      </c>
      <c r="J4357">
        <v>0</v>
      </c>
      <c r="K4357">
        <v>0</v>
      </c>
      <c r="L4357">
        <v>0</v>
      </c>
      <c r="M4357">
        <v>0.08</v>
      </c>
      <c r="N4357" s="7" t="e">
        <f>VLOOKUP(F4357,HC!A$6:D$100,3,FALSE)</f>
        <v>#N/A</v>
      </c>
      <c r="O4357" s="7" t="str">
        <f>VLOOKUP(F4357,HC!A$6:D$1000,2,FALSE)</f>
        <v>alinejim</v>
      </c>
      <c r="P4357" t="s">
        <v>665</v>
      </c>
    </row>
    <row r="4358" spans="1:16" ht="37.5" customHeight="1" x14ac:dyDescent="0.25">
      <c r="A4358" s="23">
        <v>45245</v>
      </c>
      <c r="B4358" s="13">
        <v>46</v>
      </c>
      <c r="C4358" t="s">
        <v>3</v>
      </c>
      <c r="D4358" t="s">
        <v>4</v>
      </c>
      <c r="E4358" t="s">
        <v>5</v>
      </c>
      <c r="F4358">
        <v>201880542</v>
      </c>
      <c r="G4358" t="s">
        <v>1225</v>
      </c>
      <c r="H4358" t="s">
        <v>1040</v>
      </c>
      <c r="I4358">
        <v>0</v>
      </c>
      <c r="J4358">
        <v>0</v>
      </c>
      <c r="K4358">
        <v>0</v>
      </c>
      <c r="L4358">
        <v>0</v>
      </c>
      <c r="M4358">
        <v>0.99</v>
      </c>
      <c r="N4358" s="7" t="e">
        <f>VLOOKUP(F4358,HC!A$6:D$100,3,FALSE)</f>
        <v>#N/A</v>
      </c>
      <c r="O4358" s="7" t="str">
        <f>VLOOKUP(F4358,HC!A$6:D$1000,2,FALSE)</f>
        <v>orticorp</v>
      </c>
      <c r="P4358" t="s">
        <v>664</v>
      </c>
    </row>
    <row r="4359" spans="1:16" ht="37.5" customHeight="1" x14ac:dyDescent="0.25">
      <c r="A4359" s="23">
        <v>45245</v>
      </c>
      <c r="B4359" s="13">
        <v>46</v>
      </c>
      <c r="C4359" t="s">
        <v>3</v>
      </c>
      <c r="D4359" t="s">
        <v>4</v>
      </c>
      <c r="E4359" t="s">
        <v>5</v>
      </c>
      <c r="F4359">
        <v>201882567</v>
      </c>
      <c r="G4359" t="s">
        <v>1265</v>
      </c>
      <c r="H4359" t="s">
        <v>49</v>
      </c>
      <c r="I4359">
        <v>0</v>
      </c>
      <c r="J4359">
        <v>0</v>
      </c>
      <c r="K4359">
        <v>0</v>
      </c>
      <c r="L4359">
        <v>0</v>
      </c>
      <c r="M4359">
        <v>0.22</v>
      </c>
      <c r="N4359" s="7" t="e">
        <f>VLOOKUP(F4359,HC!A$6:D$100,3,FALSE)</f>
        <v>#N/A</v>
      </c>
      <c r="O4359" s="7" t="str">
        <f>VLOOKUP(F4359,HC!A$6:D$1000,2,FALSE)</f>
        <v>valtsalv</v>
      </c>
      <c r="P4359" t="s">
        <v>664</v>
      </c>
    </row>
    <row r="4360" spans="1:16" ht="37.5" customHeight="1" x14ac:dyDescent="0.25">
      <c r="A4360" s="23">
        <v>45245</v>
      </c>
      <c r="B4360" s="13">
        <v>46</v>
      </c>
      <c r="C4360" t="s">
        <v>3</v>
      </c>
      <c r="D4360" t="s">
        <v>4</v>
      </c>
      <c r="E4360" t="s">
        <v>21</v>
      </c>
      <c r="F4360">
        <v>202068103</v>
      </c>
      <c r="G4360" t="s">
        <v>2052</v>
      </c>
      <c r="H4360" t="s">
        <v>1720</v>
      </c>
      <c r="I4360">
        <v>0</v>
      </c>
      <c r="J4360">
        <v>0</v>
      </c>
      <c r="K4360">
        <v>0</v>
      </c>
      <c r="L4360">
        <v>0</v>
      </c>
      <c r="M4360">
        <v>0.14000000000000001</v>
      </c>
      <c r="N4360" s="7" t="e">
        <f>VLOOKUP(F4360,HC!A$6:D$100,3,FALSE)</f>
        <v>#N/A</v>
      </c>
      <c r="O4360" s="7" t="str">
        <f>VLOOKUP(F4360,HC!A$6:D$1000,2,FALSE)</f>
        <v>barrqnoe</v>
      </c>
      <c r="P4360" t="s">
        <v>664</v>
      </c>
    </row>
    <row r="4361" spans="1:16" ht="37.5" customHeight="1" x14ac:dyDescent="0.25">
      <c r="A4361" s="23">
        <v>45245</v>
      </c>
      <c r="B4361" s="13">
        <v>46</v>
      </c>
      <c r="C4361" t="s">
        <v>3</v>
      </c>
      <c r="D4361" t="s">
        <v>4</v>
      </c>
      <c r="E4361" t="s">
        <v>21</v>
      </c>
      <c r="F4361">
        <v>202068119</v>
      </c>
      <c r="G4361" t="s">
        <v>1428</v>
      </c>
      <c r="H4361" t="s">
        <v>1471</v>
      </c>
      <c r="I4361">
        <v>0</v>
      </c>
      <c r="J4361">
        <v>0</v>
      </c>
      <c r="K4361">
        <v>0</v>
      </c>
      <c r="L4361">
        <v>0</v>
      </c>
      <c r="M4361">
        <v>0.02</v>
      </c>
      <c r="N4361" s="7" t="e">
        <f>VLOOKUP(F4361,HC!A$6:D$100,3,FALSE)</f>
        <v>#N/A</v>
      </c>
      <c r="O4361" s="7" t="str">
        <f>VLOOKUP(F4361,HC!A$6:D$1000,2,FALSE)</f>
        <v>casosaul</v>
      </c>
      <c r="P4361" t="s">
        <v>661</v>
      </c>
    </row>
    <row r="4362" spans="1:16" ht="37.5" customHeight="1" x14ac:dyDescent="0.25">
      <c r="A4362" s="23">
        <v>45245</v>
      </c>
      <c r="B4362" s="13">
        <v>46</v>
      </c>
      <c r="C4362" t="s">
        <v>3</v>
      </c>
      <c r="D4362" t="s">
        <v>4</v>
      </c>
      <c r="E4362" t="s">
        <v>21</v>
      </c>
      <c r="F4362">
        <v>202070021</v>
      </c>
      <c r="G4362" t="s">
        <v>2053</v>
      </c>
      <c r="H4362" t="s">
        <v>7</v>
      </c>
      <c r="I4362">
        <v>0</v>
      </c>
      <c r="J4362">
        <v>0</v>
      </c>
      <c r="K4362">
        <v>0</v>
      </c>
      <c r="L4362">
        <v>0</v>
      </c>
      <c r="M4362">
        <v>0.17</v>
      </c>
      <c r="N4362" s="7" t="e">
        <f>VLOOKUP(F4362,HC!A$6:D$100,3,FALSE)</f>
        <v>#N/A</v>
      </c>
      <c r="O4362" s="7" t="str">
        <f>VLOOKUP(F4362,HC!A$6:D$1000,2,FALSE)</f>
        <v>patiguil</v>
      </c>
      <c r="P4362" t="s">
        <v>664</v>
      </c>
    </row>
    <row r="4363" spans="1:16" ht="37.5" customHeight="1" x14ac:dyDescent="0.25">
      <c r="A4363" s="23">
        <v>45245</v>
      </c>
      <c r="B4363" s="13">
        <v>46</v>
      </c>
      <c r="C4363" t="s">
        <v>3</v>
      </c>
      <c r="D4363" t="s">
        <v>4</v>
      </c>
      <c r="E4363" t="s">
        <v>21</v>
      </c>
      <c r="F4363">
        <v>202081087</v>
      </c>
      <c r="G4363" t="s">
        <v>1289</v>
      </c>
      <c r="H4363" t="s">
        <v>1720</v>
      </c>
      <c r="I4363">
        <v>0</v>
      </c>
      <c r="J4363">
        <v>0</v>
      </c>
      <c r="K4363">
        <v>0</v>
      </c>
      <c r="L4363">
        <v>0</v>
      </c>
      <c r="M4363">
        <v>0.13</v>
      </c>
      <c r="N4363" s="7" t="e">
        <f>VLOOKUP(F4363,HC!A$6:D$100,3,FALSE)</f>
        <v>#N/A</v>
      </c>
      <c r="O4363" s="7" t="str">
        <f>VLOOKUP(F4363,HC!A$6:D$1000,2,FALSE)</f>
        <v>rlimarti</v>
      </c>
      <c r="P4363" t="s">
        <v>661</v>
      </c>
    </row>
    <row r="4364" spans="1:16" ht="37.5" customHeight="1" x14ac:dyDescent="0.25">
      <c r="A4364" s="23">
        <v>45245</v>
      </c>
      <c r="B4364" s="13">
        <v>46</v>
      </c>
      <c r="C4364" t="s">
        <v>3</v>
      </c>
      <c r="D4364" t="s">
        <v>4</v>
      </c>
      <c r="E4364" t="s">
        <v>21</v>
      </c>
      <c r="F4364">
        <v>202118346</v>
      </c>
      <c r="G4364" t="s">
        <v>1286</v>
      </c>
      <c r="H4364" t="s">
        <v>250</v>
      </c>
      <c r="I4364">
        <v>0</v>
      </c>
      <c r="J4364">
        <v>0</v>
      </c>
      <c r="K4364">
        <v>0</v>
      </c>
      <c r="L4364">
        <v>0</v>
      </c>
      <c r="M4364">
        <v>0.08</v>
      </c>
      <c r="N4364" s="7" t="e">
        <f>VLOOKUP(F4364,HC!A$6:D$100,3,FALSE)</f>
        <v>#N/A</v>
      </c>
      <c r="O4364" s="7" t="str">
        <f>VLOOKUP(F4364,HC!A$6:D$1000,2,FALSE)</f>
        <v>jesponcu</v>
      </c>
      <c r="P4364" t="s">
        <v>664</v>
      </c>
    </row>
    <row r="4365" spans="1:16" ht="37.5" customHeight="1" x14ac:dyDescent="0.25">
      <c r="A4365" s="23">
        <v>45245</v>
      </c>
      <c r="B4365" s="13">
        <v>46</v>
      </c>
      <c r="C4365" t="s">
        <v>3</v>
      </c>
      <c r="D4365" t="s">
        <v>4</v>
      </c>
      <c r="E4365" t="s">
        <v>21</v>
      </c>
      <c r="F4365">
        <v>202120362</v>
      </c>
      <c r="G4365" t="s">
        <v>2054</v>
      </c>
      <c r="H4365" t="s">
        <v>1720</v>
      </c>
      <c r="I4365">
        <v>0</v>
      </c>
      <c r="J4365">
        <v>0</v>
      </c>
      <c r="K4365">
        <v>0</v>
      </c>
      <c r="L4365">
        <v>0</v>
      </c>
      <c r="M4365">
        <v>1.32</v>
      </c>
      <c r="N4365" s="7" t="e">
        <f>VLOOKUP(F4365,HC!A$6:D$100,3,FALSE)</f>
        <v>#N/A</v>
      </c>
      <c r="O4365" s="7" t="str">
        <f>VLOOKUP(F4365,HC!A$6:D$1000,2,FALSE)</f>
        <v>aghvirid</v>
      </c>
      <c r="P4365" t="s">
        <v>662</v>
      </c>
    </row>
    <row r="4366" spans="1:16" ht="37.5" customHeight="1" x14ac:dyDescent="0.25">
      <c r="A4366" s="23">
        <v>45245</v>
      </c>
      <c r="B4366" s="13">
        <v>46</v>
      </c>
      <c r="C4366" t="s">
        <v>3</v>
      </c>
      <c r="D4366" t="s">
        <v>4</v>
      </c>
      <c r="E4366" t="s">
        <v>21</v>
      </c>
      <c r="F4366">
        <v>202137341</v>
      </c>
      <c r="G4366" t="s">
        <v>1291</v>
      </c>
      <c r="H4366" t="s">
        <v>250</v>
      </c>
      <c r="I4366">
        <v>0</v>
      </c>
      <c r="J4366">
        <v>0</v>
      </c>
      <c r="K4366">
        <v>0</v>
      </c>
      <c r="L4366">
        <v>0</v>
      </c>
      <c r="M4366">
        <v>0.36</v>
      </c>
      <c r="N4366" s="7" t="e">
        <f>VLOOKUP(F4366,HC!A$6:D$100,3,FALSE)</f>
        <v>#N/A</v>
      </c>
      <c r="O4366" s="7" t="str">
        <f>VLOOKUP(F4366,HC!A$6:D$1000,2,FALSE)</f>
        <v>xedgabra</v>
      </c>
      <c r="P4366" t="s">
        <v>664</v>
      </c>
    </row>
    <row r="4367" spans="1:16" ht="37.5" customHeight="1" x14ac:dyDescent="0.25">
      <c r="A4367" s="23">
        <v>45245</v>
      </c>
      <c r="B4367" s="13">
        <v>46</v>
      </c>
      <c r="C4367" t="s">
        <v>3</v>
      </c>
      <c r="D4367" t="s">
        <v>4</v>
      </c>
      <c r="E4367" t="s">
        <v>21</v>
      </c>
      <c r="F4367">
        <v>202167308</v>
      </c>
      <c r="G4367" t="s">
        <v>1468</v>
      </c>
      <c r="H4367" t="s">
        <v>1040</v>
      </c>
      <c r="I4367">
        <v>0</v>
      </c>
      <c r="J4367">
        <v>0</v>
      </c>
      <c r="K4367">
        <v>0</v>
      </c>
      <c r="L4367">
        <v>0</v>
      </c>
      <c r="M4367">
        <v>0.18</v>
      </c>
      <c r="N4367" s="7" t="e">
        <f>VLOOKUP(F4367,HC!A$6:D$100,3,FALSE)</f>
        <v>#N/A</v>
      </c>
      <c r="O4367" s="7" t="str">
        <f>VLOOKUP(F4367,HC!A$6:D$1000,2,FALSE)</f>
        <v>cjalcoce</v>
      </c>
      <c r="P4367" t="s">
        <v>664</v>
      </c>
    </row>
    <row r="4368" spans="1:16" ht="37.5" customHeight="1" x14ac:dyDescent="0.25">
      <c r="A4368" s="23">
        <v>45245</v>
      </c>
      <c r="B4368" s="13">
        <v>46</v>
      </c>
      <c r="C4368" t="s">
        <v>3</v>
      </c>
      <c r="D4368" t="s">
        <v>4</v>
      </c>
      <c r="E4368" t="s">
        <v>21</v>
      </c>
      <c r="F4368">
        <v>202190946</v>
      </c>
      <c r="G4368" t="s">
        <v>2055</v>
      </c>
      <c r="H4368" t="s">
        <v>1040</v>
      </c>
      <c r="I4368">
        <v>0</v>
      </c>
      <c r="J4368">
        <v>0</v>
      </c>
      <c r="K4368">
        <v>0</v>
      </c>
      <c r="L4368">
        <v>0</v>
      </c>
      <c r="M4368">
        <v>0.14000000000000001</v>
      </c>
      <c r="N4368" s="7" t="e">
        <f>VLOOKUP(F4368,HC!A$6:D$100,3,FALSE)</f>
        <v>#N/A</v>
      </c>
      <c r="O4368" s="7" t="str">
        <f>VLOOKUP(F4368,HC!A$6:D$1000,2,FALSE)</f>
        <v>ggonzcar</v>
      </c>
      <c r="P4368" t="s">
        <v>664</v>
      </c>
    </row>
    <row r="4369" spans="1:16" ht="37.5" customHeight="1" x14ac:dyDescent="0.25">
      <c r="A4369" s="23">
        <v>45245</v>
      </c>
      <c r="B4369" s="13">
        <v>46</v>
      </c>
      <c r="C4369" t="s">
        <v>3</v>
      </c>
      <c r="D4369" t="s">
        <v>4</v>
      </c>
      <c r="E4369" t="s">
        <v>21</v>
      </c>
      <c r="F4369">
        <v>202194928</v>
      </c>
      <c r="G4369" t="s">
        <v>1432</v>
      </c>
      <c r="H4369" t="s">
        <v>250</v>
      </c>
      <c r="I4369">
        <v>0</v>
      </c>
      <c r="J4369">
        <v>0</v>
      </c>
      <c r="K4369">
        <v>0</v>
      </c>
      <c r="L4369">
        <v>0</v>
      </c>
      <c r="M4369">
        <v>0.26</v>
      </c>
      <c r="N4369" s="7" t="e">
        <f>VLOOKUP(F4369,HC!A$6:D$100,3,FALSE)</f>
        <v>#N/A</v>
      </c>
      <c r="O4369" s="7" t="str">
        <f>VLOOKUP(F4369,HC!A$6:D$1000,2,FALSE)</f>
        <v>gajosemr</v>
      </c>
      <c r="P4369" t="s">
        <v>661</v>
      </c>
    </row>
    <row r="4370" spans="1:16" ht="37.5" customHeight="1" x14ac:dyDescent="0.25">
      <c r="A4370" s="23">
        <v>45245</v>
      </c>
      <c r="B4370" s="13">
        <v>46</v>
      </c>
      <c r="C4370" t="s">
        <v>3</v>
      </c>
      <c r="D4370" t="s">
        <v>4</v>
      </c>
      <c r="E4370" t="s">
        <v>21</v>
      </c>
      <c r="F4370">
        <v>202219558</v>
      </c>
      <c r="G4370" t="s">
        <v>1721</v>
      </c>
      <c r="H4370" t="s">
        <v>403</v>
      </c>
      <c r="I4370">
        <v>0</v>
      </c>
      <c r="J4370">
        <v>0</v>
      </c>
      <c r="K4370">
        <v>0</v>
      </c>
      <c r="L4370">
        <v>0</v>
      </c>
      <c r="M4370">
        <v>0.32</v>
      </c>
      <c r="N4370" s="7" t="e">
        <f>VLOOKUP(F4370,HC!A$6:D$100,3,FALSE)</f>
        <v>#N/A</v>
      </c>
      <c r="O4370" s="7" t="str">
        <f>VLOOKUP(F4370,HC!A$6:D$1000,2,FALSE)</f>
        <v>ricaqcor</v>
      </c>
      <c r="P4370" t="s">
        <v>664</v>
      </c>
    </row>
    <row r="4371" spans="1:16" ht="37.5" customHeight="1" x14ac:dyDescent="0.25">
      <c r="A4371" s="23">
        <v>45245</v>
      </c>
      <c r="B4371" s="13">
        <v>46</v>
      </c>
      <c r="C4371" t="s">
        <v>3</v>
      </c>
      <c r="D4371" t="s">
        <v>4</v>
      </c>
      <c r="E4371" t="s">
        <v>21</v>
      </c>
      <c r="F4371">
        <v>202265858</v>
      </c>
      <c r="G4371" t="s">
        <v>1451</v>
      </c>
      <c r="H4371" t="s">
        <v>49</v>
      </c>
      <c r="I4371">
        <v>0</v>
      </c>
      <c r="J4371">
        <v>0</v>
      </c>
      <c r="K4371">
        <v>0</v>
      </c>
      <c r="L4371">
        <v>0</v>
      </c>
      <c r="M4371">
        <v>0.19</v>
      </c>
      <c r="N4371" s="7" t="e">
        <f>VLOOKUP(F4371,HC!A$6:D$100,3,FALSE)</f>
        <v>#N/A</v>
      </c>
      <c r="O4371" s="7" t="str">
        <f>VLOOKUP(F4371,HC!A$6:D$1000,2,FALSE)</f>
        <v>nalesalm</v>
      </c>
      <c r="P4371" t="s">
        <v>665</v>
      </c>
    </row>
    <row r="4372" spans="1:16" ht="37.5" customHeight="1" x14ac:dyDescent="0.25">
      <c r="A4372" s="23">
        <v>45245</v>
      </c>
      <c r="B4372" s="13">
        <v>46</v>
      </c>
      <c r="C4372" t="s">
        <v>3</v>
      </c>
      <c r="D4372" t="s">
        <v>4</v>
      </c>
      <c r="E4372" t="s">
        <v>21</v>
      </c>
      <c r="F4372">
        <v>202273970</v>
      </c>
      <c r="G4372" t="s">
        <v>1477</v>
      </c>
      <c r="H4372" t="s">
        <v>332</v>
      </c>
      <c r="I4372">
        <v>0</v>
      </c>
      <c r="J4372">
        <v>0</v>
      </c>
      <c r="K4372">
        <v>0</v>
      </c>
      <c r="L4372">
        <v>0</v>
      </c>
      <c r="M4372">
        <v>0.12</v>
      </c>
      <c r="N4372" s="7" t="e">
        <f>VLOOKUP(F4372,HC!A$6:D$100,3,FALSE)</f>
        <v>#N/A</v>
      </c>
      <c r="O4372" s="7" t="str">
        <f>VLOOKUP(F4372,HC!A$6:D$1000,2,FALSE)</f>
        <v>jafemedi</v>
      </c>
      <c r="P4372" t="s">
        <v>661</v>
      </c>
    </row>
    <row r="4373" spans="1:16" ht="37.5" customHeight="1" x14ac:dyDescent="0.25">
      <c r="A4373" s="23">
        <v>45245</v>
      </c>
      <c r="B4373" s="13">
        <v>46</v>
      </c>
      <c r="C4373" t="s">
        <v>3</v>
      </c>
      <c r="D4373" t="s">
        <v>4</v>
      </c>
      <c r="E4373" t="s">
        <v>21</v>
      </c>
      <c r="F4373">
        <v>202282459</v>
      </c>
      <c r="G4373" t="s">
        <v>1752</v>
      </c>
      <c r="H4373" t="s">
        <v>298</v>
      </c>
      <c r="I4373">
        <v>0</v>
      </c>
      <c r="J4373">
        <v>0</v>
      </c>
      <c r="K4373">
        <v>0</v>
      </c>
      <c r="L4373">
        <v>0</v>
      </c>
      <c r="M4373">
        <v>0.37</v>
      </c>
      <c r="N4373" s="7" t="e">
        <f>VLOOKUP(F4373,HC!A$6:D$100,3,FALSE)</f>
        <v>#N/A</v>
      </c>
      <c r="O4373" s="7" t="str">
        <f>VLOOKUP(F4373,HC!A$6:D$1000,2,FALSE)</f>
        <v>velazalr</v>
      </c>
      <c r="P4373" t="s">
        <v>662</v>
      </c>
    </row>
    <row r="4374" spans="1:16" ht="37.5" customHeight="1" x14ac:dyDescent="0.25">
      <c r="A4374" s="23">
        <v>45245</v>
      </c>
      <c r="B4374" s="13">
        <v>46</v>
      </c>
      <c r="C4374" t="s">
        <v>3</v>
      </c>
      <c r="D4374" t="s">
        <v>4</v>
      </c>
      <c r="E4374" t="s">
        <v>21</v>
      </c>
      <c r="F4374">
        <v>202287533</v>
      </c>
      <c r="G4374" t="s">
        <v>2056</v>
      </c>
      <c r="H4374" t="s">
        <v>263</v>
      </c>
      <c r="I4374">
        <v>0</v>
      </c>
      <c r="J4374">
        <v>0</v>
      </c>
      <c r="K4374">
        <v>0</v>
      </c>
      <c r="L4374">
        <v>0</v>
      </c>
      <c r="M4374">
        <v>0.3</v>
      </c>
      <c r="N4374" s="7" t="e">
        <f>VLOOKUP(F4374,HC!A$6:D$100,3,FALSE)</f>
        <v>#N/A</v>
      </c>
      <c r="O4374" s="7" t="str">
        <f>VLOOKUP(F4374,HC!A$6:D$1000,2,FALSE)</f>
        <v>antonhee</v>
      </c>
      <c r="P4374" t="s">
        <v>661</v>
      </c>
    </row>
    <row r="4375" spans="1:16" ht="37.5" customHeight="1" x14ac:dyDescent="0.25">
      <c r="A4375" s="23">
        <v>45245</v>
      </c>
      <c r="B4375" s="13">
        <v>46</v>
      </c>
      <c r="C4375" t="s">
        <v>3</v>
      </c>
      <c r="D4375" t="s">
        <v>4</v>
      </c>
      <c r="E4375" t="s">
        <v>21</v>
      </c>
      <c r="F4375">
        <v>202287922</v>
      </c>
      <c r="G4375" t="s">
        <v>1452</v>
      </c>
      <c r="H4375" t="s">
        <v>263</v>
      </c>
      <c r="I4375">
        <v>0</v>
      </c>
      <c r="J4375">
        <v>0</v>
      </c>
      <c r="K4375">
        <v>0</v>
      </c>
      <c r="L4375">
        <v>0</v>
      </c>
      <c r="M4375">
        <v>0.33</v>
      </c>
      <c r="N4375" s="7" t="e">
        <f>VLOOKUP(F4375,HC!A$6:D$100,3,FALSE)</f>
        <v>#N/A</v>
      </c>
      <c r="O4375" s="7" t="str">
        <f>VLOOKUP(F4375,HC!A$6:D$1000,2,FALSE)</f>
        <v>gemandra</v>
      </c>
      <c r="P4375" t="s">
        <v>661</v>
      </c>
    </row>
    <row r="4376" spans="1:16" ht="37.5" customHeight="1" x14ac:dyDescent="0.25">
      <c r="A4376" s="23">
        <v>45245</v>
      </c>
      <c r="B4376" s="13">
        <v>46</v>
      </c>
      <c r="C4376" t="s">
        <v>3</v>
      </c>
      <c r="D4376" t="s">
        <v>4</v>
      </c>
      <c r="E4376" t="s">
        <v>21</v>
      </c>
      <c r="F4376">
        <v>202329407</v>
      </c>
      <c r="G4376" t="s">
        <v>1723</v>
      </c>
      <c r="H4376" t="s">
        <v>7</v>
      </c>
      <c r="I4376">
        <v>0</v>
      </c>
      <c r="J4376">
        <v>0</v>
      </c>
      <c r="K4376">
        <v>0</v>
      </c>
      <c r="L4376">
        <v>0</v>
      </c>
      <c r="M4376">
        <v>0.34</v>
      </c>
      <c r="N4376" s="7" t="e">
        <f>VLOOKUP(F4376,HC!A$6:D$100,3,FALSE)</f>
        <v>#N/A</v>
      </c>
      <c r="O4376" s="7" t="str">
        <f>VLOOKUP(F4376,HC!A$6:D$1000,2,FALSE)</f>
        <v>omedesan</v>
      </c>
      <c r="P4376" t="s">
        <v>664</v>
      </c>
    </row>
    <row r="4377" spans="1:16" ht="37.5" customHeight="1" x14ac:dyDescent="0.25">
      <c r="A4377" s="23">
        <v>45245</v>
      </c>
      <c r="B4377" s="13">
        <v>46</v>
      </c>
      <c r="C4377" t="s">
        <v>3</v>
      </c>
      <c r="D4377" t="s">
        <v>4</v>
      </c>
      <c r="E4377" t="s">
        <v>21</v>
      </c>
      <c r="F4377">
        <v>202334751</v>
      </c>
      <c r="G4377" t="s">
        <v>1736</v>
      </c>
      <c r="H4377" t="s">
        <v>7</v>
      </c>
      <c r="I4377">
        <v>0</v>
      </c>
      <c r="J4377">
        <v>0</v>
      </c>
      <c r="K4377">
        <v>0</v>
      </c>
      <c r="L4377">
        <v>0</v>
      </c>
      <c r="M4377">
        <v>0.34</v>
      </c>
      <c r="N4377" s="7" t="e">
        <f>VLOOKUP(F4377,HC!A$6:D$100,3,FALSE)</f>
        <v>#N/A</v>
      </c>
      <c r="O4377" s="7" t="str">
        <f>VLOOKUP(F4377,HC!A$6:D$1000,2,FALSE)</f>
        <v>luzmmarq</v>
      </c>
      <c r="P4377" t="s">
        <v>661</v>
      </c>
    </row>
    <row r="4378" spans="1:16" ht="37.5" customHeight="1" x14ac:dyDescent="0.25">
      <c r="A4378" s="23">
        <v>45245</v>
      </c>
      <c r="B4378" s="13">
        <v>46</v>
      </c>
      <c r="C4378" t="s">
        <v>3</v>
      </c>
      <c r="D4378" t="s">
        <v>4</v>
      </c>
      <c r="E4378" t="s">
        <v>21</v>
      </c>
      <c r="F4378">
        <v>202350464</v>
      </c>
      <c r="G4378" t="s">
        <v>2032</v>
      </c>
      <c r="H4378" t="s">
        <v>7</v>
      </c>
      <c r="I4378">
        <v>0</v>
      </c>
      <c r="J4378">
        <v>0</v>
      </c>
      <c r="K4378">
        <v>0</v>
      </c>
      <c r="L4378">
        <v>0</v>
      </c>
      <c r="M4378">
        <v>1.1200000000000001</v>
      </c>
      <c r="N4378" s="7" t="e">
        <f>VLOOKUP(F4378,HC!A$6:D$100,3,FALSE)</f>
        <v>#N/A</v>
      </c>
      <c r="O4378" s="7" t="str">
        <f>VLOOKUP(F4378,HC!A$6:D$1000,2,FALSE)</f>
        <v>gapjosel</v>
      </c>
      <c r="P4378" t="s">
        <v>664</v>
      </c>
    </row>
    <row r="4379" spans="1:16" ht="37.5" customHeight="1" x14ac:dyDescent="0.25">
      <c r="A4379" s="23">
        <v>45245</v>
      </c>
      <c r="B4379" s="13">
        <v>46</v>
      </c>
      <c r="C4379" t="s">
        <v>3</v>
      </c>
      <c r="D4379" t="s">
        <v>4</v>
      </c>
      <c r="E4379" t="s">
        <v>21</v>
      </c>
      <c r="F4379">
        <v>202374145</v>
      </c>
      <c r="G4379" t="s">
        <v>2057</v>
      </c>
      <c r="H4379" t="s">
        <v>459</v>
      </c>
      <c r="I4379">
        <v>0</v>
      </c>
      <c r="J4379">
        <v>0</v>
      </c>
      <c r="K4379">
        <v>0</v>
      </c>
      <c r="L4379">
        <v>0</v>
      </c>
      <c r="M4379">
        <v>0.27</v>
      </c>
      <c r="N4379" s="7" t="e">
        <f>VLOOKUP(F4379,HC!A$6:D$100,3,FALSE)</f>
        <v>#N/A</v>
      </c>
      <c r="O4379" s="7" t="str">
        <f>VLOOKUP(F4379,HC!A$6:D$1000,2,FALSE)</f>
        <v>gasconab</v>
      </c>
      <c r="P4379" t="s">
        <v>661</v>
      </c>
    </row>
    <row r="4380" spans="1:16" ht="37.5" customHeight="1" x14ac:dyDescent="0.25">
      <c r="A4380" s="23">
        <v>45245</v>
      </c>
      <c r="B4380" s="13">
        <v>46</v>
      </c>
      <c r="C4380" t="s">
        <v>3</v>
      </c>
      <c r="D4380" t="s">
        <v>4</v>
      </c>
      <c r="E4380" t="s">
        <v>21</v>
      </c>
      <c r="F4380">
        <v>202417673</v>
      </c>
      <c r="G4380" t="s">
        <v>2058</v>
      </c>
      <c r="H4380" t="s">
        <v>459</v>
      </c>
      <c r="I4380">
        <v>0</v>
      </c>
      <c r="J4380">
        <v>0</v>
      </c>
      <c r="K4380">
        <v>0</v>
      </c>
      <c r="L4380">
        <v>0</v>
      </c>
      <c r="M4380">
        <v>0.3</v>
      </c>
      <c r="N4380" s="7" t="e">
        <f>VLOOKUP(F4380,HC!A$6:D$100,3,FALSE)</f>
        <v>#N/A</v>
      </c>
      <c r="O4380" s="7" t="str">
        <f>VLOOKUP(F4380,HC!A$6:D$1000,2,FALSE)</f>
        <v>valezlop</v>
      </c>
      <c r="P4380" t="s">
        <v>661</v>
      </c>
    </row>
    <row r="4381" spans="1:16" ht="37.5" customHeight="1" x14ac:dyDescent="0.25">
      <c r="A4381" s="23">
        <v>45245</v>
      </c>
      <c r="B4381" s="13">
        <v>46</v>
      </c>
      <c r="C4381" t="s">
        <v>3</v>
      </c>
      <c r="D4381" t="s">
        <v>4</v>
      </c>
      <c r="E4381" t="s">
        <v>21</v>
      </c>
      <c r="F4381">
        <v>202421453</v>
      </c>
      <c r="G4381" t="s">
        <v>2020</v>
      </c>
      <c r="H4381" t="s">
        <v>459</v>
      </c>
      <c r="I4381">
        <v>0</v>
      </c>
      <c r="J4381">
        <v>0</v>
      </c>
      <c r="K4381">
        <v>0</v>
      </c>
      <c r="L4381">
        <v>0</v>
      </c>
      <c r="M4381">
        <v>0.7</v>
      </c>
      <c r="N4381" s="7" t="e">
        <f>VLOOKUP(F4381,HC!A$6:D$100,3,FALSE)</f>
        <v>#N/A</v>
      </c>
      <c r="O4381" s="7" t="str">
        <f>VLOOKUP(F4381,HC!A$6:D$1000,2,FALSE)</f>
        <v>chejserg</v>
      </c>
      <c r="P4381" t="s">
        <v>661</v>
      </c>
    </row>
    <row r="4382" spans="1:16" ht="37.5" customHeight="1" x14ac:dyDescent="0.25">
      <c r="A4382" s="23">
        <v>45245</v>
      </c>
      <c r="B4382" s="13">
        <v>46</v>
      </c>
      <c r="C4382" t="s">
        <v>3</v>
      </c>
      <c r="D4382" t="s">
        <v>4</v>
      </c>
      <c r="E4382" t="s">
        <v>21</v>
      </c>
      <c r="F4382">
        <v>202442784</v>
      </c>
      <c r="G4382" t="s">
        <v>2059</v>
      </c>
      <c r="H4382" t="s">
        <v>282</v>
      </c>
      <c r="I4382">
        <v>0</v>
      </c>
      <c r="J4382">
        <v>0</v>
      </c>
      <c r="K4382">
        <v>0</v>
      </c>
      <c r="L4382">
        <v>0</v>
      </c>
      <c r="M4382">
        <v>0.16</v>
      </c>
      <c r="N4382" s="7" t="e">
        <f>VLOOKUP(F4382,HC!A$6:D$100,3,FALSE)</f>
        <v>#N/A</v>
      </c>
      <c r="O4382" s="7" t="str">
        <f>VLOOKUP(F4382,HC!A$6:D$1000,2,FALSE)</f>
        <v>lanavera</v>
      </c>
      <c r="P4382" t="s">
        <v>661</v>
      </c>
    </row>
    <row r="4383" spans="1:16" ht="37.5" customHeight="1" x14ac:dyDescent="0.25">
      <c r="A4383" s="23">
        <v>45245</v>
      </c>
      <c r="B4383" s="13">
        <v>46</v>
      </c>
      <c r="C4383" t="s">
        <v>3</v>
      </c>
      <c r="D4383" t="s">
        <v>4</v>
      </c>
      <c r="E4383" t="s">
        <v>21</v>
      </c>
      <c r="F4383">
        <v>202479830</v>
      </c>
      <c r="G4383" t="s">
        <v>2060</v>
      </c>
      <c r="H4383" t="s">
        <v>1040</v>
      </c>
      <c r="I4383">
        <v>0</v>
      </c>
      <c r="J4383">
        <v>0</v>
      </c>
      <c r="K4383">
        <v>0</v>
      </c>
      <c r="L4383">
        <v>0</v>
      </c>
      <c r="M4383">
        <v>1.22</v>
      </c>
      <c r="N4383" s="7" t="e">
        <f>VLOOKUP(F4383,HC!A$6:D$100,3,FALSE)</f>
        <v>#N/A</v>
      </c>
      <c r="O4383" s="7" t="str">
        <f>VLOOKUP(F4383,HC!A$6:D$1000,2,FALSE)</f>
        <v>montmedi</v>
      </c>
      <c r="P4383" t="s">
        <v>664</v>
      </c>
    </row>
    <row r="4384" spans="1:16" ht="37.5" customHeight="1" x14ac:dyDescent="0.25">
      <c r="A4384" s="23">
        <v>45245</v>
      </c>
      <c r="B4384" s="13">
        <v>46</v>
      </c>
      <c r="C4384" t="s">
        <v>3</v>
      </c>
      <c r="D4384" t="s">
        <v>4</v>
      </c>
      <c r="E4384" t="s">
        <v>21</v>
      </c>
      <c r="F4384">
        <v>202479893</v>
      </c>
      <c r="G4384" t="s">
        <v>2061</v>
      </c>
      <c r="H4384" t="s">
        <v>1040</v>
      </c>
      <c r="I4384">
        <v>0</v>
      </c>
      <c r="J4384">
        <v>0</v>
      </c>
      <c r="K4384">
        <v>0</v>
      </c>
      <c r="L4384">
        <v>0</v>
      </c>
      <c r="M4384">
        <v>0.66</v>
      </c>
      <c r="N4384" s="7" t="e">
        <f>VLOOKUP(F4384,HC!A$6:D$100,3,FALSE)</f>
        <v>#N/A</v>
      </c>
      <c r="O4384" s="7" t="str">
        <f>VLOOKUP(F4384,HC!A$6:D$1000,2,FALSE)</f>
        <v>torluzaf</v>
      </c>
      <c r="P4384" t="s">
        <v>664</v>
      </c>
    </row>
    <row r="4385" spans="1:16" ht="37.5" customHeight="1" x14ac:dyDescent="0.25">
      <c r="A4385" s="23">
        <v>45245</v>
      </c>
      <c r="B4385" s="13">
        <v>46</v>
      </c>
      <c r="C4385" t="s">
        <v>3</v>
      </c>
      <c r="D4385" t="s">
        <v>4</v>
      </c>
      <c r="E4385" t="s">
        <v>21</v>
      </c>
      <c r="F4385">
        <v>202479901</v>
      </c>
      <c r="G4385" t="s">
        <v>2062</v>
      </c>
      <c r="H4385" t="s">
        <v>332</v>
      </c>
      <c r="I4385">
        <v>0</v>
      </c>
      <c r="J4385">
        <v>0</v>
      </c>
      <c r="K4385">
        <v>0</v>
      </c>
      <c r="L4385">
        <v>0</v>
      </c>
      <c r="M4385">
        <v>1.1299999999999999</v>
      </c>
      <c r="N4385" s="7" t="e">
        <f>VLOOKUP(F4385,HC!A$6:D$100,3,FALSE)</f>
        <v>#N/A</v>
      </c>
      <c r="O4385" s="7" t="str">
        <f>VLOOKUP(F4385,HC!A$6:D$1000,2,FALSE)</f>
        <v>delhtorr</v>
      </c>
      <c r="P4385" t="s">
        <v>664</v>
      </c>
    </row>
    <row r="4386" spans="1:16" ht="37.5" customHeight="1" x14ac:dyDescent="0.25">
      <c r="A4386" s="23">
        <v>45245</v>
      </c>
      <c r="B4386" s="13">
        <v>46</v>
      </c>
      <c r="C4386" t="s">
        <v>3</v>
      </c>
      <c r="D4386" t="s">
        <v>4</v>
      </c>
      <c r="E4386" t="s">
        <v>21</v>
      </c>
      <c r="F4386">
        <v>202518715</v>
      </c>
      <c r="G4386" t="s">
        <v>2007</v>
      </c>
      <c r="H4386" t="s">
        <v>332</v>
      </c>
      <c r="I4386">
        <v>0</v>
      </c>
      <c r="J4386">
        <v>0</v>
      </c>
      <c r="K4386">
        <v>0</v>
      </c>
      <c r="L4386">
        <v>0</v>
      </c>
      <c r="M4386">
        <v>0.45</v>
      </c>
      <c r="N4386" s="7" t="e">
        <f>VLOOKUP(F4386,HC!A$6:D$100,3,FALSE)</f>
        <v>#N/A</v>
      </c>
      <c r="O4386" s="7" t="str">
        <f>VLOOKUP(F4386,HC!A$6:D$1000,2,FALSE)</f>
        <v>sandceci</v>
      </c>
      <c r="P4386" t="s">
        <v>663</v>
      </c>
    </row>
    <row r="4387" spans="1:16" ht="37.5" customHeight="1" x14ac:dyDescent="0.25">
      <c r="A4387" s="23">
        <v>45245</v>
      </c>
      <c r="B4387" s="13">
        <v>46</v>
      </c>
      <c r="C4387" t="s">
        <v>3</v>
      </c>
      <c r="D4387" t="s">
        <v>4</v>
      </c>
      <c r="E4387" t="s">
        <v>21</v>
      </c>
      <c r="F4387">
        <v>202538455</v>
      </c>
      <c r="G4387" t="s">
        <v>2063</v>
      </c>
      <c r="H4387" t="s">
        <v>282</v>
      </c>
      <c r="I4387">
        <v>0</v>
      </c>
      <c r="J4387">
        <v>0</v>
      </c>
      <c r="K4387">
        <v>0</v>
      </c>
      <c r="L4387">
        <v>0</v>
      </c>
      <c r="M4387">
        <v>1.4</v>
      </c>
      <c r="N4387" s="7" t="e">
        <f>VLOOKUP(F4387,HC!A$6:D$100,3,FALSE)</f>
        <v>#N/A</v>
      </c>
      <c r="O4387" s="7" t="e">
        <f>VLOOKUP(F4387,HC!A$6:D$1000,2,FALSE)</f>
        <v>#N/A</v>
      </c>
    </row>
    <row r="4388" spans="1:16" ht="37.5" customHeight="1" x14ac:dyDescent="0.25">
      <c r="A4388" s="23">
        <v>45246</v>
      </c>
      <c r="B4388" s="13">
        <v>46</v>
      </c>
      <c r="C4388" t="s">
        <v>3</v>
      </c>
      <c r="D4388" t="s">
        <v>4</v>
      </c>
      <c r="E4388" t="s">
        <v>5</v>
      </c>
      <c r="F4388">
        <v>103979960</v>
      </c>
      <c r="G4388" t="s">
        <v>372</v>
      </c>
      <c r="H4388" t="s">
        <v>49</v>
      </c>
      <c r="I4388">
        <v>0</v>
      </c>
      <c r="J4388">
        <v>0</v>
      </c>
      <c r="K4388">
        <v>0</v>
      </c>
      <c r="L4388">
        <v>0</v>
      </c>
      <c r="M4388">
        <v>0.18</v>
      </c>
      <c r="N4388" s="7" t="e">
        <f>VLOOKUP(F4388,HC!A$6:D$100,3,FALSE)</f>
        <v>#N/A</v>
      </c>
      <c r="O4388" s="7" t="e">
        <f>VLOOKUP(F4388,HC!A$6:D$1000,2,FALSE)</f>
        <v>#N/A</v>
      </c>
    </row>
    <row r="4389" spans="1:16" ht="37.5" customHeight="1" x14ac:dyDescent="0.25">
      <c r="A4389" s="23">
        <v>45246</v>
      </c>
      <c r="B4389" s="13">
        <v>46</v>
      </c>
      <c r="C4389" t="s">
        <v>3</v>
      </c>
      <c r="D4389" t="s">
        <v>4</v>
      </c>
      <c r="E4389" t="s">
        <v>21</v>
      </c>
      <c r="F4389">
        <v>112912984</v>
      </c>
      <c r="G4389" t="s">
        <v>2028</v>
      </c>
      <c r="H4389" t="s">
        <v>282</v>
      </c>
      <c r="I4389">
        <v>0</v>
      </c>
      <c r="J4389">
        <v>0</v>
      </c>
      <c r="K4389">
        <v>0</v>
      </c>
      <c r="L4389">
        <v>0</v>
      </c>
      <c r="M4389">
        <v>0.08</v>
      </c>
      <c r="N4389" s="7" t="str">
        <f>VLOOKUP(F4389,HC!A$6:D$100,3,FALSE)</f>
        <v>DJ-X0700</v>
      </c>
      <c r="O4389" s="7" t="str">
        <f>VLOOKUP(F4389,HC!A$6:D$1000,2,FALSE)</f>
        <v>ortizdui</v>
      </c>
    </row>
    <row r="4390" spans="1:16" ht="37.5" customHeight="1" x14ac:dyDescent="0.25">
      <c r="A4390" s="23">
        <v>45246</v>
      </c>
      <c r="B4390" s="13">
        <v>46</v>
      </c>
      <c r="C4390" t="s">
        <v>3</v>
      </c>
      <c r="D4390" t="s">
        <v>4</v>
      </c>
      <c r="E4390" t="s">
        <v>5</v>
      </c>
      <c r="F4390">
        <v>112971962</v>
      </c>
      <c r="G4390" t="s">
        <v>338</v>
      </c>
      <c r="H4390" t="s">
        <v>298</v>
      </c>
      <c r="I4390">
        <v>0</v>
      </c>
      <c r="J4390">
        <v>0</v>
      </c>
      <c r="K4390">
        <v>0</v>
      </c>
      <c r="L4390">
        <v>0</v>
      </c>
      <c r="M4390">
        <v>0.19</v>
      </c>
      <c r="N4390" s="7" t="str">
        <f>VLOOKUP(F4390,HC!A$6:D$100,3,FALSE)</f>
        <v>DB-X0700</v>
      </c>
      <c r="O4390" s="7" t="str">
        <f>VLOOKUP(F4390,HC!A$6:D$1000,2,FALSE)</f>
        <v>creyesal</v>
      </c>
    </row>
    <row r="4391" spans="1:16" ht="37.5" customHeight="1" x14ac:dyDescent="0.25">
      <c r="A4391" s="23">
        <v>45246</v>
      </c>
      <c r="B4391" s="13">
        <v>46</v>
      </c>
      <c r="C4391" t="s">
        <v>3</v>
      </c>
      <c r="D4391" t="s">
        <v>4</v>
      </c>
      <c r="E4391" t="s">
        <v>5</v>
      </c>
      <c r="F4391">
        <v>112972215</v>
      </c>
      <c r="G4391" t="s">
        <v>984</v>
      </c>
      <c r="H4391" t="s">
        <v>298</v>
      </c>
      <c r="I4391">
        <v>0</v>
      </c>
      <c r="J4391">
        <v>0</v>
      </c>
      <c r="K4391">
        <v>0</v>
      </c>
      <c r="L4391">
        <v>0</v>
      </c>
      <c r="M4391">
        <v>0.15</v>
      </c>
      <c r="N4391" s="7" t="str">
        <f>VLOOKUP(F4391,HC!A$6:D$100,3,FALSE)</f>
        <v>DB-X0700</v>
      </c>
      <c r="O4391" s="7" t="str">
        <f>VLOOKUP(F4391,HC!A$6:D$1000,2,FALSE)</f>
        <v>cruzbana</v>
      </c>
    </row>
    <row r="4392" spans="1:16" ht="37.5" customHeight="1" x14ac:dyDescent="0.25">
      <c r="A4392" s="23">
        <v>45246</v>
      </c>
      <c r="B4392" s="13">
        <v>46</v>
      </c>
      <c r="C4392" t="s">
        <v>3</v>
      </c>
      <c r="D4392" t="s">
        <v>4</v>
      </c>
      <c r="E4392" t="s">
        <v>5</v>
      </c>
      <c r="F4392">
        <v>113014560</v>
      </c>
      <c r="G4392" t="s">
        <v>599</v>
      </c>
      <c r="H4392" t="s">
        <v>298</v>
      </c>
      <c r="I4392">
        <v>0</v>
      </c>
      <c r="J4392">
        <v>0</v>
      </c>
      <c r="K4392">
        <v>0</v>
      </c>
      <c r="L4392">
        <v>0</v>
      </c>
      <c r="M4392">
        <v>0.27</v>
      </c>
      <c r="N4392" s="7" t="e">
        <f>VLOOKUP(F4392,HC!A$6:D$100,3,FALSE)</f>
        <v>#N/A</v>
      </c>
      <c r="O4392" s="7" t="str">
        <f>VLOOKUP(F4392,HC!A$6:D$1000,2,FALSE)</f>
        <v>zlopamer</v>
      </c>
    </row>
    <row r="4393" spans="1:16" ht="37.5" customHeight="1" x14ac:dyDescent="0.25">
      <c r="A4393" s="23">
        <v>45246</v>
      </c>
      <c r="B4393" s="13">
        <v>46</v>
      </c>
      <c r="C4393" t="s">
        <v>3</v>
      </c>
      <c r="D4393" t="s">
        <v>4</v>
      </c>
      <c r="E4393" t="s">
        <v>5</v>
      </c>
      <c r="F4393">
        <v>113020476</v>
      </c>
      <c r="G4393" t="s">
        <v>330</v>
      </c>
      <c r="H4393" t="s">
        <v>263</v>
      </c>
      <c r="I4393">
        <v>0</v>
      </c>
      <c r="J4393">
        <v>0</v>
      </c>
      <c r="K4393">
        <v>0</v>
      </c>
      <c r="L4393">
        <v>0</v>
      </c>
      <c r="M4393">
        <v>0.09</v>
      </c>
      <c r="N4393" s="7" t="e">
        <f>VLOOKUP(F4393,HC!A$6:D$100,3,FALSE)</f>
        <v>#N/A</v>
      </c>
      <c r="O4393" s="7" t="str">
        <f>VLOOKUP(F4393,HC!A$6:D$1000,2,FALSE)</f>
        <v>polettpu</v>
      </c>
    </row>
    <row r="4394" spans="1:16" ht="37.5" customHeight="1" x14ac:dyDescent="0.25">
      <c r="A4394" s="23">
        <v>45246</v>
      </c>
      <c r="B4394" s="13">
        <v>46</v>
      </c>
      <c r="C4394" t="s">
        <v>3</v>
      </c>
      <c r="D4394" t="s">
        <v>4</v>
      </c>
      <c r="E4394" t="s">
        <v>5</v>
      </c>
      <c r="F4394">
        <v>113052151</v>
      </c>
      <c r="G4394" t="s">
        <v>482</v>
      </c>
      <c r="H4394" t="s">
        <v>285</v>
      </c>
      <c r="I4394">
        <v>0</v>
      </c>
      <c r="J4394">
        <v>0</v>
      </c>
      <c r="K4394">
        <v>0</v>
      </c>
      <c r="L4394">
        <v>0</v>
      </c>
      <c r="M4394">
        <v>0.14000000000000001</v>
      </c>
      <c r="N4394" s="7" t="e">
        <f>VLOOKUP(F4394,HC!A$6:D$100,3,FALSE)</f>
        <v>#N/A</v>
      </c>
      <c r="O4394" s="7" t="str">
        <f>VLOOKUP(F4394,HC!A$6:D$1000,2,FALSE)</f>
        <v>nilaurab</v>
      </c>
    </row>
    <row r="4395" spans="1:16" ht="37.5" customHeight="1" x14ac:dyDescent="0.25">
      <c r="A4395" s="23">
        <v>45246</v>
      </c>
      <c r="B4395" s="13">
        <v>46</v>
      </c>
      <c r="C4395" t="s">
        <v>3</v>
      </c>
      <c r="D4395" t="s">
        <v>4</v>
      </c>
      <c r="E4395" t="s">
        <v>5</v>
      </c>
      <c r="F4395">
        <v>201172306</v>
      </c>
      <c r="G4395" t="s">
        <v>970</v>
      </c>
      <c r="H4395" t="s">
        <v>263</v>
      </c>
      <c r="I4395">
        <v>0</v>
      </c>
      <c r="J4395">
        <v>0</v>
      </c>
      <c r="K4395">
        <v>0</v>
      </c>
      <c r="L4395">
        <v>0</v>
      </c>
      <c r="M4395">
        <v>0.09</v>
      </c>
      <c r="N4395" s="7" t="e">
        <f>VLOOKUP(F4395,HC!A$6:D$100,3,FALSE)</f>
        <v>#N/A</v>
      </c>
      <c r="O4395" s="7" t="str">
        <f>VLOOKUP(F4395,HC!A$6:D$1000,2,FALSE)</f>
        <v>cesarvae</v>
      </c>
    </row>
    <row r="4396" spans="1:16" ht="37.5" customHeight="1" x14ac:dyDescent="0.25">
      <c r="A4396" s="23">
        <v>45246</v>
      </c>
      <c r="B4396" s="13">
        <v>46</v>
      </c>
      <c r="C4396" t="s">
        <v>3</v>
      </c>
      <c r="D4396" t="s">
        <v>4</v>
      </c>
      <c r="E4396" t="s">
        <v>5</v>
      </c>
      <c r="F4396">
        <v>201191390</v>
      </c>
      <c r="G4396" t="s">
        <v>916</v>
      </c>
      <c r="H4396" t="s">
        <v>298</v>
      </c>
      <c r="I4396">
        <v>0</v>
      </c>
      <c r="J4396">
        <v>0</v>
      </c>
      <c r="K4396">
        <v>0</v>
      </c>
      <c r="L4396">
        <v>0</v>
      </c>
      <c r="M4396">
        <v>0.08</v>
      </c>
      <c r="N4396" s="7" t="e">
        <f>VLOOKUP(F4396,HC!A$6:D$100,3,FALSE)</f>
        <v>#N/A</v>
      </c>
      <c r="O4396" s="7" t="str">
        <f>VLOOKUP(F4396,HC!A$6:D$1000,2,FALSE)</f>
        <v>bgajesus</v>
      </c>
    </row>
    <row r="4397" spans="1:16" ht="37.5" customHeight="1" x14ac:dyDescent="0.25">
      <c r="A4397" s="23">
        <v>45246</v>
      </c>
      <c r="B4397" s="13">
        <v>46</v>
      </c>
      <c r="C4397" t="s">
        <v>3</v>
      </c>
      <c r="D4397" t="s">
        <v>4</v>
      </c>
      <c r="E4397" t="s">
        <v>5</v>
      </c>
      <c r="F4397">
        <v>201354965</v>
      </c>
      <c r="G4397" t="s">
        <v>1063</v>
      </c>
      <c r="H4397" t="s">
        <v>285</v>
      </c>
      <c r="I4397">
        <v>0</v>
      </c>
      <c r="J4397">
        <v>0</v>
      </c>
      <c r="K4397">
        <v>0</v>
      </c>
      <c r="L4397">
        <v>0</v>
      </c>
      <c r="M4397">
        <v>0.47</v>
      </c>
      <c r="N4397" s="7" t="e">
        <f>VLOOKUP(F4397,HC!A$6:D$100,3,FALSE)</f>
        <v>#N/A</v>
      </c>
      <c r="O4397" s="7" t="str">
        <f>VLOOKUP(F4397,HC!A$6:D$1000,2,FALSE)</f>
        <v>alinejim</v>
      </c>
    </row>
    <row r="4398" spans="1:16" ht="37.5" customHeight="1" x14ac:dyDescent="0.25">
      <c r="A4398" s="23">
        <v>45246</v>
      </c>
      <c r="B4398" s="13">
        <v>46</v>
      </c>
      <c r="C4398" t="s">
        <v>3</v>
      </c>
      <c r="D4398" t="s">
        <v>4</v>
      </c>
      <c r="E4398" t="s">
        <v>21</v>
      </c>
      <c r="F4398">
        <v>201365023</v>
      </c>
      <c r="G4398" t="s">
        <v>1756</v>
      </c>
      <c r="H4398" t="s">
        <v>298</v>
      </c>
      <c r="I4398">
        <v>0</v>
      </c>
      <c r="J4398">
        <v>0</v>
      </c>
      <c r="K4398">
        <v>0</v>
      </c>
      <c r="L4398">
        <v>0</v>
      </c>
      <c r="M4398">
        <v>1.27</v>
      </c>
      <c r="N4398" s="7" t="e">
        <f>VLOOKUP(F4398,HC!A$6:D$100,3,FALSE)</f>
        <v>#N/A</v>
      </c>
      <c r="O4398" s="7" t="str">
        <f>VLOOKUP(F4398,HC!A$6:D$1000,2,FALSE)</f>
        <v>varacent</v>
      </c>
    </row>
    <row r="4399" spans="1:16" ht="37.5" customHeight="1" x14ac:dyDescent="0.25">
      <c r="A4399" s="23">
        <v>45246</v>
      </c>
      <c r="B4399" s="13">
        <v>46</v>
      </c>
      <c r="C4399" t="s">
        <v>3</v>
      </c>
      <c r="D4399" t="s">
        <v>4</v>
      </c>
      <c r="E4399" t="s">
        <v>5</v>
      </c>
      <c r="F4399">
        <v>201406984</v>
      </c>
      <c r="G4399" t="s">
        <v>1217</v>
      </c>
      <c r="H4399" t="s">
        <v>1471</v>
      </c>
      <c r="I4399">
        <v>0</v>
      </c>
      <c r="J4399">
        <v>0</v>
      </c>
      <c r="K4399">
        <v>0</v>
      </c>
      <c r="L4399">
        <v>0</v>
      </c>
      <c r="M4399">
        <v>0.56999999999999995</v>
      </c>
      <c r="N4399" s="7" t="e">
        <f>VLOOKUP(F4399,HC!A$6:D$100,3,FALSE)</f>
        <v>#N/A</v>
      </c>
      <c r="O4399" s="7" t="str">
        <f>VLOOKUP(F4399,HC!A$6:D$1000,2,FALSE)</f>
        <v>dmisaelp</v>
      </c>
    </row>
    <row r="4400" spans="1:16" ht="37.5" customHeight="1" x14ac:dyDescent="0.25">
      <c r="A4400" s="23">
        <v>45246</v>
      </c>
      <c r="B4400" s="13">
        <v>46</v>
      </c>
      <c r="C4400" t="s">
        <v>3</v>
      </c>
      <c r="D4400" t="s">
        <v>4</v>
      </c>
      <c r="E4400" t="s">
        <v>5</v>
      </c>
      <c r="F4400">
        <v>201841804</v>
      </c>
      <c r="G4400" t="s">
        <v>1214</v>
      </c>
      <c r="H4400" t="s">
        <v>285</v>
      </c>
      <c r="I4400">
        <v>0</v>
      </c>
      <c r="J4400">
        <v>0</v>
      </c>
      <c r="K4400">
        <v>0</v>
      </c>
      <c r="L4400">
        <v>0</v>
      </c>
      <c r="M4400">
        <v>0.22</v>
      </c>
      <c r="N4400" s="7" t="e">
        <f>VLOOKUP(F4400,HC!A$6:D$100,3,FALSE)</f>
        <v>#N/A</v>
      </c>
      <c r="O4400" s="7" t="str">
        <f>VLOOKUP(F4400,HC!A$6:D$1000,2,FALSE)</f>
        <v>ruizhmic</v>
      </c>
    </row>
    <row r="4401" spans="1:15" ht="37.5" customHeight="1" x14ac:dyDescent="0.25">
      <c r="A4401" s="23">
        <v>45246</v>
      </c>
      <c r="B4401" s="13">
        <v>46</v>
      </c>
      <c r="C4401" t="s">
        <v>3</v>
      </c>
      <c r="D4401" t="s">
        <v>4</v>
      </c>
      <c r="E4401" t="s">
        <v>5</v>
      </c>
      <c r="F4401">
        <v>201858789</v>
      </c>
      <c r="G4401" t="s">
        <v>1218</v>
      </c>
      <c r="H4401" t="s">
        <v>285</v>
      </c>
      <c r="I4401">
        <v>0</v>
      </c>
      <c r="J4401">
        <v>0</v>
      </c>
      <c r="K4401">
        <v>0</v>
      </c>
      <c r="L4401">
        <v>0</v>
      </c>
      <c r="M4401">
        <v>0.27</v>
      </c>
      <c r="N4401" s="7" t="e">
        <f>VLOOKUP(F4401,HC!A$6:D$100,3,FALSE)</f>
        <v>#N/A</v>
      </c>
      <c r="O4401" s="7" t="str">
        <f>VLOOKUP(F4401,HC!A$6:D$1000,2,FALSE)</f>
        <v>ignachis</v>
      </c>
    </row>
    <row r="4402" spans="1:15" ht="37.5" customHeight="1" x14ac:dyDescent="0.25">
      <c r="A4402" s="23">
        <v>45246</v>
      </c>
      <c r="B4402" s="13">
        <v>46</v>
      </c>
      <c r="C4402" t="s">
        <v>3</v>
      </c>
      <c r="D4402" t="s">
        <v>4</v>
      </c>
      <c r="E4402" t="s">
        <v>5</v>
      </c>
      <c r="F4402">
        <v>201858867</v>
      </c>
      <c r="G4402" t="s">
        <v>1236</v>
      </c>
      <c r="H4402" t="s">
        <v>285</v>
      </c>
      <c r="I4402">
        <v>0</v>
      </c>
      <c r="J4402">
        <v>0</v>
      </c>
      <c r="K4402">
        <v>0</v>
      </c>
      <c r="L4402">
        <v>0</v>
      </c>
      <c r="M4402">
        <v>0.12</v>
      </c>
      <c r="N4402" s="7" t="e">
        <f>VLOOKUP(F4402,HC!A$6:D$100,3,FALSE)</f>
        <v>#N/A</v>
      </c>
      <c r="O4402" s="7" t="str">
        <f>VLOOKUP(F4402,HC!A$6:D$1000,2,FALSE)</f>
        <v>tcruzvel</v>
      </c>
    </row>
    <row r="4403" spans="1:15" ht="37.5" customHeight="1" x14ac:dyDescent="0.25">
      <c r="A4403" s="23">
        <v>45246</v>
      </c>
      <c r="B4403" s="13">
        <v>46</v>
      </c>
      <c r="C4403" t="s">
        <v>3</v>
      </c>
      <c r="D4403" t="s">
        <v>4</v>
      </c>
      <c r="E4403" t="s">
        <v>21</v>
      </c>
      <c r="F4403">
        <v>201901967</v>
      </c>
      <c r="G4403" t="s">
        <v>1238</v>
      </c>
      <c r="H4403" t="s">
        <v>1720</v>
      </c>
      <c r="I4403">
        <v>0</v>
      </c>
      <c r="J4403">
        <v>0</v>
      </c>
      <c r="K4403">
        <v>0</v>
      </c>
      <c r="L4403">
        <v>0</v>
      </c>
      <c r="M4403">
        <v>0.26</v>
      </c>
      <c r="N4403" s="7" t="e">
        <f>VLOOKUP(F4403,HC!A$6:D$100,3,FALSE)</f>
        <v>#N/A</v>
      </c>
      <c r="O4403" s="7" t="str">
        <f>VLOOKUP(F4403,HC!A$6:D$1000,2,FALSE)</f>
        <v>ndomindi</v>
      </c>
    </row>
    <row r="4404" spans="1:15" ht="37.5" customHeight="1" x14ac:dyDescent="0.25">
      <c r="A4404" s="23">
        <v>45246</v>
      </c>
      <c r="B4404" s="13">
        <v>46</v>
      </c>
      <c r="C4404" t="s">
        <v>3</v>
      </c>
      <c r="D4404" t="s">
        <v>4</v>
      </c>
      <c r="E4404" t="s">
        <v>21</v>
      </c>
      <c r="F4404">
        <v>202062181</v>
      </c>
      <c r="G4404" t="s">
        <v>1401</v>
      </c>
      <c r="H4404" t="s">
        <v>263</v>
      </c>
      <c r="I4404">
        <v>0</v>
      </c>
      <c r="J4404">
        <v>0</v>
      </c>
      <c r="K4404">
        <v>0</v>
      </c>
      <c r="L4404">
        <v>0</v>
      </c>
      <c r="M4404">
        <v>0.22</v>
      </c>
      <c r="N4404" s="7" t="e">
        <f>VLOOKUP(F4404,HC!A$6:D$100,3,FALSE)</f>
        <v>#N/A</v>
      </c>
      <c r="O4404" s="7" t="str">
        <f>VLOOKUP(F4404,HC!A$6:D$1000,2,FALSE)</f>
        <v>xlutrejo</v>
      </c>
    </row>
    <row r="4405" spans="1:15" ht="37.5" customHeight="1" x14ac:dyDescent="0.25">
      <c r="A4405" s="23">
        <v>45246</v>
      </c>
      <c r="B4405" s="13">
        <v>46</v>
      </c>
      <c r="C4405" t="s">
        <v>3</v>
      </c>
      <c r="D4405" t="s">
        <v>4</v>
      </c>
      <c r="E4405" t="s">
        <v>21</v>
      </c>
      <c r="F4405">
        <v>202117420</v>
      </c>
      <c r="G4405" t="s">
        <v>1277</v>
      </c>
      <c r="H4405" t="s">
        <v>1471</v>
      </c>
      <c r="I4405">
        <v>0</v>
      </c>
      <c r="J4405">
        <v>0</v>
      </c>
      <c r="K4405">
        <v>0</v>
      </c>
      <c r="L4405">
        <v>0</v>
      </c>
      <c r="M4405">
        <v>0.4</v>
      </c>
      <c r="N4405" s="7" t="e">
        <f>VLOOKUP(F4405,HC!A$6:D$100,3,FALSE)</f>
        <v>#N/A</v>
      </c>
      <c r="O4405" s="7" t="str">
        <f>VLOOKUP(F4405,HC!A$6:D$1000,2,FALSE)</f>
        <v>iscerver</v>
      </c>
    </row>
    <row r="4406" spans="1:15" ht="37.5" customHeight="1" x14ac:dyDescent="0.25">
      <c r="A4406" s="23">
        <v>45246</v>
      </c>
      <c r="B4406" s="13">
        <v>46</v>
      </c>
      <c r="C4406" t="s">
        <v>3</v>
      </c>
      <c r="D4406" t="s">
        <v>4</v>
      </c>
      <c r="E4406" t="s">
        <v>21</v>
      </c>
      <c r="F4406">
        <v>202120417</v>
      </c>
      <c r="G4406" t="s">
        <v>1417</v>
      </c>
      <c r="H4406" t="s">
        <v>1471</v>
      </c>
      <c r="I4406">
        <v>0</v>
      </c>
      <c r="J4406">
        <v>0</v>
      </c>
      <c r="K4406">
        <v>0</v>
      </c>
      <c r="L4406">
        <v>0</v>
      </c>
      <c r="M4406">
        <v>0.19</v>
      </c>
      <c r="N4406" s="7" t="e">
        <f>VLOOKUP(F4406,HC!A$6:D$100,3,FALSE)</f>
        <v>#N/A</v>
      </c>
      <c r="O4406" s="7" t="str">
        <f>VLOOKUP(F4406,HC!A$6:D$1000,2,FALSE)</f>
        <v>bhejose</v>
      </c>
    </row>
    <row r="4407" spans="1:15" ht="37.5" customHeight="1" x14ac:dyDescent="0.25">
      <c r="A4407" s="23">
        <v>45246</v>
      </c>
      <c r="B4407" s="13">
        <v>46</v>
      </c>
      <c r="C4407" t="s">
        <v>3</v>
      </c>
      <c r="D4407" t="s">
        <v>4</v>
      </c>
      <c r="E4407" t="s">
        <v>21</v>
      </c>
      <c r="F4407">
        <v>202137149</v>
      </c>
      <c r="G4407" t="s">
        <v>1423</v>
      </c>
      <c r="H4407" t="s">
        <v>403</v>
      </c>
      <c r="I4407">
        <v>0</v>
      </c>
      <c r="J4407">
        <v>0</v>
      </c>
      <c r="K4407">
        <v>0</v>
      </c>
      <c r="L4407">
        <v>0</v>
      </c>
      <c r="M4407">
        <v>0.09</v>
      </c>
      <c r="N4407" s="7" t="e">
        <f>VLOOKUP(F4407,HC!A$6:D$100,3,FALSE)</f>
        <v>#N/A</v>
      </c>
      <c r="O4407" s="7" t="str">
        <f>VLOOKUP(F4407,HC!A$6:D$1000,2,FALSE)</f>
        <v>caudicar</v>
      </c>
    </row>
    <row r="4408" spans="1:15" ht="37.5" customHeight="1" x14ac:dyDescent="0.25">
      <c r="A4408" s="23">
        <v>45246</v>
      </c>
      <c r="B4408" s="13">
        <v>46</v>
      </c>
      <c r="C4408" t="s">
        <v>3</v>
      </c>
      <c r="D4408" t="s">
        <v>4</v>
      </c>
      <c r="E4408" t="s">
        <v>21</v>
      </c>
      <c r="F4408">
        <v>202165242</v>
      </c>
      <c r="G4408" t="s">
        <v>1412</v>
      </c>
      <c r="H4408" t="s">
        <v>403</v>
      </c>
      <c r="I4408">
        <v>0</v>
      </c>
      <c r="J4408">
        <v>0</v>
      </c>
      <c r="K4408">
        <v>0</v>
      </c>
      <c r="L4408">
        <v>0</v>
      </c>
      <c r="M4408">
        <v>0.16</v>
      </c>
      <c r="N4408" s="7" t="e">
        <f>VLOOKUP(F4408,HC!A$6:D$100,3,FALSE)</f>
        <v>#N/A</v>
      </c>
      <c r="O4408" s="7" t="str">
        <f>VLOOKUP(F4408,HC!A$6:D$1000,2,FALSE)</f>
        <v>marcqgon</v>
      </c>
    </row>
    <row r="4409" spans="1:15" ht="37.5" customHeight="1" x14ac:dyDescent="0.25">
      <c r="A4409" s="23">
        <v>45246</v>
      </c>
      <c r="B4409" s="13">
        <v>46</v>
      </c>
      <c r="C4409" t="s">
        <v>3</v>
      </c>
      <c r="D4409" t="s">
        <v>4</v>
      </c>
      <c r="E4409" t="s">
        <v>21</v>
      </c>
      <c r="F4409">
        <v>202175649</v>
      </c>
      <c r="G4409" t="s">
        <v>1404</v>
      </c>
      <c r="H4409" t="s">
        <v>1471</v>
      </c>
      <c r="I4409">
        <v>0</v>
      </c>
      <c r="J4409">
        <v>0</v>
      </c>
      <c r="K4409">
        <v>0</v>
      </c>
      <c r="L4409">
        <v>0</v>
      </c>
      <c r="M4409">
        <v>0.09</v>
      </c>
      <c r="N4409" s="7" t="e">
        <f>VLOOKUP(F4409,HC!A$6:D$100,3,FALSE)</f>
        <v>#N/A</v>
      </c>
      <c r="O4409" s="7" t="str">
        <f>VLOOKUP(F4409,HC!A$6:D$1000,2,FALSE)</f>
        <v>galvali</v>
      </c>
    </row>
    <row r="4410" spans="1:15" ht="37.5" customHeight="1" x14ac:dyDescent="0.25">
      <c r="A4410" s="23">
        <v>45246</v>
      </c>
      <c r="B4410" s="13">
        <v>46</v>
      </c>
      <c r="C4410" t="s">
        <v>3</v>
      </c>
      <c r="D4410" t="s">
        <v>4</v>
      </c>
      <c r="E4410" t="s">
        <v>21</v>
      </c>
      <c r="F4410">
        <v>202194885</v>
      </c>
      <c r="G4410" t="s">
        <v>1738</v>
      </c>
      <c r="H4410" t="s">
        <v>285</v>
      </c>
      <c r="I4410">
        <v>0</v>
      </c>
      <c r="J4410">
        <v>0</v>
      </c>
      <c r="K4410">
        <v>0</v>
      </c>
      <c r="L4410">
        <v>0</v>
      </c>
      <c r="M4410">
        <v>0.69</v>
      </c>
      <c r="N4410" s="7" t="e">
        <f>VLOOKUP(F4410,HC!A$6:D$100,3,FALSE)</f>
        <v>#N/A</v>
      </c>
      <c r="O4410" s="7" t="str">
        <f>VLOOKUP(F4410,HC!A$6:D$1000,2,FALSE)</f>
        <v>bermisrq</v>
      </c>
    </row>
    <row r="4411" spans="1:15" ht="37.5" customHeight="1" x14ac:dyDescent="0.25">
      <c r="A4411" s="23">
        <v>45246</v>
      </c>
      <c r="B4411" s="13">
        <v>46</v>
      </c>
      <c r="C4411" t="s">
        <v>3</v>
      </c>
      <c r="D4411" t="s">
        <v>4</v>
      </c>
      <c r="E4411" t="s">
        <v>21</v>
      </c>
      <c r="F4411">
        <v>202229859</v>
      </c>
      <c r="G4411" t="s">
        <v>2064</v>
      </c>
      <c r="H4411" t="s">
        <v>282</v>
      </c>
      <c r="I4411">
        <v>0</v>
      </c>
      <c r="J4411">
        <v>0</v>
      </c>
      <c r="K4411">
        <v>0</v>
      </c>
      <c r="L4411">
        <v>0</v>
      </c>
      <c r="M4411">
        <v>0.22</v>
      </c>
      <c r="N4411" s="7" t="e">
        <f>VLOOKUP(F4411,HC!A$6:D$100,3,FALSE)</f>
        <v>#N/A</v>
      </c>
      <c r="O4411" s="7" t="str">
        <f>VLOOKUP(F4411,HC!A$6:D$1000,2,FALSE)</f>
        <v>gusudiaz</v>
      </c>
    </row>
    <row r="4412" spans="1:15" ht="37.5" customHeight="1" x14ac:dyDescent="0.25">
      <c r="A4412" s="23">
        <v>45246</v>
      </c>
      <c r="B4412" s="13">
        <v>46</v>
      </c>
      <c r="C4412" t="s">
        <v>3</v>
      </c>
      <c r="D4412" t="s">
        <v>4</v>
      </c>
      <c r="E4412" t="s">
        <v>21</v>
      </c>
      <c r="F4412">
        <v>202237223</v>
      </c>
      <c r="G4412" t="s">
        <v>2065</v>
      </c>
      <c r="H4412" t="s">
        <v>332</v>
      </c>
      <c r="I4412">
        <v>0</v>
      </c>
      <c r="J4412">
        <v>0</v>
      </c>
      <c r="K4412">
        <v>0</v>
      </c>
      <c r="L4412">
        <v>0</v>
      </c>
      <c r="M4412">
        <v>0.25</v>
      </c>
      <c r="N4412" s="7" t="e">
        <f>VLOOKUP(F4412,HC!A$6:D$100,3,FALSE)</f>
        <v>#N/A</v>
      </c>
      <c r="O4412" s="7" t="str">
        <f>VLOOKUP(F4412,HC!A$6:D$1000,2,FALSE)</f>
        <v>nunezgog</v>
      </c>
    </row>
    <row r="4413" spans="1:15" ht="37.5" customHeight="1" x14ac:dyDescent="0.25">
      <c r="A4413" s="23">
        <v>45246</v>
      </c>
      <c r="B4413" s="13">
        <v>46</v>
      </c>
      <c r="C4413" t="s">
        <v>3</v>
      </c>
      <c r="D4413" t="s">
        <v>4</v>
      </c>
      <c r="E4413" t="s">
        <v>21</v>
      </c>
      <c r="F4413">
        <v>202274001</v>
      </c>
      <c r="G4413" t="s">
        <v>1455</v>
      </c>
      <c r="H4413" t="s">
        <v>263</v>
      </c>
      <c r="I4413">
        <v>0</v>
      </c>
      <c r="J4413">
        <v>0</v>
      </c>
      <c r="K4413">
        <v>0</v>
      </c>
      <c r="L4413">
        <v>0</v>
      </c>
      <c r="M4413">
        <v>0.63</v>
      </c>
      <c r="N4413" s="7" t="e">
        <f>VLOOKUP(F4413,HC!A$6:D$100,3,FALSE)</f>
        <v>#N/A</v>
      </c>
      <c r="O4413" s="7" t="str">
        <f>VLOOKUP(F4413,HC!A$6:D$1000,2,FALSE)</f>
        <v>esmecrey</v>
      </c>
    </row>
    <row r="4414" spans="1:15" ht="37.5" customHeight="1" x14ac:dyDescent="0.25">
      <c r="A4414" s="23">
        <v>45246</v>
      </c>
      <c r="B4414" s="13">
        <v>46</v>
      </c>
      <c r="C4414" t="s">
        <v>3</v>
      </c>
      <c r="D4414" t="s">
        <v>4</v>
      </c>
      <c r="E4414" t="s">
        <v>21</v>
      </c>
      <c r="F4414">
        <v>202288453</v>
      </c>
      <c r="G4414" t="s">
        <v>2066</v>
      </c>
      <c r="H4414" t="s">
        <v>332</v>
      </c>
      <c r="I4414">
        <v>0</v>
      </c>
      <c r="J4414">
        <v>0</v>
      </c>
      <c r="K4414">
        <v>0</v>
      </c>
      <c r="L4414">
        <v>0</v>
      </c>
      <c r="M4414">
        <v>0.21</v>
      </c>
      <c r="N4414" s="7" t="e">
        <f>VLOOKUP(F4414,HC!A$6:D$100,3,FALSE)</f>
        <v>#N/A</v>
      </c>
      <c r="O4414" s="7" t="str">
        <f>VLOOKUP(F4414,HC!A$6:D$1000,2,FALSE)</f>
        <v>geroagui</v>
      </c>
    </row>
    <row r="4415" spans="1:15" ht="37.5" customHeight="1" x14ac:dyDescent="0.25">
      <c r="A4415" s="23">
        <v>45246</v>
      </c>
      <c r="B4415" s="13">
        <v>46</v>
      </c>
      <c r="C4415" t="s">
        <v>3</v>
      </c>
      <c r="D4415" t="s">
        <v>4</v>
      </c>
      <c r="E4415" t="s">
        <v>21</v>
      </c>
      <c r="F4415">
        <v>202304940</v>
      </c>
      <c r="G4415" t="s">
        <v>1704</v>
      </c>
      <c r="H4415" t="s">
        <v>263</v>
      </c>
      <c r="I4415">
        <v>0</v>
      </c>
      <c r="J4415">
        <v>0</v>
      </c>
      <c r="K4415">
        <v>0</v>
      </c>
      <c r="L4415">
        <v>0</v>
      </c>
      <c r="M4415">
        <v>0.33</v>
      </c>
      <c r="N4415" s="7" t="e">
        <f>VLOOKUP(F4415,HC!A$6:D$100,3,FALSE)</f>
        <v>#N/A</v>
      </c>
      <c r="O4415" s="7" t="str">
        <f>VLOOKUP(F4415,HC!A$6:D$1000,2,FALSE)</f>
        <v>jaslilyz</v>
      </c>
    </row>
    <row r="4416" spans="1:15" ht="37.5" customHeight="1" x14ac:dyDescent="0.25">
      <c r="A4416" s="23">
        <v>45246</v>
      </c>
      <c r="B4416" s="13">
        <v>46</v>
      </c>
      <c r="C4416" t="s">
        <v>3</v>
      </c>
      <c r="D4416" t="s">
        <v>4</v>
      </c>
      <c r="E4416" t="s">
        <v>21</v>
      </c>
      <c r="F4416">
        <v>202320279</v>
      </c>
      <c r="G4416" t="s">
        <v>2067</v>
      </c>
      <c r="H4416" t="s">
        <v>285</v>
      </c>
      <c r="I4416">
        <v>0</v>
      </c>
      <c r="J4416">
        <v>0</v>
      </c>
      <c r="K4416">
        <v>0</v>
      </c>
      <c r="L4416">
        <v>0</v>
      </c>
      <c r="M4416">
        <v>0.42</v>
      </c>
      <c r="N4416" s="7" t="e">
        <f>VLOOKUP(F4416,HC!A$6:D$100,3,FALSE)</f>
        <v>#N/A</v>
      </c>
      <c r="O4416" s="7" t="str">
        <f>VLOOKUP(F4416,HC!A$6:D$1000,2,FALSE)</f>
        <v>zaldaiol</v>
      </c>
    </row>
    <row r="4417" spans="1:15" ht="37.5" customHeight="1" x14ac:dyDescent="0.25">
      <c r="A4417" s="23">
        <v>45246</v>
      </c>
      <c r="B4417" s="13">
        <v>46</v>
      </c>
      <c r="C4417" t="s">
        <v>3</v>
      </c>
      <c r="D4417" t="s">
        <v>4</v>
      </c>
      <c r="E4417" t="s">
        <v>21</v>
      </c>
      <c r="F4417">
        <v>202353921</v>
      </c>
      <c r="G4417" t="s">
        <v>1717</v>
      </c>
      <c r="H4417" t="s">
        <v>285</v>
      </c>
      <c r="I4417">
        <v>0</v>
      </c>
      <c r="J4417">
        <v>0</v>
      </c>
      <c r="K4417">
        <v>0</v>
      </c>
      <c r="L4417">
        <v>0</v>
      </c>
      <c r="M4417">
        <v>0.12</v>
      </c>
      <c r="N4417" s="7" t="e">
        <f>VLOOKUP(F4417,HC!A$6:D$100,3,FALSE)</f>
        <v>#N/A</v>
      </c>
      <c r="O4417" s="7" t="str">
        <f>VLOOKUP(F4417,HC!A$6:D$1000,2,FALSE)</f>
        <v>lindinoe</v>
      </c>
    </row>
    <row r="4418" spans="1:15" ht="37.5" customHeight="1" x14ac:dyDescent="0.25">
      <c r="A4418" s="23">
        <v>45246</v>
      </c>
      <c r="B4418" s="13">
        <v>46</v>
      </c>
      <c r="C4418" t="s">
        <v>3</v>
      </c>
      <c r="D4418" t="s">
        <v>4</v>
      </c>
      <c r="E4418" t="s">
        <v>21</v>
      </c>
      <c r="F4418">
        <v>202369419</v>
      </c>
      <c r="G4418" t="s">
        <v>1706</v>
      </c>
      <c r="H4418" t="s">
        <v>298</v>
      </c>
      <c r="I4418">
        <v>0</v>
      </c>
      <c r="J4418">
        <v>0</v>
      </c>
      <c r="K4418">
        <v>0</v>
      </c>
      <c r="L4418">
        <v>0</v>
      </c>
      <c r="M4418">
        <v>0.12</v>
      </c>
      <c r="N4418" s="7" t="e">
        <f>VLOOKUP(F4418,HC!A$6:D$100,3,FALSE)</f>
        <v>#N/A</v>
      </c>
      <c r="O4418" s="7" t="str">
        <f>VLOOKUP(F4418,HC!A$6:D$1000,2,FALSE)</f>
        <v>afabianx</v>
      </c>
    </row>
    <row r="4419" spans="1:15" ht="37.5" customHeight="1" x14ac:dyDescent="0.25">
      <c r="A4419" s="23">
        <v>45246</v>
      </c>
      <c r="B4419" s="13">
        <v>46</v>
      </c>
      <c r="C4419" t="s">
        <v>3</v>
      </c>
      <c r="D4419" t="s">
        <v>4</v>
      </c>
      <c r="E4419" t="s">
        <v>21</v>
      </c>
      <c r="F4419">
        <v>202407947</v>
      </c>
      <c r="G4419" t="s">
        <v>2068</v>
      </c>
      <c r="H4419" t="s">
        <v>403</v>
      </c>
      <c r="I4419">
        <v>0</v>
      </c>
      <c r="J4419">
        <v>0</v>
      </c>
      <c r="K4419">
        <v>0</v>
      </c>
      <c r="L4419">
        <v>0</v>
      </c>
      <c r="M4419">
        <v>0.7</v>
      </c>
      <c r="N4419" s="7" t="e">
        <f>VLOOKUP(F4419,HC!A$6:D$100,3,FALSE)</f>
        <v>#N/A</v>
      </c>
      <c r="O4419" s="7" t="str">
        <f>VLOOKUP(F4419,HC!A$6:D$1000,2,FALSE)</f>
        <v>lalbmora</v>
      </c>
    </row>
    <row r="4420" spans="1:15" ht="37.5" customHeight="1" x14ac:dyDescent="0.25">
      <c r="A4420" s="23">
        <v>45246</v>
      </c>
      <c r="B4420" s="13">
        <v>46</v>
      </c>
      <c r="C4420" t="s">
        <v>3</v>
      </c>
      <c r="D4420" t="s">
        <v>4</v>
      </c>
      <c r="E4420" t="s">
        <v>21</v>
      </c>
      <c r="F4420">
        <v>202410665</v>
      </c>
      <c r="G4420" t="s">
        <v>2013</v>
      </c>
      <c r="H4420" t="s">
        <v>459</v>
      </c>
      <c r="I4420">
        <v>0</v>
      </c>
      <c r="J4420">
        <v>0</v>
      </c>
      <c r="K4420">
        <v>0</v>
      </c>
      <c r="L4420">
        <v>0</v>
      </c>
      <c r="M4420">
        <v>0.16</v>
      </c>
      <c r="N4420" s="7" t="e">
        <f>VLOOKUP(F4420,HC!A$6:D$100,3,FALSE)</f>
        <v>#N/A</v>
      </c>
      <c r="O4420" s="7" t="str">
        <f>VLOOKUP(F4420,HC!A$6:D$1000,2,FALSE)</f>
        <v>erosvald</v>
      </c>
    </row>
    <row r="4421" spans="1:15" ht="37.5" customHeight="1" x14ac:dyDescent="0.25">
      <c r="A4421" s="23">
        <v>45246</v>
      </c>
      <c r="B4421" s="13">
        <v>46</v>
      </c>
      <c r="C4421" t="s">
        <v>3</v>
      </c>
      <c r="D4421" t="s">
        <v>4</v>
      </c>
      <c r="E4421" t="s">
        <v>21</v>
      </c>
      <c r="F4421">
        <v>202421453</v>
      </c>
      <c r="G4421" t="s">
        <v>2020</v>
      </c>
      <c r="H4421" t="s">
        <v>459</v>
      </c>
      <c r="I4421">
        <v>0</v>
      </c>
      <c r="J4421">
        <v>0</v>
      </c>
      <c r="K4421">
        <v>0</v>
      </c>
      <c r="L4421">
        <v>0</v>
      </c>
      <c r="M4421">
        <v>0.74</v>
      </c>
      <c r="N4421" s="7" t="e">
        <f>VLOOKUP(F4421,HC!A$6:D$100,3,FALSE)</f>
        <v>#N/A</v>
      </c>
      <c r="O4421" s="7" t="str">
        <f>VLOOKUP(F4421,HC!A$6:D$1000,2,FALSE)</f>
        <v>chejserg</v>
      </c>
    </row>
    <row r="4422" spans="1:15" ht="37.5" customHeight="1" x14ac:dyDescent="0.25">
      <c r="A4422" s="23">
        <v>45246</v>
      </c>
      <c r="B4422" s="13">
        <v>46</v>
      </c>
      <c r="C4422" t="s">
        <v>3</v>
      </c>
      <c r="D4422" t="s">
        <v>4</v>
      </c>
      <c r="E4422" t="s">
        <v>21</v>
      </c>
      <c r="F4422">
        <v>202442581</v>
      </c>
      <c r="G4422" t="s">
        <v>2069</v>
      </c>
      <c r="H4422" t="s">
        <v>285</v>
      </c>
      <c r="I4422">
        <v>0</v>
      </c>
      <c r="J4422">
        <v>0</v>
      </c>
      <c r="K4422">
        <v>0</v>
      </c>
      <c r="L4422">
        <v>0</v>
      </c>
      <c r="M4422">
        <v>0.11</v>
      </c>
      <c r="N4422" s="7" t="e">
        <f>VLOOKUP(F4422,HC!A$6:D$100,3,FALSE)</f>
        <v>#N/A</v>
      </c>
      <c r="O4422" s="7" t="str">
        <f>VLOOKUP(F4422,HC!A$6:D$1000,2,FALSE)</f>
        <v>ayocktan</v>
      </c>
    </row>
    <row r="4423" spans="1:15" ht="37.5" customHeight="1" x14ac:dyDescent="0.25">
      <c r="A4423" s="23">
        <v>45246</v>
      </c>
      <c r="B4423" s="13">
        <v>46</v>
      </c>
      <c r="C4423" t="s">
        <v>3</v>
      </c>
      <c r="D4423" t="s">
        <v>4</v>
      </c>
      <c r="E4423" t="s">
        <v>21</v>
      </c>
      <c r="F4423">
        <v>202479908</v>
      </c>
      <c r="G4423" t="s">
        <v>1775</v>
      </c>
      <c r="H4423" t="s">
        <v>332</v>
      </c>
      <c r="I4423">
        <v>0</v>
      </c>
      <c r="J4423">
        <v>0</v>
      </c>
      <c r="K4423">
        <v>0</v>
      </c>
      <c r="L4423">
        <v>0</v>
      </c>
      <c r="M4423">
        <v>0.06</v>
      </c>
      <c r="N4423" s="7" t="e">
        <f>VLOOKUP(F4423,HC!A$6:D$100,3,FALSE)</f>
        <v>#N/A</v>
      </c>
      <c r="O4423" s="7" t="str">
        <f>VLOOKUP(F4423,HC!A$6:D$1000,2,FALSE)</f>
        <v>jmadiana</v>
      </c>
    </row>
    <row r="4424" spans="1:15" ht="37.5" customHeight="1" x14ac:dyDescent="0.25">
      <c r="A4424" s="23">
        <v>45247</v>
      </c>
      <c r="B4424" s="13">
        <v>46</v>
      </c>
      <c r="C4424" t="s">
        <v>3</v>
      </c>
      <c r="D4424" t="s">
        <v>4</v>
      </c>
      <c r="E4424" t="s">
        <v>5</v>
      </c>
      <c r="F4424">
        <v>112912049</v>
      </c>
      <c r="G4424" t="s">
        <v>488</v>
      </c>
      <c r="H4424" t="s">
        <v>332</v>
      </c>
      <c r="I4424">
        <v>0</v>
      </c>
      <c r="J4424">
        <v>0</v>
      </c>
      <c r="K4424">
        <v>0</v>
      </c>
      <c r="L4424">
        <v>0</v>
      </c>
      <c r="M4424">
        <v>0.03</v>
      </c>
      <c r="N4424" s="7" t="str">
        <f>VLOOKUP(F4424,HC!A$6:D$100,3,FALSE)</f>
        <v>NF-X1900</v>
      </c>
      <c r="O4424" s="7" t="str">
        <f>VLOOKUP(F4424,HC!A$6:D$1000,2,FALSE)</f>
        <v>zchvazqu</v>
      </c>
    </row>
    <row r="4425" spans="1:15" ht="37.5" customHeight="1" x14ac:dyDescent="0.25">
      <c r="A4425" s="23">
        <v>45247</v>
      </c>
      <c r="B4425" s="13">
        <v>46</v>
      </c>
      <c r="C4425" t="s">
        <v>3</v>
      </c>
      <c r="D4425" t="s">
        <v>4</v>
      </c>
      <c r="E4425" t="s">
        <v>5</v>
      </c>
      <c r="F4425">
        <v>112920666</v>
      </c>
      <c r="G4425" t="s">
        <v>252</v>
      </c>
      <c r="H4425" t="s">
        <v>1471</v>
      </c>
      <c r="I4425">
        <v>0</v>
      </c>
      <c r="J4425">
        <v>0</v>
      </c>
      <c r="K4425">
        <v>0</v>
      </c>
      <c r="L4425">
        <v>0</v>
      </c>
      <c r="M4425">
        <v>0.12</v>
      </c>
      <c r="N4425" s="7" t="str">
        <f>VLOOKUP(F4425,HC!A$6:D$100,3,FALSE)</f>
        <v>D5-X0700</v>
      </c>
      <c r="O4425" s="7" t="str">
        <f>VLOOKUP(F4425,HC!A$6:D$1000,2,FALSE)</f>
        <v>jorochai</v>
      </c>
    </row>
    <row r="4426" spans="1:15" ht="37.5" customHeight="1" x14ac:dyDescent="0.25">
      <c r="A4426" s="23">
        <v>45247</v>
      </c>
      <c r="B4426" s="13">
        <v>46</v>
      </c>
      <c r="C4426" t="s">
        <v>3</v>
      </c>
      <c r="D4426" t="s">
        <v>4</v>
      </c>
      <c r="E4426" t="s">
        <v>5</v>
      </c>
      <c r="F4426">
        <v>112976017</v>
      </c>
      <c r="G4426" t="s">
        <v>1269</v>
      </c>
      <c r="H4426" t="s">
        <v>1163</v>
      </c>
      <c r="I4426">
        <v>0</v>
      </c>
      <c r="J4426">
        <v>0</v>
      </c>
      <c r="K4426">
        <v>0</v>
      </c>
      <c r="L4426">
        <v>0</v>
      </c>
      <c r="M4426">
        <v>0.38</v>
      </c>
      <c r="N4426" s="7" t="str">
        <f>VLOOKUP(F4426,HC!A$6:D$100,3,FALSE)</f>
        <v>DB-X0700</v>
      </c>
      <c r="O4426" s="7" t="str">
        <f>VLOOKUP(F4426,HC!A$6:D$1000,2,FALSE)</f>
        <v>baezdiaw</v>
      </c>
    </row>
    <row r="4427" spans="1:15" ht="37.5" customHeight="1" x14ac:dyDescent="0.25">
      <c r="A4427" s="23">
        <v>45247</v>
      </c>
      <c r="B4427" s="13">
        <v>46</v>
      </c>
      <c r="C4427" t="s">
        <v>3</v>
      </c>
      <c r="D4427" t="s">
        <v>4</v>
      </c>
      <c r="E4427" t="s">
        <v>5</v>
      </c>
      <c r="F4427">
        <v>112981014</v>
      </c>
      <c r="G4427" t="s">
        <v>367</v>
      </c>
      <c r="H4427" t="s">
        <v>263</v>
      </c>
      <c r="I4427">
        <v>0</v>
      </c>
      <c r="J4427">
        <v>0</v>
      </c>
      <c r="K4427">
        <v>0</v>
      </c>
      <c r="L4427">
        <v>0</v>
      </c>
      <c r="M4427">
        <v>0.18</v>
      </c>
      <c r="N4427" s="7" t="str">
        <f>VLOOKUP(F4427,HC!A$6:D$100,3,FALSE)</f>
        <v>DJ-X0700</v>
      </c>
      <c r="O4427" s="7" t="str">
        <f>VLOOKUP(F4427,HC!A$6:D$1000,2,FALSE)</f>
        <v>rpabloul</v>
      </c>
    </row>
    <row r="4428" spans="1:15" ht="37.5" customHeight="1" x14ac:dyDescent="0.25">
      <c r="A4428" s="23">
        <v>45247</v>
      </c>
      <c r="B4428" s="13">
        <v>46</v>
      </c>
      <c r="C4428" t="s">
        <v>3</v>
      </c>
      <c r="D4428" t="s">
        <v>4</v>
      </c>
      <c r="E4428" t="s">
        <v>5</v>
      </c>
      <c r="F4428">
        <v>113101453</v>
      </c>
      <c r="G4428" t="s">
        <v>50</v>
      </c>
      <c r="H4428" t="s">
        <v>49</v>
      </c>
      <c r="I4428">
        <v>0</v>
      </c>
      <c r="J4428">
        <v>0</v>
      </c>
      <c r="K4428">
        <v>0</v>
      </c>
      <c r="L4428">
        <v>0</v>
      </c>
      <c r="M4428">
        <v>0.17</v>
      </c>
      <c r="N4428" s="7" t="e">
        <f>VLOOKUP(F4428,HC!A$6:D$100,3,FALSE)</f>
        <v>#N/A</v>
      </c>
      <c r="O4428" s="7" t="str">
        <f>VLOOKUP(F4428,HC!A$6:D$1000,2,FALSE)</f>
        <v>qisgeova</v>
      </c>
    </row>
    <row r="4429" spans="1:15" ht="37.5" customHeight="1" x14ac:dyDescent="0.25">
      <c r="A4429" s="23">
        <v>45247</v>
      </c>
      <c r="B4429" s="13">
        <v>46</v>
      </c>
      <c r="C4429" t="s">
        <v>3</v>
      </c>
      <c r="D4429" t="s">
        <v>4</v>
      </c>
      <c r="E4429" t="s">
        <v>5</v>
      </c>
      <c r="F4429">
        <v>200404250</v>
      </c>
      <c r="G4429" t="s">
        <v>51</v>
      </c>
      <c r="H4429" t="s">
        <v>49</v>
      </c>
      <c r="I4429">
        <v>0</v>
      </c>
      <c r="J4429">
        <v>0</v>
      </c>
      <c r="K4429">
        <v>0</v>
      </c>
      <c r="L4429">
        <v>0</v>
      </c>
      <c r="M4429">
        <v>0.53</v>
      </c>
      <c r="N4429" s="7" t="e">
        <f>VLOOKUP(F4429,HC!A$6:D$100,3,FALSE)</f>
        <v>#N/A</v>
      </c>
      <c r="O4429" s="7" t="str">
        <f>VLOOKUP(F4429,HC!A$6:D$1000,2,FALSE)</f>
        <v>xcathurt</v>
      </c>
    </row>
    <row r="4430" spans="1:15" ht="37.5" customHeight="1" x14ac:dyDescent="0.25">
      <c r="A4430" s="23">
        <v>45247</v>
      </c>
      <c r="B4430" s="13">
        <v>46</v>
      </c>
      <c r="C4430" t="s">
        <v>3</v>
      </c>
      <c r="D4430" t="s">
        <v>4</v>
      </c>
      <c r="E4430" t="s">
        <v>5</v>
      </c>
      <c r="F4430">
        <v>200562303</v>
      </c>
      <c r="G4430" t="s">
        <v>629</v>
      </c>
      <c r="H4430" t="s">
        <v>49</v>
      </c>
      <c r="I4430">
        <v>0</v>
      </c>
      <c r="J4430">
        <v>0</v>
      </c>
      <c r="K4430">
        <v>0</v>
      </c>
      <c r="L4430">
        <v>0</v>
      </c>
      <c r="M4430">
        <v>1.1200000000000001</v>
      </c>
      <c r="N4430" s="7" t="e">
        <f>VLOOKUP(F4430,HC!A$6:D$100,3,FALSE)</f>
        <v>#N/A</v>
      </c>
      <c r="O4430" s="7" t="str">
        <f>VLOOKUP(F4430,HC!A$6:D$1000,2,FALSE)</f>
        <v>hejorgea</v>
      </c>
    </row>
    <row r="4431" spans="1:15" ht="37.5" customHeight="1" x14ac:dyDescent="0.25">
      <c r="A4431" s="23">
        <v>45247</v>
      </c>
      <c r="B4431" s="13">
        <v>46</v>
      </c>
      <c r="C4431" t="s">
        <v>3</v>
      </c>
      <c r="D4431" t="s">
        <v>4</v>
      </c>
      <c r="E4431" t="s">
        <v>5</v>
      </c>
      <c r="F4431">
        <v>201165769</v>
      </c>
      <c r="G4431" t="s">
        <v>903</v>
      </c>
      <c r="H4431" t="s">
        <v>263</v>
      </c>
      <c r="I4431">
        <v>0</v>
      </c>
      <c r="J4431">
        <v>0</v>
      </c>
      <c r="K4431">
        <v>0</v>
      </c>
      <c r="L4431">
        <v>0</v>
      </c>
      <c r="M4431">
        <v>0.36</v>
      </c>
      <c r="N4431" s="7" t="e">
        <f>VLOOKUP(F4431,HC!A$6:D$100,3,FALSE)</f>
        <v>#N/A</v>
      </c>
      <c r="O4431" s="7" t="str">
        <f>VLOOKUP(F4431,HC!A$6:D$1000,2,FALSE)</f>
        <v>puenkare</v>
      </c>
    </row>
    <row r="4432" spans="1:15" ht="37.5" customHeight="1" x14ac:dyDescent="0.25">
      <c r="A4432" s="23">
        <v>45247</v>
      </c>
      <c r="B4432" s="13">
        <v>46</v>
      </c>
      <c r="C4432" t="s">
        <v>3</v>
      </c>
      <c r="D4432" t="s">
        <v>4</v>
      </c>
      <c r="E4432" t="s">
        <v>5</v>
      </c>
      <c r="F4432">
        <v>201172306</v>
      </c>
      <c r="G4432" t="s">
        <v>970</v>
      </c>
      <c r="H4432" t="s">
        <v>263</v>
      </c>
      <c r="I4432">
        <v>0</v>
      </c>
      <c r="J4432">
        <v>0</v>
      </c>
      <c r="K4432">
        <v>0</v>
      </c>
      <c r="L4432">
        <v>0</v>
      </c>
      <c r="M4432">
        <v>0.2</v>
      </c>
      <c r="N4432" s="7" t="e">
        <f>VLOOKUP(F4432,HC!A$6:D$100,3,FALSE)</f>
        <v>#N/A</v>
      </c>
      <c r="O4432" s="7" t="str">
        <f>VLOOKUP(F4432,HC!A$6:D$1000,2,FALSE)</f>
        <v>cesarvae</v>
      </c>
    </row>
    <row r="4433" spans="1:15" ht="37.5" customHeight="1" x14ac:dyDescent="0.25">
      <c r="A4433" s="23">
        <v>45247</v>
      </c>
      <c r="B4433" s="13">
        <v>46</v>
      </c>
      <c r="C4433" t="s">
        <v>3</v>
      </c>
      <c r="D4433" t="s">
        <v>4</v>
      </c>
      <c r="E4433" t="s">
        <v>5</v>
      </c>
      <c r="F4433">
        <v>201185299</v>
      </c>
      <c r="G4433" t="s">
        <v>990</v>
      </c>
      <c r="H4433" t="s">
        <v>285</v>
      </c>
      <c r="I4433">
        <v>0</v>
      </c>
      <c r="J4433">
        <v>0</v>
      </c>
      <c r="K4433">
        <v>0</v>
      </c>
      <c r="L4433">
        <v>0</v>
      </c>
      <c r="M4433">
        <v>0.15</v>
      </c>
      <c r="N4433" s="7" t="e">
        <f>VLOOKUP(F4433,HC!A$6:D$100,3,FALSE)</f>
        <v>#N/A</v>
      </c>
      <c r="O4433" s="7" t="str">
        <f>VLOOKUP(F4433,HC!A$6:D$1000,2,FALSE)</f>
        <v>sganoemi</v>
      </c>
    </row>
    <row r="4434" spans="1:15" ht="37.5" customHeight="1" x14ac:dyDescent="0.25">
      <c r="A4434" s="23">
        <v>45247</v>
      </c>
      <c r="B4434" s="13">
        <v>46</v>
      </c>
      <c r="C4434" t="s">
        <v>3</v>
      </c>
      <c r="D4434" t="s">
        <v>4</v>
      </c>
      <c r="E4434" t="s">
        <v>5</v>
      </c>
      <c r="F4434">
        <v>201191198</v>
      </c>
      <c r="G4434" t="s">
        <v>974</v>
      </c>
      <c r="H4434" t="s">
        <v>285</v>
      </c>
      <c r="I4434">
        <v>0</v>
      </c>
      <c r="J4434">
        <v>0</v>
      </c>
      <c r="K4434">
        <v>0</v>
      </c>
      <c r="L4434">
        <v>0</v>
      </c>
      <c r="M4434">
        <v>1.02</v>
      </c>
      <c r="N4434" s="7" t="e">
        <f>VLOOKUP(F4434,HC!A$6:D$100,3,FALSE)</f>
        <v>#N/A</v>
      </c>
      <c r="O4434" s="7" t="str">
        <f>VLOOKUP(F4434,HC!A$6:D$1000,2,FALSE)</f>
        <v>mojicemm</v>
      </c>
    </row>
    <row r="4435" spans="1:15" ht="37.5" customHeight="1" x14ac:dyDescent="0.25">
      <c r="A4435" s="23">
        <v>45247</v>
      </c>
      <c r="B4435" s="13">
        <v>46</v>
      </c>
      <c r="C4435" t="s">
        <v>3</v>
      </c>
      <c r="D4435" t="s">
        <v>4</v>
      </c>
      <c r="E4435" t="s">
        <v>5</v>
      </c>
      <c r="F4435">
        <v>201198922</v>
      </c>
      <c r="G4435" t="s">
        <v>1141</v>
      </c>
      <c r="H4435" t="s">
        <v>403</v>
      </c>
      <c r="I4435">
        <v>0</v>
      </c>
      <c r="J4435">
        <v>0</v>
      </c>
      <c r="K4435">
        <v>0</v>
      </c>
      <c r="L4435">
        <v>0</v>
      </c>
      <c r="M4435">
        <v>0.27</v>
      </c>
      <c r="N4435" s="7" t="e">
        <f>VLOOKUP(F4435,HC!A$6:D$100,3,FALSE)</f>
        <v>#N/A</v>
      </c>
      <c r="O4435" s="7" t="str">
        <f>VLOOKUP(F4435,HC!A$6:D$1000,2,FALSE)</f>
        <v>mendejoy</v>
      </c>
    </row>
    <row r="4436" spans="1:15" ht="37.5" customHeight="1" x14ac:dyDescent="0.25">
      <c r="A4436" s="23">
        <v>45247</v>
      </c>
      <c r="B4436" s="13">
        <v>46</v>
      </c>
      <c r="C4436" t="s">
        <v>3</v>
      </c>
      <c r="D4436" t="s">
        <v>4</v>
      </c>
      <c r="E4436" t="s">
        <v>5</v>
      </c>
      <c r="F4436">
        <v>201378452</v>
      </c>
      <c r="G4436" t="s">
        <v>1173</v>
      </c>
      <c r="H4436" t="s">
        <v>1040</v>
      </c>
      <c r="I4436">
        <v>0</v>
      </c>
      <c r="J4436">
        <v>0</v>
      </c>
      <c r="K4436">
        <v>0</v>
      </c>
      <c r="L4436">
        <v>0</v>
      </c>
      <c r="M4436">
        <v>0.36</v>
      </c>
      <c r="N4436" s="7" t="e">
        <f>VLOOKUP(F4436,HC!A$6:D$100,3,FALSE)</f>
        <v>#N/A</v>
      </c>
      <c r="O4436" s="7" t="str">
        <f>VLOOKUP(F4436,HC!A$6:D$1000,2,FALSE)</f>
        <v>omhperez</v>
      </c>
    </row>
    <row r="4437" spans="1:15" ht="37.5" customHeight="1" x14ac:dyDescent="0.25">
      <c r="A4437" s="23">
        <v>45247</v>
      </c>
      <c r="B4437" s="13">
        <v>46</v>
      </c>
      <c r="C4437" t="s">
        <v>3</v>
      </c>
      <c r="D4437" t="s">
        <v>4</v>
      </c>
      <c r="E4437" t="s">
        <v>5</v>
      </c>
      <c r="F4437">
        <v>201403462</v>
      </c>
      <c r="G4437" t="s">
        <v>1054</v>
      </c>
      <c r="H4437" t="s">
        <v>1471</v>
      </c>
      <c r="I4437">
        <v>0</v>
      </c>
      <c r="J4437">
        <v>0</v>
      </c>
      <c r="K4437">
        <v>0</v>
      </c>
      <c r="L4437">
        <v>0</v>
      </c>
      <c r="M4437">
        <v>0.47</v>
      </c>
      <c r="N4437" s="7" t="e">
        <f>VLOOKUP(F4437,HC!A$6:D$100,3,FALSE)</f>
        <v>#N/A</v>
      </c>
      <c r="O4437" s="7" t="str">
        <f>VLOOKUP(F4437,HC!A$6:D$1000,2,FALSE)</f>
        <v>valdojoe</v>
      </c>
    </row>
    <row r="4438" spans="1:15" ht="37.5" customHeight="1" x14ac:dyDescent="0.25">
      <c r="A4438" s="23">
        <v>45247</v>
      </c>
      <c r="B4438" s="13">
        <v>46</v>
      </c>
      <c r="C4438" t="s">
        <v>3</v>
      </c>
      <c r="D4438" t="s">
        <v>4</v>
      </c>
      <c r="E4438" t="s">
        <v>5</v>
      </c>
      <c r="F4438">
        <v>201864225</v>
      </c>
      <c r="G4438" t="s">
        <v>1259</v>
      </c>
      <c r="H4438" t="s">
        <v>285</v>
      </c>
      <c r="I4438">
        <v>0</v>
      </c>
      <c r="J4438">
        <v>0</v>
      </c>
      <c r="K4438">
        <v>0</v>
      </c>
      <c r="L4438">
        <v>0</v>
      </c>
      <c r="M4438">
        <v>0.46</v>
      </c>
      <c r="N4438" s="7" t="e">
        <f>VLOOKUP(F4438,HC!A$6:D$100,3,FALSE)</f>
        <v>#N/A</v>
      </c>
      <c r="O4438" s="7" t="str">
        <f>VLOOKUP(F4438,HC!A$6:D$1000,2,FALSE)</f>
        <v>floreivc</v>
      </c>
    </row>
    <row r="4439" spans="1:15" ht="37.5" customHeight="1" x14ac:dyDescent="0.25">
      <c r="A4439" s="23">
        <v>45247</v>
      </c>
      <c r="B4439" s="13">
        <v>46</v>
      </c>
      <c r="C4439" t="s">
        <v>3</v>
      </c>
      <c r="D4439" t="s">
        <v>4</v>
      </c>
      <c r="E4439" t="s">
        <v>5</v>
      </c>
      <c r="F4439">
        <v>201901910</v>
      </c>
      <c r="G4439" t="s">
        <v>1251</v>
      </c>
      <c r="H4439" t="s">
        <v>285</v>
      </c>
      <c r="I4439">
        <v>0</v>
      </c>
      <c r="J4439">
        <v>0</v>
      </c>
      <c r="K4439">
        <v>0</v>
      </c>
      <c r="L4439">
        <v>0</v>
      </c>
      <c r="M4439">
        <v>0.09</v>
      </c>
      <c r="N4439" s="7" t="e">
        <f>VLOOKUP(F4439,HC!A$6:D$100,3,FALSE)</f>
        <v>#N/A</v>
      </c>
      <c r="O4439" s="7" t="str">
        <f>VLOOKUP(F4439,HC!A$6:D$1000,2,FALSE)</f>
        <v>sfloredw</v>
      </c>
    </row>
    <row r="4440" spans="1:15" ht="37.5" customHeight="1" x14ac:dyDescent="0.25">
      <c r="A4440" s="23">
        <v>45247</v>
      </c>
      <c r="B4440" s="13">
        <v>46</v>
      </c>
      <c r="C4440" t="s">
        <v>3</v>
      </c>
      <c r="D4440" t="s">
        <v>4</v>
      </c>
      <c r="E4440" t="s">
        <v>21</v>
      </c>
      <c r="F4440">
        <v>201901967</v>
      </c>
      <c r="G4440" t="s">
        <v>1238</v>
      </c>
      <c r="H4440" t="s">
        <v>1720</v>
      </c>
      <c r="I4440">
        <v>0</v>
      </c>
      <c r="J4440">
        <v>0</v>
      </c>
      <c r="K4440">
        <v>0</v>
      </c>
      <c r="L4440">
        <v>0</v>
      </c>
      <c r="M4440">
        <v>0.32</v>
      </c>
      <c r="N4440" s="7" t="e">
        <f>VLOOKUP(F4440,HC!A$6:D$100,3,FALSE)</f>
        <v>#N/A</v>
      </c>
      <c r="O4440" s="7" t="str">
        <f>VLOOKUP(F4440,HC!A$6:D$1000,2,FALSE)</f>
        <v>ndomindi</v>
      </c>
    </row>
    <row r="4441" spans="1:15" ht="37.5" customHeight="1" x14ac:dyDescent="0.25">
      <c r="A4441" s="23">
        <v>45247</v>
      </c>
      <c r="B4441" s="13">
        <v>46</v>
      </c>
      <c r="C4441" t="s">
        <v>3</v>
      </c>
      <c r="D4441" t="s">
        <v>4</v>
      </c>
      <c r="E4441" t="s">
        <v>5</v>
      </c>
      <c r="F4441">
        <v>201903097</v>
      </c>
      <c r="G4441" t="s">
        <v>1239</v>
      </c>
      <c r="H4441" t="s">
        <v>285</v>
      </c>
      <c r="I4441">
        <v>0</v>
      </c>
      <c r="J4441">
        <v>0</v>
      </c>
      <c r="K4441">
        <v>0</v>
      </c>
      <c r="L4441">
        <v>0</v>
      </c>
      <c r="M4441">
        <v>0.08</v>
      </c>
      <c r="N4441" s="7" t="e">
        <f>VLOOKUP(F4441,HC!A$6:D$100,3,FALSE)</f>
        <v>#N/A</v>
      </c>
      <c r="O4441" s="7" t="str">
        <f>VLOOKUP(F4441,HC!A$6:D$1000,2,FALSE)</f>
        <v>montoliy</v>
      </c>
    </row>
    <row r="4442" spans="1:15" ht="37.5" customHeight="1" x14ac:dyDescent="0.25">
      <c r="A4442" s="23">
        <v>45247</v>
      </c>
      <c r="B4442" s="13">
        <v>46</v>
      </c>
      <c r="C4442" t="s">
        <v>3</v>
      </c>
      <c r="D4442" t="s">
        <v>4</v>
      </c>
      <c r="E4442" t="s">
        <v>21</v>
      </c>
      <c r="F4442">
        <v>202063545</v>
      </c>
      <c r="G4442" t="s">
        <v>1275</v>
      </c>
      <c r="H4442" t="s">
        <v>263</v>
      </c>
      <c r="I4442">
        <v>0</v>
      </c>
      <c r="J4442">
        <v>0</v>
      </c>
      <c r="K4442">
        <v>0</v>
      </c>
      <c r="L4442">
        <v>0</v>
      </c>
      <c r="M4442">
        <v>0.75</v>
      </c>
      <c r="N4442" s="7" t="e">
        <f>VLOOKUP(F4442,HC!A$6:D$100,3,FALSE)</f>
        <v>#N/A</v>
      </c>
      <c r="O4442" s="7" t="str">
        <f>VLOOKUP(F4442,HC!A$6:D$1000,2,FALSE)</f>
        <v>angarcz</v>
      </c>
    </row>
    <row r="4443" spans="1:15" ht="37.5" customHeight="1" x14ac:dyDescent="0.25">
      <c r="A4443" s="23">
        <v>45247</v>
      </c>
      <c r="B4443" s="13">
        <v>46</v>
      </c>
      <c r="C4443" t="s">
        <v>3</v>
      </c>
      <c r="D4443" t="s">
        <v>4</v>
      </c>
      <c r="E4443" t="s">
        <v>21</v>
      </c>
      <c r="F4443">
        <v>202068111</v>
      </c>
      <c r="G4443" t="s">
        <v>1426</v>
      </c>
      <c r="H4443" t="s">
        <v>1720</v>
      </c>
      <c r="I4443">
        <v>0</v>
      </c>
      <c r="J4443">
        <v>0</v>
      </c>
      <c r="K4443">
        <v>0</v>
      </c>
      <c r="L4443">
        <v>0</v>
      </c>
      <c r="M4443">
        <v>0.09</v>
      </c>
      <c r="N4443" s="7" t="e">
        <f>VLOOKUP(F4443,HC!A$6:D$100,3,FALSE)</f>
        <v>#N/A</v>
      </c>
      <c r="O4443" s="7" t="str">
        <f>VLOOKUP(F4443,HC!A$6:D$1000,2,FALSE)</f>
        <v>ismcpere</v>
      </c>
    </row>
    <row r="4444" spans="1:15" ht="37.5" customHeight="1" x14ac:dyDescent="0.25">
      <c r="A4444" s="23">
        <v>45247</v>
      </c>
      <c r="B4444" s="13">
        <v>46</v>
      </c>
      <c r="C4444" t="s">
        <v>3</v>
      </c>
      <c r="D4444" t="s">
        <v>4</v>
      </c>
      <c r="E4444" t="s">
        <v>21</v>
      </c>
      <c r="F4444">
        <v>202117420</v>
      </c>
      <c r="G4444" t="s">
        <v>1277</v>
      </c>
      <c r="H4444" t="s">
        <v>1471</v>
      </c>
      <c r="I4444">
        <v>0</v>
      </c>
      <c r="J4444">
        <v>0</v>
      </c>
      <c r="K4444">
        <v>0</v>
      </c>
      <c r="L4444">
        <v>0</v>
      </c>
      <c r="M4444">
        <v>0.33</v>
      </c>
      <c r="N4444" s="7" t="e">
        <f>VLOOKUP(F4444,HC!A$6:D$100,3,FALSE)</f>
        <v>#N/A</v>
      </c>
      <c r="O4444" s="7" t="str">
        <f>VLOOKUP(F4444,HC!A$6:D$1000,2,FALSE)</f>
        <v>iscerver</v>
      </c>
    </row>
    <row r="4445" spans="1:15" ht="37.5" customHeight="1" x14ac:dyDescent="0.25">
      <c r="A4445" s="23">
        <v>45247</v>
      </c>
      <c r="B4445" s="13">
        <v>46</v>
      </c>
      <c r="C4445" t="s">
        <v>3</v>
      </c>
      <c r="D4445" t="s">
        <v>4</v>
      </c>
      <c r="E4445" t="s">
        <v>21</v>
      </c>
      <c r="F4445">
        <v>202120077</v>
      </c>
      <c r="G4445" t="s">
        <v>1278</v>
      </c>
      <c r="H4445" t="s">
        <v>403</v>
      </c>
      <c r="I4445">
        <v>0</v>
      </c>
      <c r="J4445">
        <v>0</v>
      </c>
      <c r="K4445">
        <v>0</v>
      </c>
      <c r="L4445">
        <v>0</v>
      </c>
      <c r="M4445">
        <v>0.18</v>
      </c>
      <c r="N4445" s="7" t="e">
        <f>VLOOKUP(F4445,HC!A$6:D$100,3,FALSE)</f>
        <v>#N/A</v>
      </c>
      <c r="O4445" s="7" t="str">
        <f>VLOOKUP(F4445,HC!A$6:D$1000,2,FALSE)</f>
        <v>mauaguid</v>
      </c>
    </row>
    <row r="4446" spans="1:15" ht="37.5" customHeight="1" x14ac:dyDescent="0.25">
      <c r="A4446" s="23">
        <v>45247</v>
      </c>
      <c r="B4446" s="13">
        <v>46</v>
      </c>
      <c r="C4446" t="s">
        <v>3</v>
      </c>
      <c r="D4446" t="s">
        <v>4</v>
      </c>
      <c r="E4446" t="s">
        <v>21</v>
      </c>
      <c r="F4446">
        <v>202154904</v>
      </c>
      <c r="G4446" t="s">
        <v>2070</v>
      </c>
      <c r="H4446" t="s">
        <v>298</v>
      </c>
      <c r="I4446">
        <v>0</v>
      </c>
      <c r="J4446">
        <v>0</v>
      </c>
      <c r="K4446">
        <v>0</v>
      </c>
      <c r="L4446">
        <v>0</v>
      </c>
      <c r="M4446">
        <v>0.16</v>
      </c>
      <c r="N4446" s="7" t="e">
        <f>VLOOKUP(F4446,HC!A$6:D$100,3,FALSE)</f>
        <v>#N/A</v>
      </c>
      <c r="O4446" s="7" t="str">
        <f>VLOOKUP(F4446,HC!A$6:D$1000,2,FALSE)</f>
        <v>maalmagn</v>
      </c>
    </row>
    <row r="4447" spans="1:15" ht="37.5" customHeight="1" x14ac:dyDescent="0.25">
      <c r="A4447" s="23">
        <v>45247</v>
      </c>
      <c r="B4447" s="13">
        <v>46</v>
      </c>
      <c r="C4447" t="s">
        <v>3</v>
      </c>
      <c r="D4447" t="s">
        <v>4</v>
      </c>
      <c r="E4447" t="s">
        <v>21</v>
      </c>
      <c r="F4447">
        <v>202194885</v>
      </c>
      <c r="G4447" t="s">
        <v>1738</v>
      </c>
      <c r="H4447" t="s">
        <v>285</v>
      </c>
      <c r="I4447">
        <v>0</v>
      </c>
      <c r="J4447">
        <v>0</v>
      </c>
      <c r="K4447">
        <v>0</v>
      </c>
      <c r="L4447">
        <v>0</v>
      </c>
      <c r="M4447">
        <v>0.67</v>
      </c>
      <c r="N4447" s="7" t="e">
        <f>VLOOKUP(F4447,HC!A$6:D$100,3,FALSE)</f>
        <v>#N/A</v>
      </c>
      <c r="O4447" s="7" t="str">
        <f>VLOOKUP(F4447,HC!A$6:D$1000,2,FALSE)</f>
        <v>bermisrq</v>
      </c>
    </row>
    <row r="4448" spans="1:15" ht="37.5" customHeight="1" x14ac:dyDescent="0.25">
      <c r="A4448" s="23">
        <v>45247</v>
      </c>
      <c r="B4448" s="13">
        <v>46</v>
      </c>
      <c r="C4448" t="s">
        <v>3</v>
      </c>
      <c r="D4448" t="s">
        <v>4</v>
      </c>
      <c r="E4448" t="s">
        <v>21</v>
      </c>
      <c r="F4448">
        <v>202254886</v>
      </c>
      <c r="G4448" t="s">
        <v>1741</v>
      </c>
      <c r="H4448" t="s">
        <v>403</v>
      </c>
      <c r="I4448">
        <v>0</v>
      </c>
      <c r="J4448">
        <v>0</v>
      </c>
      <c r="K4448">
        <v>0</v>
      </c>
      <c r="L4448">
        <v>0</v>
      </c>
      <c r="M4448">
        <v>1.52</v>
      </c>
      <c r="N4448" s="7" t="e">
        <f>VLOOKUP(F4448,HC!A$6:D$100,3,FALSE)</f>
        <v>#N/A</v>
      </c>
      <c r="O4448" s="7" t="str">
        <f>VLOOKUP(F4448,HC!A$6:D$1000,2,FALSE)</f>
        <v>xmenjare</v>
      </c>
    </row>
    <row r="4449" spans="1:15" ht="37.5" customHeight="1" x14ac:dyDescent="0.25">
      <c r="A4449" s="23">
        <v>45247</v>
      </c>
      <c r="B4449" s="13">
        <v>46</v>
      </c>
      <c r="C4449" t="s">
        <v>3</v>
      </c>
      <c r="D4449" t="s">
        <v>4</v>
      </c>
      <c r="E4449" t="s">
        <v>21</v>
      </c>
      <c r="F4449">
        <v>202291384</v>
      </c>
      <c r="G4449" t="s">
        <v>1703</v>
      </c>
      <c r="H4449" t="s">
        <v>298</v>
      </c>
      <c r="I4449">
        <v>0</v>
      </c>
      <c r="J4449">
        <v>0</v>
      </c>
      <c r="K4449">
        <v>0</v>
      </c>
      <c r="L4449">
        <v>0</v>
      </c>
      <c r="M4449">
        <v>0.13</v>
      </c>
      <c r="N4449" s="7" t="e">
        <f>VLOOKUP(F4449,HC!A$6:D$100,3,FALSE)</f>
        <v>#N/A</v>
      </c>
      <c r="O4449" s="7" t="str">
        <f>VLOOKUP(F4449,HC!A$6:D$1000,2,FALSE)</f>
        <v>servelaj</v>
      </c>
    </row>
    <row r="4450" spans="1:15" ht="37.5" customHeight="1" x14ac:dyDescent="0.25">
      <c r="A4450" s="23">
        <v>45247</v>
      </c>
      <c r="B4450" s="13">
        <v>46</v>
      </c>
      <c r="C4450" t="s">
        <v>3</v>
      </c>
      <c r="D4450" t="s">
        <v>4</v>
      </c>
      <c r="E4450" t="s">
        <v>21</v>
      </c>
      <c r="F4450">
        <v>202323975</v>
      </c>
      <c r="G4450" t="s">
        <v>1753</v>
      </c>
      <c r="H4450" t="s">
        <v>285</v>
      </c>
      <c r="I4450">
        <v>0</v>
      </c>
      <c r="J4450">
        <v>0</v>
      </c>
      <c r="K4450">
        <v>0</v>
      </c>
      <c r="L4450">
        <v>0</v>
      </c>
      <c r="M4450">
        <v>0.14000000000000001</v>
      </c>
      <c r="N4450" s="7" t="e">
        <f>VLOOKUP(F4450,HC!A$6:D$100,3,FALSE)</f>
        <v>#N/A</v>
      </c>
      <c r="O4450" s="7" t="str">
        <f>VLOOKUP(F4450,HC!A$6:D$1000,2,FALSE)</f>
        <v>alhernk</v>
      </c>
    </row>
    <row r="4451" spans="1:15" ht="37.5" customHeight="1" x14ac:dyDescent="0.25">
      <c r="A4451" s="23">
        <v>45247</v>
      </c>
      <c r="B4451" s="13">
        <v>46</v>
      </c>
      <c r="C4451" t="s">
        <v>3</v>
      </c>
      <c r="D4451" t="s">
        <v>4</v>
      </c>
      <c r="E4451" t="s">
        <v>21</v>
      </c>
      <c r="F4451">
        <v>202364552</v>
      </c>
      <c r="G4451" t="s">
        <v>1767</v>
      </c>
      <c r="H4451" t="s">
        <v>459</v>
      </c>
      <c r="I4451">
        <v>0</v>
      </c>
      <c r="J4451">
        <v>0</v>
      </c>
      <c r="K4451">
        <v>0</v>
      </c>
      <c r="L4451">
        <v>0</v>
      </c>
      <c r="M4451">
        <v>0.69</v>
      </c>
      <c r="N4451" s="7" t="e">
        <f>VLOOKUP(F4451,HC!A$6:D$100,3,FALSE)</f>
        <v>#N/A</v>
      </c>
      <c r="O4451" s="7" t="str">
        <f>VLOOKUP(F4451,HC!A$6:D$1000,2,FALSE)</f>
        <v>roapolot</v>
      </c>
    </row>
    <row r="4452" spans="1:15" ht="37.5" customHeight="1" x14ac:dyDescent="0.25">
      <c r="A4452" s="23">
        <v>45247</v>
      </c>
      <c r="B4452" s="13">
        <v>46</v>
      </c>
      <c r="C4452" t="s">
        <v>3</v>
      </c>
      <c r="D4452" t="s">
        <v>4</v>
      </c>
      <c r="E4452" t="s">
        <v>21</v>
      </c>
      <c r="F4452">
        <v>202375403</v>
      </c>
      <c r="G4452" t="s">
        <v>2071</v>
      </c>
      <c r="H4452" t="s">
        <v>1471</v>
      </c>
      <c r="I4452">
        <v>0</v>
      </c>
      <c r="J4452">
        <v>0</v>
      </c>
      <c r="K4452">
        <v>0</v>
      </c>
      <c r="L4452">
        <v>0</v>
      </c>
      <c r="M4452">
        <v>1.78</v>
      </c>
      <c r="N4452" s="7" t="e">
        <f>VLOOKUP(F4452,HC!A$6:D$100,3,FALSE)</f>
        <v>#N/A</v>
      </c>
      <c r="O4452" s="7" t="str">
        <f>VLOOKUP(F4452,HC!A$6:D$1000,2,FALSE)</f>
        <v>wantgalv</v>
      </c>
    </row>
    <row r="4453" spans="1:15" ht="37.5" customHeight="1" x14ac:dyDescent="0.25">
      <c r="A4453" s="23">
        <v>45247</v>
      </c>
      <c r="B4453" s="13">
        <v>46</v>
      </c>
      <c r="C4453" t="s">
        <v>3</v>
      </c>
      <c r="D4453" t="s">
        <v>4</v>
      </c>
      <c r="E4453" t="s">
        <v>21</v>
      </c>
      <c r="F4453">
        <v>202407947</v>
      </c>
      <c r="G4453" t="s">
        <v>2068</v>
      </c>
      <c r="H4453" t="s">
        <v>403</v>
      </c>
      <c r="I4453">
        <v>0</v>
      </c>
      <c r="J4453">
        <v>0</v>
      </c>
      <c r="K4453">
        <v>0</v>
      </c>
      <c r="L4453">
        <v>0</v>
      </c>
      <c r="M4453">
        <v>0.44</v>
      </c>
      <c r="N4453" s="7" t="e">
        <f>VLOOKUP(F4453,HC!A$6:D$100,3,FALSE)</f>
        <v>#N/A</v>
      </c>
      <c r="O4453" s="7" t="str">
        <f>VLOOKUP(F4453,HC!A$6:D$1000,2,FALSE)</f>
        <v>lalbmora</v>
      </c>
    </row>
    <row r="4454" spans="1:15" ht="37.5" customHeight="1" x14ac:dyDescent="0.25">
      <c r="A4454" s="23">
        <v>45247</v>
      </c>
      <c r="B4454" s="13">
        <v>46</v>
      </c>
      <c r="C4454" t="s">
        <v>3</v>
      </c>
      <c r="D4454" t="s">
        <v>4</v>
      </c>
      <c r="E4454" t="s">
        <v>21</v>
      </c>
      <c r="F4454">
        <v>202417673</v>
      </c>
      <c r="G4454" t="s">
        <v>2058</v>
      </c>
      <c r="H4454" t="s">
        <v>459</v>
      </c>
      <c r="I4454">
        <v>0</v>
      </c>
      <c r="J4454">
        <v>0</v>
      </c>
      <c r="K4454">
        <v>0</v>
      </c>
      <c r="L4454">
        <v>0</v>
      </c>
      <c r="M4454">
        <v>0.19</v>
      </c>
      <c r="N4454" s="7" t="e">
        <f>VLOOKUP(F4454,HC!A$6:D$100,3,FALSE)</f>
        <v>#N/A</v>
      </c>
      <c r="O4454" s="7" t="str">
        <f>VLOOKUP(F4454,HC!A$6:D$1000,2,FALSE)</f>
        <v>valezlop</v>
      </c>
    </row>
    <row r="4455" spans="1:15" ht="37.5" customHeight="1" x14ac:dyDescent="0.25">
      <c r="A4455" s="23">
        <v>45247</v>
      </c>
      <c r="B4455" s="13">
        <v>46</v>
      </c>
      <c r="C4455" t="s">
        <v>3</v>
      </c>
      <c r="D4455" t="s">
        <v>4</v>
      </c>
      <c r="E4455" t="s">
        <v>21</v>
      </c>
      <c r="F4455">
        <v>202417687</v>
      </c>
      <c r="G4455" t="s">
        <v>1754</v>
      </c>
      <c r="H4455" t="s">
        <v>1471</v>
      </c>
      <c r="I4455">
        <v>0</v>
      </c>
      <c r="J4455">
        <v>0</v>
      </c>
      <c r="K4455">
        <v>0</v>
      </c>
      <c r="L4455">
        <v>0</v>
      </c>
      <c r="M4455">
        <v>0.22</v>
      </c>
      <c r="N4455" s="7" t="e">
        <f>VLOOKUP(F4455,HC!A$6:D$100,3,FALSE)</f>
        <v>#N/A</v>
      </c>
      <c r="O4455" s="7" t="str">
        <f>VLOOKUP(F4455,HC!A$6:D$1000,2,FALSE)</f>
        <v>cordoedt</v>
      </c>
    </row>
    <row r="4456" spans="1:15" ht="37.5" customHeight="1" x14ac:dyDescent="0.25">
      <c r="A4456" s="23">
        <v>45247</v>
      </c>
      <c r="B4456" s="13">
        <v>46</v>
      </c>
      <c r="C4456" t="s">
        <v>3</v>
      </c>
      <c r="D4456" t="s">
        <v>4</v>
      </c>
      <c r="E4456" t="s">
        <v>21</v>
      </c>
      <c r="F4456">
        <v>202421453</v>
      </c>
      <c r="G4456" t="s">
        <v>2020</v>
      </c>
      <c r="H4456" t="s">
        <v>459</v>
      </c>
      <c r="I4456">
        <v>0</v>
      </c>
      <c r="J4456">
        <v>0</v>
      </c>
      <c r="K4456">
        <v>0</v>
      </c>
      <c r="L4456">
        <v>0</v>
      </c>
      <c r="M4456">
        <v>0.28000000000000003</v>
      </c>
      <c r="N4456" s="7" t="e">
        <f>VLOOKUP(F4456,HC!A$6:D$100,3,FALSE)</f>
        <v>#N/A</v>
      </c>
      <c r="O4456" s="7" t="str">
        <f>VLOOKUP(F4456,HC!A$6:D$1000,2,FALSE)</f>
        <v>chejserg</v>
      </c>
    </row>
    <row r="4457" spans="1:15" ht="37.5" customHeight="1" x14ac:dyDescent="0.25">
      <c r="A4457" s="23">
        <v>45247</v>
      </c>
      <c r="B4457" s="13">
        <v>46</v>
      </c>
      <c r="C4457" t="s">
        <v>3</v>
      </c>
      <c r="D4457" t="s">
        <v>4</v>
      </c>
      <c r="E4457" t="s">
        <v>21</v>
      </c>
      <c r="F4457">
        <v>202442581</v>
      </c>
      <c r="G4457" t="s">
        <v>2069</v>
      </c>
      <c r="H4457" t="s">
        <v>285</v>
      </c>
      <c r="I4457">
        <v>0</v>
      </c>
      <c r="J4457">
        <v>0</v>
      </c>
      <c r="K4457">
        <v>0</v>
      </c>
      <c r="L4457">
        <v>0</v>
      </c>
      <c r="M4457">
        <v>0.21</v>
      </c>
      <c r="N4457" s="7" t="e">
        <f>VLOOKUP(F4457,HC!A$6:D$100,3,FALSE)</f>
        <v>#N/A</v>
      </c>
      <c r="O4457" s="7" t="str">
        <f>VLOOKUP(F4457,HC!A$6:D$1000,2,FALSE)</f>
        <v>ayocktan</v>
      </c>
    </row>
    <row r="4458" spans="1:15" ht="37.5" customHeight="1" x14ac:dyDescent="0.25">
      <c r="A4458" s="23">
        <v>45247</v>
      </c>
      <c r="B4458" s="13">
        <v>46</v>
      </c>
      <c r="C4458" t="s">
        <v>3</v>
      </c>
      <c r="D4458" t="s">
        <v>4</v>
      </c>
      <c r="E4458" t="s">
        <v>21</v>
      </c>
      <c r="F4458">
        <v>202510544</v>
      </c>
      <c r="G4458" t="s">
        <v>2072</v>
      </c>
      <c r="H4458" t="s">
        <v>7</v>
      </c>
      <c r="I4458">
        <v>0</v>
      </c>
      <c r="J4458">
        <v>0</v>
      </c>
      <c r="K4458">
        <v>0</v>
      </c>
      <c r="L4458">
        <v>0</v>
      </c>
      <c r="M4458">
        <v>0.38</v>
      </c>
      <c r="N4458" s="7" t="e">
        <f>VLOOKUP(F4458,HC!A$6:D$100,3,FALSE)</f>
        <v>#N/A</v>
      </c>
      <c r="O4458" s="7" t="str">
        <f>VLOOKUP(F4458,HC!A$6:D$1000,2,FALSE)</f>
        <v>moralhed</v>
      </c>
    </row>
    <row r="4459" spans="1:15" ht="37.5" customHeight="1" x14ac:dyDescent="0.25">
      <c r="A4459" s="23">
        <v>45247</v>
      </c>
      <c r="B4459" s="13">
        <v>46</v>
      </c>
      <c r="C4459" t="s">
        <v>3</v>
      </c>
      <c r="D4459" t="s">
        <v>4</v>
      </c>
      <c r="E4459" t="s">
        <v>21</v>
      </c>
      <c r="F4459">
        <v>202518714</v>
      </c>
      <c r="G4459" t="s">
        <v>2051</v>
      </c>
      <c r="H4459" t="s">
        <v>7</v>
      </c>
      <c r="I4459">
        <v>0</v>
      </c>
      <c r="J4459">
        <v>0</v>
      </c>
      <c r="K4459">
        <v>0</v>
      </c>
      <c r="L4459">
        <v>0</v>
      </c>
      <c r="M4459">
        <v>0.32</v>
      </c>
      <c r="N4459" s="7" t="e">
        <f>VLOOKUP(F4459,HC!A$6:D$100,3,FALSE)</f>
        <v>#N/A</v>
      </c>
      <c r="O4459" s="7" t="str">
        <f>VLOOKUP(F4459,HC!A$6:D$1000,2,FALSE)</f>
        <v>jeurrutj</v>
      </c>
    </row>
    <row r="4460" spans="1:15" ht="37.5" customHeight="1" x14ac:dyDescent="0.25">
      <c r="A4460" s="23">
        <v>45248</v>
      </c>
      <c r="B4460" s="13">
        <v>46</v>
      </c>
      <c r="C4460" t="s">
        <v>3</v>
      </c>
      <c r="D4460" t="s">
        <v>4</v>
      </c>
      <c r="E4460" t="s">
        <v>5</v>
      </c>
      <c r="F4460">
        <v>112973049</v>
      </c>
      <c r="G4460" t="s">
        <v>314</v>
      </c>
      <c r="H4460" t="s">
        <v>285</v>
      </c>
      <c r="I4460">
        <v>0</v>
      </c>
      <c r="J4460">
        <v>0</v>
      </c>
      <c r="K4460">
        <v>0</v>
      </c>
      <c r="L4460">
        <v>0</v>
      </c>
      <c r="M4460">
        <v>0.83</v>
      </c>
      <c r="N4460" s="7" t="str">
        <f>VLOOKUP(F4460,HC!A$6:D$100,3,FALSE)</f>
        <v>DB-X0700</v>
      </c>
      <c r="O4460" s="7" t="str">
        <f>VLOOKUP(F4460,HC!A$6:D$1000,2,FALSE)</f>
        <v>afatimae</v>
      </c>
    </row>
    <row r="4461" spans="1:15" ht="37.5" customHeight="1" x14ac:dyDescent="0.25">
      <c r="A4461" s="23">
        <v>45248</v>
      </c>
      <c r="B4461" s="13">
        <v>46</v>
      </c>
      <c r="C4461" t="s">
        <v>3</v>
      </c>
      <c r="D4461" t="s">
        <v>4</v>
      </c>
      <c r="E4461" t="s">
        <v>21</v>
      </c>
      <c r="F4461">
        <v>112980843</v>
      </c>
      <c r="G4461" t="s">
        <v>619</v>
      </c>
      <c r="H4461" t="s">
        <v>1040</v>
      </c>
      <c r="I4461">
        <v>0</v>
      </c>
      <c r="J4461">
        <v>0</v>
      </c>
      <c r="K4461">
        <v>0</v>
      </c>
      <c r="L4461">
        <v>0</v>
      </c>
      <c r="M4461">
        <v>0.12</v>
      </c>
      <c r="N4461" s="7" t="str">
        <f>VLOOKUP(F4461,HC!A$6:D$100,3,FALSE)</f>
        <v>DA-X0700</v>
      </c>
      <c r="O4461" s="7" t="str">
        <f>VLOOKUP(F4461,HC!A$6:D$1000,2,FALSE)</f>
        <v>lsisrael</v>
      </c>
    </row>
    <row r="4462" spans="1:15" ht="37.5" customHeight="1" x14ac:dyDescent="0.25">
      <c r="A4462" s="23">
        <v>45248</v>
      </c>
      <c r="B4462" s="13">
        <v>46</v>
      </c>
      <c r="C4462" t="s">
        <v>3</v>
      </c>
      <c r="D4462" t="s">
        <v>4</v>
      </c>
      <c r="E4462" t="s">
        <v>5</v>
      </c>
      <c r="F4462">
        <v>113003510</v>
      </c>
      <c r="G4462" t="s">
        <v>913</v>
      </c>
      <c r="H4462" t="s">
        <v>403</v>
      </c>
      <c r="I4462">
        <v>0</v>
      </c>
      <c r="J4462">
        <v>0</v>
      </c>
      <c r="K4462">
        <v>0</v>
      </c>
      <c r="L4462">
        <v>0</v>
      </c>
      <c r="M4462">
        <v>0.1</v>
      </c>
      <c r="N4462" s="7" t="e">
        <f>VLOOKUP(F4462,HC!A$6:D$100,3,FALSE)</f>
        <v>#N/A</v>
      </c>
      <c r="O4462" s="7" t="str">
        <f>VLOOKUP(F4462,HC!A$6:D$1000,2,FALSE)</f>
        <v>nperezmc</v>
      </c>
    </row>
    <row r="4463" spans="1:15" ht="37.5" customHeight="1" x14ac:dyDescent="0.25">
      <c r="A4463" s="23">
        <v>45248</v>
      </c>
      <c r="B4463" s="13">
        <v>46</v>
      </c>
      <c r="C4463" t="s">
        <v>3</v>
      </c>
      <c r="D4463" t="s">
        <v>4</v>
      </c>
      <c r="E4463" t="s">
        <v>5</v>
      </c>
      <c r="F4463">
        <v>113014092</v>
      </c>
      <c r="G4463" t="s">
        <v>552</v>
      </c>
      <c r="H4463" t="s">
        <v>263</v>
      </c>
      <c r="I4463">
        <v>0</v>
      </c>
      <c r="J4463">
        <v>0</v>
      </c>
      <c r="K4463">
        <v>0</v>
      </c>
      <c r="L4463">
        <v>0</v>
      </c>
      <c r="M4463">
        <v>0.08</v>
      </c>
      <c r="N4463" s="7" t="e">
        <f>VLOOKUP(F4463,HC!A$6:D$100,3,FALSE)</f>
        <v>#N/A</v>
      </c>
      <c r="O4463" s="7" t="str">
        <f>VLOOKUP(F4463,HC!A$6:D$1000,2,FALSE)</f>
        <v>rsanccri</v>
      </c>
    </row>
    <row r="4464" spans="1:15" ht="37.5" customHeight="1" x14ac:dyDescent="0.25">
      <c r="A4464" s="23">
        <v>45248</v>
      </c>
      <c r="B4464" s="13">
        <v>46</v>
      </c>
      <c r="C4464" t="s">
        <v>3</v>
      </c>
      <c r="D4464" t="s">
        <v>4</v>
      </c>
      <c r="E4464" t="s">
        <v>5</v>
      </c>
      <c r="F4464">
        <v>113020497</v>
      </c>
      <c r="G4464" t="s">
        <v>606</v>
      </c>
      <c r="H4464" t="s">
        <v>403</v>
      </c>
      <c r="I4464">
        <v>0</v>
      </c>
      <c r="J4464">
        <v>0</v>
      </c>
      <c r="K4464">
        <v>0</v>
      </c>
      <c r="L4464">
        <v>0</v>
      </c>
      <c r="M4464">
        <v>0.3</v>
      </c>
      <c r="N4464" s="7" t="e">
        <f>VLOOKUP(F4464,HC!A$6:D$100,3,FALSE)</f>
        <v>#N/A</v>
      </c>
      <c r="O4464" s="7" t="str">
        <f>VLOOKUP(F4464,HC!A$6:D$1000,2,FALSE)</f>
        <v>diamartd</v>
      </c>
    </row>
    <row r="4465" spans="1:15" ht="37.5" customHeight="1" x14ac:dyDescent="0.25">
      <c r="A4465" s="23">
        <v>45248</v>
      </c>
      <c r="B4465" s="13">
        <v>46</v>
      </c>
      <c r="C4465" t="s">
        <v>3</v>
      </c>
      <c r="D4465" t="s">
        <v>4</v>
      </c>
      <c r="E4465" t="s">
        <v>5</v>
      </c>
      <c r="F4465">
        <v>200508323</v>
      </c>
      <c r="G4465" t="s">
        <v>1150</v>
      </c>
      <c r="H4465" t="s">
        <v>298</v>
      </c>
      <c r="I4465">
        <v>0</v>
      </c>
      <c r="J4465">
        <v>0</v>
      </c>
      <c r="K4465">
        <v>0</v>
      </c>
      <c r="L4465">
        <v>0</v>
      </c>
      <c r="M4465">
        <v>3.98</v>
      </c>
      <c r="N4465" s="7" t="e">
        <f>VLOOKUP(F4465,HC!A$6:D$100,3,FALSE)</f>
        <v>#N/A</v>
      </c>
      <c r="O4465" s="7" t="str">
        <f>VLOOKUP(F4465,HC!A$6:D$1000,2,FALSE)</f>
        <v>espejell</v>
      </c>
    </row>
    <row r="4466" spans="1:15" ht="37.5" customHeight="1" x14ac:dyDescent="0.25">
      <c r="A4466" s="23">
        <v>45248</v>
      </c>
      <c r="B4466" s="13">
        <v>46</v>
      </c>
      <c r="C4466" t="s">
        <v>3</v>
      </c>
      <c r="D4466" t="s">
        <v>4</v>
      </c>
      <c r="E4466" t="s">
        <v>5</v>
      </c>
      <c r="F4466">
        <v>200564895</v>
      </c>
      <c r="G4466" t="s">
        <v>520</v>
      </c>
      <c r="H4466" t="s">
        <v>49</v>
      </c>
      <c r="I4466">
        <v>0</v>
      </c>
      <c r="J4466">
        <v>0</v>
      </c>
      <c r="K4466">
        <v>0</v>
      </c>
      <c r="L4466">
        <v>0</v>
      </c>
      <c r="M4466">
        <v>0.08</v>
      </c>
      <c r="N4466" s="7" t="e">
        <f>VLOOKUP(F4466,HC!A$6:D$100,3,FALSE)</f>
        <v>#N/A</v>
      </c>
      <c r="O4466" s="7" t="str">
        <f>VLOOKUP(F4466,HC!A$6:D$1000,2,FALSE)</f>
        <v>hmendobr</v>
      </c>
    </row>
    <row r="4467" spans="1:15" ht="37.5" customHeight="1" x14ac:dyDescent="0.25">
      <c r="A4467" s="23">
        <v>45248</v>
      </c>
      <c r="B4467" s="13">
        <v>46</v>
      </c>
      <c r="C4467" t="s">
        <v>3</v>
      </c>
      <c r="D4467" t="s">
        <v>4</v>
      </c>
      <c r="E4467" t="s">
        <v>5</v>
      </c>
      <c r="F4467">
        <v>201198922</v>
      </c>
      <c r="G4467" t="s">
        <v>1141</v>
      </c>
      <c r="H4467" t="s">
        <v>403</v>
      </c>
      <c r="I4467">
        <v>0</v>
      </c>
      <c r="J4467">
        <v>0</v>
      </c>
      <c r="K4467">
        <v>0</v>
      </c>
      <c r="L4467">
        <v>0</v>
      </c>
      <c r="M4467">
        <v>0.18</v>
      </c>
      <c r="N4467" s="7" t="e">
        <f>VLOOKUP(F4467,HC!A$6:D$100,3,FALSE)</f>
        <v>#N/A</v>
      </c>
      <c r="O4467" s="7" t="str">
        <f>VLOOKUP(F4467,HC!A$6:D$1000,2,FALSE)</f>
        <v>mendejoy</v>
      </c>
    </row>
    <row r="4468" spans="1:15" ht="37.5" customHeight="1" x14ac:dyDescent="0.25">
      <c r="A4468" s="23">
        <v>45248</v>
      </c>
      <c r="B4468" s="13">
        <v>46</v>
      </c>
      <c r="C4468" t="s">
        <v>3</v>
      </c>
      <c r="D4468" t="s">
        <v>4</v>
      </c>
      <c r="E4468" t="s">
        <v>5</v>
      </c>
      <c r="F4468">
        <v>201223730</v>
      </c>
      <c r="G4468" t="s">
        <v>933</v>
      </c>
      <c r="H4468" t="s">
        <v>298</v>
      </c>
      <c r="I4468">
        <v>0</v>
      </c>
      <c r="J4468">
        <v>0</v>
      </c>
      <c r="K4468">
        <v>0</v>
      </c>
      <c r="L4468">
        <v>0</v>
      </c>
      <c r="M4468">
        <v>0.19</v>
      </c>
      <c r="N4468" s="7" t="e">
        <f>VLOOKUP(F4468,HC!A$6:D$100,3,FALSE)</f>
        <v>#N/A</v>
      </c>
      <c r="O4468" s="7" t="str">
        <f>VLOOKUP(F4468,HC!A$6:D$1000,2,FALSE)</f>
        <v>cesarito</v>
      </c>
    </row>
    <row r="4469" spans="1:15" ht="37.5" customHeight="1" x14ac:dyDescent="0.25">
      <c r="A4469" s="23">
        <v>45248</v>
      </c>
      <c r="B4469" s="13">
        <v>46</v>
      </c>
      <c r="C4469" t="s">
        <v>3</v>
      </c>
      <c r="D4469" t="s">
        <v>4</v>
      </c>
      <c r="E4469" t="s">
        <v>5</v>
      </c>
      <c r="F4469">
        <v>201228411</v>
      </c>
      <c r="G4469" t="s">
        <v>938</v>
      </c>
      <c r="H4469" t="s">
        <v>298</v>
      </c>
      <c r="I4469">
        <v>0</v>
      </c>
      <c r="J4469">
        <v>0</v>
      </c>
      <c r="K4469">
        <v>0</v>
      </c>
      <c r="L4469">
        <v>0</v>
      </c>
      <c r="M4469">
        <v>0.18</v>
      </c>
      <c r="N4469" s="7" t="e">
        <f>VLOOKUP(F4469,HC!A$6:D$100,3,FALSE)</f>
        <v>#N/A</v>
      </c>
      <c r="O4469" s="7" t="str">
        <f>VLOOKUP(F4469,HC!A$6:D$1000,2,FALSE)</f>
        <v>jazmiwhe</v>
      </c>
    </row>
    <row r="4470" spans="1:15" ht="37.5" customHeight="1" x14ac:dyDescent="0.25">
      <c r="A4470" s="23">
        <v>45248</v>
      </c>
      <c r="B4470" s="13">
        <v>46</v>
      </c>
      <c r="C4470" t="s">
        <v>3</v>
      </c>
      <c r="D4470" t="s">
        <v>4</v>
      </c>
      <c r="E4470" t="s">
        <v>5</v>
      </c>
      <c r="F4470">
        <v>201354965</v>
      </c>
      <c r="G4470" t="s">
        <v>1063</v>
      </c>
      <c r="H4470" t="s">
        <v>285</v>
      </c>
      <c r="I4470">
        <v>0</v>
      </c>
      <c r="J4470">
        <v>0</v>
      </c>
      <c r="K4470">
        <v>0</v>
      </c>
      <c r="L4470">
        <v>0</v>
      </c>
      <c r="M4470">
        <v>0.14000000000000001</v>
      </c>
      <c r="N4470" s="7" t="e">
        <f>VLOOKUP(F4470,HC!A$6:D$100,3,FALSE)</f>
        <v>#N/A</v>
      </c>
      <c r="O4470" s="7" t="str">
        <f>VLOOKUP(F4470,HC!A$6:D$1000,2,FALSE)</f>
        <v>alinejim</v>
      </c>
    </row>
    <row r="4471" spans="1:15" ht="37.5" customHeight="1" x14ac:dyDescent="0.25">
      <c r="A4471" s="23">
        <v>45248</v>
      </c>
      <c r="B4471" s="13">
        <v>46</v>
      </c>
      <c r="C4471" t="s">
        <v>3</v>
      </c>
      <c r="D4471" t="s">
        <v>4</v>
      </c>
      <c r="E4471" t="s">
        <v>5</v>
      </c>
      <c r="F4471">
        <v>201396328</v>
      </c>
      <c r="G4471" t="s">
        <v>1171</v>
      </c>
      <c r="H4471" t="s">
        <v>250</v>
      </c>
      <c r="I4471">
        <v>0</v>
      </c>
      <c r="J4471">
        <v>0</v>
      </c>
      <c r="K4471">
        <v>0</v>
      </c>
      <c r="L4471">
        <v>0</v>
      </c>
      <c r="M4471">
        <v>0.2</v>
      </c>
      <c r="N4471" s="7" t="e">
        <f>VLOOKUP(F4471,HC!A$6:D$100,3,FALSE)</f>
        <v>#N/A</v>
      </c>
      <c r="O4471" s="7" t="str">
        <f>VLOOKUP(F4471,HC!A$6:D$1000,2,FALSE)</f>
        <v>nalcanch</v>
      </c>
    </row>
    <row r="4472" spans="1:15" ht="37.5" customHeight="1" x14ac:dyDescent="0.25">
      <c r="A4472" s="23">
        <v>45248</v>
      </c>
      <c r="B4472" s="13">
        <v>46</v>
      </c>
      <c r="C4472" t="s">
        <v>3</v>
      </c>
      <c r="D4472" t="s">
        <v>4</v>
      </c>
      <c r="E4472" t="s">
        <v>5</v>
      </c>
      <c r="F4472">
        <v>201403462</v>
      </c>
      <c r="G4472" t="s">
        <v>1054</v>
      </c>
      <c r="H4472" t="s">
        <v>1471</v>
      </c>
      <c r="I4472">
        <v>0</v>
      </c>
      <c r="J4472">
        <v>0</v>
      </c>
      <c r="K4472">
        <v>0</v>
      </c>
      <c r="L4472">
        <v>0</v>
      </c>
      <c r="M4472">
        <v>0.05</v>
      </c>
      <c r="N4472" s="7" t="e">
        <f>VLOOKUP(F4472,HC!A$6:D$100,3,FALSE)</f>
        <v>#N/A</v>
      </c>
      <c r="O4472" s="7" t="str">
        <f>VLOOKUP(F4472,HC!A$6:D$1000,2,FALSE)</f>
        <v>valdojoe</v>
      </c>
    </row>
    <row r="4473" spans="1:15" ht="37.5" customHeight="1" x14ac:dyDescent="0.25">
      <c r="A4473" s="23">
        <v>45248</v>
      </c>
      <c r="B4473" s="13">
        <v>46</v>
      </c>
      <c r="C4473" t="s">
        <v>3</v>
      </c>
      <c r="D4473" t="s">
        <v>4</v>
      </c>
      <c r="E4473" t="s">
        <v>21</v>
      </c>
      <c r="F4473">
        <v>202062181</v>
      </c>
      <c r="G4473" t="s">
        <v>1401</v>
      </c>
      <c r="H4473" t="s">
        <v>263</v>
      </c>
      <c r="I4473">
        <v>0</v>
      </c>
      <c r="J4473">
        <v>0</v>
      </c>
      <c r="K4473">
        <v>0</v>
      </c>
      <c r="L4473">
        <v>0</v>
      </c>
      <c r="M4473">
        <v>0.8</v>
      </c>
      <c r="N4473" s="7" t="e">
        <f>VLOOKUP(F4473,HC!A$6:D$100,3,FALSE)</f>
        <v>#N/A</v>
      </c>
      <c r="O4473" s="7" t="str">
        <f>VLOOKUP(F4473,HC!A$6:D$1000,2,FALSE)</f>
        <v>xlutrejo</v>
      </c>
    </row>
    <row r="4474" spans="1:15" ht="37.5" customHeight="1" x14ac:dyDescent="0.25">
      <c r="A4474" s="23">
        <v>45248</v>
      </c>
      <c r="B4474" s="13">
        <v>46</v>
      </c>
      <c r="C4474" t="s">
        <v>3</v>
      </c>
      <c r="D4474" t="s">
        <v>4</v>
      </c>
      <c r="E4474" t="s">
        <v>21</v>
      </c>
      <c r="F4474">
        <v>202117420</v>
      </c>
      <c r="G4474" t="s">
        <v>1277</v>
      </c>
      <c r="H4474" t="s">
        <v>1471</v>
      </c>
      <c r="I4474">
        <v>0</v>
      </c>
      <c r="J4474">
        <v>0</v>
      </c>
      <c r="K4474">
        <v>0</v>
      </c>
      <c r="L4474">
        <v>0</v>
      </c>
      <c r="M4474">
        <v>0.27</v>
      </c>
      <c r="N4474" s="7" t="e">
        <f>VLOOKUP(F4474,HC!A$6:D$100,3,FALSE)</f>
        <v>#N/A</v>
      </c>
      <c r="O4474" s="7" t="str">
        <f>VLOOKUP(F4474,HC!A$6:D$1000,2,FALSE)</f>
        <v>iscerver</v>
      </c>
    </row>
    <row r="4475" spans="1:15" ht="37.5" customHeight="1" x14ac:dyDescent="0.25">
      <c r="A4475" s="23">
        <v>45248</v>
      </c>
      <c r="B4475" s="13">
        <v>46</v>
      </c>
      <c r="C4475" t="s">
        <v>3</v>
      </c>
      <c r="D4475" t="s">
        <v>4</v>
      </c>
      <c r="E4475" t="s">
        <v>21</v>
      </c>
      <c r="F4475">
        <v>202117472</v>
      </c>
      <c r="G4475" t="s">
        <v>2073</v>
      </c>
      <c r="H4475" t="s">
        <v>14</v>
      </c>
      <c r="I4475">
        <v>0</v>
      </c>
      <c r="J4475">
        <v>0</v>
      </c>
      <c r="K4475">
        <v>0</v>
      </c>
      <c r="L4475">
        <v>0</v>
      </c>
      <c r="M4475">
        <v>0.09</v>
      </c>
      <c r="N4475" s="7" t="e">
        <f>VLOOKUP(F4475,HC!A$6:D$100,3,FALSE)</f>
        <v>#N/A</v>
      </c>
      <c r="O4475" s="7" t="str">
        <f>VLOOKUP(F4475,HC!A$6:D$1000,2,FALSE)</f>
        <v>gamunoza</v>
      </c>
    </row>
    <row r="4476" spans="1:15" ht="37.5" customHeight="1" x14ac:dyDescent="0.25">
      <c r="A4476" s="23">
        <v>45248</v>
      </c>
      <c r="B4476" s="13">
        <v>46</v>
      </c>
      <c r="C4476" t="s">
        <v>3</v>
      </c>
      <c r="D4476" t="s">
        <v>4</v>
      </c>
      <c r="E4476" t="s">
        <v>21</v>
      </c>
      <c r="F4476">
        <v>202129731</v>
      </c>
      <c r="G4476" t="s">
        <v>2074</v>
      </c>
      <c r="H4476" t="s">
        <v>298</v>
      </c>
      <c r="I4476">
        <v>0</v>
      </c>
      <c r="J4476">
        <v>0</v>
      </c>
      <c r="K4476">
        <v>0</v>
      </c>
      <c r="L4476">
        <v>0</v>
      </c>
      <c r="M4476">
        <v>0.11</v>
      </c>
      <c r="N4476" s="7" t="e">
        <f>VLOOKUP(F4476,HC!A$6:D$100,3,FALSE)</f>
        <v>#N/A</v>
      </c>
      <c r="O4476" s="7" t="str">
        <f>VLOOKUP(F4476,HC!A$6:D$1000,2,FALSE)</f>
        <v>dchrflor</v>
      </c>
    </row>
    <row r="4477" spans="1:15" ht="37.5" customHeight="1" x14ac:dyDescent="0.25">
      <c r="A4477" s="23">
        <v>45248</v>
      </c>
      <c r="B4477" s="13">
        <v>46</v>
      </c>
      <c r="C4477" t="s">
        <v>3</v>
      </c>
      <c r="D4477" t="s">
        <v>4</v>
      </c>
      <c r="E4477" t="s">
        <v>21</v>
      </c>
      <c r="F4477">
        <v>202159550</v>
      </c>
      <c r="G4477" t="s">
        <v>1710</v>
      </c>
      <c r="H4477" t="s">
        <v>285</v>
      </c>
      <c r="I4477">
        <v>0</v>
      </c>
      <c r="J4477">
        <v>0</v>
      </c>
      <c r="K4477">
        <v>0</v>
      </c>
      <c r="L4477">
        <v>0</v>
      </c>
      <c r="M4477">
        <v>0.32</v>
      </c>
      <c r="N4477" s="7" t="e">
        <f>VLOOKUP(F4477,HC!A$6:D$100,3,FALSE)</f>
        <v>#N/A</v>
      </c>
      <c r="O4477" s="7" t="str">
        <f>VLOOKUP(F4477,HC!A$6:D$1000,2,FALSE)</f>
        <v>eisabmor</v>
      </c>
    </row>
    <row r="4478" spans="1:15" ht="37.5" customHeight="1" x14ac:dyDescent="0.25">
      <c r="A4478" s="23">
        <v>45248</v>
      </c>
      <c r="B4478" s="13">
        <v>46</v>
      </c>
      <c r="C4478" t="s">
        <v>3</v>
      </c>
      <c r="D4478" t="s">
        <v>4</v>
      </c>
      <c r="E4478" t="s">
        <v>21</v>
      </c>
      <c r="F4478">
        <v>202165242</v>
      </c>
      <c r="G4478" t="s">
        <v>1412</v>
      </c>
      <c r="H4478" t="s">
        <v>403</v>
      </c>
      <c r="I4478">
        <v>0</v>
      </c>
      <c r="J4478">
        <v>0</v>
      </c>
      <c r="K4478">
        <v>0</v>
      </c>
      <c r="L4478">
        <v>0</v>
      </c>
      <c r="M4478">
        <v>0.57999999999999996</v>
      </c>
      <c r="N4478" s="7" t="e">
        <f>VLOOKUP(F4478,HC!A$6:D$100,3,FALSE)</f>
        <v>#N/A</v>
      </c>
      <c r="O4478" s="7" t="str">
        <f>VLOOKUP(F4478,HC!A$6:D$1000,2,FALSE)</f>
        <v>marcqgon</v>
      </c>
    </row>
    <row r="4479" spans="1:15" ht="37.5" customHeight="1" x14ac:dyDescent="0.25">
      <c r="A4479" s="23">
        <v>45248</v>
      </c>
      <c r="B4479" s="13">
        <v>46</v>
      </c>
      <c r="C4479" t="s">
        <v>3</v>
      </c>
      <c r="D4479" t="s">
        <v>4</v>
      </c>
      <c r="E4479" t="s">
        <v>21</v>
      </c>
      <c r="F4479">
        <v>202175671</v>
      </c>
      <c r="G4479" t="s">
        <v>1421</v>
      </c>
      <c r="H4479" t="s">
        <v>403</v>
      </c>
      <c r="I4479">
        <v>0</v>
      </c>
      <c r="J4479">
        <v>0</v>
      </c>
      <c r="K4479">
        <v>0</v>
      </c>
      <c r="L4479">
        <v>0</v>
      </c>
      <c r="M4479">
        <v>0.37</v>
      </c>
      <c r="N4479" s="7" t="e">
        <f>VLOOKUP(F4479,HC!A$6:D$100,3,FALSE)</f>
        <v>#N/A</v>
      </c>
      <c r="O4479" s="7" t="str">
        <f>VLOOKUP(F4479,HC!A$6:D$1000,2,FALSE)</f>
        <v>laucruzc</v>
      </c>
    </row>
    <row r="4480" spans="1:15" ht="37.5" customHeight="1" x14ac:dyDescent="0.25">
      <c r="A4480" s="23">
        <v>45248</v>
      </c>
      <c r="B4480" s="13">
        <v>46</v>
      </c>
      <c r="C4480" t="s">
        <v>3</v>
      </c>
      <c r="D4480" t="s">
        <v>4</v>
      </c>
      <c r="E4480" t="s">
        <v>21</v>
      </c>
      <c r="F4480">
        <v>202188991</v>
      </c>
      <c r="G4480" t="s">
        <v>1445</v>
      </c>
      <c r="H4480" t="s">
        <v>1040</v>
      </c>
      <c r="I4480">
        <v>0</v>
      </c>
      <c r="J4480">
        <v>0</v>
      </c>
      <c r="K4480">
        <v>0</v>
      </c>
      <c r="L4480">
        <v>0</v>
      </c>
      <c r="M4480">
        <v>0.34</v>
      </c>
      <c r="N4480" s="7" t="e">
        <f>VLOOKUP(F4480,HC!A$6:D$100,3,FALSE)</f>
        <v>#N/A</v>
      </c>
      <c r="O4480" s="7" t="str">
        <f>VLOOKUP(F4480,HC!A$6:D$1000,2,FALSE)</f>
        <v>sjimesau</v>
      </c>
    </row>
    <row r="4481" spans="1:15" ht="37.5" customHeight="1" x14ac:dyDescent="0.25">
      <c r="A4481" s="23">
        <v>45248</v>
      </c>
      <c r="B4481" s="13">
        <v>46</v>
      </c>
      <c r="C4481" t="s">
        <v>3</v>
      </c>
      <c r="D4481" t="s">
        <v>4</v>
      </c>
      <c r="E4481" t="s">
        <v>21</v>
      </c>
      <c r="F4481">
        <v>202194928</v>
      </c>
      <c r="G4481" t="s">
        <v>1432</v>
      </c>
      <c r="H4481" t="s">
        <v>250</v>
      </c>
      <c r="I4481">
        <v>0</v>
      </c>
      <c r="J4481">
        <v>0</v>
      </c>
      <c r="K4481">
        <v>0</v>
      </c>
      <c r="L4481">
        <v>0</v>
      </c>
      <c r="M4481">
        <v>0.19</v>
      </c>
      <c r="N4481" s="7" t="e">
        <f>VLOOKUP(F4481,HC!A$6:D$100,3,FALSE)</f>
        <v>#N/A</v>
      </c>
      <c r="O4481" s="7" t="str">
        <f>VLOOKUP(F4481,HC!A$6:D$1000,2,FALSE)</f>
        <v>gajosemr</v>
      </c>
    </row>
    <row r="4482" spans="1:15" ht="37.5" customHeight="1" x14ac:dyDescent="0.25">
      <c r="A4482" s="23">
        <v>45248</v>
      </c>
      <c r="B4482" s="13">
        <v>46</v>
      </c>
      <c r="C4482" t="s">
        <v>3</v>
      </c>
      <c r="D4482" t="s">
        <v>4</v>
      </c>
      <c r="E4482" t="s">
        <v>21</v>
      </c>
      <c r="F4482">
        <v>202254886</v>
      </c>
      <c r="G4482" t="s">
        <v>1741</v>
      </c>
      <c r="H4482" t="s">
        <v>403</v>
      </c>
      <c r="I4482">
        <v>0</v>
      </c>
      <c r="J4482">
        <v>0</v>
      </c>
      <c r="K4482">
        <v>0</v>
      </c>
      <c r="L4482">
        <v>0</v>
      </c>
      <c r="M4482">
        <v>0.04</v>
      </c>
      <c r="N4482" s="7" t="e">
        <f>VLOOKUP(F4482,HC!A$6:D$100,3,FALSE)</f>
        <v>#N/A</v>
      </c>
      <c r="O4482" s="7" t="str">
        <f>VLOOKUP(F4482,HC!A$6:D$1000,2,FALSE)</f>
        <v>xmenjare</v>
      </c>
    </row>
    <row r="4483" spans="1:15" ht="37.5" customHeight="1" x14ac:dyDescent="0.25">
      <c r="A4483" s="23">
        <v>45248</v>
      </c>
      <c r="B4483" s="13">
        <v>46</v>
      </c>
      <c r="C4483" t="s">
        <v>3</v>
      </c>
      <c r="D4483" t="s">
        <v>4</v>
      </c>
      <c r="E4483" t="s">
        <v>21</v>
      </c>
      <c r="F4483">
        <v>202274001</v>
      </c>
      <c r="G4483" t="s">
        <v>1455</v>
      </c>
      <c r="H4483" t="s">
        <v>263</v>
      </c>
      <c r="I4483">
        <v>0</v>
      </c>
      <c r="J4483">
        <v>0</v>
      </c>
      <c r="K4483">
        <v>0</v>
      </c>
      <c r="L4483">
        <v>0</v>
      </c>
      <c r="M4483">
        <v>0.32</v>
      </c>
      <c r="N4483" s="7" t="e">
        <f>VLOOKUP(F4483,HC!A$6:D$100,3,FALSE)</f>
        <v>#N/A</v>
      </c>
      <c r="O4483" s="7" t="str">
        <f>VLOOKUP(F4483,HC!A$6:D$1000,2,FALSE)</f>
        <v>esmecrey</v>
      </c>
    </row>
    <row r="4484" spans="1:15" ht="37.5" customHeight="1" x14ac:dyDescent="0.25">
      <c r="A4484" s="23">
        <v>45248</v>
      </c>
      <c r="B4484" s="13">
        <v>46</v>
      </c>
      <c r="C4484" t="s">
        <v>3</v>
      </c>
      <c r="D4484" t="s">
        <v>4</v>
      </c>
      <c r="E4484" t="s">
        <v>21</v>
      </c>
      <c r="F4484">
        <v>202279474</v>
      </c>
      <c r="G4484" t="s">
        <v>2075</v>
      </c>
      <c r="H4484" t="s">
        <v>403</v>
      </c>
      <c r="I4484">
        <v>0</v>
      </c>
      <c r="J4484">
        <v>0</v>
      </c>
      <c r="K4484">
        <v>0</v>
      </c>
      <c r="L4484">
        <v>0</v>
      </c>
      <c r="M4484">
        <v>0.13</v>
      </c>
      <c r="N4484" s="7" t="e">
        <f>VLOOKUP(F4484,HC!A$6:D$100,3,FALSE)</f>
        <v>#N/A</v>
      </c>
      <c r="O4484" s="7" t="str">
        <f>VLOOKUP(F4484,HC!A$6:D$1000,2,FALSE)</f>
        <v>torrmafe</v>
      </c>
    </row>
    <row r="4485" spans="1:15" ht="37.5" customHeight="1" x14ac:dyDescent="0.25">
      <c r="A4485" s="23">
        <v>45248</v>
      </c>
      <c r="B4485" s="13">
        <v>46</v>
      </c>
      <c r="C4485" t="s">
        <v>3</v>
      </c>
      <c r="D4485" t="s">
        <v>4</v>
      </c>
      <c r="E4485" t="s">
        <v>21</v>
      </c>
      <c r="F4485">
        <v>202291460</v>
      </c>
      <c r="G4485" t="s">
        <v>1715</v>
      </c>
      <c r="H4485" t="s">
        <v>263</v>
      </c>
      <c r="I4485">
        <v>0</v>
      </c>
      <c r="J4485">
        <v>0</v>
      </c>
      <c r="K4485">
        <v>0</v>
      </c>
      <c r="L4485">
        <v>0</v>
      </c>
      <c r="M4485">
        <v>0.06</v>
      </c>
      <c r="N4485" s="7" t="e">
        <f>VLOOKUP(F4485,HC!A$6:D$100,3,FALSE)</f>
        <v>#N/A</v>
      </c>
      <c r="O4485" s="7" t="str">
        <f>VLOOKUP(F4485,HC!A$6:D$1000,2,FALSE)</f>
        <v>anaornev</v>
      </c>
    </row>
    <row r="4486" spans="1:15" ht="37.5" customHeight="1" x14ac:dyDescent="0.25">
      <c r="A4486" s="23">
        <v>45248</v>
      </c>
      <c r="B4486" s="13">
        <v>46</v>
      </c>
      <c r="C4486" t="s">
        <v>3</v>
      </c>
      <c r="D4486" t="s">
        <v>4</v>
      </c>
      <c r="E4486" t="s">
        <v>21</v>
      </c>
      <c r="F4486">
        <v>202353921</v>
      </c>
      <c r="G4486" t="s">
        <v>1717</v>
      </c>
      <c r="H4486" t="s">
        <v>285</v>
      </c>
      <c r="I4486">
        <v>0</v>
      </c>
      <c r="J4486">
        <v>0</v>
      </c>
      <c r="K4486">
        <v>0</v>
      </c>
      <c r="L4486">
        <v>0</v>
      </c>
      <c r="M4486">
        <v>0.1</v>
      </c>
      <c r="N4486" s="7" t="e">
        <f>VLOOKUP(F4486,HC!A$6:D$100,3,FALSE)</f>
        <v>#N/A</v>
      </c>
      <c r="O4486" s="7" t="str">
        <f>VLOOKUP(F4486,HC!A$6:D$1000,2,FALSE)</f>
        <v>lindinoe</v>
      </c>
    </row>
    <row r="4487" spans="1:15" ht="37.5" customHeight="1" x14ac:dyDescent="0.25">
      <c r="A4487" s="23">
        <v>45248</v>
      </c>
      <c r="B4487" s="13">
        <v>46</v>
      </c>
      <c r="C4487" t="s">
        <v>3</v>
      </c>
      <c r="D4487" t="s">
        <v>4</v>
      </c>
      <c r="E4487" t="s">
        <v>21</v>
      </c>
      <c r="F4487">
        <v>202408564</v>
      </c>
      <c r="G4487" t="s">
        <v>2026</v>
      </c>
      <c r="H4487" t="s">
        <v>403</v>
      </c>
      <c r="I4487">
        <v>0</v>
      </c>
      <c r="J4487">
        <v>0</v>
      </c>
      <c r="K4487">
        <v>0</v>
      </c>
      <c r="L4487">
        <v>0</v>
      </c>
      <c r="M4487">
        <v>0.16</v>
      </c>
      <c r="N4487" s="7" t="e">
        <f>VLOOKUP(F4487,HC!A$6:D$100,3,FALSE)</f>
        <v>#N/A</v>
      </c>
      <c r="O4487" s="7" t="str">
        <f>VLOOKUP(F4487,HC!A$6:D$1000,2,FALSE)</f>
        <v>xmanricr</v>
      </c>
    </row>
    <row r="4488" spans="1:15" ht="37.5" customHeight="1" x14ac:dyDescent="0.25">
      <c r="A4488" s="23">
        <v>45248</v>
      </c>
      <c r="B4488" s="13">
        <v>46</v>
      </c>
      <c r="C4488" t="s">
        <v>3</v>
      </c>
      <c r="D4488" t="s">
        <v>4</v>
      </c>
      <c r="E4488" t="s">
        <v>21</v>
      </c>
      <c r="F4488">
        <v>202417752</v>
      </c>
      <c r="G4488" t="s">
        <v>2076</v>
      </c>
      <c r="H4488" t="s">
        <v>459</v>
      </c>
      <c r="I4488">
        <v>0</v>
      </c>
      <c r="J4488">
        <v>0</v>
      </c>
      <c r="K4488">
        <v>0</v>
      </c>
      <c r="L4488">
        <v>0</v>
      </c>
      <c r="M4488">
        <v>0.18</v>
      </c>
      <c r="N4488" s="7" t="e">
        <f>VLOOKUP(F4488,HC!A$6:D$100,3,FALSE)</f>
        <v>#N/A</v>
      </c>
      <c r="O4488" s="7" t="str">
        <f>VLOOKUP(F4488,HC!A$6:D$1000,2,FALSE)</f>
        <v>angdanii</v>
      </c>
    </row>
    <row r="4489" spans="1:15" ht="37.5" customHeight="1" x14ac:dyDescent="0.25">
      <c r="A4489" s="23">
        <v>45248</v>
      </c>
      <c r="B4489" s="13">
        <v>46</v>
      </c>
      <c r="C4489" t="s">
        <v>3</v>
      </c>
      <c r="D4489" t="s">
        <v>4</v>
      </c>
      <c r="E4489" t="s">
        <v>21</v>
      </c>
      <c r="F4489">
        <v>202417927</v>
      </c>
      <c r="G4489" t="s">
        <v>2015</v>
      </c>
      <c r="H4489" t="s">
        <v>459</v>
      </c>
      <c r="I4489">
        <v>0</v>
      </c>
      <c r="J4489">
        <v>0</v>
      </c>
      <c r="K4489">
        <v>0</v>
      </c>
      <c r="L4489">
        <v>0</v>
      </c>
      <c r="M4489">
        <v>0.03</v>
      </c>
      <c r="N4489" s="7" t="e">
        <f>VLOOKUP(F4489,HC!A$6:D$100,3,FALSE)</f>
        <v>#N/A</v>
      </c>
      <c r="O4489" s="7" t="str">
        <f>VLOOKUP(F4489,HC!A$6:D$1000,2,FALSE)</f>
        <v>jazvaldi</v>
      </c>
    </row>
    <row r="4490" spans="1:15" ht="37.5" customHeight="1" x14ac:dyDescent="0.25">
      <c r="A4490" s="23">
        <v>45248</v>
      </c>
      <c r="B4490" s="13">
        <v>46</v>
      </c>
      <c r="C4490" t="s">
        <v>3</v>
      </c>
      <c r="D4490" t="s">
        <v>4</v>
      </c>
      <c r="E4490" t="s">
        <v>21</v>
      </c>
      <c r="F4490">
        <v>202421453</v>
      </c>
      <c r="G4490" t="s">
        <v>2020</v>
      </c>
      <c r="H4490" t="s">
        <v>459</v>
      </c>
      <c r="I4490">
        <v>0</v>
      </c>
      <c r="J4490">
        <v>0</v>
      </c>
      <c r="K4490">
        <v>0</v>
      </c>
      <c r="L4490">
        <v>0</v>
      </c>
      <c r="M4490">
        <v>0.51</v>
      </c>
      <c r="N4490" s="7" t="e">
        <f>VLOOKUP(F4490,HC!A$6:D$100,3,FALSE)</f>
        <v>#N/A</v>
      </c>
      <c r="O4490" s="7" t="str">
        <f>VLOOKUP(F4490,HC!A$6:D$1000,2,FALSE)</f>
        <v>chejserg</v>
      </c>
    </row>
    <row r="4491" spans="1:15" ht="37.5" customHeight="1" x14ac:dyDescent="0.25">
      <c r="A4491" s="23">
        <v>45248</v>
      </c>
      <c r="B4491" s="13">
        <v>46</v>
      </c>
      <c r="C4491" t="s">
        <v>3</v>
      </c>
      <c r="D4491" t="s">
        <v>4</v>
      </c>
      <c r="E4491" t="s">
        <v>21</v>
      </c>
      <c r="F4491">
        <v>202442581</v>
      </c>
      <c r="G4491" t="s">
        <v>2069</v>
      </c>
      <c r="H4491" t="s">
        <v>285</v>
      </c>
      <c r="I4491">
        <v>0</v>
      </c>
      <c r="J4491">
        <v>0</v>
      </c>
      <c r="K4491">
        <v>0</v>
      </c>
      <c r="L4491">
        <v>0</v>
      </c>
      <c r="M4491">
        <v>0.15</v>
      </c>
      <c r="N4491" s="7" t="e">
        <f>VLOOKUP(F4491,HC!A$6:D$100,3,FALSE)</f>
        <v>#N/A</v>
      </c>
      <c r="O4491" s="7" t="str">
        <f>VLOOKUP(F4491,HC!A$6:D$1000,2,FALSE)</f>
        <v>ayocktan</v>
      </c>
    </row>
    <row r="4492" spans="1:15" ht="37.5" customHeight="1" x14ac:dyDescent="0.25">
      <c r="A4492" s="23">
        <v>45248</v>
      </c>
      <c r="B4492" s="13">
        <v>46</v>
      </c>
      <c r="C4492" t="s">
        <v>3</v>
      </c>
      <c r="D4492" t="s">
        <v>1224</v>
      </c>
      <c r="E4492" t="s">
        <v>21</v>
      </c>
      <c r="F4492">
        <v>202417927</v>
      </c>
      <c r="G4492" t="s">
        <v>2015</v>
      </c>
      <c r="H4492" t="s">
        <v>459</v>
      </c>
      <c r="I4492">
        <v>0</v>
      </c>
      <c r="J4492">
        <v>0</v>
      </c>
      <c r="K4492">
        <v>0</v>
      </c>
      <c r="L4492">
        <v>0</v>
      </c>
      <c r="M4492">
        <v>0.36</v>
      </c>
      <c r="N4492" s="7" t="e">
        <f>VLOOKUP(F4492,HC!A$6:D$100,3,FALSE)</f>
        <v>#N/A</v>
      </c>
      <c r="O4492" s="7" t="str">
        <f>VLOOKUP(F4492,HC!A$6:D$1000,2,FALSE)</f>
        <v>jazvaldi</v>
      </c>
    </row>
    <row r="4493" spans="1:15" ht="37.5" customHeight="1" x14ac:dyDescent="0.25">
      <c r="A4493" s="23">
        <v>45249</v>
      </c>
      <c r="B4493" s="13">
        <v>47</v>
      </c>
      <c r="C4493" t="s">
        <v>3</v>
      </c>
      <c r="D4493" t="s">
        <v>4</v>
      </c>
      <c r="E4493" t="s">
        <v>5</v>
      </c>
      <c r="F4493">
        <v>112912014</v>
      </c>
      <c r="G4493" t="s">
        <v>852</v>
      </c>
      <c r="H4493" t="s">
        <v>7</v>
      </c>
      <c r="I4493">
        <v>0</v>
      </c>
      <c r="J4493">
        <v>0</v>
      </c>
      <c r="K4493">
        <v>0</v>
      </c>
      <c r="L4493">
        <v>0</v>
      </c>
      <c r="M4493">
        <v>0.19</v>
      </c>
      <c r="N4493" s="7" t="str">
        <f>VLOOKUP(F4493,HC!A$6:D$100,3,FALSE)</f>
        <v>DA-X0700</v>
      </c>
      <c r="O4493" s="7" t="str">
        <f>VLOOKUP(F4493,HC!A$6:D$1000,2,FALSE)</f>
        <v>ravsofia</v>
      </c>
    </row>
    <row r="4494" spans="1:15" ht="37.5" customHeight="1" x14ac:dyDescent="0.25">
      <c r="A4494" s="23">
        <v>45249</v>
      </c>
      <c r="B4494" s="13">
        <v>47</v>
      </c>
      <c r="C4494" t="s">
        <v>3</v>
      </c>
      <c r="D4494" t="s">
        <v>4</v>
      </c>
      <c r="E4494" t="s">
        <v>5</v>
      </c>
      <c r="F4494">
        <v>112912506</v>
      </c>
      <c r="G4494" t="s">
        <v>1041</v>
      </c>
      <c r="H4494" t="s">
        <v>7</v>
      </c>
      <c r="I4494">
        <v>0</v>
      </c>
      <c r="J4494">
        <v>0</v>
      </c>
      <c r="K4494">
        <v>0</v>
      </c>
      <c r="L4494">
        <v>0</v>
      </c>
      <c r="M4494">
        <v>0.18</v>
      </c>
      <c r="N4494" s="7" t="str">
        <f>VLOOKUP(F4494,HC!A$6:D$100,3,FALSE)</f>
        <v>DA-X0700</v>
      </c>
      <c r="O4494" s="7" t="str">
        <f>VLOOKUP(F4494,HC!A$6:D$1000,2,FALSE)</f>
        <v>gakjessi</v>
      </c>
    </row>
    <row r="4495" spans="1:15" ht="37.5" customHeight="1" x14ac:dyDescent="0.25">
      <c r="A4495" s="23">
        <v>45249</v>
      </c>
      <c r="B4495" s="13">
        <v>47</v>
      </c>
      <c r="C4495" t="s">
        <v>3</v>
      </c>
      <c r="D4495" t="s">
        <v>4</v>
      </c>
      <c r="E4495" t="s">
        <v>5</v>
      </c>
      <c r="F4495">
        <v>112981196</v>
      </c>
      <c r="G4495" t="s">
        <v>328</v>
      </c>
      <c r="H4495" t="s">
        <v>263</v>
      </c>
      <c r="I4495">
        <v>0</v>
      </c>
      <c r="J4495">
        <v>0</v>
      </c>
      <c r="K4495">
        <v>0</v>
      </c>
      <c r="L4495">
        <v>0</v>
      </c>
      <c r="M4495">
        <v>0.05</v>
      </c>
      <c r="N4495" s="7" t="e">
        <f>VLOOKUP(F4495,HC!A$6:D$100,3,FALSE)</f>
        <v>#N/A</v>
      </c>
      <c r="O4495" s="7" t="str">
        <f>VLOOKUP(F4495,HC!A$6:D$1000,2,FALSE)</f>
        <v>vandgome</v>
      </c>
    </row>
    <row r="4496" spans="1:15" ht="37.5" customHeight="1" x14ac:dyDescent="0.25">
      <c r="A4496" s="23">
        <v>45249</v>
      </c>
      <c r="B4496" s="13">
        <v>47</v>
      </c>
      <c r="C4496" t="s">
        <v>3</v>
      </c>
      <c r="D4496" t="s">
        <v>4</v>
      </c>
      <c r="E4496" t="s">
        <v>5</v>
      </c>
      <c r="F4496">
        <v>113004013</v>
      </c>
      <c r="G4496" t="s">
        <v>2078</v>
      </c>
      <c r="H4496" t="s">
        <v>639</v>
      </c>
      <c r="I4496">
        <v>0</v>
      </c>
      <c r="J4496">
        <v>0</v>
      </c>
      <c r="K4496">
        <v>0</v>
      </c>
      <c r="L4496">
        <v>0</v>
      </c>
      <c r="M4496">
        <v>1.17</v>
      </c>
      <c r="N4496" s="7" t="e">
        <f>VLOOKUP(F4496,HC!A$6:D$100,3,FALSE)</f>
        <v>#N/A</v>
      </c>
      <c r="O4496" s="7" t="str">
        <f>VLOOKUP(F4496,HC!A$6:D$1000,2,FALSE)</f>
        <v>garmanum</v>
      </c>
    </row>
    <row r="4497" spans="1:15" ht="37.5" customHeight="1" x14ac:dyDescent="0.25">
      <c r="A4497" s="23">
        <v>45249</v>
      </c>
      <c r="B4497" s="13">
        <v>47</v>
      </c>
      <c r="C4497" t="s">
        <v>3</v>
      </c>
      <c r="D4497" t="s">
        <v>4</v>
      </c>
      <c r="E4497" t="s">
        <v>5</v>
      </c>
      <c r="F4497">
        <v>113014560</v>
      </c>
      <c r="G4497" t="s">
        <v>599</v>
      </c>
      <c r="H4497" t="s">
        <v>298</v>
      </c>
      <c r="I4497">
        <v>0</v>
      </c>
      <c r="J4497">
        <v>0</v>
      </c>
      <c r="K4497">
        <v>0</v>
      </c>
      <c r="L4497">
        <v>0</v>
      </c>
      <c r="M4497">
        <v>0.25</v>
      </c>
      <c r="N4497" s="7" t="e">
        <f>VLOOKUP(F4497,HC!A$6:D$100,3,FALSE)</f>
        <v>#N/A</v>
      </c>
      <c r="O4497" s="7" t="str">
        <f>VLOOKUP(F4497,HC!A$6:D$1000,2,FALSE)</f>
        <v>zlopamer</v>
      </c>
    </row>
    <row r="4498" spans="1:15" ht="37.5" customHeight="1" x14ac:dyDescent="0.25">
      <c r="A4498" s="23">
        <v>45249</v>
      </c>
      <c r="B4498" s="13">
        <v>47</v>
      </c>
      <c r="C4498" t="s">
        <v>3</v>
      </c>
      <c r="D4498" t="s">
        <v>4</v>
      </c>
      <c r="E4498" t="s">
        <v>5</v>
      </c>
      <c r="F4498">
        <v>200404250</v>
      </c>
      <c r="G4498" t="s">
        <v>51</v>
      </c>
      <c r="H4498" t="s">
        <v>49</v>
      </c>
      <c r="I4498">
        <v>0</v>
      </c>
      <c r="J4498">
        <v>0</v>
      </c>
      <c r="K4498">
        <v>0</v>
      </c>
      <c r="L4498">
        <v>0</v>
      </c>
      <c r="M4498">
        <v>0.45</v>
      </c>
      <c r="N4498" s="7" t="e">
        <f>VLOOKUP(F4498,HC!A$6:D$100,3,FALSE)</f>
        <v>#N/A</v>
      </c>
      <c r="O4498" s="7" t="str">
        <f>VLOOKUP(F4498,HC!A$6:D$1000,2,FALSE)</f>
        <v>xcathurt</v>
      </c>
    </row>
    <row r="4499" spans="1:15" ht="37.5" customHeight="1" x14ac:dyDescent="0.25">
      <c r="A4499" s="23">
        <v>45249</v>
      </c>
      <c r="B4499" s="13">
        <v>47</v>
      </c>
      <c r="C4499" t="s">
        <v>3</v>
      </c>
      <c r="D4499" t="s">
        <v>4</v>
      </c>
      <c r="E4499" t="s">
        <v>5</v>
      </c>
      <c r="F4499">
        <v>200534675</v>
      </c>
      <c r="G4499" t="s">
        <v>534</v>
      </c>
      <c r="H4499" t="s">
        <v>250</v>
      </c>
      <c r="I4499">
        <v>0</v>
      </c>
      <c r="J4499">
        <v>0</v>
      </c>
      <c r="K4499">
        <v>0</v>
      </c>
      <c r="L4499">
        <v>0</v>
      </c>
      <c r="M4499">
        <v>0.1</v>
      </c>
      <c r="N4499" s="7" t="e">
        <f>VLOOKUP(F4499,HC!A$6:D$100,3,FALSE)</f>
        <v>#N/A</v>
      </c>
      <c r="O4499" s="7" t="str">
        <f>VLOOKUP(F4499,HC!A$6:D$1000,2,FALSE)</f>
        <v>juanpmun</v>
      </c>
    </row>
    <row r="4500" spans="1:15" ht="37.5" customHeight="1" x14ac:dyDescent="0.25">
      <c r="A4500" s="23">
        <v>45249</v>
      </c>
      <c r="B4500" s="13">
        <v>47</v>
      </c>
      <c r="C4500" t="s">
        <v>3</v>
      </c>
      <c r="D4500" t="s">
        <v>4</v>
      </c>
      <c r="E4500" t="s">
        <v>5</v>
      </c>
      <c r="F4500">
        <v>200564895</v>
      </c>
      <c r="G4500" t="s">
        <v>520</v>
      </c>
      <c r="H4500" t="s">
        <v>49</v>
      </c>
      <c r="I4500">
        <v>0</v>
      </c>
      <c r="J4500">
        <v>0</v>
      </c>
      <c r="K4500">
        <v>0</v>
      </c>
      <c r="L4500">
        <v>0</v>
      </c>
      <c r="M4500">
        <v>0.2</v>
      </c>
      <c r="N4500" s="7" t="e">
        <f>VLOOKUP(F4500,HC!A$6:D$100,3,FALSE)</f>
        <v>#N/A</v>
      </c>
      <c r="O4500" s="7" t="str">
        <f>VLOOKUP(F4500,HC!A$6:D$1000,2,FALSE)</f>
        <v>hmendobr</v>
      </c>
    </row>
    <row r="4501" spans="1:15" ht="37.5" customHeight="1" x14ac:dyDescent="0.25">
      <c r="A4501" s="23">
        <v>45249</v>
      </c>
      <c r="B4501" s="13">
        <v>47</v>
      </c>
      <c r="C4501" t="s">
        <v>3</v>
      </c>
      <c r="D4501" t="s">
        <v>4</v>
      </c>
      <c r="E4501" t="s">
        <v>5</v>
      </c>
      <c r="F4501">
        <v>200625528</v>
      </c>
      <c r="G4501" t="s">
        <v>607</v>
      </c>
      <c r="H4501" t="s">
        <v>1040</v>
      </c>
      <c r="I4501">
        <v>0</v>
      </c>
      <c r="J4501">
        <v>0</v>
      </c>
      <c r="K4501">
        <v>0</v>
      </c>
      <c r="L4501">
        <v>0</v>
      </c>
      <c r="M4501">
        <v>0.05</v>
      </c>
      <c r="N4501" s="7" t="e">
        <f>VLOOKUP(F4501,HC!A$6:D$100,3,FALSE)</f>
        <v>#N/A</v>
      </c>
      <c r="O4501" s="7" t="str">
        <f>VLOOKUP(F4501,HC!A$6:D$1000,2,FALSE)</f>
        <v>olivlizb</v>
      </c>
    </row>
    <row r="4502" spans="1:15" ht="37.5" customHeight="1" x14ac:dyDescent="0.25">
      <c r="A4502" s="23">
        <v>45249</v>
      </c>
      <c r="B4502" s="13">
        <v>47</v>
      </c>
      <c r="C4502" t="s">
        <v>3</v>
      </c>
      <c r="D4502" t="s">
        <v>4</v>
      </c>
      <c r="E4502" t="s">
        <v>5</v>
      </c>
      <c r="F4502">
        <v>201166890</v>
      </c>
      <c r="G4502" t="s">
        <v>998</v>
      </c>
      <c r="H4502" t="s">
        <v>250</v>
      </c>
      <c r="I4502">
        <v>0</v>
      </c>
      <c r="J4502">
        <v>0</v>
      </c>
      <c r="K4502">
        <v>0</v>
      </c>
      <c r="L4502">
        <v>0</v>
      </c>
      <c r="M4502">
        <v>0.22</v>
      </c>
      <c r="N4502" s="7" t="e">
        <f>VLOOKUP(F4502,HC!A$6:D$100,3,FALSE)</f>
        <v>#N/A</v>
      </c>
      <c r="O4502" s="7" t="str">
        <f>VLOOKUP(F4502,HC!A$6:D$1000,2,FALSE)</f>
        <v>lcabadan</v>
      </c>
    </row>
    <row r="4503" spans="1:15" ht="37.5" customHeight="1" x14ac:dyDescent="0.25">
      <c r="A4503" s="23">
        <v>45249</v>
      </c>
      <c r="B4503" s="13">
        <v>47</v>
      </c>
      <c r="C4503" t="s">
        <v>3</v>
      </c>
      <c r="D4503" t="s">
        <v>4</v>
      </c>
      <c r="E4503" t="s">
        <v>5</v>
      </c>
      <c r="F4503">
        <v>201167501</v>
      </c>
      <c r="G4503" t="s">
        <v>863</v>
      </c>
      <c r="H4503" t="s">
        <v>49</v>
      </c>
      <c r="I4503">
        <v>0</v>
      </c>
      <c r="J4503">
        <v>0</v>
      </c>
      <c r="K4503">
        <v>0</v>
      </c>
      <c r="L4503">
        <v>0</v>
      </c>
      <c r="M4503">
        <v>0.62</v>
      </c>
      <c r="N4503" s="7" t="e">
        <f>VLOOKUP(F4503,HC!A$6:D$100,3,FALSE)</f>
        <v>#N/A</v>
      </c>
      <c r="O4503" s="7" t="str">
        <f>VLOOKUP(F4503,HC!A$6:D$1000,2,FALSE)</f>
        <v>wguanajr</v>
      </c>
    </row>
    <row r="4504" spans="1:15" ht="37.5" customHeight="1" x14ac:dyDescent="0.25">
      <c r="A4504" s="23">
        <v>45249</v>
      </c>
      <c r="B4504" s="13">
        <v>47</v>
      </c>
      <c r="C4504" t="s">
        <v>3</v>
      </c>
      <c r="D4504" t="s">
        <v>4</v>
      </c>
      <c r="E4504" t="s">
        <v>5</v>
      </c>
      <c r="F4504">
        <v>201186777</v>
      </c>
      <c r="G4504" t="s">
        <v>856</v>
      </c>
      <c r="H4504" t="s">
        <v>263</v>
      </c>
      <c r="I4504">
        <v>0</v>
      </c>
      <c r="J4504">
        <v>0</v>
      </c>
      <c r="K4504">
        <v>0</v>
      </c>
      <c r="L4504">
        <v>0</v>
      </c>
      <c r="M4504">
        <v>0.18</v>
      </c>
      <c r="N4504" s="7" t="e">
        <f>VLOOKUP(F4504,HC!A$6:D$100,3,FALSE)</f>
        <v>#N/A</v>
      </c>
      <c r="O4504" s="7" t="str">
        <f>VLOOKUP(F4504,HC!A$6:D$1000,2,FALSE)</f>
        <v>bemonzon</v>
      </c>
    </row>
    <row r="4505" spans="1:15" ht="37.5" customHeight="1" x14ac:dyDescent="0.25">
      <c r="A4505" s="23">
        <v>45249</v>
      </c>
      <c r="B4505" s="13">
        <v>47</v>
      </c>
      <c r="C4505" t="s">
        <v>3</v>
      </c>
      <c r="D4505" t="s">
        <v>4</v>
      </c>
      <c r="E4505" t="s">
        <v>5</v>
      </c>
      <c r="F4505">
        <v>201191390</v>
      </c>
      <c r="G4505" t="s">
        <v>916</v>
      </c>
      <c r="H4505" t="s">
        <v>298</v>
      </c>
      <c r="I4505">
        <v>0</v>
      </c>
      <c r="J4505">
        <v>0</v>
      </c>
      <c r="K4505">
        <v>0</v>
      </c>
      <c r="L4505">
        <v>0</v>
      </c>
      <c r="M4505">
        <v>0.3</v>
      </c>
      <c r="N4505" s="7" t="e">
        <f>VLOOKUP(F4505,HC!A$6:D$100,3,FALSE)</f>
        <v>#N/A</v>
      </c>
      <c r="O4505" s="7" t="str">
        <f>VLOOKUP(F4505,HC!A$6:D$1000,2,FALSE)</f>
        <v>bgajesus</v>
      </c>
    </row>
    <row r="4506" spans="1:15" ht="37.5" customHeight="1" x14ac:dyDescent="0.25">
      <c r="A4506" s="23">
        <v>45249</v>
      </c>
      <c r="B4506" s="13">
        <v>47</v>
      </c>
      <c r="C4506" t="s">
        <v>3</v>
      </c>
      <c r="D4506" t="s">
        <v>4</v>
      </c>
      <c r="E4506" t="s">
        <v>5</v>
      </c>
      <c r="F4506">
        <v>201197964</v>
      </c>
      <c r="G4506" t="s">
        <v>1180</v>
      </c>
      <c r="H4506" t="s">
        <v>250</v>
      </c>
      <c r="I4506">
        <v>0</v>
      </c>
      <c r="J4506">
        <v>0</v>
      </c>
      <c r="K4506">
        <v>0</v>
      </c>
      <c r="L4506">
        <v>0</v>
      </c>
      <c r="M4506">
        <v>0.6</v>
      </c>
      <c r="N4506" s="7" t="e">
        <f>VLOOKUP(F4506,HC!A$6:D$100,3,FALSE)</f>
        <v>#N/A</v>
      </c>
      <c r="O4506" s="7" t="str">
        <f>VLOOKUP(F4506,HC!A$6:D$1000,2,FALSE)</f>
        <v>matzquij</v>
      </c>
    </row>
    <row r="4507" spans="1:15" ht="37.5" customHeight="1" x14ac:dyDescent="0.25">
      <c r="A4507" s="23">
        <v>45249</v>
      </c>
      <c r="B4507" s="13">
        <v>47</v>
      </c>
      <c r="C4507" t="s">
        <v>3</v>
      </c>
      <c r="D4507" t="s">
        <v>4</v>
      </c>
      <c r="E4507" t="s">
        <v>5</v>
      </c>
      <c r="F4507">
        <v>201198922</v>
      </c>
      <c r="G4507" t="s">
        <v>1141</v>
      </c>
      <c r="H4507" t="s">
        <v>403</v>
      </c>
      <c r="I4507">
        <v>0</v>
      </c>
      <c r="J4507">
        <v>0</v>
      </c>
      <c r="K4507">
        <v>0</v>
      </c>
      <c r="L4507">
        <v>0</v>
      </c>
      <c r="M4507">
        <v>0.09</v>
      </c>
      <c r="N4507" s="7" t="e">
        <f>VLOOKUP(F4507,HC!A$6:D$100,3,FALSE)</f>
        <v>#N/A</v>
      </c>
      <c r="O4507" s="7" t="str">
        <f>VLOOKUP(F4507,HC!A$6:D$1000,2,FALSE)</f>
        <v>mendejoy</v>
      </c>
    </row>
    <row r="4508" spans="1:15" ht="37.5" customHeight="1" x14ac:dyDescent="0.25">
      <c r="A4508" s="23">
        <v>45249</v>
      </c>
      <c r="B4508" s="13">
        <v>47</v>
      </c>
      <c r="C4508" t="s">
        <v>3</v>
      </c>
      <c r="D4508" t="s">
        <v>4</v>
      </c>
      <c r="E4508" t="s">
        <v>5</v>
      </c>
      <c r="F4508">
        <v>201219500</v>
      </c>
      <c r="G4508" t="s">
        <v>937</v>
      </c>
      <c r="H4508" t="s">
        <v>285</v>
      </c>
      <c r="I4508">
        <v>0</v>
      </c>
      <c r="J4508">
        <v>0</v>
      </c>
      <c r="K4508">
        <v>0</v>
      </c>
      <c r="L4508">
        <v>0</v>
      </c>
      <c r="M4508">
        <v>0.21</v>
      </c>
      <c r="N4508" s="7" t="e">
        <f>VLOOKUP(F4508,HC!A$6:D$100,3,FALSE)</f>
        <v>#N/A</v>
      </c>
      <c r="O4508" s="7" t="str">
        <f>VLOOKUP(F4508,HC!A$6:D$1000,2,FALSE)</f>
        <v>ramsmazy</v>
      </c>
    </row>
    <row r="4509" spans="1:15" ht="37.5" customHeight="1" x14ac:dyDescent="0.25">
      <c r="A4509" s="23">
        <v>45249</v>
      </c>
      <c r="B4509" s="13">
        <v>47</v>
      </c>
      <c r="C4509" t="s">
        <v>3</v>
      </c>
      <c r="D4509" t="s">
        <v>4</v>
      </c>
      <c r="E4509" t="s">
        <v>21</v>
      </c>
      <c r="F4509">
        <v>201294217</v>
      </c>
      <c r="G4509" t="s">
        <v>1042</v>
      </c>
      <c r="H4509" t="s">
        <v>459</v>
      </c>
      <c r="I4509">
        <v>0</v>
      </c>
      <c r="J4509">
        <v>0</v>
      </c>
      <c r="K4509">
        <v>0</v>
      </c>
      <c r="L4509">
        <v>0</v>
      </c>
      <c r="M4509">
        <v>0.18</v>
      </c>
      <c r="N4509" s="7" t="e">
        <f>VLOOKUP(F4509,HC!A$6:D$100,3,FALSE)</f>
        <v>#N/A</v>
      </c>
      <c r="O4509" s="7" t="str">
        <f>VLOOKUP(F4509,HC!A$6:D$1000,2,FALSE)</f>
        <v>montebib</v>
      </c>
    </row>
    <row r="4510" spans="1:15" ht="37.5" customHeight="1" x14ac:dyDescent="0.25">
      <c r="A4510" s="23">
        <v>45249</v>
      </c>
      <c r="B4510" s="13">
        <v>47</v>
      </c>
      <c r="C4510" t="s">
        <v>3</v>
      </c>
      <c r="D4510" t="s">
        <v>4</v>
      </c>
      <c r="E4510" t="s">
        <v>5</v>
      </c>
      <c r="F4510">
        <v>201347361</v>
      </c>
      <c r="G4510" t="s">
        <v>2079</v>
      </c>
      <c r="H4510" t="s">
        <v>403</v>
      </c>
      <c r="I4510">
        <v>0</v>
      </c>
      <c r="J4510">
        <v>0</v>
      </c>
      <c r="K4510">
        <v>0</v>
      </c>
      <c r="L4510">
        <v>0</v>
      </c>
      <c r="M4510">
        <v>0.19</v>
      </c>
      <c r="N4510" s="7" t="e">
        <f>VLOOKUP(F4510,HC!A$6:D$100,3,FALSE)</f>
        <v>#N/A</v>
      </c>
      <c r="O4510" s="7" t="str">
        <f>VLOOKUP(F4510,HC!A$6:D$1000,2,FALSE)</f>
        <v>joshhev</v>
      </c>
    </row>
    <row r="4511" spans="1:15" ht="37.5" customHeight="1" x14ac:dyDescent="0.25">
      <c r="A4511" s="23">
        <v>45249</v>
      </c>
      <c r="B4511" s="13">
        <v>47</v>
      </c>
      <c r="C4511" t="s">
        <v>3</v>
      </c>
      <c r="D4511" t="s">
        <v>4</v>
      </c>
      <c r="E4511" t="s">
        <v>5</v>
      </c>
      <c r="F4511">
        <v>201396328</v>
      </c>
      <c r="G4511" t="s">
        <v>1171</v>
      </c>
      <c r="H4511" t="s">
        <v>250</v>
      </c>
      <c r="I4511">
        <v>0</v>
      </c>
      <c r="J4511">
        <v>0</v>
      </c>
      <c r="K4511">
        <v>0</v>
      </c>
      <c r="L4511">
        <v>0</v>
      </c>
      <c r="M4511">
        <v>0.19</v>
      </c>
      <c r="N4511" s="7" t="e">
        <f>VLOOKUP(F4511,HC!A$6:D$100,3,FALSE)</f>
        <v>#N/A</v>
      </c>
      <c r="O4511" s="7" t="str">
        <f>VLOOKUP(F4511,HC!A$6:D$1000,2,FALSE)</f>
        <v>nalcanch</v>
      </c>
    </row>
    <row r="4512" spans="1:15" ht="37.5" customHeight="1" x14ac:dyDescent="0.25">
      <c r="A4512" s="23">
        <v>45249</v>
      </c>
      <c r="B4512" s="13">
        <v>47</v>
      </c>
      <c r="C4512" t="s">
        <v>3</v>
      </c>
      <c r="D4512" t="s">
        <v>4</v>
      </c>
      <c r="E4512" t="s">
        <v>5</v>
      </c>
      <c r="F4512">
        <v>201880542</v>
      </c>
      <c r="G4512" t="s">
        <v>1225</v>
      </c>
      <c r="H4512" t="s">
        <v>1040</v>
      </c>
      <c r="I4512">
        <v>0</v>
      </c>
      <c r="J4512">
        <v>0</v>
      </c>
      <c r="K4512">
        <v>0</v>
      </c>
      <c r="L4512">
        <v>0</v>
      </c>
      <c r="M4512">
        <v>0.2</v>
      </c>
      <c r="N4512" s="7" t="e">
        <f>VLOOKUP(F4512,HC!A$6:D$100,3,FALSE)</f>
        <v>#N/A</v>
      </c>
      <c r="O4512" s="7" t="str">
        <f>VLOOKUP(F4512,HC!A$6:D$1000,2,FALSE)</f>
        <v>orticorp</v>
      </c>
    </row>
    <row r="4513" spans="1:15" ht="37.5" customHeight="1" x14ac:dyDescent="0.25">
      <c r="A4513" s="23">
        <v>45249</v>
      </c>
      <c r="B4513" s="13">
        <v>47</v>
      </c>
      <c r="C4513" t="s">
        <v>3</v>
      </c>
      <c r="D4513" t="s">
        <v>4</v>
      </c>
      <c r="E4513" t="s">
        <v>5</v>
      </c>
      <c r="F4513">
        <v>201882567</v>
      </c>
      <c r="G4513" t="s">
        <v>1265</v>
      </c>
      <c r="H4513" t="s">
        <v>49</v>
      </c>
      <c r="I4513">
        <v>0</v>
      </c>
      <c r="J4513">
        <v>0</v>
      </c>
      <c r="K4513">
        <v>0</v>
      </c>
      <c r="L4513">
        <v>0</v>
      </c>
      <c r="M4513">
        <v>0.21</v>
      </c>
      <c r="N4513" s="7" t="e">
        <f>VLOOKUP(F4513,HC!A$6:D$100,3,FALSE)</f>
        <v>#N/A</v>
      </c>
      <c r="O4513" s="7" t="str">
        <f>VLOOKUP(F4513,HC!A$6:D$1000,2,FALSE)</f>
        <v>valtsalv</v>
      </c>
    </row>
    <row r="4514" spans="1:15" ht="37.5" customHeight="1" x14ac:dyDescent="0.25">
      <c r="A4514" s="23">
        <v>45249</v>
      </c>
      <c r="B4514" s="13">
        <v>47</v>
      </c>
      <c r="C4514" t="s">
        <v>3</v>
      </c>
      <c r="D4514" t="s">
        <v>4</v>
      </c>
      <c r="E4514" t="s">
        <v>21</v>
      </c>
      <c r="F4514">
        <v>202109486</v>
      </c>
      <c r="G4514" t="s">
        <v>2080</v>
      </c>
      <c r="H4514" t="s">
        <v>49</v>
      </c>
      <c r="I4514">
        <v>0</v>
      </c>
      <c r="J4514">
        <v>0</v>
      </c>
      <c r="K4514">
        <v>0</v>
      </c>
      <c r="L4514">
        <v>0</v>
      </c>
      <c r="M4514">
        <v>0.1</v>
      </c>
      <c r="N4514" s="7" t="e">
        <f>VLOOKUP(F4514,HC!A$6:D$100,3,FALSE)</f>
        <v>#N/A</v>
      </c>
      <c r="O4514" s="7" t="str">
        <f>VLOOKUP(F4514,HC!A$6:D$1000,2,FALSE)</f>
        <v>abigmedy</v>
      </c>
    </row>
    <row r="4515" spans="1:15" ht="37.5" customHeight="1" x14ac:dyDescent="0.25">
      <c r="A4515" s="23">
        <v>45249</v>
      </c>
      <c r="B4515" s="13">
        <v>47</v>
      </c>
      <c r="C4515" t="s">
        <v>3</v>
      </c>
      <c r="D4515" t="s">
        <v>4</v>
      </c>
      <c r="E4515" t="s">
        <v>21</v>
      </c>
      <c r="F4515">
        <v>202118346</v>
      </c>
      <c r="G4515" t="s">
        <v>1286</v>
      </c>
      <c r="H4515" t="s">
        <v>250</v>
      </c>
      <c r="I4515">
        <v>0</v>
      </c>
      <c r="J4515">
        <v>0</v>
      </c>
      <c r="K4515">
        <v>0</v>
      </c>
      <c r="L4515">
        <v>0</v>
      </c>
      <c r="M4515">
        <v>0.14000000000000001</v>
      </c>
      <c r="N4515" s="7" t="e">
        <f>VLOOKUP(F4515,HC!A$6:D$100,3,FALSE)</f>
        <v>#N/A</v>
      </c>
      <c r="O4515" s="7" t="str">
        <f>VLOOKUP(F4515,HC!A$6:D$1000,2,FALSE)</f>
        <v>jesponcu</v>
      </c>
    </row>
    <row r="4516" spans="1:15" ht="37.5" customHeight="1" x14ac:dyDescent="0.25">
      <c r="A4516" s="23">
        <v>45249</v>
      </c>
      <c r="B4516" s="13">
        <v>47</v>
      </c>
      <c r="C4516" t="s">
        <v>3</v>
      </c>
      <c r="D4516" t="s">
        <v>4</v>
      </c>
      <c r="E4516" t="s">
        <v>21</v>
      </c>
      <c r="F4516">
        <v>202129193</v>
      </c>
      <c r="G4516" t="s">
        <v>1732</v>
      </c>
      <c r="H4516" t="s">
        <v>7</v>
      </c>
      <c r="I4516">
        <v>0</v>
      </c>
      <c r="J4516">
        <v>0</v>
      </c>
      <c r="K4516">
        <v>0</v>
      </c>
      <c r="L4516">
        <v>0</v>
      </c>
      <c r="M4516">
        <v>0.57999999999999996</v>
      </c>
      <c r="N4516" s="7" t="e">
        <f>VLOOKUP(F4516,HC!A$6:D$100,3,FALSE)</f>
        <v>#N/A</v>
      </c>
      <c r="O4516" s="7" t="str">
        <f>VLOOKUP(F4516,HC!A$6:D$1000,2,FALSE)</f>
        <v>herngang</v>
      </c>
    </row>
    <row r="4517" spans="1:15" ht="37.5" customHeight="1" x14ac:dyDescent="0.25">
      <c r="A4517" s="23">
        <v>45249</v>
      </c>
      <c r="B4517" s="13">
        <v>47</v>
      </c>
      <c r="C4517" t="s">
        <v>3</v>
      </c>
      <c r="D4517" t="s">
        <v>4</v>
      </c>
      <c r="E4517" t="s">
        <v>21</v>
      </c>
      <c r="F4517">
        <v>202159550</v>
      </c>
      <c r="G4517" t="s">
        <v>1710</v>
      </c>
      <c r="H4517" t="s">
        <v>285</v>
      </c>
      <c r="I4517">
        <v>0</v>
      </c>
      <c r="J4517">
        <v>0</v>
      </c>
      <c r="K4517">
        <v>0</v>
      </c>
      <c r="L4517">
        <v>0</v>
      </c>
      <c r="M4517">
        <v>0.17</v>
      </c>
      <c r="N4517" s="7" t="e">
        <f>VLOOKUP(F4517,HC!A$6:D$100,3,FALSE)</f>
        <v>#N/A</v>
      </c>
      <c r="O4517" s="7" t="str">
        <f>VLOOKUP(F4517,HC!A$6:D$1000,2,FALSE)</f>
        <v>eisabmor</v>
      </c>
    </row>
    <row r="4518" spans="1:15" ht="37.5" customHeight="1" x14ac:dyDescent="0.25">
      <c r="A4518" s="23">
        <v>45249</v>
      </c>
      <c r="B4518" s="13">
        <v>47</v>
      </c>
      <c r="C4518" t="s">
        <v>3</v>
      </c>
      <c r="D4518" t="s">
        <v>4</v>
      </c>
      <c r="E4518" t="s">
        <v>21</v>
      </c>
      <c r="F4518">
        <v>202175835</v>
      </c>
      <c r="G4518" t="s">
        <v>2042</v>
      </c>
      <c r="H4518" t="s">
        <v>403</v>
      </c>
      <c r="I4518">
        <v>0</v>
      </c>
      <c r="J4518">
        <v>0</v>
      </c>
      <c r="K4518">
        <v>0</v>
      </c>
      <c r="L4518">
        <v>0</v>
      </c>
      <c r="M4518">
        <v>0.16</v>
      </c>
      <c r="N4518" s="7" t="e">
        <f>VLOOKUP(F4518,HC!A$6:D$100,3,FALSE)</f>
        <v>#N/A</v>
      </c>
      <c r="O4518" s="7" t="str">
        <f>VLOOKUP(F4518,HC!A$6:D$1000,2,FALSE)</f>
        <v>gonzaoab</v>
      </c>
    </row>
    <row r="4519" spans="1:15" ht="37.5" customHeight="1" x14ac:dyDescent="0.25">
      <c r="A4519" s="23">
        <v>45249</v>
      </c>
      <c r="B4519" s="13">
        <v>47</v>
      </c>
      <c r="C4519" t="s">
        <v>3</v>
      </c>
      <c r="D4519" t="s">
        <v>4</v>
      </c>
      <c r="E4519" t="s">
        <v>21</v>
      </c>
      <c r="F4519">
        <v>202225994</v>
      </c>
      <c r="G4519" t="s">
        <v>1739</v>
      </c>
      <c r="H4519" t="s">
        <v>250</v>
      </c>
      <c r="I4519">
        <v>0</v>
      </c>
      <c r="J4519">
        <v>0</v>
      </c>
      <c r="K4519">
        <v>0</v>
      </c>
      <c r="L4519">
        <v>0</v>
      </c>
      <c r="M4519">
        <v>0.73</v>
      </c>
      <c r="N4519" s="7" t="e">
        <f>VLOOKUP(F4519,HC!A$6:D$100,3,FALSE)</f>
        <v>#N/A</v>
      </c>
      <c r="O4519" s="7" t="str">
        <f>VLOOKUP(F4519,HC!A$6:D$1000,2,FALSE)</f>
        <v>jaureyiv</v>
      </c>
    </row>
    <row r="4520" spans="1:15" ht="37.5" customHeight="1" x14ac:dyDescent="0.25">
      <c r="A4520" s="23">
        <v>45249</v>
      </c>
      <c r="B4520" s="13">
        <v>47</v>
      </c>
      <c r="C4520" t="s">
        <v>3</v>
      </c>
      <c r="D4520" t="s">
        <v>4</v>
      </c>
      <c r="E4520" t="s">
        <v>21</v>
      </c>
      <c r="F4520">
        <v>202254886</v>
      </c>
      <c r="G4520" t="s">
        <v>1741</v>
      </c>
      <c r="H4520" t="s">
        <v>403</v>
      </c>
      <c r="I4520">
        <v>0</v>
      </c>
      <c r="J4520">
        <v>0</v>
      </c>
      <c r="K4520">
        <v>0</v>
      </c>
      <c r="L4520">
        <v>0</v>
      </c>
      <c r="M4520">
        <v>0.37</v>
      </c>
      <c r="N4520" s="7" t="e">
        <f>VLOOKUP(F4520,HC!A$6:D$100,3,FALSE)</f>
        <v>#N/A</v>
      </c>
      <c r="O4520" s="7" t="str">
        <f>VLOOKUP(F4520,HC!A$6:D$1000,2,FALSE)</f>
        <v>xmenjare</v>
      </c>
    </row>
    <row r="4521" spans="1:15" ht="37.5" customHeight="1" x14ac:dyDescent="0.25">
      <c r="A4521" s="23">
        <v>45249</v>
      </c>
      <c r="B4521" s="13">
        <v>47</v>
      </c>
      <c r="C4521" t="s">
        <v>3</v>
      </c>
      <c r="D4521" t="s">
        <v>4</v>
      </c>
      <c r="E4521" t="s">
        <v>21</v>
      </c>
      <c r="F4521">
        <v>202287922</v>
      </c>
      <c r="G4521" t="s">
        <v>1452</v>
      </c>
      <c r="H4521" t="s">
        <v>263</v>
      </c>
      <c r="I4521">
        <v>0</v>
      </c>
      <c r="J4521">
        <v>0</v>
      </c>
      <c r="K4521">
        <v>0</v>
      </c>
      <c r="L4521">
        <v>0</v>
      </c>
      <c r="M4521">
        <v>0.19</v>
      </c>
      <c r="N4521" s="7" t="e">
        <f>VLOOKUP(F4521,HC!A$6:D$100,3,FALSE)</f>
        <v>#N/A</v>
      </c>
      <c r="O4521" s="7" t="str">
        <f>VLOOKUP(F4521,HC!A$6:D$1000,2,FALSE)</f>
        <v>gemandra</v>
      </c>
    </row>
    <row r="4522" spans="1:15" ht="37.5" customHeight="1" x14ac:dyDescent="0.25">
      <c r="A4522" s="23">
        <v>45249</v>
      </c>
      <c r="B4522" s="13">
        <v>47</v>
      </c>
      <c r="C4522" t="s">
        <v>3</v>
      </c>
      <c r="D4522" t="s">
        <v>4</v>
      </c>
      <c r="E4522" t="s">
        <v>21</v>
      </c>
      <c r="F4522">
        <v>202291188</v>
      </c>
      <c r="G4522" t="s">
        <v>1722</v>
      </c>
      <c r="H4522" t="s">
        <v>7</v>
      </c>
      <c r="I4522">
        <v>0</v>
      </c>
      <c r="J4522">
        <v>0</v>
      </c>
      <c r="K4522">
        <v>0</v>
      </c>
      <c r="L4522">
        <v>0</v>
      </c>
      <c r="M4522">
        <v>0.94</v>
      </c>
      <c r="N4522" s="7" t="e">
        <f>VLOOKUP(F4522,HC!A$6:D$100,3,FALSE)</f>
        <v>#N/A</v>
      </c>
      <c r="O4522" s="7" t="str">
        <f>VLOOKUP(F4522,HC!A$6:D$1000,2,FALSE)</f>
        <v>alvqfern</v>
      </c>
    </row>
    <row r="4523" spans="1:15" ht="37.5" customHeight="1" x14ac:dyDescent="0.25">
      <c r="A4523" s="23">
        <v>45249</v>
      </c>
      <c r="B4523" s="13">
        <v>47</v>
      </c>
      <c r="C4523" t="s">
        <v>3</v>
      </c>
      <c r="D4523" t="s">
        <v>4</v>
      </c>
      <c r="E4523" t="s">
        <v>21</v>
      </c>
      <c r="F4523">
        <v>202291418</v>
      </c>
      <c r="G4523" t="s">
        <v>2081</v>
      </c>
      <c r="H4523" t="s">
        <v>7</v>
      </c>
      <c r="I4523">
        <v>0</v>
      </c>
      <c r="J4523">
        <v>0</v>
      </c>
      <c r="K4523">
        <v>0</v>
      </c>
      <c r="L4523">
        <v>0</v>
      </c>
      <c r="M4523">
        <v>0.3</v>
      </c>
      <c r="N4523" s="7" t="e">
        <f>VLOOKUP(F4523,HC!A$6:D$100,3,FALSE)</f>
        <v>#N/A</v>
      </c>
      <c r="O4523" s="7" t="str">
        <f>VLOOKUP(F4523,HC!A$6:D$1000,2,FALSE)</f>
        <v>saiibarr</v>
      </c>
    </row>
    <row r="4524" spans="1:15" ht="37.5" customHeight="1" x14ac:dyDescent="0.25">
      <c r="A4524" s="23">
        <v>45249</v>
      </c>
      <c r="B4524" s="13">
        <v>47</v>
      </c>
      <c r="C4524" t="s">
        <v>3</v>
      </c>
      <c r="D4524" t="s">
        <v>4</v>
      </c>
      <c r="E4524" t="s">
        <v>21</v>
      </c>
      <c r="F4524">
        <v>202334621</v>
      </c>
      <c r="G4524" t="s">
        <v>1724</v>
      </c>
      <c r="H4524" t="s">
        <v>263</v>
      </c>
      <c r="I4524">
        <v>0</v>
      </c>
      <c r="J4524">
        <v>0</v>
      </c>
      <c r="K4524">
        <v>0</v>
      </c>
      <c r="L4524">
        <v>0</v>
      </c>
      <c r="M4524">
        <v>0.24</v>
      </c>
      <c r="N4524" s="7" t="e">
        <f>VLOOKUP(F4524,HC!A$6:D$100,3,FALSE)</f>
        <v>#N/A</v>
      </c>
      <c r="O4524" s="7" t="str">
        <f>VLOOKUP(F4524,HC!A$6:D$1000,2,FALSE)</f>
        <v>tkarlram</v>
      </c>
    </row>
    <row r="4525" spans="1:15" ht="37.5" customHeight="1" x14ac:dyDescent="0.25">
      <c r="A4525" s="23">
        <v>45249</v>
      </c>
      <c r="B4525" s="13">
        <v>47</v>
      </c>
      <c r="C4525" t="s">
        <v>3</v>
      </c>
      <c r="D4525" t="s">
        <v>4</v>
      </c>
      <c r="E4525" t="s">
        <v>21</v>
      </c>
      <c r="F4525">
        <v>202353921</v>
      </c>
      <c r="G4525" t="s">
        <v>1717</v>
      </c>
      <c r="H4525" t="s">
        <v>285</v>
      </c>
      <c r="I4525">
        <v>0</v>
      </c>
      <c r="J4525">
        <v>0</v>
      </c>
      <c r="K4525">
        <v>0</v>
      </c>
      <c r="L4525">
        <v>0</v>
      </c>
      <c r="M4525">
        <v>0.63</v>
      </c>
      <c r="N4525" s="7" t="e">
        <f>VLOOKUP(F4525,HC!A$6:D$100,3,FALSE)</f>
        <v>#N/A</v>
      </c>
      <c r="O4525" s="7" t="str">
        <f>VLOOKUP(F4525,HC!A$6:D$1000,2,FALSE)</f>
        <v>lindinoe</v>
      </c>
    </row>
    <row r="4526" spans="1:15" ht="37.5" customHeight="1" x14ac:dyDescent="0.25">
      <c r="A4526" s="23">
        <v>45249</v>
      </c>
      <c r="B4526" s="13">
        <v>47</v>
      </c>
      <c r="C4526" t="s">
        <v>3</v>
      </c>
      <c r="D4526" t="s">
        <v>4</v>
      </c>
      <c r="E4526" t="s">
        <v>21</v>
      </c>
      <c r="F4526">
        <v>202369419</v>
      </c>
      <c r="G4526" t="s">
        <v>1706</v>
      </c>
      <c r="H4526" t="s">
        <v>298</v>
      </c>
      <c r="I4526">
        <v>0</v>
      </c>
      <c r="J4526">
        <v>0</v>
      </c>
      <c r="K4526">
        <v>0</v>
      </c>
      <c r="L4526">
        <v>0</v>
      </c>
      <c r="M4526">
        <v>0.22</v>
      </c>
      <c r="N4526" s="7" t="e">
        <f>VLOOKUP(F4526,HC!A$6:D$100,3,FALSE)</f>
        <v>#N/A</v>
      </c>
      <c r="O4526" s="7" t="str">
        <f>VLOOKUP(F4526,HC!A$6:D$1000,2,FALSE)</f>
        <v>afabianx</v>
      </c>
    </row>
    <row r="4527" spans="1:15" ht="37.5" customHeight="1" x14ac:dyDescent="0.25">
      <c r="A4527" s="23">
        <v>45249</v>
      </c>
      <c r="B4527" s="13">
        <v>47</v>
      </c>
      <c r="C4527" t="s">
        <v>3</v>
      </c>
      <c r="D4527" t="s">
        <v>4</v>
      </c>
      <c r="E4527" t="s">
        <v>21</v>
      </c>
      <c r="F4527">
        <v>202408564</v>
      </c>
      <c r="G4527" t="s">
        <v>2026</v>
      </c>
      <c r="H4527" t="s">
        <v>403</v>
      </c>
      <c r="I4527">
        <v>0</v>
      </c>
      <c r="J4527">
        <v>0</v>
      </c>
      <c r="K4527">
        <v>0</v>
      </c>
      <c r="L4527">
        <v>0</v>
      </c>
      <c r="M4527">
        <v>0.38</v>
      </c>
      <c r="N4527" s="7" t="e">
        <f>VLOOKUP(F4527,HC!A$6:D$100,3,FALSE)</f>
        <v>#N/A</v>
      </c>
      <c r="O4527" s="7" t="str">
        <f>VLOOKUP(F4527,HC!A$6:D$1000,2,FALSE)</f>
        <v>xmanricr</v>
      </c>
    </row>
    <row r="4528" spans="1:15" ht="37.5" customHeight="1" x14ac:dyDescent="0.25">
      <c r="A4528" s="23">
        <v>45249</v>
      </c>
      <c r="B4528" s="13">
        <v>47</v>
      </c>
      <c r="C4528" t="s">
        <v>3</v>
      </c>
      <c r="D4528" t="s">
        <v>4</v>
      </c>
      <c r="E4528" t="s">
        <v>21</v>
      </c>
      <c r="F4528">
        <v>202421453</v>
      </c>
      <c r="G4528" t="s">
        <v>2020</v>
      </c>
      <c r="H4528" t="s">
        <v>459</v>
      </c>
      <c r="I4528">
        <v>0</v>
      </c>
      <c r="J4528">
        <v>0</v>
      </c>
      <c r="K4528">
        <v>0</v>
      </c>
      <c r="L4528">
        <v>0</v>
      </c>
      <c r="M4528">
        <v>0.57999999999999996</v>
      </c>
      <c r="N4528" s="7" t="e">
        <f>VLOOKUP(F4528,HC!A$6:D$100,3,FALSE)</f>
        <v>#N/A</v>
      </c>
      <c r="O4528" s="7" t="str">
        <f>VLOOKUP(F4528,HC!A$6:D$1000,2,FALSE)</f>
        <v>chejserg</v>
      </c>
    </row>
    <row r="4529" spans="1:15" ht="37.5" customHeight="1" x14ac:dyDescent="0.25">
      <c r="A4529" s="23">
        <v>45249</v>
      </c>
      <c r="B4529" s="13">
        <v>47</v>
      </c>
      <c r="C4529" t="s">
        <v>3</v>
      </c>
      <c r="D4529" t="s">
        <v>4</v>
      </c>
      <c r="E4529" t="s">
        <v>21</v>
      </c>
      <c r="F4529">
        <v>202432521</v>
      </c>
      <c r="G4529" t="s">
        <v>2082</v>
      </c>
      <c r="H4529" t="s">
        <v>282</v>
      </c>
      <c r="I4529">
        <v>0</v>
      </c>
      <c r="J4529">
        <v>0</v>
      </c>
      <c r="K4529">
        <v>0</v>
      </c>
      <c r="L4529">
        <v>0</v>
      </c>
      <c r="M4529">
        <v>0.14000000000000001</v>
      </c>
      <c r="N4529" s="7" t="e">
        <f>VLOOKUP(F4529,HC!A$6:D$100,3,FALSE)</f>
        <v>#N/A</v>
      </c>
      <c r="O4529" s="7" t="str">
        <f>VLOOKUP(F4529,HC!A$6:D$1000,2,FALSE)</f>
        <v>samarrlu</v>
      </c>
    </row>
    <row r="4530" spans="1:15" ht="37.5" customHeight="1" x14ac:dyDescent="0.25">
      <c r="A4530" s="23">
        <v>45249</v>
      </c>
      <c r="B4530" s="13">
        <v>47</v>
      </c>
      <c r="C4530" t="s">
        <v>3</v>
      </c>
      <c r="D4530" t="s">
        <v>4</v>
      </c>
      <c r="E4530" t="s">
        <v>21</v>
      </c>
      <c r="F4530">
        <v>202442581</v>
      </c>
      <c r="G4530" t="s">
        <v>2069</v>
      </c>
      <c r="H4530" t="s">
        <v>285</v>
      </c>
      <c r="I4530">
        <v>0</v>
      </c>
      <c r="J4530">
        <v>0</v>
      </c>
      <c r="K4530">
        <v>0</v>
      </c>
      <c r="L4530">
        <v>0</v>
      </c>
      <c r="M4530">
        <v>1.54</v>
      </c>
      <c r="N4530" s="7" t="e">
        <f>VLOOKUP(F4530,HC!A$6:D$100,3,FALSE)</f>
        <v>#N/A</v>
      </c>
      <c r="O4530" s="7" t="str">
        <f>VLOOKUP(F4530,HC!A$6:D$1000,2,FALSE)</f>
        <v>ayocktan</v>
      </c>
    </row>
    <row r="4531" spans="1:15" ht="37.5" customHeight="1" x14ac:dyDescent="0.25">
      <c r="A4531" s="23">
        <v>45249</v>
      </c>
      <c r="B4531" s="13">
        <v>47</v>
      </c>
      <c r="C4531" t="s">
        <v>3</v>
      </c>
      <c r="D4531" t="s">
        <v>4</v>
      </c>
      <c r="E4531" t="s">
        <v>21</v>
      </c>
      <c r="F4531">
        <v>202442761</v>
      </c>
      <c r="G4531" t="s">
        <v>2083</v>
      </c>
      <c r="H4531" t="s">
        <v>282</v>
      </c>
      <c r="I4531">
        <v>0</v>
      </c>
      <c r="J4531">
        <v>0</v>
      </c>
      <c r="K4531">
        <v>0</v>
      </c>
      <c r="L4531">
        <v>0</v>
      </c>
      <c r="M4531">
        <v>0.13</v>
      </c>
      <c r="N4531" s="7" t="e">
        <f>VLOOKUP(F4531,HC!A$6:D$100,3,FALSE)</f>
        <v>#N/A</v>
      </c>
      <c r="O4531" s="7" t="str">
        <f>VLOOKUP(F4531,HC!A$6:D$1000,2,FALSE)</f>
        <v>valqsara</v>
      </c>
    </row>
    <row r="4532" spans="1:15" ht="37.5" customHeight="1" x14ac:dyDescent="0.25">
      <c r="A4532" s="23">
        <v>45249</v>
      </c>
      <c r="B4532" s="13">
        <v>47</v>
      </c>
      <c r="C4532" t="s">
        <v>3</v>
      </c>
      <c r="D4532" t="s">
        <v>4</v>
      </c>
      <c r="E4532" t="s">
        <v>21</v>
      </c>
      <c r="F4532">
        <v>202512055</v>
      </c>
      <c r="G4532" t="s">
        <v>2084</v>
      </c>
      <c r="H4532" t="s">
        <v>332</v>
      </c>
      <c r="I4532">
        <v>0</v>
      </c>
      <c r="J4532">
        <v>0</v>
      </c>
      <c r="K4532">
        <v>0</v>
      </c>
      <c r="L4532">
        <v>0</v>
      </c>
      <c r="M4532">
        <v>0.38</v>
      </c>
      <c r="N4532" s="7" t="e">
        <f>VLOOKUP(F4532,HC!A$6:D$100,3,FALSE)</f>
        <v>#N/A</v>
      </c>
      <c r="O4532" s="7" t="str">
        <f>VLOOKUP(F4532,HC!A$6:D$1000,2,FALSE)</f>
        <v>alvsrica</v>
      </c>
    </row>
    <row r="4533" spans="1:15" ht="37.5" customHeight="1" x14ac:dyDescent="0.25">
      <c r="A4533" s="23">
        <v>45249</v>
      </c>
      <c r="B4533" s="13">
        <v>47</v>
      </c>
      <c r="C4533" t="s">
        <v>3</v>
      </c>
      <c r="D4533" t="s">
        <v>4</v>
      </c>
      <c r="E4533" t="s">
        <v>21</v>
      </c>
      <c r="F4533">
        <v>202513047</v>
      </c>
      <c r="G4533" t="s">
        <v>2085</v>
      </c>
      <c r="H4533" t="s">
        <v>332</v>
      </c>
      <c r="I4533">
        <v>0</v>
      </c>
      <c r="J4533">
        <v>0</v>
      </c>
      <c r="K4533">
        <v>0</v>
      </c>
      <c r="L4533">
        <v>0</v>
      </c>
      <c r="M4533">
        <v>0.33</v>
      </c>
      <c r="N4533" s="7" t="e">
        <f>VLOOKUP(F4533,HC!A$6:D$100,3,FALSE)</f>
        <v>#N/A</v>
      </c>
      <c r="O4533" s="7" t="str">
        <f>VLOOKUP(F4533,HC!A$6:D$1000,2,FALSE)</f>
        <v>ngomezal</v>
      </c>
    </row>
    <row r="4534" spans="1:15" ht="37.5" customHeight="1" x14ac:dyDescent="0.25">
      <c r="A4534" s="23">
        <v>45249</v>
      </c>
      <c r="B4534" s="13">
        <v>47</v>
      </c>
      <c r="C4534" t="s">
        <v>3</v>
      </c>
      <c r="D4534" t="s">
        <v>4</v>
      </c>
      <c r="E4534" t="s">
        <v>21</v>
      </c>
      <c r="F4534">
        <v>202534146</v>
      </c>
      <c r="G4534" t="s">
        <v>2086</v>
      </c>
      <c r="H4534" t="s">
        <v>403</v>
      </c>
      <c r="I4534">
        <v>0</v>
      </c>
      <c r="J4534">
        <v>0</v>
      </c>
      <c r="K4534">
        <v>0</v>
      </c>
      <c r="L4534">
        <v>0</v>
      </c>
      <c r="M4534">
        <v>0.14000000000000001</v>
      </c>
      <c r="N4534" s="7" t="e">
        <f>VLOOKUP(F4534,HC!A$6:D$100,3,FALSE)</f>
        <v>#N/A</v>
      </c>
      <c r="O4534" s="7" t="e">
        <f>VLOOKUP(F4534,HC!A$6:D$1000,2,FALSE)</f>
        <v>#N/A</v>
      </c>
    </row>
    <row r="4535" spans="1:15" ht="37.5" customHeight="1" x14ac:dyDescent="0.25">
      <c r="A4535" s="23">
        <v>45250</v>
      </c>
      <c r="B4535" s="13">
        <v>47</v>
      </c>
      <c r="C4535" t="s">
        <v>3</v>
      </c>
      <c r="D4535" t="s">
        <v>4</v>
      </c>
      <c r="E4535" t="s">
        <v>5</v>
      </c>
      <c r="F4535">
        <v>112912014</v>
      </c>
      <c r="G4535" t="s">
        <v>852</v>
      </c>
      <c r="H4535" t="s">
        <v>7</v>
      </c>
      <c r="I4535">
        <v>0</v>
      </c>
      <c r="J4535">
        <v>0</v>
      </c>
      <c r="K4535">
        <v>0</v>
      </c>
      <c r="L4535">
        <v>0</v>
      </c>
      <c r="M4535">
        <v>0.2</v>
      </c>
      <c r="N4535" s="7" t="str">
        <f>VLOOKUP(F4535,HC!A$6:D$100,3,FALSE)</f>
        <v>DA-X0700</v>
      </c>
      <c r="O4535" s="7" t="str">
        <f>VLOOKUP(F4535,HC!A$6:D$1000,2,FALSE)</f>
        <v>ravsofia</v>
      </c>
    </row>
    <row r="4536" spans="1:15" ht="37.5" customHeight="1" x14ac:dyDescent="0.25">
      <c r="A4536" s="23">
        <v>45250</v>
      </c>
      <c r="B4536" s="13">
        <v>47</v>
      </c>
      <c r="C4536" t="s">
        <v>3</v>
      </c>
      <c r="D4536" t="s">
        <v>4</v>
      </c>
      <c r="E4536" t="s">
        <v>5</v>
      </c>
      <c r="F4536">
        <v>112912050</v>
      </c>
      <c r="G4536" t="s">
        <v>624</v>
      </c>
      <c r="H4536" t="s">
        <v>7</v>
      </c>
      <c r="I4536">
        <v>0</v>
      </c>
      <c r="J4536">
        <v>0</v>
      </c>
      <c r="K4536">
        <v>0</v>
      </c>
      <c r="L4536">
        <v>0</v>
      </c>
      <c r="M4536">
        <v>0.15</v>
      </c>
      <c r="N4536" s="7" t="str">
        <f>VLOOKUP(F4536,HC!A$6:D$100,3,FALSE)</f>
        <v>DA-X0700</v>
      </c>
      <c r="O4536" s="7" t="str">
        <f>VLOOKUP(F4536,HC!A$6:D$1000,2,FALSE)</f>
        <v>shernadt</v>
      </c>
    </row>
    <row r="4537" spans="1:15" ht="37.5" customHeight="1" x14ac:dyDescent="0.25">
      <c r="A4537" s="23">
        <v>45250</v>
      </c>
      <c r="B4537" s="13">
        <v>47</v>
      </c>
      <c r="C4537" t="s">
        <v>3</v>
      </c>
      <c r="D4537" t="s">
        <v>4</v>
      </c>
      <c r="E4537" t="s">
        <v>5</v>
      </c>
      <c r="F4537">
        <v>112912506</v>
      </c>
      <c r="G4537" t="s">
        <v>1041</v>
      </c>
      <c r="H4537" t="s">
        <v>7</v>
      </c>
      <c r="I4537">
        <v>0</v>
      </c>
      <c r="J4537">
        <v>0</v>
      </c>
      <c r="K4537">
        <v>0</v>
      </c>
      <c r="L4537">
        <v>0</v>
      </c>
      <c r="M4537">
        <v>0.01</v>
      </c>
      <c r="N4537" s="7" t="str">
        <f>VLOOKUP(F4537,HC!A$6:D$100,3,FALSE)</f>
        <v>DA-X0700</v>
      </c>
      <c r="O4537" s="7" t="str">
        <f>VLOOKUP(F4537,HC!A$6:D$1000,2,FALSE)</f>
        <v>gakjessi</v>
      </c>
    </row>
    <row r="4538" spans="1:15" ht="37.5" customHeight="1" x14ac:dyDescent="0.25">
      <c r="A4538" s="23">
        <v>45250</v>
      </c>
      <c r="B4538" s="13">
        <v>47</v>
      </c>
      <c r="C4538" t="s">
        <v>3</v>
      </c>
      <c r="D4538" t="s">
        <v>4</v>
      </c>
      <c r="E4538" t="s">
        <v>21</v>
      </c>
      <c r="F4538">
        <v>112912984</v>
      </c>
      <c r="G4538" t="s">
        <v>2028</v>
      </c>
      <c r="H4538" t="s">
        <v>282</v>
      </c>
      <c r="I4538">
        <v>0</v>
      </c>
      <c r="J4538">
        <v>0</v>
      </c>
      <c r="K4538">
        <v>0</v>
      </c>
      <c r="L4538">
        <v>0</v>
      </c>
      <c r="M4538">
        <v>0.36</v>
      </c>
      <c r="N4538" s="7" t="str">
        <f>VLOOKUP(F4538,HC!A$6:D$100,3,FALSE)</f>
        <v>DJ-X0700</v>
      </c>
      <c r="O4538" s="7" t="str">
        <f>VLOOKUP(F4538,HC!A$6:D$1000,2,FALSE)</f>
        <v>ortizdui</v>
      </c>
    </row>
    <row r="4539" spans="1:15" ht="37.5" customHeight="1" x14ac:dyDescent="0.25">
      <c r="A4539" s="23">
        <v>45250</v>
      </c>
      <c r="B4539" s="13">
        <v>47</v>
      </c>
      <c r="C4539" t="s">
        <v>3</v>
      </c>
      <c r="D4539" t="s">
        <v>4</v>
      </c>
      <c r="E4539" t="s">
        <v>5</v>
      </c>
      <c r="F4539">
        <v>112950784</v>
      </c>
      <c r="G4539" t="s">
        <v>261</v>
      </c>
      <c r="H4539" t="s">
        <v>332</v>
      </c>
      <c r="I4539">
        <v>0</v>
      </c>
      <c r="J4539">
        <v>0</v>
      </c>
      <c r="K4539">
        <v>0</v>
      </c>
      <c r="L4539">
        <v>0</v>
      </c>
      <c r="M4539">
        <v>0.28000000000000003</v>
      </c>
      <c r="N4539" s="7" t="str">
        <f>VLOOKUP(F4539,HC!A$6:D$100,3,FALSE)</f>
        <v>NF-X1900</v>
      </c>
      <c r="O4539" s="7" t="str">
        <f>VLOOKUP(F4539,HC!A$6:D$1000,2,FALSE)</f>
        <v>sarojast</v>
      </c>
    </row>
    <row r="4540" spans="1:15" ht="37.5" customHeight="1" x14ac:dyDescent="0.25">
      <c r="A4540" s="23">
        <v>45250</v>
      </c>
      <c r="B4540" s="13">
        <v>47</v>
      </c>
      <c r="C4540" t="s">
        <v>3</v>
      </c>
      <c r="D4540" t="s">
        <v>4</v>
      </c>
      <c r="E4540" t="s">
        <v>5</v>
      </c>
      <c r="F4540">
        <v>112981196</v>
      </c>
      <c r="G4540" t="s">
        <v>328</v>
      </c>
      <c r="H4540" t="s">
        <v>263</v>
      </c>
      <c r="I4540">
        <v>0</v>
      </c>
      <c r="J4540">
        <v>0</v>
      </c>
      <c r="K4540">
        <v>0</v>
      </c>
      <c r="L4540">
        <v>0</v>
      </c>
      <c r="M4540">
        <v>0.08</v>
      </c>
      <c r="N4540" s="7" t="e">
        <f>VLOOKUP(F4540,HC!A$6:D$100,3,FALSE)</f>
        <v>#N/A</v>
      </c>
      <c r="O4540" s="7" t="str">
        <f>VLOOKUP(F4540,HC!A$6:D$1000,2,FALSE)</f>
        <v>vandgome</v>
      </c>
    </row>
    <row r="4541" spans="1:15" ht="37.5" customHeight="1" x14ac:dyDescent="0.25">
      <c r="A4541" s="23">
        <v>45250</v>
      </c>
      <c r="B4541" s="13">
        <v>47</v>
      </c>
      <c r="C4541" t="s">
        <v>3</v>
      </c>
      <c r="D4541" t="s">
        <v>4</v>
      </c>
      <c r="E4541" t="s">
        <v>5</v>
      </c>
      <c r="F4541">
        <v>113020497</v>
      </c>
      <c r="G4541" t="s">
        <v>606</v>
      </c>
      <c r="H4541" t="s">
        <v>403</v>
      </c>
      <c r="I4541">
        <v>0</v>
      </c>
      <c r="J4541">
        <v>0</v>
      </c>
      <c r="K4541">
        <v>0</v>
      </c>
      <c r="L4541">
        <v>0</v>
      </c>
      <c r="M4541">
        <v>0.05</v>
      </c>
      <c r="N4541" s="7" t="e">
        <f>VLOOKUP(F4541,HC!A$6:D$100,3,FALSE)</f>
        <v>#N/A</v>
      </c>
      <c r="O4541" s="7" t="str">
        <f>VLOOKUP(F4541,HC!A$6:D$1000,2,FALSE)</f>
        <v>diamartd</v>
      </c>
    </row>
    <row r="4542" spans="1:15" ht="37.5" customHeight="1" x14ac:dyDescent="0.25">
      <c r="A4542" s="23">
        <v>45250</v>
      </c>
      <c r="B4542" s="13">
        <v>47</v>
      </c>
      <c r="C4542" t="s">
        <v>3</v>
      </c>
      <c r="D4542" t="s">
        <v>4</v>
      </c>
      <c r="E4542" t="s">
        <v>5</v>
      </c>
      <c r="F4542">
        <v>113044763</v>
      </c>
      <c r="G4542" t="s">
        <v>553</v>
      </c>
      <c r="H4542" t="s">
        <v>403</v>
      </c>
      <c r="I4542">
        <v>0</v>
      </c>
      <c r="J4542">
        <v>0</v>
      </c>
      <c r="K4542">
        <v>0</v>
      </c>
      <c r="L4542">
        <v>0</v>
      </c>
      <c r="M4542">
        <v>0.22</v>
      </c>
      <c r="N4542" s="7" t="e">
        <f>VLOOKUP(F4542,HC!A$6:D$100,3,FALSE)</f>
        <v>#N/A</v>
      </c>
      <c r="O4542" s="7" t="str">
        <f>VLOOKUP(F4542,HC!A$6:D$1000,2,FALSE)</f>
        <v>urbistep</v>
      </c>
    </row>
    <row r="4543" spans="1:15" ht="37.5" customHeight="1" x14ac:dyDescent="0.25">
      <c r="A4543" s="23">
        <v>45250</v>
      </c>
      <c r="B4543" s="13">
        <v>47</v>
      </c>
      <c r="C4543" t="s">
        <v>3</v>
      </c>
      <c r="D4543" t="s">
        <v>4</v>
      </c>
      <c r="E4543" t="s">
        <v>5</v>
      </c>
      <c r="F4543">
        <v>200404250</v>
      </c>
      <c r="G4543" t="s">
        <v>51</v>
      </c>
      <c r="H4543" t="s">
        <v>49</v>
      </c>
      <c r="I4543">
        <v>0</v>
      </c>
      <c r="J4543">
        <v>0</v>
      </c>
      <c r="K4543">
        <v>0</v>
      </c>
      <c r="L4543">
        <v>0</v>
      </c>
      <c r="M4543">
        <v>0.16</v>
      </c>
      <c r="N4543" s="7" t="e">
        <f>VLOOKUP(F4543,HC!A$6:D$100,3,FALSE)</f>
        <v>#N/A</v>
      </c>
      <c r="O4543" s="7" t="str">
        <f>VLOOKUP(F4543,HC!A$6:D$1000,2,FALSE)</f>
        <v>xcathurt</v>
      </c>
    </row>
    <row r="4544" spans="1:15" ht="37.5" customHeight="1" x14ac:dyDescent="0.25">
      <c r="A4544" s="23">
        <v>45250</v>
      </c>
      <c r="B4544" s="13">
        <v>47</v>
      </c>
      <c r="C4544" t="s">
        <v>3</v>
      </c>
      <c r="D4544" t="s">
        <v>4</v>
      </c>
      <c r="E4544" t="s">
        <v>5</v>
      </c>
      <c r="F4544">
        <v>200509662</v>
      </c>
      <c r="G4544" t="s">
        <v>1249</v>
      </c>
      <c r="H4544" t="s">
        <v>1040</v>
      </c>
      <c r="I4544">
        <v>0</v>
      </c>
      <c r="J4544">
        <v>0</v>
      </c>
      <c r="K4544">
        <v>0</v>
      </c>
      <c r="L4544">
        <v>0</v>
      </c>
      <c r="M4544">
        <v>0.12</v>
      </c>
      <c r="N4544" s="7" t="e">
        <f>VLOOKUP(F4544,HC!A$6:D$100,3,FALSE)</f>
        <v>#N/A</v>
      </c>
      <c r="O4544" s="7" t="str">
        <f>VLOOKUP(F4544,HC!A$6:D$1000,2,FALSE)</f>
        <v>carchico</v>
      </c>
    </row>
    <row r="4545" spans="1:15" ht="37.5" customHeight="1" x14ac:dyDescent="0.25">
      <c r="A4545" s="23">
        <v>45250</v>
      </c>
      <c r="B4545" s="13">
        <v>47</v>
      </c>
      <c r="C4545" t="s">
        <v>3</v>
      </c>
      <c r="D4545" t="s">
        <v>4</v>
      </c>
      <c r="E4545" t="s">
        <v>5</v>
      </c>
      <c r="F4545">
        <v>201165769</v>
      </c>
      <c r="G4545" t="s">
        <v>903</v>
      </c>
      <c r="H4545" t="s">
        <v>263</v>
      </c>
      <c r="I4545">
        <v>0</v>
      </c>
      <c r="J4545">
        <v>0</v>
      </c>
      <c r="K4545">
        <v>0</v>
      </c>
      <c r="L4545">
        <v>0</v>
      </c>
      <c r="M4545">
        <v>0.22</v>
      </c>
      <c r="N4545" s="7" t="e">
        <f>VLOOKUP(F4545,HC!A$6:D$100,3,FALSE)</f>
        <v>#N/A</v>
      </c>
      <c r="O4545" s="7" t="str">
        <f>VLOOKUP(F4545,HC!A$6:D$1000,2,FALSE)</f>
        <v>puenkare</v>
      </c>
    </row>
    <row r="4546" spans="1:15" ht="37.5" customHeight="1" x14ac:dyDescent="0.25">
      <c r="A4546" s="23">
        <v>45250</v>
      </c>
      <c r="B4546" s="13">
        <v>47</v>
      </c>
      <c r="C4546" t="s">
        <v>3</v>
      </c>
      <c r="D4546" t="s">
        <v>4</v>
      </c>
      <c r="E4546" t="s">
        <v>5</v>
      </c>
      <c r="F4546">
        <v>201166890</v>
      </c>
      <c r="G4546" t="s">
        <v>998</v>
      </c>
      <c r="H4546" t="s">
        <v>250</v>
      </c>
      <c r="I4546">
        <v>0</v>
      </c>
      <c r="J4546">
        <v>0</v>
      </c>
      <c r="K4546">
        <v>0</v>
      </c>
      <c r="L4546">
        <v>0</v>
      </c>
      <c r="M4546">
        <v>0.19</v>
      </c>
      <c r="N4546" s="7" t="e">
        <f>VLOOKUP(F4546,HC!A$6:D$100,3,FALSE)</f>
        <v>#N/A</v>
      </c>
      <c r="O4546" s="7" t="str">
        <f>VLOOKUP(F4546,HC!A$6:D$1000,2,FALSE)</f>
        <v>lcabadan</v>
      </c>
    </row>
    <row r="4547" spans="1:15" ht="37.5" customHeight="1" x14ac:dyDescent="0.25">
      <c r="A4547" s="23">
        <v>45250</v>
      </c>
      <c r="B4547" s="13">
        <v>47</v>
      </c>
      <c r="C4547" t="s">
        <v>3</v>
      </c>
      <c r="D4547" t="s">
        <v>4</v>
      </c>
      <c r="E4547" t="s">
        <v>5</v>
      </c>
      <c r="F4547">
        <v>201167501</v>
      </c>
      <c r="G4547" t="s">
        <v>863</v>
      </c>
      <c r="H4547" t="s">
        <v>49</v>
      </c>
      <c r="I4547">
        <v>0</v>
      </c>
      <c r="J4547">
        <v>0</v>
      </c>
      <c r="K4547">
        <v>0</v>
      </c>
      <c r="L4547">
        <v>0</v>
      </c>
      <c r="M4547">
        <v>0.15</v>
      </c>
      <c r="N4547" s="7" t="e">
        <f>VLOOKUP(F4547,HC!A$6:D$100,3,FALSE)</f>
        <v>#N/A</v>
      </c>
      <c r="O4547" s="7" t="str">
        <f>VLOOKUP(F4547,HC!A$6:D$1000,2,FALSE)</f>
        <v>wguanajr</v>
      </c>
    </row>
    <row r="4548" spans="1:15" ht="37.5" customHeight="1" x14ac:dyDescent="0.25">
      <c r="A4548" s="23">
        <v>45250</v>
      </c>
      <c r="B4548" s="13">
        <v>47</v>
      </c>
      <c r="C4548" t="s">
        <v>3</v>
      </c>
      <c r="D4548" t="s">
        <v>4</v>
      </c>
      <c r="E4548" t="s">
        <v>5</v>
      </c>
      <c r="F4548">
        <v>201202093</v>
      </c>
      <c r="G4548" t="s">
        <v>479</v>
      </c>
      <c r="H4548" t="s">
        <v>298</v>
      </c>
      <c r="I4548">
        <v>0</v>
      </c>
      <c r="J4548">
        <v>0</v>
      </c>
      <c r="K4548">
        <v>0</v>
      </c>
      <c r="L4548">
        <v>0</v>
      </c>
      <c r="M4548">
        <v>0.23</v>
      </c>
      <c r="N4548" s="7" t="e">
        <f>VLOOKUP(F4548,HC!A$6:D$100,3,FALSE)</f>
        <v>#N/A</v>
      </c>
      <c r="O4548" s="7" t="str">
        <f>VLOOKUP(F4548,HC!A$6:D$1000,2,FALSE)</f>
        <v>eliorten</v>
      </c>
    </row>
    <row r="4549" spans="1:15" ht="37.5" customHeight="1" x14ac:dyDescent="0.25">
      <c r="A4549" s="23">
        <v>45250</v>
      </c>
      <c r="B4549" s="13">
        <v>47</v>
      </c>
      <c r="C4549" t="s">
        <v>3</v>
      </c>
      <c r="D4549" t="s">
        <v>4</v>
      </c>
      <c r="E4549" t="s">
        <v>5</v>
      </c>
      <c r="F4549">
        <v>201347331</v>
      </c>
      <c r="G4549" t="s">
        <v>2087</v>
      </c>
      <c r="H4549" t="s">
        <v>7</v>
      </c>
      <c r="I4549">
        <v>0</v>
      </c>
      <c r="J4549">
        <v>0</v>
      </c>
      <c r="K4549">
        <v>0</v>
      </c>
      <c r="L4549">
        <v>0</v>
      </c>
      <c r="M4549">
        <v>0.03</v>
      </c>
      <c r="N4549" s="7" t="e">
        <f>VLOOKUP(F4549,HC!A$6:D$100,3,FALSE)</f>
        <v>#N/A</v>
      </c>
      <c r="O4549" s="7" t="str">
        <f>VLOOKUP(F4549,HC!A$6:D$1000,2,FALSE)</f>
        <v>scastfer</v>
      </c>
    </row>
    <row r="4550" spans="1:15" ht="37.5" customHeight="1" x14ac:dyDescent="0.25">
      <c r="A4550" s="23">
        <v>45250</v>
      </c>
      <c r="B4550" s="13">
        <v>47</v>
      </c>
      <c r="C4550" t="s">
        <v>3</v>
      </c>
      <c r="D4550" t="s">
        <v>4</v>
      </c>
      <c r="E4550" t="s">
        <v>5</v>
      </c>
      <c r="F4550">
        <v>201378542</v>
      </c>
      <c r="G4550" t="s">
        <v>1164</v>
      </c>
      <c r="H4550" t="s">
        <v>1040</v>
      </c>
      <c r="I4550">
        <v>0</v>
      </c>
      <c r="J4550">
        <v>0</v>
      </c>
      <c r="K4550">
        <v>0</v>
      </c>
      <c r="L4550">
        <v>0</v>
      </c>
      <c r="M4550">
        <v>0.14000000000000001</v>
      </c>
      <c r="N4550" s="7" t="e">
        <f>VLOOKUP(F4550,HC!A$6:D$100,3,FALSE)</f>
        <v>#N/A</v>
      </c>
      <c r="O4550" s="7" t="str">
        <f>VLOOKUP(F4550,HC!A$6:D$1000,2,FALSE)</f>
        <v>tcontree</v>
      </c>
    </row>
    <row r="4551" spans="1:15" ht="37.5" customHeight="1" x14ac:dyDescent="0.25">
      <c r="A4551" s="23">
        <v>45250</v>
      </c>
      <c r="B4551" s="13">
        <v>47</v>
      </c>
      <c r="C4551" t="s">
        <v>3</v>
      </c>
      <c r="D4551" t="s">
        <v>4</v>
      </c>
      <c r="E4551" t="s">
        <v>21</v>
      </c>
      <c r="F4551">
        <v>202062181</v>
      </c>
      <c r="G4551" t="s">
        <v>1401</v>
      </c>
      <c r="H4551" t="s">
        <v>263</v>
      </c>
      <c r="I4551">
        <v>0</v>
      </c>
      <c r="J4551">
        <v>0</v>
      </c>
      <c r="K4551">
        <v>0</v>
      </c>
      <c r="L4551">
        <v>0</v>
      </c>
      <c r="M4551">
        <v>0.45</v>
      </c>
      <c r="N4551" s="7" t="e">
        <f>VLOOKUP(F4551,HC!A$6:D$100,3,FALSE)</f>
        <v>#N/A</v>
      </c>
      <c r="O4551" s="7" t="str">
        <f>VLOOKUP(F4551,HC!A$6:D$1000,2,FALSE)</f>
        <v>xlutrejo</v>
      </c>
    </row>
    <row r="4552" spans="1:15" ht="37.5" customHeight="1" x14ac:dyDescent="0.25">
      <c r="A4552" s="23">
        <v>45250</v>
      </c>
      <c r="B4552" s="13">
        <v>47</v>
      </c>
      <c r="C4552" t="s">
        <v>3</v>
      </c>
      <c r="D4552" t="s">
        <v>4</v>
      </c>
      <c r="E4552" t="s">
        <v>21</v>
      </c>
      <c r="F4552">
        <v>202063545</v>
      </c>
      <c r="G4552" t="s">
        <v>1275</v>
      </c>
      <c r="H4552" t="s">
        <v>263</v>
      </c>
      <c r="I4552">
        <v>0</v>
      </c>
      <c r="J4552">
        <v>0</v>
      </c>
      <c r="K4552">
        <v>0</v>
      </c>
      <c r="L4552">
        <v>0</v>
      </c>
      <c r="M4552">
        <v>0.42</v>
      </c>
      <c r="N4552" s="7" t="e">
        <f>VLOOKUP(F4552,HC!A$6:D$100,3,FALSE)</f>
        <v>#N/A</v>
      </c>
      <c r="O4552" s="7" t="str">
        <f>VLOOKUP(F4552,HC!A$6:D$1000,2,FALSE)</f>
        <v>angarcz</v>
      </c>
    </row>
    <row r="4553" spans="1:15" ht="37.5" customHeight="1" x14ac:dyDescent="0.25">
      <c r="A4553" s="23">
        <v>45250</v>
      </c>
      <c r="B4553" s="13">
        <v>47</v>
      </c>
      <c r="C4553" t="s">
        <v>3</v>
      </c>
      <c r="D4553" t="s">
        <v>4</v>
      </c>
      <c r="E4553" t="s">
        <v>21</v>
      </c>
      <c r="F4553">
        <v>202099131</v>
      </c>
      <c r="G4553" t="s">
        <v>2088</v>
      </c>
      <c r="H4553" t="s">
        <v>263</v>
      </c>
      <c r="I4553">
        <v>0</v>
      </c>
      <c r="J4553">
        <v>0</v>
      </c>
      <c r="K4553">
        <v>0</v>
      </c>
      <c r="L4553">
        <v>0</v>
      </c>
      <c r="M4553">
        <v>0.17</v>
      </c>
      <c r="N4553" s="7" t="e">
        <f>VLOOKUP(F4553,HC!A$6:D$100,3,FALSE)</f>
        <v>#N/A</v>
      </c>
      <c r="O4553" s="7" t="str">
        <f>VLOOKUP(F4553,HC!A$6:D$1000,2,FALSE)</f>
        <v>enecasti</v>
      </c>
    </row>
    <row r="4554" spans="1:15" ht="37.5" customHeight="1" x14ac:dyDescent="0.25">
      <c r="A4554" s="23">
        <v>45250</v>
      </c>
      <c r="B4554" s="13">
        <v>47</v>
      </c>
      <c r="C4554" t="s">
        <v>3</v>
      </c>
      <c r="D4554" t="s">
        <v>4</v>
      </c>
      <c r="E4554" t="s">
        <v>21</v>
      </c>
      <c r="F4554">
        <v>202129193</v>
      </c>
      <c r="G4554" t="s">
        <v>1732</v>
      </c>
      <c r="H4554" t="s">
        <v>7</v>
      </c>
      <c r="I4554">
        <v>0</v>
      </c>
      <c r="J4554">
        <v>0</v>
      </c>
      <c r="K4554">
        <v>0</v>
      </c>
      <c r="L4554">
        <v>0</v>
      </c>
      <c r="M4554">
        <v>0.52</v>
      </c>
      <c r="N4554" s="7" t="e">
        <f>VLOOKUP(F4554,HC!A$6:D$100,3,FALSE)</f>
        <v>#N/A</v>
      </c>
      <c r="O4554" s="7" t="str">
        <f>VLOOKUP(F4554,HC!A$6:D$1000,2,FALSE)</f>
        <v>herngang</v>
      </c>
    </row>
    <row r="4555" spans="1:15" ht="37.5" customHeight="1" x14ac:dyDescent="0.25">
      <c r="A4555" s="23">
        <v>45250</v>
      </c>
      <c r="B4555" s="13">
        <v>47</v>
      </c>
      <c r="C4555" t="s">
        <v>3</v>
      </c>
      <c r="D4555" t="s">
        <v>4</v>
      </c>
      <c r="E4555" t="s">
        <v>21</v>
      </c>
      <c r="F4555">
        <v>202137988</v>
      </c>
      <c r="G4555" t="s">
        <v>2089</v>
      </c>
      <c r="H4555" t="s">
        <v>263</v>
      </c>
      <c r="I4555">
        <v>0</v>
      </c>
      <c r="J4555">
        <v>0</v>
      </c>
      <c r="K4555">
        <v>0</v>
      </c>
      <c r="L4555">
        <v>0</v>
      </c>
      <c r="M4555">
        <v>0.22</v>
      </c>
      <c r="N4555" s="7" t="e">
        <f>VLOOKUP(F4555,HC!A$6:D$100,3,FALSE)</f>
        <v>#N/A</v>
      </c>
      <c r="O4555" s="7" t="str">
        <f>VLOOKUP(F4555,HC!A$6:D$1000,2,FALSE)</f>
        <v>toraylen</v>
      </c>
    </row>
    <row r="4556" spans="1:15" ht="37.5" customHeight="1" x14ac:dyDescent="0.25">
      <c r="A4556" s="23">
        <v>45250</v>
      </c>
      <c r="B4556" s="13">
        <v>47</v>
      </c>
      <c r="C4556" t="s">
        <v>3</v>
      </c>
      <c r="D4556" t="s">
        <v>4</v>
      </c>
      <c r="E4556" t="s">
        <v>21</v>
      </c>
      <c r="F4556">
        <v>202145314</v>
      </c>
      <c r="G4556" t="s">
        <v>1420</v>
      </c>
      <c r="H4556" t="s">
        <v>332</v>
      </c>
      <c r="I4556">
        <v>0</v>
      </c>
      <c r="J4556">
        <v>0</v>
      </c>
      <c r="K4556">
        <v>0</v>
      </c>
      <c r="L4556">
        <v>0</v>
      </c>
      <c r="M4556">
        <v>0.26</v>
      </c>
      <c r="N4556" s="7" t="e">
        <f>VLOOKUP(F4556,HC!A$6:D$100,3,FALSE)</f>
        <v>#N/A</v>
      </c>
      <c r="O4556" s="7" t="str">
        <f>VLOOKUP(F4556,HC!A$6:D$1000,2,FALSE)</f>
        <v>neftalpa</v>
      </c>
    </row>
    <row r="4557" spans="1:15" ht="37.5" customHeight="1" x14ac:dyDescent="0.25">
      <c r="A4557" s="23">
        <v>45250</v>
      </c>
      <c r="B4557" s="13">
        <v>47</v>
      </c>
      <c r="C4557" t="s">
        <v>3</v>
      </c>
      <c r="D4557" t="s">
        <v>4</v>
      </c>
      <c r="E4557" t="s">
        <v>21</v>
      </c>
      <c r="F4557">
        <v>202166757</v>
      </c>
      <c r="G4557" t="s">
        <v>1790</v>
      </c>
      <c r="H4557" t="s">
        <v>1040</v>
      </c>
      <c r="I4557">
        <v>0</v>
      </c>
      <c r="J4557">
        <v>0</v>
      </c>
      <c r="K4557">
        <v>0</v>
      </c>
      <c r="L4557">
        <v>0</v>
      </c>
      <c r="M4557">
        <v>0.17</v>
      </c>
      <c r="N4557" s="7" t="e">
        <f>VLOOKUP(F4557,HC!A$6:D$100,3,FALSE)</f>
        <v>#N/A</v>
      </c>
      <c r="O4557" s="7" t="str">
        <f>VLOOKUP(F4557,HC!A$6:D$1000,2,FALSE)</f>
        <v>corteax</v>
      </c>
    </row>
    <row r="4558" spans="1:15" ht="37.5" customHeight="1" x14ac:dyDescent="0.25">
      <c r="A4558" s="23">
        <v>45250</v>
      </c>
      <c r="B4558" s="13">
        <v>47</v>
      </c>
      <c r="C4558" t="s">
        <v>3</v>
      </c>
      <c r="D4558" t="s">
        <v>4</v>
      </c>
      <c r="E4558" t="s">
        <v>21</v>
      </c>
      <c r="F4558">
        <v>202190946</v>
      </c>
      <c r="G4558" t="s">
        <v>2055</v>
      </c>
      <c r="H4558" t="s">
        <v>1040</v>
      </c>
      <c r="I4558">
        <v>0</v>
      </c>
      <c r="J4558">
        <v>0</v>
      </c>
      <c r="K4558">
        <v>0</v>
      </c>
      <c r="L4558">
        <v>0</v>
      </c>
      <c r="M4558">
        <v>0.11</v>
      </c>
      <c r="N4558" s="7" t="e">
        <f>VLOOKUP(F4558,HC!A$6:D$100,3,FALSE)</f>
        <v>#N/A</v>
      </c>
      <c r="O4558" s="7" t="str">
        <f>VLOOKUP(F4558,HC!A$6:D$1000,2,FALSE)</f>
        <v>ggonzcar</v>
      </c>
    </row>
    <row r="4559" spans="1:15" ht="37.5" customHeight="1" x14ac:dyDescent="0.25">
      <c r="A4559" s="23">
        <v>45250</v>
      </c>
      <c r="B4559" s="13">
        <v>47</v>
      </c>
      <c r="C4559" t="s">
        <v>3</v>
      </c>
      <c r="D4559" t="s">
        <v>4</v>
      </c>
      <c r="E4559" t="s">
        <v>21</v>
      </c>
      <c r="F4559">
        <v>202206014</v>
      </c>
      <c r="G4559" t="s">
        <v>2010</v>
      </c>
      <c r="H4559" t="s">
        <v>49</v>
      </c>
      <c r="I4559">
        <v>0</v>
      </c>
      <c r="J4559">
        <v>0</v>
      </c>
      <c r="K4559">
        <v>0</v>
      </c>
      <c r="L4559">
        <v>0</v>
      </c>
      <c r="M4559">
        <v>0.25</v>
      </c>
      <c r="N4559" s="7" t="e">
        <f>VLOOKUP(F4559,HC!A$6:D$100,3,FALSE)</f>
        <v>#N/A</v>
      </c>
      <c r="O4559" s="7" t="str">
        <f>VLOOKUP(F4559,HC!A$6:D$1000,2,FALSE)</f>
        <v>jcuellka</v>
      </c>
    </row>
    <row r="4560" spans="1:15" ht="37.5" customHeight="1" x14ac:dyDescent="0.25">
      <c r="A4560" s="23">
        <v>45250</v>
      </c>
      <c r="B4560" s="13">
        <v>47</v>
      </c>
      <c r="C4560" t="s">
        <v>3</v>
      </c>
      <c r="D4560" t="s">
        <v>4</v>
      </c>
      <c r="E4560" t="s">
        <v>21</v>
      </c>
      <c r="F4560">
        <v>202226202</v>
      </c>
      <c r="G4560" t="s">
        <v>1733</v>
      </c>
      <c r="H4560" t="s">
        <v>250</v>
      </c>
      <c r="I4560">
        <v>0</v>
      </c>
      <c r="J4560">
        <v>0</v>
      </c>
      <c r="K4560">
        <v>0</v>
      </c>
      <c r="L4560">
        <v>0</v>
      </c>
      <c r="M4560">
        <v>0.23</v>
      </c>
      <c r="N4560" s="7" t="e">
        <f>VLOOKUP(F4560,HC!A$6:D$100,3,FALSE)</f>
        <v>#N/A</v>
      </c>
      <c r="O4560" s="7" t="str">
        <f>VLOOKUP(F4560,HC!A$6:D$1000,2,FALSE)</f>
        <v>naymoren</v>
      </c>
    </row>
    <row r="4561" spans="1:15" ht="37.5" customHeight="1" x14ac:dyDescent="0.25">
      <c r="A4561" s="23">
        <v>45250</v>
      </c>
      <c r="B4561" s="13">
        <v>47</v>
      </c>
      <c r="C4561" t="s">
        <v>3</v>
      </c>
      <c r="D4561" t="s">
        <v>4</v>
      </c>
      <c r="E4561" t="s">
        <v>21</v>
      </c>
      <c r="F4561">
        <v>202245845</v>
      </c>
      <c r="G4561" t="s">
        <v>1450</v>
      </c>
      <c r="H4561" t="s">
        <v>250</v>
      </c>
      <c r="I4561">
        <v>0</v>
      </c>
      <c r="J4561">
        <v>0</v>
      </c>
      <c r="K4561">
        <v>0</v>
      </c>
      <c r="L4561">
        <v>0</v>
      </c>
      <c r="M4561">
        <v>0.55000000000000004</v>
      </c>
      <c r="N4561" s="7" t="e">
        <f>VLOOKUP(F4561,HC!A$6:D$100,3,FALSE)</f>
        <v>#N/A</v>
      </c>
      <c r="O4561" s="7" t="str">
        <f>VLOOKUP(F4561,HC!A$6:D$1000,2,FALSE)</f>
        <v>cangmedi</v>
      </c>
    </row>
    <row r="4562" spans="1:15" ht="37.5" customHeight="1" x14ac:dyDescent="0.25">
      <c r="A4562" s="23">
        <v>45250</v>
      </c>
      <c r="B4562" s="13">
        <v>47</v>
      </c>
      <c r="C4562" t="s">
        <v>3</v>
      </c>
      <c r="D4562" t="s">
        <v>4</v>
      </c>
      <c r="E4562" t="s">
        <v>21</v>
      </c>
      <c r="F4562">
        <v>202245854</v>
      </c>
      <c r="G4562" t="s">
        <v>2090</v>
      </c>
      <c r="H4562" t="s">
        <v>332</v>
      </c>
      <c r="I4562">
        <v>0</v>
      </c>
      <c r="J4562">
        <v>0</v>
      </c>
      <c r="K4562">
        <v>0</v>
      </c>
      <c r="L4562">
        <v>0</v>
      </c>
      <c r="M4562">
        <v>0.28999999999999998</v>
      </c>
      <c r="N4562" s="7" t="e">
        <f>VLOOKUP(F4562,HC!A$6:D$100,3,FALSE)</f>
        <v>#N/A</v>
      </c>
      <c r="O4562" s="7" t="str">
        <f>VLOOKUP(F4562,HC!A$6:D$1000,2,FALSE)</f>
        <v>manluisf</v>
      </c>
    </row>
    <row r="4563" spans="1:15" ht="37.5" customHeight="1" x14ac:dyDescent="0.25">
      <c r="A4563" s="23">
        <v>45250</v>
      </c>
      <c r="B4563" s="13">
        <v>47</v>
      </c>
      <c r="C4563" t="s">
        <v>3</v>
      </c>
      <c r="D4563" t="s">
        <v>4</v>
      </c>
      <c r="E4563" t="s">
        <v>21</v>
      </c>
      <c r="F4563">
        <v>202265921</v>
      </c>
      <c r="G4563" t="s">
        <v>1476</v>
      </c>
      <c r="H4563" t="s">
        <v>250</v>
      </c>
      <c r="I4563">
        <v>0</v>
      </c>
      <c r="J4563">
        <v>0</v>
      </c>
      <c r="K4563">
        <v>0</v>
      </c>
      <c r="L4563">
        <v>0</v>
      </c>
      <c r="M4563">
        <v>0.16</v>
      </c>
      <c r="N4563" s="7" t="e">
        <f>VLOOKUP(F4563,HC!A$6:D$100,3,FALSE)</f>
        <v>#N/A</v>
      </c>
      <c r="O4563" s="7" t="str">
        <f>VLOOKUP(F4563,HC!A$6:D$1000,2,FALSE)</f>
        <v>mauperea</v>
      </c>
    </row>
    <row r="4564" spans="1:15" ht="37.5" customHeight="1" x14ac:dyDescent="0.25">
      <c r="A4564" s="23">
        <v>45250</v>
      </c>
      <c r="B4564" s="13">
        <v>47</v>
      </c>
      <c r="C4564" t="s">
        <v>3</v>
      </c>
      <c r="D4564" t="s">
        <v>4</v>
      </c>
      <c r="E4564" t="s">
        <v>21</v>
      </c>
      <c r="F4564">
        <v>202287922</v>
      </c>
      <c r="G4564" t="s">
        <v>1452</v>
      </c>
      <c r="H4564" t="s">
        <v>263</v>
      </c>
      <c r="I4564">
        <v>0</v>
      </c>
      <c r="J4564">
        <v>0</v>
      </c>
      <c r="K4564">
        <v>0</v>
      </c>
      <c r="L4564">
        <v>0</v>
      </c>
      <c r="M4564">
        <v>0.38</v>
      </c>
      <c r="N4564" s="7" t="e">
        <f>VLOOKUP(F4564,HC!A$6:D$100,3,FALSE)</f>
        <v>#N/A</v>
      </c>
      <c r="O4564" s="7" t="str">
        <f>VLOOKUP(F4564,HC!A$6:D$1000,2,FALSE)</f>
        <v>gemandra</v>
      </c>
    </row>
    <row r="4565" spans="1:15" ht="37.5" customHeight="1" x14ac:dyDescent="0.25">
      <c r="A4565" s="23">
        <v>45250</v>
      </c>
      <c r="B4565" s="13">
        <v>47</v>
      </c>
      <c r="C4565" t="s">
        <v>3</v>
      </c>
      <c r="D4565" t="s">
        <v>4</v>
      </c>
      <c r="E4565" t="s">
        <v>21</v>
      </c>
      <c r="F4565">
        <v>202289699</v>
      </c>
      <c r="G4565" t="s">
        <v>1759</v>
      </c>
      <c r="H4565" t="s">
        <v>263</v>
      </c>
      <c r="I4565">
        <v>0</v>
      </c>
      <c r="J4565">
        <v>0</v>
      </c>
      <c r="K4565">
        <v>0</v>
      </c>
      <c r="L4565">
        <v>0</v>
      </c>
      <c r="M4565">
        <v>0.32</v>
      </c>
      <c r="N4565" s="7" t="e">
        <f>VLOOKUP(F4565,HC!A$6:D$100,3,FALSE)</f>
        <v>#N/A</v>
      </c>
      <c r="O4565" s="7" t="str">
        <f>VLOOKUP(F4565,HC!A$6:D$1000,2,FALSE)</f>
        <v>hiselara</v>
      </c>
    </row>
    <row r="4566" spans="1:15" ht="37.5" customHeight="1" x14ac:dyDescent="0.25">
      <c r="A4566" s="23">
        <v>45250</v>
      </c>
      <c r="B4566" s="13">
        <v>47</v>
      </c>
      <c r="C4566" t="s">
        <v>3</v>
      </c>
      <c r="D4566" t="s">
        <v>4</v>
      </c>
      <c r="E4566" t="s">
        <v>21</v>
      </c>
      <c r="F4566">
        <v>202304949</v>
      </c>
      <c r="G4566" t="s">
        <v>2091</v>
      </c>
      <c r="H4566" t="s">
        <v>7</v>
      </c>
      <c r="I4566">
        <v>0</v>
      </c>
      <c r="J4566">
        <v>0</v>
      </c>
      <c r="K4566">
        <v>0</v>
      </c>
      <c r="L4566">
        <v>0</v>
      </c>
      <c r="M4566">
        <v>0.25</v>
      </c>
      <c r="N4566" s="7" t="e">
        <f>VLOOKUP(F4566,HC!A$6:D$100,3,FALSE)</f>
        <v>#N/A</v>
      </c>
      <c r="O4566" s="7" t="str">
        <f>VLOOKUP(F4566,HC!A$6:D$1000,2,FALSE)</f>
        <v>barajcla</v>
      </c>
    </row>
    <row r="4567" spans="1:15" ht="37.5" customHeight="1" x14ac:dyDescent="0.25">
      <c r="A4567" s="23">
        <v>45250</v>
      </c>
      <c r="B4567" s="13">
        <v>47</v>
      </c>
      <c r="C4567" t="s">
        <v>3</v>
      </c>
      <c r="D4567" t="s">
        <v>4</v>
      </c>
      <c r="E4567" t="s">
        <v>21</v>
      </c>
      <c r="F4567">
        <v>202353921</v>
      </c>
      <c r="G4567" t="s">
        <v>1717</v>
      </c>
      <c r="H4567" t="s">
        <v>285</v>
      </c>
      <c r="I4567">
        <v>0</v>
      </c>
      <c r="J4567">
        <v>0</v>
      </c>
      <c r="K4567">
        <v>0</v>
      </c>
      <c r="L4567">
        <v>0</v>
      </c>
      <c r="M4567">
        <v>0.39</v>
      </c>
      <c r="N4567" s="7" t="e">
        <f>VLOOKUP(F4567,HC!A$6:D$100,3,FALSE)</f>
        <v>#N/A</v>
      </c>
      <c r="O4567" s="7" t="str">
        <f>VLOOKUP(F4567,HC!A$6:D$1000,2,FALSE)</f>
        <v>lindinoe</v>
      </c>
    </row>
    <row r="4568" spans="1:15" ht="37.5" customHeight="1" x14ac:dyDescent="0.25">
      <c r="A4568" s="23">
        <v>45250</v>
      </c>
      <c r="B4568" s="13">
        <v>47</v>
      </c>
      <c r="C4568" t="s">
        <v>3</v>
      </c>
      <c r="D4568" t="s">
        <v>4</v>
      </c>
      <c r="E4568" t="s">
        <v>21</v>
      </c>
      <c r="F4568">
        <v>202432341</v>
      </c>
      <c r="G4568" t="s">
        <v>2092</v>
      </c>
      <c r="H4568" t="s">
        <v>7</v>
      </c>
      <c r="I4568">
        <v>0</v>
      </c>
      <c r="J4568">
        <v>0</v>
      </c>
      <c r="K4568">
        <v>0</v>
      </c>
      <c r="L4568">
        <v>0</v>
      </c>
      <c r="M4568">
        <v>0.38</v>
      </c>
      <c r="N4568" s="7" t="e">
        <f>VLOOKUP(F4568,HC!A$6:D$100,3,FALSE)</f>
        <v>#N/A</v>
      </c>
      <c r="O4568" s="7" t="str">
        <f>VLOOKUP(F4568,HC!A$6:D$1000,2,FALSE)</f>
        <v>xalatorr</v>
      </c>
    </row>
    <row r="4569" spans="1:15" ht="37.5" customHeight="1" x14ac:dyDescent="0.25">
      <c r="A4569" s="23">
        <v>45250</v>
      </c>
      <c r="B4569" s="13">
        <v>47</v>
      </c>
      <c r="C4569" t="s">
        <v>3</v>
      </c>
      <c r="D4569" t="s">
        <v>4</v>
      </c>
      <c r="E4569" t="s">
        <v>21</v>
      </c>
      <c r="F4569">
        <v>202479923</v>
      </c>
      <c r="G4569" t="s">
        <v>1794</v>
      </c>
      <c r="H4569" t="s">
        <v>332</v>
      </c>
      <c r="I4569">
        <v>0</v>
      </c>
      <c r="J4569">
        <v>0</v>
      </c>
      <c r="K4569">
        <v>0</v>
      </c>
      <c r="L4569">
        <v>0</v>
      </c>
      <c r="M4569">
        <v>0.2</v>
      </c>
      <c r="N4569" s="7" t="e">
        <f>VLOOKUP(F4569,HC!A$6:D$100,3,FALSE)</f>
        <v>#N/A</v>
      </c>
      <c r="O4569" s="7" t="str">
        <f>VLOOKUP(F4569,HC!A$6:D$1000,2,FALSE)</f>
        <v>arredgre</v>
      </c>
    </row>
    <row r="4570" spans="1:15" ht="37.5" customHeight="1" x14ac:dyDescent="0.25">
      <c r="A4570" s="23">
        <v>45250</v>
      </c>
      <c r="B4570" s="13">
        <v>47</v>
      </c>
      <c r="C4570" t="s">
        <v>3</v>
      </c>
      <c r="D4570" t="s">
        <v>4</v>
      </c>
      <c r="E4570" t="s">
        <v>21</v>
      </c>
      <c r="F4570">
        <v>202507047</v>
      </c>
      <c r="G4570" t="s">
        <v>1778</v>
      </c>
      <c r="H4570" t="s">
        <v>7</v>
      </c>
      <c r="I4570">
        <v>0</v>
      </c>
      <c r="J4570">
        <v>0</v>
      </c>
      <c r="K4570">
        <v>0</v>
      </c>
      <c r="L4570">
        <v>0</v>
      </c>
      <c r="M4570">
        <v>1.27</v>
      </c>
      <c r="N4570" s="7" t="e">
        <f>VLOOKUP(F4570,HC!A$6:D$100,3,FALSE)</f>
        <v>#N/A</v>
      </c>
      <c r="O4570" s="7" t="str">
        <f>VLOOKUP(F4570,HC!A$6:D$1000,2,FALSE)</f>
        <v>martcjes</v>
      </c>
    </row>
    <row r="4571" spans="1:15" ht="37.5" customHeight="1" x14ac:dyDescent="0.25">
      <c r="A4571" s="23">
        <v>45250</v>
      </c>
      <c r="B4571" s="13">
        <v>47</v>
      </c>
      <c r="C4571" t="s">
        <v>3</v>
      </c>
      <c r="D4571" t="s">
        <v>4</v>
      </c>
      <c r="E4571" t="s">
        <v>21</v>
      </c>
      <c r="F4571">
        <v>202510583</v>
      </c>
      <c r="G4571" t="s">
        <v>1779</v>
      </c>
      <c r="H4571" t="s">
        <v>7</v>
      </c>
      <c r="I4571">
        <v>0</v>
      </c>
      <c r="J4571">
        <v>0</v>
      </c>
      <c r="K4571">
        <v>0</v>
      </c>
      <c r="L4571">
        <v>0</v>
      </c>
      <c r="M4571">
        <v>0.45</v>
      </c>
      <c r="N4571" s="7" t="e">
        <f>VLOOKUP(F4571,HC!A$6:D$100,3,FALSE)</f>
        <v>#N/A</v>
      </c>
      <c r="O4571" s="7" t="str">
        <f>VLOOKUP(F4571,HC!A$6:D$1000,2,FALSE)</f>
        <v>jifjuanc</v>
      </c>
    </row>
    <row r="4572" spans="1:15" ht="37.5" customHeight="1" x14ac:dyDescent="0.25">
      <c r="A4572" s="23">
        <v>45250</v>
      </c>
      <c r="B4572" s="13">
        <v>47</v>
      </c>
      <c r="C4572" t="s">
        <v>3</v>
      </c>
      <c r="D4572" t="s">
        <v>4</v>
      </c>
      <c r="E4572" t="s">
        <v>21</v>
      </c>
      <c r="F4572">
        <v>202513047</v>
      </c>
      <c r="G4572" t="s">
        <v>2085</v>
      </c>
      <c r="H4572" t="s">
        <v>332</v>
      </c>
      <c r="I4572">
        <v>0</v>
      </c>
      <c r="J4572">
        <v>0</v>
      </c>
      <c r="K4572">
        <v>0</v>
      </c>
      <c r="L4572">
        <v>0</v>
      </c>
      <c r="M4572">
        <v>0.22</v>
      </c>
      <c r="N4572" s="7" t="e">
        <f>VLOOKUP(F4572,HC!A$6:D$100,3,FALSE)</f>
        <v>#N/A</v>
      </c>
      <c r="O4572" s="7" t="str">
        <f>VLOOKUP(F4572,HC!A$6:D$1000,2,FALSE)</f>
        <v>ngomezal</v>
      </c>
    </row>
    <row r="4573" spans="1:15" ht="37.5" customHeight="1" x14ac:dyDescent="0.25">
      <c r="A4573" s="23">
        <v>45251</v>
      </c>
      <c r="B4573" s="13">
        <v>47</v>
      </c>
      <c r="C4573" t="s">
        <v>3</v>
      </c>
      <c r="D4573" t="s">
        <v>4</v>
      </c>
      <c r="E4573" t="s">
        <v>5</v>
      </c>
      <c r="F4573">
        <v>112912511</v>
      </c>
      <c r="G4573" t="s">
        <v>1155</v>
      </c>
      <c r="H4573" t="s">
        <v>403</v>
      </c>
      <c r="I4573">
        <v>0</v>
      </c>
      <c r="J4573">
        <v>0</v>
      </c>
      <c r="K4573">
        <v>0</v>
      </c>
      <c r="L4573">
        <v>0</v>
      </c>
      <c r="M4573">
        <v>0.1</v>
      </c>
      <c r="N4573" s="7" t="str">
        <f>VLOOKUP(F4573,HC!A$6:D$100,3,FALSE)</f>
        <v>DB-X0700</v>
      </c>
      <c r="O4573" s="7" t="str">
        <f>VLOOKUP(F4573,HC!A$6:D$1000,2,FALSE)</f>
        <v>sergelor</v>
      </c>
    </row>
    <row r="4574" spans="1:15" ht="37.5" customHeight="1" x14ac:dyDescent="0.25">
      <c r="A4574" s="23">
        <v>45251</v>
      </c>
      <c r="B4574" s="13">
        <v>47</v>
      </c>
      <c r="C4574" t="s">
        <v>3</v>
      </c>
      <c r="D4574" t="s">
        <v>4</v>
      </c>
      <c r="E4574" t="s">
        <v>5</v>
      </c>
      <c r="F4574">
        <v>112912745</v>
      </c>
      <c r="G4574" t="s">
        <v>478</v>
      </c>
      <c r="H4574" t="s">
        <v>250</v>
      </c>
      <c r="I4574">
        <v>0</v>
      </c>
      <c r="J4574">
        <v>0</v>
      </c>
      <c r="K4574">
        <v>0</v>
      </c>
      <c r="L4574">
        <v>0</v>
      </c>
      <c r="M4574">
        <v>0.15</v>
      </c>
      <c r="N4574" s="7" t="str">
        <f>VLOOKUP(F4574,HC!A$6:D$100,3,FALSE)</f>
        <v>DA-X0700</v>
      </c>
      <c r="O4574" s="7" t="str">
        <f>VLOOKUP(F4574,HC!A$6:D$1000,2,FALSE)</f>
        <v>nalexgom</v>
      </c>
    </row>
    <row r="4575" spans="1:15" ht="37.5" customHeight="1" x14ac:dyDescent="0.25">
      <c r="A4575" s="23">
        <v>45251</v>
      </c>
      <c r="B4575" s="13">
        <v>47</v>
      </c>
      <c r="C4575" t="s">
        <v>3</v>
      </c>
      <c r="D4575" t="s">
        <v>4</v>
      </c>
      <c r="E4575" t="s">
        <v>5</v>
      </c>
      <c r="F4575">
        <v>112916534</v>
      </c>
      <c r="G4575" t="s">
        <v>425</v>
      </c>
      <c r="H4575" t="s">
        <v>298</v>
      </c>
      <c r="I4575">
        <v>0</v>
      </c>
      <c r="J4575">
        <v>0</v>
      </c>
      <c r="K4575">
        <v>0</v>
      </c>
      <c r="L4575">
        <v>0</v>
      </c>
      <c r="M4575">
        <v>0.22</v>
      </c>
      <c r="N4575" s="7" t="str">
        <f>VLOOKUP(F4575,HC!A$6:D$100,3,FALSE)</f>
        <v>DB-X0700</v>
      </c>
      <c r="O4575" s="7" t="str">
        <f>VLOOKUP(F4575,HC!A$6:D$1000,2,FALSE)</f>
        <v>earelili</v>
      </c>
    </row>
    <row r="4576" spans="1:15" ht="37.5" customHeight="1" x14ac:dyDescent="0.25">
      <c r="A4576" s="23">
        <v>45251</v>
      </c>
      <c r="B4576" s="13">
        <v>47</v>
      </c>
      <c r="C4576" t="s">
        <v>3</v>
      </c>
      <c r="D4576" t="s">
        <v>4</v>
      </c>
      <c r="E4576" t="s">
        <v>5</v>
      </c>
      <c r="F4576">
        <v>112950784</v>
      </c>
      <c r="G4576" t="s">
        <v>261</v>
      </c>
      <c r="H4576" t="s">
        <v>332</v>
      </c>
      <c r="I4576">
        <v>0</v>
      </c>
      <c r="J4576">
        <v>0</v>
      </c>
      <c r="K4576">
        <v>0</v>
      </c>
      <c r="L4576">
        <v>0</v>
      </c>
      <c r="M4576">
        <v>0.22</v>
      </c>
      <c r="N4576" s="7" t="str">
        <f>VLOOKUP(F4576,HC!A$6:D$100,3,FALSE)</f>
        <v>NF-X1900</v>
      </c>
      <c r="O4576" s="7" t="str">
        <f>VLOOKUP(F4576,HC!A$6:D$1000,2,FALSE)</f>
        <v>sarojast</v>
      </c>
    </row>
    <row r="4577" spans="1:15" ht="37.5" customHeight="1" x14ac:dyDescent="0.25">
      <c r="A4577" s="23">
        <v>45251</v>
      </c>
      <c r="B4577" s="13">
        <v>47</v>
      </c>
      <c r="C4577" t="s">
        <v>3</v>
      </c>
      <c r="D4577" t="s">
        <v>4</v>
      </c>
      <c r="E4577" t="s">
        <v>21</v>
      </c>
      <c r="F4577">
        <v>112980843</v>
      </c>
      <c r="G4577" t="s">
        <v>619</v>
      </c>
      <c r="H4577" t="s">
        <v>1040</v>
      </c>
      <c r="I4577">
        <v>0</v>
      </c>
      <c r="J4577">
        <v>0</v>
      </c>
      <c r="K4577">
        <v>0</v>
      </c>
      <c r="L4577">
        <v>0</v>
      </c>
      <c r="M4577">
        <v>0.13</v>
      </c>
      <c r="N4577" s="7" t="str">
        <f>VLOOKUP(F4577,HC!A$6:D$100,3,FALSE)</f>
        <v>DA-X0700</v>
      </c>
      <c r="O4577" s="7" t="str">
        <f>VLOOKUP(F4577,HC!A$6:D$1000,2,FALSE)</f>
        <v>lsisrael</v>
      </c>
    </row>
    <row r="4578" spans="1:15" ht="37.5" customHeight="1" x14ac:dyDescent="0.25">
      <c r="A4578" s="23">
        <v>45251</v>
      </c>
      <c r="B4578" s="13">
        <v>47</v>
      </c>
      <c r="C4578" t="s">
        <v>3</v>
      </c>
      <c r="D4578" t="s">
        <v>4</v>
      </c>
      <c r="E4578" t="s">
        <v>5</v>
      </c>
      <c r="F4578">
        <v>112981014</v>
      </c>
      <c r="G4578" t="s">
        <v>367</v>
      </c>
      <c r="H4578" t="s">
        <v>263</v>
      </c>
      <c r="I4578">
        <v>0</v>
      </c>
      <c r="J4578">
        <v>0</v>
      </c>
      <c r="K4578">
        <v>0</v>
      </c>
      <c r="L4578">
        <v>0</v>
      </c>
      <c r="M4578">
        <v>0.03</v>
      </c>
      <c r="N4578" s="7" t="str">
        <f>VLOOKUP(F4578,HC!A$6:D$100,3,FALSE)</f>
        <v>DJ-X0700</v>
      </c>
      <c r="O4578" s="7" t="str">
        <f>VLOOKUP(F4578,HC!A$6:D$1000,2,FALSE)</f>
        <v>rpabloul</v>
      </c>
    </row>
    <row r="4579" spans="1:15" ht="37.5" customHeight="1" x14ac:dyDescent="0.25">
      <c r="A4579" s="23">
        <v>45251</v>
      </c>
      <c r="B4579" s="13">
        <v>47</v>
      </c>
      <c r="C4579" t="s">
        <v>3</v>
      </c>
      <c r="D4579" t="s">
        <v>4</v>
      </c>
      <c r="E4579" t="s">
        <v>5</v>
      </c>
      <c r="F4579">
        <v>112981194</v>
      </c>
      <c r="G4579" t="s">
        <v>540</v>
      </c>
      <c r="H4579" t="s">
        <v>332</v>
      </c>
      <c r="I4579">
        <v>0</v>
      </c>
      <c r="J4579">
        <v>0</v>
      </c>
      <c r="K4579">
        <v>0</v>
      </c>
      <c r="L4579">
        <v>0</v>
      </c>
      <c r="M4579">
        <v>0.16</v>
      </c>
      <c r="N4579" s="7" t="str">
        <f>VLOOKUP(F4579,HC!A$6:D$100,3,FALSE)</f>
        <v>NF-X1900</v>
      </c>
      <c r="O4579" s="7" t="str">
        <f>VLOOKUP(F4579,HC!A$6:D$1000,2,FALSE)</f>
        <v>csandrak</v>
      </c>
    </row>
    <row r="4580" spans="1:15" ht="37.5" customHeight="1" x14ac:dyDescent="0.25">
      <c r="A4580" s="23">
        <v>45251</v>
      </c>
      <c r="B4580" s="13">
        <v>47</v>
      </c>
      <c r="C4580" t="s">
        <v>3</v>
      </c>
      <c r="D4580" t="s">
        <v>4</v>
      </c>
      <c r="E4580" t="s">
        <v>5</v>
      </c>
      <c r="F4580">
        <v>200404250</v>
      </c>
      <c r="G4580" t="s">
        <v>51</v>
      </c>
      <c r="H4580" t="s">
        <v>49</v>
      </c>
      <c r="I4580">
        <v>0</v>
      </c>
      <c r="J4580">
        <v>0</v>
      </c>
      <c r="K4580">
        <v>0</v>
      </c>
      <c r="L4580">
        <v>0</v>
      </c>
      <c r="M4580">
        <v>0.3</v>
      </c>
      <c r="N4580" s="7" t="e">
        <f>VLOOKUP(F4580,HC!A$6:D$100,3,FALSE)</f>
        <v>#N/A</v>
      </c>
      <c r="O4580" s="7" t="str">
        <f>VLOOKUP(F4580,HC!A$6:D$1000,2,FALSE)</f>
        <v>xcathurt</v>
      </c>
    </row>
    <row r="4581" spans="1:15" ht="37.5" customHeight="1" x14ac:dyDescent="0.25">
      <c r="A4581" s="23">
        <v>45251</v>
      </c>
      <c r="B4581" s="13">
        <v>47</v>
      </c>
      <c r="C4581" t="s">
        <v>3</v>
      </c>
      <c r="D4581" t="s">
        <v>4</v>
      </c>
      <c r="E4581" t="s">
        <v>5</v>
      </c>
      <c r="F4581">
        <v>200574345</v>
      </c>
      <c r="G4581" t="s">
        <v>476</v>
      </c>
      <c r="H4581" t="s">
        <v>49</v>
      </c>
      <c r="I4581">
        <v>0</v>
      </c>
      <c r="J4581">
        <v>0</v>
      </c>
      <c r="K4581">
        <v>0</v>
      </c>
      <c r="L4581">
        <v>0</v>
      </c>
      <c r="M4581">
        <v>0.11</v>
      </c>
      <c r="N4581" s="7" t="e">
        <f>VLOOKUP(F4581,HC!A$6:D$100,3,FALSE)</f>
        <v>#N/A</v>
      </c>
      <c r="O4581" s="7" t="str">
        <f>VLOOKUP(F4581,HC!A$6:D$1000,2,FALSE)</f>
        <v>contrexj</v>
      </c>
    </row>
    <row r="4582" spans="1:15" ht="37.5" customHeight="1" x14ac:dyDescent="0.25">
      <c r="A4582" s="23">
        <v>45251</v>
      </c>
      <c r="B4582" s="13">
        <v>47</v>
      </c>
      <c r="C4582" t="s">
        <v>3</v>
      </c>
      <c r="D4582" t="s">
        <v>4</v>
      </c>
      <c r="E4582" t="s">
        <v>5</v>
      </c>
      <c r="F4582">
        <v>201167501</v>
      </c>
      <c r="G4582" t="s">
        <v>863</v>
      </c>
      <c r="H4582" t="s">
        <v>49</v>
      </c>
      <c r="I4582">
        <v>0</v>
      </c>
      <c r="J4582">
        <v>0</v>
      </c>
      <c r="K4582">
        <v>0</v>
      </c>
      <c r="L4582">
        <v>0</v>
      </c>
      <c r="M4582">
        <v>0.09</v>
      </c>
      <c r="N4582" s="7" t="e">
        <f>VLOOKUP(F4582,HC!A$6:D$100,3,FALSE)</f>
        <v>#N/A</v>
      </c>
      <c r="O4582" s="7" t="str">
        <f>VLOOKUP(F4582,HC!A$6:D$1000,2,FALSE)</f>
        <v>wguanajr</v>
      </c>
    </row>
    <row r="4583" spans="1:15" ht="37.5" customHeight="1" x14ac:dyDescent="0.25">
      <c r="A4583" s="23">
        <v>45251</v>
      </c>
      <c r="B4583" s="13">
        <v>47</v>
      </c>
      <c r="C4583" t="s">
        <v>3</v>
      </c>
      <c r="D4583" t="s">
        <v>4</v>
      </c>
      <c r="E4583" t="s">
        <v>5</v>
      </c>
      <c r="F4583">
        <v>201202093</v>
      </c>
      <c r="G4583" t="s">
        <v>479</v>
      </c>
      <c r="H4583" t="s">
        <v>298</v>
      </c>
      <c r="I4583">
        <v>0</v>
      </c>
      <c r="J4583">
        <v>0</v>
      </c>
      <c r="K4583">
        <v>0</v>
      </c>
      <c r="L4583">
        <v>0</v>
      </c>
      <c r="M4583">
        <v>0.03</v>
      </c>
      <c r="N4583" s="7" t="e">
        <f>VLOOKUP(F4583,HC!A$6:D$100,3,FALSE)</f>
        <v>#N/A</v>
      </c>
      <c r="O4583" s="7" t="str">
        <f>VLOOKUP(F4583,HC!A$6:D$1000,2,FALSE)</f>
        <v>eliorten</v>
      </c>
    </row>
    <row r="4584" spans="1:15" ht="37.5" customHeight="1" x14ac:dyDescent="0.25">
      <c r="A4584" s="23">
        <v>45251</v>
      </c>
      <c r="B4584" s="13">
        <v>47</v>
      </c>
      <c r="C4584" t="s">
        <v>3</v>
      </c>
      <c r="D4584" t="s">
        <v>4</v>
      </c>
      <c r="E4584" t="s">
        <v>5</v>
      </c>
      <c r="F4584">
        <v>201223730</v>
      </c>
      <c r="G4584" t="s">
        <v>933</v>
      </c>
      <c r="H4584" t="s">
        <v>298</v>
      </c>
      <c r="I4584">
        <v>0</v>
      </c>
      <c r="J4584">
        <v>0</v>
      </c>
      <c r="K4584">
        <v>0</v>
      </c>
      <c r="L4584">
        <v>0</v>
      </c>
      <c r="M4584">
        <v>0.15</v>
      </c>
      <c r="N4584" s="7" t="e">
        <f>VLOOKUP(F4584,HC!A$6:D$100,3,FALSE)</f>
        <v>#N/A</v>
      </c>
      <c r="O4584" s="7" t="str">
        <f>VLOOKUP(F4584,HC!A$6:D$1000,2,FALSE)</f>
        <v>cesarito</v>
      </c>
    </row>
    <row r="4585" spans="1:15" ht="37.5" customHeight="1" x14ac:dyDescent="0.25">
      <c r="A4585" s="23">
        <v>45251</v>
      </c>
      <c r="B4585" s="13">
        <v>47</v>
      </c>
      <c r="C4585" t="s">
        <v>3</v>
      </c>
      <c r="D4585" t="s">
        <v>4</v>
      </c>
      <c r="E4585" t="s">
        <v>5</v>
      </c>
      <c r="F4585">
        <v>201228411</v>
      </c>
      <c r="G4585" t="s">
        <v>938</v>
      </c>
      <c r="H4585" t="s">
        <v>298</v>
      </c>
      <c r="I4585">
        <v>0</v>
      </c>
      <c r="J4585">
        <v>0</v>
      </c>
      <c r="K4585">
        <v>0</v>
      </c>
      <c r="L4585">
        <v>0</v>
      </c>
      <c r="M4585">
        <v>0.14000000000000001</v>
      </c>
      <c r="N4585" s="7" t="e">
        <f>VLOOKUP(F4585,HC!A$6:D$100,3,FALSE)</f>
        <v>#N/A</v>
      </c>
      <c r="O4585" s="7" t="str">
        <f>VLOOKUP(F4585,HC!A$6:D$1000,2,FALSE)</f>
        <v>jazmiwhe</v>
      </c>
    </row>
    <row r="4586" spans="1:15" ht="37.5" customHeight="1" x14ac:dyDescent="0.25">
      <c r="A4586" s="23">
        <v>45251</v>
      </c>
      <c r="B4586" s="13">
        <v>47</v>
      </c>
      <c r="C4586" t="s">
        <v>3</v>
      </c>
      <c r="D4586" t="s">
        <v>4</v>
      </c>
      <c r="E4586" t="s">
        <v>5</v>
      </c>
      <c r="F4586">
        <v>201378452</v>
      </c>
      <c r="G4586" t="s">
        <v>1173</v>
      </c>
      <c r="H4586" t="s">
        <v>1040</v>
      </c>
      <c r="I4586">
        <v>0</v>
      </c>
      <c r="J4586">
        <v>0</v>
      </c>
      <c r="K4586">
        <v>0</v>
      </c>
      <c r="L4586">
        <v>0</v>
      </c>
      <c r="M4586">
        <v>0.37</v>
      </c>
      <c r="N4586" s="7" t="e">
        <f>VLOOKUP(F4586,HC!A$6:D$100,3,FALSE)</f>
        <v>#N/A</v>
      </c>
      <c r="O4586" s="7" t="str">
        <f>VLOOKUP(F4586,HC!A$6:D$1000,2,FALSE)</f>
        <v>omhperez</v>
      </c>
    </row>
    <row r="4587" spans="1:15" ht="37.5" customHeight="1" x14ac:dyDescent="0.25">
      <c r="A4587" s="23">
        <v>45251</v>
      </c>
      <c r="B4587" s="13">
        <v>47</v>
      </c>
      <c r="C4587" t="s">
        <v>3</v>
      </c>
      <c r="D4587" t="s">
        <v>4</v>
      </c>
      <c r="E4587" t="s">
        <v>5</v>
      </c>
      <c r="F4587">
        <v>201842064</v>
      </c>
      <c r="G4587" t="s">
        <v>1241</v>
      </c>
      <c r="H4587" t="s">
        <v>285</v>
      </c>
      <c r="I4587">
        <v>0</v>
      </c>
      <c r="J4587">
        <v>0</v>
      </c>
      <c r="K4587">
        <v>0</v>
      </c>
      <c r="L4587">
        <v>0</v>
      </c>
      <c r="M4587">
        <v>0.19</v>
      </c>
      <c r="N4587" s="7" t="e">
        <f>VLOOKUP(F4587,HC!A$6:D$100,3,FALSE)</f>
        <v>#N/A</v>
      </c>
      <c r="O4587" s="7" t="str">
        <f>VLOOKUP(F4587,HC!A$6:D$1000,2,FALSE)</f>
        <v>agriandl</v>
      </c>
    </row>
    <row r="4588" spans="1:15" ht="37.5" customHeight="1" x14ac:dyDescent="0.25">
      <c r="A4588" s="23">
        <v>45251</v>
      </c>
      <c r="B4588" s="13">
        <v>47</v>
      </c>
      <c r="C4588" t="s">
        <v>3</v>
      </c>
      <c r="D4588" t="s">
        <v>4</v>
      </c>
      <c r="E4588" t="s">
        <v>5</v>
      </c>
      <c r="F4588">
        <v>201858867</v>
      </c>
      <c r="G4588" t="s">
        <v>1236</v>
      </c>
      <c r="H4588" t="s">
        <v>285</v>
      </c>
      <c r="I4588">
        <v>0</v>
      </c>
      <c r="J4588">
        <v>0</v>
      </c>
      <c r="K4588">
        <v>0</v>
      </c>
      <c r="L4588">
        <v>0</v>
      </c>
      <c r="M4588">
        <v>0.47</v>
      </c>
      <c r="N4588" s="7" t="e">
        <f>VLOOKUP(F4588,HC!A$6:D$100,3,FALSE)</f>
        <v>#N/A</v>
      </c>
      <c r="O4588" s="7" t="str">
        <f>VLOOKUP(F4588,HC!A$6:D$1000,2,FALSE)</f>
        <v>tcruzvel</v>
      </c>
    </row>
    <row r="4589" spans="1:15" ht="37.5" customHeight="1" x14ac:dyDescent="0.25">
      <c r="A4589" s="23">
        <v>45251</v>
      </c>
      <c r="B4589" s="13">
        <v>47</v>
      </c>
      <c r="C4589" t="s">
        <v>3</v>
      </c>
      <c r="D4589" t="s">
        <v>4</v>
      </c>
      <c r="E4589" t="s">
        <v>5</v>
      </c>
      <c r="F4589">
        <v>201890790</v>
      </c>
      <c r="G4589" t="s">
        <v>1416</v>
      </c>
      <c r="H4589" t="s">
        <v>49</v>
      </c>
      <c r="I4589">
        <v>0</v>
      </c>
      <c r="J4589">
        <v>0</v>
      </c>
      <c r="K4589">
        <v>0</v>
      </c>
      <c r="L4589">
        <v>0</v>
      </c>
      <c r="M4589">
        <v>0.17</v>
      </c>
      <c r="N4589" s="7" t="e">
        <f>VLOOKUP(F4589,HC!A$6:D$100,3,FALSE)</f>
        <v>#N/A</v>
      </c>
      <c r="O4589" s="7" t="str">
        <f>VLOOKUP(F4589,HC!A$6:D$1000,2,FALSE)</f>
        <v>vicxzuni</v>
      </c>
    </row>
    <row r="4590" spans="1:15" ht="37.5" customHeight="1" x14ac:dyDescent="0.25">
      <c r="A4590" s="23">
        <v>45251</v>
      </c>
      <c r="B4590" s="13">
        <v>47</v>
      </c>
      <c r="C4590" t="s">
        <v>3</v>
      </c>
      <c r="D4590" t="s">
        <v>4</v>
      </c>
      <c r="E4590" t="s">
        <v>5</v>
      </c>
      <c r="F4590">
        <v>201901910</v>
      </c>
      <c r="G4590" t="s">
        <v>1251</v>
      </c>
      <c r="H4590" t="s">
        <v>285</v>
      </c>
      <c r="I4590">
        <v>0</v>
      </c>
      <c r="J4590">
        <v>0</v>
      </c>
      <c r="K4590">
        <v>0</v>
      </c>
      <c r="L4590">
        <v>0</v>
      </c>
      <c r="M4590">
        <v>7.0000000000000007E-2</v>
      </c>
      <c r="N4590" s="7" t="e">
        <f>VLOOKUP(F4590,HC!A$6:D$100,3,FALSE)</f>
        <v>#N/A</v>
      </c>
      <c r="O4590" s="7" t="str">
        <f>VLOOKUP(F4590,HC!A$6:D$1000,2,FALSE)</f>
        <v>sfloredw</v>
      </c>
    </row>
    <row r="4591" spans="1:15" ht="37.5" customHeight="1" x14ac:dyDescent="0.25">
      <c r="A4591" s="23">
        <v>45251</v>
      </c>
      <c r="B4591" s="13">
        <v>47</v>
      </c>
      <c r="C4591" t="s">
        <v>3</v>
      </c>
      <c r="D4591" t="s">
        <v>4</v>
      </c>
      <c r="E4591" t="s">
        <v>21</v>
      </c>
      <c r="F4591">
        <v>202118346</v>
      </c>
      <c r="G4591" t="s">
        <v>1286</v>
      </c>
      <c r="H4591" t="s">
        <v>250</v>
      </c>
      <c r="I4591">
        <v>0</v>
      </c>
      <c r="J4591">
        <v>0</v>
      </c>
      <c r="K4591">
        <v>0</v>
      </c>
      <c r="L4591">
        <v>0</v>
      </c>
      <c r="M4591">
        <v>0.11</v>
      </c>
      <c r="N4591" s="7" t="e">
        <f>VLOOKUP(F4591,HC!A$6:D$100,3,FALSE)</f>
        <v>#N/A</v>
      </c>
      <c r="O4591" s="7" t="str">
        <f>VLOOKUP(F4591,HC!A$6:D$1000,2,FALSE)</f>
        <v>jesponcu</v>
      </c>
    </row>
    <row r="4592" spans="1:15" ht="37.5" customHeight="1" x14ac:dyDescent="0.25">
      <c r="A4592" s="23">
        <v>45251</v>
      </c>
      <c r="B4592" s="13">
        <v>47</v>
      </c>
      <c r="C4592" t="s">
        <v>3</v>
      </c>
      <c r="D4592" t="s">
        <v>4</v>
      </c>
      <c r="E4592" t="s">
        <v>21</v>
      </c>
      <c r="F4592">
        <v>202129193</v>
      </c>
      <c r="G4592" t="s">
        <v>1732</v>
      </c>
      <c r="H4592" t="s">
        <v>7</v>
      </c>
      <c r="I4592">
        <v>0</v>
      </c>
      <c r="J4592">
        <v>0</v>
      </c>
      <c r="K4592">
        <v>0</v>
      </c>
      <c r="L4592">
        <v>0</v>
      </c>
      <c r="M4592">
        <v>0.28000000000000003</v>
      </c>
      <c r="N4592" s="7" t="e">
        <f>VLOOKUP(F4592,HC!A$6:D$100,3,FALSE)</f>
        <v>#N/A</v>
      </c>
      <c r="O4592" s="7" t="str">
        <f>VLOOKUP(F4592,HC!A$6:D$1000,2,FALSE)</f>
        <v>herngang</v>
      </c>
    </row>
    <row r="4593" spans="1:17" ht="37.5" customHeight="1" x14ac:dyDescent="0.25">
      <c r="A4593" s="23">
        <v>45251</v>
      </c>
      <c r="B4593" s="13">
        <v>47</v>
      </c>
      <c r="C4593" t="s">
        <v>3</v>
      </c>
      <c r="D4593" t="s">
        <v>4</v>
      </c>
      <c r="E4593" t="s">
        <v>21</v>
      </c>
      <c r="F4593">
        <v>202133575</v>
      </c>
      <c r="G4593" t="s">
        <v>2093</v>
      </c>
      <c r="H4593" t="s">
        <v>250</v>
      </c>
      <c r="I4593">
        <v>0</v>
      </c>
      <c r="J4593">
        <v>0</v>
      </c>
      <c r="K4593">
        <v>0</v>
      </c>
      <c r="L4593">
        <v>0</v>
      </c>
      <c r="M4593">
        <v>0.14000000000000001</v>
      </c>
      <c r="N4593" s="7" t="e">
        <f>VLOOKUP(F4593,HC!A$6:D$100,3,FALSE)</f>
        <v>#N/A</v>
      </c>
      <c r="O4593" s="7" t="str">
        <f>VLOOKUP(F4593,HC!A$6:D$1000,2,FALSE)</f>
        <v>andfalca</v>
      </c>
    </row>
    <row r="4594" spans="1:17" ht="37.5" customHeight="1" x14ac:dyDescent="0.25">
      <c r="A4594" s="23">
        <v>45251</v>
      </c>
      <c r="B4594" s="13">
        <v>47</v>
      </c>
      <c r="C4594" t="s">
        <v>3</v>
      </c>
      <c r="D4594" t="s">
        <v>4</v>
      </c>
      <c r="E4594" t="s">
        <v>21</v>
      </c>
      <c r="F4594">
        <v>202137341</v>
      </c>
      <c r="G4594" t="s">
        <v>1291</v>
      </c>
      <c r="H4594" t="s">
        <v>250</v>
      </c>
      <c r="I4594">
        <v>0</v>
      </c>
      <c r="J4594">
        <v>0</v>
      </c>
      <c r="K4594">
        <v>0</v>
      </c>
      <c r="L4594">
        <v>0</v>
      </c>
      <c r="M4594">
        <v>0.25</v>
      </c>
      <c r="N4594" s="7" t="e">
        <f>VLOOKUP(F4594,HC!A$6:D$100,3,FALSE)</f>
        <v>#N/A</v>
      </c>
      <c r="O4594" s="7" t="str">
        <f>VLOOKUP(F4594,HC!A$6:D$1000,2,FALSE)</f>
        <v>xedgabra</v>
      </c>
    </row>
    <row r="4595" spans="1:17" ht="37.5" customHeight="1" x14ac:dyDescent="0.25">
      <c r="A4595" s="23">
        <v>45251</v>
      </c>
      <c r="B4595" s="13">
        <v>47</v>
      </c>
      <c r="C4595" t="s">
        <v>3</v>
      </c>
      <c r="D4595" t="s">
        <v>4</v>
      </c>
      <c r="E4595" t="s">
        <v>21</v>
      </c>
      <c r="F4595">
        <v>202165242</v>
      </c>
      <c r="G4595" t="s">
        <v>1412</v>
      </c>
      <c r="H4595" t="s">
        <v>403</v>
      </c>
      <c r="I4595">
        <v>0</v>
      </c>
      <c r="J4595">
        <v>0</v>
      </c>
      <c r="K4595">
        <v>0</v>
      </c>
      <c r="L4595">
        <v>0</v>
      </c>
      <c r="M4595">
        <v>0.23</v>
      </c>
      <c r="N4595" s="7" t="e">
        <f>VLOOKUP(F4595,HC!A$6:D$100,3,FALSE)</f>
        <v>#N/A</v>
      </c>
      <c r="O4595" s="7" t="str">
        <f>VLOOKUP(F4595,HC!A$6:D$1000,2,FALSE)</f>
        <v>marcqgon</v>
      </c>
    </row>
    <row r="4596" spans="1:17" ht="37.5" customHeight="1" x14ac:dyDescent="0.25">
      <c r="A4596" s="23">
        <v>45251</v>
      </c>
      <c r="B4596" s="13">
        <v>47</v>
      </c>
      <c r="C4596" t="s">
        <v>3</v>
      </c>
      <c r="D4596" t="s">
        <v>4</v>
      </c>
      <c r="E4596" t="s">
        <v>21</v>
      </c>
      <c r="F4596">
        <v>202175671</v>
      </c>
      <c r="G4596" t="s">
        <v>1421</v>
      </c>
      <c r="H4596" t="s">
        <v>403</v>
      </c>
      <c r="I4596">
        <v>0</v>
      </c>
      <c r="J4596">
        <v>0</v>
      </c>
      <c r="K4596">
        <v>0</v>
      </c>
      <c r="L4596">
        <v>0</v>
      </c>
      <c r="M4596">
        <v>1.24</v>
      </c>
      <c r="N4596" s="7" t="e">
        <f>VLOOKUP(F4596,HC!A$6:D$100,3,FALSE)</f>
        <v>#N/A</v>
      </c>
      <c r="O4596" s="7" t="str">
        <f>VLOOKUP(F4596,HC!A$6:D$1000,2,FALSE)</f>
        <v>laucruzc</v>
      </c>
    </row>
    <row r="4597" spans="1:17" ht="37.5" customHeight="1" x14ac:dyDescent="0.25">
      <c r="A4597" s="23">
        <v>45251</v>
      </c>
      <c r="B4597" s="13">
        <v>47</v>
      </c>
      <c r="C4597" t="s">
        <v>3</v>
      </c>
      <c r="D4597" t="s">
        <v>4</v>
      </c>
      <c r="E4597" t="s">
        <v>21</v>
      </c>
      <c r="F4597">
        <v>202189092</v>
      </c>
      <c r="G4597" t="s">
        <v>2044</v>
      </c>
      <c r="H4597" t="s">
        <v>403</v>
      </c>
      <c r="I4597">
        <v>0</v>
      </c>
      <c r="J4597">
        <v>0</v>
      </c>
      <c r="K4597">
        <v>0</v>
      </c>
      <c r="L4597">
        <v>0</v>
      </c>
      <c r="M4597">
        <v>0.41</v>
      </c>
      <c r="N4597" s="7" t="e">
        <f>VLOOKUP(F4597,HC!A$6:D$100,3,FALSE)</f>
        <v>#N/A</v>
      </c>
      <c r="O4597" s="7" t="str">
        <f>VLOOKUP(F4597,HC!A$6:D$1000,2,FALSE)</f>
        <v>lgabrica</v>
      </c>
    </row>
    <row r="4598" spans="1:17" ht="37.5" customHeight="1" x14ac:dyDescent="0.25">
      <c r="A4598" s="23">
        <v>45251</v>
      </c>
      <c r="B4598" s="13">
        <v>47</v>
      </c>
      <c r="C4598" t="s">
        <v>3</v>
      </c>
      <c r="D4598" t="s">
        <v>4</v>
      </c>
      <c r="E4598" t="s">
        <v>21</v>
      </c>
      <c r="F4598">
        <v>202253767</v>
      </c>
      <c r="G4598" t="s">
        <v>1792</v>
      </c>
      <c r="H4598" t="s">
        <v>332</v>
      </c>
      <c r="I4598">
        <v>0</v>
      </c>
      <c r="J4598">
        <v>0</v>
      </c>
      <c r="K4598">
        <v>0</v>
      </c>
      <c r="L4598">
        <v>0</v>
      </c>
      <c r="M4598">
        <v>0.13</v>
      </c>
      <c r="N4598" s="7" t="e">
        <f>VLOOKUP(F4598,HC!A$6:D$100,3,FALSE)</f>
        <v>#N/A</v>
      </c>
      <c r="O4598" s="7" t="str">
        <f>VLOOKUP(F4598,HC!A$6:D$1000,2,FALSE)</f>
        <v>jromefra</v>
      </c>
    </row>
    <row r="4599" spans="1:17" ht="37.5" customHeight="1" x14ac:dyDescent="0.25">
      <c r="A4599" s="23">
        <v>45251</v>
      </c>
      <c r="B4599" s="13">
        <v>47</v>
      </c>
      <c r="C4599" t="s">
        <v>3</v>
      </c>
      <c r="D4599" t="s">
        <v>4</v>
      </c>
      <c r="E4599" t="s">
        <v>21</v>
      </c>
      <c r="F4599">
        <v>202265870</v>
      </c>
      <c r="G4599" t="s">
        <v>1766</v>
      </c>
      <c r="H4599" t="s">
        <v>49</v>
      </c>
      <c r="I4599">
        <v>0</v>
      </c>
      <c r="J4599">
        <v>0</v>
      </c>
      <c r="K4599">
        <v>0</v>
      </c>
      <c r="L4599">
        <v>0</v>
      </c>
      <c r="M4599">
        <v>0.19</v>
      </c>
      <c r="N4599" s="7" t="e">
        <f>VLOOKUP(F4599,HC!A$6:D$100,3,FALSE)</f>
        <v>#N/A</v>
      </c>
      <c r="O4599" s="7" t="str">
        <f>VLOOKUP(F4599,HC!A$6:D$1000,2,FALSE)</f>
        <v>falexahi</v>
      </c>
    </row>
    <row r="4600" spans="1:17" ht="37.5" customHeight="1" x14ac:dyDescent="0.25">
      <c r="A4600" s="23">
        <v>45251</v>
      </c>
      <c r="B4600" s="13">
        <v>47</v>
      </c>
      <c r="C4600" t="s">
        <v>3</v>
      </c>
      <c r="D4600" t="s">
        <v>4</v>
      </c>
      <c r="E4600" t="s">
        <v>21</v>
      </c>
      <c r="F4600">
        <v>202265921</v>
      </c>
      <c r="G4600" t="s">
        <v>1476</v>
      </c>
      <c r="H4600" t="s">
        <v>250</v>
      </c>
      <c r="I4600">
        <v>0</v>
      </c>
      <c r="J4600">
        <v>0</v>
      </c>
      <c r="K4600">
        <v>0</v>
      </c>
      <c r="L4600">
        <v>0</v>
      </c>
      <c r="M4600">
        <v>0.33</v>
      </c>
      <c r="N4600" s="7" t="e">
        <f>VLOOKUP(F4600,HC!A$6:D$100,3,FALSE)</f>
        <v>#N/A</v>
      </c>
      <c r="O4600" s="7" t="str">
        <f>VLOOKUP(F4600,HC!A$6:D$1000,2,FALSE)</f>
        <v>mauperea</v>
      </c>
    </row>
    <row r="4601" spans="1:17" ht="37.5" customHeight="1" x14ac:dyDescent="0.25">
      <c r="A4601" s="23">
        <v>45251</v>
      </c>
      <c r="B4601" s="13">
        <v>47</v>
      </c>
      <c r="C4601" t="s">
        <v>3</v>
      </c>
      <c r="D4601" t="s">
        <v>4</v>
      </c>
      <c r="E4601" t="s">
        <v>21</v>
      </c>
      <c r="F4601">
        <v>202288453</v>
      </c>
      <c r="G4601" t="s">
        <v>2066</v>
      </c>
      <c r="H4601" t="s">
        <v>332</v>
      </c>
      <c r="I4601">
        <v>0</v>
      </c>
      <c r="J4601">
        <v>0</v>
      </c>
      <c r="K4601">
        <v>0</v>
      </c>
      <c r="L4601">
        <v>0</v>
      </c>
      <c r="M4601">
        <v>0.18</v>
      </c>
      <c r="N4601" s="7" t="e">
        <f>VLOOKUP(F4601,HC!A$6:D$100,3,FALSE)</f>
        <v>#N/A</v>
      </c>
      <c r="O4601" s="7" t="str">
        <f>VLOOKUP(F4601,HC!A$6:D$1000,2,FALSE)</f>
        <v>geroagui</v>
      </c>
    </row>
    <row r="4602" spans="1:17" ht="37.5" customHeight="1" x14ac:dyDescent="0.25">
      <c r="A4602" s="23">
        <v>45251</v>
      </c>
      <c r="B4602" s="13">
        <v>47</v>
      </c>
      <c r="C4602" t="s">
        <v>3</v>
      </c>
      <c r="D4602" t="s">
        <v>4</v>
      </c>
      <c r="E4602" t="s">
        <v>21</v>
      </c>
      <c r="F4602">
        <v>202291418</v>
      </c>
      <c r="G4602" t="s">
        <v>2081</v>
      </c>
      <c r="H4602" t="s">
        <v>7</v>
      </c>
      <c r="I4602">
        <v>0</v>
      </c>
      <c r="J4602">
        <v>0</v>
      </c>
      <c r="K4602">
        <v>0</v>
      </c>
      <c r="L4602">
        <v>0</v>
      </c>
      <c r="M4602">
        <v>0.28999999999999998</v>
      </c>
      <c r="N4602" s="7" t="e">
        <f>VLOOKUP(F4602,HC!A$6:D$100,3,FALSE)</f>
        <v>#N/A</v>
      </c>
      <c r="O4602" s="7" t="str">
        <f>VLOOKUP(F4602,HC!A$6:D$1000,2,FALSE)</f>
        <v>saiibarr</v>
      </c>
    </row>
    <row r="4603" spans="1:17" ht="37.5" customHeight="1" x14ac:dyDescent="0.25">
      <c r="A4603" s="23">
        <v>45251</v>
      </c>
      <c r="B4603" s="13">
        <v>47</v>
      </c>
      <c r="C4603" t="s">
        <v>3</v>
      </c>
      <c r="D4603" t="s">
        <v>4</v>
      </c>
      <c r="E4603" t="s">
        <v>21</v>
      </c>
      <c r="F4603">
        <v>202304949</v>
      </c>
      <c r="G4603" t="s">
        <v>2091</v>
      </c>
      <c r="H4603" t="s">
        <v>7</v>
      </c>
      <c r="I4603">
        <v>0</v>
      </c>
      <c r="J4603">
        <v>0</v>
      </c>
      <c r="K4603">
        <v>0</v>
      </c>
      <c r="L4603">
        <v>0</v>
      </c>
      <c r="M4603">
        <v>0.25</v>
      </c>
      <c r="N4603" s="7" t="e">
        <f>VLOOKUP(F4603,HC!A$6:D$100,3,FALSE)</f>
        <v>#N/A</v>
      </c>
      <c r="O4603" s="7" t="str">
        <f>VLOOKUP(F4603,HC!A$6:D$1000,2,FALSE)</f>
        <v>barajcla</v>
      </c>
    </row>
    <row r="4604" spans="1:17" ht="37.5" customHeight="1" x14ac:dyDescent="0.25">
      <c r="A4604" s="23">
        <v>45251</v>
      </c>
      <c r="B4604" s="13">
        <v>47</v>
      </c>
      <c r="C4604" t="s">
        <v>3</v>
      </c>
      <c r="D4604" t="s">
        <v>4</v>
      </c>
      <c r="E4604" t="s">
        <v>21</v>
      </c>
      <c r="F4604">
        <v>202408362</v>
      </c>
      <c r="G4604" t="s">
        <v>1746</v>
      </c>
      <c r="H4604" t="s">
        <v>282</v>
      </c>
      <c r="I4604">
        <v>0</v>
      </c>
      <c r="J4604">
        <v>0</v>
      </c>
      <c r="K4604">
        <v>0</v>
      </c>
      <c r="L4604">
        <v>0</v>
      </c>
      <c r="M4604">
        <v>0.27</v>
      </c>
      <c r="N4604" s="7" t="e">
        <f>VLOOKUP(F4604,HC!A$6:D$100,3,FALSE)</f>
        <v>#N/A</v>
      </c>
      <c r="O4604" s="7" t="str">
        <f>VLOOKUP(F4604,HC!A$6:D$1000,2,FALSE)</f>
        <v>alhepaz</v>
      </c>
    </row>
    <row r="4605" spans="1:17" ht="37.5" customHeight="1" x14ac:dyDescent="0.25">
      <c r="A4605" s="23">
        <v>45251</v>
      </c>
      <c r="B4605" s="13">
        <v>47</v>
      </c>
      <c r="C4605" t="s">
        <v>3</v>
      </c>
      <c r="D4605" t="s">
        <v>4</v>
      </c>
      <c r="E4605" t="s">
        <v>21</v>
      </c>
      <c r="F4605">
        <v>202442761</v>
      </c>
      <c r="G4605" t="s">
        <v>2083</v>
      </c>
      <c r="H4605" t="s">
        <v>282</v>
      </c>
      <c r="I4605">
        <v>0</v>
      </c>
      <c r="J4605">
        <v>0</v>
      </c>
      <c r="K4605">
        <v>0</v>
      </c>
      <c r="L4605">
        <v>0</v>
      </c>
      <c r="M4605">
        <v>0.13</v>
      </c>
      <c r="N4605" s="7" t="e">
        <f>VLOOKUP(F4605,HC!A$6:D$100,3,FALSE)</f>
        <v>#N/A</v>
      </c>
      <c r="O4605" s="7" t="str">
        <f>VLOOKUP(F4605,HC!A$6:D$1000,2,FALSE)</f>
        <v>valqsara</v>
      </c>
    </row>
    <row r="4606" spans="1:17" ht="37.5" customHeight="1" x14ac:dyDescent="0.25">
      <c r="A4606" s="23">
        <v>45251</v>
      </c>
      <c r="B4606" s="13">
        <v>47</v>
      </c>
      <c r="C4606" t="s">
        <v>3</v>
      </c>
      <c r="D4606" t="s">
        <v>4</v>
      </c>
      <c r="E4606" t="s">
        <v>21</v>
      </c>
      <c r="F4606">
        <v>202474285</v>
      </c>
      <c r="G4606" t="s">
        <v>2094</v>
      </c>
      <c r="H4606" t="s">
        <v>332</v>
      </c>
      <c r="I4606">
        <v>0</v>
      </c>
      <c r="J4606">
        <v>0</v>
      </c>
      <c r="K4606">
        <v>0</v>
      </c>
      <c r="L4606">
        <v>0</v>
      </c>
      <c r="M4606">
        <v>0.5</v>
      </c>
      <c r="N4606" s="7" t="e">
        <f>VLOOKUP(F4606,HC!A$6:D$100,3,FALSE)</f>
        <v>#N/A</v>
      </c>
      <c r="O4606" s="7" t="str">
        <f>VLOOKUP(F4606,HC!A$6:D$1000,2,FALSE)</f>
        <v>idavvarg</v>
      </c>
    </row>
    <row r="4607" spans="1:17" ht="37.5" customHeight="1" x14ac:dyDescent="0.25">
      <c r="A4607" s="23">
        <v>45251</v>
      </c>
      <c r="B4607" s="13">
        <v>47</v>
      </c>
      <c r="C4607" t="s">
        <v>3</v>
      </c>
      <c r="D4607" t="s">
        <v>4</v>
      </c>
      <c r="E4607" t="s">
        <v>21</v>
      </c>
      <c r="F4607">
        <v>202480064</v>
      </c>
      <c r="G4607" t="s">
        <v>2033</v>
      </c>
      <c r="H4607" t="s">
        <v>332</v>
      </c>
      <c r="I4607">
        <v>0</v>
      </c>
      <c r="J4607">
        <v>0</v>
      </c>
      <c r="K4607">
        <v>0</v>
      </c>
      <c r="L4607">
        <v>0</v>
      </c>
      <c r="M4607">
        <v>0.05</v>
      </c>
      <c r="N4607" s="7" t="e">
        <f>VLOOKUP(F4607,HC!A$6:D$100,3,FALSE)</f>
        <v>#N/A</v>
      </c>
      <c r="O4607" s="7" t="str">
        <f>VLOOKUP(F4607,HC!A$6:D$1000,2,FALSE)</f>
        <v>hcesarda</v>
      </c>
      <c r="P4607" t="s">
        <v>661</v>
      </c>
      <c r="Q4607" t="s">
        <v>681</v>
      </c>
    </row>
    <row r="4608" spans="1:17" ht="37.5" customHeight="1" x14ac:dyDescent="0.25">
      <c r="A4608" s="23">
        <v>45251</v>
      </c>
      <c r="B4608" s="13">
        <v>47</v>
      </c>
      <c r="C4608" t="s">
        <v>3</v>
      </c>
      <c r="D4608" t="s">
        <v>4</v>
      </c>
      <c r="E4608" t="s">
        <v>21</v>
      </c>
      <c r="F4608">
        <v>202480065</v>
      </c>
      <c r="G4608" t="s">
        <v>2095</v>
      </c>
      <c r="H4608" t="s">
        <v>332</v>
      </c>
      <c r="I4608">
        <v>0</v>
      </c>
      <c r="J4608">
        <v>0</v>
      </c>
      <c r="K4608">
        <v>0</v>
      </c>
      <c r="L4608">
        <v>0</v>
      </c>
      <c r="M4608">
        <v>0.4</v>
      </c>
      <c r="N4608" s="7" t="e">
        <f>VLOOKUP(F4608,HC!A$6:D$100,3,FALSE)</f>
        <v>#N/A</v>
      </c>
      <c r="O4608" s="7" t="str">
        <f>VLOOKUP(F4608,HC!A$6:D$1000,2,FALSE)</f>
        <v>estatere</v>
      </c>
      <c r="P4608" t="s">
        <v>661</v>
      </c>
    </row>
    <row r="4609" spans="1:16" ht="37.5" customHeight="1" x14ac:dyDescent="0.25">
      <c r="A4609" s="23">
        <v>45251</v>
      </c>
      <c r="B4609" s="13">
        <v>47</v>
      </c>
      <c r="C4609" t="s">
        <v>3</v>
      </c>
      <c r="D4609" t="s">
        <v>4</v>
      </c>
      <c r="E4609" t="s">
        <v>21</v>
      </c>
      <c r="F4609">
        <v>202480098</v>
      </c>
      <c r="G4609" t="s">
        <v>2039</v>
      </c>
      <c r="H4609" t="s">
        <v>1040</v>
      </c>
      <c r="I4609">
        <v>0</v>
      </c>
      <c r="J4609">
        <v>0</v>
      </c>
      <c r="K4609">
        <v>0</v>
      </c>
      <c r="L4609">
        <v>0</v>
      </c>
      <c r="M4609">
        <v>0.1</v>
      </c>
      <c r="N4609" s="7" t="e">
        <f>VLOOKUP(F4609,HC!A$6:D$100,3,FALSE)</f>
        <v>#N/A</v>
      </c>
      <c r="O4609" s="7" t="str">
        <f>VLOOKUP(F4609,HC!A$6:D$1000,2,FALSE)</f>
        <v>uibarale</v>
      </c>
      <c r="P4609" t="s">
        <v>661</v>
      </c>
    </row>
    <row r="4610" spans="1:16" ht="37.5" customHeight="1" x14ac:dyDescent="0.25">
      <c r="A4610" s="23">
        <v>45251</v>
      </c>
      <c r="B4610" s="13">
        <v>47</v>
      </c>
      <c r="C4610" t="s">
        <v>3</v>
      </c>
      <c r="D4610" t="s">
        <v>4</v>
      </c>
      <c r="E4610" t="s">
        <v>21</v>
      </c>
      <c r="F4610">
        <v>202484078</v>
      </c>
      <c r="G4610" t="s">
        <v>2096</v>
      </c>
      <c r="H4610" t="s">
        <v>332</v>
      </c>
      <c r="I4610">
        <v>0</v>
      </c>
      <c r="J4610">
        <v>0</v>
      </c>
      <c r="K4610">
        <v>0</v>
      </c>
      <c r="L4610">
        <v>0</v>
      </c>
      <c r="M4610">
        <v>0.19</v>
      </c>
      <c r="N4610" s="7" t="e">
        <f>VLOOKUP(F4610,HC!A$6:D$100,3,FALSE)</f>
        <v>#N/A</v>
      </c>
      <c r="O4610" s="7" t="str">
        <f>VLOOKUP(F4610,HC!A$6:D$1000,2,FALSE)</f>
        <v>ljuananm</v>
      </c>
    </row>
    <row r="4611" spans="1:16" ht="37.5" customHeight="1" x14ac:dyDescent="0.25">
      <c r="A4611" s="23">
        <v>45251</v>
      </c>
      <c r="B4611" s="13">
        <v>47</v>
      </c>
      <c r="C4611" t="s">
        <v>3</v>
      </c>
      <c r="D4611" t="s">
        <v>4</v>
      </c>
      <c r="E4611" t="s">
        <v>21</v>
      </c>
      <c r="F4611">
        <v>202512055</v>
      </c>
      <c r="G4611" t="s">
        <v>2084</v>
      </c>
      <c r="H4611" t="s">
        <v>332</v>
      </c>
      <c r="I4611">
        <v>0</v>
      </c>
      <c r="J4611">
        <v>0</v>
      </c>
      <c r="K4611">
        <v>0</v>
      </c>
      <c r="L4611">
        <v>0</v>
      </c>
      <c r="M4611">
        <v>0.44</v>
      </c>
      <c r="N4611" s="7" t="e">
        <f>VLOOKUP(F4611,HC!A$6:D$100,3,FALSE)</f>
        <v>#N/A</v>
      </c>
      <c r="O4611" s="7" t="str">
        <f>VLOOKUP(F4611,HC!A$6:D$1000,2,FALSE)</f>
        <v>alvsrica</v>
      </c>
    </row>
    <row r="4612" spans="1:16" ht="37.5" customHeight="1" x14ac:dyDescent="0.25">
      <c r="A4612" s="23">
        <v>45251</v>
      </c>
      <c r="B4612" s="13">
        <v>47</v>
      </c>
      <c r="C4612" t="s">
        <v>3</v>
      </c>
      <c r="D4612" t="s">
        <v>4</v>
      </c>
      <c r="E4612" t="s">
        <v>21</v>
      </c>
      <c r="F4612">
        <v>202534151</v>
      </c>
      <c r="G4612" t="s">
        <v>2097</v>
      </c>
      <c r="H4612" t="s">
        <v>282</v>
      </c>
      <c r="I4612">
        <v>0</v>
      </c>
      <c r="J4612">
        <v>0</v>
      </c>
      <c r="K4612">
        <v>0</v>
      </c>
      <c r="L4612">
        <v>0</v>
      </c>
      <c r="M4612">
        <v>1.02</v>
      </c>
      <c r="N4612" s="7" t="e">
        <f>VLOOKUP(F4612,HC!A$6:D$100,3,FALSE)</f>
        <v>#N/A</v>
      </c>
      <c r="O4612" s="7" t="e">
        <f>VLOOKUP(F4612,HC!A$6:D$1000,2,FALSE)</f>
        <v>#N/A</v>
      </c>
    </row>
  </sheetData>
  <autoFilter ref="A1:U4612" xr:uid="{6D763902-D55C-4795-8C6C-F9115E093402}"/>
  <dataConsolidate/>
  <conditionalFormatting sqref="H169:H179 F499:F504 S1884:S1885 U1:U1048576">
    <cfRule type="cellIs" dxfId="0" priority="1" operator="greaterThan">
      <formula>1</formula>
    </cfRule>
  </conditionalFormatting>
  <dataValidations count="5">
    <dataValidation type="list" allowBlank="1" showInputMessage="1" showErrorMessage="1" sqref="R641" xr:uid="{C91D7D33-D376-46CD-8CFE-7668BCDC1B7B}">
      <formula1>"Cefaela,Mialgia brazos, Mialgia piernas, Gastrocolitos, Gastroenteritis,Irritación ocular, Odontalgia, Ansiedad, Fatiga, Alergia,Lumbalgia, Dorsalgia, Dismenorrea, Epistaxis, Mareo, Flictemas Pies, Adinamia,Somnolencia,Curación herida,Embarazo, Colación"</formula1>
    </dataValidation>
    <dataValidation type="list" allowBlank="1" showInputMessage="1" showErrorMessage="1" sqref="Q3272:Q3422 Q3837:Q1048535 Q3789:Q3835 Q3425:Q3587 Q3589:Q3787" xr:uid="{709D29DF-20EC-415E-B7D8-29A80D9F9503}">
      <formula1>INDIRECT($P3274)</formula1>
    </dataValidation>
    <dataValidation type="list" allowBlank="1" showInputMessage="1" showErrorMessage="1" sqref="Q3836 Q3788 Q3588 Q2:Q3271" xr:uid="{57953546-A092-4C17-AB1C-5E2DAE3AF344}">
      <formula1>INDIRECT($P2)</formula1>
    </dataValidation>
    <dataValidation type="list" allowBlank="1" showInputMessage="1" showErrorMessage="1" sqref="Q3423:Q3424 Q1048536:Q1048574" xr:uid="{2E5EF223-1CC4-4735-BFE0-96B96D4C9288}">
      <formula1>INDIRECT(#REF!)</formula1>
    </dataValidation>
    <dataValidation type="list" allowBlank="1" showInputMessage="1" showErrorMessage="1" sqref="Q1048575:Q1048576" xr:uid="{862F1390-114D-487F-A6FC-C7E8A633ADD9}">
      <formula1>INDIRECT($P39)</formula1>
    </dataValidation>
  </dataValidation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B2F006-5935-4526-BF5A-5953A5A15E07}">
          <x14:formula1>
            <xm:f>LISTAS!#REF!</xm:f>
          </x14:formula1>
          <xm:sqref>S656</xm:sqref>
        </x14:dataValidation>
        <x14:dataValidation type="list" allowBlank="1" showInputMessage="1" showErrorMessage="1" xr:uid="{460B2B9B-D8BF-4A13-AD5A-7FB4A9C86A6E}">
          <x14:formula1>
            <xm:f>LISTAS!$A$2:$K$2</xm:f>
          </x14:formula1>
          <xm:sqref>P1:P1048576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LISTAS</vt:lpstr>
      <vt:lpstr>HC</vt:lpstr>
      <vt:lpstr>WHS HOURS</vt:lpstr>
      <vt:lpstr>RECUPERACIONFISICA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Davila, Eunice</dc:creator>
  <cp:lastModifiedBy>Rodriguez Ojeda, Oscar Mauricio</cp:lastModifiedBy>
  <cp:lastPrinted>2023-01-27T06:02:28Z</cp:lastPrinted>
  <dcterms:created xsi:type="dcterms:W3CDTF">2022-09-29T21:02:22Z</dcterms:created>
  <dcterms:modified xsi:type="dcterms:W3CDTF">2024-01-17T13:27:41Z</dcterms:modified>
</cp:coreProperties>
</file>